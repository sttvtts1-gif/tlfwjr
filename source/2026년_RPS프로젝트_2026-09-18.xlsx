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N:\## 보고서, 회의록\2026년\02. 주간보고_업무지원\"/>
    </mc:Choice>
  </mc:AlternateContent>
  <xr:revisionPtr revIDLastSave="0" documentId="13_ncr:1_{915EF68A-A110-4C34-9EDA-8A5A67DE4F9D}" xr6:coauthVersionLast="47" xr6:coauthVersionMax="47" xr10:uidLastSave="{00000000-0000-0000-0000-000000000000}"/>
  <bookViews>
    <workbookView xWindow="28680" yWindow="-120" windowWidth="29040" windowHeight="15720" tabRatio="708" firstSheet="2" activeTab="10" xr2:uid="{00000000-000D-0000-FFFF-FFFF00000000}"/>
  </bookViews>
  <sheets>
    <sheet name="지역" sheetId="81" r:id="rId1"/>
    <sheet name="상태분류" sheetId="80" r:id="rId2"/>
    <sheet name="개인" sheetId="76" r:id="rId3"/>
    <sheet name="차트" sheetId="78" r:id="rId4"/>
    <sheet name="정리base" sheetId="53" r:id="rId5"/>
    <sheet name="발전사업(A)" sheetId="41" r:id="rId6"/>
    <sheet name="자가소비(B)" sheetId="65" r:id="rId7"/>
    <sheet name="PPA 사업(C)" sheetId="66" r:id="rId8"/>
    <sheet name="리스사업(D)" sheetId="67" r:id="rId9"/>
    <sheet name="임대사업(E)" sheetId="68" r:id="rId10"/>
    <sheet name="환경부사업(F)" sheetId="69" r:id="rId11"/>
    <sheet name="프로젝트(G)" sheetId="70" r:id="rId12"/>
    <sheet name="협력사 EPC(H)" sheetId="71" r:id="rId13"/>
    <sheet name="협력사 하도(I)" sheetId="73" r:id="rId14"/>
    <sheet name="기타(Z)" sheetId="72" r:id="rId15"/>
    <sheet name="INDEX" sheetId="83" r:id="rId16"/>
  </sheets>
  <definedNames>
    <definedName name="_xlnm._FilterDatabase" localSheetId="7" hidden="1">'PPA 사업(C)'!$B$2:$V$42</definedName>
    <definedName name="_xlnm._FilterDatabase" localSheetId="14" hidden="1">'기타(Z)'!$B$2:$V$42</definedName>
    <definedName name="_xlnm._FilterDatabase" localSheetId="8" hidden="1">'리스사업(D)'!$B$2:$V$42</definedName>
    <definedName name="_xlnm._FilterDatabase" localSheetId="5" hidden="1">'발전사업(A)'!$B$2:$AW$351</definedName>
    <definedName name="_xlnm._FilterDatabase" localSheetId="9" hidden="1">'임대사업(E)'!$B$2:$AW$354</definedName>
    <definedName name="_xlnm._FilterDatabase" localSheetId="6" hidden="1">'자가소비(B)'!$B$2:$AW$354</definedName>
    <definedName name="_xlnm._FilterDatabase" localSheetId="11" hidden="1">'프로젝트(G)'!$B$2:$V$42</definedName>
    <definedName name="_xlnm._FilterDatabase" localSheetId="12" hidden="1">'협력사 EPC(H)'!$B$2:$V$42</definedName>
    <definedName name="_xlnm._FilterDatabase" localSheetId="13" hidden="1">'협력사 하도(I)'!$B$2:$V$42</definedName>
    <definedName name="_xlnm._FilterDatabase" localSheetId="10" hidden="1">'환경부사업(F)'!$B$2:$V$42</definedName>
    <definedName name="_xlnm.Print_Area" localSheetId="3">차트!$BV$2:$CB$137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7" i="41" l="1"/>
  <c r="L26" i="72"/>
  <c r="K26" i="72"/>
  <c r="L218" i="41"/>
  <c r="K218" i="41"/>
  <c r="K213" i="41" l="1"/>
  <c r="L213" i="41"/>
  <c r="L209" i="41" l="1"/>
  <c r="K209" i="41"/>
  <c r="K181" i="41"/>
  <c r="K180" i="41"/>
  <c r="L183" i="41"/>
  <c r="K183" i="41"/>
  <c r="L182" i="41"/>
  <c r="K182" i="41"/>
  <c r="K139" i="41"/>
  <c r="L139" i="41"/>
  <c r="K140" i="41"/>
  <c r="L140" i="41"/>
  <c r="K141" i="41"/>
  <c r="L141" i="41"/>
  <c r="K142" i="41"/>
  <c r="L142" i="41"/>
  <c r="K143" i="41"/>
  <c r="L143" i="41"/>
  <c r="K144" i="41"/>
  <c r="L144" i="41"/>
  <c r="L128" i="41"/>
  <c r="K128" i="41"/>
  <c r="L10" i="65" l="1"/>
  <c r="K10" i="65"/>
  <c r="AM5" i="53"/>
  <c r="AM6" i="53"/>
  <c r="AM7" i="53"/>
  <c r="AH6" i="53"/>
  <c r="AH7" i="53"/>
  <c r="AH5" i="53"/>
  <c r="K98" i="41" l="1"/>
  <c r="L98" i="41"/>
  <c r="K97" i="41"/>
  <c r="L97" i="41"/>
  <c r="K96" i="41"/>
  <c r="L96" i="41"/>
  <c r="D43" i="81" l="1"/>
  <c r="H47" i="81"/>
  <c r="G47" i="81"/>
  <c r="F47" i="81"/>
  <c r="E47" i="81"/>
  <c r="D47" i="81"/>
  <c r="C47" i="81"/>
  <c r="H46" i="81"/>
  <c r="G46" i="81"/>
  <c r="F46" i="81"/>
  <c r="E46" i="81"/>
  <c r="D46" i="81"/>
  <c r="C46" i="81"/>
  <c r="H45" i="81"/>
  <c r="G45" i="81"/>
  <c r="F45" i="81"/>
  <c r="E45" i="81"/>
  <c r="D45" i="81"/>
  <c r="C45" i="81"/>
  <c r="H44" i="81"/>
  <c r="G44" i="81"/>
  <c r="F44" i="81"/>
  <c r="E44" i="81"/>
  <c r="D44" i="81"/>
  <c r="C44" i="81"/>
  <c r="H43" i="81"/>
  <c r="G43" i="81"/>
  <c r="F43" i="81"/>
  <c r="E43" i="81"/>
  <c r="C43" i="81"/>
  <c r="H42" i="81"/>
  <c r="G42" i="81"/>
  <c r="F42" i="81"/>
  <c r="E42" i="81"/>
  <c r="D42" i="81"/>
  <c r="C42" i="81"/>
  <c r="H41" i="81"/>
  <c r="G41" i="81"/>
  <c r="F41" i="81"/>
  <c r="E41" i="81"/>
  <c r="D41" i="81"/>
  <c r="C41" i="81"/>
  <c r="H40" i="81"/>
  <c r="G40" i="81"/>
  <c r="F40" i="81"/>
  <c r="E40" i="81"/>
  <c r="D40" i="81"/>
  <c r="C40" i="81"/>
  <c r="K64" i="41"/>
  <c r="L64" i="41"/>
  <c r="K6" i="72"/>
  <c r="L6" i="72"/>
  <c r="L3" i="72"/>
  <c r="K3" i="72"/>
  <c r="L21" i="41"/>
  <c r="K21" i="41"/>
  <c r="F48" i="81" l="1"/>
  <c r="C48" i="81"/>
  <c r="E48" i="81"/>
  <c r="G48" i="81"/>
  <c r="D48" i="81"/>
  <c r="H48" i="81"/>
  <c r="L3" i="66"/>
  <c r="K3" i="66"/>
  <c r="L3" i="65"/>
  <c r="K3" i="65"/>
  <c r="L5" i="53"/>
  <c r="M5" i="53"/>
  <c r="N5" i="53"/>
  <c r="O5" i="53"/>
  <c r="P5" i="53"/>
  <c r="Q8" i="53"/>
  <c r="Q7" i="53"/>
  <c r="Y7" i="53" l="1"/>
  <c r="L354" i="65"/>
  <c r="K354" i="65"/>
  <c r="L353" i="65"/>
  <c r="K353" i="65"/>
  <c r="L352" i="65"/>
  <c r="K352" i="65"/>
  <c r="L351" i="65"/>
  <c r="K351" i="65"/>
  <c r="L350" i="65"/>
  <c r="K350" i="65"/>
  <c r="L349" i="65"/>
  <c r="K349" i="65"/>
  <c r="L348" i="65"/>
  <c r="K348" i="65"/>
  <c r="L347" i="65"/>
  <c r="K347" i="65"/>
  <c r="L346" i="65"/>
  <c r="K346" i="65"/>
  <c r="L345" i="65"/>
  <c r="K345" i="65"/>
  <c r="L344" i="65"/>
  <c r="K344" i="65"/>
  <c r="L343" i="65"/>
  <c r="K343" i="65"/>
  <c r="L342" i="65"/>
  <c r="K342" i="65"/>
  <c r="L341" i="65"/>
  <c r="K341" i="65"/>
  <c r="L340" i="65"/>
  <c r="K340" i="65"/>
  <c r="L339" i="65"/>
  <c r="K339" i="65"/>
  <c r="L338" i="65"/>
  <c r="K338" i="65"/>
  <c r="L337" i="65"/>
  <c r="K337" i="65"/>
  <c r="L336" i="65"/>
  <c r="K336" i="65"/>
  <c r="L335" i="65"/>
  <c r="K335" i="65"/>
  <c r="L334" i="65"/>
  <c r="K334" i="65"/>
  <c r="L333" i="65"/>
  <c r="K333" i="65"/>
  <c r="L332" i="65"/>
  <c r="K332" i="65"/>
  <c r="L331" i="65"/>
  <c r="K331" i="65"/>
  <c r="L330" i="65"/>
  <c r="K330" i="65"/>
  <c r="L329" i="65"/>
  <c r="K329" i="65"/>
  <c r="L328" i="65"/>
  <c r="K328" i="65"/>
  <c r="L327" i="65"/>
  <c r="K327" i="65"/>
  <c r="L326" i="65"/>
  <c r="K326" i="65"/>
  <c r="L325" i="65"/>
  <c r="K325" i="65"/>
  <c r="L324" i="65"/>
  <c r="K324" i="65"/>
  <c r="L323" i="65"/>
  <c r="K323" i="65"/>
  <c r="L322" i="65"/>
  <c r="K322" i="65"/>
  <c r="L321" i="65"/>
  <c r="K321" i="65"/>
  <c r="L320" i="65"/>
  <c r="K320" i="65"/>
  <c r="L319" i="65"/>
  <c r="K319" i="65"/>
  <c r="L318" i="65"/>
  <c r="K318" i="65"/>
  <c r="L317" i="65"/>
  <c r="K317" i="65"/>
  <c r="L316" i="65"/>
  <c r="K316" i="65"/>
  <c r="L315" i="65"/>
  <c r="K315" i="65"/>
  <c r="L314" i="65"/>
  <c r="K314" i="65"/>
  <c r="L313" i="65"/>
  <c r="K313" i="65"/>
  <c r="L312" i="65"/>
  <c r="K312" i="65"/>
  <c r="L311" i="65"/>
  <c r="K311" i="65"/>
  <c r="L310" i="65"/>
  <c r="K310" i="65"/>
  <c r="L309" i="65"/>
  <c r="K309" i="65"/>
  <c r="L308" i="65"/>
  <c r="K308" i="65"/>
  <c r="L307" i="65"/>
  <c r="K307" i="65"/>
  <c r="L306" i="65"/>
  <c r="K306" i="65"/>
  <c r="L305" i="65"/>
  <c r="K305" i="65"/>
  <c r="L304" i="65"/>
  <c r="K304" i="65"/>
  <c r="L303" i="65"/>
  <c r="K303" i="65"/>
  <c r="L302" i="65"/>
  <c r="K302" i="65"/>
  <c r="L301" i="65"/>
  <c r="K301" i="65"/>
  <c r="L300" i="65"/>
  <c r="K300" i="65"/>
  <c r="L299" i="65"/>
  <c r="K299" i="65"/>
  <c r="L298" i="65"/>
  <c r="K298" i="65"/>
  <c r="L297" i="65"/>
  <c r="K297" i="65"/>
  <c r="L296" i="65"/>
  <c r="K296" i="65"/>
  <c r="L295" i="65"/>
  <c r="K295" i="65"/>
  <c r="L294" i="65"/>
  <c r="K294" i="65"/>
  <c r="L293" i="65"/>
  <c r="K293" i="65"/>
  <c r="L292" i="65"/>
  <c r="K292" i="65"/>
  <c r="L291" i="65"/>
  <c r="K291" i="65"/>
  <c r="L290" i="65"/>
  <c r="K290" i="65"/>
  <c r="L289" i="65"/>
  <c r="K289" i="65"/>
  <c r="L288" i="65"/>
  <c r="K288" i="65"/>
  <c r="L287" i="65"/>
  <c r="K287" i="65"/>
  <c r="L286" i="65"/>
  <c r="K286" i="65"/>
  <c r="L285" i="65"/>
  <c r="K285" i="65"/>
  <c r="L284" i="65"/>
  <c r="K284" i="65"/>
  <c r="L283" i="65"/>
  <c r="K283" i="65"/>
  <c r="L282" i="65"/>
  <c r="K282" i="65"/>
  <c r="L281" i="65"/>
  <c r="K281" i="65"/>
  <c r="L280" i="65"/>
  <c r="K280" i="65"/>
  <c r="L279" i="65"/>
  <c r="K279" i="65"/>
  <c r="L278" i="65"/>
  <c r="K278" i="65"/>
  <c r="L277" i="65"/>
  <c r="K277" i="65"/>
  <c r="L276" i="65"/>
  <c r="K276" i="65"/>
  <c r="L275" i="65"/>
  <c r="K275" i="65"/>
  <c r="L274" i="65"/>
  <c r="K274" i="65"/>
  <c r="L273" i="65"/>
  <c r="K273" i="65"/>
  <c r="L272" i="65"/>
  <c r="K272" i="65"/>
  <c r="L271" i="65"/>
  <c r="K271" i="65"/>
  <c r="L270" i="65"/>
  <c r="K270" i="65"/>
  <c r="L269" i="65"/>
  <c r="K269" i="65"/>
  <c r="L268" i="65"/>
  <c r="K268" i="65"/>
  <c r="L267" i="65"/>
  <c r="K267" i="65"/>
  <c r="L266" i="65"/>
  <c r="K266" i="65"/>
  <c r="L265" i="65"/>
  <c r="K265" i="65"/>
  <c r="L264" i="65"/>
  <c r="K264" i="65"/>
  <c r="L263" i="65"/>
  <c r="K263" i="65"/>
  <c r="L262" i="65"/>
  <c r="K262" i="65"/>
  <c r="L261" i="65"/>
  <c r="K261" i="65"/>
  <c r="L260" i="65"/>
  <c r="K260" i="65"/>
  <c r="L259" i="65"/>
  <c r="K259" i="65"/>
  <c r="L258" i="65"/>
  <c r="K258" i="65"/>
  <c r="L257" i="65"/>
  <c r="K257" i="65"/>
  <c r="L256" i="65"/>
  <c r="K256" i="65"/>
  <c r="L255" i="65"/>
  <c r="K255" i="65"/>
  <c r="L254" i="65"/>
  <c r="K254" i="65"/>
  <c r="L253" i="65"/>
  <c r="K253" i="65"/>
  <c r="L252" i="65"/>
  <c r="K252" i="65"/>
  <c r="L251" i="65"/>
  <c r="K251" i="65"/>
  <c r="L250" i="65"/>
  <c r="K250" i="65"/>
  <c r="L249" i="65"/>
  <c r="K249" i="65"/>
  <c r="L248" i="65"/>
  <c r="K248" i="65"/>
  <c r="L247" i="65"/>
  <c r="K247" i="65"/>
  <c r="L246" i="65"/>
  <c r="K246" i="65"/>
  <c r="L245" i="65"/>
  <c r="K245" i="65"/>
  <c r="L244" i="65"/>
  <c r="K244" i="65"/>
  <c r="L243" i="65"/>
  <c r="K243" i="65"/>
  <c r="L242" i="65"/>
  <c r="K242" i="65"/>
  <c r="L241" i="65"/>
  <c r="K241" i="65"/>
  <c r="L240" i="65"/>
  <c r="K240" i="65"/>
  <c r="L239" i="65"/>
  <c r="K239" i="65"/>
  <c r="L238" i="65"/>
  <c r="K238" i="65"/>
  <c r="L237" i="65"/>
  <c r="K237" i="65"/>
  <c r="L236" i="65"/>
  <c r="K236" i="65"/>
  <c r="L235" i="65"/>
  <c r="K235" i="65"/>
  <c r="L234" i="65"/>
  <c r="K234" i="65"/>
  <c r="L233" i="65"/>
  <c r="K233" i="65"/>
  <c r="L232" i="65"/>
  <c r="K232" i="65"/>
  <c r="L231" i="65"/>
  <c r="K231" i="65"/>
  <c r="L230" i="65"/>
  <c r="K230" i="65"/>
  <c r="L229" i="65"/>
  <c r="K229" i="65"/>
  <c r="L228" i="65"/>
  <c r="K228" i="65"/>
  <c r="L227" i="65"/>
  <c r="K227" i="65"/>
  <c r="L226" i="65"/>
  <c r="K226" i="65"/>
  <c r="L225" i="65"/>
  <c r="K225" i="65"/>
  <c r="L224" i="65"/>
  <c r="K224" i="65"/>
  <c r="L223" i="65"/>
  <c r="K223" i="65"/>
  <c r="L222" i="65"/>
  <c r="K222" i="65"/>
  <c r="L221" i="65"/>
  <c r="K221" i="65"/>
  <c r="L220" i="65"/>
  <c r="K220" i="65"/>
  <c r="L219" i="65"/>
  <c r="K219" i="65"/>
  <c r="L218" i="65"/>
  <c r="K218" i="65"/>
  <c r="L217" i="65"/>
  <c r="K217" i="65"/>
  <c r="L216" i="65"/>
  <c r="K216" i="65"/>
  <c r="L215" i="65"/>
  <c r="K215" i="65"/>
  <c r="L214" i="65"/>
  <c r="K214" i="65"/>
  <c r="L213" i="65"/>
  <c r="K213" i="65"/>
  <c r="L212" i="65"/>
  <c r="K212" i="65"/>
  <c r="L211" i="65"/>
  <c r="K211" i="65"/>
  <c r="L210" i="65"/>
  <c r="K210" i="65"/>
  <c r="L209" i="65"/>
  <c r="K209" i="65"/>
  <c r="L208" i="65"/>
  <c r="K208" i="65"/>
  <c r="L207" i="65"/>
  <c r="K207" i="65"/>
  <c r="L206" i="65"/>
  <c r="K206" i="65"/>
  <c r="L205" i="65"/>
  <c r="K205" i="65"/>
  <c r="L204" i="65"/>
  <c r="K204" i="65"/>
  <c r="L203" i="65"/>
  <c r="K203" i="65"/>
  <c r="L202" i="65"/>
  <c r="K202" i="65"/>
  <c r="L201" i="65"/>
  <c r="K201" i="65"/>
  <c r="L200" i="65"/>
  <c r="K200" i="65"/>
  <c r="L199" i="65"/>
  <c r="K199" i="65"/>
  <c r="L198" i="65"/>
  <c r="K198" i="65"/>
  <c r="L197" i="65"/>
  <c r="K197" i="65"/>
  <c r="L196" i="65"/>
  <c r="K196" i="65"/>
  <c r="L195" i="65"/>
  <c r="K195" i="65"/>
  <c r="L194" i="65"/>
  <c r="K194" i="65"/>
  <c r="L193" i="65"/>
  <c r="K193" i="65"/>
  <c r="L192" i="65"/>
  <c r="K192" i="65"/>
  <c r="L191" i="65"/>
  <c r="K191" i="65"/>
  <c r="L190" i="65"/>
  <c r="K190" i="65"/>
  <c r="L189" i="65"/>
  <c r="K189" i="65"/>
  <c r="L188" i="65"/>
  <c r="K188" i="65"/>
  <c r="L187" i="65"/>
  <c r="K187" i="65"/>
  <c r="L186" i="65"/>
  <c r="K186" i="65"/>
  <c r="L185" i="65"/>
  <c r="K185" i="65"/>
  <c r="L184" i="65"/>
  <c r="K184" i="65"/>
  <c r="L183" i="65"/>
  <c r="K183" i="65"/>
  <c r="L182" i="65"/>
  <c r="K182" i="65"/>
  <c r="L181" i="65"/>
  <c r="K181" i="65"/>
  <c r="L180" i="65"/>
  <c r="K180" i="65"/>
  <c r="L179" i="65"/>
  <c r="K179" i="65"/>
  <c r="L178" i="65"/>
  <c r="K178" i="65"/>
  <c r="L177" i="65"/>
  <c r="K177" i="65"/>
  <c r="L176" i="65"/>
  <c r="K176" i="65"/>
  <c r="L175" i="65"/>
  <c r="K175" i="65"/>
  <c r="L174" i="65"/>
  <c r="K174" i="65"/>
  <c r="L173" i="65"/>
  <c r="K173" i="65"/>
  <c r="L172" i="65"/>
  <c r="K172" i="65"/>
  <c r="L171" i="65"/>
  <c r="K171" i="65"/>
  <c r="L170" i="65"/>
  <c r="K170" i="65"/>
  <c r="L169" i="65"/>
  <c r="K169" i="65"/>
  <c r="L168" i="65"/>
  <c r="K168" i="65"/>
  <c r="L167" i="65"/>
  <c r="K167" i="65"/>
  <c r="L166" i="65"/>
  <c r="K166" i="65"/>
  <c r="L165" i="65"/>
  <c r="K165" i="65"/>
  <c r="L164" i="65"/>
  <c r="K164" i="65"/>
  <c r="L163" i="65"/>
  <c r="K163" i="65"/>
  <c r="L162" i="65"/>
  <c r="K162" i="65"/>
  <c r="L161" i="65"/>
  <c r="K161" i="65"/>
  <c r="L160" i="65"/>
  <c r="K160" i="65"/>
  <c r="L159" i="65"/>
  <c r="K159" i="65"/>
  <c r="L158" i="65"/>
  <c r="K158" i="65"/>
  <c r="L157" i="65"/>
  <c r="K157" i="65"/>
  <c r="L156" i="65"/>
  <c r="K156" i="65"/>
  <c r="L155" i="65"/>
  <c r="K155" i="65"/>
  <c r="L154" i="65"/>
  <c r="K154" i="65"/>
  <c r="L153" i="65"/>
  <c r="K153" i="65"/>
  <c r="L152" i="65"/>
  <c r="K152" i="65"/>
  <c r="L151" i="65"/>
  <c r="K151" i="65"/>
  <c r="L150" i="65"/>
  <c r="K150" i="65"/>
  <c r="L149" i="65"/>
  <c r="K149" i="65"/>
  <c r="L148" i="65"/>
  <c r="K148" i="65"/>
  <c r="L147" i="65"/>
  <c r="K147" i="65"/>
  <c r="L146" i="65"/>
  <c r="K146" i="65"/>
  <c r="L145" i="65"/>
  <c r="K145" i="65"/>
  <c r="L144" i="65"/>
  <c r="K144" i="65"/>
  <c r="L143" i="65"/>
  <c r="K143" i="65"/>
  <c r="L142" i="65"/>
  <c r="K142" i="65"/>
  <c r="L141" i="65"/>
  <c r="K141" i="65"/>
  <c r="L140" i="65"/>
  <c r="K140" i="65"/>
  <c r="L139" i="65"/>
  <c r="K139" i="65"/>
  <c r="L138" i="65"/>
  <c r="K138" i="65"/>
  <c r="L137" i="65"/>
  <c r="K137" i="65"/>
  <c r="L136" i="65"/>
  <c r="K136" i="65"/>
  <c r="L135" i="65"/>
  <c r="K135" i="65"/>
  <c r="L134" i="65"/>
  <c r="K134" i="65"/>
  <c r="L133" i="65"/>
  <c r="K133" i="65"/>
  <c r="L132" i="65"/>
  <c r="K132" i="65"/>
  <c r="L131" i="65"/>
  <c r="K131" i="65"/>
  <c r="L130" i="65"/>
  <c r="K130" i="65"/>
  <c r="L129" i="65"/>
  <c r="K129" i="65"/>
  <c r="L128" i="65"/>
  <c r="K128" i="65"/>
  <c r="L127" i="65"/>
  <c r="K127" i="65"/>
  <c r="L126" i="65"/>
  <c r="K126" i="65"/>
  <c r="L125" i="65"/>
  <c r="K125" i="65"/>
  <c r="L124" i="65"/>
  <c r="K124" i="65"/>
  <c r="L123" i="65"/>
  <c r="K123" i="65"/>
  <c r="L122" i="65"/>
  <c r="K122" i="65"/>
  <c r="L121" i="65"/>
  <c r="K121" i="65"/>
  <c r="L120" i="65"/>
  <c r="K120" i="65"/>
  <c r="L119" i="65"/>
  <c r="K119" i="65"/>
  <c r="L118" i="65"/>
  <c r="K118" i="65"/>
  <c r="L117" i="65"/>
  <c r="K117" i="65"/>
  <c r="L116" i="65"/>
  <c r="K116" i="65"/>
  <c r="L115" i="65"/>
  <c r="K115" i="65"/>
  <c r="L114" i="65"/>
  <c r="K114" i="65"/>
  <c r="L113" i="65"/>
  <c r="K113" i="65"/>
  <c r="L112" i="65"/>
  <c r="K112" i="65"/>
  <c r="L111" i="65"/>
  <c r="K111" i="65"/>
  <c r="L110" i="65"/>
  <c r="K110" i="65"/>
  <c r="L109" i="65"/>
  <c r="K109" i="65"/>
  <c r="L108" i="65"/>
  <c r="K108" i="65"/>
  <c r="L107" i="65"/>
  <c r="K107" i="65"/>
  <c r="L106" i="65"/>
  <c r="K106" i="65"/>
  <c r="L105" i="65"/>
  <c r="K105" i="65"/>
  <c r="L104" i="65"/>
  <c r="K104" i="65"/>
  <c r="L103" i="65"/>
  <c r="K103" i="65"/>
  <c r="L102" i="65"/>
  <c r="K102" i="65"/>
  <c r="L101" i="65"/>
  <c r="K101" i="65"/>
  <c r="L100" i="65"/>
  <c r="K100" i="65"/>
  <c r="L99" i="65"/>
  <c r="K99" i="65"/>
  <c r="L98" i="65"/>
  <c r="K98" i="65"/>
  <c r="L97" i="65"/>
  <c r="K97" i="65"/>
  <c r="L96" i="65"/>
  <c r="K96" i="65"/>
  <c r="L95" i="65"/>
  <c r="K95" i="65"/>
  <c r="L94" i="65"/>
  <c r="K94" i="65"/>
  <c r="L93" i="65"/>
  <c r="K93" i="65"/>
  <c r="L92" i="65"/>
  <c r="K92" i="65"/>
  <c r="L91" i="65"/>
  <c r="K91" i="65"/>
  <c r="L90" i="65"/>
  <c r="K90" i="65"/>
  <c r="L89" i="65"/>
  <c r="K89" i="65"/>
  <c r="L88" i="65"/>
  <c r="K88" i="65"/>
  <c r="L87" i="65"/>
  <c r="K87" i="65"/>
  <c r="L86" i="65"/>
  <c r="K86" i="65"/>
  <c r="L85" i="65"/>
  <c r="K85" i="65"/>
  <c r="L84" i="65"/>
  <c r="K84" i="65"/>
  <c r="L83" i="65"/>
  <c r="K83" i="65"/>
  <c r="L82" i="65"/>
  <c r="K82" i="65"/>
  <c r="L81" i="65"/>
  <c r="K81" i="65"/>
  <c r="L80" i="65"/>
  <c r="K80" i="65"/>
  <c r="L79" i="65"/>
  <c r="K79" i="65"/>
  <c r="L78" i="65"/>
  <c r="K78" i="65"/>
  <c r="L77" i="65"/>
  <c r="K77" i="65"/>
  <c r="L76" i="65"/>
  <c r="K76" i="65"/>
  <c r="L75" i="65"/>
  <c r="K75" i="65"/>
  <c r="L74" i="65"/>
  <c r="K74" i="65"/>
  <c r="L73" i="65"/>
  <c r="K73" i="65"/>
  <c r="L72" i="65"/>
  <c r="K72" i="65"/>
  <c r="L71" i="65"/>
  <c r="K71" i="65"/>
  <c r="L70" i="65"/>
  <c r="K70" i="65"/>
  <c r="L69" i="65"/>
  <c r="K69" i="65"/>
  <c r="L68" i="65"/>
  <c r="K68" i="65"/>
  <c r="L67" i="65"/>
  <c r="K67" i="65"/>
  <c r="L66" i="65"/>
  <c r="K66" i="65"/>
  <c r="L65" i="65"/>
  <c r="K65" i="65"/>
  <c r="L64" i="65"/>
  <c r="K64" i="65"/>
  <c r="L63" i="65"/>
  <c r="K63" i="65"/>
  <c r="L62" i="65"/>
  <c r="K62" i="65"/>
  <c r="L61" i="65"/>
  <c r="K61" i="65"/>
  <c r="L60" i="65"/>
  <c r="K60" i="65"/>
  <c r="L59" i="65"/>
  <c r="K59" i="65"/>
  <c r="L58" i="65"/>
  <c r="K58" i="65"/>
  <c r="L57" i="65"/>
  <c r="K57" i="65"/>
  <c r="L56" i="65"/>
  <c r="K56" i="65"/>
  <c r="L55" i="65"/>
  <c r="K55" i="65"/>
  <c r="L54" i="65"/>
  <c r="K54" i="65"/>
  <c r="L53" i="65"/>
  <c r="K53" i="65"/>
  <c r="L52" i="65"/>
  <c r="K52" i="65"/>
  <c r="L51" i="65"/>
  <c r="K51" i="65"/>
  <c r="L50" i="65"/>
  <c r="K50" i="65"/>
  <c r="L49" i="65"/>
  <c r="K49" i="65"/>
  <c r="L48" i="65"/>
  <c r="K48" i="65"/>
  <c r="L47" i="65"/>
  <c r="K47" i="65"/>
  <c r="L46" i="65"/>
  <c r="K46" i="65"/>
  <c r="L45" i="65"/>
  <c r="K45" i="65"/>
  <c r="L44" i="65"/>
  <c r="K44" i="65"/>
  <c r="L43" i="65"/>
  <c r="K43" i="65"/>
  <c r="L42" i="65"/>
  <c r="K42" i="65"/>
  <c r="L41" i="65"/>
  <c r="K41" i="65"/>
  <c r="L40" i="65"/>
  <c r="K40" i="65"/>
  <c r="L39" i="65"/>
  <c r="K39" i="65"/>
  <c r="L38" i="65"/>
  <c r="K38" i="65"/>
  <c r="L37" i="65"/>
  <c r="K37" i="65"/>
  <c r="L36" i="65"/>
  <c r="K36" i="65"/>
  <c r="L35" i="65"/>
  <c r="K35" i="65"/>
  <c r="L34" i="65"/>
  <c r="K34" i="65"/>
  <c r="L33" i="65"/>
  <c r="K33" i="65"/>
  <c r="L32" i="65"/>
  <c r="K32" i="65"/>
  <c r="L31" i="65"/>
  <c r="K31" i="65"/>
  <c r="L30" i="65"/>
  <c r="K30" i="65"/>
  <c r="L29" i="65"/>
  <c r="K29" i="65"/>
  <c r="L28" i="65"/>
  <c r="K28" i="65"/>
  <c r="L27" i="65"/>
  <c r="K27" i="65"/>
  <c r="L26" i="65"/>
  <c r="K26" i="65"/>
  <c r="L25" i="65"/>
  <c r="K25" i="65"/>
  <c r="L24" i="65"/>
  <c r="K24" i="65"/>
  <c r="L23" i="65"/>
  <c r="K23" i="65"/>
  <c r="L22" i="65"/>
  <c r="K22" i="65"/>
  <c r="L21" i="65"/>
  <c r="K21" i="65"/>
  <c r="L20" i="65"/>
  <c r="K20" i="65"/>
  <c r="L19" i="65"/>
  <c r="K19" i="65"/>
  <c r="L18" i="65"/>
  <c r="K18" i="65"/>
  <c r="L17" i="65"/>
  <c r="K17" i="65"/>
  <c r="L16" i="65"/>
  <c r="K16" i="65"/>
  <c r="L15" i="65"/>
  <c r="K15" i="65"/>
  <c r="L14" i="65"/>
  <c r="K14" i="65"/>
  <c r="L13" i="65"/>
  <c r="K13" i="65"/>
  <c r="L12" i="65"/>
  <c r="K12" i="65"/>
  <c r="L11" i="65"/>
  <c r="K11" i="65"/>
  <c r="L9" i="65"/>
  <c r="K9" i="65"/>
  <c r="L8" i="65"/>
  <c r="K8" i="65"/>
  <c r="L7" i="65"/>
  <c r="K7" i="65"/>
  <c r="L6" i="65"/>
  <c r="K6" i="65"/>
  <c r="L5" i="65"/>
  <c r="K5" i="65"/>
  <c r="L4" i="65"/>
  <c r="K4" i="65"/>
  <c r="L354" i="67"/>
  <c r="K354" i="67"/>
  <c r="L353" i="67"/>
  <c r="K353" i="67"/>
  <c r="L352" i="67"/>
  <c r="K352" i="67"/>
  <c r="L351" i="67"/>
  <c r="K351" i="67"/>
  <c r="L350" i="67"/>
  <c r="K350" i="67"/>
  <c r="L349" i="67"/>
  <c r="K349" i="67"/>
  <c r="L348" i="67"/>
  <c r="K348" i="67"/>
  <c r="L347" i="67"/>
  <c r="K347" i="67"/>
  <c r="L346" i="67"/>
  <c r="K346" i="67"/>
  <c r="L345" i="67"/>
  <c r="K345" i="67"/>
  <c r="L344" i="67"/>
  <c r="K344" i="67"/>
  <c r="L343" i="67"/>
  <c r="K343" i="67"/>
  <c r="L342" i="67"/>
  <c r="K342" i="67"/>
  <c r="L341" i="67"/>
  <c r="K341" i="67"/>
  <c r="L340" i="67"/>
  <c r="K340" i="67"/>
  <c r="L339" i="67"/>
  <c r="K339" i="67"/>
  <c r="L338" i="67"/>
  <c r="K338" i="67"/>
  <c r="L337" i="67"/>
  <c r="K337" i="67"/>
  <c r="L336" i="67"/>
  <c r="K336" i="67"/>
  <c r="L335" i="67"/>
  <c r="K335" i="67"/>
  <c r="L334" i="67"/>
  <c r="K334" i="67"/>
  <c r="L333" i="67"/>
  <c r="K333" i="67"/>
  <c r="L332" i="67"/>
  <c r="K332" i="67"/>
  <c r="L331" i="67"/>
  <c r="K331" i="67"/>
  <c r="L330" i="67"/>
  <c r="K330" i="67"/>
  <c r="L329" i="67"/>
  <c r="K329" i="67"/>
  <c r="L328" i="67"/>
  <c r="K328" i="67"/>
  <c r="L327" i="67"/>
  <c r="K327" i="67"/>
  <c r="L326" i="67"/>
  <c r="K326" i="67"/>
  <c r="L325" i="67"/>
  <c r="K325" i="67"/>
  <c r="L324" i="67"/>
  <c r="K324" i="67"/>
  <c r="L323" i="67"/>
  <c r="K323" i="67"/>
  <c r="L322" i="67"/>
  <c r="K322" i="67"/>
  <c r="L321" i="67"/>
  <c r="K321" i="67"/>
  <c r="L320" i="67"/>
  <c r="K320" i="67"/>
  <c r="L319" i="67"/>
  <c r="K319" i="67"/>
  <c r="L318" i="67"/>
  <c r="K318" i="67"/>
  <c r="L317" i="67"/>
  <c r="K317" i="67"/>
  <c r="L316" i="67"/>
  <c r="K316" i="67"/>
  <c r="L315" i="67"/>
  <c r="K315" i="67"/>
  <c r="L314" i="67"/>
  <c r="K314" i="67"/>
  <c r="L313" i="67"/>
  <c r="K313" i="67"/>
  <c r="L312" i="67"/>
  <c r="K312" i="67"/>
  <c r="L311" i="67"/>
  <c r="K311" i="67"/>
  <c r="L310" i="67"/>
  <c r="K310" i="67"/>
  <c r="L309" i="67"/>
  <c r="K309" i="67"/>
  <c r="L308" i="67"/>
  <c r="K308" i="67"/>
  <c r="L307" i="67"/>
  <c r="K307" i="67"/>
  <c r="L306" i="67"/>
  <c r="K306" i="67"/>
  <c r="L305" i="67"/>
  <c r="K305" i="67"/>
  <c r="L304" i="67"/>
  <c r="K304" i="67"/>
  <c r="L303" i="67"/>
  <c r="K303" i="67"/>
  <c r="L302" i="67"/>
  <c r="K302" i="67"/>
  <c r="L301" i="67"/>
  <c r="K301" i="67"/>
  <c r="L300" i="67"/>
  <c r="K300" i="67"/>
  <c r="L299" i="67"/>
  <c r="K299" i="67"/>
  <c r="L298" i="67"/>
  <c r="K298" i="67"/>
  <c r="L297" i="67"/>
  <c r="K297" i="67"/>
  <c r="L296" i="67"/>
  <c r="K296" i="67"/>
  <c r="L295" i="67"/>
  <c r="K295" i="67"/>
  <c r="L294" i="67"/>
  <c r="K294" i="67"/>
  <c r="L293" i="67"/>
  <c r="K293" i="67"/>
  <c r="L292" i="67"/>
  <c r="K292" i="67"/>
  <c r="L291" i="67"/>
  <c r="K291" i="67"/>
  <c r="L290" i="67"/>
  <c r="K290" i="67"/>
  <c r="L289" i="67"/>
  <c r="K289" i="67"/>
  <c r="L288" i="67"/>
  <c r="K288" i="67"/>
  <c r="L287" i="67"/>
  <c r="K287" i="67"/>
  <c r="L286" i="67"/>
  <c r="K286" i="67"/>
  <c r="L285" i="67"/>
  <c r="K285" i="67"/>
  <c r="L284" i="67"/>
  <c r="K284" i="67"/>
  <c r="L283" i="67"/>
  <c r="K283" i="67"/>
  <c r="L282" i="67"/>
  <c r="K282" i="67"/>
  <c r="L281" i="67"/>
  <c r="K281" i="67"/>
  <c r="L280" i="67"/>
  <c r="K280" i="67"/>
  <c r="L279" i="67"/>
  <c r="K279" i="67"/>
  <c r="L278" i="67"/>
  <c r="K278" i="67"/>
  <c r="L277" i="67"/>
  <c r="K277" i="67"/>
  <c r="L276" i="67"/>
  <c r="K276" i="67"/>
  <c r="L275" i="67"/>
  <c r="K275" i="67"/>
  <c r="L274" i="67"/>
  <c r="K274" i="67"/>
  <c r="L273" i="67"/>
  <c r="K273" i="67"/>
  <c r="L272" i="67"/>
  <c r="K272" i="67"/>
  <c r="L271" i="67"/>
  <c r="K271" i="67"/>
  <c r="L270" i="67"/>
  <c r="K270" i="67"/>
  <c r="L269" i="67"/>
  <c r="K269" i="67"/>
  <c r="L268" i="67"/>
  <c r="K268" i="67"/>
  <c r="L267" i="67"/>
  <c r="K267" i="67"/>
  <c r="L266" i="67"/>
  <c r="K266" i="67"/>
  <c r="L265" i="67"/>
  <c r="K265" i="67"/>
  <c r="L264" i="67"/>
  <c r="K264" i="67"/>
  <c r="L263" i="67"/>
  <c r="K263" i="67"/>
  <c r="L262" i="67"/>
  <c r="K262" i="67"/>
  <c r="L261" i="67"/>
  <c r="K261" i="67"/>
  <c r="L260" i="67"/>
  <c r="K260" i="67"/>
  <c r="L259" i="67"/>
  <c r="K259" i="67"/>
  <c r="L258" i="67"/>
  <c r="K258" i="67"/>
  <c r="L257" i="67"/>
  <c r="K257" i="67"/>
  <c r="L256" i="67"/>
  <c r="K256" i="67"/>
  <c r="L255" i="67"/>
  <c r="K255" i="67"/>
  <c r="L254" i="67"/>
  <c r="K254" i="67"/>
  <c r="L253" i="67"/>
  <c r="K253" i="67"/>
  <c r="L252" i="67"/>
  <c r="K252" i="67"/>
  <c r="L251" i="67"/>
  <c r="K251" i="67"/>
  <c r="L250" i="67"/>
  <c r="K250" i="67"/>
  <c r="L249" i="67"/>
  <c r="K249" i="67"/>
  <c r="L248" i="67"/>
  <c r="K248" i="67"/>
  <c r="L247" i="67"/>
  <c r="K247" i="67"/>
  <c r="L246" i="67"/>
  <c r="K246" i="67"/>
  <c r="L245" i="67"/>
  <c r="K245" i="67"/>
  <c r="L244" i="67"/>
  <c r="K244" i="67"/>
  <c r="L243" i="67"/>
  <c r="K243" i="67"/>
  <c r="L242" i="67"/>
  <c r="K242" i="67"/>
  <c r="L241" i="67"/>
  <c r="K241" i="67"/>
  <c r="L240" i="67"/>
  <c r="K240" i="67"/>
  <c r="L239" i="67"/>
  <c r="K239" i="67"/>
  <c r="L238" i="67"/>
  <c r="K238" i="67"/>
  <c r="L237" i="67"/>
  <c r="K237" i="67"/>
  <c r="L236" i="67"/>
  <c r="K236" i="67"/>
  <c r="L235" i="67"/>
  <c r="K235" i="67"/>
  <c r="L234" i="67"/>
  <c r="K234" i="67"/>
  <c r="L233" i="67"/>
  <c r="K233" i="67"/>
  <c r="L232" i="67"/>
  <c r="K232" i="67"/>
  <c r="L231" i="67"/>
  <c r="K231" i="67"/>
  <c r="L230" i="67"/>
  <c r="K230" i="67"/>
  <c r="L229" i="67"/>
  <c r="K229" i="67"/>
  <c r="L228" i="67"/>
  <c r="K228" i="67"/>
  <c r="L227" i="67"/>
  <c r="K227" i="67"/>
  <c r="L226" i="67"/>
  <c r="K226" i="67"/>
  <c r="L225" i="67"/>
  <c r="K225" i="67"/>
  <c r="L224" i="67"/>
  <c r="K224" i="67"/>
  <c r="L223" i="67"/>
  <c r="K223" i="67"/>
  <c r="L222" i="67"/>
  <c r="K222" i="67"/>
  <c r="L221" i="67"/>
  <c r="K221" i="67"/>
  <c r="L220" i="67"/>
  <c r="K220" i="67"/>
  <c r="L219" i="67"/>
  <c r="K219" i="67"/>
  <c r="L218" i="67"/>
  <c r="K218" i="67"/>
  <c r="L217" i="67"/>
  <c r="K217" i="67"/>
  <c r="L216" i="67"/>
  <c r="K216" i="67"/>
  <c r="L215" i="67"/>
  <c r="K215" i="67"/>
  <c r="L214" i="67"/>
  <c r="K214" i="67"/>
  <c r="L213" i="67"/>
  <c r="K213" i="67"/>
  <c r="L212" i="67"/>
  <c r="K212" i="67"/>
  <c r="L211" i="67"/>
  <c r="K211" i="67"/>
  <c r="L210" i="67"/>
  <c r="K210" i="67"/>
  <c r="L209" i="67"/>
  <c r="K209" i="67"/>
  <c r="L208" i="67"/>
  <c r="K208" i="67"/>
  <c r="L207" i="67"/>
  <c r="K207" i="67"/>
  <c r="L206" i="67"/>
  <c r="K206" i="67"/>
  <c r="L205" i="67"/>
  <c r="K205" i="67"/>
  <c r="L204" i="67"/>
  <c r="K204" i="67"/>
  <c r="L203" i="67"/>
  <c r="K203" i="67"/>
  <c r="L202" i="67"/>
  <c r="K202" i="67"/>
  <c r="L201" i="67"/>
  <c r="K201" i="67"/>
  <c r="L200" i="67"/>
  <c r="K200" i="67"/>
  <c r="L199" i="67"/>
  <c r="K199" i="67"/>
  <c r="L198" i="67"/>
  <c r="K198" i="67"/>
  <c r="L197" i="67"/>
  <c r="K197" i="67"/>
  <c r="L196" i="67"/>
  <c r="K196" i="67"/>
  <c r="L195" i="67"/>
  <c r="K195" i="67"/>
  <c r="L194" i="67"/>
  <c r="K194" i="67"/>
  <c r="L193" i="67"/>
  <c r="K193" i="67"/>
  <c r="L192" i="67"/>
  <c r="K192" i="67"/>
  <c r="L191" i="67"/>
  <c r="K191" i="67"/>
  <c r="L190" i="67"/>
  <c r="K190" i="67"/>
  <c r="L189" i="67"/>
  <c r="K189" i="67"/>
  <c r="L188" i="67"/>
  <c r="K188" i="67"/>
  <c r="L187" i="67"/>
  <c r="K187" i="67"/>
  <c r="L186" i="67"/>
  <c r="K186" i="67"/>
  <c r="L185" i="67"/>
  <c r="K185" i="67"/>
  <c r="L184" i="67"/>
  <c r="K184" i="67"/>
  <c r="L183" i="67"/>
  <c r="K183" i="67"/>
  <c r="L182" i="67"/>
  <c r="K182" i="67"/>
  <c r="L181" i="67"/>
  <c r="K181" i="67"/>
  <c r="L180" i="67"/>
  <c r="K180" i="67"/>
  <c r="L179" i="67"/>
  <c r="K179" i="67"/>
  <c r="L178" i="67"/>
  <c r="K178" i="67"/>
  <c r="L177" i="67"/>
  <c r="K177" i="67"/>
  <c r="L176" i="67"/>
  <c r="K176" i="67"/>
  <c r="L175" i="67"/>
  <c r="K175" i="67"/>
  <c r="L174" i="67"/>
  <c r="K174" i="67"/>
  <c r="L173" i="67"/>
  <c r="K173" i="67"/>
  <c r="L172" i="67"/>
  <c r="K172" i="67"/>
  <c r="L171" i="67"/>
  <c r="K171" i="67"/>
  <c r="L170" i="67"/>
  <c r="K170" i="67"/>
  <c r="L169" i="67"/>
  <c r="K169" i="67"/>
  <c r="L168" i="67"/>
  <c r="K168" i="67"/>
  <c r="L167" i="67"/>
  <c r="K167" i="67"/>
  <c r="L166" i="67"/>
  <c r="K166" i="67"/>
  <c r="L165" i="67"/>
  <c r="K165" i="67"/>
  <c r="L164" i="67"/>
  <c r="K164" i="67"/>
  <c r="L163" i="67"/>
  <c r="K163" i="67"/>
  <c r="L162" i="67"/>
  <c r="K162" i="67"/>
  <c r="L161" i="67"/>
  <c r="K161" i="67"/>
  <c r="L160" i="67"/>
  <c r="K160" i="67"/>
  <c r="L159" i="67"/>
  <c r="K159" i="67"/>
  <c r="L158" i="67"/>
  <c r="K158" i="67"/>
  <c r="L157" i="67"/>
  <c r="K157" i="67"/>
  <c r="L156" i="67"/>
  <c r="K156" i="67"/>
  <c r="L155" i="67"/>
  <c r="K155" i="67"/>
  <c r="L154" i="67"/>
  <c r="K154" i="67"/>
  <c r="L153" i="67"/>
  <c r="K153" i="67"/>
  <c r="L152" i="67"/>
  <c r="K152" i="67"/>
  <c r="L151" i="67"/>
  <c r="K151" i="67"/>
  <c r="L150" i="67"/>
  <c r="K150" i="67"/>
  <c r="L149" i="67"/>
  <c r="K149" i="67"/>
  <c r="L148" i="67"/>
  <c r="K148" i="67"/>
  <c r="L147" i="67"/>
  <c r="K147" i="67"/>
  <c r="L146" i="67"/>
  <c r="K146" i="67"/>
  <c r="L145" i="67"/>
  <c r="K145" i="67"/>
  <c r="L144" i="67"/>
  <c r="K144" i="67"/>
  <c r="L143" i="67"/>
  <c r="K143" i="67"/>
  <c r="L142" i="67"/>
  <c r="K142" i="67"/>
  <c r="L141" i="67"/>
  <c r="K141" i="67"/>
  <c r="L140" i="67"/>
  <c r="K140" i="67"/>
  <c r="L139" i="67"/>
  <c r="K139" i="67"/>
  <c r="L138" i="67"/>
  <c r="K138" i="67"/>
  <c r="L137" i="67"/>
  <c r="K137" i="67"/>
  <c r="L136" i="67"/>
  <c r="K136" i="67"/>
  <c r="L135" i="67"/>
  <c r="K135" i="67"/>
  <c r="L134" i="67"/>
  <c r="K134" i="67"/>
  <c r="L133" i="67"/>
  <c r="K133" i="67"/>
  <c r="L132" i="67"/>
  <c r="K132" i="67"/>
  <c r="L131" i="67"/>
  <c r="K131" i="67"/>
  <c r="L130" i="67"/>
  <c r="K130" i="67"/>
  <c r="L129" i="67"/>
  <c r="K129" i="67"/>
  <c r="L128" i="67"/>
  <c r="K128" i="67"/>
  <c r="L127" i="67"/>
  <c r="K127" i="67"/>
  <c r="L126" i="67"/>
  <c r="K126" i="67"/>
  <c r="L125" i="67"/>
  <c r="K125" i="67"/>
  <c r="L124" i="67"/>
  <c r="K124" i="67"/>
  <c r="L123" i="67"/>
  <c r="K123" i="67"/>
  <c r="L122" i="67"/>
  <c r="K122" i="67"/>
  <c r="L121" i="67"/>
  <c r="K121" i="67"/>
  <c r="L120" i="67"/>
  <c r="K120" i="67"/>
  <c r="L119" i="67"/>
  <c r="K119" i="67"/>
  <c r="L118" i="67"/>
  <c r="K118" i="67"/>
  <c r="L117" i="67"/>
  <c r="K117" i="67"/>
  <c r="L116" i="67"/>
  <c r="K116" i="67"/>
  <c r="L115" i="67"/>
  <c r="K115" i="67"/>
  <c r="L114" i="67"/>
  <c r="K114" i="67"/>
  <c r="L113" i="67"/>
  <c r="K113" i="67"/>
  <c r="L112" i="67"/>
  <c r="K112" i="67"/>
  <c r="L111" i="67"/>
  <c r="K111" i="67"/>
  <c r="L110" i="67"/>
  <c r="K110" i="67"/>
  <c r="L109" i="67"/>
  <c r="K109" i="67"/>
  <c r="L108" i="67"/>
  <c r="K108" i="67"/>
  <c r="L107" i="67"/>
  <c r="K107" i="67"/>
  <c r="L106" i="67"/>
  <c r="K106" i="67"/>
  <c r="L105" i="67"/>
  <c r="K105" i="67"/>
  <c r="L104" i="67"/>
  <c r="K104" i="67"/>
  <c r="L103" i="67"/>
  <c r="K103" i="67"/>
  <c r="L102" i="67"/>
  <c r="K102" i="67"/>
  <c r="L101" i="67"/>
  <c r="K101" i="67"/>
  <c r="L100" i="67"/>
  <c r="K100" i="67"/>
  <c r="L99" i="67"/>
  <c r="K99" i="67"/>
  <c r="L98" i="67"/>
  <c r="K98" i="67"/>
  <c r="L97" i="67"/>
  <c r="K97" i="67"/>
  <c r="L96" i="67"/>
  <c r="K96" i="67"/>
  <c r="L95" i="67"/>
  <c r="K95" i="67"/>
  <c r="L94" i="67"/>
  <c r="K94" i="67"/>
  <c r="L93" i="67"/>
  <c r="K93" i="67"/>
  <c r="L92" i="67"/>
  <c r="K92" i="67"/>
  <c r="L91" i="67"/>
  <c r="K91" i="67"/>
  <c r="L90" i="67"/>
  <c r="K90" i="67"/>
  <c r="L89" i="67"/>
  <c r="K89" i="67"/>
  <c r="L88" i="67"/>
  <c r="K88" i="67"/>
  <c r="L87" i="67"/>
  <c r="K87" i="67"/>
  <c r="L86" i="67"/>
  <c r="K86" i="67"/>
  <c r="L85" i="67"/>
  <c r="K85" i="67"/>
  <c r="L84" i="67"/>
  <c r="K84" i="67"/>
  <c r="L83" i="67"/>
  <c r="K83" i="67"/>
  <c r="L82" i="67"/>
  <c r="K82" i="67"/>
  <c r="L81" i="67"/>
  <c r="K81" i="67"/>
  <c r="L80" i="67"/>
  <c r="K80" i="67"/>
  <c r="L79" i="67"/>
  <c r="K79" i="67"/>
  <c r="L78" i="67"/>
  <c r="K78" i="67"/>
  <c r="L77" i="67"/>
  <c r="K77" i="67"/>
  <c r="L76" i="67"/>
  <c r="K76" i="67"/>
  <c r="L75" i="67"/>
  <c r="K75" i="67"/>
  <c r="L74" i="67"/>
  <c r="K74" i="67"/>
  <c r="L73" i="67"/>
  <c r="K73" i="67"/>
  <c r="L72" i="67"/>
  <c r="K72" i="67"/>
  <c r="L71" i="67"/>
  <c r="K71" i="67"/>
  <c r="L70" i="67"/>
  <c r="K70" i="67"/>
  <c r="L69" i="67"/>
  <c r="K69" i="67"/>
  <c r="L68" i="67"/>
  <c r="K68" i="67"/>
  <c r="L67" i="67"/>
  <c r="K67" i="67"/>
  <c r="L66" i="67"/>
  <c r="K66" i="67"/>
  <c r="L65" i="67"/>
  <c r="K65" i="67"/>
  <c r="L64" i="67"/>
  <c r="K64" i="67"/>
  <c r="L63" i="67"/>
  <c r="K63" i="67"/>
  <c r="L62" i="67"/>
  <c r="K62" i="67"/>
  <c r="L61" i="67"/>
  <c r="K61" i="67"/>
  <c r="L60" i="67"/>
  <c r="K60" i="67"/>
  <c r="L59" i="67"/>
  <c r="K59" i="67"/>
  <c r="L58" i="67"/>
  <c r="K58" i="67"/>
  <c r="L57" i="67"/>
  <c r="K57" i="67"/>
  <c r="L56" i="67"/>
  <c r="K56" i="67"/>
  <c r="L55" i="67"/>
  <c r="K55" i="67"/>
  <c r="L54" i="67"/>
  <c r="K54" i="67"/>
  <c r="L53" i="67"/>
  <c r="K53" i="67"/>
  <c r="L52" i="67"/>
  <c r="K52" i="67"/>
  <c r="L51" i="67"/>
  <c r="K51" i="67"/>
  <c r="L50" i="67"/>
  <c r="K50" i="67"/>
  <c r="L49" i="67"/>
  <c r="K49" i="67"/>
  <c r="L48" i="67"/>
  <c r="K48" i="67"/>
  <c r="L47" i="67"/>
  <c r="K47" i="67"/>
  <c r="L46" i="67"/>
  <c r="K46" i="67"/>
  <c r="L45" i="67"/>
  <c r="K45" i="67"/>
  <c r="L44" i="67"/>
  <c r="K44" i="67"/>
  <c r="L43" i="67"/>
  <c r="K43" i="67"/>
  <c r="L42" i="67"/>
  <c r="K42" i="67"/>
  <c r="L41" i="67"/>
  <c r="K41" i="67"/>
  <c r="L40" i="67"/>
  <c r="K40" i="67"/>
  <c r="L39" i="67"/>
  <c r="K39" i="67"/>
  <c r="L38" i="67"/>
  <c r="K38" i="67"/>
  <c r="L37" i="67"/>
  <c r="K37" i="67"/>
  <c r="L36" i="67"/>
  <c r="K36" i="67"/>
  <c r="L35" i="67"/>
  <c r="K35" i="67"/>
  <c r="L34" i="67"/>
  <c r="K34" i="67"/>
  <c r="L33" i="67"/>
  <c r="K33" i="67"/>
  <c r="L32" i="67"/>
  <c r="K32" i="67"/>
  <c r="L31" i="67"/>
  <c r="K31" i="67"/>
  <c r="L30" i="67"/>
  <c r="K30" i="67"/>
  <c r="L29" i="67"/>
  <c r="K29" i="67"/>
  <c r="L28" i="67"/>
  <c r="K28" i="67"/>
  <c r="L27" i="67"/>
  <c r="K27" i="67"/>
  <c r="L26" i="67"/>
  <c r="K26" i="67"/>
  <c r="L25" i="67"/>
  <c r="K25" i="67"/>
  <c r="L24" i="67"/>
  <c r="K24" i="67"/>
  <c r="L23" i="67"/>
  <c r="K23" i="67"/>
  <c r="L22" i="67"/>
  <c r="K22" i="67"/>
  <c r="L21" i="67"/>
  <c r="K21" i="67"/>
  <c r="L20" i="67"/>
  <c r="K20" i="67"/>
  <c r="L19" i="67"/>
  <c r="K19" i="67"/>
  <c r="L18" i="67"/>
  <c r="K18" i="67"/>
  <c r="L17" i="67"/>
  <c r="K17" i="67"/>
  <c r="L16" i="67"/>
  <c r="K16" i="67"/>
  <c r="L15" i="67"/>
  <c r="K15" i="67"/>
  <c r="L14" i="67"/>
  <c r="K14" i="67"/>
  <c r="L13" i="67"/>
  <c r="K13" i="67"/>
  <c r="L12" i="67"/>
  <c r="K12" i="67"/>
  <c r="L11" i="67"/>
  <c r="K11" i="67"/>
  <c r="L10" i="67"/>
  <c r="K10" i="67"/>
  <c r="L9" i="67"/>
  <c r="K9" i="67"/>
  <c r="L8" i="67"/>
  <c r="K8" i="67"/>
  <c r="L7" i="67"/>
  <c r="K7" i="67"/>
  <c r="L6" i="67"/>
  <c r="K6" i="67"/>
  <c r="L5" i="67"/>
  <c r="K5" i="67"/>
  <c r="L3" i="67"/>
  <c r="K3" i="67"/>
  <c r="L354" i="68"/>
  <c r="K354" i="68"/>
  <c r="L353" i="68"/>
  <c r="K353" i="68"/>
  <c r="L352" i="68"/>
  <c r="K352" i="68"/>
  <c r="L351" i="68"/>
  <c r="K351" i="68"/>
  <c r="L350" i="68"/>
  <c r="K350" i="68"/>
  <c r="L349" i="68"/>
  <c r="K349" i="68"/>
  <c r="L348" i="68"/>
  <c r="K348" i="68"/>
  <c r="L347" i="68"/>
  <c r="K347" i="68"/>
  <c r="L346" i="68"/>
  <c r="K346" i="68"/>
  <c r="L345" i="68"/>
  <c r="K345" i="68"/>
  <c r="L344" i="68"/>
  <c r="K344" i="68"/>
  <c r="L343" i="68"/>
  <c r="K343" i="68"/>
  <c r="L342" i="68"/>
  <c r="K342" i="68"/>
  <c r="L341" i="68"/>
  <c r="K341" i="68"/>
  <c r="L340" i="68"/>
  <c r="K340" i="68"/>
  <c r="L339" i="68"/>
  <c r="K339" i="68"/>
  <c r="L338" i="68"/>
  <c r="K338" i="68"/>
  <c r="L337" i="68"/>
  <c r="K337" i="68"/>
  <c r="L336" i="68"/>
  <c r="K336" i="68"/>
  <c r="L335" i="68"/>
  <c r="K335" i="68"/>
  <c r="L334" i="68"/>
  <c r="K334" i="68"/>
  <c r="L333" i="68"/>
  <c r="K333" i="68"/>
  <c r="L332" i="68"/>
  <c r="K332" i="68"/>
  <c r="L331" i="68"/>
  <c r="K331" i="68"/>
  <c r="L330" i="68"/>
  <c r="K330" i="68"/>
  <c r="L329" i="68"/>
  <c r="K329" i="68"/>
  <c r="L328" i="68"/>
  <c r="K328" i="68"/>
  <c r="L327" i="68"/>
  <c r="K327" i="68"/>
  <c r="L326" i="68"/>
  <c r="K326" i="68"/>
  <c r="L325" i="68"/>
  <c r="K325" i="68"/>
  <c r="L324" i="68"/>
  <c r="K324" i="68"/>
  <c r="L323" i="68"/>
  <c r="K323" i="68"/>
  <c r="L322" i="68"/>
  <c r="K322" i="68"/>
  <c r="L321" i="68"/>
  <c r="K321" i="68"/>
  <c r="L320" i="68"/>
  <c r="K320" i="68"/>
  <c r="L319" i="68"/>
  <c r="K319" i="68"/>
  <c r="L318" i="68"/>
  <c r="K318" i="68"/>
  <c r="L317" i="68"/>
  <c r="K317" i="68"/>
  <c r="L316" i="68"/>
  <c r="K316" i="68"/>
  <c r="L315" i="68"/>
  <c r="K315" i="68"/>
  <c r="L314" i="68"/>
  <c r="K314" i="68"/>
  <c r="L313" i="68"/>
  <c r="K313" i="68"/>
  <c r="L312" i="68"/>
  <c r="K312" i="68"/>
  <c r="L311" i="68"/>
  <c r="K311" i="68"/>
  <c r="L310" i="68"/>
  <c r="K310" i="68"/>
  <c r="L309" i="68"/>
  <c r="K309" i="68"/>
  <c r="L308" i="68"/>
  <c r="K308" i="68"/>
  <c r="L307" i="68"/>
  <c r="K307" i="68"/>
  <c r="L306" i="68"/>
  <c r="K306" i="68"/>
  <c r="L305" i="68"/>
  <c r="K305" i="68"/>
  <c r="L304" i="68"/>
  <c r="K304" i="68"/>
  <c r="L303" i="68"/>
  <c r="K303" i="68"/>
  <c r="L302" i="68"/>
  <c r="K302" i="68"/>
  <c r="L301" i="68"/>
  <c r="K301" i="68"/>
  <c r="L300" i="68"/>
  <c r="K300" i="68"/>
  <c r="L299" i="68"/>
  <c r="K299" i="68"/>
  <c r="L298" i="68"/>
  <c r="K298" i="68"/>
  <c r="L297" i="68"/>
  <c r="K297" i="68"/>
  <c r="L296" i="68"/>
  <c r="K296" i="68"/>
  <c r="L295" i="68"/>
  <c r="K295" i="68"/>
  <c r="L294" i="68"/>
  <c r="K294" i="68"/>
  <c r="L293" i="68"/>
  <c r="K293" i="68"/>
  <c r="L292" i="68"/>
  <c r="K292" i="68"/>
  <c r="L291" i="68"/>
  <c r="K291" i="68"/>
  <c r="L290" i="68"/>
  <c r="K290" i="68"/>
  <c r="L289" i="68"/>
  <c r="K289" i="68"/>
  <c r="L288" i="68"/>
  <c r="K288" i="68"/>
  <c r="L287" i="68"/>
  <c r="K287" i="68"/>
  <c r="L286" i="68"/>
  <c r="K286" i="68"/>
  <c r="L285" i="68"/>
  <c r="K285" i="68"/>
  <c r="L284" i="68"/>
  <c r="K284" i="68"/>
  <c r="L283" i="68"/>
  <c r="K283" i="68"/>
  <c r="L282" i="68"/>
  <c r="K282" i="68"/>
  <c r="L281" i="68"/>
  <c r="K281" i="68"/>
  <c r="L280" i="68"/>
  <c r="K280" i="68"/>
  <c r="L279" i="68"/>
  <c r="K279" i="68"/>
  <c r="L278" i="68"/>
  <c r="K278" i="68"/>
  <c r="L277" i="68"/>
  <c r="K277" i="68"/>
  <c r="L276" i="68"/>
  <c r="K276" i="68"/>
  <c r="L275" i="68"/>
  <c r="K275" i="68"/>
  <c r="L274" i="68"/>
  <c r="K274" i="68"/>
  <c r="L273" i="68"/>
  <c r="K273" i="68"/>
  <c r="L272" i="68"/>
  <c r="K272" i="68"/>
  <c r="L271" i="68"/>
  <c r="K271" i="68"/>
  <c r="L270" i="68"/>
  <c r="K270" i="68"/>
  <c r="L269" i="68"/>
  <c r="K269" i="68"/>
  <c r="L268" i="68"/>
  <c r="K268" i="68"/>
  <c r="L267" i="68"/>
  <c r="K267" i="68"/>
  <c r="L266" i="68"/>
  <c r="K266" i="68"/>
  <c r="L265" i="68"/>
  <c r="K265" i="68"/>
  <c r="L264" i="68"/>
  <c r="K264" i="68"/>
  <c r="L263" i="68"/>
  <c r="K263" i="68"/>
  <c r="L262" i="68"/>
  <c r="K262" i="68"/>
  <c r="L261" i="68"/>
  <c r="K261" i="68"/>
  <c r="L260" i="68"/>
  <c r="K260" i="68"/>
  <c r="L259" i="68"/>
  <c r="K259" i="68"/>
  <c r="L258" i="68"/>
  <c r="K258" i="68"/>
  <c r="L257" i="68"/>
  <c r="K257" i="68"/>
  <c r="L256" i="68"/>
  <c r="K256" i="68"/>
  <c r="L255" i="68"/>
  <c r="K255" i="68"/>
  <c r="L254" i="68"/>
  <c r="K254" i="68"/>
  <c r="L253" i="68"/>
  <c r="K253" i="68"/>
  <c r="L252" i="68"/>
  <c r="K252" i="68"/>
  <c r="L251" i="68"/>
  <c r="K251" i="68"/>
  <c r="L250" i="68"/>
  <c r="K250" i="68"/>
  <c r="L249" i="68"/>
  <c r="K249" i="68"/>
  <c r="L248" i="68"/>
  <c r="K248" i="68"/>
  <c r="L247" i="68"/>
  <c r="K247" i="68"/>
  <c r="L246" i="68"/>
  <c r="K246" i="68"/>
  <c r="L245" i="68"/>
  <c r="K245" i="68"/>
  <c r="L244" i="68"/>
  <c r="K244" i="68"/>
  <c r="L243" i="68"/>
  <c r="K243" i="68"/>
  <c r="L242" i="68"/>
  <c r="K242" i="68"/>
  <c r="L241" i="68"/>
  <c r="K241" i="68"/>
  <c r="L240" i="68"/>
  <c r="K240" i="68"/>
  <c r="L239" i="68"/>
  <c r="K239" i="68"/>
  <c r="L238" i="68"/>
  <c r="K238" i="68"/>
  <c r="L237" i="68"/>
  <c r="K237" i="68"/>
  <c r="L236" i="68"/>
  <c r="K236" i="68"/>
  <c r="L235" i="68"/>
  <c r="K235" i="68"/>
  <c r="L234" i="68"/>
  <c r="K234" i="68"/>
  <c r="L233" i="68"/>
  <c r="K233" i="68"/>
  <c r="L232" i="68"/>
  <c r="K232" i="68"/>
  <c r="L231" i="68"/>
  <c r="K231" i="68"/>
  <c r="L230" i="68"/>
  <c r="K230" i="68"/>
  <c r="L229" i="68"/>
  <c r="K229" i="68"/>
  <c r="L228" i="68"/>
  <c r="K228" i="68"/>
  <c r="L227" i="68"/>
  <c r="K227" i="68"/>
  <c r="L226" i="68"/>
  <c r="K226" i="68"/>
  <c r="L225" i="68"/>
  <c r="K225" i="68"/>
  <c r="L224" i="68"/>
  <c r="K224" i="68"/>
  <c r="L223" i="68"/>
  <c r="K223" i="68"/>
  <c r="L222" i="68"/>
  <c r="K222" i="68"/>
  <c r="L221" i="68"/>
  <c r="K221" i="68"/>
  <c r="L220" i="68"/>
  <c r="K220" i="68"/>
  <c r="L219" i="68"/>
  <c r="K219" i="68"/>
  <c r="L218" i="68"/>
  <c r="K218" i="68"/>
  <c r="L217" i="68"/>
  <c r="K217" i="68"/>
  <c r="L216" i="68"/>
  <c r="K216" i="68"/>
  <c r="L215" i="68"/>
  <c r="K215" i="68"/>
  <c r="L214" i="68"/>
  <c r="K214" i="68"/>
  <c r="L213" i="68"/>
  <c r="K213" i="68"/>
  <c r="L212" i="68"/>
  <c r="K212" i="68"/>
  <c r="L211" i="68"/>
  <c r="K211" i="68"/>
  <c r="L210" i="68"/>
  <c r="K210" i="68"/>
  <c r="L209" i="68"/>
  <c r="K209" i="68"/>
  <c r="L208" i="68"/>
  <c r="K208" i="68"/>
  <c r="L207" i="68"/>
  <c r="K207" i="68"/>
  <c r="L206" i="68"/>
  <c r="K206" i="68"/>
  <c r="L205" i="68"/>
  <c r="K205" i="68"/>
  <c r="L204" i="68"/>
  <c r="K204" i="68"/>
  <c r="L203" i="68"/>
  <c r="K203" i="68"/>
  <c r="L202" i="68"/>
  <c r="K202" i="68"/>
  <c r="L201" i="68"/>
  <c r="K201" i="68"/>
  <c r="L200" i="68"/>
  <c r="K200" i="68"/>
  <c r="L199" i="68"/>
  <c r="K199" i="68"/>
  <c r="L198" i="68"/>
  <c r="K198" i="68"/>
  <c r="L197" i="68"/>
  <c r="K197" i="68"/>
  <c r="L196" i="68"/>
  <c r="K196" i="68"/>
  <c r="L195" i="68"/>
  <c r="K195" i="68"/>
  <c r="L194" i="68"/>
  <c r="K194" i="68"/>
  <c r="L193" i="68"/>
  <c r="K193" i="68"/>
  <c r="L192" i="68"/>
  <c r="K192" i="68"/>
  <c r="L191" i="68"/>
  <c r="K191" i="68"/>
  <c r="L190" i="68"/>
  <c r="K190" i="68"/>
  <c r="L189" i="68"/>
  <c r="K189" i="68"/>
  <c r="L188" i="68"/>
  <c r="K188" i="68"/>
  <c r="L187" i="68"/>
  <c r="K187" i="68"/>
  <c r="L186" i="68"/>
  <c r="K186" i="68"/>
  <c r="L185" i="68"/>
  <c r="K185" i="68"/>
  <c r="L184" i="68"/>
  <c r="K184" i="68"/>
  <c r="L183" i="68"/>
  <c r="K183" i="68"/>
  <c r="L182" i="68"/>
  <c r="K182" i="68"/>
  <c r="L181" i="68"/>
  <c r="K181" i="68"/>
  <c r="L180" i="68"/>
  <c r="K180" i="68"/>
  <c r="L179" i="68"/>
  <c r="K179" i="68"/>
  <c r="L178" i="68"/>
  <c r="K178" i="68"/>
  <c r="L177" i="68"/>
  <c r="K177" i="68"/>
  <c r="L176" i="68"/>
  <c r="K176" i="68"/>
  <c r="L175" i="68"/>
  <c r="K175" i="68"/>
  <c r="L174" i="68"/>
  <c r="K174" i="68"/>
  <c r="L173" i="68"/>
  <c r="K173" i="68"/>
  <c r="L172" i="68"/>
  <c r="K172" i="68"/>
  <c r="L171" i="68"/>
  <c r="K171" i="68"/>
  <c r="L170" i="68"/>
  <c r="K170" i="68"/>
  <c r="L169" i="68"/>
  <c r="K169" i="68"/>
  <c r="L168" i="68"/>
  <c r="K168" i="68"/>
  <c r="L167" i="68"/>
  <c r="K167" i="68"/>
  <c r="L166" i="68"/>
  <c r="K166" i="68"/>
  <c r="L165" i="68"/>
  <c r="K165" i="68"/>
  <c r="L164" i="68"/>
  <c r="K164" i="68"/>
  <c r="L163" i="68"/>
  <c r="K163" i="68"/>
  <c r="L162" i="68"/>
  <c r="K162" i="68"/>
  <c r="L161" i="68"/>
  <c r="K161" i="68"/>
  <c r="L160" i="68"/>
  <c r="K160" i="68"/>
  <c r="L159" i="68"/>
  <c r="K159" i="68"/>
  <c r="L158" i="68"/>
  <c r="K158" i="68"/>
  <c r="L157" i="68"/>
  <c r="K157" i="68"/>
  <c r="L156" i="68"/>
  <c r="K156" i="68"/>
  <c r="L155" i="68"/>
  <c r="K155" i="68"/>
  <c r="L154" i="68"/>
  <c r="K154" i="68"/>
  <c r="L153" i="68"/>
  <c r="K153" i="68"/>
  <c r="L152" i="68"/>
  <c r="K152" i="68"/>
  <c r="L151" i="68"/>
  <c r="K151" i="68"/>
  <c r="L150" i="68"/>
  <c r="K150" i="68"/>
  <c r="L149" i="68"/>
  <c r="K149" i="68"/>
  <c r="L148" i="68"/>
  <c r="K148" i="68"/>
  <c r="L147" i="68"/>
  <c r="K147" i="68"/>
  <c r="L146" i="68"/>
  <c r="K146" i="68"/>
  <c r="L145" i="68"/>
  <c r="K145" i="68"/>
  <c r="L144" i="68"/>
  <c r="K144" i="68"/>
  <c r="L143" i="68"/>
  <c r="K143" i="68"/>
  <c r="L142" i="68"/>
  <c r="K142" i="68"/>
  <c r="L141" i="68"/>
  <c r="K141" i="68"/>
  <c r="L140" i="68"/>
  <c r="K140" i="68"/>
  <c r="L139" i="68"/>
  <c r="K139" i="68"/>
  <c r="L138" i="68"/>
  <c r="K138" i="68"/>
  <c r="L137" i="68"/>
  <c r="K137" i="68"/>
  <c r="L136" i="68"/>
  <c r="K136" i="68"/>
  <c r="L135" i="68"/>
  <c r="K135" i="68"/>
  <c r="L134" i="68"/>
  <c r="K134" i="68"/>
  <c r="L133" i="68"/>
  <c r="K133" i="68"/>
  <c r="L132" i="68"/>
  <c r="K132" i="68"/>
  <c r="L131" i="68"/>
  <c r="K131" i="68"/>
  <c r="L130" i="68"/>
  <c r="K130" i="68"/>
  <c r="L129" i="68"/>
  <c r="K129" i="68"/>
  <c r="L128" i="68"/>
  <c r="K128" i="68"/>
  <c r="L127" i="68"/>
  <c r="K127" i="68"/>
  <c r="L126" i="68"/>
  <c r="K126" i="68"/>
  <c r="L125" i="68"/>
  <c r="K125" i="68"/>
  <c r="L124" i="68"/>
  <c r="K124" i="68"/>
  <c r="L123" i="68"/>
  <c r="K123" i="68"/>
  <c r="L122" i="68"/>
  <c r="K122" i="68"/>
  <c r="L121" i="68"/>
  <c r="K121" i="68"/>
  <c r="L120" i="68"/>
  <c r="K120" i="68"/>
  <c r="L119" i="68"/>
  <c r="K119" i="68"/>
  <c r="L118" i="68"/>
  <c r="K118" i="68"/>
  <c r="L117" i="68"/>
  <c r="K117" i="68"/>
  <c r="L116" i="68"/>
  <c r="K116" i="68"/>
  <c r="L115" i="68"/>
  <c r="K115" i="68"/>
  <c r="L114" i="68"/>
  <c r="K114" i="68"/>
  <c r="L113" i="68"/>
  <c r="K113" i="68"/>
  <c r="L112" i="68"/>
  <c r="K112" i="68"/>
  <c r="L111" i="68"/>
  <c r="K111" i="68"/>
  <c r="L110" i="68"/>
  <c r="K110" i="68"/>
  <c r="L109" i="68"/>
  <c r="K109" i="68"/>
  <c r="L108" i="68"/>
  <c r="K108" i="68"/>
  <c r="L107" i="68"/>
  <c r="K107" i="68"/>
  <c r="L106" i="68"/>
  <c r="K106" i="68"/>
  <c r="L105" i="68"/>
  <c r="K105" i="68"/>
  <c r="L104" i="68"/>
  <c r="K104" i="68"/>
  <c r="L103" i="68"/>
  <c r="K103" i="68"/>
  <c r="L102" i="68"/>
  <c r="K102" i="68"/>
  <c r="L101" i="68"/>
  <c r="K101" i="68"/>
  <c r="L100" i="68"/>
  <c r="K100" i="68"/>
  <c r="L99" i="68"/>
  <c r="K99" i="68"/>
  <c r="L98" i="68"/>
  <c r="K98" i="68"/>
  <c r="L97" i="68"/>
  <c r="K97" i="68"/>
  <c r="L96" i="68"/>
  <c r="K96" i="68"/>
  <c r="L95" i="68"/>
  <c r="K95" i="68"/>
  <c r="L94" i="68"/>
  <c r="K94" i="68"/>
  <c r="L93" i="68"/>
  <c r="K93" i="68"/>
  <c r="L92" i="68"/>
  <c r="K92" i="68"/>
  <c r="L91" i="68"/>
  <c r="K91" i="68"/>
  <c r="L90" i="68"/>
  <c r="K90" i="68"/>
  <c r="L89" i="68"/>
  <c r="K89" i="68"/>
  <c r="L88" i="68"/>
  <c r="K88" i="68"/>
  <c r="L87" i="68"/>
  <c r="K87" i="68"/>
  <c r="L86" i="68"/>
  <c r="K86" i="68"/>
  <c r="L85" i="68"/>
  <c r="K85" i="68"/>
  <c r="L84" i="68"/>
  <c r="K84" i="68"/>
  <c r="L83" i="68"/>
  <c r="K83" i="68"/>
  <c r="L82" i="68"/>
  <c r="K82" i="68"/>
  <c r="L81" i="68"/>
  <c r="K81" i="68"/>
  <c r="L80" i="68"/>
  <c r="K80" i="68"/>
  <c r="L79" i="68"/>
  <c r="K79" i="68"/>
  <c r="L78" i="68"/>
  <c r="K78" i="68"/>
  <c r="L77" i="68"/>
  <c r="K77" i="68"/>
  <c r="L76" i="68"/>
  <c r="K76" i="68"/>
  <c r="L75" i="68"/>
  <c r="K75" i="68"/>
  <c r="L74" i="68"/>
  <c r="K74" i="68"/>
  <c r="L73" i="68"/>
  <c r="K73" i="68"/>
  <c r="L72" i="68"/>
  <c r="K72" i="68"/>
  <c r="L71" i="68"/>
  <c r="K71" i="68"/>
  <c r="L70" i="68"/>
  <c r="K70" i="68"/>
  <c r="L69" i="68"/>
  <c r="K69" i="68"/>
  <c r="L68" i="68"/>
  <c r="K68" i="68"/>
  <c r="L67" i="68"/>
  <c r="K67" i="68"/>
  <c r="L66" i="68"/>
  <c r="K66" i="68"/>
  <c r="L65" i="68"/>
  <c r="K65" i="68"/>
  <c r="L64" i="68"/>
  <c r="K64" i="68"/>
  <c r="L63" i="68"/>
  <c r="K63" i="68"/>
  <c r="L62" i="68"/>
  <c r="K62" i="68"/>
  <c r="L61" i="68"/>
  <c r="K61" i="68"/>
  <c r="L60" i="68"/>
  <c r="K60" i="68"/>
  <c r="L59" i="68"/>
  <c r="K59" i="68"/>
  <c r="L58" i="68"/>
  <c r="K58" i="68"/>
  <c r="L57" i="68"/>
  <c r="K57" i="68"/>
  <c r="L56" i="68"/>
  <c r="K56" i="68"/>
  <c r="L55" i="68"/>
  <c r="K55" i="68"/>
  <c r="L54" i="68"/>
  <c r="K54" i="68"/>
  <c r="L53" i="68"/>
  <c r="K53" i="68"/>
  <c r="L52" i="68"/>
  <c r="K52" i="68"/>
  <c r="L51" i="68"/>
  <c r="K51" i="68"/>
  <c r="L50" i="68"/>
  <c r="K50" i="68"/>
  <c r="L49" i="68"/>
  <c r="K49" i="68"/>
  <c r="L48" i="68"/>
  <c r="K48" i="68"/>
  <c r="L47" i="68"/>
  <c r="K47" i="68"/>
  <c r="L46" i="68"/>
  <c r="K46" i="68"/>
  <c r="L45" i="68"/>
  <c r="K45" i="68"/>
  <c r="L44" i="68"/>
  <c r="K44" i="68"/>
  <c r="L43" i="68"/>
  <c r="K43" i="68"/>
  <c r="L42" i="68"/>
  <c r="K42" i="68"/>
  <c r="L41" i="68"/>
  <c r="K41" i="68"/>
  <c r="L40" i="68"/>
  <c r="K40" i="68"/>
  <c r="L39" i="68"/>
  <c r="K39" i="68"/>
  <c r="L38" i="68"/>
  <c r="K38" i="68"/>
  <c r="L37" i="68"/>
  <c r="K37" i="68"/>
  <c r="L36" i="68"/>
  <c r="K36" i="68"/>
  <c r="L35" i="68"/>
  <c r="K35" i="68"/>
  <c r="L34" i="68"/>
  <c r="K34" i="68"/>
  <c r="L33" i="68"/>
  <c r="K33" i="68"/>
  <c r="L32" i="68"/>
  <c r="K32" i="68"/>
  <c r="L31" i="68"/>
  <c r="K31" i="68"/>
  <c r="L30" i="68"/>
  <c r="K30" i="68"/>
  <c r="L29" i="68"/>
  <c r="K29" i="68"/>
  <c r="L28" i="68"/>
  <c r="K28" i="68"/>
  <c r="L27" i="68"/>
  <c r="K27" i="68"/>
  <c r="L26" i="68"/>
  <c r="K26" i="68"/>
  <c r="L25" i="68"/>
  <c r="K25" i="68"/>
  <c r="L24" i="68"/>
  <c r="K24" i="68"/>
  <c r="L23" i="68"/>
  <c r="K23" i="68"/>
  <c r="L22" i="68"/>
  <c r="K22" i="68"/>
  <c r="L21" i="68"/>
  <c r="K21" i="68"/>
  <c r="L20" i="68"/>
  <c r="K20" i="68"/>
  <c r="L19" i="68"/>
  <c r="K19" i="68"/>
  <c r="L18" i="68"/>
  <c r="K18" i="68"/>
  <c r="L17" i="68"/>
  <c r="K17" i="68"/>
  <c r="L16" i="68"/>
  <c r="K16" i="68"/>
  <c r="L15" i="68"/>
  <c r="K15" i="68"/>
  <c r="L14" i="68"/>
  <c r="K14" i="68"/>
  <c r="L13" i="68"/>
  <c r="K13" i="68"/>
  <c r="L12" i="68"/>
  <c r="K12" i="68"/>
  <c r="L11" i="68"/>
  <c r="K11" i="68"/>
  <c r="L10" i="68"/>
  <c r="K10" i="68"/>
  <c r="L9" i="68"/>
  <c r="K9" i="68"/>
  <c r="L8" i="68"/>
  <c r="K8" i="68"/>
  <c r="L7" i="68"/>
  <c r="K7" i="68"/>
  <c r="L6" i="68"/>
  <c r="K6" i="68"/>
  <c r="L5" i="68"/>
  <c r="K5" i="68"/>
  <c r="L4" i="68"/>
  <c r="K4" i="68"/>
  <c r="L354" i="69"/>
  <c r="K354" i="69"/>
  <c r="L353" i="69"/>
  <c r="K353" i="69"/>
  <c r="L352" i="69"/>
  <c r="K352" i="69"/>
  <c r="L351" i="69"/>
  <c r="K351" i="69"/>
  <c r="L350" i="69"/>
  <c r="K350" i="69"/>
  <c r="L349" i="69"/>
  <c r="K349" i="69"/>
  <c r="L348" i="69"/>
  <c r="K348" i="69"/>
  <c r="L347" i="69"/>
  <c r="K347" i="69"/>
  <c r="L346" i="69"/>
  <c r="K346" i="69"/>
  <c r="L345" i="69"/>
  <c r="K345" i="69"/>
  <c r="L344" i="69"/>
  <c r="K344" i="69"/>
  <c r="L343" i="69"/>
  <c r="K343" i="69"/>
  <c r="L342" i="69"/>
  <c r="K342" i="69"/>
  <c r="L341" i="69"/>
  <c r="K341" i="69"/>
  <c r="L340" i="69"/>
  <c r="K340" i="69"/>
  <c r="L339" i="69"/>
  <c r="K339" i="69"/>
  <c r="L338" i="69"/>
  <c r="K338" i="69"/>
  <c r="L337" i="69"/>
  <c r="K337" i="69"/>
  <c r="L336" i="69"/>
  <c r="K336" i="69"/>
  <c r="L335" i="69"/>
  <c r="K335" i="69"/>
  <c r="L334" i="69"/>
  <c r="K334" i="69"/>
  <c r="L333" i="69"/>
  <c r="K333" i="69"/>
  <c r="L332" i="69"/>
  <c r="K332" i="69"/>
  <c r="L331" i="69"/>
  <c r="K331" i="69"/>
  <c r="L330" i="69"/>
  <c r="K330" i="69"/>
  <c r="L329" i="69"/>
  <c r="K329" i="69"/>
  <c r="L328" i="69"/>
  <c r="K328" i="69"/>
  <c r="L327" i="69"/>
  <c r="K327" i="69"/>
  <c r="L326" i="69"/>
  <c r="K326" i="69"/>
  <c r="L325" i="69"/>
  <c r="K325" i="69"/>
  <c r="L324" i="69"/>
  <c r="K324" i="69"/>
  <c r="L323" i="69"/>
  <c r="K323" i="69"/>
  <c r="L322" i="69"/>
  <c r="K322" i="69"/>
  <c r="L321" i="69"/>
  <c r="K321" i="69"/>
  <c r="L320" i="69"/>
  <c r="K320" i="69"/>
  <c r="L319" i="69"/>
  <c r="K319" i="69"/>
  <c r="L318" i="69"/>
  <c r="K318" i="69"/>
  <c r="L317" i="69"/>
  <c r="K317" i="69"/>
  <c r="L316" i="69"/>
  <c r="K316" i="69"/>
  <c r="L315" i="69"/>
  <c r="K315" i="69"/>
  <c r="L314" i="69"/>
  <c r="K314" i="69"/>
  <c r="L313" i="69"/>
  <c r="K313" i="69"/>
  <c r="L312" i="69"/>
  <c r="K312" i="69"/>
  <c r="L311" i="69"/>
  <c r="K311" i="69"/>
  <c r="L310" i="69"/>
  <c r="K310" i="69"/>
  <c r="L309" i="69"/>
  <c r="K309" i="69"/>
  <c r="L308" i="69"/>
  <c r="K308" i="69"/>
  <c r="L307" i="69"/>
  <c r="K307" i="69"/>
  <c r="L306" i="69"/>
  <c r="K306" i="69"/>
  <c r="L305" i="69"/>
  <c r="K305" i="69"/>
  <c r="L304" i="69"/>
  <c r="K304" i="69"/>
  <c r="L303" i="69"/>
  <c r="K303" i="69"/>
  <c r="L302" i="69"/>
  <c r="K302" i="69"/>
  <c r="L301" i="69"/>
  <c r="K301" i="69"/>
  <c r="L300" i="69"/>
  <c r="K300" i="69"/>
  <c r="L299" i="69"/>
  <c r="K299" i="69"/>
  <c r="L298" i="69"/>
  <c r="K298" i="69"/>
  <c r="L297" i="69"/>
  <c r="K297" i="69"/>
  <c r="L296" i="69"/>
  <c r="K296" i="69"/>
  <c r="L295" i="69"/>
  <c r="K295" i="69"/>
  <c r="L294" i="69"/>
  <c r="K294" i="69"/>
  <c r="L293" i="69"/>
  <c r="K293" i="69"/>
  <c r="L292" i="69"/>
  <c r="K292" i="69"/>
  <c r="L291" i="69"/>
  <c r="K291" i="69"/>
  <c r="L290" i="69"/>
  <c r="K290" i="69"/>
  <c r="L289" i="69"/>
  <c r="K289" i="69"/>
  <c r="L288" i="69"/>
  <c r="K288" i="69"/>
  <c r="L287" i="69"/>
  <c r="K287" i="69"/>
  <c r="L286" i="69"/>
  <c r="K286" i="69"/>
  <c r="L285" i="69"/>
  <c r="K285" i="69"/>
  <c r="L284" i="69"/>
  <c r="K284" i="69"/>
  <c r="L283" i="69"/>
  <c r="K283" i="69"/>
  <c r="L282" i="69"/>
  <c r="K282" i="69"/>
  <c r="L281" i="69"/>
  <c r="K281" i="69"/>
  <c r="L280" i="69"/>
  <c r="K280" i="69"/>
  <c r="L279" i="69"/>
  <c r="K279" i="69"/>
  <c r="L278" i="69"/>
  <c r="K278" i="69"/>
  <c r="L277" i="69"/>
  <c r="K277" i="69"/>
  <c r="L276" i="69"/>
  <c r="K276" i="69"/>
  <c r="L275" i="69"/>
  <c r="K275" i="69"/>
  <c r="L274" i="69"/>
  <c r="K274" i="69"/>
  <c r="L273" i="69"/>
  <c r="K273" i="69"/>
  <c r="L272" i="69"/>
  <c r="K272" i="69"/>
  <c r="L271" i="69"/>
  <c r="K271" i="69"/>
  <c r="L270" i="69"/>
  <c r="K270" i="69"/>
  <c r="L269" i="69"/>
  <c r="K269" i="69"/>
  <c r="L268" i="69"/>
  <c r="K268" i="69"/>
  <c r="L267" i="69"/>
  <c r="K267" i="69"/>
  <c r="L266" i="69"/>
  <c r="K266" i="69"/>
  <c r="L265" i="69"/>
  <c r="K265" i="69"/>
  <c r="L264" i="69"/>
  <c r="K264" i="69"/>
  <c r="L263" i="69"/>
  <c r="K263" i="69"/>
  <c r="L262" i="69"/>
  <c r="K262" i="69"/>
  <c r="L261" i="69"/>
  <c r="K261" i="69"/>
  <c r="L260" i="69"/>
  <c r="K260" i="69"/>
  <c r="L259" i="69"/>
  <c r="K259" i="69"/>
  <c r="L258" i="69"/>
  <c r="K258" i="69"/>
  <c r="L257" i="69"/>
  <c r="K257" i="69"/>
  <c r="L256" i="69"/>
  <c r="K256" i="69"/>
  <c r="L255" i="69"/>
  <c r="K255" i="69"/>
  <c r="L254" i="69"/>
  <c r="K254" i="69"/>
  <c r="L253" i="69"/>
  <c r="K253" i="69"/>
  <c r="L252" i="69"/>
  <c r="K252" i="69"/>
  <c r="L251" i="69"/>
  <c r="K251" i="69"/>
  <c r="L250" i="69"/>
  <c r="K250" i="69"/>
  <c r="L249" i="69"/>
  <c r="K249" i="69"/>
  <c r="L248" i="69"/>
  <c r="K248" i="69"/>
  <c r="L247" i="69"/>
  <c r="K247" i="69"/>
  <c r="L246" i="69"/>
  <c r="K246" i="69"/>
  <c r="L245" i="69"/>
  <c r="K245" i="69"/>
  <c r="L244" i="69"/>
  <c r="K244" i="69"/>
  <c r="L243" i="69"/>
  <c r="K243" i="69"/>
  <c r="L242" i="69"/>
  <c r="K242" i="69"/>
  <c r="L241" i="69"/>
  <c r="K241" i="69"/>
  <c r="L240" i="69"/>
  <c r="K240" i="69"/>
  <c r="L239" i="69"/>
  <c r="K239" i="69"/>
  <c r="L238" i="69"/>
  <c r="K238" i="69"/>
  <c r="L237" i="69"/>
  <c r="K237" i="69"/>
  <c r="L236" i="69"/>
  <c r="K236" i="69"/>
  <c r="L235" i="69"/>
  <c r="K235" i="69"/>
  <c r="L234" i="69"/>
  <c r="K234" i="69"/>
  <c r="L233" i="69"/>
  <c r="K233" i="69"/>
  <c r="L232" i="69"/>
  <c r="K232" i="69"/>
  <c r="L231" i="69"/>
  <c r="K231" i="69"/>
  <c r="L230" i="69"/>
  <c r="K230" i="69"/>
  <c r="L229" i="69"/>
  <c r="K229" i="69"/>
  <c r="L228" i="69"/>
  <c r="K228" i="69"/>
  <c r="L227" i="69"/>
  <c r="K227" i="69"/>
  <c r="L226" i="69"/>
  <c r="K226" i="69"/>
  <c r="L225" i="69"/>
  <c r="K225" i="69"/>
  <c r="L224" i="69"/>
  <c r="K224" i="69"/>
  <c r="L223" i="69"/>
  <c r="K223" i="69"/>
  <c r="L222" i="69"/>
  <c r="K222" i="69"/>
  <c r="L221" i="69"/>
  <c r="K221" i="69"/>
  <c r="L220" i="69"/>
  <c r="K220" i="69"/>
  <c r="L219" i="69"/>
  <c r="K219" i="69"/>
  <c r="L218" i="69"/>
  <c r="K218" i="69"/>
  <c r="L217" i="69"/>
  <c r="K217" i="69"/>
  <c r="L216" i="69"/>
  <c r="K216" i="69"/>
  <c r="L215" i="69"/>
  <c r="K215" i="69"/>
  <c r="L214" i="69"/>
  <c r="K214" i="69"/>
  <c r="L213" i="69"/>
  <c r="K213" i="69"/>
  <c r="L212" i="69"/>
  <c r="K212" i="69"/>
  <c r="L211" i="69"/>
  <c r="K211" i="69"/>
  <c r="L210" i="69"/>
  <c r="K210" i="69"/>
  <c r="L209" i="69"/>
  <c r="K209" i="69"/>
  <c r="L208" i="69"/>
  <c r="K208" i="69"/>
  <c r="L207" i="69"/>
  <c r="K207" i="69"/>
  <c r="L206" i="69"/>
  <c r="K206" i="69"/>
  <c r="L205" i="69"/>
  <c r="K205" i="69"/>
  <c r="L204" i="69"/>
  <c r="K204" i="69"/>
  <c r="L203" i="69"/>
  <c r="K203" i="69"/>
  <c r="L202" i="69"/>
  <c r="K202" i="69"/>
  <c r="L201" i="69"/>
  <c r="K201" i="69"/>
  <c r="L200" i="69"/>
  <c r="K200" i="69"/>
  <c r="L199" i="69"/>
  <c r="K199" i="69"/>
  <c r="L198" i="69"/>
  <c r="K198" i="69"/>
  <c r="L197" i="69"/>
  <c r="K197" i="69"/>
  <c r="L196" i="69"/>
  <c r="K196" i="69"/>
  <c r="L195" i="69"/>
  <c r="K195" i="69"/>
  <c r="L194" i="69"/>
  <c r="K194" i="69"/>
  <c r="L193" i="69"/>
  <c r="K193" i="69"/>
  <c r="L192" i="69"/>
  <c r="K192" i="69"/>
  <c r="L191" i="69"/>
  <c r="K191" i="69"/>
  <c r="L190" i="69"/>
  <c r="K190" i="69"/>
  <c r="L189" i="69"/>
  <c r="K189" i="69"/>
  <c r="L188" i="69"/>
  <c r="K188" i="69"/>
  <c r="L187" i="69"/>
  <c r="K187" i="69"/>
  <c r="L186" i="69"/>
  <c r="K186" i="69"/>
  <c r="L185" i="69"/>
  <c r="K185" i="69"/>
  <c r="L184" i="69"/>
  <c r="K184" i="69"/>
  <c r="L183" i="69"/>
  <c r="K183" i="69"/>
  <c r="L182" i="69"/>
  <c r="K182" i="69"/>
  <c r="L181" i="69"/>
  <c r="K181" i="69"/>
  <c r="L180" i="69"/>
  <c r="K180" i="69"/>
  <c r="L179" i="69"/>
  <c r="K179" i="69"/>
  <c r="L178" i="69"/>
  <c r="K178" i="69"/>
  <c r="L177" i="69"/>
  <c r="K177" i="69"/>
  <c r="L176" i="69"/>
  <c r="K176" i="69"/>
  <c r="L175" i="69"/>
  <c r="K175" i="69"/>
  <c r="L174" i="69"/>
  <c r="K174" i="69"/>
  <c r="L173" i="69"/>
  <c r="K173" i="69"/>
  <c r="L172" i="69"/>
  <c r="K172" i="69"/>
  <c r="L171" i="69"/>
  <c r="K171" i="69"/>
  <c r="L170" i="69"/>
  <c r="K170" i="69"/>
  <c r="L169" i="69"/>
  <c r="K169" i="69"/>
  <c r="L168" i="69"/>
  <c r="K168" i="69"/>
  <c r="L167" i="69"/>
  <c r="K167" i="69"/>
  <c r="L166" i="69"/>
  <c r="K166" i="69"/>
  <c r="L165" i="69"/>
  <c r="K165" i="69"/>
  <c r="L164" i="69"/>
  <c r="K164" i="69"/>
  <c r="L163" i="69"/>
  <c r="K163" i="69"/>
  <c r="L162" i="69"/>
  <c r="K162" i="69"/>
  <c r="L161" i="69"/>
  <c r="K161" i="69"/>
  <c r="L160" i="69"/>
  <c r="K160" i="69"/>
  <c r="L159" i="69"/>
  <c r="K159" i="69"/>
  <c r="L158" i="69"/>
  <c r="K158" i="69"/>
  <c r="L157" i="69"/>
  <c r="K157" i="69"/>
  <c r="L156" i="69"/>
  <c r="K156" i="69"/>
  <c r="L155" i="69"/>
  <c r="K155" i="69"/>
  <c r="L154" i="69"/>
  <c r="K154" i="69"/>
  <c r="L153" i="69"/>
  <c r="K153" i="69"/>
  <c r="L152" i="69"/>
  <c r="K152" i="69"/>
  <c r="L151" i="69"/>
  <c r="K151" i="69"/>
  <c r="L150" i="69"/>
  <c r="K150" i="69"/>
  <c r="L149" i="69"/>
  <c r="K149" i="69"/>
  <c r="L148" i="69"/>
  <c r="K148" i="69"/>
  <c r="L147" i="69"/>
  <c r="K147" i="69"/>
  <c r="L146" i="69"/>
  <c r="K146" i="69"/>
  <c r="L145" i="69"/>
  <c r="K145" i="69"/>
  <c r="L144" i="69"/>
  <c r="K144" i="69"/>
  <c r="L143" i="69"/>
  <c r="K143" i="69"/>
  <c r="L142" i="69"/>
  <c r="K142" i="69"/>
  <c r="L141" i="69"/>
  <c r="K141" i="69"/>
  <c r="L140" i="69"/>
  <c r="K140" i="69"/>
  <c r="L139" i="69"/>
  <c r="K139" i="69"/>
  <c r="L138" i="69"/>
  <c r="K138" i="69"/>
  <c r="L137" i="69"/>
  <c r="K137" i="69"/>
  <c r="L136" i="69"/>
  <c r="K136" i="69"/>
  <c r="L135" i="69"/>
  <c r="K135" i="69"/>
  <c r="L134" i="69"/>
  <c r="K134" i="69"/>
  <c r="L133" i="69"/>
  <c r="K133" i="69"/>
  <c r="L132" i="69"/>
  <c r="K132" i="69"/>
  <c r="L131" i="69"/>
  <c r="K131" i="69"/>
  <c r="L130" i="69"/>
  <c r="K130" i="69"/>
  <c r="L129" i="69"/>
  <c r="K129" i="69"/>
  <c r="L128" i="69"/>
  <c r="K128" i="69"/>
  <c r="L127" i="69"/>
  <c r="K127" i="69"/>
  <c r="L126" i="69"/>
  <c r="K126" i="69"/>
  <c r="L125" i="69"/>
  <c r="K125" i="69"/>
  <c r="L124" i="69"/>
  <c r="K124" i="69"/>
  <c r="L123" i="69"/>
  <c r="K123" i="69"/>
  <c r="L122" i="69"/>
  <c r="K122" i="69"/>
  <c r="L121" i="69"/>
  <c r="K121" i="69"/>
  <c r="L120" i="69"/>
  <c r="K120" i="69"/>
  <c r="L119" i="69"/>
  <c r="K119" i="69"/>
  <c r="L118" i="69"/>
  <c r="K118" i="69"/>
  <c r="L117" i="69"/>
  <c r="K117" i="69"/>
  <c r="L116" i="69"/>
  <c r="K116" i="69"/>
  <c r="L115" i="69"/>
  <c r="K115" i="69"/>
  <c r="L114" i="69"/>
  <c r="K114" i="69"/>
  <c r="L113" i="69"/>
  <c r="K113" i="69"/>
  <c r="L112" i="69"/>
  <c r="K112" i="69"/>
  <c r="L111" i="69"/>
  <c r="K111" i="69"/>
  <c r="L110" i="69"/>
  <c r="K110" i="69"/>
  <c r="L109" i="69"/>
  <c r="K109" i="69"/>
  <c r="L108" i="69"/>
  <c r="K108" i="69"/>
  <c r="L107" i="69"/>
  <c r="K107" i="69"/>
  <c r="L106" i="69"/>
  <c r="K106" i="69"/>
  <c r="L105" i="69"/>
  <c r="K105" i="69"/>
  <c r="L104" i="69"/>
  <c r="K104" i="69"/>
  <c r="L103" i="69"/>
  <c r="K103" i="69"/>
  <c r="L102" i="69"/>
  <c r="K102" i="69"/>
  <c r="L101" i="69"/>
  <c r="K101" i="69"/>
  <c r="L100" i="69"/>
  <c r="K100" i="69"/>
  <c r="L99" i="69"/>
  <c r="K99" i="69"/>
  <c r="L98" i="69"/>
  <c r="K98" i="69"/>
  <c r="L97" i="69"/>
  <c r="K97" i="69"/>
  <c r="L96" i="69"/>
  <c r="K96" i="69"/>
  <c r="L95" i="69"/>
  <c r="K95" i="69"/>
  <c r="L94" i="69"/>
  <c r="K94" i="69"/>
  <c r="L93" i="69"/>
  <c r="K93" i="69"/>
  <c r="L92" i="69"/>
  <c r="K92" i="69"/>
  <c r="L91" i="69"/>
  <c r="K91" i="69"/>
  <c r="L90" i="69"/>
  <c r="K90" i="69"/>
  <c r="L89" i="69"/>
  <c r="K89" i="69"/>
  <c r="L88" i="69"/>
  <c r="K88" i="69"/>
  <c r="L87" i="69"/>
  <c r="K87" i="69"/>
  <c r="L86" i="69"/>
  <c r="K86" i="69"/>
  <c r="L85" i="69"/>
  <c r="K85" i="69"/>
  <c r="L84" i="69"/>
  <c r="K84" i="69"/>
  <c r="L83" i="69"/>
  <c r="K83" i="69"/>
  <c r="L82" i="69"/>
  <c r="K82" i="69"/>
  <c r="L81" i="69"/>
  <c r="K81" i="69"/>
  <c r="L80" i="69"/>
  <c r="K80" i="69"/>
  <c r="L79" i="69"/>
  <c r="K79" i="69"/>
  <c r="L78" i="69"/>
  <c r="K78" i="69"/>
  <c r="L77" i="69"/>
  <c r="K77" i="69"/>
  <c r="L76" i="69"/>
  <c r="K76" i="69"/>
  <c r="L75" i="69"/>
  <c r="K75" i="69"/>
  <c r="L74" i="69"/>
  <c r="K74" i="69"/>
  <c r="L73" i="69"/>
  <c r="K73" i="69"/>
  <c r="L72" i="69"/>
  <c r="K72" i="69"/>
  <c r="L71" i="69"/>
  <c r="K71" i="69"/>
  <c r="L70" i="69"/>
  <c r="K70" i="69"/>
  <c r="L69" i="69"/>
  <c r="K69" i="69"/>
  <c r="L68" i="69"/>
  <c r="K68" i="69"/>
  <c r="L67" i="69"/>
  <c r="K67" i="69"/>
  <c r="L66" i="69"/>
  <c r="K66" i="69"/>
  <c r="L65" i="69"/>
  <c r="K65" i="69"/>
  <c r="L64" i="69"/>
  <c r="K64" i="69"/>
  <c r="L63" i="69"/>
  <c r="K63" i="69"/>
  <c r="L62" i="69"/>
  <c r="K62" i="69"/>
  <c r="L61" i="69"/>
  <c r="K61" i="69"/>
  <c r="L60" i="69"/>
  <c r="K60" i="69"/>
  <c r="L59" i="69"/>
  <c r="K59" i="69"/>
  <c r="L58" i="69"/>
  <c r="K58" i="69"/>
  <c r="L57" i="69"/>
  <c r="K57" i="69"/>
  <c r="L56" i="69"/>
  <c r="K56" i="69"/>
  <c r="L55" i="69"/>
  <c r="K55" i="69"/>
  <c r="L54" i="69"/>
  <c r="K54" i="69"/>
  <c r="L53" i="69"/>
  <c r="K53" i="69"/>
  <c r="L52" i="69"/>
  <c r="K52" i="69"/>
  <c r="L51" i="69"/>
  <c r="K51" i="69"/>
  <c r="L50" i="69"/>
  <c r="K50" i="69"/>
  <c r="L49" i="69"/>
  <c r="K49" i="69"/>
  <c r="L48" i="69"/>
  <c r="K48" i="69"/>
  <c r="L47" i="69"/>
  <c r="K47" i="69"/>
  <c r="L46" i="69"/>
  <c r="K46" i="69"/>
  <c r="L45" i="69"/>
  <c r="K45" i="69"/>
  <c r="L44" i="69"/>
  <c r="K44" i="69"/>
  <c r="L43" i="69"/>
  <c r="K43" i="69"/>
  <c r="L42" i="69"/>
  <c r="K42" i="69"/>
  <c r="L41" i="69"/>
  <c r="K41" i="69"/>
  <c r="L40" i="69"/>
  <c r="K40" i="69"/>
  <c r="L39" i="69"/>
  <c r="K39" i="69"/>
  <c r="L38" i="69"/>
  <c r="K38" i="69"/>
  <c r="L37" i="69"/>
  <c r="K37" i="69"/>
  <c r="L36" i="69"/>
  <c r="K36" i="69"/>
  <c r="L35" i="69"/>
  <c r="K35" i="69"/>
  <c r="L34" i="69"/>
  <c r="K34" i="69"/>
  <c r="L33" i="69"/>
  <c r="K33" i="69"/>
  <c r="L32" i="69"/>
  <c r="K32" i="69"/>
  <c r="L31" i="69"/>
  <c r="K31" i="69"/>
  <c r="L30" i="69"/>
  <c r="K30" i="69"/>
  <c r="L29" i="69"/>
  <c r="K29" i="69"/>
  <c r="L28" i="69"/>
  <c r="K28" i="69"/>
  <c r="L27" i="69"/>
  <c r="K27" i="69"/>
  <c r="L26" i="69"/>
  <c r="K26" i="69"/>
  <c r="L25" i="69"/>
  <c r="K25" i="69"/>
  <c r="L24" i="69"/>
  <c r="K24" i="69"/>
  <c r="L23" i="69"/>
  <c r="K23" i="69"/>
  <c r="L22" i="69"/>
  <c r="K22" i="69"/>
  <c r="L21" i="69"/>
  <c r="K21" i="69"/>
  <c r="L20" i="69"/>
  <c r="K20" i="69"/>
  <c r="L19" i="69"/>
  <c r="K19" i="69"/>
  <c r="L18" i="69"/>
  <c r="K18" i="69"/>
  <c r="L17" i="69"/>
  <c r="K17" i="69"/>
  <c r="L16" i="69"/>
  <c r="K16" i="69"/>
  <c r="L15" i="69"/>
  <c r="K15" i="69"/>
  <c r="L14" i="69"/>
  <c r="K14" i="69"/>
  <c r="L13" i="69"/>
  <c r="K13" i="69"/>
  <c r="L12" i="69"/>
  <c r="K12" i="69"/>
  <c r="L11" i="69"/>
  <c r="K11" i="69"/>
  <c r="L10" i="69"/>
  <c r="K10" i="69"/>
  <c r="L9" i="69"/>
  <c r="K9" i="69"/>
  <c r="L8" i="69"/>
  <c r="K8" i="69"/>
  <c r="L7" i="69"/>
  <c r="K7" i="69"/>
  <c r="L6" i="69"/>
  <c r="K6" i="69"/>
  <c r="L5" i="69"/>
  <c r="K5" i="69"/>
  <c r="L4" i="69"/>
  <c r="K4" i="69"/>
  <c r="L3" i="69"/>
  <c r="K3" i="69"/>
  <c r="L354" i="70"/>
  <c r="K354" i="70"/>
  <c r="L353" i="70"/>
  <c r="K353" i="70"/>
  <c r="L352" i="70"/>
  <c r="K352" i="70"/>
  <c r="L351" i="70"/>
  <c r="K351" i="70"/>
  <c r="L350" i="70"/>
  <c r="K350" i="70"/>
  <c r="L349" i="70"/>
  <c r="K349" i="70"/>
  <c r="L348" i="70"/>
  <c r="K348" i="70"/>
  <c r="L347" i="70"/>
  <c r="K347" i="70"/>
  <c r="L346" i="70"/>
  <c r="K346" i="70"/>
  <c r="L345" i="70"/>
  <c r="K345" i="70"/>
  <c r="L344" i="70"/>
  <c r="K344" i="70"/>
  <c r="L343" i="70"/>
  <c r="K343" i="70"/>
  <c r="L342" i="70"/>
  <c r="K342" i="70"/>
  <c r="L341" i="70"/>
  <c r="K341" i="70"/>
  <c r="L340" i="70"/>
  <c r="K340" i="70"/>
  <c r="L339" i="70"/>
  <c r="K339" i="70"/>
  <c r="L338" i="70"/>
  <c r="K338" i="70"/>
  <c r="L337" i="70"/>
  <c r="K337" i="70"/>
  <c r="L336" i="70"/>
  <c r="K336" i="70"/>
  <c r="L335" i="70"/>
  <c r="K335" i="70"/>
  <c r="L334" i="70"/>
  <c r="K334" i="70"/>
  <c r="L333" i="70"/>
  <c r="K333" i="70"/>
  <c r="L332" i="70"/>
  <c r="K332" i="70"/>
  <c r="L331" i="70"/>
  <c r="K331" i="70"/>
  <c r="L330" i="70"/>
  <c r="K330" i="70"/>
  <c r="L329" i="70"/>
  <c r="K329" i="70"/>
  <c r="L328" i="70"/>
  <c r="K328" i="70"/>
  <c r="L327" i="70"/>
  <c r="K327" i="70"/>
  <c r="L326" i="70"/>
  <c r="K326" i="70"/>
  <c r="L325" i="70"/>
  <c r="K325" i="70"/>
  <c r="L324" i="70"/>
  <c r="K324" i="70"/>
  <c r="L323" i="70"/>
  <c r="K323" i="70"/>
  <c r="L322" i="70"/>
  <c r="K322" i="70"/>
  <c r="L321" i="70"/>
  <c r="K321" i="70"/>
  <c r="L320" i="70"/>
  <c r="K320" i="70"/>
  <c r="L319" i="70"/>
  <c r="K319" i="70"/>
  <c r="L318" i="70"/>
  <c r="K318" i="70"/>
  <c r="L317" i="70"/>
  <c r="K317" i="70"/>
  <c r="L316" i="70"/>
  <c r="K316" i="70"/>
  <c r="L315" i="70"/>
  <c r="K315" i="70"/>
  <c r="L314" i="70"/>
  <c r="K314" i="70"/>
  <c r="L313" i="70"/>
  <c r="K313" i="70"/>
  <c r="L312" i="70"/>
  <c r="K312" i="70"/>
  <c r="L311" i="70"/>
  <c r="K311" i="70"/>
  <c r="L310" i="70"/>
  <c r="K310" i="70"/>
  <c r="L309" i="70"/>
  <c r="K309" i="70"/>
  <c r="L308" i="70"/>
  <c r="K308" i="70"/>
  <c r="L307" i="70"/>
  <c r="K307" i="70"/>
  <c r="L306" i="70"/>
  <c r="K306" i="70"/>
  <c r="L305" i="70"/>
  <c r="K305" i="70"/>
  <c r="L304" i="70"/>
  <c r="K304" i="70"/>
  <c r="L303" i="70"/>
  <c r="K303" i="70"/>
  <c r="L302" i="70"/>
  <c r="K302" i="70"/>
  <c r="L301" i="70"/>
  <c r="K301" i="70"/>
  <c r="L300" i="70"/>
  <c r="K300" i="70"/>
  <c r="L299" i="70"/>
  <c r="K299" i="70"/>
  <c r="L298" i="70"/>
  <c r="K298" i="70"/>
  <c r="L297" i="70"/>
  <c r="K297" i="70"/>
  <c r="L296" i="70"/>
  <c r="K296" i="70"/>
  <c r="L295" i="70"/>
  <c r="K295" i="70"/>
  <c r="L294" i="70"/>
  <c r="K294" i="70"/>
  <c r="L293" i="70"/>
  <c r="K293" i="70"/>
  <c r="L292" i="70"/>
  <c r="K292" i="70"/>
  <c r="L291" i="70"/>
  <c r="K291" i="70"/>
  <c r="L290" i="70"/>
  <c r="K290" i="70"/>
  <c r="L289" i="70"/>
  <c r="K289" i="70"/>
  <c r="L288" i="70"/>
  <c r="K288" i="70"/>
  <c r="L287" i="70"/>
  <c r="K287" i="70"/>
  <c r="L286" i="70"/>
  <c r="K286" i="70"/>
  <c r="L285" i="70"/>
  <c r="K285" i="70"/>
  <c r="L284" i="70"/>
  <c r="K284" i="70"/>
  <c r="L283" i="70"/>
  <c r="K283" i="70"/>
  <c r="L282" i="70"/>
  <c r="K282" i="70"/>
  <c r="L281" i="70"/>
  <c r="K281" i="70"/>
  <c r="L280" i="70"/>
  <c r="K280" i="70"/>
  <c r="L279" i="70"/>
  <c r="K279" i="70"/>
  <c r="L278" i="70"/>
  <c r="K278" i="70"/>
  <c r="L277" i="70"/>
  <c r="K277" i="70"/>
  <c r="L276" i="70"/>
  <c r="K276" i="70"/>
  <c r="L275" i="70"/>
  <c r="K275" i="70"/>
  <c r="L274" i="70"/>
  <c r="K274" i="70"/>
  <c r="L273" i="70"/>
  <c r="K273" i="70"/>
  <c r="L272" i="70"/>
  <c r="K272" i="70"/>
  <c r="L271" i="70"/>
  <c r="K271" i="70"/>
  <c r="L270" i="70"/>
  <c r="K270" i="70"/>
  <c r="L269" i="70"/>
  <c r="K269" i="70"/>
  <c r="L268" i="70"/>
  <c r="K268" i="70"/>
  <c r="L267" i="70"/>
  <c r="K267" i="70"/>
  <c r="L266" i="70"/>
  <c r="K266" i="70"/>
  <c r="L265" i="70"/>
  <c r="K265" i="70"/>
  <c r="L264" i="70"/>
  <c r="K264" i="70"/>
  <c r="L263" i="70"/>
  <c r="K263" i="70"/>
  <c r="L262" i="70"/>
  <c r="K262" i="70"/>
  <c r="L261" i="70"/>
  <c r="K261" i="70"/>
  <c r="L260" i="70"/>
  <c r="K260" i="70"/>
  <c r="L259" i="70"/>
  <c r="K259" i="70"/>
  <c r="L258" i="70"/>
  <c r="K258" i="70"/>
  <c r="L257" i="70"/>
  <c r="K257" i="70"/>
  <c r="L256" i="70"/>
  <c r="K256" i="70"/>
  <c r="L255" i="70"/>
  <c r="K255" i="70"/>
  <c r="L254" i="70"/>
  <c r="K254" i="70"/>
  <c r="L253" i="70"/>
  <c r="K253" i="70"/>
  <c r="L252" i="70"/>
  <c r="K252" i="70"/>
  <c r="L251" i="70"/>
  <c r="K251" i="70"/>
  <c r="L250" i="70"/>
  <c r="K250" i="70"/>
  <c r="L249" i="70"/>
  <c r="K249" i="70"/>
  <c r="L248" i="70"/>
  <c r="K248" i="70"/>
  <c r="L247" i="70"/>
  <c r="K247" i="70"/>
  <c r="L246" i="70"/>
  <c r="K246" i="70"/>
  <c r="L245" i="70"/>
  <c r="K245" i="70"/>
  <c r="L244" i="70"/>
  <c r="K244" i="70"/>
  <c r="L243" i="70"/>
  <c r="K243" i="70"/>
  <c r="L242" i="70"/>
  <c r="K242" i="70"/>
  <c r="L241" i="70"/>
  <c r="K241" i="70"/>
  <c r="L240" i="70"/>
  <c r="K240" i="70"/>
  <c r="L239" i="70"/>
  <c r="K239" i="70"/>
  <c r="L238" i="70"/>
  <c r="K238" i="70"/>
  <c r="L237" i="70"/>
  <c r="K237" i="70"/>
  <c r="L236" i="70"/>
  <c r="K236" i="70"/>
  <c r="L235" i="70"/>
  <c r="K235" i="70"/>
  <c r="L234" i="70"/>
  <c r="K234" i="70"/>
  <c r="L233" i="70"/>
  <c r="K233" i="70"/>
  <c r="L232" i="70"/>
  <c r="K232" i="70"/>
  <c r="L231" i="70"/>
  <c r="K231" i="70"/>
  <c r="L230" i="70"/>
  <c r="K230" i="70"/>
  <c r="L229" i="70"/>
  <c r="K229" i="70"/>
  <c r="L228" i="70"/>
  <c r="K228" i="70"/>
  <c r="L227" i="70"/>
  <c r="K227" i="70"/>
  <c r="L226" i="70"/>
  <c r="K226" i="70"/>
  <c r="L225" i="70"/>
  <c r="K225" i="70"/>
  <c r="L224" i="70"/>
  <c r="K224" i="70"/>
  <c r="L223" i="70"/>
  <c r="K223" i="70"/>
  <c r="L222" i="70"/>
  <c r="K222" i="70"/>
  <c r="L221" i="70"/>
  <c r="K221" i="70"/>
  <c r="L220" i="70"/>
  <c r="K220" i="70"/>
  <c r="L219" i="70"/>
  <c r="K219" i="70"/>
  <c r="L218" i="70"/>
  <c r="K218" i="70"/>
  <c r="L217" i="70"/>
  <c r="K217" i="70"/>
  <c r="L216" i="70"/>
  <c r="K216" i="70"/>
  <c r="L215" i="70"/>
  <c r="K215" i="70"/>
  <c r="L214" i="70"/>
  <c r="K214" i="70"/>
  <c r="L213" i="70"/>
  <c r="K213" i="70"/>
  <c r="L212" i="70"/>
  <c r="K212" i="70"/>
  <c r="L211" i="70"/>
  <c r="K211" i="70"/>
  <c r="L210" i="70"/>
  <c r="K210" i="70"/>
  <c r="L209" i="70"/>
  <c r="K209" i="70"/>
  <c r="L208" i="70"/>
  <c r="K208" i="70"/>
  <c r="L207" i="70"/>
  <c r="K207" i="70"/>
  <c r="L206" i="70"/>
  <c r="K206" i="70"/>
  <c r="L205" i="70"/>
  <c r="K205" i="70"/>
  <c r="L204" i="70"/>
  <c r="K204" i="70"/>
  <c r="L203" i="70"/>
  <c r="K203" i="70"/>
  <c r="L202" i="70"/>
  <c r="K202" i="70"/>
  <c r="L201" i="70"/>
  <c r="K201" i="70"/>
  <c r="L200" i="70"/>
  <c r="K200" i="70"/>
  <c r="L199" i="70"/>
  <c r="K199" i="70"/>
  <c r="L198" i="70"/>
  <c r="K198" i="70"/>
  <c r="L197" i="70"/>
  <c r="K197" i="70"/>
  <c r="L196" i="70"/>
  <c r="K196" i="70"/>
  <c r="L195" i="70"/>
  <c r="K195" i="70"/>
  <c r="L194" i="70"/>
  <c r="K194" i="70"/>
  <c r="L193" i="70"/>
  <c r="K193" i="70"/>
  <c r="L192" i="70"/>
  <c r="K192" i="70"/>
  <c r="L191" i="70"/>
  <c r="K191" i="70"/>
  <c r="L190" i="70"/>
  <c r="K190" i="70"/>
  <c r="L189" i="70"/>
  <c r="K189" i="70"/>
  <c r="L188" i="70"/>
  <c r="K188" i="70"/>
  <c r="L187" i="70"/>
  <c r="K187" i="70"/>
  <c r="L186" i="70"/>
  <c r="K186" i="70"/>
  <c r="L185" i="70"/>
  <c r="K185" i="70"/>
  <c r="L184" i="70"/>
  <c r="K184" i="70"/>
  <c r="L183" i="70"/>
  <c r="K183" i="70"/>
  <c r="L182" i="70"/>
  <c r="K182" i="70"/>
  <c r="L181" i="70"/>
  <c r="K181" i="70"/>
  <c r="L180" i="70"/>
  <c r="K180" i="70"/>
  <c r="L179" i="70"/>
  <c r="K179" i="70"/>
  <c r="L178" i="70"/>
  <c r="K178" i="70"/>
  <c r="L177" i="70"/>
  <c r="K177" i="70"/>
  <c r="L176" i="70"/>
  <c r="K176" i="70"/>
  <c r="L175" i="70"/>
  <c r="K175" i="70"/>
  <c r="L174" i="70"/>
  <c r="K174" i="70"/>
  <c r="L173" i="70"/>
  <c r="K173" i="70"/>
  <c r="L172" i="70"/>
  <c r="K172" i="70"/>
  <c r="L171" i="70"/>
  <c r="K171" i="70"/>
  <c r="L170" i="70"/>
  <c r="K170" i="70"/>
  <c r="L169" i="70"/>
  <c r="K169" i="70"/>
  <c r="L168" i="70"/>
  <c r="K168" i="70"/>
  <c r="L167" i="70"/>
  <c r="K167" i="70"/>
  <c r="L166" i="70"/>
  <c r="K166" i="70"/>
  <c r="L165" i="70"/>
  <c r="K165" i="70"/>
  <c r="L164" i="70"/>
  <c r="K164" i="70"/>
  <c r="L163" i="70"/>
  <c r="K163" i="70"/>
  <c r="L162" i="70"/>
  <c r="K162" i="70"/>
  <c r="L161" i="70"/>
  <c r="K161" i="70"/>
  <c r="L160" i="70"/>
  <c r="K160" i="70"/>
  <c r="L159" i="70"/>
  <c r="K159" i="70"/>
  <c r="L158" i="70"/>
  <c r="K158" i="70"/>
  <c r="L157" i="70"/>
  <c r="K157" i="70"/>
  <c r="L156" i="70"/>
  <c r="K156" i="70"/>
  <c r="L155" i="70"/>
  <c r="K155" i="70"/>
  <c r="L154" i="70"/>
  <c r="K154" i="70"/>
  <c r="L153" i="70"/>
  <c r="K153" i="70"/>
  <c r="L152" i="70"/>
  <c r="K152" i="70"/>
  <c r="L151" i="70"/>
  <c r="K151" i="70"/>
  <c r="L150" i="70"/>
  <c r="K150" i="70"/>
  <c r="L149" i="70"/>
  <c r="K149" i="70"/>
  <c r="L148" i="70"/>
  <c r="K148" i="70"/>
  <c r="L147" i="70"/>
  <c r="K147" i="70"/>
  <c r="L146" i="70"/>
  <c r="K146" i="70"/>
  <c r="L145" i="70"/>
  <c r="K145" i="70"/>
  <c r="L144" i="70"/>
  <c r="K144" i="70"/>
  <c r="L143" i="70"/>
  <c r="K143" i="70"/>
  <c r="L142" i="70"/>
  <c r="K142" i="70"/>
  <c r="L141" i="70"/>
  <c r="K141" i="70"/>
  <c r="L140" i="70"/>
  <c r="K140" i="70"/>
  <c r="L139" i="70"/>
  <c r="K139" i="70"/>
  <c r="L138" i="70"/>
  <c r="K138" i="70"/>
  <c r="L137" i="70"/>
  <c r="K137" i="70"/>
  <c r="L136" i="70"/>
  <c r="K136" i="70"/>
  <c r="L135" i="70"/>
  <c r="K135" i="70"/>
  <c r="L134" i="70"/>
  <c r="K134" i="70"/>
  <c r="L133" i="70"/>
  <c r="K133" i="70"/>
  <c r="L132" i="70"/>
  <c r="K132" i="70"/>
  <c r="L131" i="70"/>
  <c r="K131" i="70"/>
  <c r="L130" i="70"/>
  <c r="K130" i="70"/>
  <c r="L129" i="70"/>
  <c r="K129" i="70"/>
  <c r="L128" i="70"/>
  <c r="K128" i="70"/>
  <c r="L127" i="70"/>
  <c r="K127" i="70"/>
  <c r="L126" i="70"/>
  <c r="K126" i="70"/>
  <c r="L125" i="70"/>
  <c r="K125" i="70"/>
  <c r="L124" i="70"/>
  <c r="K124" i="70"/>
  <c r="L123" i="70"/>
  <c r="K123" i="70"/>
  <c r="L122" i="70"/>
  <c r="K122" i="70"/>
  <c r="L121" i="70"/>
  <c r="K121" i="70"/>
  <c r="L120" i="70"/>
  <c r="K120" i="70"/>
  <c r="L119" i="70"/>
  <c r="K119" i="70"/>
  <c r="L118" i="70"/>
  <c r="K118" i="70"/>
  <c r="L117" i="70"/>
  <c r="K117" i="70"/>
  <c r="L116" i="70"/>
  <c r="K116" i="70"/>
  <c r="L115" i="70"/>
  <c r="K115" i="70"/>
  <c r="L114" i="70"/>
  <c r="K114" i="70"/>
  <c r="L113" i="70"/>
  <c r="K113" i="70"/>
  <c r="L112" i="70"/>
  <c r="K112" i="70"/>
  <c r="L111" i="70"/>
  <c r="K111" i="70"/>
  <c r="L110" i="70"/>
  <c r="K110" i="70"/>
  <c r="L109" i="70"/>
  <c r="K109" i="70"/>
  <c r="L108" i="70"/>
  <c r="K108" i="70"/>
  <c r="L107" i="70"/>
  <c r="K107" i="70"/>
  <c r="L106" i="70"/>
  <c r="K106" i="70"/>
  <c r="L105" i="70"/>
  <c r="K105" i="70"/>
  <c r="L104" i="70"/>
  <c r="K104" i="70"/>
  <c r="L103" i="70"/>
  <c r="K103" i="70"/>
  <c r="L102" i="70"/>
  <c r="K102" i="70"/>
  <c r="L101" i="70"/>
  <c r="K101" i="70"/>
  <c r="L100" i="70"/>
  <c r="K100" i="70"/>
  <c r="L99" i="70"/>
  <c r="K99" i="70"/>
  <c r="L98" i="70"/>
  <c r="K98" i="70"/>
  <c r="L97" i="70"/>
  <c r="K97" i="70"/>
  <c r="L96" i="70"/>
  <c r="K96" i="70"/>
  <c r="L95" i="70"/>
  <c r="K95" i="70"/>
  <c r="L94" i="70"/>
  <c r="K94" i="70"/>
  <c r="L93" i="70"/>
  <c r="K93" i="70"/>
  <c r="L92" i="70"/>
  <c r="K92" i="70"/>
  <c r="L91" i="70"/>
  <c r="K91" i="70"/>
  <c r="L90" i="70"/>
  <c r="K90" i="70"/>
  <c r="L89" i="70"/>
  <c r="K89" i="70"/>
  <c r="L88" i="70"/>
  <c r="K88" i="70"/>
  <c r="L87" i="70"/>
  <c r="K87" i="70"/>
  <c r="L86" i="70"/>
  <c r="K86" i="70"/>
  <c r="L85" i="70"/>
  <c r="K85" i="70"/>
  <c r="L84" i="70"/>
  <c r="K84" i="70"/>
  <c r="L83" i="70"/>
  <c r="K83" i="70"/>
  <c r="L82" i="70"/>
  <c r="K82" i="70"/>
  <c r="L81" i="70"/>
  <c r="K81" i="70"/>
  <c r="L80" i="70"/>
  <c r="K80" i="70"/>
  <c r="L79" i="70"/>
  <c r="K79" i="70"/>
  <c r="L78" i="70"/>
  <c r="K78" i="70"/>
  <c r="L77" i="70"/>
  <c r="K77" i="70"/>
  <c r="L76" i="70"/>
  <c r="K76" i="70"/>
  <c r="L75" i="70"/>
  <c r="K75" i="70"/>
  <c r="L74" i="70"/>
  <c r="K74" i="70"/>
  <c r="L73" i="70"/>
  <c r="K73" i="70"/>
  <c r="L72" i="70"/>
  <c r="K72" i="70"/>
  <c r="L71" i="70"/>
  <c r="K71" i="70"/>
  <c r="L70" i="70"/>
  <c r="K70" i="70"/>
  <c r="L69" i="70"/>
  <c r="K69" i="70"/>
  <c r="L68" i="70"/>
  <c r="K68" i="70"/>
  <c r="L67" i="70"/>
  <c r="K67" i="70"/>
  <c r="L66" i="70"/>
  <c r="K66" i="70"/>
  <c r="L65" i="70"/>
  <c r="K65" i="70"/>
  <c r="L64" i="70"/>
  <c r="K64" i="70"/>
  <c r="L63" i="70"/>
  <c r="K63" i="70"/>
  <c r="L62" i="70"/>
  <c r="K62" i="70"/>
  <c r="L61" i="70"/>
  <c r="K61" i="70"/>
  <c r="L60" i="70"/>
  <c r="K60" i="70"/>
  <c r="L59" i="70"/>
  <c r="K59" i="70"/>
  <c r="L58" i="70"/>
  <c r="K58" i="70"/>
  <c r="L57" i="70"/>
  <c r="K57" i="70"/>
  <c r="L56" i="70"/>
  <c r="K56" i="70"/>
  <c r="L55" i="70"/>
  <c r="K55" i="70"/>
  <c r="L54" i="70"/>
  <c r="K54" i="70"/>
  <c r="L53" i="70"/>
  <c r="K53" i="70"/>
  <c r="L52" i="70"/>
  <c r="K52" i="70"/>
  <c r="L51" i="70"/>
  <c r="K51" i="70"/>
  <c r="L50" i="70"/>
  <c r="K50" i="70"/>
  <c r="L49" i="70"/>
  <c r="K49" i="70"/>
  <c r="L48" i="70"/>
  <c r="K48" i="70"/>
  <c r="L47" i="70"/>
  <c r="K47" i="70"/>
  <c r="L46" i="70"/>
  <c r="K46" i="70"/>
  <c r="L45" i="70"/>
  <c r="K45" i="70"/>
  <c r="L44" i="70"/>
  <c r="K44" i="70"/>
  <c r="L43" i="70"/>
  <c r="K43" i="70"/>
  <c r="L42" i="70"/>
  <c r="K42" i="70"/>
  <c r="L41" i="70"/>
  <c r="K41" i="70"/>
  <c r="L40" i="70"/>
  <c r="K40" i="70"/>
  <c r="L39" i="70"/>
  <c r="K39" i="70"/>
  <c r="L38" i="70"/>
  <c r="K38" i="70"/>
  <c r="L37" i="70"/>
  <c r="K37" i="70"/>
  <c r="L36" i="70"/>
  <c r="K36" i="70"/>
  <c r="L35" i="70"/>
  <c r="K35" i="70"/>
  <c r="L34" i="70"/>
  <c r="K34" i="70"/>
  <c r="L33" i="70"/>
  <c r="K33" i="70"/>
  <c r="L32" i="70"/>
  <c r="K32" i="70"/>
  <c r="L31" i="70"/>
  <c r="K31" i="70"/>
  <c r="L30" i="70"/>
  <c r="K30" i="70"/>
  <c r="L29" i="70"/>
  <c r="K29" i="70"/>
  <c r="L28" i="70"/>
  <c r="K28" i="70"/>
  <c r="L27" i="70"/>
  <c r="K27" i="70"/>
  <c r="L26" i="70"/>
  <c r="K26" i="70"/>
  <c r="L25" i="70"/>
  <c r="K25" i="70"/>
  <c r="L24" i="70"/>
  <c r="K24" i="70"/>
  <c r="L23" i="70"/>
  <c r="K23" i="70"/>
  <c r="L22" i="70"/>
  <c r="K22" i="70"/>
  <c r="L21" i="70"/>
  <c r="K21" i="70"/>
  <c r="L20" i="70"/>
  <c r="K20" i="70"/>
  <c r="L19" i="70"/>
  <c r="K19" i="70"/>
  <c r="L18" i="70"/>
  <c r="K18" i="70"/>
  <c r="L17" i="70"/>
  <c r="K17" i="70"/>
  <c r="L16" i="70"/>
  <c r="K16" i="70"/>
  <c r="L15" i="70"/>
  <c r="K15" i="70"/>
  <c r="L14" i="70"/>
  <c r="K14" i="70"/>
  <c r="L13" i="70"/>
  <c r="K13" i="70"/>
  <c r="L12" i="70"/>
  <c r="K12" i="70"/>
  <c r="L11" i="70"/>
  <c r="K11" i="70"/>
  <c r="L10" i="70"/>
  <c r="K10" i="70"/>
  <c r="L9" i="70"/>
  <c r="K9" i="70"/>
  <c r="L8" i="70"/>
  <c r="K8" i="70"/>
  <c r="L7" i="70"/>
  <c r="K7" i="70"/>
  <c r="L6" i="70"/>
  <c r="K6" i="70"/>
  <c r="L5" i="70"/>
  <c r="K5" i="70"/>
  <c r="L4" i="70"/>
  <c r="K4" i="70"/>
  <c r="L354" i="71"/>
  <c r="K354" i="71"/>
  <c r="L353" i="71"/>
  <c r="K353" i="71"/>
  <c r="L352" i="71"/>
  <c r="K352" i="71"/>
  <c r="L351" i="71"/>
  <c r="K351" i="71"/>
  <c r="L350" i="71"/>
  <c r="K350" i="71"/>
  <c r="L349" i="71"/>
  <c r="K349" i="71"/>
  <c r="L348" i="71"/>
  <c r="K348" i="71"/>
  <c r="L347" i="71"/>
  <c r="K347" i="71"/>
  <c r="L346" i="71"/>
  <c r="K346" i="71"/>
  <c r="L345" i="71"/>
  <c r="K345" i="71"/>
  <c r="L344" i="71"/>
  <c r="K344" i="71"/>
  <c r="L343" i="71"/>
  <c r="K343" i="71"/>
  <c r="L342" i="71"/>
  <c r="K342" i="71"/>
  <c r="L341" i="71"/>
  <c r="K341" i="71"/>
  <c r="L340" i="71"/>
  <c r="K340" i="71"/>
  <c r="L339" i="71"/>
  <c r="K339" i="71"/>
  <c r="L338" i="71"/>
  <c r="K338" i="71"/>
  <c r="L337" i="71"/>
  <c r="K337" i="71"/>
  <c r="L336" i="71"/>
  <c r="K336" i="71"/>
  <c r="L335" i="71"/>
  <c r="K335" i="71"/>
  <c r="L334" i="71"/>
  <c r="K334" i="71"/>
  <c r="L333" i="71"/>
  <c r="K333" i="71"/>
  <c r="L332" i="71"/>
  <c r="K332" i="71"/>
  <c r="L331" i="71"/>
  <c r="K331" i="71"/>
  <c r="L330" i="71"/>
  <c r="K330" i="71"/>
  <c r="L329" i="71"/>
  <c r="K329" i="71"/>
  <c r="L328" i="71"/>
  <c r="K328" i="71"/>
  <c r="L327" i="71"/>
  <c r="K327" i="71"/>
  <c r="L326" i="71"/>
  <c r="K326" i="71"/>
  <c r="L325" i="71"/>
  <c r="K325" i="71"/>
  <c r="L324" i="71"/>
  <c r="K324" i="71"/>
  <c r="L323" i="71"/>
  <c r="K323" i="71"/>
  <c r="L322" i="71"/>
  <c r="K322" i="71"/>
  <c r="L321" i="71"/>
  <c r="K321" i="71"/>
  <c r="L320" i="71"/>
  <c r="K320" i="71"/>
  <c r="L319" i="71"/>
  <c r="K319" i="71"/>
  <c r="L318" i="71"/>
  <c r="K318" i="71"/>
  <c r="L317" i="71"/>
  <c r="K317" i="71"/>
  <c r="L316" i="71"/>
  <c r="K316" i="71"/>
  <c r="L315" i="71"/>
  <c r="K315" i="71"/>
  <c r="L314" i="71"/>
  <c r="K314" i="71"/>
  <c r="L313" i="71"/>
  <c r="K313" i="71"/>
  <c r="L312" i="71"/>
  <c r="K312" i="71"/>
  <c r="L311" i="71"/>
  <c r="K311" i="71"/>
  <c r="L310" i="71"/>
  <c r="K310" i="71"/>
  <c r="L309" i="71"/>
  <c r="K309" i="71"/>
  <c r="L308" i="71"/>
  <c r="K308" i="71"/>
  <c r="L307" i="71"/>
  <c r="K307" i="71"/>
  <c r="L306" i="71"/>
  <c r="K306" i="71"/>
  <c r="L305" i="71"/>
  <c r="K305" i="71"/>
  <c r="L304" i="71"/>
  <c r="K304" i="71"/>
  <c r="L303" i="71"/>
  <c r="K303" i="71"/>
  <c r="L302" i="71"/>
  <c r="K302" i="71"/>
  <c r="L301" i="71"/>
  <c r="K301" i="71"/>
  <c r="L300" i="71"/>
  <c r="K300" i="71"/>
  <c r="L299" i="71"/>
  <c r="K299" i="71"/>
  <c r="L298" i="71"/>
  <c r="K298" i="71"/>
  <c r="L297" i="71"/>
  <c r="K297" i="71"/>
  <c r="L296" i="71"/>
  <c r="K296" i="71"/>
  <c r="L295" i="71"/>
  <c r="K295" i="71"/>
  <c r="L294" i="71"/>
  <c r="K294" i="71"/>
  <c r="L293" i="71"/>
  <c r="K293" i="71"/>
  <c r="L292" i="71"/>
  <c r="K292" i="71"/>
  <c r="L291" i="71"/>
  <c r="K291" i="71"/>
  <c r="L290" i="71"/>
  <c r="K290" i="71"/>
  <c r="L289" i="71"/>
  <c r="K289" i="71"/>
  <c r="L288" i="71"/>
  <c r="K288" i="71"/>
  <c r="L287" i="71"/>
  <c r="K287" i="71"/>
  <c r="L286" i="71"/>
  <c r="K286" i="71"/>
  <c r="L285" i="71"/>
  <c r="K285" i="71"/>
  <c r="L284" i="71"/>
  <c r="K284" i="71"/>
  <c r="L283" i="71"/>
  <c r="K283" i="71"/>
  <c r="L282" i="71"/>
  <c r="K282" i="71"/>
  <c r="L281" i="71"/>
  <c r="K281" i="71"/>
  <c r="L280" i="71"/>
  <c r="K280" i="71"/>
  <c r="L279" i="71"/>
  <c r="K279" i="71"/>
  <c r="L278" i="71"/>
  <c r="K278" i="71"/>
  <c r="L277" i="71"/>
  <c r="K277" i="71"/>
  <c r="L276" i="71"/>
  <c r="K276" i="71"/>
  <c r="L275" i="71"/>
  <c r="K275" i="71"/>
  <c r="L274" i="71"/>
  <c r="K274" i="71"/>
  <c r="L273" i="71"/>
  <c r="K273" i="71"/>
  <c r="L272" i="71"/>
  <c r="K272" i="71"/>
  <c r="L271" i="71"/>
  <c r="K271" i="71"/>
  <c r="L270" i="71"/>
  <c r="K270" i="71"/>
  <c r="L269" i="71"/>
  <c r="K269" i="71"/>
  <c r="L268" i="71"/>
  <c r="K268" i="71"/>
  <c r="L267" i="71"/>
  <c r="K267" i="71"/>
  <c r="L266" i="71"/>
  <c r="K266" i="71"/>
  <c r="L265" i="71"/>
  <c r="K265" i="71"/>
  <c r="L264" i="71"/>
  <c r="K264" i="71"/>
  <c r="L263" i="71"/>
  <c r="K263" i="71"/>
  <c r="L262" i="71"/>
  <c r="K262" i="71"/>
  <c r="L261" i="71"/>
  <c r="K261" i="71"/>
  <c r="L260" i="71"/>
  <c r="K260" i="71"/>
  <c r="L259" i="71"/>
  <c r="K259" i="71"/>
  <c r="L258" i="71"/>
  <c r="K258" i="71"/>
  <c r="L257" i="71"/>
  <c r="K257" i="71"/>
  <c r="L256" i="71"/>
  <c r="K256" i="71"/>
  <c r="L255" i="71"/>
  <c r="K255" i="71"/>
  <c r="L254" i="71"/>
  <c r="K254" i="71"/>
  <c r="L253" i="71"/>
  <c r="K253" i="71"/>
  <c r="L252" i="71"/>
  <c r="K252" i="71"/>
  <c r="L251" i="71"/>
  <c r="K251" i="71"/>
  <c r="L250" i="71"/>
  <c r="K250" i="71"/>
  <c r="L249" i="71"/>
  <c r="K249" i="71"/>
  <c r="L248" i="71"/>
  <c r="K248" i="71"/>
  <c r="L247" i="71"/>
  <c r="K247" i="71"/>
  <c r="L246" i="71"/>
  <c r="K246" i="71"/>
  <c r="L245" i="71"/>
  <c r="K245" i="71"/>
  <c r="L244" i="71"/>
  <c r="K244" i="71"/>
  <c r="L243" i="71"/>
  <c r="K243" i="71"/>
  <c r="L242" i="71"/>
  <c r="K242" i="71"/>
  <c r="L241" i="71"/>
  <c r="K241" i="71"/>
  <c r="L240" i="71"/>
  <c r="K240" i="71"/>
  <c r="L239" i="71"/>
  <c r="K239" i="71"/>
  <c r="L238" i="71"/>
  <c r="K238" i="71"/>
  <c r="L237" i="71"/>
  <c r="K237" i="71"/>
  <c r="L236" i="71"/>
  <c r="K236" i="71"/>
  <c r="L235" i="71"/>
  <c r="K235" i="71"/>
  <c r="L234" i="71"/>
  <c r="K234" i="71"/>
  <c r="L233" i="71"/>
  <c r="K233" i="71"/>
  <c r="L232" i="71"/>
  <c r="K232" i="71"/>
  <c r="L231" i="71"/>
  <c r="K231" i="71"/>
  <c r="L230" i="71"/>
  <c r="K230" i="71"/>
  <c r="L229" i="71"/>
  <c r="K229" i="71"/>
  <c r="L228" i="71"/>
  <c r="K228" i="71"/>
  <c r="L227" i="71"/>
  <c r="K227" i="71"/>
  <c r="L226" i="71"/>
  <c r="K226" i="71"/>
  <c r="L225" i="71"/>
  <c r="K225" i="71"/>
  <c r="L224" i="71"/>
  <c r="K224" i="71"/>
  <c r="L223" i="71"/>
  <c r="K223" i="71"/>
  <c r="L222" i="71"/>
  <c r="K222" i="71"/>
  <c r="L221" i="71"/>
  <c r="K221" i="71"/>
  <c r="L220" i="71"/>
  <c r="K220" i="71"/>
  <c r="L219" i="71"/>
  <c r="K219" i="71"/>
  <c r="L218" i="71"/>
  <c r="K218" i="71"/>
  <c r="L217" i="71"/>
  <c r="K217" i="71"/>
  <c r="L216" i="71"/>
  <c r="K216" i="71"/>
  <c r="L215" i="71"/>
  <c r="K215" i="71"/>
  <c r="L214" i="71"/>
  <c r="K214" i="71"/>
  <c r="L213" i="71"/>
  <c r="K213" i="71"/>
  <c r="L212" i="71"/>
  <c r="K212" i="71"/>
  <c r="L211" i="71"/>
  <c r="K211" i="71"/>
  <c r="L210" i="71"/>
  <c r="K210" i="71"/>
  <c r="L209" i="71"/>
  <c r="K209" i="71"/>
  <c r="L208" i="71"/>
  <c r="K208" i="71"/>
  <c r="L207" i="71"/>
  <c r="K207" i="71"/>
  <c r="L206" i="71"/>
  <c r="K206" i="71"/>
  <c r="L205" i="71"/>
  <c r="K205" i="71"/>
  <c r="L204" i="71"/>
  <c r="K204" i="71"/>
  <c r="L203" i="71"/>
  <c r="K203" i="71"/>
  <c r="L202" i="71"/>
  <c r="K202" i="71"/>
  <c r="L201" i="71"/>
  <c r="K201" i="71"/>
  <c r="L200" i="71"/>
  <c r="K200" i="71"/>
  <c r="L199" i="71"/>
  <c r="K199" i="71"/>
  <c r="L198" i="71"/>
  <c r="K198" i="71"/>
  <c r="L197" i="71"/>
  <c r="K197" i="71"/>
  <c r="L196" i="71"/>
  <c r="K196" i="71"/>
  <c r="L195" i="71"/>
  <c r="K195" i="71"/>
  <c r="L194" i="71"/>
  <c r="K194" i="71"/>
  <c r="L193" i="71"/>
  <c r="K193" i="71"/>
  <c r="L192" i="71"/>
  <c r="K192" i="71"/>
  <c r="L191" i="71"/>
  <c r="K191" i="71"/>
  <c r="L190" i="71"/>
  <c r="K190" i="71"/>
  <c r="L189" i="71"/>
  <c r="K189" i="71"/>
  <c r="L188" i="71"/>
  <c r="K188" i="71"/>
  <c r="L187" i="71"/>
  <c r="K187" i="71"/>
  <c r="L186" i="71"/>
  <c r="K186" i="71"/>
  <c r="L185" i="71"/>
  <c r="K185" i="71"/>
  <c r="L184" i="71"/>
  <c r="K184" i="71"/>
  <c r="L183" i="71"/>
  <c r="K183" i="71"/>
  <c r="L182" i="71"/>
  <c r="K182" i="71"/>
  <c r="L181" i="71"/>
  <c r="K181" i="71"/>
  <c r="L180" i="71"/>
  <c r="K180" i="71"/>
  <c r="L179" i="71"/>
  <c r="K179" i="71"/>
  <c r="L178" i="71"/>
  <c r="K178" i="71"/>
  <c r="L177" i="71"/>
  <c r="K177" i="71"/>
  <c r="L176" i="71"/>
  <c r="K176" i="71"/>
  <c r="L175" i="71"/>
  <c r="K175" i="71"/>
  <c r="L174" i="71"/>
  <c r="K174" i="71"/>
  <c r="L173" i="71"/>
  <c r="K173" i="71"/>
  <c r="L172" i="71"/>
  <c r="K172" i="71"/>
  <c r="L171" i="71"/>
  <c r="K171" i="71"/>
  <c r="L170" i="71"/>
  <c r="K170" i="71"/>
  <c r="L169" i="71"/>
  <c r="K169" i="71"/>
  <c r="L168" i="71"/>
  <c r="K168" i="71"/>
  <c r="L167" i="71"/>
  <c r="K167" i="71"/>
  <c r="L166" i="71"/>
  <c r="K166" i="71"/>
  <c r="L165" i="71"/>
  <c r="K165" i="71"/>
  <c r="L164" i="71"/>
  <c r="K164" i="71"/>
  <c r="L163" i="71"/>
  <c r="K163" i="71"/>
  <c r="L162" i="71"/>
  <c r="K162" i="71"/>
  <c r="L161" i="71"/>
  <c r="K161" i="71"/>
  <c r="L160" i="71"/>
  <c r="K160" i="71"/>
  <c r="L159" i="71"/>
  <c r="K159" i="71"/>
  <c r="L158" i="71"/>
  <c r="K158" i="71"/>
  <c r="L157" i="71"/>
  <c r="K157" i="71"/>
  <c r="L156" i="71"/>
  <c r="K156" i="71"/>
  <c r="L155" i="71"/>
  <c r="K155" i="71"/>
  <c r="L154" i="71"/>
  <c r="K154" i="71"/>
  <c r="L153" i="71"/>
  <c r="K153" i="71"/>
  <c r="L152" i="71"/>
  <c r="K152" i="71"/>
  <c r="L151" i="71"/>
  <c r="K151" i="71"/>
  <c r="L150" i="71"/>
  <c r="K150" i="71"/>
  <c r="L149" i="71"/>
  <c r="K149" i="71"/>
  <c r="L148" i="71"/>
  <c r="K148" i="71"/>
  <c r="L147" i="71"/>
  <c r="K147" i="71"/>
  <c r="L146" i="71"/>
  <c r="K146" i="71"/>
  <c r="L145" i="71"/>
  <c r="K145" i="71"/>
  <c r="L144" i="71"/>
  <c r="K144" i="71"/>
  <c r="L143" i="71"/>
  <c r="K143" i="71"/>
  <c r="L142" i="71"/>
  <c r="K142" i="71"/>
  <c r="L141" i="71"/>
  <c r="K141" i="71"/>
  <c r="L140" i="71"/>
  <c r="K140" i="71"/>
  <c r="L139" i="71"/>
  <c r="K139" i="71"/>
  <c r="L138" i="71"/>
  <c r="K138" i="71"/>
  <c r="L137" i="71"/>
  <c r="K137" i="71"/>
  <c r="L136" i="71"/>
  <c r="K136" i="71"/>
  <c r="L135" i="71"/>
  <c r="K135" i="71"/>
  <c r="L134" i="71"/>
  <c r="K134" i="71"/>
  <c r="L133" i="71"/>
  <c r="K133" i="71"/>
  <c r="L132" i="71"/>
  <c r="K132" i="71"/>
  <c r="L131" i="71"/>
  <c r="K131" i="71"/>
  <c r="L130" i="71"/>
  <c r="K130" i="71"/>
  <c r="L129" i="71"/>
  <c r="K129" i="71"/>
  <c r="L128" i="71"/>
  <c r="K128" i="71"/>
  <c r="L127" i="71"/>
  <c r="K127" i="71"/>
  <c r="L126" i="71"/>
  <c r="K126" i="71"/>
  <c r="L125" i="71"/>
  <c r="K125" i="71"/>
  <c r="L124" i="71"/>
  <c r="K124" i="71"/>
  <c r="L123" i="71"/>
  <c r="K123" i="71"/>
  <c r="L122" i="71"/>
  <c r="K122" i="71"/>
  <c r="L121" i="71"/>
  <c r="K121" i="71"/>
  <c r="L120" i="71"/>
  <c r="K120" i="71"/>
  <c r="L119" i="71"/>
  <c r="K119" i="71"/>
  <c r="L118" i="71"/>
  <c r="K118" i="71"/>
  <c r="L117" i="71"/>
  <c r="K117" i="71"/>
  <c r="L116" i="71"/>
  <c r="K116" i="71"/>
  <c r="L115" i="71"/>
  <c r="K115" i="71"/>
  <c r="L114" i="71"/>
  <c r="K114" i="71"/>
  <c r="L113" i="71"/>
  <c r="K113" i="71"/>
  <c r="L112" i="71"/>
  <c r="K112" i="71"/>
  <c r="L111" i="71"/>
  <c r="K111" i="71"/>
  <c r="L110" i="71"/>
  <c r="K110" i="71"/>
  <c r="L109" i="71"/>
  <c r="K109" i="71"/>
  <c r="L108" i="71"/>
  <c r="K108" i="71"/>
  <c r="L107" i="71"/>
  <c r="K107" i="71"/>
  <c r="L106" i="71"/>
  <c r="K106" i="71"/>
  <c r="L105" i="71"/>
  <c r="K105" i="71"/>
  <c r="L104" i="71"/>
  <c r="K104" i="71"/>
  <c r="L103" i="71"/>
  <c r="K103" i="71"/>
  <c r="L102" i="71"/>
  <c r="K102" i="71"/>
  <c r="L101" i="71"/>
  <c r="K101" i="71"/>
  <c r="L100" i="71"/>
  <c r="K100" i="71"/>
  <c r="L99" i="71"/>
  <c r="K99" i="71"/>
  <c r="L98" i="71"/>
  <c r="K98" i="71"/>
  <c r="L97" i="71"/>
  <c r="K97" i="71"/>
  <c r="L96" i="71"/>
  <c r="K96" i="71"/>
  <c r="L95" i="71"/>
  <c r="K95" i="71"/>
  <c r="L94" i="71"/>
  <c r="K94" i="71"/>
  <c r="L93" i="71"/>
  <c r="K93" i="71"/>
  <c r="L92" i="71"/>
  <c r="K92" i="71"/>
  <c r="L91" i="71"/>
  <c r="K91" i="71"/>
  <c r="L90" i="71"/>
  <c r="K90" i="71"/>
  <c r="L89" i="71"/>
  <c r="K89" i="71"/>
  <c r="L88" i="71"/>
  <c r="K88" i="71"/>
  <c r="L87" i="71"/>
  <c r="K87" i="71"/>
  <c r="L86" i="71"/>
  <c r="K86" i="71"/>
  <c r="L85" i="71"/>
  <c r="K85" i="71"/>
  <c r="L84" i="71"/>
  <c r="K84" i="71"/>
  <c r="L83" i="71"/>
  <c r="K83" i="71"/>
  <c r="L82" i="71"/>
  <c r="K82" i="71"/>
  <c r="L81" i="71"/>
  <c r="K81" i="71"/>
  <c r="L80" i="71"/>
  <c r="K80" i="71"/>
  <c r="L79" i="71"/>
  <c r="K79" i="71"/>
  <c r="L78" i="71"/>
  <c r="K78" i="71"/>
  <c r="L77" i="71"/>
  <c r="K77" i="71"/>
  <c r="L76" i="71"/>
  <c r="K76" i="71"/>
  <c r="L75" i="71"/>
  <c r="K75" i="71"/>
  <c r="L74" i="71"/>
  <c r="K74" i="71"/>
  <c r="L73" i="71"/>
  <c r="K73" i="71"/>
  <c r="L72" i="71"/>
  <c r="K72" i="71"/>
  <c r="L71" i="71"/>
  <c r="K71" i="71"/>
  <c r="L70" i="71"/>
  <c r="K70" i="71"/>
  <c r="L69" i="71"/>
  <c r="K69" i="71"/>
  <c r="L68" i="71"/>
  <c r="K68" i="71"/>
  <c r="L67" i="71"/>
  <c r="K67" i="71"/>
  <c r="L66" i="71"/>
  <c r="K66" i="71"/>
  <c r="L65" i="71"/>
  <c r="K65" i="71"/>
  <c r="L64" i="71"/>
  <c r="K64" i="71"/>
  <c r="L63" i="71"/>
  <c r="K63" i="71"/>
  <c r="L62" i="71"/>
  <c r="K62" i="71"/>
  <c r="L61" i="71"/>
  <c r="K61" i="71"/>
  <c r="L60" i="71"/>
  <c r="K60" i="71"/>
  <c r="L59" i="71"/>
  <c r="K59" i="71"/>
  <c r="L58" i="71"/>
  <c r="K58" i="71"/>
  <c r="L57" i="71"/>
  <c r="K57" i="71"/>
  <c r="L56" i="71"/>
  <c r="K56" i="71"/>
  <c r="L55" i="71"/>
  <c r="K55" i="71"/>
  <c r="L54" i="71"/>
  <c r="K54" i="71"/>
  <c r="L53" i="71"/>
  <c r="K53" i="71"/>
  <c r="L52" i="71"/>
  <c r="K52" i="71"/>
  <c r="L51" i="71"/>
  <c r="K51" i="71"/>
  <c r="L50" i="71"/>
  <c r="K50" i="71"/>
  <c r="L49" i="71"/>
  <c r="K49" i="71"/>
  <c r="L48" i="71"/>
  <c r="K48" i="71"/>
  <c r="L47" i="71"/>
  <c r="K47" i="71"/>
  <c r="L46" i="71"/>
  <c r="K46" i="71"/>
  <c r="L45" i="71"/>
  <c r="K45" i="71"/>
  <c r="L44" i="71"/>
  <c r="K44" i="71"/>
  <c r="L43" i="71"/>
  <c r="K43" i="71"/>
  <c r="L42" i="71"/>
  <c r="K42" i="71"/>
  <c r="L41" i="71"/>
  <c r="K41" i="71"/>
  <c r="L40" i="71"/>
  <c r="K40" i="71"/>
  <c r="L39" i="71"/>
  <c r="K39" i="71"/>
  <c r="L38" i="71"/>
  <c r="K38" i="71"/>
  <c r="L37" i="71"/>
  <c r="K37" i="71"/>
  <c r="L36" i="71"/>
  <c r="K36" i="71"/>
  <c r="L35" i="71"/>
  <c r="K35" i="71"/>
  <c r="L34" i="71"/>
  <c r="K34" i="71"/>
  <c r="L33" i="71"/>
  <c r="K33" i="71"/>
  <c r="L32" i="71"/>
  <c r="K32" i="71"/>
  <c r="L31" i="71"/>
  <c r="K31" i="71"/>
  <c r="L30" i="71"/>
  <c r="K30" i="71"/>
  <c r="L29" i="71"/>
  <c r="K29" i="71"/>
  <c r="L28" i="71"/>
  <c r="K28" i="71"/>
  <c r="L27" i="71"/>
  <c r="K27" i="71"/>
  <c r="L26" i="71"/>
  <c r="K26" i="71"/>
  <c r="L25" i="71"/>
  <c r="K25" i="71"/>
  <c r="L24" i="71"/>
  <c r="K24" i="71"/>
  <c r="L23" i="71"/>
  <c r="K23" i="71"/>
  <c r="L22" i="71"/>
  <c r="K22" i="71"/>
  <c r="L21" i="71"/>
  <c r="K21" i="71"/>
  <c r="L20" i="71"/>
  <c r="K20" i="71"/>
  <c r="L19" i="71"/>
  <c r="K19" i="71"/>
  <c r="L18" i="71"/>
  <c r="K18" i="71"/>
  <c r="L17" i="71"/>
  <c r="K17" i="71"/>
  <c r="L16" i="71"/>
  <c r="K16" i="71"/>
  <c r="L15" i="71"/>
  <c r="K15" i="71"/>
  <c r="L14" i="71"/>
  <c r="K14" i="71"/>
  <c r="L13" i="71"/>
  <c r="K13" i="71"/>
  <c r="L12" i="71"/>
  <c r="K12" i="71"/>
  <c r="L11" i="71"/>
  <c r="K11" i="71"/>
  <c r="L10" i="71"/>
  <c r="K10" i="71"/>
  <c r="L9" i="71"/>
  <c r="K9" i="71"/>
  <c r="L8" i="71"/>
  <c r="K8" i="71"/>
  <c r="L7" i="71"/>
  <c r="K7" i="71"/>
  <c r="L6" i="71"/>
  <c r="K6" i="71"/>
  <c r="L5" i="71"/>
  <c r="K5" i="71"/>
  <c r="L4" i="71"/>
  <c r="K4" i="71"/>
  <c r="L3" i="71"/>
  <c r="K3" i="71"/>
  <c r="L354" i="73"/>
  <c r="K354" i="73"/>
  <c r="L353" i="73"/>
  <c r="K353" i="73"/>
  <c r="L352" i="73"/>
  <c r="K352" i="73"/>
  <c r="L351" i="73"/>
  <c r="K351" i="73"/>
  <c r="L350" i="73"/>
  <c r="K350" i="73"/>
  <c r="L349" i="73"/>
  <c r="K349" i="73"/>
  <c r="L348" i="73"/>
  <c r="K348" i="73"/>
  <c r="L347" i="73"/>
  <c r="K347" i="73"/>
  <c r="L346" i="73"/>
  <c r="K346" i="73"/>
  <c r="L345" i="73"/>
  <c r="K345" i="73"/>
  <c r="L344" i="73"/>
  <c r="K344" i="73"/>
  <c r="L343" i="73"/>
  <c r="K343" i="73"/>
  <c r="L342" i="73"/>
  <c r="K342" i="73"/>
  <c r="L341" i="73"/>
  <c r="K341" i="73"/>
  <c r="L340" i="73"/>
  <c r="K340" i="73"/>
  <c r="L339" i="73"/>
  <c r="K339" i="73"/>
  <c r="L338" i="73"/>
  <c r="K338" i="73"/>
  <c r="L337" i="73"/>
  <c r="K337" i="73"/>
  <c r="L336" i="73"/>
  <c r="K336" i="73"/>
  <c r="L335" i="73"/>
  <c r="K335" i="73"/>
  <c r="L334" i="73"/>
  <c r="K334" i="73"/>
  <c r="L333" i="73"/>
  <c r="K333" i="73"/>
  <c r="L332" i="73"/>
  <c r="K332" i="73"/>
  <c r="L331" i="73"/>
  <c r="K331" i="73"/>
  <c r="L330" i="73"/>
  <c r="K330" i="73"/>
  <c r="L329" i="73"/>
  <c r="K329" i="73"/>
  <c r="L328" i="73"/>
  <c r="K328" i="73"/>
  <c r="L327" i="73"/>
  <c r="K327" i="73"/>
  <c r="L326" i="73"/>
  <c r="K326" i="73"/>
  <c r="L325" i="73"/>
  <c r="K325" i="73"/>
  <c r="L324" i="73"/>
  <c r="K324" i="73"/>
  <c r="L323" i="73"/>
  <c r="K323" i="73"/>
  <c r="L322" i="73"/>
  <c r="K322" i="73"/>
  <c r="L321" i="73"/>
  <c r="K321" i="73"/>
  <c r="L320" i="73"/>
  <c r="K320" i="73"/>
  <c r="L319" i="73"/>
  <c r="K319" i="73"/>
  <c r="L318" i="73"/>
  <c r="K318" i="73"/>
  <c r="L317" i="73"/>
  <c r="K317" i="73"/>
  <c r="L316" i="73"/>
  <c r="K316" i="73"/>
  <c r="L315" i="73"/>
  <c r="K315" i="73"/>
  <c r="L314" i="73"/>
  <c r="K314" i="73"/>
  <c r="L313" i="73"/>
  <c r="K313" i="73"/>
  <c r="L312" i="73"/>
  <c r="K312" i="73"/>
  <c r="L311" i="73"/>
  <c r="K311" i="73"/>
  <c r="L310" i="73"/>
  <c r="K310" i="73"/>
  <c r="L309" i="73"/>
  <c r="K309" i="73"/>
  <c r="L308" i="73"/>
  <c r="K308" i="73"/>
  <c r="L307" i="73"/>
  <c r="K307" i="73"/>
  <c r="L306" i="73"/>
  <c r="K306" i="73"/>
  <c r="L305" i="73"/>
  <c r="K305" i="73"/>
  <c r="L304" i="73"/>
  <c r="K304" i="73"/>
  <c r="L303" i="73"/>
  <c r="K303" i="73"/>
  <c r="L302" i="73"/>
  <c r="K302" i="73"/>
  <c r="L301" i="73"/>
  <c r="K301" i="73"/>
  <c r="L300" i="73"/>
  <c r="K300" i="73"/>
  <c r="L299" i="73"/>
  <c r="K299" i="73"/>
  <c r="L298" i="73"/>
  <c r="K298" i="73"/>
  <c r="L297" i="73"/>
  <c r="K297" i="73"/>
  <c r="L296" i="73"/>
  <c r="K296" i="73"/>
  <c r="L295" i="73"/>
  <c r="K295" i="73"/>
  <c r="L294" i="73"/>
  <c r="K294" i="73"/>
  <c r="L293" i="73"/>
  <c r="K293" i="73"/>
  <c r="L292" i="73"/>
  <c r="K292" i="73"/>
  <c r="L291" i="73"/>
  <c r="K291" i="73"/>
  <c r="L290" i="73"/>
  <c r="K290" i="73"/>
  <c r="L289" i="73"/>
  <c r="K289" i="73"/>
  <c r="L288" i="73"/>
  <c r="K288" i="73"/>
  <c r="L287" i="73"/>
  <c r="K287" i="73"/>
  <c r="L286" i="73"/>
  <c r="K286" i="73"/>
  <c r="L285" i="73"/>
  <c r="K285" i="73"/>
  <c r="L284" i="73"/>
  <c r="K284" i="73"/>
  <c r="L283" i="73"/>
  <c r="K283" i="73"/>
  <c r="L282" i="73"/>
  <c r="K282" i="73"/>
  <c r="L281" i="73"/>
  <c r="K281" i="73"/>
  <c r="L280" i="73"/>
  <c r="K280" i="73"/>
  <c r="L279" i="73"/>
  <c r="K279" i="73"/>
  <c r="L278" i="73"/>
  <c r="K278" i="73"/>
  <c r="L277" i="73"/>
  <c r="K277" i="73"/>
  <c r="L276" i="73"/>
  <c r="K276" i="73"/>
  <c r="L275" i="73"/>
  <c r="K275" i="73"/>
  <c r="L274" i="73"/>
  <c r="K274" i="73"/>
  <c r="L273" i="73"/>
  <c r="K273" i="73"/>
  <c r="L272" i="73"/>
  <c r="K272" i="73"/>
  <c r="L271" i="73"/>
  <c r="K271" i="73"/>
  <c r="L270" i="73"/>
  <c r="K270" i="73"/>
  <c r="L269" i="73"/>
  <c r="K269" i="73"/>
  <c r="L268" i="73"/>
  <c r="K268" i="73"/>
  <c r="L267" i="73"/>
  <c r="K267" i="73"/>
  <c r="L266" i="73"/>
  <c r="K266" i="73"/>
  <c r="L265" i="73"/>
  <c r="K265" i="73"/>
  <c r="L264" i="73"/>
  <c r="K264" i="73"/>
  <c r="L263" i="73"/>
  <c r="K263" i="73"/>
  <c r="L262" i="73"/>
  <c r="K262" i="73"/>
  <c r="L261" i="73"/>
  <c r="K261" i="73"/>
  <c r="L260" i="73"/>
  <c r="K260" i="73"/>
  <c r="L259" i="73"/>
  <c r="K259" i="73"/>
  <c r="L258" i="73"/>
  <c r="K258" i="73"/>
  <c r="L257" i="73"/>
  <c r="K257" i="73"/>
  <c r="L256" i="73"/>
  <c r="K256" i="73"/>
  <c r="L255" i="73"/>
  <c r="K255" i="73"/>
  <c r="L254" i="73"/>
  <c r="K254" i="73"/>
  <c r="L253" i="73"/>
  <c r="K253" i="73"/>
  <c r="L252" i="73"/>
  <c r="K252" i="73"/>
  <c r="L251" i="73"/>
  <c r="K251" i="73"/>
  <c r="L250" i="73"/>
  <c r="K250" i="73"/>
  <c r="L249" i="73"/>
  <c r="K249" i="73"/>
  <c r="L248" i="73"/>
  <c r="K248" i="73"/>
  <c r="L247" i="73"/>
  <c r="K247" i="73"/>
  <c r="L246" i="73"/>
  <c r="K246" i="73"/>
  <c r="L245" i="73"/>
  <c r="K245" i="73"/>
  <c r="L244" i="73"/>
  <c r="K244" i="73"/>
  <c r="L243" i="73"/>
  <c r="K243" i="73"/>
  <c r="L242" i="73"/>
  <c r="K242" i="73"/>
  <c r="L241" i="73"/>
  <c r="K241" i="73"/>
  <c r="L240" i="73"/>
  <c r="K240" i="73"/>
  <c r="L239" i="73"/>
  <c r="K239" i="73"/>
  <c r="L238" i="73"/>
  <c r="K238" i="73"/>
  <c r="L237" i="73"/>
  <c r="K237" i="73"/>
  <c r="L236" i="73"/>
  <c r="K236" i="73"/>
  <c r="L235" i="73"/>
  <c r="K235" i="73"/>
  <c r="L234" i="73"/>
  <c r="K234" i="73"/>
  <c r="L233" i="73"/>
  <c r="K233" i="73"/>
  <c r="L232" i="73"/>
  <c r="K232" i="73"/>
  <c r="L231" i="73"/>
  <c r="K231" i="73"/>
  <c r="L230" i="73"/>
  <c r="K230" i="73"/>
  <c r="L229" i="73"/>
  <c r="K229" i="73"/>
  <c r="L228" i="73"/>
  <c r="K228" i="73"/>
  <c r="L227" i="73"/>
  <c r="K227" i="73"/>
  <c r="L226" i="73"/>
  <c r="K226" i="73"/>
  <c r="L225" i="73"/>
  <c r="K225" i="73"/>
  <c r="L224" i="73"/>
  <c r="K224" i="73"/>
  <c r="L223" i="73"/>
  <c r="K223" i="73"/>
  <c r="L222" i="73"/>
  <c r="K222" i="73"/>
  <c r="L221" i="73"/>
  <c r="K221" i="73"/>
  <c r="L220" i="73"/>
  <c r="K220" i="73"/>
  <c r="L219" i="73"/>
  <c r="K219" i="73"/>
  <c r="L218" i="73"/>
  <c r="K218" i="73"/>
  <c r="L217" i="73"/>
  <c r="K217" i="73"/>
  <c r="L216" i="73"/>
  <c r="K216" i="73"/>
  <c r="L215" i="73"/>
  <c r="K215" i="73"/>
  <c r="L214" i="73"/>
  <c r="K214" i="73"/>
  <c r="L213" i="73"/>
  <c r="K213" i="73"/>
  <c r="L212" i="73"/>
  <c r="K212" i="73"/>
  <c r="L211" i="73"/>
  <c r="K211" i="73"/>
  <c r="L210" i="73"/>
  <c r="K210" i="73"/>
  <c r="L209" i="73"/>
  <c r="K209" i="73"/>
  <c r="L208" i="73"/>
  <c r="K208" i="73"/>
  <c r="L207" i="73"/>
  <c r="K207" i="73"/>
  <c r="L206" i="73"/>
  <c r="K206" i="73"/>
  <c r="L205" i="73"/>
  <c r="K205" i="73"/>
  <c r="L204" i="73"/>
  <c r="K204" i="73"/>
  <c r="L203" i="73"/>
  <c r="K203" i="73"/>
  <c r="L202" i="73"/>
  <c r="K202" i="73"/>
  <c r="L201" i="73"/>
  <c r="K201" i="73"/>
  <c r="L200" i="73"/>
  <c r="K200" i="73"/>
  <c r="L199" i="73"/>
  <c r="K199" i="73"/>
  <c r="L198" i="73"/>
  <c r="K198" i="73"/>
  <c r="L197" i="73"/>
  <c r="K197" i="73"/>
  <c r="L196" i="73"/>
  <c r="K196" i="73"/>
  <c r="L195" i="73"/>
  <c r="K195" i="73"/>
  <c r="L194" i="73"/>
  <c r="K194" i="73"/>
  <c r="L193" i="73"/>
  <c r="K193" i="73"/>
  <c r="L192" i="73"/>
  <c r="K192" i="73"/>
  <c r="L191" i="73"/>
  <c r="K191" i="73"/>
  <c r="L190" i="73"/>
  <c r="K190" i="73"/>
  <c r="L189" i="73"/>
  <c r="K189" i="73"/>
  <c r="L188" i="73"/>
  <c r="K188" i="73"/>
  <c r="L187" i="73"/>
  <c r="K187" i="73"/>
  <c r="L186" i="73"/>
  <c r="K186" i="73"/>
  <c r="L185" i="73"/>
  <c r="K185" i="73"/>
  <c r="L184" i="73"/>
  <c r="K184" i="73"/>
  <c r="L183" i="73"/>
  <c r="K183" i="73"/>
  <c r="L182" i="73"/>
  <c r="K182" i="73"/>
  <c r="L181" i="73"/>
  <c r="K181" i="73"/>
  <c r="L180" i="73"/>
  <c r="K180" i="73"/>
  <c r="L179" i="73"/>
  <c r="K179" i="73"/>
  <c r="L178" i="73"/>
  <c r="K178" i="73"/>
  <c r="L177" i="73"/>
  <c r="K177" i="73"/>
  <c r="L176" i="73"/>
  <c r="K176" i="73"/>
  <c r="L175" i="73"/>
  <c r="K175" i="73"/>
  <c r="L174" i="73"/>
  <c r="K174" i="73"/>
  <c r="L173" i="73"/>
  <c r="K173" i="73"/>
  <c r="L172" i="73"/>
  <c r="K172" i="73"/>
  <c r="L171" i="73"/>
  <c r="K171" i="73"/>
  <c r="L170" i="73"/>
  <c r="K170" i="73"/>
  <c r="L169" i="73"/>
  <c r="K169" i="73"/>
  <c r="L168" i="73"/>
  <c r="K168" i="73"/>
  <c r="L167" i="73"/>
  <c r="K167" i="73"/>
  <c r="L166" i="73"/>
  <c r="K166" i="73"/>
  <c r="L165" i="73"/>
  <c r="K165" i="73"/>
  <c r="L164" i="73"/>
  <c r="K164" i="73"/>
  <c r="L163" i="73"/>
  <c r="K163" i="73"/>
  <c r="L162" i="73"/>
  <c r="K162" i="73"/>
  <c r="L161" i="73"/>
  <c r="K161" i="73"/>
  <c r="L160" i="73"/>
  <c r="K160" i="73"/>
  <c r="L159" i="73"/>
  <c r="K159" i="73"/>
  <c r="L158" i="73"/>
  <c r="K158" i="73"/>
  <c r="L157" i="73"/>
  <c r="K157" i="73"/>
  <c r="L156" i="73"/>
  <c r="K156" i="73"/>
  <c r="L155" i="73"/>
  <c r="K155" i="73"/>
  <c r="L154" i="73"/>
  <c r="K154" i="73"/>
  <c r="L153" i="73"/>
  <c r="K153" i="73"/>
  <c r="L152" i="73"/>
  <c r="K152" i="73"/>
  <c r="L151" i="73"/>
  <c r="K151" i="73"/>
  <c r="L150" i="73"/>
  <c r="K150" i="73"/>
  <c r="L149" i="73"/>
  <c r="K149" i="73"/>
  <c r="L148" i="73"/>
  <c r="K148" i="73"/>
  <c r="L147" i="73"/>
  <c r="K147" i="73"/>
  <c r="L146" i="73"/>
  <c r="K146" i="73"/>
  <c r="L145" i="73"/>
  <c r="K145" i="73"/>
  <c r="L144" i="73"/>
  <c r="K144" i="73"/>
  <c r="L143" i="73"/>
  <c r="K143" i="73"/>
  <c r="L142" i="73"/>
  <c r="K142" i="73"/>
  <c r="L141" i="73"/>
  <c r="K141" i="73"/>
  <c r="L140" i="73"/>
  <c r="K140" i="73"/>
  <c r="L139" i="73"/>
  <c r="K139" i="73"/>
  <c r="L138" i="73"/>
  <c r="K138" i="73"/>
  <c r="L137" i="73"/>
  <c r="K137" i="73"/>
  <c r="L136" i="73"/>
  <c r="K136" i="73"/>
  <c r="L135" i="73"/>
  <c r="K135" i="73"/>
  <c r="L134" i="73"/>
  <c r="K134" i="73"/>
  <c r="L133" i="73"/>
  <c r="K133" i="73"/>
  <c r="L132" i="73"/>
  <c r="K132" i="73"/>
  <c r="L131" i="73"/>
  <c r="K131" i="73"/>
  <c r="L130" i="73"/>
  <c r="K130" i="73"/>
  <c r="L129" i="73"/>
  <c r="K129" i="73"/>
  <c r="L128" i="73"/>
  <c r="K128" i="73"/>
  <c r="L127" i="73"/>
  <c r="K127" i="73"/>
  <c r="L126" i="73"/>
  <c r="K126" i="73"/>
  <c r="L125" i="73"/>
  <c r="K125" i="73"/>
  <c r="L124" i="73"/>
  <c r="K124" i="73"/>
  <c r="L123" i="73"/>
  <c r="K123" i="73"/>
  <c r="L122" i="73"/>
  <c r="K122" i="73"/>
  <c r="L121" i="73"/>
  <c r="K121" i="73"/>
  <c r="L120" i="73"/>
  <c r="K120" i="73"/>
  <c r="L119" i="73"/>
  <c r="K119" i="73"/>
  <c r="L118" i="73"/>
  <c r="K118" i="73"/>
  <c r="L117" i="73"/>
  <c r="K117" i="73"/>
  <c r="L116" i="73"/>
  <c r="K116" i="73"/>
  <c r="L115" i="73"/>
  <c r="K115" i="73"/>
  <c r="L114" i="73"/>
  <c r="K114" i="73"/>
  <c r="L113" i="73"/>
  <c r="K113" i="73"/>
  <c r="L112" i="73"/>
  <c r="K112" i="73"/>
  <c r="L111" i="73"/>
  <c r="K111" i="73"/>
  <c r="L110" i="73"/>
  <c r="K110" i="73"/>
  <c r="L109" i="73"/>
  <c r="K109" i="73"/>
  <c r="L108" i="73"/>
  <c r="K108" i="73"/>
  <c r="L107" i="73"/>
  <c r="K107" i="73"/>
  <c r="L106" i="73"/>
  <c r="K106" i="73"/>
  <c r="L105" i="73"/>
  <c r="K105" i="73"/>
  <c r="L104" i="73"/>
  <c r="K104" i="73"/>
  <c r="L103" i="73"/>
  <c r="K103" i="73"/>
  <c r="L102" i="73"/>
  <c r="K102" i="73"/>
  <c r="L101" i="73"/>
  <c r="K101" i="73"/>
  <c r="L100" i="73"/>
  <c r="K100" i="73"/>
  <c r="L99" i="73"/>
  <c r="K99" i="73"/>
  <c r="L98" i="73"/>
  <c r="K98" i="73"/>
  <c r="L97" i="73"/>
  <c r="K97" i="73"/>
  <c r="L96" i="73"/>
  <c r="K96" i="73"/>
  <c r="L95" i="73"/>
  <c r="K95" i="73"/>
  <c r="L94" i="73"/>
  <c r="K94" i="73"/>
  <c r="L93" i="73"/>
  <c r="K93" i="73"/>
  <c r="L92" i="73"/>
  <c r="K92" i="73"/>
  <c r="L91" i="73"/>
  <c r="K91" i="73"/>
  <c r="L90" i="73"/>
  <c r="K90" i="73"/>
  <c r="L89" i="73"/>
  <c r="K89" i="73"/>
  <c r="L88" i="73"/>
  <c r="K88" i="73"/>
  <c r="L87" i="73"/>
  <c r="K87" i="73"/>
  <c r="L86" i="73"/>
  <c r="K86" i="73"/>
  <c r="L85" i="73"/>
  <c r="K85" i="73"/>
  <c r="L84" i="73"/>
  <c r="K84" i="73"/>
  <c r="L83" i="73"/>
  <c r="K83" i="73"/>
  <c r="L82" i="73"/>
  <c r="K82" i="73"/>
  <c r="L81" i="73"/>
  <c r="K81" i="73"/>
  <c r="L80" i="73"/>
  <c r="K80" i="73"/>
  <c r="L79" i="73"/>
  <c r="K79" i="73"/>
  <c r="L78" i="73"/>
  <c r="K78" i="73"/>
  <c r="L77" i="73"/>
  <c r="K77" i="73"/>
  <c r="L76" i="73"/>
  <c r="K76" i="73"/>
  <c r="L75" i="73"/>
  <c r="K75" i="73"/>
  <c r="L74" i="73"/>
  <c r="K74" i="73"/>
  <c r="L73" i="73"/>
  <c r="K73" i="73"/>
  <c r="L72" i="73"/>
  <c r="K72" i="73"/>
  <c r="L71" i="73"/>
  <c r="K71" i="73"/>
  <c r="L70" i="73"/>
  <c r="K70" i="73"/>
  <c r="L69" i="73"/>
  <c r="K69" i="73"/>
  <c r="L68" i="73"/>
  <c r="K68" i="73"/>
  <c r="L67" i="73"/>
  <c r="K67" i="73"/>
  <c r="L66" i="73"/>
  <c r="K66" i="73"/>
  <c r="L65" i="73"/>
  <c r="K65" i="73"/>
  <c r="L64" i="73"/>
  <c r="K64" i="73"/>
  <c r="L63" i="73"/>
  <c r="K63" i="73"/>
  <c r="L62" i="73"/>
  <c r="K62" i="73"/>
  <c r="L61" i="73"/>
  <c r="K61" i="73"/>
  <c r="L60" i="73"/>
  <c r="K60" i="73"/>
  <c r="L59" i="73"/>
  <c r="K59" i="73"/>
  <c r="L58" i="73"/>
  <c r="K58" i="73"/>
  <c r="L57" i="73"/>
  <c r="K57" i="73"/>
  <c r="L56" i="73"/>
  <c r="K56" i="73"/>
  <c r="L55" i="73"/>
  <c r="K55" i="73"/>
  <c r="L54" i="73"/>
  <c r="K54" i="73"/>
  <c r="L53" i="73"/>
  <c r="K53" i="73"/>
  <c r="L52" i="73"/>
  <c r="K52" i="73"/>
  <c r="L51" i="73"/>
  <c r="K51" i="73"/>
  <c r="L50" i="73"/>
  <c r="K50" i="73"/>
  <c r="L49" i="73"/>
  <c r="K49" i="73"/>
  <c r="L48" i="73"/>
  <c r="K48" i="73"/>
  <c r="L47" i="73"/>
  <c r="K47" i="73"/>
  <c r="L46" i="73"/>
  <c r="K46" i="73"/>
  <c r="L45" i="73"/>
  <c r="K45" i="73"/>
  <c r="L44" i="73"/>
  <c r="K44" i="73"/>
  <c r="L43" i="73"/>
  <c r="K43" i="73"/>
  <c r="L42" i="73"/>
  <c r="K42" i="73"/>
  <c r="L41" i="73"/>
  <c r="K41" i="73"/>
  <c r="L40" i="73"/>
  <c r="K40" i="73"/>
  <c r="L39" i="73"/>
  <c r="K39" i="73"/>
  <c r="L38" i="73"/>
  <c r="K38" i="73"/>
  <c r="L37" i="73"/>
  <c r="K37" i="73"/>
  <c r="L36" i="73"/>
  <c r="K36" i="73"/>
  <c r="L35" i="73"/>
  <c r="K35" i="73"/>
  <c r="L34" i="73"/>
  <c r="K34" i="73"/>
  <c r="L33" i="73"/>
  <c r="K33" i="73"/>
  <c r="L32" i="73"/>
  <c r="K32" i="73"/>
  <c r="L31" i="73"/>
  <c r="K31" i="73"/>
  <c r="L30" i="73"/>
  <c r="K30" i="73"/>
  <c r="L29" i="73"/>
  <c r="K29" i="73"/>
  <c r="L28" i="73"/>
  <c r="K28" i="73"/>
  <c r="L27" i="73"/>
  <c r="K27" i="73"/>
  <c r="L26" i="73"/>
  <c r="K26" i="73"/>
  <c r="L25" i="73"/>
  <c r="K25" i="73"/>
  <c r="L24" i="73"/>
  <c r="K24" i="73"/>
  <c r="L23" i="73"/>
  <c r="K23" i="73"/>
  <c r="L22" i="73"/>
  <c r="K22" i="73"/>
  <c r="L21" i="73"/>
  <c r="K21" i="73"/>
  <c r="L20" i="73"/>
  <c r="K20" i="73"/>
  <c r="L19" i="73"/>
  <c r="K19" i="73"/>
  <c r="L18" i="73"/>
  <c r="K18" i="73"/>
  <c r="L17" i="73"/>
  <c r="K17" i="73"/>
  <c r="L16" i="73"/>
  <c r="K16" i="73"/>
  <c r="L15" i="73"/>
  <c r="K15" i="73"/>
  <c r="L14" i="73"/>
  <c r="K14" i="73"/>
  <c r="L13" i="73"/>
  <c r="K13" i="73"/>
  <c r="L12" i="73"/>
  <c r="K12" i="73"/>
  <c r="L11" i="73"/>
  <c r="K11" i="73"/>
  <c r="L10" i="73"/>
  <c r="K10" i="73"/>
  <c r="L9" i="73"/>
  <c r="K9" i="73"/>
  <c r="L8" i="73"/>
  <c r="K8" i="73"/>
  <c r="L7" i="73"/>
  <c r="K7" i="73"/>
  <c r="L6" i="73"/>
  <c r="K6" i="73"/>
  <c r="L5" i="73"/>
  <c r="K5" i="73"/>
  <c r="L4" i="73"/>
  <c r="K4" i="73"/>
  <c r="L3" i="73"/>
  <c r="K3" i="73"/>
  <c r="L354" i="72"/>
  <c r="K354" i="72"/>
  <c r="L353" i="72"/>
  <c r="K353" i="72"/>
  <c r="L352" i="72"/>
  <c r="K352" i="72"/>
  <c r="L351" i="72"/>
  <c r="K351" i="72"/>
  <c r="L350" i="72"/>
  <c r="K350" i="72"/>
  <c r="L349" i="72"/>
  <c r="K349" i="72"/>
  <c r="L348" i="72"/>
  <c r="K348" i="72"/>
  <c r="L347" i="72"/>
  <c r="K347" i="72"/>
  <c r="L346" i="72"/>
  <c r="K346" i="72"/>
  <c r="L345" i="72"/>
  <c r="K345" i="72"/>
  <c r="L344" i="72"/>
  <c r="K344" i="72"/>
  <c r="L343" i="72"/>
  <c r="K343" i="72"/>
  <c r="L342" i="72"/>
  <c r="K342" i="72"/>
  <c r="L341" i="72"/>
  <c r="K341" i="72"/>
  <c r="L340" i="72"/>
  <c r="K340" i="72"/>
  <c r="L339" i="72"/>
  <c r="K339" i="72"/>
  <c r="L338" i="72"/>
  <c r="K338" i="72"/>
  <c r="L337" i="72"/>
  <c r="K337" i="72"/>
  <c r="L336" i="72"/>
  <c r="K336" i="72"/>
  <c r="L335" i="72"/>
  <c r="K335" i="72"/>
  <c r="L334" i="72"/>
  <c r="K334" i="72"/>
  <c r="L333" i="72"/>
  <c r="K333" i="72"/>
  <c r="L332" i="72"/>
  <c r="K332" i="72"/>
  <c r="L331" i="72"/>
  <c r="K331" i="72"/>
  <c r="L330" i="72"/>
  <c r="K330" i="72"/>
  <c r="L329" i="72"/>
  <c r="K329" i="72"/>
  <c r="L328" i="72"/>
  <c r="K328" i="72"/>
  <c r="L327" i="72"/>
  <c r="K327" i="72"/>
  <c r="L326" i="72"/>
  <c r="K326" i="72"/>
  <c r="L325" i="72"/>
  <c r="K325" i="72"/>
  <c r="L324" i="72"/>
  <c r="K324" i="72"/>
  <c r="L323" i="72"/>
  <c r="K323" i="72"/>
  <c r="L322" i="72"/>
  <c r="K322" i="72"/>
  <c r="L321" i="72"/>
  <c r="K321" i="72"/>
  <c r="L320" i="72"/>
  <c r="K320" i="72"/>
  <c r="L319" i="72"/>
  <c r="K319" i="72"/>
  <c r="L318" i="72"/>
  <c r="K318" i="72"/>
  <c r="L317" i="72"/>
  <c r="K317" i="72"/>
  <c r="L316" i="72"/>
  <c r="K316" i="72"/>
  <c r="L315" i="72"/>
  <c r="K315" i="72"/>
  <c r="L314" i="72"/>
  <c r="K314" i="72"/>
  <c r="L313" i="72"/>
  <c r="K313" i="72"/>
  <c r="L312" i="72"/>
  <c r="K312" i="72"/>
  <c r="L311" i="72"/>
  <c r="K311" i="72"/>
  <c r="L310" i="72"/>
  <c r="K310" i="72"/>
  <c r="L309" i="72"/>
  <c r="K309" i="72"/>
  <c r="L308" i="72"/>
  <c r="K308" i="72"/>
  <c r="L307" i="72"/>
  <c r="K307" i="72"/>
  <c r="L306" i="72"/>
  <c r="K306" i="72"/>
  <c r="L305" i="72"/>
  <c r="K305" i="72"/>
  <c r="L304" i="72"/>
  <c r="K304" i="72"/>
  <c r="L303" i="72"/>
  <c r="K303" i="72"/>
  <c r="L302" i="72"/>
  <c r="K302" i="72"/>
  <c r="L301" i="72"/>
  <c r="K301" i="72"/>
  <c r="L300" i="72"/>
  <c r="K300" i="72"/>
  <c r="L299" i="72"/>
  <c r="K299" i="72"/>
  <c r="L298" i="72"/>
  <c r="K298" i="72"/>
  <c r="L297" i="72"/>
  <c r="K297" i="72"/>
  <c r="L296" i="72"/>
  <c r="K296" i="72"/>
  <c r="L295" i="72"/>
  <c r="K295" i="72"/>
  <c r="L294" i="72"/>
  <c r="K294" i="72"/>
  <c r="L293" i="72"/>
  <c r="K293" i="72"/>
  <c r="L292" i="72"/>
  <c r="K292" i="72"/>
  <c r="L291" i="72"/>
  <c r="K291" i="72"/>
  <c r="L290" i="72"/>
  <c r="K290" i="72"/>
  <c r="L289" i="72"/>
  <c r="K289" i="72"/>
  <c r="L288" i="72"/>
  <c r="K288" i="72"/>
  <c r="L287" i="72"/>
  <c r="K287" i="72"/>
  <c r="L286" i="72"/>
  <c r="K286" i="72"/>
  <c r="L285" i="72"/>
  <c r="K285" i="72"/>
  <c r="L284" i="72"/>
  <c r="K284" i="72"/>
  <c r="L283" i="72"/>
  <c r="K283" i="72"/>
  <c r="L282" i="72"/>
  <c r="K282" i="72"/>
  <c r="L281" i="72"/>
  <c r="K281" i="72"/>
  <c r="L280" i="72"/>
  <c r="K280" i="72"/>
  <c r="L279" i="72"/>
  <c r="K279" i="72"/>
  <c r="L278" i="72"/>
  <c r="K278" i="72"/>
  <c r="L277" i="72"/>
  <c r="K277" i="72"/>
  <c r="L276" i="72"/>
  <c r="K276" i="72"/>
  <c r="L275" i="72"/>
  <c r="K275" i="72"/>
  <c r="L274" i="72"/>
  <c r="K274" i="72"/>
  <c r="L273" i="72"/>
  <c r="K273" i="72"/>
  <c r="L272" i="72"/>
  <c r="K272" i="72"/>
  <c r="L271" i="72"/>
  <c r="K271" i="72"/>
  <c r="L270" i="72"/>
  <c r="K270" i="72"/>
  <c r="L269" i="72"/>
  <c r="K269" i="72"/>
  <c r="L268" i="72"/>
  <c r="K268" i="72"/>
  <c r="L267" i="72"/>
  <c r="K267" i="72"/>
  <c r="L266" i="72"/>
  <c r="K266" i="72"/>
  <c r="L265" i="72"/>
  <c r="K265" i="72"/>
  <c r="L264" i="72"/>
  <c r="K264" i="72"/>
  <c r="L263" i="72"/>
  <c r="K263" i="72"/>
  <c r="L262" i="72"/>
  <c r="K262" i="72"/>
  <c r="L261" i="72"/>
  <c r="K261" i="72"/>
  <c r="L260" i="72"/>
  <c r="K260" i="72"/>
  <c r="L259" i="72"/>
  <c r="K259" i="72"/>
  <c r="L258" i="72"/>
  <c r="K258" i="72"/>
  <c r="L257" i="72"/>
  <c r="K257" i="72"/>
  <c r="L256" i="72"/>
  <c r="K256" i="72"/>
  <c r="L255" i="72"/>
  <c r="K255" i="72"/>
  <c r="L254" i="72"/>
  <c r="K254" i="72"/>
  <c r="L253" i="72"/>
  <c r="K253" i="72"/>
  <c r="L252" i="72"/>
  <c r="K252" i="72"/>
  <c r="L251" i="72"/>
  <c r="K251" i="72"/>
  <c r="L250" i="72"/>
  <c r="K250" i="72"/>
  <c r="L249" i="72"/>
  <c r="K249" i="72"/>
  <c r="L248" i="72"/>
  <c r="K248" i="72"/>
  <c r="L247" i="72"/>
  <c r="K247" i="72"/>
  <c r="L246" i="72"/>
  <c r="K246" i="72"/>
  <c r="L245" i="72"/>
  <c r="K245" i="72"/>
  <c r="L244" i="72"/>
  <c r="K244" i="72"/>
  <c r="L243" i="72"/>
  <c r="K243" i="72"/>
  <c r="L242" i="72"/>
  <c r="K242" i="72"/>
  <c r="L241" i="72"/>
  <c r="K241" i="72"/>
  <c r="L240" i="72"/>
  <c r="K240" i="72"/>
  <c r="L239" i="72"/>
  <c r="K239" i="72"/>
  <c r="L238" i="72"/>
  <c r="K238" i="72"/>
  <c r="L237" i="72"/>
  <c r="K237" i="72"/>
  <c r="L236" i="72"/>
  <c r="K236" i="72"/>
  <c r="L235" i="72"/>
  <c r="K235" i="72"/>
  <c r="L234" i="72"/>
  <c r="K234" i="72"/>
  <c r="L233" i="72"/>
  <c r="K233" i="72"/>
  <c r="L232" i="72"/>
  <c r="K232" i="72"/>
  <c r="L231" i="72"/>
  <c r="K231" i="72"/>
  <c r="L230" i="72"/>
  <c r="K230" i="72"/>
  <c r="L229" i="72"/>
  <c r="K229" i="72"/>
  <c r="L228" i="72"/>
  <c r="K228" i="72"/>
  <c r="L227" i="72"/>
  <c r="K227" i="72"/>
  <c r="L226" i="72"/>
  <c r="K226" i="72"/>
  <c r="L225" i="72"/>
  <c r="K225" i="72"/>
  <c r="L224" i="72"/>
  <c r="K224" i="72"/>
  <c r="L223" i="72"/>
  <c r="K223" i="72"/>
  <c r="L222" i="72"/>
  <c r="K222" i="72"/>
  <c r="L221" i="72"/>
  <c r="K221" i="72"/>
  <c r="L220" i="72"/>
  <c r="K220" i="72"/>
  <c r="L219" i="72"/>
  <c r="K219" i="72"/>
  <c r="L218" i="72"/>
  <c r="K218" i="72"/>
  <c r="L217" i="72"/>
  <c r="K217" i="72"/>
  <c r="L216" i="72"/>
  <c r="K216" i="72"/>
  <c r="L215" i="72"/>
  <c r="K215" i="72"/>
  <c r="L214" i="72"/>
  <c r="K214" i="72"/>
  <c r="L213" i="72"/>
  <c r="K213" i="72"/>
  <c r="L212" i="72"/>
  <c r="K212" i="72"/>
  <c r="L211" i="72"/>
  <c r="K211" i="72"/>
  <c r="L210" i="72"/>
  <c r="K210" i="72"/>
  <c r="L209" i="72"/>
  <c r="K209" i="72"/>
  <c r="L208" i="72"/>
  <c r="K208" i="72"/>
  <c r="L207" i="72"/>
  <c r="K207" i="72"/>
  <c r="L206" i="72"/>
  <c r="K206" i="72"/>
  <c r="L205" i="72"/>
  <c r="K205" i="72"/>
  <c r="L204" i="72"/>
  <c r="K204" i="72"/>
  <c r="L203" i="72"/>
  <c r="K203" i="72"/>
  <c r="L202" i="72"/>
  <c r="K202" i="72"/>
  <c r="L201" i="72"/>
  <c r="K201" i="72"/>
  <c r="L200" i="72"/>
  <c r="K200" i="72"/>
  <c r="L199" i="72"/>
  <c r="K199" i="72"/>
  <c r="L198" i="72"/>
  <c r="K198" i="72"/>
  <c r="L197" i="72"/>
  <c r="K197" i="72"/>
  <c r="L196" i="72"/>
  <c r="K196" i="72"/>
  <c r="L195" i="72"/>
  <c r="K195" i="72"/>
  <c r="L194" i="72"/>
  <c r="K194" i="72"/>
  <c r="L193" i="72"/>
  <c r="K193" i="72"/>
  <c r="L192" i="72"/>
  <c r="K192" i="72"/>
  <c r="L191" i="72"/>
  <c r="K191" i="72"/>
  <c r="L190" i="72"/>
  <c r="K190" i="72"/>
  <c r="L189" i="72"/>
  <c r="K189" i="72"/>
  <c r="L188" i="72"/>
  <c r="K188" i="72"/>
  <c r="L187" i="72"/>
  <c r="K187" i="72"/>
  <c r="L186" i="72"/>
  <c r="K186" i="72"/>
  <c r="L185" i="72"/>
  <c r="K185" i="72"/>
  <c r="L184" i="72"/>
  <c r="K184" i="72"/>
  <c r="L183" i="72"/>
  <c r="K183" i="72"/>
  <c r="L182" i="72"/>
  <c r="K182" i="72"/>
  <c r="L181" i="72"/>
  <c r="K181" i="72"/>
  <c r="L180" i="72"/>
  <c r="K180" i="72"/>
  <c r="L179" i="72"/>
  <c r="K179" i="72"/>
  <c r="L178" i="72"/>
  <c r="K178" i="72"/>
  <c r="L177" i="72"/>
  <c r="K177" i="72"/>
  <c r="L176" i="72"/>
  <c r="K176" i="72"/>
  <c r="L175" i="72"/>
  <c r="K175" i="72"/>
  <c r="L174" i="72"/>
  <c r="K174" i="72"/>
  <c r="L173" i="72"/>
  <c r="K173" i="72"/>
  <c r="L172" i="72"/>
  <c r="K172" i="72"/>
  <c r="L171" i="72"/>
  <c r="K171" i="72"/>
  <c r="L170" i="72"/>
  <c r="K170" i="72"/>
  <c r="L169" i="72"/>
  <c r="K169" i="72"/>
  <c r="L168" i="72"/>
  <c r="K168" i="72"/>
  <c r="L167" i="72"/>
  <c r="K167" i="72"/>
  <c r="L166" i="72"/>
  <c r="K166" i="72"/>
  <c r="L165" i="72"/>
  <c r="K165" i="72"/>
  <c r="L164" i="72"/>
  <c r="K164" i="72"/>
  <c r="L163" i="72"/>
  <c r="K163" i="72"/>
  <c r="L162" i="72"/>
  <c r="K162" i="72"/>
  <c r="L161" i="72"/>
  <c r="K161" i="72"/>
  <c r="L160" i="72"/>
  <c r="K160" i="72"/>
  <c r="L159" i="72"/>
  <c r="K159" i="72"/>
  <c r="L158" i="72"/>
  <c r="K158" i="72"/>
  <c r="L157" i="72"/>
  <c r="K157" i="72"/>
  <c r="L156" i="72"/>
  <c r="K156" i="72"/>
  <c r="L155" i="72"/>
  <c r="K155" i="72"/>
  <c r="L154" i="72"/>
  <c r="K154" i="72"/>
  <c r="L153" i="72"/>
  <c r="K153" i="72"/>
  <c r="L152" i="72"/>
  <c r="K152" i="72"/>
  <c r="L151" i="72"/>
  <c r="K151" i="72"/>
  <c r="L150" i="72"/>
  <c r="K150" i="72"/>
  <c r="L149" i="72"/>
  <c r="K149" i="72"/>
  <c r="L148" i="72"/>
  <c r="K148" i="72"/>
  <c r="L147" i="72"/>
  <c r="K147" i="72"/>
  <c r="L146" i="72"/>
  <c r="K146" i="72"/>
  <c r="L145" i="72"/>
  <c r="K145" i="72"/>
  <c r="L144" i="72"/>
  <c r="K144" i="72"/>
  <c r="L143" i="72"/>
  <c r="K143" i="72"/>
  <c r="L142" i="72"/>
  <c r="K142" i="72"/>
  <c r="L141" i="72"/>
  <c r="K141" i="72"/>
  <c r="L140" i="72"/>
  <c r="K140" i="72"/>
  <c r="L139" i="72"/>
  <c r="K139" i="72"/>
  <c r="L138" i="72"/>
  <c r="K138" i="72"/>
  <c r="L137" i="72"/>
  <c r="K137" i="72"/>
  <c r="L136" i="72"/>
  <c r="K136" i="72"/>
  <c r="L135" i="72"/>
  <c r="K135" i="72"/>
  <c r="L134" i="72"/>
  <c r="K134" i="72"/>
  <c r="L133" i="72"/>
  <c r="K133" i="72"/>
  <c r="L132" i="72"/>
  <c r="K132" i="72"/>
  <c r="L131" i="72"/>
  <c r="K131" i="72"/>
  <c r="L130" i="72"/>
  <c r="K130" i="72"/>
  <c r="L129" i="72"/>
  <c r="K129" i="72"/>
  <c r="L128" i="72"/>
  <c r="K128" i="72"/>
  <c r="L127" i="72"/>
  <c r="K127" i="72"/>
  <c r="L126" i="72"/>
  <c r="K126" i="72"/>
  <c r="L125" i="72"/>
  <c r="K125" i="72"/>
  <c r="L124" i="72"/>
  <c r="K124" i="72"/>
  <c r="L123" i="72"/>
  <c r="K123" i="72"/>
  <c r="L122" i="72"/>
  <c r="K122" i="72"/>
  <c r="L121" i="72"/>
  <c r="K121" i="72"/>
  <c r="L120" i="72"/>
  <c r="K120" i="72"/>
  <c r="L119" i="72"/>
  <c r="K119" i="72"/>
  <c r="L118" i="72"/>
  <c r="K118" i="72"/>
  <c r="L117" i="72"/>
  <c r="K117" i="72"/>
  <c r="L116" i="72"/>
  <c r="K116" i="72"/>
  <c r="L115" i="72"/>
  <c r="K115" i="72"/>
  <c r="L114" i="72"/>
  <c r="K114" i="72"/>
  <c r="L113" i="72"/>
  <c r="K113" i="72"/>
  <c r="L112" i="72"/>
  <c r="K112" i="72"/>
  <c r="L111" i="72"/>
  <c r="K111" i="72"/>
  <c r="L110" i="72"/>
  <c r="K110" i="72"/>
  <c r="L109" i="72"/>
  <c r="K109" i="72"/>
  <c r="L108" i="72"/>
  <c r="K108" i="72"/>
  <c r="L107" i="72"/>
  <c r="K107" i="72"/>
  <c r="L106" i="72"/>
  <c r="K106" i="72"/>
  <c r="L105" i="72"/>
  <c r="K105" i="72"/>
  <c r="L104" i="72"/>
  <c r="K104" i="72"/>
  <c r="L103" i="72"/>
  <c r="K103" i="72"/>
  <c r="L102" i="72"/>
  <c r="K102" i="72"/>
  <c r="L101" i="72"/>
  <c r="K101" i="72"/>
  <c r="L100" i="72"/>
  <c r="K100" i="72"/>
  <c r="L99" i="72"/>
  <c r="K99" i="72"/>
  <c r="L98" i="72"/>
  <c r="K98" i="72"/>
  <c r="L97" i="72"/>
  <c r="K97" i="72"/>
  <c r="L96" i="72"/>
  <c r="K96" i="72"/>
  <c r="L95" i="72"/>
  <c r="K95" i="72"/>
  <c r="L94" i="72"/>
  <c r="K94" i="72"/>
  <c r="L93" i="72"/>
  <c r="K93" i="72"/>
  <c r="L92" i="72"/>
  <c r="K92" i="72"/>
  <c r="L91" i="72"/>
  <c r="K91" i="72"/>
  <c r="L90" i="72"/>
  <c r="K90" i="72"/>
  <c r="L89" i="72"/>
  <c r="K89" i="72"/>
  <c r="L88" i="72"/>
  <c r="K88" i="72"/>
  <c r="L87" i="72"/>
  <c r="K87" i="72"/>
  <c r="L86" i="72"/>
  <c r="K86" i="72"/>
  <c r="L85" i="72"/>
  <c r="K85" i="72"/>
  <c r="L84" i="72"/>
  <c r="K84" i="72"/>
  <c r="L83" i="72"/>
  <c r="K83" i="72"/>
  <c r="L82" i="72"/>
  <c r="K82" i="72"/>
  <c r="L81" i="72"/>
  <c r="K81" i="72"/>
  <c r="L80" i="72"/>
  <c r="K80" i="72"/>
  <c r="L79" i="72"/>
  <c r="K79" i="72"/>
  <c r="L78" i="72"/>
  <c r="K78" i="72"/>
  <c r="L77" i="72"/>
  <c r="K77" i="72"/>
  <c r="L76" i="72"/>
  <c r="K76" i="72"/>
  <c r="L75" i="72"/>
  <c r="K75" i="72"/>
  <c r="L74" i="72"/>
  <c r="K74" i="72"/>
  <c r="L73" i="72"/>
  <c r="K73" i="72"/>
  <c r="L72" i="72"/>
  <c r="K72" i="72"/>
  <c r="L71" i="72"/>
  <c r="K71" i="72"/>
  <c r="L70" i="72"/>
  <c r="K70" i="72"/>
  <c r="L69" i="72"/>
  <c r="K69" i="72"/>
  <c r="L68" i="72"/>
  <c r="K68" i="72"/>
  <c r="L67" i="72"/>
  <c r="K67" i="72"/>
  <c r="L66" i="72"/>
  <c r="K66" i="72"/>
  <c r="L65" i="72"/>
  <c r="K65" i="72"/>
  <c r="L64" i="72"/>
  <c r="K64" i="72"/>
  <c r="L63" i="72"/>
  <c r="K63" i="72"/>
  <c r="L62" i="72"/>
  <c r="K62" i="72"/>
  <c r="L61" i="72"/>
  <c r="K61" i="72"/>
  <c r="L60" i="72"/>
  <c r="K60" i="72"/>
  <c r="L59" i="72"/>
  <c r="K59" i="72"/>
  <c r="L58" i="72"/>
  <c r="K58" i="72"/>
  <c r="L57" i="72"/>
  <c r="K57" i="72"/>
  <c r="L56" i="72"/>
  <c r="K56" i="72"/>
  <c r="L55" i="72"/>
  <c r="K55" i="72"/>
  <c r="L54" i="72"/>
  <c r="K54" i="72"/>
  <c r="L53" i="72"/>
  <c r="K53" i="72"/>
  <c r="L52" i="72"/>
  <c r="K52" i="72"/>
  <c r="L51" i="72"/>
  <c r="K51" i="72"/>
  <c r="L50" i="72"/>
  <c r="K50" i="72"/>
  <c r="L49" i="72"/>
  <c r="K49" i="72"/>
  <c r="L48" i="72"/>
  <c r="K48" i="72"/>
  <c r="L47" i="72"/>
  <c r="K47" i="72"/>
  <c r="L46" i="72"/>
  <c r="K46" i="72"/>
  <c r="L45" i="72"/>
  <c r="K45" i="72"/>
  <c r="L44" i="72"/>
  <c r="K44" i="72"/>
  <c r="L43" i="72"/>
  <c r="K43" i="72"/>
  <c r="L42" i="72"/>
  <c r="K42" i="72"/>
  <c r="L41" i="72"/>
  <c r="K41" i="72"/>
  <c r="L40" i="72"/>
  <c r="K40" i="72"/>
  <c r="L39" i="72"/>
  <c r="K39" i="72"/>
  <c r="L38" i="72"/>
  <c r="K38" i="72"/>
  <c r="L37" i="72"/>
  <c r="K37" i="72"/>
  <c r="L36" i="72"/>
  <c r="K36" i="72"/>
  <c r="L35" i="72"/>
  <c r="K35" i="72"/>
  <c r="L34" i="72"/>
  <c r="K34" i="72"/>
  <c r="L33" i="72"/>
  <c r="K33" i="72"/>
  <c r="L32" i="72"/>
  <c r="K32" i="72"/>
  <c r="L31" i="72"/>
  <c r="K31" i="72"/>
  <c r="L30" i="72"/>
  <c r="K30" i="72"/>
  <c r="L29" i="72"/>
  <c r="K29" i="72"/>
  <c r="L28" i="72"/>
  <c r="K28" i="72"/>
  <c r="L27" i="72"/>
  <c r="K27" i="72"/>
  <c r="L25" i="72"/>
  <c r="K25" i="72"/>
  <c r="L24" i="72"/>
  <c r="K24" i="72"/>
  <c r="L23" i="72"/>
  <c r="K23" i="72"/>
  <c r="L22" i="72"/>
  <c r="K22" i="72"/>
  <c r="L21" i="72"/>
  <c r="K21" i="72"/>
  <c r="L20" i="72"/>
  <c r="K20" i="72"/>
  <c r="L19" i="72"/>
  <c r="K19" i="72"/>
  <c r="L18" i="72"/>
  <c r="K18" i="72"/>
  <c r="L17" i="72"/>
  <c r="K17" i="72"/>
  <c r="L16" i="72"/>
  <c r="K16" i="72"/>
  <c r="L15" i="72"/>
  <c r="K15" i="72"/>
  <c r="L14" i="72"/>
  <c r="K14" i="72"/>
  <c r="L13" i="72"/>
  <c r="K13" i="72"/>
  <c r="L12" i="72"/>
  <c r="K12" i="72"/>
  <c r="L11" i="72"/>
  <c r="K11" i="72"/>
  <c r="L10" i="72"/>
  <c r="K10" i="72"/>
  <c r="L9" i="72"/>
  <c r="K9" i="72"/>
  <c r="L8" i="72"/>
  <c r="K8" i="72"/>
  <c r="L7" i="72"/>
  <c r="K7" i="72"/>
  <c r="L5" i="72"/>
  <c r="K5" i="72"/>
  <c r="L4" i="72"/>
  <c r="K4" i="72"/>
  <c r="L354" i="66"/>
  <c r="K354" i="66"/>
  <c r="L353" i="66"/>
  <c r="K353" i="66"/>
  <c r="L352" i="66"/>
  <c r="K352" i="66"/>
  <c r="L351" i="66"/>
  <c r="K351" i="66"/>
  <c r="L350" i="66"/>
  <c r="K350" i="66"/>
  <c r="L349" i="66"/>
  <c r="K349" i="66"/>
  <c r="L348" i="66"/>
  <c r="K348" i="66"/>
  <c r="L347" i="66"/>
  <c r="K347" i="66"/>
  <c r="L346" i="66"/>
  <c r="K346" i="66"/>
  <c r="L345" i="66"/>
  <c r="K345" i="66"/>
  <c r="L344" i="66"/>
  <c r="K344" i="66"/>
  <c r="L343" i="66"/>
  <c r="K343" i="66"/>
  <c r="L342" i="66"/>
  <c r="K342" i="66"/>
  <c r="L341" i="66"/>
  <c r="K341" i="66"/>
  <c r="L340" i="66"/>
  <c r="K340" i="66"/>
  <c r="L339" i="66"/>
  <c r="K339" i="66"/>
  <c r="L338" i="66"/>
  <c r="K338" i="66"/>
  <c r="L337" i="66"/>
  <c r="K337" i="66"/>
  <c r="L336" i="66"/>
  <c r="K336" i="66"/>
  <c r="L335" i="66"/>
  <c r="K335" i="66"/>
  <c r="L334" i="66"/>
  <c r="K334" i="66"/>
  <c r="L333" i="66"/>
  <c r="K333" i="66"/>
  <c r="L332" i="66"/>
  <c r="K332" i="66"/>
  <c r="L331" i="66"/>
  <c r="K331" i="66"/>
  <c r="L330" i="66"/>
  <c r="K330" i="66"/>
  <c r="L329" i="66"/>
  <c r="K329" i="66"/>
  <c r="L328" i="66"/>
  <c r="K328" i="66"/>
  <c r="L327" i="66"/>
  <c r="K327" i="66"/>
  <c r="L326" i="66"/>
  <c r="K326" i="66"/>
  <c r="L325" i="66"/>
  <c r="K325" i="66"/>
  <c r="L324" i="66"/>
  <c r="K324" i="66"/>
  <c r="L323" i="66"/>
  <c r="K323" i="66"/>
  <c r="L322" i="66"/>
  <c r="K322" i="66"/>
  <c r="L321" i="66"/>
  <c r="K321" i="66"/>
  <c r="L320" i="66"/>
  <c r="K320" i="66"/>
  <c r="L319" i="66"/>
  <c r="K319" i="66"/>
  <c r="L318" i="66"/>
  <c r="K318" i="66"/>
  <c r="L317" i="66"/>
  <c r="K317" i="66"/>
  <c r="L316" i="66"/>
  <c r="K316" i="66"/>
  <c r="L315" i="66"/>
  <c r="K315" i="66"/>
  <c r="L314" i="66"/>
  <c r="K314" i="66"/>
  <c r="L313" i="66"/>
  <c r="K313" i="66"/>
  <c r="L312" i="66"/>
  <c r="K312" i="66"/>
  <c r="L311" i="66"/>
  <c r="K311" i="66"/>
  <c r="L310" i="66"/>
  <c r="K310" i="66"/>
  <c r="L309" i="66"/>
  <c r="K309" i="66"/>
  <c r="L308" i="66"/>
  <c r="K308" i="66"/>
  <c r="L307" i="66"/>
  <c r="K307" i="66"/>
  <c r="L306" i="66"/>
  <c r="K306" i="66"/>
  <c r="L305" i="66"/>
  <c r="K305" i="66"/>
  <c r="L304" i="66"/>
  <c r="K304" i="66"/>
  <c r="L303" i="66"/>
  <c r="K303" i="66"/>
  <c r="L302" i="66"/>
  <c r="K302" i="66"/>
  <c r="L301" i="66"/>
  <c r="K301" i="66"/>
  <c r="L300" i="66"/>
  <c r="K300" i="66"/>
  <c r="L299" i="66"/>
  <c r="K299" i="66"/>
  <c r="L298" i="66"/>
  <c r="K298" i="66"/>
  <c r="L297" i="66"/>
  <c r="K297" i="66"/>
  <c r="L296" i="66"/>
  <c r="K296" i="66"/>
  <c r="L295" i="66"/>
  <c r="K295" i="66"/>
  <c r="L294" i="66"/>
  <c r="K294" i="66"/>
  <c r="L293" i="66"/>
  <c r="K293" i="66"/>
  <c r="L292" i="66"/>
  <c r="K292" i="66"/>
  <c r="L291" i="66"/>
  <c r="K291" i="66"/>
  <c r="L290" i="66"/>
  <c r="K290" i="66"/>
  <c r="L289" i="66"/>
  <c r="K289" i="66"/>
  <c r="L288" i="66"/>
  <c r="K288" i="66"/>
  <c r="L287" i="66"/>
  <c r="K287" i="66"/>
  <c r="L286" i="66"/>
  <c r="K286" i="66"/>
  <c r="L285" i="66"/>
  <c r="K285" i="66"/>
  <c r="L284" i="66"/>
  <c r="K284" i="66"/>
  <c r="L283" i="66"/>
  <c r="K283" i="66"/>
  <c r="L282" i="66"/>
  <c r="K282" i="66"/>
  <c r="L281" i="66"/>
  <c r="K281" i="66"/>
  <c r="L280" i="66"/>
  <c r="K280" i="66"/>
  <c r="L279" i="66"/>
  <c r="K279" i="66"/>
  <c r="L278" i="66"/>
  <c r="K278" i="66"/>
  <c r="L277" i="66"/>
  <c r="K277" i="66"/>
  <c r="L276" i="66"/>
  <c r="K276" i="66"/>
  <c r="L275" i="66"/>
  <c r="K275" i="66"/>
  <c r="L274" i="66"/>
  <c r="K274" i="66"/>
  <c r="L273" i="66"/>
  <c r="K273" i="66"/>
  <c r="L272" i="66"/>
  <c r="K272" i="66"/>
  <c r="L271" i="66"/>
  <c r="K271" i="66"/>
  <c r="L270" i="66"/>
  <c r="K270" i="66"/>
  <c r="L269" i="66"/>
  <c r="K269" i="66"/>
  <c r="L268" i="66"/>
  <c r="K268" i="66"/>
  <c r="L267" i="66"/>
  <c r="K267" i="66"/>
  <c r="L266" i="66"/>
  <c r="K266" i="66"/>
  <c r="L265" i="66"/>
  <c r="K265" i="66"/>
  <c r="L264" i="66"/>
  <c r="K264" i="66"/>
  <c r="L263" i="66"/>
  <c r="K263" i="66"/>
  <c r="L262" i="66"/>
  <c r="K262" i="66"/>
  <c r="L261" i="66"/>
  <c r="K261" i="66"/>
  <c r="L260" i="66"/>
  <c r="K260" i="66"/>
  <c r="L259" i="66"/>
  <c r="K259" i="66"/>
  <c r="L258" i="66"/>
  <c r="K258" i="66"/>
  <c r="L257" i="66"/>
  <c r="K257" i="66"/>
  <c r="L256" i="66"/>
  <c r="K256" i="66"/>
  <c r="L255" i="66"/>
  <c r="K255" i="66"/>
  <c r="L254" i="66"/>
  <c r="K254" i="66"/>
  <c r="L253" i="66"/>
  <c r="K253" i="66"/>
  <c r="L252" i="66"/>
  <c r="K252" i="66"/>
  <c r="L251" i="66"/>
  <c r="K251" i="66"/>
  <c r="L250" i="66"/>
  <c r="K250" i="66"/>
  <c r="L249" i="66"/>
  <c r="K249" i="66"/>
  <c r="L248" i="66"/>
  <c r="K248" i="66"/>
  <c r="L247" i="66"/>
  <c r="K247" i="66"/>
  <c r="L246" i="66"/>
  <c r="K246" i="66"/>
  <c r="L245" i="66"/>
  <c r="K245" i="66"/>
  <c r="L244" i="66"/>
  <c r="K244" i="66"/>
  <c r="L243" i="66"/>
  <c r="K243" i="66"/>
  <c r="L242" i="66"/>
  <c r="K242" i="66"/>
  <c r="L241" i="66"/>
  <c r="K241" i="66"/>
  <c r="L240" i="66"/>
  <c r="K240" i="66"/>
  <c r="L239" i="66"/>
  <c r="K239" i="66"/>
  <c r="L238" i="66"/>
  <c r="K238" i="66"/>
  <c r="L237" i="66"/>
  <c r="K237" i="66"/>
  <c r="L236" i="66"/>
  <c r="K236" i="66"/>
  <c r="L235" i="66"/>
  <c r="K235" i="66"/>
  <c r="L234" i="66"/>
  <c r="K234" i="66"/>
  <c r="L233" i="66"/>
  <c r="K233" i="66"/>
  <c r="L232" i="66"/>
  <c r="K232" i="66"/>
  <c r="L231" i="66"/>
  <c r="K231" i="66"/>
  <c r="L230" i="66"/>
  <c r="K230" i="66"/>
  <c r="L229" i="66"/>
  <c r="K229" i="66"/>
  <c r="L228" i="66"/>
  <c r="K228" i="66"/>
  <c r="L227" i="66"/>
  <c r="K227" i="66"/>
  <c r="L226" i="66"/>
  <c r="K226" i="66"/>
  <c r="L225" i="66"/>
  <c r="K225" i="66"/>
  <c r="L224" i="66"/>
  <c r="K224" i="66"/>
  <c r="L223" i="66"/>
  <c r="K223" i="66"/>
  <c r="L222" i="66"/>
  <c r="K222" i="66"/>
  <c r="L221" i="66"/>
  <c r="K221" i="66"/>
  <c r="L220" i="66"/>
  <c r="K220" i="66"/>
  <c r="L219" i="66"/>
  <c r="K219" i="66"/>
  <c r="L218" i="66"/>
  <c r="K218" i="66"/>
  <c r="L217" i="66"/>
  <c r="K217" i="66"/>
  <c r="L216" i="66"/>
  <c r="K216" i="66"/>
  <c r="L215" i="66"/>
  <c r="K215" i="66"/>
  <c r="L214" i="66"/>
  <c r="K214" i="66"/>
  <c r="L213" i="66"/>
  <c r="K213" i="66"/>
  <c r="L212" i="66"/>
  <c r="K212" i="66"/>
  <c r="L211" i="66"/>
  <c r="K211" i="66"/>
  <c r="L210" i="66"/>
  <c r="K210" i="66"/>
  <c r="L209" i="66"/>
  <c r="K209" i="66"/>
  <c r="L208" i="66"/>
  <c r="K208" i="66"/>
  <c r="L207" i="66"/>
  <c r="K207" i="66"/>
  <c r="L206" i="66"/>
  <c r="K206" i="66"/>
  <c r="L205" i="66"/>
  <c r="K205" i="66"/>
  <c r="L204" i="66"/>
  <c r="K204" i="66"/>
  <c r="L203" i="66"/>
  <c r="K203" i="66"/>
  <c r="L202" i="66"/>
  <c r="K202" i="66"/>
  <c r="L201" i="66"/>
  <c r="K201" i="66"/>
  <c r="L200" i="66"/>
  <c r="K200" i="66"/>
  <c r="L199" i="66"/>
  <c r="K199" i="66"/>
  <c r="L198" i="66"/>
  <c r="K198" i="66"/>
  <c r="L197" i="66"/>
  <c r="K197" i="66"/>
  <c r="L196" i="66"/>
  <c r="K196" i="66"/>
  <c r="L195" i="66"/>
  <c r="K195" i="66"/>
  <c r="L194" i="66"/>
  <c r="K194" i="66"/>
  <c r="L193" i="66"/>
  <c r="K193" i="66"/>
  <c r="L192" i="66"/>
  <c r="K192" i="66"/>
  <c r="L191" i="66"/>
  <c r="K191" i="66"/>
  <c r="L190" i="66"/>
  <c r="K190" i="66"/>
  <c r="L189" i="66"/>
  <c r="K189" i="66"/>
  <c r="L188" i="66"/>
  <c r="K188" i="66"/>
  <c r="L187" i="66"/>
  <c r="K187" i="66"/>
  <c r="L186" i="66"/>
  <c r="K186" i="66"/>
  <c r="L185" i="66"/>
  <c r="K185" i="66"/>
  <c r="L184" i="66"/>
  <c r="K184" i="66"/>
  <c r="L183" i="66"/>
  <c r="K183" i="66"/>
  <c r="L182" i="66"/>
  <c r="K182" i="66"/>
  <c r="L181" i="66"/>
  <c r="K181" i="66"/>
  <c r="L180" i="66"/>
  <c r="K180" i="66"/>
  <c r="L179" i="66"/>
  <c r="K179" i="66"/>
  <c r="L178" i="66"/>
  <c r="K178" i="66"/>
  <c r="L177" i="66"/>
  <c r="K177" i="66"/>
  <c r="L176" i="66"/>
  <c r="K176" i="66"/>
  <c r="L175" i="66"/>
  <c r="K175" i="66"/>
  <c r="L174" i="66"/>
  <c r="K174" i="66"/>
  <c r="L173" i="66"/>
  <c r="K173" i="66"/>
  <c r="L172" i="66"/>
  <c r="K172" i="66"/>
  <c r="L171" i="66"/>
  <c r="K171" i="66"/>
  <c r="L170" i="66"/>
  <c r="K170" i="66"/>
  <c r="L169" i="66"/>
  <c r="K169" i="66"/>
  <c r="L168" i="66"/>
  <c r="K168" i="66"/>
  <c r="L167" i="66"/>
  <c r="K167" i="66"/>
  <c r="L166" i="66"/>
  <c r="K166" i="66"/>
  <c r="L165" i="66"/>
  <c r="K165" i="66"/>
  <c r="L164" i="66"/>
  <c r="K164" i="66"/>
  <c r="L163" i="66"/>
  <c r="K163" i="66"/>
  <c r="L162" i="66"/>
  <c r="K162" i="66"/>
  <c r="L161" i="66"/>
  <c r="K161" i="66"/>
  <c r="L160" i="66"/>
  <c r="K160" i="66"/>
  <c r="L159" i="66"/>
  <c r="K159" i="66"/>
  <c r="L158" i="66"/>
  <c r="K158" i="66"/>
  <c r="L157" i="66"/>
  <c r="K157" i="66"/>
  <c r="L156" i="66"/>
  <c r="K156" i="66"/>
  <c r="L155" i="66"/>
  <c r="K155" i="66"/>
  <c r="L154" i="66"/>
  <c r="K154" i="66"/>
  <c r="L153" i="66"/>
  <c r="K153" i="66"/>
  <c r="L152" i="66"/>
  <c r="K152" i="66"/>
  <c r="L151" i="66"/>
  <c r="K151" i="66"/>
  <c r="L150" i="66"/>
  <c r="K150" i="66"/>
  <c r="L149" i="66"/>
  <c r="K149" i="66"/>
  <c r="L148" i="66"/>
  <c r="K148" i="66"/>
  <c r="L147" i="66"/>
  <c r="K147" i="66"/>
  <c r="L146" i="66"/>
  <c r="K146" i="66"/>
  <c r="L145" i="66"/>
  <c r="K145" i="66"/>
  <c r="L144" i="66"/>
  <c r="K144" i="66"/>
  <c r="L143" i="66"/>
  <c r="K143" i="66"/>
  <c r="L142" i="66"/>
  <c r="K142" i="66"/>
  <c r="L141" i="66"/>
  <c r="K141" i="66"/>
  <c r="L140" i="66"/>
  <c r="K140" i="66"/>
  <c r="L139" i="66"/>
  <c r="K139" i="66"/>
  <c r="L138" i="66"/>
  <c r="K138" i="66"/>
  <c r="L137" i="66"/>
  <c r="K137" i="66"/>
  <c r="L136" i="66"/>
  <c r="K136" i="66"/>
  <c r="L135" i="66"/>
  <c r="K135" i="66"/>
  <c r="L134" i="66"/>
  <c r="K134" i="66"/>
  <c r="L133" i="66"/>
  <c r="K133" i="66"/>
  <c r="L132" i="66"/>
  <c r="K132" i="66"/>
  <c r="L131" i="66"/>
  <c r="K131" i="66"/>
  <c r="L130" i="66"/>
  <c r="K130" i="66"/>
  <c r="L129" i="66"/>
  <c r="K129" i="66"/>
  <c r="L128" i="66"/>
  <c r="K128" i="66"/>
  <c r="L127" i="66"/>
  <c r="K127" i="66"/>
  <c r="L126" i="66"/>
  <c r="K126" i="66"/>
  <c r="L125" i="66"/>
  <c r="K125" i="66"/>
  <c r="L124" i="66"/>
  <c r="K124" i="66"/>
  <c r="L123" i="66"/>
  <c r="K123" i="66"/>
  <c r="L122" i="66"/>
  <c r="K122" i="66"/>
  <c r="L121" i="66"/>
  <c r="K121" i="66"/>
  <c r="L120" i="66"/>
  <c r="K120" i="66"/>
  <c r="L119" i="66"/>
  <c r="K119" i="66"/>
  <c r="L118" i="66"/>
  <c r="K118" i="66"/>
  <c r="L117" i="66"/>
  <c r="K117" i="66"/>
  <c r="L116" i="66"/>
  <c r="K116" i="66"/>
  <c r="L115" i="66"/>
  <c r="K115" i="66"/>
  <c r="L114" i="66"/>
  <c r="K114" i="66"/>
  <c r="L113" i="66"/>
  <c r="K113" i="66"/>
  <c r="L112" i="66"/>
  <c r="K112" i="66"/>
  <c r="L111" i="66"/>
  <c r="K111" i="66"/>
  <c r="L110" i="66"/>
  <c r="K110" i="66"/>
  <c r="L109" i="66"/>
  <c r="K109" i="66"/>
  <c r="L108" i="66"/>
  <c r="K108" i="66"/>
  <c r="L107" i="66"/>
  <c r="K107" i="66"/>
  <c r="L106" i="66"/>
  <c r="K106" i="66"/>
  <c r="L105" i="66"/>
  <c r="K105" i="66"/>
  <c r="L104" i="66"/>
  <c r="K104" i="66"/>
  <c r="L103" i="66"/>
  <c r="K103" i="66"/>
  <c r="L102" i="66"/>
  <c r="K102" i="66"/>
  <c r="L101" i="66"/>
  <c r="K101" i="66"/>
  <c r="L100" i="66"/>
  <c r="K100" i="66"/>
  <c r="L99" i="66"/>
  <c r="K99" i="66"/>
  <c r="L98" i="66"/>
  <c r="K98" i="66"/>
  <c r="L97" i="66"/>
  <c r="K97" i="66"/>
  <c r="L96" i="66"/>
  <c r="K96" i="66"/>
  <c r="L95" i="66"/>
  <c r="K95" i="66"/>
  <c r="L94" i="66"/>
  <c r="K94" i="66"/>
  <c r="L93" i="66"/>
  <c r="K93" i="66"/>
  <c r="L92" i="66"/>
  <c r="K92" i="66"/>
  <c r="L91" i="66"/>
  <c r="K91" i="66"/>
  <c r="L90" i="66"/>
  <c r="K90" i="66"/>
  <c r="L89" i="66"/>
  <c r="K89" i="66"/>
  <c r="L88" i="66"/>
  <c r="K88" i="66"/>
  <c r="L87" i="66"/>
  <c r="K87" i="66"/>
  <c r="L86" i="66"/>
  <c r="K86" i="66"/>
  <c r="L85" i="66"/>
  <c r="K85" i="66"/>
  <c r="L84" i="66"/>
  <c r="K84" i="66"/>
  <c r="L83" i="66"/>
  <c r="K83" i="66"/>
  <c r="L82" i="66"/>
  <c r="K82" i="66"/>
  <c r="L81" i="66"/>
  <c r="K81" i="66"/>
  <c r="L80" i="66"/>
  <c r="K80" i="66"/>
  <c r="L79" i="66"/>
  <c r="K79" i="66"/>
  <c r="L78" i="66"/>
  <c r="K78" i="66"/>
  <c r="L77" i="66"/>
  <c r="K77" i="66"/>
  <c r="L76" i="66"/>
  <c r="K76" i="66"/>
  <c r="L75" i="66"/>
  <c r="K75" i="66"/>
  <c r="L74" i="66"/>
  <c r="K74" i="66"/>
  <c r="L73" i="66"/>
  <c r="K73" i="66"/>
  <c r="L72" i="66"/>
  <c r="K72" i="66"/>
  <c r="L71" i="66"/>
  <c r="K71" i="66"/>
  <c r="L70" i="66"/>
  <c r="K70" i="66"/>
  <c r="L69" i="66"/>
  <c r="K69" i="66"/>
  <c r="L68" i="66"/>
  <c r="K68" i="66"/>
  <c r="L67" i="66"/>
  <c r="K67" i="66"/>
  <c r="L66" i="66"/>
  <c r="K66" i="66"/>
  <c r="L65" i="66"/>
  <c r="K65" i="66"/>
  <c r="L64" i="66"/>
  <c r="K64" i="66"/>
  <c r="L63" i="66"/>
  <c r="K63" i="66"/>
  <c r="L62" i="66"/>
  <c r="K62" i="66"/>
  <c r="L61" i="66"/>
  <c r="K61" i="66"/>
  <c r="L60" i="66"/>
  <c r="K60" i="66"/>
  <c r="L59" i="66"/>
  <c r="K59" i="66"/>
  <c r="L58" i="66"/>
  <c r="K58" i="66"/>
  <c r="L57" i="66"/>
  <c r="K57" i="66"/>
  <c r="L56" i="66"/>
  <c r="K56" i="66"/>
  <c r="L55" i="66"/>
  <c r="K55" i="66"/>
  <c r="L54" i="66"/>
  <c r="K54" i="66"/>
  <c r="L53" i="66"/>
  <c r="K53" i="66"/>
  <c r="L52" i="66"/>
  <c r="K52" i="66"/>
  <c r="L51" i="66"/>
  <c r="K51" i="66"/>
  <c r="L50" i="66"/>
  <c r="K50" i="66"/>
  <c r="L49" i="66"/>
  <c r="K49" i="66"/>
  <c r="L48" i="66"/>
  <c r="K48" i="66"/>
  <c r="L47" i="66"/>
  <c r="K47" i="66"/>
  <c r="L46" i="66"/>
  <c r="K46" i="66"/>
  <c r="L45" i="66"/>
  <c r="K45" i="66"/>
  <c r="L44" i="66"/>
  <c r="K44" i="66"/>
  <c r="L43" i="66"/>
  <c r="K43" i="66"/>
  <c r="L42" i="66"/>
  <c r="K42" i="66"/>
  <c r="L41" i="66"/>
  <c r="K41" i="66"/>
  <c r="L40" i="66"/>
  <c r="K40" i="66"/>
  <c r="L39" i="66"/>
  <c r="K39" i="66"/>
  <c r="L38" i="66"/>
  <c r="K38" i="66"/>
  <c r="L37" i="66"/>
  <c r="K37" i="66"/>
  <c r="L36" i="66"/>
  <c r="K36" i="66"/>
  <c r="L35" i="66"/>
  <c r="K35" i="66"/>
  <c r="L34" i="66"/>
  <c r="K34" i="66"/>
  <c r="L33" i="66"/>
  <c r="K33" i="66"/>
  <c r="L32" i="66"/>
  <c r="K32" i="66"/>
  <c r="L31" i="66"/>
  <c r="K31" i="66"/>
  <c r="L30" i="66"/>
  <c r="K30" i="66"/>
  <c r="L29" i="66"/>
  <c r="K29" i="66"/>
  <c r="L28" i="66"/>
  <c r="K28" i="66"/>
  <c r="L27" i="66"/>
  <c r="K27" i="66"/>
  <c r="L26" i="66"/>
  <c r="K26" i="66"/>
  <c r="L25" i="66"/>
  <c r="K25" i="66"/>
  <c r="L24" i="66"/>
  <c r="K24" i="66"/>
  <c r="L23" i="66"/>
  <c r="K23" i="66"/>
  <c r="L22" i="66"/>
  <c r="K22" i="66"/>
  <c r="L21" i="66"/>
  <c r="K21" i="66"/>
  <c r="L20" i="66"/>
  <c r="K20" i="66"/>
  <c r="L19" i="66"/>
  <c r="K19" i="66"/>
  <c r="L18" i="66"/>
  <c r="K18" i="66"/>
  <c r="L17" i="66"/>
  <c r="K17" i="66"/>
  <c r="L16" i="66"/>
  <c r="K16" i="66"/>
  <c r="L15" i="66"/>
  <c r="K15" i="66"/>
  <c r="L14" i="66"/>
  <c r="K14" i="66"/>
  <c r="L13" i="66"/>
  <c r="K13" i="66"/>
  <c r="L12" i="66"/>
  <c r="K12" i="66"/>
  <c r="L11" i="66"/>
  <c r="K11" i="66"/>
  <c r="L10" i="66"/>
  <c r="K10" i="66"/>
  <c r="L9" i="66"/>
  <c r="K9" i="66"/>
  <c r="L8" i="66"/>
  <c r="K8" i="66"/>
  <c r="L7" i="66"/>
  <c r="K7" i="66"/>
  <c r="L6" i="66"/>
  <c r="K6" i="66"/>
  <c r="L5" i="66"/>
  <c r="K5" i="66"/>
  <c r="L4" i="66"/>
  <c r="K4" i="66"/>
  <c r="K6" i="41"/>
  <c r="L6" i="41"/>
  <c r="K7" i="41"/>
  <c r="L7" i="41"/>
  <c r="K8" i="41"/>
  <c r="L8" i="41"/>
  <c r="K9" i="41"/>
  <c r="L9" i="41"/>
  <c r="K10" i="41"/>
  <c r="L10" i="41"/>
  <c r="K11" i="41"/>
  <c r="L11" i="41"/>
  <c r="K12" i="41"/>
  <c r="L12" i="41"/>
  <c r="K13" i="41"/>
  <c r="L13" i="41"/>
  <c r="K14" i="41"/>
  <c r="L14" i="41"/>
  <c r="K15" i="41"/>
  <c r="L15" i="41"/>
  <c r="K16" i="41"/>
  <c r="L16" i="41"/>
  <c r="K17" i="41"/>
  <c r="L17" i="41"/>
  <c r="K18" i="41"/>
  <c r="L18" i="41"/>
  <c r="K19" i="41"/>
  <c r="L19" i="41"/>
  <c r="K20" i="41"/>
  <c r="L20" i="41"/>
  <c r="K22" i="41"/>
  <c r="L22" i="41"/>
  <c r="K23" i="41"/>
  <c r="L23" i="41"/>
  <c r="K24" i="41"/>
  <c r="L24" i="41"/>
  <c r="K25" i="41"/>
  <c r="L25" i="41"/>
  <c r="K26" i="41"/>
  <c r="L26" i="41"/>
  <c r="K27" i="41"/>
  <c r="L27" i="41"/>
  <c r="K28" i="41"/>
  <c r="L28" i="41"/>
  <c r="K29" i="41"/>
  <c r="L29" i="41"/>
  <c r="K30" i="41"/>
  <c r="L30" i="41"/>
  <c r="K31" i="41"/>
  <c r="L31" i="41"/>
  <c r="K32" i="41"/>
  <c r="L32" i="41"/>
  <c r="K33" i="41"/>
  <c r="L33" i="41"/>
  <c r="K34" i="41"/>
  <c r="L34" i="41"/>
  <c r="K35" i="41"/>
  <c r="L35" i="41"/>
  <c r="K36" i="41"/>
  <c r="L36" i="41"/>
  <c r="K37" i="41"/>
  <c r="L37" i="41"/>
  <c r="K38" i="41"/>
  <c r="L38" i="41"/>
  <c r="K39" i="41"/>
  <c r="L39" i="41"/>
  <c r="K40" i="41"/>
  <c r="L40" i="41"/>
  <c r="K41" i="41"/>
  <c r="L41" i="41"/>
  <c r="K42" i="41"/>
  <c r="L42" i="41"/>
  <c r="K43" i="41"/>
  <c r="L43" i="41"/>
  <c r="K44" i="41"/>
  <c r="L44" i="41"/>
  <c r="K45" i="41"/>
  <c r="L45" i="41"/>
  <c r="K46" i="41"/>
  <c r="L46" i="41"/>
  <c r="K47" i="41"/>
  <c r="L47" i="41"/>
  <c r="K48" i="41"/>
  <c r="L48" i="41"/>
  <c r="K49" i="41"/>
  <c r="L49" i="41"/>
  <c r="K50" i="41"/>
  <c r="L50" i="41"/>
  <c r="K51" i="41"/>
  <c r="L51" i="41"/>
  <c r="K52" i="41"/>
  <c r="L52" i="41"/>
  <c r="K53" i="41"/>
  <c r="L53" i="41"/>
  <c r="K54" i="41"/>
  <c r="L54" i="41"/>
  <c r="K55" i="41"/>
  <c r="L55" i="41"/>
  <c r="K56" i="41"/>
  <c r="L56" i="41"/>
  <c r="K57" i="41"/>
  <c r="L57" i="41"/>
  <c r="K58" i="41"/>
  <c r="L58" i="41"/>
  <c r="K59" i="41"/>
  <c r="L59" i="41"/>
  <c r="K60" i="41"/>
  <c r="L60" i="41"/>
  <c r="K61" i="41"/>
  <c r="L61" i="41"/>
  <c r="K62" i="41"/>
  <c r="L62" i="41"/>
  <c r="K63" i="41"/>
  <c r="L63" i="41"/>
  <c r="K65" i="41"/>
  <c r="L65" i="41"/>
  <c r="K66" i="41"/>
  <c r="L66" i="41"/>
  <c r="K67" i="41"/>
  <c r="L67" i="41"/>
  <c r="K68" i="41"/>
  <c r="L68" i="41"/>
  <c r="K69" i="41"/>
  <c r="L69" i="41"/>
  <c r="K70" i="41"/>
  <c r="L70" i="41"/>
  <c r="K71" i="41"/>
  <c r="L71" i="41"/>
  <c r="K72" i="41"/>
  <c r="L72" i="41"/>
  <c r="K73" i="41"/>
  <c r="L73" i="41"/>
  <c r="K74" i="41"/>
  <c r="L74" i="41"/>
  <c r="K75" i="41"/>
  <c r="L75" i="41"/>
  <c r="K76" i="41"/>
  <c r="L76" i="41"/>
  <c r="K77" i="41"/>
  <c r="L77" i="41"/>
  <c r="K78" i="41"/>
  <c r="L78" i="41"/>
  <c r="K79" i="41"/>
  <c r="L79" i="41"/>
  <c r="K80" i="41"/>
  <c r="L80" i="41"/>
  <c r="K81" i="41"/>
  <c r="L81" i="41"/>
  <c r="K82" i="41"/>
  <c r="L82" i="41"/>
  <c r="K83" i="41"/>
  <c r="L83" i="41"/>
  <c r="K84" i="41"/>
  <c r="L84" i="41"/>
  <c r="K85" i="41"/>
  <c r="L85" i="41"/>
  <c r="K86" i="41"/>
  <c r="L86" i="41"/>
  <c r="K87" i="41"/>
  <c r="L87" i="41"/>
  <c r="K88" i="41"/>
  <c r="L88" i="41"/>
  <c r="K89" i="41"/>
  <c r="L89" i="41"/>
  <c r="K90" i="41"/>
  <c r="L90" i="41"/>
  <c r="K91" i="41"/>
  <c r="L91" i="41"/>
  <c r="K92" i="41"/>
  <c r="L92" i="41"/>
  <c r="K93" i="41"/>
  <c r="L93" i="41"/>
  <c r="K94" i="41"/>
  <c r="L94" i="41"/>
  <c r="K95" i="41"/>
  <c r="L95" i="41"/>
  <c r="K99" i="41"/>
  <c r="L99" i="41"/>
  <c r="K100" i="41"/>
  <c r="L100" i="41"/>
  <c r="K101" i="41"/>
  <c r="L101" i="41"/>
  <c r="K102" i="41"/>
  <c r="L102" i="41"/>
  <c r="K103" i="41"/>
  <c r="L103" i="41"/>
  <c r="K104" i="41"/>
  <c r="L104" i="41"/>
  <c r="K105" i="41"/>
  <c r="L105" i="41"/>
  <c r="K106" i="41"/>
  <c r="L106" i="41"/>
  <c r="K107" i="41"/>
  <c r="L107" i="41"/>
  <c r="K108" i="41"/>
  <c r="L108" i="41"/>
  <c r="K109" i="41"/>
  <c r="L109" i="41"/>
  <c r="K110" i="41"/>
  <c r="L110" i="41"/>
  <c r="K111" i="41"/>
  <c r="L111" i="41"/>
  <c r="K112" i="41"/>
  <c r="L112" i="41"/>
  <c r="K113" i="41"/>
  <c r="L113" i="41"/>
  <c r="K114" i="41"/>
  <c r="L114" i="41"/>
  <c r="K115" i="41"/>
  <c r="L115" i="41"/>
  <c r="K116" i="41"/>
  <c r="L116" i="41"/>
  <c r="K117" i="41"/>
  <c r="L117" i="41"/>
  <c r="K118" i="41"/>
  <c r="L118" i="41"/>
  <c r="K119" i="41"/>
  <c r="L119" i="41"/>
  <c r="K120" i="41"/>
  <c r="L120" i="41"/>
  <c r="K121" i="41"/>
  <c r="L121" i="41"/>
  <c r="K122" i="41"/>
  <c r="L122" i="41"/>
  <c r="K123" i="41"/>
  <c r="L123" i="41"/>
  <c r="K124" i="41"/>
  <c r="L124" i="41"/>
  <c r="K125" i="41"/>
  <c r="L125" i="41"/>
  <c r="K126" i="41"/>
  <c r="L126" i="41"/>
  <c r="K127" i="41"/>
  <c r="L127" i="41"/>
  <c r="K129" i="41"/>
  <c r="L129" i="41"/>
  <c r="K130" i="41"/>
  <c r="L130" i="41"/>
  <c r="K131" i="41"/>
  <c r="L131" i="41"/>
  <c r="K132" i="41"/>
  <c r="L132" i="41"/>
  <c r="K133" i="41"/>
  <c r="L133" i="41"/>
  <c r="K134" i="41"/>
  <c r="L134" i="41"/>
  <c r="K135" i="41"/>
  <c r="L135" i="41"/>
  <c r="K136" i="41"/>
  <c r="L136" i="41"/>
  <c r="K137" i="41"/>
  <c r="L137" i="41"/>
  <c r="K138" i="41"/>
  <c r="L138" i="41"/>
  <c r="K145" i="41"/>
  <c r="L145" i="41"/>
  <c r="K146" i="41"/>
  <c r="L146" i="41"/>
  <c r="K147" i="41"/>
  <c r="L147" i="41"/>
  <c r="K148" i="41"/>
  <c r="L148" i="41"/>
  <c r="K149" i="41"/>
  <c r="L149" i="41"/>
  <c r="K150" i="41"/>
  <c r="L150" i="41"/>
  <c r="K151" i="41"/>
  <c r="L151" i="41"/>
  <c r="K152" i="41"/>
  <c r="L152" i="41"/>
  <c r="K153" i="41"/>
  <c r="L153" i="41"/>
  <c r="K154" i="41"/>
  <c r="L154" i="41"/>
  <c r="K155" i="41"/>
  <c r="L155" i="41"/>
  <c r="K156" i="41"/>
  <c r="L156" i="41"/>
  <c r="K157" i="41"/>
  <c r="L157" i="41"/>
  <c r="K158" i="41"/>
  <c r="L158" i="41"/>
  <c r="K159" i="41"/>
  <c r="L159" i="41"/>
  <c r="K160" i="41"/>
  <c r="L160" i="41"/>
  <c r="K161" i="41"/>
  <c r="L161" i="41"/>
  <c r="K162" i="41"/>
  <c r="L162" i="41"/>
  <c r="K163" i="41"/>
  <c r="L163" i="41"/>
  <c r="K164" i="41"/>
  <c r="L164" i="41"/>
  <c r="K165" i="41"/>
  <c r="L165" i="41"/>
  <c r="K166" i="41"/>
  <c r="L166" i="41"/>
  <c r="K167" i="41"/>
  <c r="L167" i="41"/>
  <c r="K168" i="41"/>
  <c r="L168" i="41"/>
  <c r="K169" i="41"/>
  <c r="L169" i="41"/>
  <c r="K170" i="41"/>
  <c r="L170" i="41"/>
  <c r="K171" i="41"/>
  <c r="L171" i="41"/>
  <c r="K172" i="41"/>
  <c r="L172" i="41"/>
  <c r="K173" i="41"/>
  <c r="L173" i="41"/>
  <c r="K174" i="41"/>
  <c r="L174" i="41"/>
  <c r="K175" i="41"/>
  <c r="L175" i="41"/>
  <c r="K176" i="41"/>
  <c r="L176" i="41"/>
  <c r="K177" i="41"/>
  <c r="L177" i="41"/>
  <c r="K178" i="41"/>
  <c r="L178" i="41"/>
  <c r="K179" i="41"/>
  <c r="L179" i="41"/>
  <c r="L180" i="41"/>
  <c r="L181" i="41"/>
  <c r="K184" i="41"/>
  <c r="L184" i="41"/>
  <c r="K185" i="41"/>
  <c r="L185" i="41"/>
  <c r="K186" i="41"/>
  <c r="L186" i="41"/>
  <c r="K187" i="41"/>
  <c r="L187" i="41"/>
  <c r="K188" i="41"/>
  <c r="L188" i="41"/>
  <c r="K189" i="41"/>
  <c r="L189" i="41"/>
  <c r="K190" i="41"/>
  <c r="L190" i="41"/>
  <c r="K191" i="41"/>
  <c r="L191" i="41"/>
  <c r="K192" i="41"/>
  <c r="L192" i="41"/>
  <c r="K193" i="41"/>
  <c r="L193" i="41"/>
  <c r="K194" i="41"/>
  <c r="L194" i="41"/>
  <c r="K195" i="41"/>
  <c r="L195" i="41"/>
  <c r="K196" i="41"/>
  <c r="L196" i="41"/>
  <c r="K197" i="41"/>
  <c r="L197" i="41"/>
  <c r="K198" i="41"/>
  <c r="L198" i="41"/>
  <c r="K199" i="41"/>
  <c r="L199" i="41"/>
  <c r="K200" i="41"/>
  <c r="L200" i="41"/>
  <c r="K201" i="41"/>
  <c r="L201" i="41"/>
  <c r="K202" i="41"/>
  <c r="L202" i="41"/>
  <c r="K203" i="41"/>
  <c r="L203" i="41"/>
  <c r="K204" i="41"/>
  <c r="L204" i="41"/>
  <c r="K205" i="41"/>
  <c r="L205" i="41"/>
  <c r="K206" i="41"/>
  <c r="L206" i="41"/>
  <c r="K207" i="41"/>
  <c r="L207" i="41"/>
  <c r="K210" i="41"/>
  <c r="L210" i="41"/>
  <c r="K214" i="41"/>
  <c r="L214" i="41"/>
  <c r="K215" i="41"/>
  <c r="L215" i="41"/>
  <c r="K216" i="41"/>
  <c r="L216" i="41"/>
  <c r="K219" i="41"/>
  <c r="L219" i="41"/>
  <c r="K220" i="41"/>
  <c r="L220" i="41"/>
  <c r="K221" i="41"/>
  <c r="L221" i="41"/>
  <c r="K222" i="41"/>
  <c r="L222" i="41"/>
  <c r="K223" i="41"/>
  <c r="L223" i="41"/>
  <c r="K224" i="41"/>
  <c r="L224" i="41"/>
  <c r="K225" i="41"/>
  <c r="L225" i="41"/>
  <c r="K226" i="41"/>
  <c r="L226" i="41"/>
  <c r="K227" i="41"/>
  <c r="L227" i="41"/>
  <c r="K228" i="41"/>
  <c r="L228" i="41"/>
  <c r="K229" i="41"/>
  <c r="L229" i="41"/>
  <c r="K230" i="41"/>
  <c r="L230" i="41"/>
  <c r="K231" i="41"/>
  <c r="L231" i="41"/>
  <c r="K232" i="41"/>
  <c r="L232" i="41"/>
  <c r="K233" i="41"/>
  <c r="L233" i="41"/>
  <c r="K234" i="41"/>
  <c r="L234" i="41"/>
  <c r="K235" i="41"/>
  <c r="L235" i="41"/>
  <c r="K236" i="41"/>
  <c r="L236" i="41"/>
  <c r="K237" i="41"/>
  <c r="L237" i="41"/>
  <c r="K238" i="41"/>
  <c r="L238" i="41"/>
  <c r="K239" i="41"/>
  <c r="L239" i="41"/>
  <c r="K240" i="41"/>
  <c r="L240" i="41"/>
  <c r="K241" i="41"/>
  <c r="L241" i="41"/>
  <c r="K242" i="41"/>
  <c r="L242" i="41"/>
  <c r="K243" i="41"/>
  <c r="L243" i="41"/>
  <c r="K244" i="41"/>
  <c r="L244" i="41"/>
  <c r="K245" i="41"/>
  <c r="L245" i="41"/>
  <c r="K246" i="41"/>
  <c r="L246" i="41"/>
  <c r="K247" i="41"/>
  <c r="L247" i="41"/>
  <c r="K248" i="41"/>
  <c r="L248" i="41"/>
  <c r="K249" i="41"/>
  <c r="L249" i="41"/>
  <c r="K250" i="41"/>
  <c r="L250" i="41"/>
  <c r="K251" i="41"/>
  <c r="L251" i="41"/>
  <c r="K252" i="41"/>
  <c r="L252" i="41"/>
  <c r="K253" i="41"/>
  <c r="L253" i="41"/>
  <c r="K254" i="41"/>
  <c r="L254" i="41"/>
  <c r="K255" i="41"/>
  <c r="L255" i="41"/>
  <c r="K256" i="41"/>
  <c r="L256" i="41"/>
  <c r="K257" i="41"/>
  <c r="L257" i="41"/>
  <c r="K258" i="41"/>
  <c r="L258" i="41"/>
  <c r="K259" i="41"/>
  <c r="L259" i="41"/>
  <c r="K260" i="41"/>
  <c r="L260" i="41"/>
  <c r="K261" i="41"/>
  <c r="L261" i="41"/>
  <c r="K262" i="41"/>
  <c r="L262" i="41"/>
  <c r="K263" i="41"/>
  <c r="L263" i="41"/>
  <c r="K264" i="41"/>
  <c r="L264" i="41"/>
  <c r="K265" i="41"/>
  <c r="L265" i="41"/>
  <c r="K266" i="41"/>
  <c r="L266" i="41"/>
  <c r="K267" i="41"/>
  <c r="L267" i="41"/>
  <c r="K268" i="41"/>
  <c r="L268" i="41"/>
  <c r="K269" i="41"/>
  <c r="L269" i="41"/>
  <c r="K270" i="41"/>
  <c r="L270" i="41"/>
  <c r="K271" i="41"/>
  <c r="L271" i="41"/>
  <c r="K272" i="41"/>
  <c r="L272" i="41"/>
  <c r="K273" i="41"/>
  <c r="L273" i="41"/>
  <c r="K274" i="41"/>
  <c r="L274" i="41"/>
  <c r="K275" i="41"/>
  <c r="L275" i="41"/>
  <c r="K276" i="41"/>
  <c r="L276" i="41"/>
  <c r="K277" i="41"/>
  <c r="L277" i="41"/>
  <c r="K278" i="41"/>
  <c r="L278" i="41"/>
  <c r="K279" i="41"/>
  <c r="L279" i="41"/>
  <c r="K280" i="41"/>
  <c r="L280" i="41"/>
  <c r="K281" i="41"/>
  <c r="L281" i="41"/>
  <c r="K282" i="41"/>
  <c r="L282" i="41"/>
  <c r="K283" i="41"/>
  <c r="L283" i="41"/>
  <c r="K284" i="41"/>
  <c r="L284" i="41"/>
  <c r="K285" i="41"/>
  <c r="L285" i="41"/>
  <c r="K286" i="41"/>
  <c r="L286" i="41"/>
  <c r="K287" i="41"/>
  <c r="L287" i="41"/>
  <c r="K288" i="41"/>
  <c r="L288" i="41"/>
  <c r="K289" i="41"/>
  <c r="L289" i="41"/>
  <c r="K290" i="41"/>
  <c r="L290" i="41"/>
  <c r="K291" i="41"/>
  <c r="L291" i="41"/>
  <c r="K292" i="41"/>
  <c r="L292" i="41"/>
  <c r="K293" i="41"/>
  <c r="L293" i="41"/>
  <c r="K294" i="41"/>
  <c r="L294" i="41"/>
  <c r="K295" i="41"/>
  <c r="L295" i="41"/>
  <c r="K296" i="41"/>
  <c r="L296" i="41"/>
  <c r="K297" i="41"/>
  <c r="L297" i="41"/>
  <c r="K298" i="41"/>
  <c r="L298" i="41"/>
  <c r="K299" i="41"/>
  <c r="L299" i="41"/>
  <c r="K300" i="41"/>
  <c r="L300" i="41"/>
  <c r="K301" i="41"/>
  <c r="L301" i="41"/>
  <c r="K302" i="41"/>
  <c r="L302" i="41"/>
  <c r="K303" i="41"/>
  <c r="L303" i="41"/>
  <c r="K304" i="41"/>
  <c r="L304" i="41"/>
  <c r="K305" i="41"/>
  <c r="L305" i="41"/>
  <c r="K306" i="41"/>
  <c r="L306" i="41"/>
  <c r="K307" i="41"/>
  <c r="L307" i="41"/>
  <c r="K308" i="41"/>
  <c r="L308" i="41"/>
  <c r="K309" i="41"/>
  <c r="L309" i="41"/>
  <c r="K310" i="41"/>
  <c r="L310" i="41"/>
  <c r="K311" i="41"/>
  <c r="L311" i="41"/>
  <c r="K312" i="41"/>
  <c r="L312" i="41"/>
  <c r="K313" i="41"/>
  <c r="L313" i="41"/>
  <c r="K314" i="41"/>
  <c r="L314" i="41"/>
  <c r="K315" i="41"/>
  <c r="L315" i="41"/>
  <c r="K316" i="41"/>
  <c r="L316" i="41"/>
  <c r="K317" i="41"/>
  <c r="L317" i="41"/>
  <c r="K318" i="41"/>
  <c r="L318" i="41"/>
  <c r="K319" i="41"/>
  <c r="L319" i="41"/>
  <c r="K320" i="41"/>
  <c r="L320" i="41"/>
  <c r="K321" i="41"/>
  <c r="L321" i="41"/>
  <c r="K322" i="41"/>
  <c r="L322" i="41"/>
  <c r="K323" i="41"/>
  <c r="L323" i="41"/>
  <c r="K324" i="41"/>
  <c r="L324" i="41"/>
  <c r="K325" i="41"/>
  <c r="L325" i="41"/>
  <c r="K326" i="41"/>
  <c r="L326" i="41"/>
  <c r="K327" i="41"/>
  <c r="L327" i="41"/>
  <c r="K328" i="41"/>
  <c r="L328" i="41"/>
  <c r="K329" i="41"/>
  <c r="L329" i="41"/>
  <c r="K330" i="41"/>
  <c r="L330" i="41"/>
  <c r="K331" i="41"/>
  <c r="L331" i="41"/>
  <c r="K332" i="41"/>
  <c r="L332" i="41"/>
  <c r="K333" i="41"/>
  <c r="L333" i="41"/>
  <c r="K334" i="41"/>
  <c r="L334" i="41"/>
  <c r="K335" i="41"/>
  <c r="L335" i="41"/>
  <c r="K336" i="41"/>
  <c r="L336" i="41"/>
  <c r="K337" i="41"/>
  <c r="L337" i="41"/>
  <c r="K338" i="41"/>
  <c r="L338" i="41"/>
  <c r="K339" i="41"/>
  <c r="L339" i="41"/>
  <c r="K340" i="41"/>
  <c r="L340" i="41"/>
  <c r="K341" i="41"/>
  <c r="L341" i="41"/>
  <c r="K342" i="41"/>
  <c r="L342" i="41"/>
  <c r="K343" i="41"/>
  <c r="L343" i="41"/>
  <c r="K344" i="41"/>
  <c r="L344" i="41"/>
  <c r="K345" i="41"/>
  <c r="L345" i="41"/>
  <c r="K346" i="41"/>
  <c r="L346" i="41"/>
  <c r="K347" i="41"/>
  <c r="L347" i="41"/>
  <c r="K348" i="41"/>
  <c r="L348" i="41"/>
  <c r="K349" i="41"/>
  <c r="L349" i="41"/>
  <c r="K350" i="41"/>
  <c r="L350" i="41"/>
  <c r="K351" i="41"/>
  <c r="L351" i="41"/>
  <c r="K5" i="41"/>
  <c r="L5" i="41"/>
  <c r="K4" i="41"/>
  <c r="L4" i="41"/>
  <c r="L3" i="41"/>
  <c r="K3" i="41"/>
  <c r="AJ21" i="81" l="1"/>
  <c r="AJ20" i="81"/>
  <c r="AJ19" i="81"/>
  <c r="AJ18" i="81"/>
  <c r="AJ17" i="81"/>
  <c r="AJ16" i="81"/>
  <c r="AJ15" i="81"/>
  <c r="AJ14" i="81"/>
  <c r="AJ13" i="81"/>
  <c r="AH21" i="81"/>
  <c r="AH20" i="81"/>
  <c r="AH19" i="81"/>
  <c r="AH18" i="81"/>
  <c r="AH17" i="81"/>
  <c r="AH16" i="81"/>
  <c r="AH15" i="81"/>
  <c r="AH14" i="81"/>
  <c r="AH13" i="81"/>
  <c r="AF21" i="81"/>
  <c r="AF20" i="81"/>
  <c r="AF19" i="81"/>
  <c r="AF18" i="81"/>
  <c r="AF17" i="81"/>
  <c r="AF16" i="81"/>
  <c r="AF15" i="81"/>
  <c r="AF14" i="81"/>
  <c r="AF13" i="81"/>
  <c r="AD21" i="81"/>
  <c r="AD20" i="81"/>
  <c r="AD19" i="81"/>
  <c r="AD18" i="81"/>
  <c r="AD17" i="81"/>
  <c r="AD16" i="81"/>
  <c r="AD15" i="81"/>
  <c r="AD14" i="81"/>
  <c r="AD13" i="81"/>
  <c r="AB21" i="81"/>
  <c r="AB20" i="81"/>
  <c r="AB19" i="81"/>
  <c r="AB18" i="81"/>
  <c r="AB17" i="81"/>
  <c r="AB16" i="81"/>
  <c r="AB15" i="81"/>
  <c r="AB14" i="81"/>
  <c r="AB13" i="81"/>
  <c r="Z21" i="81"/>
  <c r="Z20" i="81"/>
  <c r="Z19" i="81"/>
  <c r="Z18" i="81"/>
  <c r="Z17" i="81"/>
  <c r="Z16" i="81"/>
  <c r="Z15" i="81"/>
  <c r="Z14" i="81"/>
  <c r="Z13" i="81"/>
  <c r="X21" i="81"/>
  <c r="X20" i="81"/>
  <c r="X19" i="81"/>
  <c r="X18" i="81"/>
  <c r="X17" i="81"/>
  <c r="X16" i="81"/>
  <c r="X15" i="81"/>
  <c r="X14" i="81"/>
  <c r="X13" i="81"/>
  <c r="V21" i="81"/>
  <c r="V20" i="81"/>
  <c r="V19" i="81"/>
  <c r="V18" i="81"/>
  <c r="V17" i="81"/>
  <c r="V16" i="81"/>
  <c r="V15" i="81"/>
  <c r="V14" i="81"/>
  <c r="V13" i="81"/>
  <c r="T21" i="81"/>
  <c r="T20" i="81"/>
  <c r="T19" i="81"/>
  <c r="T18" i="81"/>
  <c r="T17" i="81"/>
  <c r="T16" i="81"/>
  <c r="T15" i="81"/>
  <c r="T14" i="81"/>
  <c r="T13" i="81"/>
  <c r="R21" i="81"/>
  <c r="R20" i="81"/>
  <c r="R19" i="81"/>
  <c r="R18" i="81"/>
  <c r="R17" i="81"/>
  <c r="R16" i="81"/>
  <c r="R15" i="81"/>
  <c r="R14" i="81"/>
  <c r="R13" i="81"/>
  <c r="P21" i="81"/>
  <c r="P20" i="81"/>
  <c r="P19" i="81"/>
  <c r="P18" i="81"/>
  <c r="P17" i="81"/>
  <c r="P16" i="81"/>
  <c r="P15" i="81"/>
  <c r="P14" i="81"/>
  <c r="P13" i="81"/>
  <c r="N14" i="81"/>
  <c r="N15" i="81"/>
  <c r="N16" i="81"/>
  <c r="N17" i="81"/>
  <c r="N18" i="81"/>
  <c r="N19" i="81"/>
  <c r="N20" i="81"/>
  <c r="N21" i="81"/>
  <c r="N13" i="81"/>
  <c r="AJ10" i="81"/>
  <c r="AJ9" i="81"/>
  <c r="AJ8" i="81"/>
  <c r="AJ7" i="81"/>
  <c r="AJ6" i="81"/>
  <c r="AJ5" i="81"/>
  <c r="AJ4" i="81"/>
  <c r="AJ3" i="81"/>
  <c r="AH10" i="81"/>
  <c r="AH9" i="81"/>
  <c r="AH8" i="81"/>
  <c r="AH7" i="81"/>
  <c r="AH6" i="81"/>
  <c r="AH5" i="81"/>
  <c r="AH4" i="81"/>
  <c r="AH3" i="81"/>
  <c r="AF10" i="81"/>
  <c r="AF9" i="81"/>
  <c r="AF8" i="81"/>
  <c r="AF7" i="81"/>
  <c r="AF6" i="81"/>
  <c r="AF5" i="81"/>
  <c r="AF4" i="81"/>
  <c r="AF3" i="81"/>
  <c r="AD10" i="81"/>
  <c r="AD9" i="81"/>
  <c r="AD8" i="81"/>
  <c r="AD7" i="81"/>
  <c r="AD6" i="81"/>
  <c r="AD5" i="81"/>
  <c r="AD4" i="81"/>
  <c r="AD3" i="81"/>
  <c r="AB10" i="81"/>
  <c r="AB9" i="81"/>
  <c r="AB8" i="81"/>
  <c r="AB7" i="81"/>
  <c r="AB6" i="81"/>
  <c r="AB5" i="81"/>
  <c r="AB4" i="81"/>
  <c r="AB3" i="81"/>
  <c r="Z10" i="81"/>
  <c r="Z9" i="81"/>
  <c r="Z8" i="81"/>
  <c r="Z7" i="81"/>
  <c r="Z6" i="81"/>
  <c r="Z5" i="81"/>
  <c r="Z4" i="81"/>
  <c r="Z3" i="81"/>
  <c r="V10" i="81"/>
  <c r="V9" i="81"/>
  <c r="V8" i="81"/>
  <c r="V7" i="81"/>
  <c r="V6" i="81"/>
  <c r="V5" i="81"/>
  <c r="V4" i="81"/>
  <c r="V3" i="81"/>
  <c r="T10" i="81"/>
  <c r="T9" i="81"/>
  <c r="T8" i="81"/>
  <c r="T7" i="81"/>
  <c r="T6" i="81"/>
  <c r="T5" i="81"/>
  <c r="T4" i="81"/>
  <c r="T3" i="81"/>
  <c r="R10" i="81"/>
  <c r="R9" i="81"/>
  <c r="R8" i="81"/>
  <c r="R7" i="81"/>
  <c r="R6" i="81"/>
  <c r="R5" i="81"/>
  <c r="R4" i="81"/>
  <c r="R3" i="81"/>
  <c r="P10" i="81"/>
  <c r="P9" i="81"/>
  <c r="P8" i="81"/>
  <c r="P7" i="81"/>
  <c r="P6" i="81"/>
  <c r="P5" i="81"/>
  <c r="P4" i="81"/>
  <c r="P3" i="81"/>
  <c r="N4" i="81"/>
  <c r="N5" i="81"/>
  <c r="N6" i="81"/>
  <c r="N7" i="81"/>
  <c r="N8" i="81"/>
  <c r="N9" i="81"/>
  <c r="N10" i="81"/>
  <c r="N3" i="81"/>
  <c r="AI21" i="81"/>
  <c r="AI20" i="81"/>
  <c r="AI19" i="81"/>
  <c r="AI18" i="81"/>
  <c r="AI17" i="81"/>
  <c r="AI16" i="81"/>
  <c r="AI15" i="81"/>
  <c r="AI14" i="81"/>
  <c r="AI13" i="81"/>
  <c r="AG21" i="81"/>
  <c r="AG20" i="81"/>
  <c r="AG19" i="81"/>
  <c r="AG18" i="81"/>
  <c r="AG17" i="81"/>
  <c r="AG16" i="81"/>
  <c r="AG15" i="81"/>
  <c r="AG14" i="81"/>
  <c r="AG13" i="81"/>
  <c r="AE21" i="81"/>
  <c r="AE20" i="81"/>
  <c r="AE19" i="81"/>
  <c r="AE18" i="81"/>
  <c r="AE17" i="81"/>
  <c r="AE16" i="81"/>
  <c r="AE15" i="81"/>
  <c r="AE14" i="81"/>
  <c r="AE13" i="81"/>
  <c r="AC21" i="81"/>
  <c r="AC20" i="81"/>
  <c r="AC19" i="81"/>
  <c r="AC18" i="81"/>
  <c r="AC17" i="81"/>
  <c r="AC16" i="81"/>
  <c r="AC15" i="81"/>
  <c r="AC14" i="81"/>
  <c r="AC13" i="81"/>
  <c r="AA21" i="81"/>
  <c r="AA20" i="81"/>
  <c r="AA19" i="81"/>
  <c r="AA18" i="81"/>
  <c r="AA17" i="81"/>
  <c r="AA16" i="81"/>
  <c r="AA15" i="81"/>
  <c r="AA14" i="81"/>
  <c r="AA13" i="81"/>
  <c r="Y21" i="81"/>
  <c r="Y20" i="81"/>
  <c r="Y19" i="81"/>
  <c r="Y18" i="81"/>
  <c r="Y17" i="81"/>
  <c r="Y16" i="81"/>
  <c r="Y15" i="81"/>
  <c r="Y14" i="81"/>
  <c r="Y13" i="81"/>
  <c r="W21" i="81"/>
  <c r="W20" i="81"/>
  <c r="W19" i="81"/>
  <c r="W18" i="81"/>
  <c r="W17" i="81"/>
  <c r="W16" i="81"/>
  <c r="W15" i="81"/>
  <c r="W14" i="81"/>
  <c r="W13" i="81"/>
  <c r="U21" i="81"/>
  <c r="U20" i="81"/>
  <c r="U19" i="81"/>
  <c r="U18" i="81"/>
  <c r="U17" i="81"/>
  <c r="U16" i="81"/>
  <c r="U15" i="81"/>
  <c r="U14" i="81"/>
  <c r="U13" i="81"/>
  <c r="S21" i="81"/>
  <c r="S20" i="81"/>
  <c r="S19" i="81"/>
  <c r="S18" i="81"/>
  <c r="S17" i="81"/>
  <c r="S16" i="81"/>
  <c r="S15" i="81"/>
  <c r="S14" i="81"/>
  <c r="S13" i="81"/>
  <c r="Q21" i="81"/>
  <c r="Q20" i="81"/>
  <c r="Q19" i="81"/>
  <c r="Q18" i="81"/>
  <c r="Q17" i="81"/>
  <c r="Q16" i="81"/>
  <c r="Q15" i="81"/>
  <c r="Q14" i="81"/>
  <c r="Q13" i="81"/>
  <c r="O21" i="81"/>
  <c r="O20" i="81"/>
  <c r="O19" i="81"/>
  <c r="O18" i="81"/>
  <c r="O17" i="81"/>
  <c r="O16" i="81"/>
  <c r="O15" i="81"/>
  <c r="O14" i="81"/>
  <c r="O13" i="81"/>
  <c r="M14" i="81"/>
  <c r="M15" i="81"/>
  <c r="M16" i="81"/>
  <c r="M17" i="81"/>
  <c r="M18" i="81"/>
  <c r="M19" i="81"/>
  <c r="M20" i="81"/>
  <c r="M21" i="81"/>
  <c r="M13" i="81"/>
  <c r="AI10" i="81"/>
  <c r="AI9" i="81"/>
  <c r="AI8" i="81"/>
  <c r="AI7" i="81"/>
  <c r="AI6" i="81"/>
  <c r="AI5" i="81"/>
  <c r="AI4" i="81"/>
  <c r="AI3" i="81"/>
  <c r="AG10" i="81"/>
  <c r="AG9" i="81"/>
  <c r="AG8" i="81"/>
  <c r="AG7" i="81"/>
  <c r="AG6" i="81"/>
  <c r="AG5" i="81"/>
  <c r="AG4" i="81"/>
  <c r="AG3" i="81"/>
  <c r="AE10" i="81"/>
  <c r="AE9" i="81"/>
  <c r="AE8" i="81"/>
  <c r="AE7" i="81"/>
  <c r="AE6" i="81"/>
  <c r="AE5" i="81"/>
  <c r="AE4" i="81"/>
  <c r="AE3" i="81"/>
  <c r="AC10" i="81"/>
  <c r="AC9" i="81"/>
  <c r="AC8" i="81"/>
  <c r="AC7" i="81"/>
  <c r="AC6" i="81"/>
  <c r="AC5" i="81"/>
  <c r="AC4" i="81"/>
  <c r="AC3" i="81"/>
  <c r="AA10" i="81"/>
  <c r="AA9" i="81"/>
  <c r="AA8" i="81"/>
  <c r="AA7" i="81"/>
  <c r="AA6" i="81"/>
  <c r="AA5" i="81"/>
  <c r="AA4" i="81"/>
  <c r="AA3" i="81"/>
  <c r="Y10" i="81"/>
  <c r="Y9" i="81"/>
  <c r="Y8" i="81"/>
  <c r="Y7" i="81"/>
  <c r="Y6" i="81"/>
  <c r="Y5" i="81"/>
  <c r="Y4" i="81"/>
  <c r="Y3" i="81"/>
  <c r="W10" i="81"/>
  <c r="W9" i="81"/>
  <c r="W8" i="81"/>
  <c r="W7" i="81"/>
  <c r="W6" i="81"/>
  <c r="W5" i="81"/>
  <c r="W4" i="81"/>
  <c r="W3" i="81"/>
  <c r="U10" i="81"/>
  <c r="U9" i="81"/>
  <c r="U8" i="81"/>
  <c r="U7" i="81"/>
  <c r="U6" i="81"/>
  <c r="U5" i="81"/>
  <c r="U4" i="81"/>
  <c r="U3" i="81"/>
  <c r="S10" i="81"/>
  <c r="S9" i="81"/>
  <c r="S8" i="81"/>
  <c r="S7" i="81"/>
  <c r="S6" i="81"/>
  <c r="S5" i="81"/>
  <c r="S4" i="81"/>
  <c r="S3" i="81"/>
  <c r="Q10" i="81"/>
  <c r="Q9" i="81"/>
  <c r="Q8" i="81"/>
  <c r="Q7" i="81"/>
  <c r="Q6" i="81"/>
  <c r="Q5" i="81"/>
  <c r="Q4" i="81"/>
  <c r="Q3" i="81"/>
  <c r="O10" i="81"/>
  <c r="O9" i="81"/>
  <c r="O8" i="81"/>
  <c r="O7" i="81"/>
  <c r="O6" i="81"/>
  <c r="O5" i="81"/>
  <c r="O4" i="81"/>
  <c r="O3" i="81"/>
  <c r="M4" i="81"/>
  <c r="M5" i="81"/>
  <c r="M6" i="81"/>
  <c r="M7" i="81"/>
  <c r="M8" i="81"/>
  <c r="M9" i="81"/>
  <c r="M10" i="81"/>
  <c r="M3" i="81"/>
  <c r="M22" i="81" l="1"/>
  <c r="M11" i="81"/>
  <c r="AH22" i="81" l="1"/>
  <c r="X4" i="81"/>
  <c r="X5" i="81"/>
  <c r="X6" i="81"/>
  <c r="X7" i="81"/>
  <c r="X8" i="81"/>
  <c r="X9" i="81"/>
  <c r="X10" i="81"/>
  <c r="AJ11" i="81"/>
  <c r="P11" i="81"/>
  <c r="R11" i="81"/>
  <c r="T11" i="81"/>
  <c r="V11" i="81"/>
  <c r="X3" i="81"/>
  <c r="Z11" i="81"/>
  <c r="AB11" i="81"/>
  <c r="AD11" i="81"/>
  <c r="AF11" i="81"/>
  <c r="AH11" i="81"/>
  <c r="K14" i="81"/>
  <c r="AE22" i="81"/>
  <c r="K9" i="81"/>
  <c r="K8" i="81"/>
  <c r="X11" i="81" l="1"/>
  <c r="L15" i="81"/>
  <c r="AJ22" i="81"/>
  <c r="K7" i="81"/>
  <c r="AA22" i="81"/>
  <c r="U22" i="81"/>
  <c r="K19" i="81"/>
  <c r="AA11" i="81"/>
  <c r="K20" i="81"/>
  <c r="Y11" i="81"/>
  <c r="L16" i="81"/>
  <c r="AC22" i="81"/>
  <c r="K15" i="81"/>
  <c r="AI11" i="81"/>
  <c r="L17" i="81"/>
  <c r="AF22" i="81"/>
  <c r="U11" i="81"/>
  <c r="L18" i="81"/>
  <c r="AD22" i="81"/>
  <c r="S11" i="81"/>
  <c r="L19" i="81"/>
  <c r="AB22" i="81"/>
  <c r="S22" i="81"/>
  <c r="K21" i="81"/>
  <c r="W11" i="81"/>
  <c r="L10" i="81"/>
  <c r="L9" i="81"/>
  <c r="L8" i="81"/>
  <c r="L7" i="81"/>
  <c r="L6" i="81"/>
  <c r="L5" i="81"/>
  <c r="L4" i="81"/>
  <c r="Z22" i="81"/>
  <c r="K16" i="81"/>
  <c r="AG11" i="81"/>
  <c r="Q22" i="81"/>
  <c r="AI22" i="81"/>
  <c r="Q11" i="81"/>
  <c r="K10" i="81"/>
  <c r="AG22" i="81"/>
  <c r="X22" i="81"/>
  <c r="V22" i="81"/>
  <c r="T22" i="81"/>
  <c r="L20" i="81"/>
  <c r="R22" i="81"/>
  <c r="L21" i="81"/>
  <c r="P22" i="81"/>
  <c r="L3" i="81"/>
  <c r="K4" i="81"/>
  <c r="K6" i="81"/>
  <c r="Y22" i="81"/>
  <c r="K17" i="81"/>
  <c r="AE11" i="81"/>
  <c r="K5" i="81"/>
  <c r="W22" i="81"/>
  <c r="K18" i="81"/>
  <c r="AC11" i="81"/>
  <c r="L14" i="81"/>
  <c r="N11" i="81"/>
  <c r="O22" i="81"/>
  <c r="K13" i="81"/>
  <c r="K3" i="81"/>
  <c r="O11" i="81"/>
  <c r="N22" i="81"/>
  <c r="L13" i="81"/>
  <c r="H155" i="81"/>
  <c r="G155" i="81"/>
  <c r="F155" i="81"/>
  <c r="E155" i="81"/>
  <c r="D155" i="81"/>
  <c r="C155" i="81"/>
  <c r="H154" i="81"/>
  <c r="G154" i="81"/>
  <c r="F154" i="81"/>
  <c r="E154" i="81"/>
  <c r="D154" i="81"/>
  <c r="C154" i="81"/>
  <c r="H153" i="81"/>
  <c r="G153" i="81"/>
  <c r="F153" i="81"/>
  <c r="E153" i="81"/>
  <c r="D153" i="81"/>
  <c r="C153" i="81"/>
  <c r="H152" i="81"/>
  <c r="G152" i="81"/>
  <c r="F152" i="81"/>
  <c r="E152" i="81"/>
  <c r="D152" i="81"/>
  <c r="C152" i="81"/>
  <c r="H151" i="81"/>
  <c r="G151" i="81"/>
  <c r="F151" i="81"/>
  <c r="E151" i="81"/>
  <c r="D151" i="81"/>
  <c r="C151" i="81"/>
  <c r="H150" i="81"/>
  <c r="G150" i="81"/>
  <c r="F150" i="81"/>
  <c r="E150" i="81"/>
  <c r="D150" i="81"/>
  <c r="C150" i="81"/>
  <c r="H149" i="81"/>
  <c r="G149" i="81"/>
  <c r="F149" i="81"/>
  <c r="E149" i="81"/>
  <c r="D149" i="81"/>
  <c r="C149" i="81"/>
  <c r="H148" i="81"/>
  <c r="G148" i="81"/>
  <c r="F148" i="81"/>
  <c r="E148" i="81"/>
  <c r="D148" i="81"/>
  <c r="C148" i="81"/>
  <c r="H143" i="81"/>
  <c r="G143" i="81"/>
  <c r="F143" i="81"/>
  <c r="E143" i="81"/>
  <c r="D143" i="81"/>
  <c r="C143" i="81"/>
  <c r="H142" i="81"/>
  <c r="G142" i="81"/>
  <c r="F142" i="81"/>
  <c r="E142" i="81"/>
  <c r="D142" i="81"/>
  <c r="C142" i="81"/>
  <c r="H141" i="81"/>
  <c r="G141" i="81"/>
  <c r="F141" i="81"/>
  <c r="E141" i="81"/>
  <c r="D141" i="81"/>
  <c r="C141" i="81"/>
  <c r="H140" i="81"/>
  <c r="G140" i="81"/>
  <c r="F140" i="81"/>
  <c r="E140" i="81"/>
  <c r="D140" i="81"/>
  <c r="C140" i="81"/>
  <c r="H139" i="81"/>
  <c r="G139" i="81"/>
  <c r="F139" i="81"/>
  <c r="E139" i="81"/>
  <c r="D139" i="81"/>
  <c r="C139" i="81"/>
  <c r="H138" i="81"/>
  <c r="G138" i="81"/>
  <c r="F138" i="81"/>
  <c r="E138" i="81"/>
  <c r="D138" i="81"/>
  <c r="C138" i="81"/>
  <c r="H137" i="81"/>
  <c r="G137" i="81"/>
  <c r="F137" i="81"/>
  <c r="E137" i="81"/>
  <c r="D137" i="81"/>
  <c r="C137" i="81"/>
  <c r="H136" i="81"/>
  <c r="G136" i="81"/>
  <c r="F136" i="81"/>
  <c r="E136" i="81"/>
  <c r="D136" i="81"/>
  <c r="C136" i="81"/>
  <c r="H131" i="81"/>
  <c r="G131" i="81"/>
  <c r="F131" i="81"/>
  <c r="E131" i="81"/>
  <c r="D131" i="81"/>
  <c r="C131" i="81"/>
  <c r="H130" i="81"/>
  <c r="G130" i="81"/>
  <c r="F130" i="81"/>
  <c r="E130" i="81"/>
  <c r="D130" i="81"/>
  <c r="C130" i="81"/>
  <c r="H129" i="81"/>
  <c r="G129" i="81"/>
  <c r="F129" i="81"/>
  <c r="E129" i="81"/>
  <c r="D129" i="81"/>
  <c r="C129" i="81"/>
  <c r="H128" i="81"/>
  <c r="G128" i="81"/>
  <c r="F128" i="81"/>
  <c r="E128" i="81"/>
  <c r="D128" i="81"/>
  <c r="C128" i="81"/>
  <c r="H127" i="81"/>
  <c r="G127" i="81"/>
  <c r="F127" i="81"/>
  <c r="E127" i="81"/>
  <c r="D127" i="81"/>
  <c r="C127" i="81"/>
  <c r="H126" i="81"/>
  <c r="G126" i="81"/>
  <c r="F126" i="81"/>
  <c r="E126" i="81"/>
  <c r="D126" i="81"/>
  <c r="C126" i="81"/>
  <c r="H125" i="81"/>
  <c r="G125" i="81"/>
  <c r="F125" i="81"/>
  <c r="E125" i="81"/>
  <c r="D125" i="81"/>
  <c r="C125" i="81"/>
  <c r="H124" i="81"/>
  <c r="G124" i="81"/>
  <c r="F124" i="81"/>
  <c r="E124" i="81"/>
  <c r="D124" i="81"/>
  <c r="C124" i="81"/>
  <c r="H119" i="81"/>
  <c r="G119" i="81"/>
  <c r="F119" i="81"/>
  <c r="E119" i="81"/>
  <c r="D119" i="81"/>
  <c r="C119" i="81"/>
  <c r="H118" i="81"/>
  <c r="G118" i="81"/>
  <c r="F118" i="81"/>
  <c r="E118" i="81"/>
  <c r="D118" i="81"/>
  <c r="C118" i="81"/>
  <c r="H117" i="81"/>
  <c r="G117" i="81"/>
  <c r="F117" i="81"/>
  <c r="E117" i="81"/>
  <c r="D117" i="81"/>
  <c r="C117" i="81"/>
  <c r="H116" i="81"/>
  <c r="G116" i="81"/>
  <c r="F116" i="81"/>
  <c r="E116" i="81"/>
  <c r="D116" i="81"/>
  <c r="C116" i="81"/>
  <c r="H115" i="81"/>
  <c r="G115" i="81"/>
  <c r="F115" i="81"/>
  <c r="E115" i="81"/>
  <c r="D115" i="81"/>
  <c r="C115" i="81"/>
  <c r="H114" i="81"/>
  <c r="G114" i="81"/>
  <c r="F114" i="81"/>
  <c r="E114" i="81"/>
  <c r="D114" i="81"/>
  <c r="C114" i="81"/>
  <c r="H113" i="81"/>
  <c r="G113" i="81"/>
  <c r="F113" i="81"/>
  <c r="E113" i="81"/>
  <c r="D113" i="81"/>
  <c r="C113" i="81"/>
  <c r="H112" i="81"/>
  <c r="G112" i="81"/>
  <c r="F112" i="81"/>
  <c r="E112" i="81"/>
  <c r="D112" i="81"/>
  <c r="C112" i="81"/>
  <c r="H107" i="81"/>
  <c r="G107" i="81"/>
  <c r="F107" i="81"/>
  <c r="E107" i="81"/>
  <c r="D107" i="81"/>
  <c r="C107" i="81"/>
  <c r="H106" i="81"/>
  <c r="G106" i="81"/>
  <c r="F106" i="81"/>
  <c r="E106" i="81"/>
  <c r="D106" i="81"/>
  <c r="C106" i="81"/>
  <c r="H105" i="81"/>
  <c r="G105" i="81"/>
  <c r="F105" i="81"/>
  <c r="E105" i="81"/>
  <c r="D105" i="81"/>
  <c r="C105" i="81"/>
  <c r="H104" i="81"/>
  <c r="G104" i="81"/>
  <c r="F104" i="81"/>
  <c r="E104" i="81"/>
  <c r="D104" i="81"/>
  <c r="C104" i="81"/>
  <c r="H103" i="81"/>
  <c r="G103" i="81"/>
  <c r="F103" i="81"/>
  <c r="E103" i="81"/>
  <c r="D103" i="81"/>
  <c r="C103" i="81"/>
  <c r="H102" i="81"/>
  <c r="G102" i="81"/>
  <c r="F102" i="81"/>
  <c r="E102" i="81"/>
  <c r="D102" i="81"/>
  <c r="C102" i="81"/>
  <c r="H101" i="81"/>
  <c r="G101" i="81"/>
  <c r="F101" i="81"/>
  <c r="E101" i="81"/>
  <c r="D101" i="81"/>
  <c r="C101" i="81"/>
  <c r="H100" i="81"/>
  <c r="G100" i="81"/>
  <c r="F100" i="81"/>
  <c r="E100" i="81"/>
  <c r="D100" i="81"/>
  <c r="C100" i="81"/>
  <c r="H95" i="81"/>
  <c r="G95" i="81"/>
  <c r="F95" i="81"/>
  <c r="E95" i="81"/>
  <c r="D95" i="81"/>
  <c r="C95" i="81"/>
  <c r="H94" i="81"/>
  <c r="G94" i="81"/>
  <c r="F94" i="81"/>
  <c r="E94" i="81"/>
  <c r="D94" i="81"/>
  <c r="C94" i="81"/>
  <c r="H93" i="81"/>
  <c r="G93" i="81"/>
  <c r="F93" i="81"/>
  <c r="E93" i="81"/>
  <c r="D93" i="81"/>
  <c r="C93" i="81"/>
  <c r="H92" i="81"/>
  <c r="G92" i="81"/>
  <c r="F92" i="81"/>
  <c r="E92" i="81"/>
  <c r="D92" i="81"/>
  <c r="C92" i="81"/>
  <c r="H91" i="81"/>
  <c r="G91" i="81"/>
  <c r="F91" i="81"/>
  <c r="E91" i="81"/>
  <c r="D91" i="81"/>
  <c r="C91" i="81"/>
  <c r="H90" i="81"/>
  <c r="G90" i="81"/>
  <c r="F90" i="81"/>
  <c r="E90" i="81"/>
  <c r="D90" i="81"/>
  <c r="C90" i="81"/>
  <c r="H89" i="81"/>
  <c r="G89" i="81"/>
  <c r="F89" i="81"/>
  <c r="E89" i="81"/>
  <c r="D89" i="81"/>
  <c r="C89" i="81"/>
  <c r="H88" i="81"/>
  <c r="G88" i="81"/>
  <c r="F88" i="81"/>
  <c r="E88" i="81"/>
  <c r="D88" i="81"/>
  <c r="C88" i="81"/>
  <c r="H83" i="81"/>
  <c r="G83" i="81"/>
  <c r="F83" i="81"/>
  <c r="E83" i="81"/>
  <c r="D83" i="81"/>
  <c r="C83" i="81"/>
  <c r="H82" i="81"/>
  <c r="G82" i="81"/>
  <c r="F82" i="81"/>
  <c r="E82" i="81"/>
  <c r="D82" i="81"/>
  <c r="C82" i="81"/>
  <c r="H81" i="81"/>
  <c r="G81" i="81"/>
  <c r="F81" i="81"/>
  <c r="E81" i="81"/>
  <c r="D81" i="81"/>
  <c r="C81" i="81"/>
  <c r="H80" i="81"/>
  <c r="G80" i="81"/>
  <c r="F80" i="81"/>
  <c r="E80" i="81"/>
  <c r="D80" i="81"/>
  <c r="C80" i="81"/>
  <c r="H79" i="81"/>
  <c r="G79" i="81"/>
  <c r="F79" i="81"/>
  <c r="E79" i="81"/>
  <c r="D79" i="81"/>
  <c r="C79" i="81"/>
  <c r="H78" i="81"/>
  <c r="G78" i="81"/>
  <c r="F78" i="81"/>
  <c r="E78" i="81"/>
  <c r="D78" i="81"/>
  <c r="C78" i="81"/>
  <c r="H77" i="81"/>
  <c r="G77" i="81"/>
  <c r="F77" i="81"/>
  <c r="E77" i="81"/>
  <c r="D77" i="81"/>
  <c r="C77" i="81"/>
  <c r="H76" i="81"/>
  <c r="G76" i="81"/>
  <c r="F76" i="81"/>
  <c r="E76" i="81"/>
  <c r="D76" i="81"/>
  <c r="C76" i="81"/>
  <c r="H71" i="81"/>
  <c r="G71" i="81"/>
  <c r="F71" i="81"/>
  <c r="E71" i="81"/>
  <c r="D71" i="81"/>
  <c r="C71" i="81"/>
  <c r="H70" i="81"/>
  <c r="G70" i="81"/>
  <c r="F70" i="81"/>
  <c r="E70" i="81"/>
  <c r="D70" i="81"/>
  <c r="C70" i="81"/>
  <c r="H69" i="81"/>
  <c r="G69" i="81"/>
  <c r="F69" i="81"/>
  <c r="E69" i="81"/>
  <c r="D69" i="81"/>
  <c r="C69" i="81"/>
  <c r="H68" i="81"/>
  <c r="G68" i="81"/>
  <c r="F68" i="81"/>
  <c r="E68" i="81"/>
  <c r="D68" i="81"/>
  <c r="C68" i="81"/>
  <c r="H67" i="81"/>
  <c r="G67" i="81"/>
  <c r="F67" i="81"/>
  <c r="E67" i="81"/>
  <c r="D67" i="81"/>
  <c r="C67" i="81"/>
  <c r="H66" i="81"/>
  <c r="G66" i="81"/>
  <c r="F66" i="81"/>
  <c r="E66" i="81"/>
  <c r="D66" i="81"/>
  <c r="C66" i="81"/>
  <c r="H65" i="81"/>
  <c r="G65" i="81"/>
  <c r="F65" i="81"/>
  <c r="E65" i="81"/>
  <c r="D65" i="81"/>
  <c r="C65" i="81"/>
  <c r="H64" i="81"/>
  <c r="G64" i="81"/>
  <c r="F64" i="81"/>
  <c r="E64" i="81"/>
  <c r="D64" i="81"/>
  <c r="C64" i="81"/>
  <c r="H59" i="81"/>
  <c r="G59" i="81"/>
  <c r="F59" i="81"/>
  <c r="E59" i="81"/>
  <c r="D59" i="81"/>
  <c r="C59" i="81"/>
  <c r="H58" i="81"/>
  <c r="G58" i="81"/>
  <c r="F58" i="81"/>
  <c r="E58" i="81"/>
  <c r="D58" i="81"/>
  <c r="C58" i="81"/>
  <c r="H57" i="81"/>
  <c r="G57" i="81"/>
  <c r="F57" i="81"/>
  <c r="E57" i="81"/>
  <c r="D57" i="81"/>
  <c r="C57" i="81"/>
  <c r="H56" i="81"/>
  <c r="G56" i="81"/>
  <c r="F56" i="81"/>
  <c r="E56" i="81"/>
  <c r="D56" i="81"/>
  <c r="C56" i="81"/>
  <c r="H55" i="81"/>
  <c r="G55" i="81"/>
  <c r="F55" i="81"/>
  <c r="E55" i="81"/>
  <c r="D55" i="81"/>
  <c r="C55" i="81"/>
  <c r="H54" i="81"/>
  <c r="G54" i="81"/>
  <c r="F54" i="81"/>
  <c r="E54" i="81"/>
  <c r="D54" i="81"/>
  <c r="C54" i="81"/>
  <c r="H53" i="81"/>
  <c r="G53" i="81"/>
  <c r="F53" i="81"/>
  <c r="E53" i="81"/>
  <c r="D53" i="81"/>
  <c r="C53" i="81"/>
  <c r="H52" i="81"/>
  <c r="G52" i="81"/>
  <c r="F52" i="81"/>
  <c r="E52" i="81"/>
  <c r="D52" i="81"/>
  <c r="C52" i="81"/>
  <c r="H35" i="81"/>
  <c r="H11" i="81" s="1"/>
  <c r="G35" i="81"/>
  <c r="F35" i="81"/>
  <c r="E35" i="81"/>
  <c r="D35" i="81"/>
  <c r="C35" i="81"/>
  <c r="H34" i="81"/>
  <c r="G34" i="81"/>
  <c r="F34" i="81"/>
  <c r="E34" i="81"/>
  <c r="D34" i="81"/>
  <c r="C34" i="81"/>
  <c r="H33" i="81"/>
  <c r="G33" i="81"/>
  <c r="F33" i="81"/>
  <c r="E33" i="81"/>
  <c r="D33" i="81"/>
  <c r="C33" i="81"/>
  <c r="H32" i="81"/>
  <c r="G32" i="81"/>
  <c r="F32" i="81"/>
  <c r="E32" i="81"/>
  <c r="D32" i="81"/>
  <c r="C32" i="81"/>
  <c r="H31" i="81"/>
  <c r="G31" i="81"/>
  <c r="F31" i="81"/>
  <c r="E31" i="81"/>
  <c r="D31" i="81"/>
  <c r="C31" i="81"/>
  <c r="H30" i="81"/>
  <c r="G30" i="81"/>
  <c r="F30" i="81"/>
  <c r="E30" i="81"/>
  <c r="D30" i="81"/>
  <c r="C30" i="81"/>
  <c r="H29" i="81"/>
  <c r="G29" i="81"/>
  <c r="F29" i="81"/>
  <c r="E29" i="81"/>
  <c r="D29" i="81"/>
  <c r="C29" i="81"/>
  <c r="H28" i="81"/>
  <c r="G28" i="81"/>
  <c r="F28" i="81"/>
  <c r="E28" i="81"/>
  <c r="D28" i="81"/>
  <c r="C28" i="81"/>
  <c r="H19" i="81"/>
  <c r="H18" i="81"/>
  <c r="H20" i="81"/>
  <c r="H17" i="81"/>
  <c r="H21" i="81"/>
  <c r="H22" i="81"/>
  <c r="H16" i="81"/>
  <c r="H23" i="81"/>
  <c r="G19" i="81"/>
  <c r="G20" i="81"/>
  <c r="G18" i="81"/>
  <c r="G21" i="81"/>
  <c r="G17" i="81"/>
  <c r="G22" i="81"/>
  <c r="G16" i="81"/>
  <c r="G23" i="81"/>
  <c r="F18" i="81"/>
  <c r="F19" i="81"/>
  <c r="F17" i="81"/>
  <c r="F20" i="81"/>
  <c r="F16" i="81"/>
  <c r="F21" i="81"/>
  <c r="F22" i="81"/>
  <c r="F23" i="81"/>
  <c r="E21" i="81"/>
  <c r="E22" i="81"/>
  <c r="E20" i="81"/>
  <c r="E19" i="81"/>
  <c r="E18" i="81"/>
  <c r="E23" i="81"/>
  <c r="E17" i="81"/>
  <c r="E16" i="81"/>
  <c r="D22" i="81"/>
  <c r="D19" i="81"/>
  <c r="D20" i="81"/>
  <c r="D18" i="81"/>
  <c r="D21" i="81"/>
  <c r="D17" i="81"/>
  <c r="D23" i="81"/>
  <c r="C21" i="81"/>
  <c r="C22" i="81"/>
  <c r="C20" i="81"/>
  <c r="C23" i="81"/>
  <c r="C19" i="81"/>
  <c r="C18" i="81"/>
  <c r="C17" i="81"/>
  <c r="D16" i="81"/>
  <c r="C16" i="81"/>
  <c r="F11" i="81" l="1"/>
  <c r="H6" i="81"/>
  <c r="F9" i="81"/>
  <c r="H10" i="81"/>
  <c r="F8" i="81"/>
  <c r="K11" i="81"/>
  <c r="L11" i="81"/>
  <c r="L22" i="81"/>
  <c r="K22" i="81"/>
  <c r="H8" i="81"/>
  <c r="D5" i="81"/>
  <c r="D7" i="81"/>
  <c r="E7" i="81"/>
  <c r="C4" i="81"/>
  <c r="G11" i="81"/>
  <c r="C9" i="81"/>
  <c r="D11" i="81"/>
  <c r="D9" i="81"/>
  <c r="H5" i="81"/>
  <c r="D96" i="81"/>
  <c r="D144" i="81"/>
  <c r="F96" i="81"/>
  <c r="F120" i="81"/>
  <c r="F144" i="81"/>
  <c r="F132" i="81"/>
  <c r="H144" i="81"/>
  <c r="C5" i="81"/>
  <c r="G10" i="81"/>
  <c r="D6" i="81"/>
  <c r="H7" i="81"/>
  <c r="D8" i="81"/>
  <c r="E11" i="81"/>
  <c r="F7" i="81"/>
  <c r="F10" i="81"/>
  <c r="H9" i="81"/>
  <c r="F6" i="81"/>
  <c r="D108" i="81"/>
  <c r="F36" i="81"/>
  <c r="E10" i="81"/>
  <c r="E4" i="81"/>
  <c r="C8" i="81"/>
  <c r="F60" i="81"/>
  <c r="F4" i="81"/>
  <c r="D10" i="81"/>
  <c r="D4" i="81"/>
  <c r="H156" i="81"/>
  <c r="C7" i="81"/>
  <c r="G9" i="81"/>
  <c r="G96" i="81"/>
  <c r="G108" i="81"/>
  <c r="G120" i="81"/>
  <c r="G132" i="81"/>
  <c r="G144" i="81"/>
  <c r="D156" i="81"/>
  <c r="H132" i="81"/>
  <c r="F5" i="81"/>
  <c r="C108" i="81"/>
  <c r="E108" i="81"/>
  <c r="C120" i="81"/>
  <c r="C132" i="81"/>
  <c r="C144" i="81"/>
  <c r="H108" i="81"/>
  <c r="G8" i="81"/>
  <c r="H120" i="81"/>
  <c r="E156" i="81"/>
  <c r="F156" i="81"/>
  <c r="G156" i="81"/>
  <c r="H4" i="81"/>
  <c r="E36" i="81"/>
  <c r="E60" i="81"/>
  <c r="E84" i="81"/>
  <c r="E96" i="81"/>
  <c r="F108" i="81"/>
  <c r="E120" i="81"/>
  <c r="E132" i="81"/>
  <c r="E144" i="81"/>
  <c r="C10" i="81"/>
  <c r="E9" i="81"/>
  <c r="G7" i="81"/>
  <c r="C84" i="81"/>
  <c r="C96" i="81"/>
  <c r="C36" i="81"/>
  <c r="C60" i="81"/>
  <c r="E5" i="81"/>
  <c r="G4" i="81"/>
  <c r="C156" i="81"/>
  <c r="C6" i="81"/>
  <c r="E6" i="81"/>
  <c r="G5" i="81"/>
  <c r="G36" i="81"/>
  <c r="G60" i="81"/>
  <c r="C11" i="81"/>
  <c r="E8" i="81"/>
  <c r="G6" i="81"/>
  <c r="H96" i="81"/>
  <c r="H36" i="81"/>
  <c r="H60" i="81"/>
  <c r="D120" i="81"/>
  <c r="D132" i="81"/>
  <c r="D36" i="81"/>
  <c r="D60" i="81"/>
  <c r="D84" i="81"/>
  <c r="F84" i="81"/>
  <c r="G84" i="81"/>
  <c r="H84" i="81"/>
  <c r="H72" i="81"/>
  <c r="C72" i="81"/>
  <c r="D72" i="81"/>
  <c r="E72" i="81"/>
  <c r="F72" i="81"/>
  <c r="G72" i="81"/>
  <c r="H24" i="81"/>
  <c r="G24" i="81"/>
  <c r="F24" i="81"/>
  <c r="E24" i="81"/>
  <c r="D24" i="81"/>
  <c r="C24" i="81"/>
  <c r="J11" i="80"/>
  <c r="G11" i="80"/>
  <c r="L24" i="81" l="1"/>
  <c r="K24" i="81"/>
  <c r="Q6" i="53"/>
  <c r="H12" i="81"/>
  <c r="F12" i="81"/>
  <c r="D12" i="81"/>
  <c r="C12" i="81"/>
  <c r="E12" i="81"/>
  <c r="G12" i="81"/>
  <c r="F5" i="53"/>
  <c r="G5" i="53"/>
  <c r="H5" i="53"/>
  <c r="I5" i="53"/>
  <c r="J5" i="53"/>
  <c r="K5" i="53"/>
  <c r="Y6" i="53" s="1"/>
  <c r="E5" i="53"/>
  <c r="N4" i="53" l="1"/>
  <c r="P4" i="53"/>
  <c r="O4" i="53"/>
  <c r="M4" i="53"/>
  <c r="L4" i="53"/>
  <c r="F4" i="53"/>
  <c r="K4" i="53"/>
  <c r="E4" i="53"/>
  <c r="J4" i="53"/>
  <c r="I4" i="53"/>
  <c r="H4" i="53"/>
  <c r="G4" i="53"/>
  <c r="AH4" i="53"/>
  <c r="Y5" i="53"/>
  <c r="AM4" i="53"/>
  <c r="Y4" i="53"/>
  <c r="Y8" i="53" s="1"/>
  <c r="Q5" i="53"/>
  <c r="F38" i="80"/>
  <c r="F20" i="80"/>
  <c r="AV26" i="65" l="1"/>
  <c r="AV32" i="72"/>
  <c r="AV31" i="72"/>
  <c r="AV30" i="72"/>
  <c r="AV29" i="72"/>
  <c r="AV28" i="72"/>
  <c r="AV27" i="72"/>
  <c r="AV26" i="72"/>
  <c r="AV25" i="72"/>
  <c r="AV32" i="73"/>
  <c r="AV31" i="73"/>
  <c r="AV30" i="73"/>
  <c r="AV29" i="73"/>
  <c r="AV28" i="73"/>
  <c r="AV27" i="73"/>
  <c r="AV26" i="73"/>
  <c r="AV25" i="73"/>
  <c r="AV32" i="71"/>
  <c r="AV31" i="71"/>
  <c r="AV30" i="71"/>
  <c r="AV29" i="71"/>
  <c r="AV28" i="71"/>
  <c r="AV27" i="71"/>
  <c r="AV26" i="71"/>
  <c r="AV25" i="71"/>
  <c r="AV32" i="70"/>
  <c r="AV31" i="70"/>
  <c r="AV30" i="70"/>
  <c r="AV29" i="70"/>
  <c r="AV28" i="70"/>
  <c r="AV27" i="70"/>
  <c r="AV26" i="70"/>
  <c r="AV25" i="70"/>
  <c r="AV32" i="69"/>
  <c r="AV31" i="69"/>
  <c r="AV30" i="69"/>
  <c r="AV29" i="69"/>
  <c r="AV28" i="69"/>
  <c r="AV27" i="69"/>
  <c r="AV26" i="69"/>
  <c r="AV25" i="69"/>
  <c r="AV32" i="68"/>
  <c r="AV31" i="68"/>
  <c r="AV30" i="68"/>
  <c r="AV29" i="68"/>
  <c r="AV28" i="68"/>
  <c r="AV27" i="68"/>
  <c r="AV26" i="68"/>
  <c r="AV25" i="68"/>
  <c r="AV32" i="67"/>
  <c r="AV31" i="67"/>
  <c r="AV30" i="67"/>
  <c r="AV29" i="67"/>
  <c r="AV28" i="67"/>
  <c r="AV27" i="67"/>
  <c r="AV26" i="67"/>
  <c r="AV25" i="67"/>
  <c r="AV32" i="66"/>
  <c r="AV31" i="66"/>
  <c r="AV30" i="66"/>
  <c r="AV29" i="66"/>
  <c r="AV28" i="66"/>
  <c r="AV27" i="66"/>
  <c r="AV26" i="66"/>
  <c r="AV25" i="66"/>
  <c r="AV32" i="65"/>
  <c r="AV31" i="65"/>
  <c r="AV30" i="65"/>
  <c r="AV29" i="65"/>
  <c r="AV28" i="65"/>
  <c r="AV27" i="65"/>
  <c r="AV25" i="65"/>
  <c r="AV33" i="67" l="1"/>
  <c r="AW33" i="67" s="1"/>
  <c r="AV33" i="71"/>
  <c r="AW33" i="71" s="1"/>
  <c r="AV33" i="66"/>
  <c r="AW30" i="66" s="1"/>
  <c r="AV33" i="69"/>
  <c r="AW33" i="69" s="1"/>
  <c r="AV33" i="65"/>
  <c r="AW33" i="65" s="1"/>
  <c r="AV33" i="72"/>
  <c r="AW33" i="72" s="1"/>
  <c r="AV33" i="73"/>
  <c r="AW33" i="73" s="1"/>
  <c r="AV33" i="70"/>
  <c r="AW33" i="70" s="1"/>
  <c r="AV33" i="68"/>
  <c r="AW33" i="68" s="1"/>
  <c r="AW28" i="67"/>
  <c r="AW27" i="66"/>
  <c r="AV25" i="41"/>
  <c r="AV38" i="41" s="1"/>
  <c r="AV26" i="41"/>
  <c r="AV39" i="41" s="1"/>
  <c r="AV27" i="41"/>
  <c r="AV40" i="41" s="1"/>
  <c r="AV28" i="41"/>
  <c r="AV41" i="41" s="1"/>
  <c r="AV29" i="41"/>
  <c r="AV42" i="41" s="1"/>
  <c r="AV30" i="41"/>
  <c r="AV43" i="41" s="1"/>
  <c r="AV31" i="41"/>
  <c r="AV44" i="41" s="1"/>
  <c r="AV32" i="41"/>
  <c r="AV45" i="41" s="1"/>
  <c r="AW31" i="66" l="1"/>
  <c r="AW29" i="66"/>
  <c r="AW32" i="71"/>
  <c r="AW28" i="71"/>
  <c r="AW26" i="71"/>
  <c r="AW31" i="71"/>
  <c r="AW29" i="71"/>
  <c r="AW25" i="71"/>
  <c r="AW25" i="66"/>
  <c r="AW30" i="71"/>
  <c r="AW28" i="66"/>
  <c r="AW26" i="66"/>
  <c r="AW27" i="71"/>
  <c r="AW33" i="66"/>
  <c r="AW25" i="69"/>
  <c r="AW31" i="69"/>
  <c r="AW26" i="67"/>
  <c r="AW27" i="67"/>
  <c r="AW26" i="65"/>
  <c r="AW27" i="65"/>
  <c r="AW31" i="67"/>
  <c r="AW30" i="67"/>
  <c r="AW29" i="67"/>
  <c r="AW25" i="67"/>
  <c r="AW32" i="67"/>
  <c r="AW25" i="65"/>
  <c r="AW32" i="65"/>
  <c r="AW31" i="65"/>
  <c r="AW30" i="65"/>
  <c r="AW29" i="65"/>
  <c r="AW28" i="65"/>
  <c r="AW32" i="69"/>
  <c r="AW26" i="69"/>
  <c r="AW29" i="69"/>
  <c r="AW30" i="69"/>
  <c r="AW27" i="69"/>
  <c r="AW28" i="69"/>
  <c r="AW32" i="66"/>
  <c r="AW29" i="72"/>
  <c r="AW28" i="72"/>
  <c r="AW26" i="72"/>
  <c r="AW32" i="72"/>
  <c r="AW31" i="72"/>
  <c r="AW25" i="72"/>
  <c r="AW30" i="72"/>
  <c r="AW27" i="72"/>
  <c r="AW26" i="73"/>
  <c r="AW32" i="73"/>
  <c r="AW31" i="73"/>
  <c r="AW30" i="73"/>
  <c r="AW29" i="73"/>
  <c r="AW25" i="73"/>
  <c r="AW28" i="73"/>
  <c r="AW27" i="73"/>
  <c r="AW29" i="70"/>
  <c r="AW32" i="70"/>
  <c r="AW26" i="70"/>
  <c r="AW31" i="70"/>
  <c r="AW27" i="70"/>
  <c r="AW30" i="70"/>
  <c r="AW28" i="70"/>
  <c r="AW25" i="70"/>
  <c r="AW32" i="68"/>
  <c r="AW30" i="68"/>
  <c r="AW27" i="68"/>
  <c r="AW25" i="68"/>
  <c r="AW31" i="68"/>
  <c r="AW28" i="68"/>
  <c r="AW29" i="68"/>
  <c r="AW26" i="68"/>
  <c r="AV46" i="41"/>
  <c r="AW46" i="41" s="1"/>
  <c r="DC24" i="78"/>
  <c r="CY172" i="78" s="1"/>
  <c r="DB24" i="78"/>
  <c r="CY171" i="78" s="1"/>
  <c r="DA24" i="78"/>
  <c r="CY170" i="78" s="1"/>
  <c r="CZ24" i="78"/>
  <c r="CY169" i="78" s="1"/>
  <c r="CX24" i="78"/>
  <c r="CY167" i="78" s="1"/>
  <c r="DC18" i="78"/>
  <c r="CY166" i="78" s="1"/>
  <c r="DB18" i="78"/>
  <c r="CY165" i="78" s="1"/>
  <c r="DA18" i="78"/>
  <c r="CY164" i="78" s="1"/>
  <c r="CZ18" i="78"/>
  <c r="CY163" i="78" s="1"/>
  <c r="CY18" i="78"/>
  <c r="CY162" i="78" s="1"/>
  <c r="CX18" i="78"/>
  <c r="CY161" i="78" s="1"/>
  <c r="CT24" i="78"/>
  <c r="CP172" i="78" s="1"/>
  <c r="CS24" i="78"/>
  <c r="CP171" i="78" s="1"/>
  <c r="CR24" i="78"/>
  <c r="CP170" i="78" s="1"/>
  <c r="CQ24" i="78"/>
  <c r="CP169" i="78" s="1"/>
  <c r="CO24" i="78"/>
  <c r="CP167" i="78" s="1"/>
  <c r="CT18" i="78"/>
  <c r="CP166" i="78" s="1"/>
  <c r="CS18" i="78"/>
  <c r="CP165" i="78" s="1"/>
  <c r="CR18" i="78"/>
  <c r="CP164" i="78" s="1"/>
  <c r="CQ18" i="78"/>
  <c r="CP163" i="78" s="1"/>
  <c r="CP18" i="78"/>
  <c r="CP162" i="78" s="1"/>
  <c r="CO18" i="78"/>
  <c r="CP161" i="78" s="1"/>
  <c r="CK24" i="78"/>
  <c r="CG172" i="78" s="1"/>
  <c r="CJ24" i="78"/>
  <c r="CG171" i="78" s="1"/>
  <c r="CI24" i="78"/>
  <c r="CG170" i="78" s="1"/>
  <c r="CH24" i="78"/>
  <c r="CG169" i="78" s="1"/>
  <c r="CF24" i="78"/>
  <c r="CG167" i="78" s="1"/>
  <c r="CK18" i="78"/>
  <c r="CG166" i="78" s="1"/>
  <c r="CJ18" i="78"/>
  <c r="CG165" i="78" s="1"/>
  <c r="CI18" i="78"/>
  <c r="CG164" i="78" s="1"/>
  <c r="CH18" i="78"/>
  <c r="CG163" i="78" s="1"/>
  <c r="CG18" i="78"/>
  <c r="CG162" i="78" s="1"/>
  <c r="CF18" i="78"/>
  <c r="CG161" i="78" s="1"/>
  <c r="CB24" i="78"/>
  <c r="BX172" i="78" s="1"/>
  <c r="CA24" i="78"/>
  <c r="BX171" i="78" s="1"/>
  <c r="BZ24" i="78"/>
  <c r="BX170" i="78" s="1"/>
  <c r="BY24" i="78"/>
  <c r="BX169" i="78" s="1"/>
  <c r="BW24" i="78"/>
  <c r="BX167" i="78" s="1"/>
  <c r="CB18" i="78"/>
  <c r="BX166" i="78" s="1"/>
  <c r="CA18" i="78"/>
  <c r="BX165" i="78" s="1"/>
  <c r="BZ18" i="78"/>
  <c r="BX164" i="78" s="1"/>
  <c r="BY18" i="78"/>
  <c r="BX163" i="78" s="1"/>
  <c r="BX18" i="78"/>
  <c r="BX162" i="78" s="1"/>
  <c r="BW18" i="78"/>
  <c r="BX161" i="78" s="1"/>
  <c r="BS24" i="78"/>
  <c r="BO172" i="78" s="1"/>
  <c r="BR24" i="78"/>
  <c r="BO171" i="78" s="1"/>
  <c r="BQ24" i="78"/>
  <c r="BO170" i="78" s="1"/>
  <c r="BP24" i="78"/>
  <c r="BO169" i="78" s="1"/>
  <c r="BN24" i="78"/>
  <c r="BO167" i="78" s="1"/>
  <c r="BS18" i="78"/>
  <c r="BO166" i="78" s="1"/>
  <c r="BR18" i="78"/>
  <c r="BO165" i="78" s="1"/>
  <c r="BQ18" i="78"/>
  <c r="BO164" i="78" s="1"/>
  <c r="BP18" i="78"/>
  <c r="BO163" i="78" s="1"/>
  <c r="BO18" i="78"/>
  <c r="BO162" i="78" s="1"/>
  <c r="BN18" i="78"/>
  <c r="BO161" i="78" s="1"/>
  <c r="BJ24" i="78"/>
  <c r="BF184" i="78" s="1"/>
  <c r="BI24" i="78"/>
  <c r="BF183" i="78" s="1"/>
  <c r="BH24" i="78"/>
  <c r="BF182" i="78" s="1"/>
  <c r="BG24" i="78"/>
  <c r="BF181" i="78" s="1"/>
  <c r="BE24" i="78"/>
  <c r="BF179" i="78" s="1"/>
  <c r="BJ18" i="78"/>
  <c r="BF178" i="78" s="1"/>
  <c r="BI18" i="78"/>
  <c r="BF177" i="78" s="1"/>
  <c r="BH18" i="78"/>
  <c r="BF176" i="78" s="1"/>
  <c r="BG18" i="78"/>
  <c r="BF175" i="78" s="1"/>
  <c r="BF18" i="78"/>
  <c r="BF174" i="78" s="1"/>
  <c r="BE18" i="78"/>
  <c r="BF173" i="78" s="1"/>
  <c r="BA24" i="78"/>
  <c r="AW196" i="78" s="1"/>
  <c r="AZ24" i="78"/>
  <c r="AW195" i="78" s="1"/>
  <c r="AY24" i="78"/>
  <c r="AW194" i="78" s="1"/>
  <c r="AX24" i="78"/>
  <c r="AW193" i="78" s="1"/>
  <c r="AV24" i="78"/>
  <c r="AW191" i="78" s="1"/>
  <c r="BA18" i="78"/>
  <c r="AW190" i="78" s="1"/>
  <c r="AZ18" i="78"/>
  <c r="AW189" i="78" s="1"/>
  <c r="AY18" i="78"/>
  <c r="AW188" i="78" s="1"/>
  <c r="AX18" i="78"/>
  <c r="AW187" i="78" s="1"/>
  <c r="AW18" i="78"/>
  <c r="AW186" i="78" s="1"/>
  <c r="AV18" i="78"/>
  <c r="AW185" i="78" s="1"/>
  <c r="AR24" i="78"/>
  <c r="AN172" i="78" s="1"/>
  <c r="AQ24" i="78"/>
  <c r="AN171" i="78" s="1"/>
  <c r="AP24" i="78"/>
  <c r="AN170" i="78" s="1"/>
  <c r="AO24" i="78"/>
  <c r="AN169" i="78" s="1"/>
  <c r="AM24" i="78"/>
  <c r="AN167" i="78" s="1"/>
  <c r="AR18" i="78"/>
  <c r="AN166" i="78" s="1"/>
  <c r="AQ18" i="78"/>
  <c r="AN165" i="78" s="1"/>
  <c r="AP18" i="78"/>
  <c r="AN164" i="78" s="1"/>
  <c r="AO18" i="78"/>
  <c r="AN163" i="78" s="1"/>
  <c r="AN18" i="78"/>
  <c r="AN162" i="78" s="1"/>
  <c r="AM18" i="78"/>
  <c r="AN161" i="78" s="1"/>
  <c r="AI24" i="78"/>
  <c r="AE172" i="78" s="1"/>
  <c r="AH24" i="78"/>
  <c r="AE171" i="78" s="1"/>
  <c r="AG24" i="78"/>
  <c r="AE170" i="78" s="1"/>
  <c r="AF24" i="78"/>
  <c r="AE169" i="78" s="1"/>
  <c r="AD24" i="78"/>
  <c r="AE167" i="78" s="1"/>
  <c r="AI18" i="78"/>
  <c r="AE166" i="78" s="1"/>
  <c r="AH18" i="78"/>
  <c r="AE165" i="78" s="1"/>
  <c r="AG18" i="78"/>
  <c r="AE164" i="78" s="1"/>
  <c r="AF18" i="78"/>
  <c r="AE163" i="78" s="1"/>
  <c r="AE18" i="78"/>
  <c r="AE162" i="78" s="1"/>
  <c r="AD18" i="78"/>
  <c r="AE161" i="78" s="1"/>
  <c r="Z24" i="78"/>
  <c r="V172" i="78" s="1"/>
  <c r="Y24" i="78"/>
  <c r="V171" i="78" s="1"/>
  <c r="X24" i="78"/>
  <c r="V170" i="78" s="1"/>
  <c r="W24" i="78"/>
  <c r="V169" i="78" s="1"/>
  <c r="U24" i="78"/>
  <c r="V167" i="78" s="1"/>
  <c r="Z18" i="78"/>
  <c r="V166" i="78" s="1"/>
  <c r="Y18" i="78"/>
  <c r="V165" i="78" s="1"/>
  <c r="X18" i="78"/>
  <c r="V164" i="78" s="1"/>
  <c r="W18" i="78"/>
  <c r="V163" i="78" s="1"/>
  <c r="V18" i="78"/>
  <c r="V162" i="78" s="1"/>
  <c r="U18" i="78"/>
  <c r="V161" i="78" s="1"/>
  <c r="Q24" i="78"/>
  <c r="M172" i="78" s="1"/>
  <c r="P24" i="78"/>
  <c r="M171" i="78" s="1"/>
  <c r="O24" i="78"/>
  <c r="M170" i="78" s="1"/>
  <c r="N24" i="78"/>
  <c r="M169" i="78" s="1"/>
  <c r="L24" i="78"/>
  <c r="M167" i="78" s="1"/>
  <c r="Q18" i="78"/>
  <c r="M166" i="78" s="1"/>
  <c r="P18" i="78"/>
  <c r="M165" i="78" s="1"/>
  <c r="O18" i="78"/>
  <c r="M164" i="78" s="1"/>
  <c r="N18" i="78"/>
  <c r="M163" i="78" s="1"/>
  <c r="M18" i="78"/>
  <c r="M162" i="78" s="1"/>
  <c r="L18" i="78"/>
  <c r="M161" i="78" s="1"/>
  <c r="AW39" i="41" l="1"/>
  <c r="AW38" i="41"/>
  <c r="AW40" i="41"/>
  <c r="AW41" i="41"/>
  <c r="AW42" i="41"/>
  <c r="AW43" i="41"/>
  <c r="AW44" i="41"/>
  <c r="AW45" i="41"/>
  <c r="H24" i="78"/>
  <c r="D172" i="78" s="1"/>
  <c r="G24" i="78"/>
  <c r="D171" i="78" s="1"/>
  <c r="F24" i="78"/>
  <c r="D170" i="78" s="1"/>
  <c r="E24" i="78"/>
  <c r="D169" i="78" s="1"/>
  <c r="C24" i="78"/>
  <c r="D167" i="78" s="1"/>
  <c r="H18" i="78"/>
  <c r="D166" i="78" s="1"/>
  <c r="G18" i="78"/>
  <c r="D165" i="78" s="1"/>
  <c r="F18" i="78"/>
  <c r="D164" i="78" s="1"/>
  <c r="E18" i="78"/>
  <c r="D163" i="78" s="1"/>
  <c r="D18" i="78"/>
  <c r="D162" i="78" s="1"/>
  <c r="C18" i="78"/>
  <c r="D161" i="78" s="1"/>
  <c r="AV4" i="41" l="1"/>
  <c r="AV4" i="65"/>
  <c r="AV4" i="67"/>
  <c r="AV4" i="68"/>
  <c r="AV4" i="69"/>
  <c r="AV4" i="70"/>
  <c r="AV4" i="71"/>
  <c r="AV4" i="73"/>
  <c r="AV4" i="72"/>
  <c r="AV4" i="66"/>
  <c r="AV5" i="65"/>
  <c r="AW5" i="65"/>
  <c r="AV6" i="65"/>
  <c r="AW6" i="65"/>
  <c r="AV7" i="65"/>
  <c r="AW7" i="65"/>
  <c r="AV8" i="65"/>
  <c r="AW8" i="65"/>
  <c r="AV9" i="65"/>
  <c r="AW9" i="65"/>
  <c r="AV10" i="65"/>
  <c r="AW10" i="65"/>
  <c r="AV11" i="65"/>
  <c r="AW11" i="65"/>
  <c r="AV12" i="65"/>
  <c r="AW12" i="65"/>
  <c r="AV13" i="65"/>
  <c r="AW13" i="65"/>
  <c r="AV14" i="65"/>
  <c r="AW14" i="65"/>
  <c r="AV15" i="65"/>
  <c r="AW15" i="65"/>
  <c r="AV5" i="66"/>
  <c r="AW5" i="66"/>
  <c r="AV6" i="66"/>
  <c r="AW6" i="66"/>
  <c r="AV7" i="66"/>
  <c r="AW7" i="66"/>
  <c r="AV8" i="66"/>
  <c r="AW8" i="66"/>
  <c r="AV9" i="66"/>
  <c r="AW9" i="66"/>
  <c r="AV10" i="66"/>
  <c r="AW10" i="66"/>
  <c r="AV11" i="66"/>
  <c r="AW11" i="66"/>
  <c r="AV12" i="66"/>
  <c r="AW12" i="66"/>
  <c r="AV13" i="66"/>
  <c r="AW13" i="66"/>
  <c r="AV14" i="66"/>
  <c r="AW14" i="66"/>
  <c r="AV15" i="66"/>
  <c r="AW15" i="66"/>
  <c r="AV5" i="67"/>
  <c r="AW5" i="67"/>
  <c r="AV6" i="67"/>
  <c r="AW6" i="67"/>
  <c r="AV7" i="67"/>
  <c r="AW7" i="67"/>
  <c r="AV8" i="67"/>
  <c r="AW8" i="67"/>
  <c r="AV9" i="67"/>
  <c r="AW9" i="67"/>
  <c r="AV10" i="67"/>
  <c r="AW10" i="67"/>
  <c r="AV11" i="67"/>
  <c r="AW11" i="67"/>
  <c r="AV12" i="67"/>
  <c r="AW12" i="67"/>
  <c r="AV13" i="67"/>
  <c r="AW13" i="67"/>
  <c r="AV14" i="67"/>
  <c r="AW14" i="67"/>
  <c r="AV15" i="67"/>
  <c r="AW15" i="67"/>
  <c r="AV5" i="68"/>
  <c r="AW5" i="68"/>
  <c r="AV6" i="68"/>
  <c r="AW6" i="68"/>
  <c r="AV7" i="68"/>
  <c r="AW7" i="68"/>
  <c r="AV8" i="68"/>
  <c r="AW8" i="68"/>
  <c r="AV9" i="68"/>
  <c r="AW9" i="68"/>
  <c r="AV10" i="68"/>
  <c r="AW10" i="68"/>
  <c r="AV11" i="68"/>
  <c r="AW11" i="68"/>
  <c r="AV12" i="68"/>
  <c r="AW12" i="68"/>
  <c r="AV13" i="68"/>
  <c r="AW13" i="68"/>
  <c r="AV14" i="68"/>
  <c r="AW14" i="68"/>
  <c r="AV15" i="68"/>
  <c r="AW15" i="68"/>
  <c r="AV5" i="69"/>
  <c r="AW5" i="69"/>
  <c r="AV6" i="69"/>
  <c r="AW6" i="69"/>
  <c r="AV7" i="69"/>
  <c r="AW7" i="69"/>
  <c r="AV8" i="69"/>
  <c r="AW8" i="69"/>
  <c r="AV9" i="69"/>
  <c r="AW9" i="69"/>
  <c r="AV10" i="69"/>
  <c r="AW10" i="69"/>
  <c r="AV11" i="69"/>
  <c r="AW11" i="69"/>
  <c r="AV12" i="69"/>
  <c r="AW12" i="69"/>
  <c r="AV13" i="69"/>
  <c r="AW13" i="69"/>
  <c r="AV14" i="69"/>
  <c r="AW14" i="69"/>
  <c r="AV15" i="69"/>
  <c r="AW15" i="69"/>
  <c r="AV5" i="70"/>
  <c r="AW5" i="70"/>
  <c r="AV6" i="70"/>
  <c r="AW6" i="70"/>
  <c r="AV7" i="70"/>
  <c r="AW7" i="70"/>
  <c r="AV8" i="70"/>
  <c r="AW8" i="70"/>
  <c r="AV9" i="70"/>
  <c r="AW9" i="70"/>
  <c r="AV10" i="70"/>
  <c r="AW10" i="70"/>
  <c r="AV11" i="70"/>
  <c r="AW11" i="70"/>
  <c r="AV12" i="70"/>
  <c r="AW12" i="70"/>
  <c r="AV13" i="70"/>
  <c r="AW13" i="70"/>
  <c r="AV14" i="70"/>
  <c r="AW14" i="70"/>
  <c r="AV15" i="70"/>
  <c r="AW15" i="70"/>
  <c r="AV5" i="71"/>
  <c r="AW5" i="71"/>
  <c r="AV6" i="71"/>
  <c r="AW6" i="71"/>
  <c r="AV7" i="71"/>
  <c r="AW7" i="71"/>
  <c r="AV8" i="71"/>
  <c r="AW8" i="71"/>
  <c r="AV9" i="71"/>
  <c r="AW9" i="71"/>
  <c r="AV10" i="71"/>
  <c r="AW10" i="71"/>
  <c r="AV11" i="71"/>
  <c r="AW11" i="71"/>
  <c r="AV12" i="71"/>
  <c r="AW12" i="71"/>
  <c r="AV13" i="71"/>
  <c r="AW13" i="71"/>
  <c r="AV14" i="71"/>
  <c r="AW14" i="71"/>
  <c r="AV15" i="71"/>
  <c r="AW15" i="71"/>
  <c r="AV5" i="73"/>
  <c r="AW5" i="73"/>
  <c r="AV6" i="73"/>
  <c r="AW6" i="73"/>
  <c r="AV7" i="73"/>
  <c r="AW7" i="73"/>
  <c r="AV8" i="73"/>
  <c r="AW8" i="73"/>
  <c r="AV9" i="73"/>
  <c r="AW9" i="73"/>
  <c r="AV10" i="73"/>
  <c r="AW10" i="73"/>
  <c r="AV11" i="73"/>
  <c r="AW11" i="73"/>
  <c r="AV12" i="73"/>
  <c r="AW12" i="73"/>
  <c r="AV13" i="73"/>
  <c r="AW13" i="73"/>
  <c r="AV14" i="73"/>
  <c r="AW14" i="73"/>
  <c r="AV15" i="73"/>
  <c r="AW15" i="73"/>
  <c r="AV5" i="72"/>
  <c r="AW5" i="72"/>
  <c r="AV6" i="72"/>
  <c r="AW6" i="72"/>
  <c r="AV7" i="72"/>
  <c r="AW7" i="72"/>
  <c r="AV8" i="72"/>
  <c r="AW8" i="72"/>
  <c r="AV9" i="72"/>
  <c r="AW9" i="72"/>
  <c r="AV10" i="72"/>
  <c r="AW10" i="72"/>
  <c r="AV11" i="72"/>
  <c r="AW11" i="72"/>
  <c r="AV12" i="72"/>
  <c r="AW12" i="72"/>
  <c r="AV13" i="72"/>
  <c r="AW13" i="72"/>
  <c r="AV14" i="72"/>
  <c r="AW14" i="72"/>
  <c r="AV15" i="72"/>
  <c r="AW15" i="72"/>
  <c r="AV5" i="41"/>
  <c r="AW5" i="41"/>
  <c r="AV6" i="41"/>
  <c r="AW6" i="41"/>
  <c r="AV7" i="41"/>
  <c r="AW7" i="41"/>
  <c r="AV8" i="41"/>
  <c r="AW8" i="41"/>
  <c r="AV9" i="41"/>
  <c r="AW9" i="41"/>
  <c r="AV10" i="41"/>
  <c r="AW10" i="41"/>
  <c r="AV11" i="41"/>
  <c r="AW11" i="41"/>
  <c r="AV12" i="41"/>
  <c r="AW12" i="41"/>
  <c r="AV13" i="41"/>
  <c r="AW13" i="41"/>
  <c r="AV14" i="41"/>
  <c r="AW14" i="41"/>
  <c r="AV15" i="41"/>
  <c r="AW15" i="41"/>
  <c r="AW4" i="65"/>
  <c r="AW4" i="66"/>
  <c r="AW4" i="67"/>
  <c r="AW4" i="68"/>
  <c r="AW4" i="69"/>
  <c r="AW4" i="70"/>
  <c r="AW4" i="71"/>
  <c r="AW4" i="73"/>
  <c r="AW4" i="72"/>
  <c r="AW4" i="41"/>
  <c r="AW16" i="73" l="1"/>
  <c r="AW16" i="70"/>
  <c r="AW16" i="67"/>
  <c r="AW16" i="69"/>
  <c r="W29" i="53"/>
  <c r="V25" i="53"/>
  <c r="AW16" i="71"/>
  <c r="AW16" i="65"/>
  <c r="V30" i="53"/>
  <c r="AW16" i="68"/>
  <c r="W30" i="53"/>
  <c r="AW16" i="66"/>
  <c r="W28" i="53"/>
  <c r="V26" i="53"/>
  <c r="V29" i="53"/>
  <c r="V27" i="53"/>
  <c r="W35" i="53"/>
  <c r="V35" i="53"/>
  <c r="W34" i="53"/>
  <c r="V33" i="53"/>
  <c r="W32" i="53"/>
  <c r="W26" i="53"/>
  <c r="V32" i="53"/>
  <c r="W31" i="53"/>
  <c r="W25" i="53"/>
  <c r="V31" i="53"/>
  <c r="V28" i="53"/>
  <c r="V34" i="53"/>
  <c r="AW16" i="72"/>
  <c r="W33" i="53"/>
  <c r="W27" i="53"/>
  <c r="AV16" i="66"/>
  <c r="AV16" i="72"/>
  <c r="AV16" i="73"/>
  <c r="AW17" i="73" s="1"/>
  <c r="AV16" i="71"/>
  <c r="AV17" i="71" s="1"/>
  <c r="AV16" i="70"/>
  <c r="AV16" i="69"/>
  <c r="AV16" i="68"/>
  <c r="AV16" i="67"/>
  <c r="AV16" i="65"/>
  <c r="AW16" i="41"/>
  <c r="AV16" i="41"/>
  <c r="V24" i="53"/>
  <c r="W24" i="53"/>
  <c r="AV17" i="72" l="1"/>
  <c r="AW17" i="65"/>
  <c r="AW17" i="67"/>
  <c r="AW17" i="70"/>
  <c r="AW17" i="69"/>
  <c r="AV17" i="66"/>
  <c r="AV17" i="70"/>
  <c r="W36" i="53"/>
  <c r="AV17" i="68"/>
  <c r="AV17" i="73"/>
  <c r="AW17" i="72"/>
  <c r="AW17" i="66"/>
  <c r="AW17" i="71"/>
  <c r="AW17" i="68"/>
  <c r="AV17" i="69"/>
  <c r="AV17" i="67"/>
  <c r="V36" i="53"/>
  <c r="AV17" i="65"/>
  <c r="AW17" i="41"/>
  <c r="AV17" i="41"/>
  <c r="AR12" i="65"/>
  <c r="AF4" i="65"/>
  <c r="AG4" i="65"/>
  <c r="AH4" i="65"/>
  <c r="AI4" i="65"/>
  <c r="AK4" i="65"/>
  <c r="AL4" i="65"/>
  <c r="AM4" i="65"/>
  <c r="AN4" i="65"/>
  <c r="AP4" i="65"/>
  <c r="AQ4" i="65"/>
  <c r="AR4" i="65"/>
  <c r="AS4" i="65"/>
  <c r="AF5" i="65"/>
  <c r="AG5" i="65"/>
  <c r="AH5" i="65"/>
  <c r="AI5" i="65"/>
  <c r="AK5" i="65"/>
  <c r="AL5" i="65"/>
  <c r="AM5" i="65"/>
  <c r="AN5" i="65"/>
  <c r="AP5" i="65"/>
  <c r="AQ5" i="65"/>
  <c r="AR5" i="65"/>
  <c r="AS5" i="65"/>
  <c r="AF6" i="65"/>
  <c r="AG6" i="65"/>
  <c r="AH6" i="65"/>
  <c r="AI6" i="65"/>
  <c r="AK6" i="65"/>
  <c r="AL6" i="65"/>
  <c r="AM6" i="65"/>
  <c r="AN6" i="65"/>
  <c r="AP6" i="65"/>
  <c r="AQ6" i="65"/>
  <c r="AR6" i="65"/>
  <c r="AS6" i="65"/>
  <c r="AF7" i="65"/>
  <c r="AG7" i="65"/>
  <c r="AH7" i="65"/>
  <c r="AI7" i="65"/>
  <c r="AK7" i="65"/>
  <c r="AL7" i="65"/>
  <c r="AM7" i="65"/>
  <c r="AN7" i="65"/>
  <c r="AP7" i="65"/>
  <c r="AQ7" i="65"/>
  <c r="AR7" i="65"/>
  <c r="AS7" i="65"/>
  <c r="AF9" i="65"/>
  <c r="AG9" i="65"/>
  <c r="AH9" i="65"/>
  <c r="AI9" i="65"/>
  <c r="AK9" i="65"/>
  <c r="AL9" i="65"/>
  <c r="AM9" i="65"/>
  <c r="AN9" i="65"/>
  <c r="AP9" i="65"/>
  <c r="AQ9" i="65"/>
  <c r="AR9" i="65"/>
  <c r="AS9" i="65"/>
  <c r="AF10" i="65"/>
  <c r="AG10" i="65"/>
  <c r="AH10" i="65"/>
  <c r="AI10" i="65"/>
  <c r="AK10" i="65"/>
  <c r="AL10" i="65"/>
  <c r="AM10" i="65"/>
  <c r="AN10" i="65"/>
  <c r="AP10" i="65"/>
  <c r="AQ10" i="65"/>
  <c r="AR10" i="65"/>
  <c r="AS10" i="65"/>
  <c r="AF11" i="65"/>
  <c r="AG11" i="65"/>
  <c r="AH11" i="65"/>
  <c r="AI11" i="65"/>
  <c r="AK11" i="65"/>
  <c r="AL11" i="65"/>
  <c r="AM11" i="65"/>
  <c r="AN11" i="65"/>
  <c r="AP11" i="65"/>
  <c r="AQ11" i="65"/>
  <c r="AR11" i="65"/>
  <c r="AS11" i="65"/>
  <c r="AF12" i="65"/>
  <c r="AG12" i="65"/>
  <c r="AH12" i="65"/>
  <c r="AI12" i="65"/>
  <c r="AK12" i="65"/>
  <c r="AL12" i="65"/>
  <c r="AM12" i="65"/>
  <c r="AN12" i="65"/>
  <c r="AP12" i="65"/>
  <c r="AQ12" i="65"/>
  <c r="AS12" i="65"/>
  <c r="AF13" i="65"/>
  <c r="AG13" i="65"/>
  <c r="AH13" i="65"/>
  <c r="AI13" i="65"/>
  <c r="AK13" i="65"/>
  <c r="AL13" i="65"/>
  <c r="AM13" i="65"/>
  <c r="AN13" i="65"/>
  <c r="AP13" i="65"/>
  <c r="AQ13" i="65"/>
  <c r="AR13" i="65"/>
  <c r="AS13" i="65"/>
  <c r="AF15" i="65"/>
  <c r="AG15" i="65"/>
  <c r="AH15" i="65"/>
  <c r="AI15" i="65"/>
  <c r="AK15" i="65"/>
  <c r="AL15" i="65"/>
  <c r="AM15" i="65"/>
  <c r="AN15" i="65"/>
  <c r="AP15" i="65"/>
  <c r="AQ15" i="65"/>
  <c r="AR15" i="65"/>
  <c r="AS15" i="65"/>
  <c r="AF16" i="65"/>
  <c r="AG16" i="65"/>
  <c r="AH16" i="65"/>
  <c r="AI16" i="65"/>
  <c r="AK16" i="65"/>
  <c r="AL16" i="65"/>
  <c r="AM16" i="65"/>
  <c r="AN16" i="65"/>
  <c r="AP16" i="65"/>
  <c r="AQ16" i="65"/>
  <c r="AR16" i="65"/>
  <c r="AS16" i="65"/>
  <c r="AF17" i="65"/>
  <c r="AG17" i="65"/>
  <c r="AH17" i="65"/>
  <c r="AI17" i="65"/>
  <c r="AK17" i="65"/>
  <c r="AL17" i="65"/>
  <c r="AM17" i="65"/>
  <c r="AN17" i="65"/>
  <c r="AP17" i="65"/>
  <c r="AQ17" i="65"/>
  <c r="AR17" i="65"/>
  <c r="AS17" i="65"/>
  <c r="AF18" i="65"/>
  <c r="AG18" i="65"/>
  <c r="AH18" i="65"/>
  <c r="AI18" i="65"/>
  <c r="AK18" i="65"/>
  <c r="AL18" i="65"/>
  <c r="AM18" i="65"/>
  <c r="AN18" i="65"/>
  <c r="AP18" i="65"/>
  <c r="AQ18" i="65"/>
  <c r="AR18" i="65"/>
  <c r="AS18" i="65"/>
  <c r="AF19" i="65"/>
  <c r="AG19" i="65"/>
  <c r="AH19" i="65"/>
  <c r="AI19" i="65"/>
  <c r="AK19" i="65"/>
  <c r="AL19" i="65"/>
  <c r="AM19" i="65"/>
  <c r="AN19" i="65"/>
  <c r="AP19" i="65"/>
  <c r="AQ19" i="65"/>
  <c r="AR19" i="65"/>
  <c r="AS19" i="65"/>
  <c r="AF21" i="65"/>
  <c r="AG21" i="65"/>
  <c r="AH21" i="65"/>
  <c r="AI21" i="65"/>
  <c r="AK21" i="65"/>
  <c r="AL21" i="65"/>
  <c r="AM21" i="65"/>
  <c r="AN21" i="65"/>
  <c r="AP21" i="65"/>
  <c r="AQ21" i="65"/>
  <c r="AR21" i="65"/>
  <c r="AS21" i="65"/>
  <c r="AF22" i="65"/>
  <c r="AG22" i="65"/>
  <c r="AH22" i="65"/>
  <c r="AI22" i="65"/>
  <c r="AK22" i="65"/>
  <c r="AL22" i="65"/>
  <c r="AM22" i="65"/>
  <c r="AN22" i="65"/>
  <c r="AP22" i="65"/>
  <c r="AQ22" i="65"/>
  <c r="AR22" i="65"/>
  <c r="AS22" i="65"/>
  <c r="AF23" i="65"/>
  <c r="AG23" i="65"/>
  <c r="AH23" i="65"/>
  <c r="AI23" i="65"/>
  <c r="AK23" i="65"/>
  <c r="AL23" i="65"/>
  <c r="AM23" i="65"/>
  <c r="AN23" i="65"/>
  <c r="AP23" i="65"/>
  <c r="AQ23" i="65"/>
  <c r="AR23" i="65"/>
  <c r="AS23" i="65"/>
  <c r="AF24" i="65"/>
  <c r="AG24" i="65"/>
  <c r="AH24" i="65"/>
  <c r="AI24" i="65"/>
  <c r="AK24" i="65"/>
  <c r="AL24" i="65"/>
  <c r="AM24" i="65"/>
  <c r="AN24" i="65"/>
  <c r="AP24" i="65"/>
  <c r="AQ24" i="65"/>
  <c r="AR24" i="65"/>
  <c r="AS24" i="65"/>
  <c r="AF25" i="65"/>
  <c r="AG25" i="65"/>
  <c r="AH25" i="65"/>
  <c r="AI25" i="65"/>
  <c r="AK25" i="65"/>
  <c r="AL25" i="65"/>
  <c r="AM25" i="65"/>
  <c r="AN25" i="65"/>
  <c r="AP25" i="65"/>
  <c r="AQ25" i="65"/>
  <c r="AR25" i="65"/>
  <c r="AS25" i="65"/>
  <c r="AF27" i="65"/>
  <c r="AG27" i="65"/>
  <c r="AH27" i="65"/>
  <c r="AI27" i="65"/>
  <c r="AK27" i="65"/>
  <c r="AL27" i="65"/>
  <c r="AM27" i="65"/>
  <c r="AN27" i="65"/>
  <c r="AP27" i="65"/>
  <c r="AQ27" i="65"/>
  <c r="AR27" i="65"/>
  <c r="AS27" i="65"/>
  <c r="AF28" i="65"/>
  <c r="AG28" i="65"/>
  <c r="AH28" i="65"/>
  <c r="AI28" i="65"/>
  <c r="AK28" i="65"/>
  <c r="AL28" i="65"/>
  <c r="AM28" i="65"/>
  <c r="AN28" i="65"/>
  <c r="AP28" i="65"/>
  <c r="AQ28" i="65"/>
  <c r="AS28" i="65"/>
  <c r="AF29" i="65"/>
  <c r="AG29" i="65"/>
  <c r="AH29" i="65"/>
  <c r="AI29" i="65"/>
  <c r="AK29" i="65"/>
  <c r="AL29" i="65"/>
  <c r="AM29" i="65"/>
  <c r="AN29" i="65"/>
  <c r="AP29" i="65"/>
  <c r="AQ29" i="65"/>
  <c r="AR29" i="65"/>
  <c r="AS29" i="65"/>
  <c r="AF30" i="65"/>
  <c r="AG30" i="65"/>
  <c r="AH30" i="65"/>
  <c r="AI30" i="65"/>
  <c r="AK30" i="65"/>
  <c r="AL30" i="65"/>
  <c r="AM30" i="65"/>
  <c r="AN30" i="65"/>
  <c r="AP30" i="65"/>
  <c r="AQ30" i="65"/>
  <c r="AS30" i="65"/>
  <c r="AF31" i="65"/>
  <c r="AG31" i="65"/>
  <c r="AH31" i="65"/>
  <c r="AI31" i="65"/>
  <c r="AK31" i="65"/>
  <c r="AL31" i="65"/>
  <c r="AM31" i="65"/>
  <c r="AN31" i="65"/>
  <c r="AP31" i="65"/>
  <c r="AQ31" i="65"/>
  <c r="AR31" i="65"/>
  <c r="AS31" i="65"/>
  <c r="AF33" i="65"/>
  <c r="AG33" i="65"/>
  <c r="AH33" i="65"/>
  <c r="AI33" i="65"/>
  <c r="AK33" i="65"/>
  <c r="AL33" i="65"/>
  <c r="AM33" i="65"/>
  <c r="AN33" i="65"/>
  <c r="AP33" i="65"/>
  <c r="AQ33" i="65"/>
  <c r="AR33" i="65"/>
  <c r="AS33" i="65"/>
  <c r="AF34" i="65"/>
  <c r="AG34" i="65"/>
  <c r="AH34" i="65"/>
  <c r="AI34" i="65"/>
  <c r="AK34" i="65"/>
  <c r="AL34" i="65"/>
  <c r="AM34" i="65"/>
  <c r="AN34" i="65"/>
  <c r="AP34" i="65"/>
  <c r="AQ34" i="65"/>
  <c r="AR34" i="65"/>
  <c r="AS34" i="65"/>
  <c r="AF35" i="65"/>
  <c r="AG35" i="65"/>
  <c r="AH35" i="65"/>
  <c r="AI35" i="65"/>
  <c r="AK35" i="65"/>
  <c r="AL35" i="65"/>
  <c r="AM35" i="65"/>
  <c r="AN35" i="65"/>
  <c r="AP35" i="65"/>
  <c r="AQ35" i="65"/>
  <c r="AS35" i="65"/>
  <c r="AF36" i="65"/>
  <c r="AG36" i="65"/>
  <c r="AH36" i="65"/>
  <c r="AI36" i="65"/>
  <c r="AK36" i="65"/>
  <c r="AL36" i="65"/>
  <c r="AM36" i="65"/>
  <c r="AN36" i="65"/>
  <c r="AP36" i="65"/>
  <c r="AQ36" i="65"/>
  <c r="AR36" i="65"/>
  <c r="AS36" i="65"/>
  <c r="AF37" i="65"/>
  <c r="AG37" i="65"/>
  <c r="AH37" i="65"/>
  <c r="AI37" i="65"/>
  <c r="AK37" i="65"/>
  <c r="AL37" i="65"/>
  <c r="AM37" i="65"/>
  <c r="AN37" i="65"/>
  <c r="AP37" i="65"/>
  <c r="AQ37" i="65"/>
  <c r="AR37" i="65"/>
  <c r="AS37" i="65"/>
  <c r="AF39" i="65"/>
  <c r="AG39" i="65"/>
  <c r="AH39" i="65"/>
  <c r="AI39" i="65"/>
  <c r="AK39" i="65"/>
  <c r="AL39" i="65"/>
  <c r="AM39" i="65"/>
  <c r="AN39" i="65"/>
  <c r="AP39" i="65"/>
  <c r="AQ39" i="65"/>
  <c r="AR39" i="65"/>
  <c r="AS39" i="65"/>
  <c r="AF40" i="65"/>
  <c r="AG40" i="65"/>
  <c r="AH40" i="65"/>
  <c r="AI40" i="65"/>
  <c r="AK40" i="65"/>
  <c r="AL40" i="65"/>
  <c r="AM40" i="65"/>
  <c r="AN40" i="65"/>
  <c r="AP40" i="65"/>
  <c r="AQ40" i="65"/>
  <c r="AR40" i="65"/>
  <c r="AS40" i="65"/>
  <c r="AF41" i="65"/>
  <c r="AG41" i="65"/>
  <c r="AH41" i="65"/>
  <c r="AI41" i="65"/>
  <c r="AK41" i="65"/>
  <c r="AL41" i="65"/>
  <c r="AM41" i="65"/>
  <c r="AN41" i="65"/>
  <c r="AP41" i="65"/>
  <c r="AQ41" i="65"/>
  <c r="AR41" i="65"/>
  <c r="AS41" i="65"/>
  <c r="AF42" i="65"/>
  <c r="AG42" i="65"/>
  <c r="AH42" i="65"/>
  <c r="AI42" i="65"/>
  <c r="AK42" i="65"/>
  <c r="AL42" i="65"/>
  <c r="AM42" i="65"/>
  <c r="AN42" i="65"/>
  <c r="AP42" i="65"/>
  <c r="AQ42" i="65"/>
  <c r="AR42" i="65"/>
  <c r="AS42" i="65"/>
  <c r="AF43" i="65"/>
  <c r="AG43" i="65"/>
  <c r="AH43" i="65"/>
  <c r="AI43" i="65"/>
  <c r="AK43" i="65"/>
  <c r="AL43" i="65"/>
  <c r="AM43" i="65"/>
  <c r="AN43" i="65"/>
  <c r="AP43" i="65"/>
  <c r="AQ43" i="65"/>
  <c r="AR43" i="65"/>
  <c r="AS43" i="65"/>
  <c r="AF45" i="65"/>
  <c r="AG45" i="65"/>
  <c r="AH45" i="65"/>
  <c r="AI45" i="65"/>
  <c r="AK45" i="65"/>
  <c r="AL45" i="65"/>
  <c r="AM45" i="65"/>
  <c r="AN45" i="65"/>
  <c r="AP45" i="65"/>
  <c r="AQ45" i="65"/>
  <c r="AR45" i="65"/>
  <c r="AS45" i="65"/>
  <c r="AF46" i="65"/>
  <c r="AG46" i="65"/>
  <c r="AH46" i="65"/>
  <c r="AI46" i="65"/>
  <c r="AK46" i="65"/>
  <c r="AL46" i="65"/>
  <c r="AM46" i="65"/>
  <c r="AN46" i="65"/>
  <c r="AP46" i="65"/>
  <c r="AQ46" i="65"/>
  <c r="AR46" i="65"/>
  <c r="AS46" i="65"/>
  <c r="AF47" i="65"/>
  <c r="AG47" i="65"/>
  <c r="AH47" i="65"/>
  <c r="AI47" i="65"/>
  <c r="AK47" i="65"/>
  <c r="AL47" i="65"/>
  <c r="AM47" i="65"/>
  <c r="AN47" i="65"/>
  <c r="AP47" i="65"/>
  <c r="AQ47" i="65"/>
  <c r="AR47" i="65"/>
  <c r="AS47" i="65"/>
  <c r="AF48" i="65"/>
  <c r="AG48" i="65"/>
  <c r="AH48" i="65"/>
  <c r="AI48" i="65"/>
  <c r="AK48" i="65"/>
  <c r="AL48" i="65"/>
  <c r="AM48" i="65"/>
  <c r="AN48" i="65"/>
  <c r="AP48" i="65"/>
  <c r="AQ48" i="65"/>
  <c r="AR48" i="65"/>
  <c r="AS48" i="65"/>
  <c r="AF49" i="65"/>
  <c r="AG49" i="65"/>
  <c r="AH49" i="65"/>
  <c r="AI49" i="65"/>
  <c r="AK49" i="65"/>
  <c r="AL49" i="65"/>
  <c r="AM49" i="65"/>
  <c r="AN49" i="65"/>
  <c r="AP49" i="65"/>
  <c r="AQ49" i="65"/>
  <c r="AR49" i="65"/>
  <c r="AS49" i="65"/>
  <c r="AF51" i="65"/>
  <c r="AG51" i="65"/>
  <c r="AH51" i="65"/>
  <c r="AI51" i="65"/>
  <c r="AK51" i="65"/>
  <c r="AL51" i="65"/>
  <c r="AM51" i="65"/>
  <c r="AN51" i="65"/>
  <c r="AP51" i="65"/>
  <c r="AQ51" i="65"/>
  <c r="AR51" i="65"/>
  <c r="AS51" i="65"/>
  <c r="AF52" i="65"/>
  <c r="AG52" i="65"/>
  <c r="AH52" i="65"/>
  <c r="AI52" i="65"/>
  <c r="AK52" i="65"/>
  <c r="AL52" i="65"/>
  <c r="AM52" i="65"/>
  <c r="AN52" i="65"/>
  <c r="AP52" i="65"/>
  <c r="AR52" i="65"/>
  <c r="AS52" i="65"/>
  <c r="AF53" i="65"/>
  <c r="AG53" i="65"/>
  <c r="AH53" i="65"/>
  <c r="AI53" i="65"/>
  <c r="AK53" i="65"/>
  <c r="AL53" i="65"/>
  <c r="AM53" i="65"/>
  <c r="AN53" i="65"/>
  <c r="AP53" i="65"/>
  <c r="AQ53" i="65"/>
  <c r="AS53" i="65"/>
  <c r="AF54" i="65"/>
  <c r="AG54" i="65"/>
  <c r="AH54" i="65"/>
  <c r="AI54" i="65"/>
  <c r="AK54" i="65"/>
  <c r="AL54" i="65"/>
  <c r="AM54" i="65"/>
  <c r="AN54" i="65"/>
  <c r="AP54" i="65"/>
  <c r="AQ54" i="65"/>
  <c r="AR54" i="65"/>
  <c r="AS54" i="65"/>
  <c r="AF55" i="65"/>
  <c r="AG55" i="65"/>
  <c r="AH55" i="65"/>
  <c r="AI55" i="65"/>
  <c r="AK55" i="65"/>
  <c r="AL55" i="65"/>
  <c r="AM55" i="65"/>
  <c r="AN55" i="65"/>
  <c r="AP55" i="65"/>
  <c r="AQ55" i="65"/>
  <c r="AR55" i="65"/>
  <c r="AS55" i="65"/>
  <c r="AF57" i="65"/>
  <c r="AG57" i="65"/>
  <c r="AH57" i="65"/>
  <c r="AI57" i="65"/>
  <c r="AK57" i="65"/>
  <c r="AL57" i="65"/>
  <c r="AM57" i="65"/>
  <c r="AN57" i="65"/>
  <c r="AP57" i="65"/>
  <c r="AQ57" i="65"/>
  <c r="AR57" i="65"/>
  <c r="AS57" i="65"/>
  <c r="AF58" i="65"/>
  <c r="AG58" i="65"/>
  <c r="AH58" i="65"/>
  <c r="AI58" i="65"/>
  <c r="AK58" i="65"/>
  <c r="AL58" i="65"/>
  <c r="AM58" i="65"/>
  <c r="AN58" i="65"/>
  <c r="AP58" i="65"/>
  <c r="AQ58" i="65"/>
  <c r="AR58" i="65"/>
  <c r="AS58" i="65"/>
  <c r="AF59" i="65"/>
  <c r="AG59" i="65"/>
  <c r="AH59" i="65"/>
  <c r="AI59" i="65"/>
  <c r="AK59" i="65"/>
  <c r="AL59" i="65"/>
  <c r="AM59" i="65"/>
  <c r="AN59" i="65"/>
  <c r="AP59" i="65"/>
  <c r="AQ59" i="65"/>
  <c r="AR59" i="65"/>
  <c r="AS59" i="65"/>
  <c r="AF60" i="65"/>
  <c r="AG60" i="65"/>
  <c r="AH60" i="65"/>
  <c r="AI60" i="65"/>
  <c r="AK60" i="65"/>
  <c r="AL60" i="65"/>
  <c r="AM60" i="65"/>
  <c r="AN60" i="65"/>
  <c r="AP60" i="65"/>
  <c r="AQ60" i="65"/>
  <c r="AR60" i="65"/>
  <c r="AS60" i="65"/>
  <c r="AF61" i="65"/>
  <c r="AG61" i="65"/>
  <c r="AH61" i="65"/>
  <c r="AI61" i="65"/>
  <c r="AK61" i="65"/>
  <c r="AL61" i="65"/>
  <c r="AM61" i="65"/>
  <c r="AN61" i="65"/>
  <c r="AP61" i="65"/>
  <c r="AQ61" i="65"/>
  <c r="AR61" i="65"/>
  <c r="AS61" i="65"/>
  <c r="AF63" i="65"/>
  <c r="AG63" i="65"/>
  <c r="AH63" i="65"/>
  <c r="AI63" i="65"/>
  <c r="AK63" i="65"/>
  <c r="AL63" i="65"/>
  <c r="AM63" i="65"/>
  <c r="AN63" i="65"/>
  <c r="AP63" i="65"/>
  <c r="AQ63" i="65"/>
  <c r="AR63" i="65"/>
  <c r="AS63" i="65"/>
  <c r="AF64" i="65"/>
  <c r="AG64" i="65"/>
  <c r="AH64" i="65"/>
  <c r="AI64" i="65"/>
  <c r="AK64" i="65"/>
  <c r="AL64" i="65"/>
  <c r="AM64" i="65"/>
  <c r="AN64" i="65"/>
  <c r="AP64" i="65"/>
  <c r="AQ64" i="65"/>
  <c r="AR64" i="65"/>
  <c r="AS64" i="65"/>
  <c r="AF65" i="65"/>
  <c r="AG65" i="65"/>
  <c r="AH65" i="65"/>
  <c r="AI65" i="65"/>
  <c r="AK65" i="65"/>
  <c r="AL65" i="65"/>
  <c r="AM65" i="65"/>
  <c r="AN65" i="65"/>
  <c r="AR65" i="65"/>
  <c r="AS65" i="65"/>
  <c r="AF66" i="65"/>
  <c r="AG66" i="65"/>
  <c r="AH66" i="65"/>
  <c r="AI66" i="65"/>
  <c r="AK66" i="65"/>
  <c r="AL66" i="65"/>
  <c r="AM66" i="65"/>
  <c r="AN66" i="65"/>
  <c r="AP66" i="65"/>
  <c r="AQ66" i="65"/>
  <c r="AR66" i="65"/>
  <c r="AS66" i="65"/>
  <c r="AF67" i="65"/>
  <c r="AG67" i="65"/>
  <c r="AH67" i="65"/>
  <c r="AI67" i="65"/>
  <c r="AK67" i="65"/>
  <c r="AL67" i="65"/>
  <c r="AM67" i="65"/>
  <c r="AN67" i="65"/>
  <c r="AP67" i="65"/>
  <c r="AQ67" i="65"/>
  <c r="AR67" i="65"/>
  <c r="AS67" i="65"/>
  <c r="AF69" i="65"/>
  <c r="AG69" i="65"/>
  <c r="AH69" i="65"/>
  <c r="AI69" i="65"/>
  <c r="AK69" i="65"/>
  <c r="AL69" i="65"/>
  <c r="AM69" i="65"/>
  <c r="AN69" i="65"/>
  <c r="AP69" i="65"/>
  <c r="AQ69" i="65"/>
  <c r="AR69" i="65"/>
  <c r="AS69" i="65"/>
  <c r="AF70" i="65"/>
  <c r="AG70" i="65"/>
  <c r="AH70" i="65"/>
  <c r="AI70" i="65"/>
  <c r="AK70" i="65"/>
  <c r="AL70" i="65"/>
  <c r="AM70" i="65"/>
  <c r="AN70" i="65"/>
  <c r="AP70" i="65"/>
  <c r="AQ70" i="65"/>
  <c r="AR70" i="65"/>
  <c r="AS70" i="65"/>
  <c r="AF71" i="65"/>
  <c r="AG71" i="65"/>
  <c r="AH71" i="65"/>
  <c r="AI71" i="65"/>
  <c r="AK71" i="65"/>
  <c r="AL71" i="65"/>
  <c r="AM71" i="65"/>
  <c r="AN71" i="65"/>
  <c r="AP71" i="65"/>
  <c r="AQ71" i="65"/>
  <c r="AR71" i="65"/>
  <c r="AS71" i="65"/>
  <c r="AF72" i="65"/>
  <c r="AG72" i="65"/>
  <c r="AH72" i="65"/>
  <c r="AI72" i="65"/>
  <c r="AK72" i="65"/>
  <c r="AL72" i="65"/>
  <c r="AM72" i="65"/>
  <c r="AN72" i="65"/>
  <c r="AP72" i="65"/>
  <c r="AQ72" i="65"/>
  <c r="AR72" i="65"/>
  <c r="AS72" i="65"/>
  <c r="AF73" i="65"/>
  <c r="AG73" i="65"/>
  <c r="AH73" i="65"/>
  <c r="AI73" i="65"/>
  <c r="AK73" i="65"/>
  <c r="AL73" i="65"/>
  <c r="AM73" i="65"/>
  <c r="AN73" i="65"/>
  <c r="AP73" i="65"/>
  <c r="AQ73" i="65"/>
  <c r="AR73" i="65"/>
  <c r="AS73" i="65"/>
  <c r="AF4" i="66"/>
  <c r="AG4" i="66"/>
  <c r="AH4" i="66"/>
  <c r="AI4" i="66"/>
  <c r="AK4" i="66"/>
  <c r="AL4" i="66"/>
  <c r="AM4" i="66"/>
  <c r="AN4" i="66"/>
  <c r="AP4" i="66"/>
  <c r="AQ4" i="66"/>
  <c r="AR4" i="66"/>
  <c r="AS4" i="66"/>
  <c r="AF5" i="66"/>
  <c r="AG5" i="66"/>
  <c r="AH5" i="66"/>
  <c r="AI5" i="66"/>
  <c r="AK5" i="66"/>
  <c r="AL5" i="66"/>
  <c r="AM5" i="66"/>
  <c r="AN5" i="66"/>
  <c r="AP5" i="66"/>
  <c r="AQ5" i="66"/>
  <c r="AR5" i="66"/>
  <c r="AS5" i="66"/>
  <c r="AF6" i="66"/>
  <c r="AG6" i="66"/>
  <c r="AH6" i="66"/>
  <c r="AI6" i="66"/>
  <c r="AK6" i="66"/>
  <c r="AL6" i="66"/>
  <c r="AM6" i="66"/>
  <c r="AN6" i="66"/>
  <c r="AP6" i="66"/>
  <c r="AQ6" i="66"/>
  <c r="AR6" i="66"/>
  <c r="AS6" i="66"/>
  <c r="AF7" i="66"/>
  <c r="AG7" i="66"/>
  <c r="AH7" i="66"/>
  <c r="AI7" i="66"/>
  <c r="AK7" i="66"/>
  <c r="AL7" i="66"/>
  <c r="AM7" i="66"/>
  <c r="AN7" i="66"/>
  <c r="AP7" i="66"/>
  <c r="AQ7" i="66"/>
  <c r="AR7" i="66"/>
  <c r="AS7" i="66"/>
  <c r="AF9" i="66"/>
  <c r="AG9" i="66"/>
  <c r="AH9" i="66"/>
  <c r="AI9" i="66"/>
  <c r="AK9" i="66"/>
  <c r="AL9" i="66"/>
  <c r="AM9" i="66"/>
  <c r="AN9" i="66"/>
  <c r="AP9" i="66"/>
  <c r="AQ9" i="66"/>
  <c r="AR9" i="66"/>
  <c r="AS9" i="66"/>
  <c r="AF10" i="66"/>
  <c r="AG10" i="66"/>
  <c r="AH10" i="66"/>
  <c r="AI10" i="66"/>
  <c r="AK10" i="66"/>
  <c r="AL10" i="66"/>
  <c r="AM10" i="66"/>
  <c r="AN10" i="66"/>
  <c r="AP10" i="66"/>
  <c r="AQ10" i="66"/>
  <c r="AR10" i="66"/>
  <c r="AS10" i="66"/>
  <c r="AF11" i="66"/>
  <c r="AG11" i="66"/>
  <c r="AH11" i="66"/>
  <c r="AI11" i="66"/>
  <c r="AK11" i="66"/>
  <c r="AL11" i="66"/>
  <c r="AM11" i="66"/>
  <c r="AN11" i="66"/>
  <c r="AP11" i="66"/>
  <c r="AQ11" i="66"/>
  <c r="AR11" i="66"/>
  <c r="AS11" i="66"/>
  <c r="AF12" i="66"/>
  <c r="AG12" i="66"/>
  <c r="AH12" i="66"/>
  <c r="AI12" i="66"/>
  <c r="AK12" i="66"/>
  <c r="AL12" i="66"/>
  <c r="AM12" i="66"/>
  <c r="AN12" i="66"/>
  <c r="AP12" i="66"/>
  <c r="AQ12" i="66"/>
  <c r="AR12" i="66"/>
  <c r="AS12" i="66"/>
  <c r="AF13" i="66"/>
  <c r="AG13" i="66"/>
  <c r="AH13" i="66"/>
  <c r="AI13" i="66"/>
  <c r="AK13" i="66"/>
  <c r="AL13" i="66"/>
  <c r="AM13" i="66"/>
  <c r="AN13" i="66"/>
  <c r="AP13" i="66"/>
  <c r="AQ13" i="66"/>
  <c r="AR13" i="66"/>
  <c r="AS13" i="66"/>
  <c r="AF15" i="66"/>
  <c r="AG15" i="66"/>
  <c r="AH15" i="66"/>
  <c r="AI15" i="66"/>
  <c r="AK15" i="66"/>
  <c r="AL15" i="66"/>
  <c r="AM15" i="66"/>
  <c r="AN15" i="66"/>
  <c r="AP15" i="66"/>
  <c r="AQ15" i="66"/>
  <c r="AR15" i="66"/>
  <c r="AS15" i="66"/>
  <c r="AF16" i="66"/>
  <c r="AG16" i="66"/>
  <c r="AH16" i="66"/>
  <c r="AI16" i="66"/>
  <c r="AK16" i="66"/>
  <c r="AL16" i="66"/>
  <c r="AM16" i="66"/>
  <c r="AN16" i="66"/>
  <c r="AP16" i="66"/>
  <c r="AQ16" i="66"/>
  <c r="AR16" i="66"/>
  <c r="AS16" i="66"/>
  <c r="AF17" i="66"/>
  <c r="AG17" i="66"/>
  <c r="AH17" i="66"/>
  <c r="AI17" i="66"/>
  <c r="AK17" i="66"/>
  <c r="AL17" i="66"/>
  <c r="AM17" i="66"/>
  <c r="AN17" i="66"/>
  <c r="AP17" i="66"/>
  <c r="AQ17" i="66"/>
  <c r="AR17" i="66"/>
  <c r="AS17" i="66"/>
  <c r="AF18" i="66"/>
  <c r="AG18" i="66"/>
  <c r="AH18" i="66"/>
  <c r="AI18" i="66"/>
  <c r="AK18" i="66"/>
  <c r="AL18" i="66"/>
  <c r="AM18" i="66"/>
  <c r="AN18" i="66"/>
  <c r="AP18" i="66"/>
  <c r="AQ18" i="66"/>
  <c r="AR18" i="66"/>
  <c r="AS18" i="66"/>
  <c r="AF19" i="66"/>
  <c r="AG19" i="66"/>
  <c r="AH19" i="66"/>
  <c r="AI19" i="66"/>
  <c r="AK19" i="66"/>
  <c r="AL19" i="66"/>
  <c r="AM19" i="66"/>
  <c r="AN19" i="66"/>
  <c r="AP19" i="66"/>
  <c r="AQ19" i="66"/>
  <c r="AR19" i="66"/>
  <c r="AS19" i="66"/>
  <c r="AF21" i="66"/>
  <c r="AG21" i="66"/>
  <c r="AH21" i="66"/>
  <c r="AI21" i="66"/>
  <c r="AK21" i="66"/>
  <c r="AL21" i="66"/>
  <c r="AM21" i="66"/>
  <c r="AN21" i="66"/>
  <c r="AP21" i="66"/>
  <c r="AQ21" i="66"/>
  <c r="AR21" i="66"/>
  <c r="AS21" i="66"/>
  <c r="AF22" i="66"/>
  <c r="AG22" i="66"/>
  <c r="AH22" i="66"/>
  <c r="AI22" i="66"/>
  <c r="AK22" i="66"/>
  <c r="AL22" i="66"/>
  <c r="AM22" i="66"/>
  <c r="AN22" i="66"/>
  <c r="AP22" i="66"/>
  <c r="AQ22" i="66"/>
  <c r="AR22" i="66"/>
  <c r="AS22" i="66"/>
  <c r="AF23" i="66"/>
  <c r="AG23" i="66"/>
  <c r="AH23" i="66"/>
  <c r="AI23" i="66"/>
  <c r="AK23" i="66"/>
  <c r="AL23" i="66"/>
  <c r="AM23" i="66"/>
  <c r="AN23" i="66"/>
  <c r="AP23" i="66"/>
  <c r="AQ23" i="66"/>
  <c r="AR23" i="66"/>
  <c r="AS23" i="66"/>
  <c r="AF24" i="66"/>
  <c r="AG24" i="66"/>
  <c r="AH24" i="66"/>
  <c r="AI24" i="66"/>
  <c r="AK24" i="66"/>
  <c r="AL24" i="66"/>
  <c r="AM24" i="66"/>
  <c r="AN24" i="66"/>
  <c r="AP24" i="66"/>
  <c r="AQ24" i="66"/>
  <c r="AR24" i="66"/>
  <c r="AS24" i="66"/>
  <c r="AF25" i="66"/>
  <c r="AG25" i="66"/>
  <c r="AH25" i="66"/>
  <c r="AI25" i="66"/>
  <c r="AK25" i="66"/>
  <c r="AL25" i="66"/>
  <c r="AM25" i="66"/>
  <c r="AN25" i="66"/>
  <c r="AP25" i="66"/>
  <c r="AQ25" i="66"/>
  <c r="AR25" i="66"/>
  <c r="AS25" i="66"/>
  <c r="AF27" i="66"/>
  <c r="AG27" i="66"/>
  <c r="AH27" i="66"/>
  <c r="AI27" i="66"/>
  <c r="AK27" i="66"/>
  <c r="AL27" i="66"/>
  <c r="AM27" i="66"/>
  <c r="AN27" i="66"/>
  <c r="AP27" i="66"/>
  <c r="AQ27" i="66"/>
  <c r="AR27" i="66"/>
  <c r="AS27" i="66"/>
  <c r="AF28" i="66"/>
  <c r="AG28" i="66"/>
  <c r="AH28" i="66"/>
  <c r="AI28" i="66"/>
  <c r="AK28" i="66"/>
  <c r="AL28" i="66"/>
  <c r="AM28" i="66"/>
  <c r="AN28" i="66"/>
  <c r="AP28" i="66"/>
  <c r="AQ28" i="66"/>
  <c r="AR28" i="66"/>
  <c r="AS28" i="66"/>
  <c r="AF29" i="66"/>
  <c r="AG29" i="66"/>
  <c r="AH29" i="66"/>
  <c r="AI29" i="66"/>
  <c r="AK29" i="66"/>
  <c r="AL29" i="66"/>
  <c r="AM29" i="66"/>
  <c r="AN29" i="66"/>
  <c r="AP29" i="66"/>
  <c r="AQ29" i="66"/>
  <c r="AR29" i="66"/>
  <c r="AS29" i="66"/>
  <c r="AF30" i="66"/>
  <c r="AG30" i="66"/>
  <c r="AH30" i="66"/>
  <c r="AI30" i="66"/>
  <c r="AK30" i="66"/>
  <c r="AL30" i="66"/>
  <c r="AM30" i="66"/>
  <c r="AN30" i="66"/>
  <c r="AP30" i="66"/>
  <c r="AQ30" i="66"/>
  <c r="AR30" i="66"/>
  <c r="AS30" i="66"/>
  <c r="AF31" i="66"/>
  <c r="AG31" i="66"/>
  <c r="AH31" i="66"/>
  <c r="AI31" i="66"/>
  <c r="AK31" i="66"/>
  <c r="AL31" i="66"/>
  <c r="AM31" i="66"/>
  <c r="AN31" i="66"/>
  <c r="AP31" i="66"/>
  <c r="AQ31" i="66"/>
  <c r="AR31" i="66"/>
  <c r="AS31" i="66"/>
  <c r="AF33" i="66"/>
  <c r="AG33" i="66"/>
  <c r="AH33" i="66"/>
  <c r="AI33" i="66"/>
  <c r="AK33" i="66"/>
  <c r="AL33" i="66"/>
  <c r="AM33" i="66"/>
  <c r="AN33" i="66"/>
  <c r="AP33" i="66"/>
  <c r="AQ33" i="66"/>
  <c r="AR33" i="66"/>
  <c r="AS33" i="66"/>
  <c r="AF34" i="66"/>
  <c r="AG34" i="66"/>
  <c r="AH34" i="66"/>
  <c r="AI34" i="66"/>
  <c r="AK34" i="66"/>
  <c r="AL34" i="66"/>
  <c r="AM34" i="66"/>
  <c r="AN34" i="66"/>
  <c r="AP34" i="66"/>
  <c r="AQ34" i="66"/>
  <c r="AR34" i="66"/>
  <c r="AS34" i="66"/>
  <c r="AF35" i="66"/>
  <c r="AG35" i="66"/>
  <c r="AH35" i="66"/>
  <c r="AI35" i="66"/>
  <c r="AK35" i="66"/>
  <c r="AL35" i="66"/>
  <c r="AM35" i="66"/>
  <c r="AN35" i="66"/>
  <c r="AP35" i="66"/>
  <c r="AQ35" i="66"/>
  <c r="AR35" i="66"/>
  <c r="AS35" i="66"/>
  <c r="AF36" i="66"/>
  <c r="AG36" i="66"/>
  <c r="AH36" i="66"/>
  <c r="AI36" i="66"/>
  <c r="AK36" i="66"/>
  <c r="AL36" i="66"/>
  <c r="AM36" i="66"/>
  <c r="AN36" i="66"/>
  <c r="AP36" i="66"/>
  <c r="AQ36" i="66"/>
  <c r="AR36" i="66"/>
  <c r="AS36" i="66"/>
  <c r="AF37" i="66"/>
  <c r="AG37" i="66"/>
  <c r="AH37" i="66"/>
  <c r="AI37" i="66"/>
  <c r="AK37" i="66"/>
  <c r="AL37" i="66"/>
  <c r="AM37" i="66"/>
  <c r="AN37" i="66"/>
  <c r="AP37" i="66"/>
  <c r="AQ37" i="66"/>
  <c r="AR37" i="66"/>
  <c r="AS37" i="66"/>
  <c r="AF39" i="66"/>
  <c r="AG39" i="66"/>
  <c r="AH39" i="66"/>
  <c r="AI39" i="66"/>
  <c r="AK39" i="66"/>
  <c r="AL39" i="66"/>
  <c r="AM39" i="66"/>
  <c r="AN39" i="66"/>
  <c r="AP39" i="66"/>
  <c r="AQ39" i="66"/>
  <c r="AR39" i="66"/>
  <c r="AS39" i="66"/>
  <c r="AF40" i="66"/>
  <c r="AG40" i="66"/>
  <c r="AH40" i="66"/>
  <c r="AI40" i="66"/>
  <c r="AK40" i="66"/>
  <c r="AL40" i="66"/>
  <c r="AM40" i="66"/>
  <c r="AN40" i="66"/>
  <c r="AP40" i="66"/>
  <c r="AQ40" i="66"/>
  <c r="AR40" i="66"/>
  <c r="AS40" i="66"/>
  <c r="AF41" i="66"/>
  <c r="AG41" i="66"/>
  <c r="AH41" i="66"/>
  <c r="AI41" i="66"/>
  <c r="AK41" i="66"/>
  <c r="AL41" i="66"/>
  <c r="AM41" i="66"/>
  <c r="AN41" i="66"/>
  <c r="AP41" i="66"/>
  <c r="AQ41" i="66"/>
  <c r="AR41" i="66"/>
  <c r="AS41" i="66"/>
  <c r="AF42" i="66"/>
  <c r="AG42" i="66"/>
  <c r="AH42" i="66"/>
  <c r="AI42" i="66"/>
  <c r="AK42" i="66"/>
  <c r="AL42" i="66"/>
  <c r="AM42" i="66"/>
  <c r="AN42" i="66"/>
  <c r="AP42" i="66"/>
  <c r="AQ42" i="66"/>
  <c r="AR42" i="66"/>
  <c r="AS42" i="66"/>
  <c r="AF43" i="66"/>
  <c r="AG43" i="66"/>
  <c r="AH43" i="66"/>
  <c r="AI43" i="66"/>
  <c r="AK43" i="66"/>
  <c r="AL43" i="66"/>
  <c r="AM43" i="66"/>
  <c r="AN43" i="66"/>
  <c r="AP43" i="66"/>
  <c r="AQ43" i="66"/>
  <c r="AR43" i="66"/>
  <c r="AS43" i="66"/>
  <c r="AF45" i="66"/>
  <c r="AG45" i="66"/>
  <c r="AH45" i="66"/>
  <c r="AI45" i="66"/>
  <c r="AK45" i="66"/>
  <c r="AL45" i="66"/>
  <c r="AM45" i="66"/>
  <c r="AN45" i="66"/>
  <c r="AP45" i="66"/>
  <c r="AQ45" i="66"/>
  <c r="AR45" i="66"/>
  <c r="AS45" i="66"/>
  <c r="AF46" i="66"/>
  <c r="AG46" i="66"/>
  <c r="AH46" i="66"/>
  <c r="AI46" i="66"/>
  <c r="AK46" i="66"/>
  <c r="AL46" i="66"/>
  <c r="AM46" i="66"/>
  <c r="AN46" i="66"/>
  <c r="AP46" i="66"/>
  <c r="AQ46" i="66"/>
  <c r="AR46" i="66"/>
  <c r="AS46" i="66"/>
  <c r="AF47" i="66"/>
  <c r="AG47" i="66"/>
  <c r="AH47" i="66"/>
  <c r="AI47" i="66"/>
  <c r="AK47" i="66"/>
  <c r="AL47" i="66"/>
  <c r="AM47" i="66"/>
  <c r="AN47" i="66"/>
  <c r="AP47" i="66"/>
  <c r="AQ47" i="66"/>
  <c r="AR47" i="66"/>
  <c r="AS47" i="66"/>
  <c r="AF48" i="66"/>
  <c r="AG48" i="66"/>
  <c r="AH48" i="66"/>
  <c r="AI48" i="66"/>
  <c r="AK48" i="66"/>
  <c r="AL48" i="66"/>
  <c r="AM48" i="66"/>
  <c r="AN48" i="66"/>
  <c r="AP48" i="66"/>
  <c r="AQ48" i="66"/>
  <c r="AR48" i="66"/>
  <c r="AS48" i="66"/>
  <c r="AF49" i="66"/>
  <c r="AG49" i="66"/>
  <c r="AH49" i="66"/>
  <c r="AI49" i="66"/>
  <c r="AK49" i="66"/>
  <c r="AL49" i="66"/>
  <c r="AM49" i="66"/>
  <c r="AN49" i="66"/>
  <c r="AP49" i="66"/>
  <c r="AQ49" i="66"/>
  <c r="AR49" i="66"/>
  <c r="AS49" i="66"/>
  <c r="AF51" i="66"/>
  <c r="AG51" i="66"/>
  <c r="AH51" i="66"/>
  <c r="AI51" i="66"/>
  <c r="AK51" i="66"/>
  <c r="AL51" i="66"/>
  <c r="AM51" i="66"/>
  <c r="AN51" i="66"/>
  <c r="AP51" i="66"/>
  <c r="AQ51" i="66"/>
  <c r="AR51" i="66"/>
  <c r="AS51" i="66"/>
  <c r="AF52" i="66"/>
  <c r="AG52" i="66"/>
  <c r="AH52" i="66"/>
  <c r="AI52" i="66"/>
  <c r="AK52" i="66"/>
  <c r="AL52" i="66"/>
  <c r="AM52" i="66"/>
  <c r="AN52" i="66"/>
  <c r="AP52" i="66"/>
  <c r="AQ52" i="66"/>
  <c r="AR52" i="66"/>
  <c r="AS52" i="66"/>
  <c r="AF53" i="66"/>
  <c r="AG53" i="66"/>
  <c r="AH53" i="66"/>
  <c r="AI53" i="66"/>
  <c r="AK53" i="66"/>
  <c r="AL53" i="66"/>
  <c r="AM53" i="66"/>
  <c r="AN53" i="66"/>
  <c r="AP53" i="66"/>
  <c r="AQ53" i="66"/>
  <c r="AR53" i="66"/>
  <c r="AS53" i="66"/>
  <c r="AF54" i="66"/>
  <c r="AG54" i="66"/>
  <c r="AH54" i="66"/>
  <c r="AI54" i="66"/>
  <c r="AK54" i="66"/>
  <c r="AL54" i="66"/>
  <c r="AM54" i="66"/>
  <c r="AN54" i="66"/>
  <c r="AP54" i="66"/>
  <c r="AQ54" i="66"/>
  <c r="AR54" i="66"/>
  <c r="AS54" i="66"/>
  <c r="AF55" i="66"/>
  <c r="AG55" i="66"/>
  <c r="AH55" i="66"/>
  <c r="AI55" i="66"/>
  <c r="AK55" i="66"/>
  <c r="AL55" i="66"/>
  <c r="AM55" i="66"/>
  <c r="AN55" i="66"/>
  <c r="AP55" i="66"/>
  <c r="AQ55" i="66"/>
  <c r="AR55" i="66"/>
  <c r="AS55" i="66"/>
  <c r="AF57" i="66"/>
  <c r="AG57" i="66"/>
  <c r="AH57" i="66"/>
  <c r="AI57" i="66"/>
  <c r="AK57" i="66"/>
  <c r="AL57" i="66"/>
  <c r="AM57" i="66"/>
  <c r="AN57" i="66"/>
  <c r="AP57" i="66"/>
  <c r="AQ57" i="66"/>
  <c r="AR57" i="66"/>
  <c r="AS57" i="66"/>
  <c r="AF58" i="66"/>
  <c r="AG58" i="66"/>
  <c r="AH58" i="66"/>
  <c r="AI58" i="66"/>
  <c r="AK58" i="66"/>
  <c r="AL58" i="66"/>
  <c r="AM58" i="66"/>
  <c r="AN58" i="66"/>
  <c r="AP58" i="66"/>
  <c r="AQ58" i="66"/>
  <c r="AR58" i="66"/>
  <c r="AS58" i="66"/>
  <c r="AF59" i="66"/>
  <c r="AG59" i="66"/>
  <c r="AH59" i="66"/>
  <c r="AI59" i="66"/>
  <c r="AK59" i="66"/>
  <c r="AL59" i="66"/>
  <c r="AM59" i="66"/>
  <c r="AN59" i="66"/>
  <c r="AP59" i="66"/>
  <c r="AQ59" i="66"/>
  <c r="AR59" i="66"/>
  <c r="AS59" i="66"/>
  <c r="AF60" i="66"/>
  <c r="AG60" i="66"/>
  <c r="AH60" i="66"/>
  <c r="AI60" i="66"/>
  <c r="AK60" i="66"/>
  <c r="AL60" i="66"/>
  <c r="AM60" i="66"/>
  <c r="AN60" i="66"/>
  <c r="AP60" i="66"/>
  <c r="AQ60" i="66"/>
  <c r="AR60" i="66"/>
  <c r="AS60" i="66"/>
  <c r="AF61" i="66"/>
  <c r="AG61" i="66"/>
  <c r="AH61" i="66"/>
  <c r="AI61" i="66"/>
  <c r="AK61" i="66"/>
  <c r="AL61" i="66"/>
  <c r="AM61" i="66"/>
  <c r="AN61" i="66"/>
  <c r="AP61" i="66"/>
  <c r="AQ61" i="66"/>
  <c r="AR61" i="66"/>
  <c r="AS61" i="66"/>
  <c r="AF63" i="66"/>
  <c r="AG63" i="66"/>
  <c r="AH63" i="66"/>
  <c r="AI63" i="66"/>
  <c r="AK63" i="66"/>
  <c r="AL63" i="66"/>
  <c r="AM63" i="66"/>
  <c r="AN63" i="66"/>
  <c r="AP63" i="66"/>
  <c r="AQ63" i="66"/>
  <c r="AR63" i="66"/>
  <c r="AS63" i="66"/>
  <c r="AF64" i="66"/>
  <c r="AG64" i="66"/>
  <c r="AH64" i="66"/>
  <c r="AI64" i="66"/>
  <c r="AK64" i="66"/>
  <c r="AL64" i="66"/>
  <c r="AM64" i="66"/>
  <c r="AN64" i="66"/>
  <c r="AP64" i="66"/>
  <c r="AQ64" i="66"/>
  <c r="AR64" i="66"/>
  <c r="AS64" i="66"/>
  <c r="AF65" i="66"/>
  <c r="AG65" i="66"/>
  <c r="AH65" i="66"/>
  <c r="AI65" i="66"/>
  <c r="AK65" i="66"/>
  <c r="AL65" i="66"/>
  <c r="AM65" i="66"/>
  <c r="AN65" i="66"/>
  <c r="AP65" i="66"/>
  <c r="AQ65" i="66"/>
  <c r="AR65" i="66"/>
  <c r="AS65" i="66"/>
  <c r="AF66" i="66"/>
  <c r="AG66" i="66"/>
  <c r="AH66" i="66"/>
  <c r="AI66" i="66"/>
  <c r="AK66" i="66"/>
  <c r="AL66" i="66"/>
  <c r="AM66" i="66"/>
  <c r="AN66" i="66"/>
  <c r="AP66" i="66"/>
  <c r="AQ66" i="66"/>
  <c r="AR66" i="66"/>
  <c r="AS66" i="66"/>
  <c r="AF67" i="66"/>
  <c r="AG67" i="66"/>
  <c r="AH67" i="66"/>
  <c r="AI67" i="66"/>
  <c r="AK67" i="66"/>
  <c r="AL67" i="66"/>
  <c r="AM67" i="66"/>
  <c r="AN67" i="66"/>
  <c r="AP67" i="66"/>
  <c r="AQ67" i="66"/>
  <c r="AR67" i="66"/>
  <c r="AS67" i="66"/>
  <c r="AF69" i="66"/>
  <c r="AG69" i="66"/>
  <c r="AH69" i="66"/>
  <c r="AI69" i="66"/>
  <c r="AK69" i="66"/>
  <c r="AL69" i="66"/>
  <c r="AM69" i="66"/>
  <c r="AN69" i="66"/>
  <c r="AP69" i="66"/>
  <c r="AQ69" i="66"/>
  <c r="AR69" i="66"/>
  <c r="AS69" i="66"/>
  <c r="AF70" i="66"/>
  <c r="AG70" i="66"/>
  <c r="AH70" i="66"/>
  <c r="AI70" i="66"/>
  <c r="AK70" i="66"/>
  <c r="AL70" i="66"/>
  <c r="AM70" i="66"/>
  <c r="AN70" i="66"/>
  <c r="AP70" i="66"/>
  <c r="AQ70" i="66"/>
  <c r="AR70" i="66"/>
  <c r="AS70" i="66"/>
  <c r="AF71" i="66"/>
  <c r="AG71" i="66"/>
  <c r="AH71" i="66"/>
  <c r="AI71" i="66"/>
  <c r="AK71" i="66"/>
  <c r="AL71" i="66"/>
  <c r="AM71" i="66"/>
  <c r="AN71" i="66"/>
  <c r="AP71" i="66"/>
  <c r="AQ71" i="66"/>
  <c r="AR71" i="66"/>
  <c r="AS71" i="66"/>
  <c r="AF72" i="66"/>
  <c r="AG72" i="66"/>
  <c r="AH72" i="66"/>
  <c r="AI72" i="66"/>
  <c r="AK72" i="66"/>
  <c r="AL72" i="66"/>
  <c r="AM72" i="66"/>
  <c r="AN72" i="66"/>
  <c r="AP72" i="66"/>
  <c r="AQ72" i="66"/>
  <c r="AS72" i="66"/>
  <c r="AF73" i="66"/>
  <c r="AG73" i="66"/>
  <c r="AH73" i="66"/>
  <c r="AI73" i="66"/>
  <c r="AK73" i="66"/>
  <c r="AL73" i="66"/>
  <c r="AM73" i="66"/>
  <c r="AN73" i="66"/>
  <c r="AP73" i="66"/>
  <c r="AQ73" i="66"/>
  <c r="AR73" i="66"/>
  <c r="AS73" i="66"/>
  <c r="AF4" i="67"/>
  <c r="AG4" i="67"/>
  <c r="AH4" i="67"/>
  <c r="AI4" i="67"/>
  <c r="AK4" i="67"/>
  <c r="AL4" i="67"/>
  <c r="AM4" i="67"/>
  <c r="AN4" i="67"/>
  <c r="AP4" i="67"/>
  <c r="AQ4" i="67"/>
  <c r="AR4" i="67"/>
  <c r="AS4" i="67"/>
  <c r="AF5" i="67"/>
  <c r="AG5" i="67"/>
  <c r="AH5" i="67"/>
  <c r="AI5" i="67"/>
  <c r="AK5" i="67"/>
  <c r="AL5" i="67"/>
  <c r="AM5" i="67"/>
  <c r="AN5" i="67"/>
  <c r="AP5" i="67"/>
  <c r="AQ5" i="67"/>
  <c r="AR5" i="67"/>
  <c r="AS5" i="67"/>
  <c r="AF6" i="67"/>
  <c r="AG6" i="67"/>
  <c r="AH6" i="67"/>
  <c r="AI6" i="67"/>
  <c r="AK6" i="67"/>
  <c r="AL6" i="67"/>
  <c r="AM6" i="67"/>
  <c r="AN6" i="67"/>
  <c r="AP6" i="67"/>
  <c r="AQ6" i="67"/>
  <c r="AR6" i="67"/>
  <c r="AS6" i="67"/>
  <c r="AF7" i="67"/>
  <c r="AG7" i="67"/>
  <c r="AH7" i="67"/>
  <c r="AI7" i="67"/>
  <c r="AK7" i="67"/>
  <c r="AL7" i="67"/>
  <c r="AM7" i="67"/>
  <c r="AN7" i="67"/>
  <c r="AP7" i="67"/>
  <c r="AQ7" i="67"/>
  <c r="AR7" i="67"/>
  <c r="AS7" i="67"/>
  <c r="AF9" i="67"/>
  <c r="AG9" i="67"/>
  <c r="AH9" i="67"/>
  <c r="AI9" i="67"/>
  <c r="AK9" i="67"/>
  <c r="AL9" i="67"/>
  <c r="AM9" i="67"/>
  <c r="AN9" i="67"/>
  <c r="AP9" i="67"/>
  <c r="AQ9" i="67"/>
  <c r="AR9" i="67"/>
  <c r="AS9" i="67"/>
  <c r="AF10" i="67"/>
  <c r="AG10" i="67"/>
  <c r="AH10" i="67"/>
  <c r="AI10" i="67"/>
  <c r="AK10" i="67"/>
  <c r="AL10" i="67"/>
  <c r="AM10" i="67"/>
  <c r="AN10" i="67"/>
  <c r="AP10" i="67"/>
  <c r="AQ10" i="67"/>
  <c r="AR10" i="67"/>
  <c r="AS10" i="67"/>
  <c r="AF11" i="67"/>
  <c r="AG11" i="67"/>
  <c r="AH11" i="67"/>
  <c r="AI11" i="67"/>
  <c r="AK11" i="67"/>
  <c r="AL11" i="67"/>
  <c r="AM11" i="67"/>
  <c r="AN11" i="67"/>
  <c r="AP11" i="67"/>
  <c r="AQ11" i="67"/>
  <c r="AR11" i="67"/>
  <c r="AS11" i="67"/>
  <c r="AF12" i="67"/>
  <c r="AG12" i="67"/>
  <c r="AH12" i="67"/>
  <c r="AI12" i="67"/>
  <c r="AK12" i="67"/>
  <c r="AL12" i="67"/>
  <c r="AM12" i="67"/>
  <c r="AN12" i="67"/>
  <c r="AP12" i="67"/>
  <c r="AQ12" i="67"/>
  <c r="AR12" i="67"/>
  <c r="AS12" i="67"/>
  <c r="AF13" i="67"/>
  <c r="AG13" i="67"/>
  <c r="AH13" i="67"/>
  <c r="AI13" i="67"/>
  <c r="AK13" i="67"/>
  <c r="AL13" i="67"/>
  <c r="AM13" i="67"/>
  <c r="AN13" i="67"/>
  <c r="AP13" i="67"/>
  <c r="AQ13" i="67"/>
  <c r="AR13" i="67"/>
  <c r="AS13" i="67"/>
  <c r="AF15" i="67"/>
  <c r="AG15" i="67"/>
  <c r="AH15" i="67"/>
  <c r="AI15" i="67"/>
  <c r="AK15" i="67"/>
  <c r="AL15" i="67"/>
  <c r="AM15" i="67"/>
  <c r="AN15" i="67"/>
  <c r="AP15" i="67"/>
  <c r="AQ15" i="67"/>
  <c r="AR15" i="67"/>
  <c r="AS15" i="67"/>
  <c r="AF16" i="67"/>
  <c r="AG16" i="67"/>
  <c r="AH16" i="67"/>
  <c r="AI16" i="67"/>
  <c r="AK16" i="67"/>
  <c r="AL16" i="67"/>
  <c r="AM16" i="67"/>
  <c r="AN16" i="67"/>
  <c r="AP16" i="67"/>
  <c r="AQ16" i="67"/>
  <c r="AR16" i="67"/>
  <c r="AS16" i="67"/>
  <c r="AF17" i="67"/>
  <c r="AG17" i="67"/>
  <c r="AH17" i="67"/>
  <c r="AI17" i="67"/>
  <c r="AK17" i="67"/>
  <c r="AL17" i="67"/>
  <c r="AM17" i="67"/>
  <c r="AN17" i="67"/>
  <c r="AP17" i="67"/>
  <c r="AQ17" i="67"/>
  <c r="AR17" i="67"/>
  <c r="AS17" i="67"/>
  <c r="AF18" i="67"/>
  <c r="AG18" i="67"/>
  <c r="AH18" i="67"/>
  <c r="AI18" i="67"/>
  <c r="AK18" i="67"/>
  <c r="AL18" i="67"/>
  <c r="AM18" i="67"/>
  <c r="AN18" i="67"/>
  <c r="AP18" i="67"/>
  <c r="AQ18" i="67"/>
  <c r="AR18" i="67"/>
  <c r="AS18" i="67"/>
  <c r="AF19" i="67"/>
  <c r="AG19" i="67"/>
  <c r="AH19" i="67"/>
  <c r="AI19" i="67"/>
  <c r="AK19" i="67"/>
  <c r="AL19" i="67"/>
  <c r="AM19" i="67"/>
  <c r="AN19" i="67"/>
  <c r="AP19" i="67"/>
  <c r="AQ19" i="67"/>
  <c r="AR19" i="67"/>
  <c r="AS19" i="67"/>
  <c r="AF21" i="67"/>
  <c r="AG21" i="67"/>
  <c r="AH21" i="67"/>
  <c r="AI21" i="67"/>
  <c r="AK21" i="67"/>
  <c r="AL21" i="67"/>
  <c r="AM21" i="67"/>
  <c r="AN21" i="67"/>
  <c r="AP21" i="67"/>
  <c r="AQ21" i="67"/>
  <c r="AR21" i="67"/>
  <c r="AS21" i="67"/>
  <c r="AF22" i="67"/>
  <c r="AG22" i="67"/>
  <c r="AH22" i="67"/>
  <c r="AI22" i="67"/>
  <c r="AK22" i="67"/>
  <c r="AL22" i="67"/>
  <c r="AM22" i="67"/>
  <c r="AN22" i="67"/>
  <c r="AP22" i="67"/>
  <c r="AQ22" i="67"/>
  <c r="AR22" i="67"/>
  <c r="AS22" i="67"/>
  <c r="AF23" i="67"/>
  <c r="AG23" i="67"/>
  <c r="AH23" i="67"/>
  <c r="AI23" i="67"/>
  <c r="AK23" i="67"/>
  <c r="AL23" i="67"/>
  <c r="AM23" i="67"/>
  <c r="AN23" i="67"/>
  <c r="AP23" i="67"/>
  <c r="AQ23" i="67"/>
  <c r="AR23" i="67"/>
  <c r="AS23" i="67"/>
  <c r="AF24" i="67"/>
  <c r="AG24" i="67"/>
  <c r="AH24" i="67"/>
  <c r="AI24" i="67"/>
  <c r="AK24" i="67"/>
  <c r="AL24" i="67"/>
  <c r="AM24" i="67"/>
  <c r="AN24" i="67"/>
  <c r="AP24" i="67"/>
  <c r="AQ24" i="67"/>
  <c r="AR24" i="67"/>
  <c r="AS24" i="67"/>
  <c r="AF25" i="67"/>
  <c r="AG25" i="67"/>
  <c r="AH25" i="67"/>
  <c r="AI25" i="67"/>
  <c r="AK25" i="67"/>
  <c r="AL25" i="67"/>
  <c r="AM25" i="67"/>
  <c r="AN25" i="67"/>
  <c r="AP25" i="67"/>
  <c r="AQ25" i="67"/>
  <c r="AR25" i="67"/>
  <c r="AS25" i="67"/>
  <c r="AF27" i="67"/>
  <c r="AG27" i="67"/>
  <c r="AH27" i="67"/>
  <c r="AI27" i="67"/>
  <c r="AK27" i="67"/>
  <c r="AL27" i="67"/>
  <c r="AM27" i="67"/>
  <c r="AN27" i="67"/>
  <c r="AP27" i="67"/>
  <c r="AQ27" i="67"/>
  <c r="AR27" i="67"/>
  <c r="AS27" i="67"/>
  <c r="AF28" i="67"/>
  <c r="AG28" i="67"/>
  <c r="AH28" i="67"/>
  <c r="AI28" i="67"/>
  <c r="AK28" i="67"/>
  <c r="AL28" i="67"/>
  <c r="AM28" i="67"/>
  <c r="AN28" i="67"/>
  <c r="AP28" i="67"/>
  <c r="AQ28" i="67"/>
  <c r="AR28" i="67"/>
  <c r="AS28" i="67"/>
  <c r="AF29" i="67"/>
  <c r="AG29" i="67"/>
  <c r="AH29" i="67"/>
  <c r="AI29" i="67"/>
  <c r="AK29" i="67"/>
  <c r="AL29" i="67"/>
  <c r="AM29" i="67"/>
  <c r="AN29" i="67"/>
  <c r="AP29" i="67"/>
  <c r="AQ29" i="67"/>
  <c r="AR29" i="67"/>
  <c r="AS29" i="67"/>
  <c r="AF30" i="67"/>
  <c r="AG30" i="67"/>
  <c r="AH30" i="67"/>
  <c r="AI30" i="67"/>
  <c r="AK30" i="67"/>
  <c r="AL30" i="67"/>
  <c r="AM30" i="67"/>
  <c r="AN30" i="67"/>
  <c r="AP30" i="67"/>
  <c r="AQ30" i="67"/>
  <c r="AR30" i="67"/>
  <c r="AS30" i="67"/>
  <c r="AF31" i="67"/>
  <c r="AG31" i="67"/>
  <c r="AH31" i="67"/>
  <c r="AI31" i="67"/>
  <c r="AK31" i="67"/>
  <c r="AL31" i="67"/>
  <c r="AM31" i="67"/>
  <c r="AN31" i="67"/>
  <c r="AP31" i="67"/>
  <c r="AQ31" i="67"/>
  <c r="AR31" i="67"/>
  <c r="AS31" i="67"/>
  <c r="AF33" i="67"/>
  <c r="AG33" i="67"/>
  <c r="AH33" i="67"/>
  <c r="AI33" i="67"/>
  <c r="AK33" i="67"/>
  <c r="AL33" i="67"/>
  <c r="AM33" i="67"/>
  <c r="AN33" i="67"/>
  <c r="AP33" i="67"/>
  <c r="AQ33" i="67"/>
  <c r="AR33" i="67"/>
  <c r="AS33" i="67"/>
  <c r="AF34" i="67"/>
  <c r="AG34" i="67"/>
  <c r="AH34" i="67"/>
  <c r="AI34" i="67"/>
  <c r="AK34" i="67"/>
  <c r="AL34" i="67"/>
  <c r="AM34" i="67"/>
  <c r="AN34" i="67"/>
  <c r="AP34" i="67"/>
  <c r="AQ34" i="67"/>
  <c r="AR34" i="67"/>
  <c r="AS34" i="67"/>
  <c r="AF35" i="67"/>
  <c r="AG35" i="67"/>
  <c r="AH35" i="67"/>
  <c r="AI35" i="67"/>
  <c r="AK35" i="67"/>
  <c r="AL35" i="67"/>
  <c r="AM35" i="67"/>
  <c r="AN35" i="67"/>
  <c r="AP35" i="67"/>
  <c r="AQ35" i="67"/>
  <c r="AR35" i="67"/>
  <c r="AS35" i="67"/>
  <c r="AF36" i="67"/>
  <c r="AG36" i="67"/>
  <c r="AH36" i="67"/>
  <c r="AI36" i="67"/>
  <c r="AK36" i="67"/>
  <c r="AL36" i="67"/>
  <c r="AM36" i="67"/>
  <c r="AN36" i="67"/>
  <c r="AP36" i="67"/>
  <c r="AQ36" i="67"/>
  <c r="AR36" i="67"/>
  <c r="AS36" i="67"/>
  <c r="AF37" i="67"/>
  <c r="AG37" i="67"/>
  <c r="AH37" i="67"/>
  <c r="AI37" i="67"/>
  <c r="AK37" i="67"/>
  <c r="AL37" i="67"/>
  <c r="AM37" i="67"/>
  <c r="AN37" i="67"/>
  <c r="AP37" i="67"/>
  <c r="AQ37" i="67"/>
  <c r="AR37" i="67"/>
  <c r="AS37" i="67"/>
  <c r="AF39" i="67"/>
  <c r="AG39" i="67"/>
  <c r="AH39" i="67"/>
  <c r="AI39" i="67"/>
  <c r="AK39" i="67"/>
  <c r="AL39" i="67"/>
  <c r="AM39" i="67"/>
  <c r="AN39" i="67"/>
  <c r="AP39" i="67"/>
  <c r="AQ39" i="67"/>
  <c r="AR39" i="67"/>
  <c r="AS39" i="67"/>
  <c r="AF40" i="67"/>
  <c r="AG40" i="67"/>
  <c r="AH40" i="67"/>
  <c r="AI40" i="67"/>
  <c r="AK40" i="67"/>
  <c r="AL40" i="67"/>
  <c r="AM40" i="67"/>
  <c r="AN40" i="67"/>
  <c r="AP40" i="67"/>
  <c r="AQ40" i="67"/>
  <c r="AR40" i="67"/>
  <c r="AS40" i="67"/>
  <c r="AF41" i="67"/>
  <c r="AG41" i="67"/>
  <c r="AH41" i="67"/>
  <c r="AI41" i="67"/>
  <c r="AK41" i="67"/>
  <c r="AL41" i="67"/>
  <c r="AM41" i="67"/>
  <c r="AN41" i="67"/>
  <c r="AP41" i="67"/>
  <c r="AQ41" i="67"/>
  <c r="AR41" i="67"/>
  <c r="AS41" i="67"/>
  <c r="AF42" i="67"/>
  <c r="AG42" i="67"/>
  <c r="AH42" i="67"/>
  <c r="AI42" i="67"/>
  <c r="AK42" i="67"/>
  <c r="AL42" i="67"/>
  <c r="AM42" i="67"/>
  <c r="AN42" i="67"/>
  <c r="AP42" i="67"/>
  <c r="AQ42" i="67"/>
  <c r="AR42" i="67"/>
  <c r="AS42" i="67"/>
  <c r="AF43" i="67"/>
  <c r="AG43" i="67"/>
  <c r="AH43" i="67"/>
  <c r="AI43" i="67"/>
  <c r="AK43" i="67"/>
  <c r="AL43" i="67"/>
  <c r="AM43" i="67"/>
  <c r="AN43" i="67"/>
  <c r="AP43" i="67"/>
  <c r="AQ43" i="67"/>
  <c r="AR43" i="67"/>
  <c r="AS43" i="67"/>
  <c r="AF45" i="67"/>
  <c r="AG45" i="67"/>
  <c r="AH45" i="67"/>
  <c r="AI45" i="67"/>
  <c r="AK45" i="67"/>
  <c r="AL45" i="67"/>
  <c r="AM45" i="67"/>
  <c r="AN45" i="67"/>
  <c r="AP45" i="67"/>
  <c r="AQ45" i="67"/>
  <c r="AR45" i="67"/>
  <c r="AS45" i="67"/>
  <c r="AF46" i="67"/>
  <c r="AG46" i="67"/>
  <c r="AH46" i="67"/>
  <c r="AI46" i="67"/>
  <c r="AK46" i="67"/>
  <c r="AL46" i="67"/>
  <c r="AM46" i="67"/>
  <c r="AN46" i="67"/>
  <c r="AP46" i="67"/>
  <c r="AQ46" i="67"/>
  <c r="AR46" i="67"/>
  <c r="AS46" i="67"/>
  <c r="AF47" i="67"/>
  <c r="AG47" i="67"/>
  <c r="AH47" i="67"/>
  <c r="AI47" i="67"/>
  <c r="AK47" i="67"/>
  <c r="AL47" i="67"/>
  <c r="AM47" i="67"/>
  <c r="AN47" i="67"/>
  <c r="AP47" i="67"/>
  <c r="AQ47" i="67"/>
  <c r="AR47" i="67"/>
  <c r="AS47" i="67"/>
  <c r="AF48" i="67"/>
  <c r="AG48" i="67"/>
  <c r="AH48" i="67"/>
  <c r="AI48" i="67"/>
  <c r="AK48" i="67"/>
  <c r="AL48" i="67"/>
  <c r="AM48" i="67"/>
  <c r="AN48" i="67"/>
  <c r="AP48" i="67"/>
  <c r="AQ48" i="67"/>
  <c r="AR48" i="67"/>
  <c r="AS48" i="67"/>
  <c r="AF49" i="67"/>
  <c r="AG49" i="67"/>
  <c r="AH49" i="67"/>
  <c r="AI49" i="67"/>
  <c r="AK49" i="67"/>
  <c r="AL49" i="67"/>
  <c r="AM49" i="67"/>
  <c r="AN49" i="67"/>
  <c r="AP49" i="67"/>
  <c r="AQ49" i="67"/>
  <c r="AR49" i="67"/>
  <c r="AS49" i="67"/>
  <c r="AF51" i="67"/>
  <c r="AG51" i="67"/>
  <c r="AH51" i="67"/>
  <c r="AI51" i="67"/>
  <c r="AK51" i="67"/>
  <c r="AL51" i="67"/>
  <c r="AM51" i="67"/>
  <c r="AN51" i="67"/>
  <c r="AP51" i="67"/>
  <c r="AQ51" i="67"/>
  <c r="AR51" i="67"/>
  <c r="AS51" i="67"/>
  <c r="AF52" i="67"/>
  <c r="AG52" i="67"/>
  <c r="AH52" i="67"/>
  <c r="AI52" i="67"/>
  <c r="AK52" i="67"/>
  <c r="AL52" i="67"/>
  <c r="AM52" i="67"/>
  <c r="AN52" i="67"/>
  <c r="AP52" i="67"/>
  <c r="AQ52" i="67"/>
  <c r="AR52" i="67"/>
  <c r="AS52" i="67"/>
  <c r="AF53" i="67"/>
  <c r="AG53" i="67"/>
  <c r="AH53" i="67"/>
  <c r="AI53" i="67"/>
  <c r="AK53" i="67"/>
  <c r="AL53" i="67"/>
  <c r="AM53" i="67"/>
  <c r="AN53" i="67"/>
  <c r="AP53" i="67"/>
  <c r="AQ53" i="67"/>
  <c r="AR53" i="67"/>
  <c r="AS53" i="67"/>
  <c r="AF54" i="67"/>
  <c r="AG54" i="67"/>
  <c r="AH54" i="67"/>
  <c r="AI54" i="67"/>
  <c r="AK54" i="67"/>
  <c r="AL54" i="67"/>
  <c r="AM54" i="67"/>
  <c r="AN54" i="67"/>
  <c r="AP54" i="67"/>
  <c r="AQ54" i="67"/>
  <c r="AR54" i="67"/>
  <c r="AS54" i="67"/>
  <c r="AF55" i="67"/>
  <c r="AG55" i="67"/>
  <c r="AH55" i="67"/>
  <c r="AI55" i="67"/>
  <c r="AK55" i="67"/>
  <c r="AL55" i="67"/>
  <c r="AM55" i="67"/>
  <c r="AN55" i="67"/>
  <c r="AP55" i="67"/>
  <c r="AQ55" i="67"/>
  <c r="AR55" i="67"/>
  <c r="AS55" i="67"/>
  <c r="AF57" i="67"/>
  <c r="AG57" i="67"/>
  <c r="AH57" i="67"/>
  <c r="AI57" i="67"/>
  <c r="AK57" i="67"/>
  <c r="AL57" i="67"/>
  <c r="AM57" i="67"/>
  <c r="AN57" i="67"/>
  <c r="AP57" i="67"/>
  <c r="AQ57" i="67"/>
  <c r="AR57" i="67"/>
  <c r="AS57" i="67"/>
  <c r="AF58" i="67"/>
  <c r="AG58" i="67"/>
  <c r="AH58" i="67"/>
  <c r="AI58" i="67"/>
  <c r="AK58" i="67"/>
  <c r="AL58" i="67"/>
  <c r="AM58" i="67"/>
  <c r="AN58" i="67"/>
  <c r="AP58" i="67"/>
  <c r="AQ58" i="67"/>
  <c r="AR58" i="67"/>
  <c r="AS58" i="67"/>
  <c r="AF59" i="67"/>
  <c r="AG59" i="67"/>
  <c r="AH59" i="67"/>
  <c r="AI59" i="67"/>
  <c r="AK59" i="67"/>
  <c r="AL59" i="67"/>
  <c r="AM59" i="67"/>
  <c r="AN59" i="67"/>
  <c r="AP59" i="67"/>
  <c r="AQ59" i="67"/>
  <c r="AR59" i="67"/>
  <c r="AS59" i="67"/>
  <c r="AF60" i="67"/>
  <c r="AG60" i="67"/>
  <c r="AH60" i="67"/>
  <c r="AI60" i="67"/>
  <c r="AK60" i="67"/>
  <c r="AL60" i="67"/>
  <c r="AM60" i="67"/>
  <c r="AN60" i="67"/>
  <c r="AP60" i="67"/>
  <c r="AQ60" i="67"/>
  <c r="AR60" i="67"/>
  <c r="AS60" i="67"/>
  <c r="AF61" i="67"/>
  <c r="AG61" i="67"/>
  <c r="AH61" i="67"/>
  <c r="AI61" i="67"/>
  <c r="AK61" i="67"/>
  <c r="AL61" i="67"/>
  <c r="AM61" i="67"/>
  <c r="AN61" i="67"/>
  <c r="AP61" i="67"/>
  <c r="AQ61" i="67"/>
  <c r="AR61" i="67"/>
  <c r="AS61" i="67"/>
  <c r="AF63" i="67"/>
  <c r="AG63" i="67"/>
  <c r="AH63" i="67"/>
  <c r="AI63" i="67"/>
  <c r="AK63" i="67"/>
  <c r="AL63" i="67"/>
  <c r="AM63" i="67"/>
  <c r="AN63" i="67"/>
  <c r="AP63" i="67"/>
  <c r="AQ63" i="67"/>
  <c r="AR63" i="67"/>
  <c r="AS63" i="67"/>
  <c r="AF64" i="67"/>
  <c r="AG64" i="67"/>
  <c r="AH64" i="67"/>
  <c r="AI64" i="67"/>
  <c r="AK64" i="67"/>
  <c r="AL64" i="67"/>
  <c r="AM64" i="67"/>
  <c r="AN64" i="67"/>
  <c r="AP64" i="67"/>
  <c r="AQ64" i="67"/>
  <c r="AR64" i="67"/>
  <c r="AS64" i="67"/>
  <c r="AF65" i="67"/>
  <c r="AG65" i="67"/>
  <c r="AH65" i="67"/>
  <c r="AI65" i="67"/>
  <c r="AK65" i="67"/>
  <c r="AL65" i="67"/>
  <c r="AM65" i="67"/>
  <c r="AN65" i="67"/>
  <c r="AP65" i="67"/>
  <c r="AQ65" i="67"/>
  <c r="AR65" i="67"/>
  <c r="AS65" i="67"/>
  <c r="AF66" i="67"/>
  <c r="AG66" i="67"/>
  <c r="AH66" i="67"/>
  <c r="AI66" i="67"/>
  <c r="AK66" i="67"/>
  <c r="AL66" i="67"/>
  <c r="AM66" i="67"/>
  <c r="AN66" i="67"/>
  <c r="AP66" i="67"/>
  <c r="AQ66" i="67"/>
  <c r="AR66" i="67"/>
  <c r="AS66" i="67"/>
  <c r="AF67" i="67"/>
  <c r="AG67" i="67"/>
  <c r="AH67" i="67"/>
  <c r="AI67" i="67"/>
  <c r="AK67" i="67"/>
  <c r="AL67" i="67"/>
  <c r="AM67" i="67"/>
  <c r="AN67" i="67"/>
  <c r="AP67" i="67"/>
  <c r="AQ67" i="67"/>
  <c r="AR67" i="67"/>
  <c r="AS67" i="67"/>
  <c r="AF69" i="67"/>
  <c r="AG69" i="67"/>
  <c r="AH69" i="67"/>
  <c r="AI69" i="67"/>
  <c r="AK69" i="67"/>
  <c r="AL69" i="67"/>
  <c r="AM69" i="67"/>
  <c r="AN69" i="67"/>
  <c r="AP69" i="67"/>
  <c r="AQ69" i="67"/>
  <c r="AR69" i="67"/>
  <c r="AS69" i="67"/>
  <c r="AF70" i="67"/>
  <c r="AG70" i="67"/>
  <c r="AH70" i="67"/>
  <c r="AI70" i="67"/>
  <c r="AK70" i="67"/>
  <c r="AL70" i="67"/>
  <c r="AM70" i="67"/>
  <c r="AN70" i="67"/>
  <c r="AP70" i="67"/>
  <c r="AQ70" i="67"/>
  <c r="AR70" i="67"/>
  <c r="AS70" i="67"/>
  <c r="AF71" i="67"/>
  <c r="AG71" i="67"/>
  <c r="AH71" i="67"/>
  <c r="AI71" i="67"/>
  <c r="AK71" i="67"/>
  <c r="AL71" i="67"/>
  <c r="AM71" i="67"/>
  <c r="AN71" i="67"/>
  <c r="AP71" i="67"/>
  <c r="AQ71" i="67"/>
  <c r="AR71" i="67"/>
  <c r="AS71" i="67"/>
  <c r="AF72" i="67"/>
  <c r="AG72" i="67"/>
  <c r="AH72" i="67"/>
  <c r="AI72" i="67"/>
  <c r="AK72" i="67"/>
  <c r="AL72" i="67"/>
  <c r="AM72" i="67"/>
  <c r="AN72" i="67"/>
  <c r="AP72" i="67"/>
  <c r="AQ72" i="67"/>
  <c r="AR72" i="67"/>
  <c r="AS72" i="67"/>
  <c r="AF73" i="67"/>
  <c r="AG73" i="67"/>
  <c r="AH73" i="67"/>
  <c r="AI73" i="67"/>
  <c r="AK73" i="67"/>
  <c r="AL73" i="67"/>
  <c r="AM73" i="67"/>
  <c r="AN73" i="67"/>
  <c r="AP73" i="67"/>
  <c r="AQ73" i="67"/>
  <c r="AR73" i="67"/>
  <c r="AS73" i="67"/>
  <c r="AF4" i="68"/>
  <c r="AG4" i="68"/>
  <c r="AH4" i="68"/>
  <c r="AI4" i="68"/>
  <c r="AK4" i="68"/>
  <c r="AL4" i="68"/>
  <c r="AM4" i="68"/>
  <c r="AN4" i="68"/>
  <c r="AP4" i="68"/>
  <c r="AQ4" i="68"/>
  <c r="AR4" i="68"/>
  <c r="AS4" i="68"/>
  <c r="AF5" i="68"/>
  <c r="AG5" i="68"/>
  <c r="AH5" i="68"/>
  <c r="AI5" i="68"/>
  <c r="AK5" i="68"/>
  <c r="AL5" i="68"/>
  <c r="AM5" i="68"/>
  <c r="AN5" i="68"/>
  <c r="AP5" i="68"/>
  <c r="AQ5" i="68"/>
  <c r="AR5" i="68"/>
  <c r="AS5" i="68"/>
  <c r="AF6" i="68"/>
  <c r="AG6" i="68"/>
  <c r="AH6" i="68"/>
  <c r="AI6" i="68"/>
  <c r="AK6" i="68"/>
  <c r="AL6" i="68"/>
  <c r="AM6" i="68"/>
  <c r="AN6" i="68"/>
  <c r="AP6" i="68"/>
  <c r="AQ6" i="68"/>
  <c r="AR6" i="68"/>
  <c r="AS6" i="68"/>
  <c r="AF7" i="68"/>
  <c r="AG7" i="68"/>
  <c r="AH7" i="68"/>
  <c r="AI7" i="68"/>
  <c r="AK7" i="68"/>
  <c r="AL7" i="68"/>
  <c r="AM7" i="68"/>
  <c r="AN7" i="68"/>
  <c r="AP7" i="68"/>
  <c r="AQ7" i="68"/>
  <c r="AR7" i="68"/>
  <c r="AS7" i="68"/>
  <c r="AF9" i="68"/>
  <c r="AG9" i="68"/>
  <c r="AH9" i="68"/>
  <c r="AI9" i="68"/>
  <c r="AK9" i="68"/>
  <c r="AL9" i="68"/>
  <c r="AM9" i="68"/>
  <c r="AN9" i="68"/>
  <c r="AP9" i="68"/>
  <c r="AQ9" i="68"/>
  <c r="AR9" i="68"/>
  <c r="AS9" i="68"/>
  <c r="AF10" i="68"/>
  <c r="AG10" i="68"/>
  <c r="AH10" i="68"/>
  <c r="AI10" i="68"/>
  <c r="AK10" i="68"/>
  <c r="AL10" i="68"/>
  <c r="AM10" i="68"/>
  <c r="AN10" i="68"/>
  <c r="AP10" i="68"/>
  <c r="AQ10" i="68"/>
  <c r="AR10" i="68"/>
  <c r="AS10" i="68"/>
  <c r="AF11" i="68"/>
  <c r="AG11" i="68"/>
  <c r="AH11" i="68"/>
  <c r="AI11" i="68"/>
  <c r="AK11" i="68"/>
  <c r="AL11" i="68"/>
  <c r="AM11" i="68"/>
  <c r="AN11" i="68"/>
  <c r="AP11" i="68"/>
  <c r="AQ11" i="68"/>
  <c r="AR11" i="68"/>
  <c r="AS11" i="68"/>
  <c r="AF12" i="68"/>
  <c r="AG12" i="68"/>
  <c r="AH12" i="68"/>
  <c r="AI12" i="68"/>
  <c r="AK12" i="68"/>
  <c r="AL12" i="68"/>
  <c r="AM12" i="68"/>
  <c r="AN12" i="68"/>
  <c r="AP12" i="68"/>
  <c r="AQ12" i="68"/>
  <c r="AR12" i="68"/>
  <c r="AS12" i="68"/>
  <c r="AF13" i="68"/>
  <c r="AG13" i="68"/>
  <c r="AH13" i="68"/>
  <c r="AI13" i="68"/>
  <c r="AK13" i="68"/>
  <c r="AL13" i="68"/>
  <c r="AM13" i="68"/>
  <c r="AN13" i="68"/>
  <c r="AP13" i="68"/>
  <c r="AQ13" i="68"/>
  <c r="AR13" i="68"/>
  <c r="AS13" i="68"/>
  <c r="AF15" i="68"/>
  <c r="AG15" i="68"/>
  <c r="AH15" i="68"/>
  <c r="AI15" i="68"/>
  <c r="AK15" i="68"/>
  <c r="AL15" i="68"/>
  <c r="AM15" i="68"/>
  <c r="AN15" i="68"/>
  <c r="AQ15" i="68"/>
  <c r="AR15" i="68"/>
  <c r="AS15" i="68"/>
  <c r="AF16" i="68"/>
  <c r="AG16" i="68"/>
  <c r="AH16" i="68"/>
  <c r="AI16" i="68"/>
  <c r="AK16" i="68"/>
  <c r="AL16" i="68"/>
  <c r="AM16" i="68"/>
  <c r="AN16" i="68"/>
  <c r="AP16" i="68"/>
  <c r="AQ16" i="68"/>
  <c r="AR16" i="68"/>
  <c r="AS16" i="68"/>
  <c r="AF17" i="68"/>
  <c r="AG17" i="68"/>
  <c r="AH17" i="68"/>
  <c r="AI17" i="68"/>
  <c r="AK17" i="68"/>
  <c r="AL17" i="68"/>
  <c r="AM17" i="68"/>
  <c r="AN17" i="68"/>
  <c r="AP17" i="68"/>
  <c r="AQ17" i="68"/>
  <c r="AR17" i="68"/>
  <c r="AS17" i="68"/>
  <c r="AF18" i="68"/>
  <c r="AG18" i="68"/>
  <c r="AH18" i="68"/>
  <c r="AI18" i="68"/>
  <c r="AK18" i="68"/>
  <c r="AL18" i="68"/>
  <c r="AM18" i="68"/>
  <c r="AN18" i="68"/>
  <c r="AP18" i="68"/>
  <c r="AQ18" i="68"/>
  <c r="AR18" i="68"/>
  <c r="AS18" i="68"/>
  <c r="AF19" i="68"/>
  <c r="AG19" i="68"/>
  <c r="AH19" i="68"/>
  <c r="AI19" i="68"/>
  <c r="AK19" i="68"/>
  <c r="AL19" i="68"/>
  <c r="AM19" i="68"/>
  <c r="AN19" i="68"/>
  <c r="AP19" i="68"/>
  <c r="AQ19" i="68"/>
  <c r="AR19" i="68"/>
  <c r="AS19" i="68"/>
  <c r="AF21" i="68"/>
  <c r="AG21" i="68"/>
  <c r="AH21" i="68"/>
  <c r="AI21" i="68"/>
  <c r="AK21" i="68"/>
  <c r="AL21" i="68"/>
  <c r="AM21" i="68"/>
  <c r="AN21" i="68"/>
  <c r="AP21" i="68"/>
  <c r="AQ21" i="68"/>
  <c r="AR21" i="68"/>
  <c r="AS21" i="68"/>
  <c r="AF22" i="68"/>
  <c r="AG22" i="68"/>
  <c r="AH22" i="68"/>
  <c r="AI22" i="68"/>
  <c r="AK22" i="68"/>
  <c r="AL22" i="68"/>
  <c r="AM22" i="68"/>
  <c r="AN22" i="68"/>
  <c r="AP22" i="68"/>
  <c r="AQ22" i="68"/>
  <c r="AR22" i="68"/>
  <c r="AS22" i="68"/>
  <c r="AF23" i="68"/>
  <c r="AG23" i="68"/>
  <c r="AH23" i="68"/>
  <c r="AI23" i="68"/>
  <c r="AK23" i="68"/>
  <c r="AL23" i="68"/>
  <c r="AM23" i="68"/>
  <c r="AN23" i="68"/>
  <c r="AP23" i="68"/>
  <c r="AR23" i="68"/>
  <c r="AS23" i="68"/>
  <c r="AF24" i="68"/>
  <c r="AG24" i="68"/>
  <c r="AH24" i="68"/>
  <c r="AI24" i="68"/>
  <c r="AK24" i="68"/>
  <c r="AL24" i="68"/>
  <c r="AM24" i="68"/>
  <c r="AN24" i="68"/>
  <c r="AQ24" i="68"/>
  <c r="AR24" i="68"/>
  <c r="AS24" i="68"/>
  <c r="AF25" i="68"/>
  <c r="AG25" i="68"/>
  <c r="AH25" i="68"/>
  <c r="AI25" i="68"/>
  <c r="AK25" i="68"/>
  <c r="AL25" i="68"/>
  <c r="AM25" i="68"/>
  <c r="AN25" i="68"/>
  <c r="AP25" i="68"/>
  <c r="AQ25" i="68"/>
  <c r="AR25" i="68"/>
  <c r="AS25" i="68"/>
  <c r="AF27" i="68"/>
  <c r="AG27" i="68"/>
  <c r="AH27" i="68"/>
  <c r="AI27" i="68"/>
  <c r="AK27" i="68"/>
  <c r="AL27" i="68"/>
  <c r="AM27" i="68"/>
  <c r="AN27" i="68"/>
  <c r="AP27" i="68"/>
  <c r="AQ27" i="68"/>
  <c r="AR27" i="68"/>
  <c r="AS27" i="68"/>
  <c r="AF28" i="68"/>
  <c r="AG28" i="68"/>
  <c r="AH28" i="68"/>
  <c r="AI28" i="68"/>
  <c r="AK28" i="68"/>
  <c r="AL28" i="68"/>
  <c r="AM28" i="68"/>
  <c r="AN28" i="68"/>
  <c r="AP28" i="68"/>
  <c r="AR28" i="68"/>
  <c r="AS28" i="68"/>
  <c r="AF29" i="68"/>
  <c r="AG29" i="68"/>
  <c r="AH29" i="68"/>
  <c r="AI29" i="68"/>
  <c r="AK29" i="68"/>
  <c r="AL29" i="68"/>
  <c r="AM29" i="68"/>
  <c r="AN29" i="68"/>
  <c r="AP29" i="68"/>
  <c r="AQ29" i="68"/>
  <c r="AR29" i="68"/>
  <c r="AS29" i="68"/>
  <c r="AF30" i="68"/>
  <c r="AG30" i="68"/>
  <c r="AH30" i="68"/>
  <c r="AI30" i="68"/>
  <c r="AK30" i="68"/>
  <c r="AL30" i="68"/>
  <c r="AM30" i="68"/>
  <c r="AN30" i="68"/>
  <c r="AR30" i="68"/>
  <c r="AS30" i="68"/>
  <c r="AF31" i="68"/>
  <c r="AG31" i="68"/>
  <c r="AH31" i="68"/>
  <c r="AI31" i="68"/>
  <c r="AK31" i="68"/>
  <c r="AL31" i="68"/>
  <c r="AM31" i="68"/>
  <c r="AN31" i="68"/>
  <c r="AP31" i="68"/>
  <c r="AQ31" i="68"/>
  <c r="AR31" i="68"/>
  <c r="AS31" i="68"/>
  <c r="AF33" i="68"/>
  <c r="AG33" i="68"/>
  <c r="AH33" i="68"/>
  <c r="AI33" i="68"/>
  <c r="AK33" i="68"/>
  <c r="AL33" i="68"/>
  <c r="AM33" i="68"/>
  <c r="AN33" i="68"/>
  <c r="AP33" i="68"/>
  <c r="AQ33" i="68"/>
  <c r="AR33" i="68"/>
  <c r="AS33" i="68"/>
  <c r="AF34" i="68"/>
  <c r="AG34" i="68"/>
  <c r="AH34" i="68"/>
  <c r="AI34" i="68"/>
  <c r="AK34" i="68"/>
  <c r="AL34" i="68"/>
  <c r="AM34" i="68"/>
  <c r="AN34" i="68"/>
  <c r="AP34" i="68"/>
  <c r="AQ34" i="68"/>
  <c r="AR34" i="68"/>
  <c r="AS34" i="68"/>
  <c r="AF35" i="68"/>
  <c r="AG35" i="68"/>
  <c r="AH35" i="68"/>
  <c r="AI35" i="68"/>
  <c r="AK35" i="68"/>
  <c r="AL35" i="68"/>
  <c r="AM35" i="68"/>
  <c r="AN35" i="68"/>
  <c r="AQ35" i="68"/>
  <c r="AR35" i="68"/>
  <c r="AS35" i="68"/>
  <c r="AF36" i="68"/>
  <c r="AG36" i="68"/>
  <c r="AH36" i="68"/>
  <c r="AI36" i="68"/>
  <c r="AK36" i="68"/>
  <c r="AL36" i="68"/>
  <c r="AM36" i="68"/>
  <c r="AN36" i="68"/>
  <c r="AR36" i="68"/>
  <c r="AS36" i="68"/>
  <c r="AF37" i="68"/>
  <c r="AG37" i="68"/>
  <c r="AH37" i="68"/>
  <c r="AI37" i="68"/>
  <c r="AK37" i="68"/>
  <c r="AL37" i="68"/>
  <c r="AM37" i="68"/>
  <c r="AN37" i="68"/>
  <c r="AP37" i="68"/>
  <c r="AQ37" i="68"/>
  <c r="AR37" i="68"/>
  <c r="AS37" i="68"/>
  <c r="AF39" i="68"/>
  <c r="AG39" i="68"/>
  <c r="AH39" i="68"/>
  <c r="AI39" i="68"/>
  <c r="AK39" i="68"/>
  <c r="AL39" i="68"/>
  <c r="AM39" i="68"/>
  <c r="AN39" i="68"/>
  <c r="AR39" i="68"/>
  <c r="AS39" i="68"/>
  <c r="AF40" i="68"/>
  <c r="AG40" i="68"/>
  <c r="AH40" i="68"/>
  <c r="AI40" i="68"/>
  <c r="AK40" i="68"/>
  <c r="AL40" i="68"/>
  <c r="AM40" i="68"/>
  <c r="AN40" i="68"/>
  <c r="AR40" i="68"/>
  <c r="AS40" i="68"/>
  <c r="AF41" i="68"/>
  <c r="AG41" i="68"/>
  <c r="AH41" i="68"/>
  <c r="AI41" i="68"/>
  <c r="AK41" i="68"/>
  <c r="AL41" i="68"/>
  <c r="AM41" i="68"/>
  <c r="AN41" i="68"/>
  <c r="AR41" i="68"/>
  <c r="AS41" i="68"/>
  <c r="AF42" i="68"/>
  <c r="AG42" i="68"/>
  <c r="AH42" i="68"/>
  <c r="AI42" i="68"/>
  <c r="AK42" i="68"/>
  <c r="AL42" i="68"/>
  <c r="AM42" i="68"/>
  <c r="AN42" i="68"/>
  <c r="AP42" i="68"/>
  <c r="AQ42" i="68"/>
  <c r="AR42" i="68"/>
  <c r="AS42" i="68"/>
  <c r="AF43" i="68"/>
  <c r="AG43" i="68"/>
  <c r="AH43" i="68"/>
  <c r="AI43" i="68"/>
  <c r="AK43" i="68"/>
  <c r="AL43" i="68"/>
  <c r="AM43" i="68"/>
  <c r="AN43" i="68"/>
  <c r="AP43" i="68"/>
  <c r="AQ43" i="68"/>
  <c r="AR43" i="68"/>
  <c r="AS43" i="68"/>
  <c r="AF45" i="68"/>
  <c r="AG45" i="68"/>
  <c r="AH45" i="68"/>
  <c r="AI45" i="68"/>
  <c r="AK45" i="68"/>
  <c r="AL45" i="68"/>
  <c r="AM45" i="68"/>
  <c r="AN45" i="68"/>
  <c r="AQ45" i="68"/>
  <c r="AR45" i="68"/>
  <c r="AS45" i="68"/>
  <c r="AF46" i="68"/>
  <c r="AG46" i="68"/>
  <c r="AH46" i="68"/>
  <c r="AI46" i="68"/>
  <c r="AK46" i="68"/>
  <c r="AL46" i="68"/>
  <c r="AM46" i="68"/>
  <c r="AN46" i="68"/>
  <c r="AP46" i="68"/>
  <c r="AQ46" i="68"/>
  <c r="AR46" i="68"/>
  <c r="AS46" i="68"/>
  <c r="AF47" i="68"/>
  <c r="AG47" i="68"/>
  <c r="AH47" i="68"/>
  <c r="AI47" i="68"/>
  <c r="AK47" i="68"/>
  <c r="AL47" i="68"/>
  <c r="AM47" i="68"/>
  <c r="AN47" i="68"/>
  <c r="AP47" i="68"/>
  <c r="AQ47" i="68"/>
  <c r="AR47" i="68"/>
  <c r="AS47" i="68"/>
  <c r="AF48" i="68"/>
  <c r="AG48" i="68"/>
  <c r="AH48" i="68"/>
  <c r="AI48" i="68"/>
  <c r="AK48" i="68"/>
  <c r="AL48" i="68"/>
  <c r="AM48" i="68"/>
  <c r="AN48" i="68"/>
  <c r="AP48" i="68"/>
  <c r="AQ48" i="68"/>
  <c r="AR48" i="68"/>
  <c r="AS48" i="68"/>
  <c r="AF49" i="68"/>
  <c r="AG49" i="68"/>
  <c r="AH49" i="68"/>
  <c r="AI49" i="68"/>
  <c r="AK49" i="68"/>
  <c r="AL49" i="68"/>
  <c r="AM49" i="68"/>
  <c r="AN49" i="68"/>
  <c r="AP49" i="68"/>
  <c r="AQ49" i="68"/>
  <c r="AR49" i="68"/>
  <c r="AS49" i="68"/>
  <c r="AF51" i="68"/>
  <c r="AG51" i="68"/>
  <c r="AH51" i="68"/>
  <c r="AI51" i="68"/>
  <c r="AK51" i="68"/>
  <c r="AL51" i="68"/>
  <c r="AM51" i="68"/>
  <c r="AN51" i="68"/>
  <c r="AP51" i="68"/>
  <c r="AQ51" i="68"/>
  <c r="AR51" i="68"/>
  <c r="AS51" i="68"/>
  <c r="AF52" i="68"/>
  <c r="AG52" i="68"/>
  <c r="AH52" i="68"/>
  <c r="AI52" i="68"/>
  <c r="AK52" i="68"/>
  <c r="AL52" i="68"/>
  <c r="AM52" i="68"/>
  <c r="AN52" i="68"/>
  <c r="AP52" i="68"/>
  <c r="AQ52" i="68"/>
  <c r="AR52" i="68"/>
  <c r="AS52" i="68"/>
  <c r="AF53" i="68"/>
  <c r="AG53" i="68"/>
  <c r="AH53" i="68"/>
  <c r="AI53" i="68"/>
  <c r="AK53" i="68"/>
  <c r="AL53" i="68"/>
  <c r="AM53" i="68"/>
  <c r="AN53" i="68"/>
  <c r="AP53" i="68"/>
  <c r="AQ53" i="68"/>
  <c r="AR53" i="68"/>
  <c r="AS53" i="68"/>
  <c r="AF54" i="68"/>
  <c r="AG54" i="68"/>
  <c r="AH54" i="68"/>
  <c r="AI54" i="68"/>
  <c r="AK54" i="68"/>
  <c r="AL54" i="68"/>
  <c r="AM54" i="68"/>
  <c r="AN54" i="68"/>
  <c r="AP54" i="68"/>
  <c r="AR54" i="68"/>
  <c r="AS54" i="68"/>
  <c r="AF55" i="68"/>
  <c r="AG55" i="68"/>
  <c r="AH55" i="68"/>
  <c r="AI55" i="68"/>
  <c r="AK55" i="68"/>
  <c r="AL55" i="68"/>
  <c r="AM55" i="68"/>
  <c r="AN55" i="68"/>
  <c r="AP55" i="68"/>
  <c r="AQ55" i="68"/>
  <c r="AR55" i="68"/>
  <c r="AS55" i="68"/>
  <c r="AF57" i="68"/>
  <c r="AG57" i="68"/>
  <c r="AH57" i="68"/>
  <c r="AI57" i="68"/>
  <c r="AK57" i="68"/>
  <c r="AL57" i="68"/>
  <c r="AM57" i="68"/>
  <c r="AN57" i="68"/>
  <c r="AP57" i="68"/>
  <c r="AR57" i="68"/>
  <c r="AS57" i="68"/>
  <c r="AF58" i="68"/>
  <c r="AG58" i="68"/>
  <c r="AH58" i="68"/>
  <c r="AI58" i="68"/>
  <c r="AK58" i="68"/>
  <c r="AL58" i="68"/>
  <c r="AM58" i="68"/>
  <c r="AN58" i="68"/>
  <c r="AP58" i="68"/>
  <c r="AQ58" i="68"/>
  <c r="AR58" i="68"/>
  <c r="AS58" i="68"/>
  <c r="AF59" i="68"/>
  <c r="AG59" i="68"/>
  <c r="AH59" i="68"/>
  <c r="AI59" i="68"/>
  <c r="AK59" i="68"/>
  <c r="AL59" i="68"/>
  <c r="AM59" i="68"/>
  <c r="AN59" i="68"/>
  <c r="AQ59" i="68"/>
  <c r="AR59" i="68"/>
  <c r="AS59" i="68"/>
  <c r="AF60" i="68"/>
  <c r="AG60" i="68"/>
  <c r="AH60" i="68"/>
  <c r="AI60" i="68"/>
  <c r="AK60" i="68"/>
  <c r="AL60" i="68"/>
  <c r="AM60" i="68"/>
  <c r="AN60" i="68"/>
  <c r="AP60" i="68"/>
  <c r="AQ60" i="68"/>
  <c r="AR60" i="68"/>
  <c r="AS60" i="68"/>
  <c r="AF61" i="68"/>
  <c r="AG61" i="68"/>
  <c r="AH61" i="68"/>
  <c r="AI61" i="68"/>
  <c r="AK61" i="68"/>
  <c r="AL61" i="68"/>
  <c r="AM61" i="68"/>
  <c r="AN61" i="68"/>
  <c r="AP61" i="68"/>
  <c r="AQ61" i="68"/>
  <c r="AR61" i="68"/>
  <c r="AS61" i="68"/>
  <c r="AF63" i="68"/>
  <c r="AG63" i="68"/>
  <c r="AH63" i="68"/>
  <c r="AI63" i="68"/>
  <c r="AK63" i="68"/>
  <c r="AL63" i="68"/>
  <c r="AM63" i="68"/>
  <c r="AN63" i="68"/>
  <c r="AP63" i="68"/>
  <c r="AQ63" i="68"/>
  <c r="AR63" i="68"/>
  <c r="AS63" i="68"/>
  <c r="AF64" i="68"/>
  <c r="AG64" i="68"/>
  <c r="AH64" i="68"/>
  <c r="AI64" i="68"/>
  <c r="AK64" i="68"/>
  <c r="AL64" i="68"/>
  <c r="AM64" i="68"/>
  <c r="AN64" i="68"/>
  <c r="AP64" i="68"/>
  <c r="AQ64" i="68"/>
  <c r="AR64" i="68"/>
  <c r="AS64" i="68"/>
  <c r="AF65" i="68"/>
  <c r="AG65" i="68"/>
  <c r="AH65" i="68"/>
  <c r="AI65" i="68"/>
  <c r="AK65" i="68"/>
  <c r="AL65" i="68"/>
  <c r="AM65" i="68"/>
  <c r="AN65" i="68"/>
  <c r="AP65" i="68"/>
  <c r="AQ65" i="68"/>
  <c r="AR65" i="68"/>
  <c r="AS65" i="68"/>
  <c r="AF66" i="68"/>
  <c r="AG66" i="68"/>
  <c r="AH66" i="68"/>
  <c r="AI66" i="68"/>
  <c r="AK66" i="68"/>
  <c r="AL66" i="68"/>
  <c r="AM66" i="68"/>
  <c r="AN66" i="68"/>
  <c r="AP66" i="68"/>
  <c r="AQ66" i="68"/>
  <c r="AR66" i="68"/>
  <c r="AS66" i="68"/>
  <c r="AF67" i="68"/>
  <c r="AG67" i="68"/>
  <c r="AH67" i="68"/>
  <c r="AI67" i="68"/>
  <c r="AK67" i="68"/>
  <c r="AL67" i="68"/>
  <c r="AM67" i="68"/>
  <c r="AN67" i="68"/>
  <c r="AP67" i="68"/>
  <c r="AQ67" i="68"/>
  <c r="AR67" i="68"/>
  <c r="AS67" i="68"/>
  <c r="AF69" i="68"/>
  <c r="AG69" i="68"/>
  <c r="AH69" i="68"/>
  <c r="AI69" i="68"/>
  <c r="AK69" i="68"/>
  <c r="AL69" i="68"/>
  <c r="AM69" i="68"/>
  <c r="AN69" i="68"/>
  <c r="AP69" i="68"/>
  <c r="AQ69" i="68"/>
  <c r="AR69" i="68"/>
  <c r="AS69" i="68"/>
  <c r="AF70" i="68"/>
  <c r="AG70" i="68"/>
  <c r="AH70" i="68"/>
  <c r="AI70" i="68"/>
  <c r="AK70" i="68"/>
  <c r="AL70" i="68"/>
  <c r="AM70" i="68"/>
  <c r="AN70" i="68"/>
  <c r="AP70" i="68"/>
  <c r="AQ70" i="68"/>
  <c r="AR70" i="68"/>
  <c r="AS70" i="68"/>
  <c r="AF71" i="68"/>
  <c r="AG71" i="68"/>
  <c r="AH71" i="68"/>
  <c r="AI71" i="68"/>
  <c r="AK71" i="68"/>
  <c r="AL71" i="68"/>
  <c r="AM71" i="68"/>
  <c r="AN71" i="68"/>
  <c r="AP71" i="68"/>
  <c r="AR71" i="68"/>
  <c r="AS71" i="68"/>
  <c r="AF72" i="68"/>
  <c r="AG72" i="68"/>
  <c r="AH72" i="68"/>
  <c r="AI72" i="68"/>
  <c r="AK72" i="68"/>
  <c r="AL72" i="68"/>
  <c r="AM72" i="68"/>
  <c r="AN72" i="68"/>
  <c r="AP72" i="68"/>
  <c r="AQ72" i="68"/>
  <c r="AR72" i="68"/>
  <c r="AS72" i="68"/>
  <c r="AF73" i="68"/>
  <c r="AG73" i="68"/>
  <c r="AH73" i="68"/>
  <c r="AI73" i="68"/>
  <c r="AK73" i="68"/>
  <c r="AL73" i="68"/>
  <c r="AM73" i="68"/>
  <c r="AN73" i="68"/>
  <c r="AP73" i="68"/>
  <c r="AQ73" i="68"/>
  <c r="AR73" i="68"/>
  <c r="AS73" i="68"/>
  <c r="AF4" i="69"/>
  <c r="AG4" i="69"/>
  <c r="AH4" i="69"/>
  <c r="AI4" i="69"/>
  <c r="AK4" i="69"/>
  <c r="AL4" i="69"/>
  <c r="AM4" i="69"/>
  <c r="AN4" i="69"/>
  <c r="AP4" i="69"/>
  <c r="AQ4" i="69"/>
  <c r="AR4" i="69"/>
  <c r="AS4" i="69"/>
  <c r="AF5" i="69"/>
  <c r="AG5" i="69"/>
  <c r="AH5" i="69"/>
  <c r="AI5" i="69"/>
  <c r="AK5" i="69"/>
  <c r="AL5" i="69"/>
  <c r="AM5" i="69"/>
  <c r="AN5" i="69"/>
  <c r="AP5" i="69"/>
  <c r="AQ5" i="69"/>
  <c r="AR5" i="69"/>
  <c r="AS5" i="69"/>
  <c r="AF6" i="69"/>
  <c r="AG6" i="69"/>
  <c r="AH6" i="69"/>
  <c r="AI6" i="69"/>
  <c r="AK6" i="69"/>
  <c r="AL6" i="69"/>
  <c r="AM6" i="69"/>
  <c r="AN6" i="69"/>
  <c r="AP6" i="69"/>
  <c r="AQ6" i="69"/>
  <c r="AR6" i="69"/>
  <c r="AS6" i="69"/>
  <c r="AF7" i="69"/>
  <c r="AG7" i="69"/>
  <c r="AH7" i="69"/>
  <c r="AI7" i="69"/>
  <c r="AK7" i="69"/>
  <c r="AL7" i="69"/>
  <c r="AM7" i="69"/>
  <c r="AN7" i="69"/>
  <c r="AP7" i="69"/>
  <c r="AQ7" i="69"/>
  <c r="AR7" i="69"/>
  <c r="AS7" i="69"/>
  <c r="AF9" i="69"/>
  <c r="AG9" i="69"/>
  <c r="AH9" i="69"/>
  <c r="AI9" i="69"/>
  <c r="AK9" i="69"/>
  <c r="AL9" i="69"/>
  <c r="AM9" i="69"/>
  <c r="AN9" i="69"/>
  <c r="AP9" i="69"/>
  <c r="AQ9" i="69"/>
  <c r="AR9" i="69"/>
  <c r="AS9" i="69"/>
  <c r="AF10" i="69"/>
  <c r="AG10" i="69"/>
  <c r="AH10" i="69"/>
  <c r="AI10" i="69"/>
  <c r="AK10" i="69"/>
  <c r="AL10" i="69"/>
  <c r="AM10" i="69"/>
  <c r="AN10" i="69"/>
  <c r="AP10" i="69"/>
  <c r="AQ10" i="69"/>
  <c r="AR10" i="69"/>
  <c r="AS10" i="69"/>
  <c r="AF11" i="69"/>
  <c r="AG11" i="69"/>
  <c r="AH11" i="69"/>
  <c r="AI11" i="69"/>
  <c r="AK11" i="69"/>
  <c r="AL11" i="69"/>
  <c r="AM11" i="69"/>
  <c r="AN11" i="69"/>
  <c r="AP11" i="69"/>
  <c r="AQ11" i="69"/>
  <c r="AR11" i="69"/>
  <c r="AS11" i="69"/>
  <c r="AF12" i="69"/>
  <c r="AG12" i="69"/>
  <c r="AH12" i="69"/>
  <c r="AI12" i="69"/>
  <c r="AK12" i="69"/>
  <c r="AL12" i="69"/>
  <c r="AM12" i="69"/>
  <c r="AN12" i="69"/>
  <c r="AP12" i="69"/>
  <c r="AQ12" i="69"/>
  <c r="AR12" i="69"/>
  <c r="AS12" i="69"/>
  <c r="AF13" i="69"/>
  <c r="AG13" i="69"/>
  <c r="AH13" i="69"/>
  <c r="AI13" i="69"/>
  <c r="AK13" i="69"/>
  <c r="AL13" i="69"/>
  <c r="AM13" i="69"/>
  <c r="AN13" i="69"/>
  <c r="AP13" i="69"/>
  <c r="AQ13" i="69"/>
  <c r="AR13" i="69"/>
  <c r="AS13" i="69"/>
  <c r="AF15" i="69"/>
  <c r="AG15" i="69"/>
  <c r="AH15" i="69"/>
  <c r="AI15" i="69"/>
  <c r="AK15" i="69"/>
  <c r="AL15" i="69"/>
  <c r="AM15" i="69"/>
  <c r="AN15" i="69"/>
  <c r="AP15" i="69"/>
  <c r="AQ15" i="69"/>
  <c r="AR15" i="69"/>
  <c r="AS15" i="69"/>
  <c r="AF16" i="69"/>
  <c r="AG16" i="69"/>
  <c r="AH16" i="69"/>
  <c r="AI16" i="69"/>
  <c r="AK16" i="69"/>
  <c r="AL16" i="69"/>
  <c r="AM16" i="69"/>
  <c r="AN16" i="69"/>
  <c r="AP16" i="69"/>
  <c r="AQ16" i="69"/>
  <c r="AR16" i="69"/>
  <c r="AS16" i="69"/>
  <c r="AF17" i="69"/>
  <c r="AG17" i="69"/>
  <c r="AH17" i="69"/>
  <c r="AI17" i="69"/>
  <c r="AK17" i="69"/>
  <c r="AL17" i="69"/>
  <c r="AM17" i="69"/>
  <c r="AN17" i="69"/>
  <c r="AP17" i="69"/>
  <c r="AQ17" i="69"/>
  <c r="AR17" i="69"/>
  <c r="AS17" i="69"/>
  <c r="AF18" i="69"/>
  <c r="AG18" i="69"/>
  <c r="AH18" i="69"/>
  <c r="AI18" i="69"/>
  <c r="AK18" i="69"/>
  <c r="AL18" i="69"/>
  <c r="AM18" i="69"/>
  <c r="AN18" i="69"/>
  <c r="AP18" i="69"/>
  <c r="AQ18" i="69"/>
  <c r="AR18" i="69"/>
  <c r="AS18" i="69"/>
  <c r="AF19" i="69"/>
  <c r="AG19" i="69"/>
  <c r="AH19" i="69"/>
  <c r="AI19" i="69"/>
  <c r="AK19" i="69"/>
  <c r="AL19" i="69"/>
  <c r="AM19" i="69"/>
  <c r="AN19" i="69"/>
  <c r="AP19" i="69"/>
  <c r="AQ19" i="69"/>
  <c r="AR19" i="69"/>
  <c r="AS19" i="69"/>
  <c r="AF21" i="69"/>
  <c r="AG21" i="69"/>
  <c r="AH21" i="69"/>
  <c r="AI21" i="69"/>
  <c r="AK21" i="69"/>
  <c r="AL21" i="69"/>
  <c r="AM21" i="69"/>
  <c r="AN21" i="69"/>
  <c r="AP21" i="69"/>
  <c r="AQ21" i="69"/>
  <c r="AR21" i="69"/>
  <c r="AS21" i="69"/>
  <c r="AF22" i="69"/>
  <c r="AG22" i="69"/>
  <c r="AH22" i="69"/>
  <c r="AI22" i="69"/>
  <c r="AK22" i="69"/>
  <c r="AL22" i="69"/>
  <c r="AM22" i="69"/>
  <c r="AN22" i="69"/>
  <c r="AP22" i="69"/>
  <c r="AQ22" i="69"/>
  <c r="AR22" i="69"/>
  <c r="AS22" i="69"/>
  <c r="AF23" i="69"/>
  <c r="AG23" i="69"/>
  <c r="AH23" i="69"/>
  <c r="AI23" i="69"/>
  <c r="AK23" i="69"/>
  <c r="AL23" i="69"/>
  <c r="AM23" i="69"/>
  <c r="AN23" i="69"/>
  <c r="AP23" i="69"/>
  <c r="AQ23" i="69"/>
  <c r="AR23" i="69"/>
  <c r="AS23" i="69"/>
  <c r="AF24" i="69"/>
  <c r="AG24" i="69"/>
  <c r="AH24" i="69"/>
  <c r="AI24" i="69"/>
  <c r="AK24" i="69"/>
  <c r="AL24" i="69"/>
  <c r="AM24" i="69"/>
  <c r="AN24" i="69"/>
  <c r="AP24" i="69"/>
  <c r="AQ24" i="69"/>
  <c r="AR24" i="69"/>
  <c r="AS24" i="69"/>
  <c r="AF25" i="69"/>
  <c r="AG25" i="69"/>
  <c r="AH25" i="69"/>
  <c r="AI25" i="69"/>
  <c r="AK25" i="69"/>
  <c r="AL25" i="69"/>
  <c r="AM25" i="69"/>
  <c r="AN25" i="69"/>
  <c r="AP25" i="69"/>
  <c r="AQ25" i="69"/>
  <c r="AR25" i="69"/>
  <c r="AS25" i="69"/>
  <c r="AF27" i="69"/>
  <c r="AG27" i="69"/>
  <c r="AH27" i="69"/>
  <c r="AI27" i="69"/>
  <c r="AK27" i="69"/>
  <c r="AL27" i="69"/>
  <c r="AM27" i="69"/>
  <c r="AN27" i="69"/>
  <c r="AP27" i="69"/>
  <c r="AQ27" i="69"/>
  <c r="AR27" i="69"/>
  <c r="AS27" i="69"/>
  <c r="AF28" i="69"/>
  <c r="AG28" i="69"/>
  <c r="AH28" i="69"/>
  <c r="AI28" i="69"/>
  <c r="AK28" i="69"/>
  <c r="AL28" i="69"/>
  <c r="AM28" i="69"/>
  <c r="AN28" i="69"/>
  <c r="AP28" i="69"/>
  <c r="AQ28" i="69"/>
  <c r="AR28" i="69"/>
  <c r="AS28" i="69"/>
  <c r="AF29" i="69"/>
  <c r="AG29" i="69"/>
  <c r="AH29" i="69"/>
  <c r="AI29" i="69"/>
  <c r="AK29" i="69"/>
  <c r="AL29" i="69"/>
  <c r="AM29" i="69"/>
  <c r="AN29" i="69"/>
  <c r="AP29" i="69"/>
  <c r="AQ29" i="69"/>
  <c r="AR29" i="69"/>
  <c r="AS29" i="69"/>
  <c r="AF30" i="69"/>
  <c r="AG30" i="69"/>
  <c r="AH30" i="69"/>
  <c r="AI30" i="69"/>
  <c r="AK30" i="69"/>
  <c r="AL30" i="69"/>
  <c r="AM30" i="69"/>
  <c r="AN30" i="69"/>
  <c r="AP30" i="69"/>
  <c r="AQ30" i="69"/>
  <c r="AR30" i="69"/>
  <c r="AS30" i="69"/>
  <c r="AF31" i="69"/>
  <c r="AG31" i="69"/>
  <c r="AH31" i="69"/>
  <c r="AI31" i="69"/>
  <c r="AK31" i="69"/>
  <c r="AL31" i="69"/>
  <c r="AM31" i="69"/>
  <c r="AN31" i="69"/>
  <c r="AP31" i="69"/>
  <c r="AQ31" i="69"/>
  <c r="AR31" i="69"/>
  <c r="AS31" i="69"/>
  <c r="AF33" i="69"/>
  <c r="AG33" i="69"/>
  <c r="AH33" i="69"/>
  <c r="AI33" i="69"/>
  <c r="AK33" i="69"/>
  <c r="AL33" i="69"/>
  <c r="AM33" i="69"/>
  <c r="AN33" i="69"/>
  <c r="AP33" i="69"/>
  <c r="AQ33" i="69"/>
  <c r="AR33" i="69"/>
  <c r="AS33" i="69"/>
  <c r="AF34" i="69"/>
  <c r="AG34" i="69"/>
  <c r="AH34" i="69"/>
  <c r="AI34" i="69"/>
  <c r="AK34" i="69"/>
  <c r="AL34" i="69"/>
  <c r="AM34" i="69"/>
  <c r="AN34" i="69"/>
  <c r="AP34" i="69"/>
  <c r="AQ34" i="69"/>
  <c r="AR34" i="69"/>
  <c r="AS34" i="69"/>
  <c r="AF35" i="69"/>
  <c r="AG35" i="69"/>
  <c r="AH35" i="69"/>
  <c r="AI35" i="69"/>
  <c r="AK35" i="69"/>
  <c r="AL35" i="69"/>
  <c r="AM35" i="69"/>
  <c r="AN35" i="69"/>
  <c r="AP35" i="69"/>
  <c r="AQ35" i="69"/>
  <c r="AR35" i="69"/>
  <c r="AS35" i="69"/>
  <c r="AF36" i="69"/>
  <c r="AG36" i="69"/>
  <c r="AH36" i="69"/>
  <c r="AI36" i="69"/>
  <c r="AK36" i="69"/>
  <c r="AL36" i="69"/>
  <c r="AM36" i="69"/>
  <c r="AN36" i="69"/>
  <c r="AP36" i="69"/>
  <c r="AQ36" i="69"/>
  <c r="AR36" i="69"/>
  <c r="AS36" i="69"/>
  <c r="AF37" i="69"/>
  <c r="AG37" i="69"/>
  <c r="AH37" i="69"/>
  <c r="AI37" i="69"/>
  <c r="AK37" i="69"/>
  <c r="AL37" i="69"/>
  <c r="AM37" i="69"/>
  <c r="AN37" i="69"/>
  <c r="AP37" i="69"/>
  <c r="AQ37" i="69"/>
  <c r="AR37" i="69"/>
  <c r="AS37" i="69"/>
  <c r="AF39" i="69"/>
  <c r="AG39" i="69"/>
  <c r="AH39" i="69"/>
  <c r="AI39" i="69"/>
  <c r="AK39" i="69"/>
  <c r="AL39" i="69"/>
  <c r="AM39" i="69"/>
  <c r="AN39" i="69"/>
  <c r="AP39" i="69"/>
  <c r="AQ39" i="69"/>
  <c r="AR39" i="69"/>
  <c r="AS39" i="69"/>
  <c r="AF40" i="69"/>
  <c r="AG40" i="69"/>
  <c r="AH40" i="69"/>
  <c r="AI40" i="69"/>
  <c r="AK40" i="69"/>
  <c r="AL40" i="69"/>
  <c r="AM40" i="69"/>
  <c r="AN40" i="69"/>
  <c r="AP40" i="69"/>
  <c r="AQ40" i="69"/>
  <c r="AR40" i="69"/>
  <c r="AS40" i="69"/>
  <c r="AF41" i="69"/>
  <c r="AG41" i="69"/>
  <c r="AH41" i="69"/>
  <c r="AI41" i="69"/>
  <c r="AK41" i="69"/>
  <c r="AL41" i="69"/>
  <c r="AM41" i="69"/>
  <c r="AN41" i="69"/>
  <c r="AP41" i="69"/>
  <c r="AQ41" i="69"/>
  <c r="AR41" i="69"/>
  <c r="AS41" i="69"/>
  <c r="AF42" i="69"/>
  <c r="AG42" i="69"/>
  <c r="AH42" i="69"/>
  <c r="AI42" i="69"/>
  <c r="AK42" i="69"/>
  <c r="AL42" i="69"/>
  <c r="AM42" i="69"/>
  <c r="AN42" i="69"/>
  <c r="AP42" i="69"/>
  <c r="AQ42" i="69"/>
  <c r="AR42" i="69"/>
  <c r="AS42" i="69"/>
  <c r="AF43" i="69"/>
  <c r="AG43" i="69"/>
  <c r="AH43" i="69"/>
  <c r="AI43" i="69"/>
  <c r="AK43" i="69"/>
  <c r="AL43" i="69"/>
  <c r="AM43" i="69"/>
  <c r="AN43" i="69"/>
  <c r="AP43" i="69"/>
  <c r="AQ43" i="69"/>
  <c r="AR43" i="69"/>
  <c r="AS43" i="69"/>
  <c r="AF45" i="69"/>
  <c r="AG45" i="69"/>
  <c r="AH45" i="69"/>
  <c r="AI45" i="69"/>
  <c r="AK45" i="69"/>
  <c r="AL45" i="69"/>
  <c r="AM45" i="69"/>
  <c r="AN45" i="69"/>
  <c r="AP45" i="69"/>
  <c r="AQ45" i="69"/>
  <c r="AR45" i="69"/>
  <c r="AS45" i="69"/>
  <c r="AF46" i="69"/>
  <c r="AG46" i="69"/>
  <c r="AH46" i="69"/>
  <c r="AI46" i="69"/>
  <c r="AK46" i="69"/>
  <c r="AL46" i="69"/>
  <c r="AM46" i="69"/>
  <c r="AN46" i="69"/>
  <c r="AP46" i="69"/>
  <c r="AQ46" i="69"/>
  <c r="AR46" i="69"/>
  <c r="AS46" i="69"/>
  <c r="AF47" i="69"/>
  <c r="AG47" i="69"/>
  <c r="AH47" i="69"/>
  <c r="AI47" i="69"/>
  <c r="AK47" i="69"/>
  <c r="AL47" i="69"/>
  <c r="AM47" i="69"/>
  <c r="AN47" i="69"/>
  <c r="AP47" i="69"/>
  <c r="AQ47" i="69"/>
  <c r="AR47" i="69"/>
  <c r="AS47" i="69"/>
  <c r="AF48" i="69"/>
  <c r="AG48" i="69"/>
  <c r="AH48" i="69"/>
  <c r="AI48" i="69"/>
  <c r="AK48" i="69"/>
  <c r="AL48" i="69"/>
  <c r="AM48" i="69"/>
  <c r="AN48" i="69"/>
  <c r="AP48" i="69"/>
  <c r="AQ48" i="69"/>
  <c r="AS48" i="69"/>
  <c r="AF49" i="69"/>
  <c r="AG49" i="69"/>
  <c r="AH49" i="69"/>
  <c r="AI49" i="69"/>
  <c r="AK49" i="69"/>
  <c r="AL49" i="69"/>
  <c r="AM49" i="69"/>
  <c r="AN49" i="69"/>
  <c r="AP49" i="69"/>
  <c r="AQ49" i="69"/>
  <c r="AR49" i="69"/>
  <c r="AS49" i="69"/>
  <c r="AF51" i="69"/>
  <c r="AG51" i="69"/>
  <c r="AH51" i="69"/>
  <c r="AI51" i="69"/>
  <c r="AK51" i="69"/>
  <c r="AL51" i="69"/>
  <c r="AM51" i="69"/>
  <c r="AN51" i="69"/>
  <c r="AP51" i="69"/>
  <c r="AQ51" i="69"/>
  <c r="AR51" i="69"/>
  <c r="AS51" i="69"/>
  <c r="AF52" i="69"/>
  <c r="AG52" i="69"/>
  <c r="AH52" i="69"/>
  <c r="AI52" i="69"/>
  <c r="AK52" i="69"/>
  <c r="AL52" i="69"/>
  <c r="AM52" i="69"/>
  <c r="AN52" i="69"/>
  <c r="AP52" i="69"/>
  <c r="AQ52" i="69"/>
  <c r="AR52" i="69"/>
  <c r="AS52" i="69"/>
  <c r="AF53" i="69"/>
  <c r="AG53" i="69"/>
  <c r="AH53" i="69"/>
  <c r="AI53" i="69"/>
  <c r="AK53" i="69"/>
  <c r="AL53" i="69"/>
  <c r="AM53" i="69"/>
  <c r="AN53" i="69"/>
  <c r="AP53" i="69"/>
  <c r="AQ53" i="69"/>
  <c r="AR53" i="69"/>
  <c r="AS53" i="69"/>
  <c r="AF54" i="69"/>
  <c r="AG54" i="69"/>
  <c r="AH54" i="69"/>
  <c r="AI54" i="69"/>
  <c r="AK54" i="69"/>
  <c r="AL54" i="69"/>
  <c r="AM54" i="69"/>
  <c r="AN54" i="69"/>
  <c r="AP54" i="69"/>
  <c r="AQ54" i="69"/>
  <c r="AR54" i="69"/>
  <c r="AS54" i="69"/>
  <c r="AF55" i="69"/>
  <c r="AG55" i="69"/>
  <c r="AH55" i="69"/>
  <c r="AI55" i="69"/>
  <c r="AK55" i="69"/>
  <c r="AL55" i="69"/>
  <c r="AM55" i="69"/>
  <c r="AN55" i="69"/>
  <c r="AP55" i="69"/>
  <c r="AQ55" i="69"/>
  <c r="AR55" i="69"/>
  <c r="AS55" i="69"/>
  <c r="AF57" i="69"/>
  <c r="AG57" i="69"/>
  <c r="AH57" i="69"/>
  <c r="AI57" i="69"/>
  <c r="AK57" i="69"/>
  <c r="AL57" i="69"/>
  <c r="AM57" i="69"/>
  <c r="AN57" i="69"/>
  <c r="AP57" i="69"/>
  <c r="AQ57" i="69"/>
  <c r="AR57" i="69"/>
  <c r="AS57" i="69"/>
  <c r="AF58" i="69"/>
  <c r="AG58" i="69"/>
  <c r="AH58" i="69"/>
  <c r="AI58" i="69"/>
  <c r="AK58" i="69"/>
  <c r="AL58" i="69"/>
  <c r="AM58" i="69"/>
  <c r="AN58" i="69"/>
  <c r="AP58" i="69"/>
  <c r="AQ58" i="69"/>
  <c r="AR58" i="69"/>
  <c r="AS58" i="69"/>
  <c r="AF59" i="69"/>
  <c r="AG59" i="69"/>
  <c r="AH59" i="69"/>
  <c r="AI59" i="69"/>
  <c r="AK59" i="69"/>
  <c r="AL59" i="69"/>
  <c r="AM59" i="69"/>
  <c r="AN59" i="69"/>
  <c r="AP59" i="69"/>
  <c r="AQ59" i="69"/>
  <c r="AS59" i="69"/>
  <c r="AF60" i="69"/>
  <c r="AG60" i="69"/>
  <c r="AH60" i="69"/>
  <c r="AI60" i="69"/>
  <c r="AK60" i="69"/>
  <c r="AL60" i="69"/>
  <c r="AM60" i="69"/>
  <c r="AN60" i="69"/>
  <c r="AP60" i="69"/>
  <c r="AQ60" i="69"/>
  <c r="AS60" i="69"/>
  <c r="AF61" i="69"/>
  <c r="AG61" i="69"/>
  <c r="AH61" i="69"/>
  <c r="AI61" i="69"/>
  <c r="AK61" i="69"/>
  <c r="AL61" i="69"/>
  <c r="AM61" i="69"/>
  <c r="AN61" i="69"/>
  <c r="AP61" i="69"/>
  <c r="AQ61" i="69"/>
  <c r="AR61" i="69"/>
  <c r="AS61" i="69"/>
  <c r="AF63" i="69"/>
  <c r="AG63" i="69"/>
  <c r="AH63" i="69"/>
  <c r="AI63" i="69"/>
  <c r="AK63" i="69"/>
  <c r="AL63" i="69"/>
  <c r="AM63" i="69"/>
  <c r="AN63" i="69"/>
  <c r="AP63" i="69"/>
  <c r="AQ63" i="69"/>
  <c r="AS63" i="69"/>
  <c r="AF64" i="69"/>
  <c r="AG64" i="69"/>
  <c r="AH64" i="69"/>
  <c r="AI64" i="69"/>
  <c r="AK64" i="69"/>
  <c r="AL64" i="69"/>
  <c r="AM64" i="69"/>
  <c r="AN64" i="69"/>
  <c r="AP64" i="69"/>
  <c r="AQ64" i="69"/>
  <c r="AR64" i="69"/>
  <c r="AS64" i="69"/>
  <c r="AF65" i="69"/>
  <c r="AG65" i="69"/>
  <c r="AH65" i="69"/>
  <c r="AI65" i="69"/>
  <c r="AK65" i="69"/>
  <c r="AL65" i="69"/>
  <c r="AM65" i="69"/>
  <c r="AN65" i="69"/>
  <c r="AP65" i="69"/>
  <c r="AQ65" i="69"/>
  <c r="AR65" i="69"/>
  <c r="AS65" i="69"/>
  <c r="AF66" i="69"/>
  <c r="AG66" i="69"/>
  <c r="AH66" i="69"/>
  <c r="AI66" i="69"/>
  <c r="AK66" i="69"/>
  <c r="AL66" i="69"/>
  <c r="AM66" i="69"/>
  <c r="AN66" i="69"/>
  <c r="AP66" i="69"/>
  <c r="AQ66" i="69"/>
  <c r="AR66" i="69"/>
  <c r="AS66" i="69"/>
  <c r="AF67" i="69"/>
  <c r="AG67" i="69"/>
  <c r="AH67" i="69"/>
  <c r="AI67" i="69"/>
  <c r="AK67" i="69"/>
  <c r="AL67" i="69"/>
  <c r="AM67" i="69"/>
  <c r="AN67" i="69"/>
  <c r="AP67" i="69"/>
  <c r="AQ67" i="69"/>
  <c r="AR67" i="69"/>
  <c r="AS67" i="69"/>
  <c r="AF69" i="69"/>
  <c r="AG69" i="69"/>
  <c r="AH69" i="69"/>
  <c r="AI69" i="69"/>
  <c r="AK69" i="69"/>
  <c r="AL69" i="69"/>
  <c r="AM69" i="69"/>
  <c r="AN69" i="69"/>
  <c r="AP69" i="69"/>
  <c r="AQ69" i="69"/>
  <c r="AR69" i="69"/>
  <c r="AS69" i="69"/>
  <c r="AF70" i="69"/>
  <c r="AG70" i="69"/>
  <c r="AH70" i="69"/>
  <c r="AI70" i="69"/>
  <c r="AK70" i="69"/>
  <c r="AL70" i="69"/>
  <c r="AM70" i="69"/>
  <c r="AN70" i="69"/>
  <c r="AP70" i="69"/>
  <c r="AQ70" i="69"/>
  <c r="AR70" i="69"/>
  <c r="AS70" i="69"/>
  <c r="AF71" i="69"/>
  <c r="AG71" i="69"/>
  <c r="AH71" i="69"/>
  <c r="AI71" i="69"/>
  <c r="AK71" i="69"/>
  <c r="AL71" i="69"/>
  <c r="AM71" i="69"/>
  <c r="AN71" i="69"/>
  <c r="AP71" i="69"/>
  <c r="AQ71" i="69"/>
  <c r="AR71" i="69"/>
  <c r="AS71" i="69"/>
  <c r="AF72" i="69"/>
  <c r="AG72" i="69"/>
  <c r="AH72" i="69"/>
  <c r="AI72" i="69"/>
  <c r="AK72" i="69"/>
  <c r="AL72" i="69"/>
  <c r="AM72" i="69"/>
  <c r="AN72" i="69"/>
  <c r="AP72" i="69"/>
  <c r="AQ72" i="69"/>
  <c r="AS72" i="69"/>
  <c r="AF73" i="69"/>
  <c r="AG73" i="69"/>
  <c r="AH73" i="69"/>
  <c r="AI73" i="69"/>
  <c r="AK73" i="69"/>
  <c r="AL73" i="69"/>
  <c r="AM73" i="69"/>
  <c r="AN73" i="69"/>
  <c r="AP73" i="69"/>
  <c r="AQ73" i="69"/>
  <c r="AR73" i="69"/>
  <c r="AS73" i="69"/>
  <c r="AF4" i="70"/>
  <c r="AG4" i="70"/>
  <c r="AH4" i="70"/>
  <c r="AI4" i="70"/>
  <c r="AK4" i="70"/>
  <c r="AL4" i="70"/>
  <c r="AM4" i="70"/>
  <c r="AN4" i="70"/>
  <c r="AP4" i="70"/>
  <c r="AQ4" i="70"/>
  <c r="AR4" i="70"/>
  <c r="AS4" i="70"/>
  <c r="AF5" i="70"/>
  <c r="AG5" i="70"/>
  <c r="AH5" i="70"/>
  <c r="AI5" i="70"/>
  <c r="AK5" i="70"/>
  <c r="AL5" i="70"/>
  <c r="AM5" i="70"/>
  <c r="AN5" i="70"/>
  <c r="AP5" i="70"/>
  <c r="AQ5" i="70"/>
  <c r="AR5" i="70"/>
  <c r="AS5" i="70"/>
  <c r="AF6" i="70"/>
  <c r="AG6" i="70"/>
  <c r="AH6" i="70"/>
  <c r="AI6" i="70"/>
  <c r="AK6" i="70"/>
  <c r="AL6" i="70"/>
  <c r="AM6" i="70"/>
  <c r="AN6" i="70"/>
  <c r="AP6" i="70"/>
  <c r="AQ6" i="70"/>
  <c r="AR6" i="70"/>
  <c r="AS6" i="70"/>
  <c r="AF7" i="70"/>
  <c r="AG7" i="70"/>
  <c r="AH7" i="70"/>
  <c r="AI7" i="70"/>
  <c r="AK7" i="70"/>
  <c r="AL7" i="70"/>
  <c r="AM7" i="70"/>
  <c r="AN7" i="70"/>
  <c r="AP7" i="70"/>
  <c r="AQ7" i="70"/>
  <c r="AR7" i="70"/>
  <c r="AS7" i="70"/>
  <c r="AF9" i="70"/>
  <c r="AG9" i="70"/>
  <c r="AH9" i="70"/>
  <c r="AI9" i="70"/>
  <c r="AK9" i="70"/>
  <c r="AL9" i="70"/>
  <c r="AM9" i="70"/>
  <c r="AN9" i="70"/>
  <c r="AP9" i="70"/>
  <c r="AQ9" i="70"/>
  <c r="AR9" i="70"/>
  <c r="AS9" i="70"/>
  <c r="AF10" i="70"/>
  <c r="AG10" i="70"/>
  <c r="AH10" i="70"/>
  <c r="AI10" i="70"/>
  <c r="AK10" i="70"/>
  <c r="AL10" i="70"/>
  <c r="AM10" i="70"/>
  <c r="AN10" i="70"/>
  <c r="AP10" i="70"/>
  <c r="AQ10" i="70"/>
  <c r="AR10" i="70"/>
  <c r="AS10" i="70"/>
  <c r="AF11" i="70"/>
  <c r="AG11" i="70"/>
  <c r="AH11" i="70"/>
  <c r="AI11" i="70"/>
  <c r="AK11" i="70"/>
  <c r="AL11" i="70"/>
  <c r="AM11" i="70"/>
  <c r="AN11" i="70"/>
  <c r="AP11" i="70"/>
  <c r="AQ11" i="70"/>
  <c r="AR11" i="70"/>
  <c r="AS11" i="70"/>
  <c r="AF12" i="70"/>
  <c r="AG12" i="70"/>
  <c r="AH12" i="70"/>
  <c r="AI12" i="70"/>
  <c r="AK12" i="70"/>
  <c r="AL12" i="70"/>
  <c r="AM12" i="70"/>
  <c r="AN12" i="70"/>
  <c r="AP12" i="70"/>
  <c r="AQ12" i="70"/>
  <c r="AR12" i="70"/>
  <c r="AS12" i="70"/>
  <c r="AF13" i="70"/>
  <c r="AG13" i="70"/>
  <c r="AH13" i="70"/>
  <c r="AI13" i="70"/>
  <c r="AK13" i="70"/>
  <c r="AL13" i="70"/>
  <c r="AM13" i="70"/>
  <c r="AN13" i="70"/>
  <c r="AP13" i="70"/>
  <c r="AQ13" i="70"/>
  <c r="AR13" i="70"/>
  <c r="AS13" i="70"/>
  <c r="AF15" i="70"/>
  <c r="AG15" i="70"/>
  <c r="AH15" i="70"/>
  <c r="AI15" i="70"/>
  <c r="AK15" i="70"/>
  <c r="AL15" i="70"/>
  <c r="AM15" i="70"/>
  <c r="AN15" i="70"/>
  <c r="AP15" i="70"/>
  <c r="AQ15" i="70"/>
  <c r="AR15" i="70"/>
  <c r="AS15" i="70"/>
  <c r="AF16" i="70"/>
  <c r="AG16" i="70"/>
  <c r="AH16" i="70"/>
  <c r="AI16" i="70"/>
  <c r="AK16" i="70"/>
  <c r="AL16" i="70"/>
  <c r="AM16" i="70"/>
  <c r="AN16" i="70"/>
  <c r="AP16" i="70"/>
  <c r="AQ16" i="70"/>
  <c r="AR16" i="70"/>
  <c r="AS16" i="70"/>
  <c r="AF17" i="70"/>
  <c r="AG17" i="70"/>
  <c r="AH17" i="70"/>
  <c r="AI17" i="70"/>
  <c r="AK17" i="70"/>
  <c r="AL17" i="70"/>
  <c r="AM17" i="70"/>
  <c r="AN17" i="70"/>
  <c r="AP17" i="70"/>
  <c r="AQ17" i="70"/>
  <c r="AR17" i="70"/>
  <c r="AS17" i="70"/>
  <c r="AF18" i="70"/>
  <c r="AG18" i="70"/>
  <c r="AH18" i="70"/>
  <c r="AI18" i="70"/>
  <c r="AK18" i="70"/>
  <c r="AL18" i="70"/>
  <c r="AM18" i="70"/>
  <c r="AN18" i="70"/>
  <c r="AP18" i="70"/>
  <c r="AQ18" i="70"/>
  <c r="AR18" i="70"/>
  <c r="AS18" i="70"/>
  <c r="AF19" i="70"/>
  <c r="AG19" i="70"/>
  <c r="AH19" i="70"/>
  <c r="AI19" i="70"/>
  <c r="AK19" i="70"/>
  <c r="AL19" i="70"/>
  <c r="AM19" i="70"/>
  <c r="AN19" i="70"/>
  <c r="AP19" i="70"/>
  <c r="AQ19" i="70"/>
  <c r="AR19" i="70"/>
  <c r="AS19" i="70"/>
  <c r="AF21" i="70"/>
  <c r="AG21" i="70"/>
  <c r="AH21" i="70"/>
  <c r="AI21" i="70"/>
  <c r="AK21" i="70"/>
  <c r="AL21" i="70"/>
  <c r="AM21" i="70"/>
  <c r="AN21" i="70"/>
  <c r="AP21" i="70"/>
  <c r="AQ21" i="70"/>
  <c r="AR21" i="70"/>
  <c r="AS21" i="70"/>
  <c r="AF22" i="70"/>
  <c r="AG22" i="70"/>
  <c r="AH22" i="70"/>
  <c r="AI22" i="70"/>
  <c r="AK22" i="70"/>
  <c r="AL22" i="70"/>
  <c r="AM22" i="70"/>
  <c r="AN22" i="70"/>
  <c r="AP22" i="70"/>
  <c r="AQ22" i="70"/>
  <c r="AR22" i="70"/>
  <c r="AS22" i="70"/>
  <c r="AF23" i="70"/>
  <c r="AG23" i="70"/>
  <c r="AH23" i="70"/>
  <c r="AI23" i="70"/>
  <c r="AK23" i="70"/>
  <c r="AL23" i="70"/>
  <c r="AM23" i="70"/>
  <c r="AN23" i="70"/>
  <c r="AP23" i="70"/>
  <c r="AQ23" i="70"/>
  <c r="AR23" i="70"/>
  <c r="AS23" i="70"/>
  <c r="AF24" i="70"/>
  <c r="AG24" i="70"/>
  <c r="AH24" i="70"/>
  <c r="AI24" i="70"/>
  <c r="AK24" i="70"/>
  <c r="AL24" i="70"/>
  <c r="AM24" i="70"/>
  <c r="AN24" i="70"/>
  <c r="AP24" i="70"/>
  <c r="AQ24" i="70"/>
  <c r="AR24" i="70"/>
  <c r="AS24" i="70"/>
  <c r="AF25" i="70"/>
  <c r="AG25" i="70"/>
  <c r="AH25" i="70"/>
  <c r="AI25" i="70"/>
  <c r="AK25" i="70"/>
  <c r="AL25" i="70"/>
  <c r="AM25" i="70"/>
  <c r="AN25" i="70"/>
  <c r="AP25" i="70"/>
  <c r="AQ25" i="70"/>
  <c r="AR25" i="70"/>
  <c r="AS25" i="70"/>
  <c r="AF27" i="70"/>
  <c r="AG27" i="70"/>
  <c r="AH27" i="70"/>
  <c r="AI27" i="70"/>
  <c r="AK27" i="70"/>
  <c r="AL27" i="70"/>
  <c r="AM27" i="70"/>
  <c r="AN27" i="70"/>
  <c r="AP27" i="70"/>
  <c r="AQ27" i="70"/>
  <c r="AR27" i="70"/>
  <c r="AS27" i="70"/>
  <c r="AF28" i="70"/>
  <c r="AG28" i="70"/>
  <c r="AH28" i="70"/>
  <c r="AI28" i="70"/>
  <c r="AK28" i="70"/>
  <c r="AL28" i="70"/>
  <c r="AM28" i="70"/>
  <c r="AN28" i="70"/>
  <c r="AP28" i="70"/>
  <c r="AQ28" i="70"/>
  <c r="AR28" i="70"/>
  <c r="AS28" i="70"/>
  <c r="AF29" i="70"/>
  <c r="AG29" i="70"/>
  <c r="AH29" i="70"/>
  <c r="AI29" i="70"/>
  <c r="AK29" i="70"/>
  <c r="AL29" i="70"/>
  <c r="AM29" i="70"/>
  <c r="AN29" i="70"/>
  <c r="AP29" i="70"/>
  <c r="AQ29" i="70"/>
  <c r="AR29" i="70"/>
  <c r="AS29" i="70"/>
  <c r="AF30" i="70"/>
  <c r="AG30" i="70"/>
  <c r="AH30" i="70"/>
  <c r="AI30" i="70"/>
  <c r="AK30" i="70"/>
  <c r="AL30" i="70"/>
  <c r="AM30" i="70"/>
  <c r="AN30" i="70"/>
  <c r="AP30" i="70"/>
  <c r="AQ30" i="70"/>
  <c r="AR30" i="70"/>
  <c r="AS30" i="70"/>
  <c r="AF31" i="70"/>
  <c r="AG31" i="70"/>
  <c r="AH31" i="70"/>
  <c r="AI31" i="70"/>
  <c r="AK31" i="70"/>
  <c r="AL31" i="70"/>
  <c r="AM31" i="70"/>
  <c r="AN31" i="70"/>
  <c r="AP31" i="70"/>
  <c r="AQ31" i="70"/>
  <c r="AR31" i="70"/>
  <c r="AS31" i="70"/>
  <c r="AF33" i="70"/>
  <c r="AG33" i="70"/>
  <c r="AH33" i="70"/>
  <c r="AI33" i="70"/>
  <c r="AK33" i="70"/>
  <c r="AL33" i="70"/>
  <c r="AM33" i="70"/>
  <c r="AN33" i="70"/>
  <c r="AP33" i="70"/>
  <c r="AQ33" i="70"/>
  <c r="AR33" i="70"/>
  <c r="AS33" i="70"/>
  <c r="AF34" i="70"/>
  <c r="AG34" i="70"/>
  <c r="AH34" i="70"/>
  <c r="AI34" i="70"/>
  <c r="AK34" i="70"/>
  <c r="AL34" i="70"/>
  <c r="AM34" i="70"/>
  <c r="AN34" i="70"/>
  <c r="AP34" i="70"/>
  <c r="AQ34" i="70"/>
  <c r="AR34" i="70"/>
  <c r="AS34" i="70"/>
  <c r="AF35" i="70"/>
  <c r="AG35" i="70"/>
  <c r="AH35" i="70"/>
  <c r="AI35" i="70"/>
  <c r="AK35" i="70"/>
  <c r="AL35" i="70"/>
  <c r="AM35" i="70"/>
  <c r="AN35" i="70"/>
  <c r="AP35" i="70"/>
  <c r="AQ35" i="70"/>
  <c r="AR35" i="70"/>
  <c r="AS35" i="70"/>
  <c r="AF36" i="70"/>
  <c r="AG36" i="70"/>
  <c r="AH36" i="70"/>
  <c r="AI36" i="70"/>
  <c r="AK36" i="70"/>
  <c r="AL36" i="70"/>
  <c r="AM36" i="70"/>
  <c r="AN36" i="70"/>
  <c r="AP36" i="70"/>
  <c r="AQ36" i="70"/>
  <c r="AR36" i="70"/>
  <c r="AS36" i="70"/>
  <c r="AF37" i="70"/>
  <c r="AG37" i="70"/>
  <c r="AH37" i="70"/>
  <c r="AI37" i="70"/>
  <c r="AK37" i="70"/>
  <c r="AL37" i="70"/>
  <c r="AM37" i="70"/>
  <c r="AN37" i="70"/>
  <c r="AP37" i="70"/>
  <c r="AQ37" i="70"/>
  <c r="AR37" i="70"/>
  <c r="AS37" i="70"/>
  <c r="AF39" i="70"/>
  <c r="AG39" i="70"/>
  <c r="AH39" i="70"/>
  <c r="AI39" i="70"/>
  <c r="AK39" i="70"/>
  <c r="AL39" i="70"/>
  <c r="AM39" i="70"/>
  <c r="AN39" i="70"/>
  <c r="AP39" i="70"/>
  <c r="AQ39" i="70"/>
  <c r="AR39" i="70"/>
  <c r="AS39" i="70"/>
  <c r="AF40" i="70"/>
  <c r="AG40" i="70"/>
  <c r="AH40" i="70"/>
  <c r="AI40" i="70"/>
  <c r="AK40" i="70"/>
  <c r="AL40" i="70"/>
  <c r="AM40" i="70"/>
  <c r="AN40" i="70"/>
  <c r="AP40" i="70"/>
  <c r="AQ40" i="70"/>
  <c r="AR40" i="70"/>
  <c r="AS40" i="70"/>
  <c r="AF41" i="70"/>
  <c r="AG41" i="70"/>
  <c r="AH41" i="70"/>
  <c r="AI41" i="70"/>
  <c r="AK41" i="70"/>
  <c r="AL41" i="70"/>
  <c r="AM41" i="70"/>
  <c r="AN41" i="70"/>
  <c r="AP41" i="70"/>
  <c r="AQ41" i="70"/>
  <c r="AR41" i="70"/>
  <c r="AS41" i="70"/>
  <c r="AF42" i="70"/>
  <c r="AG42" i="70"/>
  <c r="AH42" i="70"/>
  <c r="AI42" i="70"/>
  <c r="AK42" i="70"/>
  <c r="AL42" i="70"/>
  <c r="AM42" i="70"/>
  <c r="AN42" i="70"/>
  <c r="AP42" i="70"/>
  <c r="AQ42" i="70"/>
  <c r="AR42" i="70"/>
  <c r="AS42" i="70"/>
  <c r="AF43" i="70"/>
  <c r="AG43" i="70"/>
  <c r="AH43" i="70"/>
  <c r="AI43" i="70"/>
  <c r="AK43" i="70"/>
  <c r="AL43" i="70"/>
  <c r="AM43" i="70"/>
  <c r="AN43" i="70"/>
  <c r="AP43" i="70"/>
  <c r="AQ43" i="70"/>
  <c r="AR43" i="70"/>
  <c r="AS43" i="70"/>
  <c r="AF45" i="70"/>
  <c r="AG45" i="70"/>
  <c r="AH45" i="70"/>
  <c r="AI45" i="70"/>
  <c r="AK45" i="70"/>
  <c r="AL45" i="70"/>
  <c r="AM45" i="70"/>
  <c r="AN45" i="70"/>
  <c r="AP45" i="70"/>
  <c r="AQ45" i="70"/>
  <c r="AR45" i="70"/>
  <c r="AS45" i="70"/>
  <c r="AF46" i="70"/>
  <c r="AG46" i="70"/>
  <c r="AH46" i="70"/>
  <c r="AI46" i="70"/>
  <c r="AK46" i="70"/>
  <c r="AL46" i="70"/>
  <c r="AM46" i="70"/>
  <c r="AN46" i="70"/>
  <c r="AP46" i="70"/>
  <c r="AQ46" i="70"/>
  <c r="AR46" i="70"/>
  <c r="AS46" i="70"/>
  <c r="AF47" i="70"/>
  <c r="AG47" i="70"/>
  <c r="AH47" i="70"/>
  <c r="AI47" i="70"/>
  <c r="AK47" i="70"/>
  <c r="AL47" i="70"/>
  <c r="AM47" i="70"/>
  <c r="AN47" i="70"/>
  <c r="AP47" i="70"/>
  <c r="AQ47" i="70"/>
  <c r="AR47" i="70"/>
  <c r="AS47" i="70"/>
  <c r="AF48" i="70"/>
  <c r="AG48" i="70"/>
  <c r="AH48" i="70"/>
  <c r="AI48" i="70"/>
  <c r="AK48" i="70"/>
  <c r="AL48" i="70"/>
  <c r="AM48" i="70"/>
  <c r="AN48" i="70"/>
  <c r="AP48" i="70"/>
  <c r="AQ48" i="70"/>
  <c r="AR48" i="70"/>
  <c r="AS48" i="70"/>
  <c r="AF49" i="70"/>
  <c r="AG49" i="70"/>
  <c r="AH49" i="70"/>
  <c r="AI49" i="70"/>
  <c r="AK49" i="70"/>
  <c r="AL49" i="70"/>
  <c r="AM49" i="70"/>
  <c r="AN49" i="70"/>
  <c r="AP49" i="70"/>
  <c r="AQ49" i="70"/>
  <c r="AR49" i="70"/>
  <c r="AS49" i="70"/>
  <c r="AF51" i="70"/>
  <c r="AG51" i="70"/>
  <c r="AH51" i="70"/>
  <c r="AI51" i="70"/>
  <c r="AK51" i="70"/>
  <c r="AL51" i="70"/>
  <c r="AM51" i="70"/>
  <c r="AN51" i="70"/>
  <c r="AP51" i="70"/>
  <c r="AQ51" i="70"/>
  <c r="AR51" i="70"/>
  <c r="AS51" i="70"/>
  <c r="AF52" i="70"/>
  <c r="AG52" i="70"/>
  <c r="AH52" i="70"/>
  <c r="AI52" i="70"/>
  <c r="AK52" i="70"/>
  <c r="AL52" i="70"/>
  <c r="AM52" i="70"/>
  <c r="AN52" i="70"/>
  <c r="AP52" i="70"/>
  <c r="AQ52" i="70"/>
  <c r="AR52" i="70"/>
  <c r="AS52" i="70"/>
  <c r="AF53" i="70"/>
  <c r="AG53" i="70"/>
  <c r="AH53" i="70"/>
  <c r="AI53" i="70"/>
  <c r="AK53" i="70"/>
  <c r="AL53" i="70"/>
  <c r="AM53" i="70"/>
  <c r="AN53" i="70"/>
  <c r="AP53" i="70"/>
  <c r="AQ53" i="70"/>
  <c r="AR53" i="70"/>
  <c r="AS53" i="70"/>
  <c r="AF54" i="70"/>
  <c r="AG54" i="70"/>
  <c r="AH54" i="70"/>
  <c r="AI54" i="70"/>
  <c r="AK54" i="70"/>
  <c r="AL54" i="70"/>
  <c r="AM54" i="70"/>
  <c r="AN54" i="70"/>
  <c r="AP54" i="70"/>
  <c r="AQ54" i="70"/>
  <c r="AR54" i="70"/>
  <c r="AS54" i="70"/>
  <c r="AF55" i="70"/>
  <c r="AG55" i="70"/>
  <c r="AH55" i="70"/>
  <c r="AI55" i="70"/>
  <c r="AK55" i="70"/>
  <c r="AL55" i="70"/>
  <c r="AM55" i="70"/>
  <c r="AN55" i="70"/>
  <c r="AP55" i="70"/>
  <c r="AQ55" i="70"/>
  <c r="AR55" i="70"/>
  <c r="AS55" i="70"/>
  <c r="AF57" i="70"/>
  <c r="AG57" i="70"/>
  <c r="AH57" i="70"/>
  <c r="AI57" i="70"/>
  <c r="AK57" i="70"/>
  <c r="AL57" i="70"/>
  <c r="AM57" i="70"/>
  <c r="AN57" i="70"/>
  <c r="AP57" i="70"/>
  <c r="AQ57" i="70"/>
  <c r="AR57" i="70"/>
  <c r="AS57" i="70"/>
  <c r="AF58" i="70"/>
  <c r="AG58" i="70"/>
  <c r="AH58" i="70"/>
  <c r="AI58" i="70"/>
  <c r="AK58" i="70"/>
  <c r="AL58" i="70"/>
  <c r="AM58" i="70"/>
  <c r="AN58" i="70"/>
  <c r="AP58" i="70"/>
  <c r="AQ58" i="70"/>
  <c r="AR58" i="70"/>
  <c r="AS58" i="70"/>
  <c r="AF59" i="70"/>
  <c r="AG59" i="70"/>
  <c r="AH59" i="70"/>
  <c r="AI59" i="70"/>
  <c r="AK59" i="70"/>
  <c r="AL59" i="70"/>
  <c r="AM59" i="70"/>
  <c r="AN59" i="70"/>
  <c r="AP59" i="70"/>
  <c r="AQ59" i="70"/>
  <c r="AR59" i="70"/>
  <c r="AS59" i="70"/>
  <c r="AF60" i="70"/>
  <c r="AG60" i="70"/>
  <c r="AH60" i="70"/>
  <c r="AI60" i="70"/>
  <c r="AK60" i="70"/>
  <c r="AL60" i="70"/>
  <c r="AM60" i="70"/>
  <c r="AN60" i="70"/>
  <c r="AP60" i="70"/>
  <c r="AQ60" i="70"/>
  <c r="AR60" i="70"/>
  <c r="AS60" i="70"/>
  <c r="AF61" i="70"/>
  <c r="AG61" i="70"/>
  <c r="AH61" i="70"/>
  <c r="AI61" i="70"/>
  <c r="AK61" i="70"/>
  <c r="AL61" i="70"/>
  <c r="AM61" i="70"/>
  <c r="AN61" i="70"/>
  <c r="AP61" i="70"/>
  <c r="AQ61" i="70"/>
  <c r="AR61" i="70"/>
  <c r="AS61" i="70"/>
  <c r="AF63" i="70"/>
  <c r="AG63" i="70"/>
  <c r="AH63" i="70"/>
  <c r="AI63" i="70"/>
  <c r="AK63" i="70"/>
  <c r="AL63" i="70"/>
  <c r="AM63" i="70"/>
  <c r="AN63" i="70"/>
  <c r="AP63" i="70"/>
  <c r="AQ63" i="70"/>
  <c r="AR63" i="70"/>
  <c r="AS63" i="70"/>
  <c r="AF64" i="70"/>
  <c r="AG64" i="70"/>
  <c r="AH64" i="70"/>
  <c r="AI64" i="70"/>
  <c r="AK64" i="70"/>
  <c r="AL64" i="70"/>
  <c r="AM64" i="70"/>
  <c r="AN64" i="70"/>
  <c r="AP64" i="70"/>
  <c r="AQ64" i="70"/>
  <c r="AR64" i="70"/>
  <c r="AS64" i="70"/>
  <c r="AF65" i="70"/>
  <c r="AG65" i="70"/>
  <c r="AH65" i="70"/>
  <c r="AI65" i="70"/>
  <c r="AK65" i="70"/>
  <c r="AL65" i="70"/>
  <c r="AM65" i="70"/>
  <c r="AN65" i="70"/>
  <c r="AP65" i="70"/>
  <c r="AQ65" i="70"/>
  <c r="AR65" i="70"/>
  <c r="AS65" i="70"/>
  <c r="AF66" i="70"/>
  <c r="AG66" i="70"/>
  <c r="AH66" i="70"/>
  <c r="AI66" i="70"/>
  <c r="AK66" i="70"/>
  <c r="AL66" i="70"/>
  <c r="AM66" i="70"/>
  <c r="AN66" i="70"/>
  <c r="AP66" i="70"/>
  <c r="AQ66" i="70"/>
  <c r="AR66" i="70"/>
  <c r="AS66" i="70"/>
  <c r="AF67" i="70"/>
  <c r="AG67" i="70"/>
  <c r="AH67" i="70"/>
  <c r="AI67" i="70"/>
  <c r="AK67" i="70"/>
  <c r="AL67" i="70"/>
  <c r="AM67" i="70"/>
  <c r="AN67" i="70"/>
  <c r="AP67" i="70"/>
  <c r="AQ67" i="70"/>
  <c r="AR67" i="70"/>
  <c r="AS67" i="70"/>
  <c r="AF69" i="70"/>
  <c r="AG69" i="70"/>
  <c r="AH69" i="70"/>
  <c r="AI69" i="70"/>
  <c r="AK69" i="70"/>
  <c r="AL69" i="70"/>
  <c r="AM69" i="70"/>
  <c r="AN69" i="70"/>
  <c r="AP69" i="70"/>
  <c r="AQ69" i="70"/>
  <c r="AR69" i="70"/>
  <c r="AS69" i="70"/>
  <c r="AF70" i="70"/>
  <c r="AG70" i="70"/>
  <c r="AH70" i="70"/>
  <c r="AI70" i="70"/>
  <c r="AK70" i="70"/>
  <c r="AL70" i="70"/>
  <c r="AM70" i="70"/>
  <c r="AN70" i="70"/>
  <c r="AP70" i="70"/>
  <c r="AQ70" i="70"/>
  <c r="AR70" i="70"/>
  <c r="AS70" i="70"/>
  <c r="AF71" i="70"/>
  <c r="AG71" i="70"/>
  <c r="AH71" i="70"/>
  <c r="AI71" i="70"/>
  <c r="AK71" i="70"/>
  <c r="AL71" i="70"/>
  <c r="AM71" i="70"/>
  <c r="AN71" i="70"/>
  <c r="AP71" i="70"/>
  <c r="AQ71" i="70"/>
  <c r="AR71" i="70"/>
  <c r="AS71" i="70"/>
  <c r="AF72" i="70"/>
  <c r="AG72" i="70"/>
  <c r="AH72" i="70"/>
  <c r="AI72" i="70"/>
  <c r="AK72" i="70"/>
  <c r="AL72" i="70"/>
  <c r="AM72" i="70"/>
  <c r="AN72" i="70"/>
  <c r="AP72" i="70"/>
  <c r="AQ72" i="70"/>
  <c r="AR72" i="70"/>
  <c r="AS72" i="70"/>
  <c r="AF73" i="70"/>
  <c r="AG73" i="70"/>
  <c r="AH73" i="70"/>
  <c r="AI73" i="70"/>
  <c r="AK73" i="70"/>
  <c r="AL73" i="70"/>
  <c r="AM73" i="70"/>
  <c r="AN73" i="70"/>
  <c r="AP73" i="70"/>
  <c r="AQ73" i="70"/>
  <c r="AR73" i="70"/>
  <c r="AS73" i="70"/>
  <c r="AF4" i="71"/>
  <c r="AG4" i="71"/>
  <c r="AH4" i="71"/>
  <c r="AI4" i="71"/>
  <c r="AK4" i="71"/>
  <c r="AL4" i="71"/>
  <c r="AM4" i="71"/>
  <c r="AN4" i="71"/>
  <c r="AP4" i="71"/>
  <c r="AQ4" i="71"/>
  <c r="AR4" i="71"/>
  <c r="AS4" i="71"/>
  <c r="AF5" i="71"/>
  <c r="AG5" i="71"/>
  <c r="AH5" i="71"/>
  <c r="AI5" i="71"/>
  <c r="AK5" i="71"/>
  <c r="AL5" i="71"/>
  <c r="AM5" i="71"/>
  <c r="AN5" i="71"/>
  <c r="AP5" i="71"/>
  <c r="AQ5" i="71"/>
  <c r="AR5" i="71"/>
  <c r="AS5" i="71"/>
  <c r="AF6" i="71"/>
  <c r="AG6" i="71"/>
  <c r="AH6" i="71"/>
  <c r="AI6" i="71"/>
  <c r="AK6" i="71"/>
  <c r="AL6" i="71"/>
  <c r="AM6" i="71"/>
  <c r="AN6" i="71"/>
  <c r="AP6" i="71"/>
  <c r="AQ6" i="71"/>
  <c r="AR6" i="71"/>
  <c r="AS6" i="71"/>
  <c r="AF7" i="71"/>
  <c r="AG7" i="71"/>
  <c r="AH7" i="71"/>
  <c r="AI7" i="71"/>
  <c r="AK7" i="71"/>
  <c r="AL7" i="71"/>
  <c r="AM7" i="71"/>
  <c r="AN7" i="71"/>
  <c r="AP7" i="71"/>
  <c r="AQ7" i="71"/>
  <c r="AR7" i="71"/>
  <c r="AS7" i="71"/>
  <c r="AF9" i="71"/>
  <c r="AG9" i="71"/>
  <c r="AH9" i="71"/>
  <c r="AI9" i="71"/>
  <c r="AK9" i="71"/>
  <c r="AL9" i="71"/>
  <c r="AM9" i="71"/>
  <c r="AN9" i="71"/>
  <c r="AP9" i="71"/>
  <c r="AQ9" i="71"/>
  <c r="AR9" i="71"/>
  <c r="AS9" i="71"/>
  <c r="AF10" i="71"/>
  <c r="AG10" i="71"/>
  <c r="AH10" i="71"/>
  <c r="AI10" i="71"/>
  <c r="AK10" i="71"/>
  <c r="AL10" i="71"/>
  <c r="AM10" i="71"/>
  <c r="AN10" i="71"/>
  <c r="AP10" i="71"/>
  <c r="AQ10" i="71"/>
  <c r="AR10" i="71"/>
  <c r="AS10" i="71"/>
  <c r="AF11" i="71"/>
  <c r="AG11" i="71"/>
  <c r="AH11" i="71"/>
  <c r="AI11" i="71"/>
  <c r="AK11" i="71"/>
  <c r="AL11" i="71"/>
  <c r="AM11" i="71"/>
  <c r="AN11" i="71"/>
  <c r="AP11" i="71"/>
  <c r="AQ11" i="71"/>
  <c r="AR11" i="71"/>
  <c r="AS11" i="71"/>
  <c r="AF12" i="71"/>
  <c r="AG12" i="71"/>
  <c r="AH12" i="71"/>
  <c r="AI12" i="71"/>
  <c r="AK12" i="71"/>
  <c r="AL12" i="71"/>
  <c r="AM12" i="71"/>
  <c r="AN12" i="71"/>
  <c r="AP12" i="71"/>
  <c r="AQ12" i="71"/>
  <c r="AR12" i="71"/>
  <c r="AS12" i="71"/>
  <c r="AF13" i="71"/>
  <c r="AG13" i="71"/>
  <c r="AH13" i="71"/>
  <c r="AI13" i="71"/>
  <c r="AK13" i="71"/>
  <c r="AL13" i="71"/>
  <c r="AM13" i="71"/>
  <c r="AN13" i="71"/>
  <c r="AP13" i="71"/>
  <c r="AQ13" i="71"/>
  <c r="AR13" i="71"/>
  <c r="AS13" i="71"/>
  <c r="AF15" i="71"/>
  <c r="AG15" i="71"/>
  <c r="AH15" i="71"/>
  <c r="AI15" i="71"/>
  <c r="AK15" i="71"/>
  <c r="AL15" i="71"/>
  <c r="AM15" i="71"/>
  <c r="AN15" i="71"/>
  <c r="AP15" i="71"/>
  <c r="AQ15" i="71"/>
  <c r="AR15" i="71"/>
  <c r="AS15" i="71"/>
  <c r="AF16" i="71"/>
  <c r="AG16" i="71"/>
  <c r="AH16" i="71"/>
  <c r="AI16" i="71"/>
  <c r="AK16" i="71"/>
  <c r="AL16" i="71"/>
  <c r="AM16" i="71"/>
  <c r="AN16" i="71"/>
  <c r="AP16" i="71"/>
  <c r="AQ16" i="71"/>
  <c r="AR16" i="71"/>
  <c r="AS16" i="71"/>
  <c r="AF17" i="71"/>
  <c r="AG17" i="71"/>
  <c r="AH17" i="71"/>
  <c r="AI17" i="71"/>
  <c r="AK17" i="71"/>
  <c r="AL17" i="71"/>
  <c r="AM17" i="71"/>
  <c r="AN17" i="71"/>
  <c r="AP17" i="71"/>
  <c r="AQ17" i="71"/>
  <c r="AR17" i="71"/>
  <c r="AS17" i="71"/>
  <c r="AF18" i="71"/>
  <c r="AG18" i="71"/>
  <c r="AH18" i="71"/>
  <c r="AI18" i="71"/>
  <c r="AK18" i="71"/>
  <c r="AL18" i="71"/>
  <c r="AM18" i="71"/>
  <c r="AN18" i="71"/>
  <c r="AP18" i="71"/>
  <c r="AQ18" i="71"/>
  <c r="AR18" i="71"/>
  <c r="AS18" i="71"/>
  <c r="AF19" i="71"/>
  <c r="AG19" i="71"/>
  <c r="AH19" i="71"/>
  <c r="AI19" i="71"/>
  <c r="AK19" i="71"/>
  <c r="AL19" i="71"/>
  <c r="AM19" i="71"/>
  <c r="AN19" i="71"/>
  <c r="AP19" i="71"/>
  <c r="AQ19" i="71"/>
  <c r="AR19" i="71"/>
  <c r="AS19" i="71"/>
  <c r="AF21" i="71"/>
  <c r="AG21" i="71"/>
  <c r="AH21" i="71"/>
  <c r="AI21" i="71"/>
  <c r="AK21" i="71"/>
  <c r="AL21" i="71"/>
  <c r="AM21" i="71"/>
  <c r="AN21" i="71"/>
  <c r="AP21" i="71"/>
  <c r="AQ21" i="71"/>
  <c r="AR21" i="71"/>
  <c r="AS21" i="71"/>
  <c r="AF22" i="71"/>
  <c r="AG22" i="71"/>
  <c r="AH22" i="71"/>
  <c r="AI22" i="71"/>
  <c r="AK22" i="71"/>
  <c r="AL22" i="71"/>
  <c r="AM22" i="71"/>
  <c r="AN22" i="71"/>
  <c r="AP22" i="71"/>
  <c r="AQ22" i="71"/>
  <c r="AR22" i="71"/>
  <c r="AS22" i="71"/>
  <c r="AF23" i="71"/>
  <c r="AG23" i="71"/>
  <c r="AH23" i="71"/>
  <c r="AI23" i="71"/>
  <c r="AK23" i="71"/>
  <c r="AL23" i="71"/>
  <c r="AM23" i="71"/>
  <c r="AN23" i="71"/>
  <c r="AP23" i="71"/>
  <c r="AQ23" i="71"/>
  <c r="AR23" i="71"/>
  <c r="AS23" i="71"/>
  <c r="AF24" i="71"/>
  <c r="AG24" i="71"/>
  <c r="AH24" i="71"/>
  <c r="AI24" i="71"/>
  <c r="AK24" i="71"/>
  <c r="AL24" i="71"/>
  <c r="AM24" i="71"/>
  <c r="AN24" i="71"/>
  <c r="AP24" i="71"/>
  <c r="AQ24" i="71"/>
  <c r="AR24" i="71"/>
  <c r="AS24" i="71"/>
  <c r="AF25" i="71"/>
  <c r="AG25" i="71"/>
  <c r="AH25" i="71"/>
  <c r="AI25" i="71"/>
  <c r="AK25" i="71"/>
  <c r="AL25" i="71"/>
  <c r="AM25" i="71"/>
  <c r="AN25" i="71"/>
  <c r="AP25" i="71"/>
  <c r="AQ25" i="71"/>
  <c r="AR25" i="71"/>
  <c r="AS25" i="71"/>
  <c r="AF27" i="71"/>
  <c r="AG27" i="71"/>
  <c r="AH27" i="71"/>
  <c r="AI27" i="71"/>
  <c r="AK27" i="71"/>
  <c r="AL27" i="71"/>
  <c r="AM27" i="71"/>
  <c r="AN27" i="71"/>
  <c r="AP27" i="71"/>
  <c r="AQ27" i="71"/>
  <c r="AR27" i="71"/>
  <c r="AS27" i="71"/>
  <c r="AF28" i="71"/>
  <c r="AG28" i="71"/>
  <c r="AH28" i="71"/>
  <c r="AI28" i="71"/>
  <c r="AK28" i="71"/>
  <c r="AL28" i="71"/>
  <c r="AM28" i="71"/>
  <c r="AN28" i="71"/>
  <c r="AP28" i="71"/>
  <c r="AQ28" i="71"/>
  <c r="AR28" i="71"/>
  <c r="AS28" i="71"/>
  <c r="AF29" i="71"/>
  <c r="AG29" i="71"/>
  <c r="AH29" i="71"/>
  <c r="AI29" i="71"/>
  <c r="AK29" i="71"/>
  <c r="AL29" i="71"/>
  <c r="AM29" i="71"/>
  <c r="AN29" i="71"/>
  <c r="AP29" i="71"/>
  <c r="AQ29" i="71"/>
  <c r="AR29" i="71"/>
  <c r="AS29" i="71"/>
  <c r="AF30" i="71"/>
  <c r="AG30" i="71"/>
  <c r="AH30" i="71"/>
  <c r="AI30" i="71"/>
  <c r="AK30" i="71"/>
  <c r="AL30" i="71"/>
  <c r="AM30" i="71"/>
  <c r="AN30" i="71"/>
  <c r="AP30" i="71"/>
  <c r="AQ30" i="71"/>
  <c r="AR30" i="71"/>
  <c r="AS30" i="71"/>
  <c r="AF31" i="71"/>
  <c r="AG31" i="71"/>
  <c r="AH31" i="71"/>
  <c r="AI31" i="71"/>
  <c r="AK31" i="71"/>
  <c r="AL31" i="71"/>
  <c r="AM31" i="71"/>
  <c r="AN31" i="71"/>
  <c r="AP31" i="71"/>
  <c r="AQ31" i="71"/>
  <c r="AR31" i="71"/>
  <c r="AS31" i="71"/>
  <c r="AF33" i="71"/>
  <c r="AG33" i="71"/>
  <c r="AH33" i="71"/>
  <c r="AI33" i="71"/>
  <c r="AK33" i="71"/>
  <c r="AL33" i="71"/>
  <c r="AM33" i="71"/>
  <c r="AN33" i="71"/>
  <c r="AP33" i="71"/>
  <c r="AQ33" i="71"/>
  <c r="AR33" i="71"/>
  <c r="AS33" i="71"/>
  <c r="AF34" i="71"/>
  <c r="AG34" i="71"/>
  <c r="AH34" i="71"/>
  <c r="AI34" i="71"/>
  <c r="AK34" i="71"/>
  <c r="AL34" i="71"/>
  <c r="AM34" i="71"/>
  <c r="AN34" i="71"/>
  <c r="AP34" i="71"/>
  <c r="AQ34" i="71"/>
  <c r="AR34" i="71"/>
  <c r="AS34" i="71"/>
  <c r="AF35" i="71"/>
  <c r="AG35" i="71"/>
  <c r="AH35" i="71"/>
  <c r="AI35" i="71"/>
  <c r="AK35" i="71"/>
  <c r="AL35" i="71"/>
  <c r="AM35" i="71"/>
  <c r="AN35" i="71"/>
  <c r="AP35" i="71"/>
  <c r="AQ35" i="71"/>
  <c r="AR35" i="71"/>
  <c r="AS35" i="71"/>
  <c r="AF36" i="71"/>
  <c r="AG36" i="71"/>
  <c r="AH36" i="71"/>
  <c r="AI36" i="71"/>
  <c r="AK36" i="71"/>
  <c r="AL36" i="71"/>
  <c r="AM36" i="71"/>
  <c r="AN36" i="71"/>
  <c r="AP36" i="71"/>
  <c r="AQ36" i="71"/>
  <c r="AR36" i="71"/>
  <c r="AS36" i="71"/>
  <c r="AF37" i="71"/>
  <c r="AG37" i="71"/>
  <c r="AH37" i="71"/>
  <c r="AI37" i="71"/>
  <c r="AK37" i="71"/>
  <c r="AL37" i="71"/>
  <c r="AM37" i="71"/>
  <c r="AN37" i="71"/>
  <c r="AP37" i="71"/>
  <c r="AQ37" i="71"/>
  <c r="AR37" i="71"/>
  <c r="AS37" i="71"/>
  <c r="AF39" i="71"/>
  <c r="AG39" i="71"/>
  <c r="AH39" i="71"/>
  <c r="AI39" i="71"/>
  <c r="AK39" i="71"/>
  <c r="AL39" i="71"/>
  <c r="AM39" i="71"/>
  <c r="AN39" i="71"/>
  <c r="AP39" i="71"/>
  <c r="AQ39" i="71"/>
  <c r="AR39" i="71"/>
  <c r="AS39" i="71"/>
  <c r="AF40" i="71"/>
  <c r="AG40" i="71"/>
  <c r="AH40" i="71"/>
  <c r="AI40" i="71"/>
  <c r="AK40" i="71"/>
  <c r="AL40" i="71"/>
  <c r="AM40" i="71"/>
  <c r="AN40" i="71"/>
  <c r="AP40" i="71"/>
  <c r="AQ40" i="71"/>
  <c r="AR40" i="71"/>
  <c r="AS40" i="71"/>
  <c r="AF41" i="71"/>
  <c r="AG41" i="71"/>
  <c r="AH41" i="71"/>
  <c r="AI41" i="71"/>
  <c r="AK41" i="71"/>
  <c r="AL41" i="71"/>
  <c r="AM41" i="71"/>
  <c r="AN41" i="71"/>
  <c r="AP41" i="71"/>
  <c r="AQ41" i="71"/>
  <c r="AR41" i="71"/>
  <c r="AS41" i="71"/>
  <c r="AF42" i="71"/>
  <c r="AG42" i="71"/>
  <c r="AH42" i="71"/>
  <c r="AI42" i="71"/>
  <c r="AK42" i="71"/>
  <c r="AL42" i="71"/>
  <c r="AM42" i="71"/>
  <c r="AN42" i="71"/>
  <c r="AP42" i="71"/>
  <c r="AQ42" i="71"/>
  <c r="AR42" i="71"/>
  <c r="AS42" i="71"/>
  <c r="AF43" i="71"/>
  <c r="AG43" i="71"/>
  <c r="AH43" i="71"/>
  <c r="AI43" i="71"/>
  <c r="AK43" i="71"/>
  <c r="AL43" i="71"/>
  <c r="AM43" i="71"/>
  <c r="AN43" i="71"/>
  <c r="AP43" i="71"/>
  <c r="AQ43" i="71"/>
  <c r="AR43" i="71"/>
  <c r="AS43" i="71"/>
  <c r="AF45" i="71"/>
  <c r="AG45" i="71"/>
  <c r="AH45" i="71"/>
  <c r="AI45" i="71"/>
  <c r="AK45" i="71"/>
  <c r="AL45" i="71"/>
  <c r="AM45" i="71"/>
  <c r="AN45" i="71"/>
  <c r="AP45" i="71"/>
  <c r="AQ45" i="71"/>
  <c r="AR45" i="71"/>
  <c r="AS45" i="71"/>
  <c r="AF46" i="71"/>
  <c r="AG46" i="71"/>
  <c r="AH46" i="71"/>
  <c r="AI46" i="71"/>
  <c r="AK46" i="71"/>
  <c r="AL46" i="71"/>
  <c r="AM46" i="71"/>
  <c r="AN46" i="71"/>
  <c r="AP46" i="71"/>
  <c r="AQ46" i="71"/>
  <c r="AR46" i="71"/>
  <c r="AS46" i="71"/>
  <c r="AF47" i="71"/>
  <c r="AG47" i="71"/>
  <c r="AH47" i="71"/>
  <c r="AI47" i="71"/>
  <c r="AK47" i="71"/>
  <c r="AL47" i="71"/>
  <c r="AM47" i="71"/>
  <c r="AN47" i="71"/>
  <c r="AP47" i="71"/>
  <c r="AQ47" i="71"/>
  <c r="AR47" i="71"/>
  <c r="AS47" i="71"/>
  <c r="AF48" i="71"/>
  <c r="AG48" i="71"/>
  <c r="AH48" i="71"/>
  <c r="AI48" i="71"/>
  <c r="AK48" i="71"/>
  <c r="AL48" i="71"/>
  <c r="AM48" i="71"/>
  <c r="AN48" i="71"/>
  <c r="AP48" i="71"/>
  <c r="AQ48" i="71"/>
  <c r="AR48" i="71"/>
  <c r="AS48" i="71"/>
  <c r="AF49" i="71"/>
  <c r="AG49" i="71"/>
  <c r="AH49" i="71"/>
  <c r="AI49" i="71"/>
  <c r="AK49" i="71"/>
  <c r="AL49" i="71"/>
  <c r="AM49" i="71"/>
  <c r="AN49" i="71"/>
  <c r="AP49" i="71"/>
  <c r="AQ49" i="71"/>
  <c r="AR49" i="71"/>
  <c r="AS49" i="71"/>
  <c r="AF51" i="71"/>
  <c r="AG51" i="71"/>
  <c r="AH51" i="71"/>
  <c r="AI51" i="71"/>
  <c r="AK51" i="71"/>
  <c r="AL51" i="71"/>
  <c r="AM51" i="71"/>
  <c r="AN51" i="71"/>
  <c r="AP51" i="71"/>
  <c r="AQ51" i="71"/>
  <c r="AR51" i="71"/>
  <c r="AS51" i="71"/>
  <c r="AF52" i="71"/>
  <c r="AG52" i="71"/>
  <c r="AH52" i="71"/>
  <c r="AI52" i="71"/>
  <c r="AK52" i="71"/>
  <c r="AL52" i="71"/>
  <c r="AM52" i="71"/>
  <c r="AN52" i="71"/>
  <c r="AP52" i="71"/>
  <c r="AQ52" i="71"/>
  <c r="AR52" i="71"/>
  <c r="AS52" i="71"/>
  <c r="AF53" i="71"/>
  <c r="AG53" i="71"/>
  <c r="AH53" i="71"/>
  <c r="AI53" i="71"/>
  <c r="AK53" i="71"/>
  <c r="AL53" i="71"/>
  <c r="AM53" i="71"/>
  <c r="AN53" i="71"/>
  <c r="AP53" i="71"/>
  <c r="AQ53" i="71"/>
  <c r="AR53" i="71"/>
  <c r="AS53" i="71"/>
  <c r="AF54" i="71"/>
  <c r="AG54" i="71"/>
  <c r="AH54" i="71"/>
  <c r="AI54" i="71"/>
  <c r="AK54" i="71"/>
  <c r="AL54" i="71"/>
  <c r="AM54" i="71"/>
  <c r="AN54" i="71"/>
  <c r="AP54" i="71"/>
  <c r="AQ54" i="71"/>
  <c r="AR54" i="71"/>
  <c r="AS54" i="71"/>
  <c r="AF55" i="71"/>
  <c r="AG55" i="71"/>
  <c r="AH55" i="71"/>
  <c r="AI55" i="71"/>
  <c r="AK55" i="71"/>
  <c r="AL55" i="71"/>
  <c r="AM55" i="71"/>
  <c r="AN55" i="71"/>
  <c r="AP55" i="71"/>
  <c r="AQ55" i="71"/>
  <c r="AR55" i="71"/>
  <c r="AS55" i="71"/>
  <c r="AF57" i="71"/>
  <c r="AG57" i="71"/>
  <c r="AH57" i="71"/>
  <c r="AI57" i="71"/>
  <c r="AK57" i="71"/>
  <c r="AL57" i="71"/>
  <c r="AM57" i="71"/>
  <c r="AN57" i="71"/>
  <c r="AP57" i="71"/>
  <c r="AQ57" i="71"/>
  <c r="AR57" i="71"/>
  <c r="AS57" i="71"/>
  <c r="AF58" i="71"/>
  <c r="AG58" i="71"/>
  <c r="AH58" i="71"/>
  <c r="AI58" i="71"/>
  <c r="AK58" i="71"/>
  <c r="AL58" i="71"/>
  <c r="AM58" i="71"/>
  <c r="AN58" i="71"/>
  <c r="AP58" i="71"/>
  <c r="AQ58" i="71"/>
  <c r="AR58" i="71"/>
  <c r="AS58" i="71"/>
  <c r="AF59" i="71"/>
  <c r="AG59" i="71"/>
  <c r="AH59" i="71"/>
  <c r="AI59" i="71"/>
  <c r="AK59" i="71"/>
  <c r="AL59" i="71"/>
  <c r="AM59" i="71"/>
  <c r="AN59" i="71"/>
  <c r="AP59" i="71"/>
  <c r="AQ59" i="71"/>
  <c r="AR59" i="71"/>
  <c r="AS59" i="71"/>
  <c r="AF60" i="71"/>
  <c r="AG60" i="71"/>
  <c r="AH60" i="71"/>
  <c r="AI60" i="71"/>
  <c r="AK60" i="71"/>
  <c r="AL60" i="71"/>
  <c r="AM60" i="71"/>
  <c r="AN60" i="71"/>
  <c r="AP60" i="71"/>
  <c r="AQ60" i="71"/>
  <c r="AR60" i="71"/>
  <c r="AS60" i="71"/>
  <c r="AF61" i="71"/>
  <c r="AG61" i="71"/>
  <c r="AH61" i="71"/>
  <c r="AI61" i="71"/>
  <c r="AK61" i="71"/>
  <c r="AL61" i="71"/>
  <c r="AM61" i="71"/>
  <c r="AN61" i="71"/>
  <c r="AP61" i="71"/>
  <c r="AQ61" i="71"/>
  <c r="AR61" i="71"/>
  <c r="AS61" i="71"/>
  <c r="AF63" i="71"/>
  <c r="AG63" i="71"/>
  <c r="AH63" i="71"/>
  <c r="AI63" i="71"/>
  <c r="AK63" i="71"/>
  <c r="AL63" i="71"/>
  <c r="AM63" i="71"/>
  <c r="AN63" i="71"/>
  <c r="AP63" i="71"/>
  <c r="AQ63" i="71"/>
  <c r="AR63" i="71"/>
  <c r="AS63" i="71"/>
  <c r="AF64" i="71"/>
  <c r="AG64" i="71"/>
  <c r="AH64" i="71"/>
  <c r="AI64" i="71"/>
  <c r="AK64" i="71"/>
  <c r="AL64" i="71"/>
  <c r="AM64" i="71"/>
  <c r="AN64" i="71"/>
  <c r="AP64" i="71"/>
  <c r="AQ64" i="71"/>
  <c r="AR64" i="71"/>
  <c r="AS64" i="71"/>
  <c r="AF65" i="71"/>
  <c r="AG65" i="71"/>
  <c r="AH65" i="71"/>
  <c r="AI65" i="71"/>
  <c r="AK65" i="71"/>
  <c r="AL65" i="71"/>
  <c r="AM65" i="71"/>
  <c r="AN65" i="71"/>
  <c r="AP65" i="71"/>
  <c r="AQ65" i="71"/>
  <c r="AR65" i="71"/>
  <c r="AS65" i="71"/>
  <c r="AF66" i="71"/>
  <c r="AG66" i="71"/>
  <c r="AH66" i="71"/>
  <c r="AI66" i="71"/>
  <c r="AK66" i="71"/>
  <c r="AL66" i="71"/>
  <c r="AM66" i="71"/>
  <c r="AN66" i="71"/>
  <c r="AP66" i="71"/>
  <c r="AQ66" i="71"/>
  <c r="AR66" i="71"/>
  <c r="AS66" i="71"/>
  <c r="AF67" i="71"/>
  <c r="AG67" i="71"/>
  <c r="AH67" i="71"/>
  <c r="AI67" i="71"/>
  <c r="AK67" i="71"/>
  <c r="AL67" i="71"/>
  <c r="AM67" i="71"/>
  <c r="AN67" i="71"/>
  <c r="AP67" i="71"/>
  <c r="AQ67" i="71"/>
  <c r="AR67" i="71"/>
  <c r="AS67" i="71"/>
  <c r="AF69" i="71"/>
  <c r="AG69" i="71"/>
  <c r="AH69" i="71"/>
  <c r="AI69" i="71"/>
  <c r="AK69" i="71"/>
  <c r="AL69" i="71"/>
  <c r="AM69" i="71"/>
  <c r="AN69" i="71"/>
  <c r="AP69" i="71"/>
  <c r="AQ69" i="71"/>
  <c r="AR69" i="71"/>
  <c r="AS69" i="71"/>
  <c r="AF70" i="71"/>
  <c r="AG70" i="71"/>
  <c r="AH70" i="71"/>
  <c r="AI70" i="71"/>
  <c r="AK70" i="71"/>
  <c r="AL70" i="71"/>
  <c r="AM70" i="71"/>
  <c r="AN70" i="71"/>
  <c r="AP70" i="71"/>
  <c r="AQ70" i="71"/>
  <c r="AR70" i="71"/>
  <c r="AS70" i="71"/>
  <c r="AF71" i="71"/>
  <c r="AG71" i="71"/>
  <c r="AH71" i="71"/>
  <c r="AI71" i="71"/>
  <c r="AK71" i="71"/>
  <c r="AL71" i="71"/>
  <c r="AM71" i="71"/>
  <c r="AN71" i="71"/>
  <c r="AP71" i="71"/>
  <c r="AQ71" i="71"/>
  <c r="AR71" i="71"/>
  <c r="AS71" i="71"/>
  <c r="AF72" i="71"/>
  <c r="AG72" i="71"/>
  <c r="AH72" i="71"/>
  <c r="AI72" i="71"/>
  <c r="AK72" i="71"/>
  <c r="AL72" i="71"/>
  <c r="AM72" i="71"/>
  <c r="AN72" i="71"/>
  <c r="AP72" i="71"/>
  <c r="AQ72" i="71"/>
  <c r="AR72" i="71"/>
  <c r="AS72" i="71"/>
  <c r="AF73" i="71"/>
  <c r="AG73" i="71"/>
  <c r="AH73" i="71"/>
  <c r="AI73" i="71"/>
  <c r="AK73" i="71"/>
  <c r="AL73" i="71"/>
  <c r="AM73" i="71"/>
  <c r="AN73" i="71"/>
  <c r="AP73" i="71"/>
  <c r="AQ73" i="71"/>
  <c r="AR73" i="71"/>
  <c r="AS73" i="71"/>
  <c r="AF4" i="73"/>
  <c r="AG4" i="73"/>
  <c r="AH4" i="73"/>
  <c r="AI4" i="73"/>
  <c r="AK4" i="73"/>
  <c r="AL4" i="73"/>
  <c r="AM4" i="73"/>
  <c r="AN4" i="73"/>
  <c r="AP4" i="73"/>
  <c r="AQ4" i="73"/>
  <c r="AR4" i="73"/>
  <c r="AS4" i="73"/>
  <c r="AF5" i="73"/>
  <c r="AG5" i="73"/>
  <c r="AH5" i="73"/>
  <c r="AI5" i="73"/>
  <c r="AK5" i="73"/>
  <c r="AL5" i="73"/>
  <c r="AM5" i="73"/>
  <c r="AN5" i="73"/>
  <c r="AP5" i="73"/>
  <c r="AQ5" i="73"/>
  <c r="AR5" i="73"/>
  <c r="AS5" i="73"/>
  <c r="AF6" i="73"/>
  <c r="AG6" i="73"/>
  <c r="AH6" i="73"/>
  <c r="AI6" i="73"/>
  <c r="AK6" i="73"/>
  <c r="AL6" i="73"/>
  <c r="AM6" i="73"/>
  <c r="AN6" i="73"/>
  <c r="AP6" i="73"/>
  <c r="AQ6" i="73"/>
  <c r="AR6" i="73"/>
  <c r="AS6" i="73"/>
  <c r="AF7" i="73"/>
  <c r="AG7" i="73"/>
  <c r="AH7" i="73"/>
  <c r="AI7" i="73"/>
  <c r="AK7" i="73"/>
  <c r="AL7" i="73"/>
  <c r="AM7" i="73"/>
  <c r="AN7" i="73"/>
  <c r="AP7" i="73"/>
  <c r="AQ7" i="73"/>
  <c r="AR7" i="73"/>
  <c r="AS7" i="73"/>
  <c r="AF9" i="73"/>
  <c r="AG9" i="73"/>
  <c r="AH9" i="73"/>
  <c r="AI9" i="73"/>
  <c r="AK9" i="73"/>
  <c r="AL9" i="73"/>
  <c r="AM9" i="73"/>
  <c r="AN9" i="73"/>
  <c r="AP9" i="73"/>
  <c r="AQ9" i="73"/>
  <c r="AR9" i="73"/>
  <c r="AS9" i="73"/>
  <c r="AF10" i="73"/>
  <c r="AG10" i="73"/>
  <c r="AH10" i="73"/>
  <c r="AI10" i="73"/>
  <c r="AK10" i="73"/>
  <c r="AL10" i="73"/>
  <c r="AM10" i="73"/>
  <c r="AN10" i="73"/>
  <c r="AP10" i="73"/>
  <c r="AQ10" i="73"/>
  <c r="AR10" i="73"/>
  <c r="AS10" i="73"/>
  <c r="AF11" i="73"/>
  <c r="AG11" i="73"/>
  <c r="AH11" i="73"/>
  <c r="AI11" i="73"/>
  <c r="AK11" i="73"/>
  <c r="AL11" i="73"/>
  <c r="AM11" i="73"/>
  <c r="AN11" i="73"/>
  <c r="AP11" i="73"/>
  <c r="AQ11" i="73"/>
  <c r="AR11" i="73"/>
  <c r="AS11" i="73"/>
  <c r="AF12" i="73"/>
  <c r="AG12" i="73"/>
  <c r="AH12" i="73"/>
  <c r="AI12" i="73"/>
  <c r="AK12" i="73"/>
  <c r="AL12" i="73"/>
  <c r="AM12" i="73"/>
  <c r="AN12" i="73"/>
  <c r="AP12" i="73"/>
  <c r="AQ12" i="73"/>
  <c r="AR12" i="73"/>
  <c r="AS12" i="73"/>
  <c r="AF13" i="73"/>
  <c r="AG13" i="73"/>
  <c r="AH13" i="73"/>
  <c r="AI13" i="73"/>
  <c r="AK13" i="73"/>
  <c r="AL13" i="73"/>
  <c r="AM13" i="73"/>
  <c r="AN13" i="73"/>
  <c r="AP13" i="73"/>
  <c r="AQ13" i="73"/>
  <c r="AR13" i="73"/>
  <c r="AS13" i="73"/>
  <c r="AF15" i="73"/>
  <c r="AG15" i="73"/>
  <c r="AH15" i="73"/>
  <c r="AI15" i="73"/>
  <c r="AK15" i="73"/>
  <c r="AL15" i="73"/>
  <c r="AM15" i="73"/>
  <c r="AN15" i="73"/>
  <c r="AP15" i="73"/>
  <c r="AQ15" i="73"/>
  <c r="AR15" i="73"/>
  <c r="AS15" i="73"/>
  <c r="AF16" i="73"/>
  <c r="AG16" i="73"/>
  <c r="AH16" i="73"/>
  <c r="AI16" i="73"/>
  <c r="AK16" i="73"/>
  <c r="AL16" i="73"/>
  <c r="AM16" i="73"/>
  <c r="AN16" i="73"/>
  <c r="AP16" i="73"/>
  <c r="AQ16" i="73"/>
  <c r="AR16" i="73"/>
  <c r="AS16" i="73"/>
  <c r="AF17" i="73"/>
  <c r="AG17" i="73"/>
  <c r="AH17" i="73"/>
  <c r="AI17" i="73"/>
  <c r="AK17" i="73"/>
  <c r="AL17" i="73"/>
  <c r="AM17" i="73"/>
  <c r="AN17" i="73"/>
  <c r="AP17" i="73"/>
  <c r="AQ17" i="73"/>
  <c r="AR17" i="73"/>
  <c r="AS17" i="73"/>
  <c r="AF18" i="73"/>
  <c r="AG18" i="73"/>
  <c r="AH18" i="73"/>
  <c r="AI18" i="73"/>
  <c r="AK18" i="73"/>
  <c r="AL18" i="73"/>
  <c r="AM18" i="73"/>
  <c r="AN18" i="73"/>
  <c r="AP18" i="73"/>
  <c r="AQ18" i="73"/>
  <c r="AR18" i="73"/>
  <c r="AS18" i="73"/>
  <c r="AF19" i="73"/>
  <c r="AG19" i="73"/>
  <c r="AH19" i="73"/>
  <c r="AI19" i="73"/>
  <c r="AK19" i="73"/>
  <c r="AL19" i="73"/>
  <c r="AM19" i="73"/>
  <c r="AN19" i="73"/>
  <c r="AP19" i="73"/>
  <c r="AQ19" i="73"/>
  <c r="AR19" i="73"/>
  <c r="AS19" i="73"/>
  <c r="AF21" i="73"/>
  <c r="AG21" i="73"/>
  <c r="AH21" i="73"/>
  <c r="AI21" i="73"/>
  <c r="AK21" i="73"/>
  <c r="AL21" i="73"/>
  <c r="AM21" i="73"/>
  <c r="AN21" i="73"/>
  <c r="AP21" i="73"/>
  <c r="AQ21" i="73"/>
  <c r="AR21" i="73"/>
  <c r="AS21" i="73"/>
  <c r="AF22" i="73"/>
  <c r="AG22" i="73"/>
  <c r="AH22" i="73"/>
  <c r="AI22" i="73"/>
  <c r="AK22" i="73"/>
  <c r="AL22" i="73"/>
  <c r="AM22" i="73"/>
  <c r="AN22" i="73"/>
  <c r="AP22" i="73"/>
  <c r="AQ22" i="73"/>
  <c r="AR22" i="73"/>
  <c r="AS22" i="73"/>
  <c r="AF23" i="73"/>
  <c r="AG23" i="73"/>
  <c r="AH23" i="73"/>
  <c r="AI23" i="73"/>
  <c r="AK23" i="73"/>
  <c r="AL23" i="73"/>
  <c r="AM23" i="73"/>
  <c r="AN23" i="73"/>
  <c r="AP23" i="73"/>
  <c r="AQ23" i="73"/>
  <c r="AR23" i="73"/>
  <c r="AS23" i="73"/>
  <c r="AF24" i="73"/>
  <c r="AG24" i="73"/>
  <c r="AH24" i="73"/>
  <c r="AI24" i="73"/>
  <c r="AK24" i="73"/>
  <c r="AL24" i="73"/>
  <c r="AM24" i="73"/>
  <c r="AN24" i="73"/>
  <c r="AP24" i="73"/>
  <c r="AQ24" i="73"/>
  <c r="AR24" i="73"/>
  <c r="AS24" i="73"/>
  <c r="AF25" i="73"/>
  <c r="AG25" i="73"/>
  <c r="AH25" i="73"/>
  <c r="AI25" i="73"/>
  <c r="AK25" i="73"/>
  <c r="AL25" i="73"/>
  <c r="AM25" i="73"/>
  <c r="AN25" i="73"/>
  <c r="AP25" i="73"/>
  <c r="AQ25" i="73"/>
  <c r="AR25" i="73"/>
  <c r="AS25" i="73"/>
  <c r="AF27" i="73"/>
  <c r="AG27" i="73"/>
  <c r="AH27" i="73"/>
  <c r="AI27" i="73"/>
  <c r="AK27" i="73"/>
  <c r="AL27" i="73"/>
  <c r="AM27" i="73"/>
  <c r="AN27" i="73"/>
  <c r="AP27" i="73"/>
  <c r="AQ27" i="73"/>
  <c r="AR27" i="73"/>
  <c r="AS27" i="73"/>
  <c r="AF28" i="73"/>
  <c r="AG28" i="73"/>
  <c r="AH28" i="73"/>
  <c r="AI28" i="73"/>
  <c r="AK28" i="73"/>
  <c r="AL28" i="73"/>
  <c r="AM28" i="73"/>
  <c r="AN28" i="73"/>
  <c r="AP28" i="73"/>
  <c r="AQ28" i="73"/>
  <c r="AR28" i="73"/>
  <c r="AS28" i="73"/>
  <c r="AF29" i="73"/>
  <c r="AG29" i="73"/>
  <c r="AH29" i="73"/>
  <c r="AI29" i="73"/>
  <c r="AK29" i="73"/>
  <c r="AL29" i="73"/>
  <c r="AM29" i="73"/>
  <c r="AN29" i="73"/>
  <c r="AP29" i="73"/>
  <c r="AQ29" i="73"/>
  <c r="AR29" i="73"/>
  <c r="AS29" i="73"/>
  <c r="AF30" i="73"/>
  <c r="AG30" i="73"/>
  <c r="AH30" i="73"/>
  <c r="AI30" i="73"/>
  <c r="AK30" i="73"/>
  <c r="AL30" i="73"/>
  <c r="AM30" i="73"/>
  <c r="AN30" i="73"/>
  <c r="AP30" i="73"/>
  <c r="AQ30" i="73"/>
  <c r="AR30" i="73"/>
  <c r="AS30" i="73"/>
  <c r="AF31" i="73"/>
  <c r="AG31" i="73"/>
  <c r="AH31" i="73"/>
  <c r="AI31" i="73"/>
  <c r="AK31" i="73"/>
  <c r="AL31" i="73"/>
  <c r="AM31" i="73"/>
  <c r="AN31" i="73"/>
  <c r="AP31" i="73"/>
  <c r="AQ31" i="73"/>
  <c r="AR31" i="73"/>
  <c r="AS31" i="73"/>
  <c r="AF33" i="73"/>
  <c r="AG33" i="73"/>
  <c r="AH33" i="73"/>
  <c r="AI33" i="73"/>
  <c r="AK33" i="73"/>
  <c r="AL33" i="73"/>
  <c r="AM33" i="73"/>
  <c r="AN33" i="73"/>
  <c r="AP33" i="73"/>
  <c r="AQ33" i="73"/>
  <c r="AR33" i="73"/>
  <c r="AS33" i="73"/>
  <c r="AF34" i="73"/>
  <c r="AG34" i="73"/>
  <c r="AH34" i="73"/>
  <c r="AI34" i="73"/>
  <c r="AK34" i="73"/>
  <c r="AL34" i="73"/>
  <c r="AM34" i="73"/>
  <c r="AN34" i="73"/>
  <c r="AP34" i="73"/>
  <c r="AQ34" i="73"/>
  <c r="AR34" i="73"/>
  <c r="AS34" i="73"/>
  <c r="AF35" i="73"/>
  <c r="AG35" i="73"/>
  <c r="AH35" i="73"/>
  <c r="AI35" i="73"/>
  <c r="AK35" i="73"/>
  <c r="AL35" i="73"/>
  <c r="AM35" i="73"/>
  <c r="AN35" i="73"/>
  <c r="AP35" i="73"/>
  <c r="AQ35" i="73"/>
  <c r="AR35" i="73"/>
  <c r="AS35" i="73"/>
  <c r="AF36" i="73"/>
  <c r="AG36" i="73"/>
  <c r="AH36" i="73"/>
  <c r="AI36" i="73"/>
  <c r="AK36" i="73"/>
  <c r="AL36" i="73"/>
  <c r="AM36" i="73"/>
  <c r="AN36" i="73"/>
  <c r="AP36" i="73"/>
  <c r="AQ36" i="73"/>
  <c r="AR36" i="73"/>
  <c r="AS36" i="73"/>
  <c r="AF37" i="73"/>
  <c r="AG37" i="73"/>
  <c r="AH37" i="73"/>
  <c r="AI37" i="73"/>
  <c r="AK37" i="73"/>
  <c r="AL37" i="73"/>
  <c r="AM37" i="73"/>
  <c r="AN37" i="73"/>
  <c r="AP37" i="73"/>
  <c r="AQ37" i="73"/>
  <c r="AR37" i="73"/>
  <c r="AS37" i="73"/>
  <c r="AF39" i="73"/>
  <c r="AG39" i="73"/>
  <c r="AH39" i="73"/>
  <c r="AI39" i="73"/>
  <c r="AK39" i="73"/>
  <c r="AL39" i="73"/>
  <c r="AM39" i="73"/>
  <c r="AN39" i="73"/>
  <c r="AP39" i="73"/>
  <c r="AQ39" i="73"/>
  <c r="AR39" i="73"/>
  <c r="AS39" i="73"/>
  <c r="AF40" i="73"/>
  <c r="AG40" i="73"/>
  <c r="AH40" i="73"/>
  <c r="AI40" i="73"/>
  <c r="AK40" i="73"/>
  <c r="AL40" i="73"/>
  <c r="AM40" i="73"/>
  <c r="AN40" i="73"/>
  <c r="AP40" i="73"/>
  <c r="AQ40" i="73"/>
  <c r="AR40" i="73"/>
  <c r="AS40" i="73"/>
  <c r="AF41" i="73"/>
  <c r="AG41" i="73"/>
  <c r="AH41" i="73"/>
  <c r="AI41" i="73"/>
  <c r="AK41" i="73"/>
  <c r="AL41" i="73"/>
  <c r="AM41" i="73"/>
  <c r="AN41" i="73"/>
  <c r="AP41" i="73"/>
  <c r="AQ41" i="73"/>
  <c r="AR41" i="73"/>
  <c r="AS41" i="73"/>
  <c r="AF42" i="73"/>
  <c r="AG42" i="73"/>
  <c r="AH42" i="73"/>
  <c r="AI42" i="73"/>
  <c r="AK42" i="73"/>
  <c r="AL42" i="73"/>
  <c r="AM42" i="73"/>
  <c r="AN42" i="73"/>
  <c r="AP42" i="73"/>
  <c r="AQ42" i="73"/>
  <c r="AR42" i="73"/>
  <c r="AS42" i="73"/>
  <c r="AF43" i="73"/>
  <c r="AG43" i="73"/>
  <c r="AH43" i="73"/>
  <c r="AI43" i="73"/>
  <c r="AK43" i="73"/>
  <c r="AL43" i="73"/>
  <c r="AM43" i="73"/>
  <c r="AN43" i="73"/>
  <c r="AP43" i="73"/>
  <c r="AQ43" i="73"/>
  <c r="AR43" i="73"/>
  <c r="AS43" i="73"/>
  <c r="AF45" i="73"/>
  <c r="AG45" i="73"/>
  <c r="AH45" i="73"/>
  <c r="AI45" i="73"/>
  <c r="AK45" i="73"/>
  <c r="AL45" i="73"/>
  <c r="AM45" i="73"/>
  <c r="AN45" i="73"/>
  <c r="AP45" i="73"/>
  <c r="AQ45" i="73"/>
  <c r="AR45" i="73"/>
  <c r="AS45" i="73"/>
  <c r="AF46" i="73"/>
  <c r="AG46" i="73"/>
  <c r="AH46" i="73"/>
  <c r="AI46" i="73"/>
  <c r="AK46" i="73"/>
  <c r="AL46" i="73"/>
  <c r="AM46" i="73"/>
  <c r="AN46" i="73"/>
  <c r="AP46" i="73"/>
  <c r="AQ46" i="73"/>
  <c r="AR46" i="73"/>
  <c r="AS46" i="73"/>
  <c r="AF47" i="73"/>
  <c r="AG47" i="73"/>
  <c r="AH47" i="73"/>
  <c r="AI47" i="73"/>
  <c r="AK47" i="73"/>
  <c r="AL47" i="73"/>
  <c r="AM47" i="73"/>
  <c r="AN47" i="73"/>
  <c r="AP47" i="73"/>
  <c r="AQ47" i="73"/>
  <c r="AR47" i="73"/>
  <c r="AS47" i="73"/>
  <c r="AF48" i="73"/>
  <c r="AG48" i="73"/>
  <c r="AH48" i="73"/>
  <c r="AI48" i="73"/>
  <c r="AK48" i="73"/>
  <c r="AL48" i="73"/>
  <c r="AM48" i="73"/>
  <c r="AN48" i="73"/>
  <c r="AP48" i="73"/>
  <c r="AQ48" i="73"/>
  <c r="AR48" i="73"/>
  <c r="AS48" i="73"/>
  <c r="AF49" i="73"/>
  <c r="AG49" i="73"/>
  <c r="AH49" i="73"/>
  <c r="AI49" i="73"/>
  <c r="AK49" i="73"/>
  <c r="AL49" i="73"/>
  <c r="AM49" i="73"/>
  <c r="AN49" i="73"/>
  <c r="AP49" i="73"/>
  <c r="AQ49" i="73"/>
  <c r="AR49" i="73"/>
  <c r="AS49" i="73"/>
  <c r="AF51" i="73"/>
  <c r="AG51" i="73"/>
  <c r="AH51" i="73"/>
  <c r="AI51" i="73"/>
  <c r="AK51" i="73"/>
  <c r="AL51" i="73"/>
  <c r="AM51" i="73"/>
  <c r="AN51" i="73"/>
  <c r="AP51" i="73"/>
  <c r="AQ51" i="73"/>
  <c r="AR51" i="73"/>
  <c r="AS51" i="73"/>
  <c r="AF52" i="73"/>
  <c r="AG52" i="73"/>
  <c r="AH52" i="73"/>
  <c r="AI52" i="73"/>
  <c r="AK52" i="73"/>
  <c r="AL52" i="73"/>
  <c r="AM52" i="73"/>
  <c r="AN52" i="73"/>
  <c r="AP52" i="73"/>
  <c r="AQ52" i="73"/>
  <c r="AR52" i="73"/>
  <c r="AS52" i="73"/>
  <c r="AF53" i="73"/>
  <c r="AG53" i="73"/>
  <c r="AH53" i="73"/>
  <c r="AI53" i="73"/>
  <c r="AK53" i="73"/>
  <c r="AL53" i="73"/>
  <c r="AM53" i="73"/>
  <c r="AN53" i="73"/>
  <c r="AP53" i="73"/>
  <c r="AQ53" i="73"/>
  <c r="AR53" i="73"/>
  <c r="AS53" i="73"/>
  <c r="AF54" i="73"/>
  <c r="AG54" i="73"/>
  <c r="AH54" i="73"/>
  <c r="AI54" i="73"/>
  <c r="AK54" i="73"/>
  <c r="AL54" i="73"/>
  <c r="AM54" i="73"/>
  <c r="AN54" i="73"/>
  <c r="AP54" i="73"/>
  <c r="AQ54" i="73"/>
  <c r="AR54" i="73"/>
  <c r="AS54" i="73"/>
  <c r="AF55" i="73"/>
  <c r="AG55" i="73"/>
  <c r="AH55" i="73"/>
  <c r="AI55" i="73"/>
  <c r="AK55" i="73"/>
  <c r="AL55" i="73"/>
  <c r="AM55" i="73"/>
  <c r="AN55" i="73"/>
  <c r="AP55" i="73"/>
  <c r="AQ55" i="73"/>
  <c r="AR55" i="73"/>
  <c r="AS55" i="73"/>
  <c r="AF57" i="73"/>
  <c r="AG57" i="73"/>
  <c r="AH57" i="73"/>
  <c r="AI57" i="73"/>
  <c r="AK57" i="73"/>
  <c r="AL57" i="73"/>
  <c r="AM57" i="73"/>
  <c r="AN57" i="73"/>
  <c r="AP57" i="73"/>
  <c r="AQ57" i="73"/>
  <c r="AR57" i="73"/>
  <c r="AS57" i="73"/>
  <c r="AF58" i="73"/>
  <c r="AG58" i="73"/>
  <c r="AH58" i="73"/>
  <c r="AI58" i="73"/>
  <c r="AK58" i="73"/>
  <c r="AL58" i="73"/>
  <c r="AM58" i="73"/>
  <c r="AN58" i="73"/>
  <c r="AP58" i="73"/>
  <c r="AQ58" i="73"/>
  <c r="AR58" i="73"/>
  <c r="AS58" i="73"/>
  <c r="AF59" i="73"/>
  <c r="AG59" i="73"/>
  <c r="AH59" i="73"/>
  <c r="AI59" i="73"/>
  <c r="AK59" i="73"/>
  <c r="AL59" i="73"/>
  <c r="AM59" i="73"/>
  <c r="AN59" i="73"/>
  <c r="AP59" i="73"/>
  <c r="AQ59" i="73"/>
  <c r="AR59" i="73"/>
  <c r="AS59" i="73"/>
  <c r="AF60" i="73"/>
  <c r="AG60" i="73"/>
  <c r="AH60" i="73"/>
  <c r="AI60" i="73"/>
  <c r="AK60" i="73"/>
  <c r="AL60" i="73"/>
  <c r="AM60" i="73"/>
  <c r="AN60" i="73"/>
  <c r="AP60" i="73"/>
  <c r="AQ60" i="73"/>
  <c r="AR60" i="73"/>
  <c r="AS60" i="73"/>
  <c r="AF61" i="73"/>
  <c r="AG61" i="73"/>
  <c r="AH61" i="73"/>
  <c r="AI61" i="73"/>
  <c r="AK61" i="73"/>
  <c r="AL61" i="73"/>
  <c r="AM61" i="73"/>
  <c r="AN61" i="73"/>
  <c r="AP61" i="73"/>
  <c r="AQ61" i="73"/>
  <c r="AR61" i="73"/>
  <c r="AS61" i="73"/>
  <c r="AF63" i="73"/>
  <c r="AG63" i="73"/>
  <c r="AH63" i="73"/>
  <c r="AI63" i="73"/>
  <c r="AK63" i="73"/>
  <c r="AL63" i="73"/>
  <c r="AM63" i="73"/>
  <c r="AN63" i="73"/>
  <c r="AP63" i="73"/>
  <c r="AQ63" i="73"/>
  <c r="AR63" i="73"/>
  <c r="AS63" i="73"/>
  <c r="AF64" i="73"/>
  <c r="AG64" i="73"/>
  <c r="AH64" i="73"/>
  <c r="AI64" i="73"/>
  <c r="AK64" i="73"/>
  <c r="AL64" i="73"/>
  <c r="AM64" i="73"/>
  <c r="AN64" i="73"/>
  <c r="AP64" i="73"/>
  <c r="AQ64" i="73"/>
  <c r="AR64" i="73"/>
  <c r="AS64" i="73"/>
  <c r="AF65" i="73"/>
  <c r="AG65" i="73"/>
  <c r="AH65" i="73"/>
  <c r="AI65" i="73"/>
  <c r="AK65" i="73"/>
  <c r="AL65" i="73"/>
  <c r="AM65" i="73"/>
  <c r="AN65" i="73"/>
  <c r="AP65" i="73"/>
  <c r="AQ65" i="73"/>
  <c r="AR65" i="73"/>
  <c r="AS65" i="73"/>
  <c r="AF66" i="73"/>
  <c r="AG66" i="73"/>
  <c r="AH66" i="73"/>
  <c r="AI66" i="73"/>
  <c r="AK66" i="73"/>
  <c r="AL66" i="73"/>
  <c r="AM66" i="73"/>
  <c r="AN66" i="73"/>
  <c r="AP66" i="73"/>
  <c r="AQ66" i="73"/>
  <c r="AR66" i="73"/>
  <c r="AS66" i="73"/>
  <c r="AF67" i="73"/>
  <c r="AG67" i="73"/>
  <c r="AH67" i="73"/>
  <c r="AI67" i="73"/>
  <c r="AK67" i="73"/>
  <c r="AL67" i="73"/>
  <c r="AM67" i="73"/>
  <c r="AN67" i="73"/>
  <c r="AP67" i="73"/>
  <c r="AQ67" i="73"/>
  <c r="AR67" i="73"/>
  <c r="AS67" i="73"/>
  <c r="AF69" i="73"/>
  <c r="AG69" i="73"/>
  <c r="AH69" i="73"/>
  <c r="AI69" i="73"/>
  <c r="AK69" i="73"/>
  <c r="AL69" i="73"/>
  <c r="AM69" i="73"/>
  <c r="AN69" i="73"/>
  <c r="AP69" i="73"/>
  <c r="AQ69" i="73"/>
  <c r="AR69" i="73"/>
  <c r="AS69" i="73"/>
  <c r="AF70" i="73"/>
  <c r="AG70" i="73"/>
  <c r="AH70" i="73"/>
  <c r="AI70" i="73"/>
  <c r="AK70" i="73"/>
  <c r="AL70" i="73"/>
  <c r="AM70" i="73"/>
  <c r="AN70" i="73"/>
  <c r="AP70" i="73"/>
  <c r="AQ70" i="73"/>
  <c r="AR70" i="73"/>
  <c r="AS70" i="73"/>
  <c r="AF71" i="73"/>
  <c r="AG71" i="73"/>
  <c r="AH71" i="73"/>
  <c r="AI71" i="73"/>
  <c r="AK71" i="73"/>
  <c r="AL71" i="73"/>
  <c r="AM71" i="73"/>
  <c r="AN71" i="73"/>
  <c r="AP71" i="73"/>
  <c r="AQ71" i="73"/>
  <c r="AR71" i="73"/>
  <c r="AS71" i="73"/>
  <c r="AF72" i="73"/>
  <c r="AG72" i="73"/>
  <c r="AH72" i="73"/>
  <c r="AI72" i="73"/>
  <c r="AK72" i="73"/>
  <c r="AL72" i="73"/>
  <c r="AM72" i="73"/>
  <c r="AN72" i="73"/>
  <c r="AP72" i="73"/>
  <c r="AQ72" i="73"/>
  <c r="AR72" i="73"/>
  <c r="AS72" i="73"/>
  <c r="AF73" i="73"/>
  <c r="AG73" i="73"/>
  <c r="AH73" i="73"/>
  <c r="AI73" i="73"/>
  <c r="AK73" i="73"/>
  <c r="AL73" i="73"/>
  <c r="AM73" i="73"/>
  <c r="AN73" i="73"/>
  <c r="AP73" i="73"/>
  <c r="AQ73" i="73"/>
  <c r="AR73" i="73"/>
  <c r="AS73" i="73"/>
  <c r="AF4" i="72"/>
  <c r="AG4" i="72"/>
  <c r="AH4" i="72"/>
  <c r="AI4" i="72"/>
  <c r="AK4" i="72"/>
  <c r="AL4" i="72"/>
  <c r="AM4" i="72"/>
  <c r="AN4" i="72"/>
  <c r="AP4" i="72"/>
  <c r="AQ4" i="72"/>
  <c r="AR4" i="72"/>
  <c r="AS4" i="72"/>
  <c r="AF5" i="72"/>
  <c r="AG5" i="72"/>
  <c r="AH5" i="72"/>
  <c r="AI5" i="72"/>
  <c r="AK5" i="72"/>
  <c r="AL5" i="72"/>
  <c r="AM5" i="72"/>
  <c r="AN5" i="72"/>
  <c r="AP5" i="72"/>
  <c r="AQ5" i="72"/>
  <c r="AR5" i="72"/>
  <c r="AS5" i="72"/>
  <c r="AF6" i="72"/>
  <c r="AG6" i="72"/>
  <c r="AH6" i="72"/>
  <c r="AI6" i="72"/>
  <c r="AK6" i="72"/>
  <c r="AL6" i="72"/>
  <c r="AM6" i="72"/>
  <c r="AN6" i="72"/>
  <c r="AP6" i="72"/>
  <c r="AQ6" i="72"/>
  <c r="AR6" i="72"/>
  <c r="AS6" i="72"/>
  <c r="AF7" i="72"/>
  <c r="AG7" i="72"/>
  <c r="AH7" i="72"/>
  <c r="AI7" i="72"/>
  <c r="AK7" i="72"/>
  <c r="AL7" i="72"/>
  <c r="AM7" i="72"/>
  <c r="AN7" i="72"/>
  <c r="AP7" i="72"/>
  <c r="AQ7" i="72"/>
  <c r="AR7" i="72"/>
  <c r="AS7" i="72"/>
  <c r="AF9" i="72"/>
  <c r="AG9" i="72"/>
  <c r="AH9" i="72"/>
  <c r="AI9" i="72"/>
  <c r="AK9" i="72"/>
  <c r="AL9" i="72"/>
  <c r="AM9" i="72"/>
  <c r="AN9" i="72"/>
  <c r="AP9" i="72"/>
  <c r="AQ9" i="72"/>
  <c r="AR9" i="72"/>
  <c r="AS9" i="72"/>
  <c r="AF10" i="72"/>
  <c r="AG10" i="72"/>
  <c r="AH10" i="72"/>
  <c r="AI10" i="72"/>
  <c r="AK10" i="72"/>
  <c r="AL10" i="72"/>
  <c r="AM10" i="72"/>
  <c r="AN10" i="72"/>
  <c r="AP10" i="72"/>
  <c r="AQ10" i="72"/>
  <c r="AR10" i="72"/>
  <c r="AS10" i="72"/>
  <c r="AF11" i="72"/>
  <c r="AG11" i="72"/>
  <c r="AH11" i="72"/>
  <c r="AI11" i="72"/>
  <c r="AK11" i="72"/>
  <c r="AL11" i="72"/>
  <c r="AM11" i="72"/>
  <c r="AN11" i="72"/>
  <c r="AP11" i="72"/>
  <c r="AQ11" i="72"/>
  <c r="AR11" i="72"/>
  <c r="AS11" i="72"/>
  <c r="AF12" i="72"/>
  <c r="AG12" i="72"/>
  <c r="AH12" i="72"/>
  <c r="AI12" i="72"/>
  <c r="AK12" i="72"/>
  <c r="AL12" i="72"/>
  <c r="AM12" i="72"/>
  <c r="AN12" i="72"/>
  <c r="AP12" i="72"/>
  <c r="AQ12" i="72"/>
  <c r="AR12" i="72"/>
  <c r="AS12" i="72"/>
  <c r="AF13" i="72"/>
  <c r="AG13" i="72"/>
  <c r="AH13" i="72"/>
  <c r="AI13" i="72"/>
  <c r="AK13" i="72"/>
  <c r="AL13" i="72"/>
  <c r="AM13" i="72"/>
  <c r="AN13" i="72"/>
  <c r="AP13" i="72"/>
  <c r="AQ13" i="72"/>
  <c r="AR13" i="72"/>
  <c r="AS13" i="72"/>
  <c r="AF15" i="72"/>
  <c r="AG15" i="72"/>
  <c r="AH15" i="72"/>
  <c r="AI15" i="72"/>
  <c r="AK15" i="72"/>
  <c r="AL15" i="72"/>
  <c r="AM15" i="72"/>
  <c r="AN15" i="72"/>
  <c r="AP15" i="72"/>
  <c r="AQ15" i="72"/>
  <c r="AR15" i="72"/>
  <c r="AS15" i="72"/>
  <c r="AF16" i="72"/>
  <c r="AG16" i="72"/>
  <c r="AH16" i="72"/>
  <c r="AI16" i="72"/>
  <c r="AK16" i="72"/>
  <c r="AL16" i="72"/>
  <c r="AM16" i="72"/>
  <c r="AN16" i="72"/>
  <c r="AP16" i="72"/>
  <c r="AQ16" i="72"/>
  <c r="AR16" i="72"/>
  <c r="AS16" i="72"/>
  <c r="AF17" i="72"/>
  <c r="AG17" i="72"/>
  <c r="AH17" i="72"/>
  <c r="AI17" i="72"/>
  <c r="AK17" i="72"/>
  <c r="AL17" i="72"/>
  <c r="AM17" i="72"/>
  <c r="AN17" i="72"/>
  <c r="AP17" i="72"/>
  <c r="AQ17" i="72"/>
  <c r="AR17" i="72"/>
  <c r="AS17" i="72"/>
  <c r="AF18" i="72"/>
  <c r="AG18" i="72"/>
  <c r="AH18" i="72"/>
  <c r="AI18" i="72"/>
  <c r="AK18" i="72"/>
  <c r="AL18" i="72"/>
  <c r="AM18" i="72"/>
  <c r="AN18" i="72"/>
  <c r="AP18" i="72"/>
  <c r="AQ18" i="72"/>
  <c r="AR18" i="72"/>
  <c r="AS18" i="72"/>
  <c r="AF19" i="72"/>
  <c r="AG19" i="72"/>
  <c r="AH19" i="72"/>
  <c r="AI19" i="72"/>
  <c r="AK19" i="72"/>
  <c r="AL19" i="72"/>
  <c r="AM19" i="72"/>
  <c r="AN19" i="72"/>
  <c r="AP19" i="72"/>
  <c r="AQ19" i="72"/>
  <c r="AR19" i="72"/>
  <c r="AS19" i="72"/>
  <c r="AF21" i="72"/>
  <c r="AG21" i="72"/>
  <c r="AH21" i="72"/>
  <c r="AI21" i="72"/>
  <c r="AK21" i="72"/>
  <c r="AL21" i="72"/>
  <c r="AM21" i="72"/>
  <c r="AN21" i="72"/>
  <c r="AP21" i="72"/>
  <c r="AQ21" i="72"/>
  <c r="AR21" i="72"/>
  <c r="AS21" i="72"/>
  <c r="AF22" i="72"/>
  <c r="AG22" i="72"/>
  <c r="AH22" i="72"/>
  <c r="AI22" i="72"/>
  <c r="AK22" i="72"/>
  <c r="AL22" i="72"/>
  <c r="AM22" i="72"/>
  <c r="AN22" i="72"/>
  <c r="AP22" i="72"/>
  <c r="AQ22" i="72"/>
  <c r="AR22" i="72"/>
  <c r="AS22" i="72"/>
  <c r="AF23" i="72"/>
  <c r="AG23" i="72"/>
  <c r="AH23" i="72"/>
  <c r="AI23" i="72"/>
  <c r="AK23" i="72"/>
  <c r="AL23" i="72"/>
  <c r="AM23" i="72"/>
  <c r="AN23" i="72"/>
  <c r="AP23" i="72"/>
  <c r="AQ23" i="72"/>
  <c r="AR23" i="72"/>
  <c r="AS23" i="72"/>
  <c r="AF24" i="72"/>
  <c r="AG24" i="72"/>
  <c r="AH24" i="72"/>
  <c r="AI24" i="72"/>
  <c r="AK24" i="72"/>
  <c r="AL24" i="72"/>
  <c r="AM24" i="72"/>
  <c r="AN24" i="72"/>
  <c r="AP24" i="72"/>
  <c r="AQ24" i="72"/>
  <c r="AR24" i="72"/>
  <c r="AS24" i="72"/>
  <c r="AF25" i="72"/>
  <c r="AG25" i="72"/>
  <c r="AH25" i="72"/>
  <c r="AI25" i="72"/>
  <c r="AK25" i="72"/>
  <c r="AL25" i="72"/>
  <c r="AM25" i="72"/>
  <c r="AN25" i="72"/>
  <c r="AP25" i="72"/>
  <c r="AQ25" i="72"/>
  <c r="AR25" i="72"/>
  <c r="AS25" i="72"/>
  <c r="AF27" i="72"/>
  <c r="AG27" i="72"/>
  <c r="AH27" i="72"/>
  <c r="AI27" i="72"/>
  <c r="AK27" i="72"/>
  <c r="AL27" i="72"/>
  <c r="AM27" i="72"/>
  <c r="AN27" i="72"/>
  <c r="AP27" i="72"/>
  <c r="AQ27" i="72"/>
  <c r="AR27" i="72"/>
  <c r="AS27" i="72"/>
  <c r="AF28" i="72"/>
  <c r="AG28" i="72"/>
  <c r="AH28" i="72"/>
  <c r="AI28" i="72"/>
  <c r="AK28" i="72"/>
  <c r="AL28" i="72"/>
  <c r="AM28" i="72"/>
  <c r="AN28" i="72"/>
  <c r="AP28" i="72"/>
  <c r="AQ28" i="72"/>
  <c r="AR28" i="72"/>
  <c r="AS28" i="72"/>
  <c r="AF29" i="72"/>
  <c r="AG29" i="72"/>
  <c r="AH29" i="72"/>
  <c r="AI29" i="72"/>
  <c r="AK29" i="72"/>
  <c r="AL29" i="72"/>
  <c r="AM29" i="72"/>
  <c r="AN29" i="72"/>
  <c r="AP29" i="72"/>
  <c r="AQ29" i="72"/>
  <c r="AR29" i="72"/>
  <c r="AS29" i="72"/>
  <c r="AF30" i="72"/>
  <c r="AG30" i="72"/>
  <c r="AH30" i="72"/>
  <c r="AI30" i="72"/>
  <c r="AK30" i="72"/>
  <c r="AL30" i="72"/>
  <c r="AM30" i="72"/>
  <c r="AN30" i="72"/>
  <c r="AP30" i="72"/>
  <c r="AQ30" i="72"/>
  <c r="AR30" i="72"/>
  <c r="AS30" i="72"/>
  <c r="AF31" i="72"/>
  <c r="AG31" i="72"/>
  <c r="AH31" i="72"/>
  <c r="AI31" i="72"/>
  <c r="AK31" i="72"/>
  <c r="AL31" i="72"/>
  <c r="AM31" i="72"/>
  <c r="AN31" i="72"/>
  <c r="AP31" i="72"/>
  <c r="AQ31" i="72"/>
  <c r="AR31" i="72"/>
  <c r="AS31" i="72"/>
  <c r="AF33" i="72"/>
  <c r="AG33" i="72"/>
  <c r="AH33" i="72"/>
  <c r="AI33" i="72"/>
  <c r="AK33" i="72"/>
  <c r="AL33" i="72"/>
  <c r="AM33" i="72"/>
  <c r="AN33" i="72"/>
  <c r="AP33" i="72"/>
  <c r="AQ33" i="72"/>
  <c r="AR33" i="72"/>
  <c r="AS33" i="72"/>
  <c r="AF34" i="72"/>
  <c r="AG34" i="72"/>
  <c r="AH34" i="72"/>
  <c r="AI34" i="72"/>
  <c r="AK34" i="72"/>
  <c r="AL34" i="72"/>
  <c r="AM34" i="72"/>
  <c r="AN34" i="72"/>
  <c r="AP34" i="72"/>
  <c r="AQ34" i="72"/>
  <c r="AR34" i="72"/>
  <c r="AS34" i="72"/>
  <c r="AF35" i="72"/>
  <c r="AG35" i="72"/>
  <c r="AH35" i="72"/>
  <c r="AI35" i="72"/>
  <c r="AK35" i="72"/>
  <c r="AL35" i="72"/>
  <c r="AM35" i="72"/>
  <c r="AN35" i="72"/>
  <c r="AP35" i="72"/>
  <c r="AQ35" i="72"/>
  <c r="AR35" i="72"/>
  <c r="AS35" i="72"/>
  <c r="AF36" i="72"/>
  <c r="AG36" i="72"/>
  <c r="AH36" i="72"/>
  <c r="AI36" i="72"/>
  <c r="AK36" i="72"/>
  <c r="AL36" i="72"/>
  <c r="AM36" i="72"/>
  <c r="AN36" i="72"/>
  <c r="AP36" i="72"/>
  <c r="AQ36" i="72"/>
  <c r="AR36" i="72"/>
  <c r="AS36" i="72"/>
  <c r="AF37" i="72"/>
  <c r="AG37" i="72"/>
  <c r="AH37" i="72"/>
  <c r="AI37" i="72"/>
  <c r="AK37" i="72"/>
  <c r="AL37" i="72"/>
  <c r="AM37" i="72"/>
  <c r="AN37" i="72"/>
  <c r="AP37" i="72"/>
  <c r="AQ37" i="72"/>
  <c r="AR37" i="72"/>
  <c r="AS37" i="72"/>
  <c r="AF39" i="72"/>
  <c r="AG39" i="72"/>
  <c r="AH39" i="72"/>
  <c r="AI39" i="72"/>
  <c r="AK39" i="72"/>
  <c r="AL39" i="72"/>
  <c r="AM39" i="72"/>
  <c r="AN39" i="72"/>
  <c r="AP39" i="72"/>
  <c r="AQ39" i="72"/>
  <c r="AR39" i="72"/>
  <c r="AS39" i="72"/>
  <c r="AF40" i="72"/>
  <c r="AG40" i="72"/>
  <c r="AH40" i="72"/>
  <c r="AI40" i="72"/>
  <c r="AK40" i="72"/>
  <c r="AL40" i="72"/>
  <c r="AM40" i="72"/>
  <c r="AN40" i="72"/>
  <c r="AP40" i="72"/>
  <c r="AQ40" i="72"/>
  <c r="AR40" i="72"/>
  <c r="AS40" i="72"/>
  <c r="AF41" i="72"/>
  <c r="AG41" i="72"/>
  <c r="AH41" i="72"/>
  <c r="AI41" i="72"/>
  <c r="AK41" i="72"/>
  <c r="AL41" i="72"/>
  <c r="AM41" i="72"/>
  <c r="AN41" i="72"/>
  <c r="AP41" i="72"/>
  <c r="AQ41" i="72"/>
  <c r="AR41" i="72"/>
  <c r="AS41" i="72"/>
  <c r="AF42" i="72"/>
  <c r="AG42" i="72"/>
  <c r="AH42" i="72"/>
  <c r="AI42" i="72"/>
  <c r="AK42" i="72"/>
  <c r="AL42" i="72"/>
  <c r="AM42" i="72"/>
  <c r="AN42" i="72"/>
  <c r="AP42" i="72"/>
  <c r="AQ42" i="72"/>
  <c r="AR42" i="72"/>
  <c r="AS42" i="72"/>
  <c r="AF43" i="72"/>
  <c r="AG43" i="72"/>
  <c r="AH43" i="72"/>
  <c r="AI43" i="72"/>
  <c r="AK43" i="72"/>
  <c r="AL43" i="72"/>
  <c r="AM43" i="72"/>
  <c r="AN43" i="72"/>
  <c r="AP43" i="72"/>
  <c r="AQ43" i="72"/>
  <c r="AR43" i="72"/>
  <c r="AS43" i="72"/>
  <c r="AF45" i="72"/>
  <c r="AG45" i="72"/>
  <c r="AH45" i="72"/>
  <c r="AI45" i="72"/>
  <c r="AK45" i="72"/>
  <c r="AL45" i="72"/>
  <c r="AM45" i="72"/>
  <c r="AN45" i="72"/>
  <c r="AP45" i="72"/>
  <c r="AQ45" i="72"/>
  <c r="AR45" i="72"/>
  <c r="AS45" i="72"/>
  <c r="AF46" i="72"/>
  <c r="AG46" i="72"/>
  <c r="AH46" i="72"/>
  <c r="AI46" i="72"/>
  <c r="AK46" i="72"/>
  <c r="AL46" i="72"/>
  <c r="AM46" i="72"/>
  <c r="AN46" i="72"/>
  <c r="AP46" i="72"/>
  <c r="AQ46" i="72"/>
  <c r="AR46" i="72"/>
  <c r="AS46" i="72"/>
  <c r="AF47" i="72"/>
  <c r="AG47" i="72"/>
  <c r="AH47" i="72"/>
  <c r="AI47" i="72"/>
  <c r="AK47" i="72"/>
  <c r="AL47" i="72"/>
  <c r="AM47" i="72"/>
  <c r="AN47" i="72"/>
  <c r="AP47" i="72"/>
  <c r="AQ47" i="72"/>
  <c r="AR47" i="72"/>
  <c r="AS47" i="72"/>
  <c r="AF48" i="72"/>
  <c r="AG48" i="72"/>
  <c r="AH48" i="72"/>
  <c r="AI48" i="72"/>
  <c r="AK48" i="72"/>
  <c r="AL48" i="72"/>
  <c r="AM48" i="72"/>
  <c r="AN48" i="72"/>
  <c r="AP48" i="72"/>
  <c r="AQ48" i="72"/>
  <c r="AR48" i="72"/>
  <c r="AS48" i="72"/>
  <c r="AF49" i="72"/>
  <c r="AG49" i="72"/>
  <c r="AH49" i="72"/>
  <c r="AI49" i="72"/>
  <c r="AK49" i="72"/>
  <c r="AL49" i="72"/>
  <c r="AM49" i="72"/>
  <c r="AN49" i="72"/>
  <c r="AP49" i="72"/>
  <c r="AQ49" i="72"/>
  <c r="AR49" i="72"/>
  <c r="AS49" i="72"/>
  <c r="AF51" i="72"/>
  <c r="AG51" i="72"/>
  <c r="AH51" i="72"/>
  <c r="AI51" i="72"/>
  <c r="AK51" i="72"/>
  <c r="AL51" i="72"/>
  <c r="AM51" i="72"/>
  <c r="AN51" i="72"/>
  <c r="AP51" i="72"/>
  <c r="AQ51" i="72"/>
  <c r="AR51" i="72"/>
  <c r="AS51" i="72"/>
  <c r="AF52" i="72"/>
  <c r="AG52" i="72"/>
  <c r="AH52" i="72"/>
  <c r="AI52" i="72"/>
  <c r="AK52" i="72"/>
  <c r="AL52" i="72"/>
  <c r="AM52" i="72"/>
  <c r="AN52" i="72"/>
  <c r="AP52" i="72"/>
  <c r="AQ52" i="72"/>
  <c r="AR52" i="72"/>
  <c r="AS52" i="72"/>
  <c r="AF53" i="72"/>
  <c r="AG53" i="72"/>
  <c r="AH53" i="72"/>
  <c r="AI53" i="72"/>
  <c r="AK53" i="72"/>
  <c r="AL53" i="72"/>
  <c r="AM53" i="72"/>
  <c r="AN53" i="72"/>
  <c r="AP53" i="72"/>
  <c r="AQ53" i="72"/>
  <c r="AR53" i="72"/>
  <c r="AS53" i="72"/>
  <c r="AF54" i="72"/>
  <c r="AG54" i="72"/>
  <c r="AH54" i="72"/>
  <c r="AI54" i="72"/>
  <c r="AK54" i="72"/>
  <c r="AL54" i="72"/>
  <c r="AM54" i="72"/>
  <c r="AN54" i="72"/>
  <c r="AP54" i="72"/>
  <c r="AQ54" i="72"/>
  <c r="AR54" i="72"/>
  <c r="AS54" i="72"/>
  <c r="AF55" i="72"/>
  <c r="AG55" i="72"/>
  <c r="AH55" i="72"/>
  <c r="AI55" i="72"/>
  <c r="AK55" i="72"/>
  <c r="AL55" i="72"/>
  <c r="AM55" i="72"/>
  <c r="AN55" i="72"/>
  <c r="AP55" i="72"/>
  <c r="AQ55" i="72"/>
  <c r="AR55" i="72"/>
  <c r="AS55" i="72"/>
  <c r="AF57" i="72"/>
  <c r="AG57" i="72"/>
  <c r="AH57" i="72"/>
  <c r="AI57" i="72"/>
  <c r="AK57" i="72"/>
  <c r="AL57" i="72"/>
  <c r="AM57" i="72"/>
  <c r="AN57" i="72"/>
  <c r="AP57" i="72"/>
  <c r="AQ57" i="72"/>
  <c r="AR57" i="72"/>
  <c r="AS57" i="72"/>
  <c r="AF58" i="72"/>
  <c r="AG58" i="72"/>
  <c r="AH58" i="72"/>
  <c r="AI58" i="72"/>
  <c r="AK58" i="72"/>
  <c r="AL58" i="72"/>
  <c r="AM58" i="72"/>
  <c r="AN58" i="72"/>
  <c r="AP58" i="72"/>
  <c r="AQ58" i="72"/>
  <c r="AR58" i="72"/>
  <c r="AS58" i="72"/>
  <c r="AF59" i="72"/>
  <c r="AG59" i="72"/>
  <c r="AH59" i="72"/>
  <c r="AI59" i="72"/>
  <c r="AK59" i="72"/>
  <c r="AL59" i="72"/>
  <c r="AM59" i="72"/>
  <c r="AN59" i="72"/>
  <c r="AP59" i="72"/>
  <c r="AQ59" i="72"/>
  <c r="AR59" i="72"/>
  <c r="AS59" i="72"/>
  <c r="AF60" i="72"/>
  <c r="AG60" i="72"/>
  <c r="AH60" i="72"/>
  <c r="AI60" i="72"/>
  <c r="AK60" i="72"/>
  <c r="AL60" i="72"/>
  <c r="AM60" i="72"/>
  <c r="AN60" i="72"/>
  <c r="AP60" i="72"/>
  <c r="AQ60" i="72"/>
  <c r="AR60" i="72"/>
  <c r="AS60" i="72"/>
  <c r="AF61" i="72"/>
  <c r="AG61" i="72"/>
  <c r="AH61" i="72"/>
  <c r="AI61" i="72"/>
  <c r="AK61" i="72"/>
  <c r="AL61" i="72"/>
  <c r="AM61" i="72"/>
  <c r="AN61" i="72"/>
  <c r="AP61" i="72"/>
  <c r="AQ61" i="72"/>
  <c r="AR61" i="72"/>
  <c r="AS61" i="72"/>
  <c r="AF63" i="72"/>
  <c r="AG63" i="72"/>
  <c r="AH63" i="72"/>
  <c r="AI63" i="72"/>
  <c r="AK63" i="72"/>
  <c r="AL63" i="72"/>
  <c r="AM63" i="72"/>
  <c r="AN63" i="72"/>
  <c r="AP63" i="72"/>
  <c r="AQ63" i="72"/>
  <c r="AR63" i="72"/>
  <c r="AS63" i="72"/>
  <c r="AF64" i="72"/>
  <c r="AG64" i="72"/>
  <c r="AH64" i="72"/>
  <c r="AI64" i="72"/>
  <c r="AK64" i="72"/>
  <c r="AL64" i="72"/>
  <c r="AM64" i="72"/>
  <c r="AN64" i="72"/>
  <c r="AP64" i="72"/>
  <c r="AQ64" i="72"/>
  <c r="AR64" i="72"/>
  <c r="AS64" i="72"/>
  <c r="AF65" i="72"/>
  <c r="AG65" i="72"/>
  <c r="AH65" i="72"/>
  <c r="AI65" i="72"/>
  <c r="AK65" i="72"/>
  <c r="AL65" i="72"/>
  <c r="AM65" i="72"/>
  <c r="AN65" i="72"/>
  <c r="AP65" i="72"/>
  <c r="AQ65" i="72"/>
  <c r="AR65" i="72"/>
  <c r="AS65" i="72"/>
  <c r="AF66" i="72"/>
  <c r="AG66" i="72"/>
  <c r="AH66" i="72"/>
  <c r="AI66" i="72"/>
  <c r="AK66" i="72"/>
  <c r="AL66" i="72"/>
  <c r="AM66" i="72"/>
  <c r="AN66" i="72"/>
  <c r="AP66" i="72"/>
  <c r="AQ66" i="72"/>
  <c r="AR66" i="72"/>
  <c r="AS66" i="72"/>
  <c r="AF67" i="72"/>
  <c r="AG67" i="72"/>
  <c r="AH67" i="72"/>
  <c r="AI67" i="72"/>
  <c r="AK67" i="72"/>
  <c r="AL67" i="72"/>
  <c r="AM67" i="72"/>
  <c r="AN67" i="72"/>
  <c r="AP67" i="72"/>
  <c r="AQ67" i="72"/>
  <c r="AR67" i="72"/>
  <c r="AS67" i="72"/>
  <c r="AF69" i="72"/>
  <c r="AG69" i="72"/>
  <c r="AH69" i="72"/>
  <c r="AI69" i="72"/>
  <c r="AK69" i="72"/>
  <c r="AL69" i="72"/>
  <c r="AM69" i="72"/>
  <c r="AN69" i="72"/>
  <c r="AP69" i="72"/>
  <c r="AQ69" i="72"/>
  <c r="AR69" i="72"/>
  <c r="AS69" i="72"/>
  <c r="AF70" i="72"/>
  <c r="AG70" i="72"/>
  <c r="AH70" i="72"/>
  <c r="AI70" i="72"/>
  <c r="AK70" i="72"/>
  <c r="AL70" i="72"/>
  <c r="AM70" i="72"/>
  <c r="AN70" i="72"/>
  <c r="AP70" i="72"/>
  <c r="AQ70" i="72"/>
  <c r="AR70" i="72"/>
  <c r="AS70" i="72"/>
  <c r="AF71" i="72"/>
  <c r="AG71" i="72"/>
  <c r="AH71" i="72"/>
  <c r="AI71" i="72"/>
  <c r="AK71" i="72"/>
  <c r="AL71" i="72"/>
  <c r="AM71" i="72"/>
  <c r="AN71" i="72"/>
  <c r="AP71" i="72"/>
  <c r="AQ71" i="72"/>
  <c r="AR71" i="72"/>
  <c r="AS71" i="72"/>
  <c r="AF72" i="72"/>
  <c r="AG72" i="72"/>
  <c r="AH72" i="72"/>
  <c r="AI72" i="72"/>
  <c r="AK72" i="72"/>
  <c r="AL72" i="72"/>
  <c r="AM72" i="72"/>
  <c r="AN72" i="72"/>
  <c r="AP72" i="72"/>
  <c r="AQ72" i="72"/>
  <c r="AR72" i="72"/>
  <c r="AS72" i="72"/>
  <c r="AF73" i="72"/>
  <c r="AG73" i="72"/>
  <c r="AH73" i="72"/>
  <c r="AI73" i="72"/>
  <c r="AK73" i="72"/>
  <c r="AL73" i="72"/>
  <c r="AM73" i="72"/>
  <c r="AN73" i="72"/>
  <c r="AP73" i="72"/>
  <c r="AQ73" i="72"/>
  <c r="AR73" i="72"/>
  <c r="AS73" i="72"/>
  <c r="AF4" i="41"/>
  <c r="AG4" i="41"/>
  <c r="AH4" i="41"/>
  <c r="AI4" i="41"/>
  <c r="AK4" i="41"/>
  <c r="AL4" i="41"/>
  <c r="AM4" i="41"/>
  <c r="AN4" i="41"/>
  <c r="AR4" i="41"/>
  <c r="AS4" i="41"/>
  <c r="AF5" i="41"/>
  <c r="AG5" i="41"/>
  <c r="AH5" i="41"/>
  <c r="AI5" i="41"/>
  <c r="AK5" i="41"/>
  <c r="AL5" i="41"/>
  <c r="AM5" i="41"/>
  <c r="AN5" i="41"/>
  <c r="AP5" i="41"/>
  <c r="AQ5" i="41"/>
  <c r="AR5" i="41"/>
  <c r="AS5" i="41"/>
  <c r="AF6" i="41"/>
  <c r="AG6" i="41"/>
  <c r="AH6" i="41"/>
  <c r="AI6" i="41"/>
  <c r="AK6" i="41"/>
  <c r="AL6" i="41"/>
  <c r="AM6" i="41"/>
  <c r="AN6" i="41"/>
  <c r="AQ6" i="41"/>
  <c r="AR6" i="41"/>
  <c r="AS6" i="41"/>
  <c r="AF7" i="41"/>
  <c r="AG7" i="41"/>
  <c r="AH7" i="41"/>
  <c r="AI7" i="41"/>
  <c r="AK7" i="41"/>
  <c r="AL7" i="41"/>
  <c r="AM7" i="41"/>
  <c r="AN7" i="41"/>
  <c r="AR7" i="41"/>
  <c r="AS7" i="41"/>
  <c r="AF9" i="41"/>
  <c r="AG9" i="41"/>
  <c r="AH9" i="41"/>
  <c r="AI9" i="41"/>
  <c r="AK9" i="41"/>
  <c r="AL9" i="41"/>
  <c r="AM9" i="41"/>
  <c r="AN9" i="41"/>
  <c r="AR9" i="41"/>
  <c r="AS9" i="41"/>
  <c r="AF10" i="41"/>
  <c r="AG10" i="41"/>
  <c r="AH10" i="41"/>
  <c r="AI10" i="41"/>
  <c r="AK10" i="41"/>
  <c r="AL10" i="41"/>
  <c r="AM10" i="41"/>
  <c r="AN10" i="41"/>
  <c r="AQ10" i="41"/>
  <c r="AR10" i="41"/>
  <c r="AS10" i="41"/>
  <c r="AF11" i="41"/>
  <c r="AG11" i="41"/>
  <c r="AH11" i="41"/>
  <c r="AI11" i="41"/>
  <c r="AK11" i="41"/>
  <c r="AL11" i="41"/>
  <c r="AM11" i="41"/>
  <c r="AN11" i="41"/>
  <c r="AR11" i="41"/>
  <c r="AS11" i="41"/>
  <c r="AF12" i="41"/>
  <c r="AG12" i="41"/>
  <c r="AH12" i="41"/>
  <c r="AI12" i="41"/>
  <c r="AK12" i="41"/>
  <c r="AL12" i="41"/>
  <c r="AM12" i="41"/>
  <c r="AN12" i="41"/>
  <c r="AR12" i="41"/>
  <c r="AS12" i="41"/>
  <c r="AF13" i="41"/>
  <c r="AG13" i="41"/>
  <c r="AH13" i="41"/>
  <c r="AI13" i="41"/>
  <c r="AK13" i="41"/>
  <c r="AL13" i="41"/>
  <c r="AM13" i="41"/>
  <c r="AN13" i="41"/>
  <c r="AP13" i="41"/>
  <c r="AQ13" i="41"/>
  <c r="AR13" i="41"/>
  <c r="AS13" i="41"/>
  <c r="AF15" i="41"/>
  <c r="AG15" i="41"/>
  <c r="AH15" i="41"/>
  <c r="AI15" i="41"/>
  <c r="AK15" i="41"/>
  <c r="AL15" i="41"/>
  <c r="AM15" i="41"/>
  <c r="AN15" i="41"/>
  <c r="AR15" i="41"/>
  <c r="AS15" i="41"/>
  <c r="AF16" i="41"/>
  <c r="AG16" i="41"/>
  <c r="AH16" i="41"/>
  <c r="AI16" i="41"/>
  <c r="AK16" i="41"/>
  <c r="AL16" i="41"/>
  <c r="AM16" i="41"/>
  <c r="AN16" i="41"/>
  <c r="AR16" i="41"/>
  <c r="AS16" i="41"/>
  <c r="AF17" i="41"/>
  <c r="AG17" i="41"/>
  <c r="AH17" i="41"/>
  <c r="AI17" i="41"/>
  <c r="AK17" i="41"/>
  <c r="AL17" i="41"/>
  <c r="AM17" i="41"/>
  <c r="AN17" i="41"/>
  <c r="AR17" i="41"/>
  <c r="AS17" i="41"/>
  <c r="AF18" i="41"/>
  <c r="AG18" i="41"/>
  <c r="AH18" i="41"/>
  <c r="AI18" i="41"/>
  <c r="AK18" i="41"/>
  <c r="AL18" i="41"/>
  <c r="AM18" i="41"/>
  <c r="AN18" i="41"/>
  <c r="AR18" i="41"/>
  <c r="AS18" i="41"/>
  <c r="AF19" i="41"/>
  <c r="AG19" i="41"/>
  <c r="AH19" i="41"/>
  <c r="AI19" i="41"/>
  <c r="AK19" i="41"/>
  <c r="AL19" i="41"/>
  <c r="AM19" i="41"/>
  <c r="AN19" i="41"/>
  <c r="AP19" i="41"/>
  <c r="AQ19" i="41"/>
  <c r="AR19" i="41"/>
  <c r="AS19" i="41"/>
  <c r="AF21" i="41"/>
  <c r="AG21" i="41"/>
  <c r="AH21" i="41"/>
  <c r="AI21" i="41"/>
  <c r="AK21" i="41"/>
  <c r="AL21" i="41"/>
  <c r="AM21" i="41"/>
  <c r="AN21" i="41"/>
  <c r="AQ21" i="41"/>
  <c r="AR21" i="41"/>
  <c r="AS21" i="41"/>
  <c r="AF22" i="41"/>
  <c r="AG22" i="41"/>
  <c r="AH22" i="41"/>
  <c r="AI22" i="41"/>
  <c r="AK22" i="41"/>
  <c r="AL22" i="41"/>
  <c r="AM22" i="41"/>
  <c r="AN22" i="41"/>
  <c r="AQ22" i="41"/>
  <c r="AR22" i="41"/>
  <c r="AS22" i="41"/>
  <c r="AF23" i="41"/>
  <c r="AG23" i="41"/>
  <c r="AH23" i="41"/>
  <c r="AI23" i="41"/>
  <c r="AK23" i="41"/>
  <c r="AL23" i="41"/>
  <c r="AM23" i="41"/>
  <c r="AN23" i="41"/>
  <c r="AQ23" i="41"/>
  <c r="AR23" i="41"/>
  <c r="AS23" i="41"/>
  <c r="AF24" i="41"/>
  <c r="AG24" i="41"/>
  <c r="AH24" i="41"/>
  <c r="AI24" i="41"/>
  <c r="AK24" i="41"/>
  <c r="AL24" i="41"/>
  <c r="AM24" i="41"/>
  <c r="AN24" i="41"/>
  <c r="AS24" i="41"/>
  <c r="AF25" i="41"/>
  <c r="AG25" i="41"/>
  <c r="AH25" i="41"/>
  <c r="AI25" i="41"/>
  <c r="AK25" i="41"/>
  <c r="AL25" i="41"/>
  <c r="AM25" i="41"/>
  <c r="AN25" i="41"/>
  <c r="AQ25" i="41"/>
  <c r="AR25" i="41"/>
  <c r="AS25" i="41"/>
  <c r="AF27" i="41"/>
  <c r="AG27" i="41"/>
  <c r="AH27" i="41"/>
  <c r="AI27" i="41"/>
  <c r="AK27" i="41"/>
  <c r="AL27" i="41"/>
  <c r="AM27" i="41"/>
  <c r="AN27" i="41"/>
  <c r="AR27" i="41"/>
  <c r="AS27" i="41"/>
  <c r="AF28" i="41"/>
  <c r="AG28" i="41"/>
  <c r="AH28" i="41"/>
  <c r="AI28" i="41"/>
  <c r="AK28" i="41"/>
  <c r="AL28" i="41"/>
  <c r="AM28" i="41"/>
  <c r="AN28" i="41"/>
  <c r="AQ28" i="41"/>
  <c r="AR28" i="41"/>
  <c r="AS28" i="41"/>
  <c r="AF29" i="41"/>
  <c r="AG29" i="41"/>
  <c r="AH29" i="41"/>
  <c r="AI29" i="41"/>
  <c r="AK29" i="41"/>
  <c r="AL29" i="41"/>
  <c r="AM29" i="41"/>
  <c r="AN29" i="41"/>
  <c r="AQ29" i="41"/>
  <c r="AR29" i="41"/>
  <c r="AS29" i="41"/>
  <c r="AF30" i="41"/>
  <c r="AG30" i="41"/>
  <c r="AH30" i="41"/>
  <c r="AI30" i="41"/>
  <c r="AK30" i="41"/>
  <c r="AL30" i="41"/>
  <c r="AM30" i="41"/>
  <c r="AN30" i="41"/>
  <c r="AQ30" i="41"/>
  <c r="AR30" i="41"/>
  <c r="AS30" i="41"/>
  <c r="AF31" i="41"/>
  <c r="AG31" i="41"/>
  <c r="AH31" i="41"/>
  <c r="AI31" i="41"/>
  <c r="AK31" i="41"/>
  <c r="AL31" i="41"/>
  <c r="AM31" i="41"/>
  <c r="AN31" i="41"/>
  <c r="AP31" i="41"/>
  <c r="AQ31" i="41"/>
  <c r="AR31" i="41"/>
  <c r="AS31" i="41"/>
  <c r="AF33" i="41"/>
  <c r="AG33" i="41"/>
  <c r="AH33" i="41"/>
  <c r="AI33" i="41"/>
  <c r="AK33" i="41"/>
  <c r="AL33" i="41"/>
  <c r="AM33" i="41"/>
  <c r="AN33" i="41"/>
  <c r="AR33" i="41"/>
  <c r="AS33" i="41"/>
  <c r="AF34" i="41"/>
  <c r="AG34" i="41"/>
  <c r="AH34" i="41"/>
  <c r="AI34" i="41"/>
  <c r="AK34" i="41"/>
  <c r="AL34" i="41"/>
  <c r="AM34" i="41"/>
  <c r="AN34" i="41"/>
  <c r="AQ34" i="41"/>
  <c r="AR34" i="41"/>
  <c r="AS34" i="41"/>
  <c r="AF35" i="41"/>
  <c r="AG35" i="41"/>
  <c r="AH35" i="41"/>
  <c r="AI35" i="41"/>
  <c r="AK35" i="41"/>
  <c r="AL35" i="41"/>
  <c r="AM35" i="41"/>
  <c r="AN35" i="41"/>
  <c r="AR35" i="41"/>
  <c r="AS35" i="41"/>
  <c r="AF36" i="41"/>
  <c r="AG36" i="41"/>
  <c r="AH36" i="41"/>
  <c r="AI36" i="41"/>
  <c r="AK36" i="41"/>
  <c r="AL36" i="41"/>
  <c r="AM36" i="41"/>
  <c r="AN36" i="41"/>
  <c r="AQ36" i="41"/>
  <c r="AR36" i="41"/>
  <c r="AS36" i="41"/>
  <c r="AF37" i="41"/>
  <c r="AG37" i="41"/>
  <c r="AH37" i="41"/>
  <c r="AI37" i="41"/>
  <c r="AK37" i="41"/>
  <c r="AL37" i="41"/>
  <c r="AM37" i="41"/>
  <c r="AN37" i="41"/>
  <c r="AP37" i="41"/>
  <c r="AQ37" i="41"/>
  <c r="AR37" i="41"/>
  <c r="AS37" i="41"/>
  <c r="AF39" i="41"/>
  <c r="AG39" i="41"/>
  <c r="AH39" i="41"/>
  <c r="AI39" i="41"/>
  <c r="AK39" i="41"/>
  <c r="AL39" i="41"/>
  <c r="AM39" i="41"/>
  <c r="AN39" i="41"/>
  <c r="AP39" i="41"/>
  <c r="AQ39" i="41"/>
  <c r="AR39" i="41"/>
  <c r="AS39" i="41"/>
  <c r="AF40" i="41"/>
  <c r="AG40" i="41"/>
  <c r="AH40" i="41"/>
  <c r="AI40" i="41"/>
  <c r="AK40" i="41"/>
  <c r="AL40" i="41"/>
  <c r="AM40" i="41"/>
  <c r="AN40" i="41"/>
  <c r="AR40" i="41"/>
  <c r="AS40" i="41"/>
  <c r="AF41" i="41"/>
  <c r="AG41" i="41"/>
  <c r="AH41" i="41"/>
  <c r="AI41" i="41"/>
  <c r="AK41" i="41"/>
  <c r="AL41" i="41"/>
  <c r="AM41" i="41"/>
  <c r="AN41" i="41"/>
  <c r="AR41" i="41"/>
  <c r="AS41" i="41"/>
  <c r="AF42" i="41"/>
  <c r="AG42" i="41"/>
  <c r="AH42" i="41"/>
  <c r="AI42" i="41"/>
  <c r="AK42" i="41"/>
  <c r="AL42" i="41"/>
  <c r="AM42" i="41"/>
  <c r="AN42" i="41"/>
  <c r="AR42" i="41"/>
  <c r="AS42" i="41"/>
  <c r="AF43" i="41"/>
  <c r="AG43" i="41"/>
  <c r="AH43" i="41"/>
  <c r="AI43" i="41"/>
  <c r="AK43" i="41"/>
  <c r="AL43" i="41"/>
  <c r="AM43" i="41"/>
  <c r="AN43" i="41"/>
  <c r="AP43" i="41"/>
  <c r="AQ43" i="41"/>
  <c r="AR43" i="41"/>
  <c r="AS43" i="41"/>
  <c r="AF45" i="41"/>
  <c r="AG45" i="41"/>
  <c r="AH45" i="41"/>
  <c r="AI45" i="41"/>
  <c r="AK45" i="41"/>
  <c r="AL45" i="41"/>
  <c r="AM45" i="41"/>
  <c r="AN45" i="41"/>
  <c r="AR45" i="41"/>
  <c r="AS45" i="41"/>
  <c r="AF46" i="41"/>
  <c r="AG46" i="41"/>
  <c r="AH46" i="41"/>
  <c r="AI46" i="41"/>
  <c r="AK46" i="41"/>
  <c r="AL46" i="41"/>
  <c r="AM46" i="41"/>
  <c r="AN46" i="41"/>
  <c r="AR46" i="41"/>
  <c r="AS46" i="41"/>
  <c r="AF47" i="41"/>
  <c r="AG47" i="41"/>
  <c r="AH47" i="41"/>
  <c r="AI47" i="41"/>
  <c r="AK47" i="41"/>
  <c r="AL47" i="41"/>
  <c r="AM47" i="41"/>
  <c r="AN47" i="41"/>
  <c r="AS47" i="41"/>
  <c r="AF48" i="41"/>
  <c r="AG48" i="41"/>
  <c r="AH48" i="41"/>
  <c r="AI48" i="41"/>
  <c r="AK48" i="41"/>
  <c r="AL48" i="41"/>
  <c r="AM48" i="41"/>
  <c r="AN48" i="41"/>
  <c r="AR48" i="41"/>
  <c r="AS48" i="41"/>
  <c r="AF49" i="41"/>
  <c r="AG49" i="41"/>
  <c r="AH49" i="41"/>
  <c r="AI49" i="41"/>
  <c r="AK49" i="41"/>
  <c r="AL49" i="41"/>
  <c r="AM49" i="41"/>
  <c r="AN49" i="41"/>
  <c r="AP49" i="41"/>
  <c r="AQ49" i="41"/>
  <c r="AR49" i="41"/>
  <c r="AS49" i="41"/>
  <c r="AF51" i="41"/>
  <c r="AG51" i="41"/>
  <c r="AH51" i="41"/>
  <c r="AI51" i="41"/>
  <c r="AK51" i="41"/>
  <c r="AL51" i="41"/>
  <c r="AM51" i="41"/>
  <c r="AN51" i="41"/>
  <c r="AS51" i="41"/>
  <c r="AF52" i="41"/>
  <c r="AG52" i="41"/>
  <c r="AH52" i="41"/>
  <c r="AI52" i="41"/>
  <c r="AK52" i="41"/>
  <c r="AL52" i="41"/>
  <c r="AM52" i="41"/>
  <c r="AN52" i="41"/>
  <c r="AR52" i="41"/>
  <c r="AS52" i="41"/>
  <c r="AF53" i="41"/>
  <c r="AG53" i="41"/>
  <c r="AH53" i="41"/>
  <c r="AI53" i="41"/>
  <c r="AK53" i="41"/>
  <c r="AL53" i="41"/>
  <c r="AM53" i="41"/>
  <c r="AN53" i="41"/>
  <c r="AR53" i="41"/>
  <c r="AS53" i="41"/>
  <c r="AF54" i="41"/>
  <c r="AG54" i="41"/>
  <c r="AH54" i="41"/>
  <c r="AI54" i="41"/>
  <c r="AK54" i="41"/>
  <c r="AL54" i="41"/>
  <c r="AM54" i="41"/>
  <c r="AN54" i="41"/>
  <c r="AR54" i="41"/>
  <c r="AS54" i="41"/>
  <c r="AF55" i="41"/>
  <c r="AG55" i="41"/>
  <c r="AH55" i="41"/>
  <c r="AI55" i="41"/>
  <c r="AK55" i="41"/>
  <c r="AL55" i="41"/>
  <c r="AM55" i="41"/>
  <c r="AN55" i="41"/>
  <c r="AP55" i="41"/>
  <c r="AQ55" i="41"/>
  <c r="AR55" i="41"/>
  <c r="AS55" i="41"/>
  <c r="AF57" i="41"/>
  <c r="AG57" i="41"/>
  <c r="AH57" i="41"/>
  <c r="AI57" i="41"/>
  <c r="AK57" i="41"/>
  <c r="AL57" i="41"/>
  <c r="AM57" i="41"/>
  <c r="AN57" i="41"/>
  <c r="AR57" i="41"/>
  <c r="AS57" i="41"/>
  <c r="AF58" i="41"/>
  <c r="AG58" i="41"/>
  <c r="AH58" i="41"/>
  <c r="AI58" i="41"/>
  <c r="AK58" i="41"/>
  <c r="AL58" i="41"/>
  <c r="AM58" i="41"/>
  <c r="AN58" i="41"/>
  <c r="AQ58" i="41"/>
  <c r="AR58" i="41"/>
  <c r="AS58" i="41"/>
  <c r="AF59" i="41"/>
  <c r="AG59" i="41"/>
  <c r="AH59" i="41"/>
  <c r="AI59" i="41"/>
  <c r="AK59" i="41"/>
  <c r="AL59" i="41"/>
  <c r="AM59" i="41"/>
  <c r="AN59" i="41"/>
  <c r="AR59" i="41"/>
  <c r="AS59" i="41"/>
  <c r="AF60" i="41"/>
  <c r="AG60" i="41"/>
  <c r="AH60" i="41"/>
  <c r="AI60" i="41"/>
  <c r="AK60" i="41"/>
  <c r="AL60" i="41"/>
  <c r="AM60" i="41"/>
  <c r="AN60" i="41"/>
  <c r="AR60" i="41"/>
  <c r="AS60" i="41"/>
  <c r="AF61" i="41"/>
  <c r="AG61" i="41"/>
  <c r="AH61" i="41"/>
  <c r="AI61" i="41"/>
  <c r="AK61" i="41"/>
  <c r="AL61" i="41"/>
  <c r="AM61" i="41"/>
  <c r="AN61" i="41"/>
  <c r="AR61" i="41"/>
  <c r="AS61" i="41"/>
  <c r="AF63" i="41"/>
  <c r="AG63" i="41"/>
  <c r="AH63" i="41"/>
  <c r="AI63" i="41"/>
  <c r="AK63" i="41"/>
  <c r="AL63" i="41"/>
  <c r="AM63" i="41"/>
  <c r="AN63" i="41"/>
  <c r="AR63" i="41"/>
  <c r="AS63" i="41"/>
  <c r="AF64" i="41"/>
  <c r="AG64" i="41"/>
  <c r="AH64" i="41"/>
  <c r="AI64" i="41"/>
  <c r="AK64" i="41"/>
  <c r="AL64" i="41"/>
  <c r="AM64" i="41"/>
  <c r="AN64" i="41"/>
  <c r="AR64" i="41"/>
  <c r="AS64" i="41"/>
  <c r="AF65" i="41"/>
  <c r="AG65" i="41"/>
  <c r="AH65" i="41"/>
  <c r="AI65" i="41"/>
  <c r="AK65" i="41"/>
  <c r="AL65" i="41"/>
  <c r="AM65" i="41"/>
  <c r="AN65" i="41"/>
  <c r="AR65" i="41"/>
  <c r="AS65" i="41"/>
  <c r="AF66" i="41"/>
  <c r="AG66" i="41"/>
  <c r="AH66" i="41"/>
  <c r="AI66" i="41"/>
  <c r="AK66" i="41"/>
  <c r="AL66" i="41"/>
  <c r="AM66" i="41"/>
  <c r="AN66" i="41"/>
  <c r="AR66" i="41"/>
  <c r="AS66" i="41"/>
  <c r="AF67" i="41"/>
  <c r="AG67" i="41"/>
  <c r="AH67" i="41"/>
  <c r="AI67" i="41"/>
  <c r="AK67" i="41"/>
  <c r="AL67" i="41"/>
  <c r="AM67" i="41"/>
  <c r="AN67" i="41"/>
  <c r="AP67" i="41"/>
  <c r="AQ67" i="41"/>
  <c r="AR67" i="41"/>
  <c r="AS67" i="41"/>
  <c r="AF69" i="41"/>
  <c r="AG69" i="41"/>
  <c r="AH69" i="41"/>
  <c r="AI69" i="41"/>
  <c r="AK69" i="41"/>
  <c r="AL69" i="41"/>
  <c r="AM69" i="41"/>
  <c r="AN69" i="41"/>
  <c r="AR69" i="41"/>
  <c r="AS69" i="41"/>
  <c r="AF70" i="41"/>
  <c r="AG70" i="41"/>
  <c r="AH70" i="41"/>
  <c r="AI70" i="41"/>
  <c r="AK70" i="41"/>
  <c r="AL70" i="41"/>
  <c r="AM70" i="41"/>
  <c r="AN70" i="41"/>
  <c r="AR70" i="41"/>
  <c r="AS70" i="41"/>
  <c r="AF71" i="41"/>
  <c r="AG71" i="41"/>
  <c r="AH71" i="41"/>
  <c r="AI71" i="41"/>
  <c r="AK71" i="41"/>
  <c r="AL71" i="41"/>
  <c r="AM71" i="41"/>
  <c r="AN71" i="41"/>
  <c r="AR71" i="41"/>
  <c r="AS71" i="41"/>
  <c r="AF72" i="41"/>
  <c r="AG72" i="41"/>
  <c r="AH72" i="41"/>
  <c r="AI72" i="41"/>
  <c r="AK72" i="41"/>
  <c r="AL72" i="41"/>
  <c r="AM72" i="41"/>
  <c r="AN72" i="41"/>
  <c r="AP72" i="41"/>
  <c r="AQ72" i="41"/>
  <c r="AR72" i="41"/>
  <c r="AS72" i="41"/>
  <c r="AF73" i="41"/>
  <c r="AG73" i="41"/>
  <c r="AH73" i="41"/>
  <c r="AI73" i="41"/>
  <c r="AK73" i="41"/>
  <c r="AL73" i="41"/>
  <c r="AM73" i="41"/>
  <c r="AN73" i="41"/>
  <c r="AP73" i="41"/>
  <c r="AQ73" i="41"/>
  <c r="AR73" i="41"/>
  <c r="AS73" i="41"/>
  <c r="AS3" i="65"/>
  <c r="AS3" i="66"/>
  <c r="AS8" i="66" s="1"/>
  <c r="AS3" i="67"/>
  <c r="AS3" i="68"/>
  <c r="AS3" i="69"/>
  <c r="AS3" i="70"/>
  <c r="AS3" i="71"/>
  <c r="AS3" i="73"/>
  <c r="AS8" i="73" s="1"/>
  <c r="AS3" i="72"/>
  <c r="AS3" i="41"/>
  <c r="AR3" i="65"/>
  <c r="AR3" i="66"/>
  <c r="AR3" i="67"/>
  <c r="AR3" i="68"/>
  <c r="AR3" i="69"/>
  <c r="AR3" i="70"/>
  <c r="AR3" i="71"/>
  <c r="AR3" i="73"/>
  <c r="AR3" i="72"/>
  <c r="AR3" i="41"/>
  <c r="AQ3" i="65"/>
  <c r="AQ3" i="66"/>
  <c r="AQ3" i="67"/>
  <c r="AQ3" i="69"/>
  <c r="AQ3" i="70"/>
  <c r="AQ3" i="71"/>
  <c r="AQ3" i="73"/>
  <c r="AQ3" i="72"/>
  <c r="AP3" i="65"/>
  <c r="AP3" i="66"/>
  <c r="AP3" i="67"/>
  <c r="AP3" i="68"/>
  <c r="AP3" i="69"/>
  <c r="AP3" i="70"/>
  <c r="AP3" i="71"/>
  <c r="AP3" i="73"/>
  <c r="AP3" i="72"/>
  <c r="AN3" i="65"/>
  <c r="AN3" i="66"/>
  <c r="AN3" i="67"/>
  <c r="AN3" i="68"/>
  <c r="AN3" i="69"/>
  <c r="AN3" i="70"/>
  <c r="AN3" i="71"/>
  <c r="AN3" i="73"/>
  <c r="AN3" i="72"/>
  <c r="AN3" i="41"/>
  <c r="AM3" i="65"/>
  <c r="AM3" i="66"/>
  <c r="AM3" i="67"/>
  <c r="AM3" i="68"/>
  <c r="AM3" i="69"/>
  <c r="AM3" i="70"/>
  <c r="AM3" i="71"/>
  <c r="AM3" i="73"/>
  <c r="AM3" i="72"/>
  <c r="AM3" i="41"/>
  <c r="AL3" i="65"/>
  <c r="AL3" i="66"/>
  <c r="AL3" i="67"/>
  <c r="AL3" i="68"/>
  <c r="AL3" i="69"/>
  <c r="AL3" i="70"/>
  <c r="AL3" i="71"/>
  <c r="AL3" i="73"/>
  <c r="AL3" i="72"/>
  <c r="AL3" i="41"/>
  <c r="AK3" i="65"/>
  <c r="AK3" i="66"/>
  <c r="AK3" i="67"/>
  <c r="AK3" i="68"/>
  <c r="AK3" i="69"/>
  <c r="AK3" i="70"/>
  <c r="AK3" i="71"/>
  <c r="AK3" i="73"/>
  <c r="AK3" i="72"/>
  <c r="AK3" i="41"/>
  <c r="AI3" i="65"/>
  <c r="AI3" i="66"/>
  <c r="AI8" i="66" s="1"/>
  <c r="AI3" i="67"/>
  <c r="AI3" i="68"/>
  <c r="AI3" i="69"/>
  <c r="AI3" i="70"/>
  <c r="AI3" i="71"/>
  <c r="AI3" i="73"/>
  <c r="AI3" i="72"/>
  <c r="AI3" i="41"/>
  <c r="AH3" i="65"/>
  <c r="AH3" i="66"/>
  <c r="AH3" i="67"/>
  <c r="AH3" i="68"/>
  <c r="AH3" i="69"/>
  <c r="AH3" i="70"/>
  <c r="AH3" i="71"/>
  <c r="AH3" i="73"/>
  <c r="AH8" i="73" s="1"/>
  <c r="AH3" i="72"/>
  <c r="AH3" i="41"/>
  <c r="AG3" i="65"/>
  <c r="AG3" i="66"/>
  <c r="AG8" i="66" s="1"/>
  <c r="AG3" i="67"/>
  <c r="AG3" i="68"/>
  <c r="AG3" i="69"/>
  <c r="AG3" i="70"/>
  <c r="AG3" i="71"/>
  <c r="AG3" i="73"/>
  <c r="AG8" i="73" s="1"/>
  <c r="AG3" i="72"/>
  <c r="AG3" i="41"/>
  <c r="AF3" i="65"/>
  <c r="AF3" i="66"/>
  <c r="AF8" i="66" s="1"/>
  <c r="AF3" i="67"/>
  <c r="AF3" i="68"/>
  <c r="AF3" i="69"/>
  <c r="AF3" i="70"/>
  <c r="AF3" i="71"/>
  <c r="AF3" i="73"/>
  <c r="AF3" i="72"/>
  <c r="AF3" i="41"/>
  <c r="AH8" i="70" l="1"/>
  <c r="AI8" i="70"/>
  <c r="AH8" i="71"/>
  <c r="AS8" i="67"/>
  <c r="AP8" i="67"/>
  <c r="AR8" i="67"/>
  <c r="AH8" i="67"/>
  <c r="AQ8" i="67"/>
  <c r="AG8" i="67"/>
  <c r="AF8" i="67"/>
  <c r="AI8" i="67"/>
  <c r="AS8" i="65"/>
  <c r="AI8" i="65"/>
  <c r="AI8" i="71"/>
  <c r="AH8" i="72"/>
  <c r="AG8" i="72"/>
  <c r="AR8" i="70"/>
  <c r="AQ8" i="73"/>
  <c r="AR8" i="66"/>
  <c r="AQ8" i="66"/>
  <c r="AG8" i="65"/>
  <c r="AH8" i="69"/>
  <c r="AR8" i="69"/>
  <c r="AI8" i="69"/>
  <c r="N24" i="53"/>
  <c r="AF8" i="72"/>
  <c r="AF8" i="73"/>
  <c r="AS8" i="71"/>
  <c r="AS8" i="70"/>
  <c r="S25" i="53"/>
  <c r="S24" i="53"/>
  <c r="AF8" i="71"/>
  <c r="AF8" i="70"/>
  <c r="AR8" i="71"/>
  <c r="AS8" i="69"/>
  <c r="AF8" i="69"/>
  <c r="AG8" i="69"/>
  <c r="S26" i="53"/>
  <c r="G24" i="53"/>
  <c r="AR8" i="65"/>
  <c r="V37" i="53"/>
  <c r="H24" i="53"/>
  <c r="I24" i="53"/>
  <c r="AH8" i="65"/>
  <c r="AP8" i="68"/>
  <c r="S27" i="53"/>
  <c r="S29" i="53"/>
  <c r="H26" i="53"/>
  <c r="H25" i="53"/>
  <c r="Q26" i="53"/>
  <c r="AR8" i="72"/>
  <c r="AR8" i="73"/>
  <c r="AQ8" i="70"/>
  <c r="Q25" i="53"/>
  <c r="AP8" i="72"/>
  <c r="AP8" i="70"/>
  <c r="AP8" i="73"/>
  <c r="AQ8" i="69"/>
  <c r="AP8" i="71"/>
  <c r="AP8" i="69"/>
  <c r="AS8" i="72"/>
  <c r="P63" i="53"/>
  <c r="P57" i="53"/>
  <c r="P51" i="53"/>
  <c r="AP8" i="65"/>
  <c r="P33" i="53"/>
  <c r="P25" i="53"/>
  <c r="H35" i="53"/>
  <c r="H33" i="53"/>
  <c r="G35" i="53"/>
  <c r="G33" i="53"/>
  <c r="P75" i="53"/>
  <c r="P69" i="53"/>
  <c r="M24" i="53"/>
  <c r="L24" i="53"/>
  <c r="K24" i="53"/>
  <c r="AK8" i="65"/>
  <c r="F32" i="53"/>
  <c r="F35" i="53"/>
  <c r="F33" i="53"/>
  <c r="F24" i="53"/>
  <c r="L23" i="53"/>
  <c r="G32" i="53"/>
  <c r="AI8" i="68"/>
  <c r="I26" i="53"/>
  <c r="G25" i="53"/>
  <c r="I25" i="53"/>
  <c r="I27" i="53"/>
  <c r="F25" i="53"/>
  <c r="P39" i="53"/>
  <c r="H38" i="53"/>
  <c r="H41" i="53"/>
  <c r="H39" i="53"/>
  <c r="H42" i="53"/>
  <c r="H36" i="53"/>
  <c r="H43" i="53"/>
  <c r="G26" i="53"/>
  <c r="H37" i="53"/>
  <c r="P93" i="53"/>
  <c r="P92" i="53"/>
  <c r="P87" i="53"/>
  <c r="H91" i="53"/>
  <c r="H80" i="53"/>
  <c r="H68" i="53"/>
  <c r="G72" i="53"/>
  <c r="F92" i="53"/>
  <c r="F85" i="53"/>
  <c r="F80" i="53"/>
  <c r="F77" i="53"/>
  <c r="F71" i="53"/>
  <c r="F66" i="53"/>
  <c r="F61" i="53"/>
  <c r="F55" i="53"/>
  <c r="F50" i="53"/>
  <c r="F41" i="53"/>
  <c r="H90" i="53"/>
  <c r="H81" i="53"/>
  <c r="H69" i="53"/>
  <c r="G77" i="53"/>
  <c r="G69" i="53"/>
  <c r="F91" i="53"/>
  <c r="F87" i="53"/>
  <c r="F83" i="53"/>
  <c r="F78" i="53"/>
  <c r="F73" i="53"/>
  <c r="F68" i="53"/>
  <c r="F63" i="53"/>
  <c r="F60" i="53"/>
  <c r="F56" i="53"/>
  <c r="F51" i="53"/>
  <c r="F42" i="53"/>
  <c r="H85" i="53"/>
  <c r="H92" i="53"/>
  <c r="H84" i="53"/>
  <c r="H78" i="53"/>
  <c r="H72" i="53"/>
  <c r="H63" i="53"/>
  <c r="H57" i="53"/>
  <c r="H53" i="53"/>
  <c r="H48" i="53"/>
  <c r="H59" i="53"/>
  <c r="H93" i="53"/>
  <c r="H86" i="53"/>
  <c r="H77" i="53"/>
  <c r="H73" i="53"/>
  <c r="H65" i="53"/>
  <c r="H61" i="53"/>
  <c r="H55" i="53"/>
  <c r="H50" i="53"/>
  <c r="H45" i="53"/>
  <c r="G75" i="53"/>
  <c r="G71" i="53"/>
  <c r="G68" i="53"/>
  <c r="G67" i="53"/>
  <c r="G66" i="53"/>
  <c r="G65" i="53"/>
  <c r="G63" i="53"/>
  <c r="G62" i="53"/>
  <c r="G61" i="53"/>
  <c r="G60" i="53"/>
  <c r="G59" i="53"/>
  <c r="G57" i="53"/>
  <c r="G56" i="53"/>
  <c r="G55" i="53"/>
  <c r="G54" i="53"/>
  <c r="G53" i="53"/>
  <c r="G51" i="53"/>
  <c r="G50" i="53"/>
  <c r="G49" i="53"/>
  <c r="G48" i="53"/>
  <c r="G47" i="53"/>
  <c r="G45" i="53"/>
  <c r="G44" i="53"/>
  <c r="G43" i="53"/>
  <c r="G42" i="53"/>
  <c r="G41" i="53"/>
  <c r="G39" i="53"/>
  <c r="G38" i="53"/>
  <c r="G37" i="53"/>
  <c r="G36" i="53"/>
  <c r="H87" i="53"/>
  <c r="H79" i="53"/>
  <c r="H74" i="53"/>
  <c r="H67" i="53"/>
  <c r="H60" i="53"/>
  <c r="H54" i="53"/>
  <c r="H49" i="53"/>
  <c r="H44" i="53"/>
  <c r="G73" i="53"/>
  <c r="F90" i="53"/>
  <c r="F86" i="53"/>
  <c r="F81" i="53"/>
  <c r="F75" i="53"/>
  <c r="F69" i="53"/>
  <c r="F65" i="53"/>
  <c r="F59" i="53"/>
  <c r="F54" i="53"/>
  <c r="F49" i="53"/>
  <c r="F47" i="53"/>
  <c r="F44" i="53"/>
  <c r="F43" i="53"/>
  <c r="F38" i="53"/>
  <c r="F37" i="53"/>
  <c r="F36" i="53"/>
  <c r="G27" i="53"/>
  <c r="H89" i="53"/>
  <c r="H83" i="53"/>
  <c r="H75" i="53"/>
  <c r="H71" i="53"/>
  <c r="H66" i="53"/>
  <c r="H62" i="53"/>
  <c r="H56" i="53"/>
  <c r="H51" i="53"/>
  <c r="H47" i="53"/>
  <c r="G74" i="53"/>
  <c r="F93" i="53"/>
  <c r="F89" i="53"/>
  <c r="F84" i="53"/>
  <c r="F79" i="53"/>
  <c r="F74" i="53"/>
  <c r="F72" i="53"/>
  <c r="F67" i="53"/>
  <c r="F62" i="53"/>
  <c r="F57" i="53"/>
  <c r="F53" i="53"/>
  <c r="F48" i="53"/>
  <c r="F45" i="53"/>
  <c r="F39" i="53"/>
  <c r="F27" i="53"/>
  <c r="AF8" i="65"/>
  <c r="H27" i="53"/>
  <c r="F26" i="53"/>
  <c r="N25" i="53"/>
  <c r="M26" i="53"/>
  <c r="M25" i="53"/>
  <c r="N27" i="53"/>
  <c r="N26" i="53"/>
  <c r="R23" i="53"/>
  <c r="R26" i="53"/>
  <c r="R27" i="53"/>
  <c r="H23" i="53"/>
  <c r="F23" i="53"/>
  <c r="AQ8" i="65"/>
  <c r="R25" i="53"/>
  <c r="R24" i="53"/>
  <c r="R29" i="53"/>
  <c r="Q30" i="53"/>
  <c r="K23" i="53"/>
  <c r="G23" i="53"/>
  <c r="N23" i="53"/>
  <c r="AL8" i="65"/>
  <c r="S23" i="53"/>
  <c r="M23" i="53"/>
  <c r="M27" i="53"/>
  <c r="L26" i="53"/>
  <c r="L25" i="53"/>
  <c r="I23" i="53"/>
  <c r="L27" i="53"/>
  <c r="K26" i="53"/>
  <c r="K25" i="53"/>
  <c r="K27" i="53"/>
  <c r="AP8" i="66"/>
  <c r="H30" i="53"/>
  <c r="F29" i="53"/>
  <c r="H31" i="53"/>
  <c r="G30" i="53"/>
  <c r="G31" i="53"/>
  <c r="F30" i="53"/>
  <c r="H32" i="53"/>
  <c r="F31" i="53"/>
  <c r="G93" i="53"/>
  <c r="G92" i="53"/>
  <c r="G91" i="53"/>
  <c r="G90" i="53"/>
  <c r="G89" i="53"/>
  <c r="G87" i="53"/>
  <c r="G86" i="53"/>
  <c r="G85" i="53"/>
  <c r="G84" i="53"/>
  <c r="G83" i="53"/>
  <c r="G81" i="53"/>
  <c r="G80" i="53"/>
  <c r="G79" i="53"/>
  <c r="G78" i="53"/>
  <c r="AM8" i="70"/>
  <c r="AK8" i="66"/>
  <c r="AN8" i="66"/>
  <c r="AE28" i="72"/>
  <c r="AE29" i="71"/>
  <c r="AE61" i="69"/>
  <c r="AJ64" i="70"/>
  <c r="AL8" i="70"/>
  <c r="AM8" i="67"/>
  <c r="AK8" i="70"/>
  <c r="AM8" i="66"/>
  <c r="AE40" i="67"/>
  <c r="AE25" i="67"/>
  <c r="AE19" i="66"/>
  <c r="AL8" i="69"/>
  <c r="AK8" i="69"/>
  <c r="AL8" i="67"/>
  <c r="AE63" i="70"/>
  <c r="AE16" i="69"/>
  <c r="AL8" i="66"/>
  <c r="AO53" i="69"/>
  <c r="AK8" i="71"/>
  <c r="AK8" i="67"/>
  <c r="W37" i="53"/>
  <c r="AJ3" i="73"/>
  <c r="AJ37" i="71"/>
  <c r="AJ36" i="71"/>
  <c r="AJ35" i="71"/>
  <c r="AL8" i="68"/>
  <c r="AK8" i="68"/>
  <c r="AJ66" i="69"/>
  <c r="AE12" i="71"/>
  <c r="AL20" i="69"/>
  <c r="AJ6" i="69"/>
  <c r="AO19" i="72"/>
  <c r="AO7" i="71"/>
  <c r="AO64" i="69"/>
  <c r="AO58" i="69"/>
  <c r="AF20" i="69"/>
  <c r="AE9" i="69"/>
  <c r="AE52" i="67"/>
  <c r="AJ17" i="72"/>
  <c r="AJ35" i="69"/>
  <c r="AE24" i="70"/>
  <c r="AE23" i="70"/>
  <c r="AE18" i="70"/>
  <c r="AE13" i="70"/>
  <c r="AE70" i="69"/>
  <c r="AI50" i="69"/>
  <c r="AL8" i="71"/>
  <c r="AM8" i="69"/>
  <c r="AN8" i="67"/>
  <c r="AO15" i="72"/>
  <c r="AO66" i="69"/>
  <c r="AO65" i="69"/>
  <c r="AJ43" i="69"/>
  <c r="AJ18" i="72"/>
  <c r="AJ65" i="69"/>
  <c r="AN8" i="72"/>
  <c r="AJ34" i="69"/>
  <c r="AN8" i="73"/>
  <c r="AJ12" i="69"/>
  <c r="AJ59" i="66"/>
  <c r="AJ55" i="66"/>
  <c r="AJ41" i="66"/>
  <c r="AJ30" i="66"/>
  <c r="AE11" i="71"/>
  <c r="AE4" i="71"/>
  <c r="AJ11" i="69"/>
  <c r="AJ4" i="69"/>
  <c r="AJ73" i="67"/>
  <c r="AJ65" i="66"/>
  <c r="AJ61" i="66"/>
  <c r="AJ58" i="66"/>
  <c r="AJ40" i="66"/>
  <c r="AJ29" i="66"/>
  <c r="AG8" i="71"/>
  <c r="AM8" i="72"/>
  <c r="AN8" i="71"/>
  <c r="AE60" i="73"/>
  <c r="AE25" i="71"/>
  <c r="AE21" i="71"/>
  <c r="AE19" i="71"/>
  <c r="AE73" i="70"/>
  <c r="AE65" i="70"/>
  <c r="AE41" i="69"/>
  <c r="AE37" i="69"/>
  <c r="AE35" i="69"/>
  <c r="AE34" i="69"/>
  <c r="AE19" i="69"/>
  <c r="AE18" i="69"/>
  <c r="AE17" i="69"/>
  <c r="AI20" i="69"/>
  <c r="AJ10" i="69"/>
  <c r="AJ72" i="67"/>
  <c r="AJ64" i="66"/>
  <c r="AJ60" i="66"/>
  <c r="AJ57" i="66"/>
  <c r="AJ42" i="66"/>
  <c r="AJ28" i="66"/>
  <c r="AN8" i="70"/>
  <c r="AE61" i="70"/>
  <c r="AE53" i="70"/>
  <c r="AE49" i="70"/>
  <c r="AE43" i="70"/>
  <c r="AE41" i="70"/>
  <c r="AE37" i="70"/>
  <c r="AE31" i="70"/>
  <c r="AE60" i="69"/>
  <c r="AE55" i="69"/>
  <c r="AE51" i="69"/>
  <c r="AG50" i="69"/>
  <c r="AE73" i="67"/>
  <c r="AE71" i="67"/>
  <c r="AE70" i="67"/>
  <c r="AE66" i="67"/>
  <c r="AE65" i="67"/>
  <c r="AE64" i="67"/>
  <c r="AE61" i="67"/>
  <c r="AE25" i="66"/>
  <c r="AE24" i="66"/>
  <c r="AE10" i="66"/>
  <c r="AE7" i="66"/>
  <c r="AE6" i="66"/>
  <c r="AE5" i="66"/>
  <c r="AE4" i="66"/>
  <c r="AO3" i="73"/>
  <c r="AJ40" i="69"/>
  <c r="AJ7" i="69"/>
  <c r="AM8" i="71"/>
  <c r="AN8" i="69"/>
  <c r="AE46" i="69"/>
  <c r="AJ3" i="72"/>
  <c r="AN68" i="72"/>
  <c r="AN56" i="72"/>
  <c r="AS26" i="69"/>
  <c r="AH14" i="68"/>
  <c r="AS20" i="69"/>
  <c r="AE15" i="69"/>
  <c r="AG14" i="68"/>
  <c r="AG74" i="67"/>
  <c r="AE60" i="67"/>
  <c r="AM32" i="72"/>
  <c r="AM38" i="73"/>
  <c r="AQ32" i="69"/>
  <c r="AR20" i="69"/>
  <c r="AF14" i="68"/>
  <c r="AE72" i="67"/>
  <c r="AE67" i="67"/>
  <c r="AE55" i="67"/>
  <c r="AL44" i="72"/>
  <c r="AJ46" i="72"/>
  <c r="AJ12" i="73"/>
  <c r="AJ4" i="73"/>
  <c r="AJ59" i="71"/>
  <c r="AJ43" i="71"/>
  <c r="AL68" i="72"/>
  <c r="AJ60" i="72"/>
  <c r="AJ42" i="72"/>
  <c r="AK26" i="73"/>
  <c r="AJ13" i="73"/>
  <c r="AJ5" i="73"/>
  <c r="AJ66" i="71"/>
  <c r="AJ40" i="71"/>
  <c r="AI56" i="72"/>
  <c r="AI44" i="72"/>
  <c r="AI62" i="73"/>
  <c r="AI50" i="73"/>
  <c r="AI38" i="73"/>
  <c r="AI50" i="71"/>
  <c r="AJ61" i="72"/>
  <c r="AJ41" i="72"/>
  <c r="AJ61" i="73"/>
  <c r="AK50" i="73"/>
  <c r="AJ19" i="73"/>
  <c r="AJ11" i="73"/>
  <c r="AJ73" i="71"/>
  <c r="AJ65" i="71"/>
  <c r="AJ41" i="71"/>
  <c r="AM56" i="72"/>
  <c r="AJ40" i="72"/>
  <c r="AJ60" i="73"/>
  <c r="AJ43" i="73"/>
  <c r="AJ18" i="73"/>
  <c r="AJ10" i="73"/>
  <c r="AJ72" i="71"/>
  <c r="AJ64" i="71"/>
  <c r="AJ55" i="71"/>
  <c r="AJ42" i="71"/>
  <c r="AG8" i="70"/>
  <c r="AM8" i="73"/>
  <c r="AE72" i="72"/>
  <c r="AE59" i="72"/>
  <c r="AE58" i="72"/>
  <c r="AE55" i="72"/>
  <c r="AE54" i="72"/>
  <c r="AE53" i="72"/>
  <c r="AE47" i="72"/>
  <c r="AE46" i="72"/>
  <c r="AE43" i="72"/>
  <c r="AE42" i="72"/>
  <c r="AE41" i="72"/>
  <c r="AE23" i="72"/>
  <c r="AE4" i="72"/>
  <c r="AE73" i="73"/>
  <c r="AL8" i="72"/>
  <c r="AG68" i="72"/>
  <c r="AE60" i="72"/>
  <c r="AG56" i="72"/>
  <c r="AE40" i="72"/>
  <c r="AG32" i="72"/>
  <c r="AE24" i="72"/>
  <c r="AJ66" i="73"/>
  <c r="AJ6" i="73"/>
  <c r="AJ60" i="71"/>
  <c r="AL8" i="73"/>
  <c r="AN44" i="67"/>
  <c r="AN38" i="67"/>
  <c r="AL14" i="73"/>
  <c r="AK20" i="72"/>
  <c r="AJ42" i="73"/>
  <c r="AJ34" i="73"/>
  <c r="AJ17" i="73"/>
  <c r="AK14" i="73"/>
  <c r="AJ70" i="71"/>
  <c r="AJ61" i="71"/>
  <c r="AM56" i="67"/>
  <c r="AM50" i="67"/>
  <c r="AM44" i="67"/>
  <c r="AJ47" i="72"/>
  <c r="AJ41" i="73"/>
  <c r="AJ16" i="73"/>
  <c r="AJ7" i="73"/>
  <c r="AJ71" i="71"/>
  <c r="AH8" i="66"/>
  <c r="AE3" i="66"/>
  <c r="AK8" i="72"/>
  <c r="AE35" i="70"/>
  <c r="AE25" i="70"/>
  <c r="AE15" i="70"/>
  <c r="AE71" i="69"/>
  <c r="AE63" i="69"/>
  <c r="AL62" i="67"/>
  <c r="AL56" i="67"/>
  <c r="AL50" i="67"/>
  <c r="AL44" i="67"/>
  <c r="AM62" i="73"/>
  <c r="AJ43" i="72"/>
  <c r="AK32" i="72"/>
  <c r="AJ65" i="73"/>
  <c r="K92" i="53"/>
  <c r="K90" i="53"/>
  <c r="K87" i="53"/>
  <c r="K85" i="53"/>
  <c r="K83" i="53"/>
  <c r="K80" i="53"/>
  <c r="K78" i="53"/>
  <c r="K75" i="53"/>
  <c r="K73" i="53"/>
  <c r="K71" i="53"/>
  <c r="K69" i="53"/>
  <c r="K67" i="53"/>
  <c r="K65" i="53"/>
  <c r="K62" i="53"/>
  <c r="K60" i="53"/>
  <c r="K57" i="53"/>
  <c r="K55" i="53"/>
  <c r="K53" i="53"/>
  <c r="K50" i="53"/>
  <c r="K48" i="53"/>
  <c r="K45" i="53"/>
  <c r="K43" i="53"/>
  <c r="K42" i="53"/>
  <c r="AO67" i="70"/>
  <c r="AE29" i="70"/>
  <c r="AE19" i="70"/>
  <c r="AE17" i="70"/>
  <c r="AE73" i="69"/>
  <c r="AE69" i="69"/>
  <c r="AE67" i="69"/>
  <c r="AE65" i="69"/>
  <c r="AJ54" i="67"/>
  <c r="AJ52" i="67"/>
  <c r="AM26" i="73"/>
  <c r="AL38" i="73"/>
  <c r="AJ67" i="73"/>
  <c r="K93" i="53"/>
  <c r="K91" i="53"/>
  <c r="K89" i="53"/>
  <c r="K86" i="53"/>
  <c r="K84" i="53"/>
  <c r="K81" i="53"/>
  <c r="K79" i="53"/>
  <c r="K77" i="53"/>
  <c r="K74" i="53"/>
  <c r="K72" i="53"/>
  <c r="K68" i="53"/>
  <c r="K66" i="53"/>
  <c r="K63" i="53"/>
  <c r="K61" i="53"/>
  <c r="K59" i="53"/>
  <c r="K56" i="53"/>
  <c r="K54" i="53"/>
  <c r="K51" i="53"/>
  <c r="K49" i="53"/>
  <c r="K47" i="53"/>
  <c r="K44" i="53"/>
  <c r="AI74" i="67"/>
  <c r="AI68" i="67"/>
  <c r="AI62" i="67"/>
  <c r="AO60" i="70"/>
  <c r="AO59" i="70"/>
  <c r="AO49" i="70"/>
  <c r="AO42" i="70"/>
  <c r="AO41" i="70"/>
  <c r="AP32" i="69"/>
  <c r="AQ20" i="69"/>
  <c r="AS14" i="68"/>
  <c r="AF74" i="67"/>
  <c r="AG68" i="67"/>
  <c r="AE59" i="67"/>
  <c r="AE58" i="67"/>
  <c r="AJ47" i="67"/>
  <c r="AJ42" i="67"/>
  <c r="AJ37" i="67"/>
  <c r="AJ28" i="67"/>
  <c r="K29" i="53"/>
  <c r="AS68" i="72"/>
  <c r="AE66" i="73"/>
  <c r="AE48" i="73"/>
  <c r="AE31" i="71"/>
  <c r="AE24" i="71"/>
  <c r="AJ10" i="71"/>
  <c r="AJ7" i="71"/>
  <c r="AO28" i="70"/>
  <c r="AO18" i="70"/>
  <c r="AO17" i="70"/>
  <c r="AO10" i="70"/>
  <c r="AE64" i="69"/>
  <c r="AI56" i="69"/>
  <c r="AJ48" i="69"/>
  <c r="AJ47" i="69"/>
  <c r="AJ46" i="69"/>
  <c r="AO6" i="69"/>
  <c r="AO5" i="69"/>
  <c r="AO4" i="69"/>
  <c r="AQ14" i="68"/>
  <c r="AO4" i="68"/>
  <c r="AO73" i="67"/>
  <c r="AO72" i="67"/>
  <c r="AR74" i="67"/>
  <c r="AS68" i="67"/>
  <c r="AF62" i="67"/>
  <c r="AH26" i="66"/>
  <c r="AJ60" i="69"/>
  <c r="AJ55" i="69"/>
  <c r="AN50" i="69"/>
  <c r="AJ48" i="67"/>
  <c r="AJ43" i="67"/>
  <c r="AJ29" i="67"/>
  <c r="AJ24" i="67"/>
  <c r="AI8" i="72"/>
  <c r="AI8" i="73"/>
  <c r="AQ8" i="71"/>
  <c r="I29" i="53"/>
  <c r="AR56" i="72"/>
  <c r="AR44" i="72"/>
  <c r="AR32" i="72"/>
  <c r="AE58" i="73"/>
  <c r="AE46" i="73"/>
  <c r="AE36" i="73"/>
  <c r="AF14" i="73"/>
  <c r="AE66" i="71"/>
  <c r="AF50" i="71"/>
  <c r="AE33" i="71"/>
  <c r="AE23" i="71"/>
  <c r="AJ70" i="70"/>
  <c r="AE59" i="69"/>
  <c r="AE53" i="69"/>
  <c r="AN14" i="69"/>
  <c r="AP14" i="68"/>
  <c r="AR68" i="67"/>
  <c r="AS62" i="67"/>
  <c r="AG56" i="67"/>
  <c r="AG74" i="66"/>
  <c r="AG68" i="66"/>
  <c r="AG62" i="66"/>
  <c r="AG56" i="66"/>
  <c r="K39" i="53"/>
  <c r="K37" i="53"/>
  <c r="K35" i="53"/>
  <c r="K32" i="53"/>
  <c r="K30" i="53"/>
  <c r="H29" i="53"/>
  <c r="AS26" i="73"/>
  <c r="AM14" i="69"/>
  <c r="AN14" i="68"/>
  <c r="AO67" i="67"/>
  <c r="AO66" i="67"/>
  <c r="AO65" i="67"/>
  <c r="AO64" i="67"/>
  <c r="AO61" i="67"/>
  <c r="AO60" i="67"/>
  <c r="AF56" i="67"/>
  <c r="AE48" i="67"/>
  <c r="AE17" i="67"/>
  <c r="AE13" i="67"/>
  <c r="AF74" i="66"/>
  <c r="AF62" i="66"/>
  <c r="AF56" i="66"/>
  <c r="AE31" i="66"/>
  <c r="AE27" i="66"/>
  <c r="AE23" i="66"/>
  <c r="AE11" i="66"/>
  <c r="K41" i="53"/>
  <c r="K38" i="53"/>
  <c r="K36" i="53"/>
  <c r="K33" i="53"/>
  <c r="K31" i="53"/>
  <c r="I93" i="53"/>
  <c r="I92" i="53"/>
  <c r="I91" i="53"/>
  <c r="I90" i="53"/>
  <c r="I89" i="53"/>
  <c r="I87" i="53"/>
  <c r="I86" i="53"/>
  <c r="I85" i="53"/>
  <c r="I84" i="53"/>
  <c r="I83" i="53"/>
  <c r="I81" i="53"/>
  <c r="I80" i="53"/>
  <c r="I79" i="53"/>
  <c r="I78" i="53"/>
  <c r="I77" i="53"/>
  <c r="I75" i="53"/>
  <c r="I74" i="53"/>
  <c r="I73" i="53"/>
  <c r="I72" i="53"/>
  <c r="I71" i="53"/>
  <c r="I69" i="53"/>
  <c r="I68" i="53"/>
  <c r="I67" i="53"/>
  <c r="I66" i="53"/>
  <c r="I65" i="53"/>
  <c r="I63" i="53"/>
  <c r="I62" i="53"/>
  <c r="I61" i="53"/>
  <c r="I60" i="53"/>
  <c r="I59" i="53"/>
  <c r="I57" i="53"/>
  <c r="I56" i="53"/>
  <c r="I55" i="53"/>
  <c r="I54" i="53"/>
  <c r="I53" i="53"/>
  <c r="I51" i="53"/>
  <c r="I50" i="53"/>
  <c r="I49" i="53"/>
  <c r="I48" i="53"/>
  <c r="I47" i="53"/>
  <c r="I45" i="53"/>
  <c r="I44" i="53"/>
  <c r="I43" i="53"/>
  <c r="I42" i="53"/>
  <c r="I41" i="53"/>
  <c r="I39" i="53"/>
  <c r="I38" i="53"/>
  <c r="I37" i="53"/>
  <c r="I36" i="53"/>
  <c r="I35" i="53"/>
  <c r="I33" i="53"/>
  <c r="I32" i="53"/>
  <c r="I31" i="53"/>
  <c r="I30" i="53"/>
  <c r="G29" i="53"/>
  <c r="AP68" i="72"/>
  <c r="AO58" i="72"/>
  <c r="AP44" i="72"/>
  <c r="AO37" i="72"/>
  <c r="AO18" i="72"/>
  <c r="AO17" i="72"/>
  <c r="AO10" i="72"/>
  <c r="AO7" i="72"/>
  <c r="AO6" i="72"/>
  <c r="AO4" i="72"/>
  <c r="AO73" i="73"/>
  <c r="AO72" i="73"/>
  <c r="AR38" i="73"/>
  <c r="AE5" i="71"/>
  <c r="AJ52" i="70"/>
  <c r="AF56" i="69"/>
  <c r="AE28" i="69"/>
  <c r="AI26" i="69"/>
  <c r="AM14" i="68"/>
  <c r="AN32" i="72"/>
  <c r="AO67" i="73"/>
  <c r="AO35" i="73"/>
  <c r="AO34" i="73"/>
  <c r="AO41" i="71"/>
  <c r="AO40" i="71"/>
  <c r="AO37" i="71"/>
  <c r="AO36" i="71"/>
  <c r="AO35" i="71"/>
  <c r="AO34" i="71"/>
  <c r="AE17" i="71"/>
  <c r="AE7" i="71"/>
  <c r="AE67" i="70"/>
  <c r="AE45" i="70"/>
  <c r="AJ36" i="70"/>
  <c r="AJ35" i="70"/>
  <c r="AJ34" i="70"/>
  <c r="AJ31" i="70"/>
  <c r="AH32" i="69"/>
  <c r="AL14" i="68"/>
  <c r="AR14" i="67"/>
  <c r="AJ19" i="72"/>
  <c r="AP50" i="73"/>
  <c r="AP26" i="73"/>
  <c r="AP50" i="71"/>
  <c r="AO24" i="71"/>
  <c r="AO23" i="71"/>
  <c r="AE71" i="70"/>
  <c r="AE55" i="70"/>
  <c r="AE40" i="70"/>
  <c r="AJ30" i="70"/>
  <c r="AJ29" i="70"/>
  <c r="AJ19" i="70"/>
  <c r="AJ13" i="70"/>
  <c r="AF50" i="69"/>
  <c r="AE43" i="69"/>
  <c r="AG32" i="69"/>
  <c r="AK14" i="68"/>
  <c r="AQ44" i="67"/>
  <c r="AQ32" i="67"/>
  <c r="AQ20" i="67"/>
  <c r="AQ44" i="66"/>
  <c r="AJ24" i="72"/>
  <c r="AN50" i="73"/>
  <c r="AN26" i="73"/>
  <c r="AN14" i="73"/>
  <c r="AN50" i="71"/>
  <c r="AE47" i="70"/>
  <c r="AE5" i="70"/>
  <c r="AF38" i="69"/>
  <c r="AF32" i="69"/>
  <c r="AH14" i="69"/>
  <c r="AI14" i="68"/>
  <c r="AP44" i="67"/>
  <c r="AP38" i="67"/>
  <c r="AP26" i="67"/>
  <c r="AN32" i="67"/>
  <c r="AN26" i="67"/>
  <c r="AN74" i="66"/>
  <c r="AN68" i="66"/>
  <c r="AN62" i="66"/>
  <c r="AN56" i="66"/>
  <c r="AM38" i="67"/>
  <c r="AM32" i="67"/>
  <c r="AM74" i="66"/>
  <c r="AM68" i="66"/>
  <c r="AM62" i="66"/>
  <c r="AM56" i="66"/>
  <c r="AJ59" i="69"/>
  <c r="AJ46" i="67"/>
  <c r="AJ36" i="67"/>
  <c r="AJ31" i="67"/>
  <c r="AJ16" i="67"/>
  <c r="AJ13" i="67"/>
  <c r="AJ7" i="67"/>
  <c r="AJ5" i="67"/>
  <c r="AJ58" i="69"/>
  <c r="AJ49" i="67"/>
  <c r="AJ35" i="67"/>
  <c r="AJ30" i="67"/>
  <c r="AJ19" i="67"/>
  <c r="AJ18" i="67"/>
  <c r="AJ17" i="67"/>
  <c r="AJ6" i="67"/>
  <c r="AK8" i="73"/>
  <c r="AQ8" i="72"/>
  <c r="AE64" i="72"/>
  <c r="AE52" i="72"/>
  <c r="AE48" i="72"/>
  <c r="AF44" i="72"/>
  <c r="AF32" i="72"/>
  <c r="AG20" i="72"/>
  <c r="AE47" i="73"/>
  <c r="AE35" i="73"/>
  <c r="AE10" i="73"/>
  <c r="AE53" i="71"/>
  <c r="AE52" i="71"/>
  <c r="AE49" i="71"/>
  <c r="AE48" i="71"/>
  <c r="AE47" i="71"/>
  <c r="AE41" i="71"/>
  <c r="AE40" i="71"/>
  <c r="AE37" i="71"/>
  <c r="AE36" i="71"/>
  <c r="AE35" i="71"/>
  <c r="AE34" i="71"/>
  <c r="AJ19" i="71"/>
  <c r="AO36" i="70"/>
  <c r="AO35" i="70"/>
  <c r="AO34" i="70"/>
  <c r="AE66" i="69"/>
  <c r="AM50" i="69"/>
  <c r="AN32" i="69"/>
  <c r="AP20" i="69"/>
  <c r="AR14" i="68"/>
  <c r="AS74" i="67"/>
  <c r="AF68" i="67"/>
  <c r="AG62" i="67"/>
  <c r="AE54" i="67"/>
  <c r="AE53" i="67"/>
  <c r="AI56" i="67"/>
  <c r="AI50" i="67"/>
  <c r="AI44" i="67"/>
  <c r="AI38" i="67"/>
  <c r="AI32" i="67"/>
  <c r="AE35" i="66"/>
  <c r="AR8" i="41"/>
  <c r="AH8" i="41"/>
  <c r="AG8" i="41"/>
  <c r="AS74" i="66"/>
  <c r="AR56" i="66"/>
  <c r="AQ62" i="66"/>
  <c r="AP62" i="66"/>
  <c r="AR62" i="66"/>
  <c r="AO43" i="66"/>
  <c r="AS56" i="66"/>
  <c r="AS68" i="66"/>
  <c r="AO46" i="66"/>
  <c r="AO48" i="66"/>
  <c r="AQ56" i="66"/>
  <c r="AP56" i="66"/>
  <c r="S93" i="53"/>
  <c r="S92" i="53"/>
  <c r="S91" i="53"/>
  <c r="S90" i="53"/>
  <c r="S89" i="53"/>
  <c r="S87" i="53"/>
  <c r="S86" i="53"/>
  <c r="S85" i="53"/>
  <c r="S84" i="53"/>
  <c r="S83" i="53"/>
  <c r="S81" i="53"/>
  <c r="S80" i="53"/>
  <c r="S79" i="53"/>
  <c r="S78" i="53"/>
  <c r="S77" i="53"/>
  <c r="S75" i="53"/>
  <c r="S74" i="53"/>
  <c r="S73" i="53"/>
  <c r="S72" i="53"/>
  <c r="S71" i="53"/>
  <c r="S69" i="53"/>
  <c r="S68" i="53"/>
  <c r="S67" i="53"/>
  <c r="S66" i="53"/>
  <c r="S65" i="53"/>
  <c r="S63" i="53"/>
  <c r="S62" i="53"/>
  <c r="S61" i="53"/>
  <c r="S60" i="53"/>
  <c r="S59" i="53"/>
  <c r="S57" i="53"/>
  <c r="S56" i="53"/>
  <c r="S55" i="53"/>
  <c r="S54" i="53"/>
  <c r="S53" i="53"/>
  <c r="S51" i="53"/>
  <c r="S50" i="53"/>
  <c r="S49" i="53"/>
  <c r="S48" i="53"/>
  <c r="S47" i="53"/>
  <c r="S45" i="53"/>
  <c r="S44" i="53"/>
  <c r="S43" i="53"/>
  <c r="S42" i="53"/>
  <c r="S41" i="53"/>
  <c r="S39" i="53"/>
  <c r="S38" i="53"/>
  <c r="S37" i="53"/>
  <c r="S36" i="53"/>
  <c r="S35" i="53"/>
  <c r="S33" i="53"/>
  <c r="S32" i="53"/>
  <c r="S31" i="53"/>
  <c r="S30" i="53"/>
  <c r="AP68" i="66"/>
  <c r="R93" i="53"/>
  <c r="R91" i="53"/>
  <c r="R90" i="53"/>
  <c r="R89" i="53"/>
  <c r="R87" i="53"/>
  <c r="R86" i="53"/>
  <c r="R85" i="53"/>
  <c r="R84" i="53"/>
  <c r="R81" i="53"/>
  <c r="R78" i="53"/>
  <c r="R77" i="53"/>
  <c r="R75" i="53"/>
  <c r="R74" i="53"/>
  <c r="R72" i="53"/>
  <c r="R69" i="53"/>
  <c r="R66" i="53"/>
  <c r="R65" i="53"/>
  <c r="R63" i="53"/>
  <c r="R62" i="53"/>
  <c r="R61" i="53"/>
  <c r="R60" i="53"/>
  <c r="R59" i="53"/>
  <c r="R57" i="53"/>
  <c r="R56" i="53"/>
  <c r="R54" i="53"/>
  <c r="R53" i="53"/>
  <c r="R51" i="53"/>
  <c r="R49" i="53"/>
  <c r="R47" i="53"/>
  <c r="R45" i="53"/>
  <c r="R43" i="53"/>
  <c r="R42" i="53"/>
  <c r="R41" i="53"/>
  <c r="R39" i="53"/>
  <c r="R38" i="53"/>
  <c r="R37" i="53"/>
  <c r="R36" i="53"/>
  <c r="R35" i="53"/>
  <c r="R33" i="53"/>
  <c r="R32" i="53"/>
  <c r="R31" i="53"/>
  <c r="R30" i="53"/>
  <c r="AP74" i="66"/>
  <c r="AO52" i="66"/>
  <c r="Q93" i="53"/>
  <c r="Q92" i="53"/>
  <c r="Q87" i="53"/>
  <c r="Q78" i="53"/>
  <c r="Q75" i="53"/>
  <c r="Q69" i="53"/>
  <c r="Q63" i="53"/>
  <c r="Q57" i="53"/>
  <c r="Q54" i="53"/>
  <c r="Q51" i="53"/>
  <c r="Q49" i="53"/>
  <c r="Q45" i="53"/>
  <c r="Q42" i="53"/>
  <c r="Q41" i="53"/>
  <c r="Q39" i="53"/>
  <c r="Q33" i="53"/>
  <c r="AS62" i="66"/>
  <c r="AR68" i="66"/>
  <c r="AQ20" i="66"/>
  <c r="AO49" i="66"/>
  <c r="AQ74" i="66"/>
  <c r="AO53" i="66"/>
  <c r="AJ3" i="41"/>
  <c r="AE4" i="65"/>
  <c r="AO4" i="65"/>
  <c r="AE5" i="65"/>
  <c r="AE61" i="65"/>
  <c r="AE57" i="65"/>
  <c r="AE49" i="65"/>
  <c r="AE35" i="65"/>
  <c r="AE31" i="65"/>
  <c r="AE23" i="65"/>
  <c r="AE19" i="65"/>
  <c r="AE11" i="65"/>
  <c r="AE7" i="65"/>
  <c r="AN20" i="65"/>
  <c r="AM68" i="65"/>
  <c r="AM62" i="65"/>
  <c r="AN44" i="65"/>
  <c r="AM56" i="65"/>
  <c r="AJ70" i="65"/>
  <c r="AJ59" i="65"/>
  <c r="AJ51" i="65"/>
  <c r="AJ16" i="65"/>
  <c r="AJ5" i="65"/>
  <c r="AJ4" i="65"/>
  <c r="AN74" i="65"/>
  <c r="AJ71" i="65"/>
  <c r="AJ60" i="65"/>
  <c r="AJ52" i="65"/>
  <c r="AJ41" i="65"/>
  <c r="AJ31" i="65"/>
  <c r="AJ22" i="65"/>
  <c r="AJ11" i="65"/>
  <c r="AL68" i="65"/>
  <c r="AL56" i="65"/>
  <c r="AJ67" i="65"/>
  <c r="AJ57" i="65"/>
  <c r="AJ46" i="65"/>
  <c r="AJ35" i="65"/>
  <c r="AJ19" i="65"/>
  <c r="AL74" i="65"/>
  <c r="AL62" i="65"/>
  <c r="AJ72" i="65"/>
  <c r="AJ54" i="65"/>
  <c r="AJ43" i="65"/>
  <c r="AJ33" i="65"/>
  <c r="AJ24" i="65"/>
  <c r="AJ6" i="65"/>
  <c r="AJ53" i="65"/>
  <c r="AJ42" i="65"/>
  <c r="AJ28" i="65"/>
  <c r="AJ18" i="65"/>
  <c r="AK14" i="65"/>
  <c r="AL44" i="65"/>
  <c r="AJ66" i="65"/>
  <c r="AJ55" i="65"/>
  <c r="AJ34" i="65"/>
  <c r="AJ23" i="65"/>
  <c r="AN56" i="65"/>
  <c r="AJ69" i="65"/>
  <c r="AJ58" i="65"/>
  <c r="AJ47" i="65"/>
  <c r="AJ36" i="65"/>
  <c r="AJ25" i="65"/>
  <c r="AN8" i="65"/>
  <c r="N91" i="53"/>
  <c r="N89" i="53"/>
  <c r="N86" i="53"/>
  <c r="N84" i="53"/>
  <c r="N83" i="53"/>
  <c r="N80" i="53"/>
  <c r="N78" i="53"/>
  <c r="N75" i="53"/>
  <c r="N72" i="53"/>
  <c r="N69" i="53"/>
  <c r="N67" i="53"/>
  <c r="N65" i="53"/>
  <c r="N62" i="53"/>
  <c r="N60" i="53"/>
  <c r="N57" i="53"/>
  <c r="N55" i="53"/>
  <c r="N53" i="53"/>
  <c r="N48" i="53"/>
  <c r="N33" i="53"/>
  <c r="AN62" i="65"/>
  <c r="AJ48" i="65"/>
  <c r="AJ37" i="65"/>
  <c r="AJ30" i="65"/>
  <c r="AJ12" i="65"/>
  <c r="N93" i="53"/>
  <c r="N92" i="53"/>
  <c r="N90" i="53"/>
  <c r="N87" i="53"/>
  <c r="N85" i="53"/>
  <c r="N81" i="53"/>
  <c r="N79" i="53"/>
  <c r="N77" i="53"/>
  <c r="N74" i="53"/>
  <c r="N73" i="53"/>
  <c r="N71" i="53"/>
  <c r="N68" i="53"/>
  <c r="N66" i="53"/>
  <c r="N63" i="53"/>
  <c r="N61" i="53"/>
  <c r="N59" i="53"/>
  <c r="N56" i="53"/>
  <c r="N54" i="53"/>
  <c r="N51" i="53"/>
  <c r="N50" i="53"/>
  <c r="N49" i="53"/>
  <c r="N47" i="53"/>
  <c r="N45" i="53"/>
  <c r="N44" i="53"/>
  <c r="N43" i="53"/>
  <c r="AN68" i="65"/>
  <c r="AJ65" i="65"/>
  <c r="AJ49" i="65"/>
  <c r="AJ40" i="65"/>
  <c r="AJ29" i="65"/>
  <c r="AJ17" i="65"/>
  <c r="AJ13" i="65"/>
  <c r="AM8" i="65"/>
  <c r="AI74" i="65"/>
  <c r="AI68" i="65"/>
  <c r="AI62" i="65"/>
  <c r="AI56" i="65"/>
  <c r="AE73" i="65"/>
  <c r="AE72" i="65"/>
  <c r="AE71" i="65"/>
  <c r="AE70" i="65"/>
  <c r="AE69" i="65"/>
  <c r="AE67" i="65"/>
  <c r="AE66" i="65"/>
  <c r="AH62" i="65"/>
  <c r="AE55" i="65"/>
  <c r="AE54" i="65"/>
  <c r="AE53" i="65"/>
  <c r="AE37" i="65"/>
  <c r="AE36" i="65"/>
  <c r="AE30" i="65"/>
  <c r="AE29" i="65"/>
  <c r="AE28" i="65"/>
  <c r="AH32" i="65"/>
  <c r="AG74" i="65"/>
  <c r="AE65" i="65"/>
  <c r="AG68" i="65"/>
  <c r="AG62" i="65"/>
  <c r="AG56" i="65"/>
  <c r="AE40" i="65"/>
  <c r="AF74" i="65"/>
  <c r="AF68" i="65"/>
  <c r="AF56" i="65"/>
  <c r="AF44" i="65"/>
  <c r="AS74" i="65"/>
  <c r="AS68" i="65"/>
  <c r="AS62" i="65"/>
  <c r="AS56" i="65"/>
  <c r="AR74" i="65"/>
  <c r="AR68" i="65"/>
  <c r="AR62" i="65"/>
  <c r="N42" i="53"/>
  <c r="N41" i="53"/>
  <c r="N39" i="53"/>
  <c r="N38" i="53"/>
  <c r="N37" i="53"/>
  <c r="N36" i="53"/>
  <c r="N35" i="53"/>
  <c r="N32" i="53"/>
  <c r="N31" i="53"/>
  <c r="N30" i="53"/>
  <c r="N29" i="53"/>
  <c r="M93" i="53"/>
  <c r="M92" i="53"/>
  <c r="M91" i="53"/>
  <c r="M90" i="53"/>
  <c r="M89" i="53"/>
  <c r="M87" i="53"/>
  <c r="M86" i="53"/>
  <c r="M85" i="53"/>
  <c r="M84" i="53"/>
  <c r="M83" i="53"/>
  <c r="M81" i="53"/>
  <c r="M80" i="53"/>
  <c r="M79" i="53"/>
  <c r="M78" i="53"/>
  <c r="M77" i="53"/>
  <c r="M75" i="53"/>
  <c r="M74" i="53"/>
  <c r="M73" i="53"/>
  <c r="M72" i="53"/>
  <c r="M71" i="53"/>
  <c r="M69" i="53"/>
  <c r="M68" i="53"/>
  <c r="M67" i="53"/>
  <c r="M66" i="53"/>
  <c r="M65" i="53"/>
  <c r="M63" i="53"/>
  <c r="M62" i="53"/>
  <c r="M61" i="53"/>
  <c r="M60" i="53"/>
  <c r="M59" i="53"/>
  <c r="M57" i="53"/>
  <c r="M56" i="53"/>
  <c r="M55" i="53"/>
  <c r="M54" i="53"/>
  <c r="M53" i="53"/>
  <c r="M51" i="53"/>
  <c r="M50" i="53"/>
  <c r="M49" i="53"/>
  <c r="M48" i="53"/>
  <c r="M47" i="53"/>
  <c r="M45" i="53"/>
  <c r="M44" i="53"/>
  <c r="M43" i="53"/>
  <c r="M42" i="53"/>
  <c r="M41" i="53"/>
  <c r="M39" i="53"/>
  <c r="M38" i="53"/>
  <c r="M37" i="53"/>
  <c r="M36" i="53"/>
  <c r="M35" i="53"/>
  <c r="M33" i="53"/>
  <c r="M32" i="53"/>
  <c r="M31" i="53"/>
  <c r="M30" i="53"/>
  <c r="M29" i="53"/>
  <c r="AQ74" i="65"/>
  <c r="AO64" i="65"/>
  <c r="AO61" i="65"/>
  <c r="AQ62" i="65"/>
  <c r="AQ26" i="65"/>
  <c r="AO13" i="65"/>
  <c r="AO12" i="65"/>
  <c r="L93" i="53"/>
  <c r="L92" i="53"/>
  <c r="L91" i="53"/>
  <c r="L90" i="53"/>
  <c r="L89" i="53"/>
  <c r="L87" i="53"/>
  <c r="L86" i="53"/>
  <c r="L85" i="53"/>
  <c r="L84" i="53"/>
  <c r="L83" i="53"/>
  <c r="L81" i="53"/>
  <c r="L80" i="53"/>
  <c r="L79" i="53"/>
  <c r="L78" i="53"/>
  <c r="L77" i="53"/>
  <c r="L75" i="53"/>
  <c r="L74" i="53"/>
  <c r="L73" i="53"/>
  <c r="L72" i="53"/>
  <c r="L71" i="53"/>
  <c r="L69" i="53"/>
  <c r="L68" i="53"/>
  <c r="L67" i="53"/>
  <c r="L66" i="53"/>
  <c r="L65" i="53"/>
  <c r="L63" i="53"/>
  <c r="L62" i="53"/>
  <c r="L61" i="53"/>
  <c r="L60" i="53"/>
  <c r="L59" i="53"/>
  <c r="L57" i="53"/>
  <c r="L56" i="53"/>
  <c r="L55" i="53"/>
  <c r="L54" i="53"/>
  <c r="L53" i="53"/>
  <c r="L51" i="53"/>
  <c r="L50" i="53"/>
  <c r="L49" i="53"/>
  <c r="L48" i="53"/>
  <c r="L47" i="53"/>
  <c r="L45" i="53"/>
  <c r="L44" i="53"/>
  <c r="L43" i="53"/>
  <c r="L42" i="53"/>
  <c r="L41" i="53"/>
  <c r="L39" i="53"/>
  <c r="L38" i="53"/>
  <c r="L37" i="53"/>
  <c r="L36" i="53"/>
  <c r="L35" i="53"/>
  <c r="L33" i="53"/>
  <c r="L32" i="53"/>
  <c r="L31" i="53"/>
  <c r="L30" i="53"/>
  <c r="L29" i="53"/>
  <c r="AP74" i="65"/>
  <c r="AP62" i="65"/>
  <c r="AO18" i="65"/>
  <c r="AO10" i="65"/>
  <c r="AO5" i="65"/>
  <c r="AS8" i="68"/>
  <c r="AR8" i="68"/>
  <c r="AO22" i="68"/>
  <c r="AO19" i="68"/>
  <c r="AO18" i="68"/>
  <c r="AO16" i="68"/>
  <c r="AO12" i="68"/>
  <c r="AO11" i="68"/>
  <c r="AO10" i="68"/>
  <c r="AO7" i="68"/>
  <c r="AO6" i="68"/>
  <c r="AH8" i="68"/>
  <c r="AF8" i="68"/>
  <c r="AE73" i="68"/>
  <c r="AJ73" i="68"/>
  <c r="AJ54" i="68"/>
  <c r="AJ64" i="68"/>
  <c r="AJ55" i="68"/>
  <c r="AE60" i="68"/>
  <c r="AE59" i="68"/>
  <c r="AE42" i="68"/>
  <c r="AE7" i="68"/>
  <c r="AE6" i="68"/>
  <c r="AE5" i="68"/>
  <c r="AE4" i="68"/>
  <c r="AJ61" i="68"/>
  <c r="AE71" i="68"/>
  <c r="AE67" i="68"/>
  <c r="AE54" i="68"/>
  <c r="AE49" i="68"/>
  <c r="AE37" i="68"/>
  <c r="AJ72" i="68"/>
  <c r="AN8" i="68"/>
  <c r="AJ60" i="68"/>
  <c r="AG8" i="68"/>
  <c r="AJ67" i="68"/>
  <c r="AM26" i="68"/>
  <c r="AM20" i="68"/>
  <c r="AL44" i="68"/>
  <c r="AJ40" i="68"/>
  <c r="AM38" i="68"/>
  <c r="AJ41" i="68"/>
  <c r="AS62" i="68"/>
  <c r="AF56" i="68"/>
  <c r="AG50" i="68"/>
  <c r="AE43" i="68"/>
  <c r="AI44" i="68"/>
  <c r="AJ28" i="68"/>
  <c r="AJ23" i="68"/>
  <c r="AJ16" i="68"/>
  <c r="AJ6" i="68"/>
  <c r="AJ4" i="68"/>
  <c r="AE61" i="68"/>
  <c r="AE53" i="68"/>
  <c r="AE52" i="68"/>
  <c r="AI50" i="68"/>
  <c r="AJ37" i="68"/>
  <c r="AJ30" i="68"/>
  <c r="AJ25" i="68"/>
  <c r="AJ18" i="68"/>
  <c r="AM8" i="68"/>
  <c r="AR68" i="68"/>
  <c r="AR62" i="68"/>
  <c r="AS56" i="68"/>
  <c r="AF50" i="68"/>
  <c r="AE41" i="68"/>
  <c r="AE40" i="68"/>
  <c r="AI38" i="68"/>
  <c r="AI32" i="68"/>
  <c r="AM44" i="68"/>
  <c r="AM32" i="68"/>
  <c r="AE66" i="68"/>
  <c r="AF62" i="68"/>
  <c r="AG56" i="68"/>
  <c r="AE48" i="68"/>
  <c r="AE47" i="68"/>
  <c r="AE46" i="68"/>
  <c r="AH50" i="68"/>
  <c r="AJ29" i="68"/>
  <c r="AJ17" i="68"/>
  <c r="AJ13" i="68"/>
  <c r="AJ10" i="68"/>
  <c r="AP74" i="68"/>
  <c r="AO66" i="68"/>
  <c r="AO64" i="68"/>
  <c r="AO60" i="68"/>
  <c r="AO58" i="68"/>
  <c r="AO55" i="68"/>
  <c r="AR56" i="68"/>
  <c r="AS50" i="68"/>
  <c r="AE45" i="68"/>
  <c r="AG44" i="68"/>
  <c r="AH38" i="68"/>
  <c r="AE29" i="68"/>
  <c r="AE28" i="68"/>
  <c r="AN32" i="68"/>
  <c r="AL38" i="68"/>
  <c r="AL32" i="68"/>
  <c r="AL26" i="68"/>
  <c r="AN74" i="68"/>
  <c r="AO65" i="68"/>
  <c r="AP68" i="68"/>
  <c r="AR50" i="68"/>
  <c r="AF44" i="68"/>
  <c r="AG38" i="68"/>
  <c r="AM74" i="68"/>
  <c r="AN68" i="68"/>
  <c r="AN62" i="68"/>
  <c r="AO53" i="68"/>
  <c r="AO49" i="68"/>
  <c r="AO48" i="68"/>
  <c r="AO47" i="68"/>
  <c r="AO46" i="68"/>
  <c r="AE30" i="68"/>
  <c r="AE25" i="68"/>
  <c r="AF20" i="68"/>
  <c r="AL74" i="68"/>
  <c r="AS20" i="68"/>
  <c r="AR26" i="68"/>
  <c r="AR20" i="68"/>
  <c r="AJ65" i="68"/>
  <c r="AJ66" i="68"/>
  <c r="AE55" i="68"/>
  <c r="AO17" i="68"/>
  <c r="AO5" i="68"/>
  <c r="AN38" i="68"/>
  <c r="AN26" i="68"/>
  <c r="AN20" i="68"/>
  <c r="AN74" i="72"/>
  <c r="AO61" i="72"/>
  <c r="AO59" i="72"/>
  <c r="AQ62" i="72"/>
  <c r="AO55" i="72"/>
  <c r="AO52" i="72"/>
  <c r="AS50" i="72"/>
  <c r="AE36" i="72"/>
  <c r="AI26" i="72"/>
  <c r="AL20" i="72"/>
  <c r="AM14" i="72"/>
  <c r="AN74" i="73"/>
  <c r="AP68" i="73"/>
  <c r="AO59" i="73"/>
  <c r="AO58" i="73"/>
  <c r="AO55" i="73"/>
  <c r="AO54" i="73"/>
  <c r="AO53" i="73"/>
  <c r="AO52" i="73"/>
  <c r="AO49" i="73"/>
  <c r="AO48" i="73"/>
  <c r="AS50" i="73"/>
  <c r="AS44" i="73"/>
  <c r="AE34" i="73"/>
  <c r="AE22" i="73"/>
  <c r="AH50" i="71"/>
  <c r="AM74" i="72"/>
  <c r="AS38" i="72"/>
  <c r="AH26" i="72"/>
  <c r="AM74" i="73"/>
  <c r="AN68" i="73"/>
  <c r="AS20" i="73"/>
  <c r="AF74" i="71"/>
  <c r="AG68" i="71"/>
  <c r="AG62" i="71"/>
  <c r="AG56" i="71"/>
  <c r="AE46" i="71"/>
  <c r="AJ73" i="72"/>
  <c r="AJ72" i="72"/>
  <c r="AL74" i="72"/>
  <c r="AM68" i="72"/>
  <c r="AN62" i="72"/>
  <c r="AP56" i="72"/>
  <c r="AO49" i="72"/>
  <c r="AO47" i="72"/>
  <c r="AQ50" i="72"/>
  <c r="AO43" i="72"/>
  <c r="AO40" i="72"/>
  <c r="AR38" i="72"/>
  <c r="AS32" i="72"/>
  <c r="AE25" i="72"/>
  <c r="AG26" i="72"/>
  <c r="AE19" i="72"/>
  <c r="AJ15" i="72"/>
  <c r="AR32" i="73"/>
  <c r="AR26" i="73"/>
  <c r="AR20" i="73"/>
  <c r="AS14" i="73"/>
  <c r="AS74" i="71"/>
  <c r="AF68" i="71"/>
  <c r="AF62" i="71"/>
  <c r="AE54" i="71"/>
  <c r="AE42" i="71"/>
  <c r="AO3" i="70"/>
  <c r="AJ71" i="72"/>
  <c r="AJ70" i="72"/>
  <c r="AJ67" i="72"/>
  <c r="AJ66" i="72"/>
  <c r="AJ65" i="72"/>
  <c r="AJ64" i="72"/>
  <c r="AM62" i="72"/>
  <c r="AO46" i="72"/>
  <c r="AO42" i="72"/>
  <c r="AO41" i="72"/>
  <c r="AO36" i="72"/>
  <c r="AO35" i="72"/>
  <c r="AQ38" i="72"/>
  <c r="AO31" i="72"/>
  <c r="AO28" i="72"/>
  <c r="AM56" i="73"/>
  <c r="AP44" i="73"/>
  <c r="AO31" i="73"/>
  <c r="AO30" i="73"/>
  <c r="AO29" i="73"/>
  <c r="AO28" i="73"/>
  <c r="AO25" i="73"/>
  <c r="AO24" i="73"/>
  <c r="AO23" i="73"/>
  <c r="AO22" i="73"/>
  <c r="AL62" i="72"/>
  <c r="AL62" i="73"/>
  <c r="AL56" i="73"/>
  <c r="AN44" i="73"/>
  <c r="AE3" i="65"/>
  <c r="AO3" i="71"/>
  <c r="AH14" i="72"/>
  <c r="AE3" i="73"/>
  <c r="AJ3" i="69"/>
  <c r="AO3" i="66"/>
  <c r="AE71" i="72"/>
  <c r="AE70" i="72"/>
  <c r="AE67" i="72"/>
  <c r="AE66" i="72"/>
  <c r="AE65" i="72"/>
  <c r="AI68" i="72"/>
  <c r="AJ59" i="72"/>
  <c r="AJ58" i="72"/>
  <c r="AJ55" i="72"/>
  <c r="AJ54" i="72"/>
  <c r="AJ53" i="72"/>
  <c r="AJ52" i="72"/>
  <c r="AL56" i="72"/>
  <c r="AM50" i="72"/>
  <c r="AR26" i="72"/>
  <c r="AS20" i="72"/>
  <c r="AG14" i="72"/>
  <c r="AE72" i="73"/>
  <c r="AE71" i="73"/>
  <c r="AH74" i="73"/>
  <c r="AI68" i="73"/>
  <c r="AJ58" i="73"/>
  <c r="AJ3" i="71"/>
  <c r="AN50" i="72"/>
  <c r="AS8" i="41"/>
  <c r="AE3" i="71"/>
  <c r="AJ3" i="68"/>
  <c r="AO3" i="65"/>
  <c r="AG74" i="72"/>
  <c r="AE61" i="72"/>
  <c r="AI62" i="72"/>
  <c r="AJ49" i="72"/>
  <c r="AJ48" i="72"/>
  <c r="AL50" i="72"/>
  <c r="AM38" i="72"/>
  <c r="AO25" i="72"/>
  <c r="AO23" i="72"/>
  <c r="AQ26" i="72"/>
  <c r="AR20" i="72"/>
  <c r="AI56" i="73"/>
  <c r="AJ46" i="73"/>
  <c r="AL50" i="73"/>
  <c r="AE3" i="72"/>
  <c r="AJ3" i="70"/>
  <c r="AO3" i="67"/>
  <c r="AL38" i="72"/>
  <c r="AS14" i="72"/>
  <c r="AE70" i="73"/>
  <c r="AF74" i="73"/>
  <c r="AG68" i="73"/>
  <c r="AE59" i="73"/>
  <c r="AE55" i="73"/>
  <c r="AE54" i="73"/>
  <c r="AE53" i="73"/>
  <c r="AE52" i="73"/>
  <c r="AE49" i="73"/>
  <c r="AL32" i="73"/>
  <c r="AE3" i="69"/>
  <c r="AJ3" i="66"/>
  <c r="AS74" i="72"/>
  <c r="AF68" i="72"/>
  <c r="AG62" i="72"/>
  <c r="AE49" i="72"/>
  <c r="AI50" i="72"/>
  <c r="AJ37" i="72"/>
  <c r="AJ36" i="72"/>
  <c r="AJ35" i="72"/>
  <c r="AJ34" i="72"/>
  <c r="AN26" i="72"/>
  <c r="AP20" i="72"/>
  <c r="AO12" i="72"/>
  <c r="AR14" i="72"/>
  <c r="AO5" i="72"/>
  <c r="AS74" i="73"/>
  <c r="AF68" i="73"/>
  <c r="AG62" i="73"/>
  <c r="AG56" i="73"/>
  <c r="AI44" i="73"/>
  <c r="AN32" i="71"/>
  <c r="AO3" i="69"/>
  <c r="AE3" i="68"/>
  <c r="AJ3" i="65"/>
  <c r="AO72" i="72"/>
  <c r="AR74" i="72"/>
  <c r="AF62" i="72"/>
  <c r="AI38" i="72"/>
  <c r="AM26" i="72"/>
  <c r="AR74" i="73"/>
  <c r="AS68" i="73"/>
  <c r="AI32" i="73"/>
  <c r="AI26" i="73"/>
  <c r="AI20" i="73"/>
  <c r="AL44" i="71"/>
  <c r="AE73" i="72"/>
  <c r="AI74" i="72"/>
  <c r="AE3" i="70"/>
  <c r="AJ3" i="67"/>
  <c r="AF74" i="72"/>
  <c r="AI8" i="41"/>
  <c r="AE3" i="67"/>
  <c r="AO3" i="72"/>
  <c r="AO73" i="72"/>
  <c r="AO71" i="72"/>
  <c r="AQ74" i="72"/>
  <c r="AO67" i="72"/>
  <c r="AO64" i="72"/>
  <c r="AR68" i="72"/>
  <c r="AS62" i="72"/>
  <c r="AF56" i="72"/>
  <c r="AG50" i="72"/>
  <c r="AE37" i="72"/>
  <c r="AE35" i="72"/>
  <c r="AE34" i="72"/>
  <c r="AE31" i="72"/>
  <c r="AJ27" i="72"/>
  <c r="AJ25" i="72"/>
  <c r="AL26" i="72"/>
  <c r="AN20" i="72"/>
  <c r="AO13" i="72"/>
  <c r="AS62" i="73"/>
  <c r="AS56" i="73"/>
  <c r="AG50" i="73"/>
  <c r="AG44" i="73"/>
  <c r="AE31" i="73"/>
  <c r="AE30" i="73"/>
  <c r="AE29" i="73"/>
  <c r="AE28" i="73"/>
  <c r="AE25" i="73"/>
  <c r="AE24" i="73"/>
  <c r="AE23" i="73"/>
  <c r="AE19" i="73"/>
  <c r="AE18" i="73"/>
  <c r="AE17" i="73"/>
  <c r="AE16" i="73"/>
  <c r="AE13" i="73"/>
  <c r="AE12" i="73"/>
  <c r="AE11" i="73"/>
  <c r="AI14" i="73"/>
  <c r="AI74" i="71"/>
  <c r="AO70" i="72"/>
  <c r="AO66" i="72"/>
  <c r="AO65" i="72"/>
  <c r="AO60" i="72"/>
  <c r="AR62" i="72"/>
  <c r="AS56" i="72"/>
  <c r="AF50" i="72"/>
  <c r="AG44" i="72"/>
  <c r="AG38" i="72"/>
  <c r="AE29" i="72"/>
  <c r="AI32" i="72"/>
  <c r="AJ23" i="72"/>
  <c r="AN14" i="72"/>
  <c r="AP74" i="73"/>
  <c r="AO65" i="73"/>
  <c r="AO64" i="73"/>
  <c r="AO61" i="73"/>
  <c r="AO60" i="73"/>
  <c r="AR62" i="73"/>
  <c r="AR56" i="73"/>
  <c r="AF50" i="73"/>
  <c r="AF44" i="73"/>
  <c r="AG38" i="73"/>
  <c r="AG32" i="73"/>
  <c r="AO54" i="72"/>
  <c r="AO53" i="72"/>
  <c r="AO48" i="72"/>
  <c r="AR50" i="72"/>
  <c r="AS44" i="72"/>
  <c r="AF38" i="72"/>
  <c r="AE30" i="72"/>
  <c r="AJ22" i="72"/>
  <c r="AJ16" i="72"/>
  <c r="AM20" i="72"/>
  <c r="AO11" i="72"/>
  <c r="AP14" i="72"/>
  <c r="AO71" i="73"/>
  <c r="AR68" i="73"/>
  <c r="AF62" i="73"/>
  <c r="AF56" i="73"/>
  <c r="AE43" i="73"/>
  <c r="AE42" i="73"/>
  <c r="AE41" i="73"/>
  <c r="AE40" i="73"/>
  <c r="AE37" i="73"/>
  <c r="AK38" i="73"/>
  <c r="AJ31" i="73"/>
  <c r="AJ30" i="73"/>
  <c r="AJ29" i="73"/>
  <c r="AJ25" i="73"/>
  <c r="AJ24" i="73"/>
  <c r="AJ23" i="73"/>
  <c r="AJ22" i="73"/>
  <c r="AL26" i="73"/>
  <c r="AL20" i="73"/>
  <c r="AM14" i="73"/>
  <c r="AM74" i="71"/>
  <c r="AN68" i="71"/>
  <c r="AN62" i="71"/>
  <c r="AP56" i="71"/>
  <c r="AS44" i="71"/>
  <c r="AS38" i="71"/>
  <c r="AE28" i="71"/>
  <c r="AH32" i="71"/>
  <c r="AJ24" i="71"/>
  <c r="AJ23" i="71"/>
  <c r="AL26" i="71"/>
  <c r="AP20" i="71"/>
  <c r="AO13" i="71"/>
  <c r="AO12" i="71"/>
  <c r="AO11" i="71"/>
  <c r="AR14" i="71"/>
  <c r="AE72" i="70"/>
  <c r="AI74" i="70"/>
  <c r="AJ67" i="70"/>
  <c r="AM68" i="70"/>
  <c r="AP62" i="70"/>
  <c r="AO54" i="70"/>
  <c r="AO53" i="70"/>
  <c r="AR56" i="70"/>
  <c r="AG50" i="70"/>
  <c r="AJ40" i="70"/>
  <c r="AM38" i="70"/>
  <c r="AP32" i="70"/>
  <c r="AO22" i="70"/>
  <c r="AF20" i="70"/>
  <c r="AE12" i="70"/>
  <c r="AE10" i="70"/>
  <c r="AH14" i="70"/>
  <c r="AE7" i="70"/>
  <c r="AO52" i="69"/>
  <c r="AS50" i="69"/>
  <c r="AE40" i="69"/>
  <c r="AG44" i="69"/>
  <c r="AE36" i="69"/>
  <c r="AP56" i="68"/>
  <c r="AQ50" i="68"/>
  <c r="AS44" i="68"/>
  <c r="AF38" i="68"/>
  <c r="AI26" i="68"/>
  <c r="AI20" i="68"/>
  <c r="AE9" i="68"/>
  <c r="AL74" i="71"/>
  <c r="AM68" i="71"/>
  <c r="AM62" i="71"/>
  <c r="AN56" i="71"/>
  <c r="AO43" i="71"/>
  <c r="AO42" i="71"/>
  <c r="AR44" i="71"/>
  <c r="AR38" i="71"/>
  <c r="AG32" i="71"/>
  <c r="AJ22" i="71"/>
  <c r="AN20" i="71"/>
  <c r="AO10" i="71"/>
  <c r="AE70" i="70"/>
  <c r="AH74" i="70"/>
  <c r="AJ66" i="70"/>
  <c r="AJ65" i="70"/>
  <c r="AL68" i="70"/>
  <c r="AN62" i="70"/>
  <c r="AO52" i="70"/>
  <c r="AF50" i="70"/>
  <c r="AE42" i="70"/>
  <c r="AI44" i="70"/>
  <c r="AJ37" i="70"/>
  <c r="AL38" i="70"/>
  <c r="AN32" i="70"/>
  <c r="AP26" i="70"/>
  <c r="AO19" i="70"/>
  <c r="AS20" i="70"/>
  <c r="AG14" i="70"/>
  <c r="AM62" i="69"/>
  <c r="AP56" i="69"/>
  <c r="AO46" i="69"/>
  <c r="AE42" i="69"/>
  <c r="AM62" i="68"/>
  <c r="AN56" i="68"/>
  <c r="AO43" i="68"/>
  <c r="AO42" i="68"/>
  <c r="AR44" i="68"/>
  <c r="AS38" i="68"/>
  <c r="AE33" i="68"/>
  <c r="AG32" i="68"/>
  <c r="AE24" i="68"/>
  <c r="AE23" i="68"/>
  <c r="AE22" i="68"/>
  <c r="AH26" i="68"/>
  <c r="AE19" i="68"/>
  <c r="AE17" i="68"/>
  <c r="AE16" i="68"/>
  <c r="AE13" i="68"/>
  <c r="AL68" i="71"/>
  <c r="AL62" i="71"/>
  <c r="AM56" i="71"/>
  <c r="AF32" i="71"/>
  <c r="AI26" i="71"/>
  <c r="AM20" i="71"/>
  <c r="AP14" i="71"/>
  <c r="AG74" i="70"/>
  <c r="AM62" i="70"/>
  <c r="AP56" i="70"/>
  <c r="AS50" i="70"/>
  <c r="AH44" i="70"/>
  <c r="AM32" i="70"/>
  <c r="AN26" i="70"/>
  <c r="AR20" i="70"/>
  <c r="AE11" i="70"/>
  <c r="AL62" i="69"/>
  <c r="AN56" i="69"/>
  <c r="AO49" i="69"/>
  <c r="AQ50" i="69"/>
  <c r="AO45" i="69"/>
  <c r="AL62" i="68"/>
  <c r="AM56" i="68"/>
  <c r="AN50" i="68"/>
  <c r="AR38" i="68"/>
  <c r="AF32" i="68"/>
  <c r="AG26" i="68"/>
  <c r="AE18" i="68"/>
  <c r="AJ54" i="71"/>
  <c r="AL56" i="71"/>
  <c r="AM50" i="71"/>
  <c r="AP44" i="71"/>
  <c r="AP38" i="71"/>
  <c r="AO31" i="71"/>
  <c r="AS32" i="71"/>
  <c r="AE27" i="71"/>
  <c r="AE22" i="71"/>
  <c r="AH26" i="71"/>
  <c r="AJ18" i="71"/>
  <c r="AJ17" i="71"/>
  <c r="AL20" i="71"/>
  <c r="AN14" i="71"/>
  <c r="AO6" i="71"/>
  <c r="AO5" i="71"/>
  <c r="AF74" i="70"/>
  <c r="AE66" i="70"/>
  <c r="AI68" i="70"/>
  <c r="AJ61" i="70"/>
  <c r="AL62" i="70"/>
  <c r="AN56" i="70"/>
  <c r="AO48" i="70"/>
  <c r="AO47" i="70"/>
  <c r="AR50" i="70"/>
  <c r="AG44" i="70"/>
  <c r="AI38" i="70"/>
  <c r="AL32" i="70"/>
  <c r="AM56" i="69"/>
  <c r="AJ51" i="69"/>
  <c r="AK68" i="68"/>
  <c r="AL56" i="68"/>
  <c r="AM50" i="68"/>
  <c r="AO37" i="68"/>
  <c r="AO34" i="68"/>
  <c r="AS32" i="68"/>
  <c r="AF26" i="68"/>
  <c r="AE21" i="68"/>
  <c r="AN44" i="72"/>
  <c r="AO34" i="72"/>
  <c r="AO30" i="72"/>
  <c r="AO29" i="72"/>
  <c r="AE22" i="72"/>
  <c r="AE16" i="72"/>
  <c r="AI20" i="72"/>
  <c r="AJ13" i="72"/>
  <c r="AJ12" i="72"/>
  <c r="AJ11" i="72"/>
  <c r="AK14" i="72"/>
  <c r="AJ5" i="72"/>
  <c r="AJ4" i="72"/>
  <c r="AL74" i="73"/>
  <c r="AM68" i="73"/>
  <c r="AP62" i="73"/>
  <c r="AP56" i="73"/>
  <c r="AO47" i="73"/>
  <c r="AO46" i="73"/>
  <c r="AR50" i="73"/>
  <c r="AR44" i="73"/>
  <c r="AF38" i="73"/>
  <c r="AF32" i="73"/>
  <c r="AG26" i="73"/>
  <c r="AG20" i="73"/>
  <c r="AE7" i="73"/>
  <c r="AE6" i="73"/>
  <c r="AE5" i="73"/>
  <c r="AE4" i="73"/>
  <c r="AE73" i="71"/>
  <c r="AE72" i="71"/>
  <c r="AE71" i="71"/>
  <c r="AE70" i="71"/>
  <c r="AE67" i="71"/>
  <c r="AI68" i="71"/>
  <c r="AI62" i="71"/>
  <c r="AJ53" i="71"/>
  <c r="AJ52" i="71"/>
  <c r="AJ49" i="71"/>
  <c r="AJ48" i="71"/>
  <c r="AJ47" i="71"/>
  <c r="AL50" i="71"/>
  <c r="AN44" i="71"/>
  <c r="AN38" i="71"/>
  <c r="AO30" i="71"/>
  <c r="AO29" i="71"/>
  <c r="AR32" i="71"/>
  <c r="AG26" i="71"/>
  <c r="AJ16" i="71"/>
  <c r="AM14" i="71"/>
  <c r="AO4" i="71"/>
  <c r="AO73" i="70"/>
  <c r="AS74" i="70"/>
  <c r="AE69" i="70"/>
  <c r="AE64" i="70"/>
  <c r="AH68" i="70"/>
  <c r="AJ60" i="70"/>
  <c r="AJ59" i="70"/>
  <c r="AJ58" i="70"/>
  <c r="AJ55" i="70"/>
  <c r="AM56" i="70"/>
  <c r="AO46" i="70"/>
  <c r="AF44" i="70"/>
  <c r="AE36" i="70"/>
  <c r="AE34" i="70"/>
  <c r="AH38" i="70"/>
  <c r="AJ28" i="70"/>
  <c r="AG68" i="69"/>
  <c r="AI62" i="69"/>
  <c r="AO18" i="69"/>
  <c r="AO17" i="69"/>
  <c r="AO16" i="69"/>
  <c r="AS14" i="69"/>
  <c r="AE70" i="68"/>
  <c r="AI68" i="68"/>
  <c r="AI62" i="68"/>
  <c r="AN38" i="66"/>
  <c r="AM44" i="72"/>
  <c r="AN38" i="72"/>
  <c r="AP32" i="72"/>
  <c r="AO24" i="72"/>
  <c r="AS26" i="72"/>
  <c r="AE18" i="72"/>
  <c r="AE17" i="72"/>
  <c r="AH20" i="72"/>
  <c r="AE11" i="72"/>
  <c r="AJ71" i="73"/>
  <c r="AL68" i="73"/>
  <c r="AN62" i="73"/>
  <c r="AN56" i="73"/>
  <c r="AO43" i="73"/>
  <c r="AO42" i="73"/>
  <c r="AO41" i="73"/>
  <c r="AO40" i="73"/>
  <c r="AO37" i="73"/>
  <c r="AO36" i="73"/>
  <c r="AS38" i="73"/>
  <c r="AS32" i="73"/>
  <c r="AF26" i="73"/>
  <c r="AF20" i="73"/>
  <c r="AG14" i="73"/>
  <c r="AG74" i="71"/>
  <c r="AE65" i="71"/>
  <c r="AE64" i="71"/>
  <c r="AE61" i="71"/>
  <c r="AE60" i="71"/>
  <c r="AE59" i="71"/>
  <c r="AE58" i="71"/>
  <c r="AE55" i="71"/>
  <c r="AI56" i="71"/>
  <c r="AM44" i="71"/>
  <c r="AM38" i="71"/>
  <c r="AO28" i="71"/>
  <c r="AF26" i="71"/>
  <c r="AE18" i="71"/>
  <c r="AI20" i="71"/>
  <c r="AJ13" i="71"/>
  <c r="AJ12" i="71"/>
  <c r="AJ11" i="71"/>
  <c r="AL14" i="71"/>
  <c r="AO72" i="70"/>
  <c r="AO71" i="70"/>
  <c r="AR74" i="70"/>
  <c r="AG68" i="70"/>
  <c r="AI62" i="70"/>
  <c r="AJ54" i="70"/>
  <c r="AJ53" i="70"/>
  <c r="AL56" i="70"/>
  <c r="AP50" i="70"/>
  <c r="AO43" i="70"/>
  <c r="AS44" i="70"/>
  <c r="AE39" i="70"/>
  <c r="AG38" i="70"/>
  <c r="AJ22" i="70"/>
  <c r="AO71" i="69"/>
  <c r="AO70" i="69"/>
  <c r="AF68" i="69"/>
  <c r="AH62" i="69"/>
  <c r="AE57" i="69"/>
  <c r="AP26" i="69"/>
  <c r="AR14" i="69"/>
  <c r="AG74" i="68"/>
  <c r="AE65" i="68"/>
  <c r="AE64" i="68"/>
  <c r="AL38" i="71"/>
  <c r="AP32" i="71"/>
  <c r="AO25" i="71"/>
  <c r="AS26" i="71"/>
  <c r="AE16" i="71"/>
  <c r="AH20" i="71"/>
  <c r="AO70" i="70"/>
  <c r="AF68" i="70"/>
  <c r="AE60" i="70"/>
  <c r="AE58" i="70"/>
  <c r="AH62" i="70"/>
  <c r="AN50" i="70"/>
  <c r="AR44" i="70"/>
  <c r="AI26" i="70"/>
  <c r="AP74" i="69"/>
  <c r="AO67" i="69"/>
  <c r="AS68" i="69"/>
  <c r="AN26" i="69"/>
  <c r="AO13" i="69"/>
  <c r="AO12" i="69"/>
  <c r="AO10" i="69"/>
  <c r="AF74" i="68"/>
  <c r="AG68" i="68"/>
  <c r="AL74" i="66"/>
  <c r="AL68" i="66"/>
  <c r="AL62" i="66"/>
  <c r="AL56" i="66"/>
  <c r="AR26" i="71"/>
  <c r="AG20" i="71"/>
  <c r="AI14" i="71"/>
  <c r="AP74" i="70"/>
  <c r="AS68" i="70"/>
  <c r="AG62" i="70"/>
  <c r="AE57" i="70"/>
  <c r="AG32" i="70"/>
  <c r="AN74" i="69"/>
  <c r="AM32" i="69"/>
  <c r="AM26" i="69"/>
  <c r="AN20" i="69"/>
  <c r="AP14" i="69"/>
  <c r="AS74" i="68"/>
  <c r="AJ4" i="67"/>
  <c r="AJ73" i="66"/>
  <c r="AJ72" i="66"/>
  <c r="AJ71" i="66"/>
  <c r="AJ70" i="66"/>
  <c r="AJ67" i="66"/>
  <c r="AJ66" i="66"/>
  <c r="AJ37" i="66"/>
  <c r="AJ36" i="66"/>
  <c r="AJ35" i="66"/>
  <c r="AJ31" i="72"/>
  <c r="AJ30" i="72"/>
  <c r="AJ29" i="72"/>
  <c r="AJ28" i="72"/>
  <c r="AL32" i="72"/>
  <c r="AO22" i="72"/>
  <c r="AO16" i="72"/>
  <c r="AQ20" i="72"/>
  <c r="AE13" i="72"/>
  <c r="AE12" i="72"/>
  <c r="AE10" i="72"/>
  <c r="AF14" i="72"/>
  <c r="AE7" i="72"/>
  <c r="AE6" i="72"/>
  <c r="AE5" i="72"/>
  <c r="AG74" i="73"/>
  <c r="AE67" i="73"/>
  <c r="AE65" i="73"/>
  <c r="AE64" i="73"/>
  <c r="AE61" i="73"/>
  <c r="AK62" i="73"/>
  <c r="AJ55" i="73"/>
  <c r="AJ54" i="73"/>
  <c r="AJ53" i="73"/>
  <c r="AJ49" i="73"/>
  <c r="AJ48" i="73"/>
  <c r="AM50" i="73"/>
  <c r="AM44" i="73"/>
  <c r="AP38" i="73"/>
  <c r="AP32" i="73"/>
  <c r="AO19" i="73"/>
  <c r="AO18" i="73"/>
  <c r="AO17" i="73"/>
  <c r="AO16" i="73"/>
  <c r="AO13" i="73"/>
  <c r="AO12" i="73"/>
  <c r="AO11" i="73"/>
  <c r="AO10" i="73"/>
  <c r="AR14" i="73"/>
  <c r="AR74" i="71"/>
  <c r="AS68" i="71"/>
  <c r="AS62" i="71"/>
  <c r="AF56" i="71"/>
  <c r="AG50" i="71"/>
  <c r="AE43" i="71"/>
  <c r="AI44" i="71"/>
  <c r="AI38" i="71"/>
  <c r="AJ31" i="71"/>
  <c r="AM32" i="71"/>
  <c r="AO22" i="71"/>
  <c r="AF20" i="71"/>
  <c r="AE10" i="71"/>
  <c r="AH14" i="71"/>
  <c r="AJ6" i="71"/>
  <c r="AJ5" i="71"/>
  <c r="AN74" i="70"/>
  <c r="AO66" i="70"/>
  <c r="AO65" i="70"/>
  <c r="AR68" i="70"/>
  <c r="AE59" i="70"/>
  <c r="AR38" i="70"/>
  <c r="AF32" i="70"/>
  <c r="AE27" i="70"/>
  <c r="AM74" i="69"/>
  <c r="AL38" i="69"/>
  <c r="AL32" i="69"/>
  <c r="AL26" i="69"/>
  <c r="AP74" i="67"/>
  <c r="AQ68" i="67"/>
  <c r="AR62" i="67"/>
  <c r="AG50" i="67"/>
  <c r="AI74" i="66"/>
  <c r="AI68" i="66"/>
  <c r="AI62" i="66"/>
  <c r="AI56" i="66"/>
  <c r="AL44" i="73"/>
  <c r="AN38" i="73"/>
  <c r="AN32" i="73"/>
  <c r="AP20" i="73"/>
  <c r="AO7" i="73"/>
  <c r="AO6" i="73"/>
  <c r="AO5" i="73"/>
  <c r="AO4" i="73"/>
  <c r="AO73" i="71"/>
  <c r="AO72" i="71"/>
  <c r="AO71" i="71"/>
  <c r="AO70" i="71"/>
  <c r="AO67" i="71"/>
  <c r="AO66" i="71"/>
  <c r="AR68" i="71"/>
  <c r="AR62" i="71"/>
  <c r="AS56" i="71"/>
  <c r="AH38" i="71"/>
  <c r="AJ30" i="71"/>
  <c r="AJ29" i="71"/>
  <c r="AL32" i="71"/>
  <c r="AP26" i="71"/>
  <c r="AO19" i="71"/>
  <c r="AS20" i="71"/>
  <c r="AE15" i="71"/>
  <c r="AE13" i="71"/>
  <c r="AG56" i="70"/>
  <c r="AJ46" i="70"/>
  <c r="AN44" i="70"/>
  <c r="AF26" i="70"/>
  <c r="AI20" i="70"/>
  <c r="AL14" i="70"/>
  <c r="AJ31" i="69"/>
  <c r="AJ30" i="69"/>
  <c r="AJ28" i="69"/>
  <c r="AN74" i="67"/>
  <c r="AO58" i="67"/>
  <c r="AS56" i="67"/>
  <c r="AF50" i="67"/>
  <c r="AE43" i="67"/>
  <c r="AE36" i="67"/>
  <c r="AE7" i="67"/>
  <c r="AE6" i="67"/>
  <c r="AE4" i="67"/>
  <c r="AE73" i="66"/>
  <c r="AE72" i="66"/>
  <c r="AE70" i="66"/>
  <c r="AH68" i="66"/>
  <c r="AE58" i="66"/>
  <c r="AE57" i="66"/>
  <c r="AH56" i="66"/>
  <c r="AE46" i="66"/>
  <c r="AE45" i="66"/>
  <c r="AE43" i="66"/>
  <c r="AE39" i="66"/>
  <c r="AJ37" i="73"/>
  <c r="AJ36" i="73"/>
  <c r="AM32" i="73"/>
  <c r="AN20" i="73"/>
  <c r="AP14" i="73"/>
  <c r="AP74" i="71"/>
  <c r="AO65" i="71"/>
  <c r="AO64" i="71"/>
  <c r="AO61" i="71"/>
  <c r="AO60" i="71"/>
  <c r="AO59" i="71"/>
  <c r="AO58" i="71"/>
  <c r="AO55" i="71"/>
  <c r="AO54" i="71"/>
  <c r="AR56" i="71"/>
  <c r="AS50" i="71"/>
  <c r="AE45" i="71"/>
  <c r="AG44" i="71"/>
  <c r="AG38" i="71"/>
  <c r="AJ28" i="71"/>
  <c r="AN26" i="71"/>
  <c r="AO18" i="71"/>
  <c r="AO17" i="71"/>
  <c r="AR20" i="71"/>
  <c r="AF14" i="71"/>
  <c r="AE6" i="71"/>
  <c r="AJ72" i="70"/>
  <c r="AR62" i="70"/>
  <c r="AF56" i="70"/>
  <c r="AE48" i="70"/>
  <c r="AI50" i="70"/>
  <c r="AJ43" i="70"/>
  <c r="AM44" i="70"/>
  <c r="AS26" i="70"/>
  <c r="AE21" i="70"/>
  <c r="AE16" i="70"/>
  <c r="AH20" i="70"/>
  <c r="AJ12" i="70"/>
  <c r="AJ11" i="70"/>
  <c r="AJ10" i="70"/>
  <c r="AJ7" i="70"/>
  <c r="AJ6" i="70"/>
  <c r="AJ5" i="70"/>
  <c r="AJ4" i="70"/>
  <c r="AJ73" i="69"/>
  <c r="AI38" i="69"/>
  <c r="AL20" i="68"/>
  <c r="AM74" i="67"/>
  <c r="AN68" i="67"/>
  <c r="AP62" i="67"/>
  <c r="AR56" i="67"/>
  <c r="AF20" i="67"/>
  <c r="AG14" i="67"/>
  <c r="AE5" i="67"/>
  <c r="AM20" i="73"/>
  <c r="AN74" i="71"/>
  <c r="AP68" i="71"/>
  <c r="AP62" i="71"/>
  <c r="AO53" i="71"/>
  <c r="AO52" i="71"/>
  <c r="AO49" i="71"/>
  <c r="AO48" i="71"/>
  <c r="AO47" i="71"/>
  <c r="AO46" i="71"/>
  <c r="AR50" i="71"/>
  <c r="AF44" i="71"/>
  <c r="AF38" i="71"/>
  <c r="AE30" i="71"/>
  <c r="AI32" i="71"/>
  <c r="AJ25" i="71"/>
  <c r="AM26" i="71"/>
  <c r="AO16" i="71"/>
  <c r="AS14" i="71"/>
  <c r="AE9" i="71"/>
  <c r="AN68" i="70"/>
  <c r="AO58" i="70"/>
  <c r="AO55" i="70"/>
  <c r="AS56" i="70"/>
  <c r="AE51" i="70"/>
  <c r="AE46" i="70"/>
  <c r="AH50" i="70"/>
  <c r="AJ42" i="70"/>
  <c r="AJ41" i="70"/>
  <c r="AO25" i="70"/>
  <c r="AO24" i="70"/>
  <c r="AO23" i="70"/>
  <c r="AR26" i="70"/>
  <c r="AG20" i="70"/>
  <c r="AI14" i="70"/>
  <c r="AH44" i="69"/>
  <c r="AH38" i="69"/>
  <c r="AE33" i="69"/>
  <c r="AL74" i="67"/>
  <c r="AM68" i="67"/>
  <c r="AN62" i="67"/>
  <c r="AQ56" i="67"/>
  <c r="AR26" i="67"/>
  <c r="AS20" i="67"/>
  <c r="AF14" i="67"/>
  <c r="AE9" i="67"/>
  <c r="AL44" i="70"/>
  <c r="AP38" i="70"/>
  <c r="AO31" i="70"/>
  <c r="AS32" i="70"/>
  <c r="AE22" i="70"/>
  <c r="AH26" i="70"/>
  <c r="AJ18" i="70"/>
  <c r="AJ17" i="70"/>
  <c r="AL20" i="70"/>
  <c r="AP14" i="70"/>
  <c r="AO7" i="70"/>
  <c r="AG74" i="69"/>
  <c r="AJ64" i="69"/>
  <c r="AE54" i="69"/>
  <c r="AH56" i="69"/>
  <c r="AE47" i="69"/>
  <c r="AL50" i="69"/>
  <c r="AO41" i="69"/>
  <c r="AP44" i="69"/>
  <c r="AO34" i="69"/>
  <c r="AS32" i="69"/>
  <c r="AE27" i="69"/>
  <c r="AF26" i="69"/>
  <c r="AH20" i="69"/>
  <c r="AI14" i="69"/>
  <c r="AN38" i="70"/>
  <c r="AO30" i="70"/>
  <c r="AO29" i="70"/>
  <c r="AR32" i="70"/>
  <c r="AG26" i="70"/>
  <c r="AJ16" i="70"/>
  <c r="AN14" i="70"/>
  <c r="AO6" i="70"/>
  <c r="AO5" i="70"/>
  <c r="AF74" i="69"/>
  <c r="AI68" i="69"/>
  <c r="AJ61" i="69"/>
  <c r="AP62" i="69"/>
  <c r="AO55" i="69"/>
  <c r="AE52" i="69"/>
  <c r="AG56" i="69"/>
  <c r="AE49" i="69"/>
  <c r="AK50" i="69"/>
  <c r="AN44" i="69"/>
  <c r="AO35" i="69"/>
  <c r="AP38" i="69"/>
  <c r="AO30" i="69"/>
  <c r="AO29" i="69"/>
  <c r="AO28" i="69"/>
  <c r="AR32" i="69"/>
  <c r="AE21" i="69"/>
  <c r="AG20" i="69"/>
  <c r="AE13" i="69"/>
  <c r="AE12" i="69"/>
  <c r="AE11" i="69"/>
  <c r="AE10" i="69"/>
  <c r="AM14" i="70"/>
  <c r="AO4" i="70"/>
  <c r="AO73" i="69"/>
  <c r="AS74" i="69"/>
  <c r="AH68" i="69"/>
  <c r="AN62" i="69"/>
  <c r="AS56" i="69"/>
  <c r="AE48" i="69"/>
  <c r="AM44" i="69"/>
  <c r="AN38" i="69"/>
  <c r="AR26" i="69"/>
  <c r="AG14" i="69"/>
  <c r="AE7" i="69"/>
  <c r="AE6" i="69"/>
  <c r="AE5" i="69"/>
  <c r="AE4" i="69"/>
  <c r="AM68" i="68"/>
  <c r="AE36" i="68"/>
  <c r="AE35" i="68"/>
  <c r="AE34" i="68"/>
  <c r="AE49" i="67"/>
  <c r="AR56" i="69"/>
  <c r="AL44" i="69"/>
  <c r="AM38" i="69"/>
  <c r="AO25" i="69"/>
  <c r="AO24" i="69"/>
  <c r="AO22" i="69"/>
  <c r="AF14" i="69"/>
  <c r="AE72" i="68"/>
  <c r="AI74" i="68"/>
  <c r="AL68" i="68"/>
  <c r="AO52" i="68"/>
  <c r="AE31" i="68"/>
  <c r="AO70" i="67"/>
  <c r="AE47" i="67"/>
  <c r="AE46" i="67"/>
  <c r="AE42" i="67"/>
  <c r="AE41" i="67"/>
  <c r="AE37" i="67"/>
  <c r="AE24" i="67"/>
  <c r="AE23" i="67"/>
  <c r="AE22" i="67"/>
  <c r="AN14" i="66"/>
  <c r="AM74" i="65"/>
  <c r="AJ27" i="66"/>
  <c r="AJ25" i="66"/>
  <c r="AJ24" i="66"/>
  <c r="AJ23" i="66"/>
  <c r="AJ22" i="66"/>
  <c r="AJ19" i="66"/>
  <c r="AJ18" i="66"/>
  <c r="AJ17" i="66"/>
  <c r="AJ16" i="66"/>
  <c r="AJ13" i="66"/>
  <c r="AJ12" i="66"/>
  <c r="AJ11" i="66"/>
  <c r="AJ10" i="66"/>
  <c r="AJ7" i="66"/>
  <c r="AJ6" i="66"/>
  <c r="AJ5" i="66"/>
  <c r="AJ4" i="66"/>
  <c r="AJ73" i="65"/>
  <c r="AG14" i="71"/>
  <c r="AJ4" i="71"/>
  <c r="AJ73" i="70"/>
  <c r="AM74" i="70"/>
  <c r="AO64" i="70"/>
  <c r="AF62" i="70"/>
  <c r="AE54" i="70"/>
  <c r="AI56" i="70"/>
  <c r="AJ49" i="70"/>
  <c r="AM50" i="70"/>
  <c r="AO40" i="70"/>
  <c r="AF38" i="70"/>
  <c r="AE30" i="70"/>
  <c r="AI32" i="70"/>
  <c r="AJ25" i="70"/>
  <c r="AM26" i="70"/>
  <c r="AO16" i="70"/>
  <c r="AF14" i="70"/>
  <c r="AE6" i="70"/>
  <c r="AJ72" i="69"/>
  <c r="AJ71" i="69"/>
  <c r="AL74" i="69"/>
  <c r="AP68" i="69"/>
  <c r="AO61" i="69"/>
  <c r="AG62" i="69"/>
  <c r="AL56" i="69"/>
  <c r="AP50" i="69"/>
  <c r="AF44" i="69"/>
  <c r="AG38" i="69"/>
  <c r="AE31" i="69"/>
  <c r="AE30" i="69"/>
  <c r="AE29" i="69"/>
  <c r="AI32" i="69"/>
  <c r="AJ24" i="69"/>
  <c r="AJ23" i="69"/>
  <c r="AJ22" i="69"/>
  <c r="AM20" i="69"/>
  <c r="AO7" i="69"/>
  <c r="AO72" i="68"/>
  <c r="AR74" i="68"/>
  <c r="AF68" i="68"/>
  <c r="AE58" i="68"/>
  <c r="AJ53" i="68"/>
  <c r="AJ52" i="68"/>
  <c r="AK56" i="68"/>
  <c r="AJ49" i="68"/>
  <c r="AL50" i="68"/>
  <c r="AN44" i="68"/>
  <c r="AO31" i="68"/>
  <c r="AR32" i="68"/>
  <c r="AS26" i="68"/>
  <c r="AG20" i="68"/>
  <c r="AE12" i="68"/>
  <c r="AE11" i="68"/>
  <c r="AE10" i="68"/>
  <c r="AJ71" i="67"/>
  <c r="AJ67" i="67"/>
  <c r="AL68" i="67"/>
  <c r="AM62" i="67"/>
  <c r="AP56" i="67"/>
  <c r="AO34" i="67"/>
  <c r="AO30" i="67"/>
  <c r="AO29" i="67"/>
  <c r="AO28" i="67"/>
  <c r="AO25" i="67"/>
  <c r="AO24" i="67"/>
  <c r="AO22" i="67"/>
  <c r="AO18" i="67"/>
  <c r="AO17" i="67"/>
  <c r="AR20" i="67"/>
  <c r="AS14" i="67"/>
  <c r="AE67" i="66"/>
  <c r="AE55" i="66"/>
  <c r="AE47" i="66"/>
  <c r="AJ71" i="70"/>
  <c r="AL74" i="70"/>
  <c r="AP68" i="70"/>
  <c r="AO61" i="70"/>
  <c r="AS62" i="70"/>
  <c r="AE52" i="70"/>
  <c r="AH56" i="70"/>
  <c r="AJ48" i="70"/>
  <c r="AJ47" i="70"/>
  <c r="AL50" i="70"/>
  <c r="AP44" i="70"/>
  <c r="AO37" i="70"/>
  <c r="AS38" i="70"/>
  <c r="AE33" i="70"/>
  <c r="AE28" i="70"/>
  <c r="AH32" i="70"/>
  <c r="AJ24" i="70"/>
  <c r="AJ23" i="70"/>
  <c r="AL26" i="70"/>
  <c r="AP20" i="70"/>
  <c r="AO13" i="70"/>
  <c r="AS14" i="70"/>
  <c r="AE9" i="70"/>
  <c r="AE4" i="70"/>
  <c r="AJ70" i="69"/>
  <c r="AN68" i="69"/>
  <c r="AE58" i="69"/>
  <c r="AF62" i="69"/>
  <c r="AJ53" i="69"/>
  <c r="AJ52" i="69"/>
  <c r="AK56" i="69"/>
  <c r="AO43" i="69"/>
  <c r="AS44" i="69"/>
  <c r="AJ19" i="69"/>
  <c r="AJ18" i="69"/>
  <c r="AJ16" i="69"/>
  <c r="AO70" i="68"/>
  <c r="AO67" i="68"/>
  <c r="AS68" i="68"/>
  <c r="AG62" i="68"/>
  <c r="AI56" i="68"/>
  <c r="AJ48" i="68"/>
  <c r="AJ66" i="67"/>
  <c r="AJ64" i="67"/>
  <c r="AJ61" i="67"/>
  <c r="AJ60" i="67"/>
  <c r="AN56" i="67"/>
  <c r="AO23" i="67"/>
  <c r="AO19" i="67"/>
  <c r="AO16" i="67"/>
  <c r="AO13" i="67"/>
  <c r="AE71" i="66"/>
  <c r="AE63" i="66"/>
  <c r="AE59" i="66"/>
  <c r="AN20" i="70"/>
  <c r="AO12" i="70"/>
  <c r="AO11" i="70"/>
  <c r="AR14" i="70"/>
  <c r="AE72" i="69"/>
  <c r="AI74" i="69"/>
  <c r="AJ67" i="69"/>
  <c r="AM68" i="69"/>
  <c r="AS62" i="69"/>
  <c r="AO42" i="69"/>
  <c r="AR44" i="69"/>
  <c r="AS38" i="69"/>
  <c r="AE25" i="69"/>
  <c r="AE24" i="69"/>
  <c r="AE23" i="69"/>
  <c r="AE22" i="69"/>
  <c r="AH26" i="69"/>
  <c r="AL14" i="69"/>
  <c r="AJ42" i="68"/>
  <c r="AO29" i="68"/>
  <c r="AO25" i="68"/>
  <c r="AJ59" i="67"/>
  <c r="AJ55" i="67"/>
  <c r="AM20" i="70"/>
  <c r="AH74" i="69"/>
  <c r="AL68" i="69"/>
  <c r="AQ44" i="69"/>
  <c r="AR38" i="69"/>
  <c r="AG26" i="69"/>
  <c r="AO69" i="72"/>
  <c r="AP74" i="72"/>
  <c r="AJ69" i="72"/>
  <c r="AK74" i="72"/>
  <c r="AE69" i="72"/>
  <c r="AH74" i="72"/>
  <c r="AO63" i="72"/>
  <c r="AQ68" i="72"/>
  <c r="AJ63" i="72"/>
  <c r="AK68" i="72"/>
  <c r="AE63" i="72"/>
  <c r="AH68" i="72"/>
  <c r="AO57" i="72"/>
  <c r="AP62" i="72"/>
  <c r="AJ57" i="72"/>
  <c r="AK62" i="72"/>
  <c r="AE57" i="72"/>
  <c r="AH62" i="72"/>
  <c r="AO51" i="72"/>
  <c r="AQ56" i="72"/>
  <c r="AJ51" i="72"/>
  <c r="AK56" i="72"/>
  <c r="AE51" i="72"/>
  <c r="AH56" i="72"/>
  <c r="AO45" i="72"/>
  <c r="AP50" i="72"/>
  <c r="AJ45" i="72"/>
  <c r="AK50" i="72"/>
  <c r="AE45" i="72"/>
  <c r="AH50" i="72"/>
  <c r="AO39" i="72"/>
  <c r="AQ44" i="72"/>
  <c r="AJ39" i="72"/>
  <c r="AK44" i="72"/>
  <c r="AE39" i="72"/>
  <c r="AH44" i="72"/>
  <c r="AO33" i="72"/>
  <c r="AP38" i="72"/>
  <c r="AJ33" i="72"/>
  <c r="AK38" i="72"/>
  <c r="AE33" i="72"/>
  <c r="AH38" i="72"/>
  <c r="AO27" i="72"/>
  <c r="AQ32" i="72"/>
  <c r="AE27" i="72"/>
  <c r="AH32" i="72"/>
  <c r="AO21" i="72"/>
  <c r="AP26" i="72"/>
  <c r="AJ21" i="72"/>
  <c r="AK26" i="72"/>
  <c r="AE21" i="72"/>
  <c r="AF26" i="72"/>
  <c r="AE15" i="72"/>
  <c r="AF20" i="72"/>
  <c r="AO9" i="72"/>
  <c r="AQ14" i="72"/>
  <c r="AJ9" i="72"/>
  <c r="AL14" i="72"/>
  <c r="AE9" i="72"/>
  <c r="AI14" i="72"/>
  <c r="AO69" i="73"/>
  <c r="AQ74" i="73"/>
  <c r="AJ69" i="73"/>
  <c r="AK74" i="73"/>
  <c r="AE69" i="73"/>
  <c r="AI74" i="73"/>
  <c r="AO63" i="73"/>
  <c r="AQ68" i="73"/>
  <c r="AJ63" i="73"/>
  <c r="AK68" i="73"/>
  <c r="AE63" i="73"/>
  <c r="AH68" i="73"/>
  <c r="AO57" i="73"/>
  <c r="AQ62" i="73"/>
  <c r="AE57" i="73"/>
  <c r="AH62" i="73"/>
  <c r="AO51" i="73"/>
  <c r="AQ56" i="73"/>
  <c r="AJ51" i="73"/>
  <c r="AK56" i="73"/>
  <c r="AE51" i="73"/>
  <c r="AH56" i="73"/>
  <c r="AO45" i="73"/>
  <c r="AQ50" i="73"/>
  <c r="AE45" i="73"/>
  <c r="AH50" i="73"/>
  <c r="AO39" i="73"/>
  <c r="AQ44" i="73"/>
  <c r="AJ39" i="73"/>
  <c r="AK44" i="73"/>
  <c r="AE39" i="73"/>
  <c r="AH44" i="73"/>
  <c r="AO33" i="73"/>
  <c r="AQ38" i="73"/>
  <c r="AE33" i="73"/>
  <c r="AH38" i="73"/>
  <c r="AO27" i="73"/>
  <c r="AQ32" i="73"/>
  <c r="AJ27" i="73"/>
  <c r="AK32" i="73"/>
  <c r="AE27" i="73"/>
  <c r="AH32" i="73"/>
  <c r="AO21" i="73"/>
  <c r="AQ26" i="73"/>
  <c r="AE21" i="73"/>
  <c r="AH26" i="73"/>
  <c r="AO15" i="73"/>
  <c r="AQ20" i="73"/>
  <c r="AJ15" i="73"/>
  <c r="AK20" i="73"/>
  <c r="AE15" i="73"/>
  <c r="AH20" i="73"/>
  <c r="AO9" i="73"/>
  <c r="AQ14" i="73"/>
  <c r="AE9" i="73"/>
  <c r="AH14" i="73"/>
  <c r="AO69" i="71"/>
  <c r="AQ74" i="71"/>
  <c r="AJ69" i="71"/>
  <c r="AK74" i="71"/>
  <c r="AE69" i="71"/>
  <c r="AH74" i="71"/>
  <c r="AO63" i="71"/>
  <c r="AQ68" i="71"/>
  <c r="AJ63" i="71"/>
  <c r="AK68" i="71"/>
  <c r="AE63" i="71"/>
  <c r="AH68" i="71"/>
  <c r="AO57" i="71"/>
  <c r="AQ62" i="71"/>
  <c r="AJ57" i="71"/>
  <c r="AK62" i="71"/>
  <c r="AE57" i="71"/>
  <c r="AH62" i="71"/>
  <c r="AO51" i="71"/>
  <c r="AQ56" i="71"/>
  <c r="AJ51" i="71"/>
  <c r="AK56" i="71"/>
  <c r="AE51" i="71"/>
  <c r="AH56" i="71"/>
  <c r="AO45" i="71"/>
  <c r="AQ50" i="71"/>
  <c r="AJ45" i="71"/>
  <c r="AK50" i="71"/>
  <c r="AO39" i="71"/>
  <c r="AQ44" i="71"/>
  <c r="AJ39" i="71"/>
  <c r="AK44" i="71"/>
  <c r="AE39" i="71"/>
  <c r="AH44" i="71"/>
  <c r="AO33" i="71"/>
  <c r="AQ38" i="71"/>
  <c r="AJ33" i="71"/>
  <c r="AK38" i="71"/>
  <c r="AO27" i="71"/>
  <c r="AQ32" i="71"/>
  <c r="AJ27" i="71"/>
  <c r="AK32" i="71"/>
  <c r="AO21" i="71"/>
  <c r="AQ26" i="71"/>
  <c r="AJ21" i="71"/>
  <c r="AK26" i="71"/>
  <c r="AO15" i="71"/>
  <c r="AQ20" i="71"/>
  <c r="AJ15" i="71"/>
  <c r="AK20" i="71"/>
  <c r="AO9" i="71"/>
  <c r="AQ14" i="71"/>
  <c r="AJ9" i="71"/>
  <c r="AK14" i="71"/>
  <c r="AO69" i="70"/>
  <c r="AQ74" i="70"/>
  <c r="AJ69" i="70"/>
  <c r="AK74" i="70"/>
  <c r="AO63" i="70"/>
  <c r="AQ68" i="70"/>
  <c r="AJ63" i="70"/>
  <c r="AK68" i="70"/>
  <c r="AO57" i="70"/>
  <c r="AQ62" i="70"/>
  <c r="AJ57" i="70"/>
  <c r="AK62" i="70"/>
  <c r="AO51" i="70"/>
  <c r="AQ56" i="70"/>
  <c r="AJ51" i="70"/>
  <c r="AK56" i="70"/>
  <c r="AO45" i="70"/>
  <c r="AQ50" i="70"/>
  <c r="AJ45" i="70"/>
  <c r="AK50" i="70"/>
  <c r="AO39" i="70"/>
  <c r="AQ44" i="70"/>
  <c r="AJ39" i="70"/>
  <c r="AK44" i="70"/>
  <c r="AO33" i="70"/>
  <c r="AQ38" i="70"/>
  <c r="AJ33" i="70"/>
  <c r="AK38" i="70"/>
  <c r="AO27" i="70"/>
  <c r="AQ32" i="70"/>
  <c r="AJ27" i="70"/>
  <c r="AK32" i="70"/>
  <c r="AO21" i="70"/>
  <c r="AQ26" i="70"/>
  <c r="AJ21" i="70"/>
  <c r="AK26" i="70"/>
  <c r="AO15" i="70"/>
  <c r="AQ20" i="70"/>
  <c r="AJ15" i="70"/>
  <c r="AK20" i="70"/>
  <c r="AO9" i="70"/>
  <c r="AQ14" i="70"/>
  <c r="AJ9" i="70"/>
  <c r="AK14" i="70"/>
  <c r="AO69" i="69"/>
  <c r="AQ74" i="69"/>
  <c r="AJ69" i="69"/>
  <c r="AK74" i="69"/>
  <c r="AQ68" i="69"/>
  <c r="AJ63" i="69"/>
  <c r="AK68" i="69"/>
  <c r="AO57" i="69"/>
  <c r="AQ62" i="69"/>
  <c r="AJ57" i="69"/>
  <c r="AK62" i="69"/>
  <c r="AO51" i="69"/>
  <c r="AQ56" i="69"/>
  <c r="AE45" i="69"/>
  <c r="AH50" i="69"/>
  <c r="AJ39" i="69"/>
  <c r="AK44" i="69"/>
  <c r="AE39" i="69"/>
  <c r="AI44" i="69"/>
  <c r="AO33" i="69"/>
  <c r="AQ38" i="69"/>
  <c r="AJ33" i="69"/>
  <c r="AK38" i="69"/>
  <c r="AJ27" i="69"/>
  <c r="AK32" i="69"/>
  <c r="AO21" i="69"/>
  <c r="AQ26" i="69"/>
  <c r="AJ21" i="69"/>
  <c r="AK26" i="69"/>
  <c r="AJ15" i="69"/>
  <c r="AK20" i="69"/>
  <c r="AO9" i="69"/>
  <c r="AQ14" i="69"/>
  <c r="AJ9" i="69"/>
  <c r="AK14" i="69"/>
  <c r="AJ69" i="68"/>
  <c r="AK74" i="68"/>
  <c r="AE69" i="68"/>
  <c r="AH74" i="68"/>
  <c r="AO63" i="68"/>
  <c r="AQ68" i="68"/>
  <c r="AE63" i="68"/>
  <c r="AH68" i="68"/>
  <c r="AJ57" i="68"/>
  <c r="AK62" i="68"/>
  <c r="AE57" i="68"/>
  <c r="AH62" i="68"/>
  <c r="AO51" i="68"/>
  <c r="AE51" i="68"/>
  <c r="AH56" i="68"/>
  <c r="AJ45" i="68"/>
  <c r="AK50" i="68"/>
  <c r="AJ39" i="68"/>
  <c r="AK44" i="68"/>
  <c r="AE39" i="68"/>
  <c r="AH44" i="68"/>
  <c r="AO33" i="68"/>
  <c r="AJ33" i="68"/>
  <c r="AK38" i="68"/>
  <c r="AO27" i="68"/>
  <c r="AJ27" i="68"/>
  <c r="AK32" i="68"/>
  <c r="AE27" i="68"/>
  <c r="AH32" i="68"/>
  <c r="AO21" i="68"/>
  <c r="AJ21" i="68"/>
  <c r="AK26" i="68"/>
  <c r="AQ20" i="68"/>
  <c r="AJ15" i="68"/>
  <c r="AK20" i="68"/>
  <c r="AE15" i="68"/>
  <c r="AH20" i="68"/>
  <c r="AO9" i="68"/>
  <c r="AJ9" i="68"/>
  <c r="AO69" i="67"/>
  <c r="AQ74" i="67"/>
  <c r="AJ69" i="67"/>
  <c r="AK74" i="67"/>
  <c r="AE69" i="67"/>
  <c r="AH74" i="67"/>
  <c r="AO63" i="67"/>
  <c r="AP68" i="67"/>
  <c r="AJ63" i="67"/>
  <c r="AK68" i="67"/>
  <c r="AE63" i="67"/>
  <c r="AH68" i="67"/>
  <c r="AO57" i="67"/>
  <c r="AQ62" i="67"/>
  <c r="AJ57" i="67"/>
  <c r="AK62" i="67"/>
  <c r="AE57" i="67"/>
  <c r="AH62" i="67"/>
  <c r="AJ51" i="67"/>
  <c r="AK56" i="67"/>
  <c r="AE51" i="67"/>
  <c r="AH56" i="67"/>
  <c r="AJ45" i="67"/>
  <c r="AK50" i="67"/>
  <c r="AE45" i="67"/>
  <c r="AH50" i="67"/>
  <c r="AJ39" i="67"/>
  <c r="AK44" i="67"/>
  <c r="AE39" i="67"/>
  <c r="AH44" i="67"/>
  <c r="AO33" i="67"/>
  <c r="AQ38" i="67"/>
  <c r="AJ33" i="67"/>
  <c r="AK38" i="67"/>
  <c r="AO27" i="67"/>
  <c r="AP32" i="67"/>
  <c r="AO21" i="67"/>
  <c r="AQ26" i="67"/>
  <c r="AJ69" i="66"/>
  <c r="AK74" i="66"/>
  <c r="AE69" i="66"/>
  <c r="AH74" i="66"/>
  <c r="AJ63" i="66"/>
  <c r="AK68" i="66"/>
  <c r="AE66" i="66"/>
  <c r="AE65" i="66"/>
  <c r="AE64" i="66"/>
  <c r="AN50" i="66"/>
  <c r="AO41" i="66"/>
  <c r="AO40" i="66"/>
  <c r="AP44" i="66"/>
  <c r="AO35" i="66"/>
  <c r="AR38" i="66"/>
  <c r="AS32" i="66"/>
  <c r="AG26" i="66"/>
  <c r="AE18" i="66"/>
  <c r="AE17" i="66"/>
  <c r="AE16" i="66"/>
  <c r="AH20" i="66"/>
  <c r="AJ9" i="66"/>
  <c r="AK14" i="66"/>
  <c r="AO51" i="65"/>
  <c r="AO48" i="65"/>
  <c r="AO45" i="65"/>
  <c r="AO41" i="65"/>
  <c r="AO40" i="65"/>
  <c r="AR44" i="65"/>
  <c r="AS38" i="65"/>
  <c r="AF32" i="65"/>
  <c r="AE22" i="65"/>
  <c r="AE21" i="65"/>
  <c r="AH26" i="65"/>
  <c r="AI20" i="65"/>
  <c r="AL14" i="65"/>
  <c r="AF68" i="66"/>
  <c r="AL38" i="67"/>
  <c r="AL32" i="67"/>
  <c r="AM26" i="67"/>
  <c r="AO15" i="67"/>
  <c r="AP20" i="67"/>
  <c r="AO12" i="67"/>
  <c r="AO10" i="67"/>
  <c r="AO9" i="67"/>
  <c r="AE61" i="66"/>
  <c r="AE60" i="66"/>
  <c r="AJ54" i="66"/>
  <c r="AJ53" i="66"/>
  <c r="AJ52" i="66"/>
  <c r="AJ51" i="66"/>
  <c r="AM50" i="66"/>
  <c r="AN44" i="66"/>
  <c r="AO37" i="66"/>
  <c r="AO36" i="66"/>
  <c r="AO34" i="66"/>
  <c r="AQ38" i="66"/>
  <c r="AO31" i="66"/>
  <c r="AR32" i="66"/>
  <c r="AF26" i="66"/>
  <c r="AG20" i="66"/>
  <c r="AE13" i="66"/>
  <c r="AE12" i="66"/>
  <c r="AI14" i="66"/>
  <c r="AJ64" i="65"/>
  <c r="AJ63" i="65"/>
  <c r="AJ61" i="65"/>
  <c r="AO47" i="65"/>
  <c r="AO46" i="65"/>
  <c r="AP50" i="65"/>
  <c r="AO43" i="65"/>
  <c r="AO42" i="65"/>
  <c r="AQ44" i="65"/>
  <c r="AO37" i="65"/>
  <c r="AO36" i="65"/>
  <c r="AS32" i="65"/>
  <c r="AE27" i="65"/>
  <c r="AG26" i="65"/>
  <c r="AE18" i="65"/>
  <c r="AE17" i="65"/>
  <c r="AE16" i="65"/>
  <c r="AH20" i="65"/>
  <c r="AJ10" i="65"/>
  <c r="AJ9" i="65"/>
  <c r="AJ7" i="65"/>
  <c r="AK32" i="66"/>
  <c r="AJ27" i="67"/>
  <c r="AK32" i="67"/>
  <c r="AJ25" i="67"/>
  <c r="AL26" i="67"/>
  <c r="AN20" i="67"/>
  <c r="AO11" i="67"/>
  <c r="AP14" i="67"/>
  <c r="AO6" i="67"/>
  <c r="AO5" i="67"/>
  <c r="AJ49" i="66"/>
  <c r="AJ48" i="66"/>
  <c r="AJ47" i="66"/>
  <c r="AL50" i="66"/>
  <c r="AM44" i="66"/>
  <c r="AO33" i="66"/>
  <c r="AP38" i="66"/>
  <c r="AO30" i="66"/>
  <c r="AO27" i="66"/>
  <c r="AQ32" i="66"/>
  <c r="AS26" i="66"/>
  <c r="AF20" i="66"/>
  <c r="AE9" i="66"/>
  <c r="AH14" i="66"/>
  <c r="AN50" i="65"/>
  <c r="AO39" i="65"/>
  <c r="AP44" i="65"/>
  <c r="AO33" i="65"/>
  <c r="AQ38" i="65"/>
  <c r="AF26" i="65"/>
  <c r="AG20" i="65"/>
  <c r="AE13" i="65"/>
  <c r="AE12" i="65"/>
  <c r="AI14" i="65"/>
  <c r="AK56" i="65"/>
  <c r="AJ23" i="67"/>
  <c r="AJ22" i="67"/>
  <c r="AJ21" i="67"/>
  <c r="AM20" i="67"/>
  <c r="AN14" i="67"/>
  <c r="AO7" i="67"/>
  <c r="AO4" i="67"/>
  <c r="AO71" i="66"/>
  <c r="AE54" i="66"/>
  <c r="AE53" i="66"/>
  <c r="AE52" i="66"/>
  <c r="AJ46" i="66"/>
  <c r="AJ45" i="66"/>
  <c r="AK50" i="66"/>
  <c r="AJ43" i="66"/>
  <c r="AL44" i="66"/>
  <c r="AO29" i="66"/>
  <c r="AO28" i="66"/>
  <c r="AP32" i="66"/>
  <c r="AO23" i="66"/>
  <c r="AR26" i="66"/>
  <c r="AS20" i="66"/>
  <c r="AE15" i="66"/>
  <c r="AG14" i="66"/>
  <c r="AE64" i="65"/>
  <c r="AE63" i="65"/>
  <c r="AM50" i="65"/>
  <c r="AO34" i="65"/>
  <c r="AP38" i="65"/>
  <c r="AO31" i="65"/>
  <c r="AO29" i="65"/>
  <c r="AQ32" i="65"/>
  <c r="AS26" i="65"/>
  <c r="AF20" i="65"/>
  <c r="AE10" i="65"/>
  <c r="AE9" i="65"/>
  <c r="AH14" i="65"/>
  <c r="AH50" i="66"/>
  <c r="AK38" i="65"/>
  <c r="AO55" i="67"/>
  <c r="AO54" i="67"/>
  <c r="AO53" i="67"/>
  <c r="AO52" i="67"/>
  <c r="AS50" i="67"/>
  <c r="AG44" i="67"/>
  <c r="AE35" i="67"/>
  <c r="AE34" i="67"/>
  <c r="AE33" i="67"/>
  <c r="AH38" i="67"/>
  <c r="AE31" i="67"/>
  <c r="AE30" i="67"/>
  <c r="AE29" i="67"/>
  <c r="AE28" i="67"/>
  <c r="AE27" i="67"/>
  <c r="AH32" i="67"/>
  <c r="AI26" i="67"/>
  <c r="AL20" i="67"/>
  <c r="AM14" i="67"/>
  <c r="AO73" i="66"/>
  <c r="AO70" i="66"/>
  <c r="AO67" i="66"/>
  <c r="AE49" i="66"/>
  <c r="AE48" i="66"/>
  <c r="AI50" i="66"/>
  <c r="AJ39" i="66"/>
  <c r="AK44" i="66"/>
  <c r="AM38" i="66"/>
  <c r="AN32" i="66"/>
  <c r="AO25" i="66"/>
  <c r="AO24" i="66"/>
  <c r="AO22" i="66"/>
  <c r="AQ26" i="66"/>
  <c r="AO19" i="66"/>
  <c r="AR20" i="66"/>
  <c r="AF14" i="66"/>
  <c r="AE60" i="65"/>
  <c r="AE59" i="65"/>
  <c r="AE58" i="65"/>
  <c r="AL50" i="65"/>
  <c r="AM44" i="65"/>
  <c r="AN38" i="65"/>
  <c r="AO27" i="65"/>
  <c r="AP32" i="65"/>
  <c r="AO25" i="65"/>
  <c r="AO24" i="65"/>
  <c r="AR26" i="65"/>
  <c r="AS20" i="65"/>
  <c r="AE15" i="65"/>
  <c r="AG14" i="65"/>
  <c r="AO49" i="67"/>
  <c r="AO48" i="67"/>
  <c r="AR50" i="67"/>
  <c r="AF44" i="67"/>
  <c r="AG38" i="67"/>
  <c r="AG32" i="67"/>
  <c r="AH26" i="67"/>
  <c r="AJ15" i="67"/>
  <c r="AK20" i="67"/>
  <c r="AL14" i="67"/>
  <c r="AO69" i="66"/>
  <c r="AO66" i="66"/>
  <c r="AO64" i="66"/>
  <c r="AO63" i="66"/>
  <c r="AI44" i="66"/>
  <c r="AL38" i="66"/>
  <c r="AM32" i="66"/>
  <c r="AO21" i="66"/>
  <c r="AP26" i="66"/>
  <c r="AO18" i="66"/>
  <c r="AO15" i="66"/>
  <c r="AS14" i="66"/>
  <c r="AJ45" i="65"/>
  <c r="AK50" i="65"/>
  <c r="AM38" i="65"/>
  <c r="AN32" i="65"/>
  <c r="AO23" i="65"/>
  <c r="AO21" i="65"/>
  <c r="AR20" i="65"/>
  <c r="AF14" i="65"/>
  <c r="AE6" i="65"/>
  <c r="AH68" i="65"/>
  <c r="AH62" i="66"/>
  <c r="AQ50" i="65"/>
  <c r="AO46" i="67"/>
  <c r="AO45" i="67"/>
  <c r="AQ50" i="67"/>
  <c r="AS44" i="67"/>
  <c r="AF38" i="67"/>
  <c r="AF32" i="67"/>
  <c r="AG26" i="67"/>
  <c r="AE19" i="67"/>
  <c r="AE18" i="67"/>
  <c r="AI20" i="67"/>
  <c r="AJ12" i="67"/>
  <c r="AJ11" i="67"/>
  <c r="AJ10" i="67"/>
  <c r="AJ9" i="67"/>
  <c r="AK14" i="67"/>
  <c r="AO65" i="66"/>
  <c r="AO60" i="66"/>
  <c r="AO59" i="66"/>
  <c r="AE51" i="66"/>
  <c r="AG50" i="66"/>
  <c r="AE42" i="66"/>
  <c r="AE41" i="66"/>
  <c r="AE40" i="66"/>
  <c r="AH44" i="66"/>
  <c r="AJ34" i="66"/>
  <c r="AJ33" i="66"/>
  <c r="AK38" i="66"/>
  <c r="AJ31" i="66"/>
  <c r="AL32" i="66"/>
  <c r="AN26" i="66"/>
  <c r="AO17" i="66"/>
  <c r="AO16" i="66"/>
  <c r="AP20" i="66"/>
  <c r="AO11" i="66"/>
  <c r="AR14" i="66"/>
  <c r="AE52" i="65"/>
  <c r="AE51" i="65"/>
  <c r="AI50" i="65"/>
  <c r="AJ39" i="65"/>
  <c r="AK44" i="65"/>
  <c r="AL38" i="65"/>
  <c r="AM32" i="65"/>
  <c r="AO22" i="65"/>
  <c r="AP26" i="65"/>
  <c r="AO19" i="65"/>
  <c r="AO17" i="65"/>
  <c r="AO16" i="65"/>
  <c r="AQ20" i="65"/>
  <c r="AS14" i="65"/>
  <c r="AF62" i="65"/>
  <c r="AO47" i="67"/>
  <c r="AP50" i="67"/>
  <c r="AO43" i="67"/>
  <c r="AO42" i="67"/>
  <c r="AO41" i="67"/>
  <c r="AO40" i="67"/>
  <c r="AR44" i="67"/>
  <c r="AS38" i="67"/>
  <c r="AS32" i="67"/>
  <c r="AF26" i="67"/>
  <c r="AE16" i="67"/>
  <c r="AE15" i="67"/>
  <c r="AI14" i="67"/>
  <c r="AO61" i="66"/>
  <c r="AO58" i="66"/>
  <c r="AO55" i="66"/>
  <c r="AF50" i="66"/>
  <c r="AG44" i="66"/>
  <c r="AE37" i="66"/>
  <c r="AE36" i="66"/>
  <c r="AI38" i="66"/>
  <c r="AM26" i="66"/>
  <c r="AN20" i="66"/>
  <c r="AO13" i="66"/>
  <c r="AO12" i="66"/>
  <c r="AO10" i="66"/>
  <c r="AQ14" i="66"/>
  <c r="AO7" i="66"/>
  <c r="AO6" i="66"/>
  <c r="AO73" i="65"/>
  <c r="AO72" i="65"/>
  <c r="AO69" i="65"/>
  <c r="AE48" i="65"/>
  <c r="AE47" i="65"/>
  <c r="AE46" i="65"/>
  <c r="AE45" i="65"/>
  <c r="AH50" i="65"/>
  <c r="AE43" i="65"/>
  <c r="AE42" i="65"/>
  <c r="AE41" i="65"/>
  <c r="AI44" i="65"/>
  <c r="AL32" i="65"/>
  <c r="AN26" i="65"/>
  <c r="AO15" i="65"/>
  <c r="AP20" i="65"/>
  <c r="AR14" i="65"/>
  <c r="AP56" i="65"/>
  <c r="AN50" i="67"/>
  <c r="AO37" i="67"/>
  <c r="AO36" i="67"/>
  <c r="AR38" i="67"/>
  <c r="AR32" i="67"/>
  <c r="AS26" i="67"/>
  <c r="AE21" i="67"/>
  <c r="AG20" i="67"/>
  <c r="AE12" i="67"/>
  <c r="AE11" i="67"/>
  <c r="AE10" i="67"/>
  <c r="AH14" i="67"/>
  <c r="AO57" i="66"/>
  <c r="AO54" i="66"/>
  <c r="AO51" i="66"/>
  <c r="AS50" i="66"/>
  <c r="AF44" i="66"/>
  <c r="AE34" i="66"/>
  <c r="AE33" i="66"/>
  <c r="AH38" i="66"/>
  <c r="AI32" i="66"/>
  <c r="AL26" i="66"/>
  <c r="AM20" i="66"/>
  <c r="AO9" i="66"/>
  <c r="AP14" i="66"/>
  <c r="AO5" i="66"/>
  <c r="AO4" i="66"/>
  <c r="AO71" i="65"/>
  <c r="AO70" i="65"/>
  <c r="AO67" i="65"/>
  <c r="AO66" i="65"/>
  <c r="AG50" i="65"/>
  <c r="AE39" i="65"/>
  <c r="AH44" i="65"/>
  <c r="AI38" i="65"/>
  <c r="AJ27" i="65"/>
  <c r="AK32" i="65"/>
  <c r="AM26" i="65"/>
  <c r="AO11" i="65"/>
  <c r="AO9" i="65"/>
  <c r="AQ14" i="65"/>
  <c r="AK74" i="65"/>
  <c r="AK68" i="65"/>
  <c r="AK62" i="66"/>
  <c r="AO47" i="66"/>
  <c r="AR50" i="66"/>
  <c r="AS44" i="66"/>
  <c r="AG38" i="66"/>
  <c r="AE30" i="66"/>
  <c r="AE29" i="66"/>
  <c r="AE28" i="66"/>
  <c r="AH32" i="66"/>
  <c r="AJ21" i="66"/>
  <c r="AK26" i="66"/>
  <c r="AL20" i="66"/>
  <c r="AO63" i="65"/>
  <c r="AO60" i="65"/>
  <c r="AO57" i="65"/>
  <c r="AF50" i="65"/>
  <c r="AG44" i="65"/>
  <c r="AE34" i="65"/>
  <c r="AE33" i="65"/>
  <c r="AH38" i="65"/>
  <c r="AI32" i="65"/>
  <c r="AL26" i="65"/>
  <c r="AM20" i="65"/>
  <c r="AP14" i="65"/>
  <c r="AO7" i="65"/>
  <c r="AO6" i="65"/>
  <c r="AQ50" i="66"/>
  <c r="AR44" i="66"/>
  <c r="AF38" i="66"/>
  <c r="AG32" i="66"/>
  <c r="AI26" i="66"/>
  <c r="AJ15" i="66"/>
  <c r="AK20" i="66"/>
  <c r="AM14" i="66"/>
  <c r="AO59" i="65"/>
  <c r="AO58" i="65"/>
  <c r="AS50" i="65"/>
  <c r="AG38" i="65"/>
  <c r="AJ21" i="65"/>
  <c r="AK26" i="65"/>
  <c r="AL20" i="65"/>
  <c r="AN14" i="65"/>
  <c r="AH20" i="67"/>
  <c r="AQ14" i="67"/>
  <c r="AO45" i="66"/>
  <c r="AP50" i="66"/>
  <c r="AO42" i="66"/>
  <c r="AO39" i="66"/>
  <c r="AS38" i="66"/>
  <c r="AF32" i="66"/>
  <c r="AE22" i="66"/>
  <c r="AE21" i="66"/>
  <c r="AI20" i="66"/>
  <c r="AL14" i="66"/>
  <c r="AO55" i="65"/>
  <c r="AO54" i="65"/>
  <c r="AO49" i="65"/>
  <c r="AR50" i="65"/>
  <c r="AS44" i="65"/>
  <c r="AF38" i="65"/>
  <c r="AG32" i="65"/>
  <c r="AE25" i="65"/>
  <c r="AE24" i="65"/>
  <c r="AI26" i="65"/>
  <c r="AJ15" i="65"/>
  <c r="AK20" i="65"/>
  <c r="AM14" i="65"/>
  <c r="AH74" i="65"/>
  <c r="AQ68" i="66"/>
  <c r="AK62" i="65"/>
  <c r="AK56" i="66"/>
  <c r="AH56" i="65"/>
  <c r="AK26" i="67"/>
  <c r="AE66" i="41"/>
  <c r="AE61" i="41"/>
  <c r="AE58" i="41"/>
  <c r="AE30" i="41"/>
  <c r="AS62" i="41"/>
  <c r="AL8" i="41"/>
  <c r="AM8" i="41"/>
  <c r="AN62" i="41"/>
  <c r="AL62" i="41"/>
  <c r="AL50" i="41"/>
  <c r="AL38" i="41"/>
  <c r="AN26" i="41"/>
  <c r="AG74" i="41"/>
  <c r="AJ48" i="41"/>
  <c r="AK44" i="41"/>
  <c r="AM26" i="41"/>
  <c r="AJ31" i="41"/>
  <c r="AS74" i="41"/>
  <c r="AE65" i="41"/>
  <c r="AF68" i="41"/>
  <c r="AH62" i="41"/>
  <c r="AH50" i="41"/>
  <c r="AE42" i="41"/>
  <c r="AE36" i="41"/>
  <c r="AE35" i="41"/>
  <c r="AH38" i="41"/>
  <c r="AJ25" i="41"/>
  <c r="AJ21" i="41"/>
  <c r="AJ6" i="41"/>
  <c r="AO72" i="41"/>
  <c r="AO67" i="41"/>
  <c r="AS56" i="41"/>
  <c r="AS50" i="41"/>
  <c r="AS44" i="41"/>
  <c r="AS38" i="41"/>
  <c r="AE33" i="41"/>
  <c r="AG32" i="41"/>
  <c r="AG26" i="41"/>
  <c r="AG20" i="41"/>
  <c r="AG14" i="41"/>
  <c r="AJ59" i="41"/>
  <c r="AJ51" i="41"/>
  <c r="AM20" i="41"/>
  <c r="AL32" i="41"/>
  <c r="AN74" i="41"/>
  <c r="AR62" i="41"/>
  <c r="AR44" i="41"/>
  <c r="AR38" i="41"/>
  <c r="AE29" i="41"/>
  <c r="AF32" i="41"/>
  <c r="AE25" i="41"/>
  <c r="AE22" i="41"/>
  <c r="AE21" i="41"/>
  <c r="AE18" i="41"/>
  <c r="AE17" i="41"/>
  <c r="AF20" i="41"/>
  <c r="AE10" i="41"/>
  <c r="AF14" i="41"/>
  <c r="AE6" i="41"/>
  <c r="AJ54" i="41"/>
  <c r="AJ45" i="41"/>
  <c r="AM74" i="41"/>
  <c r="AN68" i="41"/>
  <c r="AS32" i="41"/>
  <c r="AS26" i="41"/>
  <c r="AS20" i="41"/>
  <c r="AS14" i="41"/>
  <c r="AI74" i="41"/>
  <c r="AL74" i="41"/>
  <c r="AM68" i="41"/>
  <c r="AO39" i="41"/>
  <c r="AR32" i="41"/>
  <c r="AR20" i="41"/>
  <c r="AR14" i="41"/>
  <c r="AL68" i="41"/>
  <c r="AN56" i="41"/>
  <c r="AN50" i="41"/>
  <c r="AN44" i="41"/>
  <c r="AN38" i="41"/>
  <c r="AM50" i="41"/>
  <c r="AM44" i="41"/>
  <c r="AM38" i="41"/>
  <c r="AJ58" i="41"/>
  <c r="AN20" i="41"/>
  <c r="AN14" i="41"/>
  <c r="AJ55" i="41"/>
  <c r="AJ46" i="41"/>
  <c r="AM32" i="41"/>
  <c r="AM14" i="41"/>
  <c r="AJ60" i="41"/>
  <c r="AJ49" i="41"/>
  <c r="AE70" i="41"/>
  <c r="AF74" i="41"/>
  <c r="AG68" i="41"/>
  <c r="AI62" i="41"/>
  <c r="AI56" i="41"/>
  <c r="AI50" i="41"/>
  <c r="AI44" i="41"/>
  <c r="AI38" i="41"/>
  <c r="AL14" i="41"/>
  <c r="AM62" i="41"/>
  <c r="AJ57" i="41"/>
  <c r="AJ47" i="41"/>
  <c r="AJ30" i="41"/>
  <c r="AL20" i="41"/>
  <c r="AJ28" i="41"/>
  <c r="AJ22" i="41"/>
  <c r="AJ17" i="41"/>
  <c r="AJ7" i="41"/>
  <c r="AK68" i="41"/>
  <c r="AM56" i="41"/>
  <c r="AE3" i="41"/>
  <c r="AL56" i="41"/>
  <c r="AL44" i="41"/>
  <c r="AN32" i="41"/>
  <c r="AJ43" i="41"/>
  <c r="AL26" i="41"/>
  <c r="AJ27" i="41"/>
  <c r="AJ24" i="41"/>
  <c r="AJ19" i="41"/>
  <c r="AK20" i="41"/>
  <c r="AR74" i="41"/>
  <c r="AS68" i="41"/>
  <c r="AG62" i="41"/>
  <c r="AG56" i="41"/>
  <c r="AG50" i="41"/>
  <c r="AG44" i="41"/>
  <c r="AE37" i="41"/>
  <c r="AG38" i="41"/>
  <c r="AI32" i="41"/>
  <c r="AI26" i="41"/>
  <c r="AI20" i="41"/>
  <c r="AI14" i="41"/>
  <c r="AE69" i="41"/>
  <c r="AE67" i="41"/>
  <c r="AI68" i="41"/>
  <c r="AJ52" i="41"/>
  <c r="AJ42" i="41"/>
  <c r="AJ33" i="41"/>
  <c r="AJ29" i="41"/>
  <c r="AJ23" i="41"/>
  <c r="AJ18" i="41"/>
  <c r="AJ9" i="41"/>
  <c r="AK8" i="41"/>
  <c r="AR68" i="41"/>
  <c r="AE57" i="41"/>
  <c r="AE54" i="41"/>
  <c r="AE53" i="41"/>
  <c r="AF56" i="41"/>
  <c r="AE49" i="41"/>
  <c r="AE46" i="41"/>
  <c r="AF50" i="41"/>
  <c r="AE41" i="41"/>
  <c r="AF44" i="41"/>
  <c r="AE34" i="41"/>
  <c r="AF38" i="41"/>
  <c r="AE24" i="41"/>
  <c r="AE23" i="41"/>
  <c r="AH26" i="41"/>
  <c r="AH20" i="41"/>
  <c r="AJ71" i="41"/>
  <c r="AJ67" i="41"/>
  <c r="AE73" i="41"/>
  <c r="AE72" i="41"/>
  <c r="AE71" i="41"/>
  <c r="AJ65" i="41"/>
  <c r="AO55" i="41"/>
  <c r="AJ36" i="41"/>
  <c r="AJ35" i="41"/>
  <c r="AJ34" i="41"/>
  <c r="AE9" i="41"/>
  <c r="AE7" i="41"/>
  <c r="AK56" i="41"/>
  <c r="AK32" i="41"/>
  <c r="AE51" i="41"/>
  <c r="AJ64" i="41"/>
  <c r="AJ63" i="41"/>
  <c r="AJ61" i="41"/>
  <c r="AO49" i="41"/>
  <c r="AE45" i="41"/>
  <c r="AE40" i="41"/>
  <c r="AE39" i="41"/>
  <c r="AE5" i="41"/>
  <c r="AE4" i="41"/>
  <c r="AF62" i="41"/>
  <c r="AF26" i="41"/>
  <c r="AE52" i="41"/>
  <c r="AJ70" i="41"/>
  <c r="AJ66" i="41"/>
  <c r="AE64" i="41"/>
  <c r="AE63" i="41"/>
  <c r="AO19" i="41"/>
  <c r="AH14" i="41"/>
  <c r="AN8" i="41"/>
  <c r="AE48" i="41"/>
  <c r="AE47" i="41"/>
  <c r="AE31" i="41"/>
  <c r="AO13" i="41"/>
  <c r="AJ72" i="41"/>
  <c r="AJ69" i="41"/>
  <c r="AE60" i="41"/>
  <c r="AE59" i="41"/>
  <c r="AO73" i="41"/>
  <c r="AJ53" i="41"/>
  <c r="AO43" i="41"/>
  <c r="AE55" i="41"/>
  <c r="AO37" i="41"/>
  <c r="AE28" i="41"/>
  <c r="AE27" i="41"/>
  <c r="AO5" i="41"/>
  <c r="AK74" i="41"/>
  <c r="AK62" i="41"/>
  <c r="AK50" i="41"/>
  <c r="AK38" i="41"/>
  <c r="AK26" i="41"/>
  <c r="AK14" i="41"/>
  <c r="AF8" i="41"/>
  <c r="AE19" i="41"/>
  <c r="AJ16" i="41"/>
  <c r="AJ15" i="41"/>
  <c r="AJ13" i="41"/>
  <c r="AJ12" i="41"/>
  <c r="AJ11" i="41"/>
  <c r="AJ10" i="41"/>
  <c r="AH74" i="41"/>
  <c r="AH68" i="41"/>
  <c r="AH56" i="41"/>
  <c r="AH44" i="41"/>
  <c r="AH32" i="41"/>
  <c r="AJ73" i="41"/>
  <c r="AJ41" i="41"/>
  <c r="AO31" i="41"/>
  <c r="AE43" i="41"/>
  <c r="AJ40" i="41"/>
  <c r="AJ39" i="41"/>
  <c r="AJ37" i="41"/>
  <c r="AE16" i="41"/>
  <c r="AE15" i="41"/>
  <c r="AE13" i="41"/>
  <c r="AE12" i="41"/>
  <c r="AE11" i="41"/>
  <c r="AJ5" i="41"/>
  <c r="AJ4" i="41"/>
  <c r="AJ10" i="72"/>
  <c r="AJ73" i="73"/>
  <c r="AO70" i="73"/>
  <c r="AJ64" i="73"/>
  <c r="AJ52" i="73"/>
  <c r="AJ40" i="73"/>
  <c r="AJ28" i="73"/>
  <c r="AJ72" i="73"/>
  <c r="AJ58" i="71"/>
  <c r="AJ46" i="71"/>
  <c r="AJ34" i="71"/>
  <c r="AJ7" i="72"/>
  <c r="AJ70" i="73"/>
  <c r="AO66" i="73"/>
  <c r="AJ59" i="73"/>
  <c r="AJ47" i="73"/>
  <c r="AJ35" i="73"/>
  <c r="AJ6" i="72"/>
  <c r="AJ57" i="73"/>
  <c r="AJ45" i="73"/>
  <c r="AJ33" i="73"/>
  <c r="AJ21" i="73"/>
  <c r="AJ9" i="73"/>
  <c r="AJ67" i="71"/>
  <c r="AO23" i="69"/>
  <c r="AO11" i="69"/>
  <c r="AO69" i="68"/>
  <c r="AO31" i="67"/>
  <c r="AJ37" i="69"/>
  <c r="AJ36" i="68"/>
  <c r="AJ24" i="68"/>
  <c r="AJ12" i="68"/>
  <c r="AJ70" i="67"/>
  <c r="AJ58" i="67"/>
  <c r="AJ34" i="67"/>
  <c r="AJ45" i="69"/>
  <c r="AJ36" i="69"/>
  <c r="AJ25" i="69"/>
  <c r="AJ13" i="69"/>
  <c r="AJ71" i="68"/>
  <c r="AJ59" i="68"/>
  <c r="AJ47" i="68"/>
  <c r="AJ35" i="68"/>
  <c r="AJ11" i="68"/>
  <c r="AJ70" i="68"/>
  <c r="AJ58" i="68"/>
  <c r="AJ46" i="68"/>
  <c r="AJ34" i="68"/>
  <c r="AJ22" i="68"/>
  <c r="AO40" i="69"/>
  <c r="AO31" i="69"/>
  <c r="AO19" i="69"/>
  <c r="AO51" i="67"/>
  <c r="AO39" i="67"/>
  <c r="AO54" i="69"/>
  <c r="AO47" i="69"/>
  <c r="AJ42" i="69"/>
  <c r="AO39" i="69"/>
  <c r="AJ43" i="68"/>
  <c r="AJ31" i="68"/>
  <c r="AJ19" i="68"/>
  <c r="AJ7" i="68"/>
  <c r="AJ65" i="67"/>
  <c r="AJ53" i="67"/>
  <c r="AJ41" i="67"/>
  <c r="AJ40" i="67"/>
  <c r="AJ49" i="69"/>
  <c r="AJ41" i="69"/>
  <c r="AO27" i="69"/>
  <c r="AO15" i="69"/>
  <c r="AO73" i="68"/>
  <c r="AO61" i="68"/>
  <c r="AO13" i="68"/>
  <c r="AJ5" i="68"/>
  <c r="AO71" i="67"/>
  <c r="AO59" i="67"/>
  <c r="AO35" i="67"/>
  <c r="AO37" i="69"/>
  <c r="AO36" i="69"/>
  <c r="AJ29" i="69"/>
  <c r="AJ17" i="69"/>
  <c r="AJ5" i="69"/>
  <c r="AJ63" i="68"/>
  <c r="AJ51" i="68"/>
  <c r="AJ54" i="69"/>
  <c r="AE56" i="67" l="1"/>
  <c r="BW8" i="78" s="1"/>
  <c r="AO62" i="72"/>
  <c r="CH14" i="78" s="1"/>
  <c r="AO38" i="70"/>
  <c r="AX11" i="78" s="1"/>
  <c r="AE26" i="72"/>
  <c r="AD14" i="78" s="1"/>
  <c r="AE68" i="70"/>
  <c r="CO11" i="78" s="1"/>
  <c r="AJ8" i="73"/>
  <c r="D13" i="78" s="1"/>
  <c r="G13" i="78" s="1"/>
  <c r="AE62" i="69"/>
  <c r="CF10" i="78" s="1"/>
  <c r="AE20" i="69"/>
  <c r="U10" i="78" s="1"/>
  <c r="I28" i="53"/>
  <c r="AE20" i="70"/>
  <c r="U11" i="78" s="1"/>
  <c r="AJ20" i="71"/>
  <c r="V12" i="78" s="1"/>
  <c r="AJ56" i="69"/>
  <c r="BX10" i="78" s="1"/>
  <c r="AO14" i="72"/>
  <c r="N14" i="78" s="1"/>
  <c r="AJ8" i="69"/>
  <c r="D10" i="78" s="1"/>
  <c r="G10" i="78" s="1"/>
  <c r="AO62" i="73"/>
  <c r="CH13" i="78" s="1"/>
  <c r="AE26" i="71"/>
  <c r="AD12" i="78" s="1"/>
  <c r="AJ50" i="67"/>
  <c r="BO8" i="78" s="1"/>
  <c r="AO20" i="71"/>
  <c r="W12" i="78" s="1"/>
  <c r="AE26" i="67"/>
  <c r="AD8" i="78" s="1"/>
  <c r="M28" i="53"/>
  <c r="D33" i="78" s="1"/>
  <c r="E25" i="53"/>
  <c r="K28" i="53"/>
  <c r="D31" i="78" s="1"/>
  <c r="S28" i="53"/>
  <c r="F28" i="53"/>
  <c r="E13" i="53" s="1"/>
  <c r="B101" i="78" s="1"/>
  <c r="J24" i="53"/>
  <c r="AE8" i="71"/>
  <c r="C12" i="78" s="1"/>
  <c r="F12" i="78" s="1"/>
  <c r="AE14" i="71"/>
  <c r="L12" i="78" s="1"/>
  <c r="AJ62" i="66"/>
  <c r="CG7" i="78" s="1"/>
  <c r="E26" i="53"/>
  <c r="L28" i="53"/>
  <c r="D32" i="78" s="1"/>
  <c r="AE74" i="67"/>
  <c r="CX8" i="78" s="1"/>
  <c r="AE62" i="70"/>
  <c r="CF11" i="78" s="1"/>
  <c r="AE20" i="73"/>
  <c r="U13" i="78" s="1"/>
  <c r="AJ74" i="72"/>
  <c r="CY14" i="78" s="1"/>
  <c r="N28" i="53"/>
  <c r="AE56" i="68"/>
  <c r="BW9" i="78" s="1"/>
  <c r="AJ14" i="71"/>
  <c r="M12" i="78" s="1"/>
  <c r="AO44" i="71"/>
  <c r="BG12" i="78" s="1"/>
  <c r="E73" i="53"/>
  <c r="AE74" i="70"/>
  <c r="CX11" i="78" s="1"/>
  <c r="G28" i="53"/>
  <c r="E14" i="53" s="1"/>
  <c r="B110" i="78" s="1"/>
  <c r="AJ62" i="69"/>
  <c r="CG10" i="78" s="1"/>
  <c r="H28" i="53"/>
  <c r="E15" i="53" s="1"/>
  <c r="B125" i="78" s="1"/>
  <c r="R28" i="53"/>
  <c r="AO68" i="70"/>
  <c r="CQ11" i="78" s="1"/>
  <c r="AO26" i="73"/>
  <c r="AF13" i="78" s="1"/>
  <c r="AE44" i="73"/>
  <c r="BE13" i="78" s="1"/>
  <c r="AE26" i="70"/>
  <c r="AD11" i="78" s="1"/>
  <c r="J26" i="53"/>
  <c r="J25" i="53"/>
  <c r="E23" i="53"/>
  <c r="E24" i="53"/>
  <c r="E27" i="53"/>
  <c r="J27" i="53"/>
  <c r="L88" i="53"/>
  <c r="CP32" i="78" s="1"/>
  <c r="AE32" i="65"/>
  <c r="AM6" i="78" s="1"/>
  <c r="O25" i="53"/>
  <c r="J23" i="53"/>
  <c r="AO20" i="72"/>
  <c r="W14" i="78" s="1"/>
  <c r="AO68" i="67"/>
  <c r="CQ8" i="78" s="1"/>
  <c r="AJ26" i="71"/>
  <c r="AE12" i="78" s="1"/>
  <c r="AO44" i="69"/>
  <c r="BG10" i="78" s="1"/>
  <c r="AJ14" i="73"/>
  <c r="M13" i="78" s="1"/>
  <c r="AE50" i="69"/>
  <c r="BN10" i="78" s="1"/>
  <c r="AJ20" i="73"/>
  <c r="V13" i="78" s="1"/>
  <c r="M76" i="53"/>
  <c r="BX33" i="78" s="1"/>
  <c r="AJ32" i="72"/>
  <c r="AN14" i="78" s="1"/>
  <c r="AE20" i="71"/>
  <c r="U12" i="78" s="1"/>
  <c r="AE14" i="70"/>
  <c r="L11" i="78" s="1"/>
  <c r="AE32" i="71"/>
  <c r="AM12" i="78" s="1"/>
  <c r="AE74" i="72"/>
  <c r="CX14" i="78" s="1"/>
  <c r="AJ38" i="65"/>
  <c r="AW6" i="78" s="1"/>
  <c r="AO62" i="70"/>
  <c r="CH11" i="78" s="1"/>
  <c r="AJ74" i="71"/>
  <c r="CY12" i="78" s="1"/>
  <c r="AE56" i="72"/>
  <c r="BW14" i="78" s="1"/>
  <c r="M88" i="53"/>
  <c r="CP33" i="78" s="1"/>
  <c r="I76" i="53"/>
  <c r="AJ26" i="66"/>
  <c r="AE7" i="78" s="1"/>
  <c r="AE74" i="66"/>
  <c r="CX7" i="78" s="1"/>
  <c r="I40" i="53"/>
  <c r="AJ14" i="70"/>
  <c r="M11" i="78" s="1"/>
  <c r="AO74" i="71"/>
  <c r="CZ12" i="78" s="1"/>
  <c r="J57" i="53"/>
  <c r="H52" i="53"/>
  <c r="M58" i="53"/>
  <c r="AW33" i="78" s="1"/>
  <c r="E91" i="53"/>
  <c r="J38" i="53"/>
  <c r="G58" i="53"/>
  <c r="J14" i="53" s="1"/>
  <c r="AU122" i="78" s="1"/>
  <c r="F94" i="53"/>
  <c r="F52" i="53"/>
  <c r="G34" i="53"/>
  <c r="E85" i="53"/>
  <c r="AJ20" i="67"/>
  <c r="V8" i="78" s="1"/>
  <c r="AE68" i="71"/>
  <c r="CO12" i="78" s="1"/>
  <c r="AO68" i="72"/>
  <c r="CQ14" i="78" s="1"/>
  <c r="AJ56" i="70"/>
  <c r="BX11" i="78" s="1"/>
  <c r="AE50" i="72"/>
  <c r="BN14" i="78" s="1"/>
  <c r="J77" i="53"/>
  <c r="AJ26" i="73"/>
  <c r="AE13" i="78" s="1"/>
  <c r="K34" i="53"/>
  <c r="M31" i="78" s="1"/>
  <c r="E72" i="53"/>
  <c r="O69" i="53"/>
  <c r="L76" i="53"/>
  <c r="BX32" i="78" s="1"/>
  <c r="AE62" i="67"/>
  <c r="CF8" i="78" s="1"/>
  <c r="AO44" i="73"/>
  <c r="BG13" i="78" s="1"/>
  <c r="AJ32" i="66"/>
  <c r="AN7" i="78" s="1"/>
  <c r="AE68" i="69"/>
  <c r="CO10" i="78" s="1"/>
  <c r="AE74" i="73"/>
  <c r="CX13" i="78" s="1"/>
  <c r="AE38" i="69"/>
  <c r="AV10" i="78" s="1"/>
  <c r="E31" i="53"/>
  <c r="K46" i="53"/>
  <c r="AE31" i="78" s="1"/>
  <c r="I88" i="53"/>
  <c r="AJ20" i="66"/>
  <c r="V7" i="78" s="1"/>
  <c r="AE38" i="70"/>
  <c r="AV11" i="78" s="1"/>
  <c r="AE50" i="70"/>
  <c r="BN11" i="78" s="1"/>
  <c r="J92" i="53"/>
  <c r="E77" i="53"/>
  <c r="E37" i="53"/>
  <c r="AJ8" i="68"/>
  <c r="D9" i="78" s="1"/>
  <c r="G9" i="78" s="1"/>
  <c r="AE50" i="71"/>
  <c r="BN12" i="78" s="1"/>
  <c r="N64" i="53"/>
  <c r="J31" i="53"/>
  <c r="J50" i="53"/>
  <c r="AO38" i="71"/>
  <c r="AX12" i="78" s="1"/>
  <c r="AO32" i="72"/>
  <c r="AO14" i="78" s="1"/>
  <c r="AE44" i="70"/>
  <c r="BE11" i="78" s="1"/>
  <c r="AE8" i="66"/>
  <c r="C7" i="78" s="1"/>
  <c r="F7" i="78" s="1"/>
  <c r="E75" i="53"/>
  <c r="J86" i="53"/>
  <c r="E60" i="53"/>
  <c r="E69" i="53"/>
  <c r="J53" i="53"/>
  <c r="AE8" i="65"/>
  <c r="C6" i="78" s="1"/>
  <c r="F6" i="78" s="1"/>
  <c r="AO44" i="67"/>
  <c r="BG8" i="78" s="1"/>
  <c r="E65" i="53"/>
  <c r="L64" i="53"/>
  <c r="BF32" i="78" s="1"/>
  <c r="AE44" i="69"/>
  <c r="BE10" i="78" s="1"/>
  <c r="AJ68" i="69"/>
  <c r="CP10" i="78" s="1"/>
  <c r="AO56" i="73"/>
  <c r="BY13" i="78" s="1"/>
  <c r="H40" i="53"/>
  <c r="G76" i="53"/>
  <c r="E74" i="53"/>
  <c r="M70" i="53"/>
  <c r="BO33" i="78" s="1"/>
  <c r="E50" i="53"/>
  <c r="AE32" i="66"/>
  <c r="AM7" i="78" s="1"/>
  <c r="AE38" i="71"/>
  <c r="AV12" i="78" s="1"/>
  <c r="AE74" i="69"/>
  <c r="CX10" i="78" s="1"/>
  <c r="E55" i="53"/>
  <c r="E87" i="53"/>
  <c r="N94" i="53"/>
  <c r="AJ74" i="69"/>
  <c r="CY10" i="78" s="1"/>
  <c r="E32" i="53"/>
  <c r="J66" i="53"/>
  <c r="F82" i="53"/>
  <c r="E51" i="53"/>
  <c r="E71" i="53"/>
  <c r="I34" i="53"/>
  <c r="I70" i="53"/>
  <c r="S76" i="53"/>
  <c r="L58" i="53"/>
  <c r="AW32" i="78" s="1"/>
  <c r="E86" i="53"/>
  <c r="AU227" i="78" s="1"/>
  <c r="AO8" i="70"/>
  <c r="E11" i="78" s="1"/>
  <c r="H11" i="78" s="1"/>
  <c r="AO8" i="73"/>
  <c r="E13" i="78" s="1"/>
  <c r="H13" i="78" s="1"/>
  <c r="AO8" i="71"/>
  <c r="E12" i="78" s="1"/>
  <c r="H12" i="78" s="1"/>
  <c r="AO26" i="67"/>
  <c r="AF8" i="78" s="1"/>
  <c r="AE50" i="67"/>
  <c r="BN8" i="78" s="1"/>
  <c r="AE68" i="72"/>
  <c r="CO14" i="78" s="1"/>
  <c r="J55" i="53"/>
  <c r="J93" i="53"/>
  <c r="E67" i="53"/>
  <c r="K52" i="53"/>
  <c r="AN31" i="78" s="1"/>
  <c r="J29" i="53"/>
  <c r="N70" i="53"/>
  <c r="L94" i="53"/>
  <c r="CY32" i="78" s="1"/>
  <c r="E42" i="53"/>
  <c r="AJ50" i="65"/>
  <c r="BO6" i="78" s="1"/>
  <c r="AE14" i="69"/>
  <c r="L10" i="78" s="1"/>
  <c r="J47" i="53"/>
  <c r="J48" i="53"/>
  <c r="G88" i="53"/>
  <c r="O14" i="53" s="1"/>
  <c r="CN110" i="78" s="1"/>
  <c r="I94" i="53"/>
  <c r="AE68" i="67"/>
  <c r="CO8" i="78" s="1"/>
  <c r="AE62" i="68"/>
  <c r="CF9" i="78" s="1"/>
  <c r="AJ32" i="70"/>
  <c r="AN11" i="78" s="1"/>
  <c r="AO62" i="71"/>
  <c r="CH12" i="78" s="1"/>
  <c r="AJ44" i="72"/>
  <c r="BF14" i="78" s="1"/>
  <c r="AJ68" i="72"/>
  <c r="CP14" i="78" s="1"/>
  <c r="J61" i="53"/>
  <c r="J32" i="53"/>
  <c r="J81" i="53"/>
  <c r="J54" i="53"/>
  <c r="G82" i="53"/>
  <c r="M52" i="53"/>
  <c r="AN33" i="78" s="1"/>
  <c r="M64" i="53"/>
  <c r="BF33" i="78" s="1"/>
  <c r="F34" i="53"/>
  <c r="J45" i="53"/>
  <c r="K64" i="53"/>
  <c r="BF31" i="78" s="1"/>
  <c r="AO20" i="67"/>
  <c r="W8" i="78" s="1"/>
  <c r="AJ20" i="70"/>
  <c r="V11" i="78" s="1"/>
  <c r="AJ38" i="70"/>
  <c r="AW11" i="78" s="1"/>
  <c r="AE44" i="71"/>
  <c r="BE12" i="78" s="1"/>
  <c r="AO14" i="73"/>
  <c r="N13" i="78" s="1"/>
  <c r="AE20" i="72"/>
  <c r="U14" i="78" s="1"/>
  <c r="I58" i="53"/>
  <c r="AJ32" i="67"/>
  <c r="AN8" i="78" s="1"/>
  <c r="J33" i="53"/>
  <c r="E43" i="53"/>
  <c r="J68" i="53"/>
  <c r="J35" i="53"/>
  <c r="O33" i="53"/>
  <c r="J56" i="53"/>
  <c r="E44" i="53"/>
  <c r="K88" i="53"/>
  <c r="CP31" i="78" s="1"/>
  <c r="J75" i="53"/>
  <c r="F40" i="53"/>
  <c r="S64" i="53"/>
  <c r="E78" i="53"/>
  <c r="AE44" i="67"/>
  <c r="BE8" i="78" s="1"/>
  <c r="AO56" i="70"/>
  <c r="BY11" i="78" s="1"/>
  <c r="AO26" i="71"/>
  <c r="AF12" i="78" s="1"/>
  <c r="AJ44" i="71"/>
  <c r="BF12" i="78" s="1"/>
  <c r="AO56" i="71"/>
  <c r="BY12" i="78" s="1"/>
  <c r="AE62" i="73"/>
  <c r="CF13" i="78" s="1"/>
  <c r="AJ50" i="72"/>
  <c r="BO14" i="78" s="1"/>
  <c r="AJ62" i="72"/>
  <c r="CG14" i="78" s="1"/>
  <c r="AO8" i="72"/>
  <c r="E14" i="78" s="1"/>
  <c r="H14" i="78" s="1"/>
  <c r="J36" i="53"/>
  <c r="K94" i="53"/>
  <c r="CY31" i="78" s="1"/>
  <c r="F58" i="53"/>
  <c r="J13" i="53" s="1"/>
  <c r="K40" i="53"/>
  <c r="V31" i="78" s="1"/>
  <c r="E56" i="53"/>
  <c r="N46" i="53"/>
  <c r="AE50" i="68"/>
  <c r="BN9" i="78" s="1"/>
  <c r="E39" i="53"/>
  <c r="N40" i="53"/>
  <c r="AE74" i="68"/>
  <c r="CX9" i="78" s="1"/>
  <c r="AE74" i="71"/>
  <c r="CX12" i="78" s="1"/>
  <c r="AE50" i="73"/>
  <c r="BN13" i="78" s="1"/>
  <c r="AJ26" i="72"/>
  <c r="AE14" i="78" s="1"/>
  <c r="AO74" i="72"/>
  <c r="CZ14" i="78" s="1"/>
  <c r="AJ8" i="72"/>
  <c r="D14" i="78" s="1"/>
  <c r="G14" i="78" s="1"/>
  <c r="K70" i="53"/>
  <c r="BO31" i="78" s="1"/>
  <c r="O75" i="53"/>
  <c r="E54" i="53"/>
  <c r="J37" i="53"/>
  <c r="N58" i="53"/>
  <c r="AO32" i="69"/>
  <c r="AO10" i="78" s="1"/>
  <c r="O63" i="53"/>
  <c r="J85" i="53"/>
  <c r="F64" i="53"/>
  <c r="I46" i="53"/>
  <c r="J44" i="53"/>
  <c r="J42" i="53"/>
  <c r="I82" i="53"/>
  <c r="J78" i="53"/>
  <c r="E41" i="53"/>
  <c r="AJ26" i="65"/>
  <c r="AE6" i="78" s="1"/>
  <c r="AE56" i="70"/>
  <c r="BW11" i="78" s="1"/>
  <c r="H64" i="53"/>
  <c r="K76" i="53"/>
  <c r="BX31" i="78" s="1"/>
  <c r="J71" i="53"/>
  <c r="O87" i="53"/>
  <c r="H82" i="53"/>
  <c r="CF33" i="78" s="1"/>
  <c r="L82" i="53"/>
  <c r="CG32" i="78" s="1"/>
  <c r="AO26" i="70"/>
  <c r="AF11" i="78" s="1"/>
  <c r="AO44" i="70"/>
  <c r="BG11" i="78" s="1"/>
  <c r="AO32" i="71"/>
  <c r="AO12" i="78" s="1"/>
  <c r="AO50" i="73"/>
  <c r="BP13" i="78" s="1"/>
  <c r="AE14" i="72"/>
  <c r="L14" i="78" s="1"/>
  <c r="AE44" i="72"/>
  <c r="BE14" i="78" s="1"/>
  <c r="AE56" i="69"/>
  <c r="BW10" i="78" s="1"/>
  <c r="AE14" i="68"/>
  <c r="L9" i="78" s="1"/>
  <c r="O57" i="53"/>
  <c r="E92" i="53"/>
  <c r="J43" i="53"/>
  <c r="L40" i="53"/>
  <c r="V32" i="78" s="1"/>
  <c r="N88" i="53"/>
  <c r="J79" i="53"/>
  <c r="F88" i="53"/>
  <c r="AJ14" i="68"/>
  <c r="M9" i="78" s="1"/>
  <c r="E57" i="53"/>
  <c r="S34" i="53"/>
  <c r="AO14" i="68"/>
  <c r="N9" i="78" s="1"/>
  <c r="AO50" i="71"/>
  <c r="BP12" i="78" s="1"/>
  <c r="AE26" i="73"/>
  <c r="AD13" i="78" s="1"/>
  <c r="AO38" i="73"/>
  <c r="AX13" i="78" s="1"/>
  <c r="E63" i="53"/>
  <c r="E93" i="53"/>
  <c r="J63" i="53"/>
  <c r="M94" i="53"/>
  <c r="CY33" i="78" s="1"/>
  <c r="J87" i="53"/>
  <c r="G64" i="53"/>
  <c r="N52" i="53"/>
  <c r="J67" i="53"/>
  <c r="J69" i="53"/>
  <c r="S40" i="53"/>
  <c r="E49" i="53"/>
  <c r="G40" i="53"/>
  <c r="AE50" i="66"/>
  <c r="BN7" i="78" s="1"/>
  <c r="H88" i="53"/>
  <c r="AJ38" i="73"/>
  <c r="AW13" i="78" s="1"/>
  <c r="E80" i="53"/>
  <c r="J90" i="53"/>
  <c r="J91" i="53"/>
  <c r="F76" i="53"/>
  <c r="G70" i="53"/>
  <c r="R40" i="53"/>
  <c r="W33" i="78" s="1"/>
  <c r="S46" i="53"/>
  <c r="J74" i="53"/>
  <c r="G46" i="53"/>
  <c r="J51" i="53"/>
  <c r="AO56" i="72"/>
  <c r="BY14" i="78" s="1"/>
  <c r="AE32" i="69"/>
  <c r="AM10" i="78" s="1"/>
  <c r="AO8" i="66"/>
  <c r="E7" i="78" s="1"/>
  <c r="H7" i="78" s="1"/>
  <c r="N34" i="53"/>
  <c r="E53" i="53"/>
  <c r="E30" i="53"/>
  <c r="H70" i="53"/>
  <c r="H76" i="53"/>
  <c r="S70" i="53"/>
  <c r="E68" i="53"/>
  <c r="E59" i="53"/>
  <c r="O51" i="53"/>
  <c r="E79" i="53"/>
  <c r="E35" i="53"/>
  <c r="H46" i="53"/>
  <c r="J65" i="53"/>
  <c r="E36" i="53"/>
  <c r="F46" i="53"/>
  <c r="H58" i="53"/>
  <c r="E62" i="53"/>
  <c r="M40" i="53"/>
  <c r="V33" i="78" s="1"/>
  <c r="J39" i="53"/>
  <c r="S82" i="53"/>
  <c r="G94" i="53"/>
  <c r="J59" i="53"/>
  <c r="F70" i="53"/>
  <c r="E38" i="53"/>
  <c r="L52" i="53"/>
  <c r="AN32" i="78" s="1"/>
  <c r="E81" i="53"/>
  <c r="AJ8" i="65"/>
  <c r="D6" i="78" s="1"/>
  <c r="G6" i="78" s="1"/>
  <c r="J30" i="53"/>
  <c r="E66" i="53"/>
  <c r="L70" i="53"/>
  <c r="BO32" i="78" s="1"/>
  <c r="N82" i="53"/>
  <c r="K58" i="53"/>
  <c r="AW31" i="78" s="1"/>
  <c r="E33" i="53"/>
  <c r="AE56" i="65"/>
  <c r="BW6" i="78" s="1"/>
  <c r="K82" i="53"/>
  <c r="CG31" i="78" s="1"/>
  <c r="L34" i="53"/>
  <c r="M32" i="78" s="1"/>
  <c r="R34" i="53"/>
  <c r="N33" i="78" s="1"/>
  <c r="J41" i="53"/>
  <c r="AE74" i="65"/>
  <c r="CX6" i="78" s="1"/>
  <c r="AJ56" i="65"/>
  <c r="BX6" i="78" s="1"/>
  <c r="E83" i="53"/>
  <c r="S58" i="53"/>
  <c r="J60" i="53"/>
  <c r="E48" i="53"/>
  <c r="J73" i="53"/>
  <c r="E84" i="53"/>
  <c r="E61" i="53"/>
  <c r="I52" i="53"/>
  <c r="AJ20" i="65"/>
  <c r="V6" i="78" s="1"/>
  <c r="H94" i="53"/>
  <c r="O93" i="53"/>
  <c r="L46" i="53"/>
  <c r="AE32" i="78" s="1"/>
  <c r="AJ74" i="65"/>
  <c r="CY6" i="78" s="1"/>
  <c r="E29" i="53"/>
  <c r="J49" i="53"/>
  <c r="E90" i="53"/>
  <c r="AJ32" i="65"/>
  <c r="AN6" i="78" s="1"/>
  <c r="E47" i="53"/>
  <c r="AJ44" i="65"/>
  <c r="BF6" i="78" s="1"/>
  <c r="J62" i="53"/>
  <c r="J80" i="53"/>
  <c r="N76" i="53"/>
  <c r="J89" i="53"/>
  <c r="H34" i="53"/>
  <c r="J72" i="53"/>
  <c r="M82" i="53"/>
  <c r="CG33" i="78" s="1"/>
  <c r="M34" i="53"/>
  <c r="M33" i="78" s="1"/>
  <c r="AO8" i="65"/>
  <c r="E6" i="78" s="1"/>
  <c r="H6" i="78" s="1"/>
  <c r="O39" i="53"/>
  <c r="S94" i="53"/>
  <c r="J83" i="53"/>
  <c r="S88" i="53"/>
  <c r="J84" i="53"/>
  <c r="E89" i="53"/>
  <c r="I64" i="53"/>
  <c r="S52" i="53"/>
  <c r="R64" i="53"/>
  <c r="BG33" i="78" s="1"/>
  <c r="G52" i="53"/>
  <c r="M46" i="53"/>
  <c r="AE33" i="78" s="1"/>
  <c r="AJ62" i="65"/>
  <c r="CG6" i="78" s="1"/>
  <c r="AJ14" i="65"/>
  <c r="M6" i="78" s="1"/>
  <c r="E45" i="53"/>
  <c r="AE62" i="65"/>
  <c r="CF6" i="78" s="1"/>
  <c r="AE8" i="68"/>
  <c r="C9" i="78" s="1"/>
  <c r="F9" i="78" s="1"/>
  <c r="AE44" i="68"/>
  <c r="BE9" i="78" s="1"/>
  <c r="AE20" i="68"/>
  <c r="U9" i="78" s="1"/>
  <c r="AE32" i="68"/>
  <c r="AM9" i="78" s="1"/>
  <c r="AE38" i="68"/>
  <c r="AV9" i="78" s="1"/>
  <c r="AE26" i="68"/>
  <c r="AD9" i="78" s="1"/>
  <c r="AO68" i="68"/>
  <c r="CQ9" i="78" s="1"/>
  <c r="AJ56" i="68"/>
  <c r="BX9" i="78" s="1"/>
  <c r="AJ68" i="68"/>
  <c r="CP9" i="78" s="1"/>
  <c r="AJ50" i="70"/>
  <c r="BO11" i="78" s="1"/>
  <c r="AJ68" i="70"/>
  <c r="CP11" i="78" s="1"/>
  <c r="AE56" i="73"/>
  <c r="BW13" i="78" s="1"/>
  <c r="AE32" i="72"/>
  <c r="AM14" i="78" s="1"/>
  <c r="AJ56" i="72"/>
  <c r="BX14" i="78" s="1"/>
  <c r="AE8" i="67"/>
  <c r="C8" i="78" s="1"/>
  <c r="F8" i="78" s="1"/>
  <c r="AE56" i="66"/>
  <c r="BW7" i="78" s="1"/>
  <c r="AJ68" i="66"/>
  <c r="CP7" i="78" s="1"/>
  <c r="AO14" i="70"/>
  <c r="N11" i="78" s="1"/>
  <c r="AO32" i="70"/>
  <c r="AO11" i="78" s="1"/>
  <c r="AO50" i="70"/>
  <c r="BP11" i="78" s="1"/>
  <c r="AE56" i="71"/>
  <c r="BW12" i="78" s="1"/>
  <c r="AE14" i="73"/>
  <c r="L13" i="78" s="1"/>
  <c r="AO44" i="72"/>
  <c r="BG14" i="78" s="1"/>
  <c r="AE38" i="65"/>
  <c r="AV6" i="78" s="1"/>
  <c r="AO26" i="65"/>
  <c r="AF6" i="78" s="1"/>
  <c r="AE32" i="70"/>
  <c r="AM11" i="78" s="1"/>
  <c r="AE20" i="66"/>
  <c r="U7" i="78" s="1"/>
  <c r="AE68" i="68"/>
  <c r="AJ74" i="70"/>
  <c r="CY11" i="78" s="1"/>
  <c r="AJ56" i="71"/>
  <c r="BX12" i="78" s="1"/>
  <c r="AE32" i="73"/>
  <c r="AM13" i="78" s="1"/>
  <c r="AE38" i="72"/>
  <c r="AV14" i="78" s="1"/>
  <c r="AE62" i="72"/>
  <c r="CF14" i="78" s="1"/>
  <c r="AJ8" i="67"/>
  <c r="D8" i="78" s="1"/>
  <c r="G8" i="78" s="1"/>
  <c r="AE26" i="66"/>
  <c r="AD7" i="78" s="1"/>
  <c r="AO14" i="66"/>
  <c r="N7" i="78" s="1"/>
  <c r="AE8" i="70"/>
  <c r="AJ20" i="72"/>
  <c r="V14" i="78" s="1"/>
  <c r="AJ50" i="73"/>
  <c r="BO13" i="78" s="1"/>
  <c r="AE14" i="67"/>
  <c r="L8" i="78" s="1"/>
  <c r="AE14" i="66"/>
  <c r="L7" i="78" s="1"/>
  <c r="AJ74" i="66"/>
  <c r="CY7" i="78" s="1"/>
  <c r="AO20" i="70"/>
  <c r="W11" i="78" s="1"/>
  <c r="AO74" i="70"/>
  <c r="CZ11" i="78" s="1"/>
  <c r="AO68" i="71"/>
  <c r="CQ12" i="78" s="1"/>
  <c r="AJ38" i="72"/>
  <c r="AW14" i="78" s="1"/>
  <c r="AJ8" i="66"/>
  <c r="D7" i="78" s="1"/>
  <c r="G7" i="78" s="1"/>
  <c r="AE8" i="69"/>
  <c r="AJ8" i="71"/>
  <c r="D12" i="78" s="1"/>
  <c r="G12" i="78" s="1"/>
  <c r="AE44" i="65"/>
  <c r="BE6" i="78" s="1"/>
  <c r="AO20" i="65"/>
  <c r="W6" i="78" s="1"/>
  <c r="AE32" i="67"/>
  <c r="AM8" i="78" s="1"/>
  <c r="AE62" i="66"/>
  <c r="CF7" i="78" s="1"/>
  <c r="AO62" i="67"/>
  <c r="CH8" i="78" s="1"/>
  <c r="AO74" i="67"/>
  <c r="CZ8" i="78" s="1"/>
  <c r="AJ26" i="68"/>
  <c r="AE9" i="78" s="1"/>
  <c r="AO26" i="69"/>
  <c r="AF10" i="78" s="1"/>
  <c r="AJ26" i="70"/>
  <c r="AE11" i="78" s="1"/>
  <c r="AJ44" i="70"/>
  <c r="BF11" i="78" s="1"/>
  <c r="AJ62" i="70"/>
  <c r="CG11" i="78" s="1"/>
  <c r="AJ32" i="71"/>
  <c r="AN12" i="78" s="1"/>
  <c r="AE62" i="71"/>
  <c r="AO32" i="73"/>
  <c r="AO13" i="78" s="1"/>
  <c r="AO38" i="72"/>
  <c r="AX14" i="78" s="1"/>
  <c r="AO50" i="72"/>
  <c r="BP14" i="78" s="1"/>
  <c r="AE26" i="69"/>
  <c r="AD10" i="78" s="1"/>
  <c r="AJ44" i="66"/>
  <c r="BF7" i="78" s="1"/>
  <c r="AO8" i="67"/>
  <c r="E8" i="78" s="1"/>
  <c r="H8" i="78" s="1"/>
  <c r="AJ14" i="66"/>
  <c r="M7" i="78" s="1"/>
  <c r="AO8" i="69"/>
  <c r="E10" i="78" s="1"/>
  <c r="H10" i="78" s="1"/>
  <c r="AJ8" i="70"/>
  <c r="D11" i="78" s="1"/>
  <c r="G11" i="78" s="1"/>
  <c r="AE38" i="66"/>
  <c r="AV7" i="78" s="1"/>
  <c r="AO74" i="65"/>
  <c r="CZ6" i="78" s="1"/>
  <c r="AE44" i="66"/>
  <c r="BE7" i="78" s="1"/>
  <c r="AO20" i="66"/>
  <c r="W7" i="78" s="1"/>
  <c r="AE26" i="65"/>
  <c r="AD6" i="78" s="1"/>
  <c r="AE68" i="66"/>
  <c r="CO7" i="78" s="1"/>
  <c r="AO32" i="67"/>
  <c r="AO8" i="78" s="1"/>
  <c r="AJ74" i="68"/>
  <c r="CY9" i="78" s="1"/>
  <c r="AO14" i="71"/>
  <c r="N12" i="78" s="1"/>
  <c r="AJ50" i="71"/>
  <c r="BO12" i="78" s="1"/>
  <c r="AJ62" i="71"/>
  <c r="CG12" i="78" s="1"/>
  <c r="AO20" i="73"/>
  <c r="W13" i="78" s="1"/>
  <c r="AE38" i="73"/>
  <c r="AV13" i="78" s="1"/>
  <c r="AE68" i="73"/>
  <c r="CO13" i="78" s="1"/>
  <c r="AO26" i="72"/>
  <c r="AF14" i="78" s="1"/>
  <c r="AE8" i="72"/>
  <c r="AE8" i="73"/>
  <c r="AE38" i="41"/>
  <c r="AV5" i="78" s="1"/>
  <c r="AJ50" i="69"/>
  <c r="BO10" i="78" s="1"/>
  <c r="AO44" i="66"/>
  <c r="BG7" i="78" s="1"/>
  <c r="AE20" i="65"/>
  <c r="U6" i="78" s="1"/>
  <c r="AO32" i="66"/>
  <c r="AO7" i="78" s="1"/>
  <c r="AO56" i="69"/>
  <c r="BY10" i="78" s="1"/>
  <c r="AO74" i="73"/>
  <c r="CZ13" i="78" s="1"/>
  <c r="AO14" i="67"/>
  <c r="N8" i="78" s="1"/>
  <c r="AO50" i="66"/>
  <c r="BP7" i="78" s="1"/>
  <c r="AJ38" i="67"/>
  <c r="AW8" i="78" s="1"/>
  <c r="AJ68" i="67"/>
  <c r="CP8" i="78" s="1"/>
  <c r="AJ44" i="68"/>
  <c r="BF9" i="78" s="1"/>
  <c r="AJ14" i="69"/>
  <c r="M10" i="78" s="1"/>
  <c r="AJ38" i="69"/>
  <c r="AW10" i="78" s="1"/>
  <c r="AJ38" i="71"/>
  <c r="AW12" i="78" s="1"/>
  <c r="AJ68" i="73"/>
  <c r="CP13" i="78" s="1"/>
  <c r="AJ14" i="72"/>
  <c r="M14" i="78" s="1"/>
  <c r="AO56" i="67"/>
  <c r="BY8" i="78" s="1"/>
  <c r="AO14" i="65"/>
  <c r="N6" i="78" s="1"/>
  <c r="AO26" i="66"/>
  <c r="AF7" i="78" s="1"/>
  <c r="AE68" i="65"/>
  <c r="CO6" i="78" s="1"/>
  <c r="AJ26" i="67"/>
  <c r="AE8" i="78" s="1"/>
  <c r="AO38" i="66"/>
  <c r="AX7" i="78" s="1"/>
  <c r="AJ68" i="65"/>
  <c r="CP6" i="78" s="1"/>
  <c r="AJ32" i="69"/>
  <c r="AN10" i="78" s="1"/>
  <c r="AO56" i="66"/>
  <c r="BY7" i="78" s="1"/>
  <c r="AE38" i="67"/>
  <c r="AV8" i="78" s="1"/>
  <c r="AE14" i="65"/>
  <c r="L6" i="78" s="1"/>
  <c r="AJ50" i="66"/>
  <c r="BO7" i="78" s="1"/>
  <c r="AO38" i="67"/>
  <c r="AX8" i="78" s="1"/>
  <c r="AJ56" i="67"/>
  <c r="BX8" i="78" s="1"/>
  <c r="AJ32" i="68"/>
  <c r="AN9" i="78" s="1"/>
  <c r="AJ62" i="68"/>
  <c r="CG9" i="78" s="1"/>
  <c r="AO14" i="69"/>
  <c r="N10" i="78" s="1"/>
  <c r="AO38" i="69"/>
  <c r="AX10" i="78" s="1"/>
  <c r="AJ56" i="73"/>
  <c r="BX13" i="78" s="1"/>
  <c r="AO68" i="73"/>
  <c r="CQ13" i="78" s="1"/>
  <c r="AO44" i="65"/>
  <c r="BG6" i="78" s="1"/>
  <c r="AJ62" i="73"/>
  <c r="CG13" i="78" s="1"/>
  <c r="AO62" i="66"/>
  <c r="CH7" i="78" s="1"/>
  <c r="AJ56" i="66"/>
  <c r="BX7" i="78" s="1"/>
  <c r="AJ20" i="68"/>
  <c r="V9" i="78" s="1"/>
  <c r="AJ50" i="68"/>
  <c r="BO9" i="78" s="1"/>
  <c r="AJ20" i="69"/>
  <c r="V10" i="78" s="1"/>
  <c r="AJ68" i="71"/>
  <c r="CP12" i="78" s="1"/>
  <c r="AJ44" i="73"/>
  <c r="BF13" i="78" s="1"/>
  <c r="AE50" i="65"/>
  <c r="BN6" i="78" s="1"/>
  <c r="AO50" i="65"/>
  <c r="BP6" i="78" s="1"/>
  <c r="AO68" i="66"/>
  <c r="CQ7" i="78" s="1"/>
  <c r="AJ44" i="67"/>
  <c r="BF8" i="78" s="1"/>
  <c r="AJ62" i="67"/>
  <c r="CG8" i="78" s="1"/>
  <c r="AJ74" i="67"/>
  <c r="CY8" i="78" s="1"/>
  <c r="AJ38" i="68"/>
  <c r="AW9" i="78" s="1"/>
  <c r="AJ26" i="69"/>
  <c r="AE10" i="78" s="1"/>
  <c r="AJ44" i="69"/>
  <c r="BF10" i="78" s="1"/>
  <c r="AJ32" i="73"/>
  <c r="AN13" i="78" s="1"/>
  <c r="AJ74" i="73"/>
  <c r="CY13" i="78" s="1"/>
  <c r="AO20" i="69"/>
  <c r="W10" i="78" s="1"/>
  <c r="AO62" i="65"/>
  <c r="CH6" i="78" s="1"/>
  <c r="AE20" i="67"/>
  <c r="U8" i="78" s="1"/>
  <c r="AJ38" i="66"/>
  <c r="AW7" i="78" s="1"/>
  <c r="AJ14" i="67"/>
  <c r="M8" i="78" s="1"/>
  <c r="AO50" i="67"/>
  <c r="BP8" i="78" s="1"/>
  <c r="AE74" i="41"/>
  <c r="AJ8" i="41"/>
  <c r="AE20" i="41"/>
  <c r="U5" i="78" s="1"/>
  <c r="AJ20" i="41"/>
  <c r="AE26" i="41"/>
  <c r="AD5" i="78" s="1"/>
  <c r="AE8" i="41"/>
  <c r="AJ32" i="41"/>
  <c r="AN5" i="78" s="1"/>
  <c r="AJ56" i="41"/>
  <c r="AE62" i="41"/>
  <c r="CF5" i="78" s="1"/>
  <c r="AJ44" i="41"/>
  <c r="AE68" i="41"/>
  <c r="CO5" i="78" s="1"/>
  <c r="AJ50" i="41"/>
  <c r="AJ26" i="41"/>
  <c r="AJ14" i="41"/>
  <c r="M5" i="78" s="1"/>
  <c r="AJ62" i="41"/>
  <c r="CG5" i="78" s="1"/>
  <c r="AJ38" i="41"/>
  <c r="AJ68" i="41"/>
  <c r="CP5" i="78" s="1"/>
  <c r="AE32" i="41"/>
  <c r="AE56" i="41"/>
  <c r="AE44" i="41"/>
  <c r="BE5" i="78" s="1"/>
  <c r="AE14" i="41"/>
  <c r="L5" i="78" s="1"/>
  <c r="AJ74" i="41"/>
  <c r="AE50" i="41"/>
  <c r="BN5" i="78" s="1"/>
  <c r="O7" i="78" l="1"/>
  <c r="AV15" i="78"/>
  <c r="CF31" i="78"/>
  <c r="N13" i="53"/>
  <c r="CE101" i="78" s="1"/>
  <c r="P13" i="78"/>
  <c r="Y13" i="78" s="1"/>
  <c r="AH13" i="78" s="1"/>
  <c r="AQ13" i="78" s="1"/>
  <c r="AZ13" i="78" s="1"/>
  <c r="BI13" i="78" s="1"/>
  <c r="BR13" i="78" s="1"/>
  <c r="CA13" i="78" s="1"/>
  <c r="CJ13" i="78" s="1"/>
  <c r="CS13" i="78" s="1"/>
  <c r="DB13" i="78" s="1"/>
  <c r="O12" i="78"/>
  <c r="X12" i="78" s="1"/>
  <c r="AG12" i="78" s="1"/>
  <c r="AP12" i="78" s="1"/>
  <c r="AY12" i="78" s="1"/>
  <c r="BH12" i="78" s="1"/>
  <c r="BQ12" i="78" s="1"/>
  <c r="BZ12" i="78" s="1"/>
  <c r="Q14" i="78"/>
  <c r="Z14" i="78" s="1"/>
  <c r="AI14" i="78" s="1"/>
  <c r="AR14" i="78" s="1"/>
  <c r="BA14" i="78" s="1"/>
  <c r="BJ14" i="78" s="1"/>
  <c r="BS14" i="78" s="1"/>
  <c r="CB14" i="78" s="1"/>
  <c r="CK14" i="78" s="1"/>
  <c r="CT14" i="78" s="1"/>
  <c r="DC14" i="78" s="1"/>
  <c r="P10" i="78"/>
  <c r="Y10" i="78" s="1"/>
  <c r="AH10" i="78" s="1"/>
  <c r="AQ10" i="78" s="1"/>
  <c r="AZ10" i="78" s="1"/>
  <c r="BI10" i="78" s="1"/>
  <c r="BR10" i="78" s="1"/>
  <c r="CA10" i="78" s="1"/>
  <c r="CJ10" i="78" s="1"/>
  <c r="CS10" i="78" s="1"/>
  <c r="DB10" i="78" s="1"/>
  <c r="C31" i="78"/>
  <c r="O9" i="78"/>
  <c r="X9" i="78" s="1"/>
  <c r="AG9" i="78" s="1"/>
  <c r="AP9" i="78" s="1"/>
  <c r="AY9" i="78" s="1"/>
  <c r="BH9" i="78" s="1"/>
  <c r="BQ9" i="78" s="1"/>
  <c r="BZ9" i="78" s="1"/>
  <c r="CI9" i="78" s="1"/>
  <c r="P12" i="78"/>
  <c r="Y12" i="78" s="1"/>
  <c r="AH12" i="78" s="1"/>
  <c r="AQ12" i="78" s="1"/>
  <c r="AZ12" i="78" s="1"/>
  <c r="BI12" i="78" s="1"/>
  <c r="BR12" i="78" s="1"/>
  <c r="CA12" i="78" s="1"/>
  <c r="CJ12" i="78" s="1"/>
  <c r="CS12" i="78" s="1"/>
  <c r="DB12" i="78" s="1"/>
  <c r="J28" i="53"/>
  <c r="E17" i="53" s="1"/>
  <c r="E28" i="53"/>
  <c r="E12" i="53" s="1"/>
  <c r="O6" i="78"/>
  <c r="X6" i="78" s="1"/>
  <c r="AG6" i="78" s="1"/>
  <c r="AP6" i="78" s="1"/>
  <c r="AY6" i="78" s="1"/>
  <c r="BH6" i="78" s="1"/>
  <c r="BQ6" i="78" s="1"/>
  <c r="BZ6" i="78" s="1"/>
  <c r="CI6" i="78" s="1"/>
  <c r="CR6" i="78" s="1"/>
  <c r="DA6" i="78" s="1"/>
  <c r="L33" i="78"/>
  <c r="F15" i="53"/>
  <c r="K125" i="78" s="1"/>
  <c r="BN33" i="78"/>
  <c r="L15" i="53"/>
  <c r="BE33" i="78"/>
  <c r="K15" i="53"/>
  <c r="CO32" i="78"/>
  <c r="U33" i="78"/>
  <c r="G15" i="53"/>
  <c r="T125" i="78" s="1"/>
  <c r="AM31" i="78"/>
  <c r="I13" i="53"/>
  <c r="CX33" i="78"/>
  <c r="P15" i="53"/>
  <c r="CX125" i="78" s="1"/>
  <c r="BN31" i="78"/>
  <c r="L13" i="53"/>
  <c r="CX32" i="78"/>
  <c r="P14" i="53"/>
  <c r="CW110" i="78" s="1"/>
  <c r="AV33" i="78"/>
  <c r="J15" i="53"/>
  <c r="U32" i="78"/>
  <c r="G14" i="53"/>
  <c r="T110" i="78" s="1"/>
  <c r="N15" i="53"/>
  <c r="CF125" i="78" s="1"/>
  <c r="BE31" i="78"/>
  <c r="K13" i="53"/>
  <c r="AV31" i="78"/>
  <c r="CX31" i="78"/>
  <c r="P13" i="53"/>
  <c r="CW101" i="78" s="1"/>
  <c r="AM32" i="78"/>
  <c r="I14" i="53"/>
  <c r="AD31" i="78"/>
  <c r="H13" i="53"/>
  <c r="AD33" i="78"/>
  <c r="H15" i="53"/>
  <c r="AD32" i="78"/>
  <c r="H14" i="53"/>
  <c r="BN32" i="78"/>
  <c r="L14" i="53"/>
  <c r="CO31" i="78"/>
  <c r="O13" i="53"/>
  <c r="CN101" i="78" s="1"/>
  <c r="U31" i="78"/>
  <c r="G13" i="53"/>
  <c r="T101" i="78" s="1"/>
  <c r="L31" i="78"/>
  <c r="F13" i="53"/>
  <c r="K101" i="78" s="1"/>
  <c r="AV32" i="78"/>
  <c r="AM33" i="78"/>
  <c r="I15" i="53"/>
  <c r="BW33" i="78"/>
  <c r="M15" i="53"/>
  <c r="BW125" i="78" s="1"/>
  <c r="BW31" i="78"/>
  <c r="M13" i="53"/>
  <c r="BV101" i="78" s="1"/>
  <c r="CO33" i="78"/>
  <c r="O15" i="53"/>
  <c r="CO125" i="78" s="1"/>
  <c r="BE32" i="78"/>
  <c r="K14" i="53"/>
  <c r="CF32" i="78"/>
  <c r="N14" i="53"/>
  <c r="CE110" i="78" s="1"/>
  <c r="BW32" i="78"/>
  <c r="M14" i="53"/>
  <c r="BV110" i="78" s="1"/>
  <c r="L32" i="78"/>
  <c r="F14" i="53"/>
  <c r="K110" i="78" s="1"/>
  <c r="C33" i="78"/>
  <c r="C32" i="78"/>
  <c r="E33" i="78"/>
  <c r="S95" i="53"/>
  <c r="N95" i="53"/>
  <c r="P11" i="78"/>
  <c r="Y11" i="78" s="1"/>
  <c r="AH11" i="78" s="1"/>
  <c r="AQ11" i="78" s="1"/>
  <c r="AZ11" i="78" s="1"/>
  <c r="BI11" i="78" s="1"/>
  <c r="BR11" i="78" s="1"/>
  <c r="CA11" i="78" s="1"/>
  <c r="CJ11" i="78" s="1"/>
  <c r="CS11" i="78" s="1"/>
  <c r="DB11" i="78" s="1"/>
  <c r="P9" i="78"/>
  <c r="Y9" i="78" s="1"/>
  <c r="AH9" i="78" s="1"/>
  <c r="AQ9" i="78" s="1"/>
  <c r="AZ9" i="78" s="1"/>
  <c r="BI9" i="78" s="1"/>
  <c r="BR9" i="78" s="1"/>
  <c r="CA9" i="78" s="1"/>
  <c r="CJ9" i="78" s="1"/>
  <c r="CS9" i="78" s="1"/>
  <c r="DB9" i="78" s="1"/>
  <c r="X7" i="78"/>
  <c r="AG7" i="78" s="1"/>
  <c r="AP7" i="78" s="1"/>
  <c r="AY7" i="78" s="1"/>
  <c r="BH7" i="78" s="1"/>
  <c r="BQ7" i="78" s="1"/>
  <c r="BZ7" i="78" s="1"/>
  <c r="CI7" i="78" s="1"/>
  <c r="CR7" i="78" s="1"/>
  <c r="DA7" i="78" s="1"/>
  <c r="AD15" i="78"/>
  <c r="Q11" i="78"/>
  <c r="Z11" i="78" s="1"/>
  <c r="AI11" i="78" s="1"/>
  <c r="AR11" i="78" s="1"/>
  <c r="BA11" i="78" s="1"/>
  <c r="BJ11" i="78" s="1"/>
  <c r="BS11" i="78" s="1"/>
  <c r="CB11" i="78" s="1"/>
  <c r="CK11" i="78" s="1"/>
  <c r="CT11" i="78" s="1"/>
  <c r="DC11" i="78" s="1"/>
  <c r="Q12" i="78"/>
  <c r="Z12" i="78" s="1"/>
  <c r="AI12" i="78" s="1"/>
  <c r="AR12" i="78" s="1"/>
  <c r="BA12" i="78" s="1"/>
  <c r="BJ12" i="78" s="1"/>
  <c r="BS12" i="78" s="1"/>
  <c r="CB12" i="78" s="1"/>
  <c r="CK12" i="78" s="1"/>
  <c r="CT12" i="78" s="1"/>
  <c r="DC12" i="78" s="1"/>
  <c r="Q13" i="78"/>
  <c r="Z13" i="78" s="1"/>
  <c r="AI13" i="78" s="1"/>
  <c r="AR13" i="78" s="1"/>
  <c r="BA13" i="78" s="1"/>
  <c r="BJ13" i="78" s="1"/>
  <c r="BS13" i="78" s="1"/>
  <c r="CB13" i="78" s="1"/>
  <c r="CK13" i="78" s="1"/>
  <c r="CT13" i="78" s="1"/>
  <c r="DC13" i="78" s="1"/>
  <c r="O8" i="78"/>
  <c r="X8" i="78" s="1"/>
  <c r="AG8" i="78" s="1"/>
  <c r="AP8" i="78" s="1"/>
  <c r="AY8" i="78" s="1"/>
  <c r="BH8" i="78" s="1"/>
  <c r="BQ8" i="78" s="1"/>
  <c r="BZ8" i="78" s="1"/>
  <c r="CI8" i="78" s="1"/>
  <c r="CR8" i="78" s="1"/>
  <c r="DA8" i="78" s="1"/>
  <c r="L15" i="78"/>
  <c r="AE75" i="71"/>
  <c r="CF12" i="78"/>
  <c r="CF15" i="78" s="1"/>
  <c r="AE75" i="70"/>
  <c r="C11" i="78"/>
  <c r="F11" i="78" s="1"/>
  <c r="O11" i="78" s="1"/>
  <c r="X11" i="78" s="1"/>
  <c r="AG11" i="78" s="1"/>
  <c r="AP11" i="78" s="1"/>
  <c r="AY11" i="78" s="1"/>
  <c r="BH11" i="78" s="1"/>
  <c r="BQ11" i="78" s="1"/>
  <c r="BZ11" i="78" s="1"/>
  <c r="CI11" i="78" s="1"/>
  <c r="CR11" i="78" s="1"/>
  <c r="DA11" i="78" s="1"/>
  <c r="AE75" i="69"/>
  <c r="C10" i="78"/>
  <c r="F10" i="78" s="1"/>
  <c r="O10" i="78" s="1"/>
  <c r="X10" i="78" s="1"/>
  <c r="AG10" i="78" s="1"/>
  <c r="AP10" i="78" s="1"/>
  <c r="AY10" i="78" s="1"/>
  <c r="BH10" i="78" s="1"/>
  <c r="BQ10" i="78" s="1"/>
  <c r="BZ10" i="78" s="1"/>
  <c r="CI10" i="78" s="1"/>
  <c r="CR10" i="78" s="1"/>
  <c r="DA10" i="78" s="1"/>
  <c r="P7" i="78"/>
  <c r="Y7" i="78" s="1"/>
  <c r="AH7" i="78" s="1"/>
  <c r="AQ7" i="78" s="1"/>
  <c r="AZ7" i="78" s="1"/>
  <c r="BI7" i="78" s="1"/>
  <c r="BR7" i="78" s="1"/>
  <c r="CA7" i="78" s="1"/>
  <c r="CJ7" i="78" s="1"/>
  <c r="CS7" i="78" s="1"/>
  <c r="DB7" i="78" s="1"/>
  <c r="Q6" i="78"/>
  <c r="Z6" i="78" s="1"/>
  <c r="AI6" i="78" s="1"/>
  <c r="BN15" i="78"/>
  <c r="CP15" i="78"/>
  <c r="Q10" i="78"/>
  <c r="Z10" i="78" s="1"/>
  <c r="AI10" i="78" s="1"/>
  <c r="AR10" i="78" s="1"/>
  <c r="BA10" i="78" s="1"/>
  <c r="BJ10" i="78" s="1"/>
  <c r="P8" i="78"/>
  <c r="Y8" i="78" s="1"/>
  <c r="AH8" i="78" s="1"/>
  <c r="AQ8" i="78" s="1"/>
  <c r="AZ8" i="78" s="1"/>
  <c r="BI8" i="78" s="1"/>
  <c r="BR8" i="78" s="1"/>
  <c r="CA8" i="78" s="1"/>
  <c r="CJ8" i="78" s="1"/>
  <c r="CS8" i="78" s="1"/>
  <c r="DB8" i="78" s="1"/>
  <c r="P14" i="78"/>
  <c r="Y14" i="78" s="1"/>
  <c r="AH14" i="78" s="1"/>
  <c r="AQ14" i="78" s="1"/>
  <c r="AZ14" i="78" s="1"/>
  <c r="BI14" i="78" s="1"/>
  <c r="BR14" i="78" s="1"/>
  <c r="CA14" i="78" s="1"/>
  <c r="CJ14" i="78" s="1"/>
  <c r="CS14" i="78" s="1"/>
  <c r="DB14" i="78" s="1"/>
  <c r="AN15" i="78"/>
  <c r="Q8" i="78"/>
  <c r="Z8" i="78" s="1"/>
  <c r="AI8" i="78" s="1"/>
  <c r="AR8" i="78" s="1"/>
  <c r="BA8" i="78" s="1"/>
  <c r="BJ8" i="78" s="1"/>
  <c r="BS8" i="78" s="1"/>
  <c r="CB8" i="78" s="1"/>
  <c r="CK8" i="78" s="1"/>
  <c r="CT8" i="78" s="1"/>
  <c r="DC8" i="78" s="1"/>
  <c r="BE15" i="78"/>
  <c r="M15" i="78"/>
  <c r="U15" i="78"/>
  <c r="P6" i="78"/>
  <c r="Y6" i="78" s="1"/>
  <c r="AH6" i="78" s="1"/>
  <c r="AQ6" i="78" s="1"/>
  <c r="AZ6" i="78" s="1"/>
  <c r="BI6" i="78" s="1"/>
  <c r="BR6" i="78" s="1"/>
  <c r="CA6" i="78" s="1"/>
  <c r="CJ6" i="78" s="1"/>
  <c r="CS6" i="78" s="1"/>
  <c r="DB6" i="78" s="1"/>
  <c r="CG15" i="78"/>
  <c r="AE75" i="73"/>
  <c r="C13" i="78"/>
  <c r="F13" i="78" s="1"/>
  <c r="O13" i="78" s="1"/>
  <c r="X13" i="78" s="1"/>
  <c r="AG13" i="78" s="1"/>
  <c r="AP13" i="78" s="1"/>
  <c r="AY13" i="78" s="1"/>
  <c r="BH13" i="78" s="1"/>
  <c r="BQ13" i="78" s="1"/>
  <c r="BZ13" i="78" s="1"/>
  <c r="CI13" i="78" s="1"/>
  <c r="CR13" i="78" s="1"/>
  <c r="DA13" i="78" s="1"/>
  <c r="AE75" i="68"/>
  <c r="CO9" i="78"/>
  <c r="CO15" i="78" s="1"/>
  <c r="AE75" i="72"/>
  <c r="C14" i="78"/>
  <c r="F14" i="78" s="1"/>
  <c r="O14" i="78" s="1"/>
  <c r="X14" i="78" s="1"/>
  <c r="AG14" i="78" s="1"/>
  <c r="AP14" i="78" s="1"/>
  <c r="AY14" i="78" s="1"/>
  <c r="BH14" i="78" s="1"/>
  <c r="BQ14" i="78" s="1"/>
  <c r="BZ14" i="78" s="1"/>
  <c r="CI14" i="78" s="1"/>
  <c r="CR14" i="78" s="1"/>
  <c r="DA14" i="78" s="1"/>
  <c r="Q7" i="78"/>
  <c r="Z7" i="78" s="1"/>
  <c r="AI7" i="78" s="1"/>
  <c r="AR7" i="78" s="1"/>
  <c r="BA7" i="78" s="1"/>
  <c r="BJ7" i="78" s="1"/>
  <c r="BS7" i="78" s="1"/>
  <c r="CB7" i="78" s="1"/>
  <c r="CK7" i="78" s="1"/>
  <c r="CT7" i="78" s="1"/>
  <c r="D5" i="78"/>
  <c r="F32" i="78"/>
  <c r="BZ32" i="78"/>
  <c r="P31" i="78"/>
  <c r="AH31" i="78"/>
  <c r="AY31" i="78"/>
  <c r="J94" i="53"/>
  <c r="P17" i="53" s="1"/>
  <c r="CY5" i="78"/>
  <c r="CY15" i="78" s="1"/>
  <c r="E94" i="53"/>
  <c r="P12" i="53" s="1"/>
  <c r="CX5" i="78"/>
  <c r="CX15" i="78" s="1"/>
  <c r="CI32" i="78"/>
  <c r="BH32" i="78"/>
  <c r="DB31" i="78"/>
  <c r="BR31" i="78"/>
  <c r="CI31" i="78"/>
  <c r="E76" i="53"/>
  <c r="M12" i="53" s="1"/>
  <c r="BW5" i="78"/>
  <c r="BW15" i="78" s="1"/>
  <c r="J46" i="53"/>
  <c r="H17" i="53" s="1"/>
  <c r="AE5" i="78"/>
  <c r="AE15" i="78" s="1"/>
  <c r="J76" i="53"/>
  <c r="M17" i="53" s="1"/>
  <c r="BX5" i="78"/>
  <c r="BX15" i="78" s="1"/>
  <c r="X32" i="78"/>
  <c r="BQ32" i="78"/>
  <c r="Y31" i="78"/>
  <c r="CA31" i="78"/>
  <c r="CR31" i="78"/>
  <c r="CR32" i="78"/>
  <c r="O32" i="78"/>
  <c r="CS31" i="78"/>
  <c r="CJ31" i="78"/>
  <c r="DA31" i="78"/>
  <c r="J70" i="53"/>
  <c r="L17" i="53" s="1"/>
  <c r="BO5" i="78"/>
  <c r="BO15" i="78" s="1"/>
  <c r="C5" i="78"/>
  <c r="DA32" i="78"/>
  <c r="AQ31" i="78"/>
  <c r="AP31" i="78"/>
  <c r="E52" i="53"/>
  <c r="I12" i="53" s="1"/>
  <c r="AM5" i="78"/>
  <c r="AM15" i="78" s="1"/>
  <c r="AP32" i="78"/>
  <c r="AZ31" i="78"/>
  <c r="F31" i="78"/>
  <c r="BZ31" i="78"/>
  <c r="J64" i="53"/>
  <c r="K17" i="53" s="1"/>
  <c r="BF5" i="78"/>
  <c r="BF15" i="78" s="1"/>
  <c r="J40" i="53"/>
  <c r="G17" i="53" s="1"/>
  <c r="V5" i="78"/>
  <c r="V15" i="78" s="1"/>
  <c r="AG32" i="78"/>
  <c r="BI31" i="78"/>
  <c r="BH31" i="78"/>
  <c r="AG31" i="78"/>
  <c r="J58" i="53"/>
  <c r="J17" i="53" s="1"/>
  <c r="AW5" i="78"/>
  <c r="AW15" i="78" s="1"/>
  <c r="AY32" i="78"/>
  <c r="G31" i="78"/>
  <c r="O31" i="78"/>
  <c r="BQ31" i="78"/>
  <c r="X31" i="78"/>
  <c r="AZ33" i="78"/>
  <c r="BI33" i="78"/>
  <c r="CJ33" i="78"/>
  <c r="BR33" i="78"/>
  <c r="CS33" i="78"/>
  <c r="AH33" i="78"/>
  <c r="P33" i="78"/>
  <c r="Y33" i="78"/>
  <c r="DB33" i="78"/>
  <c r="CA33" i="78"/>
  <c r="AQ33" i="78"/>
  <c r="G33" i="78"/>
  <c r="CR33" i="78"/>
  <c r="AY33" i="78"/>
  <c r="X33" i="78"/>
  <c r="BZ33" i="78"/>
  <c r="AP33" i="78"/>
  <c r="CI33" i="78"/>
  <c r="BQ33" i="78"/>
  <c r="AG33" i="78"/>
  <c r="O33" i="78"/>
  <c r="BH33" i="78"/>
  <c r="DA33" i="78"/>
  <c r="F33" i="78"/>
  <c r="CJ32" i="78"/>
  <c r="BR32" i="78"/>
  <c r="Y32" i="78"/>
  <c r="CS32" i="78"/>
  <c r="AH32" i="78"/>
  <c r="DB32" i="78"/>
  <c r="CA32" i="78"/>
  <c r="P32" i="78"/>
  <c r="AQ32" i="78"/>
  <c r="AZ32" i="78"/>
  <c r="BI32" i="78"/>
  <c r="G32" i="78"/>
  <c r="E88" i="53"/>
  <c r="O12" i="53" s="1"/>
  <c r="E70" i="53"/>
  <c r="L12" i="53" s="1"/>
  <c r="J88" i="53"/>
  <c r="O17" i="53" s="1"/>
  <c r="E40" i="53"/>
  <c r="G12" i="53" s="1"/>
  <c r="AE75" i="65"/>
  <c r="E82" i="53"/>
  <c r="J52" i="53"/>
  <c r="I17" i="53" s="1"/>
  <c r="E64" i="53"/>
  <c r="K12" i="53" s="1"/>
  <c r="J82" i="53"/>
  <c r="N17" i="53" s="1"/>
  <c r="E34" i="53"/>
  <c r="F12" i="53" s="1"/>
  <c r="E46" i="53"/>
  <c r="H12" i="53" s="1"/>
  <c r="J34" i="53"/>
  <c r="F17" i="53" s="1"/>
  <c r="E58" i="53"/>
  <c r="J12" i="53" s="1"/>
  <c r="AE75" i="66"/>
  <c r="AE75" i="67"/>
  <c r="AE75" i="41"/>
  <c r="J9" i="53" l="1"/>
  <c r="AU96" i="78" s="1"/>
  <c r="F9" i="53"/>
  <c r="K96" i="78" s="1"/>
  <c r="K9" i="53"/>
  <c r="BD186" i="78" s="1"/>
  <c r="G9" i="53"/>
  <c r="T96" i="78" s="1"/>
  <c r="L9" i="53"/>
  <c r="I9" i="53"/>
  <c r="AL96" i="78" s="1"/>
  <c r="M9" i="53"/>
  <c r="BV96" i="78" s="1"/>
  <c r="P9" i="53"/>
  <c r="CW96" i="78" s="1"/>
  <c r="AI6" i="53"/>
  <c r="AJ6" i="53" s="1"/>
  <c r="AI20" i="53" s="1"/>
  <c r="AC110" i="78"/>
  <c r="AI7" i="53"/>
  <c r="AJ7" i="53" s="1"/>
  <c r="AJ20" i="53" s="1"/>
  <c r="AC125" i="78"/>
  <c r="AI5" i="53"/>
  <c r="AJ5" i="53" s="1"/>
  <c r="AH20" i="53" s="1"/>
  <c r="AC101" i="78"/>
  <c r="P16" i="53"/>
  <c r="F16" i="53"/>
  <c r="O16" i="53"/>
  <c r="E16" i="53"/>
  <c r="N16" i="53"/>
  <c r="I16" i="53"/>
  <c r="G16" i="53"/>
  <c r="M16" i="53"/>
  <c r="J16" i="53"/>
  <c r="H16" i="53"/>
  <c r="L16" i="53"/>
  <c r="K16" i="53"/>
  <c r="O9" i="53"/>
  <c r="CN96" i="78" s="1"/>
  <c r="H9" i="53"/>
  <c r="AC96" i="78" s="1"/>
  <c r="E9" i="53"/>
  <c r="B96" i="78" s="1"/>
  <c r="J11" i="53"/>
  <c r="G11" i="53"/>
  <c r="H11" i="53"/>
  <c r="E11" i="53"/>
  <c r="F11" i="53"/>
  <c r="M11" i="53"/>
  <c r="L11" i="53"/>
  <c r="K11" i="53"/>
  <c r="I11" i="53"/>
  <c r="AN7" i="53"/>
  <c r="AO7" i="53" s="1"/>
  <c r="AO20" i="53" s="1"/>
  <c r="AN6" i="53"/>
  <c r="AO6" i="53" s="1"/>
  <c r="AN20" i="53" s="1"/>
  <c r="AN5" i="53"/>
  <c r="AO5" i="53" s="1"/>
  <c r="AM20" i="53" s="1"/>
  <c r="AN4" i="53"/>
  <c r="AO4" i="53" s="1"/>
  <c r="AL20" i="53" s="1"/>
  <c r="Z4" i="53"/>
  <c r="Z6" i="53"/>
  <c r="AA6" i="53" s="1"/>
  <c r="AI4" i="53"/>
  <c r="AJ4" i="53" s="1"/>
  <c r="AG20" i="53" s="1"/>
  <c r="Z5" i="53"/>
  <c r="AA5" i="53" s="1"/>
  <c r="L2" i="53"/>
  <c r="L10" i="53"/>
  <c r="M10" i="53"/>
  <c r="K10" i="53"/>
  <c r="J10" i="53"/>
  <c r="I10" i="53"/>
  <c r="H10" i="53"/>
  <c r="G10" i="53"/>
  <c r="F10" i="53"/>
  <c r="E10" i="53"/>
  <c r="Q17" i="53"/>
  <c r="Q14" i="53"/>
  <c r="Q15" i="53"/>
  <c r="N12" i="53"/>
  <c r="P11" i="53" s="1"/>
  <c r="Q13" i="53"/>
  <c r="F2" i="53"/>
  <c r="CI12" i="78"/>
  <c r="CR12" i="78" s="1"/>
  <c r="DA12" i="78" s="1"/>
  <c r="CR9" i="78"/>
  <c r="DA9" i="78" s="1"/>
  <c r="BG26" i="78"/>
  <c r="BG181" i="78" s="1"/>
  <c r="N26" i="78"/>
  <c r="N169" i="78" s="1"/>
  <c r="AX26" i="78"/>
  <c r="AX193" i="78" s="1"/>
  <c r="AO26" i="78"/>
  <c r="AO169" i="78" s="1"/>
  <c r="AF26" i="78"/>
  <c r="AF169" i="78" s="1"/>
  <c r="BP26" i="78"/>
  <c r="BP169" i="78" s="1"/>
  <c r="W26" i="78"/>
  <c r="W169" i="78" s="1"/>
  <c r="CZ26" i="78"/>
  <c r="CZ169" i="78" s="1"/>
  <c r="CQ26" i="78"/>
  <c r="CQ169" i="78" s="1"/>
  <c r="CH26" i="78"/>
  <c r="CH169" i="78" s="1"/>
  <c r="BY26" i="78"/>
  <c r="BY169" i="78" s="1"/>
  <c r="E26" i="78"/>
  <c r="E169" i="78" s="1"/>
  <c r="DC21" i="78"/>
  <c r="CT21" i="78"/>
  <c r="CK21" i="78"/>
  <c r="CB21" i="78"/>
  <c r="BS21" i="78"/>
  <c r="BJ21" i="78"/>
  <c r="Q21" i="78"/>
  <c r="BA21" i="78"/>
  <c r="AR21" i="78"/>
  <c r="AI21" i="78"/>
  <c r="Z21" i="78"/>
  <c r="H21" i="78"/>
  <c r="C15" i="78"/>
  <c r="F5" i="78"/>
  <c r="CI20" i="78"/>
  <c r="CH164" i="78" s="1"/>
  <c r="DA20" i="78"/>
  <c r="CZ164" i="78" s="1"/>
  <c r="CR20" i="78"/>
  <c r="CQ164" i="78" s="1"/>
  <c r="BZ20" i="78"/>
  <c r="BY164" i="78" s="1"/>
  <c r="BQ20" i="78"/>
  <c r="BP164" i="78" s="1"/>
  <c r="BH20" i="78"/>
  <c r="BG176" i="78" s="1"/>
  <c r="O20" i="78"/>
  <c r="N164" i="78" s="1"/>
  <c r="AY20" i="78"/>
  <c r="AX188" i="78" s="1"/>
  <c r="AP20" i="78"/>
  <c r="AO164" i="78" s="1"/>
  <c r="AG20" i="78"/>
  <c r="AF164" i="78" s="1"/>
  <c r="X20" i="78"/>
  <c r="W164" i="78" s="1"/>
  <c r="F20" i="78"/>
  <c r="E164" i="78" s="1"/>
  <c r="CZ20" i="78"/>
  <c r="CZ163" i="78" s="1"/>
  <c r="CQ20" i="78"/>
  <c r="CQ163" i="78" s="1"/>
  <c r="CH20" i="78"/>
  <c r="CH163" i="78" s="1"/>
  <c r="BY20" i="78"/>
  <c r="BY163" i="78" s="1"/>
  <c r="BP20" i="78"/>
  <c r="BP163" i="78" s="1"/>
  <c r="BG20" i="78"/>
  <c r="BG175" i="78" s="1"/>
  <c r="N20" i="78"/>
  <c r="N163" i="78" s="1"/>
  <c r="AX20" i="78"/>
  <c r="AX187" i="78" s="1"/>
  <c r="AO20" i="78"/>
  <c r="AO163" i="78" s="1"/>
  <c r="AF20" i="78"/>
  <c r="AF163" i="78" s="1"/>
  <c r="W20" i="78"/>
  <c r="W163" i="78" s="1"/>
  <c r="E20" i="78"/>
  <c r="E163" i="78" s="1"/>
  <c r="N21" i="78"/>
  <c r="BG21" i="78"/>
  <c r="AX21" i="78"/>
  <c r="AO21" i="78"/>
  <c r="AF21" i="78"/>
  <c r="W21" i="78"/>
  <c r="CZ21" i="78"/>
  <c r="CQ21" i="78"/>
  <c r="CH21" i="78"/>
  <c r="BY21" i="78"/>
  <c r="BP21" i="78"/>
  <c r="E21" i="78"/>
  <c r="U20" i="78"/>
  <c r="W161" i="78" s="1"/>
  <c r="CX20" i="78"/>
  <c r="CZ161" i="78" s="1"/>
  <c r="CO20" i="78"/>
  <c r="CQ161" i="78" s="1"/>
  <c r="CF20" i="78"/>
  <c r="CH161" i="78" s="1"/>
  <c r="BW20" i="78"/>
  <c r="BY161" i="78" s="1"/>
  <c r="BN20" i="78"/>
  <c r="BP161" i="78" s="1"/>
  <c r="BE20" i="78"/>
  <c r="BG173" i="78" s="1"/>
  <c r="L20" i="78"/>
  <c r="N161" i="78" s="1"/>
  <c r="AV20" i="78"/>
  <c r="AX185" i="78" s="1"/>
  <c r="AM20" i="78"/>
  <c r="AO161" i="78" s="1"/>
  <c r="AD20" i="78"/>
  <c r="AF161" i="78" s="1"/>
  <c r="C20" i="78"/>
  <c r="E161" i="78" s="1"/>
  <c r="BI27" i="78"/>
  <c r="P27" i="78"/>
  <c r="Y27" i="78"/>
  <c r="AZ27" i="78"/>
  <c r="AQ27" i="78"/>
  <c r="AH27" i="78"/>
  <c r="DB27" i="78"/>
  <c r="CS27" i="78"/>
  <c r="BR27" i="78"/>
  <c r="CJ27" i="78"/>
  <c r="CA27" i="78"/>
  <c r="G27" i="78"/>
  <c r="CA20" i="78"/>
  <c r="BY165" i="78" s="1"/>
  <c r="CJ20" i="78"/>
  <c r="CH165" i="78" s="1"/>
  <c r="BR20" i="78"/>
  <c r="BP165" i="78" s="1"/>
  <c r="P20" i="78"/>
  <c r="N165" i="78" s="1"/>
  <c r="BI20" i="78"/>
  <c r="BG177" i="78" s="1"/>
  <c r="AZ20" i="78"/>
  <c r="AX189" i="78" s="1"/>
  <c r="AQ20" i="78"/>
  <c r="AO165" i="78" s="1"/>
  <c r="AH20" i="78"/>
  <c r="AF165" i="78" s="1"/>
  <c r="Y20" i="78"/>
  <c r="W165" i="78" s="1"/>
  <c r="DB20" i="78"/>
  <c r="CZ165" i="78" s="1"/>
  <c r="CS20" i="78"/>
  <c r="CQ165" i="78" s="1"/>
  <c r="G20" i="78"/>
  <c r="E165" i="78" s="1"/>
  <c r="Z26" i="78"/>
  <c r="W172" i="78" s="1"/>
  <c r="DC26" i="78"/>
  <c r="CZ172" i="78" s="1"/>
  <c r="CT26" i="78"/>
  <c r="CQ172" i="78" s="1"/>
  <c r="CK26" i="78"/>
  <c r="CH172" i="78" s="1"/>
  <c r="CB26" i="78"/>
  <c r="BY172" i="78" s="1"/>
  <c r="BA26" i="78"/>
  <c r="AX196" i="78" s="1"/>
  <c r="BS26" i="78"/>
  <c r="BP172" i="78" s="1"/>
  <c r="BJ26" i="78"/>
  <c r="BG184" i="78" s="1"/>
  <c r="AR26" i="78"/>
  <c r="AO172" i="78" s="1"/>
  <c r="Q26" i="78"/>
  <c r="N172" i="78" s="1"/>
  <c r="AI26" i="78"/>
  <c r="AF172" i="78" s="1"/>
  <c r="H26" i="78"/>
  <c r="E172" i="78" s="1"/>
  <c r="BQ27" i="78"/>
  <c r="BH27" i="78"/>
  <c r="AG27" i="78"/>
  <c r="O27" i="78"/>
  <c r="BZ27" i="78"/>
  <c r="AY27" i="78"/>
  <c r="AP27" i="78"/>
  <c r="X27" i="78"/>
  <c r="DA27" i="78"/>
  <c r="CR27" i="78"/>
  <c r="CI27" i="78"/>
  <c r="F27" i="78"/>
  <c r="CX27" i="78"/>
  <c r="CO27" i="78"/>
  <c r="CF27" i="78"/>
  <c r="BW27" i="78"/>
  <c r="BN27" i="78"/>
  <c r="BE27" i="78"/>
  <c r="L27" i="78"/>
  <c r="AV27" i="78"/>
  <c r="AM27" i="78"/>
  <c r="AD27" i="78"/>
  <c r="U27" i="78"/>
  <c r="C27" i="78"/>
  <c r="CG27" i="78"/>
  <c r="BX27" i="78"/>
  <c r="BO27" i="78"/>
  <c r="BF27" i="78"/>
  <c r="M27" i="78"/>
  <c r="CY27" i="78"/>
  <c r="AW27" i="78"/>
  <c r="AN27" i="78"/>
  <c r="AE27" i="78"/>
  <c r="V27" i="78"/>
  <c r="CP27" i="78"/>
  <c r="D27" i="78"/>
  <c r="BY27" i="78"/>
  <c r="BP27" i="78"/>
  <c r="BG27" i="78"/>
  <c r="N27" i="78"/>
  <c r="AX27" i="78"/>
  <c r="AO27" i="78"/>
  <c r="AF27" i="78"/>
  <c r="CH27" i="78"/>
  <c r="W27" i="78"/>
  <c r="CZ27" i="78"/>
  <c r="CQ27" i="78"/>
  <c r="E27" i="78"/>
  <c r="BW26" i="78"/>
  <c r="BY167" i="78" s="1"/>
  <c r="L26" i="78"/>
  <c r="N167" i="78" s="1"/>
  <c r="BN26" i="78"/>
  <c r="BP167" i="78" s="1"/>
  <c r="CF26" i="78"/>
  <c r="CH167" i="78" s="1"/>
  <c r="BE26" i="78"/>
  <c r="BG179" i="78" s="1"/>
  <c r="AV26" i="78"/>
  <c r="AX191" i="78" s="1"/>
  <c r="AM26" i="78"/>
  <c r="AO167" i="78" s="1"/>
  <c r="AD26" i="78"/>
  <c r="AF167" i="78" s="1"/>
  <c r="U26" i="78"/>
  <c r="W167" i="78" s="1"/>
  <c r="CX26" i="78"/>
  <c r="CZ167" i="78" s="1"/>
  <c r="CO26" i="78"/>
  <c r="CQ167" i="78" s="1"/>
  <c r="C26" i="78"/>
  <c r="E167" i="78" s="1"/>
  <c r="Q27" i="78"/>
  <c r="BA27" i="78"/>
  <c r="AR27" i="78"/>
  <c r="AI27" i="78"/>
  <c r="Z27" i="78"/>
  <c r="DC27" i="78"/>
  <c r="CT27" i="78"/>
  <c r="CK27" i="78"/>
  <c r="BJ27" i="78"/>
  <c r="CB27" i="78"/>
  <c r="BS27" i="78"/>
  <c r="H27" i="78"/>
  <c r="Y21" i="78"/>
  <c r="DB21" i="78"/>
  <c r="CS21" i="78"/>
  <c r="AZ21" i="78"/>
  <c r="CJ21" i="78"/>
  <c r="CA21" i="78"/>
  <c r="BR21" i="78"/>
  <c r="BI21" i="78"/>
  <c r="P21" i="78"/>
  <c r="AH21" i="78"/>
  <c r="AQ21" i="78"/>
  <c r="G21" i="78"/>
  <c r="BO26" i="78"/>
  <c r="BP168" i="78" s="1"/>
  <c r="BF26" i="78"/>
  <c r="BG180" i="78" s="1"/>
  <c r="M26" i="78"/>
  <c r="N168" i="78" s="1"/>
  <c r="AE26" i="78"/>
  <c r="AF168" i="78" s="1"/>
  <c r="AW26" i="78"/>
  <c r="AX192" i="78" s="1"/>
  <c r="AN26" i="78"/>
  <c r="AO168" i="78" s="1"/>
  <c r="BX26" i="78"/>
  <c r="BY168" i="78" s="1"/>
  <c r="V26" i="78"/>
  <c r="W168" i="78" s="1"/>
  <c r="CY26" i="78"/>
  <c r="CZ168" i="78" s="1"/>
  <c r="CP26" i="78"/>
  <c r="CQ168" i="78" s="1"/>
  <c r="CG26" i="78"/>
  <c r="CH168" i="78" s="1"/>
  <c r="D26" i="78"/>
  <c r="E168" i="78" s="1"/>
  <c r="AY21" i="78"/>
  <c r="AP21" i="78"/>
  <c r="AG21" i="78"/>
  <c r="X21" i="78"/>
  <c r="DA21" i="78"/>
  <c r="CR21" i="78"/>
  <c r="CI21" i="78"/>
  <c r="BZ21" i="78"/>
  <c r="BQ21" i="78"/>
  <c r="BH21" i="78"/>
  <c r="O21" i="78"/>
  <c r="F21" i="78"/>
  <c r="G5" i="78"/>
  <c r="D15" i="78"/>
  <c r="BS20" i="78"/>
  <c r="BP166" i="78" s="1"/>
  <c r="BJ20" i="78"/>
  <c r="BG178" i="78" s="1"/>
  <c r="AI20" i="78"/>
  <c r="AF166" i="78" s="1"/>
  <c r="Q20" i="78"/>
  <c r="N166" i="78" s="1"/>
  <c r="BA20" i="78"/>
  <c r="AX190" i="78" s="1"/>
  <c r="AR20" i="78"/>
  <c r="AO166" i="78" s="1"/>
  <c r="Z20" i="78"/>
  <c r="W166" i="78" s="1"/>
  <c r="DC20" i="78"/>
  <c r="CZ166" i="78" s="1"/>
  <c r="CT20" i="78"/>
  <c r="CQ166" i="78" s="1"/>
  <c r="CK20" i="78"/>
  <c r="CH166" i="78" s="1"/>
  <c r="CB20" i="78"/>
  <c r="BY166" i="78" s="1"/>
  <c r="H20" i="78"/>
  <c r="E166" i="78" s="1"/>
  <c r="AZ26" i="78"/>
  <c r="AX195" i="78" s="1"/>
  <c r="AQ26" i="78"/>
  <c r="AO171" i="78" s="1"/>
  <c r="AH26" i="78"/>
  <c r="AF171" i="78" s="1"/>
  <c r="Y26" i="78"/>
  <c r="W171" i="78" s="1"/>
  <c r="DB26" i="78"/>
  <c r="CZ171" i="78" s="1"/>
  <c r="CS26" i="78"/>
  <c r="CQ171" i="78" s="1"/>
  <c r="CJ26" i="78"/>
  <c r="CH171" i="78" s="1"/>
  <c r="CA26" i="78"/>
  <c r="BY171" i="78" s="1"/>
  <c r="BR26" i="78"/>
  <c r="BP171" i="78" s="1"/>
  <c r="BI26" i="78"/>
  <c r="BG183" i="78" s="1"/>
  <c r="P26" i="78"/>
  <c r="N171" i="78" s="1"/>
  <c r="G26" i="78"/>
  <c r="E171" i="78" s="1"/>
  <c r="BE21" i="78"/>
  <c r="L21" i="78"/>
  <c r="U21" i="78"/>
  <c r="AV21" i="78"/>
  <c r="AM21" i="78"/>
  <c r="AD21" i="78"/>
  <c r="CX21" i="78"/>
  <c r="CO21" i="78"/>
  <c r="CF21" i="78"/>
  <c r="BW21" i="78"/>
  <c r="BN21" i="78"/>
  <c r="C21" i="78"/>
  <c r="V21" i="78"/>
  <c r="AN21" i="78"/>
  <c r="AW21" i="78"/>
  <c r="CP21" i="78"/>
  <c r="CG21" i="78"/>
  <c r="BF21" i="78"/>
  <c r="CY21" i="78"/>
  <c r="BO21" i="78"/>
  <c r="BX21" i="78"/>
  <c r="M21" i="78"/>
  <c r="AE21" i="78"/>
  <c r="D21" i="78"/>
  <c r="M20" i="78"/>
  <c r="N162" i="78" s="1"/>
  <c r="CY20" i="78"/>
  <c r="CZ162" i="78" s="1"/>
  <c r="AN20" i="78"/>
  <c r="AO162" i="78" s="1"/>
  <c r="AE20" i="78"/>
  <c r="AF162" i="78" s="1"/>
  <c r="CP20" i="78"/>
  <c r="CQ162" i="78" s="1"/>
  <c r="BX20" i="78"/>
  <c r="BY162" i="78" s="1"/>
  <c r="BO20" i="78"/>
  <c r="BP162" i="78" s="1"/>
  <c r="CG20" i="78"/>
  <c r="CH162" i="78" s="1"/>
  <c r="BF20" i="78"/>
  <c r="BG174" i="78" s="1"/>
  <c r="V20" i="78"/>
  <c r="W162" i="78" s="1"/>
  <c r="AW20" i="78"/>
  <c r="AX186" i="78" s="1"/>
  <c r="D20" i="78"/>
  <c r="E162" i="78" s="1"/>
  <c r="BV98" i="78" l="1"/>
  <c r="AC98" i="78"/>
  <c r="AU98" i="78"/>
  <c r="BD188" i="78"/>
  <c r="K98" i="78"/>
  <c r="N11" i="53"/>
  <c r="B98" i="78"/>
  <c r="T98" i="78"/>
  <c r="AL98" i="78"/>
  <c r="N9" i="53"/>
  <c r="BH25" i="78" s="1"/>
  <c r="O11" i="53"/>
  <c r="Z7" i="53"/>
  <c r="AA7" i="53" s="1"/>
  <c r="AA4" i="53"/>
  <c r="Q12" i="53"/>
  <c r="O10" i="53"/>
  <c r="P10" i="53"/>
  <c r="CW98" i="78" s="1"/>
  <c r="N10" i="53"/>
  <c r="F26" i="78"/>
  <c r="E170" i="78" s="1"/>
  <c r="CR26" i="78"/>
  <c r="CQ170" i="78" s="1"/>
  <c r="AG26" i="78"/>
  <c r="AF170" i="78" s="1"/>
  <c r="BQ26" i="78"/>
  <c r="BP170" i="78" s="1"/>
  <c r="DA26" i="78"/>
  <c r="CZ170" i="78" s="1"/>
  <c r="AP26" i="78"/>
  <c r="AO170" i="78" s="1"/>
  <c r="BZ26" i="78"/>
  <c r="BY170" i="78" s="1"/>
  <c r="X26" i="78"/>
  <c r="W170" i="78" s="1"/>
  <c r="AY26" i="78"/>
  <c r="AX194" i="78" s="1"/>
  <c r="CI26" i="78"/>
  <c r="CH170" i="78" s="1"/>
  <c r="BH26" i="78"/>
  <c r="BG182" i="78" s="1"/>
  <c r="O26" i="78"/>
  <c r="N170" i="78" s="1"/>
  <c r="CK25" i="78"/>
  <c r="CB25" i="78"/>
  <c r="CT25" i="78"/>
  <c r="BS25" i="78"/>
  <c r="DC25" i="78"/>
  <c r="BJ25" i="78"/>
  <c r="Q25" i="78"/>
  <c r="BA25" i="78"/>
  <c r="AR25" i="78"/>
  <c r="AI25" i="78"/>
  <c r="Z25" i="78"/>
  <c r="H25" i="78"/>
  <c r="BA19" i="78"/>
  <c r="AR19" i="78"/>
  <c r="AI19" i="78"/>
  <c r="Z19" i="78"/>
  <c r="DC19" i="78"/>
  <c r="CT19" i="78"/>
  <c r="CK19" i="78"/>
  <c r="CB19" i="78"/>
  <c r="BS19" i="78"/>
  <c r="BJ19" i="78"/>
  <c r="Q19" i="78"/>
  <c r="H19" i="78"/>
  <c r="F15" i="78"/>
  <c r="O5" i="78"/>
  <c r="BP19" i="78"/>
  <c r="BG19" i="78"/>
  <c r="BY19" i="78"/>
  <c r="N19" i="78"/>
  <c r="AX19" i="78"/>
  <c r="AO19" i="78"/>
  <c r="AF19" i="78"/>
  <c r="W19" i="78"/>
  <c r="CZ19" i="78"/>
  <c r="CQ19" i="78"/>
  <c r="CH19" i="78"/>
  <c r="E19" i="78"/>
  <c r="DB25" i="78"/>
  <c r="CS25" i="78"/>
  <c r="CJ25" i="78"/>
  <c r="CA25" i="78"/>
  <c r="BR25" i="78"/>
  <c r="BI25" i="78"/>
  <c r="P25" i="78"/>
  <c r="AZ25" i="78"/>
  <c r="AQ25" i="78"/>
  <c r="AH25" i="78"/>
  <c r="Y25" i="78"/>
  <c r="G25" i="78"/>
  <c r="BE25" i="78"/>
  <c r="L25" i="78"/>
  <c r="U25" i="78"/>
  <c r="AV25" i="78"/>
  <c r="AM25" i="78"/>
  <c r="AD25" i="78"/>
  <c r="CX25" i="78"/>
  <c r="CO25" i="78"/>
  <c r="CF25" i="78"/>
  <c r="BN25" i="78"/>
  <c r="BW25" i="78"/>
  <c r="C25" i="78"/>
  <c r="BH19" i="78"/>
  <c r="O19" i="78"/>
  <c r="AY19" i="78"/>
  <c r="AP19" i="78"/>
  <c r="AG19" i="78"/>
  <c r="X19" i="78"/>
  <c r="DA19" i="78"/>
  <c r="CR19" i="78"/>
  <c r="CI19" i="78"/>
  <c r="BQ19" i="78"/>
  <c r="BZ19" i="78"/>
  <c r="F19" i="78"/>
  <c r="P19" i="78"/>
  <c r="AZ19" i="78"/>
  <c r="AQ19" i="78"/>
  <c r="AH19" i="78"/>
  <c r="BI19" i="78"/>
  <c r="Y19" i="78"/>
  <c r="DB19" i="78"/>
  <c r="CS19" i="78"/>
  <c r="CJ19" i="78"/>
  <c r="CA19" i="78"/>
  <c r="BR19" i="78"/>
  <c r="G19" i="78"/>
  <c r="BW19" i="78"/>
  <c r="BN19" i="78"/>
  <c r="BE19" i="78"/>
  <c r="L19" i="78"/>
  <c r="AV19" i="78"/>
  <c r="AM19" i="78"/>
  <c r="AD19" i="78"/>
  <c r="U19" i="78"/>
  <c r="CX19" i="78"/>
  <c r="CO19" i="78"/>
  <c r="CF19" i="78"/>
  <c r="C19" i="78"/>
  <c r="P5" i="78"/>
  <c r="G15" i="78"/>
  <c r="AX25" i="78"/>
  <c r="AO25" i="78"/>
  <c r="AF25" i="78"/>
  <c r="W25" i="78"/>
  <c r="CZ25" i="78"/>
  <c r="CQ25" i="78"/>
  <c r="CH25" i="78"/>
  <c r="BY25" i="78"/>
  <c r="BP25" i="78"/>
  <c r="BG25" i="78"/>
  <c r="N25" i="78"/>
  <c r="E25" i="78"/>
  <c r="CG19" i="78"/>
  <c r="BF19" i="78"/>
  <c r="BO19" i="78"/>
  <c r="V19" i="78"/>
  <c r="AW19" i="78"/>
  <c r="AN19" i="78"/>
  <c r="M19" i="78"/>
  <c r="CY19" i="78"/>
  <c r="AE19" i="78"/>
  <c r="CP19" i="78"/>
  <c r="BX19" i="78"/>
  <c r="D19" i="78"/>
  <c r="AQ23" i="68"/>
  <c r="AR72" i="66"/>
  <c r="AR28" i="65"/>
  <c r="AR30" i="65"/>
  <c r="AR35" i="65"/>
  <c r="AQ52" i="65"/>
  <c r="AR53" i="65"/>
  <c r="AQ65" i="65"/>
  <c r="AP4" i="41"/>
  <c r="P24" i="53" s="1"/>
  <c r="AQ3" i="41"/>
  <c r="AP7" i="41"/>
  <c r="P27" i="53" s="1"/>
  <c r="AP10" i="41"/>
  <c r="AQ11" i="41"/>
  <c r="Q31" i="53" s="1"/>
  <c r="AQ12" i="41"/>
  <c r="Q32" i="53" s="1"/>
  <c r="AQ15" i="41"/>
  <c r="AQ17" i="41"/>
  <c r="Q37" i="53" s="1"/>
  <c r="AP18" i="41"/>
  <c r="AQ18" i="41"/>
  <c r="Q38" i="53" s="1"/>
  <c r="AR24" i="41"/>
  <c r="AP25" i="41"/>
  <c r="AQ33" i="41"/>
  <c r="AP34" i="41"/>
  <c r="AP36" i="41"/>
  <c r="AQ41" i="41"/>
  <c r="AR47" i="41"/>
  <c r="AQ47" i="41"/>
  <c r="Q67" i="53" s="1"/>
  <c r="AQ51" i="41"/>
  <c r="AR51" i="41"/>
  <c r="AP51" i="41"/>
  <c r="AQ54" i="41"/>
  <c r="AP58" i="41"/>
  <c r="CE96" i="78" l="1"/>
  <c r="CN98" i="78"/>
  <c r="CE98" i="78"/>
  <c r="Z8" i="53"/>
  <c r="AA8" i="53" s="1"/>
  <c r="BQ25" i="78"/>
  <c r="CR25" i="78"/>
  <c r="CI25" i="78"/>
  <c r="DA25" i="78"/>
  <c r="AG25" i="78"/>
  <c r="O25" i="78"/>
  <c r="AP25" i="78"/>
  <c r="X25" i="78"/>
  <c r="F25" i="78"/>
  <c r="AY25" i="78"/>
  <c r="BZ25" i="78"/>
  <c r="AO72" i="66"/>
  <c r="AR74" i="66"/>
  <c r="AP65" i="65"/>
  <c r="AP68" i="65" s="1"/>
  <c r="AQ68" i="65"/>
  <c r="AQ46" i="41"/>
  <c r="Q66" i="53" s="1"/>
  <c r="AP57" i="41"/>
  <c r="P77" i="53" s="1"/>
  <c r="AP28" i="41"/>
  <c r="P48" i="53" s="1"/>
  <c r="AQ48" i="41"/>
  <c r="Q68" i="53" s="1"/>
  <c r="AP54" i="41"/>
  <c r="P74" i="53" s="1"/>
  <c r="AP41" i="41"/>
  <c r="AO41" i="41" s="1"/>
  <c r="AO58" i="41"/>
  <c r="O78" i="53" s="1"/>
  <c r="P78" i="53"/>
  <c r="AQ57" i="41"/>
  <c r="AQ53" i="41"/>
  <c r="Q73" i="53" s="1"/>
  <c r="AO53" i="65"/>
  <c r="AR56" i="65"/>
  <c r="R73" i="53"/>
  <c r="AQ56" i="65"/>
  <c r="AO52" i="65"/>
  <c r="AQ52" i="41"/>
  <c r="Q72" i="53" s="1"/>
  <c r="AP52" i="41"/>
  <c r="AP53" i="41"/>
  <c r="P73" i="53" s="1"/>
  <c r="R71" i="53"/>
  <c r="AR56" i="41"/>
  <c r="Q71" i="53"/>
  <c r="AP46" i="41"/>
  <c r="P66" i="53" s="1"/>
  <c r="AO51" i="41"/>
  <c r="P71" i="53"/>
  <c r="AP48" i="41"/>
  <c r="P68" i="53" s="1"/>
  <c r="AP47" i="41"/>
  <c r="P67" i="53" s="1"/>
  <c r="R67" i="53"/>
  <c r="AR50" i="41"/>
  <c r="AQ45" i="41"/>
  <c r="AP45" i="41"/>
  <c r="AQ42" i="41"/>
  <c r="Q62" i="53" s="1"/>
  <c r="AQ40" i="41"/>
  <c r="AP42" i="41"/>
  <c r="AP40" i="41"/>
  <c r="AQ27" i="41"/>
  <c r="AQ32" i="41" s="1"/>
  <c r="AP21" i="41"/>
  <c r="P41" i="53" s="1"/>
  <c r="AP17" i="41"/>
  <c r="P37" i="53" s="1"/>
  <c r="AQ24" i="41"/>
  <c r="AQ26" i="41" s="1"/>
  <c r="AP29" i="41"/>
  <c r="P49" i="53" s="1"/>
  <c r="AO36" i="41"/>
  <c r="AQ35" i="41"/>
  <c r="Q55" i="53" s="1"/>
  <c r="AP35" i="41"/>
  <c r="AR38" i="65"/>
  <c r="R58" i="53" s="1"/>
  <c r="AX33" i="78" s="1"/>
  <c r="R55" i="53"/>
  <c r="AO35" i="65"/>
  <c r="AO38" i="65" s="1"/>
  <c r="AX6" i="78" s="1"/>
  <c r="AP33" i="41"/>
  <c r="AO33" i="41" s="1"/>
  <c r="AO34" i="41"/>
  <c r="O54" i="53" s="1"/>
  <c r="P54" i="53"/>
  <c r="Q53" i="53"/>
  <c r="R50" i="53"/>
  <c r="AO30" i="65"/>
  <c r="AP30" i="41"/>
  <c r="AO30" i="41" s="1"/>
  <c r="AR32" i="65"/>
  <c r="R52" i="53" s="1"/>
  <c r="AO33" i="78" s="1"/>
  <c r="AO28" i="65"/>
  <c r="R48" i="53"/>
  <c r="AP27" i="41"/>
  <c r="P47" i="53" s="1"/>
  <c r="P45" i="53"/>
  <c r="AO25" i="41"/>
  <c r="O45" i="53" s="1"/>
  <c r="AP15" i="68"/>
  <c r="AP23" i="41"/>
  <c r="AO23" i="41" s="1"/>
  <c r="AP15" i="41"/>
  <c r="AQ26" i="68"/>
  <c r="AO23" i="68"/>
  <c r="Q43" i="53"/>
  <c r="AP24" i="41"/>
  <c r="R44" i="53"/>
  <c r="AR26" i="41"/>
  <c r="R46" i="53" s="1"/>
  <c r="AP22" i="41"/>
  <c r="P42" i="53" s="1"/>
  <c r="AP16" i="41"/>
  <c r="P36" i="53" s="1"/>
  <c r="AQ16" i="41"/>
  <c r="Q36" i="53" s="1"/>
  <c r="P38" i="53"/>
  <c r="AO18" i="41"/>
  <c r="O38" i="53" s="1"/>
  <c r="Q35" i="53"/>
  <c r="AP11" i="41"/>
  <c r="P31" i="53" s="1"/>
  <c r="AP3" i="41"/>
  <c r="P23" i="53" s="1"/>
  <c r="AP12" i="41"/>
  <c r="AO12" i="41" s="1"/>
  <c r="O32" i="53" s="1"/>
  <c r="P30" i="53"/>
  <c r="AO10" i="41"/>
  <c r="O30" i="53" s="1"/>
  <c r="AQ9" i="41"/>
  <c r="AQ14" i="41" s="1"/>
  <c r="Q34" i="53" s="1"/>
  <c r="N32" i="78" s="1"/>
  <c r="AQ3" i="68"/>
  <c r="AQ7" i="41"/>
  <c r="Q27" i="53" s="1"/>
  <c r="AQ4" i="41"/>
  <c r="Q24" i="53" s="1"/>
  <c r="AP9" i="41"/>
  <c r="P29" i="53" s="1"/>
  <c r="AP6" i="41"/>
  <c r="P26" i="53" s="1"/>
  <c r="X5" i="78"/>
  <c r="O15" i="78"/>
  <c r="Y5" i="78"/>
  <c r="P15" i="78"/>
  <c r="AO74" i="66" l="1"/>
  <c r="CZ7" i="78" s="1"/>
  <c r="DC7" i="78" s="1"/>
  <c r="AO65" i="65"/>
  <c r="AO68" i="65" s="1"/>
  <c r="CQ6" i="78" s="1"/>
  <c r="R76" i="53"/>
  <c r="BY33" i="78" s="1"/>
  <c r="AO56" i="65"/>
  <c r="BY6" i="78" s="1"/>
  <c r="AO28" i="41"/>
  <c r="AQ50" i="41"/>
  <c r="Q70" i="53" s="1"/>
  <c r="BP32" i="78" s="1"/>
  <c r="AO54" i="41"/>
  <c r="AO57" i="41"/>
  <c r="AQ56" i="41"/>
  <c r="AO52" i="41"/>
  <c r="O72" i="53" s="1"/>
  <c r="P72" i="53"/>
  <c r="AO53" i="41"/>
  <c r="O73" i="53" s="1"/>
  <c r="AP56" i="41"/>
  <c r="P76" i="53" s="1"/>
  <c r="BY31" i="78" s="1"/>
  <c r="AO46" i="41"/>
  <c r="O66" i="53" s="1"/>
  <c r="O71" i="53"/>
  <c r="AO48" i="41"/>
  <c r="AP50" i="41"/>
  <c r="AO47" i="41"/>
  <c r="O67" i="53" s="1"/>
  <c r="Q65" i="53"/>
  <c r="AQ44" i="41"/>
  <c r="AO45" i="41"/>
  <c r="AO42" i="41"/>
  <c r="O62" i="53" s="1"/>
  <c r="AO40" i="41"/>
  <c r="P62" i="53"/>
  <c r="AP44" i="41"/>
  <c r="AO21" i="41"/>
  <c r="O41" i="53" s="1"/>
  <c r="Q47" i="53"/>
  <c r="AO17" i="41"/>
  <c r="O37" i="53" s="1"/>
  <c r="Q44" i="53"/>
  <c r="AO29" i="41"/>
  <c r="O49" i="53" s="1"/>
  <c r="AQ38" i="41"/>
  <c r="AO35" i="41"/>
  <c r="AP38" i="41"/>
  <c r="P53" i="53"/>
  <c r="O53" i="53"/>
  <c r="AO32" i="65"/>
  <c r="AO6" i="78" s="1"/>
  <c r="AR6" i="78" s="1"/>
  <c r="BA6" i="78" s="1"/>
  <c r="BJ6" i="78" s="1"/>
  <c r="BS6" i="78" s="1"/>
  <c r="Q46" i="53"/>
  <c r="AF32" i="78" s="1"/>
  <c r="O43" i="53"/>
  <c r="P35" i="53"/>
  <c r="AP32" i="41"/>
  <c r="AO27" i="41"/>
  <c r="P43" i="53"/>
  <c r="AO15" i="41"/>
  <c r="AO15" i="68"/>
  <c r="AO20" i="68" s="1"/>
  <c r="W9" i="78" s="1"/>
  <c r="AP20" i="68"/>
  <c r="AO24" i="41"/>
  <c r="AF33" i="78"/>
  <c r="AP26" i="41"/>
  <c r="AO22" i="41"/>
  <c r="O42" i="53" s="1"/>
  <c r="AP20" i="41"/>
  <c r="AO16" i="41"/>
  <c r="O36" i="53" s="1"/>
  <c r="AQ20" i="41"/>
  <c r="Q40" i="53" s="1"/>
  <c r="W32" i="78" s="1"/>
  <c r="AQ8" i="68"/>
  <c r="Q23" i="53"/>
  <c r="AO11" i="41"/>
  <c r="O31" i="53" s="1"/>
  <c r="AO3" i="41"/>
  <c r="P32" i="53"/>
  <c r="AO9" i="41"/>
  <c r="O29" i="53" s="1"/>
  <c r="Q29" i="53"/>
  <c r="AO4" i="41"/>
  <c r="O24" i="53" s="1"/>
  <c r="AP14" i="41"/>
  <c r="P34" i="53" s="1"/>
  <c r="N31" i="78" s="1"/>
  <c r="AQ8" i="41"/>
  <c r="AO3" i="68"/>
  <c r="AO8" i="68" s="1"/>
  <c r="E9" i="78" s="1"/>
  <c r="H9" i="78" s="1"/>
  <c r="Q9" i="78" s="1"/>
  <c r="AO7" i="41"/>
  <c r="O27" i="53" s="1"/>
  <c r="AP8" i="41"/>
  <c r="P28" i="53" s="1"/>
  <c r="AO6" i="41"/>
  <c r="O26" i="53" s="1"/>
  <c r="AH5" i="78"/>
  <c r="Y15" i="78"/>
  <c r="AG5" i="78"/>
  <c r="X15" i="78"/>
  <c r="AP39" i="68"/>
  <c r="AQ40" i="68"/>
  <c r="Q60" i="53" s="1"/>
  <c r="AP41" i="68"/>
  <c r="AP45" i="68"/>
  <c r="AQ54" i="68"/>
  <c r="AQ57" i="68"/>
  <c r="AP59" i="68"/>
  <c r="AQ71" i="68"/>
  <c r="AQ61" i="41"/>
  <c r="Q81" i="53" s="1"/>
  <c r="AQ65" i="41"/>
  <c r="Q85" i="53" s="1"/>
  <c r="AP66" i="41"/>
  <c r="AQ66" i="41"/>
  <c r="Q86" i="53" s="1"/>
  <c r="AQ69" i="41"/>
  <c r="AP70" i="41"/>
  <c r="AP71" i="41"/>
  <c r="AQ71" i="41"/>
  <c r="AP24" i="68"/>
  <c r="AQ28" i="68"/>
  <c r="AP30" i="68"/>
  <c r="P50" i="53" s="1"/>
  <c r="AR48" i="69"/>
  <c r="AR60" i="69"/>
  <c r="AR72" i="69"/>
  <c r="AO72" i="69" l="1"/>
  <c r="AR74" i="69"/>
  <c r="R94" i="53" s="1"/>
  <c r="CZ33" i="78" s="1"/>
  <c r="R92" i="53"/>
  <c r="AQ70" i="41"/>
  <c r="Q90" i="53" s="1"/>
  <c r="Q91" i="53"/>
  <c r="AQ74" i="68"/>
  <c r="AO71" i="68"/>
  <c r="AO74" i="68" s="1"/>
  <c r="CZ9" i="78" s="1"/>
  <c r="AO71" i="41"/>
  <c r="P91" i="53"/>
  <c r="P90" i="53"/>
  <c r="Q89" i="53"/>
  <c r="AP69" i="41"/>
  <c r="AP74" i="41" s="1"/>
  <c r="P94" i="53" s="1"/>
  <c r="CZ31" i="78" s="1"/>
  <c r="AR63" i="69"/>
  <c r="R83" i="53" s="1"/>
  <c r="AQ63" i="41"/>
  <c r="Q83" i="53" s="1"/>
  <c r="AQ60" i="41"/>
  <c r="Q80" i="53" s="1"/>
  <c r="AP64" i="41"/>
  <c r="P84" i="53" s="1"/>
  <c r="AO66" i="41"/>
  <c r="O86" i="53" s="1"/>
  <c r="P86" i="53"/>
  <c r="CB6" i="78"/>
  <c r="CK6" i="78" s="1"/>
  <c r="CT6" i="78" s="1"/>
  <c r="DC6" i="78" s="1"/>
  <c r="AP65" i="41"/>
  <c r="P85" i="53" s="1"/>
  <c r="AQ64" i="41"/>
  <c r="Q84" i="53" s="1"/>
  <c r="AO60" i="69"/>
  <c r="R80" i="53"/>
  <c r="AO59" i="68"/>
  <c r="AP62" i="68"/>
  <c r="AO57" i="68"/>
  <c r="AQ62" i="68"/>
  <c r="AQ56" i="68"/>
  <c r="Q76" i="53" s="1"/>
  <c r="BY32" i="78" s="1"/>
  <c r="AO54" i="68"/>
  <c r="AO56" i="68" s="1"/>
  <c r="BY9" i="78" s="1"/>
  <c r="Q74" i="53"/>
  <c r="Q77" i="53"/>
  <c r="AP61" i="41"/>
  <c r="AO61" i="41" s="1"/>
  <c r="O81" i="53" s="1"/>
  <c r="AP63" i="41"/>
  <c r="AP60" i="41"/>
  <c r="P80" i="53" s="1"/>
  <c r="AR59" i="69"/>
  <c r="AR62" i="69" s="1"/>
  <c r="R82" i="53" s="1"/>
  <c r="CH33" i="78" s="1"/>
  <c r="AP59" i="41"/>
  <c r="P79" i="53" s="1"/>
  <c r="AQ59" i="41"/>
  <c r="Q79" i="53" s="1"/>
  <c r="AO56" i="41"/>
  <c r="AO45" i="68"/>
  <c r="AO50" i="68" s="1"/>
  <c r="BP9" i="78" s="1"/>
  <c r="AP50" i="68"/>
  <c r="P70" i="53" s="1"/>
  <c r="BP31" i="78" s="1"/>
  <c r="P65" i="53"/>
  <c r="R68" i="53"/>
  <c r="AR50" i="69"/>
  <c r="R70" i="53" s="1"/>
  <c r="AO48" i="69"/>
  <c r="AO50" i="69" s="1"/>
  <c r="BP10" i="78" s="1"/>
  <c r="BS10" i="78" s="1"/>
  <c r="CB10" i="78" s="1"/>
  <c r="AO50" i="41"/>
  <c r="BP5" i="78" s="1"/>
  <c r="AO44" i="41"/>
  <c r="BG5" i="78" s="1"/>
  <c r="AQ41" i="68"/>
  <c r="Q61" i="53" s="1"/>
  <c r="AQ39" i="68"/>
  <c r="AP40" i="68"/>
  <c r="P59" i="53"/>
  <c r="P61" i="53"/>
  <c r="AQ36" i="68"/>
  <c r="Q56" i="53" s="1"/>
  <c r="AQ30" i="68"/>
  <c r="Q50" i="53" s="1"/>
  <c r="AP36" i="68"/>
  <c r="AP35" i="68"/>
  <c r="AP32" i="68"/>
  <c r="P52" i="53" s="1"/>
  <c r="AO31" i="78" s="1"/>
  <c r="AO32" i="41"/>
  <c r="AO5" i="78" s="1"/>
  <c r="AO38" i="41"/>
  <c r="AO28" i="68"/>
  <c r="Q48" i="53"/>
  <c r="P40" i="53"/>
  <c r="W31" i="78" s="1"/>
  <c r="O35" i="53"/>
  <c r="O47" i="53"/>
  <c r="Z9" i="78"/>
  <c r="AP26" i="68"/>
  <c r="P46" i="53" s="1"/>
  <c r="AO24" i="68"/>
  <c r="AO26" i="68" s="1"/>
  <c r="AF9" i="78" s="1"/>
  <c r="P44" i="53"/>
  <c r="AO26" i="41"/>
  <c r="AO20" i="41"/>
  <c r="W5" i="78" s="1"/>
  <c r="W15" i="78" s="1"/>
  <c r="Q28" i="53"/>
  <c r="AO14" i="41"/>
  <c r="O34" i="53" s="1"/>
  <c r="F18" i="53" s="1"/>
  <c r="O23" i="53"/>
  <c r="E31" i="78"/>
  <c r="AO8" i="41"/>
  <c r="AP5" i="78"/>
  <c r="AG15" i="78"/>
  <c r="AH15" i="78"/>
  <c r="AQ5" i="78"/>
  <c r="F95" i="53"/>
  <c r="I95" i="53"/>
  <c r="J95" i="53"/>
  <c r="G95" i="53"/>
  <c r="H95" i="53"/>
  <c r="E95" i="53"/>
  <c r="O91" i="53" l="1"/>
  <c r="AO74" i="69"/>
  <c r="CZ10" i="78" s="1"/>
  <c r="O92" i="53"/>
  <c r="AQ74" i="41"/>
  <c r="Q94" i="53" s="1"/>
  <c r="CZ32" i="78" s="1"/>
  <c r="AO70" i="41"/>
  <c r="O90" i="53" s="1"/>
  <c r="AO69" i="41"/>
  <c r="O89" i="53" s="1"/>
  <c r="P89" i="53"/>
  <c r="AO63" i="69"/>
  <c r="AO68" i="69" s="1"/>
  <c r="CQ10" i="78" s="1"/>
  <c r="AR68" i="69"/>
  <c r="R88" i="53" s="1"/>
  <c r="CQ33" i="78" s="1"/>
  <c r="AO62" i="68"/>
  <c r="CH9" i="78" s="1"/>
  <c r="AP68" i="41"/>
  <c r="P88" i="53" s="1"/>
  <c r="CQ31" i="78" s="1"/>
  <c r="AO65" i="41"/>
  <c r="O85" i="53" s="1"/>
  <c r="O74" i="53"/>
  <c r="O76" i="53"/>
  <c r="M18" i="53" s="1"/>
  <c r="O77" i="53"/>
  <c r="AQ68" i="41"/>
  <c r="Q88" i="53" s="1"/>
  <c r="CQ32" i="78" s="1"/>
  <c r="AO64" i="41"/>
  <c r="O84" i="53" s="1"/>
  <c r="P81" i="53"/>
  <c r="AO63" i="41"/>
  <c r="P83" i="53"/>
  <c r="AO60" i="41"/>
  <c r="O80" i="53" s="1"/>
  <c r="AO59" i="69"/>
  <c r="AO62" i="69" s="1"/>
  <c r="CH10" i="78" s="1"/>
  <c r="CK10" i="78" s="1"/>
  <c r="R79" i="53"/>
  <c r="AQ62" i="41"/>
  <c r="Q82" i="53" s="1"/>
  <c r="CH32" i="78" s="1"/>
  <c r="AO59" i="41"/>
  <c r="AP62" i="41"/>
  <c r="P82" i="53" s="1"/>
  <c r="CH31" i="78" s="1"/>
  <c r="O68" i="53"/>
  <c r="O65" i="53"/>
  <c r="BY5" i="78"/>
  <c r="BY15" i="78" s="1"/>
  <c r="BP15" i="78"/>
  <c r="BP33" i="78"/>
  <c r="O70" i="53"/>
  <c r="L18" i="53" s="1"/>
  <c r="AQ44" i="68"/>
  <c r="Q64" i="53" s="1"/>
  <c r="BG32" i="78" s="1"/>
  <c r="AO41" i="68"/>
  <c r="O61" i="53" s="1"/>
  <c r="AO39" i="68"/>
  <c r="O59" i="53" s="1"/>
  <c r="Q59" i="53"/>
  <c r="AO40" i="68"/>
  <c r="O60" i="53" s="1"/>
  <c r="P60" i="53"/>
  <c r="AP44" i="68"/>
  <c r="P64" i="53" s="1"/>
  <c r="BG31" i="78" s="1"/>
  <c r="AO36" i="68"/>
  <c r="O56" i="53" s="1"/>
  <c r="AQ32" i="68"/>
  <c r="Q52" i="53" s="1"/>
  <c r="AO32" i="78" s="1"/>
  <c r="AQ38" i="68"/>
  <c r="Q58" i="53" s="1"/>
  <c r="AX32" i="78" s="1"/>
  <c r="AO30" i="68"/>
  <c r="O50" i="53" s="1"/>
  <c r="P56" i="53"/>
  <c r="AP38" i="68"/>
  <c r="P58" i="53" s="1"/>
  <c r="AX31" i="78" s="1"/>
  <c r="AO35" i="68"/>
  <c r="P55" i="53"/>
  <c r="AX5" i="78"/>
  <c r="O48" i="53"/>
  <c r="AI9" i="78"/>
  <c r="O46" i="53"/>
  <c r="H18" i="53" s="1"/>
  <c r="F22" i="78" s="1"/>
  <c r="AF5" i="78"/>
  <c r="AF15" i="78" s="1"/>
  <c r="AF31" i="78"/>
  <c r="E32" i="78"/>
  <c r="O44" i="53"/>
  <c r="O40" i="53"/>
  <c r="G18" i="53" s="1"/>
  <c r="AX22" i="78" s="1"/>
  <c r="N5" i="78"/>
  <c r="N15" i="78" s="1"/>
  <c r="E5" i="78"/>
  <c r="E15" i="78" s="1"/>
  <c r="O28" i="53"/>
  <c r="E18" i="53" s="1"/>
  <c r="CG22" i="78"/>
  <c r="CP22" i="78"/>
  <c r="CY22" i="78"/>
  <c r="V22" i="78"/>
  <c r="BF22" i="78"/>
  <c r="BO22" i="78"/>
  <c r="AE22" i="78"/>
  <c r="M22" i="78"/>
  <c r="D22" i="78"/>
  <c r="AW22" i="78"/>
  <c r="BX22" i="78"/>
  <c r="AN22" i="78"/>
  <c r="AQ15" i="78"/>
  <c r="AZ5" i="78"/>
  <c r="AY5" i="78"/>
  <c r="AP15" i="78"/>
  <c r="M95" i="53"/>
  <c r="L95" i="53"/>
  <c r="K95" i="53"/>
  <c r="O83" i="53" l="1"/>
  <c r="AO74" i="41"/>
  <c r="CZ5" i="78" s="1"/>
  <c r="CZ15" i="78" s="1"/>
  <c r="Q33" i="78"/>
  <c r="AR33" i="78"/>
  <c r="CB33" i="78"/>
  <c r="BJ33" i="78"/>
  <c r="CK33" i="78"/>
  <c r="CT33" i="78"/>
  <c r="Z33" i="78"/>
  <c r="BS33" i="78"/>
  <c r="AI33" i="78"/>
  <c r="BA33" i="78"/>
  <c r="R95" i="53"/>
  <c r="DC33" i="78"/>
  <c r="H33" i="78"/>
  <c r="CT10" i="78"/>
  <c r="DC10" i="78" s="1"/>
  <c r="O79" i="53"/>
  <c r="AO68" i="41"/>
  <c r="CQ5" i="78" s="1"/>
  <c r="CQ15" i="78" s="1"/>
  <c r="AO62" i="41"/>
  <c r="CH5" i="78" s="1"/>
  <c r="CH15" i="78" s="1"/>
  <c r="AO44" i="68"/>
  <c r="BS31" i="78"/>
  <c r="BA31" i="78"/>
  <c r="AR31" i="78"/>
  <c r="Q31" i="78"/>
  <c r="AI31" i="78"/>
  <c r="DC31" i="78"/>
  <c r="BJ31" i="78"/>
  <c r="CB31" i="78"/>
  <c r="Z31" i="78"/>
  <c r="Z32" i="78"/>
  <c r="Q95" i="53"/>
  <c r="CB32" i="78"/>
  <c r="H32" i="78"/>
  <c r="CT32" i="78"/>
  <c r="CT31" i="78"/>
  <c r="Q32" i="78"/>
  <c r="BS32" i="78"/>
  <c r="BJ32" i="78"/>
  <c r="AO32" i="68"/>
  <c r="O52" i="53" s="1"/>
  <c r="I18" i="53" s="1"/>
  <c r="AI32" i="78"/>
  <c r="CK32" i="78"/>
  <c r="AR32" i="78"/>
  <c r="BA32" i="78"/>
  <c r="DC32" i="78"/>
  <c r="H31" i="78"/>
  <c r="P95" i="53"/>
  <c r="AO38" i="68"/>
  <c r="O55" i="53"/>
  <c r="CK31" i="78"/>
  <c r="CI22" i="78"/>
  <c r="AG22" i="78"/>
  <c r="BH22" i="78"/>
  <c r="AP22" i="78"/>
  <c r="BQ22" i="78"/>
  <c r="CR22" i="78"/>
  <c r="DA22" i="78"/>
  <c r="AY22" i="78"/>
  <c r="BZ22" i="78"/>
  <c r="X22" i="78"/>
  <c r="O22" i="78"/>
  <c r="W22" i="78"/>
  <c r="CQ22" i="78"/>
  <c r="AF22" i="78"/>
  <c r="BG22" i="78"/>
  <c r="N22" i="78"/>
  <c r="AO22" i="78"/>
  <c r="CZ22" i="78"/>
  <c r="BP22" i="78"/>
  <c r="BY22" i="78"/>
  <c r="E22" i="78"/>
  <c r="CH22" i="78"/>
  <c r="H5" i="78"/>
  <c r="H15" i="78" s="1"/>
  <c r="BW22" i="78"/>
  <c r="BN22" i="78"/>
  <c r="C22" i="78"/>
  <c r="CF22" i="78"/>
  <c r="CX22" i="78"/>
  <c r="U22" i="78"/>
  <c r="AD22" i="78"/>
  <c r="CO22" i="78"/>
  <c r="AM22" i="78"/>
  <c r="AZ15" i="78"/>
  <c r="BI5" i="78"/>
  <c r="BH5" i="78"/>
  <c r="AY15" i="78"/>
  <c r="O94" i="53" l="1"/>
  <c r="P18" i="53" s="1"/>
  <c r="Q28" i="78" s="1"/>
  <c r="O88" i="53"/>
  <c r="O18" i="53" s="1"/>
  <c r="CA28" i="78" s="1"/>
  <c r="O82" i="53"/>
  <c r="N18" i="53" s="1"/>
  <c r="O28" i="78" s="1"/>
  <c r="BG9" i="78"/>
  <c r="BG15" i="78" s="1"/>
  <c r="O64" i="53"/>
  <c r="K18" i="53" s="1"/>
  <c r="C28" i="78" s="1"/>
  <c r="AO9" i="78"/>
  <c r="AO15" i="78" s="1"/>
  <c r="AX9" i="78"/>
  <c r="AX15" i="78" s="1"/>
  <c r="O58" i="53"/>
  <c r="J18" i="53" s="1"/>
  <c r="P22" i="78"/>
  <c r="Y22" i="78"/>
  <c r="BR22" i="78"/>
  <c r="CJ22" i="78"/>
  <c r="AZ22" i="78"/>
  <c r="DB22" i="78"/>
  <c r="AQ22" i="78"/>
  <c r="AH22" i="78"/>
  <c r="BI22" i="78"/>
  <c r="CA22" i="78"/>
  <c r="CS22" i="78"/>
  <c r="G22" i="78"/>
  <c r="Q5" i="78"/>
  <c r="Z5" i="78" s="1"/>
  <c r="AV22" i="78"/>
  <c r="L22" i="78"/>
  <c r="BE22" i="78"/>
  <c r="CZ28" i="78"/>
  <c r="CQ28" i="78"/>
  <c r="CH28" i="78"/>
  <c r="BY28" i="78"/>
  <c r="BP28" i="78"/>
  <c r="BG28" i="78"/>
  <c r="N28" i="78"/>
  <c r="AX28" i="78"/>
  <c r="AO28" i="78"/>
  <c r="AF28" i="78"/>
  <c r="W28" i="78"/>
  <c r="E28" i="78"/>
  <c r="BQ5" i="78"/>
  <c r="BH15" i="78"/>
  <c r="BI15" i="78"/>
  <c r="BR5" i="78"/>
  <c r="V28" i="78"/>
  <c r="CY28" i="78"/>
  <c r="CP28" i="78"/>
  <c r="CG28" i="78"/>
  <c r="BX28" i="78"/>
  <c r="BO28" i="78"/>
  <c r="AW28" i="78"/>
  <c r="AN28" i="78"/>
  <c r="BF28" i="78"/>
  <c r="M28" i="78"/>
  <c r="AE28" i="78"/>
  <c r="D28" i="78"/>
  <c r="CK28" i="78" l="1"/>
  <c r="AI28" i="78"/>
  <c r="CB28" i="78"/>
  <c r="CT28" i="78"/>
  <c r="BJ28" i="78"/>
  <c r="DC28" i="78"/>
  <c r="BA28" i="78"/>
  <c r="BS28" i="78"/>
  <c r="AR28" i="78"/>
  <c r="H28" i="78"/>
  <c r="Z28" i="78"/>
  <c r="AH28" i="78"/>
  <c r="G28" i="78"/>
  <c r="BI28" i="78"/>
  <c r="CS28" i="78"/>
  <c r="AQ28" i="78"/>
  <c r="P28" i="78"/>
  <c r="AZ28" i="78"/>
  <c r="DB28" i="78"/>
  <c r="BR28" i="78"/>
  <c r="Y28" i="78"/>
  <c r="CJ28" i="78"/>
  <c r="AG28" i="78"/>
  <c r="F28" i="78"/>
  <c r="CI28" i="78"/>
  <c r="BQ28" i="78"/>
  <c r="X28" i="78"/>
  <c r="DA28" i="78"/>
  <c r="BZ28" i="78"/>
  <c r="AY28" i="78"/>
  <c r="AP28" i="78"/>
  <c r="BH28" i="78"/>
  <c r="CR28" i="78"/>
  <c r="AV28" i="78"/>
  <c r="BE28" i="78"/>
  <c r="BW28" i="78"/>
  <c r="AD28" i="78"/>
  <c r="L28" i="78"/>
  <c r="BN28" i="78"/>
  <c r="CF28" i="78"/>
  <c r="CO28" i="78"/>
  <c r="U28" i="78"/>
  <c r="AM28" i="78"/>
  <c r="CX28" i="78"/>
  <c r="Q18" i="53"/>
  <c r="AR9" i="78"/>
  <c r="BA9" i="78" s="1"/>
  <c r="BJ9" i="78" s="1"/>
  <c r="BS9" i="78" s="1"/>
  <c r="CB9" i="78" s="1"/>
  <c r="CK9" i="78" s="1"/>
  <c r="CT9" i="78" s="1"/>
  <c r="DC9" i="78" s="1"/>
  <c r="H22" i="78"/>
  <c r="Q22" i="78"/>
  <c r="BJ22" i="78"/>
  <c r="CB22" i="78"/>
  <c r="CK22" i="78"/>
  <c r="CT22" i="78"/>
  <c r="BS22" i="78"/>
  <c r="DC22" i="78"/>
  <c r="Z22" i="78"/>
  <c r="O95" i="53"/>
  <c r="AI22" i="78"/>
  <c r="AR22" i="78"/>
  <c r="BA22" i="78"/>
  <c r="Q15" i="78"/>
  <c r="AI5" i="78"/>
  <c r="Z15" i="78"/>
  <c r="BR15" i="78"/>
  <c r="CA5" i="78"/>
  <c r="BZ5" i="78"/>
  <c r="BQ15" i="78"/>
  <c r="AR5" i="78" l="1"/>
  <c r="AI15" i="78"/>
  <c r="CA15" i="78"/>
  <c r="CJ5" i="78"/>
  <c r="CI5" i="78"/>
  <c r="BZ15" i="78"/>
  <c r="AR15" i="78" l="1"/>
  <c r="BA5" i="78"/>
  <c r="CR5" i="78"/>
  <c r="CI15" i="78"/>
  <c r="CJ15" i="78"/>
  <c r="CS5" i="78"/>
  <c r="BJ5" i="78" l="1"/>
  <c r="BA15" i="78"/>
  <c r="CS15" i="78"/>
  <c r="DB5" i="78"/>
  <c r="DB15" i="78" s="1"/>
  <c r="DA5" i="78"/>
  <c r="DA15" i="78" s="1"/>
  <c r="CR15" i="78"/>
  <c r="BJ15" i="78" l="1"/>
  <c r="BS5" i="78"/>
  <c r="CB5" i="78" l="1"/>
  <c r="BS15" i="78"/>
  <c r="CK5" i="78" l="1"/>
  <c r="CB15" i="78"/>
  <c r="CT5" i="78" l="1"/>
  <c r="CK15" i="78"/>
  <c r="DC5" i="78" l="1"/>
  <c r="DC15" i="78" s="1"/>
  <c r="CT15" i="78"/>
  <c r="AV33" i="41" l="1"/>
  <c r="AW29" i="41" s="1"/>
  <c r="AW25" i="41" l="1"/>
  <c r="AW27" i="41"/>
  <c r="AW33" i="41"/>
  <c r="AW28" i="41"/>
  <c r="AW31" i="41"/>
  <c r="AW32" i="41"/>
  <c r="AW26" i="41"/>
  <c r="AW30" i="41"/>
  <c r="CP24" i="78" l="1"/>
  <c r="CP168" i="78" s="1"/>
  <c r="AW24" i="78"/>
  <c r="AW192" i="78" s="1"/>
  <c r="BX24" i="78" l="1"/>
  <c r="BX168" i="78" s="1"/>
  <c r="CG24" i="78"/>
  <c r="CG168" i="78" s="1"/>
  <c r="AN24" i="78"/>
  <c r="AN168" i="78" s="1"/>
  <c r="M24" i="78"/>
  <c r="M168" i="78" s="1"/>
  <c r="AE24" i="78"/>
  <c r="AE168" i="78" s="1"/>
  <c r="CY24" i="78"/>
  <c r="CY168" i="78" s="1"/>
  <c r="D24" i="78"/>
  <c r="D168" i="78" s="1"/>
  <c r="Q9" i="53"/>
  <c r="BF24" i="78"/>
  <c r="BF180" i="78" s="1"/>
  <c r="BO24" i="78"/>
  <c r="BO168" i="78" s="1"/>
  <c r="V24" i="78"/>
  <c r="V168" i="78" s="1"/>
  <c r="D25" i="78" l="1"/>
  <c r="AW25" i="78"/>
  <c r="BO25" i="78"/>
  <c r="M25" i="78"/>
  <c r="BX25" i="78"/>
  <c r="CG25" i="78"/>
  <c r="CP25" i="78"/>
  <c r="CY25" i="78"/>
  <c r="BF25" i="78"/>
  <c r="V25" i="78"/>
  <c r="AE25" i="78"/>
  <c r="AN25" i="78"/>
  <c r="G8" i="76"/>
  <c r="R28" i="76"/>
  <c r="F31" i="80"/>
  <c r="H7" i="80"/>
  <c r="J24" i="76"/>
  <c r="U22" i="80"/>
  <c r="N59" i="80"/>
  <c r="W11" i="80"/>
  <c r="AG41" i="80"/>
  <c r="H28" i="80"/>
  <c r="Z11" i="80"/>
  <c r="AD15" i="80"/>
  <c r="G29" i="76"/>
  <c r="I29" i="76"/>
  <c r="O14" i="76"/>
  <c r="P51" i="80"/>
  <c r="X6" i="80"/>
  <c r="P11" i="80"/>
  <c r="AD63" i="80"/>
  <c r="AC66" i="80"/>
  <c r="M6" i="76"/>
  <c r="O26" i="80"/>
  <c r="AG50" i="80"/>
  <c r="AC50" i="80"/>
  <c r="L44" i="80"/>
  <c r="AA33" i="80"/>
  <c r="AF59" i="80"/>
  <c r="J62" i="80"/>
  <c r="AA24" i="80"/>
  <c r="L66" i="80"/>
  <c r="AG51" i="80"/>
  <c r="X27" i="80"/>
  <c r="L5" i="80"/>
  <c r="AB9" i="80"/>
  <c r="U6" i="80"/>
  <c r="R64" i="80"/>
  <c r="W31" i="80"/>
  <c r="L59" i="80"/>
  <c r="M24" i="76"/>
  <c r="K46" i="80"/>
  <c r="S25" i="76"/>
  <c r="M22" i="80"/>
  <c r="Z58" i="80"/>
  <c r="M28" i="76"/>
  <c r="X28" i="80"/>
  <c r="K25" i="76"/>
  <c r="AB46" i="80"/>
  <c r="I33" i="80"/>
  <c r="AE28" i="80"/>
  <c r="C26" i="76"/>
  <c r="AD25" i="80"/>
  <c r="P66" i="80"/>
  <c r="O10" i="80"/>
  <c r="T31" i="76"/>
  <c r="P46" i="80"/>
  <c r="Y43" i="80"/>
  <c r="X32" i="80"/>
  <c r="AE62" i="80"/>
  <c r="S11" i="76"/>
  <c r="V23" i="80"/>
  <c r="M7" i="80"/>
  <c r="AI63" i="80"/>
  <c r="T32" i="80"/>
  <c r="AF44" i="80"/>
  <c r="AF64" i="80"/>
  <c r="S32" i="80"/>
  <c r="P49" i="80"/>
  <c r="AE50" i="80"/>
  <c r="J9" i="76"/>
  <c r="AE16" i="80"/>
  <c r="Y30" i="80"/>
  <c r="C15" i="76"/>
  <c r="K42" i="80"/>
  <c r="Y29" i="80"/>
  <c r="Q13" i="80"/>
  <c r="H41" i="80"/>
  <c r="AB15" i="80"/>
  <c r="H51" i="80"/>
  <c r="Y12" i="80"/>
  <c r="X29" i="80"/>
  <c r="E13" i="76"/>
  <c r="U29" i="80"/>
  <c r="O25" i="76"/>
  <c r="T65" i="80"/>
  <c r="H30" i="80"/>
  <c r="AE26" i="80"/>
  <c r="V13" i="80"/>
  <c r="AD32" i="80"/>
  <c r="I66" i="80"/>
  <c r="AB22" i="80"/>
  <c r="AH47" i="80"/>
  <c r="AH31" i="80"/>
  <c r="N22" i="80"/>
  <c r="S69" i="80"/>
  <c r="J65" i="80"/>
  <c r="U33" i="80"/>
  <c r="U58" i="80"/>
  <c r="T5" i="80"/>
  <c r="X43" i="80"/>
  <c r="AD46" i="80"/>
  <c r="N6" i="80"/>
  <c r="J31" i="80"/>
  <c r="S5" i="80"/>
  <c r="AB65" i="80"/>
  <c r="H30" i="76"/>
  <c r="F62" i="80"/>
  <c r="AF32" i="80"/>
  <c r="Y8" i="80"/>
  <c r="Q11" i="80"/>
  <c r="O42" i="80"/>
  <c r="AB14" i="80"/>
  <c r="L7" i="76"/>
  <c r="Y42" i="80"/>
  <c r="AG40" i="80"/>
  <c r="U68" i="80"/>
  <c r="P5" i="80"/>
  <c r="AH23" i="80"/>
  <c r="S9" i="80"/>
  <c r="AH32" i="80"/>
  <c r="AE10" i="80"/>
  <c r="C10" i="76"/>
  <c r="R68" i="80"/>
  <c r="Q10" i="76"/>
  <c r="M30" i="80"/>
  <c r="O68" i="80"/>
  <c r="P29" i="76"/>
  <c r="AC24" i="80"/>
  <c r="G5" i="80"/>
  <c r="N15" i="76"/>
  <c r="AC32" i="80"/>
  <c r="K28" i="80"/>
  <c r="G28" i="80"/>
  <c r="R31" i="76"/>
  <c r="P30" i="80"/>
  <c r="AD24" i="80"/>
  <c r="R32" i="80"/>
  <c r="W15" i="80"/>
  <c r="J41" i="80"/>
  <c r="M5" i="80"/>
  <c r="P63" i="80"/>
  <c r="Q47" i="80"/>
  <c r="Q64" i="80"/>
  <c r="V28" i="80"/>
  <c r="Q27" i="80"/>
  <c r="AC22" i="80"/>
  <c r="AH69" i="80"/>
  <c r="T22" i="80"/>
  <c r="S47" i="80"/>
  <c r="M44" i="80"/>
  <c r="N44" i="80"/>
  <c r="E30" i="76"/>
  <c r="N27" i="76"/>
  <c r="D28" i="76"/>
  <c r="O23" i="76"/>
  <c r="H47" i="80"/>
  <c r="R29" i="76"/>
  <c r="K29" i="76"/>
  <c r="W14" i="80"/>
  <c r="Q6" i="76"/>
  <c r="AA14" i="80"/>
  <c r="AI29" i="80"/>
  <c r="Q42" i="80"/>
  <c r="Z61" i="80"/>
  <c r="Z16" i="80"/>
  <c r="Y22" i="80"/>
  <c r="S8" i="76"/>
  <c r="AD13" i="80"/>
  <c r="AF29" i="80"/>
  <c r="AA68" i="80"/>
  <c r="J8" i="80"/>
  <c r="AE12" i="80"/>
  <c r="E12" i="76"/>
  <c r="T45" i="80"/>
  <c r="J15" i="80"/>
  <c r="AG66" i="80"/>
  <c r="M25" i="80"/>
  <c r="L24" i="80"/>
  <c r="S63" i="80"/>
  <c r="AB64" i="80"/>
  <c r="N43" i="80"/>
  <c r="Q33" i="80"/>
  <c r="S7" i="80"/>
  <c r="W67" i="80"/>
  <c r="T23" i="76"/>
  <c r="AH58" i="80"/>
  <c r="V11" i="80"/>
  <c r="L29" i="80"/>
  <c r="E26" i="76"/>
  <c r="V24" i="80"/>
  <c r="V30" i="80"/>
  <c r="S28" i="80"/>
  <c r="AF9" i="80"/>
  <c r="Z41" i="80"/>
  <c r="AA25" i="80"/>
  <c r="M29" i="80"/>
  <c r="G65" i="80"/>
  <c r="X51" i="80"/>
  <c r="AD42" i="80"/>
  <c r="C14" i="76"/>
  <c r="AB31" i="80"/>
  <c r="AI8" i="80"/>
  <c r="J10" i="80"/>
  <c r="G7" i="80"/>
  <c r="AH68" i="80"/>
  <c r="F61" i="80"/>
  <c r="J11" i="76"/>
  <c r="AG45" i="80"/>
  <c r="G45" i="80"/>
  <c r="V62" i="80"/>
  <c r="J7" i="76"/>
  <c r="M12" i="76"/>
  <c r="AF5" i="80"/>
  <c r="G15" i="80"/>
  <c r="AB48" i="80"/>
  <c r="AB11" i="80"/>
  <c r="N62" i="80"/>
  <c r="M48" i="80"/>
  <c r="J68" i="80"/>
  <c r="X7" i="80"/>
  <c r="S43" i="80"/>
  <c r="C31" i="76"/>
  <c r="O15" i="76"/>
  <c r="L9" i="76"/>
  <c r="Z22" i="80"/>
  <c r="T29" i="80"/>
  <c r="S50" i="80"/>
  <c r="Y62" i="80"/>
  <c r="N24" i="76"/>
  <c r="W47" i="80"/>
  <c r="R16" i="80"/>
  <c r="AI6" i="80"/>
  <c r="AC43" i="80"/>
  <c r="AE68" i="80"/>
  <c r="U48" i="80"/>
  <c r="V14" i="80"/>
  <c r="J25" i="80"/>
  <c r="K22" i="80"/>
  <c r="W25" i="80"/>
  <c r="H13" i="76"/>
  <c r="C28" i="76"/>
  <c r="N8" i="76"/>
  <c r="N33" i="80"/>
  <c r="AC28" i="80"/>
  <c r="O32" i="76"/>
  <c r="U9" i="80"/>
  <c r="P27" i="80"/>
  <c r="AF24" i="80"/>
  <c r="AD66" i="80"/>
  <c r="AF13" i="80"/>
  <c r="G25" i="80"/>
  <c r="Y10" i="80"/>
  <c r="F43" i="80"/>
  <c r="R5" i="80"/>
  <c r="U47" i="80"/>
  <c r="M46" i="80"/>
  <c r="S9" i="76"/>
  <c r="G7" i="76"/>
  <c r="AG15" i="80"/>
  <c r="R23" i="80"/>
  <c r="M60" i="80"/>
  <c r="AB67" i="80"/>
  <c r="F65" i="80"/>
  <c r="AF42" i="80"/>
  <c r="I8" i="80"/>
  <c r="V43" i="80"/>
  <c r="R7" i="76"/>
  <c r="AI12" i="80"/>
  <c r="S28" i="76"/>
  <c r="AE51" i="80"/>
  <c r="Z9" i="80"/>
  <c r="AD69" i="80"/>
  <c r="E27" i="76"/>
  <c r="L13" i="76"/>
  <c r="S67" i="80"/>
  <c r="G68" i="80"/>
  <c r="R26" i="80"/>
  <c r="F29" i="76"/>
  <c r="F6" i="76"/>
  <c r="AB5" i="80"/>
  <c r="W26" i="80"/>
  <c r="E32" i="76"/>
  <c r="J50" i="80"/>
  <c r="X66" i="80"/>
  <c r="K15" i="76"/>
  <c r="AA46" i="80"/>
  <c r="K11" i="76"/>
  <c r="Y67" i="80"/>
  <c r="H11" i="80"/>
  <c r="U61" i="80"/>
  <c r="Y7" i="80"/>
  <c r="W58" i="80"/>
  <c r="Z31" i="80"/>
  <c r="Z49" i="80"/>
  <c r="AF62" i="80"/>
  <c r="S31" i="80"/>
  <c r="F58" i="80"/>
  <c r="G32" i="80"/>
  <c r="AF51" i="80"/>
  <c r="Q43" i="80"/>
  <c r="L11" i="76"/>
  <c r="L32" i="80"/>
  <c r="AI27" i="80"/>
  <c r="I25" i="80"/>
  <c r="Q7" i="80"/>
  <c r="H60" i="80"/>
  <c r="F31" i="76"/>
  <c r="T6" i="80"/>
  <c r="AA51" i="80"/>
  <c r="H26" i="76"/>
  <c r="AD50" i="80"/>
  <c r="AH26" i="80"/>
  <c r="AH51" i="80"/>
  <c r="AF26" i="80"/>
  <c r="F24" i="80"/>
  <c r="O66" i="80"/>
  <c r="AH45" i="80"/>
  <c r="V29" i="80"/>
  <c r="M43" i="80"/>
  <c r="Q67" i="80"/>
  <c r="N65" i="80"/>
  <c r="P25" i="76"/>
  <c r="H27" i="76"/>
  <c r="Z64" i="80"/>
  <c r="P9" i="76"/>
  <c r="S14" i="76"/>
  <c r="E9" i="76"/>
  <c r="I27" i="76"/>
  <c r="AC67" i="80"/>
  <c r="I6" i="80"/>
  <c r="O13" i="80"/>
  <c r="T11" i="80"/>
  <c r="AC14" i="80"/>
  <c r="X42" i="80"/>
  <c r="Q69" i="80"/>
  <c r="N42" i="80"/>
  <c r="K33" i="80"/>
  <c r="U11" i="80"/>
  <c r="Q8" i="80"/>
  <c r="G16" i="80"/>
  <c r="V33" i="80"/>
  <c r="Z10" i="80"/>
  <c r="AD49" i="80"/>
  <c r="I24" i="76"/>
  <c r="L49" i="80"/>
  <c r="G43" i="80"/>
  <c r="I14" i="76"/>
  <c r="M30" i="76"/>
  <c r="AD67" i="80"/>
  <c r="R59" i="80"/>
  <c r="Q44" i="80"/>
  <c r="J46" i="80"/>
  <c r="H69" i="80"/>
  <c r="L50" i="80"/>
  <c r="Q25" i="76"/>
  <c r="I7" i="80"/>
  <c r="I26" i="80"/>
  <c r="V5" i="80"/>
  <c r="P47" i="80"/>
  <c r="U51" i="80"/>
  <c r="P61" i="80"/>
  <c r="L51" i="80"/>
  <c r="E31" i="76"/>
  <c r="M15" i="80"/>
  <c r="I44" i="80"/>
  <c r="Q32" i="80"/>
  <c r="AC44" i="80"/>
  <c r="J28" i="76"/>
  <c r="N32" i="80"/>
  <c r="U25" i="80"/>
  <c r="J26" i="76"/>
  <c r="P48" i="80"/>
  <c r="Q23" i="80"/>
  <c r="I32" i="80"/>
  <c r="M65" i="80"/>
  <c r="O14" i="80"/>
  <c r="U63" i="80"/>
  <c r="N30" i="76"/>
  <c r="Z43" i="80"/>
  <c r="Q61" i="80"/>
  <c r="AE42" i="80"/>
  <c r="T8" i="80"/>
  <c r="AD45" i="80"/>
  <c r="N8" i="80"/>
  <c r="C27" i="76"/>
  <c r="Q26" i="76"/>
  <c r="J14" i="80"/>
  <c r="S26" i="80"/>
  <c r="AC63" i="80"/>
  <c r="Z69" i="80"/>
  <c r="Q11" i="76"/>
  <c r="V41" i="80"/>
  <c r="V66" i="80"/>
  <c r="V58" i="80"/>
  <c r="G26" i="76"/>
  <c r="Y9" i="80"/>
  <c r="S33" i="80"/>
  <c r="T44" i="80"/>
  <c r="L14" i="76"/>
  <c r="Q31" i="76"/>
  <c r="M40" i="80"/>
  <c r="O65" i="80"/>
  <c r="AG67" i="80"/>
  <c r="F7" i="80"/>
  <c r="I41" i="80"/>
  <c r="I51" i="80"/>
  <c r="AB69" i="80"/>
  <c r="T41" i="80"/>
  <c r="T8" i="76"/>
  <c r="P27" i="76"/>
  <c r="AI28" i="80"/>
  <c r="N46" i="80"/>
  <c r="O12" i="80"/>
  <c r="X9" i="80"/>
  <c r="F14" i="80"/>
  <c r="M42" i="80"/>
  <c r="I8" i="76"/>
  <c r="L60" i="80"/>
  <c r="AI44" i="80"/>
  <c r="Z63" i="80"/>
  <c r="P40" i="80"/>
  <c r="H50" i="80"/>
  <c r="P14" i="80"/>
  <c r="AC45" i="80"/>
  <c r="AG61" i="80"/>
  <c r="N26" i="80"/>
  <c r="K59" i="80"/>
  <c r="H66" i="80"/>
  <c r="P16" i="80"/>
  <c r="AH22" i="80"/>
  <c r="G10" i="80"/>
  <c r="Q10" i="80"/>
  <c r="O10" i="76"/>
  <c r="O30" i="80"/>
  <c r="D9" i="76"/>
  <c r="AD26" i="80"/>
  <c r="AE23" i="80"/>
  <c r="T58" i="80"/>
  <c r="O11" i="80"/>
  <c r="Q15" i="80"/>
  <c r="Q49" i="80"/>
  <c r="F22" i="80"/>
  <c r="C29" i="76"/>
  <c r="P6" i="76"/>
  <c r="G22" i="80"/>
  <c r="F11" i="76"/>
  <c r="F41" i="80"/>
  <c r="T69" i="80"/>
  <c r="G60" i="80"/>
  <c r="I45" i="80"/>
  <c r="Q14" i="80"/>
  <c r="AA7" i="80"/>
  <c r="W29" i="80"/>
  <c r="AF14" i="80"/>
  <c r="Z32" i="80"/>
  <c r="Y51" i="80"/>
  <c r="L23" i="76"/>
  <c r="L9" i="80"/>
  <c r="AE69" i="80"/>
  <c r="R48" i="80"/>
  <c r="I16" i="80"/>
  <c r="Q51" i="80"/>
  <c r="M26" i="76"/>
  <c r="O6" i="76"/>
  <c r="Q15" i="76"/>
  <c r="O15" i="80"/>
  <c r="U30" i="80"/>
  <c r="P69" i="80"/>
  <c r="K28" i="76"/>
  <c r="M8" i="80"/>
  <c r="M10" i="76"/>
  <c r="AD11" i="80"/>
  <c r="J30" i="76"/>
  <c r="J29" i="76"/>
  <c r="O25" i="80"/>
  <c r="J69" i="80"/>
  <c r="AB16" i="80"/>
  <c r="AH46" i="80"/>
  <c r="K10" i="80"/>
  <c r="Z25" i="80"/>
  <c r="U66" i="80"/>
  <c r="AG22" i="80"/>
  <c r="G64" i="80"/>
  <c r="G40" i="80"/>
  <c r="E29" i="76"/>
  <c r="R10" i="76"/>
  <c r="AF40" i="80"/>
  <c r="R14" i="76"/>
  <c r="AE15" i="80"/>
  <c r="K32" i="80"/>
  <c r="H46" i="80"/>
  <c r="K30" i="76"/>
  <c r="Y49" i="80"/>
  <c r="AC31" i="80"/>
  <c r="H8" i="76"/>
  <c r="X47" i="80"/>
  <c r="M33" i="80"/>
  <c r="I5" i="80"/>
  <c r="Y33" i="80"/>
  <c r="P65" i="80"/>
  <c r="AH11" i="80"/>
  <c r="R13" i="76"/>
  <c r="S12" i="76"/>
  <c r="X13" i="80"/>
  <c r="K27" i="76"/>
  <c r="AG68" i="80"/>
  <c r="L47" i="80"/>
  <c r="V15" i="80"/>
  <c r="E6" i="76"/>
  <c r="AB10" i="80"/>
  <c r="AG32" i="80"/>
  <c r="AF30" i="80"/>
  <c r="AF33" i="80"/>
  <c r="D25" i="76"/>
  <c r="AC60" i="80"/>
  <c r="U7" i="80"/>
  <c r="V49" i="80"/>
  <c r="H62" i="80"/>
  <c r="G61" i="80"/>
  <c r="R10" i="80"/>
  <c r="Z12" i="80"/>
  <c r="C30" i="76"/>
  <c r="AA30" i="80"/>
  <c r="H15" i="76"/>
  <c r="O51" i="80"/>
  <c r="P6" i="80"/>
  <c r="D8" i="76"/>
  <c r="AF61" i="80"/>
  <c r="Q31" i="80"/>
  <c r="F33" i="80"/>
  <c r="J5" i="80"/>
  <c r="R45" i="80"/>
  <c r="I12" i="80"/>
  <c r="K9" i="76"/>
  <c r="AA6" i="80"/>
  <c r="Z42" i="80"/>
  <c r="U32" i="80"/>
  <c r="T23" i="80"/>
  <c r="T30" i="80"/>
  <c r="F14" i="76"/>
  <c r="AA15" i="80"/>
  <c r="AC62" i="80"/>
  <c r="P23" i="76"/>
  <c r="AG44" i="80"/>
  <c r="N28" i="76"/>
  <c r="Y45" i="80"/>
  <c r="N12" i="76"/>
  <c r="AE13" i="80"/>
  <c r="I61" i="80"/>
  <c r="I62" i="80"/>
  <c r="AI13" i="80"/>
  <c r="AB62" i="80"/>
  <c r="S68" i="80"/>
  <c r="I9" i="76"/>
  <c r="Y58" i="80"/>
  <c r="I68" i="80"/>
  <c r="T16" i="80"/>
  <c r="D13" i="76"/>
  <c r="Z65" i="80"/>
  <c r="T15" i="76"/>
  <c r="K6" i="76"/>
  <c r="N31" i="80"/>
  <c r="AG27" i="80"/>
  <c r="I30" i="76"/>
  <c r="I12" i="76"/>
  <c r="X68" i="80"/>
  <c r="V32" i="80"/>
  <c r="T48" i="80"/>
  <c r="I14" i="80"/>
  <c r="M41" i="80"/>
  <c r="T14" i="80"/>
  <c r="V12" i="80"/>
  <c r="K23" i="76"/>
  <c r="AH13" i="80"/>
  <c r="V22" i="80"/>
  <c r="X30" i="80"/>
  <c r="L42" i="80"/>
  <c r="AG65" i="80"/>
  <c r="Q29" i="76"/>
  <c r="W66" i="80"/>
  <c r="AF65" i="80"/>
  <c r="S24" i="76"/>
  <c r="F40" i="80"/>
  <c r="Q30" i="80"/>
  <c r="Y68" i="80"/>
  <c r="S29" i="80"/>
  <c r="P15" i="76"/>
  <c r="D15" i="76"/>
  <c r="L10" i="80"/>
  <c r="V42" i="80"/>
  <c r="AF63" i="80"/>
  <c r="M68" i="80"/>
  <c r="T10" i="80"/>
  <c r="AE47" i="80"/>
  <c r="G59" i="80"/>
  <c r="O49" i="80"/>
  <c r="O28" i="80"/>
  <c r="P23" i="80"/>
  <c r="K63" i="80"/>
  <c r="AD47" i="80"/>
  <c r="T15" i="80"/>
  <c r="S61" i="80"/>
  <c r="U43" i="80"/>
  <c r="AH6" i="80"/>
  <c r="O33" i="80"/>
  <c r="AA13" i="80"/>
  <c r="AG49" i="80"/>
  <c r="N60" i="80"/>
  <c r="AG64" i="80"/>
  <c r="AF46" i="80"/>
  <c r="P64" i="80"/>
  <c r="Z68" i="80"/>
  <c r="R14" i="80"/>
  <c r="I10" i="76"/>
  <c r="AF15" i="80"/>
  <c r="Z46" i="80"/>
  <c r="T33" i="80"/>
  <c r="P15" i="80"/>
  <c r="AH66" i="80"/>
  <c r="Y25" i="80"/>
  <c r="R47" i="80"/>
  <c r="Q62" i="80"/>
  <c r="AB44" i="80"/>
  <c r="L58" i="80"/>
  <c r="F28" i="80"/>
  <c r="AH15" i="80"/>
  <c r="W46" i="80"/>
  <c r="AC48" i="80"/>
  <c r="K16" i="80"/>
  <c r="X61" i="80"/>
  <c r="M47" i="80"/>
  <c r="R13" i="80"/>
  <c r="AI31" i="80"/>
  <c r="AF69" i="80"/>
  <c r="Y5" i="80"/>
  <c r="M58" i="80"/>
  <c r="AF68" i="80"/>
  <c r="Y64" i="80"/>
  <c r="L67" i="80"/>
  <c r="O40" i="80"/>
  <c r="AI43" i="80"/>
  <c r="U14" i="80"/>
  <c r="D7" i="76"/>
  <c r="AE33" i="80"/>
  <c r="AG47" i="80"/>
  <c r="Z28" i="80"/>
  <c r="AC26" i="80"/>
  <c r="G26" i="80"/>
  <c r="V7" i="80"/>
  <c r="G14" i="80"/>
  <c r="H68" i="80"/>
  <c r="U31" i="80"/>
  <c r="W43" i="80"/>
  <c r="Y15" i="80"/>
  <c r="AD61" i="80"/>
  <c r="D11" i="76"/>
  <c r="AH59" i="80"/>
  <c r="T26" i="76"/>
  <c r="S15" i="80"/>
  <c r="V68" i="80"/>
  <c r="AC6" i="80"/>
  <c r="AF25" i="80"/>
  <c r="R31" i="80"/>
  <c r="R24" i="80"/>
  <c r="O50" i="80"/>
  <c r="AB47" i="80"/>
  <c r="R49" i="80"/>
  <c r="AE24" i="80"/>
  <c r="AF47" i="80"/>
  <c r="S44" i="80"/>
  <c r="O13" i="76"/>
  <c r="Z60" i="80"/>
  <c r="C7" i="76"/>
  <c r="H27" i="80"/>
  <c r="M13" i="80"/>
  <c r="M15" i="76"/>
  <c r="K6" i="80"/>
  <c r="K11" i="80"/>
  <c r="AD7" i="80"/>
  <c r="AI32" i="80"/>
  <c r="G49" i="80"/>
  <c r="J43" i="80"/>
  <c r="H25" i="80"/>
  <c r="T40" i="80"/>
  <c r="S27" i="76"/>
  <c r="AH28" i="80"/>
  <c r="AD68" i="80"/>
  <c r="W51" i="80"/>
  <c r="AA10" i="80"/>
  <c r="M62" i="80"/>
  <c r="AB12" i="80"/>
  <c r="X58" i="80"/>
  <c r="AI30" i="80"/>
  <c r="F29" i="80"/>
  <c r="P22" i="80"/>
  <c r="W16" i="80"/>
  <c r="L30" i="76"/>
  <c r="X59" i="80"/>
  <c r="L62" i="80"/>
  <c r="W9" i="80"/>
  <c r="R33" i="80"/>
  <c r="U16" i="80"/>
  <c r="L12" i="76"/>
  <c r="E23" i="76"/>
  <c r="O31" i="80"/>
  <c r="Y69" i="80"/>
  <c r="P45" i="80"/>
  <c r="W49" i="80"/>
  <c r="K7" i="80"/>
  <c r="W68" i="80"/>
  <c r="T28" i="80"/>
  <c r="AD65" i="80"/>
  <c r="K23" i="80"/>
  <c r="G11" i="76"/>
  <c r="T14" i="76"/>
  <c r="K32" i="76"/>
  <c r="M9" i="76"/>
  <c r="M14" i="80"/>
  <c r="S29" i="76"/>
  <c r="F25" i="76"/>
  <c r="H58" i="80"/>
  <c r="X40" i="80"/>
  <c r="Q28" i="76"/>
  <c r="P31" i="80"/>
  <c r="AI47" i="80"/>
  <c r="O24" i="76"/>
  <c r="O16" i="80"/>
  <c r="J23" i="76"/>
  <c r="L27" i="80"/>
  <c r="X16" i="80"/>
  <c r="I64" i="80"/>
  <c r="U69" i="80"/>
  <c r="X12" i="80"/>
  <c r="G63" i="80"/>
  <c r="L45" i="80"/>
  <c r="Y66" i="80"/>
  <c r="L25" i="80"/>
  <c r="K58" i="80"/>
  <c r="AB30" i="80"/>
  <c r="S59" i="80"/>
  <c r="H9" i="76"/>
  <c r="G24" i="76"/>
  <c r="Q29" i="80"/>
  <c r="AB26" i="80"/>
  <c r="Q16" i="80"/>
  <c r="E14" i="76"/>
  <c r="R58" i="80"/>
  <c r="AA32" i="80"/>
  <c r="T30" i="76"/>
  <c r="AE40" i="80"/>
  <c r="X41" i="80"/>
  <c r="L48" i="80"/>
  <c r="AC40" i="80"/>
  <c r="AC11" i="80"/>
  <c r="S8" i="80"/>
  <c r="AH29" i="80"/>
  <c r="F49" i="80"/>
  <c r="AI41" i="80"/>
  <c r="T42" i="80"/>
  <c r="M27" i="76"/>
  <c r="AE44" i="80"/>
  <c r="R25" i="80"/>
  <c r="AH67" i="80"/>
  <c r="S23" i="80"/>
  <c r="AC12" i="80"/>
  <c r="AI14" i="80"/>
  <c r="F27" i="76"/>
  <c r="AI62" i="80"/>
  <c r="G30" i="80"/>
  <c r="AG29" i="80"/>
  <c r="T51" i="80"/>
  <c r="U27" i="80"/>
  <c r="AC5" i="80"/>
  <c r="L33" i="80"/>
  <c r="AH42" i="80"/>
  <c r="K15" i="80"/>
  <c r="F42" i="80"/>
  <c r="J47" i="80"/>
  <c r="F15" i="76"/>
  <c r="AB58" i="80"/>
  <c r="K62" i="80"/>
  <c r="P43" i="80"/>
  <c r="AI11" i="80"/>
  <c r="S45" i="80"/>
  <c r="N5" i="80"/>
  <c r="G6" i="76"/>
  <c r="Z59" i="80"/>
  <c r="AA26" i="80"/>
  <c r="U50" i="80"/>
  <c r="AE45" i="80"/>
  <c r="T67" i="80"/>
  <c r="AG6" i="80"/>
  <c r="N69" i="80"/>
  <c r="W27" i="80"/>
  <c r="Z48" i="80"/>
  <c r="E8" i="76"/>
  <c r="AB61" i="80"/>
  <c r="AC68" i="80"/>
  <c r="AC69" i="80"/>
  <c r="AA58" i="80"/>
  <c r="N66" i="80"/>
  <c r="Z40" i="80"/>
  <c r="R43" i="80"/>
  <c r="U67" i="80"/>
  <c r="H16" i="80"/>
  <c r="K26" i="76"/>
  <c r="O61" i="80"/>
  <c r="K26" i="80"/>
  <c r="R44" i="80"/>
  <c r="R7" i="80"/>
  <c r="W13" i="80"/>
  <c r="F26" i="76"/>
  <c r="U60" i="80"/>
  <c r="Z66" i="80"/>
  <c r="Y61" i="80"/>
  <c r="Q60" i="80"/>
  <c r="AB13" i="80"/>
  <c r="F28" i="76"/>
  <c r="L11" i="80"/>
  <c r="P8" i="80"/>
  <c r="J61" i="80"/>
  <c r="AE63" i="80"/>
  <c r="AC9" i="80"/>
  <c r="C11" i="76"/>
  <c r="R30" i="76"/>
  <c r="Y40" i="80"/>
  <c r="G27" i="80"/>
  <c r="Z5" i="80"/>
  <c r="AE67" i="80"/>
  <c r="X65" i="80"/>
  <c r="O12" i="76"/>
  <c r="I63" i="80"/>
  <c r="AD62" i="80"/>
  <c r="L6" i="76"/>
  <c r="AC58" i="80"/>
  <c r="AC51" i="80"/>
  <c r="M63" i="80"/>
  <c r="M6" i="80"/>
  <c r="G69" i="80"/>
  <c r="M23" i="76"/>
  <c r="P26" i="76"/>
  <c r="AC64" i="80"/>
  <c r="AI45" i="80"/>
  <c r="S23" i="76"/>
  <c r="F44" i="80"/>
  <c r="D31" i="76"/>
  <c r="J12" i="80"/>
  <c r="P33" i="80"/>
  <c r="N7" i="76"/>
  <c r="H13" i="80"/>
  <c r="U59" i="80"/>
  <c r="AF41" i="80"/>
  <c r="T9" i="80"/>
  <c r="R25" i="76"/>
  <c r="AI33" i="80"/>
  <c r="Z6" i="80"/>
  <c r="Y13" i="80"/>
  <c r="K9" i="80"/>
  <c r="Z24" i="80"/>
  <c r="I49" i="80"/>
  <c r="Q7" i="76"/>
  <c r="D32" i="76"/>
  <c r="N16" i="80"/>
  <c r="V63" i="80"/>
  <c r="J45" i="80"/>
  <c r="J59" i="80"/>
  <c r="U26" i="80"/>
  <c r="Y27" i="80"/>
  <c r="AB42" i="80"/>
  <c r="J26" i="80"/>
  <c r="AH33" i="80"/>
  <c r="V25" i="80"/>
  <c r="AH60" i="80"/>
  <c r="Q6" i="80"/>
  <c r="U44" i="80"/>
  <c r="U10" i="80"/>
  <c r="J12" i="76"/>
  <c r="I27" i="80"/>
  <c r="X24" i="80"/>
  <c r="J15" i="76"/>
  <c r="X45" i="80"/>
  <c r="S42" i="80"/>
  <c r="O67" i="80"/>
  <c r="AE64" i="80"/>
  <c r="Q63" i="80"/>
  <c r="F12" i="80"/>
  <c r="N13" i="76"/>
  <c r="Z44" i="80"/>
  <c r="AA50" i="80"/>
  <c r="T64" i="80"/>
  <c r="S30" i="76"/>
  <c r="L15" i="80"/>
  <c r="H6" i="80"/>
  <c r="R67" i="80"/>
  <c r="W42" i="80"/>
  <c r="I25" i="76"/>
  <c r="AE65" i="80"/>
  <c r="AH50" i="80"/>
  <c r="AI58" i="80"/>
  <c r="F32" i="76"/>
  <c r="AC10" i="80"/>
  <c r="AA64" i="80"/>
  <c r="P7" i="76"/>
  <c r="AF49" i="80"/>
  <c r="R41" i="80"/>
  <c r="AB29" i="80"/>
  <c r="AD58" i="80"/>
  <c r="M24" i="80"/>
  <c r="AI22" i="80"/>
  <c r="L43" i="80"/>
  <c r="O45" i="80"/>
  <c r="AC7" i="80"/>
  <c r="D26" i="76"/>
  <c r="AA49" i="80"/>
  <c r="AE27" i="80"/>
  <c r="P67" i="80"/>
  <c r="V27" i="80"/>
  <c r="J31" i="76"/>
  <c r="R62" i="80"/>
  <c r="I15" i="76"/>
  <c r="N23" i="80"/>
  <c r="S48" i="80"/>
  <c r="N30" i="80"/>
  <c r="O8" i="80"/>
  <c r="H42" i="80"/>
  <c r="N28" i="80"/>
  <c r="S24" i="80"/>
  <c r="AH63" i="80"/>
  <c r="M12" i="80"/>
  <c r="V46" i="80"/>
  <c r="G13" i="76"/>
  <c r="X60" i="80"/>
  <c r="H25" i="76"/>
  <c r="AF60" i="80"/>
  <c r="AG42" i="80"/>
  <c r="AH10" i="80"/>
  <c r="Y11" i="80"/>
  <c r="G23" i="76"/>
  <c r="T13" i="80"/>
  <c r="P13" i="80"/>
  <c r="G51" i="80"/>
  <c r="S11" i="80"/>
  <c r="J10" i="76"/>
  <c r="S12" i="80"/>
  <c r="R32" i="76"/>
  <c r="G24" i="80"/>
  <c r="AC42" i="80"/>
  <c r="R15" i="76"/>
  <c r="X67" i="80"/>
  <c r="C8" i="76"/>
  <c r="M27" i="80"/>
  <c r="G6" i="80"/>
  <c r="T7" i="76"/>
  <c r="L27" i="76"/>
  <c r="K12" i="76"/>
  <c r="L68" i="80"/>
  <c r="H32" i="80"/>
  <c r="F30" i="80"/>
  <c r="K8" i="76"/>
  <c r="K64" i="80"/>
  <c r="F63" i="80"/>
  <c r="G66" i="80"/>
  <c r="G15" i="76"/>
  <c r="V69" i="80"/>
  <c r="T25" i="80"/>
  <c r="O30" i="76"/>
  <c r="S6" i="76"/>
  <c r="X46" i="80"/>
  <c r="W24" i="80"/>
  <c r="J16" i="80"/>
  <c r="T68" i="80"/>
  <c r="H8" i="80"/>
  <c r="W63" i="80"/>
  <c r="AF11" i="80"/>
  <c r="T28" i="76"/>
  <c r="R23" i="76"/>
  <c r="AA9" i="80"/>
  <c r="G25" i="76"/>
  <c r="AA28" i="80"/>
  <c r="U65" i="80"/>
  <c r="T46" i="80"/>
  <c r="X23" i="80"/>
  <c r="U5" i="80"/>
  <c r="Y63" i="80"/>
  <c r="M66" i="80"/>
  <c r="W6" i="80"/>
  <c r="AB60" i="80"/>
  <c r="N13" i="80"/>
  <c r="D10" i="76"/>
  <c r="K25" i="80"/>
  <c r="K61" i="80"/>
  <c r="Y23" i="80"/>
  <c r="T27" i="80"/>
  <c r="AG63" i="80"/>
  <c r="L65" i="80"/>
  <c r="O9" i="76"/>
  <c r="R24" i="76"/>
  <c r="C6" i="76"/>
  <c r="C12" i="76"/>
  <c r="P28" i="76"/>
  <c r="F6" i="80"/>
  <c r="R61" i="80"/>
  <c r="AG48" i="80"/>
  <c r="P50" i="80"/>
  <c r="U13" i="80"/>
  <c r="W64" i="80"/>
  <c r="AA29" i="80"/>
  <c r="G9" i="76"/>
  <c r="AE66" i="80"/>
  <c r="N9" i="76"/>
  <c r="V26" i="80"/>
  <c r="AG28" i="80"/>
  <c r="S22" i="80"/>
  <c r="S10" i="76"/>
  <c r="K67" i="80"/>
  <c r="AI23" i="80"/>
  <c r="I9" i="80"/>
  <c r="N58" i="80"/>
  <c r="W10" i="80"/>
  <c r="M14" i="76"/>
  <c r="P9" i="80"/>
  <c r="AI40" i="80"/>
  <c r="I58" i="80"/>
  <c r="T29" i="76"/>
  <c r="H63" i="80"/>
  <c r="N7" i="80"/>
  <c r="AA47" i="80"/>
  <c r="N25" i="76"/>
  <c r="I30" i="80"/>
  <c r="J30" i="80"/>
  <c r="I7" i="76"/>
  <c r="I67" i="80"/>
  <c r="AC23" i="80"/>
  <c r="AG24" i="80"/>
  <c r="Q22" i="80"/>
  <c r="Y32" i="80"/>
  <c r="V65" i="80"/>
  <c r="AF6" i="80"/>
  <c r="J67" i="80"/>
  <c r="AE49" i="80"/>
  <c r="H24" i="80"/>
  <c r="K69" i="80"/>
  <c r="AD5" i="80"/>
  <c r="R22" i="80"/>
  <c r="L30" i="80"/>
  <c r="AE29" i="80"/>
  <c r="F45" i="80"/>
  <c r="C25" i="76"/>
  <c r="AG33" i="80"/>
  <c r="Q8" i="76"/>
  <c r="R26" i="76"/>
  <c r="V45" i="80"/>
  <c r="T47" i="80"/>
  <c r="H12" i="80"/>
  <c r="F67" i="80"/>
  <c r="Y41" i="80"/>
  <c r="H33" i="80"/>
  <c r="AD28" i="80"/>
  <c r="AD31" i="80"/>
  <c r="S31" i="76"/>
  <c r="I22" i="80"/>
  <c r="O9" i="80"/>
  <c r="G31" i="80"/>
  <c r="S14" i="80"/>
  <c r="Q25" i="80"/>
  <c r="K8" i="80"/>
  <c r="Z7" i="80"/>
  <c r="X10" i="80"/>
  <c r="Z15" i="80"/>
  <c r="K29" i="80"/>
  <c r="T31" i="80"/>
  <c r="N10" i="76"/>
  <c r="I43" i="80"/>
  <c r="J24" i="80"/>
  <c r="F64" i="80"/>
  <c r="I24" i="80"/>
  <c r="U40" i="80"/>
  <c r="F11" i="80"/>
  <c r="AC8" i="80"/>
  <c r="Y28" i="80"/>
  <c r="T10" i="76"/>
  <c r="X11" i="80"/>
  <c r="K66" i="80"/>
  <c r="X50" i="80"/>
  <c r="P32" i="76"/>
  <c r="P10" i="76"/>
  <c r="F47" i="80"/>
  <c r="L69" i="80"/>
  <c r="S65" i="80"/>
  <c r="L64" i="80"/>
  <c r="AI7" i="80"/>
  <c r="I29" i="80"/>
  <c r="T43" i="80"/>
  <c r="V6" i="80"/>
  <c r="H5" i="80"/>
  <c r="V44" i="80"/>
  <c r="G62" i="80"/>
  <c r="AA69" i="80"/>
  <c r="AC59" i="80"/>
  <c r="AI69" i="80"/>
  <c r="G46" i="80"/>
  <c r="M59" i="80"/>
  <c r="F23" i="80"/>
  <c r="Z33" i="80"/>
  <c r="N11" i="76"/>
  <c r="AG5" i="80"/>
  <c r="T26" i="80"/>
  <c r="N14" i="80"/>
  <c r="AA42" i="80"/>
  <c r="I32" i="76"/>
  <c r="M23" i="80"/>
  <c r="AI24" i="80"/>
  <c r="Q48" i="80"/>
  <c r="AD9" i="80"/>
  <c r="N40" i="80"/>
  <c r="AE58" i="80"/>
  <c r="F51" i="80"/>
  <c r="O69" i="80"/>
  <c r="AB45" i="80"/>
  <c r="Z30" i="80"/>
  <c r="F10" i="76"/>
  <c r="K68" i="80"/>
  <c r="E7" i="76"/>
  <c r="Y44" i="80"/>
  <c r="AI60" i="80"/>
  <c r="G47" i="80"/>
  <c r="X31" i="80"/>
  <c r="G14" i="76"/>
  <c r="T9" i="76"/>
  <c r="F16" i="80"/>
  <c r="W62" i="80"/>
  <c r="W8" i="80"/>
  <c r="M10" i="80"/>
  <c r="X22" i="80"/>
  <c r="AA31" i="80"/>
  <c r="AG30" i="80"/>
  <c r="AG16" i="80"/>
  <c r="AF27" i="80"/>
  <c r="H6" i="76"/>
  <c r="AE61" i="80"/>
  <c r="P25" i="80"/>
  <c r="V61" i="80"/>
  <c r="AI68" i="80"/>
  <c r="AD16" i="80"/>
  <c r="Q59" i="80"/>
  <c r="O26" i="76"/>
  <c r="T60" i="80"/>
  <c r="L28" i="76"/>
  <c r="P24" i="80"/>
  <c r="AC15" i="80"/>
  <c r="Z45" i="80"/>
  <c r="AF31" i="80"/>
  <c r="AF8" i="80"/>
  <c r="R29" i="80"/>
  <c r="M28" i="80"/>
  <c r="AF28" i="80"/>
  <c r="D6" i="76"/>
  <c r="K49" i="80"/>
  <c r="I47" i="80"/>
  <c r="O43" i="80"/>
  <c r="M16" i="80"/>
  <c r="AA27" i="80"/>
  <c r="H26" i="80"/>
  <c r="J44" i="80"/>
  <c r="AA5" i="80"/>
  <c r="Z47" i="80"/>
  <c r="M31" i="76"/>
  <c r="W69" i="80"/>
  <c r="P42" i="80"/>
  <c r="AG7" i="80"/>
  <c r="O47" i="80"/>
  <c r="Y24" i="80"/>
  <c r="AH27" i="80"/>
  <c r="AD12" i="80"/>
  <c r="W65" i="80"/>
  <c r="L26" i="80"/>
  <c r="C24" i="76"/>
  <c r="AA66" i="80"/>
  <c r="U64" i="80"/>
  <c r="F48" i="80"/>
  <c r="AH40" i="80"/>
  <c r="AG10" i="80"/>
  <c r="J6" i="76"/>
  <c r="AH16" i="80"/>
  <c r="J32" i="76"/>
  <c r="W59" i="80"/>
  <c r="AA44" i="80"/>
  <c r="Q24" i="76"/>
  <c r="W30" i="80"/>
  <c r="AC41" i="80"/>
  <c r="J40" i="80"/>
  <c r="V8" i="80"/>
  <c r="AF58" i="80"/>
  <c r="O63" i="80"/>
  <c r="M69" i="80"/>
  <c r="M8" i="76"/>
  <c r="R8" i="76"/>
  <c r="V50" i="80"/>
  <c r="X5" i="80"/>
  <c r="K48" i="80"/>
  <c r="M26" i="80"/>
  <c r="AI61" i="80"/>
  <c r="H48" i="80"/>
  <c r="AG8" i="80"/>
  <c r="R12" i="80"/>
  <c r="F26" i="80"/>
  <c r="I40" i="80"/>
  <c r="P28" i="80"/>
  <c r="F15" i="80"/>
  <c r="L23" i="80"/>
  <c r="J51" i="80"/>
  <c r="R69" i="80"/>
  <c r="N45" i="80"/>
  <c r="H61" i="80"/>
  <c r="F25" i="80"/>
  <c r="K31" i="80"/>
  <c r="F8" i="80"/>
  <c r="P30" i="76"/>
  <c r="W7" i="80"/>
  <c r="AD14" i="80"/>
  <c r="AG31" i="80"/>
  <c r="R60" i="80"/>
  <c r="J13" i="76"/>
  <c r="S40" i="80"/>
  <c r="T24" i="76"/>
  <c r="AD23" i="80"/>
  <c r="N48" i="80"/>
  <c r="AI49" i="80"/>
  <c r="Q24" i="80"/>
  <c r="J8" i="76"/>
  <c r="H11" i="76"/>
  <c r="P24" i="76"/>
  <c r="AH12" i="80"/>
  <c r="L24" i="76"/>
  <c r="Q14" i="76"/>
  <c r="C32" i="76"/>
  <c r="I23" i="76"/>
  <c r="R6" i="76"/>
  <c r="K47" i="80"/>
  <c r="AD43" i="80"/>
  <c r="AC27" i="80"/>
  <c r="G48" i="80"/>
  <c r="V47" i="80"/>
  <c r="F9" i="76"/>
  <c r="Q58" i="80"/>
  <c r="AG13" i="80"/>
  <c r="AE8" i="80"/>
  <c r="H15" i="80"/>
  <c r="X49" i="80"/>
  <c r="M51" i="80"/>
  <c r="Q68" i="80"/>
  <c r="Q13" i="76"/>
  <c r="V67" i="80"/>
  <c r="AG58" i="80"/>
  <c r="AH43" i="80"/>
  <c r="E11" i="76"/>
  <c r="V10" i="80"/>
  <c r="AB40" i="80"/>
  <c r="U12" i="80"/>
  <c r="R9" i="76"/>
  <c r="Z51" i="80"/>
  <c r="X69" i="80"/>
  <c r="E28" i="76"/>
  <c r="AF67" i="80"/>
  <c r="J60" i="80"/>
  <c r="I13" i="80"/>
  <c r="AF7" i="80"/>
  <c r="J25" i="76"/>
  <c r="N31" i="76"/>
  <c r="AC30" i="80"/>
  <c r="I69" i="80"/>
  <c r="AF23" i="80"/>
  <c r="R42" i="80"/>
  <c r="J66" i="80"/>
  <c r="AF22" i="80"/>
  <c r="V64" i="80"/>
  <c r="I60" i="80"/>
  <c r="K51" i="80"/>
  <c r="U45" i="80"/>
  <c r="S13" i="80"/>
  <c r="AF48" i="80"/>
  <c r="H28" i="76"/>
  <c r="Q65" i="80"/>
  <c r="R65" i="80"/>
  <c r="I10" i="80"/>
  <c r="O22" i="80"/>
  <c r="F59" i="80"/>
  <c r="N67" i="80"/>
  <c r="F32" i="80"/>
  <c r="Q5" i="80"/>
  <c r="L32" i="76"/>
  <c r="I6" i="76"/>
  <c r="J22" i="80"/>
  <c r="X63" i="80"/>
  <c r="G50" i="80"/>
  <c r="O64" i="80"/>
  <c r="H31" i="80"/>
  <c r="N50" i="80"/>
  <c r="L31" i="80"/>
  <c r="X48" i="80"/>
  <c r="R6" i="80"/>
  <c r="I15" i="80"/>
  <c r="S7" i="76"/>
  <c r="K40" i="80"/>
  <c r="N6" i="76"/>
  <c r="AG62" i="80"/>
  <c r="Q23" i="76"/>
  <c r="J63" i="80"/>
  <c r="R30" i="80"/>
  <c r="Q27" i="76"/>
  <c r="M32" i="76"/>
  <c r="I26" i="76"/>
  <c r="C23" i="76"/>
  <c r="AB66" i="80"/>
  <c r="Q28" i="80"/>
  <c r="Q12" i="76"/>
  <c r="Z13" i="80"/>
  <c r="V51" i="80"/>
  <c r="AD48" i="80"/>
  <c r="AA8" i="80"/>
  <c r="J6" i="80"/>
  <c r="L25" i="76"/>
  <c r="AA65" i="80"/>
  <c r="V16" i="80"/>
  <c r="H67" i="80"/>
  <c r="AI9" i="80"/>
  <c r="I31" i="76"/>
  <c r="T59" i="80"/>
  <c r="L8" i="76"/>
  <c r="D29" i="76"/>
  <c r="J33" i="80"/>
  <c r="V40" i="80"/>
  <c r="AA59" i="80"/>
  <c r="O41" i="80"/>
  <c r="AB68" i="80"/>
  <c r="R12" i="76"/>
  <c r="W23" i="80"/>
  <c r="P32" i="80"/>
  <c r="G23" i="80"/>
  <c r="J29" i="80"/>
  <c r="AE5" i="80"/>
  <c r="N10" i="80"/>
  <c r="AG23" i="80"/>
  <c r="H45" i="80"/>
  <c r="O32" i="80"/>
  <c r="G67" i="80"/>
  <c r="AC13" i="80"/>
  <c r="H10" i="80"/>
  <c r="AC33" i="80"/>
  <c r="G12" i="76"/>
  <c r="T13" i="76"/>
  <c r="N51" i="80"/>
  <c r="AG14" i="80"/>
  <c r="Q45" i="80"/>
  <c r="J58" i="80"/>
  <c r="K65" i="80"/>
  <c r="M31" i="80"/>
  <c r="AB28" i="80"/>
  <c r="K7" i="76"/>
  <c r="K60" i="80"/>
  <c r="J13" i="80"/>
  <c r="AG60" i="80"/>
  <c r="AA45" i="80"/>
  <c r="AC65" i="80"/>
  <c r="AG9" i="80"/>
  <c r="L16" i="80"/>
  <c r="J49" i="80"/>
  <c r="AC29" i="80"/>
  <c r="S58" i="80"/>
  <c r="N41" i="80"/>
  <c r="T62" i="80"/>
  <c r="Q41" i="80"/>
  <c r="Z8" i="80"/>
  <c r="L40" i="80"/>
  <c r="N61" i="80"/>
  <c r="Q50" i="80"/>
  <c r="T12" i="80"/>
  <c r="AE59" i="80"/>
  <c r="AD41" i="80"/>
  <c r="AE48" i="80"/>
  <c r="U8" i="80"/>
  <c r="Q66" i="80"/>
  <c r="W61" i="80"/>
  <c r="K24" i="80"/>
  <c r="AI67" i="80"/>
  <c r="U42" i="80"/>
  <c r="Z14" i="80"/>
  <c r="P12" i="76"/>
  <c r="T50" i="80"/>
  <c r="Y59" i="80"/>
  <c r="O27" i="76"/>
  <c r="F10" i="80"/>
  <c r="S26" i="76"/>
  <c r="G58" i="80"/>
  <c r="Y60" i="80"/>
  <c r="AE32" i="80"/>
  <c r="W33" i="80"/>
  <c r="H9" i="80"/>
  <c r="AB7" i="80"/>
  <c r="S66" i="80"/>
  <c r="F50" i="80"/>
  <c r="T12" i="76"/>
  <c r="AF50" i="80"/>
  <c r="AE14" i="80"/>
  <c r="R46" i="80"/>
  <c r="U28" i="80"/>
  <c r="W28" i="80"/>
  <c r="J14" i="76"/>
  <c r="Z29" i="80"/>
  <c r="Q46" i="80"/>
  <c r="Y16" i="80"/>
  <c r="K43" i="80"/>
  <c r="S46" i="80"/>
  <c r="AH9" i="80"/>
  <c r="AD40" i="80"/>
  <c r="I59" i="80"/>
  <c r="T61" i="80"/>
  <c r="M29" i="76"/>
  <c r="M13" i="76"/>
  <c r="H49" i="80"/>
  <c r="AA23" i="80"/>
  <c r="G10" i="76"/>
  <c r="AH62" i="80"/>
  <c r="R11" i="76"/>
  <c r="AE41" i="80"/>
  <c r="M11" i="76"/>
  <c r="M49" i="80"/>
  <c r="O29" i="76"/>
  <c r="F30" i="76"/>
  <c r="X26" i="80"/>
  <c r="AE11" i="80"/>
  <c r="AF10" i="80"/>
  <c r="AC16" i="80"/>
  <c r="O8" i="76"/>
  <c r="F8" i="76"/>
  <c r="N32" i="76"/>
  <c r="O23" i="80"/>
  <c r="G27" i="76"/>
  <c r="AD8" i="80"/>
  <c r="P59" i="80"/>
  <c r="AA11" i="80"/>
  <c r="F5" i="80"/>
  <c r="AI5" i="80"/>
  <c r="AC46" i="80"/>
  <c r="C9" i="76"/>
  <c r="AD60" i="80"/>
  <c r="L29" i="76"/>
  <c r="P7" i="80"/>
  <c r="AB41" i="80"/>
  <c r="N26" i="76"/>
  <c r="P41" i="80"/>
  <c r="AA60" i="80"/>
  <c r="AH61" i="80"/>
  <c r="Y14" i="80"/>
  <c r="D23" i="76"/>
  <c r="X25" i="80"/>
  <c r="G32" i="76"/>
  <c r="J23" i="80"/>
  <c r="K14" i="80"/>
  <c r="I23" i="80"/>
  <c r="N27" i="80"/>
  <c r="AE60" i="80"/>
  <c r="AE22" i="80"/>
  <c r="AI50" i="80"/>
  <c r="AH44" i="80"/>
  <c r="P11" i="76"/>
  <c r="P29" i="80"/>
  <c r="AI65" i="80"/>
  <c r="AG59" i="80"/>
  <c r="L7" i="80"/>
  <c r="Z50" i="80"/>
  <c r="AA63" i="80"/>
  <c r="D12" i="76"/>
  <c r="AH25" i="80"/>
  <c r="X62" i="80"/>
  <c r="P14" i="76"/>
  <c r="Z67" i="80"/>
  <c r="M32" i="80"/>
  <c r="H23" i="80"/>
  <c r="AE46" i="80"/>
  <c r="O44" i="80"/>
  <c r="H29" i="80"/>
  <c r="Q9" i="80"/>
  <c r="J7" i="80"/>
  <c r="P44" i="80"/>
  <c r="Q9" i="76"/>
  <c r="T32" i="76"/>
  <c r="K24" i="76"/>
  <c r="O60" i="80"/>
  <c r="Z62" i="80"/>
  <c r="L8" i="80"/>
  <c r="G44" i="80"/>
  <c r="AA16" i="80"/>
  <c r="S25" i="80"/>
  <c r="U24" i="80"/>
  <c r="AG11" i="80"/>
  <c r="G12" i="80"/>
  <c r="L61" i="80"/>
  <c r="H59" i="80"/>
  <c r="H44" i="80"/>
  <c r="AB43" i="80"/>
  <c r="D14" i="76"/>
  <c r="W32" i="80"/>
  <c r="F60" i="80"/>
  <c r="AB33" i="80"/>
  <c r="O48" i="80"/>
  <c r="N63" i="80"/>
  <c r="T49" i="80"/>
  <c r="AB49" i="80"/>
  <c r="AI42" i="80"/>
  <c r="W60" i="80"/>
  <c r="M7" i="76"/>
  <c r="AB59" i="80"/>
  <c r="AH49" i="80"/>
  <c r="AH8" i="80"/>
  <c r="H31" i="76"/>
  <c r="K45" i="80"/>
  <c r="Y31" i="80"/>
  <c r="AH24" i="80"/>
  <c r="T24" i="80"/>
  <c r="H14" i="76"/>
  <c r="E15" i="76"/>
  <c r="AF66" i="80"/>
  <c r="F68" i="80"/>
  <c r="R11" i="80"/>
  <c r="C13" i="76"/>
  <c r="AF43" i="80"/>
  <c r="R63" i="80"/>
  <c r="T11" i="76"/>
  <c r="K10" i="76"/>
  <c r="M25" i="76"/>
  <c r="F27" i="80"/>
  <c r="L14" i="80"/>
  <c r="N29" i="76"/>
  <c r="R8" i="80"/>
  <c r="O5" i="80"/>
  <c r="AH30" i="80"/>
  <c r="P26" i="80"/>
  <c r="AD6" i="80"/>
  <c r="AA22" i="80"/>
  <c r="M64" i="80"/>
  <c r="Z27" i="80"/>
  <c r="N29" i="80"/>
  <c r="W5" i="80"/>
  <c r="X33" i="80"/>
  <c r="H12" i="76"/>
  <c r="U49" i="80"/>
  <c r="AD51" i="80"/>
  <c r="S64" i="80"/>
  <c r="W40" i="80"/>
  <c r="AI16" i="80"/>
  <c r="L31" i="76"/>
  <c r="J27" i="76"/>
  <c r="AG12" i="80"/>
  <c r="W45" i="80"/>
  <c r="L63" i="80"/>
  <c r="AD44" i="80"/>
  <c r="K30" i="80"/>
  <c r="AB8" i="80"/>
  <c r="F24" i="76"/>
  <c r="R15" i="80"/>
  <c r="W12" i="80"/>
  <c r="P8" i="76"/>
  <c r="S51" i="80"/>
  <c r="H24" i="76"/>
  <c r="AA41" i="80"/>
  <c r="Y6" i="80"/>
  <c r="AC25" i="80"/>
  <c r="AA48" i="80"/>
  <c r="F46" i="80"/>
  <c r="V9" i="80"/>
  <c r="V60" i="80"/>
  <c r="D27" i="76"/>
  <c r="N23" i="76"/>
  <c r="R66" i="80"/>
  <c r="T7" i="80"/>
  <c r="U41" i="80"/>
  <c r="S32" i="76"/>
  <c r="V48" i="80"/>
  <c r="I46" i="80"/>
  <c r="AD27" i="80"/>
  <c r="J28" i="80"/>
  <c r="N64" i="80"/>
  <c r="AI59" i="80"/>
  <c r="AG43" i="80"/>
  <c r="S16" i="80"/>
  <c r="AG26" i="80"/>
  <c r="AD33" i="80"/>
  <c r="V59" i="80"/>
  <c r="X8" i="80"/>
  <c r="I42" i="80"/>
  <c r="AI66" i="80"/>
  <c r="Y47" i="80"/>
  <c r="Q12" i="80"/>
  <c r="AH48" i="80"/>
  <c r="R9" i="80"/>
  <c r="AA43" i="80"/>
  <c r="X44" i="80"/>
  <c r="F13" i="80"/>
  <c r="H10" i="76"/>
  <c r="I65" i="80"/>
  <c r="AE7" i="80"/>
  <c r="AB6" i="80"/>
  <c r="H23" i="76"/>
  <c r="AB24" i="80"/>
  <c r="J48" i="80"/>
  <c r="AE9" i="80"/>
  <c r="AC47" i="80"/>
  <c r="M9" i="80"/>
  <c r="Y50" i="80"/>
  <c r="AH5" i="80"/>
  <c r="G30" i="76"/>
  <c r="AB51" i="80"/>
  <c r="L12" i="80"/>
  <c r="H43" i="80"/>
  <c r="F69" i="80"/>
  <c r="R40" i="80"/>
  <c r="H22" i="80"/>
  <c r="AB50" i="80"/>
  <c r="T27" i="76"/>
  <c r="I13" i="76"/>
  <c r="F66" i="80"/>
  <c r="H65" i="80"/>
  <c r="AD22" i="80"/>
  <c r="F9" i="80"/>
  <c r="AI51" i="80"/>
  <c r="L10" i="76"/>
  <c r="W50" i="80"/>
  <c r="I28" i="80"/>
  <c r="U23" i="80"/>
  <c r="D30" i="76"/>
  <c r="J64" i="80"/>
  <c r="AI25" i="80"/>
  <c r="N49" i="80"/>
  <c r="Y46" i="80"/>
  <c r="E25" i="76"/>
  <c r="F12" i="76"/>
  <c r="N68" i="80"/>
  <c r="X14" i="80"/>
  <c r="V31" i="80"/>
  <c r="K31" i="76"/>
  <c r="M45" i="80"/>
  <c r="AG69" i="80"/>
  <c r="AB32" i="80"/>
  <c r="K13" i="76"/>
  <c r="S6" i="80"/>
  <c r="K14" i="76"/>
  <c r="R50" i="80"/>
  <c r="AD29" i="80"/>
  <c r="S41" i="80"/>
  <c r="P60" i="80"/>
  <c r="G33" i="80"/>
  <c r="L46" i="80"/>
  <c r="S62" i="80"/>
  <c r="AA40" i="80"/>
  <c r="Y48" i="80"/>
  <c r="K44" i="80"/>
  <c r="AB23" i="80"/>
  <c r="I31" i="80"/>
  <c r="AH65" i="80"/>
  <c r="Q40" i="80"/>
  <c r="S27" i="80"/>
  <c r="Y26" i="80"/>
  <c r="K50" i="80"/>
  <c r="AC61" i="80"/>
  <c r="L28" i="80"/>
  <c r="M61" i="80"/>
  <c r="AH14" i="80"/>
  <c r="I28" i="76"/>
  <c r="J27" i="80"/>
  <c r="G28" i="76"/>
  <c r="AB27" i="80"/>
  <c r="G8" i="80"/>
  <c r="E10" i="76"/>
  <c r="L26" i="76"/>
  <c r="AC49" i="80"/>
  <c r="P31" i="76"/>
  <c r="Z26" i="80"/>
  <c r="S60" i="80"/>
  <c r="T6" i="76"/>
  <c r="S15" i="76"/>
  <c r="K13" i="80"/>
  <c r="AI46" i="80"/>
  <c r="G42" i="80"/>
  <c r="H7" i="76"/>
  <c r="O46" i="80"/>
  <c r="F23" i="76"/>
  <c r="N9" i="80"/>
  <c r="AD64" i="80"/>
  <c r="R27" i="76"/>
  <c r="AD30" i="80"/>
  <c r="U15" i="80"/>
  <c r="AF12" i="80"/>
  <c r="AH64" i="80"/>
  <c r="H64" i="80"/>
  <c r="AI26" i="80"/>
  <c r="N11" i="80"/>
  <c r="AH41" i="80"/>
  <c r="X15" i="80"/>
  <c r="E24" i="76"/>
  <c r="M11" i="80"/>
  <c r="L22" i="80"/>
  <c r="W22" i="80"/>
  <c r="I50" i="80"/>
  <c r="AA61" i="80"/>
  <c r="L41" i="80"/>
  <c r="L6" i="80"/>
  <c r="AI10" i="80"/>
  <c r="J9" i="80"/>
  <c r="O24" i="80"/>
  <c r="J42" i="80"/>
  <c r="R28" i="80"/>
  <c r="AE30" i="80"/>
  <c r="AH7" i="80"/>
  <c r="F7" i="76"/>
  <c r="AB63" i="80"/>
  <c r="Q32" i="76"/>
  <c r="U46" i="80"/>
  <c r="F13" i="76"/>
  <c r="K5" i="80"/>
  <c r="S49" i="80"/>
  <c r="G9" i="80"/>
  <c r="AA62" i="80"/>
  <c r="N14" i="76"/>
  <c r="O7" i="80"/>
  <c r="AD59" i="80"/>
  <c r="P58" i="80"/>
  <c r="AD10" i="80"/>
  <c r="O62" i="80"/>
  <c r="I11" i="76"/>
  <c r="M67" i="80"/>
  <c r="W44" i="80"/>
  <c r="O31" i="76"/>
  <c r="R27" i="80"/>
  <c r="G31" i="76"/>
  <c r="H40" i="80"/>
  <c r="T63" i="80"/>
  <c r="AE31" i="80"/>
  <c r="J32" i="80"/>
  <c r="H29" i="76"/>
  <c r="O29" i="80"/>
  <c r="AI48" i="80"/>
  <c r="W41" i="80"/>
  <c r="I11" i="80"/>
  <c r="O27" i="80"/>
  <c r="L13" i="80"/>
  <c r="N24" i="80"/>
  <c r="Z23" i="80"/>
  <c r="W48" i="80"/>
  <c r="K41" i="80"/>
  <c r="AA67" i="80"/>
  <c r="G13" i="80"/>
  <c r="AF45" i="80"/>
  <c r="M50" i="80"/>
  <c r="D24" i="76"/>
  <c r="Q26" i="80"/>
  <c r="Q30" i="76"/>
  <c r="AB25" i="80"/>
  <c r="O59" i="80"/>
  <c r="U62" i="80"/>
  <c r="AA12" i="80"/>
  <c r="H14" i="80"/>
  <c r="AI15" i="80"/>
  <c r="G41" i="80"/>
  <c r="G29" i="80"/>
  <c r="T25" i="76"/>
  <c r="H32" i="76"/>
  <c r="O7" i="76"/>
  <c r="AE6" i="80"/>
  <c r="I48" i="80"/>
  <c r="N25" i="80"/>
  <c r="L15" i="76"/>
  <c r="K12" i="80"/>
  <c r="AG25" i="80"/>
  <c r="S10" i="80"/>
  <c r="R51" i="80"/>
  <c r="P10" i="80"/>
  <c r="O28" i="76"/>
  <c r="N47" i="80"/>
  <c r="O6" i="80"/>
  <c r="X64" i="80"/>
  <c r="P62" i="80"/>
  <c r="P68" i="80"/>
  <c r="O58" i="80"/>
  <c r="AE25" i="80"/>
  <c r="AF16" i="80"/>
  <c r="P13" i="76"/>
  <c r="AI64" i="80"/>
  <c r="T66" i="80"/>
  <c r="S30" i="80"/>
  <c r="AE43" i="80"/>
  <c r="Y65" i="80"/>
  <c r="O11" i="76"/>
  <c r="N12" i="80"/>
  <c r="AG46" i="80"/>
  <c r="N15" i="80"/>
  <c r="P12" i="80"/>
  <c r="S13" i="76"/>
  <c r="K27" i="80"/>
  <c r="O70" i="80" l="1"/>
  <c r="D29" i="80"/>
  <c r="D41" i="80"/>
  <c r="E14" i="80"/>
  <c r="D13" i="80"/>
  <c r="E40" i="80"/>
  <c r="H52" i="80"/>
  <c r="P70" i="80"/>
  <c r="D9" i="80"/>
  <c r="K17" i="80"/>
  <c r="W34" i="80"/>
  <c r="L34" i="80"/>
  <c r="D11" i="80"/>
  <c r="E64" i="80"/>
  <c r="F33" i="76"/>
  <c r="D42" i="80"/>
  <c r="T16" i="76"/>
  <c r="D8" i="80"/>
  <c r="Q52" i="80"/>
  <c r="AA52" i="80"/>
  <c r="D33" i="80"/>
  <c r="C9" i="80"/>
  <c r="AD34" i="80"/>
  <c r="E65" i="80"/>
  <c r="C66" i="80"/>
  <c r="H34" i="80"/>
  <c r="E22" i="80"/>
  <c r="R52" i="80"/>
  <c r="C69" i="80"/>
  <c r="E43" i="80"/>
  <c r="AH17" i="80"/>
  <c r="H33" i="76"/>
  <c r="C13" i="80"/>
  <c r="N33" i="76"/>
  <c r="C46" i="80"/>
  <c r="W52" i="80"/>
  <c r="W17" i="80"/>
  <c r="AA34" i="80"/>
  <c r="O17" i="80"/>
  <c r="C27" i="80"/>
  <c r="C68" i="80"/>
  <c r="C60" i="80"/>
  <c r="E44" i="80"/>
  <c r="E59" i="80"/>
  <c r="D12" i="80"/>
  <c r="D44" i="80"/>
  <c r="E29" i="80"/>
  <c r="E23" i="80"/>
  <c r="AE34" i="80"/>
  <c r="D33" i="76"/>
  <c r="AI17" i="80"/>
  <c r="F17" i="80"/>
  <c r="C5" i="80"/>
  <c r="E49" i="80"/>
  <c r="AD52" i="80"/>
  <c r="C50" i="80"/>
  <c r="E9" i="80"/>
  <c r="G70" i="80"/>
  <c r="D58" i="80"/>
  <c r="C10" i="80"/>
  <c r="L52" i="80"/>
  <c r="S70" i="80"/>
  <c r="J70" i="80"/>
  <c r="E10" i="80"/>
  <c r="D67" i="80"/>
  <c r="E45" i="80"/>
  <c r="AE17" i="80"/>
  <c r="D23" i="80"/>
  <c r="V52" i="80"/>
  <c r="E67" i="80"/>
  <c r="C33" i="76"/>
  <c r="Q33" i="76"/>
  <c r="N16" i="76"/>
  <c r="K52" i="80"/>
  <c r="E31" i="80"/>
  <c r="D50" i="80"/>
  <c r="J34" i="80"/>
  <c r="I16" i="76"/>
  <c r="Q17" i="80"/>
  <c r="C32" i="80"/>
  <c r="C59" i="80"/>
  <c r="O34" i="80"/>
  <c r="AF34" i="80"/>
  <c r="AB52" i="80"/>
  <c r="AG70" i="80"/>
  <c r="E15" i="80"/>
  <c r="Q70" i="80"/>
  <c r="D48" i="80"/>
  <c r="R16" i="76"/>
  <c r="I33" i="76"/>
  <c r="S52" i="80"/>
  <c r="C8" i="80"/>
  <c r="C25" i="80"/>
  <c r="E61" i="80"/>
  <c r="C15" i="80"/>
  <c r="I52" i="80"/>
  <c r="C26" i="80"/>
  <c r="E48" i="80"/>
  <c r="X17" i="80"/>
  <c r="AF70" i="80"/>
  <c r="J52" i="80"/>
  <c r="J16" i="76"/>
  <c r="AH52" i="80"/>
  <c r="C48" i="80"/>
  <c r="AA17" i="80"/>
  <c r="E26" i="80"/>
  <c r="D16" i="76"/>
  <c r="H16" i="76"/>
  <c r="X34" i="80"/>
  <c r="C16" i="80"/>
  <c r="D47" i="80"/>
  <c r="C51" i="80"/>
  <c r="AE70" i="80"/>
  <c r="N52" i="80"/>
  <c r="AG17" i="80"/>
  <c r="C23" i="80"/>
  <c r="D46" i="80"/>
  <c r="D62" i="80"/>
  <c r="H17" i="80"/>
  <c r="E5" i="80"/>
  <c r="C47" i="80"/>
  <c r="C11" i="80"/>
  <c r="U52" i="80"/>
  <c r="C64" i="80"/>
  <c r="D31" i="80"/>
  <c r="I34" i="80"/>
  <c r="E33" i="80"/>
  <c r="C67" i="80"/>
  <c r="E12" i="80"/>
  <c r="C45" i="80"/>
  <c r="R34" i="80"/>
  <c r="AD17" i="80"/>
  <c r="E24" i="80"/>
  <c r="Q34" i="80"/>
  <c r="E63" i="80"/>
  <c r="I70" i="80"/>
  <c r="AI52" i="80"/>
  <c r="N70" i="80"/>
  <c r="S34" i="80"/>
  <c r="C6" i="80"/>
  <c r="C16" i="76"/>
  <c r="U17" i="80"/>
  <c r="R33" i="76"/>
  <c r="E8" i="80"/>
  <c r="S16" i="76"/>
  <c r="D66" i="80"/>
  <c r="C63" i="80"/>
  <c r="C30" i="80"/>
  <c r="E32" i="80"/>
  <c r="D6" i="80"/>
  <c r="D24" i="80"/>
  <c r="D51" i="80"/>
  <c r="G33" i="76"/>
  <c r="E42" i="80"/>
  <c r="AI34" i="80"/>
  <c r="AD70" i="80"/>
  <c r="AI70" i="80"/>
  <c r="E6" i="80"/>
  <c r="C12" i="80"/>
  <c r="E13" i="80"/>
  <c r="C44" i="80"/>
  <c r="S33" i="76"/>
  <c r="M33" i="76"/>
  <c r="D69" i="80"/>
  <c r="AC70" i="80"/>
  <c r="L16" i="76"/>
  <c r="Z17" i="80"/>
  <c r="D27" i="80"/>
  <c r="Y52" i="80"/>
  <c r="E16" i="80"/>
  <c r="Z52" i="80"/>
  <c r="AA70" i="80"/>
  <c r="G16" i="76"/>
  <c r="N17" i="80"/>
  <c r="AB70" i="80"/>
  <c r="C42" i="80"/>
  <c r="AC17" i="80"/>
  <c r="D30" i="80"/>
  <c r="C49" i="80"/>
  <c r="AC52" i="80"/>
  <c r="AE52" i="80"/>
  <c r="R70" i="80"/>
  <c r="K70" i="80"/>
  <c r="D63" i="80"/>
  <c r="J33" i="76"/>
  <c r="X52" i="80"/>
  <c r="H70" i="80"/>
  <c r="E58" i="80"/>
  <c r="E33" i="76"/>
  <c r="P34" i="80"/>
  <c r="C29" i="80"/>
  <c r="X70" i="80"/>
  <c r="T52" i="80"/>
  <c r="E25" i="80"/>
  <c r="D49" i="80"/>
  <c r="E27" i="80"/>
  <c r="E68" i="80"/>
  <c r="D14" i="80"/>
  <c r="D26" i="80"/>
  <c r="O52" i="80"/>
  <c r="M70" i="80"/>
  <c r="Y17" i="80"/>
  <c r="C28" i="80"/>
  <c r="L70" i="80"/>
  <c r="D59" i="80"/>
  <c r="F52" i="80"/>
  <c r="C40" i="80"/>
  <c r="V34" i="80"/>
  <c r="K33" i="76"/>
  <c r="K16" i="76"/>
  <c r="Y70" i="80"/>
  <c r="P33" i="76"/>
  <c r="J17" i="80"/>
  <c r="C33" i="80"/>
  <c r="D61" i="80"/>
  <c r="E62" i="80"/>
  <c r="E16" i="76"/>
  <c r="I17" i="80"/>
  <c r="E46" i="80"/>
  <c r="AF52" i="80"/>
  <c r="D40" i="80"/>
  <c r="G52" i="80"/>
  <c r="D64" i="80"/>
  <c r="AG34" i="80"/>
  <c r="O16" i="76"/>
  <c r="L33" i="76"/>
  <c r="D60" i="80"/>
  <c r="C41" i="80"/>
  <c r="D22" i="80"/>
  <c r="G34" i="80"/>
  <c r="P16" i="76"/>
  <c r="F34" i="80"/>
  <c r="C22" i="80"/>
  <c r="T70" i="80"/>
  <c r="D10" i="80"/>
  <c r="AH34" i="80"/>
  <c r="E66" i="80"/>
  <c r="E50" i="80"/>
  <c r="P52" i="80"/>
  <c r="C14" i="80"/>
  <c r="C7" i="80"/>
  <c r="M52" i="80"/>
  <c r="V70" i="80"/>
  <c r="V17" i="80"/>
  <c r="E69" i="80"/>
  <c r="D43" i="80"/>
  <c r="D16" i="80"/>
  <c r="C24" i="80"/>
  <c r="E60" i="80"/>
  <c r="D32" i="80"/>
  <c r="C58" i="80"/>
  <c r="F70" i="80"/>
  <c r="W70" i="80"/>
  <c r="E11" i="80"/>
  <c r="AB17" i="80"/>
  <c r="F16" i="76"/>
  <c r="F17" i="76" s="1"/>
  <c r="D68" i="80"/>
  <c r="C65" i="80"/>
  <c r="R17" i="80"/>
  <c r="C43" i="80"/>
  <c r="D25" i="80"/>
  <c r="K34" i="80"/>
  <c r="Z34" i="80"/>
  <c r="D15" i="80"/>
  <c r="AF17" i="80"/>
  <c r="D45" i="80"/>
  <c r="C61" i="80"/>
  <c r="D7" i="80"/>
  <c r="D65" i="80"/>
  <c r="AH70" i="80"/>
  <c r="T33" i="76"/>
  <c r="Y34" i="80"/>
  <c r="Q16" i="76"/>
  <c r="E47" i="80"/>
  <c r="O33" i="76"/>
  <c r="T34" i="80"/>
  <c r="AC34" i="80"/>
  <c r="M17" i="80"/>
  <c r="D28" i="80"/>
  <c r="D5" i="80"/>
  <c r="G17" i="80"/>
  <c r="P17" i="80"/>
  <c r="AG52" i="80"/>
  <c r="C62" i="80"/>
  <c r="S17" i="80"/>
  <c r="T17" i="80"/>
  <c r="U70" i="80"/>
  <c r="N34" i="80"/>
  <c r="AB34" i="80"/>
  <c r="E30" i="80"/>
  <c r="E51" i="80"/>
  <c r="E41" i="80"/>
  <c r="Z70" i="80"/>
  <c r="M34" i="80"/>
  <c r="L17" i="80"/>
  <c r="M16" i="76"/>
  <c r="E28" i="80"/>
  <c r="U34" i="80"/>
  <c r="E7" i="80"/>
  <c r="C31" i="80"/>
  <c r="C52" i="80" l="1"/>
  <c r="D70" i="80"/>
  <c r="I34" i="76"/>
  <c r="C34" i="80"/>
  <c r="R17" i="76"/>
  <c r="D17" i="80"/>
  <c r="E17" i="80"/>
  <c r="C34" i="76"/>
  <c r="I17" i="76"/>
  <c r="E70" i="80"/>
  <c r="C70" i="80"/>
  <c r="L17" i="76"/>
  <c r="C17" i="80"/>
  <c r="O34" i="76"/>
  <c r="D52" i="80"/>
  <c r="C17" i="76"/>
  <c r="L34" i="76"/>
  <c r="R34" i="76"/>
  <c r="F34" i="76"/>
  <c r="E34" i="80"/>
  <c r="E52" i="80"/>
  <c r="D34" i="80"/>
  <c r="O17" i="76"/>
  <c r="C37" i="7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2" authorId="0" shapeId="0" xr:uid="{00000000-0006-0000-0500-000001000000}">
      <text>
        <r>
          <rPr>
            <b/>
            <sz val="16"/>
            <color indexed="81"/>
            <rFont val="돋움"/>
            <family val="3"/>
            <charset val="129"/>
          </rPr>
          <t>ㆍ★계약용량</t>
        </r>
        <r>
          <rPr>
            <b/>
            <sz val="16"/>
            <color indexed="81"/>
            <rFont val="Tahoma"/>
            <family val="2"/>
          </rPr>
          <t xml:space="preserve">, </t>
        </r>
        <r>
          <rPr>
            <b/>
            <sz val="16"/>
            <color indexed="81"/>
            <rFont val="돋움"/>
            <family val="3"/>
            <charset val="129"/>
          </rPr>
          <t>건수는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협력하도</t>
        </r>
        <r>
          <rPr>
            <b/>
            <sz val="16"/>
            <color indexed="81"/>
            <rFont val="Tahoma"/>
            <family val="2"/>
          </rPr>
          <t xml:space="preserve"> AA </t>
        </r>
        <r>
          <rPr>
            <b/>
            <sz val="16"/>
            <color indexed="81"/>
            <rFont val="돋움"/>
            <family val="3"/>
            <charset val="129"/>
          </rPr>
          <t>제외
ㆍ계약금액은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협력하도</t>
        </r>
        <r>
          <rPr>
            <b/>
            <sz val="16"/>
            <color indexed="81"/>
            <rFont val="Tahoma"/>
            <family val="2"/>
          </rPr>
          <t>AA</t>
        </r>
        <r>
          <rPr>
            <b/>
            <sz val="16"/>
            <color indexed="81"/>
            <rFont val="돋움"/>
            <family val="3"/>
            <charset val="129"/>
          </rPr>
          <t>도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<sst xmlns="http://schemas.openxmlformats.org/spreadsheetml/2006/main" count="6791" uniqueCount="2296">
  <si>
    <t>NO.</t>
    <phoneticPr fontId="7" type="noConversion"/>
  </si>
  <si>
    <t>계약일</t>
    <phoneticPr fontId="7" type="noConversion"/>
  </si>
  <si>
    <t>계약용량
(kWp)</t>
    <phoneticPr fontId="7" type="noConversion"/>
  </si>
  <si>
    <t>합계</t>
    <phoneticPr fontId="7" type="noConversion"/>
  </si>
  <si>
    <t>공사금액
(부가세포함)</t>
    <phoneticPr fontId="7" type="noConversion"/>
  </si>
  <si>
    <t>시공사</t>
    <phoneticPr fontId="7" type="noConversion"/>
  </si>
  <si>
    <t>항목</t>
    <phoneticPr fontId="7" type="noConversion"/>
  </si>
  <si>
    <t>1 월</t>
    <phoneticPr fontId="7" type="noConversion"/>
  </si>
  <si>
    <t>2월</t>
    <phoneticPr fontId="7" type="noConversion"/>
  </si>
  <si>
    <t>3월</t>
    <phoneticPr fontId="7" type="noConversion"/>
  </si>
  <si>
    <t>4월</t>
    <phoneticPr fontId="7" type="noConversion"/>
  </si>
  <si>
    <t>5월</t>
    <phoneticPr fontId="7" type="noConversion"/>
  </si>
  <si>
    <t>6월</t>
    <phoneticPr fontId="7" type="noConversion"/>
  </si>
  <si>
    <t>7월</t>
    <phoneticPr fontId="7" type="noConversion"/>
  </si>
  <si>
    <t>8월</t>
    <phoneticPr fontId="7" type="noConversion"/>
  </si>
  <si>
    <t>계약건수(ea)</t>
    <phoneticPr fontId="7" type="noConversion"/>
  </si>
  <si>
    <t>공사금액
(부가세제외)</t>
    <phoneticPr fontId="7" type="noConversion"/>
  </si>
  <si>
    <t>주</t>
    <phoneticPr fontId="7" type="noConversion"/>
  </si>
  <si>
    <t>월</t>
    <phoneticPr fontId="7" type="noConversion"/>
  </si>
  <si>
    <t>계약용량</t>
    <phoneticPr fontId="7" type="noConversion"/>
  </si>
  <si>
    <t>계약건수</t>
    <phoneticPr fontId="7" type="noConversion"/>
  </si>
  <si>
    <t>공사금액
(부가세포함)</t>
    <phoneticPr fontId="7" type="noConversion"/>
  </si>
  <si>
    <t>담당자</t>
    <phoneticPr fontId="7" type="noConversion"/>
  </si>
  <si>
    <t>설치장소</t>
    <phoneticPr fontId="7" type="noConversion"/>
  </si>
  <si>
    <t>발전소명</t>
    <phoneticPr fontId="7" type="noConversion"/>
  </si>
  <si>
    <t>컨설팅</t>
    <phoneticPr fontId="7" type="noConversion"/>
  </si>
  <si>
    <t>박도훈</t>
    <phoneticPr fontId="7" type="noConversion"/>
  </si>
  <si>
    <t>조성현</t>
    <phoneticPr fontId="7" type="noConversion"/>
  </si>
  <si>
    <t>최창민</t>
    <phoneticPr fontId="7" type="noConversion"/>
  </si>
  <si>
    <t>계약금액(억)</t>
    <phoneticPr fontId="7" type="noConversion"/>
  </si>
  <si>
    <t>계약금액</t>
    <phoneticPr fontId="7" type="noConversion"/>
  </si>
  <si>
    <t>전체합계</t>
    <phoneticPr fontId="7" type="noConversion"/>
  </si>
  <si>
    <t>유입경로 자세히</t>
    <phoneticPr fontId="7" type="noConversion"/>
  </si>
  <si>
    <t>상담번호</t>
    <phoneticPr fontId="7" type="noConversion"/>
  </si>
  <si>
    <t>1월</t>
    <phoneticPr fontId="7" type="noConversion"/>
  </si>
  <si>
    <t>계약용량(kW)</t>
    <phoneticPr fontId="7" type="noConversion"/>
  </si>
  <si>
    <t>9월</t>
  </si>
  <si>
    <t>10월</t>
  </si>
  <si>
    <t>11월</t>
  </si>
  <si>
    <t>프로젝트(G)</t>
  </si>
  <si>
    <t>기타(Z)</t>
  </si>
  <si>
    <t>금~목요일 기준으로 카운트</t>
    <phoneticPr fontId="7" type="noConversion"/>
  </si>
  <si>
    <t>실제</t>
    <phoneticPr fontId="7" type="noConversion"/>
  </si>
  <si>
    <t>12월</t>
  </si>
  <si>
    <t>공사금액
억단위
(부가세제외)</t>
    <phoneticPr fontId="7" type="noConversion"/>
  </si>
  <si>
    <t>누계 용량</t>
    <phoneticPr fontId="7" type="noConversion"/>
  </si>
  <si>
    <t>누계 금액</t>
    <phoneticPr fontId="7" type="noConversion"/>
  </si>
  <si>
    <t>박지훈</t>
    <phoneticPr fontId="7" type="noConversion"/>
  </si>
  <si>
    <t>유입</t>
    <phoneticPr fontId="7" type="noConversion"/>
  </si>
  <si>
    <t>남형석</t>
    <phoneticPr fontId="7" type="noConversion"/>
  </si>
  <si>
    <t>용량</t>
    <phoneticPr fontId="7" type="noConversion"/>
  </si>
  <si>
    <t>금액</t>
    <phoneticPr fontId="7" type="noConversion"/>
  </si>
  <si>
    <t>건수</t>
    <phoneticPr fontId="7" type="noConversion"/>
  </si>
  <si>
    <t>김종식</t>
    <phoneticPr fontId="7" type="noConversion"/>
  </si>
  <si>
    <t>3~9</t>
    <phoneticPr fontId="7" type="noConversion"/>
  </si>
  <si>
    <t>10~16</t>
    <phoneticPr fontId="7" type="noConversion"/>
  </si>
  <si>
    <t>17~23</t>
    <phoneticPr fontId="7" type="noConversion"/>
  </si>
  <si>
    <t>24~30</t>
    <phoneticPr fontId="7" type="noConversion"/>
  </si>
  <si>
    <t>7~13</t>
    <phoneticPr fontId="7" type="noConversion"/>
  </si>
  <si>
    <t>14~20</t>
    <phoneticPr fontId="7" type="noConversion"/>
  </si>
  <si>
    <t>21~27</t>
    <phoneticPr fontId="7" type="noConversion"/>
  </si>
  <si>
    <t>4~10</t>
    <phoneticPr fontId="7" type="noConversion"/>
  </si>
  <si>
    <t>11~17</t>
    <phoneticPr fontId="7" type="noConversion"/>
  </si>
  <si>
    <t>18~24</t>
    <phoneticPr fontId="7" type="noConversion"/>
  </si>
  <si>
    <t>정민영</t>
    <phoneticPr fontId="7" type="noConversion"/>
  </si>
  <si>
    <t>진으뜸</t>
  </si>
  <si>
    <t>유입유형</t>
    <phoneticPr fontId="7" type="noConversion"/>
  </si>
  <si>
    <t>설치유형</t>
    <phoneticPr fontId="7" type="noConversion"/>
  </si>
  <si>
    <t>번호</t>
    <phoneticPr fontId="7" type="noConversion"/>
  </si>
  <si>
    <t>발전사업(A)</t>
  </si>
  <si>
    <t>자가소비(B)</t>
  </si>
  <si>
    <t>PPA 사업(C)</t>
  </si>
  <si>
    <t>리스사업(D)</t>
  </si>
  <si>
    <t>임대사업 (E)</t>
  </si>
  <si>
    <t>환경부사업(F)</t>
  </si>
  <si>
    <t>협력사 EPC(H)</t>
  </si>
  <si>
    <t>협력사 하도(I)</t>
  </si>
  <si>
    <t>외주(나)</t>
    <phoneticPr fontId="7" type="noConversion"/>
  </si>
  <si>
    <t>직영(가)</t>
    <phoneticPr fontId="7" type="noConversion"/>
  </si>
  <si>
    <t>입찰(다)</t>
    <phoneticPr fontId="7" type="noConversion"/>
  </si>
  <si>
    <t>검토(라)</t>
    <phoneticPr fontId="7" type="noConversion"/>
  </si>
  <si>
    <t>12/27~1/2</t>
    <phoneticPr fontId="7" type="noConversion"/>
  </si>
  <si>
    <t>1/31~6</t>
    <phoneticPr fontId="7" type="noConversion"/>
  </si>
  <si>
    <t>2/8~3-6</t>
    <phoneticPr fontId="7" type="noConversion"/>
  </si>
  <si>
    <t>3/28~3</t>
    <phoneticPr fontId="7" type="noConversion"/>
  </si>
  <si>
    <t>25~5/1</t>
    <phoneticPr fontId="7" type="noConversion"/>
  </si>
  <si>
    <t>2~8</t>
    <phoneticPr fontId="7" type="noConversion"/>
  </si>
  <si>
    <t>9~15</t>
    <phoneticPr fontId="7" type="noConversion"/>
  </si>
  <si>
    <t>16~22</t>
    <phoneticPr fontId="7" type="noConversion"/>
  </si>
  <si>
    <t>23~29</t>
    <phoneticPr fontId="7" type="noConversion"/>
  </si>
  <si>
    <t>5/30~5</t>
    <phoneticPr fontId="7" type="noConversion"/>
  </si>
  <si>
    <t>6~12</t>
    <phoneticPr fontId="7" type="noConversion"/>
  </si>
  <si>
    <t>13~19</t>
    <phoneticPr fontId="7" type="noConversion"/>
  </si>
  <si>
    <t>20~26</t>
    <phoneticPr fontId="7" type="noConversion"/>
  </si>
  <si>
    <t>6/27~3</t>
    <phoneticPr fontId="7" type="noConversion"/>
  </si>
  <si>
    <t>25~31</t>
    <phoneticPr fontId="7" type="noConversion"/>
  </si>
  <si>
    <t>1~7</t>
    <phoneticPr fontId="7" type="noConversion"/>
  </si>
  <si>
    <t>8~14</t>
    <phoneticPr fontId="7" type="noConversion"/>
  </si>
  <si>
    <t>15~21</t>
    <phoneticPr fontId="7" type="noConversion"/>
  </si>
  <si>
    <t>22~28</t>
    <phoneticPr fontId="7" type="noConversion"/>
  </si>
  <si>
    <t>8/29~4</t>
    <phoneticPr fontId="7" type="noConversion"/>
  </si>
  <si>
    <t>5~11</t>
    <phoneticPr fontId="7" type="noConversion"/>
  </si>
  <si>
    <t>12~18</t>
    <phoneticPr fontId="7" type="noConversion"/>
  </si>
  <si>
    <t>19~25</t>
    <phoneticPr fontId="7" type="noConversion"/>
  </si>
  <si>
    <t>9/26~2</t>
    <phoneticPr fontId="7" type="noConversion"/>
  </si>
  <si>
    <t>10/31~6</t>
    <phoneticPr fontId="7" type="noConversion"/>
  </si>
  <si>
    <t>11/28~4</t>
    <phoneticPr fontId="7" type="noConversion"/>
  </si>
  <si>
    <t>26~1/1</t>
    <phoneticPr fontId="7" type="noConversion"/>
  </si>
  <si>
    <t>날짜</t>
    <phoneticPr fontId="7" type="noConversion"/>
  </si>
  <si>
    <t>전체
계약용량</t>
    <phoneticPr fontId="7" type="noConversion"/>
  </si>
  <si>
    <t>전체
계약건수</t>
    <phoneticPr fontId="7" type="noConversion"/>
  </si>
  <si>
    <t>전체 계약금액
(억단위) 
vat별도</t>
    <phoneticPr fontId="7" type="noConversion"/>
  </si>
  <si>
    <t>직영(가)</t>
  </si>
  <si>
    <t>협력하도(I) 제외</t>
    <phoneticPr fontId="7" type="noConversion"/>
  </si>
  <si>
    <t>협력하도(I) 포함</t>
    <phoneticPr fontId="7" type="noConversion"/>
  </si>
  <si>
    <t>김정민</t>
    <phoneticPr fontId="7" type="noConversion"/>
  </si>
  <si>
    <t>문의 건</t>
    <phoneticPr fontId="7" type="noConversion"/>
  </si>
  <si>
    <t>월/문의건</t>
    <phoneticPr fontId="7" type="noConversion"/>
  </si>
  <si>
    <t>그 외</t>
    <phoneticPr fontId="7" type="noConversion"/>
  </si>
  <si>
    <t>소개</t>
    <phoneticPr fontId="7" type="noConversion"/>
  </si>
  <si>
    <t>비율</t>
    <phoneticPr fontId="7" type="noConversion"/>
  </si>
  <si>
    <t>목표용량(kW)</t>
    <phoneticPr fontId="7" type="noConversion"/>
  </si>
  <si>
    <t>달성률</t>
    <phoneticPr fontId="7" type="noConversion"/>
  </si>
  <si>
    <t>직영</t>
    <phoneticPr fontId="7" type="noConversion"/>
  </si>
  <si>
    <t>입찰</t>
    <phoneticPr fontId="7" type="noConversion"/>
  </si>
  <si>
    <t>외주</t>
    <phoneticPr fontId="7" type="noConversion"/>
  </si>
  <si>
    <t>달성률(%)</t>
    <phoneticPr fontId="7" type="noConversion"/>
  </si>
  <si>
    <t>4월</t>
  </si>
  <si>
    <t>5월</t>
  </si>
  <si>
    <t>6월</t>
  </si>
  <si>
    <t>7월</t>
  </si>
  <si>
    <t>8월</t>
  </si>
  <si>
    <t>목표용량(MW)</t>
    <phoneticPr fontId="7" type="noConversion"/>
  </si>
  <si>
    <t>계약용량(MW)</t>
    <phoneticPr fontId="7" type="noConversion"/>
  </si>
  <si>
    <t xml:space="preserve">★★ 월간보고는 무조건 계약일자 기준으로 작성(엑셀파일) </t>
    <phoneticPr fontId="7" type="noConversion"/>
  </si>
  <si>
    <t>★★ 주간보고는 엑셀스프레드 시트 기준으로 작성(한글파일)</t>
    <phoneticPr fontId="7" type="noConversion"/>
  </si>
  <si>
    <t>발전사업(A)</t>
    <phoneticPr fontId="7" type="noConversion"/>
  </si>
  <si>
    <t>자가소비(B)</t>
    <phoneticPr fontId="7" type="noConversion"/>
  </si>
  <si>
    <t>PPA 사업(C)</t>
    <phoneticPr fontId="7" type="noConversion"/>
  </si>
  <si>
    <t>리스사업(D)</t>
    <phoneticPr fontId="7" type="noConversion"/>
  </si>
  <si>
    <t>임대사업(E)</t>
    <phoneticPr fontId="7" type="noConversion"/>
  </si>
  <si>
    <t>환경부사업(F)</t>
    <phoneticPr fontId="7" type="noConversion"/>
  </si>
  <si>
    <t>프로젝트(G)</t>
    <phoneticPr fontId="7" type="noConversion"/>
  </si>
  <si>
    <t>협력사 EPC(H)</t>
    <phoneticPr fontId="7" type="noConversion"/>
  </si>
  <si>
    <t>협력사 하도(I)</t>
    <phoneticPr fontId="7" type="noConversion"/>
  </si>
  <si>
    <t>기타(Z)</t>
    <phoneticPr fontId="7" type="noConversion"/>
  </si>
  <si>
    <t>장광수</t>
    <phoneticPr fontId="7" type="noConversion"/>
  </si>
  <si>
    <t>정규진</t>
    <phoneticPr fontId="7" type="noConversion"/>
  </si>
  <si>
    <t>총합산</t>
    <phoneticPr fontId="7" type="noConversion"/>
  </si>
  <si>
    <t>위치</t>
    <phoneticPr fontId="7" type="noConversion"/>
  </si>
  <si>
    <t>개수</t>
    <phoneticPr fontId="7" type="noConversion"/>
  </si>
  <si>
    <t>산단</t>
  </si>
  <si>
    <t>공장</t>
  </si>
  <si>
    <t>창고</t>
  </si>
  <si>
    <t>축사</t>
  </si>
  <si>
    <t>근생</t>
  </si>
  <si>
    <t>자원순환</t>
  </si>
  <si>
    <t>토지</t>
    <phoneticPr fontId="7" type="noConversion"/>
  </si>
  <si>
    <t>업무시설</t>
    <phoneticPr fontId="7" type="noConversion"/>
  </si>
  <si>
    <t>총합</t>
    <phoneticPr fontId="7" type="noConversion"/>
  </si>
  <si>
    <t>산단</t>
    <phoneticPr fontId="7" type="noConversion"/>
  </si>
  <si>
    <t>상태</t>
    <phoneticPr fontId="7" type="noConversion"/>
  </si>
  <si>
    <t>25년 총 계약 현황</t>
    <phoneticPr fontId="7" type="noConversion"/>
  </si>
  <si>
    <t>용량 (kW)</t>
    <phoneticPr fontId="7" type="noConversion"/>
  </si>
  <si>
    <t>금액 (VAT제외)</t>
    <phoneticPr fontId="7" type="noConversion"/>
  </si>
  <si>
    <t>25년 총 유지 현황</t>
    <phoneticPr fontId="7" type="noConversion"/>
  </si>
  <si>
    <t>25년 총 취소 현황</t>
    <phoneticPr fontId="7" type="noConversion"/>
  </si>
  <si>
    <t>25년 총 보류 현황</t>
    <phoneticPr fontId="7" type="noConversion"/>
  </si>
  <si>
    <t>유지</t>
    <phoneticPr fontId="7" type="noConversion"/>
  </si>
  <si>
    <t>취소</t>
    <phoneticPr fontId="7" type="noConversion"/>
  </si>
  <si>
    <t>보류</t>
    <phoneticPr fontId="7" type="noConversion"/>
  </si>
  <si>
    <t>계약 건</t>
    <phoneticPr fontId="7" type="noConversion"/>
  </si>
  <si>
    <t>스프레드시트 계약체크함</t>
    <phoneticPr fontId="7" type="noConversion"/>
  </si>
  <si>
    <t>전체 합계</t>
    <phoneticPr fontId="7" type="noConversion"/>
  </si>
  <si>
    <t xml:space="preserve"> 전체</t>
    <phoneticPr fontId="7" type="noConversion"/>
  </si>
  <si>
    <t>전체 계약 건수</t>
    <phoneticPr fontId="7" type="noConversion"/>
  </si>
  <si>
    <t>전체 계약 용량</t>
    <phoneticPr fontId="7" type="noConversion"/>
  </si>
  <si>
    <t>마케팅 계약 용량</t>
    <phoneticPr fontId="7" type="noConversion"/>
  </si>
  <si>
    <t>마케팅 계약 건수</t>
    <phoneticPr fontId="7" type="noConversion"/>
  </si>
  <si>
    <t>소개 계약 용량</t>
    <phoneticPr fontId="7" type="noConversion"/>
  </si>
  <si>
    <t>소개 계약 건수</t>
    <phoneticPr fontId="7" type="noConversion"/>
  </si>
  <si>
    <t>전체</t>
    <phoneticPr fontId="7" type="noConversion"/>
  </si>
  <si>
    <t xml:space="preserve">  </t>
    <phoneticPr fontId="7" type="noConversion"/>
  </si>
  <si>
    <t>누계 건수</t>
    <phoneticPr fontId="7" type="noConversion"/>
  </si>
  <si>
    <t xml:space="preserve"> </t>
    <phoneticPr fontId="7" type="noConversion"/>
  </si>
  <si>
    <t>서울</t>
  </si>
  <si>
    <t>인천</t>
  </si>
  <si>
    <t>대전</t>
  </si>
  <si>
    <t>세종</t>
  </si>
  <si>
    <t>안성지사</t>
  </si>
  <si>
    <t>부산</t>
  </si>
  <si>
    <t>대구</t>
  </si>
  <si>
    <t>울산</t>
  </si>
  <si>
    <t>제주</t>
  </si>
  <si>
    <t>광주</t>
  </si>
  <si>
    <t xml:space="preserve"> 지역별통계</t>
    <phoneticPr fontId="7" type="noConversion"/>
  </si>
  <si>
    <t>경기</t>
    <phoneticPr fontId="7" type="noConversion"/>
  </si>
  <si>
    <t>강원</t>
    <phoneticPr fontId="7" type="noConversion"/>
  </si>
  <si>
    <t>충남</t>
    <phoneticPr fontId="7" type="noConversion"/>
  </si>
  <si>
    <t>충북</t>
    <phoneticPr fontId="7" type="noConversion"/>
  </si>
  <si>
    <t>경남</t>
    <phoneticPr fontId="7" type="noConversion"/>
  </si>
  <si>
    <t>경북</t>
    <phoneticPr fontId="7" type="noConversion"/>
  </si>
  <si>
    <t>전북</t>
    <phoneticPr fontId="7" type="noConversion"/>
  </si>
  <si>
    <t>전남</t>
    <phoneticPr fontId="7" type="noConversion"/>
  </si>
  <si>
    <t>부산지사</t>
    <phoneticPr fontId="7" type="noConversion"/>
  </si>
  <si>
    <r>
      <rPr>
        <b/>
        <sz val="11"/>
        <color rgb="FF0000FF"/>
        <rFont val="맑은 고딕"/>
        <family val="3"/>
        <charset val="129"/>
      </rPr>
      <t>전체</t>
    </r>
    <r>
      <rPr>
        <b/>
        <sz val="11"/>
        <color rgb="FF0000FF"/>
        <rFont val="Calibri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>문의</t>
    </r>
    <phoneticPr fontId="7" type="noConversion"/>
  </si>
  <si>
    <t>지역</t>
    <phoneticPr fontId="7" type="noConversion"/>
  </si>
  <si>
    <t>합계 용량 / 건수</t>
    <phoneticPr fontId="7" type="noConversion"/>
  </si>
  <si>
    <t>2~8</t>
  </si>
  <si>
    <t>9~15</t>
  </si>
  <si>
    <t>16~22</t>
  </si>
  <si>
    <t>23~29</t>
  </si>
  <si>
    <t>6~12</t>
  </si>
  <si>
    <t>13~19</t>
  </si>
  <si>
    <t>20~26</t>
  </si>
  <si>
    <t>2/30~5</t>
    <phoneticPr fontId="7" type="noConversion"/>
  </si>
  <si>
    <t>3/27~5</t>
    <phoneticPr fontId="7" type="noConversion"/>
  </si>
  <si>
    <t>3~9</t>
  </si>
  <si>
    <t>10~16</t>
  </si>
  <si>
    <t>17~23</t>
  </si>
  <si>
    <t>24~30</t>
  </si>
  <si>
    <t>4/3~9</t>
    <phoneticPr fontId="7" type="noConversion"/>
  </si>
  <si>
    <t>1~7</t>
  </si>
  <si>
    <t>8~14</t>
  </si>
  <si>
    <t>15~21</t>
  </si>
  <si>
    <t>22~28</t>
  </si>
  <si>
    <t>5~11</t>
  </si>
  <si>
    <t>12~18</t>
  </si>
  <si>
    <t>19~25</t>
  </si>
  <si>
    <t>5/29~4</t>
    <phoneticPr fontId="7" type="noConversion"/>
  </si>
  <si>
    <t>7~13</t>
  </si>
  <si>
    <t>14~20</t>
  </si>
  <si>
    <t>21~27</t>
  </si>
  <si>
    <t>4~10</t>
  </si>
  <si>
    <t>11~17</t>
  </si>
  <si>
    <t>18~24</t>
  </si>
  <si>
    <t>25~31</t>
  </si>
  <si>
    <t>27~4/2</t>
    <phoneticPr fontId="7" type="noConversion"/>
  </si>
  <si>
    <t>26~7/2</t>
    <phoneticPr fontId="7" type="noConversion"/>
  </si>
  <si>
    <t>7/31~6</t>
    <phoneticPr fontId="7" type="noConversion"/>
  </si>
  <si>
    <t>8/28~3</t>
    <phoneticPr fontId="7" type="noConversion"/>
  </si>
  <si>
    <t>25~10/1</t>
    <phoneticPr fontId="7" type="noConversion"/>
  </si>
  <si>
    <t>10/30~5</t>
    <phoneticPr fontId="7" type="noConversion"/>
  </si>
  <si>
    <t>11/27~3</t>
    <phoneticPr fontId="7" type="noConversion"/>
  </si>
  <si>
    <t>2026년도 계약현황</t>
    <phoneticPr fontId="7" type="noConversion"/>
  </si>
  <si>
    <t>외주(나)</t>
  </si>
  <si>
    <t>기존시설물(A)</t>
  </si>
  <si>
    <t>대림기공</t>
    <phoneticPr fontId="7" type="noConversion"/>
  </si>
  <si>
    <t>부산</t>
    <phoneticPr fontId="7" type="noConversion"/>
  </si>
  <si>
    <t>부산 강서구 녹산산단381로 64</t>
    <phoneticPr fontId="7" type="noConversion"/>
  </si>
  <si>
    <t>(주)그랜드썬기술단</t>
  </si>
  <si>
    <t>G12-2406</t>
    <phoneticPr fontId="7" type="noConversion"/>
  </si>
  <si>
    <t>그 외</t>
  </si>
  <si>
    <t>외주영업자 배병수</t>
    <phoneticPr fontId="7" type="noConversion"/>
  </si>
  <si>
    <t>공장</t>
    <phoneticPr fontId="7" type="noConversion"/>
  </si>
  <si>
    <t>유지</t>
  </si>
  <si>
    <t>26년 계약상황</t>
    <phoneticPr fontId="7" type="noConversion"/>
  </si>
  <si>
    <t>001</t>
    <phoneticPr fontId="7" type="noConversion"/>
  </si>
  <si>
    <t>003</t>
    <phoneticPr fontId="7" type="noConversion"/>
  </si>
  <si>
    <t>허영준</t>
    <phoneticPr fontId="7" type="noConversion"/>
  </si>
  <si>
    <t>김동호</t>
    <phoneticPr fontId="7" type="noConversion"/>
  </si>
  <si>
    <t>나라판넬사천</t>
    <phoneticPr fontId="7" type="noConversion"/>
  </si>
  <si>
    <t>종합기계</t>
    <phoneticPr fontId="7" type="noConversion"/>
  </si>
  <si>
    <t>사천시 정동면 장산리 973,973-1</t>
    <phoneticPr fontId="7" type="noConversion"/>
  </si>
  <si>
    <t>양산시 산막공단남8길 21</t>
    <phoneticPr fontId="7" type="noConversion"/>
  </si>
  <si>
    <t>09-2201</t>
    <phoneticPr fontId="7" type="noConversion"/>
  </si>
  <si>
    <t>10-1705</t>
    <phoneticPr fontId="7" type="noConversion"/>
  </si>
  <si>
    <t>소개</t>
  </si>
  <si>
    <t>직접유입</t>
    <phoneticPr fontId="7" type="noConversion"/>
  </si>
  <si>
    <t>위경선회장 -&gt; 위난구대표님</t>
    <phoneticPr fontId="7" type="noConversion"/>
  </si>
  <si>
    <t>㈜티엘이앤씨</t>
    <phoneticPr fontId="7" type="noConversion"/>
  </si>
  <si>
    <t>경기</t>
  </si>
  <si>
    <t>이천시 설성면 진상미로 502</t>
    <phoneticPr fontId="7" type="noConversion"/>
  </si>
  <si>
    <t>SP10-0202</t>
    <phoneticPr fontId="7" type="noConversion"/>
  </si>
  <si>
    <t>002</t>
    <phoneticPr fontId="7" type="noConversion"/>
  </si>
  <si>
    <t>진으뜸</t>
    <phoneticPr fontId="7" type="noConversion"/>
  </si>
  <si>
    <t>서정코리아</t>
    <phoneticPr fontId="7" type="noConversion"/>
  </si>
  <si>
    <t>파주시 연다산길 246</t>
    <phoneticPr fontId="7" type="noConversion"/>
  </si>
  <si>
    <t>11-0623</t>
    <phoneticPr fontId="7" type="noConversion"/>
  </si>
  <si>
    <t>용현무</t>
    <phoneticPr fontId="7" type="noConversion"/>
  </si>
  <si>
    <t>제이에이치</t>
    <phoneticPr fontId="7" type="noConversion"/>
  </si>
  <si>
    <t>충북</t>
  </si>
  <si>
    <t>음성군 금왕읍 유촌산단1길 72</t>
    <phoneticPr fontId="7" type="noConversion"/>
  </si>
  <si>
    <t>08-0614</t>
    <phoneticPr fontId="7" type="noConversion"/>
  </si>
  <si>
    <t>임준길</t>
    <phoneticPr fontId="7" type="noConversion"/>
  </si>
  <si>
    <t>버들상가</t>
    <phoneticPr fontId="7" type="noConversion"/>
  </si>
  <si>
    <t>팔탄면 버들로 1552</t>
    <phoneticPr fontId="7" type="noConversion"/>
  </si>
  <si>
    <t>12-1801</t>
    <phoneticPr fontId="7" type="noConversion"/>
  </si>
  <si>
    <t>김상수</t>
    <phoneticPr fontId="7" type="noConversion"/>
  </si>
  <si>
    <t>남일2호</t>
    <phoneticPr fontId="7" type="noConversion"/>
  </si>
  <si>
    <t>의성군 금성면 도경길 259-33</t>
    <phoneticPr fontId="7" type="noConversion"/>
  </si>
  <si>
    <t>12-2204</t>
    <phoneticPr fontId="7" type="noConversion"/>
  </si>
  <si>
    <t>사업주 추가건</t>
    <phoneticPr fontId="7" type="noConversion"/>
  </si>
  <si>
    <t>대양공업</t>
    <phoneticPr fontId="7" type="noConversion"/>
  </si>
  <si>
    <t>부산 강서구 미음국제5로다길 19</t>
    <phoneticPr fontId="7" type="noConversion"/>
  </si>
  <si>
    <t>12-1008</t>
    <phoneticPr fontId="7" type="noConversion"/>
  </si>
  <si>
    <t>대림</t>
    <phoneticPr fontId="7" type="noConversion"/>
  </si>
  <si>
    <t>경남 김해시 한림면 김해대로 1102-126</t>
    <phoneticPr fontId="7" type="noConversion"/>
  </si>
  <si>
    <t>김지훈</t>
    <phoneticPr fontId="7" type="noConversion"/>
  </si>
  <si>
    <t>G12-1205</t>
    <phoneticPr fontId="7" type="noConversion"/>
  </si>
  <si>
    <t>외주영업자 박정우</t>
    <phoneticPr fontId="7" type="noConversion"/>
  </si>
  <si>
    <t>경기 이천시 호법면 안평리 538, 515</t>
    <phoneticPr fontId="7" type="noConversion"/>
  </si>
  <si>
    <t>G08-0706</t>
    <phoneticPr fontId="7" type="noConversion"/>
  </si>
  <si>
    <t>외주영업자 정규은</t>
    <phoneticPr fontId="7" type="noConversion"/>
  </si>
  <si>
    <t>㈜에바싸이클 2호</t>
    <phoneticPr fontId="7" type="noConversion"/>
  </si>
  <si>
    <t>화성시 우정읍 주곡리 161-166</t>
    <phoneticPr fontId="7" type="noConversion"/>
  </si>
  <si>
    <t>SP09-1501</t>
    <phoneticPr fontId="7" type="noConversion"/>
  </si>
  <si>
    <t>경기 화성시 남양읍 온석리 400-9</t>
    <phoneticPr fontId="7" type="noConversion"/>
  </si>
  <si>
    <t>㈜자몽나라</t>
    <phoneticPr fontId="7" type="noConversion"/>
  </si>
  <si>
    <t>SP11-2002</t>
    <phoneticPr fontId="7" type="noConversion"/>
  </si>
  <si>
    <t>㈜에바싸이클 1호</t>
    <phoneticPr fontId="7" type="noConversion"/>
  </si>
  <si>
    <t>경기 화성시 양감면 요당리 110-65</t>
    <phoneticPr fontId="7" type="noConversion"/>
  </si>
  <si>
    <t>보영</t>
    <phoneticPr fontId="7" type="noConversion"/>
  </si>
  <si>
    <t>에이치씨앤티</t>
    <phoneticPr fontId="7" type="noConversion"/>
  </si>
  <si>
    <t>그린피엔텍</t>
    <phoneticPr fontId="7" type="noConversion"/>
  </si>
  <si>
    <t>양산시 상북면 석계산단3길 35</t>
    <phoneticPr fontId="7" type="noConversion"/>
  </si>
  <si>
    <t>12-2932</t>
    <phoneticPr fontId="7" type="noConversion"/>
  </si>
  <si>
    <t>미계약자(세광)</t>
    <phoneticPr fontId="7" type="noConversion"/>
  </si>
  <si>
    <t>세운스텐</t>
    <phoneticPr fontId="7" type="noConversion"/>
  </si>
  <si>
    <t>김해시 대동면 대동산단8로 114</t>
    <phoneticPr fontId="7" type="noConversion"/>
  </si>
  <si>
    <t>09-1202</t>
    <phoneticPr fontId="7" type="noConversion"/>
  </si>
  <si>
    <t>김해 사업설명회</t>
    <phoneticPr fontId="7" type="noConversion"/>
  </si>
  <si>
    <t>진목리</t>
    <phoneticPr fontId="7" type="noConversion"/>
  </si>
  <si>
    <t xml:space="preserve">경기 </t>
    <phoneticPr fontId="7" type="noConversion"/>
  </si>
  <si>
    <t>경기 포천시 내촌면 내진로 174</t>
    <phoneticPr fontId="7" type="noConversion"/>
  </si>
  <si>
    <t>G12-0507</t>
    <phoneticPr fontId="7" type="noConversion"/>
  </si>
  <si>
    <t>외주영업자 신동주</t>
    <phoneticPr fontId="7" type="noConversion"/>
  </si>
  <si>
    <t>허영준</t>
    <phoneticPr fontId="7" type="noConversion"/>
  </si>
  <si>
    <t>조성현</t>
    <phoneticPr fontId="7" type="noConversion"/>
  </si>
  <si>
    <t>무진산업</t>
    <phoneticPr fontId="7" type="noConversion"/>
  </si>
  <si>
    <t>경남</t>
    <phoneticPr fontId="7" type="noConversion"/>
  </si>
  <si>
    <t>김해시 진례면 테크노밸리로 148</t>
    <phoneticPr fontId="7" type="noConversion"/>
  </si>
  <si>
    <t>01-0712</t>
    <phoneticPr fontId="7" type="noConversion"/>
  </si>
  <si>
    <t>그 외</t>
    <phoneticPr fontId="7" type="noConversion"/>
  </si>
  <si>
    <t>직접유입</t>
    <phoneticPr fontId="7" type="noConversion"/>
  </si>
  <si>
    <t>산단</t>
    <phoneticPr fontId="7" type="noConversion"/>
  </si>
  <si>
    <t>유지</t>
    <phoneticPr fontId="7" type="noConversion"/>
  </si>
  <si>
    <t>금문에너지</t>
    <phoneticPr fontId="7" type="noConversion"/>
  </si>
  <si>
    <t>김해시 진례면 테크노밸리로 164</t>
    <phoneticPr fontId="7" type="noConversion"/>
  </si>
  <si>
    <t>김동호</t>
    <phoneticPr fontId="7" type="noConversion"/>
  </si>
  <si>
    <t>조성현</t>
    <phoneticPr fontId="7" type="noConversion"/>
  </si>
  <si>
    <t>주식회사부이</t>
    <phoneticPr fontId="7" type="noConversion"/>
  </si>
  <si>
    <t>부산</t>
    <phoneticPr fontId="7" type="noConversion"/>
  </si>
  <si>
    <t>금정구 개좌로 207</t>
    <phoneticPr fontId="7" type="noConversion"/>
  </si>
  <si>
    <t>01-1407</t>
    <phoneticPr fontId="7" type="noConversion"/>
  </si>
  <si>
    <t>소개</t>
    <phoneticPr fontId="7" type="noConversion"/>
  </si>
  <si>
    <t>밀양이티엔(사업주)</t>
    <phoneticPr fontId="7" type="noConversion"/>
  </si>
  <si>
    <t>업무시설</t>
  </si>
  <si>
    <t>김지훈</t>
    <phoneticPr fontId="7" type="noConversion"/>
  </si>
  <si>
    <t>장광수</t>
    <phoneticPr fontId="7" type="noConversion"/>
  </si>
  <si>
    <t>플레이버랩스</t>
    <phoneticPr fontId="7" type="noConversion"/>
  </si>
  <si>
    <t>경기</t>
    <phoneticPr fontId="7" type="noConversion"/>
  </si>
  <si>
    <t>경기 화성시 정남면 귀래리 418,417</t>
    <phoneticPr fontId="7" type="noConversion"/>
  </si>
  <si>
    <t>G01-0603</t>
    <phoneticPr fontId="7" type="noConversion"/>
  </si>
  <si>
    <t>외주영업자 최영주</t>
    <phoneticPr fontId="7" type="noConversion"/>
  </si>
  <si>
    <t>공장</t>
    <phoneticPr fontId="7" type="noConversion"/>
  </si>
  <si>
    <t>유지</t>
    <phoneticPr fontId="7" type="noConversion"/>
  </si>
  <si>
    <t>장광수</t>
    <phoneticPr fontId="7" type="noConversion"/>
  </si>
  <si>
    <t>엔에이홀딩스</t>
    <phoneticPr fontId="7" type="noConversion"/>
  </si>
  <si>
    <t>경남</t>
    <phoneticPr fontId="7" type="noConversion"/>
  </si>
  <si>
    <t>경남 김해시 한림면 김해대로 1504</t>
    <phoneticPr fontId="7" type="noConversion"/>
  </si>
  <si>
    <t>G07-3002</t>
    <phoneticPr fontId="7" type="noConversion"/>
  </si>
  <si>
    <t>외주영업자 박정우</t>
    <phoneticPr fontId="7" type="noConversion"/>
  </si>
  <si>
    <t>공장</t>
    <phoneticPr fontId="7" type="noConversion"/>
  </si>
  <si>
    <t>유지</t>
    <phoneticPr fontId="7" type="noConversion"/>
  </si>
  <si>
    <t>정규진</t>
    <phoneticPr fontId="7" type="noConversion"/>
  </si>
  <si>
    <t>김상수</t>
    <phoneticPr fontId="7" type="noConversion"/>
  </si>
  <si>
    <t>에이치케이2</t>
    <phoneticPr fontId="7" type="noConversion"/>
  </si>
  <si>
    <t>경기 파주시 고봉로 721-64</t>
    <phoneticPr fontId="7" type="noConversion"/>
  </si>
  <si>
    <t>12-0203</t>
    <phoneticPr fontId="7" type="noConversion"/>
  </si>
  <si>
    <t>김지훈</t>
    <phoneticPr fontId="7" type="noConversion"/>
  </si>
  <si>
    <t>장광수</t>
    <phoneticPr fontId="7" type="noConversion"/>
  </si>
  <si>
    <t>HJ특수강</t>
    <phoneticPr fontId="7" type="noConversion"/>
  </si>
  <si>
    <t>부산</t>
    <phoneticPr fontId="7" type="noConversion"/>
  </si>
  <si>
    <t>부산 강서구 생곡산단2로 7</t>
    <phoneticPr fontId="7" type="noConversion"/>
  </si>
  <si>
    <t>G12-3001</t>
    <phoneticPr fontId="7" type="noConversion"/>
  </si>
  <si>
    <t>그 외</t>
    <phoneticPr fontId="7" type="noConversion"/>
  </si>
  <si>
    <t>외주영업자 배병수</t>
    <phoneticPr fontId="7" type="noConversion"/>
  </si>
  <si>
    <t>자원순환</t>
    <phoneticPr fontId="7" type="noConversion"/>
  </si>
  <si>
    <t>유지</t>
    <phoneticPr fontId="7" type="noConversion"/>
  </si>
  <si>
    <t>입찰(다)</t>
  </si>
  <si>
    <t>권진영</t>
    <phoneticPr fontId="7" type="noConversion"/>
  </si>
  <si>
    <t>충북 청주시 흥덕구 2순환로 765</t>
    <phoneticPr fontId="7" type="noConversion"/>
  </si>
  <si>
    <t>LG생활건강</t>
    <phoneticPr fontId="7" type="noConversion"/>
  </si>
  <si>
    <t>장광수</t>
    <phoneticPr fontId="7" type="noConversion"/>
  </si>
  <si>
    <t>JM메탈</t>
    <phoneticPr fontId="7" type="noConversion"/>
  </si>
  <si>
    <t>경남</t>
    <phoneticPr fontId="7" type="noConversion"/>
  </si>
  <si>
    <t>경남 김해시 진례면 고모로 69</t>
    <phoneticPr fontId="7" type="noConversion"/>
  </si>
  <si>
    <t>G12-3002</t>
    <phoneticPr fontId="7" type="noConversion"/>
  </si>
  <si>
    <t>공장</t>
    <phoneticPr fontId="7" type="noConversion"/>
  </si>
  <si>
    <t>김동호</t>
    <phoneticPr fontId="7" type="noConversion"/>
  </si>
  <si>
    <t>진으뜸</t>
    <phoneticPr fontId="7" type="noConversion"/>
  </si>
  <si>
    <t>리나</t>
    <phoneticPr fontId="7" type="noConversion"/>
  </si>
  <si>
    <t>경기 광주시 초월읍 동막골길 150-18</t>
    <phoneticPr fontId="7" type="noConversion"/>
  </si>
  <si>
    <t>01-1302</t>
    <phoneticPr fontId="7" type="noConversion"/>
  </si>
  <si>
    <t>현진에너지 김현진 대표</t>
    <phoneticPr fontId="7" type="noConversion"/>
  </si>
  <si>
    <t>김세종</t>
    <phoneticPr fontId="7" type="noConversion"/>
  </si>
  <si>
    <t>조성현</t>
    <phoneticPr fontId="7" type="noConversion"/>
  </si>
  <si>
    <t>메디로지스</t>
    <phoneticPr fontId="7" type="noConversion"/>
  </si>
  <si>
    <t>경남</t>
    <phoneticPr fontId="7" type="noConversion"/>
  </si>
  <si>
    <t>창원시 마산회원구 내서읍 광려천서로 153</t>
    <phoneticPr fontId="7" type="noConversion"/>
  </si>
  <si>
    <t>01-0512</t>
    <phoneticPr fontId="7" type="noConversion"/>
  </si>
  <si>
    <t>그 외</t>
    <phoneticPr fontId="7" type="noConversion"/>
  </si>
  <si>
    <t>직접유입</t>
    <phoneticPr fontId="7" type="noConversion"/>
  </si>
  <si>
    <t>유지</t>
    <phoneticPr fontId="7" type="noConversion"/>
  </si>
  <si>
    <t>금성냉동</t>
    <phoneticPr fontId="7" type="noConversion"/>
  </si>
  <si>
    <t>경기 남양주시 진접읍 금강로1633번길 56</t>
    <phoneticPr fontId="7" type="noConversion"/>
  </si>
  <si>
    <t>01-1204</t>
    <phoneticPr fontId="7" type="noConversion"/>
  </si>
  <si>
    <t>근생</t>
    <phoneticPr fontId="7" type="noConversion"/>
  </si>
  <si>
    <t>유지</t>
    <phoneticPr fontId="7" type="noConversion"/>
  </si>
  <si>
    <t>김동호</t>
    <phoneticPr fontId="7" type="noConversion"/>
  </si>
  <si>
    <t>조성현</t>
    <phoneticPr fontId="7" type="noConversion"/>
  </si>
  <si>
    <t>대흥</t>
    <phoneticPr fontId="7" type="noConversion"/>
  </si>
  <si>
    <t>경북</t>
    <phoneticPr fontId="7" type="noConversion"/>
  </si>
  <si>
    <t>의성군 의성읍 용연리 135</t>
    <phoneticPr fontId="7" type="noConversion"/>
  </si>
  <si>
    <t>01-1501</t>
    <phoneticPr fontId="7" type="noConversion"/>
  </si>
  <si>
    <t>소개</t>
    <phoneticPr fontId="7" type="noConversion"/>
  </si>
  <si>
    <t>황보현팀장</t>
    <phoneticPr fontId="7" type="noConversion"/>
  </si>
  <si>
    <t>직영(가)</t>
    <phoneticPr fontId="7" type="noConversion"/>
  </si>
  <si>
    <t>기존시설물(A)</t>
    <phoneticPr fontId="7" type="noConversion"/>
  </si>
  <si>
    <t>허영준</t>
    <phoneticPr fontId="7" type="noConversion"/>
  </si>
  <si>
    <t>진으뜸</t>
    <phoneticPr fontId="7" type="noConversion"/>
  </si>
  <si>
    <t>한국토탈</t>
    <phoneticPr fontId="7" type="noConversion"/>
  </si>
  <si>
    <t>한국티알</t>
    <phoneticPr fontId="7" type="noConversion"/>
  </si>
  <si>
    <t>평택시 포승읍 희곡리 822-6</t>
    <phoneticPr fontId="7" type="noConversion"/>
  </si>
  <si>
    <t>평택시 포승읍 희곡리 822-7</t>
    <phoneticPr fontId="7" type="noConversion"/>
  </si>
  <si>
    <t>01-1401</t>
    <phoneticPr fontId="7" type="noConversion"/>
  </si>
  <si>
    <t>김상수</t>
    <phoneticPr fontId="7" type="noConversion"/>
  </si>
  <si>
    <t>최창민</t>
    <phoneticPr fontId="7" type="noConversion"/>
  </si>
  <si>
    <t>㈜영사이언스</t>
    <phoneticPr fontId="7" type="noConversion"/>
  </si>
  <si>
    <t>경기</t>
    <phoneticPr fontId="7" type="noConversion"/>
  </si>
  <si>
    <t>경기 김포시 양촌읍 학운리 3963</t>
    <phoneticPr fontId="7" type="noConversion"/>
  </si>
  <si>
    <t>12-0523</t>
    <phoneticPr fontId="7" type="noConversion"/>
  </si>
  <si>
    <t>직접유입</t>
    <phoneticPr fontId="7" type="noConversion"/>
  </si>
  <si>
    <t>유지</t>
    <phoneticPr fontId="7" type="noConversion"/>
  </si>
  <si>
    <t>001</t>
    <phoneticPr fontId="7" type="noConversion"/>
  </si>
  <si>
    <t>전남 화순군 화순읍 산단길 12-49</t>
    <phoneticPr fontId="7" type="noConversion"/>
  </si>
  <si>
    <t>김동호</t>
    <phoneticPr fontId="7" type="noConversion"/>
  </si>
  <si>
    <t>조성현</t>
    <phoneticPr fontId="7" type="noConversion"/>
  </si>
  <si>
    <t>유진에프에이</t>
    <phoneticPr fontId="7" type="noConversion"/>
  </si>
  <si>
    <t>짐모아</t>
    <phoneticPr fontId="7" type="noConversion"/>
  </si>
  <si>
    <t>비씨앤택</t>
    <phoneticPr fontId="7" type="noConversion"/>
  </si>
  <si>
    <t>부산</t>
    <phoneticPr fontId="7" type="noConversion"/>
  </si>
  <si>
    <t>강서구 과학산단2로 43번길 56</t>
    <phoneticPr fontId="7" type="noConversion"/>
  </si>
  <si>
    <t>강서구 과학산단2로 42번길 11</t>
    <phoneticPr fontId="7" type="noConversion"/>
  </si>
  <si>
    <t>강서구 과학산단2로 42번길 16</t>
    <phoneticPr fontId="7" type="noConversion"/>
  </si>
  <si>
    <t>01-0914</t>
    <phoneticPr fontId="7" type="noConversion"/>
  </si>
  <si>
    <t>01-0917</t>
    <phoneticPr fontId="7" type="noConversion"/>
  </si>
  <si>
    <t>01-0915</t>
    <phoneticPr fontId="7" type="noConversion"/>
  </si>
  <si>
    <t>소개</t>
    <phoneticPr fontId="7" type="noConversion"/>
  </si>
  <si>
    <t>한진섬유소개</t>
    <phoneticPr fontId="7" type="noConversion"/>
  </si>
  <si>
    <t>유진에프에이소개</t>
    <phoneticPr fontId="7" type="noConversion"/>
  </si>
  <si>
    <t>용현무</t>
    <phoneticPr fontId="7" type="noConversion"/>
  </si>
  <si>
    <t>최창민</t>
    <phoneticPr fontId="7" type="noConversion"/>
  </si>
  <si>
    <t>㈜대진산업</t>
    <phoneticPr fontId="7" type="noConversion"/>
  </si>
  <si>
    <t>경남</t>
  </si>
  <si>
    <t>경남 김해시 유하로 133번길 67-7</t>
    <phoneticPr fontId="7" type="noConversion"/>
  </si>
  <si>
    <t>01-2305</t>
    <phoneticPr fontId="7" type="noConversion"/>
  </si>
  <si>
    <t>21세기산업 1만원</t>
    <phoneticPr fontId="7" type="noConversion"/>
  </si>
  <si>
    <t>임준길</t>
    <phoneticPr fontId="7" type="noConversion"/>
  </si>
  <si>
    <t>백암</t>
    <phoneticPr fontId="7" type="noConversion"/>
  </si>
  <si>
    <t>대구 달서구 월곡로99길 27</t>
    <phoneticPr fontId="7" type="noConversion"/>
  </si>
  <si>
    <t>12-2301</t>
    <phoneticPr fontId="7" type="noConversion"/>
  </si>
  <si>
    <t>PM이우근사원 소개</t>
    <phoneticPr fontId="7" type="noConversion"/>
  </si>
  <si>
    <t>근생</t>
    <phoneticPr fontId="7" type="noConversion"/>
  </si>
  <si>
    <t>김지훈</t>
    <phoneticPr fontId="7" type="noConversion"/>
  </si>
  <si>
    <t>장광수</t>
    <phoneticPr fontId="7" type="noConversion"/>
  </si>
  <si>
    <t>디케이텍</t>
    <phoneticPr fontId="7" type="noConversion"/>
  </si>
  <si>
    <t>경기 화성시 동탄산단5길 6</t>
    <phoneticPr fontId="7" type="noConversion"/>
  </si>
  <si>
    <t>경기</t>
    <phoneticPr fontId="7" type="noConversion"/>
  </si>
  <si>
    <t>G09-0809</t>
    <phoneticPr fontId="7" type="noConversion"/>
  </si>
  <si>
    <t>외주영업자 최영주</t>
    <phoneticPr fontId="7" type="noConversion"/>
  </si>
  <si>
    <t>유지</t>
    <phoneticPr fontId="7" type="noConversion"/>
  </si>
  <si>
    <t>산단</t>
    <phoneticPr fontId="7" type="noConversion"/>
  </si>
  <si>
    <t>배현지</t>
    <phoneticPr fontId="7" type="noConversion"/>
  </si>
  <si>
    <t>유승</t>
    <phoneticPr fontId="7" type="noConversion"/>
  </si>
  <si>
    <t>부산</t>
    <phoneticPr fontId="7" type="noConversion"/>
  </si>
  <si>
    <t>부산 강서구 대저로221번길 56-39</t>
    <phoneticPr fontId="7" type="noConversion"/>
  </si>
  <si>
    <t>G12-1511</t>
    <phoneticPr fontId="7" type="noConversion"/>
  </si>
  <si>
    <t>외주영업자 백주용</t>
    <phoneticPr fontId="7" type="noConversion"/>
  </si>
  <si>
    <t>근생</t>
    <phoneticPr fontId="7" type="noConversion"/>
  </si>
  <si>
    <t>그랜드썬49 락크웰</t>
    <phoneticPr fontId="7" type="noConversion"/>
  </si>
  <si>
    <t>부산 사하구 사하로70번길 43</t>
    <phoneticPr fontId="7" type="noConversion"/>
  </si>
  <si>
    <t>G01-0805</t>
    <phoneticPr fontId="7" type="noConversion"/>
  </si>
  <si>
    <t>외주영업자 임춘배</t>
    <phoneticPr fontId="7" type="noConversion"/>
  </si>
  <si>
    <t>김동호</t>
    <phoneticPr fontId="7" type="noConversion"/>
  </si>
  <si>
    <t>진으뜸</t>
    <phoneticPr fontId="7" type="noConversion"/>
  </si>
  <si>
    <t>충남섬유</t>
    <phoneticPr fontId="7" type="noConversion"/>
  </si>
  <si>
    <t>경기</t>
    <phoneticPr fontId="7" type="noConversion"/>
  </si>
  <si>
    <t>경기 포천시 송선로 219-65</t>
    <phoneticPr fontId="7" type="noConversion"/>
  </si>
  <si>
    <t>08-0501</t>
    <phoneticPr fontId="7" type="noConversion"/>
  </si>
  <si>
    <t>진으뜸 책임</t>
    <phoneticPr fontId="7" type="noConversion"/>
  </si>
  <si>
    <t>허영준</t>
    <phoneticPr fontId="7" type="noConversion"/>
  </si>
  <si>
    <t>진으뜸</t>
    <phoneticPr fontId="7" type="noConversion"/>
  </si>
  <si>
    <t>호란차방</t>
    <phoneticPr fontId="7" type="noConversion"/>
  </si>
  <si>
    <t>경기</t>
    <phoneticPr fontId="7" type="noConversion"/>
  </si>
  <si>
    <t>경기 안성시 미양면 신두만곡로 750</t>
    <phoneticPr fontId="7" type="noConversion"/>
  </si>
  <si>
    <t>10-2212</t>
    <phoneticPr fontId="7" type="noConversion"/>
  </si>
  <si>
    <t>진으뜸 책임</t>
    <phoneticPr fontId="7" type="noConversion"/>
  </si>
  <si>
    <t>김동호</t>
    <phoneticPr fontId="7" type="noConversion"/>
  </si>
  <si>
    <t>조성현</t>
    <phoneticPr fontId="7" type="noConversion"/>
  </si>
  <si>
    <t>포시즌선샤인</t>
    <phoneticPr fontId="7" type="noConversion"/>
  </si>
  <si>
    <t>경남</t>
    <phoneticPr fontId="7" type="noConversion"/>
  </si>
  <si>
    <t>양산시 산막공단남13길 46</t>
    <phoneticPr fontId="7" type="noConversion"/>
  </si>
  <si>
    <t>01-0603</t>
    <phoneticPr fontId="7" type="noConversion"/>
  </si>
  <si>
    <t>소개</t>
    <phoneticPr fontId="7" type="noConversion"/>
  </si>
  <si>
    <t>배기태</t>
    <phoneticPr fontId="7" type="noConversion"/>
  </si>
  <si>
    <t>산단</t>
    <phoneticPr fontId="7" type="noConversion"/>
  </si>
  <si>
    <t>유지</t>
    <phoneticPr fontId="7" type="noConversion"/>
  </si>
  <si>
    <t>002</t>
  </si>
  <si>
    <t>(주)태성</t>
    <phoneticPr fontId="7" type="noConversion"/>
  </si>
  <si>
    <t>경기 이천시 호법면 안평로 227</t>
    <phoneticPr fontId="7" type="noConversion"/>
  </si>
  <si>
    <t>01-1510</t>
    <phoneticPr fontId="7" type="noConversion"/>
  </si>
  <si>
    <t>장광수</t>
    <phoneticPr fontId="7" type="noConversion"/>
  </si>
  <si>
    <t>메이커저스트</t>
    <phoneticPr fontId="7" type="noConversion"/>
  </si>
  <si>
    <t>울산</t>
    <phoneticPr fontId="7" type="noConversion"/>
  </si>
  <si>
    <t>울산광역시 북구 천마로 64</t>
    <phoneticPr fontId="7" type="noConversion"/>
  </si>
  <si>
    <t>G05-2001</t>
    <phoneticPr fontId="7" type="noConversion"/>
  </si>
  <si>
    <t>정규진</t>
    <phoneticPr fontId="7" type="noConversion"/>
  </si>
  <si>
    <t>김상수</t>
    <phoneticPr fontId="7" type="noConversion"/>
  </si>
  <si>
    <t>동명</t>
    <phoneticPr fontId="7" type="noConversion"/>
  </si>
  <si>
    <t>전북</t>
  </si>
  <si>
    <t>군산시 소룡동 679-3</t>
    <phoneticPr fontId="7" type="noConversion"/>
  </si>
  <si>
    <t>12-1804</t>
    <phoneticPr fontId="7" type="noConversion"/>
  </si>
  <si>
    <t>장광수</t>
    <phoneticPr fontId="7" type="noConversion"/>
  </si>
  <si>
    <t>동명</t>
    <phoneticPr fontId="7" type="noConversion"/>
  </si>
  <si>
    <t>경북</t>
  </si>
  <si>
    <t>경북 경주시 외동읍 방어 북토길 28-135</t>
    <phoneticPr fontId="7" type="noConversion"/>
  </si>
  <si>
    <t>G11-1906</t>
    <phoneticPr fontId="7" type="noConversion"/>
  </si>
  <si>
    <t>경기 화성기 팔탄면 독곡길 25</t>
    <phoneticPr fontId="7" type="noConversion"/>
  </si>
  <si>
    <t>G12-0510</t>
    <phoneticPr fontId="7" type="noConversion"/>
  </si>
  <si>
    <t>성림팩</t>
    <phoneticPr fontId="7" type="noConversion"/>
  </si>
  <si>
    <t>김지훈</t>
    <phoneticPr fontId="7" type="noConversion"/>
  </si>
  <si>
    <t>유지</t>
    <phoneticPr fontId="7" type="noConversion"/>
  </si>
  <si>
    <t>김동호</t>
    <phoneticPr fontId="7" type="noConversion"/>
  </si>
  <si>
    <t>조성현</t>
    <phoneticPr fontId="7" type="noConversion"/>
  </si>
  <si>
    <t>정우산업기계(가제)</t>
    <phoneticPr fontId="7" type="noConversion"/>
  </si>
  <si>
    <t>경남</t>
    <phoneticPr fontId="7" type="noConversion"/>
  </si>
  <si>
    <t>양산시 상북면 석계산단6길 101</t>
    <phoneticPr fontId="7" type="noConversion"/>
  </si>
  <si>
    <t>02-0235</t>
    <phoneticPr fontId="7" type="noConversion"/>
  </si>
  <si>
    <t>소개</t>
    <phoneticPr fontId="7" type="noConversion"/>
  </si>
  <si>
    <t>동진볼트 전지훈상무</t>
    <phoneticPr fontId="7" type="noConversion"/>
  </si>
  <si>
    <t>허영준</t>
    <phoneticPr fontId="7" type="noConversion"/>
  </si>
  <si>
    <t>진으뜸</t>
    <phoneticPr fontId="7" type="noConversion"/>
  </si>
  <si>
    <t>에스유통</t>
    <phoneticPr fontId="7" type="noConversion"/>
  </si>
  <si>
    <t>경기</t>
    <phoneticPr fontId="7" type="noConversion"/>
  </si>
  <si>
    <t>경기 화성시 봉담읍 삼천병마로 998-30</t>
    <phoneticPr fontId="7" type="noConversion"/>
  </si>
  <si>
    <t>01-0605</t>
    <phoneticPr fontId="7" type="noConversion"/>
  </si>
  <si>
    <t>정한수 영업자</t>
    <phoneticPr fontId="7" type="noConversion"/>
  </si>
  <si>
    <t>제이유통</t>
    <phoneticPr fontId="7" type="noConversion"/>
  </si>
  <si>
    <t>경기 화성시 봉담읍 주석로 1016번길 9-3</t>
    <phoneticPr fontId="7" type="noConversion"/>
  </si>
  <si>
    <t>01-1209</t>
    <phoneticPr fontId="7" type="noConversion"/>
  </si>
  <si>
    <t>태광후지킨 1호</t>
    <phoneticPr fontId="7" type="noConversion"/>
  </si>
  <si>
    <t>강서구 화전산단3로 32</t>
    <phoneticPr fontId="7" type="noConversion"/>
  </si>
  <si>
    <t>08-1801</t>
    <phoneticPr fontId="7" type="noConversion"/>
  </si>
  <si>
    <t>박정우 이사</t>
    <phoneticPr fontId="7" type="noConversion"/>
  </si>
  <si>
    <t>태광후지킨 2호</t>
    <phoneticPr fontId="7" type="noConversion"/>
  </si>
  <si>
    <t>강서구 화전산단3로 24</t>
    <phoneticPr fontId="7" type="noConversion"/>
  </si>
  <si>
    <t>(주)그랜드썬기술단</t>
    <phoneticPr fontId="7" type="noConversion"/>
  </si>
  <si>
    <t>대양산업</t>
    <phoneticPr fontId="7" type="noConversion"/>
  </si>
  <si>
    <t>성진</t>
    <phoneticPr fontId="7" type="noConversion"/>
  </si>
  <si>
    <t>장광수</t>
    <phoneticPr fontId="7" type="noConversion"/>
  </si>
  <si>
    <t>김지훈</t>
    <phoneticPr fontId="7" type="noConversion"/>
  </si>
  <si>
    <t>경기</t>
    <phoneticPr fontId="7" type="noConversion"/>
  </si>
  <si>
    <t>경남</t>
    <phoneticPr fontId="7" type="noConversion"/>
  </si>
  <si>
    <t>경기 이천시 마장면 둔터로 24-33</t>
    <phoneticPr fontId="7" type="noConversion"/>
  </si>
  <si>
    <t>경남 김해시 용덕로237번길 30-98</t>
    <phoneticPr fontId="7" type="noConversion"/>
  </si>
  <si>
    <t>축사</t>
    <phoneticPr fontId="7" type="noConversion"/>
  </si>
  <si>
    <t>유지</t>
    <phoneticPr fontId="7" type="noConversion"/>
  </si>
  <si>
    <t>공장</t>
    <phoneticPr fontId="7" type="noConversion"/>
  </si>
  <si>
    <t>G01-0903</t>
    <phoneticPr fontId="7" type="noConversion"/>
  </si>
  <si>
    <t>G02-0211</t>
    <phoneticPr fontId="7" type="noConversion"/>
  </si>
  <si>
    <t>현대</t>
    <phoneticPr fontId="7" type="noConversion"/>
  </si>
  <si>
    <t>부산</t>
    <phoneticPr fontId="7" type="noConversion"/>
  </si>
  <si>
    <t>부산 강서구 녹산산단381로12번길 69</t>
    <phoneticPr fontId="7" type="noConversion"/>
  </si>
  <si>
    <t>G01-1308</t>
    <phoneticPr fontId="7" type="noConversion"/>
  </si>
  <si>
    <t>산단</t>
    <phoneticPr fontId="7" type="noConversion"/>
  </si>
  <si>
    <t>가이스링거</t>
    <phoneticPr fontId="7" type="noConversion"/>
  </si>
  <si>
    <t>부산 강서구 미음산단1로56</t>
    <phoneticPr fontId="7" type="noConversion"/>
  </si>
  <si>
    <t>01-2032</t>
    <phoneticPr fontId="7" type="noConversion"/>
  </si>
  <si>
    <t>26.02.13</t>
    <phoneticPr fontId="7" type="noConversion"/>
  </si>
  <si>
    <t>용현무</t>
    <phoneticPr fontId="7" type="noConversion"/>
  </si>
  <si>
    <t>정규진</t>
    <phoneticPr fontId="7" type="noConversion"/>
  </si>
  <si>
    <t>아튼</t>
    <phoneticPr fontId="7" type="noConversion"/>
  </si>
  <si>
    <t>경기 남양주시 화도읍 재재기로 71번길 106,110</t>
    <phoneticPr fontId="7" type="noConversion"/>
  </si>
  <si>
    <t>01-2624</t>
    <phoneticPr fontId="7" type="noConversion"/>
  </si>
  <si>
    <t>김지훈</t>
    <phoneticPr fontId="7" type="noConversion"/>
  </si>
  <si>
    <t>장광수</t>
    <phoneticPr fontId="7" type="noConversion"/>
  </si>
  <si>
    <t>현진</t>
    <phoneticPr fontId="7" type="noConversion"/>
  </si>
  <si>
    <t>JH</t>
    <phoneticPr fontId="7" type="noConversion"/>
  </si>
  <si>
    <t>부산</t>
    <phoneticPr fontId="7" type="noConversion"/>
  </si>
  <si>
    <t>부산 강서구 생곡산단2로11번길 33</t>
    <phoneticPr fontId="7" type="noConversion"/>
  </si>
  <si>
    <t>부산 강서구 생곡산단2로11번길 39</t>
    <phoneticPr fontId="7" type="noConversion"/>
  </si>
  <si>
    <t>G01-2208</t>
    <phoneticPr fontId="7" type="noConversion"/>
  </si>
  <si>
    <t>G01-2802</t>
    <phoneticPr fontId="7" type="noConversion"/>
  </si>
  <si>
    <t>유지</t>
    <phoneticPr fontId="7" type="noConversion"/>
  </si>
  <si>
    <t>장광수</t>
    <phoneticPr fontId="7" type="noConversion"/>
  </si>
  <si>
    <t>MF</t>
    <phoneticPr fontId="7" type="noConversion"/>
  </si>
  <si>
    <t>외주영업자 신주현</t>
    <phoneticPr fontId="7" type="noConversion"/>
  </si>
  <si>
    <t>외주영업자 신선수</t>
    <phoneticPr fontId="7" type="noConversion"/>
  </si>
  <si>
    <t>외주영업자 하강우</t>
    <phoneticPr fontId="7" type="noConversion"/>
  </si>
  <si>
    <t>외주영업자 진석원</t>
    <phoneticPr fontId="7" type="noConversion"/>
  </si>
  <si>
    <t>외주영업자 이인재</t>
    <phoneticPr fontId="7" type="noConversion"/>
  </si>
  <si>
    <t>경기</t>
    <phoneticPr fontId="7" type="noConversion"/>
  </si>
  <si>
    <t>경기 파주시 월롱면 영태리 1063</t>
    <phoneticPr fontId="7" type="noConversion"/>
  </si>
  <si>
    <t>G12-1510</t>
    <phoneticPr fontId="7" type="noConversion"/>
  </si>
  <si>
    <t>유지</t>
    <phoneticPr fontId="7" type="noConversion"/>
  </si>
  <si>
    <t>26.02.12</t>
    <phoneticPr fontId="7" type="noConversion"/>
  </si>
  <si>
    <t>아즈라</t>
    <phoneticPr fontId="7" type="noConversion"/>
  </si>
  <si>
    <t>충북</t>
    <phoneticPr fontId="7" type="noConversion"/>
  </si>
  <si>
    <t>충북 제천시 제2바이오앨리로5길 45</t>
    <phoneticPr fontId="7" type="noConversion"/>
  </si>
  <si>
    <t>sp01-0701</t>
    <phoneticPr fontId="7" type="noConversion"/>
  </si>
  <si>
    <t>직접유입</t>
    <phoneticPr fontId="7" type="noConversion"/>
  </si>
  <si>
    <t>공장</t>
    <phoneticPr fontId="7" type="noConversion"/>
  </si>
  <si>
    <t>유지</t>
    <phoneticPr fontId="7" type="noConversion"/>
  </si>
  <si>
    <t>우리빌</t>
    <phoneticPr fontId="7" type="noConversion"/>
  </si>
  <si>
    <t>경남 고성군 회화면 관인로44번길 40</t>
    <phoneticPr fontId="7" type="noConversion"/>
  </si>
  <si>
    <t>(주)그랜드썬기술단SE</t>
  </si>
  <si>
    <t>해드림</t>
    <phoneticPr fontId="7" type="noConversion"/>
  </si>
  <si>
    <t>26.02.19</t>
    <phoneticPr fontId="7" type="noConversion"/>
  </si>
  <si>
    <t>김동호</t>
    <phoneticPr fontId="7" type="noConversion"/>
  </si>
  <si>
    <t>조성현</t>
    <phoneticPr fontId="7" type="noConversion"/>
  </si>
  <si>
    <t>그린에너지</t>
    <phoneticPr fontId="7" type="noConversion"/>
  </si>
  <si>
    <t>부산</t>
    <phoneticPr fontId="7" type="noConversion"/>
  </si>
  <si>
    <t>부산 강서구 녹산동 736-7</t>
    <phoneticPr fontId="7" type="noConversion"/>
  </si>
  <si>
    <t>07-1104</t>
    <phoneticPr fontId="7" type="noConversion"/>
  </si>
  <si>
    <t>소개</t>
    <phoneticPr fontId="7" type="noConversion"/>
  </si>
  <si>
    <t>이형로이사 지인건</t>
    <phoneticPr fontId="7" type="noConversion"/>
  </si>
  <si>
    <t>유지</t>
    <phoneticPr fontId="7" type="noConversion"/>
  </si>
  <si>
    <t>직접유입, 건물지원사업</t>
    <phoneticPr fontId="7" type="noConversion"/>
  </si>
  <si>
    <t>26.02.20</t>
    <phoneticPr fontId="7" type="noConversion"/>
  </si>
  <si>
    <t>용현무</t>
    <phoneticPr fontId="7" type="noConversion"/>
  </si>
  <si>
    <t>정규진</t>
    <phoneticPr fontId="7" type="noConversion"/>
  </si>
  <si>
    <t>현남</t>
    <phoneticPr fontId="7" type="noConversion"/>
  </si>
  <si>
    <t>충남</t>
  </si>
  <si>
    <t>충남 천안시 서북구 직산읍 부송로 385-5,385-9</t>
    <phoneticPr fontId="7" type="noConversion"/>
  </si>
  <si>
    <t>02-0434</t>
    <phoneticPr fontId="7" type="noConversion"/>
  </si>
  <si>
    <t>26.02.20</t>
    <phoneticPr fontId="7" type="noConversion"/>
  </si>
  <si>
    <t>성세</t>
    <phoneticPr fontId="7" type="noConversion"/>
  </si>
  <si>
    <t>충남</t>
    <phoneticPr fontId="7" type="noConversion"/>
  </si>
  <si>
    <t>충남 천안시 서북구 직산읍 군삼길 66</t>
    <phoneticPr fontId="7" type="noConversion"/>
  </si>
  <si>
    <t>01-2813</t>
    <phoneticPr fontId="7" type="noConversion"/>
  </si>
  <si>
    <t>001</t>
    <phoneticPr fontId="7" type="noConversion"/>
  </si>
  <si>
    <t>용현무</t>
    <phoneticPr fontId="7" type="noConversion"/>
  </si>
  <si>
    <t>최창민</t>
    <phoneticPr fontId="7" type="noConversion"/>
  </si>
  <si>
    <t>그랜드썬50 ㈜제이케이인터네셔날</t>
    <phoneticPr fontId="7" type="noConversion"/>
  </si>
  <si>
    <t>경기</t>
    <phoneticPr fontId="7" type="noConversion"/>
  </si>
  <si>
    <t>화성시 우정읍 화산리 789-7</t>
    <phoneticPr fontId="7" type="noConversion"/>
  </si>
  <si>
    <t>SP01-0501</t>
    <phoneticPr fontId="7" type="noConversion"/>
  </si>
  <si>
    <t>직접유입</t>
    <phoneticPr fontId="7" type="noConversion"/>
  </si>
  <si>
    <t>김지훈</t>
    <phoneticPr fontId="7" type="noConversion"/>
  </si>
  <si>
    <t>장광수</t>
    <phoneticPr fontId="7" type="noConversion"/>
  </si>
  <si>
    <t>대일공업</t>
    <phoneticPr fontId="7" type="noConversion"/>
  </si>
  <si>
    <t>울산</t>
    <phoneticPr fontId="7" type="noConversion"/>
  </si>
  <si>
    <t>울산 울주군 상북면 양등농공길 59</t>
    <phoneticPr fontId="7" type="noConversion"/>
  </si>
  <si>
    <t>G08-2704</t>
    <phoneticPr fontId="7" type="noConversion"/>
  </si>
  <si>
    <t>외주영업자 배병수</t>
    <phoneticPr fontId="7" type="noConversion"/>
  </si>
  <si>
    <t>산단</t>
    <phoneticPr fontId="7" type="noConversion"/>
  </si>
  <si>
    <t>유지</t>
    <phoneticPr fontId="7" type="noConversion"/>
  </si>
  <si>
    <t>26.02.26</t>
    <phoneticPr fontId="7" type="noConversion"/>
  </si>
  <si>
    <t>남형석</t>
    <phoneticPr fontId="7" type="noConversion"/>
  </si>
  <si>
    <t>서한이노빌리티</t>
    <phoneticPr fontId="7" type="noConversion"/>
  </si>
  <si>
    <t>진천군 덕산읍 인석로 95-13, 159-21</t>
    <phoneticPr fontId="7" type="noConversion"/>
  </si>
  <si>
    <t>002</t>
    <phoneticPr fontId="7" type="noConversion"/>
  </si>
  <si>
    <t>허영준</t>
    <phoneticPr fontId="7" type="noConversion"/>
  </si>
  <si>
    <t>조성현</t>
    <phoneticPr fontId="7" type="noConversion"/>
  </si>
  <si>
    <t>수테크</t>
    <phoneticPr fontId="7" type="noConversion"/>
  </si>
  <si>
    <t>김해시 진례면 테크노밸리1로 88</t>
    <phoneticPr fontId="7" type="noConversion"/>
  </si>
  <si>
    <t>02-1023</t>
    <phoneticPr fontId="7" type="noConversion"/>
  </si>
  <si>
    <t>26.03.03</t>
    <phoneticPr fontId="7" type="noConversion"/>
  </si>
  <si>
    <t>김상수</t>
    <phoneticPr fontId="7" type="noConversion"/>
  </si>
  <si>
    <t>진으뜸</t>
    <phoneticPr fontId="7" type="noConversion"/>
  </si>
  <si>
    <t>하이텍오션</t>
    <phoneticPr fontId="7" type="noConversion"/>
  </si>
  <si>
    <t>경남</t>
    <phoneticPr fontId="7" type="noConversion"/>
  </si>
  <si>
    <t>경남 김해시 진영읍 본산로 166</t>
    <phoneticPr fontId="7" type="noConversion"/>
  </si>
  <si>
    <t>02-0233</t>
    <phoneticPr fontId="7" type="noConversion"/>
  </si>
  <si>
    <t>직접유입</t>
    <phoneticPr fontId="7" type="noConversion"/>
  </si>
  <si>
    <t>대왕사</t>
    <phoneticPr fontId="7" type="noConversion"/>
  </si>
  <si>
    <t>경기 파주시 소라지로 176-25</t>
    <phoneticPr fontId="7" type="noConversion"/>
  </si>
  <si>
    <t>01-2315</t>
    <phoneticPr fontId="7" type="noConversion"/>
  </si>
  <si>
    <t>26.02.27</t>
    <phoneticPr fontId="7" type="noConversion"/>
  </si>
  <si>
    <t>김세종</t>
    <phoneticPr fontId="7" type="noConversion"/>
  </si>
  <si>
    <t>조성현</t>
    <phoneticPr fontId="7" type="noConversion"/>
  </si>
  <si>
    <t>㈜남영1호</t>
    <phoneticPr fontId="7" type="noConversion"/>
  </si>
  <si>
    <t>경북</t>
    <phoneticPr fontId="7" type="noConversion"/>
  </si>
  <si>
    <t>포항시 남구 대송면 송덕로 126번길 19</t>
    <phoneticPr fontId="7" type="noConversion"/>
  </si>
  <si>
    <t>01-2108</t>
    <phoneticPr fontId="7" type="noConversion"/>
  </si>
  <si>
    <t>그 외</t>
    <phoneticPr fontId="7" type="noConversion"/>
  </si>
  <si>
    <t>직접유입</t>
    <phoneticPr fontId="7" type="noConversion"/>
  </si>
  <si>
    <t>공장</t>
    <phoneticPr fontId="7" type="noConversion"/>
  </si>
  <si>
    <t>유지</t>
    <phoneticPr fontId="7" type="noConversion"/>
  </si>
  <si>
    <t>㈜남영2호</t>
    <phoneticPr fontId="7" type="noConversion"/>
  </si>
  <si>
    <t>㈜남영3호</t>
    <phoneticPr fontId="7" type="noConversion"/>
  </si>
  <si>
    <t>부산</t>
    <phoneticPr fontId="7" type="noConversion"/>
  </si>
  <si>
    <t>강서구 녹산산단381로 12번길 77-25</t>
    <phoneticPr fontId="7" type="noConversion"/>
  </si>
  <si>
    <t>강서구 미음국제4로 28</t>
    <phoneticPr fontId="7" type="noConversion"/>
  </si>
  <si>
    <t>장광수</t>
    <phoneticPr fontId="7" type="noConversion"/>
  </si>
  <si>
    <t>부산</t>
    <phoneticPr fontId="7" type="noConversion"/>
  </si>
  <si>
    <t>부산 기장군 장안읍 명례산단1로 170</t>
  </si>
  <si>
    <t>G02-0308</t>
    <phoneticPr fontId="7" type="noConversion"/>
  </si>
  <si>
    <t>장광수</t>
    <phoneticPr fontId="7" type="noConversion"/>
  </si>
  <si>
    <t>그랜드썬51 원더라이프</t>
    <phoneticPr fontId="7" type="noConversion"/>
  </si>
  <si>
    <t>그랜드썬52 밸런스파워</t>
    <phoneticPr fontId="7" type="noConversion"/>
  </si>
  <si>
    <t>부산</t>
    <phoneticPr fontId="7" type="noConversion"/>
  </si>
  <si>
    <t>부산 강서구 녹산산단335로 24-10</t>
    <phoneticPr fontId="7" type="noConversion"/>
  </si>
  <si>
    <t>G02-0308</t>
    <phoneticPr fontId="7" type="noConversion"/>
  </si>
  <si>
    <t>영신기업사</t>
    <phoneticPr fontId="7" type="noConversion"/>
  </si>
  <si>
    <t>울산</t>
    <phoneticPr fontId="7" type="noConversion"/>
  </si>
  <si>
    <t>울산 북구 매곡산업2길 4</t>
    <phoneticPr fontId="7" type="noConversion"/>
  </si>
  <si>
    <t>G02-0303</t>
  </si>
  <si>
    <t>산단</t>
    <phoneticPr fontId="7" type="noConversion"/>
  </si>
  <si>
    <t>유지</t>
    <phoneticPr fontId="7" type="noConversion"/>
  </si>
  <si>
    <t>김지훈</t>
    <phoneticPr fontId="7" type="noConversion"/>
  </si>
  <si>
    <t>장광수</t>
    <phoneticPr fontId="7" type="noConversion"/>
  </si>
  <si>
    <t>용현무</t>
    <phoneticPr fontId="7" type="noConversion"/>
  </si>
  <si>
    <t>임준길</t>
    <phoneticPr fontId="7" type="noConversion"/>
  </si>
  <si>
    <t>클라크지게차부산</t>
    <phoneticPr fontId="7" type="noConversion"/>
  </si>
  <si>
    <t>부산 강서구 미음산단로295번길 15</t>
    <phoneticPr fontId="7" type="noConversion"/>
  </si>
  <si>
    <t>02-1003</t>
    <phoneticPr fontId="7" type="noConversion"/>
  </si>
  <si>
    <t>직접유입</t>
    <phoneticPr fontId="7" type="noConversion"/>
  </si>
  <si>
    <t>허영준</t>
    <phoneticPr fontId="7" type="noConversion"/>
  </si>
  <si>
    <t>진으뜸</t>
    <phoneticPr fontId="7" type="noConversion"/>
  </si>
  <si>
    <t>㈜에이치에스에너지1호</t>
    <phoneticPr fontId="7" type="noConversion"/>
  </si>
  <si>
    <t>㈜에이치에스에너지2호</t>
    <phoneticPr fontId="7" type="noConversion"/>
  </si>
  <si>
    <t>㈜에이치에스에너지3호</t>
    <phoneticPr fontId="7" type="noConversion"/>
  </si>
  <si>
    <t>경기</t>
    <phoneticPr fontId="7" type="noConversion"/>
  </si>
  <si>
    <t>경남</t>
    <phoneticPr fontId="7" type="noConversion"/>
  </si>
  <si>
    <t>경기 이천시 신둔면 인후리 200</t>
    <phoneticPr fontId="7" type="noConversion"/>
  </si>
  <si>
    <t>경기 광주시 초월읍 용수리 416-1, 416-3</t>
    <phoneticPr fontId="7" type="noConversion"/>
  </si>
  <si>
    <t>경남 양산시 주남산단1로 8</t>
    <phoneticPr fontId="7" type="noConversion"/>
  </si>
  <si>
    <t>12-1701</t>
    <phoneticPr fontId="7" type="noConversion"/>
  </si>
  <si>
    <t>12-1702</t>
    <phoneticPr fontId="7" type="noConversion"/>
  </si>
  <si>
    <t>12-0909</t>
    <phoneticPr fontId="7" type="noConversion"/>
  </si>
  <si>
    <t>김지훈</t>
    <phoneticPr fontId="7" type="noConversion"/>
  </si>
  <si>
    <t>장광수</t>
    <phoneticPr fontId="7" type="noConversion"/>
  </si>
  <si>
    <t>도림공업</t>
    <phoneticPr fontId="7" type="noConversion"/>
  </si>
  <si>
    <t>울산</t>
    <phoneticPr fontId="7" type="noConversion"/>
  </si>
  <si>
    <t>울산 북구 매곡산업1길 22</t>
    <phoneticPr fontId="7" type="noConversion"/>
  </si>
  <si>
    <t>외주영업자 신선수</t>
    <phoneticPr fontId="7" type="noConversion"/>
  </si>
  <si>
    <t>도림공업2</t>
    <phoneticPr fontId="7" type="noConversion"/>
  </si>
  <si>
    <t>울산 북구 중산산업로 75</t>
    <phoneticPr fontId="7" type="noConversion"/>
  </si>
  <si>
    <t>G02-2404</t>
    <phoneticPr fontId="7" type="noConversion"/>
  </si>
  <si>
    <t>K1</t>
    <phoneticPr fontId="7" type="noConversion"/>
  </si>
  <si>
    <t>K2-1</t>
    <phoneticPr fontId="7" type="noConversion"/>
  </si>
  <si>
    <t>K2-2</t>
    <phoneticPr fontId="7" type="noConversion"/>
  </si>
  <si>
    <t>K3</t>
    <phoneticPr fontId="7" type="noConversion"/>
  </si>
  <si>
    <t>S1</t>
    <phoneticPr fontId="7" type="noConversion"/>
  </si>
  <si>
    <t>경북</t>
    <phoneticPr fontId="7" type="noConversion"/>
  </si>
  <si>
    <t>경북 포항시 남구 오천읍 광명산단로 101</t>
    <phoneticPr fontId="7" type="noConversion"/>
  </si>
  <si>
    <t>G01-2001</t>
    <phoneticPr fontId="7" type="noConversion"/>
  </si>
  <si>
    <t>지평건설 소개</t>
    <phoneticPr fontId="7" type="noConversion"/>
  </si>
  <si>
    <t>G01-2002</t>
    <phoneticPr fontId="7" type="noConversion"/>
  </si>
  <si>
    <t>경북 포항시 남구 오천읍 송덕로 207</t>
    <phoneticPr fontId="7" type="noConversion"/>
  </si>
  <si>
    <t>경북 포항시 남구 오천읍 송덕로 200</t>
    <phoneticPr fontId="7" type="noConversion"/>
  </si>
  <si>
    <t>경북 포항시 남구 오천읍 송덕로 187</t>
    <phoneticPr fontId="7" type="noConversion"/>
  </si>
  <si>
    <t>007</t>
    <phoneticPr fontId="7" type="noConversion"/>
  </si>
  <si>
    <t>유림산업</t>
    <phoneticPr fontId="7" type="noConversion"/>
  </si>
  <si>
    <t>경산시 진량읍 공단8로 165</t>
    <phoneticPr fontId="7" type="noConversion"/>
  </si>
  <si>
    <t>02-2512</t>
    <phoneticPr fontId="7" type="noConversion"/>
  </si>
  <si>
    <t>네오플러스, 건물지원사업</t>
    <phoneticPr fontId="7" type="noConversion"/>
  </si>
  <si>
    <t>김지훈</t>
    <phoneticPr fontId="7" type="noConversion"/>
  </si>
  <si>
    <t>장광수</t>
    <phoneticPr fontId="7" type="noConversion"/>
  </si>
  <si>
    <t>강민</t>
    <phoneticPr fontId="7" type="noConversion"/>
  </si>
  <si>
    <t>경남</t>
    <phoneticPr fontId="7" type="noConversion"/>
  </si>
  <si>
    <t>경남 창원시 의창구 차룡로 37</t>
    <phoneticPr fontId="7" type="noConversion"/>
  </si>
  <si>
    <t>G02-2502</t>
    <phoneticPr fontId="7" type="noConversion"/>
  </si>
  <si>
    <t>외주영업자 신선수</t>
    <phoneticPr fontId="7" type="noConversion"/>
  </si>
  <si>
    <t>G02-2403</t>
    <phoneticPr fontId="7" type="noConversion"/>
  </si>
  <si>
    <t>008</t>
    <phoneticPr fontId="7" type="noConversion"/>
  </si>
  <si>
    <t>신원화학㈜</t>
    <phoneticPr fontId="7" type="noConversion"/>
  </si>
  <si>
    <t>경기 시흥시 공단1대로28번길 92</t>
    <phoneticPr fontId="7" type="noConversion"/>
  </si>
  <si>
    <t>02-1001</t>
    <phoneticPr fontId="7" type="noConversion"/>
  </si>
  <si>
    <t>정규진 선임, 건물지원사업</t>
    <phoneticPr fontId="7" type="noConversion"/>
  </si>
  <si>
    <t>26.03.07</t>
    <phoneticPr fontId="7" type="noConversion"/>
  </si>
  <si>
    <t>허영준</t>
    <phoneticPr fontId="7" type="noConversion"/>
  </si>
  <si>
    <t>진으뜸</t>
    <phoneticPr fontId="7" type="noConversion"/>
  </si>
  <si>
    <t>신형아목장</t>
    <phoneticPr fontId="7" type="noConversion"/>
  </si>
  <si>
    <t>경기</t>
    <phoneticPr fontId="7" type="noConversion"/>
  </si>
  <si>
    <t>경기 평택시 서탄면 용소금각로 386</t>
    <phoneticPr fontId="7" type="noConversion"/>
  </si>
  <si>
    <t>07-0706</t>
    <phoneticPr fontId="7" type="noConversion"/>
  </si>
  <si>
    <t>소개</t>
    <phoneticPr fontId="7" type="noConversion"/>
  </si>
  <si>
    <t>진으뜸 수석</t>
    <phoneticPr fontId="7" type="noConversion"/>
  </si>
  <si>
    <t>축사</t>
    <phoneticPr fontId="7" type="noConversion"/>
  </si>
  <si>
    <t>004</t>
    <phoneticPr fontId="7" type="noConversion"/>
  </si>
  <si>
    <t>26.03.09</t>
    <phoneticPr fontId="7" type="noConversion"/>
  </si>
  <si>
    <t>허영준</t>
    <phoneticPr fontId="7" type="noConversion"/>
  </si>
  <si>
    <t>진으뜸</t>
    <phoneticPr fontId="7" type="noConversion"/>
  </si>
  <si>
    <t>태광정밀화학</t>
    <phoneticPr fontId="7" type="noConversion"/>
  </si>
  <si>
    <t>전북</t>
    <phoneticPr fontId="7" type="noConversion"/>
  </si>
  <si>
    <t>군산시 소룡동 1670-1</t>
    <phoneticPr fontId="7" type="noConversion"/>
  </si>
  <si>
    <t>12-0414</t>
    <phoneticPr fontId="7" type="noConversion"/>
  </si>
  <si>
    <t>소개</t>
    <phoneticPr fontId="7" type="noConversion"/>
  </si>
  <si>
    <t>진으뜸 수석</t>
    <phoneticPr fontId="7" type="noConversion"/>
  </si>
  <si>
    <t>공장</t>
    <phoneticPr fontId="7" type="noConversion"/>
  </si>
  <si>
    <t>009</t>
    <phoneticPr fontId="7" type="noConversion"/>
  </si>
  <si>
    <t>프레페레</t>
    <phoneticPr fontId="7" type="noConversion"/>
  </si>
  <si>
    <t>경기 용인시 처인구 유방동 575-2</t>
    <phoneticPr fontId="7" type="noConversion"/>
  </si>
  <si>
    <t>sp02-1304</t>
    <phoneticPr fontId="7" type="noConversion"/>
  </si>
  <si>
    <t>김지훈</t>
    <phoneticPr fontId="7" type="noConversion"/>
  </si>
  <si>
    <t>장광수</t>
    <phoneticPr fontId="7" type="noConversion"/>
  </si>
  <si>
    <t>NST</t>
    <phoneticPr fontId="7" type="noConversion"/>
  </si>
  <si>
    <t>부산</t>
    <phoneticPr fontId="7" type="noConversion"/>
  </si>
  <si>
    <t>부산 강서구 제도로1041번길 521-2, 523-1</t>
    <phoneticPr fontId="7" type="noConversion"/>
  </si>
  <si>
    <t>G03-0501</t>
    <phoneticPr fontId="7" type="noConversion"/>
  </si>
  <si>
    <t>외주영업자 배병수</t>
    <phoneticPr fontId="7" type="noConversion"/>
  </si>
  <si>
    <t>대원산업기술</t>
    <phoneticPr fontId="7" type="noConversion"/>
  </si>
  <si>
    <t>울산</t>
    <phoneticPr fontId="7" type="noConversion"/>
  </si>
  <si>
    <t>울산 북구 천마로 27</t>
    <phoneticPr fontId="7" type="noConversion"/>
  </si>
  <si>
    <t>G02-2707</t>
    <phoneticPr fontId="7" type="noConversion"/>
  </si>
  <si>
    <t>외주영업자 신선수</t>
    <phoneticPr fontId="7" type="noConversion"/>
  </si>
  <si>
    <t>26.03.13</t>
    <phoneticPr fontId="7" type="noConversion"/>
  </si>
  <si>
    <t>세일산업</t>
    <phoneticPr fontId="7" type="noConversion"/>
  </si>
  <si>
    <t>국민이장</t>
    <phoneticPr fontId="7" type="noConversion"/>
  </si>
  <si>
    <t>경기</t>
    <phoneticPr fontId="7" type="noConversion"/>
  </si>
  <si>
    <t>경기 화성시 만세구 장안면 독정리 364-5</t>
    <phoneticPr fontId="7" type="noConversion"/>
  </si>
  <si>
    <t>경기 화성시 만세구 장안면 독정리 364-23</t>
    <phoneticPr fontId="7" type="noConversion"/>
  </si>
  <si>
    <t>02-0227</t>
    <phoneticPr fontId="7" type="noConversion"/>
  </si>
  <si>
    <t>그 외</t>
    <phoneticPr fontId="7" type="noConversion"/>
  </si>
  <si>
    <t>직접유입</t>
    <phoneticPr fontId="7" type="noConversion"/>
  </si>
  <si>
    <t>김동호</t>
    <phoneticPr fontId="7" type="noConversion"/>
  </si>
  <si>
    <t>최창민</t>
    <phoneticPr fontId="7" type="noConversion"/>
  </si>
  <si>
    <t>상신</t>
    <phoneticPr fontId="7" type="noConversion"/>
  </si>
  <si>
    <t>경북</t>
    <phoneticPr fontId="7" type="noConversion"/>
  </si>
  <si>
    <t>포항시 남구 송내동 668</t>
    <phoneticPr fontId="7" type="noConversion"/>
  </si>
  <si>
    <t>02-0602</t>
    <phoneticPr fontId="7" type="noConversion"/>
  </si>
  <si>
    <t>김진설 수석 소개</t>
    <phoneticPr fontId="7" type="noConversion"/>
  </si>
  <si>
    <t>26.03.16</t>
    <phoneticPr fontId="7" type="noConversion"/>
  </si>
  <si>
    <t>용현무</t>
    <phoneticPr fontId="7" type="noConversion"/>
  </si>
  <si>
    <t>조성현</t>
    <phoneticPr fontId="7" type="noConversion"/>
  </si>
  <si>
    <t>원종</t>
    <phoneticPr fontId="7" type="noConversion"/>
  </si>
  <si>
    <t>경남</t>
    <phoneticPr fontId="7" type="noConversion"/>
  </si>
  <si>
    <t>김해시 대동면 대동산단8로 135</t>
    <phoneticPr fontId="7" type="noConversion"/>
  </si>
  <si>
    <t>03-0901</t>
    <phoneticPr fontId="7" type="noConversion"/>
  </si>
  <si>
    <t>직접유입</t>
    <phoneticPr fontId="7" type="noConversion"/>
  </si>
  <si>
    <t>용현무</t>
    <phoneticPr fontId="7" type="noConversion"/>
  </si>
  <si>
    <t>최창민</t>
    <phoneticPr fontId="7" type="noConversion"/>
  </si>
  <si>
    <t>다모아기업</t>
    <phoneticPr fontId="7" type="noConversion"/>
  </si>
  <si>
    <t>경기 시흥시 공단1대로 270</t>
    <phoneticPr fontId="7" type="noConversion"/>
  </si>
  <si>
    <t>08-2806</t>
    <phoneticPr fontId="7" type="noConversion"/>
  </si>
  <si>
    <t>산단</t>
    <phoneticPr fontId="7" type="noConversion"/>
  </si>
  <si>
    <t>유지</t>
    <phoneticPr fontId="7" type="noConversion"/>
  </si>
  <si>
    <t>26.03.17</t>
    <phoneticPr fontId="7" type="noConversion"/>
  </si>
  <si>
    <t>김동호</t>
    <phoneticPr fontId="7" type="noConversion"/>
  </si>
  <si>
    <t>조성현</t>
    <phoneticPr fontId="7" type="noConversion"/>
  </si>
  <si>
    <t>동원테크1호</t>
    <phoneticPr fontId="7" type="noConversion"/>
  </si>
  <si>
    <t>경남</t>
    <phoneticPr fontId="7" type="noConversion"/>
  </si>
  <si>
    <t>김해시 진례면 고모리 1045</t>
    <phoneticPr fontId="7" type="noConversion"/>
  </si>
  <si>
    <t>01-1606</t>
    <phoneticPr fontId="7" type="noConversion"/>
  </si>
  <si>
    <t>그 외</t>
    <phoneticPr fontId="7" type="noConversion"/>
  </si>
  <si>
    <t>직접유입</t>
    <phoneticPr fontId="7" type="noConversion"/>
  </si>
  <si>
    <t>01-0607</t>
    <phoneticPr fontId="7" type="noConversion"/>
  </si>
  <si>
    <t>산단</t>
    <phoneticPr fontId="7" type="noConversion"/>
  </si>
  <si>
    <t>유지</t>
    <phoneticPr fontId="7" type="noConversion"/>
  </si>
  <si>
    <t>동원테크2호</t>
    <phoneticPr fontId="7" type="noConversion"/>
  </si>
  <si>
    <t>김해시 진례면 고모리 1582-6</t>
    <phoneticPr fontId="7" type="noConversion"/>
  </si>
  <si>
    <t>26.03.17</t>
    <phoneticPr fontId="7" type="noConversion"/>
  </si>
  <si>
    <t>용현무</t>
    <phoneticPr fontId="7" type="noConversion"/>
  </si>
  <si>
    <t>진으뜸</t>
    <phoneticPr fontId="7" type="noConversion"/>
  </si>
  <si>
    <t>원시스템</t>
    <phoneticPr fontId="7" type="noConversion"/>
  </si>
  <si>
    <t>경기</t>
    <phoneticPr fontId="7" type="noConversion"/>
  </si>
  <si>
    <t>경기 화성시 효행구 정남면 문학로 29-18</t>
    <phoneticPr fontId="7" type="noConversion"/>
  </si>
  <si>
    <t>03-0317</t>
    <phoneticPr fontId="7" type="noConversion"/>
  </si>
  <si>
    <t>26.03.18</t>
    <phoneticPr fontId="7" type="noConversion"/>
  </si>
  <si>
    <t>김상수</t>
    <phoneticPr fontId="7" type="noConversion"/>
  </si>
  <si>
    <t>조성현</t>
    <phoneticPr fontId="7" type="noConversion"/>
  </si>
  <si>
    <t>화인기계</t>
    <phoneticPr fontId="7" type="noConversion"/>
  </si>
  <si>
    <t>경남</t>
    <phoneticPr fontId="7" type="noConversion"/>
  </si>
  <si>
    <t>김해시 진영읍 본산로 153-10</t>
    <phoneticPr fontId="7" type="noConversion"/>
  </si>
  <si>
    <t>02-1937</t>
    <phoneticPr fontId="7" type="noConversion"/>
  </si>
  <si>
    <t>그 외</t>
    <phoneticPr fontId="7" type="noConversion"/>
  </si>
  <si>
    <t>산단</t>
    <phoneticPr fontId="7" type="noConversion"/>
  </si>
  <si>
    <t>유지</t>
    <phoneticPr fontId="7" type="noConversion"/>
  </si>
  <si>
    <t>26.03.19</t>
    <phoneticPr fontId="7" type="noConversion"/>
  </si>
  <si>
    <t>용현무</t>
    <phoneticPr fontId="7" type="noConversion"/>
  </si>
  <si>
    <t>진으뜸</t>
    <phoneticPr fontId="7" type="noConversion"/>
  </si>
  <si>
    <t>나나</t>
    <phoneticPr fontId="7" type="noConversion"/>
  </si>
  <si>
    <t>경기</t>
    <phoneticPr fontId="7" type="noConversion"/>
  </si>
  <si>
    <t>경기 포천시 가산면 방축리 337</t>
    <phoneticPr fontId="7" type="noConversion"/>
  </si>
  <si>
    <t>03-1110</t>
    <phoneticPr fontId="7" type="noConversion"/>
  </si>
  <si>
    <t>직접유입</t>
    <phoneticPr fontId="7" type="noConversion"/>
  </si>
  <si>
    <t>공장</t>
    <phoneticPr fontId="7" type="noConversion"/>
  </si>
  <si>
    <t>유지</t>
    <phoneticPr fontId="7" type="noConversion"/>
  </si>
  <si>
    <t>011</t>
    <phoneticPr fontId="7" type="noConversion"/>
  </si>
  <si>
    <t>한국산업</t>
    <phoneticPr fontId="7" type="noConversion"/>
  </si>
  <si>
    <t>사천시 사남면 공단1로 23-9</t>
    <phoneticPr fontId="7" type="noConversion"/>
  </si>
  <si>
    <t>03-1705</t>
    <phoneticPr fontId="7" type="noConversion"/>
  </si>
  <si>
    <t>조성현, 건물지원사업</t>
    <phoneticPr fontId="7" type="noConversion"/>
  </si>
  <si>
    <t>츠카타니코리아㈜</t>
    <phoneticPr fontId="7" type="noConversion"/>
  </si>
  <si>
    <t>㈜에스엔테크</t>
    <phoneticPr fontId="7" type="noConversion"/>
  </si>
  <si>
    <t>고삼농협</t>
    <phoneticPr fontId="7" type="noConversion"/>
  </si>
  <si>
    <t>005</t>
    <phoneticPr fontId="7" type="noConversion"/>
  </si>
  <si>
    <t>010</t>
    <phoneticPr fontId="7" type="noConversion"/>
  </si>
  <si>
    <t>경기 안성시 고삼면 신창길 82</t>
    <phoneticPr fontId="7" type="noConversion"/>
  </si>
  <si>
    <t>경기 용인시 기흥구 지삼로198번길 38</t>
    <phoneticPr fontId="7" type="noConversion"/>
  </si>
  <si>
    <t>06-1719</t>
    <phoneticPr fontId="7" type="noConversion"/>
  </si>
  <si>
    <t>경기 화성시 만세구 장안면 장안공단1길 49</t>
    <phoneticPr fontId="7" type="noConversion"/>
  </si>
  <si>
    <t>01-2918</t>
    <phoneticPr fontId="7" type="noConversion"/>
  </si>
  <si>
    <t>02-0604</t>
    <phoneticPr fontId="7" type="noConversion"/>
  </si>
  <si>
    <t>진으뜸, 건물지원사업</t>
    <phoneticPr fontId="7" type="noConversion"/>
  </si>
  <si>
    <t>김정민</t>
    <phoneticPr fontId="7" type="noConversion"/>
  </si>
  <si>
    <t>장광수</t>
    <phoneticPr fontId="7" type="noConversion"/>
  </si>
  <si>
    <t>삼창에너지발전소</t>
    <phoneticPr fontId="7" type="noConversion"/>
  </si>
  <si>
    <t>경북</t>
    <phoneticPr fontId="7" type="noConversion"/>
  </si>
  <si>
    <t>경북 경주시 외동읍 구어들밑길 132-75</t>
    <phoneticPr fontId="7" type="noConversion"/>
  </si>
  <si>
    <t>G01-0701</t>
    <phoneticPr fontId="7" type="noConversion"/>
  </si>
  <si>
    <t>그 외</t>
    <phoneticPr fontId="7" type="noConversion"/>
  </si>
  <si>
    <t>외주영업자 신선수</t>
    <phoneticPr fontId="7" type="noConversion"/>
  </si>
  <si>
    <t>유지</t>
    <phoneticPr fontId="7" type="noConversion"/>
  </si>
  <si>
    <t>26.03.25</t>
    <phoneticPr fontId="7" type="noConversion"/>
  </si>
  <si>
    <t>HPNT</t>
    <phoneticPr fontId="7" type="noConversion"/>
  </si>
  <si>
    <t>부산시 강서구 신항남로 454</t>
    <phoneticPr fontId="7" type="noConversion"/>
  </si>
  <si>
    <t>허성욱</t>
    <phoneticPr fontId="7" type="noConversion"/>
  </si>
  <si>
    <t>CEK 전주사업부</t>
    <phoneticPr fontId="7" type="noConversion"/>
  </si>
  <si>
    <t>전북특별자치도 전주시 덕진구 서귀로 211-6</t>
    <phoneticPr fontId="7" type="noConversion"/>
  </si>
  <si>
    <t>004</t>
    <phoneticPr fontId="7" type="noConversion"/>
  </si>
  <si>
    <t>김지훈</t>
    <phoneticPr fontId="7" type="noConversion"/>
  </si>
  <si>
    <t>장광수</t>
    <phoneticPr fontId="7" type="noConversion"/>
  </si>
  <si>
    <t>그랜드썬53 대성화학</t>
    <phoneticPr fontId="7" type="noConversion"/>
  </si>
  <si>
    <t>부산</t>
    <phoneticPr fontId="7" type="noConversion"/>
  </si>
  <si>
    <t>부산 금정구 동천로7번길 48-21</t>
    <phoneticPr fontId="7" type="noConversion"/>
  </si>
  <si>
    <t>G02-2607</t>
    <phoneticPr fontId="7" type="noConversion"/>
  </si>
  <si>
    <t>그 외</t>
    <phoneticPr fontId="7" type="noConversion"/>
  </si>
  <si>
    <t>외주영업자 신선수</t>
    <phoneticPr fontId="7" type="noConversion"/>
  </si>
  <si>
    <t>공장</t>
    <phoneticPr fontId="7" type="noConversion"/>
  </si>
  <si>
    <t>005</t>
    <phoneticPr fontId="7" type="noConversion"/>
  </si>
  <si>
    <t>그랜드썬54 진아스톤</t>
    <phoneticPr fontId="7" type="noConversion"/>
  </si>
  <si>
    <t>경남</t>
    <phoneticPr fontId="7" type="noConversion"/>
  </si>
  <si>
    <t>경남 김해시 한림면 장방리 287-54</t>
    <phoneticPr fontId="7" type="noConversion"/>
  </si>
  <si>
    <t>G03-1204</t>
    <phoneticPr fontId="7" type="noConversion"/>
  </si>
  <si>
    <t xml:space="preserve">그 외 </t>
    <phoneticPr fontId="7" type="noConversion"/>
  </si>
  <si>
    <t>26.03.27</t>
    <phoneticPr fontId="7" type="noConversion"/>
  </si>
  <si>
    <t>26.03.20</t>
    <phoneticPr fontId="7" type="noConversion"/>
  </si>
  <si>
    <t>김동호</t>
    <phoneticPr fontId="7" type="noConversion"/>
  </si>
  <si>
    <t>조성현</t>
    <phoneticPr fontId="7" type="noConversion"/>
  </si>
  <si>
    <t>에스엠폴리텍</t>
    <phoneticPr fontId="7" type="noConversion"/>
  </si>
  <si>
    <t>경북</t>
    <phoneticPr fontId="7" type="noConversion"/>
  </si>
  <si>
    <t>구미시 장천면 하장2길274-19</t>
    <phoneticPr fontId="7" type="noConversion"/>
  </si>
  <si>
    <t>02-2304</t>
    <phoneticPr fontId="7" type="noConversion"/>
  </si>
  <si>
    <t>소개</t>
    <phoneticPr fontId="7" type="noConversion"/>
  </si>
  <si>
    <t>신흥태양광 전상훈부장</t>
    <phoneticPr fontId="7" type="noConversion"/>
  </si>
  <si>
    <t>공장</t>
    <phoneticPr fontId="7" type="noConversion"/>
  </si>
  <si>
    <t>유지</t>
    <phoneticPr fontId="7" type="noConversion"/>
  </si>
  <si>
    <t>용현무</t>
    <phoneticPr fontId="7" type="noConversion"/>
  </si>
  <si>
    <t>하늘</t>
    <phoneticPr fontId="7" type="noConversion"/>
  </si>
  <si>
    <t>경남</t>
    <phoneticPr fontId="7" type="noConversion"/>
  </si>
  <si>
    <t>산청군 단성면 강누리 1031-4</t>
    <phoneticPr fontId="7" type="noConversion"/>
  </si>
  <si>
    <t>03-0611</t>
    <phoneticPr fontId="7" type="noConversion"/>
  </si>
  <si>
    <t>경남철강</t>
    <phoneticPr fontId="7" type="noConversion"/>
  </si>
  <si>
    <t>축사</t>
    <phoneticPr fontId="7" type="noConversion"/>
  </si>
  <si>
    <t>26.03.26</t>
    <phoneticPr fontId="7" type="noConversion"/>
  </si>
  <si>
    <t>진으뜸</t>
    <phoneticPr fontId="7" type="noConversion"/>
  </si>
  <si>
    <t>㈜에이치에스에너지4호</t>
    <phoneticPr fontId="7" type="noConversion"/>
  </si>
  <si>
    <t>허영준</t>
    <phoneticPr fontId="7" type="noConversion"/>
  </si>
  <si>
    <t>경남</t>
    <phoneticPr fontId="7" type="noConversion"/>
  </si>
  <si>
    <t>경남 양산시 소주로 87-28</t>
    <phoneticPr fontId="7" type="noConversion"/>
  </si>
  <si>
    <t>직접유입</t>
    <phoneticPr fontId="7" type="noConversion"/>
  </si>
  <si>
    <t>03-0335</t>
    <phoneticPr fontId="7" type="noConversion"/>
  </si>
  <si>
    <t>26.04.01</t>
    <phoneticPr fontId="7" type="noConversion"/>
  </si>
  <si>
    <t>김동호</t>
    <phoneticPr fontId="7" type="noConversion"/>
  </si>
  <si>
    <t>조성현</t>
    <phoneticPr fontId="7" type="noConversion"/>
  </si>
  <si>
    <t>동광산업</t>
    <phoneticPr fontId="7" type="noConversion"/>
  </si>
  <si>
    <t>경북</t>
    <phoneticPr fontId="7" type="noConversion"/>
  </si>
  <si>
    <t>칠곡군 왜관읍 공단로4길 46-27</t>
    <phoneticPr fontId="7" type="noConversion"/>
  </si>
  <si>
    <t>03-2329</t>
    <phoneticPr fontId="7" type="noConversion"/>
  </si>
  <si>
    <t>소개</t>
    <phoneticPr fontId="7" type="noConversion"/>
  </si>
  <si>
    <t>유림산업대표</t>
    <phoneticPr fontId="7" type="noConversion"/>
  </si>
  <si>
    <t>산단</t>
    <phoneticPr fontId="7" type="noConversion"/>
  </si>
  <si>
    <t>유지</t>
    <phoneticPr fontId="7" type="noConversion"/>
  </si>
  <si>
    <t>장광수</t>
    <phoneticPr fontId="7" type="noConversion"/>
  </si>
  <si>
    <t>지온플러스</t>
    <phoneticPr fontId="7" type="noConversion"/>
  </si>
  <si>
    <t>경기도 화성시 만세구 양감면 발안로 836-6</t>
    <phoneticPr fontId="7" type="noConversion"/>
  </si>
  <si>
    <t>경기</t>
    <phoneticPr fontId="7" type="noConversion"/>
  </si>
  <si>
    <t>G03-0308</t>
    <phoneticPr fontId="7" type="noConversion"/>
  </si>
  <si>
    <t>그 외</t>
    <phoneticPr fontId="7" type="noConversion"/>
  </si>
  <si>
    <t>외주영업자 박미경</t>
    <phoneticPr fontId="7" type="noConversion"/>
  </si>
  <si>
    <t>공장</t>
    <phoneticPr fontId="7" type="noConversion"/>
  </si>
  <si>
    <t>유지</t>
    <phoneticPr fontId="7" type="noConversion"/>
  </si>
  <si>
    <t>김지훈</t>
    <phoneticPr fontId="7" type="noConversion"/>
  </si>
  <si>
    <t>장광수</t>
    <phoneticPr fontId="7" type="noConversion"/>
  </si>
  <si>
    <t>성오</t>
    <phoneticPr fontId="7" type="noConversion"/>
  </si>
  <si>
    <t>경북</t>
    <phoneticPr fontId="7" type="noConversion"/>
  </si>
  <si>
    <t>경북 청도군 이서면 구라리 710-2, 710-26</t>
    <phoneticPr fontId="7" type="noConversion"/>
  </si>
  <si>
    <t>G03-0311</t>
    <phoneticPr fontId="7" type="noConversion"/>
  </si>
  <si>
    <t>그 외</t>
    <phoneticPr fontId="7" type="noConversion"/>
  </si>
  <si>
    <t>외주영업자 하강우</t>
    <phoneticPr fontId="7" type="noConversion"/>
  </si>
  <si>
    <t>축사</t>
    <phoneticPr fontId="7" type="noConversion"/>
  </si>
  <si>
    <t>유지</t>
    <phoneticPr fontId="7" type="noConversion"/>
  </si>
  <si>
    <t>허영준</t>
    <phoneticPr fontId="7" type="noConversion"/>
  </si>
  <si>
    <t>조성현</t>
    <phoneticPr fontId="7" type="noConversion"/>
  </si>
  <si>
    <t>신화</t>
    <phoneticPr fontId="7" type="noConversion"/>
  </si>
  <si>
    <t>경남</t>
    <phoneticPr fontId="7" type="noConversion"/>
  </si>
  <si>
    <t>12-1108</t>
    <phoneticPr fontId="7" type="noConversion"/>
  </si>
  <si>
    <t>그 외</t>
    <phoneticPr fontId="7" type="noConversion"/>
  </si>
  <si>
    <t>직접유입</t>
    <phoneticPr fontId="7" type="noConversion"/>
  </si>
  <si>
    <t>유지</t>
    <phoneticPr fontId="7" type="noConversion"/>
  </si>
  <si>
    <t>김동호</t>
    <phoneticPr fontId="7" type="noConversion"/>
  </si>
  <si>
    <t>참골1호</t>
    <phoneticPr fontId="7" type="noConversion"/>
  </si>
  <si>
    <t>참골2호</t>
    <phoneticPr fontId="7" type="noConversion"/>
  </si>
  <si>
    <t>창녕군 대합면 대합산업단지로 38-43</t>
    <phoneticPr fontId="7" type="noConversion"/>
  </si>
  <si>
    <t>산청군 단성면 목화로 991번길 85-46</t>
    <phoneticPr fontId="7" type="noConversion"/>
  </si>
  <si>
    <t>산청군 단성면 강누리 647-2</t>
    <phoneticPr fontId="7" type="noConversion"/>
  </si>
  <si>
    <t>03-0611</t>
    <phoneticPr fontId="7" type="noConversion"/>
  </si>
  <si>
    <t>소개</t>
    <phoneticPr fontId="7" type="noConversion"/>
  </si>
  <si>
    <t>산청 하늘태양광</t>
    <phoneticPr fontId="7" type="noConversion"/>
  </si>
  <si>
    <t>축사</t>
    <phoneticPr fontId="7" type="noConversion"/>
  </si>
  <si>
    <t>김세종</t>
    <phoneticPr fontId="7" type="noConversion"/>
  </si>
  <si>
    <t>최창민</t>
    <phoneticPr fontId="7" type="noConversion"/>
  </si>
  <si>
    <t>충남</t>
    <phoneticPr fontId="7" type="noConversion"/>
  </si>
  <si>
    <t>아산시 인주면 인주로 163-25</t>
    <phoneticPr fontId="7" type="noConversion"/>
  </si>
  <si>
    <t>02-2707</t>
    <phoneticPr fontId="7" type="noConversion"/>
  </si>
  <si>
    <t>공장</t>
    <phoneticPr fontId="7" type="noConversion"/>
  </si>
  <si>
    <t>허영준</t>
    <phoneticPr fontId="7" type="noConversion"/>
  </si>
  <si>
    <t>임준길</t>
    <phoneticPr fontId="7" type="noConversion"/>
  </si>
  <si>
    <t>해니</t>
    <phoneticPr fontId="7" type="noConversion"/>
  </si>
  <si>
    <t>경남</t>
    <phoneticPr fontId="7" type="noConversion"/>
  </si>
  <si>
    <t>경남 진주시 정촌면 예하리 1246-17</t>
    <phoneticPr fontId="7" type="noConversion"/>
  </si>
  <si>
    <t>03-2012</t>
    <phoneticPr fontId="7" type="noConversion"/>
  </si>
  <si>
    <t>김동호</t>
    <phoneticPr fontId="7" type="noConversion"/>
  </si>
  <si>
    <t>조성현</t>
    <phoneticPr fontId="7" type="noConversion"/>
  </si>
  <si>
    <t>단성</t>
    <phoneticPr fontId="7" type="noConversion"/>
  </si>
  <si>
    <t>경남</t>
    <phoneticPr fontId="7" type="noConversion"/>
  </si>
  <si>
    <t>산청군 단성면 사직단로 447-2</t>
    <phoneticPr fontId="7" type="noConversion"/>
  </si>
  <si>
    <t>03-3002</t>
    <phoneticPr fontId="7" type="noConversion"/>
  </si>
  <si>
    <t>소개</t>
    <phoneticPr fontId="7" type="noConversion"/>
  </si>
  <si>
    <t>하늘태양광</t>
    <phoneticPr fontId="7" type="noConversion"/>
  </si>
  <si>
    <t>유지</t>
    <phoneticPr fontId="7" type="noConversion"/>
  </si>
  <si>
    <t>연호</t>
    <phoneticPr fontId="7" type="noConversion"/>
  </si>
  <si>
    <t>용현무</t>
    <phoneticPr fontId="7" type="noConversion"/>
  </si>
  <si>
    <t>최창민</t>
    <phoneticPr fontId="7" type="noConversion"/>
  </si>
  <si>
    <t>다모아</t>
    <phoneticPr fontId="7" type="noConversion"/>
  </si>
  <si>
    <t>경기 시흥시 공단1대로 281</t>
    <phoneticPr fontId="7" type="noConversion"/>
  </si>
  <si>
    <t>경기</t>
    <phoneticPr fontId="7" type="noConversion"/>
  </si>
  <si>
    <t>08-2806</t>
  </si>
  <si>
    <t>김세종</t>
    <phoneticPr fontId="7" type="noConversion"/>
  </si>
  <si>
    <t>진으뜸</t>
    <phoneticPr fontId="7" type="noConversion"/>
  </si>
  <si>
    <t>북존로지스틱스</t>
    <phoneticPr fontId="7" type="noConversion"/>
  </si>
  <si>
    <t>경기</t>
    <phoneticPr fontId="7" type="noConversion"/>
  </si>
  <si>
    <t>경기 파주시 탄현면 오금로80번길 43-17</t>
    <phoneticPr fontId="7" type="noConversion"/>
  </si>
  <si>
    <t>02-2507</t>
    <phoneticPr fontId="7" type="noConversion"/>
  </si>
  <si>
    <t>공장</t>
    <phoneticPr fontId="7" type="noConversion"/>
  </si>
  <si>
    <t>유지</t>
    <phoneticPr fontId="7" type="noConversion"/>
  </si>
  <si>
    <t>김지훈</t>
    <phoneticPr fontId="7" type="noConversion"/>
  </si>
  <si>
    <t>장광수</t>
    <phoneticPr fontId="7" type="noConversion"/>
  </si>
  <si>
    <t>이비와이</t>
    <phoneticPr fontId="7" type="noConversion"/>
  </si>
  <si>
    <t>경기 화성시 만세구 팔탄면 온천로 43-20</t>
    <phoneticPr fontId="7" type="noConversion"/>
  </si>
  <si>
    <t>G10-3003</t>
    <phoneticPr fontId="7" type="noConversion"/>
  </si>
  <si>
    <t>외주영업자 최영주</t>
    <phoneticPr fontId="7" type="noConversion"/>
  </si>
  <si>
    <t>공장</t>
    <phoneticPr fontId="7" type="noConversion"/>
  </si>
  <si>
    <t>유지</t>
    <phoneticPr fontId="7" type="noConversion"/>
  </si>
  <si>
    <t>김지훈</t>
    <phoneticPr fontId="7" type="noConversion"/>
  </si>
  <si>
    <t>장광수</t>
    <phoneticPr fontId="7" type="noConversion"/>
  </si>
  <si>
    <t>디에이치이비</t>
    <phoneticPr fontId="7" type="noConversion"/>
  </si>
  <si>
    <t>경기</t>
    <phoneticPr fontId="7" type="noConversion"/>
  </si>
  <si>
    <t>경기 화성시 만세구 팔탄면 온천로 43-18</t>
    <phoneticPr fontId="7" type="noConversion"/>
  </si>
  <si>
    <t>공장</t>
    <phoneticPr fontId="7" type="noConversion"/>
  </si>
  <si>
    <t>유지</t>
    <phoneticPr fontId="7" type="noConversion"/>
  </si>
  <si>
    <t>김동호</t>
    <phoneticPr fontId="7" type="noConversion"/>
  </si>
  <si>
    <t>진으뜸</t>
    <phoneticPr fontId="7" type="noConversion"/>
  </si>
  <si>
    <t>프로발</t>
    <phoneticPr fontId="7" type="noConversion"/>
  </si>
  <si>
    <t>경기</t>
    <phoneticPr fontId="7" type="noConversion"/>
  </si>
  <si>
    <t>경기 시흥시 엠티브이25로20번길 38</t>
    <phoneticPr fontId="7" type="noConversion"/>
  </si>
  <si>
    <t>02-1109</t>
    <phoneticPr fontId="7" type="noConversion"/>
  </si>
  <si>
    <t>그 외</t>
    <phoneticPr fontId="7" type="noConversion"/>
  </si>
  <si>
    <t>공장</t>
    <phoneticPr fontId="7" type="noConversion"/>
  </si>
  <si>
    <t>유지</t>
    <phoneticPr fontId="7" type="noConversion"/>
  </si>
  <si>
    <t>크나우프석고보드</t>
    <phoneticPr fontId="7" type="noConversion"/>
  </si>
  <si>
    <t>충남 당진시 송악읍 부곡공단4길 81</t>
    <phoneticPr fontId="7" type="noConversion"/>
  </si>
  <si>
    <t>03-0927</t>
    <phoneticPr fontId="7" type="noConversion"/>
  </si>
  <si>
    <t>임준길</t>
    <phoneticPr fontId="7" type="noConversion"/>
  </si>
  <si>
    <t>조성현</t>
    <phoneticPr fontId="7" type="noConversion"/>
  </si>
  <si>
    <t>윤준테크</t>
    <phoneticPr fontId="7" type="noConversion"/>
  </si>
  <si>
    <t>경북</t>
    <phoneticPr fontId="7" type="noConversion"/>
  </si>
  <si>
    <t>구미시 산호대로 363</t>
    <phoneticPr fontId="7" type="noConversion"/>
  </si>
  <si>
    <t>10-2719</t>
    <phoneticPr fontId="7" type="noConversion"/>
  </si>
  <si>
    <t>그 외</t>
    <phoneticPr fontId="7" type="noConversion"/>
  </si>
  <si>
    <t>직접유입</t>
    <phoneticPr fontId="7" type="noConversion"/>
  </si>
  <si>
    <t>유지</t>
    <phoneticPr fontId="7" type="noConversion"/>
  </si>
  <si>
    <t>김지훈</t>
    <phoneticPr fontId="7" type="noConversion"/>
  </si>
  <si>
    <t>장광수</t>
    <phoneticPr fontId="7" type="noConversion"/>
  </si>
  <si>
    <t>대룡정밀</t>
    <phoneticPr fontId="7" type="noConversion"/>
  </si>
  <si>
    <t>경남</t>
    <phoneticPr fontId="7" type="noConversion"/>
  </si>
  <si>
    <t>경남 창원시 마산회원구 봉암공단12길 20</t>
    <phoneticPr fontId="7" type="noConversion"/>
  </si>
  <si>
    <t>G04-0105</t>
    <phoneticPr fontId="7" type="noConversion"/>
  </si>
  <si>
    <t xml:space="preserve">그 외 </t>
    <phoneticPr fontId="7" type="noConversion"/>
  </si>
  <si>
    <t>외주영업자 신선수</t>
    <phoneticPr fontId="7" type="noConversion"/>
  </si>
  <si>
    <t>공장</t>
    <phoneticPr fontId="7" type="noConversion"/>
  </si>
  <si>
    <t>유지</t>
    <phoneticPr fontId="7" type="noConversion"/>
  </si>
  <si>
    <t>김세종</t>
    <phoneticPr fontId="7" type="noConversion"/>
  </si>
  <si>
    <t>임준길</t>
    <phoneticPr fontId="7" type="noConversion"/>
  </si>
  <si>
    <t>씨엠테크론</t>
    <phoneticPr fontId="7" type="noConversion"/>
  </si>
  <si>
    <t>경남</t>
    <phoneticPr fontId="7" type="noConversion"/>
  </si>
  <si>
    <t>경남 창원시 의창구 죽전로82번길 11</t>
    <phoneticPr fontId="7" type="noConversion"/>
  </si>
  <si>
    <t>03-2309</t>
    <phoneticPr fontId="7" type="noConversion"/>
  </si>
  <si>
    <t>공장</t>
    <phoneticPr fontId="7" type="noConversion"/>
  </si>
  <si>
    <t>유지</t>
    <phoneticPr fontId="7" type="noConversion"/>
  </si>
  <si>
    <t>김세종</t>
    <phoneticPr fontId="7" type="noConversion"/>
  </si>
  <si>
    <t>광명산업1호</t>
    <phoneticPr fontId="7" type="noConversion"/>
  </si>
  <si>
    <t>광명산업2호</t>
    <phoneticPr fontId="7" type="noConversion"/>
  </si>
  <si>
    <t>경기</t>
    <phoneticPr fontId="7" type="noConversion"/>
  </si>
  <si>
    <t>경기 화성시 만세구 장안면 수정로 241</t>
    <phoneticPr fontId="7" type="noConversion"/>
  </si>
  <si>
    <t>경기 화성시 만세구 장안면 수정로 235</t>
    <phoneticPr fontId="7" type="noConversion"/>
  </si>
  <si>
    <t>sp03-2402</t>
    <phoneticPr fontId="7" type="noConversion"/>
  </si>
  <si>
    <t>공장</t>
    <phoneticPr fontId="7" type="noConversion"/>
  </si>
  <si>
    <t>유지</t>
    <phoneticPr fontId="7" type="noConversion"/>
  </si>
  <si>
    <t>지에스피</t>
  </si>
  <si>
    <t>광명산업</t>
    <phoneticPr fontId="7" type="noConversion"/>
  </si>
  <si>
    <t>경기 화성시 만세구 장안면 수정로 235 가동</t>
    <phoneticPr fontId="7" type="noConversion"/>
  </si>
  <si>
    <t>경기 화성시 만세구 장안면 수정로 235 나동</t>
    <phoneticPr fontId="7" type="noConversion"/>
  </si>
  <si>
    <t>경기 화성시 만세구 장안면 수정로 241 다동</t>
    <phoneticPr fontId="7" type="noConversion"/>
  </si>
  <si>
    <t>대동씨엠</t>
    <phoneticPr fontId="7" type="noConversion"/>
  </si>
  <si>
    <t>부산 강서구 녹산산단382로59번길 33</t>
    <phoneticPr fontId="7" type="noConversion"/>
  </si>
  <si>
    <t>G10-1604</t>
    <phoneticPr fontId="7" type="noConversion"/>
  </si>
  <si>
    <t>외주영업자 배병수, 건물지원사업(RPS 복합계약건)</t>
    <phoneticPr fontId="7" type="noConversion"/>
  </si>
  <si>
    <t>김세종</t>
    <phoneticPr fontId="7" type="noConversion"/>
  </si>
  <si>
    <t>진으뜸</t>
    <phoneticPr fontId="7" type="noConversion"/>
  </si>
  <si>
    <t>메디치에스</t>
    <phoneticPr fontId="7" type="noConversion"/>
  </si>
  <si>
    <t xml:space="preserve">경기 </t>
    <phoneticPr fontId="7" type="noConversion"/>
  </si>
  <si>
    <t>경기 고양시 일산동구 성석동 1055</t>
    <phoneticPr fontId="7" type="noConversion"/>
  </si>
  <si>
    <t>03-1304</t>
    <phoneticPr fontId="7" type="noConversion"/>
  </si>
  <si>
    <t>근생</t>
    <phoneticPr fontId="7" type="noConversion"/>
  </si>
  <si>
    <t>유지</t>
    <phoneticPr fontId="7" type="noConversion"/>
  </si>
  <si>
    <t>26.04.16</t>
    <phoneticPr fontId="7" type="noConversion"/>
  </si>
  <si>
    <t>농업회사법인안성퓨리나㈜</t>
    <phoneticPr fontId="7" type="noConversion"/>
  </si>
  <si>
    <t>충남 천안시 서북구 성환읍 양령2길 235-1</t>
    <phoneticPr fontId="7" type="noConversion"/>
  </si>
  <si>
    <t>04-1022</t>
    <phoneticPr fontId="7" type="noConversion"/>
  </si>
  <si>
    <t>26.04.21</t>
    <phoneticPr fontId="7" type="noConversion"/>
  </si>
  <si>
    <t>㈜홈마트</t>
    <phoneticPr fontId="7" type="noConversion"/>
  </si>
  <si>
    <t>경기 가평군 설악면 신천중앙로 74</t>
    <phoneticPr fontId="7" type="noConversion"/>
  </si>
  <si>
    <t>12-2213</t>
    <phoneticPr fontId="7" type="noConversion"/>
  </si>
  <si>
    <t>일반부지(B)</t>
  </si>
  <si>
    <t>001</t>
    <phoneticPr fontId="7" type="noConversion"/>
  </si>
  <si>
    <t>26.04.21</t>
    <phoneticPr fontId="7" type="noConversion"/>
  </si>
  <si>
    <t>남형석</t>
    <phoneticPr fontId="7" type="noConversion"/>
  </si>
  <si>
    <t>㈜세아제강 포항공장 노동조합 주차장</t>
    <phoneticPr fontId="7" type="noConversion"/>
  </si>
  <si>
    <t>포항시 남구 괴동로 136</t>
    <phoneticPr fontId="7" type="noConversion"/>
  </si>
  <si>
    <t>김동호</t>
    <phoneticPr fontId="7" type="noConversion"/>
  </si>
  <si>
    <t>최창민</t>
    <phoneticPr fontId="7" type="noConversion"/>
  </si>
  <si>
    <t>채웅솔라</t>
    <phoneticPr fontId="7" type="noConversion"/>
  </si>
  <si>
    <t>경기</t>
    <phoneticPr fontId="7" type="noConversion"/>
  </si>
  <si>
    <t>경기 남양주시 화도읍 차산리 18-5</t>
    <phoneticPr fontId="7" type="noConversion"/>
  </si>
  <si>
    <t>04-0325</t>
    <phoneticPr fontId="7" type="noConversion"/>
  </si>
  <si>
    <t>아튼 발전소 사업주 소개(1만원)</t>
    <phoneticPr fontId="7" type="noConversion"/>
  </si>
  <si>
    <t>공장</t>
    <phoneticPr fontId="7" type="noConversion"/>
  </si>
  <si>
    <t>유지</t>
    <phoneticPr fontId="7" type="noConversion"/>
  </si>
  <si>
    <t>26.04.27</t>
    <phoneticPr fontId="7" type="noConversion"/>
  </si>
  <si>
    <t>김세종</t>
    <phoneticPr fontId="7" type="noConversion"/>
  </si>
  <si>
    <t>진으뜸</t>
    <phoneticPr fontId="7" type="noConversion"/>
  </si>
  <si>
    <t>새빛</t>
    <phoneticPr fontId="7" type="noConversion"/>
  </si>
  <si>
    <t>충북</t>
    <phoneticPr fontId="7" type="noConversion"/>
  </si>
  <si>
    <t>충북 음성군 대소읍 성본리 381-17</t>
    <phoneticPr fontId="7" type="noConversion"/>
  </si>
  <si>
    <t>04-1307</t>
    <phoneticPr fontId="7" type="noConversion"/>
  </si>
  <si>
    <t>공장</t>
    <phoneticPr fontId="7" type="noConversion"/>
  </si>
  <si>
    <t>프로모션</t>
    <phoneticPr fontId="7" type="noConversion"/>
  </si>
  <si>
    <t>누적 목표용량</t>
    <phoneticPr fontId="7" type="noConversion"/>
  </si>
  <si>
    <t>1분기</t>
    <phoneticPr fontId="7" type="noConversion"/>
  </si>
  <si>
    <t>2분기</t>
    <phoneticPr fontId="7" type="noConversion"/>
  </si>
  <si>
    <t>3분기</t>
    <phoneticPr fontId="7" type="noConversion"/>
  </si>
  <si>
    <t>4분기</t>
    <phoneticPr fontId="7" type="noConversion"/>
  </si>
  <si>
    <t>목표용량
(해당 월)</t>
    <phoneticPr fontId="7" type="noConversion"/>
  </si>
  <si>
    <t>계약용량 
(해당 월)</t>
    <phoneticPr fontId="7" type="noConversion"/>
  </si>
  <si>
    <t>목표용량
(누적)</t>
    <phoneticPr fontId="7" type="noConversion"/>
  </si>
  <si>
    <t>계약용량 
(해당 누적)</t>
    <phoneticPr fontId="7" type="noConversion"/>
  </si>
  <si>
    <t>26.04.30</t>
    <phoneticPr fontId="7" type="noConversion"/>
  </si>
  <si>
    <t>코리아에너지발전소㈜ 18호기</t>
    <phoneticPr fontId="7" type="noConversion"/>
  </si>
  <si>
    <t>울산시 남구 성암동 63번지</t>
    <phoneticPr fontId="7" type="noConversion"/>
  </si>
  <si>
    <t>26.04.30</t>
    <phoneticPr fontId="7" type="noConversion"/>
  </si>
  <si>
    <t>김세종</t>
    <phoneticPr fontId="7" type="noConversion"/>
  </si>
  <si>
    <t>조성현</t>
    <phoneticPr fontId="7" type="noConversion"/>
  </si>
  <si>
    <t>대성</t>
    <phoneticPr fontId="7" type="noConversion"/>
  </si>
  <si>
    <t>경남</t>
    <phoneticPr fontId="7" type="noConversion"/>
  </si>
  <si>
    <t>창원시 마산합포구 진북면 인곡리 155</t>
    <phoneticPr fontId="7" type="noConversion"/>
  </si>
  <si>
    <t>(주)그랜드썬기술단</t>
    <phoneticPr fontId="7" type="noConversion"/>
  </si>
  <si>
    <t>04-2201</t>
    <phoneticPr fontId="7" type="noConversion"/>
  </si>
  <si>
    <t>전시회</t>
    <phoneticPr fontId="7" type="noConversion"/>
  </si>
  <si>
    <t>egi</t>
    <phoneticPr fontId="7" type="noConversion"/>
  </si>
  <si>
    <t>26.05.04</t>
    <phoneticPr fontId="7" type="noConversion"/>
  </si>
  <si>
    <t>김동호</t>
    <phoneticPr fontId="7" type="noConversion"/>
  </si>
  <si>
    <t>최창민</t>
    <phoneticPr fontId="7" type="noConversion"/>
  </si>
  <si>
    <t>온유림5호</t>
    <phoneticPr fontId="7" type="noConversion"/>
  </si>
  <si>
    <t>경남</t>
    <phoneticPr fontId="7" type="noConversion"/>
  </si>
  <si>
    <t>경남 김해시 진례면 테크노밸리1로 128</t>
    <phoneticPr fontId="7" type="noConversion"/>
  </si>
  <si>
    <t>03-2609</t>
    <phoneticPr fontId="7" type="noConversion"/>
  </si>
  <si>
    <t>기존고객</t>
    <phoneticPr fontId="7" type="noConversion"/>
  </si>
  <si>
    <t>공장</t>
    <phoneticPr fontId="7" type="noConversion"/>
  </si>
  <si>
    <t>유지</t>
    <phoneticPr fontId="7" type="noConversion"/>
  </si>
  <si>
    <t>김지훈</t>
    <phoneticPr fontId="7" type="noConversion"/>
  </si>
  <si>
    <t>장광수</t>
    <phoneticPr fontId="7" type="noConversion"/>
  </si>
  <si>
    <t>금화</t>
    <phoneticPr fontId="7" type="noConversion"/>
  </si>
  <si>
    <t>부산</t>
    <phoneticPr fontId="7" type="noConversion"/>
  </si>
  <si>
    <t>부산 강서구 녹산산단261로23번길 28</t>
    <phoneticPr fontId="7" type="noConversion"/>
  </si>
  <si>
    <t>G04-0601</t>
    <phoneticPr fontId="7" type="noConversion"/>
  </si>
  <si>
    <t>그 외</t>
    <phoneticPr fontId="7" type="noConversion"/>
  </si>
  <si>
    <t>외주영업자 임춘배</t>
    <phoneticPr fontId="7" type="noConversion"/>
  </si>
  <si>
    <t>26.05.06</t>
    <phoneticPr fontId="7" type="noConversion"/>
  </si>
  <si>
    <t>김지훈</t>
    <phoneticPr fontId="7" type="noConversion"/>
  </si>
  <si>
    <t>장광수</t>
    <phoneticPr fontId="7" type="noConversion"/>
  </si>
  <si>
    <t>신아</t>
    <phoneticPr fontId="7" type="noConversion"/>
  </si>
  <si>
    <t>경남</t>
    <phoneticPr fontId="7" type="noConversion"/>
  </si>
  <si>
    <t>경남 김해시 장유로 110</t>
    <phoneticPr fontId="7" type="noConversion"/>
  </si>
  <si>
    <t>G04-2204</t>
    <phoneticPr fontId="7" type="noConversion"/>
  </si>
  <si>
    <t>외주영업자 신선수</t>
    <phoneticPr fontId="7" type="noConversion"/>
  </si>
  <si>
    <t>26.05.07</t>
    <phoneticPr fontId="7" type="noConversion"/>
  </si>
  <si>
    <t>김세종</t>
    <phoneticPr fontId="7" type="noConversion"/>
  </si>
  <si>
    <t>최창민</t>
    <phoneticPr fontId="7" type="noConversion"/>
  </si>
  <si>
    <t>㈜정광</t>
    <phoneticPr fontId="7" type="noConversion"/>
  </si>
  <si>
    <t xml:space="preserve">경기 화성시 만세구 팔탄면 시청로940번길 42 </t>
    <phoneticPr fontId="7" type="noConversion"/>
  </si>
  <si>
    <t>04-0902</t>
    <phoneticPr fontId="7" type="noConversion"/>
  </si>
  <si>
    <t>소개</t>
    <phoneticPr fontId="7" type="noConversion"/>
  </si>
  <si>
    <t>기존사업주 추가건</t>
    <phoneticPr fontId="7" type="noConversion"/>
  </si>
  <si>
    <t>공장</t>
    <phoneticPr fontId="7" type="noConversion"/>
  </si>
  <si>
    <t>유지</t>
    <phoneticPr fontId="7" type="noConversion"/>
  </si>
  <si>
    <t>직영(가)</t>
    <phoneticPr fontId="7" type="noConversion"/>
  </si>
  <si>
    <t>26.05.08</t>
    <phoneticPr fontId="7" type="noConversion"/>
  </si>
  <si>
    <t>진으뜸</t>
    <phoneticPr fontId="7" type="noConversion"/>
  </si>
  <si>
    <t>사이언스프로버</t>
    <phoneticPr fontId="7" type="noConversion"/>
  </si>
  <si>
    <t>경기</t>
    <phoneticPr fontId="7" type="noConversion"/>
  </si>
  <si>
    <t>경기 화성시 동탄구 동탄산단7길 98-46</t>
    <phoneticPr fontId="7" type="noConversion"/>
  </si>
  <si>
    <t>04-2010</t>
    <phoneticPr fontId="7" type="noConversion"/>
  </si>
  <si>
    <t>소개</t>
    <phoneticPr fontId="7" type="noConversion"/>
  </si>
  <si>
    <t>윤득호부장 형님 소개건</t>
    <phoneticPr fontId="7" type="noConversion"/>
  </si>
  <si>
    <t>공장</t>
    <phoneticPr fontId="7" type="noConversion"/>
  </si>
  <si>
    <t xml:space="preserve"> </t>
  </si>
  <si>
    <t>3) 각파트별 현황</t>
  </si>
  <si>
    <t xml:space="preserve"> ① 문의: 경기권 94건, 영남권 121건, 충남권 56건, 전라권 20건, 강원 11건</t>
  </si>
  <si>
    <t xml:space="preserve">            42건(500kW 미만), 10건(500kW 이상)</t>
  </si>
  <si>
    <t xml:space="preserve"> ② 계약 : 부산 3,548kW 경기 3,304kW / 직접 5,506kW, 소개 1,916kW </t>
  </si>
  <si>
    <t xml:space="preserve"> ③ 분석 : 문의건은 지난달과 비슷하나, 미팅건수 및 소개건 감소, 500kW 이상급 중대형 문의 급감 </t>
  </si>
  <si>
    <t xml:space="preserve"> ④ 향후방향 : 소개선 문의 향상 (소개비 3만원/kW 이벤트, 시장동향 및 감사인사등 고객소통 지속)</t>
  </si>
  <si>
    <t xml:space="preserve">                  중대행문의 감소원인 분석( 내부적 및 외부적 등) 및 대응 </t>
  </si>
  <si>
    <t xml:space="preserve">   </t>
  </si>
  <si>
    <t xml:space="preserve"> ① 문의: 진행중 2,170kW, 미낙찰 750kW(단위농협, 대웅그룹), 검토중 10MW</t>
  </si>
  <si>
    <t xml:space="preserve"> ② 계약 : EPC 800kW, 자가 50kW </t>
  </si>
  <si>
    <t xml:space="preserve"> ③ 분석 : 지원사업 (탄소중립 및 건물지원)문의가 지속, 최저가 입찰 추세</t>
  </si>
  <si>
    <t xml:space="preserve"> ④ 향후방향 : 환경부사업 2차 추경 적극홍보 및 대응, 원가절감을 위한 EPC사업와 지속적 소통</t>
  </si>
  <si>
    <t>월별달성률</t>
    <phoneticPr fontId="7" type="noConversion"/>
  </si>
  <si>
    <t>누적달성률</t>
    <phoneticPr fontId="7" type="noConversion"/>
  </si>
  <si>
    <t>누적목표용량(kW)</t>
    <phoneticPr fontId="7" type="noConversion"/>
  </si>
  <si>
    <t>누적계약용량(kW)</t>
    <phoneticPr fontId="7" type="noConversion"/>
  </si>
  <si>
    <t>누적계약건수(ea)</t>
    <phoneticPr fontId="7" type="noConversion"/>
  </si>
  <si>
    <t>자연에농장</t>
    <phoneticPr fontId="7" type="noConversion"/>
  </si>
  <si>
    <t>울산 울주군 두서면 박달로 50-25</t>
    <phoneticPr fontId="7" type="noConversion"/>
  </si>
  <si>
    <t>G11-1301</t>
    <phoneticPr fontId="7" type="noConversion"/>
  </si>
  <si>
    <t>006</t>
    <phoneticPr fontId="7" type="noConversion"/>
  </si>
  <si>
    <t>장광수</t>
    <phoneticPr fontId="7" type="noConversion"/>
  </si>
  <si>
    <t>경남 김해시 상동면 상동로 263-89</t>
    <phoneticPr fontId="7" type="noConversion"/>
  </si>
  <si>
    <t>G01-0505</t>
    <phoneticPr fontId="7" type="noConversion"/>
  </si>
  <si>
    <t>외주영업자 임춘배</t>
    <phoneticPr fontId="7" type="noConversion"/>
  </si>
  <si>
    <t>공장</t>
    <phoneticPr fontId="7" type="noConversion"/>
  </si>
  <si>
    <t>장광수</t>
    <phoneticPr fontId="7" type="noConversion"/>
  </si>
  <si>
    <t>자두2</t>
    <phoneticPr fontId="7" type="noConversion"/>
  </si>
  <si>
    <t>경북</t>
    <phoneticPr fontId="7" type="noConversion"/>
  </si>
  <si>
    <t>경북 청도군 각남면 차옥길 215-32</t>
    <phoneticPr fontId="7" type="noConversion"/>
  </si>
  <si>
    <t>G09-0105</t>
    <phoneticPr fontId="7" type="noConversion"/>
  </si>
  <si>
    <t xml:space="preserve">그 외 </t>
    <phoneticPr fontId="7" type="noConversion"/>
  </si>
  <si>
    <t>축사</t>
    <phoneticPr fontId="7" type="noConversion"/>
  </si>
  <si>
    <t>유지</t>
    <phoneticPr fontId="7" type="noConversion"/>
  </si>
  <si>
    <t>경북</t>
    <phoneticPr fontId="7" type="noConversion"/>
  </si>
  <si>
    <t>경북 청도군 각남면 옥척길 30</t>
    <phoneticPr fontId="7" type="noConversion"/>
  </si>
  <si>
    <t>G09-0106</t>
    <phoneticPr fontId="7" type="noConversion"/>
  </si>
  <si>
    <t>자두</t>
    <phoneticPr fontId="7" type="noConversion"/>
  </si>
  <si>
    <t>26.05.13</t>
    <phoneticPr fontId="7" type="noConversion"/>
  </si>
  <si>
    <t>용현무</t>
    <phoneticPr fontId="7" type="noConversion"/>
  </si>
  <si>
    <t>임준길</t>
    <phoneticPr fontId="7" type="noConversion"/>
  </si>
  <si>
    <t>SM</t>
    <phoneticPr fontId="7" type="noConversion"/>
  </si>
  <si>
    <t>경기 파주시 산남로132번길 31</t>
    <phoneticPr fontId="7" type="noConversion"/>
  </si>
  <si>
    <t>04-1704</t>
    <phoneticPr fontId="7" type="noConversion"/>
  </si>
  <si>
    <t>직접유입</t>
    <phoneticPr fontId="7" type="noConversion"/>
  </si>
  <si>
    <t>26.05.14</t>
    <phoneticPr fontId="7" type="noConversion"/>
  </si>
  <si>
    <t>김동호</t>
    <phoneticPr fontId="7" type="noConversion"/>
  </si>
  <si>
    <t>조성현</t>
    <phoneticPr fontId="7" type="noConversion"/>
  </si>
  <si>
    <t>브이티엘</t>
    <phoneticPr fontId="7" type="noConversion"/>
  </si>
  <si>
    <t>경남</t>
    <phoneticPr fontId="7" type="noConversion"/>
  </si>
  <si>
    <t>창원시 진해구 남영로 527번길 25</t>
    <phoneticPr fontId="7" type="noConversion"/>
  </si>
  <si>
    <t>05-1204</t>
    <phoneticPr fontId="7" type="noConversion"/>
  </si>
  <si>
    <t>소개</t>
    <phoneticPr fontId="7" type="noConversion"/>
  </si>
  <si>
    <t>삼우인텍</t>
    <phoneticPr fontId="7" type="noConversion"/>
  </si>
  <si>
    <t>그랜드썬55 미래에스티</t>
    <phoneticPr fontId="7" type="noConversion"/>
  </si>
  <si>
    <t>김지훈</t>
    <phoneticPr fontId="7" type="noConversion"/>
  </si>
  <si>
    <t>장광수</t>
    <phoneticPr fontId="7" type="noConversion"/>
  </si>
  <si>
    <t>디와이테크</t>
    <phoneticPr fontId="7" type="noConversion"/>
  </si>
  <si>
    <t>경기</t>
    <phoneticPr fontId="7" type="noConversion"/>
  </si>
  <si>
    <t>경기 화성시 효행구 비봉면 주석로 712-6</t>
    <phoneticPr fontId="7" type="noConversion"/>
  </si>
  <si>
    <t>G04-2102</t>
    <phoneticPr fontId="7" type="noConversion"/>
  </si>
  <si>
    <t>그 외</t>
    <phoneticPr fontId="7" type="noConversion"/>
  </si>
  <si>
    <t>외주영업자 최영주</t>
    <phoneticPr fontId="7" type="noConversion"/>
  </si>
  <si>
    <t>근생</t>
    <phoneticPr fontId="7" type="noConversion"/>
  </si>
  <si>
    <t>유지</t>
    <phoneticPr fontId="7" type="noConversion"/>
  </si>
  <si>
    <t>26.05.19</t>
    <phoneticPr fontId="7" type="noConversion"/>
  </si>
  <si>
    <t>김동호</t>
    <phoneticPr fontId="7" type="noConversion"/>
  </si>
  <si>
    <t>조성현</t>
    <phoneticPr fontId="7" type="noConversion"/>
  </si>
  <si>
    <t>진광정밀</t>
    <phoneticPr fontId="7" type="noConversion"/>
  </si>
  <si>
    <t>경남</t>
    <phoneticPr fontId="7" type="noConversion"/>
  </si>
  <si>
    <t>창원시 성산구 연덕로 15번길 84-19</t>
    <phoneticPr fontId="7" type="noConversion"/>
  </si>
  <si>
    <t>02-1207</t>
    <phoneticPr fontId="7" type="noConversion"/>
  </si>
  <si>
    <t>소개</t>
    <phoneticPr fontId="7" type="noConversion"/>
  </si>
  <si>
    <t>태창기계</t>
    <phoneticPr fontId="7" type="noConversion"/>
  </si>
  <si>
    <t>26.05.20</t>
    <phoneticPr fontId="7" type="noConversion"/>
  </si>
  <si>
    <t>장광수</t>
    <phoneticPr fontId="7" type="noConversion"/>
  </si>
  <si>
    <t>김지훈</t>
    <phoneticPr fontId="7" type="noConversion"/>
  </si>
  <si>
    <t>영인</t>
    <phoneticPr fontId="7" type="noConversion"/>
  </si>
  <si>
    <t>부산 강서구 생곡산단1로 61</t>
    <phoneticPr fontId="7" type="noConversion"/>
  </si>
  <si>
    <t>G02-2004</t>
    <phoneticPr fontId="7" type="noConversion"/>
  </si>
  <si>
    <t>외주영업자 이인재</t>
    <phoneticPr fontId="7" type="noConversion"/>
  </si>
  <si>
    <t>태흫</t>
    <phoneticPr fontId="7" type="noConversion"/>
  </si>
  <si>
    <t>부산</t>
    <phoneticPr fontId="7" type="noConversion"/>
  </si>
  <si>
    <t>부산 강서구 미음국제3로 95</t>
    <phoneticPr fontId="7" type="noConversion"/>
  </si>
  <si>
    <t>G02-2005</t>
    <phoneticPr fontId="7" type="noConversion"/>
  </si>
  <si>
    <t>와이에스패키징</t>
    <phoneticPr fontId="7" type="noConversion"/>
  </si>
  <si>
    <t>경기 화성시 팔탄면 온천로 46</t>
    <phoneticPr fontId="7" type="noConversion"/>
  </si>
  <si>
    <t>경기</t>
    <phoneticPr fontId="7" type="noConversion"/>
  </si>
  <si>
    <t>G11-0701</t>
    <phoneticPr fontId="7" type="noConversion"/>
  </si>
  <si>
    <t>외주영업자 최영주</t>
    <phoneticPr fontId="7" type="noConversion"/>
  </si>
  <si>
    <t>공장</t>
    <phoneticPr fontId="7" type="noConversion"/>
  </si>
  <si>
    <t>26.05.27</t>
    <phoneticPr fontId="7" type="noConversion"/>
  </si>
  <si>
    <t>김세종</t>
    <phoneticPr fontId="7" type="noConversion"/>
  </si>
  <si>
    <t>임준길</t>
    <phoneticPr fontId="7" type="noConversion"/>
  </si>
  <si>
    <t>강영스틸</t>
    <phoneticPr fontId="7" type="noConversion"/>
  </si>
  <si>
    <t>부산</t>
    <phoneticPr fontId="7" type="noConversion"/>
  </si>
  <si>
    <t>부산 강서구 미음국제5로라길 16</t>
    <phoneticPr fontId="7" type="noConversion"/>
  </si>
  <si>
    <t>05-1401</t>
    <phoneticPr fontId="7" type="noConversion"/>
  </si>
  <si>
    <t>직접유입</t>
    <phoneticPr fontId="7" type="noConversion"/>
  </si>
  <si>
    <t>공장</t>
    <phoneticPr fontId="7" type="noConversion"/>
  </si>
  <si>
    <t>유지</t>
    <phoneticPr fontId="7" type="noConversion"/>
  </si>
  <si>
    <t>26.05.28</t>
    <phoneticPr fontId="7" type="noConversion"/>
  </si>
  <si>
    <t>허영준</t>
    <phoneticPr fontId="7" type="noConversion"/>
  </si>
  <si>
    <t>조성현</t>
    <phoneticPr fontId="7" type="noConversion"/>
  </si>
  <si>
    <t>피엠테크</t>
    <phoneticPr fontId="7" type="noConversion"/>
  </si>
  <si>
    <t>태웅메디칼</t>
    <phoneticPr fontId="7" type="noConversion"/>
  </si>
  <si>
    <t>통진탁구클럽</t>
    <phoneticPr fontId="7" type="noConversion"/>
  </si>
  <si>
    <t>경남</t>
    <phoneticPr fontId="7" type="noConversion"/>
  </si>
  <si>
    <t>경기</t>
    <phoneticPr fontId="7" type="noConversion"/>
  </si>
  <si>
    <t>경남 김해시 한림면 용덕로 48-21</t>
    <phoneticPr fontId="7" type="noConversion"/>
  </si>
  <si>
    <t>경기 김포시 월곶면 고막리 1-5</t>
    <phoneticPr fontId="7" type="noConversion"/>
  </si>
  <si>
    <t>경기 김포시 통진읍 조강로56번길 112</t>
  </si>
  <si>
    <t>05-1310</t>
    <phoneticPr fontId="7" type="noConversion"/>
  </si>
  <si>
    <t>04-2305</t>
    <phoneticPr fontId="7" type="noConversion"/>
  </si>
  <si>
    <t>04-2806</t>
    <phoneticPr fontId="7" type="noConversion"/>
  </si>
  <si>
    <t>소개</t>
    <phoneticPr fontId="7" type="noConversion"/>
  </si>
  <si>
    <t>직접유입</t>
    <phoneticPr fontId="7" type="noConversion"/>
  </si>
  <si>
    <t>대구전시회</t>
    <phoneticPr fontId="7" type="noConversion"/>
  </si>
  <si>
    <t>공장</t>
    <phoneticPr fontId="7" type="noConversion"/>
  </si>
  <si>
    <t>유지</t>
    <phoneticPr fontId="7" type="noConversion"/>
  </si>
  <si>
    <t>26.05.29</t>
    <phoneticPr fontId="7" type="noConversion"/>
  </si>
  <si>
    <t>용현무</t>
    <phoneticPr fontId="7" type="noConversion"/>
  </si>
  <si>
    <t>진으뜸</t>
    <phoneticPr fontId="7" type="noConversion"/>
  </si>
  <si>
    <t>제이앤코퍼레이션</t>
    <phoneticPr fontId="7" type="noConversion"/>
  </si>
  <si>
    <t>경기</t>
    <phoneticPr fontId="7" type="noConversion"/>
  </si>
  <si>
    <t>경기 포천시 호국로917번길 47-51</t>
    <phoneticPr fontId="7" type="noConversion"/>
  </si>
  <si>
    <t>05-1105</t>
    <phoneticPr fontId="7" type="noConversion"/>
  </si>
  <si>
    <t>소개</t>
    <phoneticPr fontId="7" type="noConversion"/>
  </si>
  <si>
    <t>공장</t>
    <phoneticPr fontId="7" type="noConversion"/>
  </si>
  <si>
    <t>유지</t>
    <phoneticPr fontId="7" type="noConversion"/>
  </si>
  <si>
    <t xml:space="preserve"> ① 문의: 경기권 건, 영남권 건, 충남권 5, 전라권 건, 강원 건</t>
    <phoneticPr fontId="7" type="noConversion"/>
  </si>
  <si>
    <t xml:space="preserve">            건(500kW 미만), 건(500kW 이상)</t>
    <phoneticPr fontId="7" type="noConversion"/>
  </si>
  <si>
    <t xml:space="preserve"> ② 계약 : 부산 kW 경기 kW / 직접 kW, 소개 kW </t>
    <phoneticPr fontId="7" type="noConversion"/>
  </si>
  <si>
    <t xml:space="preserve"> ③ 분석 : </t>
    <phoneticPr fontId="7" type="noConversion"/>
  </si>
  <si>
    <t xml:space="preserve"> ④ 향후방향 : </t>
    <phoneticPr fontId="7" type="noConversion"/>
  </si>
  <si>
    <t xml:space="preserve"> ① 문의: 건(제안서 및 견적서), 건(계약)  </t>
    <phoneticPr fontId="7" type="noConversion"/>
  </si>
  <si>
    <t xml:space="preserve"> ② 사업형태 : 발전사업 kW, 임대 kW, 건물지원 kW / 명 파트너스</t>
    <phoneticPr fontId="7" type="noConversion"/>
  </si>
  <si>
    <t xml:space="preserve"> ① 문의: 진행중 kW, 미낙찰 kW(), 검토중 MW</t>
    <phoneticPr fontId="7" type="noConversion"/>
  </si>
  <si>
    <t xml:space="preserve"> ② 계약 : kW </t>
    <phoneticPr fontId="7" type="noConversion"/>
  </si>
  <si>
    <t>김지훈</t>
    <phoneticPr fontId="7" type="noConversion"/>
  </si>
  <si>
    <t>장광수</t>
    <phoneticPr fontId="7" type="noConversion"/>
  </si>
  <si>
    <t>부산</t>
    <phoneticPr fontId="7" type="noConversion"/>
  </si>
  <si>
    <t>부산 강서구 녹산산단261로14번길 45-19</t>
    <phoneticPr fontId="7" type="noConversion"/>
  </si>
  <si>
    <t>G03-1101</t>
    <phoneticPr fontId="7" type="noConversion"/>
  </si>
  <si>
    <t>그 외</t>
    <phoneticPr fontId="7" type="noConversion"/>
  </si>
  <si>
    <t>외주영업자 정장식</t>
    <phoneticPr fontId="7" type="noConversion"/>
  </si>
  <si>
    <t>공장</t>
    <phoneticPr fontId="7" type="noConversion"/>
  </si>
  <si>
    <t>유지</t>
    <phoneticPr fontId="7" type="noConversion"/>
  </si>
  <si>
    <t>테란</t>
    <phoneticPr fontId="7" type="noConversion"/>
  </si>
  <si>
    <t xml:space="preserve">  - 필드파트</t>
    <phoneticPr fontId="7" type="noConversion"/>
  </si>
  <si>
    <t xml:space="preserve">  - 외주파트</t>
    <phoneticPr fontId="7" type="noConversion"/>
  </si>
  <si>
    <t xml:space="preserve">   1월 마케팅: 28건, 소개: 25건, 전체 53건</t>
    <phoneticPr fontId="7" type="noConversion"/>
  </si>
  <si>
    <t xml:space="preserve">   3월 마케팅: 53건, 소개: 12건, 전체 65건</t>
    <phoneticPr fontId="7" type="noConversion"/>
  </si>
  <si>
    <t xml:space="preserve">   4월 마케팅: 35건, 소개: 16건, 전체 51건</t>
    <phoneticPr fontId="7" type="noConversion"/>
  </si>
  <si>
    <t xml:space="preserve">   2월 마케팅: 32건, 소개: 17건, 전체 49건</t>
    <phoneticPr fontId="7" type="noConversion"/>
  </si>
  <si>
    <t xml:space="preserve">   5월 마케팅: 32건, 소개: 17건, 전체 49건</t>
    <phoneticPr fontId="7" type="noConversion"/>
  </si>
  <si>
    <t>문의접수</t>
  </si>
  <si>
    <t>계약서</t>
  </si>
  <si>
    <t>계약</t>
  </si>
  <si>
    <t>유입경로</t>
  </si>
  <si>
    <t>전년 동월 실적</t>
  </si>
  <si>
    <t>마케팅유입</t>
  </si>
  <si>
    <t>소개계약</t>
  </si>
  <si>
    <t>5월 당월 실적</t>
  </si>
  <si>
    <t>4월 전월 실적</t>
  </si>
  <si>
    <t>289kW(2건)</t>
  </si>
  <si>
    <t>5,103kW(14건)</t>
  </si>
  <si>
    <t>2,165kW(5건)</t>
  </si>
  <si>
    <t>1,916kW(8건)</t>
  </si>
  <si>
    <t>583kW(5건)</t>
  </si>
  <si>
    <t>5,056kW(18건)</t>
    <phoneticPr fontId="7" type="noConversion"/>
  </si>
  <si>
    <t xml:space="preserve">  - 5월 실적감소 원인</t>
    <phoneticPr fontId="7" type="noConversion"/>
  </si>
  <si>
    <t>1. 시장의 변화 : 1/4분기 활발한 지원사업 대비해 지원사업 종료로 전체적인 시장의 수요 하락</t>
    <phoneticPr fontId="7" type="noConversion"/>
  </si>
  <si>
    <t>3. 내부적 문제 : 고정난간대 이슈로 인한 금액증가 및 용량감소로 경쟁력 약화</t>
    <phoneticPr fontId="7" type="noConversion"/>
  </si>
  <si>
    <t xml:space="preserve">5. 자재인상 예비비 반영한 시공금액 상승으로 경쟁력 약화 </t>
    <phoneticPr fontId="7" type="noConversion"/>
  </si>
  <si>
    <t>6. 경기권 : 산단RE100 컨설팅 업체의 선점으로 인해 산업단지 내 대용량 공장 문의 감소</t>
    <phoneticPr fontId="7" type="noConversion"/>
  </si>
  <si>
    <t>7. 입찰 : 타당성조사, 설계용역 형태로 진행되는 건들 발생으로 계약까지 소요기간 증가</t>
    <phoneticPr fontId="7" type="noConversion"/>
  </si>
  <si>
    <t>8. 외주 : 보급제도 개편에 따른 외주 영업자의 고객설득 자신감 부족 및 고객의 망설임</t>
    <phoneticPr fontId="7" type="noConversion"/>
  </si>
  <si>
    <t>2. 미팅 후 계약까지는 1~2개월 소요되는데 반해 4월 전시회 집중으로 필드 및 마케팅의 계약집중 부족</t>
    <phoneticPr fontId="7" type="noConversion"/>
  </si>
  <si>
    <t>4. 각종 지원사업, 리스 등 사업형태의 다양화로 고객 대응시간 증가 (고객요청 및 요청변경사항 多)</t>
    <phoneticPr fontId="7" type="noConversion"/>
  </si>
  <si>
    <t>9. 외주 : 외주영업자의 금액적인 움직임 폭 제한 (영업자와 사업주 사이 키맨의 영업비까지 고려)</t>
    <phoneticPr fontId="7" type="noConversion"/>
  </si>
  <si>
    <t xml:space="preserve">  - 대응방안</t>
    <phoneticPr fontId="7" type="noConversion"/>
  </si>
  <si>
    <t>2. 외주 : 외주영업자 금액 움직임 폭 확대</t>
    <phoneticPr fontId="7" type="noConversion"/>
  </si>
  <si>
    <t>3. 입찰 : 마케팅 홈페이지 활성화로 유입 증대</t>
    <phoneticPr fontId="7" type="noConversion"/>
  </si>
  <si>
    <t>1. 컨설팅ㆍ필드 : 홈페이지 배너광고(한정멘트)</t>
    <phoneticPr fontId="7" type="noConversion"/>
  </si>
  <si>
    <t>* 당월 실적 : 2.4 MW (목표 대비 달성률 30.0%)</t>
  </si>
  <si>
    <t>* 당월 목표 : 8.0 MW (전년 및 전월 목표와 동일)</t>
    <phoneticPr fontId="7" type="noConversion"/>
  </si>
  <si>
    <t>구 분</t>
  </si>
  <si>
    <t>당월 목표</t>
  </si>
  <si>
    <t>당월 실적</t>
  </si>
  <si>
    <t xml:space="preserve">전월 실적 </t>
  </si>
  <si>
    <t>전년동월실적</t>
  </si>
  <si>
    <t>필드영업 용량</t>
  </si>
  <si>
    <t>8.0MW</t>
  </si>
  <si>
    <t>7.0MW</t>
  </si>
  <si>
    <t>5.7MW</t>
  </si>
  <si>
    <t xml:space="preserve">2.4MW(▼) </t>
  </si>
  <si>
    <t xml:space="preserve">  - 컨설팅 파트</t>
    <phoneticPr fontId="7" type="noConversion"/>
  </si>
  <si>
    <r>
      <t>제안</t>
    </r>
    <r>
      <rPr>
        <sz val="24"/>
        <color rgb="FF000000"/>
        <rFont val="맑은 고딕"/>
        <family val="3"/>
        <charset val="129"/>
        <scheme val="minor"/>
      </rPr>
      <t>/</t>
    </r>
    <r>
      <rPr>
        <sz val="24"/>
        <color rgb="FF000000"/>
        <rFont val="함초롬바탕"/>
        <family val="1"/>
        <charset val="129"/>
      </rPr>
      <t>견적</t>
    </r>
  </si>
  <si>
    <r>
      <t>5</t>
    </r>
    <r>
      <rPr>
        <sz val="24"/>
        <color rgb="FF000000"/>
        <rFont val="함초롬바탕"/>
        <family val="1"/>
        <charset val="129"/>
      </rPr>
      <t>월</t>
    </r>
  </si>
  <si>
    <r>
      <t>122</t>
    </r>
    <r>
      <rPr>
        <sz val="24"/>
        <color rgb="FF000000"/>
        <rFont val="함초롬바탕"/>
        <family val="1"/>
        <charset val="129"/>
      </rPr>
      <t>건</t>
    </r>
  </si>
  <si>
    <r>
      <t>93</t>
    </r>
    <r>
      <rPr>
        <sz val="24"/>
        <color rgb="FF000000"/>
        <rFont val="함초롬바탕"/>
        <family val="1"/>
        <charset val="129"/>
      </rPr>
      <t>건</t>
    </r>
  </si>
  <si>
    <r>
      <t>14</t>
    </r>
    <r>
      <rPr>
        <sz val="24"/>
        <color rgb="FF000000"/>
        <rFont val="함초롬바탕"/>
        <family val="1"/>
        <charset val="129"/>
      </rPr>
      <t>건</t>
    </r>
  </si>
  <si>
    <r>
      <t>10</t>
    </r>
    <r>
      <rPr>
        <sz val="24"/>
        <color rgb="FF000000"/>
        <rFont val="함초롬바탕"/>
        <family val="1"/>
        <charset val="129"/>
      </rPr>
      <t>건</t>
    </r>
    <r>
      <rPr>
        <sz val="24"/>
        <color rgb="FF000000"/>
        <rFont val="맑은 고딕"/>
        <family val="3"/>
        <charset val="129"/>
        <scheme val="minor"/>
      </rPr>
      <t>(1.36MW)</t>
    </r>
  </si>
  <si>
    <r>
      <t>4</t>
    </r>
    <r>
      <rPr>
        <sz val="24"/>
        <color rgb="FF000000"/>
        <rFont val="함초롬바탕"/>
        <family val="1"/>
        <charset val="129"/>
      </rPr>
      <t>월</t>
    </r>
  </si>
  <si>
    <r>
      <t>150</t>
    </r>
    <r>
      <rPr>
        <sz val="24"/>
        <color rgb="FF000000"/>
        <rFont val="함초롬바탕"/>
        <family val="1"/>
        <charset val="129"/>
      </rPr>
      <t>건</t>
    </r>
  </si>
  <si>
    <r>
      <t>116</t>
    </r>
    <r>
      <rPr>
        <sz val="24"/>
        <color rgb="FF000000"/>
        <rFont val="함초롬바탕"/>
        <family val="1"/>
        <charset val="129"/>
      </rPr>
      <t>건</t>
    </r>
  </si>
  <si>
    <r>
      <t>10</t>
    </r>
    <r>
      <rPr>
        <sz val="24"/>
        <color rgb="FF000000"/>
        <rFont val="함초롬바탕"/>
        <family val="1"/>
        <charset val="129"/>
      </rPr>
      <t>건</t>
    </r>
  </si>
  <si>
    <r>
      <t>10</t>
    </r>
    <r>
      <rPr>
        <sz val="24"/>
        <color rgb="FF000000"/>
        <rFont val="함초롬바탕"/>
        <family val="1"/>
        <charset val="129"/>
      </rPr>
      <t>건</t>
    </r>
    <r>
      <rPr>
        <sz val="24"/>
        <color rgb="FF000000"/>
        <rFont val="맑은 고딕"/>
        <family val="3"/>
        <charset val="129"/>
        <scheme val="minor"/>
      </rPr>
      <t>(1.59MW)</t>
    </r>
  </si>
  <si>
    <t>* 전월대비 문의/제안서 출고량 감소, 전년 동월대비 증가함</t>
    <phoneticPr fontId="7" type="noConversion"/>
  </si>
  <si>
    <t>하이밸(247kW)종묘재배사(75kW), 두창화학(137kW), 피엠테크(114kW), 비케이솔루텍(167kW),</t>
    <phoneticPr fontId="7" type="noConversion"/>
  </si>
  <si>
    <t xml:space="preserve">  - 6월 계약 가망건 (약 4.7MW)</t>
    <phoneticPr fontId="7" type="noConversion"/>
  </si>
  <si>
    <t>토탈에너지스(동희산업) 3MW, 태웅메디칼(1MW), 한미에프쓰리(790kW), 동양기계공업(240kW),</t>
    <phoneticPr fontId="7" type="noConversion"/>
  </si>
  <si>
    <t xml:space="preserve">제이앤비(82kW), 거산(1.13MW), 성화금속(288kW), 상일철강(180kW), 진택(76kW), </t>
    <phoneticPr fontId="7" type="noConversion"/>
  </si>
  <si>
    <t>제이앤코퍼레이션(221kW)</t>
    <phoneticPr fontId="7" type="noConversion"/>
  </si>
  <si>
    <t>26.06.02</t>
    <phoneticPr fontId="7" type="noConversion"/>
  </si>
  <si>
    <t>허영준</t>
    <phoneticPr fontId="7" type="noConversion"/>
  </si>
  <si>
    <t>김동호</t>
    <phoneticPr fontId="7" type="noConversion"/>
  </si>
  <si>
    <t>조성현</t>
    <phoneticPr fontId="7" type="noConversion"/>
  </si>
  <si>
    <t>명진테크</t>
    <phoneticPr fontId="7" type="noConversion"/>
  </si>
  <si>
    <t>미네소타</t>
    <phoneticPr fontId="7" type="noConversion"/>
  </si>
  <si>
    <t>경남</t>
    <phoneticPr fontId="7" type="noConversion"/>
  </si>
  <si>
    <t>경남 김해시 한림면 용덕로 48-27</t>
    <phoneticPr fontId="7" type="noConversion"/>
  </si>
  <si>
    <t>경남 밀양시 부북면 사포산단1길 74</t>
    <phoneticPr fontId="7" type="noConversion"/>
  </si>
  <si>
    <t>05-1310</t>
    <phoneticPr fontId="7" type="noConversion"/>
  </si>
  <si>
    <t>12-1007</t>
    <phoneticPr fontId="7" type="noConversion"/>
  </si>
  <si>
    <t>공장</t>
    <phoneticPr fontId="7" type="noConversion"/>
  </si>
  <si>
    <t>유지</t>
    <phoneticPr fontId="7" type="noConversion"/>
  </si>
  <si>
    <t>26.06.03</t>
    <phoneticPr fontId="7" type="noConversion"/>
  </si>
  <si>
    <t>용현무</t>
    <phoneticPr fontId="7" type="noConversion"/>
  </si>
  <si>
    <t>진으뜸</t>
    <phoneticPr fontId="7" type="noConversion"/>
  </si>
  <si>
    <t>경기</t>
    <phoneticPr fontId="7" type="noConversion"/>
  </si>
  <si>
    <t>경기 평택시 청북읍 백봉길 418-14</t>
    <phoneticPr fontId="7" type="noConversion"/>
  </si>
  <si>
    <t>05-1416</t>
    <phoneticPr fontId="7" type="noConversion"/>
  </si>
  <si>
    <t>소개</t>
    <phoneticPr fontId="7" type="noConversion"/>
  </si>
  <si>
    <t>드림목장, 신형아목장 소개</t>
    <phoneticPr fontId="7" type="noConversion"/>
  </si>
  <si>
    <t>26.06.02</t>
    <phoneticPr fontId="7" type="noConversion"/>
  </si>
  <si>
    <t>김지훈</t>
    <phoneticPr fontId="7" type="noConversion"/>
  </si>
  <si>
    <t>장광수</t>
    <phoneticPr fontId="7" type="noConversion"/>
  </si>
  <si>
    <t>해인솔루션</t>
    <phoneticPr fontId="7" type="noConversion"/>
  </si>
  <si>
    <t>경북 경주시 외동읍 문산공단안길 7-10</t>
    <phoneticPr fontId="7" type="noConversion"/>
  </si>
  <si>
    <t>G03-3104</t>
    <phoneticPr fontId="7" type="noConversion"/>
  </si>
  <si>
    <t>외주영업자 이현아</t>
    <phoneticPr fontId="7" type="noConversion"/>
  </si>
  <si>
    <t>유옥목장</t>
    <phoneticPr fontId="7" type="noConversion"/>
  </si>
  <si>
    <t>26.06.05</t>
    <phoneticPr fontId="7" type="noConversion"/>
  </si>
  <si>
    <t>허영준</t>
    <phoneticPr fontId="7" type="noConversion"/>
  </si>
  <si>
    <t>진으뜸</t>
    <phoneticPr fontId="7" type="noConversion"/>
  </si>
  <si>
    <t>비케이</t>
    <phoneticPr fontId="7" type="noConversion"/>
  </si>
  <si>
    <t>충남</t>
    <phoneticPr fontId="7" type="noConversion"/>
  </si>
  <si>
    <t>충남 천안시 서북구 직산읍 금곡로 52-11</t>
    <phoneticPr fontId="7" type="noConversion"/>
  </si>
  <si>
    <t>05-1805</t>
    <phoneticPr fontId="7" type="noConversion"/>
  </si>
  <si>
    <t>공장</t>
    <phoneticPr fontId="7" type="noConversion"/>
  </si>
  <si>
    <t>유지</t>
    <phoneticPr fontId="7" type="noConversion"/>
  </si>
  <si>
    <t>김지훈</t>
    <phoneticPr fontId="7" type="noConversion"/>
  </si>
  <si>
    <t>장광수</t>
    <phoneticPr fontId="7" type="noConversion"/>
  </si>
  <si>
    <t>디에이치테크놀로지</t>
    <phoneticPr fontId="7" type="noConversion"/>
  </si>
  <si>
    <t>경기</t>
    <phoneticPr fontId="7" type="noConversion"/>
  </si>
  <si>
    <t>경기 화성시 효행구 정남면 여의동길 87</t>
    <phoneticPr fontId="7" type="noConversion"/>
  </si>
  <si>
    <t>G05-2003</t>
    <phoneticPr fontId="7" type="noConversion"/>
  </si>
  <si>
    <t>그 외</t>
    <phoneticPr fontId="7" type="noConversion"/>
  </si>
  <si>
    <t>외주영업자 최영주</t>
    <phoneticPr fontId="7" type="noConversion"/>
  </si>
  <si>
    <t>유지</t>
    <phoneticPr fontId="7" type="noConversion"/>
  </si>
  <si>
    <t>26.06.08</t>
    <phoneticPr fontId="7" type="noConversion"/>
  </si>
  <si>
    <t>김동호</t>
    <phoneticPr fontId="7" type="noConversion"/>
  </si>
  <si>
    <t>조성현</t>
    <phoneticPr fontId="7" type="noConversion"/>
  </si>
  <si>
    <t>연화에너지</t>
    <phoneticPr fontId="7" type="noConversion"/>
  </si>
  <si>
    <t>거산기계1호</t>
    <phoneticPr fontId="7" type="noConversion"/>
  </si>
  <si>
    <t>거산기계2호</t>
    <phoneticPr fontId="7" type="noConversion"/>
  </si>
  <si>
    <t>경남</t>
    <phoneticPr fontId="7" type="noConversion"/>
  </si>
  <si>
    <t>김해시 한림면 김해대로 1102-169</t>
    <phoneticPr fontId="7" type="noConversion"/>
  </si>
  <si>
    <t>김해시 진영읍 본산로 277</t>
    <phoneticPr fontId="7" type="noConversion"/>
  </si>
  <si>
    <t>김해시 진영읍 본산로 280</t>
    <phoneticPr fontId="7" type="noConversion"/>
  </si>
  <si>
    <t>05-1220</t>
    <phoneticPr fontId="7" type="noConversion"/>
  </si>
  <si>
    <t>소개</t>
    <phoneticPr fontId="7" type="noConversion"/>
  </si>
  <si>
    <t>대하에코텍보고 연락줌(소개비x)</t>
    <phoneticPr fontId="7" type="noConversion"/>
  </si>
  <si>
    <t>용현무</t>
    <phoneticPr fontId="7" type="noConversion"/>
  </si>
  <si>
    <t>진으뜸</t>
    <phoneticPr fontId="7" type="noConversion"/>
  </si>
  <si>
    <t>인천</t>
    <phoneticPr fontId="7" type="noConversion"/>
  </si>
  <si>
    <t>인천 남동구 능허대로577번길 36</t>
    <phoneticPr fontId="7" type="noConversion"/>
  </si>
  <si>
    <t>05-1415</t>
    <phoneticPr fontId="7" type="noConversion"/>
  </si>
  <si>
    <t>김지훈</t>
    <phoneticPr fontId="7" type="noConversion"/>
  </si>
  <si>
    <t>장광수</t>
    <phoneticPr fontId="7" type="noConversion"/>
  </si>
  <si>
    <t>한성</t>
    <phoneticPr fontId="7" type="noConversion"/>
  </si>
  <si>
    <t>부산</t>
    <phoneticPr fontId="7" type="noConversion"/>
  </si>
  <si>
    <t>부산시 강서구 범방동 1908-1</t>
    <phoneticPr fontId="7" type="noConversion"/>
  </si>
  <si>
    <t>G04-2902</t>
    <phoneticPr fontId="7" type="noConversion"/>
  </si>
  <si>
    <t>그 외</t>
    <phoneticPr fontId="7" type="noConversion"/>
  </si>
  <si>
    <t>외주영업자 임춘배</t>
    <phoneticPr fontId="7" type="noConversion"/>
  </si>
  <si>
    <t>공장</t>
    <phoneticPr fontId="7" type="noConversion"/>
  </si>
  <si>
    <t>유지</t>
    <phoneticPr fontId="7" type="noConversion"/>
  </si>
  <si>
    <t>26.06.11</t>
    <phoneticPr fontId="7" type="noConversion"/>
  </si>
  <si>
    <t>김세종</t>
    <phoneticPr fontId="7" type="noConversion"/>
  </si>
  <si>
    <t>배승환</t>
    <phoneticPr fontId="7" type="noConversion"/>
  </si>
  <si>
    <t>미래상사</t>
    <phoneticPr fontId="7" type="noConversion"/>
  </si>
  <si>
    <t>영인미디어</t>
    <phoneticPr fontId="7" type="noConversion"/>
  </si>
  <si>
    <t>경기</t>
    <phoneticPr fontId="7" type="noConversion"/>
  </si>
  <si>
    <t>경기 파주시 파주읍 센트럴산단1로 76</t>
    <phoneticPr fontId="7" type="noConversion"/>
  </si>
  <si>
    <t>경기 화성시 만세구 남양읍 장덕리 491-17</t>
    <phoneticPr fontId="7" type="noConversion"/>
  </si>
  <si>
    <t>직접유입</t>
    <phoneticPr fontId="7" type="noConversion"/>
  </si>
  <si>
    <t>05-0601</t>
    <phoneticPr fontId="7" type="noConversion"/>
  </si>
  <si>
    <t>05-1836</t>
    <phoneticPr fontId="7" type="noConversion"/>
  </si>
  <si>
    <t>김동호</t>
    <phoneticPr fontId="7" type="noConversion"/>
  </si>
  <si>
    <t>박지훈</t>
    <phoneticPr fontId="7" type="noConversion"/>
  </si>
  <si>
    <t>그랜드썬기술단 대동공장</t>
    <phoneticPr fontId="7" type="noConversion"/>
  </si>
  <si>
    <t>003</t>
    <phoneticPr fontId="7" type="noConversion"/>
  </si>
  <si>
    <t>경남</t>
    <phoneticPr fontId="7" type="noConversion"/>
  </si>
  <si>
    <t>경도 김해시 대동면 대동산단4로 146-16</t>
    <phoneticPr fontId="7" type="noConversion"/>
  </si>
  <si>
    <t>06-1207</t>
    <phoneticPr fontId="7" type="noConversion"/>
  </si>
  <si>
    <t>김지훈</t>
    <phoneticPr fontId="7" type="noConversion"/>
  </si>
  <si>
    <t>장광수</t>
    <phoneticPr fontId="7" type="noConversion"/>
  </si>
  <si>
    <t>덕성</t>
    <phoneticPr fontId="7" type="noConversion"/>
  </si>
  <si>
    <t>울산</t>
    <phoneticPr fontId="7" type="noConversion"/>
  </si>
  <si>
    <t>울산 북구 중산산업로 85</t>
    <phoneticPr fontId="7" type="noConversion"/>
  </si>
  <si>
    <t>G06-0903</t>
    <phoneticPr fontId="7" type="noConversion"/>
  </si>
  <si>
    <t>공장</t>
    <phoneticPr fontId="7" type="noConversion"/>
  </si>
  <si>
    <t>유지</t>
    <phoneticPr fontId="7" type="noConversion"/>
  </si>
  <si>
    <t>26.06.12</t>
    <phoneticPr fontId="7" type="noConversion"/>
  </si>
  <si>
    <t>김세종</t>
    <phoneticPr fontId="7" type="noConversion"/>
  </si>
  <si>
    <t>임준길</t>
    <phoneticPr fontId="7" type="noConversion"/>
  </si>
  <si>
    <t>충남 아산시 탕정면 꾀꼴성길 130-2</t>
    <phoneticPr fontId="7" type="noConversion"/>
  </si>
  <si>
    <t>05-2641</t>
    <phoneticPr fontId="7" type="noConversion"/>
  </si>
  <si>
    <t>그 외</t>
    <phoneticPr fontId="7" type="noConversion"/>
  </si>
  <si>
    <t>메카</t>
    <phoneticPr fontId="7" type="noConversion"/>
  </si>
  <si>
    <t>그랜드썬57 대동공장</t>
    <phoneticPr fontId="7" type="noConversion"/>
  </si>
  <si>
    <t>26.06.15</t>
    <phoneticPr fontId="7" type="noConversion"/>
  </si>
  <si>
    <t>용현무</t>
    <phoneticPr fontId="7" type="noConversion"/>
  </si>
  <si>
    <t>진으뜸</t>
    <phoneticPr fontId="7" type="noConversion"/>
  </si>
  <si>
    <t>동영홀로테크</t>
    <phoneticPr fontId="7" type="noConversion"/>
  </si>
  <si>
    <t>경기</t>
    <phoneticPr fontId="7" type="noConversion"/>
  </si>
  <si>
    <t>경기 이천시 마장면 서이천로 271-51</t>
    <phoneticPr fontId="7" type="noConversion"/>
  </si>
  <si>
    <t>05-1229</t>
    <phoneticPr fontId="7" type="noConversion"/>
  </si>
  <si>
    <t>그 외</t>
    <phoneticPr fontId="7" type="noConversion"/>
  </si>
  <si>
    <t>진으뜸수석 소개</t>
    <phoneticPr fontId="7" type="noConversion"/>
  </si>
  <si>
    <t>26.06.22</t>
    <phoneticPr fontId="7" type="noConversion"/>
  </si>
  <si>
    <t>배승환</t>
    <phoneticPr fontId="7" type="noConversion"/>
  </si>
  <si>
    <t>진으뜸</t>
    <phoneticPr fontId="7" type="noConversion"/>
  </si>
  <si>
    <t>인천</t>
    <phoneticPr fontId="7" type="noConversion"/>
  </si>
  <si>
    <t>인천 서구 원창동 475-5</t>
    <phoneticPr fontId="7" type="noConversion"/>
  </si>
  <si>
    <t>05-2708</t>
    <phoneticPr fontId="7" type="noConversion"/>
  </si>
  <si>
    <t>직접유입</t>
    <phoneticPr fontId="7" type="noConversion"/>
  </si>
  <si>
    <t>004</t>
    <phoneticPr fontId="7" type="noConversion"/>
  </si>
  <si>
    <t>김세종</t>
    <phoneticPr fontId="7" type="noConversion"/>
  </si>
  <si>
    <t>그랜드썬59 동양기계공업</t>
    <phoneticPr fontId="7" type="noConversion"/>
  </si>
  <si>
    <t>전북</t>
    <phoneticPr fontId="7" type="noConversion"/>
  </si>
  <si>
    <t>전북 군산시 자유로 15-25</t>
    <phoneticPr fontId="7" type="noConversion"/>
  </si>
  <si>
    <t>06-1016</t>
    <phoneticPr fontId="7" type="noConversion"/>
  </si>
  <si>
    <t>그랜드썬56 대성하이텍</t>
    <phoneticPr fontId="7" type="noConversion"/>
  </si>
  <si>
    <t>김지훈</t>
    <phoneticPr fontId="7" type="noConversion"/>
  </si>
  <si>
    <t>장광수</t>
    <phoneticPr fontId="7" type="noConversion"/>
  </si>
  <si>
    <t>삼우하이텍</t>
    <phoneticPr fontId="7" type="noConversion"/>
  </si>
  <si>
    <t>울산</t>
    <phoneticPr fontId="7" type="noConversion"/>
  </si>
  <si>
    <t>울산 북구 중산산업로 73</t>
    <phoneticPr fontId="7" type="noConversion"/>
  </si>
  <si>
    <t>G06-1202</t>
    <phoneticPr fontId="7" type="noConversion"/>
  </si>
  <si>
    <t>공장</t>
    <phoneticPr fontId="7" type="noConversion"/>
  </si>
  <si>
    <t>유지</t>
    <phoneticPr fontId="7" type="noConversion"/>
  </si>
  <si>
    <t>김지훈</t>
    <phoneticPr fontId="7" type="noConversion"/>
  </si>
  <si>
    <t>장광수</t>
    <phoneticPr fontId="7" type="noConversion"/>
  </si>
  <si>
    <t>휘문기연</t>
    <phoneticPr fontId="7" type="noConversion"/>
  </si>
  <si>
    <t>울산</t>
    <phoneticPr fontId="7" type="noConversion"/>
  </si>
  <si>
    <t>울산 북구 매곡산업1길 6</t>
    <phoneticPr fontId="7" type="noConversion"/>
  </si>
  <si>
    <t>G06-1702</t>
    <phoneticPr fontId="7" type="noConversion"/>
  </si>
  <si>
    <t>26.06.23</t>
    <phoneticPr fontId="7" type="noConversion"/>
  </si>
  <si>
    <t>허영준</t>
    <phoneticPr fontId="7" type="noConversion"/>
  </si>
  <si>
    <t>조성현</t>
    <phoneticPr fontId="7" type="noConversion"/>
  </si>
  <si>
    <t>미정</t>
    <phoneticPr fontId="7" type="noConversion"/>
  </si>
  <si>
    <t>부산</t>
    <phoneticPr fontId="7" type="noConversion"/>
  </si>
  <si>
    <t>부산 강서구 미음국제5로마길 41</t>
    <phoneticPr fontId="7" type="noConversion"/>
  </si>
  <si>
    <t>04-2301</t>
    <phoneticPr fontId="7" type="noConversion"/>
  </si>
  <si>
    <t>소개</t>
    <phoneticPr fontId="7" type="noConversion"/>
  </si>
  <si>
    <t>원종태양광</t>
    <phoneticPr fontId="7" type="noConversion"/>
  </si>
  <si>
    <t>오마이선</t>
    <phoneticPr fontId="7" type="noConversion"/>
  </si>
  <si>
    <t>장광수</t>
    <phoneticPr fontId="7" type="noConversion"/>
  </si>
  <si>
    <t>홍진산업기계</t>
    <phoneticPr fontId="7" type="noConversion"/>
  </si>
  <si>
    <t>울산</t>
    <phoneticPr fontId="7" type="noConversion"/>
  </si>
  <si>
    <t>울산 북구 매곡동 887-2</t>
    <phoneticPr fontId="7" type="noConversion"/>
  </si>
  <si>
    <t>G04-2005</t>
    <phoneticPr fontId="7" type="noConversion"/>
  </si>
  <si>
    <t>산단</t>
    <phoneticPr fontId="7" type="noConversion"/>
  </si>
  <si>
    <t>유지</t>
    <phoneticPr fontId="7" type="noConversion"/>
  </si>
  <si>
    <t>외주영업자 이성주</t>
    <phoneticPr fontId="7" type="noConversion"/>
  </si>
  <si>
    <t xml:space="preserve">  - 6월 실적감소 원인</t>
    <phoneticPr fontId="7" type="noConversion"/>
  </si>
  <si>
    <t xml:space="preserve"> ① 문의: 경기권 9건, 영남권 8건, 충남권 2건, 전라권 1건, 강원 건</t>
    <phoneticPr fontId="7" type="noConversion"/>
  </si>
  <si>
    <t xml:space="preserve"> ② 계약 : 부산 2,213 kW 경기 2,973 kW / 직접 3,181 kW, 소개 2,005 kW </t>
    <phoneticPr fontId="7" type="noConversion"/>
  </si>
  <si>
    <t>2.  미팅후 1주일뒤 재방문해 타업체 대응을 2차대응 방식으로 계약유도</t>
    <phoneticPr fontId="7" type="noConversion"/>
  </si>
  <si>
    <t>3. 계약 평균 상승 위해 개별 피드백 및 전체 주1회 회의진행</t>
    <phoneticPr fontId="7" type="noConversion"/>
  </si>
  <si>
    <t>4. 발전사업외에 자가소비,임대등 다양하게 상품제안</t>
    <phoneticPr fontId="7" type="noConversion"/>
  </si>
  <si>
    <t>1. 가망고객위주로 프로세스 개발(유선대응X -&gt; 현장대응)</t>
    <phoneticPr fontId="7" type="noConversion"/>
  </si>
  <si>
    <t>크나우프석고보드(1MW), 육송 (493kw), 진택 (76kw), 월드상운 (300kw), 울트라정공(81kW)</t>
    <phoneticPr fontId="7" type="noConversion"/>
  </si>
  <si>
    <t>우진씨엔지(87kW), 대흥섬유(468kW), 리치이엔지(279kW), 한미에프쓰리(1.3MW)</t>
    <phoneticPr fontId="7" type="noConversion"/>
  </si>
  <si>
    <t>흥국(1.4MW), 씨케이글로벌(550kW), 메가코스(500kW), 위드(450kW), DK캐미컬(150kW), DSK(500kW)</t>
    <phoneticPr fontId="7" type="noConversion"/>
  </si>
  <si>
    <t xml:space="preserve">  - 7월 계약 가망건 (약 7.6MW)</t>
    <phoneticPr fontId="7" type="noConversion"/>
  </si>
  <si>
    <t xml:space="preserve">            17건(500kW 미만), 3건(500kW 이상)</t>
    <phoneticPr fontId="7" type="noConversion"/>
  </si>
  <si>
    <t>타사와 입금가 차이가 불리하게 작용(10~15만원 차이)</t>
    <phoneticPr fontId="7" type="noConversion"/>
  </si>
  <si>
    <t>사업주 경기불황으로 인한 건물지원사업에 대해 긍정적 시선과 홍보 필요성 대두</t>
    <phoneticPr fontId="7" type="noConversion"/>
  </si>
  <si>
    <t>REC 폐지에 따른 수익을 현재 특정할 수 없는 상황으로 추이를 지켜보고 진행검토 증가</t>
    <phoneticPr fontId="7" type="noConversion"/>
  </si>
  <si>
    <t>4. 타사와 입금가 차이가 불리하게 작용(10~15만원)</t>
    <phoneticPr fontId="7" type="noConversion"/>
  </si>
  <si>
    <t>5. 경기권 : 산업단지 내 대용량 공장 문의 감소 6월 달 500kW 문의량 감소</t>
    <phoneticPr fontId="7" type="noConversion"/>
  </si>
  <si>
    <t>6. 입찰 : 타당성조사, 설계용역 형태로 진행되는 건들 발생으로 계약까지 소요기간 증가</t>
    <phoneticPr fontId="7" type="noConversion"/>
  </si>
  <si>
    <t>7. 외주 : 보급제도 개편에 따른 외주 영업자의 고객설득 자신감 부족 및 고객의 망설임</t>
    <phoneticPr fontId="7" type="noConversion"/>
  </si>
  <si>
    <t>2. REC폐지 인하여 태양광 수익사업에 대한 불확실성으로 추이를 지켜보고 진행</t>
    <phoneticPr fontId="7" type="noConversion"/>
  </si>
  <si>
    <t>3. 5월 대비 미팅 건은 소폭 증가하였지만, 대용량 문의를 통한 미팅이 줄어듬</t>
    <phoneticPr fontId="7" type="noConversion"/>
  </si>
  <si>
    <t>8. 외주 : 외주영업자의 금액적인 움직임 폭 제한 (영업자와 사업주 사이 키맨의 영업비까지 고려)</t>
    <phoneticPr fontId="7" type="noConversion"/>
  </si>
  <si>
    <t xml:space="preserve"> ① 문의: 86건(제안서 및 견적서 116건), 8건(계약)  </t>
    <phoneticPr fontId="7" type="noConversion"/>
  </si>
  <si>
    <t xml:space="preserve"> ② 사업형태 : 발전사업 1,814kW / 6명 파트너스</t>
    <phoneticPr fontId="7" type="noConversion"/>
  </si>
  <si>
    <t xml:space="preserve"> B등급 파트너스 미팅동행으로 계약체결(이현아)-&gt;336.045kW   </t>
    <phoneticPr fontId="7" type="noConversion"/>
  </si>
  <si>
    <t>계약건수는 적지만 평균용량이 일부 상승</t>
    <phoneticPr fontId="7" type="noConversion"/>
  </si>
  <si>
    <t>6월25일(목)파트너스 교육진행(경험력 있는 파트너스 대상)</t>
    <phoneticPr fontId="7" type="noConversion"/>
  </si>
  <si>
    <t>한달에 한번 외주 영업자 만나기 (소통)</t>
    <phoneticPr fontId="7" type="noConversion"/>
  </si>
  <si>
    <t>하반기 건물지원사업 적극독려(26년 건물지원사업 3건계약 → 하반기 6건 목표)</t>
    <phoneticPr fontId="7" type="noConversion"/>
  </si>
  <si>
    <t>금융지원사업 활용 영업독려</t>
    <phoneticPr fontId="7" type="noConversion"/>
  </si>
  <si>
    <t>REC 폐지·ESG 목적 영향으로 발전사업 → 자가소비 전환 검토 증가, 7월 회복 가능성 높음</t>
    <phoneticPr fontId="7" type="noConversion"/>
  </si>
  <si>
    <t>150MW 목표 달성을 위한 신규 문의량 부족  ※ 5월 대비 유입은 소폭 증가</t>
    <phoneticPr fontId="7" type="noConversion"/>
  </si>
  <si>
    <t>5. 타사와 단가(약10~15만/kW) 염두, 1차 미팅 진행시 가격(방어적), 시공, 설명(공격적) 프로세스 확립</t>
    <phoneticPr fontId="7" type="noConversion"/>
  </si>
  <si>
    <t>1. 시장의 변화로 검토와 결정 과정의 기간이 증가(발전사업의 불확실성에 대한 자가소비 동시 검토)</t>
    <phoneticPr fontId="7" type="noConversion"/>
  </si>
  <si>
    <t>1. 컨설팅ㆍ필드 : 홈페이지 배너, 프로모션 아이디어 발굴 공유</t>
    <phoneticPr fontId="7" type="noConversion"/>
  </si>
  <si>
    <t>26.26.29</t>
    <phoneticPr fontId="7" type="noConversion"/>
  </si>
  <si>
    <t>김용희</t>
    <phoneticPr fontId="7" type="noConversion"/>
  </si>
  <si>
    <t>조성현</t>
    <phoneticPr fontId="7" type="noConversion"/>
  </si>
  <si>
    <t>일등</t>
    <phoneticPr fontId="7" type="noConversion"/>
  </si>
  <si>
    <t>경남</t>
    <phoneticPr fontId="7" type="noConversion"/>
  </si>
  <si>
    <t>사천시 사천읍 두량로 447</t>
    <phoneticPr fontId="7" type="noConversion"/>
  </si>
  <si>
    <t>06-2216</t>
    <phoneticPr fontId="7" type="noConversion"/>
  </si>
  <si>
    <t>소개</t>
    <phoneticPr fontId="7" type="noConversion"/>
  </si>
  <si>
    <t>대성 발전소</t>
    <phoneticPr fontId="7" type="noConversion"/>
  </si>
  <si>
    <t xml:space="preserve">  - 필드, 컨설팅 파트</t>
    <phoneticPr fontId="7" type="noConversion"/>
  </si>
  <si>
    <t>마케팅 미팅건수</t>
  </si>
  <si>
    <t>소개 미팅건수</t>
  </si>
  <si>
    <t>1월</t>
  </si>
  <si>
    <t>2월</t>
  </si>
  <si>
    <t>3월</t>
  </si>
  <si>
    <t>전체 미팅용량/ 미팅건수</t>
    <phoneticPr fontId="7" type="noConversion"/>
  </si>
  <si>
    <t>마케팅 계약  용량/건수</t>
    <phoneticPr fontId="7" type="noConversion"/>
  </si>
  <si>
    <t xml:space="preserve">  목적 미달성 이유</t>
    <phoneticPr fontId="7" type="noConversion"/>
  </si>
  <si>
    <t>전체 계약 용량/건수</t>
    <phoneticPr fontId="7" type="noConversion"/>
  </si>
  <si>
    <t>소개 계약 용량 /건수</t>
    <phoneticPr fontId="7" type="noConversion"/>
  </si>
  <si>
    <t>계약건수</t>
  </si>
  <si>
    <t>9건</t>
  </si>
  <si>
    <t>14건</t>
  </si>
  <si>
    <t>10건</t>
  </si>
  <si>
    <t>8건</t>
  </si>
  <si>
    <t>계약 영업자 수</t>
  </si>
  <si>
    <t>5명</t>
  </si>
  <si>
    <t>9명</t>
  </si>
  <si>
    <t>4명</t>
  </si>
  <si>
    <t>6명</t>
  </si>
  <si>
    <t>출고건수</t>
    <phoneticPr fontId="7" type="noConversion"/>
  </si>
  <si>
    <t>지명(기존)</t>
  </si>
  <si>
    <t>지명(신규)</t>
  </si>
  <si>
    <t>사이트공개</t>
  </si>
  <si>
    <t>0/0</t>
  </si>
  <si>
    <t>0/1</t>
  </si>
  <si>
    <t>0/3</t>
  </si>
  <si>
    <t>0/2</t>
  </si>
  <si>
    <t>-</t>
  </si>
  <si>
    <t xml:space="preserve">  - 입찰파트</t>
    <phoneticPr fontId="7" type="noConversion"/>
  </si>
  <si>
    <t xml:space="preserve"> 21,805 / 67</t>
    <phoneticPr fontId="7" type="noConversion"/>
  </si>
  <si>
    <t>2,7117 / 73</t>
    <phoneticPr fontId="7" type="noConversion"/>
  </si>
  <si>
    <t xml:space="preserve"> 4,286 / 8</t>
    <phoneticPr fontId="7" type="noConversion"/>
  </si>
  <si>
    <t xml:space="preserve"> 2,654 / 8</t>
    <phoneticPr fontId="7" type="noConversion"/>
  </si>
  <si>
    <t xml:space="preserve"> 1,041 / 4</t>
    <phoneticPr fontId="7" type="noConversion"/>
  </si>
  <si>
    <t xml:space="preserve"> 2,437 / 10</t>
    <phoneticPr fontId="7" type="noConversion"/>
  </si>
  <si>
    <t>3,478 / 14</t>
    <phoneticPr fontId="7" type="noConversion"/>
  </si>
  <si>
    <t xml:space="preserve"> 26,127 / 55</t>
    <phoneticPr fontId="7" type="noConversion"/>
  </si>
  <si>
    <t>16,164 / 43</t>
    <phoneticPr fontId="7" type="noConversion"/>
  </si>
  <si>
    <t xml:space="preserve"> 668 / 3</t>
    <phoneticPr fontId="7" type="noConversion"/>
  </si>
  <si>
    <t xml:space="preserve"> 17,407 / 54</t>
    <phoneticPr fontId="7" type="noConversion"/>
  </si>
  <si>
    <t xml:space="preserve"> 2,570 / 8</t>
    <phoneticPr fontId="7" type="noConversion"/>
  </si>
  <si>
    <t>668 / 3</t>
    <phoneticPr fontId="7" type="noConversion"/>
  </si>
  <si>
    <t xml:space="preserve"> 1,901 / 5</t>
    <phoneticPr fontId="7" type="noConversion"/>
  </si>
  <si>
    <t xml:space="preserve"> 25,448 / 44</t>
    <phoneticPr fontId="7" type="noConversion"/>
  </si>
  <si>
    <t xml:space="preserve"> 501 / 3</t>
    <phoneticPr fontId="7" type="noConversion"/>
  </si>
  <si>
    <t xml:space="preserve"> 360 / 2</t>
    <phoneticPr fontId="7" type="noConversion"/>
  </si>
  <si>
    <t xml:space="preserve"> 140 / 1</t>
    <phoneticPr fontId="7" type="noConversion"/>
  </si>
  <si>
    <t xml:space="preserve"> 6,940 / 16</t>
    <phoneticPr fontId="7" type="noConversion"/>
  </si>
  <si>
    <t xml:space="preserve"> 3,742 / 12</t>
    <phoneticPr fontId="7" type="noConversion"/>
  </si>
  <si>
    <t xml:space="preserve"> 2,553 / 8</t>
    <phoneticPr fontId="7" type="noConversion"/>
  </si>
  <si>
    <t xml:space="preserve"> 1,189 / 4</t>
    <phoneticPr fontId="7" type="noConversion"/>
  </si>
  <si>
    <t xml:space="preserve"> 2,234 / 8</t>
    <phoneticPr fontId="7" type="noConversion"/>
  </si>
  <si>
    <t xml:space="preserve"> 1,565 / 5</t>
    <phoneticPr fontId="7" type="noConversion"/>
  </si>
  <si>
    <t>① 1~3월 지원사업 종료 이후 대용량 문의가 감소함</t>
  </si>
  <si>
    <t>② 2~3월은 모듈 선발주 계약 건을 우선 진행하여 계약이 일시적으로 상승함</t>
  </si>
  <si>
    <t>③ 4월 이후 금융지원사업 진행이 어려워 계약 공백이 발생함</t>
  </si>
  <si>
    <t>④ 문의 질이 좋았던 과거 문의건 계약으로 소진 후 신규 문의건 계약 전환율이 낮아짐</t>
  </si>
  <si>
    <t>⑤ 홈페이지 프로모션 중 금액·임대료 등 직관적인 주제가 부족 함</t>
  </si>
  <si>
    <t>⑥ 캐릭터·사가· 드 집중하면서 양질의 문의를 창출하는 에너지를 쏟는 비율이 낮다고 판단됨</t>
  </si>
  <si>
    <t>⑦ 타 업체 대비 안전난간대·전기비용 등 추가비용으로 약 10만원/kW 이상 단가 차이가 발생함</t>
  </si>
  <si>
    <t>⑧ 선로용량 부족으로 자가소비(건물지원사업)으로 유도하는 사례가 발생함</t>
  </si>
  <si>
    <t>⑨ 미팅 이후 적극적인 2차 대응 및 후속 관리가 미흡함</t>
  </si>
  <si>
    <t xml:space="preserve"> ① 타사에서 유입된 영업자의 경우 임금가 차이로  A·B급 영업자로 육성 및 정착하는 데 한계가 있음</t>
    <phoneticPr fontId="7" type="noConversion"/>
  </si>
  <si>
    <t xml:space="preserve"> ② 영남권 대비 경기권 영업자 양성 부족으로 지역별 영업실적 상승에 편차가 발생함</t>
    <phoneticPr fontId="7" type="noConversion"/>
  </si>
  <si>
    <t xml:space="preserve"> ③ 지원사업 비수기 시즌으로 양질의 계약 문의 건 유입 줄어듬</t>
    <phoneticPr fontId="7" type="noConversion"/>
  </si>
  <si>
    <t xml:space="preserve"> ④ 효율적인 대응을 위해 기존 A,B 등급 영업자 우선적 대응으로 신규 C,D 영업자 레벨 UP 관리 한계</t>
    <phoneticPr fontId="7" type="noConversion"/>
  </si>
  <si>
    <t xml:space="preserve"> ① 탄소중립 설비지원사업 선정후 입찰로 시공사 선정으로 다소 시간 발생 (kcc, 삼성중공업, 에코프로 등)</t>
    <phoneticPr fontId="7" type="noConversion"/>
  </si>
  <si>
    <t xml:space="preserve"> ② 공사입찰을 위한 인허가 설계용역 건수 다수 발생(오산시, 한국가스공사, 에코프로, 농협경제지주 등) </t>
    <phoneticPr fontId="7" type="noConversion"/>
  </si>
  <si>
    <t xml:space="preserve"> ③ 신규 지명입찰 문의건수 하락 </t>
    <phoneticPr fontId="7" type="noConversion"/>
  </si>
  <si>
    <t xml:space="preserve"> ④ 리스 및 on-site ppa 등 임대형태(자본금 투자)의 사업 단가 경쟁력 약함.</t>
    <phoneticPr fontId="7" type="noConversion"/>
  </si>
  <si>
    <t xml:space="preserve"> ⑤ 자가소비형태 지원사업 위주로 사업편성 및 예산 반영</t>
    <phoneticPr fontId="7" type="noConversion"/>
  </si>
  <si>
    <t>김지훈</t>
    <phoneticPr fontId="7" type="noConversion"/>
  </si>
  <si>
    <t>장광수</t>
    <phoneticPr fontId="7" type="noConversion"/>
  </si>
  <si>
    <t>위니코니</t>
    <phoneticPr fontId="7" type="noConversion"/>
  </si>
  <si>
    <t>부산</t>
    <phoneticPr fontId="7" type="noConversion"/>
  </si>
  <si>
    <t>부산 기장군 정관읍 산단7로 99-48</t>
    <phoneticPr fontId="7" type="noConversion"/>
  </si>
  <si>
    <t>G05-1902</t>
    <phoneticPr fontId="7" type="noConversion"/>
  </si>
  <si>
    <t>외주영업자 김성환</t>
    <phoneticPr fontId="7" type="noConversion"/>
  </si>
  <si>
    <t>공장</t>
    <phoneticPr fontId="7" type="noConversion"/>
  </si>
  <si>
    <t>유지</t>
    <phoneticPr fontId="7" type="noConversion"/>
  </si>
  <si>
    <t>26.06.26</t>
    <phoneticPr fontId="7" type="noConversion"/>
  </si>
  <si>
    <t>용현무</t>
    <phoneticPr fontId="7" type="noConversion"/>
  </si>
  <si>
    <t>임준길</t>
    <phoneticPr fontId="7" type="noConversion"/>
  </si>
  <si>
    <t>울트라</t>
    <phoneticPr fontId="7" type="noConversion"/>
  </si>
  <si>
    <t>부산</t>
    <phoneticPr fontId="7" type="noConversion"/>
  </si>
  <si>
    <t>부산 강서구 낙동남로605번길 46-13</t>
    <phoneticPr fontId="7" type="noConversion"/>
  </si>
  <si>
    <t>03-0301</t>
    <phoneticPr fontId="7" type="noConversion"/>
  </si>
  <si>
    <t>소개</t>
    <phoneticPr fontId="7" type="noConversion"/>
  </si>
  <si>
    <t>HJ,JH 발전소</t>
    <phoneticPr fontId="7" type="noConversion"/>
  </si>
  <si>
    <t>26.06.29</t>
    <phoneticPr fontId="7" type="noConversion"/>
  </si>
  <si>
    <t>울산 남구 납도로 158</t>
    <phoneticPr fontId="7" type="noConversion"/>
  </si>
  <si>
    <t>06-3001</t>
    <phoneticPr fontId="7" type="noConversion"/>
  </si>
  <si>
    <t>26.06.29</t>
    <phoneticPr fontId="7" type="noConversion"/>
  </si>
  <si>
    <t>김세종</t>
    <phoneticPr fontId="7" type="noConversion"/>
  </si>
  <si>
    <t>최창민</t>
    <phoneticPr fontId="7" type="noConversion"/>
  </si>
  <si>
    <t>위드</t>
    <phoneticPr fontId="7" type="noConversion"/>
  </si>
  <si>
    <t>경기 파주시 광탄면 우랑길 100-29, 21</t>
    <phoneticPr fontId="7" type="noConversion"/>
  </si>
  <si>
    <t>06-1601</t>
    <phoneticPr fontId="7" type="noConversion"/>
  </si>
  <si>
    <t>금성냉동 발전소 사업주 소개(소개비 2만원)</t>
    <phoneticPr fontId="7" type="noConversion"/>
  </si>
  <si>
    <t>26.07.01</t>
    <phoneticPr fontId="7" type="noConversion"/>
  </si>
  <si>
    <t>김세종</t>
    <phoneticPr fontId="7" type="noConversion"/>
  </si>
  <si>
    <t>진으뜸</t>
    <phoneticPr fontId="7" type="noConversion"/>
  </si>
  <si>
    <t>경기</t>
    <phoneticPr fontId="7" type="noConversion"/>
  </si>
  <si>
    <t>경기도 안성시 죽산면 매산리 481-4 외</t>
    <phoneticPr fontId="7" type="noConversion"/>
  </si>
  <si>
    <t>06-0415</t>
    <phoneticPr fontId="7" type="noConversion"/>
  </si>
  <si>
    <t>직접유입</t>
    <phoneticPr fontId="7" type="noConversion"/>
  </si>
  <si>
    <t>공장</t>
    <phoneticPr fontId="7" type="noConversion"/>
  </si>
  <si>
    <t>유지</t>
    <phoneticPr fontId="7" type="noConversion"/>
  </si>
  <si>
    <t>육송㈜ 그린파워</t>
    <phoneticPr fontId="7" type="noConversion"/>
  </si>
  <si>
    <t>26.07.02</t>
    <phoneticPr fontId="7" type="noConversion"/>
  </si>
  <si>
    <t>김지훈</t>
    <phoneticPr fontId="7" type="noConversion"/>
  </si>
  <si>
    <t>장광수</t>
    <phoneticPr fontId="7" type="noConversion"/>
  </si>
  <si>
    <t>세화특수강</t>
    <phoneticPr fontId="7" type="noConversion"/>
  </si>
  <si>
    <t>부산</t>
    <phoneticPr fontId="7" type="noConversion"/>
  </si>
  <si>
    <t>부산시 기장군 명례리 901-3</t>
    <phoneticPr fontId="7" type="noConversion"/>
  </si>
  <si>
    <t>G06-1005</t>
    <phoneticPr fontId="7" type="noConversion"/>
  </si>
  <si>
    <t>외주영업자 임춘배</t>
    <phoneticPr fontId="7" type="noConversion"/>
  </si>
  <si>
    <t>26.07.02</t>
    <phoneticPr fontId="7" type="noConversion"/>
  </si>
  <si>
    <t>배승환</t>
    <phoneticPr fontId="7" type="noConversion"/>
  </si>
  <si>
    <t>진으뜸</t>
    <phoneticPr fontId="7" type="noConversion"/>
  </si>
  <si>
    <t>이름미정</t>
    <phoneticPr fontId="7" type="noConversion"/>
  </si>
  <si>
    <t>경기</t>
    <phoneticPr fontId="7" type="noConversion"/>
  </si>
  <si>
    <t>경기 남양주시 화도읍 비룡로 455-19 외 7동</t>
    <phoneticPr fontId="7" type="noConversion"/>
  </si>
  <si>
    <t>04-2306</t>
    <phoneticPr fontId="7" type="noConversion"/>
  </si>
  <si>
    <t>근생</t>
    <phoneticPr fontId="7" type="noConversion"/>
  </si>
  <si>
    <t>유지</t>
    <phoneticPr fontId="7" type="noConversion"/>
  </si>
  <si>
    <t>26.07.03</t>
    <phoneticPr fontId="7" type="noConversion"/>
  </si>
  <si>
    <t>김용희</t>
    <phoneticPr fontId="7" type="noConversion"/>
  </si>
  <si>
    <t>조성현</t>
    <phoneticPr fontId="7" type="noConversion"/>
  </si>
  <si>
    <t>케이엔메탈</t>
    <phoneticPr fontId="7" type="noConversion"/>
  </si>
  <si>
    <t>경남</t>
    <phoneticPr fontId="7" type="noConversion"/>
  </si>
  <si>
    <t>김해시 대동면 월촌리 1289-17</t>
    <phoneticPr fontId="7" type="noConversion"/>
  </si>
  <si>
    <t>06-1626</t>
    <phoneticPr fontId="7" type="noConversion"/>
  </si>
  <si>
    <t>소개</t>
    <phoneticPr fontId="7" type="noConversion"/>
  </si>
  <si>
    <t>산단</t>
    <phoneticPr fontId="7" type="noConversion"/>
  </si>
  <si>
    <t>유지</t>
    <phoneticPr fontId="7" type="noConversion"/>
  </si>
  <si>
    <t>김세종</t>
    <phoneticPr fontId="7" type="noConversion"/>
  </si>
  <si>
    <t>최창민</t>
    <phoneticPr fontId="7" type="noConversion"/>
  </si>
  <si>
    <t>DSI</t>
    <phoneticPr fontId="7" type="noConversion"/>
  </si>
  <si>
    <t>부산</t>
    <phoneticPr fontId="7" type="noConversion"/>
  </si>
  <si>
    <t>부산 강서구 미음산단5로 11</t>
    <phoneticPr fontId="7" type="noConversion"/>
  </si>
  <si>
    <t>06-1517</t>
    <phoneticPr fontId="7" type="noConversion"/>
  </si>
  <si>
    <t>성문 이재홍 대표(소개비 2만원)</t>
    <phoneticPr fontId="7" type="noConversion"/>
  </si>
  <si>
    <t>10년하자</t>
    <phoneticPr fontId="7" type="noConversion"/>
  </si>
  <si>
    <r>
      <t>ㆍ</t>
    </r>
    <r>
      <rPr>
        <sz val="10"/>
        <color rgb="FFFF0000"/>
        <rFont val="맑은 고딕"/>
        <family val="3"/>
        <charset val="129"/>
        <scheme val="minor"/>
      </rPr>
      <t>혜택1</t>
    </r>
    <r>
      <rPr>
        <sz val="10"/>
        <color theme="1"/>
        <rFont val="맑은 고딕"/>
        <family val="2"/>
        <charset val="129"/>
        <scheme val="minor"/>
      </rPr>
      <t xml:space="preserve"> : 제로백이라고해서 개발행위허가 후 계약금을 받음ㆍ</t>
    </r>
    <r>
      <rPr>
        <sz val="10"/>
        <color rgb="FFFF0000"/>
        <rFont val="맑은 고딕"/>
        <family val="3"/>
        <charset val="129"/>
        <scheme val="minor"/>
      </rPr>
      <t>혜택2</t>
    </r>
    <r>
      <rPr>
        <sz val="10"/>
        <color theme="1"/>
        <rFont val="맑은 고딕"/>
        <family val="2"/>
        <charset val="129"/>
        <scheme val="minor"/>
      </rPr>
      <t xml:space="preserve"> : 하자보증기간 5년+1년ㆍ</t>
    </r>
    <r>
      <rPr>
        <sz val="10"/>
        <color rgb="FFFF0000"/>
        <rFont val="맑은 고딕"/>
        <family val="3"/>
        <charset val="129"/>
        <scheme val="minor"/>
      </rPr>
      <t>혜택3</t>
    </r>
    <r>
      <rPr>
        <sz val="10"/>
        <color theme="1"/>
        <rFont val="맑은 고딕"/>
        <family val="2"/>
        <charset val="129"/>
        <scheme val="minor"/>
      </rPr>
      <t xml:space="preserve"> : EGI 보험 가입 1년무상ㆍ</t>
    </r>
    <r>
      <rPr>
        <sz val="10"/>
        <color rgb="FFFF0000"/>
        <rFont val="맑은 고딕"/>
        <family val="3"/>
        <charset val="129"/>
        <scheme val="minor"/>
      </rPr>
      <t>혜택4</t>
    </r>
    <r>
      <rPr>
        <sz val="10"/>
        <color theme="1"/>
        <rFont val="맑은 고딕"/>
        <family val="2"/>
        <charset val="129"/>
        <scheme val="minor"/>
      </rPr>
      <t xml:space="preserve"> : 모아프로 1년 무상ㆍ</t>
    </r>
    <r>
      <rPr>
        <sz val="10"/>
        <color rgb="FFFF0000"/>
        <rFont val="맑은 고딕"/>
        <family val="3"/>
        <charset val="129"/>
        <scheme val="minor"/>
      </rPr>
      <t>혜택5</t>
    </r>
    <r>
      <rPr>
        <sz val="10"/>
        <color theme="1"/>
        <rFont val="맑은 고딕"/>
        <family val="2"/>
        <charset val="129"/>
        <scheme val="minor"/>
      </rPr>
      <t xml:space="preserve"> : 유지보수점검 서비스 1회 무상지원 (하자보증기간 내)</t>
    </r>
    <phoneticPr fontId="7" type="noConversion"/>
  </si>
  <si>
    <t>㈜청호물류</t>
    <phoneticPr fontId="7" type="noConversion"/>
  </si>
  <si>
    <t>장광수</t>
    <phoneticPr fontId="7" type="noConversion"/>
  </si>
  <si>
    <t>울산</t>
    <phoneticPr fontId="7" type="noConversion"/>
  </si>
  <si>
    <t>울산 북구 중산산업2길 66</t>
    <phoneticPr fontId="7" type="noConversion"/>
  </si>
  <si>
    <t>김지훈</t>
    <phoneticPr fontId="7" type="noConversion"/>
  </si>
  <si>
    <t>G05-0704</t>
    <phoneticPr fontId="7" type="noConversion"/>
  </si>
  <si>
    <t>외주영업자 신선수</t>
    <phoneticPr fontId="7" type="noConversion"/>
  </si>
  <si>
    <t>MS</t>
    <phoneticPr fontId="7" type="noConversion"/>
  </si>
  <si>
    <t>경남 양산시 산막공단북13길 54</t>
    <phoneticPr fontId="7" type="noConversion"/>
  </si>
  <si>
    <t>경남</t>
    <phoneticPr fontId="7" type="noConversion"/>
  </si>
  <si>
    <t>G05-0705</t>
    <phoneticPr fontId="7" type="noConversion"/>
  </si>
  <si>
    <t>26.07.09</t>
    <phoneticPr fontId="7" type="noConversion"/>
  </si>
  <si>
    <t>김세종</t>
    <phoneticPr fontId="7" type="noConversion"/>
  </si>
  <si>
    <t>진으뜸</t>
    <phoneticPr fontId="7" type="noConversion"/>
  </si>
  <si>
    <t>예창</t>
    <phoneticPr fontId="7" type="noConversion"/>
  </si>
  <si>
    <t>영이앤씨</t>
    <phoneticPr fontId="7" type="noConversion"/>
  </si>
  <si>
    <t>충북 청주시 청원구 북이면 내둔리 43-44</t>
    <phoneticPr fontId="7" type="noConversion"/>
  </si>
  <si>
    <t>충북</t>
    <phoneticPr fontId="7" type="noConversion"/>
  </si>
  <si>
    <t>충북 청주시 청원구 북이면 내둔리 43-53</t>
    <phoneticPr fontId="7" type="noConversion"/>
  </si>
  <si>
    <t>06-2234</t>
    <phoneticPr fontId="7" type="noConversion"/>
  </si>
  <si>
    <t>기존고객</t>
    <phoneticPr fontId="7" type="noConversion"/>
  </si>
  <si>
    <t>최창민</t>
    <phoneticPr fontId="7" type="noConversion"/>
  </si>
  <si>
    <t>(가칭)채원</t>
    <phoneticPr fontId="7" type="noConversion"/>
  </si>
  <si>
    <t>(가칭)채윤</t>
    <phoneticPr fontId="7" type="noConversion"/>
  </si>
  <si>
    <t>경기 화성시 만세구 장안면 장안공단로 161-6, 16</t>
    <phoneticPr fontId="7" type="noConversion"/>
  </si>
  <si>
    <t>경기 화성시 만세구 팔탄면 시청로 997</t>
    <phoneticPr fontId="7" type="noConversion"/>
  </si>
  <si>
    <t>06-1705</t>
  </si>
  <si>
    <t>06-1705</t>
    <phoneticPr fontId="7" type="noConversion"/>
  </si>
  <si>
    <t>10년하자</t>
  </si>
  <si>
    <t>26.07.15</t>
    <phoneticPr fontId="7" type="noConversion"/>
  </si>
  <si>
    <t>김세종</t>
    <phoneticPr fontId="7" type="noConversion"/>
  </si>
  <si>
    <t>조성현</t>
    <phoneticPr fontId="7" type="noConversion"/>
  </si>
  <si>
    <t>에스비웍스3호</t>
    <phoneticPr fontId="7" type="noConversion"/>
  </si>
  <si>
    <t>경남</t>
    <phoneticPr fontId="7" type="noConversion"/>
  </si>
  <si>
    <t>김해시 진례면 송현리 68</t>
    <phoneticPr fontId="7" type="noConversion"/>
  </si>
  <si>
    <t>07-0706</t>
    <phoneticPr fontId="7" type="noConversion"/>
  </si>
  <si>
    <t>소개</t>
    <phoneticPr fontId="7" type="noConversion"/>
  </si>
  <si>
    <t>조성현(기존고객)</t>
    <phoneticPr fontId="7" type="noConversion"/>
  </si>
  <si>
    <t>26.07.15</t>
    <phoneticPr fontId="7" type="noConversion"/>
  </si>
  <si>
    <t>대동정밀</t>
    <phoneticPr fontId="7" type="noConversion"/>
  </si>
  <si>
    <t>창원 마산회원구 자유무역6길 31</t>
    <phoneticPr fontId="7" type="noConversion"/>
  </si>
  <si>
    <t>09-0502</t>
    <phoneticPr fontId="7" type="noConversion"/>
  </si>
  <si>
    <t>덴소-손재길</t>
    <phoneticPr fontId="7" type="noConversion"/>
  </si>
  <si>
    <t>26.07.14</t>
    <phoneticPr fontId="7" type="noConversion"/>
  </si>
  <si>
    <t>충남 아산시 둔포면 충무로 1342 (주)한미에프쓰리</t>
    <phoneticPr fontId="7" type="noConversion"/>
  </si>
  <si>
    <t>충남 아산시 음봉면 연암산로 215</t>
    <phoneticPr fontId="7" type="noConversion"/>
  </si>
  <si>
    <t>(주)한미에프쓰리 1호</t>
    <phoneticPr fontId="7" type="noConversion"/>
  </si>
  <si>
    <t>(주)한미에프쓰리 2호</t>
  </si>
  <si>
    <t>05-0603</t>
    <phoneticPr fontId="7" type="noConversion"/>
  </si>
  <si>
    <t>엘피에스테크1호</t>
    <phoneticPr fontId="7" type="noConversion"/>
  </si>
  <si>
    <t>엘피에스테크2호</t>
    <phoneticPr fontId="7" type="noConversion"/>
  </si>
  <si>
    <t>26.07.15</t>
    <phoneticPr fontId="7" type="noConversion"/>
  </si>
  <si>
    <t>10-3010</t>
    <phoneticPr fontId="7" type="noConversion"/>
  </si>
  <si>
    <t>경기</t>
    <phoneticPr fontId="7" type="noConversion"/>
  </si>
  <si>
    <t>경기 화성시 남양읍 신남로240번길 52</t>
    <phoneticPr fontId="7" type="noConversion"/>
  </si>
  <si>
    <t>경기 화성시 남양읍 신남로240번길 51-2</t>
    <phoneticPr fontId="7" type="noConversion"/>
  </si>
  <si>
    <t>26.07.16</t>
    <phoneticPr fontId="7" type="noConversion"/>
  </si>
  <si>
    <t>한국성전</t>
    <phoneticPr fontId="7" type="noConversion"/>
  </si>
  <si>
    <t>창원 마산회원구 자유무역3길 150</t>
    <phoneticPr fontId="7" type="noConversion"/>
  </si>
  <si>
    <t>07-1405</t>
    <phoneticPr fontId="7" type="noConversion"/>
  </si>
  <si>
    <t>정부사업팀</t>
    <phoneticPr fontId="7" type="noConversion"/>
  </si>
  <si>
    <t>김지훈</t>
    <phoneticPr fontId="7" type="noConversion"/>
  </si>
  <si>
    <t>장광수</t>
    <phoneticPr fontId="7" type="noConversion"/>
  </si>
  <si>
    <t>에이치엘쏠라</t>
    <phoneticPr fontId="7" type="noConversion"/>
  </si>
  <si>
    <t>경기</t>
    <phoneticPr fontId="7" type="noConversion"/>
  </si>
  <si>
    <t>경기 화성시 향남읍 서봉로 395-6</t>
    <phoneticPr fontId="7" type="noConversion"/>
  </si>
  <si>
    <t>외주영업자 최영주</t>
    <phoneticPr fontId="7" type="noConversion"/>
  </si>
  <si>
    <t>G06-1802</t>
    <phoneticPr fontId="7" type="noConversion"/>
  </si>
  <si>
    <t>26.07.20</t>
    <phoneticPr fontId="7" type="noConversion"/>
  </si>
  <si>
    <t>김동호</t>
    <phoneticPr fontId="7" type="noConversion"/>
  </si>
  <si>
    <t>조성현</t>
    <phoneticPr fontId="7" type="noConversion"/>
  </si>
  <si>
    <t>코렌스이엠</t>
    <phoneticPr fontId="7" type="noConversion"/>
  </si>
  <si>
    <t>부산</t>
    <phoneticPr fontId="7" type="noConversion"/>
  </si>
  <si>
    <t>강서구 미음국제8로 121</t>
    <phoneticPr fontId="7" type="noConversion"/>
  </si>
  <si>
    <t>04-0907</t>
    <phoneticPr fontId="7" type="noConversion"/>
  </si>
  <si>
    <t>소개</t>
    <phoneticPr fontId="7" type="noConversion"/>
  </si>
  <si>
    <t>코렌스</t>
    <phoneticPr fontId="7" type="noConversion"/>
  </si>
  <si>
    <t>김용희</t>
    <phoneticPr fontId="7" type="noConversion"/>
  </si>
  <si>
    <t>임준길</t>
    <phoneticPr fontId="7" type="noConversion"/>
  </si>
  <si>
    <t>아신</t>
    <phoneticPr fontId="7" type="noConversion"/>
  </si>
  <si>
    <t>부산</t>
    <phoneticPr fontId="7" type="noConversion"/>
  </si>
  <si>
    <t>부산 강서구 미음국제6로 20</t>
    <phoneticPr fontId="7" type="noConversion"/>
  </si>
  <si>
    <t>07-0701</t>
    <phoneticPr fontId="7" type="noConversion"/>
  </si>
  <si>
    <t>직접유입</t>
    <phoneticPr fontId="7" type="noConversion"/>
  </si>
  <si>
    <t>26.07.23</t>
    <phoneticPr fontId="7" type="noConversion"/>
  </si>
  <si>
    <t>26.07.21</t>
    <phoneticPr fontId="7" type="noConversion"/>
  </si>
  <si>
    <t>김세종</t>
    <phoneticPr fontId="7" type="noConversion"/>
  </si>
  <si>
    <t>임준길</t>
    <phoneticPr fontId="7" type="noConversion"/>
  </si>
  <si>
    <t>월스</t>
    <phoneticPr fontId="7" type="noConversion"/>
  </si>
  <si>
    <t>부산 기장군 장안읍 해맞이로 25</t>
    <phoneticPr fontId="7" type="noConversion"/>
  </si>
  <si>
    <t>05-2116</t>
    <phoneticPr fontId="7" type="noConversion"/>
  </si>
  <si>
    <t>직접유입</t>
    <phoneticPr fontId="7" type="noConversion"/>
  </si>
  <si>
    <t>근생</t>
    <phoneticPr fontId="7" type="noConversion"/>
  </si>
  <si>
    <t>유지</t>
    <phoneticPr fontId="7" type="noConversion"/>
  </si>
  <si>
    <t xml:space="preserve"> 18,407 / 54</t>
    <phoneticPr fontId="7" type="noConversion"/>
  </si>
  <si>
    <t xml:space="preserve"> 2,663 / 9</t>
    <phoneticPr fontId="7" type="noConversion"/>
  </si>
  <si>
    <t>761 / 4</t>
    <phoneticPr fontId="7" type="noConversion"/>
  </si>
  <si>
    <t xml:space="preserve"> 29,684 / 58</t>
    <phoneticPr fontId="7" type="noConversion"/>
  </si>
  <si>
    <t>2,768 / 7</t>
    <phoneticPr fontId="7" type="noConversion"/>
  </si>
  <si>
    <t>1,855 / 4</t>
    <phoneticPr fontId="7" type="noConversion"/>
  </si>
  <si>
    <t>913 / 3</t>
    <phoneticPr fontId="7" type="noConversion"/>
  </si>
  <si>
    <t>7,955 / 26</t>
    <phoneticPr fontId="7" type="noConversion"/>
  </si>
  <si>
    <t>713 / 3</t>
    <phoneticPr fontId="7" type="noConversion"/>
  </si>
  <si>
    <t>196 / 1</t>
    <phoneticPr fontId="7" type="noConversion"/>
  </si>
  <si>
    <t>517 / 2</t>
    <phoneticPr fontId="7" type="noConversion"/>
  </si>
  <si>
    <t xml:space="preserve">  이슈</t>
    <phoneticPr fontId="7" type="noConversion"/>
  </si>
  <si>
    <t>① 전월대비 계약건은 늘었으며, 5월 대비 6월 마케팅 유입량 증가로 인한 영향이 있음</t>
  </si>
  <si>
    <t xml:space="preserve">② 7월 21개 계약건 중 기존고객 14건, 직접유입고객 7건 진행 </t>
  </si>
  <si>
    <t>③ 기존 고객 대상으로 한선선로 감소속도 증가 및 REC폐지 관련 지속 안내로 추가 계약진행</t>
  </si>
  <si>
    <t>④ 필드 고객 미팅 시 안전관련 제안으로 타사와는 차별성 대두되지만, 단가의 차이에서 어려움이 있음</t>
  </si>
  <si>
    <t>⑤ RPS계약 후 선로 부족 및 REC폐지로 인한 수익감소 시 건물지원사업으로 진행협의하여 진행</t>
  </si>
  <si>
    <t>⑥ 7월16일 장기계약시장 고려하여, 현시점 장기계약 등급별 상한가 기준으로 예상단가 적용 사업제안</t>
  </si>
  <si>
    <t>⑧ 건물지원사업의 니즈가 증가되고 있으며, 지원사업 신청 시 선정될 때 까지 신청하여 고객니즈 충족</t>
  </si>
  <si>
    <t>⑨ 당사에서 건물지원사업 신청 시 선정확률이 높은 이유에 대한 마케팅 전략 필요</t>
  </si>
  <si>
    <t>26.07.24</t>
    <phoneticPr fontId="7" type="noConversion"/>
  </si>
  <si>
    <t>김동호</t>
    <phoneticPr fontId="7" type="noConversion"/>
  </si>
  <si>
    <t>임준길</t>
    <phoneticPr fontId="7" type="noConversion"/>
  </si>
  <si>
    <t>양순이</t>
    <phoneticPr fontId="7" type="noConversion"/>
  </si>
  <si>
    <t>충북 제천시 송학면 북부로 3413</t>
    <phoneticPr fontId="7" type="noConversion"/>
  </si>
  <si>
    <t>06-2903</t>
    <phoneticPr fontId="7" type="noConversion"/>
  </si>
  <si>
    <t>소개</t>
    <phoneticPr fontId="7" type="noConversion"/>
  </si>
  <si>
    <t>배현지선임 소개건</t>
    <phoneticPr fontId="7" type="noConversion"/>
  </si>
  <si>
    <t>근생</t>
    <phoneticPr fontId="7" type="noConversion"/>
  </si>
  <si>
    <t>유지</t>
    <phoneticPr fontId="7" type="noConversion"/>
  </si>
  <si>
    <t>허영준</t>
    <phoneticPr fontId="7" type="noConversion"/>
  </si>
  <si>
    <t>임준길</t>
    <phoneticPr fontId="7" type="noConversion"/>
  </si>
  <si>
    <t>김준희</t>
    <phoneticPr fontId="7" type="noConversion"/>
  </si>
  <si>
    <t>부산 강서구 공항로1207번길 30-1</t>
    <phoneticPr fontId="7" type="noConversion"/>
  </si>
  <si>
    <t>03-1801</t>
    <phoneticPr fontId="7" type="noConversion"/>
  </si>
  <si>
    <t>소개</t>
    <phoneticPr fontId="7" type="noConversion"/>
  </si>
  <si>
    <t>박도훈수석 통한 유입건</t>
    <phoneticPr fontId="7" type="noConversion"/>
  </si>
  <si>
    <t>근생</t>
    <phoneticPr fontId="7" type="noConversion"/>
  </si>
  <si>
    <t>서춘녀 1호</t>
    <phoneticPr fontId="7" type="noConversion"/>
  </si>
  <si>
    <t>부산</t>
    <phoneticPr fontId="7" type="noConversion"/>
  </si>
  <si>
    <t>부산 강서구 체육공원로26번길 8</t>
    <phoneticPr fontId="7" type="noConversion"/>
  </si>
  <si>
    <t>03-2501</t>
    <phoneticPr fontId="7" type="noConversion"/>
  </si>
  <si>
    <t>서춘녀 2호</t>
    <phoneticPr fontId="7" type="noConversion"/>
  </si>
  <si>
    <t>경남</t>
    <phoneticPr fontId="7" type="noConversion"/>
  </si>
  <si>
    <t>경남 김해시 대동면 대동로 505</t>
    <phoneticPr fontId="7" type="noConversion"/>
  </si>
  <si>
    <t>02-1006</t>
    <phoneticPr fontId="7" type="noConversion"/>
  </si>
  <si>
    <t>007</t>
    <phoneticPr fontId="7" type="noConversion"/>
  </si>
  <si>
    <t>장광수</t>
    <phoneticPr fontId="7" type="noConversion"/>
  </si>
  <si>
    <t>그랜드썬58 삼원테크노</t>
    <phoneticPr fontId="7" type="noConversion"/>
  </si>
  <si>
    <t>울산</t>
    <phoneticPr fontId="7" type="noConversion"/>
  </si>
  <si>
    <t>울산 울주군 언양읍 반천산업로 199-37</t>
    <phoneticPr fontId="7" type="noConversion"/>
  </si>
  <si>
    <t>G06-1004</t>
    <phoneticPr fontId="7" type="noConversion"/>
  </si>
  <si>
    <t>외주영업자 이현아</t>
    <phoneticPr fontId="7" type="noConversion"/>
  </si>
  <si>
    <t>산단</t>
    <phoneticPr fontId="7" type="noConversion"/>
  </si>
  <si>
    <t>연산메탈㈜</t>
    <phoneticPr fontId="7" type="noConversion"/>
  </si>
  <si>
    <t>부산 강서구 화전산단1로 8</t>
    <phoneticPr fontId="7" type="noConversion"/>
  </si>
  <si>
    <t>G07-0104</t>
    <phoneticPr fontId="7" type="noConversion"/>
  </si>
  <si>
    <t>외주영업자 배병수, 건물지원사업</t>
    <phoneticPr fontId="7" type="noConversion"/>
  </si>
  <si>
    <t xml:space="preserve"> ① 문의: 151건(제안서 및 견적서), 7건(계약)  </t>
    <phoneticPr fontId="7" type="noConversion"/>
  </si>
  <si>
    <t xml:space="preserve"> ② 사업형태 : 발전사업 5건 1,234kW, 임대 1건 462.465kW, 건물지원 1건 182.9kW / 6명 파트너스</t>
    <phoneticPr fontId="7" type="noConversion"/>
  </si>
  <si>
    <t>26년 목표달성을 위해서 월 2.6MW 계약필요</t>
    <phoneticPr fontId="7" type="noConversion"/>
  </si>
  <si>
    <t>금융지원사업 및 건물지원사업 적정시기 안내 및 독려</t>
    <phoneticPr fontId="7" type="noConversion"/>
  </si>
  <si>
    <t>시장상황, 견적관련 파트너스 소통 지속필요</t>
    <phoneticPr fontId="7" type="noConversion"/>
  </si>
  <si>
    <t>신규영업자 유입 시 당사 내방미팅 진행(선별)</t>
    <phoneticPr fontId="7" type="noConversion"/>
  </si>
  <si>
    <t>우수영업자 집중관리 필요, 양질의 신규영업자 발굴 집중</t>
    <phoneticPr fontId="7" type="noConversion"/>
  </si>
  <si>
    <t>- B등급 영업자 미팅동행으로 계약체결 및 8월 계약 예정건 확보</t>
    <phoneticPr fontId="7" type="noConversion"/>
  </si>
  <si>
    <t>- 전월대비 문의량 증가하였으나 C,D등급 영업자 유입 및 문의로 계약용량은 전월과 유사</t>
    <phoneticPr fontId="7" type="noConversion"/>
  </si>
  <si>
    <t>계약 영업자 수</t>
    <phoneticPr fontId="7" type="noConversion"/>
  </si>
  <si>
    <t>문의건수</t>
    <phoneticPr fontId="7" type="noConversion"/>
  </si>
  <si>
    <t>- 계약건수는 감소하였으나 평균 계약용량 상승</t>
    <phoneticPr fontId="7" type="noConversion"/>
  </si>
  <si>
    <t>- 금융지원사업 및 내년 시장개편관련 변동되는 내용 파트너스 순차 안내 및 숙지 중</t>
    <phoneticPr fontId="7" type="noConversion"/>
  </si>
  <si>
    <t>⑦ 일부 업체는 무등급 모듈로 영업하나, 규모·체계를 갖춘 기업은 1등급으로 제안 중</t>
    <phoneticPr fontId="7" type="noConversion"/>
  </si>
  <si>
    <t>입찰사이트</t>
    <phoneticPr fontId="7" type="noConversion"/>
  </si>
  <si>
    <t>신규고객</t>
    <phoneticPr fontId="7" type="noConversion"/>
  </si>
  <si>
    <t>설계/타당성 용역</t>
    <phoneticPr fontId="7" type="noConversion"/>
  </si>
  <si>
    <t>40MW/ 1건</t>
    <phoneticPr fontId="7" type="noConversion"/>
  </si>
  <si>
    <t>10MW/ 1건</t>
    <phoneticPr fontId="7" type="noConversion"/>
  </si>
  <si>
    <t>2.7MW/ 4건</t>
    <phoneticPr fontId="7" type="noConversion"/>
  </si>
  <si>
    <t xml:space="preserve"> ① 문의: 1건 (기존고객 : 화신)</t>
    <phoneticPr fontId="7" type="noConversion"/>
  </si>
  <si>
    <t xml:space="preserve"> ② 분석 : </t>
    <phoneticPr fontId="7" type="noConversion"/>
  </si>
  <si>
    <t xml:space="preserve"> 1) 입찰문의 감소</t>
    <phoneticPr fontId="7" type="noConversion"/>
  </si>
  <si>
    <t xml:space="preserve"> - 연초 지원 사업(환경부, 건물지원) 이후 중견,대기업 문의량 급감하였으며, 특히 신규고객 유입 저조</t>
    <phoneticPr fontId="7" type="noConversion"/>
  </si>
  <si>
    <t xml:space="preserve"> 2) 설계용역 수행 퀄리티 저하</t>
    <phoneticPr fontId="7" type="noConversion"/>
  </si>
  <si>
    <t xml:space="preserve"> - 물량산출 및 도면 정확도 불일치 등 검수체계 부족으로 신뢰성 저하 발생</t>
    <phoneticPr fontId="7" type="noConversion"/>
  </si>
  <si>
    <t xml:space="preserve"> - 설계/타당성 용역에 대한 당사 프로세스 미정립으로 입찰담당자가 설계용역 PM 역할 수행</t>
    <phoneticPr fontId="7" type="noConversion"/>
  </si>
  <si>
    <t xml:space="preserve"> 3) 가격 경쟁력 미흡</t>
    <phoneticPr fontId="7" type="noConversion"/>
  </si>
  <si>
    <t xml:space="preserve"> - 입찰 참여 물건 타사 대비 10~30% 이상 높은 견적으로 원가경쟁력 미흡</t>
    <phoneticPr fontId="7" type="noConversion"/>
  </si>
  <si>
    <t xml:space="preserve"> ③ 향후방향 :  </t>
    <phoneticPr fontId="7" type="noConversion"/>
  </si>
  <si>
    <t xml:space="preserve"> - 차년도 지원사업을 위한 사전대응에 대한 마케팅 홍보로 신규 고객 확보 방안 마련</t>
    <phoneticPr fontId="7" type="noConversion"/>
  </si>
  <si>
    <t xml:space="preserve"> - 컨설팅 및 설계용역을 통해 발주처와 사전관계성 확보 확대 (공공주차장 의무화, 지원사업 사전대응)</t>
    <phoneticPr fontId="7" type="noConversion"/>
  </si>
  <si>
    <t xml:space="preserve"> - EPC 계약과 동일한 설계용역 관리 체계 마련 要</t>
    <phoneticPr fontId="7" type="noConversion"/>
  </si>
  <si>
    <t>1) 이번달 목표용량 : 10.8MW / 수주용량 : 9.1MW(28건) / 달성율 : 84.7%</t>
  </si>
  <si>
    <t>2) 누적 목표용량 : 91.3MW / 수주용량 : 68.5MW(229건) / 달성율 : 75.1%</t>
  </si>
  <si>
    <t xml:space="preserve">  - 컨설팅 및 필드파트 : 7,267kW / 21건 (마케팅 6건, 소개 15건)</t>
  </si>
  <si>
    <t xml:space="preserve">   ① 문의: 경기권 92건, 영남권 142건, 충청권 70건, 호남권 37건, 강원권 13건</t>
  </si>
  <si>
    <t xml:space="preserve">               마케팅 368건-&gt;23건(6.3%), 소개 43건-&gt;11건(25.6%) </t>
  </si>
  <si>
    <t xml:space="preserve">               500kW 미만(40건), 500kW 이상(9건)</t>
  </si>
  <si>
    <t xml:space="preserve">   ② 계약 : 부산 3,732kW 경기 3,535W / 직접 4,816kW, 소개 2,452kW </t>
  </si>
  <si>
    <t xml:space="preserve">   ③ 분석 </t>
  </si>
  <si>
    <t xml:space="preserve">     * 5월 대비 6월 마케팅 유입량 증가로, 전월대비 계약건 상승 </t>
  </si>
  <si>
    <t xml:space="preserve">     * 안전특화 상품으로 타사와는 차별성 가지지만, 단가의 차이에서 어려움이 있음</t>
  </si>
  <si>
    <t xml:space="preserve">    ④ 향후방향</t>
  </si>
  <si>
    <t xml:space="preserve">     * 한선 선로 감소속도 증가 및 REC폐지 관련 지속 안내로 추가 계약진행 도모</t>
  </si>
  <si>
    <t xml:space="preserve">     * 안전특화상품을 고도화하여 단차차이를 극복  </t>
  </si>
  <si>
    <t xml:space="preserve">     * 장기계약 우대가격 중심(2등급 or 1등급)으로 제안서 구성하여 시장 대응 </t>
  </si>
  <si>
    <t xml:space="preserve">   - 외주파트 : 1,880kW</t>
  </si>
  <si>
    <t xml:space="preserve">    ① 문의: 126건(제안서 및 견적서151건), 7건(계약)  </t>
  </si>
  <si>
    <t xml:space="preserve">    ② 사업형태 : 발전사업 1,234kW,임대 1건 462.465kW, 건물지원1건 182.9kW / 6명 파트너스</t>
  </si>
  <si>
    <t xml:space="preserve">    ③ 분석 </t>
  </si>
  <si>
    <t xml:space="preserve">     * B등급 영업자 미팅동행으로 계약체결 및 8월 계약 예정건 확보</t>
  </si>
  <si>
    <t xml:space="preserve">          </t>
  </si>
  <si>
    <t xml:space="preserve">     * 전월대비 문의량 증가하였으나 C,D등급 영업자 유입 및 문의로 계약용량은 전월과 유사</t>
  </si>
  <si>
    <t xml:space="preserve">           </t>
  </si>
  <si>
    <t xml:space="preserve">     * 계약건수는 감소하였으나 평균 계약용량 상승</t>
  </si>
  <si>
    <t xml:space="preserve">     * 금융지원사업 및 내년 시장개편관련 변동되는 내용 파트너스 순차 안내 및 숙지 중</t>
  </si>
  <si>
    <t xml:space="preserve">    ④ 향후방향 </t>
  </si>
  <si>
    <t xml:space="preserve">     * 금융지원사업 및 건물지원사업 적정시기 안내 및 독려</t>
  </si>
  <si>
    <t xml:space="preserve">     * 시장상황과 견적관련 내용을 파트너스와 지속적으로 공유 및 소통하여 돈독한 협력관계 유지</t>
  </si>
  <si>
    <t xml:space="preserve">     * 신규영업자 유입 시 내방미팅을 진행하여, 우수영업자 발굴 및 관리체계 구축</t>
  </si>
  <si>
    <t xml:space="preserve">      </t>
  </si>
  <si>
    <t xml:space="preserve">  - 입찰 : -kW</t>
  </si>
  <si>
    <t xml:space="preserve">    ① 문의: 1건 (기존고객 : 화신)</t>
  </si>
  <si>
    <t xml:space="preserve">    ② 분석 : </t>
  </si>
  <si>
    <t xml:space="preserve">     * 연초 지원 사업(환경부, 건물지원) 이후 중견, 대기업 문의량 급감하였으며, </t>
  </si>
  <si>
    <t xml:space="preserve">       특히 신규고객 유입 저조</t>
  </si>
  <si>
    <t xml:space="preserve">     * 공공기관 주차장 용역(인허가 및 설계)문의건 증가 / 관급기준 품질 요구</t>
  </si>
  <si>
    <t xml:space="preserve">    ③ 향후 방향성</t>
  </si>
  <si>
    <t xml:space="preserve">     * 차년도 지원사업 접수를 위한 사전대응에 대한 마케팅 홍보 마련</t>
  </si>
  <si>
    <t xml:space="preserve">     * 관급기준 설계도서 품질 구축 필요 (공사 시방서, 산출내역서 등) </t>
  </si>
  <si>
    <t xml:space="preserve">4. 입찰 진행사항   </t>
  </si>
  <si>
    <t xml:space="preserve"> 1) 진행 사이트</t>
  </si>
  <si>
    <t xml:space="preserve">   - 화신 예산공장 / 충남 예산군 : 730kW (ON-Site PPA), 견적제출 완료</t>
  </si>
  <si>
    <t xml:space="preserve">   - 오산시 주차장 설계용역 : 약 900kW, 준공계 제출 완료 / 시공 혁신조달 수의계약 진행예정</t>
  </si>
  <si>
    <t xml:space="preserve">   - 동희산업 울산공장(570kW) 스마트생태 지원사업 / 선진행 검토  </t>
  </si>
  <si>
    <t xml:space="preserve"> 2) 입찰참여 예정 사이트</t>
  </si>
  <si>
    <t xml:space="preserve">   - 에코프로(1.2MW) 건물지원 참여기업 선정 입찰       </t>
  </si>
  <si>
    <t>김지훈</t>
    <phoneticPr fontId="7" type="noConversion"/>
  </si>
  <si>
    <t>장광수</t>
    <phoneticPr fontId="7" type="noConversion"/>
  </si>
  <si>
    <t>경북</t>
    <phoneticPr fontId="7" type="noConversion"/>
  </si>
  <si>
    <t>경북 경주시 외동읍 관문로 1255-43</t>
    <phoneticPr fontId="7" type="noConversion"/>
  </si>
  <si>
    <t>G06-2307</t>
    <phoneticPr fontId="7" type="noConversion"/>
  </si>
  <si>
    <t>G07-2008</t>
    <phoneticPr fontId="7" type="noConversion"/>
  </si>
  <si>
    <t>G05-1401</t>
    <phoneticPr fontId="7" type="noConversion"/>
  </si>
  <si>
    <t>경북 경주시 외동읍 영지로 15</t>
    <phoneticPr fontId="7" type="noConversion"/>
  </si>
  <si>
    <t>충남</t>
    <phoneticPr fontId="7" type="noConversion"/>
  </si>
  <si>
    <t>충남 아산시 선장면 아산만로 845-29</t>
    <phoneticPr fontId="7" type="noConversion"/>
  </si>
  <si>
    <t>26.08.10</t>
    <phoneticPr fontId="7" type="noConversion"/>
  </si>
  <si>
    <t>배승환</t>
    <phoneticPr fontId="7" type="noConversion"/>
  </si>
  <si>
    <t>임준길</t>
    <phoneticPr fontId="7" type="noConversion"/>
  </si>
  <si>
    <t>성신</t>
    <phoneticPr fontId="7" type="noConversion"/>
  </si>
  <si>
    <t>부산 강서구 공항로533번나길 65</t>
    <phoneticPr fontId="7" type="noConversion"/>
  </si>
  <si>
    <t>SP07-0902</t>
    <phoneticPr fontId="7" type="noConversion"/>
  </si>
  <si>
    <t>그 외</t>
    <phoneticPr fontId="7" type="noConversion"/>
  </si>
  <si>
    <t>직접유입</t>
    <phoneticPr fontId="7" type="noConversion"/>
  </si>
  <si>
    <t>선진</t>
    <phoneticPr fontId="7" type="noConversion"/>
  </si>
  <si>
    <t>경남 사천시 용현면 진삼로 953-6</t>
    <phoneticPr fontId="7" type="noConversion"/>
  </si>
  <si>
    <t>(주)그랜드썬</t>
  </si>
  <si>
    <t>김지훈</t>
    <phoneticPr fontId="7" type="noConversion"/>
  </si>
  <si>
    <t>장광수</t>
    <phoneticPr fontId="7" type="noConversion"/>
  </si>
  <si>
    <t>HD솔루션</t>
    <phoneticPr fontId="7" type="noConversion"/>
  </si>
  <si>
    <t>울산</t>
    <phoneticPr fontId="7" type="noConversion"/>
  </si>
  <si>
    <t>울산 북구 효산1길 29</t>
    <phoneticPr fontId="7" type="noConversion"/>
  </si>
  <si>
    <t>G06-0804</t>
    <phoneticPr fontId="7" type="noConversion"/>
  </si>
  <si>
    <t>그 외</t>
    <phoneticPr fontId="7" type="noConversion"/>
  </si>
  <si>
    <t>외주영업자 이현아</t>
    <phoneticPr fontId="7" type="noConversion"/>
  </si>
  <si>
    <t>공장</t>
    <phoneticPr fontId="7" type="noConversion"/>
  </si>
  <si>
    <t>유지</t>
    <phoneticPr fontId="7" type="noConversion"/>
  </si>
  <si>
    <t>26.08.10</t>
    <phoneticPr fontId="7" type="noConversion"/>
  </si>
  <si>
    <t>26.08.13</t>
    <phoneticPr fontId="7" type="noConversion"/>
  </si>
  <si>
    <t>진으뜸</t>
    <phoneticPr fontId="7" type="noConversion"/>
  </si>
  <si>
    <t>월드2호</t>
    <phoneticPr fontId="7" type="noConversion"/>
  </si>
  <si>
    <t>해든2호</t>
    <phoneticPr fontId="7" type="noConversion"/>
  </si>
  <si>
    <t>배승환</t>
    <phoneticPr fontId="7" type="noConversion"/>
  </si>
  <si>
    <t>김동호</t>
    <phoneticPr fontId="7" type="noConversion"/>
  </si>
  <si>
    <t>경기</t>
    <phoneticPr fontId="7" type="noConversion"/>
  </si>
  <si>
    <t>경기 김포시 하성면 귀전로 187 가동,나동</t>
    <phoneticPr fontId="7" type="noConversion"/>
  </si>
  <si>
    <t>경기 이천시 부발읍 송온리 454 롯데글로벌로지스</t>
    <phoneticPr fontId="7" type="noConversion"/>
  </si>
  <si>
    <t>김종식 전무</t>
    <phoneticPr fontId="7" type="noConversion"/>
  </si>
  <si>
    <t>진으뜸 수석</t>
    <phoneticPr fontId="7" type="noConversion"/>
  </si>
  <si>
    <t>06-1607</t>
    <phoneticPr fontId="7" type="noConversion"/>
  </si>
  <si>
    <t>05-1203</t>
    <phoneticPr fontId="7" type="noConversion"/>
  </si>
  <si>
    <t>창고</t>
    <phoneticPr fontId="7" type="noConversion"/>
  </si>
  <si>
    <t>공장</t>
    <phoneticPr fontId="7" type="noConversion"/>
  </si>
  <si>
    <t>헬리오스 에너지 1(경림)</t>
    <phoneticPr fontId="7" type="noConversion"/>
  </si>
  <si>
    <t>헬리오스 에너지 2</t>
    <phoneticPr fontId="7" type="noConversion"/>
  </si>
  <si>
    <t>헬리오스 에너지3</t>
    <phoneticPr fontId="7" type="noConversion"/>
  </si>
  <si>
    <t>26.08.18</t>
    <phoneticPr fontId="7" type="noConversion"/>
  </si>
  <si>
    <t>용현무</t>
    <phoneticPr fontId="7" type="noConversion"/>
  </si>
  <si>
    <t>최창민</t>
    <phoneticPr fontId="7" type="noConversion"/>
  </si>
  <si>
    <t>DK2호</t>
    <phoneticPr fontId="7" type="noConversion"/>
  </si>
  <si>
    <t>경남</t>
    <phoneticPr fontId="7" type="noConversion"/>
  </si>
  <si>
    <t>김해시 생림면 사촌리 126-1, 125</t>
    <phoneticPr fontId="7" type="noConversion"/>
  </si>
  <si>
    <t>06-1709</t>
  </si>
  <si>
    <t>기존고객</t>
    <phoneticPr fontId="7" type="noConversion"/>
  </si>
  <si>
    <t>공장</t>
    <phoneticPr fontId="7" type="noConversion"/>
  </si>
  <si>
    <t>유지</t>
    <phoneticPr fontId="7" type="noConversion"/>
  </si>
  <si>
    <t>26.08.19</t>
    <phoneticPr fontId="7" type="noConversion"/>
  </si>
  <si>
    <t>김용희</t>
    <phoneticPr fontId="7" type="noConversion"/>
  </si>
  <si>
    <t>진으뜸</t>
    <phoneticPr fontId="7" type="noConversion"/>
  </si>
  <si>
    <t>세광</t>
    <phoneticPr fontId="7" type="noConversion"/>
  </si>
  <si>
    <t>경기</t>
    <phoneticPr fontId="7" type="noConversion"/>
  </si>
  <si>
    <t>경기 남양주시 진건읍 송능리 237-11</t>
    <phoneticPr fontId="7" type="noConversion"/>
  </si>
  <si>
    <t>07-2413</t>
    <phoneticPr fontId="7" type="noConversion"/>
  </si>
  <si>
    <t>직접유입</t>
    <phoneticPr fontId="7" type="noConversion"/>
  </si>
  <si>
    <t>용현무</t>
    <phoneticPr fontId="7" type="noConversion"/>
  </si>
  <si>
    <t>임준길</t>
    <phoneticPr fontId="7" type="noConversion"/>
  </si>
  <si>
    <t>부일공업</t>
    <phoneticPr fontId="7" type="noConversion"/>
  </si>
  <si>
    <t>경남</t>
    <phoneticPr fontId="7" type="noConversion"/>
  </si>
  <si>
    <t>경남 진주시 큰들로65번길 11</t>
    <phoneticPr fontId="7" type="noConversion"/>
  </si>
  <si>
    <t>07-2709</t>
    <phoneticPr fontId="7" type="noConversion"/>
  </si>
  <si>
    <t>그 외</t>
    <phoneticPr fontId="7" type="noConversion"/>
  </si>
  <si>
    <t>직접유입</t>
    <phoneticPr fontId="7" type="noConversion"/>
  </si>
  <si>
    <t>공장</t>
    <phoneticPr fontId="7" type="noConversion"/>
  </si>
  <si>
    <t>유지</t>
    <phoneticPr fontId="7" type="noConversion"/>
  </si>
  <si>
    <t>김지훈</t>
    <phoneticPr fontId="7" type="noConversion"/>
  </si>
  <si>
    <t>장광수</t>
    <phoneticPr fontId="7" type="noConversion"/>
  </si>
  <si>
    <t>서창 중앙</t>
    <phoneticPr fontId="7" type="noConversion"/>
  </si>
  <si>
    <t>경남</t>
    <phoneticPr fontId="7" type="noConversion"/>
  </si>
  <si>
    <t>경남 양산시 서창로 51</t>
    <phoneticPr fontId="7" type="noConversion"/>
  </si>
  <si>
    <t>G07-1508</t>
    <phoneticPr fontId="7" type="noConversion"/>
  </si>
  <si>
    <t>그 외</t>
    <phoneticPr fontId="7" type="noConversion"/>
  </si>
  <si>
    <t>외주영업자 하강우</t>
    <phoneticPr fontId="7" type="noConversion"/>
  </si>
  <si>
    <t>유지</t>
    <phoneticPr fontId="7" type="noConversion"/>
  </si>
  <si>
    <t>26.08.20</t>
    <phoneticPr fontId="7" type="noConversion"/>
  </si>
  <si>
    <t>배승환</t>
    <phoneticPr fontId="7" type="noConversion"/>
  </si>
  <si>
    <t>조성현</t>
    <phoneticPr fontId="7" type="noConversion"/>
  </si>
  <si>
    <t>이화마린</t>
    <phoneticPr fontId="7" type="noConversion"/>
  </si>
  <si>
    <t>부산</t>
    <phoneticPr fontId="7" type="noConversion"/>
  </si>
  <si>
    <t>강서구 화전산단5로 106</t>
    <phoneticPr fontId="7" type="noConversion"/>
  </si>
  <si>
    <t>07-0911</t>
    <phoneticPr fontId="7" type="noConversion"/>
  </si>
  <si>
    <t>그 외</t>
    <phoneticPr fontId="7" type="noConversion"/>
  </si>
  <si>
    <t>직접유입</t>
    <phoneticPr fontId="7" type="noConversion"/>
  </si>
  <si>
    <t>산단</t>
    <phoneticPr fontId="7" type="noConversion"/>
  </si>
  <si>
    <t>유지</t>
    <phoneticPr fontId="7" type="noConversion"/>
  </si>
  <si>
    <t>26.08.21</t>
    <phoneticPr fontId="7" type="noConversion"/>
  </si>
  <si>
    <t>용현무</t>
    <phoneticPr fontId="7" type="noConversion"/>
  </si>
  <si>
    <t>진으뜸</t>
    <phoneticPr fontId="7" type="noConversion"/>
  </si>
  <si>
    <t>선진테크</t>
    <phoneticPr fontId="7" type="noConversion"/>
  </si>
  <si>
    <t>경기</t>
    <phoneticPr fontId="7" type="noConversion"/>
  </si>
  <si>
    <t>경기 화성시 효행구 정남면 안념길 180-18</t>
    <phoneticPr fontId="7" type="noConversion"/>
  </si>
  <si>
    <t>07-2934</t>
    <phoneticPr fontId="7" type="noConversion"/>
  </si>
  <si>
    <t>근생</t>
    <phoneticPr fontId="7" type="noConversion"/>
  </si>
  <si>
    <t>유지</t>
    <phoneticPr fontId="7" type="noConversion"/>
  </si>
  <si>
    <t>26.08.26</t>
    <phoneticPr fontId="7" type="noConversion"/>
  </si>
  <si>
    <t>용현무</t>
    <phoneticPr fontId="7" type="noConversion"/>
  </si>
  <si>
    <t>조성현</t>
    <phoneticPr fontId="7" type="noConversion"/>
  </si>
  <si>
    <t>호제환경산업</t>
    <phoneticPr fontId="7" type="noConversion"/>
  </si>
  <si>
    <t>경남</t>
    <phoneticPr fontId="7" type="noConversion"/>
  </si>
  <si>
    <t>밀양시 하남읍 성만남전로 506</t>
    <phoneticPr fontId="7" type="noConversion"/>
  </si>
  <si>
    <t>08-0506</t>
    <phoneticPr fontId="7" type="noConversion"/>
  </si>
  <si>
    <t>소개</t>
    <phoneticPr fontId="7" type="noConversion"/>
  </si>
  <si>
    <t>대하에코텍</t>
    <phoneticPr fontId="7" type="noConversion"/>
  </si>
  <si>
    <t>26.08.27</t>
  </si>
  <si>
    <t>배승환</t>
    <phoneticPr fontId="7" type="noConversion"/>
  </si>
  <si>
    <t>최창민</t>
    <phoneticPr fontId="7" type="noConversion"/>
  </si>
  <si>
    <t>㈜조일</t>
    <phoneticPr fontId="7" type="noConversion"/>
  </si>
  <si>
    <t>충남</t>
    <phoneticPr fontId="7" type="noConversion"/>
  </si>
  <si>
    <t>충남 예산군 대술면 대술로 656</t>
    <phoneticPr fontId="7" type="noConversion"/>
  </si>
  <si>
    <t>05-2604</t>
  </si>
  <si>
    <t>㈜조일공업</t>
    <phoneticPr fontId="7" type="noConversion"/>
  </si>
  <si>
    <t>공장</t>
    <phoneticPr fontId="7" type="noConversion"/>
  </si>
  <si>
    <t>유지</t>
    <phoneticPr fontId="7" type="noConversion"/>
  </si>
  <si>
    <t>용현무</t>
    <phoneticPr fontId="7" type="noConversion"/>
  </si>
  <si>
    <t>임준길</t>
    <phoneticPr fontId="7" type="noConversion"/>
  </si>
  <si>
    <t>세븐몰</t>
    <phoneticPr fontId="7" type="noConversion"/>
  </si>
  <si>
    <t>부산</t>
    <phoneticPr fontId="7" type="noConversion"/>
  </si>
  <si>
    <t>부산 강서구 대저로221번나길 86-9</t>
    <phoneticPr fontId="7" type="noConversion"/>
  </si>
  <si>
    <t>08-0420</t>
    <phoneticPr fontId="7" type="noConversion"/>
  </si>
  <si>
    <t>그 외</t>
    <phoneticPr fontId="7" type="noConversion"/>
  </si>
  <si>
    <t>직접유입</t>
    <phoneticPr fontId="7" type="noConversion"/>
  </si>
  <si>
    <t>근생</t>
    <phoneticPr fontId="7" type="noConversion"/>
  </si>
  <si>
    <t>유지</t>
    <phoneticPr fontId="7" type="noConversion"/>
  </si>
  <si>
    <t>26.08.31</t>
  </si>
  <si>
    <t>김세종</t>
  </si>
  <si>
    <t>조성현</t>
  </si>
  <si>
    <t>제이원</t>
  </si>
  <si>
    <t>경남 김해시 진례면 송현로 33 (주)풀피앤씨</t>
  </si>
  <si>
    <t>07-2112</t>
  </si>
  <si>
    <t>안전관리자(9832-1441)</t>
  </si>
  <si>
    <t>용현무</t>
    <phoneticPr fontId="7" type="noConversion"/>
  </si>
  <si>
    <t>임준길</t>
    <phoneticPr fontId="7" type="noConversion"/>
  </si>
  <si>
    <t>이지테크</t>
    <phoneticPr fontId="7" type="noConversion"/>
  </si>
  <si>
    <t>충남</t>
    <phoneticPr fontId="7" type="noConversion"/>
  </si>
  <si>
    <t>충남 천안시 서북구 백석공단3길 36</t>
    <phoneticPr fontId="7" type="noConversion"/>
  </si>
  <si>
    <t>16-2410</t>
    <phoneticPr fontId="7" type="noConversion"/>
  </si>
  <si>
    <t>그 외</t>
    <phoneticPr fontId="7" type="noConversion"/>
  </si>
  <si>
    <t>직접유입</t>
    <phoneticPr fontId="7" type="noConversion"/>
  </si>
  <si>
    <t>공장</t>
    <phoneticPr fontId="7" type="noConversion"/>
  </si>
  <si>
    <t>유지</t>
    <phoneticPr fontId="7" type="noConversion"/>
  </si>
  <si>
    <t>1) 이번달 목표용량 : 10.8MW / 수주용량 : 5.8MW(20건) / 달성율 : 54.3%</t>
  </si>
  <si>
    <t>2) 누적 목표용량 : 102.1MW / 수주용량 : 74.4MW(249건) / 달성율 : 72.9%</t>
  </si>
  <si>
    <t xml:space="preserve"> - 컨설팅 및 필드파트 : 4,029kW / 14건 (마케팅 6건, 소개 15건) </t>
  </si>
  <si>
    <t xml:space="preserve">  ① 문의: 경기권 99건, 영남권 96건, 충청권 44건, 호남권 34건, 강원권 11건</t>
  </si>
  <si>
    <t xml:space="preserve">      마케팅 388건-&gt;27건(6.9%), 소개 32건-&gt;10건(31.3%) </t>
  </si>
  <si>
    <t xml:space="preserve">  ② 계약 : 부산 3,283kW 경기 746kW / 직접 741kW, 소개 3,288kW </t>
  </si>
  <si>
    <t xml:space="preserve">  ③ 분석 </t>
  </si>
  <si>
    <t xml:space="preserve">   * 문의건수 지속적인 하락 후 횡보</t>
  </si>
  <si>
    <t xml:space="preserve">   * 건물 대비 토지 문의 비율상승(이격거리 완화 이슈 및 영농형태양광)</t>
  </si>
  <si>
    <t xml:space="preserve">  ④ 향후방향</t>
  </si>
  <si>
    <t xml:space="preserve">   * 자체 교육을 통한 역량증가(썬부루타 및 꼬꼬칠 학습)</t>
  </si>
  <si>
    <t xml:space="preserve">   * AI프로그램 개발 및 한전수전합리화 사업 (RPS + 합리화 사업 SET 상품제안)</t>
  </si>
  <si>
    <t xml:space="preserve">   * 선로부족예상지역 건물지원 및 자가소비 제안 및 선로마감 임박지역 빠른계약독려</t>
  </si>
  <si>
    <t xml:space="preserve"> - 외주파트 : 1,833kW</t>
  </si>
  <si>
    <t xml:space="preserve">  ① 문의: 81건(제안서 및 견적서95건), 6건(계약)  </t>
  </si>
  <si>
    <t xml:space="preserve">  ② 사업형태 : 발전사업5건 1,792kW,임대 0건 0kW, 협력사EPC1건 41.28kW / 3명 파트너스</t>
  </si>
  <si>
    <t xml:space="preserve">   * 4~5월 계약 저조해지다 6월부터 반등하여 8월까지 1.8MW유지중</t>
  </si>
  <si>
    <t xml:space="preserve">   * 계약건수는 적지만 평균용량이 일부 상승하였으나 일부 영업자에 계약집중됨   </t>
  </si>
  <si>
    <t xml:space="preserve">                         </t>
  </si>
  <si>
    <t xml:space="preserve">   * 최근 유입되는 신규영업자들이 많아 양질의 문의건 감소</t>
  </si>
  <si>
    <t xml:space="preserve">  ④ 향후방향 </t>
  </si>
  <si>
    <t xml:space="preserve">   * B등급 파트너스(이현아)미팅동행3건 1.7MW 계약체결 </t>
  </si>
  <si>
    <t xml:space="preserve">   -&gt; 관계성은 있으나 전문성이 부족한 파트너스 미팅동행 적극적으로 진행예정</t>
  </si>
  <si>
    <t xml:space="preserve">   * 파트너스 소통필요 – 사업주 민원건 공정진행 2주 단위 모니터링 진행필요</t>
  </si>
  <si>
    <t xml:space="preserve">   * 금융지원 및 건물지원사업 적정시기 안내 독려 및 3분기 프로모션 진행 4분기에는</t>
  </si>
  <si>
    <t xml:space="preserve">     연말 시상관련 독려 예정(1위 1,000만원, 2위 500만원, 3위 300만원)</t>
  </si>
  <si>
    <t xml:space="preserve"> - 입찰 : -kW</t>
  </si>
  <si>
    <t xml:space="preserve">  ① 문의:  0건 </t>
  </si>
  <si>
    <t xml:space="preserve">  ② 분석 : </t>
  </si>
  <si>
    <t xml:space="preserve">   * 마케팅 전체 유입은 월평균 유지되나, 2월부터 ‘입찰참여요청’ 문의 대폭감소. 8월 문의 전무</t>
  </si>
  <si>
    <t xml:space="preserve">   * 원가산정 및 설계용역 프로세스 – 예가대비 과도한 견적금액 경쟁력저하</t>
    <phoneticPr fontId="7" type="noConversion"/>
  </si>
  <si>
    <t xml:space="preserve">  ③ 향후 방향성</t>
  </si>
  <si>
    <t xml:space="preserve">   * 과거 '입찰예정' 문의 사이트 재 접속/ 향후 계획 소통</t>
    <phoneticPr fontId="7" type="noConversion"/>
  </si>
  <si>
    <t xml:space="preserve">   * 홈페이지 개편 / 입찰 문의 상세경로 확인(인터넷 검색, 소개 등)</t>
    <phoneticPr fontId="7" type="noConversion"/>
  </si>
  <si>
    <t xml:space="preserve">   * 견적산출시 실행금액으로 산출 협업</t>
    <phoneticPr fontId="7" type="noConversion"/>
  </si>
  <si>
    <t>김지훈</t>
    <phoneticPr fontId="7" type="noConversion"/>
  </si>
  <si>
    <t>장광수</t>
    <phoneticPr fontId="7" type="noConversion"/>
  </si>
  <si>
    <t>부산</t>
    <phoneticPr fontId="7" type="noConversion"/>
  </si>
  <si>
    <t>부산 금정구 동천로7번길 34-9</t>
    <phoneticPr fontId="7" type="noConversion"/>
  </si>
  <si>
    <t>G07-2410</t>
    <phoneticPr fontId="7" type="noConversion"/>
  </si>
  <si>
    <t>외주영업자 임춘배</t>
    <phoneticPr fontId="7" type="noConversion"/>
  </si>
  <si>
    <t>26.09.04</t>
  </si>
  <si>
    <t>배승환</t>
  </si>
  <si>
    <t>성우정공</t>
  </si>
  <si>
    <t>부산 사하구 하신중앙로17번길 10</t>
  </si>
  <si>
    <t>04-2002</t>
  </si>
  <si>
    <t>동진정공 조차장</t>
  </si>
  <si>
    <t>용현무</t>
  </si>
  <si>
    <t>우성스틸</t>
  </si>
  <si>
    <t>김해시 대동면 대동산단4로 94-29</t>
  </si>
  <si>
    <t>08-2612</t>
  </si>
  <si>
    <t>(김해시청, 성우정공)</t>
  </si>
  <si>
    <t>외주(나)</t>
    <phoneticPr fontId="7" type="noConversion"/>
  </si>
  <si>
    <t>김지훈</t>
    <phoneticPr fontId="7" type="noConversion"/>
  </si>
  <si>
    <t>장광수</t>
    <phoneticPr fontId="7" type="noConversion"/>
  </si>
  <si>
    <t>(주)태광스틸(에자자)</t>
    <phoneticPr fontId="7" type="noConversion"/>
  </si>
  <si>
    <t>부산</t>
    <phoneticPr fontId="7" type="noConversion"/>
  </si>
  <si>
    <t>부산 강서구 녹산산단381로40번길 11</t>
    <phoneticPr fontId="7" type="noConversion"/>
  </si>
  <si>
    <t>G08-2701</t>
    <phoneticPr fontId="7" type="noConversion"/>
  </si>
  <si>
    <t xml:space="preserve">그 외 </t>
    <phoneticPr fontId="7" type="noConversion"/>
  </si>
  <si>
    <t>공장</t>
    <phoneticPr fontId="7" type="noConversion"/>
  </si>
  <si>
    <t>26.09.09</t>
    <phoneticPr fontId="7" type="noConversion"/>
  </si>
  <si>
    <t>김용희</t>
    <phoneticPr fontId="7" type="noConversion"/>
  </si>
  <si>
    <t>진으뜸</t>
    <phoneticPr fontId="7" type="noConversion"/>
  </si>
  <si>
    <t>충남 천안시 동남구 목천읍 삼성3길 8-61</t>
    <phoneticPr fontId="7" type="noConversion"/>
  </si>
  <si>
    <t>에이치에스이노텍</t>
    <phoneticPr fontId="7" type="noConversion"/>
  </si>
  <si>
    <t>충남</t>
    <phoneticPr fontId="7" type="noConversion"/>
  </si>
  <si>
    <t>sp09-0103</t>
    <phoneticPr fontId="7" type="noConversion"/>
  </si>
  <si>
    <t>직접유입</t>
    <phoneticPr fontId="7" type="noConversion"/>
  </si>
  <si>
    <t>외주영업자 배병수 / 에자자</t>
    <phoneticPr fontId="7" type="noConversion"/>
  </si>
  <si>
    <t>박기돈</t>
    <phoneticPr fontId="7" type="noConversion"/>
  </si>
  <si>
    <t>임준길</t>
    <phoneticPr fontId="7" type="noConversion"/>
  </si>
  <si>
    <t>준사랑</t>
    <phoneticPr fontId="7" type="noConversion"/>
  </si>
  <si>
    <t>부산</t>
    <phoneticPr fontId="7" type="noConversion"/>
  </si>
  <si>
    <t>부산 강서구 공항로743번길 83</t>
    <phoneticPr fontId="7" type="noConversion"/>
  </si>
  <si>
    <t>05-1304</t>
    <phoneticPr fontId="7" type="noConversion"/>
  </si>
  <si>
    <t>직접유입</t>
    <phoneticPr fontId="7" type="noConversion"/>
  </si>
  <si>
    <t>근생</t>
    <phoneticPr fontId="7" type="noConversion"/>
  </si>
  <si>
    <t>유지</t>
    <phoneticPr fontId="7" type="noConversion"/>
  </si>
  <si>
    <t>선식품</t>
    <phoneticPr fontId="7" type="noConversion"/>
  </si>
  <si>
    <t>장광수</t>
    <phoneticPr fontId="7" type="noConversion"/>
  </si>
  <si>
    <t>바론식품</t>
    <phoneticPr fontId="7" type="noConversion"/>
  </si>
  <si>
    <t>부산</t>
    <phoneticPr fontId="7" type="noConversion"/>
  </si>
  <si>
    <t>부산시 기장군 정관읍 산단7로 55</t>
    <phoneticPr fontId="7" type="noConversion"/>
  </si>
  <si>
    <t>G07-0301</t>
    <phoneticPr fontId="7" type="noConversion"/>
  </si>
  <si>
    <t>그 외</t>
    <phoneticPr fontId="7" type="noConversion"/>
  </si>
  <si>
    <t>외주영업자 김성환</t>
    <phoneticPr fontId="7" type="noConversion"/>
  </si>
  <si>
    <t>유지</t>
    <phoneticPr fontId="7" type="noConversion"/>
  </si>
  <si>
    <t>26.09.17</t>
    <phoneticPr fontId="7" type="noConversion"/>
  </si>
  <si>
    <t>동희산업 울산공장</t>
    <phoneticPr fontId="7" type="noConversion"/>
  </si>
  <si>
    <t>울산 남구 처용로 675</t>
    <phoneticPr fontId="7" type="noConversion"/>
  </si>
  <si>
    <t>박지훈</t>
    <phoneticPr fontId="7" type="noConversion"/>
  </si>
  <si>
    <t>어석리</t>
    <phoneticPr fontId="7" type="noConversion"/>
  </si>
  <si>
    <t>경기도 이천시 장호원읍 어석리 103-5,97-7 (건물위)
경기도 이천시 장호원읍 어석리 103-5,97-7 (건물위)</t>
    <phoneticPr fontId="7" type="noConversion"/>
  </si>
  <si>
    <t>커널로그</t>
    <phoneticPr fontId="7" type="noConversion"/>
  </si>
  <si>
    <t>26.09.17</t>
  </si>
  <si>
    <t>김지훈</t>
  </si>
  <si>
    <t>장광수</t>
  </si>
  <si>
    <t>대성</t>
  </si>
  <si>
    <t>경북 경주시 외동읍 문산2산단2로73</t>
  </si>
  <si>
    <t>G07-2901</t>
  </si>
  <si>
    <t>외주영업자 신선수</t>
  </si>
  <si>
    <t>준우에스피</t>
    <phoneticPr fontId="7" type="noConversion"/>
  </si>
  <si>
    <t>07-0608</t>
    <phoneticPr fontId="7" type="noConversion"/>
  </si>
  <si>
    <t>04-0210</t>
    <phoneticPr fontId="7" type="noConversion"/>
  </si>
  <si>
    <t>흥국</t>
    <phoneticPr fontId="7" type="noConversion"/>
  </si>
  <si>
    <t>경기 평택시 포승읍 만호리 584 준우에스피</t>
  </si>
  <si>
    <t>충청남도 아산시 둔포면 아산밸리로 357 (주)흥국</t>
    <phoneticPr fontId="7" type="noConversion"/>
  </si>
  <si>
    <t>최창민, 건물지원사업</t>
    <phoneticPr fontId="7" type="noConversion"/>
  </si>
  <si>
    <t>김지훈</t>
    <phoneticPr fontId="7" type="noConversion"/>
  </si>
  <si>
    <t>장광수</t>
    <phoneticPr fontId="7" type="noConversion"/>
  </si>
  <si>
    <t>엔에이 장유</t>
    <phoneticPr fontId="7" type="noConversion"/>
  </si>
  <si>
    <t>경남</t>
    <phoneticPr fontId="7" type="noConversion"/>
  </si>
  <si>
    <t>경남 김해시 장유로115번길 58-1</t>
    <phoneticPr fontId="7" type="noConversion"/>
  </si>
  <si>
    <t>G06-0403</t>
    <phoneticPr fontId="7" type="noConversion"/>
  </si>
  <si>
    <t>그 외</t>
    <phoneticPr fontId="7" type="noConversion"/>
  </si>
  <si>
    <t>외주영업자 박정우</t>
    <phoneticPr fontId="7" type="noConversion"/>
  </si>
  <si>
    <t>공장</t>
    <phoneticPr fontId="7" type="noConversion"/>
  </si>
  <si>
    <t>26.09.30</t>
    <phoneticPr fontId="7" type="noConversion"/>
  </si>
  <si>
    <t>삼성중공업 거제조선소</t>
    <phoneticPr fontId="7" type="noConversion"/>
  </si>
  <si>
    <t>경남 거제시 장평3로 80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</si>
</sst>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00_-;\-* #,##0.000_-;_-* &quot;-&quot;???_-;_-@_-"/>
    <numFmt numFmtId="178" formatCode="#,##0\ &quot;kW&quot;"/>
    <numFmt numFmtId="179" formatCode="#,##0\ &quot;건&quot;"/>
    <numFmt numFmtId="180" formatCode="#,##0.00\ &quot;억원&quot;"/>
    <numFmt numFmtId="181" formatCode="0\ &quot;월&quot;"/>
    <numFmt numFmtId="182" formatCode="#,##0\ &quot;원&quot;"/>
    <numFmt numFmtId="183" formatCode="#,##0.000\ &quot;kW&quot;"/>
    <numFmt numFmtId="184" formatCode="mm&quot;월&quot;\ dd&quot;일&quot;"/>
    <numFmt numFmtId="185" formatCode="0_);[Red]\(0\)"/>
    <numFmt numFmtId="186" formatCode="#,##0\ &quot;kW&quot;;&quot;-&quot;;&quot;-&quot;"/>
    <numFmt numFmtId="187" formatCode="#,##0\ &quot;건&quot;;&quot;-&quot;;&quot;-&quot;"/>
    <numFmt numFmtId="188" formatCode="#,##0.00\ &quot;억원&quot;;&quot;-&quot;;&quot;-&quot;"/>
    <numFmt numFmtId="189" formatCode="General\ &quot;년&quot;"/>
    <numFmt numFmtId="190" formatCode="General\ &quot;건&quot;"/>
    <numFmt numFmtId="191" formatCode="_-* #,##0_-;\-* #,##0_-;_-* &quot;-&quot;???_-;_-@_-"/>
    <numFmt numFmtId="192" formatCode="#,##0\ &quot;월&quot;"/>
    <numFmt numFmtId="193" formatCode="0.0%"/>
    <numFmt numFmtId="194" formatCode="#,##0_ "/>
    <numFmt numFmtId="195" formatCode="#,##0_);[Red]\(#,##0\)"/>
    <numFmt numFmtId="196" formatCode="_-* #,##0.000_-;\-* #,##0.000_-;_-* &quot;-&quot;_-;_-@_-"/>
    <numFmt numFmtId="197" formatCode="#,##0.##\ &quot;kW&quot;"/>
    <numFmt numFmtId="198" formatCode="0\ &quot;년&quot;"/>
    <numFmt numFmtId="199" formatCode="yy\.mm\.dd"/>
    <numFmt numFmtId="200" formatCode="000"/>
    <numFmt numFmtId="201" formatCode="00#"/>
    <numFmt numFmtId="202" formatCode="#,##0.00\ &quot;MW&quot;"/>
    <numFmt numFmtId="203" formatCode="General\ &quot;월&quot;"/>
    <numFmt numFmtId="204" formatCode="0&quot;월 계약내용&quot;"/>
    <numFmt numFmtId="205" formatCode="0&quot;월 실적현황&quot;"/>
    <numFmt numFmtId="206" formatCode="General&quot;명&quot;"/>
    <numFmt numFmtId="207" formatCode="_-* #,##0&quot; kW&quot;_-;\-* #,##0&quot; kW&quot;_-;_-* &quot;-&quot;_-;_-@_-"/>
  </numFmts>
  <fonts count="69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u/>
      <sz val="36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rgb="FFC00000"/>
      <name val="맑은 고딕"/>
      <family val="3"/>
      <charset val="129"/>
      <scheme val="minor"/>
    </font>
    <font>
      <b/>
      <sz val="16"/>
      <color rgb="FF0070C0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1"/>
      <color rgb="FF0000FF"/>
      <name val="Calibri"/>
      <family val="2"/>
    </font>
    <font>
      <sz val="11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rgb="FF0000FF"/>
      <name val="Calibri"/>
      <family val="3"/>
      <charset val="129"/>
    </font>
    <font>
      <sz val="12"/>
      <color rgb="FFFF0000"/>
      <name val="맑은 고딕"/>
      <family val="2"/>
      <charset val="129"/>
      <scheme val="minor"/>
    </font>
    <font>
      <sz val="14"/>
      <color theme="2" tint="-0.89999084444715716"/>
      <name val="페이퍼로지 5 Medium"/>
      <family val="3"/>
      <charset val="129"/>
    </font>
    <font>
      <sz val="24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24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24"/>
      <color theme="1"/>
      <name val="맑은 고딕"/>
      <family val="2"/>
      <charset val="129"/>
      <scheme val="minor"/>
    </font>
    <font>
      <sz val="24"/>
      <color rgb="FF000000"/>
      <name val="맑은 고딕"/>
      <family val="3"/>
      <charset val="129"/>
      <scheme val="minor"/>
    </font>
    <font>
      <sz val="24"/>
      <color rgb="FF000000"/>
      <name val="맑은 고딕"/>
      <family val="3"/>
      <charset val="129"/>
      <scheme val="major"/>
    </font>
    <font>
      <sz val="24"/>
      <color rgb="FF000000"/>
      <name val="함초롬바탕"/>
      <family val="1"/>
      <charset val="129"/>
    </font>
    <font>
      <sz val="24"/>
      <color rgb="FFFFFFFF"/>
      <name val="맑은 고딕"/>
      <family val="3"/>
      <charset val="129"/>
      <scheme val="major"/>
    </font>
    <font>
      <sz val="24"/>
      <color theme="1"/>
      <name val="맑은 고딕"/>
      <family val="3"/>
      <charset val="129"/>
      <scheme val="major"/>
    </font>
    <font>
      <sz val="20"/>
      <color rgb="FF000000"/>
      <name val="맑은 고딕"/>
      <family val="3"/>
      <charset val="129"/>
      <scheme val="major"/>
    </font>
    <font>
      <sz val="20"/>
      <color rgb="FFFFFFFF"/>
      <name val="맑은 고딕"/>
      <family val="3"/>
      <charset val="129"/>
      <scheme val="major"/>
    </font>
    <font>
      <sz val="20"/>
      <color theme="0"/>
      <name val="맑은 고딕"/>
      <family val="3"/>
      <charset val="129"/>
      <scheme val="major"/>
    </font>
    <font>
      <sz val="24"/>
      <color theme="0"/>
      <name val="맑은 고딕"/>
      <family val="3"/>
      <charset val="129"/>
      <scheme val="major"/>
    </font>
    <font>
      <b/>
      <sz val="22"/>
      <color theme="1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1499679555650502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/>
      <bottom style="thin">
        <color theme="0" tint="-0.24994659260841701"/>
      </bottom>
      <diagonal/>
    </border>
    <border>
      <left/>
      <right/>
      <top style="medium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theme="0" tint="-0.1499679555650502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>
      <alignment horizontal="center" vertical="center"/>
    </xf>
    <xf numFmtId="41" fontId="8" fillId="0" borderId="0" applyFont="0" applyFill="0" applyBorder="0" applyAlignment="0" applyProtection="0">
      <alignment vertical="center"/>
    </xf>
    <xf numFmtId="0" fontId="13" fillId="2" borderId="0" applyNumberFormat="0" applyBorder="0" applyProtection="0">
      <alignment horizontal="center" vertical="center"/>
    </xf>
    <xf numFmtId="0" fontId="14" fillId="0" borderId="0"/>
    <xf numFmtId="9" fontId="12" fillId="0" borderId="0" applyFont="0" applyFill="0" applyBorder="0" applyAlignment="0" applyProtection="0">
      <alignment vertical="center"/>
    </xf>
  </cellStyleXfs>
  <cellXfs count="497">
    <xf numFmtId="0" fontId="0" fillId="0" borderId="0" xfId="0">
      <alignment horizontal="center" vertical="center"/>
    </xf>
    <xf numFmtId="0" fontId="16" fillId="3" borderId="5" xfId="0" applyFont="1" applyFill="1" applyBorder="1">
      <alignment horizontal="center" vertical="center"/>
    </xf>
    <xf numFmtId="41" fontId="0" fillId="0" borderId="0" xfId="0" applyNumberFormat="1">
      <alignment horizontal="center" vertical="center"/>
    </xf>
    <xf numFmtId="177" fontId="0" fillId="0" borderId="0" xfId="0" applyNumberFormat="1">
      <alignment horizontal="center" vertical="center"/>
    </xf>
    <xf numFmtId="41" fontId="0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>
      <alignment horizontal="center" vertical="center"/>
    </xf>
    <xf numFmtId="41" fontId="15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1" fontId="0" fillId="0" borderId="0" xfId="0" applyNumberFormat="1" applyAlignment="1">
      <alignment horizontal="center" vertical="center" wrapText="1"/>
    </xf>
    <xf numFmtId="0" fontId="9" fillId="0" borderId="19" xfId="0" applyFont="1" applyBorder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41" fontId="9" fillId="0" borderId="19" xfId="1" applyFont="1" applyFill="1" applyBorder="1" applyAlignment="1">
      <alignment horizontal="center" vertical="center" wrapText="1"/>
    </xf>
    <xf numFmtId="0" fontId="9" fillId="0" borderId="20" xfId="0" applyFont="1" applyBorder="1">
      <alignment horizontal="center" vertical="center"/>
    </xf>
    <xf numFmtId="0" fontId="9" fillId="0" borderId="26" xfId="0" applyFont="1" applyBorder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>
      <alignment horizontal="center" vertical="center"/>
    </xf>
    <xf numFmtId="14" fontId="9" fillId="0" borderId="27" xfId="0" applyNumberFormat="1" applyFont="1" applyBorder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/>
    </xf>
    <xf numFmtId="0" fontId="9" fillId="0" borderId="30" xfId="0" applyFont="1" applyBorder="1">
      <alignment horizontal="center" vertical="center"/>
    </xf>
    <xf numFmtId="0" fontId="0" fillId="0" borderId="28" xfId="0" applyBorder="1" applyAlignment="1">
      <alignment horizontal="left" vertical="center" wrapText="1"/>
    </xf>
    <xf numFmtId="0" fontId="16" fillId="3" borderId="3" xfId="0" applyFont="1" applyFill="1" applyBorder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0" xfId="0" applyFont="1" applyAlignment="1">
      <alignment vertical="center"/>
    </xf>
    <xf numFmtId="41" fontId="19" fillId="0" borderId="0" xfId="1" applyFont="1" applyAlignment="1">
      <alignment vertical="center"/>
    </xf>
    <xf numFmtId="0" fontId="22" fillId="0" borderId="28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23" fillId="0" borderId="0" xfId="0" applyFont="1">
      <alignment horizontal="center" vertical="center"/>
    </xf>
    <xf numFmtId="0" fontId="0" fillId="6" borderId="38" xfId="0" applyFill="1" applyBorder="1">
      <alignment horizontal="center" vertical="center"/>
    </xf>
    <xf numFmtId="176" fontId="15" fillId="0" borderId="0" xfId="1" applyNumberFormat="1" applyFont="1" applyFill="1" applyBorder="1" applyAlignment="1">
      <alignment horizontal="center" vertical="center"/>
    </xf>
    <xf numFmtId="176" fontId="9" fillId="0" borderId="19" xfId="1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6" fontId="0" fillId="0" borderId="0" xfId="1" applyNumberFormat="1" applyFont="1" applyFill="1" applyBorder="1" applyAlignment="1">
      <alignment horizontal="center" vertical="center"/>
    </xf>
    <xf numFmtId="41" fontId="9" fillId="0" borderId="19" xfId="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177" fontId="0" fillId="6" borderId="6" xfId="1" applyNumberFormat="1" applyFont="1" applyFill="1" applyBorder="1" applyAlignment="1">
      <alignment horizontal="center" vertical="center"/>
    </xf>
    <xf numFmtId="0" fontId="27" fillId="0" borderId="0" xfId="0" applyFont="1">
      <alignment horizontal="center" vertical="center"/>
    </xf>
    <xf numFmtId="0" fontId="28" fillId="0" borderId="0" xfId="0" applyFont="1">
      <alignment horizontal="center" vertical="center"/>
    </xf>
    <xf numFmtId="0" fontId="0" fillId="6" borderId="43" xfId="0" applyFill="1" applyBorder="1">
      <alignment horizontal="center" vertical="center"/>
    </xf>
    <xf numFmtId="0" fontId="30" fillId="0" borderId="0" xfId="0" applyFont="1" applyAlignment="1">
      <alignment vertical="center"/>
    </xf>
    <xf numFmtId="0" fontId="10" fillId="0" borderId="28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0" fillId="0" borderId="56" xfId="0" applyBorder="1">
      <alignment horizontal="center" vertical="center"/>
    </xf>
    <xf numFmtId="0" fontId="0" fillId="0" borderId="15" xfId="0" applyBorder="1">
      <alignment horizontal="center" vertical="center"/>
    </xf>
    <xf numFmtId="0" fontId="0" fillId="0" borderId="57" xfId="0" applyBorder="1">
      <alignment horizontal="center" vertical="center"/>
    </xf>
    <xf numFmtId="0" fontId="0" fillId="0" borderId="47" xfId="0" applyBorder="1">
      <alignment horizontal="center" vertical="center"/>
    </xf>
    <xf numFmtId="0" fontId="0" fillId="0" borderId="28" xfId="0" applyBorder="1">
      <alignment horizontal="center" vertical="center"/>
    </xf>
    <xf numFmtId="183" fontId="0" fillId="0" borderId="0" xfId="0" applyNumberFormat="1">
      <alignment horizontal="center" vertical="center"/>
    </xf>
    <xf numFmtId="190" fontId="0" fillId="0" borderId="0" xfId="0" applyNumberFormat="1">
      <alignment horizontal="center" vertical="center"/>
    </xf>
    <xf numFmtId="190" fontId="0" fillId="0" borderId="24" xfId="0" applyNumberFormat="1" applyBorder="1">
      <alignment horizontal="center" vertical="center"/>
    </xf>
    <xf numFmtId="190" fontId="0" fillId="0" borderId="57" xfId="0" applyNumberFormat="1" applyBorder="1">
      <alignment horizontal="center" vertical="center"/>
    </xf>
    <xf numFmtId="183" fontId="0" fillId="0" borderId="31" xfId="0" applyNumberFormat="1" applyBorder="1">
      <alignment horizontal="center" vertical="center"/>
    </xf>
    <xf numFmtId="182" fontId="0" fillId="0" borderId="31" xfId="0" applyNumberFormat="1" applyBorder="1">
      <alignment horizontal="center" vertical="center"/>
    </xf>
    <xf numFmtId="190" fontId="0" fillId="0" borderId="31" xfId="0" applyNumberFormat="1" applyBorder="1">
      <alignment horizontal="center" vertical="center"/>
    </xf>
    <xf numFmtId="190" fontId="0" fillId="0" borderId="30" xfId="0" applyNumberFormat="1" applyBorder="1">
      <alignment horizontal="center" vertical="center"/>
    </xf>
    <xf numFmtId="183" fontId="0" fillId="0" borderId="52" xfId="0" applyNumberFormat="1" applyBorder="1">
      <alignment horizontal="center" vertical="center"/>
    </xf>
    <xf numFmtId="190" fontId="0" fillId="0" borderId="54" xfId="0" applyNumberFormat="1" applyBorder="1">
      <alignment horizontal="center" vertical="center"/>
    </xf>
    <xf numFmtId="183" fontId="0" fillId="0" borderId="55" xfId="0" applyNumberFormat="1" applyBorder="1">
      <alignment horizontal="center" vertical="center"/>
    </xf>
    <xf numFmtId="183" fontId="0" fillId="0" borderId="56" xfId="0" applyNumberFormat="1" applyBorder="1">
      <alignment horizontal="center" vertical="center"/>
    </xf>
    <xf numFmtId="183" fontId="0" fillId="0" borderId="47" xfId="0" applyNumberFormat="1" applyBorder="1">
      <alignment horizontal="center" vertical="center"/>
    </xf>
    <xf numFmtId="177" fontId="35" fillId="6" borderId="2" xfId="1" applyNumberFormat="1" applyFont="1" applyFill="1" applyBorder="1" applyAlignment="1">
      <alignment horizontal="center" vertical="center"/>
    </xf>
    <xf numFmtId="0" fontId="9" fillId="0" borderId="31" xfId="0" applyFont="1" applyBorder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23" fillId="0" borderId="0" xfId="0" applyNumberFormat="1" applyFont="1">
      <alignment horizontal="center" vertical="center"/>
    </xf>
    <xf numFmtId="49" fontId="9" fillId="0" borderId="31" xfId="0" applyNumberFormat="1" applyFont="1" applyBorder="1">
      <alignment horizontal="center" vertical="center"/>
    </xf>
    <xf numFmtId="49" fontId="0" fillId="0" borderId="0" xfId="0" applyNumberFormat="1">
      <alignment horizontal="center" vertical="center"/>
    </xf>
    <xf numFmtId="177" fontId="27" fillId="4" borderId="13" xfId="0" applyNumberFormat="1" applyFont="1" applyFill="1" applyBorder="1" applyAlignment="1">
      <alignment horizontal="center" vertical="center" wrapText="1"/>
    </xf>
    <xf numFmtId="177" fontId="27" fillId="8" borderId="13" xfId="0" applyNumberFormat="1" applyFont="1" applyFill="1" applyBorder="1" applyAlignment="1">
      <alignment horizontal="center" vertical="center" wrapText="1"/>
    </xf>
    <xf numFmtId="177" fontId="27" fillId="7" borderId="13" xfId="0" applyNumberFormat="1" applyFont="1" applyFill="1" applyBorder="1" applyAlignment="1">
      <alignment horizontal="center" vertical="center" wrapText="1"/>
    </xf>
    <xf numFmtId="41" fontId="15" fillId="0" borderId="0" xfId="1" applyFont="1" applyAlignment="1">
      <alignment horizontal="left" vertical="center"/>
    </xf>
    <xf numFmtId="177" fontId="36" fillId="0" borderId="0" xfId="0" applyNumberFormat="1" applyFont="1" applyAlignment="1">
      <alignment horizontal="left" vertical="center"/>
    </xf>
    <xf numFmtId="0" fontId="0" fillId="6" borderId="60" xfId="0" applyFill="1" applyBorder="1" applyAlignment="1">
      <alignment horizontal="center" vertical="center" wrapText="1"/>
    </xf>
    <xf numFmtId="0" fontId="0" fillId="6" borderId="60" xfId="0" applyFill="1" applyBorder="1">
      <alignment horizontal="center" vertical="center"/>
    </xf>
    <xf numFmtId="0" fontId="0" fillId="0" borderId="58" xfId="0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0" fillId="6" borderId="61" xfId="0" applyFill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184" fontId="10" fillId="0" borderId="28" xfId="0" applyNumberFormat="1" applyFont="1" applyBorder="1" applyAlignment="1">
      <alignment horizontal="center" vertical="center" wrapText="1"/>
    </xf>
    <xf numFmtId="0" fontId="14" fillId="0" borderId="28" xfId="0" applyFont="1" applyBorder="1">
      <alignment horizontal="center" vertical="center"/>
    </xf>
    <xf numFmtId="0" fontId="30" fillId="0" borderId="0" xfId="0" applyFont="1">
      <alignment horizontal="center" vertical="center"/>
    </xf>
    <xf numFmtId="177" fontId="6" fillId="0" borderId="31" xfId="0" applyNumberFormat="1" applyFont="1" applyBorder="1">
      <alignment horizontal="center" vertical="center"/>
    </xf>
    <xf numFmtId="185" fontId="6" fillId="0" borderId="31" xfId="0" applyNumberFormat="1" applyFont="1" applyBorder="1">
      <alignment horizontal="center" vertical="center"/>
    </xf>
    <xf numFmtId="43" fontId="6" fillId="0" borderId="31" xfId="0" applyNumberFormat="1" applyFont="1" applyBorder="1">
      <alignment horizontal="center" vertical="center"/>
    </xf>
    <xf numFmtId="43" fontId="6" fillId="0" borderId="30" xfId="0" applyNumberFormat="1" applyFont="1" applyBorder="1">
      <alignment horizontal="center" vertical="center"/>
    </xf>
    <xf numFmtId="0" fontId="0" fillId="0" borderId="35" xfId="0" applyBorder="1">
      <alignment horizontal="center" vertical="center"/>
    </xf>
    <xf numFmtId="0" fontId="0" fillId="0" borderId="41" xfId="0" applyBorder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4" borderId="62" xfId="0" applyFill="1" applyBorder="1" applyAlignment="1">
      <alignment horizontal="center" vertical="center" wrapText="1"/>
    </xf>
    <xf numFmtId="0" fontId="0" fillId="0" borderId="40" xfId="0" applyBorder="1">
      <alignment horizontal="center" vertical="center"/>
    </xf>
    <xf numFmtId="177" fontId="0" fillId="4" borderId="39" xfId="1" applyNumberFormat="1" applyFont="1" applyFill="1" applyBorder="1" applyAlignment="1">
      <alignment horizontal="center" vertical="center"/>
    </xf>
    <xf numFmtId="0" fontId="0" fillId="0" borderId="50" xfId="0" applyBorder="1">
      <alignment horizontal="center" vertical="center"/>
    </xf>
    <xf numFmtId="184" fontId="0" fillId="0" borderId="49" xfId="0" applyNumberFormat="1" applyBorder="1">
      <alignment horizontal="center" vertical="center"/>
    </xf>
    <xf numFmtId="0" fontId="0" fillId="0" borderId="49" xfId="0" applyBorder="1">
      <alignment horizontal="center" vertical="center"/>
    </xf>
    <xf numFmtId="0" fontId="0" fillId="4" borderId="63" xfId="0" applyFill="1" applyBorder="1">
      <alignment horizontal="center" vertical="center"/>
    </xf>
    <xf numFmtId="0" fontId="5" fillId="0" borderId="50" xfId="0" applyFont="1" applyBorder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4" borderId="63" xfId="0" applyFill="1" applyBorder="1" applyAlignment="1">
      <alignment horizontal="center" vertical="center" wrapText="1"/>
    </xf>
    <xf numFmtId="0" fontId="0" fillId="0" borderId="48" xfId="0" applyBorder="1">
      <alignment horizontal="center" vertical="center"/>
    </xf>
    <xf numFmtId="0" fontId="0" fillId="0" borderId="26" xfId="0" applyBorder="1">
      <alignment horizontal="center" vertical="center"/>
    </xf>
    <xf numFmtId="177" fontId="35" fillId="6" borderId="40" xfId="1" applyNumberFormat="1" applyFont="1" applyFill="1" applyBorder="1" applyAlignment="1">
      <alignment horizontal="center" vertical="center"/>
    </xf>
    <xf numFmtId="177" fontId="0" fillId="4" borderId="67" xfId="1" applyNumberFormat="1" applyFont="1" applyFill="1" applyBorder="1" applyAlignment="1">
      <alignment horizontal="center" vertical="center"/>
    </xf>
    <xf numFmtId="0" fontId="20" fillId="0" borderId="59" xfId="0" applyFont="1" applyBorder="1">
      <alignment horizontal="center" vertical="center"/>
    </xf>
    <xf numFmtId="177" fontId="37" fillId="4" borderId="32" xfId="0" applyNumberFormat="1" applyFont="1" applyFill="1" applyBorder="1" applyAlignment="1">
      <alignment horizontal="center" vertical="center" wrapText="1"/>
    </xf>
    <xf numFmtId="177" fontId="27" fillId="4" borderId="51" xfId="0" applyNumberFormat="1" applyFont="1" applyFill="1" applyBorder="1" applyAlignment="1">
      <alignment horizontal="center" vertical="center" wrapText="1"/>
    </xf>
    <xf numFmtId="177" fontId="27" fillId="4" borderId="68" xfId="0" applyNumberFormat="1" applyFont="1" applyFill="1" applyBorder="1" applyAlignment="1">
      <alignment horizontal="center" vertical="center" wrapText="1"/>
    </xf>
    <xf numFmtId="177" fontId="38" fillId="7" borderId="32" xfId="0" applyNumberFormat="1" applyFont="1" applyFill="1" applyBorder="1" applyAlignment="1">
      <alignment horizontal="center" vertical="center" wrapText="1"/>
    </xf>
    <xf numFmtId="177" fontId="27" fillId="7" borderId="51" xfId="0" applyNumberFormat="1" applyFont="1" applyFill="1" applyBorder="1" applyAlignment="1">
      <alignment horizontal="center" vertical="center" wrapText="1"/>
    </xf>
    <xf numFmtId="191" fontId="37" fillId="8" borderId="33" xfId="0" applyNumberFormat="1" applyFont="1" applyFill="1" applyBorder="1" applyAlignment="1">
      <alignment horizontal="center" vertical="center" wrapText="1"/>
    </xf>
    <xf numFmtId="191" fontId="27" fillId="8" borderId="51" xfId="0" applyNumberFormat="1" applyFont="1" applyFill="1" applyBorder="1" applyAlignment="1">
      <alignment horizontal="center" vertical="center" wrapText="1"/>
    </xf>
    <xf numFmtId="191" fontId="27" fillId="8" borderId="34" xfId="0" applyNumberFormat="1" applyFont="1" applyFill="1" applyBorder="1" applyAlignment="1">
      <alignment horizontal="center" vertical="center" wrapText="1"/>
    </xf>
    <xf numFmtId="191" fontId="0" fillId="6" borderId="17" xfId="1" applyNumberFormat="1" applyFont="1" applyFill="1" applyBorder="1" applyAlignment="1">
      <alignment horizontal="center" vertical="center"/>
    </xf>
    <xf numFmtId="191" fontId="35" fillId="6" borderId="2" xfId="1" applyNumberFormat="1" applyFont="1" applyFill="1" applyBorder="1" applyAlignment="1">
      <alignment horizontal="center" vertical="center"/>
    </xf>
    <xf numFmtId="191" fontId="35" fillId="6" borderId="7" xfId="1" applyNumberFormat="1" applyFont="1" applyFill="1" applyBorder="1" applyAlignment="1">
      <alignment horizontal="center" vertical="center"/>
    </xf>
    <xf numFmtId="191" fontId="0" fillId="4" borderId="12" xfId="1" applyNumberFormat="1" applyFont="1" applyFill="1" applyBorder="1" applyAlignment="1">
      <alignment horizontal="center" vertical="center"/>
    </xf>
    <xf numFmtId="191" fontId="0" fillId="4" borderId="39" xfId="1" applyNumberFormat="1" applyFont="1" applyFill="1" applyBorder="1" applyAlignment="1">
      <alignment horizontal="center" vertical="center"/>
    </xf>
    <xf numFmtId="191" fontId="0" fillId="4" borderId="65" xfId="1" applyNumberFormat="1" applyFont="1" applyFill="1" applyBorder="1" applyAlignment="1">
      <alignment horizontal="center" vertical="center"/>
    </xf>
    <xf numFmtId="191" fontId="6" fillId="0" borderId="47" xfId="0" applyNumberFormat="1" applyFont="1" applyBorder="1">
      <alignment horizontal="center" vertical="center"/>
    </xf>
    <xf numFmtId="191" fontId="6" fillId="0" borderId="31" xfId="0" applyNumberFormat="1" applyFont="1" applyBorder="1">
      <alignment horizontal="center" vertical="center"/>
    </xf>
    <xf numFmtId="191" fontId="6" fillId="0" borderId="30" xfId="0" applyNumberFormat="1" applyFont="1" applyBorder="1">
      <alignment horizontal="center" vertical="center"/>
    </xf>
    <xf numFmtId="191" fontId="0" fillId="0" borderId="0" xfId="0" applyNumberFormat="1">
      <alignment horizontal="center" vertical="center"/>
    </xf>
    <xf numFmtId="177" fontId="0" fillId="6" borderId="29" xfId="1" applyNumberFormat="1" applyFont="1" applyFill="1" applyBorder="1" applyAlignment="1">
      <alignment horizontal="center" vertical="center"/>
    </xf>
    <xf numFmtId="177" fontId="18" fillId="7" borderId="39" xfId="0" applyNumberFormat="1" applyFont="1" applyFill="1" applyBorder="1" applyAlignment="1">
      <alignment horizontal="center" vertical="center" wrapText="1"/>
    </xf>
    <xf numFmtId="177" fontId="20" fillId="8" borderId="12" xfId="0" applyNumberFormat="1" applyFont="1" applyFill="1" applyBorder="1" applyAlignment="1">
      <alignment horizontal="center" vertical="center" wrapText="1"/>
    </xf>
    <xf numFmtId="177" fontId="27" fillId="8" borderId="14" xfId="0" applyNumberFormat="1" applyFont="1" applyFill="1" applyBorder="1" applyAlignment="1">
      <alignment horizontal="center" vertical="center" wrapText="1"/>
    </xf>
    <xf numFmtId="177" fontId="0" fillId="6" borderId="17" xfId="1" applyNumberFormat="1" applyFont="1" applyFill="1" applyBorder="1" applyAlignment="1">
      <alignment horizontal="center" vertical="center"/>
    </xf>
    <xf numFmtId="177" fontId="0" fillId="6" borderId="69" xfId="1" applyNumberFormat="1" applyFont="1" applyFill="1" applyBorder="1" applyAlignment="1">
      <alignment horizontal="center" vertical="center"/>
    </xf>
    <xf numFmtId="177" fontId="20" fillId="4" borderId="12" xfId="0" applyNumberFormat="1" applyFont="1" applyFill="1" applyBorder="1" applyAlignment="1">
      <alignment horizontal="center" vertical="center" wrapText="1"/>
    </xf>
    <xf numFmtId="177" fontId="27" fillId="4" borderId="14" xfId="0" applyNumberFormat="1" applyFont="1" applyFill="1" applyBorder="1" applyAlignment="1">
      <alignment horizontal="center" vertical="center" wrapText="1"/>
    </xf>
    <xf numFmtId="0" fontId="20" fillId="0" borderId="63" xfId="0" applyFont="1" applyBorder="1">
      <alignment horizontal="center" vertical="center"/>
    </xf>
    <xf numFmtId="177" fontId="0" fillId="4" borderId="25" xfId="1" applyNumberFormat="1" applyFont="1" applyFill="1" applyBorder="1" applyAlignment="1">
      <alignment horizontal="center" vertical="center"/>
    </xf>
    <xf numFmtId="177" fontId="0" fillId="4" borderId="0" xfId="1" applyNumberFormat="1" applyFont="1" applyFill="1" applyBorder="1" applyAlignment="1">
      <alignment horizontal="center" vertical="center"/>
    </xf>
    <xf numFmtId="177" fontId="0" fillId="4" borderId="24" xfId="1" applyNumberFormat="1" applyFont="1" applyFill="1" applyBorder="1" applyAlignment="1">
      <alignment horizontal="center" vertical="center"/>
    </xf>
    <xf numFmtId="177" fontId="0" fillId="6" borderId="21" xfId="1" applyNumberFormat="1" applyFont="1" applyFill="1" applyBorder="1" applyAlignment="1">
      <alignment horizontal="center" vertical="center"/>
    </xf>
    <xf numFmtId="177" fontId="0" fillId="6" borderId="37" xfId="1" applyNumberFormat="1" applyFont="1" applyFill="1" applyBorder="1" applyAlignment="1">
      <alignment horizontal="center" vertical="center"/>
    </xf>
    <xf numFmtId="177" fontId="0" fillId="6" borderId="36" xfId="1" applyNumberFormat="1" applyFont="1" applyFill="1" applyBorder="1" applyAlignment="1">
      <alignment horizontal="center" vertical="center"/>
    </xf>
    <xf numFmtId="177" fontId="0" fillId="6" borderId="64" xfId="1" applyNumberFormat="1" applyFont="1" applyFill="1" applyBorder="1" applyAlignment="1">
      <alignment horizontal="center" vertical="center"/>
    </xf>
    <xf numFmtId="177" fontId="0" fillId="4" borderId="33" xfId="1" applyNumberFormat="1" applyFont="1" applyFill="1" applyBorder="1" applyAlignment="1">
      <alignment horizontal="center" vertical="center"/>
    </xf>
    <xf numFmtId="177" fontId="0" fillId="4" borderId="32" xfId="1" applyNumberFormat="1" applyFont="1" applyFill="1" applyBorder="1" applyAlignment="1">
      <alignment horizontal="center" vertical="center"/>
    </xf>
    <xf numFmtId="177" fontId="0" fillId="4" borderId="15" xfId="1" applyNumberFormat="1" applyFont="1" applyFill="1" applyBorder="1" applyAlignment="1">
      <alignment horizontal="center" vertical="center"/>
    </xf>
    <xf numFmtId="177" fontId="0" fillId="4" borderId="57" xfId="1" applyNumberFormat="1" applyFont="1" applyFill="1" applyBorder="1" applyAlignment="1">
      <alignment horizontal="center" vertical="center"/>
    </xf>
    <xf numFmtId="177" fontId="27" fillId="7" borderId="14" xfId="0" applyNumberFormat="1" applyFont="1" applyFill="1" applyBorder="1" applyAlignment="1">
      <alignment horizontal="center" vertical="center" wrapText="1"/>
    </xf>
    <xf numFmtId="0" fontId="0" fillId="0" borderId="71" xfId="0" applyBorder="1">
      <alignment horizontal="center" vertical="center"/>
    </xf>
    <xf numFmtId="0" fontId="0" fillId="0" borderId="72" xfId="0" applyBorder="1">
      <alignment horizontal="center" vertical="center"/>
    </xf>
    <xf numFmtId="0" fontId="0" fillId="0" borderId="73" xfId="0" applyBorder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192" fontId="0" fillId="0" borderId="76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192" fontId="0" fillId="0" borderId="78" xfId="0" applyNumberFormat="1" applyBorder="1" applyAlignment="1">
      <alignment horizontal="center" vertical="center" wrapText="1"/>
    </xf>
    <xf numFmtId="181" fontId="0" fillId="0" borderId="26" xfId="0" applyNumberFormat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9" fontId="0" fillId="4" borderId="26" xfId="4" applyFont="1" applyFill="1" applyBorder="1" applyAlignment="1">
      <alignment horizontal="center" vertical="center" wrapText="1"/>
    </xf>
    <xf numFmtId="9" fontId="0" fillId="0" borderId="26" xfId="4" applyFont="1" applyBorder="1" applyAlignment="1">
      <alignment horizontal="center" vertical="center" wrapText="1"/>
    </xf>
    <xf numFmtId="0" fontId="0" fillId="4" borderId="44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78" fontId="0" fillId="0" borderId="0" xfId="0" applyNumberFormat="1">
      <alignment horizontal="center" vertical="center"/>
    </xf>
    <xf numFmtId="177" fontId="0" fillId="4" borderId="12" xfId="1" applyNumberFormat="1" applyFont="1" applyFill="1" applyBorder="1" applyAlignment="1">
      <alignment horizontal="center" vertical="center"/>
    </xf>
    <xf numFmtId="0" fontId="39" fillId="0" borderId="0" xfId="0" applyFont="1">
      <alignment horizontal="center" vertical="center"/>
    </xf>
    <xf numFmtId="0" fontId="31" fillId="0" borderId="0" xfId="0" applyFont="1">
      <alignment horizontal="center" vertical="center"/>
    </xf>
    <xf numFmtId="3" fontId="39" fillId="0" borderId="0" xfId="0" applyNumberFormat="1" applyFont="1">
      <alignment horizontal="center" vertical="center"/>
    </xf>
    <xf numFmtId="41" fontId="0" fillId="0" borderId="0" xfId="1" applyFont="1" applyBorder="1" applyAlignment="1">
      <alignment horizontal="left" vertical="center"/>
    </xf>
    <xf numFmtId="0" fontId="0" fillId="0" borderId="58" xfId="0" applyBorder="1">
      <alignment horizontal="center" vertical="center"/>
    </xf>
    <xf numFmtId="0" fontId="0" fillId="0" borderId="59" xfId="0" applyBorder="1">
      <alignment horizontal="center" vertical="center"/>
    </xf>
    <xf numFmtId="180" fontId="0" fillId="0" borderId="0" xfId="0" applyNumberFormat="1">
      <alignment horizontal="center" vertical="center"/>
    </xf>
    <xf numFmtId="180" fontId="0" fillId="0" borderId="31" xfId="0" applyNumberFormat="1" applyBorder="1">
      <alignment horizontal="center" vertical="center"/>
    </xf>
    <xf numFmtId="10" fontId="21" fillId="0" borderId="26" xfId="4" applyNumberFormat="1" applyFont="1" applyBorder="1" applyAlignment="1">
      <alignment horizontal="center" vertical="center"/>
    </xf>
    <xf numFmtId="180" fontId="0" fillId="0" borderId="53" xfId="0" applyNumberFormat="1" applyBorder="1">
      <alignment horizontal="center" vertical="center"/>
    </xf>
    <xf numFmtId="180" fontId="0" fillId="0" borderId="15" xfId="0" applyNumberFormat="1" applyBorder="1">
      <alignment horizontal="center" vertical="center"/>
    </xf>
    <xf numFmtId="0" fontId="40" fillId="4" borderId="26" xfId="0" applyFont="1" applyFill="1" applyBorder="1">
      <alignment horizontal="center" vertical="center"/>
    </xf>
    <xf numFmtId="10" fontId="41" fillId="0" borderId="26" xfId="0" applyNumberFormat="1" applyFont="1" applyBorder="1">
      <alignment horizontal="center" vertical="center"/>
    </xf>
    <xf numFmtId="191" fontId="0" fillId="6" borderId="6" xfId="1" applyNumberFormat="1" applyFont="1" applyFill="1" applyBorder="1" applyAlignment="1">
      <alignment horizontal="center" vertical="center"/>
    </xf>
    <xf numFmtId="191" fontId="0" fillId="6" borderId="69" xfId="1" applyNumberFormat="1" applyFont="1" applyFill="1" applyBorder="1" applyAlignment="1">
      <alignment horizontal="center" vertical="center"/>
    </xf>
    <xf numFmtId="191" fontId="0" fillId="4" borderId="70" xfId="1" applyNumberFormat="1" applyFont="1" applyFill="1" applyBorder="1" applyAlignment="1">
      <alignment horizontal="center" vertical="center"/>
    </xf>
    <xf numFmtId="191" fontId="0" fillId="4" borderId="25" xfId="1" applyNumberFormat="1" applyFont="1" applyFill="1" applyBorder="1" applyAlignment="1">
      <alignment horizontal="center" vertical="center"/>
    </xf>
    <xf numFmtId="191" fontId="0" fillId="4" borderId="24" xfId="1" applyNumberFormat="1" applyFont="1" applyFill="1" applyBorder="1" applyAlignment="1">
      <alignment horizontal="center" vertical="center"/>
    </xf>
    <xf numFmtId="191" fontId="0" fillId="6" borderId="21" xfId="1" applyNumberFormat="1" applyFont="1" applyFill="1" applyBorder="1" applyAlignment="1">
      <alignment horizontal="center" vertical="center"/>
    </xf>
    <xf numFmtId="191" fontId="0" fillId="6" borderId="37" xfId="1" applyNumberFormat="1" applyFont="1" applyFill="1" applyBorder="1" applyAlignment="1">
      <alignment horizontal="center" vertical="center"/>
    </xf>
    <xf numFmtId="191" fontId="0" fillId="6" borderId="64" xfId="1" applyNumberFormat="1" applyFont="1" applyFill="1" applyBorder="1" applyAlignment="1">
      <alignment horizontal="center" vertical="center"/>
    </xf>
    <xf numFmtId="191" fontId="0" fillId="4" borderId="33" xfId="1" applyNumberFormat="1" applyFont="1" applyFill="1" applyBorder="1" applyAlignment="1">
      <alignment horizontal="center" vertical="center"/>
    </xf>
    <xf numFmtId="191" fontId="0" fillId="4" borderId="32" xfId="1" applyNumberFormat="1" applyFont="1" applyFill="1" applyBorder="1" applyAlignment="1">
      <alignment horizontal="center" vertical="center"/>
    </xf>
    <xf numFmtId="191" fontId="0" fillId="4" borderId="57" xfId="1" applyNumberFormat="1" applyFont="1" applyFill="1" applyBorder="1" applyAlignment="1">
      <alignment horizontal="center" vertical="center"/>
    </xf>
    <xf numFmtId="0" fontId="0" fillId="6" borderId="80" xfId="0" applyFill="1" applyBorder="1" applyAlignment="1">
      <alignment horizontal="center" vertical="center" wrapText="1"/>
    </xf>
    <xf numFmtId="0" fontId="0" fillId="6" borderId="81" xfId="0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4" applyFont="1" applyBorder="1" applyAlignment="1">
      <alignment horizontal="center" vertical="center" wrapText="1"/>
    </xf>
    <xf numFmtId="9" fontId="21" fillId="0" borderId="1" xfId="4" applyFont="1" applyBorder="1" applyAlignment="1">
      <alignment horizontal="center" vertical="center" wrapText="1"/>
    </xf>
    <xf numFmtId="0" fontId="18" fillId="6" borderId="26" xfId="0" applyFont="1" applyFill="1" applyBorder="1">
      <alignment horizontal="center" vertical="center"/>
    </xf>
    <xf numFmtId="0" fontId="0" fillId="4" borderId="0" xfId="0" applyFill="1" applyAlignment="1">
      <alignment horizontal="left" vertical="center"/>
    </xf>
    <xf numFmtId="195" fontId="0" fillId="0" borderId="0" xfId="1" applyNumberFormat="1" applyFont="1" applyAlignment="1">
      <alignment horizontal="center" vertical="center"/>
    </xf>
    <xf numFmtId="0" fontId="20" fillId="9" borderId="0" xfId="0" applyFont="1" applyFill="1" applyAlignment="1">
      <alignment horizontal="left" vertical="center"/>
    </xf>
    <xf numFmtId="0" fontId="0" fillId="9" borderId="0" xfId="0" applyFill="1">
      <alignment horizontal="center" vertical="center"/>
    </xf>
    <xf numFmtId="0" fontId="20" fillId="8" borderId="0" xfId="0" applyFont="1" applyFill="1" applyAlignment="1">
      <alignment horizontal="left" vertical="center"/>
    </xf>
    <xf numFmtId="0" fontId="0" fillId="8" borderId="0" xfId="0" applyFill="1">
      <alignment horizontal="center" vertical="center"/>
    </xf>
    <xf numFmtId="0" fontId="20" fillId="10" borderId="0" xfId="0" applyFont="1" applyFill="1" applyAlignment="1">
      <alignment horizontal="left" vertical="center"/>
    </xf>
    <xf numFmtId="0" fontId="0" fillId="10" borderId="0" xfId="0" applyFill="1">
      <alignment horizontal="center" vertical="center"/>
    </xf>
    <xf numFmtId="0" fontId="20" fillId="11" borderId="0" xfId="0" applyFont="1" applyFill="1" applyAlignment="1">
      <alignment horizontal="left" vertical="center"/>
    </xf>
    <xf numFmtId="0" fontId="0" fillId="11" borderId="0" xfId="0" applyFill="1">
      <alignment horizontal="center" vertical="center"/>
    </xf>
    <xf numFmtId="0" fontId="0" fillId="0" borderId="1" xfId="0" applyBorder="1">
      <alignment horizontal="center" vertical="center"/>
    </xf>
    <xf numFmtId="194" fontId="0" fillId="0" borderId="1" xfId="1" applyNumberFormat="1" applyFont="1" applyBorder="1" applyAlignment="1">
      <alignment horizontal="center" vertical="center"/>
    </xf>
    <xf numFmtId="0" fontId="0" fillId="12" borderId="1" xfId="0" applyFill="1" applyBorder="1">
      <alignment horizontal="center" vertical="center"/>
    </xf>
    <xf numFmtId="194" fontId="0" fillId="12" borderId="1" xfId="1" applyNumberFormat="1" applyFont="1" applyFill="1" applyBorder="1" applyAlignment="1">
      <alignment horizontal="center" vertical="center"/>
    </xf>
    <xf numFmtId="0" fontId="0" fillId="4" borderId="11" xfId="0" applyFill="1" applyBorder="1">
      <alignment horizontal="center" vertical="center"/>
    </xf>
    <xf numFmtId="0" fontId="0" fillId="12" borderId="9" xfId="0" applyFill="1" applyBorder="1">
      <alignment horizontal="center" vertical="center"/>
    </xf>
    <xf numFmtId="194" fontId="0" fillId="12" borderId="9" xfId="1" applyNumberFormat="1" applyFont="1" applyFill="1" applyBorder="1" applyAlignment="1">
      <alignment horizontal="center" vertical="center"/>
    </xf>
    <xf numFmtId="0" fontId="0" fillId="4" borderId="12" xfId="0" applyFill="1" applyBorder="1">
      <alignment horizontal="center" vertical="center"/>
    </xf>
    <xf numFmtId="0" fontId="0" fillId="0" borderId="13" xfId="0" applyBorder="1">
      <alignment horizontal="center" vertical="center"/>
    </xf>
    <xf numFmtId="194" fontId="0" fillId="0" borderId="13" xfId="0" applyNumberFormat="1" applyBorder="1">
      <alignment horizontal="center" vertical="center"/>
    </xf>
    <xf numFmtId="0" fontId="0" fillId="12" borderId="13" xfId="0" applyFill="1" applyBorder="1">
      <alignment horizontal="center" vertical="center"/>
    </xf>
    <xf numFmtId="194" fontId="0" fillId="12" borderId="13" xfId="0" applyNumberFormat="1" applyFill="1" applyBorder="1">
      <alignment horizontal="center" vertical="center"/>
    </xf>
    <xf numFmtId="194" fontId="0" fillId="12" borderId="14" xfId="0" applyNumberFormat="1" applyFill="1" applyBorder="1">
      <alignment horizontal="center" vertical="center"/>
    </xf>
    <xf numFmtId="0" fontId="18" fillId="0" borderId="13" xfId="0" applyFont="1" applyBorder="1">
      <alignment horizontal="center" vertical="center"/>
    </xf>
    <xf numFmtId="194" fontId="18" fillId="0" borderId="13" xfId="0" applyNumberFormat="1" applyFont="1" applyBorder="1">
      <alignment horizontal="center" vertical="center"/>
    </xf>
    <xf numFmtId="0" fontId="18" fillId="12" borderId="13" xfId="0" applyFont="1" applyFill="1" applyBorder="1">
      <alignment horizontal="center" vertical="center"/>
    </xf>
    <xf numFmtId="194" fontId="18" fillId="12" borderId="13" xfId="0" applyNumberFormat="1" applyFont="1" applyFill="1" applyBorder="1">
      <alignment horizontal="center" vertical="center"/>
    </xf>
    <xf numFmtId="194" fontId="18" fillId="12" borderId="14" xfId="0" applyNumberFormat="1" applyFont="1" applyFill="1" applyBorder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96" fontId="6" fillId="0" borderId="31" xfId="1" applyNumberFormat="1" applyFont="1" applyBorder="1" applyAlignment="1">
      <alignment horizontal="center" vertical="center"/>
    </xf>
    <xf numFmtId="193" fontId="19" fillId="0" borderId="15" xfId="4" applyNumberFormat="1" applyFont="1" applyBorder="1" applyAlignment="1">
      <alignment vertical="center"/>
    </xf>
    <xf numFmtId="0" fontId="16" fillId="4" borderId="11" xfId="0" applyFont="1" applyFill="1" applyBorder="1">
      <alignment horizontal="center" vertical="center"/>
    </xf>
    <xf numFmtId="178" fontId="4" fillId="0" borderId="1" xfId="0" applyNumberFormat="1" applyFont="1" applyBorder="1">
      <alignment horizontal="center" vertical="center"/>
    </xf>
    <xf numFmtId="0" fontId="16" fillId="4" borderId="82" xfId="0" applyFont="1" applyFill="1" applyBorder="1">
      <alignment horizontal="center" vertical="center"/>
    </xf>
    <xf numFmtId="178" fontId="4" fillId="0" borderId="44" xfId="0" applyNumberFormat="1" applyFont="1" applyBorder="1">
      <alignment horizontal="center" vertical="center"/>
    </xf>
    <xf numFmtId="178" fontId="16" fillId="4" borderId="10" xfId="0" applyNumberFormat="1" applyFont="1" applyFill="1" applyBorder="1">
      <alignment horizontal="center" vertical="center"/>
    </xf>
    <xf numFmtId="0" fontId="16" fillId="9" borderId="21" xfId="0" applyFont="1" applyFill="1" applyBorder="1">
      <alignment horizontal="center" vertical="center"/>
    </xf>
    <xf numFmtId="186" fontId="16" fillId="9" borderId="37" xfId="1" applyNumberFormat="1" applyFont="1" applyFill="1" applyBorder="1" applyAlignment="1">
      <alignment horizontal="right" vertical="center"/>
    </xf>
    <xf numFmtId="186" fontId="16" fillId="9" borderId="23" xfId="1" applyNumberFormat="1" applyFont="1" applyFill="1" applyBorder="1" applyAlignment="1">
      <alignment horizontal="right" vertical="center"/>
    </xf>
    <xf numFmtId="0" fontId="16" fillId="9" borderId="11" xfId="0" applyFont="1" applyFill="1" applyBorder="1">
      <alignment horizontal="center" vertical="center"/>
    </xf>
    <xf numFmtId="186" fontId="17" fillId="0" borderId="1" xfId="1" applyNumberFormat="1" applyFont="1" applyBorder="1" applyAlignment="1">
      <alignment horizontal="right" vertical="center"/>
    </xf>
    <xf numFmtId="186" fontId="16" fillId="0" borderId="9" xfId="1" applyNumberFormat="1" applyFont="1" applyBorder="1" applyAlignment="1">
      <alignment horizontal="right" vertical="center"/>
    </xf>
    <xf numFmtId="0" fontId="16" fillId="9" borderId="12" xfId="0" applyFont="1" applyFill="1" applyBorder="1">
      <alignment horizontal="center" vertical="center"/>
    </xf>
    <xf numFmtId="186" fontId="17" fillId="0" borderId="13" xfId="1" applyNumberFormat="1" applyFont="1" applyBorder="1" applyAlignment="1">
      <alignment horizontal="right" vertical="center"/>
    </xf>
    <xf numFmtId="186" fontId="16" fillId="0" borderId="14" xfId="1" applyNumberFormat="1" applyFont="1" applyBorder="1" applyAlignment="1">
      <alignment horizontal="right" vertical="center"/>
    </xf>
    <xf numFmtId="187" fontId="16" fillId="9" borderId="9" xfId="1" applyNumberFormat="1" applyFont="1" applyFill="1" applyBorder="1" applyAlignment="1">
      <alignment horizontal="right" vertical="center"/>
    </xf>
    <xf numFmtId="0" fontId="16" fillId="9" borderId="12" xfId="0" applyFont="1" applyFill="1" applyBorder="1" applyAlignment="1">
      <alignment horizontal="center" vertical="center" wrapText="1"/>
    </xf>
    <xf numFmtId="188" fontId="16" fillId="9" borderId="14" xfId="1" applyNumberFormat="1" applyFont="1" applyFill="1" applyBorder="1" applyAlignment="1">
      <alignment horizontal="right" vertical="center"/>
    </xf>
    <xf numFmtId="187" fontId="16" fillId="9" borderId="8" xfId="1" applyNumberFormat="1" applyFont="1" applyFill="1" applyBorder="1" applyAlignment="1">
      <alignment horizontal="right" vertical="center"/>
    </xf>
    <xf numFmtId="187" fontId="16" fillId="9" borderId="1" xfId="1" applyNumberFormat="1" applyFont="1" applyFill="1" applyBorder="1" applyAlignment="1">
      <alignment horizontal="right" vertical="center"/>
    </xf>
    <xf numFmtId="188" fontId="16" fillId="9" borderId="39" xfId="1" applyNumberFormat="1" applyFont="1" applyFill="1" applyBorder="1" applyAlignment="1">
      <alignment horizontal="right" vertical="center"/>
    </xf>
    <xf numFmtId="14" fontId="10" fillId="0" borderId="28" xfId="0" applyNumberFormat="1" applyFont="1" applyBorder="1" applyAlignment="1">
      <alignment horizontal="center" vertical="center" wrapText="1"/>
    </xf>
    <xf numFmtId="193" fontId="16" fillId="8" borderId="4" xfId="4" applyNumberFormat="1" applyFont="1" applyFill="1" applyBorder="1" applyAlignment="1">
      <alignment horizontal="center" vertical="center"/>
    </xf>
    <xf numFmtId="193" fontId="16" fillId="8" borderId="5" xfId="4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center" vertical="center" wrapText="1"/>
    </xf>
    <xf numFmtId="0" fontId="41" fillId="8" borderId="0" xfId="0" applyFont="1" applyFill="1">
      <alignment horizontal="center" vertical="center"/>
    </xf>
    <xf numFmtId="0" fontId="41" fillId="10" borderId="0" xfId="0" applyFont="1" applyFill="1">
      <alignment horizontal="center" vertical="center"/>
    </xf>
    <xf numFmtId="0" fontId="41" fillId="11" borderId="0" xfId="0" applyFont="1" applyFill="1">
      <alignment horizontal="center" vertical="center"/>
    </xf>
    <xf numFmtId="0" fontId="0" fillId="13" borderId="1" xfId="0" applyFill="1" applyBorder="1">
      <alignment horizontal="center" vertical="center"/>
    </xf>
    <xf numFmtId="195" fontId="0" fillId="13" borderId="1" xfId="0" applyNumberFormat="1" applyFill="1" applyBorder="1">
      <alignment horizontal="center" vertical="center"/>
    </xf>
    <xf numFmtId="195" fontId="18" fillId="13" borderId="13" xfId="0" applyNumberFormat="1" applyFont="1" applyFill="1" applyBorder="1">
      <alignment horizontal="center" vertical="center"/>
    </xf>
    <xf numFmtId="197" fontId="0" fillId="0" borderId="1" xfId="0" applyNumberFormat="1" applyBorder="1">
      <alignment horizontal="center" vertical="center"/>
    </xf>
    <xf numFmtId="179" fontId="0" fillId="0" borderId="1" xfId="0" applyNumberFormat="1" applyBorder="1">
      <alignment horizontal="center" vertical="center"/>
    </xf>
    <xf numFmtId="192" fontId="43" fillId="9" borderId="1" xfId="0" applyNumberFormat="1" applyFont="1" applyFill="1" applyBorder="1">
      <alignment horizontal="center" vertical="center"/>
    </xf>
    <xf numFmtId="0" fontId="17" fillId="8" borderId="1" xfId="0" applyFont="1" applyFill="1" applyBorder="1">
      <alignment horizontal="center" vertical="center"/>
    </xf>
    <xf numFmtId="0" fontId="17" fillId="7" borderId="1" xfId="0" applyFont="1" applyFill="1" applyBorder="1">
      <alignment horizontal="center" vertical="center"/>
    </xf>
    <xf numFmtId="0" fontId="17" fillId="4" borderId="1" xfId="0" applyFont="1" applyFill="1" applyBorder="1">
      <alignment horizontal="center" vertical="center"/>
    </xf>
    <xf numFmtId="197" fontId="17" fillId="8" borderId="1" xfId="0" applyNumberFormat="1" applyFont="1" applyFill="1" applyBorder="1">
      <alignment horizontal="center" vertical="center"/>
    </xf>
    <xf numFmtId="179" fontId="17" fillId="8" borderId="1" xfId="0" applyNumberFormat="1" applyFont="1" applyFill="1" applyBorder="1">
      <alignment horizontal="center" vertical="center"/>
    </xf>
    <xf numFmtId="197" fontId="17" fillId="7" borderId="1" xfId="0" applyNumberFormat="1" applyFont="1" applyFill="1" applyBorder="1">
      <alignment horizontal="center" vertical="center"/>
    </xf>
    <xf numFmtId="179" fontId="17" fillId="7" borderId="1" xfId="0" applyNumberFormat="1" applyFont="1" applyFill="1" applyBorder="1">
      <alignment horizontal="center" vertical="center"/>
    </xf>
    <xf numFmtId="197" fontId="17" fillId="4" borderId="1" xfId="0" applyNumberFormat="1" applyFont="1" applyFill="1" applyBorder="1">
      <alignment horizontal="center" vertical="center"/>
    </xf>
    <xf numFmtId="179" fontId="17" fillId="4" borderId="1" xfId="0" applyNumberFormat="1" applyFont="1" applyFill="1" applyBorder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2" fontId="0" fillId="0" borderId="0" xfId="0" applyNumberFormat="1">
      <alignment horizontal="center" vertical="center"/>
    </xf>
    <xf numFmtId="186" fontId="0" fillId="0" borderId="0" xfId="0" applyNumberFormat="1">
      <alignment horizontal="center" vertical="center"/>
    </xf>
    <xf numFmtId="41" fontId="0" fillId="0" borderId="0" xfId="1" applyFont="1" applyAlignment="1">
      <alignment horizontal="center" vertical="center"/>
    </xf>
    <xf numFmtId="41" fontId="36" fillId="0" borderId="15" xfId="1" applyFont="1" applyBorder="1" applyAlignment="1">
      <alignment vertical="center"/>
    </xf>
    <xf numFmtId="0" fontId="44" fillId="0" borderId="0" xfId="0" applyFont="1" applyAlignment="1">
      <alignment vertical="center" wrapText="1"/>
    </xf>
    <xf numFmtId="0" fontId="45" fillId="0" borderId="26" xfId="0" applyFont="1" applyBorder="1">
      <alignment horizontal="center" vertical="center"/>
    </xf>
    <xf numFmtId="0" fontId="46" fillId="4" borderId="31" xfId="0" applyFont="1" applyFill="1" applyBorder="1">
      <alignment horizontal="center" vertical="center"/>
    </xf>
    <xf numFmtId="41" fontId="46" fillId="4" borderId="46" xfId="1" applyFont="1" applyFill="1" applyBorder="1" applyAlignment="1">
      <alignment horizontal="center" vertical="center"/>
    </xf>
    <xf numFmtId="0" fontId="46" fillId="4" borderId="20" xfId="0" applyFont="1" applyFill="1" applyBorder="1">
      <alignment horizontal="center" vertical="center"/>
    </xf>
    <xf numFmtId="0" fontId="45" fillId="0" borderId="48" xfId="0" applyFont="1" applyBorder="1">
      <alignment horizontal="center" vertical="center"/>
    </xf>
    <xf numFmtId="178" fontId="45" fillId="0" borderId="29" xfId="0" applyNumberFormat="1" applyFont="1" applyBorder="1" applyAlignment="1">
      <alignment vertical="center"/>
    </xf>
    <xf numFmtId="179" fontId="45" fillId="0" borderId="40" xfId="1" applyNumberFormat="1" applyFont="1" applyBorder="1" applyAlignment="1">
      <alignment horizontal="center" vertical="center"/>
    </xf>
    <xf numFmtId="180" fontId="45" fillId="0" borderId="7" xfId="0" applyNumberFormat="1" applyFont="1" applyBorder="1" applyAlignment="1">
      <alignment vertical="center"/>
    </xf>
    <xf numFmtId="0" fontId="45" fillId="0" borderId="49" xfId="0" applyFont="1" applyBorder="1">
      <alignment horizontal="center" vertical="center"/>
    </xf>
    <xf numFmtId="178" fontId="45" fillId="0" borderId="45" xfId="0" applyNumberFormat="1" applyFont="1" applyBorder="1" applyAlignment="1">
      <alignment vertical="center"/>
    </xf>
    <xf numFmtId="179" fontId="45" fillId="0" borderId="41" xfId="1" applyNumberFormat="1" applyFont="1" applyBorder="1" applyAlignment="1">
      <alignment horizontal="center" vertical="center"/>
    </xf>
    <xf numFmtId="180" fontId="45" fillId="0" borderId="9" xfId="0" applyNumberFormat="1" applyFont="1" applyBorder="1" applyAlignment="1">
      <alignment vertical="center"/>
    </xf>
    <xf numFmtId="178" fontId="45" fillId="4" borderId="31" xfId="0" applyNumberFormat="1" applyFont="1" applyFill="1" applyBorder="1" applyAlignment="1">
      <alignment vertical="center"/>
    </xf>
    <xf numFmtId="179" fontId="45" fillId="4" borderId="46" xfId="1" applyNumberFormat="1" applyFont="1" applyFill="1" applyBorder="1" applyAlignment="1">
      <alignment horizontal="center" vertical="center"/>
    </xf>
    <xf numFmtId="180" fontId="45" fillId="4" borderId="20" xfId="0" applyNumberFormat="1" applyFont="1" applyFill="1" applyBorder="1" applyAlignment="1">
      <alignment vertical="center"/>
    </xf>
    <xf numFmtId="0" fontId="45" fillId="0" borderId="0" xfId="0" applyFont="1">
      <alignment horizontal="center" vertical="center"/>
    </xf>
    <xf numFmtId="0" fontId="46" fillId="3" borderId="26" xfId="0" applyFont="1" applyFill="1" applyBorder="1" applyAlignment="1">
      <alignment horizontal="center" vertical="center" wrapText="1"/>
    </xf>
    <xf numFmtId="0" fontId="46" fillId="3" borderId="27" xfId="0" applyFont="1" applyFill="1" applyBorder="1">
      <alignment horizontal="center" vertical="center"/>
    </xf>
    <xf numFmtId="0" fontId="46" fillId="3" borderId="19" xfId="0" applyFont="1" applyFill="1" applyBorder="1">
      <alignment horizontal="center" vertical="center"/>
    </xf>
    <xf numFmtId="41" fontId="46" fillId="3" borderId="19" xfId="1" applyFont="1" applyFill="1" applyBorder="1" applyAlignment="1">
      <alignment horizontal="center" vertical="center"/>
    </xf>
    <xf numFmtId="0" fontId="46" fillId="3" borderId="20" xfId="0" applyFont="1" applyFill="1" applyBorder="1">
      <alignment horizontal="center" vertical="center"/>
    </xf>
    <xf numFmtId="0" fontId="46" fillId="4" borderId="48" xfId="0" applyFont="1" applyFill="1" applyBorder="1">
      <alignment horizontal="center" vertical="center"/>
    </xf>
    <xf numFmtId="186" fontId="45" fillId="0" borderId="6" xfId="1" applyNumberFormat="1" applyFont="1" applyBorder="1" applyAlignment="1">
      <alignment horizontal="right" vertical="center"/>
    </xf>
    <xf numFmtId="186" fontId="45" fillId="0" borderId="2" xfId="1" applyNumberFormat="1" applyFont="1" applyBorder="1" applyAlignment="1">
      <alignment horizontal="right" vertical="center"/>
    </xf>
    <xf numFmtId="186" fontId="45" fillId="0" borderId="7" xfId="1" applyNumberFormat="1" applyFont="1" applyBorder="1" applyAlignment="1">
      <alignment horizontal="right" vertical="center"/>
    </xf>
    <xf numFmtId="0" fontId="46" fillId="4" borderId="49" xfId="0" applyFont="1" applyFill="1" applyBorder="1">
      <alignment horizontal="center" vertical="center"/>
    </xf>
    <xf numFmtId="9" fontId="45" fillId="0" borderId="8" xfId="1" applyNumberFormat="1" applyFont="1" applyBorder="1" applyAlignment="1">
      <alignment horizontal="right" vertical="center"/>
    </xf>
    <xf numFmtId="9" fontId="45" fillId="0" borderId="1" xfId="1" applyNumberFormat="1" applyFont="1" applyBorder="1" applyAlignment="1">
      <alignment horizontal="right" vertical="center"/>
    </xf>
    <xf numFmtId="9" fontId="45" fillId="0" borderId="9" xfId="1" applyNumberFormat="1" applyFont="1" applyBorder="1" applyAlignment="1">
      <alignment horizontal="right" vertical="center"/>
    </xf>
    <xf numFmtId="0" fontId="46" fillId="0" borderId="49" xfId="0" applyFont="1" applyBorder="1" applyAlignment="1">
      <alignment horizontal="center" vertical="center" wrapText="1"/>
    </xf>
    <xf numFmtId="186" fontId="45" fillId="0" borderId="8" xfId="1" applyNumberFormat="1" applyFont="1" applyBorder="1" applyAlignment="1">
      <alignment horizontal="right" vertical="center"/>
    </xf>
    <xf numFmtId="186" fontId="45" fillId="0" borderId="1" xfId="1" applyNumberFormat="1" applyFont="1" applyBorder="1" applyAlignment="1">
      <alignment horizontal="right" vertical="center"/>
    </xf>
    <xf numFmtId="186" fontId="45" fillId="0" borderId="9" xfId="1" applyNumberFormat="1" applyFont="1" applyBorder="1" applyAlignment="1">
      <alignment horizontal="right" vertical="center"/>
    </xf>
    <xf numFmtId="187" fontId="45" fillId="0" borderId="8" xfId="1" applyNumberFormat="1" applyFont="1" applyBorder="1" applyAlignment="1">
      <alignment horizontal="right" vertical="center"/>
    </xf>
    <xf numFmtId="187" fontId="45" fillId="0" borderId="1" xfId="1" applyNumberFormat="1" applyFont="1" applyBorder="1" applyAlignment="1">
      <alignment horizontal="right" vertical="center"/>
    </xf>
    <xf numFmtId="187" fontId="45" fillId="0" borderId="9" xfId="1" applyNumberFormat="1" applyFont="1" applyBorder="1" applyAlignment="1">
      <alignment horizontal="right" vertical="center"/>
    </xf>
    <xf numFmtId="0" fontId="46" fillId="0" borderId="79" xfId="0" applyFont="1" applyBorder="1" applyAlignment="1">
      <alignment horizontal="center" vertical="center" wrapText="1"/>
    </xf>
    <xf numFmtId="188" fontId="45" fillId="0" borderId="16" xfId="1" applyNumberFormat="1" applyFont="1" applyBorder="1" applyAlignment="1">
      <alignment horizontal="right" vertical="center"/>
    </xf>
    <xf numFmtId="188" fontId="45" fillId="0" borderId="44" xfId="1" applyNumberFormat="1" applyFont="1" applyBorder="1" applyAlignment="1">
      <alignment horizontal="right" vertical="center"/>
    </xf>
    <xf numFmtId="188" fontId="45" fillId="0" borderId="10" xfId="1" applyNumberFormat="1" applyFont="1" applyBorder="1" applyAlignment="1">
      <alignment horizontal="right" vertical="center"/>
    </xf>
    <xf numFmtId="9" fontId="45" fillId="0" borderId="8" xfId="4" applyFont="1" applyBorder="1" applyAlignment="1">
      <alignment horizontal="right" vertical="center"/>
    </xf>
    <xf numFmtId="9" fontId="45" fillId="0" borderId="1" xfId="4" applyFont="1" applyBorder="1" applyAlignment="1">
      <alignment horizontal="right" vertical="center"/>
    </xf>
    <xf numFmtId="9" fontId="45" fillId="0" borderId="9" xfId="4" applyFont="1" applyBorder="1" applyAlignment="1">
      <alignment horizontal="right" vertical="center"/>
    </xf>
    <xf numFmtId="0" fontId="46" fillId="0" borderId="63" xfId="0" applyFont="1" applyBorder="1" applyAlignment="1">
      <alignment horizontal="center" vertical="center" wrapText="1"/>
    </xf>
    <xf numFmtId="188" fontId="45" fillId="0" borderId="39" xfId="1" applyNumberFormat="1" applyFont="1" applyBorder="1" applyAlignment="1">
      <alignment horizontal="right" vertical="center"/>
    </xf>
    <xf numFmtId="188" fontId="45" fillId="0" borderId="13" xfId="1" applyNumberFormat="1" applyFont="1" applyBorder="1" applyAlignment="1">
      <alignment horizontal="right" vertical="center"/>
    </xf>
    <xf numFmtId="188" fontId="45" fillId="0" borderId="14" xfId="1" applyNumberFormat="1" applyFont="1" applyBorder="1" applyAlignment="1">
      <alignment horizontal="right" vertical="center"/>
    </xf>
    <xf numFmtId="0" fontId="46" fillId="4" borderId="46" xfId="0" applyFont="1" applyFill="1" applyBorder="1">
      <alignment horizontal="center" vertical="center"/>
    </xf>
    <xf numFmtId="180" fontId="45" fillId="0" borderId="40" xfId="0" applyNumberFormat="1" applyFont="1" applyBorder="1" applyAlignment="1">
      <alignment vertical="center"/>
    </xf>
    <xf numFmtId="178" fontId="45" fillId="0" borderId="17" xfId="0" applyNumberFormat="1" applyFont="1" applyBorder="1" applyAlignment="1">
      <alignment vertical="center"/>
    </xf>
    <xf numFmtId="180" fontId="45" fillId="0" borderId="41" xfId="0" applyNumberFormat="1" applyFont="1" applyBorder="1" applyAlignment="1">
      <alignment vertical="center"/>
    </xf>
    <xf numFmtId="178" fontId="45" fillId="0" borderId="11" xfId="0" applyNumberFormat="1" applyFont="1" applyBorder="1" applyAlignment="1">
      <alignment vertical="center"/>
    </xf>
    <xf numFmtId="0" fontId="45" fillId="0" borderId="63" xfId="0" applyFont="1" applyBorder="1">
      <alignment horizontal="center" vertical="center"/>
    </xf>
    <xf numFmtId="178" fontId="45" fillId="0" borderId="67" xfId="0" applyNumberFormat="1" applyFont="1" applyBorder="1" applyAlignment="1">
      <alignment vertical="center"/>
    </xf>
    <xf numFmtId="179" fontId="45" fillId="0" borderId="62" xfId="1" applyNumberFormat="1" applyFont="1" applyBorder="1" applyAlignment="1">
      <alignment horizontal="center" vertical="center"/>
    </xf>
    <xf numFmtId="180" fontId="45" fillId="0" borderId="62" xfId="0" applyNumberFormat="1" applyFont="1" applyBorder="1" applyAlignment="1">
      <alignment vertical="center"/>
    </xf>
    <xf numFmtId="178" fontId="45" fillId="0" borderId="12" xfId="0" applyNumberFormat="1" applyFont="1" applyBorder="1" applyAlignment="1">
      <alignment vertical="center"/>
    </xf>
    <xf numFmtId="180" fontId="45" fillId="0" borderId="14" xfId="0" applyNumberFormat="1" applyFont="1" applyBorder="1" applyAlignment="1">
      <alignment vertical="center"/>
    </xf>
    <xf numFmtId="0" fontId="46" fillId="14" borderId="31" xfId="0" applyFont="1" applyFill="1" applyBorder="1">
      <alignment horizontal="center" vertical="center"/>
    </xf>
    <xf numFmtId="0" fontId="46" fillId="14" borderId="19" xfId="0" applyFont="1" applyFill="1" applyBorder="1">
      <alignment horizontal="center" vertical="center"/>
    </xf>
    <xf numFmtId="0" fontId="46" fillId="14" borderId="20" xfId="0" applyFont="1" applyFill="1" applyBorder="1">
      <alignment horizontal="center" vertical="center"/>
    </xf>
    <xf numFmtId="178" fontId="45" fillId="14" borderId="27" xfId="0" applyNumberFormat="1" applyFont="1" applyFill="1" applyBorder="1" applyAlignment="1">
      <alignment vertical="center"/>
    </xf>
    <xf numFmtId="179" fontId="45" fillId="14" borderId="19" xfId="0" applyNumberFormat="1" applyFont="1" applyFill="1" applyBorder="1">
      <alignment horizontal="center" vertical="center"/>
    </xf>
    <xf numFmtId="180" fontId="45" fillId="14" borderId="20" xfId="0" applyNumberFormat="1" applyFont="1" applyFill="1" applyBorder="1" applyAlignment="1">
      <alignment horizontal="right" vertical="center"/>
    </xf>
    <xf numFmtId="0" fontId="46" fillId="14" borderId="47" xfId="0" applyFont="1" applyFill="1" applyBorder="1">
      <alignment horizontal="center" vertical="center"/>
    </xf>
    <xf numFmtId="198" fontId="52" fillId="0" borderId="0" xfId="0" applyNumberFormat="1" applyFont="1">
      <alignment horizontal="center" vertical="center"/>
    </xf>
    <xf numFmtId="198" fontId="52" fillId="0" borderId="89" xfId="0" applyNumberFormat="1" applyFont="1" applyBorder="1">
      <alignment horizontal="center" vertical="center"/>
    </xf>
    <xf numFmtId="179" fontId="0" fillId="0" borderId="86" xfId="0" applyNumberFormat="1" applyBorder="1">
      <alignment horizontal="center" vertical="center"/>
    </xf>
    <xf numFmtId="179" fontId="0" fillId="0" borderId="94" xfId="0" applyNumberFormat="1" applyBorder="1">
      <alignment horizontal="center" vertical="center"/>
    </xf>
    <xf numFmtId="197" fontId="0" fillId="0" borderId="96" xfId="0" applyNumberFormat="1" applyBorder="1">
      <alignment horizontal="center" vertical="center"/>
    </xf>
    <xf numFmtId="179" fontId="0" fillId="0" borderId="96" xfId="0" applyNumberFormat="1" applyBorder="1">
      <alignment horizontal="center" vertical="center"/>
    </xf>
    <xf numFmtId="179" fontId="0" fillId="0" borderId="97" xfId="0" applyNumberFormat="1" applyBorder="1">
      <alignment horizontal="center" vertical="center"/>
    </xf>
    <xf numFmtId="0" fontId="48" fillId="0" borderId="100" xfId="0" applyFont="1" applyBorder="1" applyAlignment="1">
      <alignment horizontal="center" vertical="center" wrapText="1"/>
    </xf>
    <xf numFmtId="197" fontId="0" fillId="0" borderId="102" xfId="0" applyNumberFormat="1" applyBorder="1">
      <alignment horizontal="center" vertical="center"/>
    </xf>
    <xf numFmtId="197" fontId="0" fillId="0" borderId="93" xfId="0" applyNumberFormat="1" applyBorder="1">
      <alignment horizontal="center" vertical="center"/>
    </xf>
    <xf numFmtId="197" fontId="0" fillId="0" borderId="95" xfId="0" applyNumberFormat="1" applyBorder="1">
      <alignment horizontal="center" vertical="center"/>
    </xf>
    <xf numFmtId="179" fontId="0" fillId="0" borderId="91" xfId="0" applyNumberFormat="1" applyBorder="1">
      <alignment horizontal="center" vertical="center"/>
    </xf>
    <xf numFmtId="179" fontId="0" fillId="0" borderId="92" xfId="0" applyNumberFormat="1" applyBorder="1">
      <alignment horizontal="center" vertical="center"/>
    </xf>
    <xf numFmtId="0" fontId="50" fillId="0" borderId="100" xfId="0" applyFont="1" applyBorder="1" applyAlignment="1">
      <alignment horizontal="center" vertical="center" wrapText="1"/>
    </xf>
    <xf numFmtId="197" fontId="0" fillId="0" borderId="101" xfId="0" applyNumberFormat="1" applyBorder="1">
      <alignment horizontal="center" vertical="center"/>
    </xf>
    <xf numFmtId="197" fontId="0" fillId="0" borderId="90" xfId="0" applyNumberFormat="1" applyBorder="1">
      <alignment horizontal="center" vertical="center"/>
    </xf>
    <xf numFmtId="0" fontId="51" fillId="0" borderId="103" xfId="0" applyFont="1" applyBorder="1" applyAlignment="1">
      <alignment horizontal="center" vertical="center" wrapText="1"/>
    </xf>
    <xf numFmtId="197" fontId="0" fillId="0" borderId="104" xfId="0" applyNumberFormat="1" applyBorder="1">
      <alignment horizontal="center" vertical="center"/>
    </xf>
    <xf numFmtId="179" fontId="0" fillId="0" borderId="105" xfId="0" applyNumberFormat="1" applyBorder="1">
      <alignment horizontal="center" vertical="center"/>
    </xf>
    <xf numFmtId="197" fontId="0" fillId="0" borderId="107" xfId="0" applyNumberFormat="1" applyBorder="1">
      <alignment horizontal="center" vertical="center"/>
    </xf>
    <xf numFmtId="179" fontId="0" fillId="0" borderId="108" xfId="0" applyNumberFormat="1" applyBorder="1">
      <alignment horizontal="center" vertical="center"/>
    </xf>
    <xf numFmtId="197" fontId="0" fillId="0" borderId="88" xfId="0" applyNumberFormat="1" applyBorder="1">
      <alignment horizontal="center" vertical="center"/>
    </xf>
    <xf numFmtId="179" fontId="0" fillId="0" borderId="87" xfId="0" applyNumberFormat="1" applyBorder="1">
      <alignment horizontal="center" vertical="center"/>
    </xf>
    <xf numFmtId="0" fontId="3" fillId="4" borderId="109" xfId="0" applyFont="1" applyFill="1" applyBorder="1">
      <alignment horizontal="center" vertical="center"/>
    </xf>
    <xf numFmtId="0" fontId="49" fillId="13" borderId="106" xfId="0" applyFont="1" applyFill="1" applyBorder="1" applyAlignment="1">
      <alignment horizontal="center" vertical="center" wrapText="1"/>
    </xf>
    <xf numFmtId="0" fontId="49" fillId="13" borderId="99" xfId="0" applyFont="1" applyFill="1" applyBorder="1" applyAlignment="1">
      <alignment horizontal="center" vertical="center" wrapText="1"/>
    </xf>
    <xf numFmtId="0" fontId="47" fillId="13" borderId="99" xfId="0" applyFont="1" applyFill="1" applyBorder="1" applyAlignment="1">
      <alignment horizontal="center" vertical="center" wrapText="1"/>
    </xf>
    <xf numFmtId="0" fontId="49" fillId="13" borderId="98" xfId="0" applyFont="1" applyFill="1" applyBorder="1" applyAlignment="1">
      <alignment horizontal="center" vertical="center" wrapText="1"/>
    </xf>
    <xf numFmtId="0" fontId="2" fillId="0" borderId="50" xfId="0" applyFont="1" applyBorder="1">
      <alignment horizontal="center" vertical="center"/>
    </xf>
    <xf numFmtId="0" fontId="0" fillId="6" borderId="112" xfId="0" applyFill="1" applyBorder="1" applyAlignment="1">
      <alignment horizontal="center" vertical="center" wrapText="1"/>
    </xf>
    <xf numFmtId="0" fontId="0" fillId="6" borderId="113" xfId="0" applyFill="1" applyBorder="1" applyAlignment="1">
      <alignment horizontal="center" vertical="center" wrapText="1"/>
    </xf>
    <xf numFmtId="0" fontId="10" fillId="0" borderId="111" xfId="0" applyFont="1" applyBorder="1" applyAlignment="1">
      <alignment horizontal="center" vertical="center" wrapText="1"/>
    </xf>
    <xf numFmtId="0" fontId="0" fillId="6" borderId="114" xfId="0" applyFill="1" applyBorder="1" applyAlignment="1">
      <alignment horizontal="center" vertical="center" wrapText="1"/>
    </xf>
    <xf numFmtId="0" fontId="0" fillId="0" borderId="111" xfId="0" applyBorder="1" applyAlignment="1">
      <alignment horizontal="left" vertical="center" wrapText="1"/>
    </xf>
    <xf numFmtId="0" fontId="0" fillId="6" borderId="111" xfId="0" applyFill="1" applyBorder="1" applyAlignment="1">
      <alignment horizontal="center" vertical="center" wrapText="1"/>
    </xf>
    <xf numFmtId="199" fontId="0" fillId="0" borderId="0" xfId="0" applyNumberFormat="1" applyAlignment="1">
      <alignment horizontal="center" vertical="center" wrapText="1"/>
    </xf>
    <xf numFmtId="199" fontId="11" fillId="0" borderId="0" xfId="0" applyNumberFormat="1" applyFont="1" applyAlignment="1">
      <alignment horizontal="center" vertical="center" wrapText="1"/>
    </xf>
    <xf numFmtId="199" fontId="0" fillId="0" borderId="0" xfId="0" applyNumberFormat="1">
      <alignment horizontal="center" vertical="center"/>
    </xf>
    <xf numFmtId="200" fontId="0" fillId="0" borderId="0" xfId="0" applyNumberFormat="1" applyAlignment="1">
      <alignment horizontal="center" vertical="center" wrapText="1"/>
    </xf>
    <xf numFmtId="200" fontId="0" fillId="0" borderId="0" xfId="0" applyNumberFormat="1">
      <alignment horizontal="center" vertical="center"/>
    </xf>
    <xf numFmtId="0" fontId="10" fillId="0" borderId="0" xfId="0" applyFont="1" applyAlignment="1">
      <alignment horizontal="center" vertical="center" wrapText="1"/>
    </xf>
    <xf numFmtId="201" fontId="0" fillId="0" borderId="0" xfId="0" applyNumberFormat="1" applyAlignment="1">
      <alignment horizontal="center" vertical="center" wrapText="1"/>
    </xf>
    <xf numFmtId="0" fontId="0" fillId="0" borderId="115" xfId="0" applyBorder="1">
      <alignment horizontal="center" vertical="center"/>
    </xf>
    <xf numFmtId="0" fontId="0" fillId="0" borderId="2" xfId="0" applyBorder="1">
      <alignment horizontal="center" vertical="center"/>
    </xf>
    <xf numFmtId="0" fontId="0" fillId="4" borderId="1" xfId="0" applyFill="1" applyBorder="1">
      <alignment horizontal="center" vertical="center"/>
    </xf>
    <xf numFmtId="0" fontId="0" fillId="0" borderId="116" xfId="0" applyBorder="1" applyAlignment="1">
      <alignment horizontal="left" vertical="center" wrapText="1"/>
    </xf>
    <xf numFmtId="41" fontId="0" fillId="0" borderId="1" xfId="0" applyNumberFormat="1" applyBorder="1">
      <alignment horizontal="center" vertical="center"/>
    </xf>
    <xf numFmtId="189" fontId="1" fillId="0" borderId="1" xfId="0" applyNumberFormat="1" applyFont="1" applyBorder="1">
      <alignment horizontal="center" vertical="center"/>
    </xf>
    <xf numFmtId="202" fontId="1" fillId="0" borderId="1" xfId="0" applyNumberFormat="1" applyFont="1" applyBorder="1">
      <alignment horizontal="center" vertical="center"/>
    </xf>
    <xf numFmtId="193" fontId="1" fillId="0" borderId="1" xfId="4" applyNumberFormat="1" applyFont="1" applyBorder="1" applyAlignment="1">
      <alignment horizontal="center" vertical="center"/>
    </xf>
    <xf numFmtId="192" fontId="1" fillId="0" borderId="1" xfId="0" applyNumberFormat="1" applyFont="1" applyBorder="1">
      <alignment horizontal="center" vertical="center"/>
    </xf>
    <xf numFmtId="202" fontId="0" fillId="0" borderId="1" xfId="0" applyNumberFormat="1" applyBorder="1">
      <alignment horizontal="center" vertical="center"/>
    </xf>
    <xf numFmtId="41" fontId="0" fillId="0" borderId="1" xfId="0" applyNumberFormat="1" applyBorder="1" applyAlignment="1">
      <alignment horizontal="center" vertical="center" wrapText="1"/>
    </xf>
    <xf numFmtId="203" fontId="16" fillId="3" borderId="42" xfId="0" applyNumberFormat="1" applyFont="1" applyFill="1" applyBorder="1">
      <alignment horizontal="center" vertical="center"/>
    </xf>
    <xf numFmtId="203" fontId="16" fillId="3" borderId="4" xfId="0" applyNumberFormat="1" applyFont="1" applyFill="1" applyBorder="1">
      <alignment horizontal="center" vertical="center"/>
    </xf>
    <xf numFmtId="203" fontId="16" fillId="3" borderId="4" xfId="1" applyNumberFormat="1" applyFont="1" applyFill="1" applyBorder="1" applyAlignment="1">
      <alignment horizontal="center" vertical="center"/>
    </xf>
    <xf numFmtId="2" fontId="0" fillId="0" borderId="1" xfId="0" applyNumberFormat="1" applyBorder="1">
      <alignment horizontal="center" vertical="center"/>
    </xf>
    <xf numFmtId="203" fontId="21" fillId="0" borderId="0" xfId="0" applyNumberFormat="1" applyFont="1">
      <alignment horizontal="center" vertical="center"/>
    </xf>
    <xf numFmtId="193" fontId="53" fillId="0" borderId="1" xfId="0" applyNumberFormat="1" applyFont="1" applyBorder="1">
      <alignment horizontal="center" vertical="center"/>
    </xf>
    <xf numFmtId="0" fontId="40" fillId="0" borderId="0" xfId="0" applyFont="1">
      <alignment horizontal="center" vertical="center"/>
    </xf>
    <xf numFmtId="0" fontId="54" fillId="0" borderId="0" xfId="0" applyFont="1">
      <alignment horizontal="center" vertical="center"/>
    </xf>
    <xf numFmtId="0" fontId="54" fillId="0" borderId="0" xfId="0" applyFont="1" applyAlignment="1">
      <alignment horizontal="left" vertical="center"/>
    </xf>
    <xf numFmtId="0" fontId="16" fillId="8" borderId="3" xfId="0" applyFont="1" applyFill="1" applyBorder="1">
      <alignment horizontal="center" vertical="center"/>
    </xf>
    <xf numFmtId="0" fontId="16" fillId="4" borderId="21" xfId="0" applyFont="1" applyFill="1" applyBorder="1">
      <alignment horizontal="center" vertical="center"/>
    </xf>
    <xf numFmtId="178" fontId="16" fillId="4" borderId="22" xfId="0" applyNumberFormat="1" applyFont="1" applyFill="1" applyBorder="1">
      <alignment horizontal="center" vertical="center"/>
    </xf>
    <xf numFmtId="178" fontId="16" fillId="4" borderId="23" xfId="0" applyNumberFormat="1" applyFont="1" applyFill="1" applyBorder="1">
      <alignment horizontal="center" vertical="center"/>
    </xf>
    <xf numFmtId="0" fontId="16" fillId="7" borderId="117" xfId="0" applyFont="1" applyFill="1" applyBorder="1" applyAlignment="1">
      <alignment horizontal="left" vertical="center"/>
    </xf>
    <xf numFmtId="178" fontId="16" fillId="7" borderId="83" xfId="0" applyNumberFormat="1" applyFont="1" applyFill="1" applyBorder="1">
      <alignment horizontal="center" vertical="center"/>
    </xf>
    <xf numFmtId="178" fontId="16" fillId="7" borderId="85" xfId="0" applyNumberFormat="1" applyFont="1" applyFill="1" applyBorder="1">
      <alignment horizontal="center" vertical="center"/>
    </xf>
    <xf numFmtId="0" fontId="16" fillId="7" borderId="117" xfId="0" applyFont="1" applyFill="1" applyBorder="1">
      <alignment horizontal="center" vertical="center"/>
    </xf>
    <xf numFmtId="193" fontId="16" fillId="7" borderId="83" xfId="4" applyNumberFormat="1" applyFont="1" applyFill="1" applyBorder="1" applyAlignment="1">
      <alignment horizontal="center" vertical="center"/>
    </xf>
    <xf numFmtId="193" fontId="16" fillId="7" borderId="84" xfId="4" applyNumberFormat="1" applyFont="1" applyFill="1" applyBorder="1" applyAlignment="1">
      <alignment horizontal="center" vertical="center"/>
    </xf>
    <xf numFmtId="193" fontId="16" fillId="7" borderId="85" xfId="4" applyNumberFormat="1" applyFont="1" applyFill="1" applyBorder="1" applyAlignment="1">
      <alignment horizontal="center" vertical="center"/>
    </xf>
    <xf numFmtId="0" fontId="16" fillId="7" borderId="21" xfId="0" applyFont="1" applyFill="1" applyBorder="1" applyAlignment="1">
      <alignment horizontal="left" vertical="center"/>
    </xf>
    <xf numFmtId="186" fontId="16" fillId="7" borderId="37" xfId="1" applyNumberFormat="1" applyFont="1" applyFill="1" applyBorder="1" applyAlignment="1">
      <alignment horizontal="right" vertical="center"/>
    </xf>
    <xf numFmtId="186" fontId="16" fillId="7" borderId="23" xfId="1" applyNumberFormat="1" applyFont="1" applyFill="1" applyBorder="1" applyAlignment="1">
      <alignment horizontal="right" vertical="center"/>
    </xf>
    <xf numFmtId="0" fontId="16" fillId="7" borderId="82" xfId="0" applyFont="1" applyFill="1" applyBorder="1" applyAlignment="1">
      <alignment horizontal="left" vertical="center"/>
    </xf>
    <xf numFmtId="187" fontId="16" fillId="7" borderId="8" xfId="1" applyNumberFormat="1" applyFont="1" applyFill="1" applyBorder="1" applyAlignment="1">
      <alignment horizontal="right" vertical="center"/>
    </xf>
    <xf numFmtId="187" fontId="16" fillId="7" borderId="1" xfId="1" applyNumberFormat="1" applyFont="1" applyFill="1" applyBorder="1" applyAlignment="1">
      <alignment horizontal="right" vertical="center"/>
    </xf>
    <xf numFmtId="187" fontId="16" fillId="7" borderId="9" xfId="1" applyNumberFormat="1" applyFont="1" applyFill="1" applyBorder="1" applyAlignment="1">
      <alignment horizontal="right" vertical="center"/>
    </xf>
    <xf numFmtId="204" fontId="55" fillId="0" borderId="0" xfId="0" applyNumberFormat="1" applyFont="1" applyAlignment="1">
      <alignment vertical="center"/>
    </xf>
    <xf numFmtId="205" fontId="55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56" fillId="0" borderId="86" xfId="0" applyFont="1" applyBorder="1" applyAlignment="1">
      <alignment horizontal="center" vertical="center" wrapText="1"/>
    </xf>
    <xf numFmtId="0" fontId="57" fillId="0" borderId="86" xfId="0" applyFont="1" applyBorder="1" applyAlignment="1">
      <alignment horizontal="center" vertical="center" wrapText="1"/>
    </xf>
    <xf numFmtId="0" fontId="58" fillId="0" borderId="0" xfId="0" applyFont="1" applyAlignment="1">
      <alignment vertical="center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left" vertical="center"/>
    </xf>
    <xf numFmtId="0" fontId="59" fillId="0" borderId="86" xfId="0" applyFont="1" applyBorder="1" applyAlignment="1">
      <alignment horizontal="center" vertical="center" wrapText="1"/>
    </xf>
    <xf numFmtId="0" fontId="60" fillId="0" borderId="0" xfId="0" applyFont="1" applyAlignment="1">
      <alignment horizontal="left" vertical="center"/>
    </xf>
    <xf numFmtId="0" fontId="61" fillId="0" borderId="86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65" fillId="17" borderId="118" xfId="0" applyFont="1" applyFill="1" applyBorder="1" applyAlignment="1">
      <alignment horizontal="center" vertical="center" wrapText="1" readingOrder="1"/>
    </xf>
    <xf numFmtId="0" fontId="64" fillId="6" borderId="118" xfId="0" applyFont="1" applyFill="1" applyBorder="1" applyAlignment="1">
      <alignment horizontal="center" vertical="center" wrapText="1" readingOrder="1"/>
    </xf>
    <xf numFmtId="184" fontId="64" fillId="6" borderId="118" xfId="0" applyNumberFormat="1" applyFont="1" applyFill="1" applyBorder="1" applyAlignment="1">
      <alignment horizontal="center" vertical="center" wrapText="1" readingOrder="1"/>
    </xf>
    <xf numFmtId="3" fontId="64" fillId="6" borderId="118" xfId="0" applyNumberFormat="1" applyFont="1" applyFill="1" applyBorder="1" applyAlignment="1">
      <alignment horizontal="center" vertical="center" wrapText="1" readingOrder="1"/>
    </xf>
    <xf numFmtId="0" fontId="66" fillId="17" borderId="118" xfId="0" applyFont="1" applyFill="1" applyBorder="1" applyAlignment="1">
      <alignment horizontal="center" vertical="center" wrapText="1" readingOrder="1"/>
    </xf>
    <xf numFmtId="0" fontId="63" fillId="6" borderId="118" xfId="0" applyFont="1" applyFill="1" applyBorder="1">
      <alignment horizontal="center" vertical="center"/>
    </xf>
    <xf numFmtId="0" fontId="62" fillId="17" borderId="118" xfId="0" applyFont="1" applyFill="1" applyBorder="1" applyAlignment="1">
      <alignment horizontal="center" vertical="center" wrapText="1" readingOrder="1"/>
    </xf>
    <xf numFmtId="0" fontId="67" fillId="17" borderId="118" xfId="0" applyFont="1" applyFill="1" applyBorder="1" applyAlignment="1">
      <alignment horizontal="center" vertical="center" wrapText="1"/>
    </xf>
    <xf numFmtId="0" fontId="63" fillId="6" borderId="118" xfId="0" applyFont="1" applyFill="1" applyBorder="1" applyAlignment="1">
      <alignment horizontal="center" vertical="center" wrapText="1" readingOrder="1"/>
    </xf>
    <xf numFmtId="3" fontId="63" fillId="6" borderId="118" xfId="0" applyNumberFormat="1" applyFont="1" applyFill="1" applyBorder="1" applyAlignment="1">
      <alignment horizontal="center" vertical="center" wrapText="1" readingOrder="1"/>
    </xf>
    <xf numFmtId="0" fontId="68" fillId="0" borderId="1" xfId="0" applyFont="1" applyBorder="1">
      <alignment horizontal="center" vertical="center"/>
    </xf>
    <xf numFmtId="0" fontId="20" fillId="15" borderId="1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 wrapText="1"/>
    </xf>
    <xf numFmtId="0" fontId="54" fillId="0" borderId="1" xfId="0" applyFont="1" applyBorder="1">
      <alignment horizontal="center" vertical="center"/>
    </xf>
    <xf numFmtId="0" fontId="45" fillId="0" borderId="1" xfId="0" applyFont="1" applyBorder="1">
      <alignment horizontal="center" vertical="center"/>
    </xf>
    <xf numFmtId="17" fontId="45" fillId="0" borderId="1" xfId="0" applyNumberFormat="1" applyFont="1" applyBorder="1">
      <alignment horizontal="center" vertical="center"/>
    </xf>
    <xf numFmtId="3" fontId="45" fillId="0" borderId="1" xfId="0" applyNumberFormat="1" applyFont="1" applyBorder="1">
      <alignment horizontal="center" vertical="center"/>
    </xf>
    <xf numFmtId="0" fontId="54" fillId="0" borderId="0" xfId="0" quotePrefix="1" applyFont="1" applyAlignment="1">
      <alignment horizontal="left" vertical="center"/>
    </xf>
    <xf numFmtId="0" fontId="68" fillId="18" borderId="1" xfId="0" applyFont="1" applyFill="1" applyBorder="1">
      <alignment horizontal="center" vertical="center"/>
    </xf>
    <xf numFmtId="0" fontId="54" fillId="18" borderId="1" xfId="0" applyFont="1" applyFill="1" applyBorder="1">
      <alignment horizontal="center" vertical="center"/>
    </xf>
    <xf numFmtId="0" fontId="30" fillId="18" borderId="1" xfId="0" applyFont="1" applyFill="1" applyBorder="1">
      <alignment horizontal="center" vertical="center"/>
    </xf>
    <xf numFmtId="0" fontId="30" fillId="19" borderId="1" xfId="0" applyFont="1" applyFill="1" applyBorder="1">
      <alignment horizontal="center" vertical="center"/>
    </xf>
    <xf numFmtId="0" fontId="30" fillId="19" borderId="1" xfId="0" applyFont="1" applyFill="1" applyBorder="1" applyAlignment="1">
      <alignment horizontal="center" vertical="center" shrinkToFit="1"/>
    </xf>
    <xf numFmtId="206" fontId="54" fillId="0" borderId="1" xfId="0" applyNumberFormat="1" applyFont="1" applyBorder="1">
      <alignment horizontal="center" vertical="center"/>
    </xf>
    <xf numFmtId="207" fontId="54" fillId="0" borderId="1" xfId="1" applyNumberFormat="1" applyFont="1" applyBorder="1" applyAlignment="1">
      <alignment horizontal="center" vertical="center"/>
    </xf>
    <xf numFmtId="0" fontId="58" fillId="0" borderId="0" xfId="0" quotePrefix="1" applyFont="1" applyAlignment="1">
      <alignment horizontal="left" vertical="center"/>
    </xf>
    <xf numFmtId="0" fontId="32" fillId="18" borderId="1" xfId="0" applyFont="1" applyFill="1" applyBorder="1">
      <alignment horizontal="center" vertical="center"/>
    </xf>
    <xf numFmtId="0" fontId="32" fillId="19" borderId="1" xfId="0" applyFont="1" applyFill="1" applyBorder="1">
      <alignment horizontal="center" vertical="center"/>
    </xf>
    <xf numFmtId="0" fontId="39" fillId="0" borderId="0" xfId="0" applyFont="1" applyAlignment="1">
      <alignment horizontal="left" vertical="center"/>
    </xf>
    <xf numFmtId="181" fontId="0" fillId="4" borderId="104" xfId="0" applyNumberFormat="1" applyFill="1" applyBorder="1">
      <alignment horizontal="center" vertical="center"/>
    </xf>
    <xf numFmtId="0" fontId="0" fillId="4" borderId="103" xfId="0" applyFill="1" applyBorder="1">
      <alignment horizontal="center" vertical="center"/>
    </xf>
    <xf numFmtId="0" fontId="0" fillId="4" borderId="105" xfId="0" applyFill="1" applyBorder="1">
      <alignment horizontal="center" vertical="center"/>
    </xf>
    <xf numFmtId="181" fontId="0" fillId="4" borderId="110" xfId="0" applyNumberFormat="1" applyFill="1" applyBorder="1">
      <alignment horizontal="center" vertical="center"/>
    </xf>
    <xf numFmtId="181" fontId="0" fillId="4" borderId="105" xfId="0" applyNumberFormat="1" applyFill="1" applyBorder="1">
      <alignment horizontal="center" vertical="center"/>
    </xf>
    <xf numFmtId="0" fontId="0" fillId="12" borderId="22" xfId="0" applyFill="1" applyBorder="1">
      <alignment horizontal="center" vertical="center"/>
    </xf>
    <xf numFmtId="0" fontId="0" fillId="12" borderId="23" xfId="0" applyFill="1" applyBorder="1">
      <alignment horizontal="center" vertical="center"/>
    </xf>
    <xf numFmtId="0" fontId="0" fillId="0" borderId="22" xfId="0" applyBorder="1">
      <alignment horizontal="center" vertical="center"/>
    </xf>
    <xf numFmtId="0" fontId="0" fillId="4" borderId="21" xfId="0" applyFill="1" applyBorder="1">
      <alignment horizontal="center" vertical="center"/>
    </xf>
    <xf numFmtId="0" fontId="0" fillId="4" borderId="11" xfId="0" applyFill="1" applyBorder="1">
      <alignment horizontal="center" vertical="center"/>
    </xf>
    <xf numFmtId="0" fontId="18" fillId="13" borderId="22" xfId="0" applyFont="1" applyFill="1" applyBorder="1">
      <alignment horizontal="center" vertical="center"/>
    </xf>
    <xf numFmtId="189" fontId="24" fillId="0" borderId="58" xfId="0" applyNumberFormat="1" applyFont="1" applyBorder="1">
      <alignment horizontal="center" vertical="center"/>
    </xf>
    <xf numFmtId="189" fontId="24" fillId="0" borderId="59" xfId="0" applyNumberFormat="1" applyFont="1" applyBorder="1">
      <alignment horizontal="center" vertical="center"/>
    </xf>
    <xf numFmtId="0" fontId="34" fillId="0" borderId="47" xfId="0" applyFont="1" applyBorder="1">
      <alignment horizontal="center" vertical="center"/>
    </xf>
    <xf numFmtId="0" fontId="34" fillId="0" borderId="31" xfId="0" applyFont="1" applyBorder="1">
      <alignment horizontal="center" vertical="center"/>
    </xf>
    <xf numFmtId="0" fontId="34" fillId="0" borderId="30" xfId="0" applyFont="1" applyBorder="1">
      <alignment horizontal="center" vertical="center"/>
    </xf>
    <xf numFmtId="0" fontId="29" fillId="0" borderId="0" xfId="0" applyFont="1">
      <alignment horizontal="center" vertical="center"/>
    </xf>
    <xf numFmtId="0" fontId="32" fillId="5" borderId="66" xfId="0" applyFont="1" applyFill="1" applyBorder="1">
      <alignment horizontal="center" vertical="center"/>
    </xf>
    <xf numFmtId="0" fontId="32" fillId="5" borderId="36" xfId="0" applyFont="1" applyFill="1" applyBorder="1">
      <alignment horizontal="center" vertical="center"/>
    </xf>
    <xf numFmtId="0" fontId="32" fillId="5" borderId="64" xfId="0" applyFont="1" applyFill="1" applyBorder="1">
      <alignment horizontal="center" vertical="center"/>
    </xf>
    <xf numFmtId="0" fontId="0" fillId="0" borderId="21" xfId="0" applyBorder="1">
      <alignment horizontal="center" vertical="center"/>
    </xf>
    <xf numFmtId="0" fontId="0" fillId="0" borderId="11" xfId="0" applyBorder="1">
      <alignment horizontal="center" vertical="center"/>
    </xf>
    <xf numFmtId="0" fontId="0" fillId="0" borderId="12" xfId="0" applyBorder="1">
      <alignment horizontal="center" vertical="center"/>
    </xf>
    <xf numFmtId="0" fontId="0" fillId="0" borderId="47" xfId="0" applyBorder="1">
      <alignment horizontal="center" vertical="center"/>
    </xf>
    <xf numFmtId="0" fontId="0" fillId="0" borderId="31" xfId="0" applyBorder="1">
      <alignment horizontal="center" vertical="center"/>
    </xf>
    <xf numFmtId="0" fontId="20" fillId="0" borderId="56" xfId="0" applyFont="1" applyBorder="1">
      <alignment horizontal="center" vertical="center"/>
    </xf>
    <xf numFmtId="0" fontId="20" fillId="0" borderId="15" xfId="0" applyFont="1" applyBorder="1">
      <alignment horizontal="center" vertical="center"/>
    </xf>
    <xf numFmtId="0" fontId="0" fillId="0" borderId="17" xfId="0" applyBorder="1">
      <alignment horizontal="center" vertical="center"/>
    </xf>
    <xf numFmtId="0" fontId="32" fillId="5" borderId="47" xfId="0" applyFont="1" applyFill="1" applyBorder="1">
      <alignment horizontal="center" vertical="center"/>
    </xf>
    <xf numFmtId="0" fontId="32" fillId="5" borderId="31" xfId="0" applyFont="1" applyFill="1" applyBorder="1">
      <alignment horizontal="center" vertical="center"/>
    </xf>
    <xf numFmtId="0" fontId="32" fillId="5" borderId="27" xfId="0" applyFont="1" applyFill="1" applyBorder="1">
      <alignment horizontal="center" vertical="center"/>
    </xf>
  </cellXfs>
  <cellStyles count="5">
    <cellStyle name="나쁨" xfId="2" builtinId="27" customBuiltin="1"/>
    <cellStyle name="백분율" xfId="4" builtinId="5"/>
    <cellStyle name="쉼표 [0]" xfId="1" builtinId="6"/>
    <cellStyle name="표준" xfId="0" builtinId="0" customBuiltin="1"/>
    <cellStyle name="표준 2" xfId="3" xr:uid="{00000000-0005-0000-0000-000004000000}"/>
  </cellStyles>
  <dxfs count="1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차트!$F$4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차트!$B$5:$B$14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차트!$F$5:$F$14</c:f>
              <c:numCache>
                <c:formatCode>#,##0\ "kW"</c:formatCode>
                <c:ptCount val="10"/>
                <c:pt idx="0">
                  <c:v>8781.1450000000004</c:v>
                </c:pt>
                <c:pt idx="1">
                  <c:v>397.31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B-419F-97D1-9B01815F7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1029248"/>
        <c:axId val="230805440"/>
        <c:extLst/>
      </c:barChart>
      <c:catAx>
        <c:axId val="23102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0805440"/>
        <c:crosses val="autoZero"/>
        <c:auto val="1"/>
        <c:lblAlgn val="ctr"/>
        <c:lblOffset val="100"/>
        <c:noMultiLvlLbl val="0"/>
      </c:catAx>
      <c:valAx>
        <c:axId val="230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102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86B-419F-97D1-9B01815F7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0426112"/>
        <c:axId val="230807168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B-419F-97D1-9B01815F7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426112"/>
        <c:axId val="230807168"/>
      </c:lineChart>
      <c:catAx>
        <c:axId val="23042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0807168"/>
        <c:crosses val="autoZero"/>
        <c:auto val="1"/>
        <c:lblAlgn val="ctr"/>
        <c:lblOffset val="100"/>
        <c:noMultiLvlLbl val="0"/>
      </c:catAx>
      <c:valAx>
        <c:axId val="2308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042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차트!$O$4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차트!$K$5:$K$14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차트!$O$5:$O$14</c:f>
              <c:numCache>
                <c:formatCode>#,##0\ "kW"</c:formatCode>
                <c:ptCount val="10"/>
                <c:pt idx="0">
                  <c:v>16321.66</c:v>
                </c:pt>
                <c:pt idx="1">
                  <c:v>5774.3600000000006</c:v>
                </c:pt>
                <c:pt idx="2">
                  <c:v>0</c:v>
                </c:pt>
                <c:pt idx="3">
                  <c:v>0</c:v>
                </c:pt>
                <c:pt idx="4">
                  <c:v>549.76</c:v>
                </c:pt>
                <c:pt idx="5">
                  <c:v>0</c:v>
                </c:pt>
                <c:pt idx="6">
                  <c:v>0</c:v>
                </c:pt>
                <c:pt idx="7">
                  <c:v>29.024999999999999</c:v>
                </c:pt>
                <c:pt idx="8">
                  <c:v>0</c:v>
                </c:pt>
                <c:pt idx="9">
                  <c:v>1115.8500000000001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0-4F70-9CD8-25B285BE6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0428160"/>
        <c:axId val="234299392"/>
        <c:extLst/>
      </c:barChart>
      <c:catAx>
        <c:axId val="23042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299392"/>
        <c:crosses val="autoZero"/>
        <c:auto val="1"/>
        <c:lblAlgn val="ctr"/>
        <c:lblOffset val="100"/>
        <c:noMultiLvlLbl val="0"/>
      </c:catAx>
      <c:valAx>
        <c:axId val="2342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042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B4F-4106-90C6-2A28433B5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041856"/>
        <c:axId val="234301120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F-4106-90C6-2A28433B5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041856"/>
        <c:axId val="234301120"/>
      </c:lineChart>
      <c:catAx>
        <c:axId val="23404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01120"/>
        <c:crosses val="autoZero"/>
        <c:auto val="1"/>
        <c:lblAlgn val="ctr"/>
        <c:lblOffset val="100"/>
        <c:noMultiLvlLbl val="0"/>
      </c:catAx>
      <c:valAx>
        <c:axId val="2343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04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차트!$X$4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차트!$T$5:$T$14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차트!$X$5:$X$14</c:f>
              <c:numCache>
                <c:formatCode>#,##0\ "kW"</c:formatCode>
                <c:ptCount val="10"/>
                <c:pt idx="0">
                  <c:v>27907.794999999998</c:v>
                </c:pt>
                <c:pt idx="1">
                  <c:v>6379.3700000000008</c:v>
                </c:pt>
                <c:pt idx="2">
                  <c:v>0</c:v>
                </c:pt>
                <c:pt idx="3">
                  <c:v>652.79999999999995</c:v>
                </c:pt>
                <c:pt idx="4">
                  <c:v>837.76</c:v>
                </c:pt>
                <c:pt idx="5">
                  <c:v>349.44</c:v>
                </c:pt>
                <c:pt idx="6">
                  <c:v>0</c:v>
                </c:pt>
                <c:pt idx="7">
                  <c:v>29.024999999999999</c:v>
                </c:pt>
                <c:pt idx="8">
                  <c:v>0</c:v>
                </c:pt>
                <c:pt idx="9">
                  <c:v>2926.74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8-4C95-9739-B0E3764E0D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042880"/>
        <c:axId val="234303424"/>
        <c:extLst/>
      </c:barChart>
      <c:catAx>
        <c:axId val="23404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03424"/>
        <c:crosses val="autoZero"/>
        <c:auto val="1"/>
        <c:lblAlgn val="ctr"/>
        <c:lblOffset val="100"/>
        <c:noMultiLvlLbl val="0"/>
      </c:catAx>
      <c:valAx>
        <c:axId val="23430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04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ECA-43B1-9509-2CAD43A01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043904"/>
        <c:axId val="234305152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CA-43B1-9509-2CAD43A01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043904"/>
        <c:axId val="234305152"/>
      </c:lineChart>
      <c:catAx>
        <c:axId val="2340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05152"/>
        <c:crosses val="autoZero"/>
        <c:auto val="1"/>
        <c:lblAlgn val="ctr"/>
        <c:lblOffset val="100"/>
        <c:noMultiLvlLbl val="0"/>
      </c:catAx>
      <c:valAx>
        <c:axId val="2343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04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차트!$AG$4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차트!$AC$5:$AC$14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차트!$AG$5:$AG$14</c:f>
              <c:numCache>
                <c:formatCode>#,##0\ "kW"</c:formatCode>
                <c:ptCount val="10"/>
                <c:pt idx="0">
                  <c:v>34615.149999999994</c:v>
                </c:pt>
                <c:pt idx="1">
                  <c:v>7229.5700000000006</c:v>
                </c:pt>
                <c:pt idx="2">
                  <c:v>0</c:v>
                </c:pt>
                <c:pt idx="3">
                  <c:v>652.79999999999995</c:v>
                </c:pt>
                <c:pt idx="4">
                  <c:v>1008</c:v>
                </c:pt>
                <c:pt idx="5">
                  <c:v>349.44</c:v>
                </c:pt>
                <c:pt idx="6">
                  <c:v>0</c:v>
                </c:pt>
                <c:pt idx="7">
                  <c:v>29.024999999999999</c:v>
                </c:pt>
                <c:pt idx="8">
                  <c:v>0</c:v>
                </c:pt>
                <c:pt idx="9">
                  <c:v>4611.4799999999996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E-4E8C-828E-75EB393269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393600"/>
        <c:axId val="234217472"/>
        <c:extLst/>
      </c:barChart>
      <c:catAx>
        <c:axId val="23439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217472"/>
        <c:crosses val="autoZero"/>
        <c:auto val="1"/>
        <c:lblAlgn val="ctr"/>
        <c:lblOffset val="100"/>
        <c:noMultiLvlLbl val="0"/>
      </c:catAx>
      <c:valAx>
        <c:axId val="23421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9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9F3-4CD3-A185-D6F4E345E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395136"/>
        <c:axId val="234219200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3-4CD3-A185-D6F4E345E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95136"/>
        <c:axId val="234219200"/>
      </c:lineChart>
      <c:catAx>
        <c:axId val="23439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219200"/>
        <c:crosses val="autoZero"/>
        <c:auto val="1"/>
        <c:lblAlgn val="ctr"/>
        <c:lblOffset val="100"/>
        <c:noMultiLvlLbl val="0"/>
      </c:catAx>
      <c:valAx>
        <c:axId val="23421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차트!$AP$4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차트!$AL$5:$AL$14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차트!$AP$5:$AP$14</c:f>
              <c:numCache>
                <c:formatCode>#,##0\ "kW"</c:formatCode>
                <c:ptCount val="10"/>
                <c:pt idx="0">
                  <c:v>38484.504999999997</c:v>
                </c:pt>
                <c:pt idx="1">
                  <c:v>7229.5700000000006</c:v>
                </c:pt>
                <c:pt idx="2">
                  <c:v>0</c:v>
                </c:pt>
                <c:pt idx="3">
                  <c:v>652.79999999999995</c:v>
                </c:pt>
                <c:pt idx="4">
                  <c:v>1061.76</c:v>
                </c:pt>
                <c:pt idx="5">
                  <c:v>349.44</c:v>
                </c:pt>
                <c:pt idx="6">
                  <c:v>0</c:v>
                </c:pt>
                <c:pt idx="7">
                  <c:v>29.024999999999999</c:v>
                </c:pt>
                <c:pt idx="8">
                  <c:v>0</c:v>
                </c:pt>
                <c:pt idx="9">
                  <c:v>4611.4799999999996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6-486A-8D9D-74C406875E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397184"/>
        <c:axId val="234221504"/>
        <c:extLst/>
      </c:barChart>
      <c:catAx>
        <c:axId val="23439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221504"/>
        <c:crosses val="autoZero"/>
        <c:auto val="1"/>
        <c:lblAlgn val="ctr"/>
        <c:lblOffset val="100"/>
        <c:noMultiLvlLbl val="0"/>
      </c:catAx>
      <c:valAx>
        <c:axId val="23422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39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D50-42A9-8AB1-607E6096E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590208"/>
        <c:axId val="234223232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50-42A9-8AB1-607E6096E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90208"/>
        <c:axId val="234223232"/>
      </c:lineChart>
      <c:catAx>
        <c:axId val="23459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223232"/>
        <c:crosses val="autoZero"/>
        <c:auto val="1"/>
        <c:lblAlgn val="ctr"/>
        <c:lblOffset val="100"/>
        <c:noMultiLvlLbl val="0"/>
      </c:catAx>
      <c:valAx>
        <c:axId val="2342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5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차트!$AY$4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차트!$AU$5:$AU$14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차트!$AY$5:$AY$14</c:f>
              <c:numCache>
                <c:formatCode>#,##0\ "kW"</c:formatCode>
                <c:ptCount val="10"/>
                <c:pt idx="0">
                  <c:v>44434.63</c:v>
                </c:pt>
                <c:pt idx="1">
                  <c:v>7229.5700000000006</c:v>
                </c:pt>
                <c:pt idx="2">
                  <c:v>0</c:v>
                </c:pt>
                <c:pt idx="3">
                  <c:v>652.79999999999995</c:v>
                </c:pt>
                <c:pt idx="4">
                  <c:v>2111.8199999999997</c:v>
                </c:pt>
                <c:pt idx="5">
                  <c:v>349.44</c:v>
                </c:pt>
                <c:pt idx="6">
                  <c:v>0</c:v>
                </c:pt>
                <c:pt idx="7">
                  <c:v>29.024999999999999</c:v>
                </c:pt>
                <c:pt idx="8">
                  <c:v>0</c:v>
                </c:pt>
                <c:pt idx="9">
                  <c:v>4611.4799999999996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C-44B0-B58B-07FF6FE998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591744"/>
        <c:axId val="234987520"/>
        <c:extLst/>
      </c:barChart>
      <c:catAx>
        <c:axId val="23459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87520"/>
        <c:crosses val="autoZero"/>
        <c:auto val="1"/>
        <c:lblAlgn val="ctr"/>
        <c:lblOffset val="100"/>
        <c:noMultiLvlLbl val="0"/>
      </c:catAx>
      <c:valAx>
        <c:axId val="2349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59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F30-4729-8352-FB123623E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592768"/>
        <c:axId val="234989248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0-4729-8352-FB123623E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92768"/>
        <c:axId val="234989248"/>
      </c:lineChart>
      <c:catAx>
        <c:axId val="23459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89248"/>
        <c:crosses val="autoZero"/>
        <c:auto val="1"/>
        <c:lblAlgn val="ctr"/>
        <c:lblOffset val="100"/>
        <c:noMultiLvlLbl val="0"/>
      </c:catAx>
      <c:valAx>
        <c:axId val="2349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59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차트!$BH$4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차트!$BD$5:$BD$14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차트!$BH$5:$BH$14</c:f>
              <c:numCache>
                <c:formatCode>#,##0\ "kW"</c:formatCode>
                <c:ptCount val="10"/>
                <c:pt idx="0">
                  <c:v>50723.214999999997</c:v>
                </c:pt>
                <c:pt idx="1">
                  <c:v>7229.5700000000006</c:v>
                </c:pt>
                <c:pt idx="2">
                  <c:v>0</c:v>
                </c:pt>
                <c:pt idx="3">
                  <c:v>652.79999999999995</c:v>
                </c:pt>
                <c:pt idx="4">
                  <c:v>2574.2849999999999</c:v>
                </c:pt>
                <c:pt idx="5">
                  <c:v>349.44</c:v>
                </c:pt>
                <c:pt idx="6">
                  <c:v>0</c:v>
                </c:pt>
                <c:pt idx="7">
                  <c:v>29.024999999999999</c:v>
                </c:pt>
                <c:pt idx="8">
                  <c:v>0</c:v>
                </c:pt>
                <c:pt idx="9">
                  <c:v>7008.24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7-40B0-AFCD-D15CA62167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593792"/>
        <c:axId val="234991552"/>
        <c:extLst/>
      </c:barChart>
      <c:catAx>
        <c:axId val="2345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91552"/>
        <c:crosses val="autoZero"/>
        <c:auto val="1"/>
        <c:lblAlgn val="ctr"/>
        <c:lblOffset val="100"/>
        <c:noMultiLvlLbl val="0"/>
      </c:catAx>
      <c:valAx>
        <c:axId val="2349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5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721-4647-ABAF-F3BC54C68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275776"/>
        <c:axId val="234993280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1-4647-ABAF-F3BC54C68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75776"/>
        <c:axId val="234993280"/>
      </c:lineChart>
      <c:catAx>
        <c:axId val="23527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93280"/>
        <c:crosses val="autoZero"/>
        <c:auto val="1"/>
        <c:lblAlgn val="ctr"/>
        <c:lblOffset val="100"/>
        <c:noMultiLvlLbl val="0"/>
      </c:catAx>
      <c:valAx>
        <c:axId val="2349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27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차트!$BQ$4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차트!$BM$5:$BM$14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차트!$BQ$5:$BQ$14</c:f>
              <c:numCache>
                <c:formatCode>#,##0\ "kW"</c:formatCode>
                <c:ptCount val="10"/>
                <c:pt idx="0">
                  <c:v>56543.694999999992</c:v>
                </c:pt>
                <c:pt idx="1">
                  <c:v>7229.5700000000006</c:v>
                </c:pt>
                <c:pt idx="2">
                  <c:v>0</c:v>
                </c:pt>
                <c:pt idx="3">
                  <c:v>652.79999999999995</c:v>
                </c:pt>
                <c:pt idx="4">
                  <c:v>2574.2849999999999</c:v>
                </c:pt>
                <c:pt idx="5">
                  <c:v>349.44</c:v>
                </c:pt>
                <c:pt idx="6">
                  <c:v>0</c:v>
                </c:pt>
                <c:pt idx="7">
                  <c:v>70.305000000000007</c:v>
                </c:pt>
                <c:pt idx="8">
                  <c:v>0</c:v>
                </c:pt>
                <c:pt idx="9">
                  <c:v>7008.24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5-484D-B14A-865FB11300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5277312"/>
        <c:axId val="234692608"/>
        <c:extLst/>
      </c:barChart>
      <c:catAx>
        <c:axId val="23527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692608"/>
        <c:crosses val="autoZero"/>
        <c:auto val="1"/>
        <c:lblAlgn val="ctr"/>
        <c:lblOffset val="100"/>
        <c:noMultiLvlLbl val="0"/>
      </c:catAx>
      <c:valAx>
        <c:axId val="2346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27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632-4A23-9685-ADD2E6592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276288"/>
        <c:axId val="234694912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32-4A23-9685-ADD2E6592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76288"/>
        <c:axId val="234694912"/>
      </c:lineChart>
      <c:catAx>
        <c:axId val="2352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694912"/>
        <c:crosses val="autoZero"/>
        <c:auto val="1"/>
        <c:lblAlgn val="ctr"/>
        <c:lblOffset val="100"/>
        <c:noMultiLvlLbl val="0"/>
      </c:catAx>
      <c:valAx>
        <c:axId val="2346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2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차트!$BZ$4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차트!$BV$5:$BV$14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차트!$BZ$5:$BZ$14</c:f>
              <c:numCache>
                <c:formatCode>#,##0\ "kW"</c:formatCode>
                <c:ptCount val="10"/>
                <c:pt idx="0">
                  <c:v>61184.299999999988</c:v>
                </c:pt>
                <c:pt idx="1">
                  <c:v>7229.5700000000006</c:v>
                </c:pt>
                <c:pt idx="2">
                  <c:v>0</c:v>
                </c:pt>
                <c:pt idx="3">
                  <c:v>652.79999999999995</c:v>
                </c:pt>
                <c:pt idx="4">
                  <c:v>2699.415</c:v>
                </c:pt>
                <c:pt idx="5">
                  <c:v>3093.915</c:v>
                </c:pt>
                <c:pt idx="6">
                  <c:v>0</c:v>
                </c:pt>
                <c:pt idx="7">
                  <c:v>70.305000000000007</c:v>
                </c:pt>
                <c:pt idx="8">
                  <c:v>0</c:v>
                </c:pt>
                <c:pt idx="9">
                  <c:v>8342.23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2-420D-9F94-3BE5A91369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832384"/>
        <c:axId val="234697216"/>
        <c:extLst/>
      </c:barChart>
      <c:catAx>
        <c:axId val="23483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697216"/>
        <c:crosses val="autoZero"/>
        <c:auto val="1"/>
        <c:lblAlgn val="ctr"/>
        <c:lblOffset val="100"/>
        <c:noMultiLvlLbl val="0"/>
      </c:catAx>
      <c:valAx>
        <c:axId val="2346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83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1D8-471A-AD82-3B628F3E2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833408"/>
        <c:axId val="234698368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8-471A-AD82-3B628F3E2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833408"/>
        <c:axId val="234698368"/>
      </c:lineChart>
      <c:catAx>
        <c:axId val="2348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698368"/>
        <c:crosses val="autoZero"/>
        <c:auto val="1"/>
        <c:lblAlgn val="ctr"/>
        <c:lblOffset val="100"/>
        <c:noMultiLvlLbl val="0"/>
      </c:catAx>
      <c:valAx>
        <c:axId val="2346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8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차트!$CI$4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차트!$CE$5:$CE$14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차트!$CI$5:$CI$14</c:f>
              <c:numCache>
                <c:formatCode>#,##0\ "kW"</c:formatCode>
                <c:ptCount val="10"/>
                <c:pt idx="0">
                  <c:v>61184.299999999988</c:v>
                </c:pt>
                <c:pt idx="1">
                  <c:v>7229.5700000000006</c:v>
                </c:pt>
                <c:pt idx="2">
                  <c:v>0</c:v>
                </c:pt>
                <c:pt idx="3">
                  <c:v>652.79999999999995</c:v>
                </c:pt>
                <c:pt idx="4">
                  <c:v>2699.415</c:v>
                </c:pt>
                <c:pt idx="5">
                  <c:v>3093.915</c:v>
                </c:pt>
                <c:pt idx="6">
                  <c:v>0</c:v>
                </c:pt>
                <c:pt idx="7">
                  <c:v>70.305000000000007</c:v>
                </c:pt>
                <c:pt idx="8">
                  <c:v>0</c:v>
                </c:pt>
                <c:pt idx="9">
                  <c:v>8342.23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C-4A3C-B656-7AD5B4BA3E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4834944"/>
        <c:axId val="234921984"/>
        <c:extLst/>
      </c:barChart>
      <c:catAx>
        <c:axId val="23483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21984"/>
        <c:crosses val="autoZero"/>
        <c:auto val="1"/>
        <c:lblAlgn val="ctr"/>
        <c:lblOffset val="100"/>
        <c:noMultiLvlLbl val="0"/>
      </c:catAx>
      <c:valAx>
        <c:axId val="23492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8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527-45C8-A788-C4D28247F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475456"/>
        <c:axId val="234923712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7-45C8-A788-C4D28247F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75456"/>
        <c:axId val="234923712"/>
      </c:lineChart>
      <c:catAx>
        <c:axId val="23547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23712"/>
        <c:crosses val="autoZero"/>
        <c:auto val="1"/>
        <c:lblAlgn val="ctr"/>
        <c:lblOffset val="100"/>
        <c:noMultiLvlLbl val="0"/>
      </c:catAx>
      <c:valAx>
        <c:axId val="2349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4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차트!$CR$4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차트!$CN$5:$CN$14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차트!$CR$5:$CR$14</c:f>
              <c:numCache>
                <c:formatCode>#,##0\ "kW"</c:formatCode>
                <c:ptCount val="10"/>
                <c:pt idx="0">
                  <c:v>61184.299999999988</c:v>
                </c:pt>
                <c:pt idx="1">
                  <c:v>7229.5700000000006</c:v>
                </c:pt>
                <c:pt idx="2">
                  <c:v>0</c:v>
                </c:pt>
                <c:pt idx="3">
                  <c:v>652.79999999999995</c:v>
                </c:pt>
                <c:pt idx="4">
                  <c:v>2699.415</c:v>
                </c:pt>
                <c:pt idx="5">
                  <c:v>3093.915</c:v>
                </c:pt>
                <c:pt idx="6">
                  <c:v>0</c:v>
                </c:pt>
                <c:pt idx="7">
                  <c:v>70.305000000000007</c:v>
                </c:pt>
                <c:pt idx="8">
                  <c:v>0</c:v>
                </c:pt>
                <c:pt idx="9">
                  <c:v>8342.23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3-4718-A3F9-D3DA49B163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5478528"/>
        <c:axId val="234926016"/>
        <c:extLst/>
      </c:barChart>
      <c:catAx>
        <c:axId val="23547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26016"/>
        <c:crosses val="autoZero"/>
        <c:auto val="1"/>
        <c:lblAlgn val="ctr"/>
        <c:lblOffset val="100"/>
        <c:noMultiLvlLbl val="0"/>
      </c:catAx>
      <c:valAx>
        <c:axId val="23492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4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B7B-4C37-8C83-285E8A111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553280"/>
        <c:axId val="234927744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B-4C37-8C83-285E8A111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53280"/>
        <c:axId val="234927744"/>
      </c:lineChart>
      <c:catAx>
        <c:axId val="23555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927744"/>
        <c:crosses val="autoZero"/>
        <c:auto val="1"/>
        <c:lblAlgn val="ctr"/>
        <c:lblOffset val="100"/>
        <c:noMultiLvlLbl val="0"/>
      </c:catAx>
      <c:valAx>
        <c:axId val="2349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55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차트!$DA$4</c:f>
              <c:strCache>
                <c:ptCount val="1"/>
                <c:pt idx="0">
                  <c:v>누계 용량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차트!$CW$5:$CW$14</c:f>
              <c:strCache>
                <c:ptCount val="10"/>
                <c:pt idx="0">
                  <c:v>발전사업(A)</c:v>
                </c:pt>
                <c:pt idx="1">
                  <c:v>자가소비(B)</c:v>
                </c:pt>
                <c:pt idx="2">
                  <c:v>PPA 사업(C)</c:v>
                </c:pt>
                <c:pt idx="3">
                  <c:v>리스사업(D)</c:v>
                </c:pt>
                <c:pt idx="4">
                  <c:v>임대사업 (E)</c:v>
                </c:pt>
                <c:pt idx="5">
                  <c:v>환경부사업(F)</c:v>
                </c:pt>
                <c:pt idx="6">
                  <c:v>프로젝트(G)</c:v>
                </c:pt>
                <c:pt idx="7">
                  <c:v>협력사 EPC(H)</c:v>
                </c:pt>
                <c:pt idx="8">
                  <c:v>협력사 하도(I)</c:v>
                </c:pt>
                <c:pt idx="9">
                  <c:v>기타(Z)</c:v>
                </c:pt>
              </c:strCache>
            </c:strRef>
          </c:cat>
          <c:val>
            <c:numRef>
              <c:f>차트!$DA$5:$DA$14</c:f>
              <c:numCache>
                <c:formatCode>#,##0\ "kW"</c:formatCode>
                <c:ptCount val="10"/>
                <c:pt idx="0">
                  <c:v>61184.299999999988</c:v>
                </c:pt>
                <c:pt idx="1">
                  <c:v>7229.5700000000006</c:v>
                </c:pt>
                <c:pt idx="2">
                  <c:v>0</c:v>
                </c:pt>
                <c:pt idx="3">
                  <c:v>652.79999999999995</c:v>
                </c:pt>
                <c:pt idx="4">
                  <c:v>2699.415</c:v>
                </c:pt>
                <c:pt idx="5">
                  <c:v>3093.915</c:v>
                </c:pt>
                <c:pt idx="6">
                  <c:v>0</c:v>
                </c:pt>
                <c:pt idx="7">
                  <c:v>70.305000000000007</c:v>
                </c:pt>
                <c:pt idx="8">
                  <c:v>0</c:v>
                </c:pt>
                <c:pt idx="9">
                  <c:v>8342.23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0-412C-92D6-E276C391FB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5554816"/>
        <c:axId val="235937792"/>
        <c:extLst/>
      </c:barChart>
      <c:catAx>
        <c:axId val="235554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937792"/>
        <c:crosses val="autoZero"/>
        <c:auto val="1"/>
        <c:lblAlgn val="ctr"/>
        <c:lblOffset val="100"/>
        <c:noMultiLvlLbl val="0"/>
      </c:catAx>
      <c:valAx>
        <c:axId val="2359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55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86702215733996E-2"/>
          <c:y val="0.14447469162227847"/>
          <c:w val="0.93485537992928214"/>
          <c:h val="0.64596647126795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차트!$E$160</c:f>
              <c:strCache>
                <c:ptCount val="1"/>
                <c:pt idx="0">
                  <c:v>계약용량(MW)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차트!$E$161:$E$172</c:f>
              <c:numCache>
                <c:formatCode>#,##0</c:formatCode>
                <c:ptCount val="12"/>
                <c:pt idx="0">
                  <c:v>91.784549999999996</c:v>
                </c:pt>
                <c:pt idx="1">
                  <c:v>146.12200000000001</c:v>
                </c:pt>
                <c:pt idx="2">
                  <c:v>152.92274999999998</c:v>
                </c:pt>
                <c:pt idx="3">
                  <c:v>94.125349999999997</c:v>
                </c:pt>
                <c:pt idx="4">
                  <c:v>39.231150000000007</c:v>
                </c:pt>
                <c:pt idx="5">
                  <c:v>70.001850000000019</c:v>
                </c:pt>
                <c:pt idx="6">
                  <c:v>91.478100000000012</c:v>
                </c:pt>
                <c:pt idx="7">
                  <c:v>58.617599999999996</c:v>
                </c:pt>
                <c:pt idx="8">
                  <c:v>88.441999999999993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2FC-4481-AC6F-5BD820CAA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556352"/>
        <c:axId val="235939520"/>
      </c:barChart>
      <c:lineChart>
        <c:grouping val="standard"/>
        <c:varyColors val="0"/>
        <c:ser>
          <c:idx val="0"/>
          <c:order val="0"/>
          <c:tx>
            <c:strRef>
              <c:f>차트!$D$160</c:f>
              <c:strCache>
                <c:ptCount val="1"/>
                <c:pt idx="0">
                  <c:v>목표용량(MW)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차트!$C$161:$C$172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차트!$D$161:$D$172</c:f>
              <c:numCache>
                <c:formatCode>#,##0</c:formatCode>
                <c:ptCount val="12"/>
                <c:pt idx="0">
                  <c:v>121</c:v>
                </c:pt>
                <c:pt idx="1">
                  <c:v>126</c:v>
                </c:pt>
                <c:pt idx="2">
                  <c:v>146</c:v>
                </c:pt>
                <c:pt idx="3">
                  <c:v>134</c:v>
                </c:pt>
                <c:pt idx="4">
                  <c:v>134</c:v>
                </c:pt>
                <c:pt idx="5">
                  <c:v>144</c:v>
                </c:pt>
                <c:pt idx="6">
                  <c:v>108</c:v>
                </c:pt>
                <c:pt idx="7">
                  <c:v>108</c:v>
                </c:pt>
                <c:pt idx="8">
                  <c:v>121</c:v>
                </c:pt>
                <c:pt idx="9">
                  <c:v>131</c:v>
                </c:pt>
                <c:pt idx="10">
                  <c:v>121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FC-4481-AC6F-5BD820CAA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56352"/>
        <c:axId val="235939520"/>
      </c:lineChart>
      <c:catAx>
        <c:axId val="23555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939520"/>
        <c:crosses val="autoZero"/>
        <c:auto val="1"/>
        <c:lblAlgn val="ctr"/>
        <c:lblOffset val="100"/>
        <c:noMultiLvlLbl val="0"/>
      </c:catAx>
      <c:valAx>
        <c:axId val="23593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5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800">
                <a:solidFill>
                  <a:schemeClr val="bg2">
                    <a:lumMod val="10000"/>
                  </a:schemeClr>
                </a:solidFill>
                <a:latin typeface="페이퍼로지 5 Medium" pitchFamily="2" charset="-127"/>
                <a:ea typeface="페이퍼로지 5 Medium" pitchFamily="2" charset="-127"/>
              </a:rPr>
              <a:t>분기별 실적 </a:t>
            </a:r>
          </a:p>
        </c:rich>
      </c:tx>
      <c:layout>
        <c:manualLayout>
          <c:xMode val="edge"/>
          <c:yMode val="edge"/>
          <c:x val="0.2872287467377078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정리base!$Y$3</c:f>
              <c:strCache>
                <c:ptCount val="1"/>
                <c:pt idx="0">
                  <c:v>누적 목표용량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페이퍼로지 5 Medium" pitchFamily="2" charset="-127"/>
                    <a:ea typeface="페이퍼로지 5 Medium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downArrow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정리base!$X$4:$X$5</c:f>
              <c:strCache>
                <c:ptCount val="2"/>
                <c:pt idx="0">
                  <c:v>1분기</c:v>
                </c:pt>
                <c:pt idx="1">
                  <c:v>2분기</c:v>
                </c:pt>
              </c:strCache>
            </c:strRef>
          </c:cat>
          <c:val>
            <c:numRef>
              <c:f>정리base!$Y$4:$Y$5</c:f>
              <c:numCache>
                <c:formatCode>#,##0.00\ "MW"</c:formatCode>
                <c:ptCount val="2"/>
                <c:pt idx="0">
                  <c:v>39.300000000000004</c:v>
                </c:pt>
                <c:pt idx="1">
                  <c:v>41.2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F-4074-9CAA-47C5045CED75}"/>
            </c:ext>
          </c:extLst>
        </c:ser>
        <c:ser>
          <c:idx val="1"/>
          <c:order val="1"/>
          <c:tx>
            <c:strRef>
              <c:f>정리base!$Z$3</c:f>
              <c:strCache>
                <c:ptCount val="1"/>
                <c:pt idx="0">
                  <c:v> 계약용량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0000"/>
                    </a:solidFill>
                    <a:latin typeface="페이퍼로지 5 Medium" pitchFamily="2" charset="-127"/>
                    <a:ea typeface="페이퍼로지 5 Medium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정리base!$X$4:$X$5</c:f>
              <c:strCache>
                <c:ptCount val="2"/>
                <c:pt idx="0">
                  <c:v>1분기</c:v>
                </c:pt>
                <c:pt idx="1">
                  <c:v>2분기</c:v>
                </c:pt>
              </c:strCache>
            </c:strRef>
          </c:cat>
          <c:val>
            <c:numRef>
              <c:f>정리base!$Z$4:$Z$5</c:f>
              <c:numCache>
                <c:formatCode>#,##0.00\ "MW"</c:formatCode>
                <c:ptCount val="2"/>
                <c:pt idx="0">
                  <c:v>39.08292999999999</c:v>
                </c:pt>
                <c:pt idx="1">
                  <c:v>20.335834999999999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1F-4074-9CAA-47C5045CE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284416"/>
        <c:axId val="1426260416"/>
      </c:barChart>
      <c:catAx>
        <c:axId val="142628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페이퍼로지 5 Medium" pitchFamily="2" charset="-127"/>
                <a:ea typeface="페이퍼로지 5 Medium" pitchFamily="2" charset="-127"/>
                <a:cs typeface="+mn-cs"/>
              </a:defRPr>
            </a:pPr>
            <a:endParaRPr lang="ko-KR"/>
          </a:p>
        </c:txPr>
        <c:crossAx val="1426260416"/>
        <c:crosses val="autoZero"/>
        <c:auto val="1"/>
        <c:lblAlgn val="ctr"/>
        <c:lblOffset val="100"/>
        <c:noMultiLvlLbl val="0"/>
      </c:catAx>
      <c:valAx>
        <c:axId val="142626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W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페이퍼로지 5 Medium" pitchFamily="2" charset="-127"/>
                <a:ea typeface="페이퍼로지 5 Medium" pitchFamily="2" charset="-127"/>
                <a:cs typeface="+mn-cs"/>
              </a:defRPr>
            </a:pPr>
            <a:endParaRPr lang="ko-KR"/>
          </a:p>
        </c:txPr>
        <c:crossAx val="142628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페이퍼로지 5 Medium" pitchFamily="2" charset="-127"/>
              <a:ea typeface="페이퍼로지 5 Medium" pitchFamily="2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800">
                <a:solidFill>
                  <a:schemeClr val="bg2">
                    <a:lumMod val="10000"/>
                  </a:schemeClr>
                </a:solidFill>
                <a:latin typeface="페이퍼로지 5 Medium" pitchFamily="2" charset="-127"/>
                <a:ea typeface="페이퍼로지 5 Medium" pitchFamily="2" charset="-127"/>
              </a:rPr>
              <a:t>해당 월</a:t>
            </a:r>
          </a:p>
        </c:rich>
      </c:tx>
      <c:layout>
        <c:manualLayout>
          <c:xMode val="edge"/>
          <c:yMode val="edge"/>
          <c:x val="0.35799520006900093"/>
          <c:y val="4.427606287851520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정리base!$AH$3</c:f>
              <c:strCache>
                <c:ptCount val="1"/>
                <c:pt idx="0">
                  <c:v>목표용량
(해당 월)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페이퍼로지 5 Medium" pitchFamily="2" charset="-127"/>
                    <a:ea typeface="페이퍼로지 5 Medium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downArrow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정리base!$AG$4:$AG$7</c:f>
              <c:strCache>
                <c:ptCount val="4"/>
                <c:pt idx="0">
                  <c:v>전체</c:v>
                </c:pt>
                <c:pt idx="1">
                  <c:v>직영</c:v>
                </c:pt>
                <c:pt idx="2">
                  <c:v>외주</c:v>
                </c:pt>
                <c:pt idx="3">
                  <c:v>입찰</c:v>
                </c:pt>
              </c:strCache>
            </c:strRef>
          </c:cat>
          <c:val>
            <c:numRef>
              <c:f>정리base!$AH$4:$AH$7</c:f>
              <c:numCache>
                <c:formatCode>#,##0.00\ "MW"</c:formatCode>
                <c:ptCount val="4"/>
                <c:pt idx="0">
                  <c:v>10.8</c:v>
                </c:pt>
                <c:pt idx="1">
                  <c:v>6</c:v>
                </c:pt>
                <c:pt idx="2">
                  <c:v>1.8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A-43F1-A084-54FF85BE85F8}"/>
            </c:ext>
          </c:extLst>
        </c:ser>
        <c:ser>
          <c:idx val="1"/>
          <c:order val="1"/>
          <c:tx>
            <c:strRef>
              <c:f>정리base!$AI$3</c:f>
              <c:strCache>
                <c:ptCount val="1"/>
                <c:pt idx="0">
                  <c:v> 계약용량 
(해당 월)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0000"/>
                    </a:solidFill>
                    <a:latin typeface="페이퍼로지 5 Medium" pitchFamily="2" charset="-127"/>
                    <a:ea typeface="페이퍼로지 5 Medium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정리base!$AG$4:$AG$7</c:f>
              <c:strCache>
                <c:ptCount val="4"/>
                <c:pt idx="0">
                  <c:v>전체</c:v>
                </c:pt>
                <c:pt idx="1">
                  <c:v>직영</c:v>
                </c:pt>
                <c:pt idx="2">
                  <c:v>외주</c:v>
                </c:pt>
                <c:pt idx="3">
                  <c:v>입찰</c:v>
                </c:pt>
              </c:strCache>
            </c:strRef>
          </c:cat>
          <c:val>
            <c:numRef>
              <c:f>정리base!$AI$4:$AI$7</c:f>
              <c:numCache>
                <c:formatCode>#,##0.00\ "MW"</c:formatCode>
                <c:ptCount val="4"/>
                <c:pt idx="0">
                  <c:v>5.8617599999999994</c:v>
                </c:pt>
                <c:pt idx="1">
                  <c:v>4.02867</c:v>
                </c:pt>
                <c:pt idx="2">
                  <c:v>1.8330899999999997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A-43F1-A084-54FF85BE8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285376"/>
        <c:axId val="1426257056"/>
      </c:barChart>
      <c:catAx>
        <c:axId val="142628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페이퍼로지 5 Medium" pitchFamily="2" charset="-127"/>
                <a:ea typeface="페이퍼로지 5 Medium" pitchFamily="2" charset="-127"/>
                <a:cs typeface="+mn-cs"/>
              </a:defRPr>
            </a:pPr>
            <a:endParaRPr lang="ko-KR"/>
          </a:p>
        </c:txPr>
        <c:crossAx val="1426257056"/>
        <c:crosses val="autoZero"/>
        <c:auto val="1"/>
        <c:lblAlgn val="ctr"/>
        <c:lblOffset val="100"/>
        <c:noMultiLvlLbl val="0"/>
      </c:catAx>
      <c:valAx>
        <c:axId val="142625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W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페이퍼로지 5 Medium" pitchFamily="2" charset="-127"/>
                <a:ea typeface="페이퍼로지 5 Medium" pitchFamily="2" charset="-127"/>
                <a:cs typeface="+mn-cs"/>
              </a:defRPr>
            </a:pPr>
            <a:endParaRPr lang="ko-KR"/>
          </a:p>
        </c:txPr>
        <c:crossAx val="142628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페이퍼로지 5 Medium" pitchFamily="2" charset="-127"/>
              <a:ea typeface="페이퍼로지 5 Medium" pitchFamily="2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800">
                <a:solidFill>
                  <a:schemeClr val="bg2">
                    <a:lumMod val="10000"/>
                  </a:schemeClr>
                </a:solidFill>
                <a:latin typeface="페이퍼로지 5 Medium" pitchFamily="2" charset="-127"/>
                <a:ea typeface="페이퍼로지 5 Medium" pitchFamily="2" charset="-127"/>
              </a:rPr>
              <a:t>누적</a:t>
            </a:r>
          </a:p>
        </c:rich>
      </c:tx>
      <c:layout>
        <c:manualLayout>
          <c:xMode val="edge"/>
          <c:yMode val="edge"/>
          <c:x val="0.407321493256394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정리base!$AM$3</c:f>
              <c:strCache>
                <c:ptCount val="1"/>
                <c:pt idx="0">
                  <c:v>목표용량
(누적)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페이퍼로지 5 Medium" pitchFamily="2" charset="-127"/>
                    <a:ea typeface="페이퍼로지 5 Medium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downArrow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정리base!$AL$4:$AL$7</c:f>
              <c:strCache>
                <c:ptCount val="4"/>
                <c:pt idx="0">
                  <c:v>전체</c:v>
                </c:pt>
                <c:pt idx="1">
                  <c:v>직영</c:v>
                </c:pt>
                <c:pt idx="2">
                  <c:v>외주</c:v>
                </c:pt>
                <c:pt idx="3">
                  <c:v>입찰</c:v>
                </c:pt>
              </c:strCache>
            </c:strRef>
          </c:cat>
          <c:val>
            <c:numRef>
              <c:f>정리base!$AM$4:$AM$7</c:f>
              <c:numCache>
                <c:formatCode>#,##0.00\ "MW"</c:formatCode>
                <c:ptCount val="4"/>
                <c:pt idx="0">
                  <c:v>102.10000000000001</c:v>
                </c:pt>
                <c:pt idx="1">
                  <c:v>57</c:v>
                </c:pt>
                <c:pt idx="2">
                  <c:v>21.6</c:v>
                </c:pt>
                <c:pt idx="3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5-4AFC-AD62-3EF794833E90}"/>
            </c:ext>
          </c:extLst>
        </c:ser>
        <c:ser>
          <c:idx val="1"/>
          <c:order val="1"/>
          <c:tx>
            <c:strRef>
              <c:f>정리base!$AN$3</c:f>
              <c:strCache>
                <c:ptCount val="1"/>
                <c:pt idx="0">
                  <c:v> 계약용량 
(해당 누적)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0000"/>
                    </a:solidFill>
                    <a:latin typeface="페이퍼로지 5 Medium" pitchFamily="2" charset="-127"/>
                    <a:ea typeface="페이퍼로지 5 Medium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정리base!$AL$4:$AL$7</c:f>
              <c:strCache>
                <c:ptCount val="4"/>
                <c:pt idx="0">
                  <c:v>전체</c:v>
                </c:pt>
                <c:pt idx="1">
                  <c:v>직영</c:v>
                </c:pt>
                <c:pt idx="2">
                  <c:v>외주</c:v>
                </c:pt>
                <c:pt idx="3">
                  <c:v>입찰</c:v>
                </c:pt>
              </c:strCache>
            </c:strRef>
          </c:cat>
          <c:val>
            <c:numRef>
              <c:f>정리base!$AN$4:$AN$7</c:f>
              <c:numCache>
                <c:formatCode>#,##0.00\ "MW"</c:formatCode>
                <c:ptCount val="4"/>
                <c:pt idx="0">
                  <c:v>74.42833499999999</c:v>
                </c:pt>
                <c:pt idx="1">
                  <c:v>49.530760000000001</c:v>
                </c:pt>
                <c:pt idx="2">
                  <c:v>18.896174999999999</c:v>
                </c:pt>
                <c:pt idx="3">
                  <c:v>6.0013999999999994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85-4AFC-AD62-3EF794833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739632"/>
        <c:axId val="1591720912"/>
      </c:barChart>
      <c:catAx>
        <c:axId val="159173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페이퍼로지 5 Medium" pitchFamily="2" charset="-127"/>
                <a:ea typeface="페이퍼로지 5 Medium" pitchFamily="2" charset="-127"/>
                <a:cs typeface="+mn-cs"/>
              </a:defRPr>
            </a:pPr>
            <a:endParaRPr lang="ko-KR"/>
          </a:p>
        </c:txPr>
        <c:crossAx val="1591720912"/>
        <c:crosses val="autoZero"/>
        <c:auto val="1"/>
        <c:lblAlgn val="ctr"/>
        <c:lblOffset val="100"/>
        <c:noMultiLvlLbl val="0"/>
      </c:catAx>
      <c:valAx>
        <c:axId val="159172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W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페이퍼로지 5 Medium" pitchFamily="2" charset="-127"/>
                <a:ea typeface="페이퍼로지 5 Medium" pitchFamily="2" charset="-127"/>
                <a:cs typeface="+mn-cs"/>
              </a:defRPr>
            </a:pPr>
            <a:endParaRPr lang="ko-KR"/>
          </a:p>
        </c:txPr>
        <c:crossAx val="159173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페이퍼로지 5 Medium" pitchFamily="2" charset="-127"/>
              <a:ea typeface="페이퍼로지 5 Medium" pitchFamily="2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45840</xdr:colOff>
      <xdr:row>34</xdr:row>
      <xdr:rowOff>0</xdr:rowOff>
    </xdr:from>
    <xdr:to>
      <xdr:col>7</xdr:col>
      <xdr:colOff>1991591</xdr:colOff>
      <xdr:row>62</xdr:row>
      <xdr:rowOff>51954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4863499-ED97-475B-B113-F8687696D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45840</xdr:colOff>
      <xdr:row>63</xdr:row>
      <xdr:rowOff>27605</xdr:rowOff>
    </xdr:from>
    <xdr:to>
      <xdr:col>7</xdr:col>
      <xdr:colOff>1991591</xdr:colOff>
      <xdr:row>92</xdr:row>
      <xdr:rowOff>34634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449972A-8E66-18DF-5E0C-ECB00AF4E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45840</xdr:colOff>
      <xdr:row>34</xdr:row>
      <xdr:rowOff>0</xdr:rowOff>
    </xdr:from>
    <xdr:to>
      <xdr:col>16</xdr:col>
      <xdr:colOff>1991591</xdr:colOff>
      <xdr:row>62</xdr:row>
      <xdr:rowOff>51954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7C7F384-3120-4926-A563-52664BA39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45840</xdr:colOff>
      <xdr:row>63</xdr:row>
      <xdr:rowOff>27605</xdr:rowOff>
    </xdr:from>
    <xdr:to>
      <xdr:col>16</xdr:col>
      <xdr:colOff>1991591</xdr:colOff>
      <xdr:row>92</xdr:row>
      <xdr:rowOff>34634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86185E3-F763-4132-A8CF-FE4AE1CEC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45840</xdr:colOff>
      <xdr:row>34</xdr:row>
      <xdr:rowOff>0</xdr:rowOff>
    </xdr:from>
    <xdr:to>
      <xdr:col>25</xdr:col>
      <xdr:colOff>1991591</xdr:colOff>
      <xdr:row>62</xdr:row>
      <xdr:rowOff>51954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85B2AD3-D761-48BB-B8B7-250E80BFE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63158</xdr:colOff>
      <xdr:row>62</xdr:row>
      <xdr:rowOff>148833</xdr:rowOff>
    </xdr:from>
    <xdr:to>
      <xdr:col>25</xdr:col>
      <xdr:colOff>2008909</xdr:colOff>
      <xdr:row>91</xdr:row>
      <xdr:rowOff>155862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FE7491B-A2C2-4D78-8840-6F39A317D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45840</xdr:colOff>
      <xdr:row>34</xdr:row>
      <xdr:rowOff>0</xdr:rowOff>
    </xdr:from>
    <xdr:to>
      <xdr:col>34</xdr:col>
      <xdr:colOff>1991591</xdr:colOff>
      <xdr:row>62</xdr:row>
      <xdr:rowOff>51954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DA52111-2E85-41D3-AE95-554A3F6B7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45840</xdr:colOff>
      <xdr:row>62</xdr:row>
      <xdr:rowOff>141905</xdr:rowOff>
    </xdr:from>
    <xdr:to>
      <xdr:col>34</xdr:col>
      <xdr:colOff>1991591</xdr:colOff>
      <xdr:row>91</xdr:row>
      <xdr:rowOff>148934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2A27A0C-E7F9-4DCF-90C0-EA8E6C34F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45840</xdr:colOff>
      <xdr:row>34</xdr:row>
      <xdr:rowOff>0</xdr:rowOff>
    </xdr:from>
    <xdr:to>
      <xdr:col>43</xdr:col>
      <xdr:colOff>1991591</xdr:colOff>
      <xdr:row>62</xdr:row>
      <xdr:rowOff>51954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10BA6E2-217F-46E9-8118-CFDF7B383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45840</xdr:colOff>
      <xdr:row>63</xdr:row>
      <xdr:rowOff>27605</xdr:rowOff>
    </xdr:from>
    <xdr:to>
      <xdr:col>43</xdr:col>
      <xdr:colOff>1991591</xdr:colOff>
      <xdr:row>92</xdr:row>
      <xdr:rowOff>34634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40E1F28D-EA02-4A5C-8EEB-4083D2840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45840</xdr:colOff>
      <xdr:row>34</xdr:row>
      <xdr:rowOff>0</xdr:rowOff>
    </xdr:from>
    <xdr:to>
      <xdr:col>52</xdr:col>
      <xdr:colOff>1991591</xdr:colOff>
      <xdr:row>62</xdr:row>
      <xdr:rowOff>51954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93B26DDA-978C-49C3-9325-B013B72B2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45840</xdr:colOff>
      <xdr:row>63</xdr:row>
      <xdr:rowOff>27605</xdr:rowOff>
    </xdr:from>
    <xdr:to>
      <xdr:col>52</xdr:col>
      <xdr:colOff>1991591</xdr:colOff>
      <xdr:row>92</xdr:row>
      <xdr:rowOff>34634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DF1A9983-BF2C-4AE9-9567-25192DCF6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55</xdr:col>
      <xdr:colOff>60126</xdr:colOff>
      <xdr:row>34</xdr:row>
      <xdr:rowOff>0</xdr:rowOff>
    </xdr:from>
    <xdr:to>
      <xdr:col>61</xdr:col>
      <xdr:colOff>2015402</xdr:colOff>
      <xdr:row>62</xdr:row>
      <xdr:rowOff>51954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D452C21E-1B6D-449C-88CF-DB54BDFD9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55</xdr:col>
      <xdr:colOff>31551</xdr:colOff>
      <xdr:row>63</xdr:row>
      <xdr:rowOff>56180</xdr:rowOff>
    </xdr:from>
    <xdr:to>
      <xdr:col>61</xdr:col>
      <xdr:colOff>1977302</xdr:colOff>
      <xdr:row>92</xdr:row>
      <xdr:rowOff>63209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77E93517-5498-4C05-A216-D0B201D1C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64</xdr:col>
      <xdr:colOff>45840</xdr:colOff>
      <xdr:row>34</xdr:row>
      <xdr:rowOff>0</xdr:rowOff>
    </xdr:from>
    <xdr:to>
      <xdr:col>70</xdr:col>
      <xdr:colOff>1991591</xdr:colOff>
      <xdr:row>62</xdr:row>
      <xdr:rowOff>51954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15E9EBB3-E0BA-49D0-ACCA-38BC514EE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64</xdr:col>
      <xdr:colOff>45840</xdr:colOff>
      <xdr:row>63</xdr:row>
      <xdr:rowOff>27605</xdr:rowOff>
    </xdr:from>
    <xdr:to>
      <xdr:col>70</xdr:col>
      <xdr:colOff>1991591</xdr:colOff>
      <xdr:row>92</xdr:row>
      <xdr:rowOff>34634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6A9ADF80-DCB9-4B54-826D-3B2183339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73</xdr:col>
      <xdr:colOff>45840</xdr:colOff>
      <xdr:row>34</xdr:row>
      <xdr:rowOff>0</xdr:rowOff>
    </xdr:from>
    <xdr:to>
      <xdr:col>79</xdr:col>
      <xdr:colOff>1991591</xdr:colOff>
      <xdr:row>62</xdr:row>
      <xdr:rowOff>51954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1EF7668B-4488-4913-A674-6BB8C62A4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73</xdr:col>
      <xdr:colOff>45840</xdr:colOff>
      <xdr:row>63</xdr:row>
      <xdr:rowOff>27605</xdr:rowOff>
    </xdr:from>
    <xdr:to>
      <xdr:col>79</xdr:col>
      <xdr:colOff>1991591</xdr:colOff>
      <xdr:row>92</xdr:row>
      <xdr:rowOff>34634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72EE310-2E81-4945-9269-6CE563D22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82</xdr:col>
      <xdr:colOff>45840</xdr:colOff>
      <xdr:row>34</xdr:row>
      <xdr:rowOff>0</xdr:rowOff>
    </xdr:from>
    <xdr:to>
      <xdr:col>88</xdr:col>
      <xdr:colOff>1991591</xdr:colOff>
      <xdr:row>62</xdr:row>
      <xdr:rowOff>51954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EFE0FCD3-3F15-41C5-8170-77EAF599E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82</xdr:col>
      <xdr:colOff>45840</xdr:colOff>
      <xdr:row>63</xdr:row>
      <xdr:rowOff>27605</xdr:rowOff>
    </xdr:from>
    <xdr:to>
      <xdr:col>88</xdr:col>
      <xdr:colOff>1991591</xdr:colOff>
      <xdr:row>92</xdr:row>
      <xdr:rowOff>34634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BD268BDC-2BEE-42AF-93BA-D15AE3188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91</xdr:col>
      <xdr:colOff>45840</xdr:colOff>
      <xdr:row>34</xdr:row>
      <xdr:rowOff>0</xdr:rowOff>
    </xdr:from>
    <xdr:to>
      <xdr:col>97</xdr:col>
      <xdr:colOff>1991591</xdr:colOff>
      <xdr:row>62</xdr:row>
      <xdr:rowOff>51954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BC6121D-CD38-465E-A656-B94F95EBC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91</xdr:col>
      <xdr:colOff>45840</xdr:colOff>
      <xdr:row>63</xdr:row>
      <xdr:rowOff>27605</xdr:rowOff>
    </xdr:from>
    <xdr:to>
      <xdr:col>97</xdr:col>
      <xdr:colOff>1991591</xdr:colOff>
      <xdr:row>92</xdr:row>
      <xdr:rowOff>34634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57CE55B1-A6C4-4750-975E-B9C49E2E0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100</xdr:col>
      <xdr:colOff>45840</xdr:colOff>
      <xdr:row>34</xdr:row>
      <xdr:rowOff>0</xdr:rowOff>
    </xdr:from>
    <xdr:to>
      <xdr:col>106</xdr:col>
      <xdr:colOff>1991591</xdr:colOff>
      <xdr:row>62</xdr:row>
      <xdr:rowOff>51954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47F0A64A-C547-442D-8DEF-E5425C151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100</xdr:col>
      <xdr:colOff>45840</xdr:colOff>
      <xdr:row>63</xdr:row>
      <xdr:rowOff>27605</xdr:rowOff>
    </xdr:from>
    <xdr:to>
      <xdr:col>106</xdr:col>
      <xdr:colOff>1991591</xdr:colOff>
      <xdr:row>92</xdr:row>
      <xdr:rowOff>34634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AE67B191-DF74-4001-850D-5DFA3461B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5603</xdr:colOff>
      <xdr:row>9</xdr:row>
      <xdr:rowOff>45945</xdr:rowOff>
    </xdr:from>
    <xdr:to>
      <xdr:col>27</xdr:col>
      <xdr:colOff>504266</xdr:colOff>
      <xdr:row>19</xdr:row>
      <xdr:rowOff>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BFBF034-D67E-A306-F906-D77E085E9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453837</xdr:colOff>
      <xdr:row>7</xdr:row>
      <xdr:rowOff>113178</xdr:rowOff>
    </xdr:from>
    <xdr:to>
      <xdr:col>36</xdr:col>
      <xdr:colOff>291353</xdr:colOff>
      <xdr:row>17</xdr:row>
      <xdr:rowOff>123263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B98B224-6F18-B197-3BC8-60B7CF708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11205</xdr:colOff>
      <xdr:row>7</xdr:row>
      <xdr:rowOff>101972</xdr:rowOff>
    </xdr:from>
    <xdr:to>
      <xdr:col>41</xdr:col>
      <xdr:colOff>392205</xdr:colOff>
      <xdr:row>17</xdr:row>
      <xdr:rowOff>112059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D3E1AF6-DD6F-B5B7-A2D8-BF6820508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56"/>
  <sheetViews>
    <sheetView workbookViewId="0">
      <selection activeCell="T3" sqref="S3:T11"/>
    </sheetView>
  </sheetViews>
  <sheetFormatPr defaultRowHeight="13.5" x14ac:dyDescent="0.25"/>
  <cols>
    <col min="2" max="2" width="14" bestFit="1" customWidth="1"/>
    <col min="3" max="8" width="16.7109375" customWidth="1"/>
    <col min="9" max="9" width="9.28515625" customWidth="1"/>
    <col min="10" max="10" width="14" bestFit="1" customWidth="1"/>
    <col min="11" max="36" width="12.7109375" customWidth="1"/>
  </cols>
  <sheetData>
    <row r="1" spans="2:36" ht="18" thickBot="1" x14ac:dyDescent="0.3">
      <c r="C1" t="s">
        <v>118</v>
      </c>
      <c r="D1" t="s">
        <v>119</v>
      </c>
      <c r="E1" s="8" t="s">
        <v>112</v>
      </c>
      <c r="K1" s="346">
        <v>2025</v>
      </c>
      <c r="L1" s="345" t="s">
        <v>78</v>
      </c>
      <c r="O1" s="8"/>
      <c r="P1" s="8"/>
    </row>
    <row r="2" spans="2:36" ht="17.25" thickBot="1" x14ac:dyDescent="0.3">
      <c r="J2" s="368" t="s">
        <v>195</v>
      </c>
      <c r="K2" s="467" t="s">
        <v>207</v>
      </c>
      <c r="L2" s="468"/>
      <c r="M2" s="469">
        <v>1</v>
      </c>
      <c r="N2" s="466"/>
      <c r="O2" s="466">
        <v>2</v>
      </c>
      <c r="P2" s="466"/>
      <c r="Q2" s="466">
        <v>3</v>
      </c>
      <c r="R2" s="466"/>
      <c r="S2" s="466">
        <v>4</v>
      </c>
      <c r="T2" s="466"/>
      <c r="U2" s="466">
        <v>5</v>
      </c>
      <c r="V2" s="466"/>
      <c r="W2" s="466">
        <v>6</v>
      </c>
      <c r="X2" s="466"/>
      <c r="Y2" s="466">
        <v>7</v>
      </c>
      <c r="Z2" s="466"/>
      <c r="AA2" s="466">
        <v>8</v>
      </c>
      <c r="AB2" s="466"/>
      <c r="AC2" s="466">
        <v>9</v>
      </c>
      <c r="AD2" s="466"/>
      <c r="AE2" s="466">
        <v>10</v>
      </c>
      <c r="AF2" s="466"/>
      <c r="AG2" s="466">
        <v>11</v>
      </c>
      <c r="AH2" s="466"/>
      <c r="AI2" s="466">
        <v>12</v>
      </c>
      <c r="AJ2" s="470"/>
    </row>
    <row r="3" spans="2:36" ht="17.25" x14ac:dyDescent="0.25">
      <c r="B3" s="264" t="s">
        <v>181</v>
      </c>
      <c r="C3" s="265" t="s">
        <v>176</v>
      </c>
      <c r="D3" s="265" t="s">
        <v>175</v>
      </c>
      <c r="E3" s="266" t="s">
        <v>177</v>
      </c>
      <c r="F3" s="266" t="s">
        <v>178</v>
      </c>
      <c r="G3" s="267" t="s">
        <v>179</v>
      </c>
      <c r="H3" s="267" t="s">
        <v>180</v>
      </c>
      <c r="J3" s="369" t="s">
        <v>196</v>
      </c>
      <c r="K3" s="364">
        <f>IF(
  SUM(
    IFERROR(VALUE(SUBSTITUTE(M3,"kW","")),0),
    IFERROR(VALUE(SUBSTITUTE(O3,"kW","")),0),
    IFERROR(VALUE(SUBSTITUTE(Q3,"kW","")),0),
    IFERROR(VALUE(SUBSTITUTE(S3,"kW","")),0),
    IFERROR(VALUE(SUBSTITUTE(U3,"kW","")),0),
    IFERROR(VALUE(SUBSTITUTE(W3,"kW","")),0),
    IFERROR(VALUE(SUBSTITUTE(Y3,"kW","")),0),
    IFERROR(VALUE(SUBSTITUTE(AA3,"kW","")),0),
    IFERROR(VALUE(SUBSTITUTE(AC3,"kW","")),0),
    IFERROR(VALUE(SUBSTITUTE(AE3,"kW","")),0),
    IFERROR(VALUE(SUBSTITUTE(AG3,"kW","")),0),
    IFERROR(VALUE(SUBSTITUTE(AI3,"kW","")),0)
  )=0,
  "",
  SUM(
    IFERROR(VALUE(SUBSTITUTE(M3,"kW","")),0),
    IFERROR(VALUE(SUBSTITUTE(O3,"kW","")),0),
    IFERROR(VALUE(SUBSTITUTE(Q3,"kW","")),0),
    IFERROR(VALUE(SUBSTITUTE(S3,"kW","")),0),
    IFERROR(VALUE(SUBSTITUTE(U3,"kW","")),0),
    IFERROR(VALUE(SUBSTITUTE(W3,"kW","")),0),
    IFERROR(VALUE(SUBSTITUTE(Y3,"kW","")),0),
    IFERROR(VALUE(SUBSTITUTE(AA3,"kW","")),0),
    IFERROR(VALUE(SUBSTITUTE(AC3,"kW","")),0),
    IFERROR(VALUE(SUBSTITUTE(AE3,"kW","")),0),
    IFERROR(VALUE(SUBSTITUTE(AG3,"kW","")),0),
    IFERROR(VALUE(SUBSTITUTE(AI3,"kW","")),0)
  )
)</f>
        <v>16694.13</v>
      </c>
      <c r="L3" s="365">
        <f>IF(
  SUM(
    IFERROR(VALUE(SUBSTITUTE(N3,"건","")),0),
    IFERROR(VALUE(SUBSTITUTE(P3,"건","")),0),
    IFERROR(VALUE(SUBSTITUTE(R3,"건","")),0),
    IFERROR(VALUE(SUBSTITUTE(T3,"건","")),0),
    IFERROR(VALUE(SUBSTITUTE(V3,"건","")),0),
    IFERROR(VALUE(SUBSTITUTE(X3,"건","")),0),
    IFERROR(VALUE(SUBSTITUTE(Z3,"건","")),0),
    IFERROR(VALUE(SUBSTITUTE(AB3,"건","")),0),
    IFERROR(VALUE(SUBSTITUTE(AD3,"건","")),0),
    IFERROR(VALUE(SUBSTITUTE(AF3,"건","")),0),
    IFERROR(VALUE(SUBSTITUTE(AH3,"건","")),0),
    IFERROR(VALUE(SUBSTITUTE(AJ3,"건","")),0)
  )=0,
  "",
  SUM(
    IFERROR(VALUE(SUBSTITUTE(N3,"건","")),0),
    IFERROR(VALUE(SUBSTITUTE(P3,"건","")),0),
    IFERROR(VALUE(SUBSTITUTE(R3,"건","")),0),
    IFERROR(VALUE(SUBSTITUTE(T3,"건","")),0),
    IFERROR(VALUE(SUBSTITUTE(V3,"건","")),0),
    IFERROR(VALUE(SUBSTITUTE(X3,"건","")),0),
    IFERROR(VALUE(SUBSTITUTE(Z3,"건","")),0),
    IFERROR(VALUE(SUBSTITUTE(AB3,"건","")),0),
    IFERROR(VALUE(SUBSTITUTE(AD3,"건","")),0),
    IFERROR(VALUE(SUBSTITUTE(AF3,"건","")),0),
    IFERROR(VALUE(SUBSTITUTE(AH3,"건","")),0),
    IFERROR(VALUE(SUBSTITUTE(AJ3,"건","")),0)
  )
)</f>
        <v>66</v>
      </c>
      <c r="M3" s="366">
        <f>IF(
  SUM(
    SUMIFS('발전사업(A)'!$I:$I,'발전사업(A)'!$G:$G,M$2,'발전사업(A)'!$Q:$Q,$J3,'발전사업(A)'!$C:$C,$L$1),
    SUMIFS('자가소비(B)'!$I:$I,'자가소비(B)'!$G:$G,M$2,'자가소비(B)'!$Q:$Q,$J3,'자가소비(B)'!$C:$C,$L$1),
    SUMIFS('PPA 사업(C)'!$I:$I,'PPA 사업(C)'!$G:$G,M$2,'PPA 사업(C)'!$Q:$Q,$J3,'PPA 사업(C)'!$C:$C,$L$1),
    SUMIFS('리스사업(D)'!$I:$I,'리스사업(D)'!$G:$G,M$2,'리스사업(D)'!$Q:$Q,$J3,'리스사업(D)'!$C:$C,$L$1),
    SUMIFS('임대사업(E)'!$I:$I,'임대사업(E)'!$G:$G,M$2,'임대사업(E)'!$Q:$Q,$J3,'임대사업(E)'!$C:$C,$L$1),
    SUMIFS('환경부사업(F)'!$I:$I,'환경부사업(F)'!$G:$G,M$2,'환경부사업(F)'!$Q:$Q,$J3,'환경부사업(F)'!$C:$C,$L$1),
    SUMIFS('프로젝트(G)'!$I:$I,'프로젝트(G)'!$G:$G,M$2,'프로젝트(G)'!$Q:$Q,$J3,'프로젝트(G)'!$C:$C,$L$1),
    SUMIFS('협력사 EPC(H)'!$I:$I,'협력사 EPC(H)'!$G:$G,M$2,'협력사 EPC(H)'!$Q:$Q,$J3,'협력사 EPC(H)'!$C:$C,$L$1),
    SUMIFS('기타(Z)'!$I:$I,'기타(Z)'!$G:$G,M$2,'기타(Z)'!$Q:$Q,$J3,'기타(Z)'!$C:$C,$L$1)
  )=0,
  "",
  SUM(
    SUMIFS('발전사업(A)'!$I:$I,'발전사업(A)'!$G:$G,M$2,'발전사업(A)'!$Q:$Q,$J3,'발전사업(A)'!$C:$C,$L$1),
    SUMIFS('자가소비(B)'!$I:$I,'자가소비(B)'!$G:$G,M$2,'자가소비(B)'!$Q:$Q,$J3,'자가소비(B)'!$C:$C,$L$1),
    SUMIFS('PPA 사업(C)'!$I:$I,'PPA 사업(C)'!$G:$G,M$2,'PPA 사업(C)'!$Q:$Q,$J3,'PPA 사업(C)'!$C:$C,$L$1),
    SUMIFS('리스사업(D)'!$I:$I,'리스사업(D)'!$G:$G,M$2,'리스사업(D)'!$Q:$Q,$J3,'리스사업(D)'!$C:$C,$L$1),
    SUMIFS('임대사업(E)'!$I:$I,'임대사업(E)'!$G:$G,M$2,'임대사업(E)'!$Q:$Q,$J3,'임대사업(E)'!$C:$C,$L$1),
    SUMIFS('환경부사업(F)'!$I:$I,'환경부사업(F)'!$G:$G,M$2,'환경부사업(F)'!$Q:$Q,$J3,'환경부사업(F)'!$C:$C,$L$1),
    SUMIFS('프로젝트(G)'!$I:$I,'프로젝트(G)'!$G:$G,M$2,'프로젝트(G)'!$Q:$Q,$J3,'프로젝트(G)'!$C:$C,$L$1),
    SUMIFS('협력사 EPC(H)'!$I:$I,'협력사 EPC(H)'!$G:$G,M$2,'협력사 EPC(H)'!$Q:$Q,$J3,'협력사 EPC(H)'!$C:$C,$L$1),
    SUMIFS('기타(Z)'!$I:$I,'기타(Z)'!$G:$G,M$2,'기타(Z)'!$Q:$Q,$J3,'기타(Z)'!$C:$C,$L$1)
  )
)</f>
        <v>1779.915</v>
      </c>
      <c r="N3" s="367">
        <f>IF(
  SUM(
    COUNTIFS('발전사업(A)'!$G:$G, M$2, '발전사업(A)'!$Q:$Q, $J3, '발전사업(A)'!$C:$C, $L$1),
    COUNTIFS('자가소비(B)'!$G:$G, M$2, '자가소비(B)'!$Q:$Q, $J3, '자가소비(B)'!$C:$C, $L$1),
    COUNTIFS('PPA 사업(C)'!$G:$G, M$2, 'PPA 사업(C)'!$Q:$Q, $J3, 'PPA 사업(C)'!$C:$C, $L$1),
    COUNTIFS('리스사업(D)'!$G:$G, M$2, '리스사업(D)'!$Q:$Q, $J3, '리스사업(D)'!$C:$C, $L$1),
    COUNTIFS('임대사업(E)'!$G:$G, M$2, '임대사업(E)'!$Q:$Q, $J3, '임대사업(E)'!$C:$C, $L$1),
    COUNTIFS('환경부사업(F)'!$G:$G, M$2, '환경부사업(F)'!$Q:$Q, $J3, '환경부사업(F)'!$C:$C, $L$1),
    COUNTIFS('프로젝트(G)'!$G:$G, M$2, '프로젝트(G)'!$Q:$Q, $J3, '프로젝트(G)'!$C:$C, $L$1),
    COUNTIFS('협력사 EPC(H)'!$G:$G, M$2, '협력사 EPC(H)'!$Q:$Q, $J3, '협력사 EPC(H)'!$C:$C, $L$1),
    COUNTIFS('기타(Z)'!$G:$G, M$2, '기타(Z)'!$Q:$Q, $J3, '기타(Z)'!$C:$C, $L$1)
  ) = 0,
  "",
  COUNTIFS('발전사업(A)'!$G:$G, M$2, '발전사업(A)'!$Q:$Q, $J3, '발전사업(A)'!$C:$C, $L$1)
  + COUNTIFS('자가소비(B)'!$G:$G, M$2, '자가소비(B)'!$Q:$Q, $J3, '자가소비(B)'!$C:$C, $L$1)
  + COUNTIFS('PPA 사업(C)'!$G:$G, M$2, 'PPA 사업(C)'!$Q:$Q, $J3, 'PPA 사업(C)'!$C:$C, $L$1)
  + COUNTIFS('리스사업(D)'!$G:$G, M$2, '리스사업(D)'!$Q:$Q, $J3, '리스사업(D)'!$C:$C, $L$1)
  + COUNTIFS('임대사업(E)'!$G:$G, M$2, '임대사업(E)'!$Q:$Q, $J3, '임대사업(E)'!$C:$C, $L$1)
  + COUNTIFS('환경부사업(F)'!$G:$G, M$2, '환경부사업(F)'!$Q:$Q, $J3, '환경부사업(F)'!$C:$C, $L$1)
  + COUNTIFS('프로젝트(G)'!$G:$G, M$2, '프로젝트(G)'!$Q:$Q, $J3, '프로젝트(G)'!$C:$C, $L$1)
  + COUNTIFS('협력사 EPC(H)'!$G:$G, M$2, '협력사 EPC(H)'!$Q:$Q, $J3, '협력사 EPC(H)'!$C:$C, $L$1)
  + COUNTIFS('기타(Z)'!$G:$G, M$2, '기타(Z)'!$Q:$Q, $J3, '기타(Z)'!$C:$C, $L$1)
)</f>
        <v>9</v>
      </c>
      <c r="O3" s="366">
        <f>IF(
  SUM(
    SUMIFS('발전사업(A)'!$I:$I,'발전사업(A)'!$G:$G,O$2,'발전사업(A)'!$Q:$Q,$J3,'발전사업(A)'!$C:$C,$L$1),
    SUMIFS('자가소비(B)'!$I:$I,'자가소비(B)'!$G:$G,O$2,'자가소비(B)'!$Q:$Q,$J3,'자가소비(B)'!$C:$C,$L$1),
    SUMIFS('PPA 사업(C)'!$I:$I,'PPA 사업(C)'!$G:$G,O$2,'PPA 사업(C)'!$Q:$Q,$J3,'PPA 사업(C)'!$C:$C,$L$1),
    SUMIFS('리스사업(D)'!$I:$I,'리스사업(D)'!$G:$G,O$2,'리스사업(D)'!$Q:$Q,$J3,'리스사업(D)'!$C:$C,$L$1),
    SUMIFS('임대사업(E)'!$I:$I,'임대사업(E)'!$G:$G,O$2,'임대사업(E)'!$Q:$Q,$J3,'임대사업(E)'!$C:$C,$L$1),
    SUMIFS('환경부사업(F)'!$I:$I,'환경부사업(F)'!$G:$G,O$2,'환경부사업(F)'!$Q:$Q,$J3,'환경부사업(F)'!$C:$C,$L$1),
    SUMIFS('프로젝트(G)'!$I:$I,'프로젝트(G)'!$G:$G,O$2,'프로젝트(G)'!$Q:$Q,$J3,'프로젝트(G)'!$C:$C,$L$1),
    SUMIFS('협력사 EPC(H)'!$I:$I,'협력사 EPC(H)'!$G:$G,O$2,'협력사 EPC(H)'!$Q:$Q,$J3,'협력사 EPC(H)'!$C:$C,$L$1),
    SUMIFS('기타(Z)'!$I:$I,'기타(Z)'!$G:$G,O$2,'기타(Z)'!$Q:$Q,$J3,'기타(Z)'!$C:$C,$L$1)
  )=0,
  "",
  SUM(
    SUMIFS('발전사업(A)'!$I:$I,'발전사업(A)'!$G:$G,O$2,'발전사업(A)'!$Q:$Q,$J3,'발전사업(A)'!$C:$C,$L$1),
    SUMIFS('자가소비(B)'!$I:$I,'자가소비(B)'!$G:$G,O$2,'자가소비(B)'!$Q:$Q,$J3,'자가소비(B)'!$C:$C,$L$1),
    SUMIFS('PPA 사업(C)'!$I:$I,'PPA 사업(C)'!$G:$G,O$2,'PPA 사업(C)'!$Q:$Q,$J3,'PPA 사업(C)'!$C:$C,$L$1),
    SUMIFS('리스사업(D)'!$I:$I,'리스사업(D)'!$G:$G,O$2,'리스사업(D)'!$Q:$Q,$J3,'리스사업(D)'!$C:$C,$L$1),
    SUMIFS('임대사업(E)'!$I:$I,'임대사업(E)'!$G:$G,O$2,'임대사업(E)'!$Q:$Q,$J3,'임대사업(E)'!$C:$C,$L$1),
    SUMIFS('환경부사업(F)'!$I:$I,'환경부사업(F)'!$G:$G,O$2,'환경부사업(F)'!$Q:$Q,$J3,'환경부사업(F)'!$C:$C,$L$1),
    SUMIFS('프로젝트(G)'!$I:$I,'프로젝트(G)'!$G:$G,O$2,'프로젝트(G)'!$Q:$Q,$J3,'프로젝트(G)'!$C:$C,$L$1),
    SUMIFS('협력사 EPC(H)'!$I:$I,'협력사 EPC(H)'!$G:$G,O$2,'협력사 EPC(H)'!$Q:$Q,$J3,'협력사 EPC(H)'!$C:$C,$L$1),
    SUMIFS('기타(Z)'!$I:$I,'기타(Z)'!$G:$G,O$2,'기타(Z)'!$Q:$Q,$J3,'기타(Z)'!$C:$C,$L$1)
  )
)</f>
        <v>3276.09</v>
      </c>
      <c r="P3" s="367">
        <f>IF(
  SUM(
    COUNTIFS('발전사업(A)'!$G:$G, O$2, '발전사업(A)'!$Q:$Q, $J3, '발전사업(A)'!$C:$C, $L$1),
    COUNTIFS('자가소비(B)'!$G:$G, O$2, '자가소비(B)'!$Q:$Q, $J3, '자가소비(B)'!$C:$C, $L$1),
    COUNTIFS('PPA 사업(C)'!$G:$G, O$2, 'PPA 사업(C)'!$Q:$Q, $J3, 'PPA 사업(C)'!$C:$C, $L$1),
    COUNTIFS('리스사업(D)'!$G:$G, O$2, '리스사업(D)'!$Q:$Q, $J3, '리스사업(D)'!$C:$C, $L$1),
    COUNTIFS('임대사업(E)'!$G:$G, O$2, '임대사업(E)'!$Q:$Q, $J3, '임대사업(E)'!$C:$C, $L$1),
    COUNTIFS('환경부사업(F)'!$G:$G, O$2, '환경부사업(F)'!$Q:$Q, $J3, '환경부사업(F)'!$C:$C, $L$1),
    COUNTIFS('프로젝트(G)'!$G:$G, O$2, '프로젝트(G)'!$Q:$Q, $J3, '프로젝트(G)'!$C:$C, $L$1),
    COUNTIFS('협력사 EPC(H)'!$G:$G, O$2, '협력사 EPC(H)'!$Q:$Q, $J3, '협력사 EPC(H)'!$C:$C, $L$1),
    COUNTIFS('기타(Z)'!$G:$G, O$2, '기타(Z)'!$Q:$Q, $J3, '기타(Z)'!$C:$C, $L$1)
  ) = 0,
  "",
  COUNTIFS('발전사업(A)'!$G:$G, O$2, '발전사업(A)'!$Q:$Q, $J3, '발전사업(A)'!$C:$C, $L$1)
  + COUNTIFS('자가소비(B)'!$G:$G, O$2, '자가소비(B)'!$Q:$Q, $J3, '자가소비(B)'!$C:$C, $L$1)
  + COUNTIFS('PPA 사업(C)'!$G:$G, O$2, 'PPA 사업(C)'!$Q:$Q, $J3, 'PPA 사업(C)'!$C:$C, $L$1)
  + COUNTIFS('리스사업(D)'!$G:$G, O$2, '리스사업(D)'!$Q:$Q, $J3, '리스사업(D)'!$C:$C, $L$1)
  + COUNTIFS('임대사업(E)'!$G:$G, O$2, '임대사업(E)'!$Q:$Q, $J3, '임대사업(E)'!$C:$C, $L$1)
  + COUNTIFS('환경부사업(F)'!$G:$G, O$2, '환경부사업(F)'!$Q:$Q, $J3, '환경부사업(F)'!$C:$C, $L$1)
  + COUNTIFS('프로젝트(G)'!$G:$G, O$2, '프로젝트(G)'!$Q:$Q, $J3, '프로젝트(G)'!$C:$C, $L$1)
  + COUNTIFS('협력사 EPC(H)'!$G:$G, O$2, '협력사 EPC(H)'!$Q:$Q, $J3, '협력사 EPC(H)'!$C:$C, $L$1)
  + COUNTIFS('기타(Z)'!$G:$G, O$2, '기타(Z)'!$Q:$Q, $J3, '기타(Z)'!$C:$C, $L$1)
)</f>
        <v>11</v>
      </c>
      <c r="Q3" s="366">
        <f>IF(
  SUM(
    SUMIFS('발전사업(A)'!$I:$I,'발전사업(A)'!$G:$G,Q$2,'발전사업(A)'!$Q:$Q,$J3,'발전사업(A)'!$C:$C,$L$1),
    SUMIFS('자가소비(B)'!$I:$I,'자가소비(B)'!$G:$G,Q$2,'자가소비(B)'!$Q:$Q,$J3,'자가소비(B)'!$C:$C,$L$1),
    SUMIFS('PPA 사업(C)'!$I:$I,'PPA 사업(C)'!$G:$G,Q$2,'PPA 사업(C)'!$Q:$Q,$J3,'PPA 사업(C)'!$C:$C,$L$1),
    SUMIFS('리스사업(D)'!$I:$I,'리스사업(D)'!$G:$G,Q$2,'리스사업(D)'!$Q:$Q,$J3,'리스사업(D)'!$C:$C,$L$1),
    SUMIFS('임대사업(E)'!$I:$I,'임대사업(E)'!$G:$G,Q$2,'임대사업(E)'!$Q:$Q,$J3,'임대사업(E)'!$C:$C,$L$1),
    SUMIFS('환경부사업(F)'!$I:$I,'환경부사업(F)'!$G:$G,Q$2,'환경부사업(F)'!$Q:$Q,$J3,'환경부사업(F)'!$C:$C,$L$1),
    SUMIFS('프로젝트(G)'!$I:$I,'프로젝트(G)'!$G:$G,Q$2,'프로젝트(G)'!$Q:$Q,$J3,'프로젝트(G)'!$C:$C,$L$1),
    SUMIFS('협력사 EPC(H)'!$I:$I,'협력사 EPC(H)'!$G:$G,Q$2,'협력사 EPC(H)'!$Q:$Q,$J3,'협력사 EPC(H)'!$C:$C,$L$1),
    SUMIFS('기타(Z)'!$I:$I,'기타(Z)'!$G:$G,Q$2,'기타(Z)'!$Q:$Q,$J3,'기타(Z)'!$C:$C,$L$1)
  )=0,
  "",
  SUM(
    SUMIFS('발전사업(A)'!$I:$I,'발전사업(A)'!$G:$G,Q$2,'발전사업(A)'!$Q:$Q,$J3,'발전사업(A)'!$C:$C,$L$1),
    SUMIFS('자가소비(B)'!$I:$I,'자가소비(B)'!$G:$G,Q$2,'자가소비(B)'!$Q:$Q,$J3,'자가소비(B)'!$C:$C,$L$1),
    SUMIFS('PPA 사업(C)'!$I:$I,'PPA 사업(C)'!$G:$G,Q$2,'PPA 사업(C)'!$Q:$Q,$J3,'PPA 사업(C)'!$C:$C,$L$1),
    SUMIFS('리스사업(D)'!$I:$I,'리스사업(D)'!$G:$G,Q$2,'리스사업(D)'!$Q:$Q,$J3,'리스사업(D)'!$C:$C,$L$1),
    SUMIFS('임대사업(E)'!$I:$I,'임대사업(E)'!$G:$G,Q$2,'임대사업(E)'!$Q:$Q,$J3,'임대사업(E)'!$C:$C,$L$1),
    SUMIFS('환경부사업(F)'!$I:$I,'환경부사업(F)'!$G:$G,Q$2,'환경부사업(F)'!$Q:$Q,$J3,'환경부사업(F)'!$C:$C,$L$1),
    SUMIFS('프로젝트(G)'!$I:$I,'프로젝트(G)'!$G:$G,Q$2,'프로젝트(G)'!$Q:$Q,$J3,'프로젝트(G)'!$C:$C,$L$1),
    SUMIFS('협력사 EPC(H)'!$I:$I,'협력사 EPC(H)'!$G:$G,Q$2,'협력사 EPC(H)'!$Q:$Q,$J3,'협력사 EPC(H)'!$C:$C,$L$1),
    SUMIFS('기타(Z)'!$I:$I,'기타(Z)'!$G:$G,Q$2,'기타(Z)'!$Q:$Q,$J3,'기타(Z)'!$C:$C,$L$1)
  )
)</f>
        <v>2404.9349999999999</v>
      </c>
      <c r="R3" s="367">
        <f>IF(
  SUM(
    COUNTIFS('발전사업(A)'!$G:$G, Q$2, '발전사업(A)'!$Q:$Q, $J3, '발전사업(A)'!$C:$C, $L$1),
    COUNTIFS('자가소비(B)'!$G:$G, Q$2, '자가소비(B)'!$Q:$Q, $J3, '자가소비(B)'!$C:$C, $L$1),
    COUNTIFS('PPA 사업(C)'!$G:$G, Q$2, 'PPA 사업(C)'!$Q:$Q, $J3, 'PPA 사업(C)'!$C:$C, $L$1),
    COUNTIFS('리스사업(D)'!$G:$G, Q$2, '리스사업(D)'!$Q:$Q, $J3, '리스사업(D)'!$C:$C, $L$1),
    COUNTIFS('임대사업(E)'!$G:$G, Q$2, '임대사업(E)'!$Q:$Q, $J3, '임대사업(E)'!$C:$C, $L$1),
    COUNTIFS('환경부사업(F)'!$G:$G, Q$2, '환경부사업(F)'!$Q:$Q, $J3, '환경부사업(F)'!$C:$C, $L$1),
    COUNTIFS('프로젝트(G)'!$G:$G, Q$2, '프로젝트(G)'!$Q:$Q, $J3, '프로젝트(G)'!$C:$C, $L$1),
    COUNTIFS('협력사 EPC(H)'!$G:$G, Q$2, '협력사 EPC(H)'!$Q:$Q, $J3, '협력사 EPC(H)'!$C:$C, $L$1),
    COUNTIFS('기타(Z)'!$G:$G, Q$2, '기타(Z)'!$Q:$Q, $J3, '기타(Z)'!$C:$C, $L$1)
  ) = 0,
  "",
  COUNTIFS('발전사업(A)'!$G:$G, Q$2, '발전사업(A)'!$Q:$Q, $J3, '발전사업(A)'!$C:$C, $L$1)
  + COUNTIFS('자가소비(B)'!$G:$G, Q$2, '자가소비(B)'!$Q:$Q, $J3, '자가소비(B)'!$C:$C, $L$1)
  + COUNTIFS('PPA 사업(C)'!$G:$G, Q$2, 'PPA 사업(C)'!$Q:$Q, $J3, 'PPA 사업(C)'!$C:$C, $L$1)
  + COUNTIFS('리스사업(D)'!$G:$G, Q$2, '리스사업(D)'!$Q:$Q, $J3, '리스사업(D)'!$C:$C, $L$1)
  + COUNTIFS('임대사업(E)'!$G:$G, Q$2, '임대사업(E)'!$Q:$Q, $J3, '임대사업(E)'!$C:$C, $L$1)
  + COUNTIFS('환경부사업(F)'!$G:$G, Q$2, '환경부사업(F)'!$Q:$Q, $J3, '환경부사업(F)'!$C:$C, $L$1)
  + COUNTIFS('프로젝트(G)'!$G:$G, Q$2, '프로젝트(G)'!$Q:$Q, $J3, '프로젝트(G)'!$C:$C, $L$1)
  + COUNTIFS('협력사 EPC(H)'!$G:$G, Q$2, '협력사 EPC(H)'!$Q:$Q, $J3, '협력사 EPC(H)'!$C:$C, $L$1)
  + COUNTIFS('기타(Z)'!$G:$G, Q$2, '기타(Z)'!$Q:$Q, $J3, '기타(Z)'!$C:$C, $L$1)
)</f>
        <v>13</v>
      </c>
      <c r="S3" s="366">
        <f>IF(
  SUM(
    SUMIFS('발전사업(A)'!$I:$I,'발전사업(A)'!$G:$G,S$2,'발전사업(A)'!$Q:$Q,$J3,'발전사업(A)'!$C:$C,$L$1),
    SUMIFS('자가소비(B)'!$I:$I,'자가소비(B)'!$G:$G,S$2,'자가소비(B)'!$Q:$Q,$J3,'자가소비(B)'!$C:$C,$L$1),
    SUMIFS('PPA 사업(C)'!$I:$I,'PPA 사업(C)'!$G:$G,S$2,'PPA 사업(C)'!$Q:$Q,$J3,'PPA 사업(C)'!$C:$C,$L$1),
    SUMIFS('리스사업(D)'!$I:$I,'리스사업(D)'!$G:$G,S$2,'리스사업(D)'!$Q:$Q,$J3,'리스사업(D)'!$C:$C,$L$1),
    SUMIFS('임대사업(E)'!$I:$I,'임대사업(E)'!$G:$G,S$2,'임대사업(E)'!$Q:$Q,$J3,'임대사업(E)'!$C:$C,$L$1),
    SUMIFS('환경부사업(F)'!$I:$I,'환경부사업(F)'!$G:$G,S$2,'환경부사업(F)'!$Q:$Q,$J3,'환경부사업(F)'!$C:$C,$L$1),
    SUMIFS('프로젝트(G)'!$I:$I,'프로젝트(G)'!$G:$G,S$2,'프로젝트(G)'!$Q:$Q,$J3,'프로젝트(G)'!$C:$C,$L$1),
    SUMIFS('협력사 EPC(H)'!$I:$I,'협력사 EPC(H)'!$G:$G,S$2,'협력사 EPC(H)'!$Q:$Q,$J3,'협력사 EPC(H)'!$C:$C,$L$1),
    SUMIFS('기타(Z)'!$I:$I,'기타(Z)'!$G:$G,S$2,'기타(Z)'!$Q:$Q,$J3,'기타(Z)'!$C:$C,$L$1)
  )=0,
  "",
  SUM(
    SUMIFS('발전사업(A)'!$I:$I,'발전사업(A)'!$G:$G,S$2,'발전사업(A)'!$Q:$Q,$J3,'발전사업(A)'!$C:$C,$L$1),
    SUMIFS('자가소비(B)'!$I:$I,'자가소비(B)'!$G:$G,S$2,'자가소비(B)'!$Q:$Q,$J3,'자가소비(B)'!$C:$C,$L$1),
    SUMIFS('PPA 사업(C)'!$I:$I,'PPA 사업(C)'!$G:$G,S$2,'PPA 사업(C)'!$Q:$Q,$J3,'PPA 사업(C)'!$C:$C,$L$1),
    SUMIFS('리스사업(D)'!$I:$I,'리스사업(D)'!$G:$G,S$2,'리스사업(D)'!$Q:$Q,$J3,'리스사업(D)'!$C:$C,$L$1),
    SUMIFS('임대사업(E)'!$I:$I,'임대사업(E)'!$G:$G,S$2,'임대사업(E)'!$Q:$Q,$J3,'임대사업(E)'!$C:$C,$L$1),
    SUMIFS('환경부사업(F)'!$I:$I,'환경부사업(F)'!$G:$G,S$2,'환경부사업(F)'!$Q:$Q,$J3,'환경부사업(F)'!$C:$C,$L$1),
    SUMIFS('프로젝트(G)'!$I:$I,'프로젝트(G)'!$G:$G,S$2,'프로젝트(G)'!$Q:$Q,$J3,'프로젝트(G)'!$C:$C,$L$1),
    SUMIFS('협력사 EPC(H)'!$I:$I,'협력사 EPC(H)'!$G:$G,S$2,'협력사 EPC(H)'!$Q:$Q,$J3,'협력사 EPC(H)'!$C:$C,$L$1),
    SUMIFS('기타(Z)'!$I:$I,'기타(Z)'!$G:$G,S$2,'기타(Z)'!$Q:$Q,$J3,'기타(Z)'!$C:$C,$L$1)
  )
)</f>
        <v>1649.9099999999999</v>
      </c>
      <c r="T3" s="367">
        <f>IF(
  SUM(
    COUNTIFS('발전사업(A)'!$G:$G, S$2, '발전사업(A)'!$Q:$Q, $J3, '발전사업(A)'!$C:$C, $L$1),
    COUNTIFS('자가소비(B)'!$G:$G, S$2, '자가소비(B)'!$Q:$Q, $J3, '자가소비(B)'!$C:$C, $L$1),
    COUNTIFS('PPA 사업(C)'!$G:$G, S$2, 'PPA 사업(C)'!$Q:$Q, $J3, 'PPA 사업(C)'!$C:$C, $L$1),
    COUNTIFS('리스사업(D)'!$G:$G, S$2, '리스사업(D)'!$Q:$Q, $J3, '리스사업(D)'!$C:$C, $L$1),
    COUNTIFS('임대사업(E)'!$G:$G, S$2, '임대사업(E)'!$Q:$Q, $J3, '임대사업(E)'!$C:$C, $L$1),
    COUNTIFS('환경부사업(F)'!$G:$G, S$2, '환경부사업(F)'!$Q:$Q, $J3, '환경부사업(F)'!$C:$C, $L$1),
    COUNTIFS('프로젝트(G)'!$G:$G, S$2, '프로젝트(G)'!$Q:$Q, $J3, '프로젝트(G)'!$C:$C, $L$1),
    COUNTIFS('협력사 EPC(H)'!$G:$G, S$2, '협력사 EPC(H)'!$Q:$Q, $J3, '협력사 EPC(H)'!$C:$C, $L$1),
    COUNTIFS('기타(Z)'!$G:$G, S$2, '기타(Z)'!$Q:$Q, $J3, '기타(Z)'!$C:$C, $L$1)
  ) = 0,
  "",
  COUNTIFS('발전사업(A)'!$G:$G, S$2, '발전사업(A)'!$Q:$Q, $J3, '발전사업(A)'!$C:$C, $L$1)
  + COUNTIFS('자가소비(B)'!$G:$G, S$2, '자가소비(B)'!$Q:$Q, $J3, '자가소비(B)'!$C:$C, $L$1)
  + COUNTIFS('PPA 사업(C)'!$G:$G, S$2, 'PPA 사업(C)'!$Q:$Q, $J3, 'PPA 사업(C)'!$C:$C, $L$1)
  + COUNTIFS('리스사업(D)'!$G:$G, S$2, '리스사업(D)'!$Q:$Q, $J3, '리스사업(D)'!$C:$C, $L$1)
  + COUNTIFS('임대사업(E)'!$G:$G, S$2, '임대사업(E)'!$Q:$Q, $J3, '임대사업(E)'!$C:$C, $L$1)
  + COUNTIFS('환경부사업(F)'!$G:$G, S$2, '환경부사업(F)'!$Q:$Q, $J3, '환경부사업(F)'!$C:$C, $L$1)
  + COUNTIFS('프로젝트(G)'!$G:$G, S$2, '프로젝트(G)'!$Q:$Q, $J3, '프로젝트(G)'!$C:$C, $L$1)
  + COUNTIFS('협력사 EPC(H)'!$G:$G, S$2, '협력사 EPC(H)'!$Q:$Q, $J3, '협력사 EPC(H)'!$C:$C, $L$1)
  + COUNTIFS('기타(Z)'!$G:$G, S$2, '기타(Z)'!$Q:$Q, $J3, '기타(Z)'!$C:$C, $L$1)
)</f>
        <v>10</v>
      </c>
      <c r="U3" s="366">
        <f>IF(
  SUM(
    SUMIFS('발전사업(A)'!$I:$I,'발전사업(A)'!$G:$G,U$2,'발전사업(A)'!$Q:$Q,$J3,'발전사업(A)'!$C:$C,$L$1),
    SUMIFS('자가소비(B)'!$I:$I,'자가소비(B)'!$G:$G,U$2,'자가소비(B)'!$Q:$Q,$J3,'자가소비(B)'!$C:$C,$L$1),
    SUMIFS('PPA 사업(C)'!$I:$I,'PPA 사업(C)'!$G:$G,U$2,'PPA 사업(C)'!$Q:$Q,$J3,'PPA 사업(C)'!$C:$C,$L$1),
    SUMIFS('리스사업(D)'!$I:$I,'리스사업(D)'!$G:$G,U$2,'리스사업(D)'!$Q:$Q,$J3,'리스사업(D)'!$C:$C,$L$1),
    SUMIFS('임대사업(E)'!$I:$I,'임대사업(E)'!$G:$G,U$2,'임대사업(E)'!$Q:$Q,$J3,'임대사업(E)'!$C:$C,$L$1),
    SUMIFS('환경부사업(F)'!$I:$I,'환경부사업(F)'!$G:$G,U$2,'환경부사업(F)'!$Q:$Q,$J3,'환경부사업(F)'!$C:$C,$L$1),
    SUMIFS('프로젝트(G)'!$I:$I,'프로젝트(G)'!$G:$G,U$2,'프로젝트(G)'!$Q:$Q,$J3,'프로젝트(G)'!$C:$C,$L$1),
    SUMIFS('협력사 EPC(H)'!$I:$I,'협력사 EPC(H)'!$G:$G,U$2,'협력사 EPC(H)'!$Q:$Q,$J3,'협력사 EPC(H)'!$C:$C,$L$1),
    SUMIFS('기타(Z)'!$I:$I,'기타(Z)'!$G:$G,U$2,'기타(Z)'!$Q:$Q,$J3,'기타(Z)'!$C:$C,$L$1)
  )=0,
  "",
  SUM(
    SUMIFS('발전사업(A)'!$I:$I,'발전사업(A)'!$G:$G,U$2,'발전사업(A)'!$Q:$Q,$J3,'발전사업(A)'!$C:$C,$L$1),
    SUMIFS('자가소비(B)'!$I:$I,'자가소비(B)'!$G:$G,U$2,'자가소비(B)'!$Q:$Q,$J3,'자가소비(B)'!$C:$C,$L$1),
    SUMIFS('PPA 사업(C)'!$I:$I,'PPA 사업(C)'!$G:$G,U$2,'PPA 사업(C)'!$Q:$Q,$J3,'PPA 사업(C)'!$C:$C,$L$1),
    SUMIFS('리스사업(D)'!$I:$I,'리스사업(D)'!$G:$G,U$2,'리스사업(D)'!$Q:$Q,$J3,'리스사업(D)'!$C:$C,$L$1),
    SUMIFS('임대사업(E)'!$I:$I,'임대사업(E)'!$G:$G,U$2,'임대사업(E)'!$Q:$Q,$J3,'임대사업(E)'!$C:$C,$L$1),
    SUMIFS('환경부사업(F)'!$I:$I,'환경부사업(F)'!$G:$G,U$2,'환경부사업(F)'!$Q:$Q,$J3,'환경부사업(F)'!$C:$C,$L$1),
    SUMIFS('프로젝트(G)'!$I:$I,'프로젝트(G)'!$G:$G,U$2,'프로젝트(G)'!$Q:$Q,$J3,'프로젝트(G)'!$C:$C,$L$1),
    SUMIFS('협력사 EPC(H)'!$I:$I,'협력사 EPC(H)'!$G:$G,U$2,'협력사 EPC(H)'!$Q:$Q,$J3,'협력사 EPC(H)'!$C:$C,$L$1),
    SUMIFS('기타(Z)'!$I:$I,'기타(Z)'!$G:$G,U$2,'기타(Z)'!$Q:$Q,$J3,'기타(Z)'!$C:$C,$L$1)
  )
)</f>
        <v>1180.9949999999999</v>
      </c>
      <c r="V3" s="367">
        <f>IF(
  SUM(
    COUNTIFS('발전사업(A)'!$G:$G, U$2, '발전사업(A)'!$Q:$Q, $J3, '발전사업(A)'!$C:$C, $L$1),
    COUNTIFS('자가소비(B)'!$G:$G, U$2, '자가소비(B)'!$Q:$Q, $J3, '자가소비(B)'!$C:$C, $L$1),
    COUNTIFS('PPA 사업(C)'!$G:$G, U$2, 'PPA 사업(C)'!$Q:$Q, $J3, 'PPA 사업(C)'!$C:$C, $L$1),
    COUNTIFS('리스사업(D)'!$G:$G, U$2, '리스사업(D)'!$Q:$Q, $J3, '리스사업(D)'!$C:$C, $L$1),
    COUNTIFS('임대사업(E)'!$G:$G, U$2, '임대사업(E)'!$Q:$Q, $J3, '임대사업(E)'!$C:$C, $L$1),
    COUNTIFS('환경부사업(F)'!$G:$G, U$2, '환경부사업(F)'!$Q:$Q, $J3, '환경부사업(F)'!$C:$C, $L$1),
    COUNTIFS('프로젝트(G)'!$G:$G, U$2, '프로젝트(G)'!$Q:$Q, $J3, '프로젝트(G)'!$C:$C, $L$1),
    COUNTIFS('협력사 EPC(H)'!$G:$G, U$2, '협력사 EPC(H)'!$Q:$Q, $J3, '협력사 EPC(H)'!$C:$C, $L$1),
    COUNTIFS('기타(Z)'!$G:$G, U$2, '기타(Z)'!$Q:$Q, $J3, '기타(Z)'!$C:$C, $L$1)
  ) = 0,
  "",
  COUNTIFS('발전사업(A)'!$G:$G, U$2, '발전사업(A)'!$Q:$Q, $J3, '발전사업(A)'!$C:$C, $L$1)
  + COUNTIFS('자가소비(B)'!$G:$G, U$2, '자가소비(B)'!$Q:$Q, $J3, '자가소비(B)'!$C:$C, $L$1)
  + COUNTIFS('PPA 사업(C)'!$G:$G, U$2, 'PPA 사업(C)'!$Q:$Q, $J3, 'PPA 사업(C)'!$C:$C, $L$1)
  + COUNTIFS('리스사업(D)'!$G:$G, U$2, '리스사업(D)'!$Q:$Q, $J3, '리스사업(D)'!$C:$C, $L$1)
  + COUNTIFS('임대사업(E)'!$G:$G, U$2, '임대사업(E)'!$Q:$Q, $J3, '임대사업(E)'!$C:$C, $L$1)
  + COUNTIFS('환경부사업(F)'!$G:$G, U$2, '환경부사업(F)'!$Q:$Q, $J3, '환경부사업(F)'!$C:$C, $L$1)
  + COUNTIFS('프로젝트(G)'!$G:$G, U$2, '프로젝트(G)'!$Q:$Q, $J3, '프로젝트(G)'!$C:$C, $L$1)
  + COUNTIFS('협력사 EPC(H)'!$G:$G, U$2, '협력사 EPC(H)'!$Q:$Q, $J3, '협력사 EPC(H)'!$C:$C, $L$1)
  + COUNTIFS('기타(Z)'!$G:$G, U$2, '기타(Z)'!$Q:$Q, $J3, '기타(Z)'!$C:$C, $L$1)
)</f>
        <v>3</v>
      </c>
      <c r="W3" s="366">
        <f>IF(
  SUM(
    SUMIFS('발전사업(A)'!$I:$I,'발전사업(A)'!$G:$G,W$2,'발전사업(A)'!$Q:$Q,$J3,'발전사업(A)'!$C:$C,$L$1),
    SUMIFS('자가소비(B)'!$I:$I,'자가소비(B)'!$G:$G,W$2,'자가소비(B)'!$Q:$Q,$J3,'자가소비(B)'!$C:$C,$L$1),
    SUMIFS('PPA 사업(C)'!$I:$I,'PPA 사업(C)'!$G:$G,W$2,'PPA 사업(C)'!$Q:$Q,$J3,'PPA 사업(C)'!$C:$C,$L$1),
    SUMIFS('리스사업(D)'!$I:$I,'리스사업(D)'!$G:$G,W$2,'리스사업(D)'!$Q:$Q,$J3,'리스사업(D)'!$C:$C,$L$1),
    SUMIFS('임대사업(E)'!$I:$I,'임대사업(E)'!$G:$G,W$2,'임대사업(E)'!$Q:$Q,$J3,'임대사업(E)'!$C:$C,$L$1),
    SUMIFS('환경부사업(F)'!$I:$I,'환경부사업(F)'!$G:$G,W$2,'환경부사업(F)'!$Q:$Q,$J3,'환경부사업(F)'!$C:$C,$L$1),
    SUMIFS('프로젝트(G)'!$I:$I,'프로젝트(G)'!$G:$G,W$2,'프로젝트(G)'!$Q:$Q,$J3,'프로젝트(G)'!$C:$C,$L$1),
    SUMIFS('협력사 EPC(H)'!$I:$I,'협력사 EPC(H)'!$G:$G,W$2,'협력사 EPC(H)'!$Q:$Q,$J3,'협력사 EPC(H)'!$C:$C,$L$1),
    SUMIFS('기타(Z)'!$I:$I,'기타(Z)'!$G:$G,W$2,'기타(Z)'!$Q:$Q,$J3,'기타(Z)'!$C:$C,$L$1)
  )=0,
  "",
  SUM(
    SUMIFS('발전사업(A)'!$I:$I,'발전사업(A)'!$G:$G,W$2,'발전사업(A)'!$Q:$Q,$J3,'발전사업(A)'!$C:$C,$L$1),
    SUMIFS('자가소비(B)'!$I:$I,'자가소비(B)'!$G:$G,W$2,'자가소비(B)'!$Q:$Q,$J3,'자가소비(B)'!$C:$C,$L$1),
    SUMIFS('PPA 사업(C)'!$I:$I,'PPA 사업(C)'!$G:$G,W$2,'PPA 사업(C)'!$Q:$Q,$J3,'PPA 사업(C)'!$C:$C,$L$1),
    SUMIFS('리스사업(D)'!$I:$I,'리스사업(D)'!$G:$G,W$2,'리스사업(D)'!$Q:$Q,$J3,'리스사업(D)'!$C:$C,$L$1),
    SUMIFS('임대사업(E)'!$I:$I,'임대사업(E)'!$G:$G,W$2,'임대사업(E)'!$Q:$Q,$J3,'임대사업(E)'!$C:$C,$L$1),
    SUMIFS('환경부사업(F)'!$I:$I,'환경부사업(F)'!$G:$G,W$2,'환경부사업(F)'!$Q:$Q,$J3,'환경부사업(F)'!$C:$C,$L$1),
    SUMIFS('프로젝트(G)'!$I:$I,'프로젝트(G)'!$G:$G,W$2,'프로젝트(G)'!$Q:$Q,$J3,'프로젝트(G)'!$C:$C,$L$1),
    SUMIFS('협력사 EPC(H)'!$I:$I,'협력사 EPC(H)'!$G:$G,W$2,'협력사 EPC(H)'!$Q:$Q,$J3,'협력사 EPC(H)'!$C:$C,$L$1),
    SUMIFS('기타(Z)'!$I:$I,'기타(Z)'!$G:$G,W$2,'기타(Z)'!$Q:$Q,$J3,'기타(Z)'!$C:$C,$L$1)
  )
)</f>
        <v>1936.9349999999997</v>
      </c>
      <c r="X3" s="367">
        <f>IF(
  SUM(
    COUNTIFS('발전사업(A)'!$G:$G,W$2,'발전사업(A)'!$Q:$Q,$J3),
    COUNTIFS('자가소비(B)'!$G:$G,W$2,'자가소비(B)'!$Q:$Q,$J3),
    COUNTIFS('PPA 사업(C)'!$G:$G,W$2,'PPA 사업(C)'!$Q:$Q,$J3),
    COUNTIFS('리스사업(D)'!$G:$G,W$2,'리스사업(D)'!$Q:$Q,$J3),
    COUNTIFS('임대사업(E)'!$G:$G,W$2,'임대사업(E)'!$Q:$Q,$J3),
    COUNTIFS('환경부사업(F)'!$G:$G,W$2,'환경부사업(F)'!$Q:$Q,$J3),
    COUNTIFS('프로젝트(G)'!$G:$G,W$2,'프로젝트(G)'!$Q:$Q,$J3),
    COUNTIFS('협력사 EPC(H)'!$G:$G,W$2,'협력사 EPC(H)'!$Q:$Q,$J3),
    COUNTIFS('기타(Z)'!$G:$G,W$2,'기타(Z)'!$Q:$Q,$J3)
  )=0,
  "",
  COUNTIFS('발전사업(A)'!$G:$G,W$2,'발전사업(A)'!$Q:$Q,$J3)
  +COUNTIFS('자가소비(B)'!$G:$G,W$2,'자가소비(B)'!$Q:$Q,$J3)
  +COUNTIFS('PPA 사업(C)'!$G:$G,W$2,'PPA 사업(C)'!$Q:$Q,$J3)
  +COUNTIFS('리스사업(D)'!$G:$G,W$2,'리스사업(D)'!$Q:$Q,$J3)
  +COUNTIFS('임대사업(E)'!$G:$G,W$2,'임대사업(E)'!$Q:$Q,$J3)
  +COUNTIFS('환경부사업(F)'!$G:$G,W$2,'환경부사업(F)'!$Q:$Q,$J3)
  +COUNTIFS('프로젝트(G)'!$G:$G,W$2,'프로젝트(G)'!$Q:$Q,$J3)
  +COUNTIFS('협력사 EPC(H)'!$G:$G,W$2,'협력사 EPC(H)'!$Q:$Q,$J3)
  +COUNTIFS('기타(Z)'!$G:$G,W$2,'기타(Z)'!$Q:$Q,$J3)
)</f>
        <v>8</v>
      </c>
      <c r="Y3" s="366">
        <f>IF(
  SUM(
    SUMIFS('발전사업(A)'!$I:$I,'발전사업(A)'!$G:$G,Y$2,'발전사업(A)'!$Q:$Q,$J3,'발전사업(A)'!$C:$C,$L$1),
    SUMIFS('자가소비(B)'!$I:$I,'자가소비(B)'!$G:$G,Y$2,'자가소비(B)'!$Q:$Q,$J3,'자가소비(B)'!$C:$C,$L$1),
    SUMIFS('PPA 사업(C)'!$I:$I,'PPA 사업(C)'!$G:$G,Y$2,'PPA 사업(C)'!$Q:$Q,$J3,'PPA 사업(C)'!$C:$C,$L$1),
    SUMIFS('리스사업(D)'!$I:$I,'리스사업(D)'!$G:$G,Y$2,'리스사업(D)'!$Q:$Q,$J3,'리스사업(D)'!$C:$C,$L$1),
    SUMIFS('임대사업(E)'!$I:$I,'임대사업(E)'!$G:$G,Y$2,'임대사업(E)'!$Q:$Q,$J3,'임대사업(E)'!$C:$C,$L$1),
    SUMIFS('환경부사업(F)'!$I:$I,'환경부사업(F)'!$G:$G,Y$2,'환경부사업(F)'!$Q:$Q,$J3,'환경부사업(F)'!$C:$C,$L$1),
    SUMIFS('프로젝트(G)'!$I:$I,'프로젝트(G)'!$G:$G,Y$2,'프로젝트(G)'!$Q:$Q,$J3,'프로젝트(G)'!$C:$C,$L$1),
    SUMIFS('협력사 EPC(H)'!$I:$I,'협력사 EPC(H)'!$G:$G,Y$2,'협력사 EPC(H)'!$Q:$Q,$J3,'협력사 EPC(H)'!$C:$C,$L$1),
    SUMIFS('기타(Z)'!$I:$I,'기타(Z)'!$G:$G,Y$2,'기타(Z)'!$Q:$Q,$J3,'기타(Z)'!$C:$C,$L$1)
  )=0,
  "",
  SUM(
    SUMIFS('발전사업(A)'!$I:$I,'발전사업(A)'!$G:$G,Y$2,'발전사업(A)'!$Q:$Q,$J3,'발전사업(A)'!$C:$C,$L$1),
    SUMIFS('자가소비(B)'!$I:$I,'자가소비(B)'!$G:$G,Y$2,'자가소비(B)'!$Q:$Q,$J3,'자가소비(B)'!$C:$C,$L$1),
    SUMIFS('PPA 사업(C)'!$I:$I,'PPA 사업(C)'!$G:$G,Y$2,'PPA 사업(C)'!$Q:$Q,$J3,'PPA 사업(C)'!$C:$C,$L$1),
    SUMIFS('리스사업(D)'!$I:$I,'리스사업(D)'!$G:$G,Y$2,'리스사업(D)'!$Q:$Q,$J3,'리스사업(D)'!$C:$C,$L$1),
    SUMIFS('임대사업(E)'!$I:$I,'임대사업(E)'!$G:$G,Y$2,'임대사업(E)'!$Q:$Q,$J3,'임대사업(E)'!$C:$C,$L$1),
    SUMIFS('환경부사업(F)'!$I:$I,'환경부사업(F)'!$G:$G,Y$2,'환경부사업(F)'!$Q:$Q,$J3,'환경부사업(F)'!$C:$C,$L$1),
    SUMIFS('프로젝트(G)'!$I:$I,'프로젝트(G)'!$G:$G,Y$2,'프로젝트(G)'!$Q:$Q,$J3,'프로젝트(G)'!$C:$C,$L$1),
    SUMIFS('협력사 EPC(H)'!$I:$I,'협력사 EPC(H)'!$G:$G,Y$2,'협력사 EPC(H)'!$Q:$Q,$J3,'협력사 EPC(H)'!$C:$C,$L$1),
    SUMIFS('기타(Z)'!$I:$I,'기타(Z)'!$G:$G,Y$2,'기타(Z)'!$Q:$Q,$J3,'기타(Z)'!$C:$C,$L$1)
  )
)</f>
        <v>2130.4499999999998</v>
      </c>
      <c r="Z3" s="367">
        <f>IF(
  SUM(
    COUNTIFS('발전사업(A)'!$G:$G, Y$2, '발전사업(A)'!$Q:$Q, $J3, '발전사업(A)'!$C:$C, $L$1),
    COUNTIFS('자가소비(B)'!$G:$G, Y$2, '자가소비(B)'!$Q:$Q, $J3, '자가소비(B)'!$C:$C, $L$1),
    COUNTIFS('PPA 사업(C)'!$G:$G, Y$2, 'PPA 사업(C)'!$Q:$Q, $J3, 'PPA 사업(C)'!$C:$C, $L$1),
    COUNTIFS('리스사업(D)'!$G:$G, Y$2, '리스사업(D)'!$Q:$Q, $J3, '리스사업(D)'!$C:$C, $L$1),
    COUNTIFS('임대사업(E)'!$G:$G, Y$2, '임대사업(E)'!$Q:$Q, $J3, '임대사업(E)'!$C:$C, $L$1),
    COUNTIFS('환경부사업(F)'!$G:$G, Y$2, '환경부사업(F)'!$Q:$Q, $J3, '환경부사업(F)'!$C:$C, $L$1),
    COUNTIFS('프로젝트(G)'!$G:$G, Y$2, '프로젝트(G)'!$Q:$Q, $J3, '프로젝트(G)'!$C:$C, $L$1),
    COUNTIFS('협력사 EPC(H)'!$G:$G, Y$2, '협력사 EPC(H)'!$Q:$Q, $J3, '협력사 EPC(H)'!$C:$C, $L$1),
    COUNTIFS('기타(Z)'!$G:$G, Y$2, '기타(Z)'!$Q:$Q, $J3, '기타(Z)'!$C:$C, $L$1)
  ) = 0,
  "",
  COUNTIFS('발전사업(A)'!$G:$G, Y$2, '발전사업(A)'!$Q:$Q, $J3, '발전사업(A)'!$C:$C, $L$1)
  + COUNTIFS('자가소비(B)'!$G:$G, Y$2, '자가소비(B)'!$Q:$Q, $J3, '자가소비(B)'!$C:$C, $L$1)
  + COUNTIFS('PPA 사업(C)'!$G:$G, Y$2, 'PPA 사업(C)'!$Q:$Q, $J3, 'PPA 사업(C)'!$C:$C, $L$1)
  + COUNTIFS('리스사업(D)'!$G:$G, Y$2, '리스사업(D)'!$Q:$Q, $J3, '리스사업(D)'!$C:$C, $L$1)
  + COUNTIFS('임대사업(E)'!$G:$G, Y$2, '임대사업(E)'!$Q:$Q, $J3, '임대사업(E)'!$C:$C, $L$1)
  + COUNTIFS('환경부사업(F)'!$G:$G, Y$2, '환경부사업(F)'!$Q:$Q, $J3, '환경부사업(F)'!$C:$C, $L$1)
  + COUNTIFS('프로젝트(G)'!$G:$G, Y$2, '프로젝트(G)'!$Q:$Q, $J3, '프로젝트(G)'!$C:$C, $L$1)
  + COUNTIFS('협력사 EPC(H)'!$G:$G, Y$2, '협력사 EPC(H)'!$Q:$Q, $J3, '협력사 EPC(H)'!$C:$C, $L$1)
  + COUNTIFS('기타(Z)'!$G:$G, Y$2, '기타(Z)'!$Q:$Q, $J3, '기타(Z)'!$C:$C, $L$1)
)</f>
        <v>7</v>
      </c>
      <c r="AA3" s="366">
        <f>IF(
  SUM(
    SUMIFS('발전사업(A)'!$I:$I,'발전사업(A)'!$G:$G,AA$2,'발전사업(A)'!$Q:$Q,$J3,'발전사업(A)'!$C:$C,$L$1),
    SUMIFS('자가소비(B)'!$I:$I,'자가소비(B)'!$G:$G,AA$2,'자가소비(B)'!$Q:$Q,$J3,'자가소비(B)'!$C:$C,$L$1),
    SUMIFS('PPA 사업(C)'!$I:$I,'PPA 사업(C)'!$G:$G,AA$2,'PPA 사업(C)'!$Q:$Q,$J3,'PPA 사업(C)'!$C:$C,$L$1),
    SUMIFS('리스사업(D)'!$I:$I,'리스사업(D)'!$G:$G,AA$2,'리스사업(D)'!$Q:$Q,$J3,'리스사업(D)'!$C:$C,$L$1),
    SUMIFS('임대사업(E)'!$I:$I,'임대사업(E)'!$G:$G,AA$2,'임대사업(E)'!$Q:$Q,$J3,'임대사업(E)'!$C:$C,$L$1),
    SUMIFS('환경부사업(F)'!$I:$I,'환경부사업(F)'!$G:$G,AA$2,'환경부사업(F)'!$Q:$Q,$J3,'환경부사업(F)'!$C:$C,$L$1),
    SUMIFS('프로젝트(G)'!$I:$I,'프로젝트(G)'!$G:$G,AA$2,'프로젝트(G)'!$Q:$Q,$J3,'프로젝트(G)'!$C:$C,$L$1),
    SUMIFS('협력사 EPC(H)'!$I:$I,'협력사 EPC(H)'!$G:$G,AA$2,'협력사 EPC(H)'!$Q:$Q,$J3,'협력사 EPC(H)'!$C:$C,$L$1),
    SUMIFS('기타(Z)'!$I:$I,'기타(Z)'!$G:$G,AA$2,'기타(Z)'!$Q:$Q,$J3,'기타(Z)'!$C:$C,$L$1)
  )=0,
  "",
  SUM(
    SUMIFS('발전사업(A)'!$I:$I,'발전사업(A)'!$G:$G,AA$2,'발전사업(A)'!$Q:$Q,$J3,'발전사업(A)'!$C:$C,$L$1),
    SUMIFS('자가소비(B)'!$I:$I,'자가소비(B)'!$G:$G,AA$2,'자가소비(B)'!$Q:$Q,$J3,'자가소비(B)'!$C:$C,$L$1),
    SUMIFS('PPA 사업(C)'!$I:$I,'PPA 사업(C)'!$G:$G,AA$2,'PPA 사업(C)'!$Q:$Q,$J3,'PPA 사업(C)'!$C:$C,$L$1),
    SUMIFS('리스사업(D)'!$I:$I,'리스사업(D)'!$G:$G,AA$2,'리스사업(D)'!$Q:$Q,$J3,'리스사업(D)'!$C:$C,$L$1),
    SUMIFS('임대사업(E)'!$I:$I,'임대사업(E)'!$G:$G,AA$2,'임대사업(E)'!$Q:$Q,$J3,'임대사업(E)'!$C:$C,$L$1),
    SUMIFS('환경부사업(F)'!$I:$I,'환경부사업(F)'!$G:$G,AA$2,'환경부사업(F)'!$Q:$Q,$J3,'환경부사업(F)'!$C:$C,$L$1),
    SUMIFS('프로젝트(G)'!$I:$I,'프로젝트(G)'!$G:$G,AA$2,'프로젝트(G)'!$Q:$Q,$J3,'프로젝트(G)'!$C:$C,$L$1),
    SUMIFS('협력사 EPC(H)'!$I:$I,'협력사 EPC(H)'!$G:$G,AA$2,'협력사 EPC(H)'!$Q:$Q,$J3,'협력사 EPC(H)'!$C:$C,$L$1),
    SUMIFS('기타(Z)'!$I:$I,'기타(Z)'!$G:$G,AA$2,'기타(Z)'!$Q:$Q,$J3,'기타(Z)'!$C:$C,$L$1)
  )
)</f>
        <v>600.49500000000012</v>
      </c>
      <c r="AB3" s="367">
        <f>IF(
  SUM(
    COUNTIFS('발전사업(A)'!$G:$G, AA$2, '발전사업(A)'!$Q:$Q, $J3, '발전사업(A)'!$C:$C, $L$1),
    COUNTIFS('자가소비(B)'!$G:$G, AA$2, '자가소비(B)'!$Q:$Q, $J3, '자가소비(B)'!$C:$C, $L$1),
    COUNTIFS('PPA 사업(C)'!$G:$G, AA$2, 'PPA 사업(C)'!$Q:$Q, $J3, 'PPA 사업(C)'!$C:$C, $L$1),
    COUNTIFS('리스사업(D)'!$G:$G, AA$2, '리스사업(D)'!$Q:$Q, $J3, '리스사업(D)'!$C:$C, $L$1),
    COUNTIFS('임대사업(E)'!$G:$G, AA$2, '임대사업(E)'!$Q:$Q, $J3, '임대사업(E)'!$C:$C, $L$1),
    COUNTIFS('환경부사업(F)'!$G:$G, AA$2, '환경부사업(F)'!$Q:$Q, $J3, '환경부사업(F)'!$C:$C, $L$1),
    COUNTIFS('프로젝트(G)'!$G:$G, AA$2, '프로젝트(G)'!$Q:$Q, $J3, '프로젝트(G)'!$C:$C, $L$1),
    COUNTIFS('협력사 EPC(H)'!$G:$G, AA$2, '협력사 EPC(H)'!$Q:$Q, $J3, '협력사 EPC(H)'!$C:$C, $L$1),
    COUNTIFS('기타(Z)'!$G:$G, AA$2, '기타(Z)'!$Q:$Q, $J3, '기타(Z)'!$C:$C, $L$1)
  ) = 0,
  "",
  COUNTIFS('발전사업(A)'!$G:$G, AA$2, '발전사업(A)'!$Q:$Q, $J3, '발전사업(A)'!$C:$C, $L$1)
  + COUNTIFS('자가소비(B)'!$G:$G, AA$2, '자가소비(B)'!$Q:$Q, $J3, '자가소비(B)'!$C:$C, $L$1)
  + COUNTIFS('PPA 사업(C)'!$G:$G, AA$2, 'PPA 사업(C)'!$Q:$Q, $J3, 'PPA 사업(C)'!$C:$C, $L$1)
  + COUNTIFS('리스사업(D)'!$G:$G, AA$2, '리스사업(D)'!$Q:$Q, $J3, '리스사업(D)'!$C:$C, $L$1)
  + COUNTIFS('임대사업(E)'!$G:$G, AA$2, '임대사업(E)'!$Q:$Q, $J3, '임대사업(E)'!$C:$C, $L$1)
  + COUNTIFS('환경부사업(F)'!$G:$G, AA$2, '환경부사업(F)'!$Q:$Q, $J3, '환경부사업(F)'!$C:$C, $L$1)
  + COUNTIFS('프로젝트(G)'!$G:$G, AA$2, '프로젝트(G)'!$Q:$Q, $J3, '프로젝트(G)'!$C:$C, $L$1)
  + COUNTIFS('협력사 EPC(H)'!$G:$G, AA$2, '협력사 EPC(H)'!$Q:$Q, $J3, '협력사 EPC(H)'!$C:$C, $L$1)
  + COUNTIFS('기타(Z)'!$G:$G, AA$2, '기타(Z)'!$Q:$Q, $J3, '기타(Z)'!$C:$C, $L$1)
)</f>
        <v>4</v>
      </c>
      <c r="AC3" s="366">
        <f>IF(
  SUM(
    SUMIFS('발전사업(A)'!$I:$I,'발전사업(A)'!$G:$G,AC$2,'발전사업(A)'!$Q:$Q,$J3,'발전사업(A)'!$C:$C,$L$1),
    SUMIFS('자가소비(B)'!$I:$I,'자가소비(B)'!$G:$G,AC$2,'자가소비(B)'!$Q:$Q,$J3,'자가소비(B)'!$C:$C,$L$1),
    SUMIFS('PPA 사업(C)'!$I:$I,'PPA 사업(C)'!$G:$G,AC$2,'PPA 사업(C)'!$Q:$Q,$J3,'PPA 사업(C)'!$C:$C,$L$1),
    SUMIFS('리스사업(D)'!$I:$I,'리스사업(D)'!$G:$G,AC$2,'리스사업(D)'!$Q:$Q,$J3,'리스사업(D)'!$C:$C,$L$1),
    SUMIFS('임대사업(E)'!$I:$I,'임대사업(E)'!$G:$G,AC$2,'임대사업(E)'!$Q:$Q,$J3,'임대사업(E)'!$C:$C,$L$1),
    SUMIFS('환경부사업(F)'!$I:$I,'환경부사업(F)'!$G:$G,AC$2,'환경부사업(F)'!$Q:$Q,$J3,'환경부사업(F)'!$C:$C,$L$1),
    SUMIFS('프로젝트(G)'!$I:$I,'프로젝트(G)'!$G:$G,AC$2,'프로젝트(G)'!$Q:$Q,$J3,'프로젝트(G)'!$C:$C,$L$1),
    SUMIFS('협력사 EPC(H)'!$I:$I,'협력사 EPC(H)'!$G:$G,AC$2,'협력사 EPC(H)'!$Q:$Q,$J3,'협력사 EPC(H)'!$C:$C,$L$1),
    SUMIFS('기타(Z)'!$I:$I,'기타(Z)'!$G:$G,AC$2,'기타(Z)'!$Q:$Q,$J3,'기타(Z)'!$C:$C,$L$1)
  )=0,
  "",
  SUM(
    SUMIFS('발전사업(A)'!$I:$I,'발전사업(A)'!$G:$G,AC$2,'발전사업(A)'!$Q:$Q,$J3,'발전사업(A)'!$C:$C,$L$1),
    SUMIFS('자가소비(B)'!$I:$I,'자가소비(B)'!$G:$G,AC$2,'자가소비(B)'!$Q:$Q,$J3,'자가소비(B)'!$C:$C,$L$1),
    SUMIFS('PPA 사업(C)'!$I:$I,'PPA 사업(C)'!$G:$G,AC$2,'PPA 사업(C)'!$Q:$Q,$J3,'PPA 사업(C)'!$C:$C,$L$1),
    SUMIFS('리스사업(D)'!$I:$I,'리스사업(D)'!$G:$G,AC$2,'리스사업(D)'!$Q:$Q,$J3,'리스사업(D)'!$C:$C,$L$1),
    SUMIFS('임대사업(E)'!$I:$I,'임대사업(E)'!$G:$G,AC$2,'임대사업(E)'!$Q:$Q,$J3,'임대사업(E)'!$C:$C,$L$1),
    SUMIFS('환경부사업(F)'!$I:$I,'환경부사업(F)'!$G:$G,AC$2,'환경부사업(F)'!$Q:$Q,$J3,'환경부사업(F)'!$C:$C,$L$1),
    SUMIFS('프로젝트(G)'!$I:$I,'프로젝트(G)'!$G:$G,AC$2,'프로젝트(G)'!$Q:$Q,$J3,'프로젝트(G)'!$C:$C,$L$1),
    SUMIFS('협력사 EPC(H)'!$I:$I,'협력사 EPC(H)'!$G:$G,AC$2,'협력사 EPC(H)'!$Q:$Q,$J3,'협력사 EPC(H)'!$C:$C,$L$1),
    SUMIFS('기타(Z)'!$I:$I,'기타(Z)'!$G:$G,AC$2,'기타(Z)'!$Q:$Q,$J3,'기타(Z)'!$C:$C,$L$1)
  )
)</f>
        <v>1734.405</v>
      </c>
      <c r="AD3" s="367">
        <f>IF(
  SUM(
    COUNTIFS('발전사업(A)'!$G:$G, AC$2, '발전사업(A)'!$Q:$Q, $J3, '발전사업(A)'!$C:$C, $L$1),
    COUNTIFS('자가소비(B)'!$G:$G, AC$2, '자가소비(B)'!$Q:$Q, $J3, '자가소비(B)'!$C:$C, $L$1),
    COUNTIFS('PPA 사업(C)'!$G:$G, AC$2, 'PPA 사업(C)'!$Q:$Q, $J3, 'PPA 사업(C)'!$C:$C, $L$1),
    COUNTIFS('리스사업(D)'!$G:$G, AC$2, '리스사업(D)'!$Q:$Q, $J3, '리스사업(D)'!$C:$C, $L$1),
    COUNTIFS('임대사업(E)'!$G:$G, AC$2, '임대사업(E)'!$Q:$Q, $J3, '임대사업(E)'!$C:$C, $L$1),
    COUNTIFS('환경부사업(F)'!$G:$G, AC$2, '환경부사업(F)'!$Q:$Q, $J3, '환경부사업(F)'!$C:$C, $L$1),
    COUNTIFS('프로젝트(G)'!$G:$G, AC$2, '프로젝트(G)'!$Q:$Q, $J3, '프로젝트(G)'!$C:$C, $L$1),
    COUNTIFS('협력사 EPC(H)'!$G:$G, AC$2, '협력사 EPC(H)'!$Q:$Q, $J3, '협력사 EPC(H)'!$C:$C, $L$1),
    COUNTIFS('기타(Z)'!$G:$G, AC$2, '기타(Z)'!$Q:$Q, $J3, '기타(Z)'!$C:$C, $L$1)
  ) = 0,
  "",
  COUNTIFS('발전사업(A)'!$G:$G, AC$2, '발전사업(A)'!$Q:$Q, $J3, '발전사업(A)'!$C:$C, $L$1)
  + COUNTIFS('자가소비(B)'!$G:$G, AC$2, '자가소비(B)'!$Q:$Q, $J3, '자가소비(B)'!$C:$C, $L$1)
  + COUNTIFS('PPA 사업(C)'!$G:$G, AC$2, 'PPA 사업(C)'!$Q:$Q, $J3, 'PPA 사업(C)'!$C:$C, $L$1)
  + COUNTIFS('리스사업(D)'!$G:$G, AC$2, '리스사업(D)'!$Q:$Q, $J3, '리스사업(D)'!$C:$C, $L$1)
  + COUNTIFS('임대사업(E)'!$G:$G, AC$2, '임대사업(E)'!$Q:$Q, $J3, '임대사업(E)'!$C:$C, $L$1)
  + COUNTIFS('환경부사업(F)'!$G:$G, AC$2, '환경부사업(F)'!$Q:$Q, $J3, '환경부사업(F)'!$C:$C, $L$1)
  + COUNTIFS('프로젝트(G)'!$G:$G, AC$2, '프로젝트(G)'!$Q:$Q, $J3, '프로젝트(G)'!$C:$C, $L$1)
  + COUNTIFS('협력사 EPC(H)'!$G:$G, AC$2, '협력사 EPC(H)'!$Q:$Q, $J3, '협력사 EPC(H)'!$C:$C, $L$1)
  + COUNTIFS('기타(Z)'!$G:$G, AC$2, '기타(Z)'!$Q:$Q, $J3, '기타(Z)'!$C:$C, $L$1)
)</f>
        <v>1</v>
      </c>
      <c r="AE3" s="366" t="str">
        <f>IF(
  SUM(
    SUMIFS('발전사업(A)'!$I:$I,'발전사업(A)'!$G:$G,AE$2,'발전사업(A)'!$Q:$Q,$J3,'발전사업(A)'!$C:$C,$L$1),
    SUMIFS('자가소비(B)'!$I:$I,'자가소비(B)'!$G:$G,AE$2,'자가소비(B)'!$Q:$Q,$J3,'자가소비(B)'!$C:$C,$L$1),
    SUMIFS('PPA 사업(C)'!$I:$I,'PPA 사업(C)'!$G:$G,AE$2,'PPA 사업(C)'!$Q:$Q,$J3,'PPA 사업(C)'!$C:$C,$L$1),
    SUMIFS('리스사업(D)'!$I:$I,'리스사업(D)'!$G:$G,AE$2,'리스사업(D)'!$Q:$Q,$J3,'리스사업(D)'!$C:$C,$L$1),
    SUMIFS('임대사업(E)'!$I:$I,'임대사업(E)'!$G:$G,AE$2,'임대사업(E)'!$Q:$Q,$J3,'임대사업(E)'!$C:$C,$L$1),
    SUMIFS('환경부사업(F)'!$I:$I,'환경부사업(F)'!$G:$G,AE$2,'환경부사업(F)'!$Q:$Q,$J3,'환경부사업(F)'!$C:$C,$L$1),
    SUMIFS('프로젝트(G)'!$I:$I,'프로젝트(G)'!$G:$G,AE$2,'프로젝트(G)'!$Q:$Q,$J3,'프로젝트(G)'!$C:$C,$L$1),
    SUMIFS('협력사 EPC(H)'!$I:$I,'협력사 EPC(H)'!$G:$G,AE$2,'협력사 EPC(H)'!$Q:$Q,$J3,'협력사 EPC(H)'!$C:$C,$L$1),
    SUMIFS('기타(Z)'!$I:$I,'기타(Z)'!$G:$G,AE$2,'기타(Z)'!$Q:$Q,$J3,'기타(Z)'!$C:$C,$L$1)
  )=0,
  "",
  SUM(
    SUMIFS('발전사업(A)'!$I:$I,'발전사업(A)'!$G:$G,AE$2,'발전사업(A)'!$Q:$Q,$J3,'발전사업(A)'!$C:$C,$L$1),
    SUMIFS('자가소비(B)'!$I:$I,'자가소비(B)'!$G:$G,AE$2,'자가소비(B)'!$Q:$Q,$J3,'자가소비(B)'!$C:$C,$L$1),
    SUMIFS('PPA 사업(C)'!$I:$I,'PPA 사업(C)'!$G:$G,AE$2,'PPA 사업(C)'!$Q:$Q,$J3,'PPA 사업(C)'!$C:$C,$L$1),
    SUMIFS('리스사업(D)'!$I:$I,'리스사업(D)'!$G:$G,AE$2,'리스사업(D)'!$Q:$Q,$J3,'리스사업(D)'!$C:$C,$L$1),
    SUMIFS('임대사업(E)'!$I:$I,'임대사업(E)'!$G:$G,AE$2,'임대사업(E)'!$Q:$Q,$J3,'임대사업(E)'!$C:$C,$L$1),
    SUMIFS('환경부사업(F)'!$I:$I,'환경부사업(F)'!$G:$G,AE$2,'환경부사업(F)'!$Q:$Q,$J3,'환경부사업(F)'!$C:$C,$L$1),
    SUMIFS('프로젝트(G)'!$I:$I,'프로젝트(G)'!$G:$G,AE$2,'프로젝트(G)'!$Q:$Q,$J3,'프로젝트(G)'!$C:$C,$L$1),
    SUMIFS('협력사 EPC(H)'!$I:$I,'협력사 EPC(H)'!$G:$G,AE$2,'협력사 EPC(H)'!$Q:$Q,$J3,'협력사 EPC(H)'!$C:$C,$L$1),
    SUMIFS('기타(Z)'!$I:$I,'기타(Z)'!$G:$G,AE$2,'기타(Z)'!$Q:$Q,$J3,'기타(Z)'!$C:$C,$L$1)
  )
)</f>
        <v/>
      </c>
      <c r="AF3" s="367" t="str">
        <f>IF(
  SUM(
    COUNTIFS('발전사업(A)'!$G:$G, AE$2, '발전사업(A)'!$Q:$Q, $J3, '발전사업(A)'!$C:$C, $L$1),
    COUNTIFS('자가소비(B)'!$G:$G, AE$2, '자가소비(B)'!$Q:$Q, $J3, '자가소비(B)'!$C:$C, $L$1),
    COUNTIFS('PPA 사업(C)'!$G:$G, AE$2, 'PPA 사업(C)'!$Q:$Q, $J3, 'PPA 사업(C)'!$C:$C, $L$1),
    COUNTIFS('리스사업(D)'!$G:$G, AE$2, '리스사업(D)'!$Q:$Q, $J3, '리스사업(D)'!$C:$C, $L$1),
    COUNTIFS('임대사업(E)'!$G:$G, AE$2, '임대사업(E)'!$Q:$Q, $J3, '임대사업(E)'!$C:$C, $L$1),
    COUNTIFS('환경부사업(F)'!$G:$G, AE$2, '환경부사업(F)'!$Q:$Q, $J3, '환경부사업(F)'!$C:$C, $L$1),
    COUNTIFS('프로젝트(G)'!$G:$G, AE$2, '프로젝트(G)'!$Q:$Q, $J3, '프로젝트(G)'!$C:$C, $L$1),
    COUNTIFS('협력사 EPC(H)'!$G:$G, AE$2, '협력사 EPC(H)'!$Q:$Q, $J3, '협력사 EPC(H)'!$C:$C, $L$1),
    COUNTIFS('기타(Z)'!$G:$G, AE$2, '기타(Z)'!$Q:$Q, $J3, '기타(Z)'!$C:$C, $L$1)
  ) = 0,
  "",
  COUNTIFS('발전사업(A)'!$G:$G, AE$2, '발전사업(A)'!$Q:$Q, $J3, '발전사업(A)'!$C:$C, $L$1)
  + COUNTIFS('자가소비(B)'!$G:$G, AE$2, '자가소비(B)'!$Q:$Q, $J3, '자가소비(B)'!$C:$C, $L$1)
  + COUNTIFS('PPA 사업(C)'!$G:$G, AE$2, 'PPA 사업(C)'!$Q:$Q, $J3, 'PPA 사업(C)'!$C:$C, $L$1)
  + COUNTIFS('리스사업(D)'!$G:$G, AE$2, '리스사업(D)'!$Q:$Q, $J3, '리스사업(D)'!$C:$C, $L$1)
  + COUNTIFS('임대사업(E)'!$G:$G, AE$2, '임대사업(E)'!$Q:$Q, $J3, '임대사업(E)'!$C:$C, $L$1)
  + COUNTIFS('환경부사업(F)'!$G:$G, AE$2, '환경부사업(F)'!$Q:$Q, $J3, '환경부사업(F)'!$C:$C, $L$1)
  + COUNTIFS('프로젝트(G)'!$G:$G, AE$2, '프로젝트(G)'!$Q:$Q, $J3, '프로젝트(G)'!$C:$C, $L$1)
  + COUNTIFS('협력사 EPC(H)'!$G:$G, AE$2, '협력사 EPC(H)'!$Q:$Q, $J3, '협력사 EPC(H)'!$C:$C, $L$1)
  + COUNTIFS('기타(Z)'!$G:$G, AE$2, '기타(Z)'!$Q:$Q, $J3, '기타(Z)'!$C:$C, $L$1)
)</f>
        <v/>
      </c>
      <c r="AG3" s="366" t="str">
        <f>IF(
  SUM(
    SUMIFS('발전사업(A)'!$I:$I,'발전사업(A)'!$G:$G,AG$2,'발전사업(A)'!$Q:$Q,$J3,'발전사업(A)'!$C:$C,$L$1),
    SUMIFS('자가소비(B)'!$I:$I,'자가소비(B)'!$G:$G,AG$2,'자가소비(B)'!$Q:$Q,$J3,'자가소비(B)'!$C:$C,$L$1),
    SUMIFS('PPA 사업(C)'!$I:$I,'PPA 사업(C)'!$G:$G,AG$2,'PPA 사업(C)'!$Q:$Q,$J3,'PPA 사업(C)'!$C:$C,$L$1),
    SUMIFS('리스사업(D)'!$I:$I,'리스사업(D)'!$G:$G,AG$2,'리스사업(D)'!$Q:$Q,$J3,'리스사업(D)'!$C:$C,$L$1),
    SUMIFS('임대사업(E)'!$I:$I,'임대사업(E)'!$G:$G,AG$2,'임대사업(E)'!$Q:$Q,$J3,'임대사업(E)'!$C:$C,$L$1),
    SUMIFS('환경부사업(F)'!$I:$I,'환경부사업(F)'!$G:$G,AG$2,'환경부사업(F)'!$Q:$Q,$J3,'환경부사업(F)'!$C:$C,$L$1),
    SUMIFS('프로젝트(G)'!$I:$I,'프로젝트(G)'!$G:$G,AG$2,'프로젝트(G)'!$Q:$Q,$J3,'프로젝트(G)'!$C:$C,$L$1),
    SUMIFS('협력사 EPC(H)'!$I:$I,'협력사 EPC(H)'!$G:$G,AG$2,'협력사 EPC(H)'!$Q:$Q,$J3,'협력사 EPC(H)'!$C:$C,$L$1),
    SUMIFS('기타(Z)'!$I:$I,'기타(Z)'!$G:$G,AG$2,'기타(Z)'!$Q:$Q,$J3,'기타(Z)'!$C:$C,$L$1)
  )=0,
  "",
  SUM(
    SUMIFS('발전사업(A)'!$I:$I,'발전사업(A)'!$G:$G,AG$2,'발전사업(A)'!$Q:$Q,$J3,'발전사업(A)'!$C:$C,$L$1),
    SUMIFS('자가소비(B)'!$I:$I,'자가소비(B)'!$G:$G,AG$2,'자가소비(B)'!$Q:$Q,$J3,'자가소비(B)'!$C:$C,$L$1),
    SUMIFS('PPA 사업(C)'!$I:$I,'PPA 사업(C)'!$G:$G,AG$2,'PPA 사업(C)'!$Q:$Q,$J3,'PPA 사업(C)'!$C:$C,$L$1),
    SUMIFS('리스사업(D)'!$I:$I,'리스사업(D)'!$G:$G,AG$2,'리스사업(D)'!$Q:$Q,$J3,'리스사업(D)'!$C:$C,$L$1),
    SUMIFS('임대사업(E)'!$I:$I,'임대사업(E)'!$G:$G,AG$2,'임대사업(E)'!$Q:$Q,$J3,'임대사업(E)'!$C:$C,$L$1),
    SUMIFS('환경부사업(F)'!$I:$I,'환경부사업(F)'!$G:$G,AG$2,'환경부사업(F)'!$Q:$Q,$J3,'환경부사업(F)'!$C:$C,$L$1),
    SUMIFS('프로젝트(G)'!$I:$I,'프로젝트(G)'!$G:$G,AG$2,'프로젝트(G)'!$Q:$Q,$J3,'프로젝트(G)'!$C:$C,$L$1),
    SUMIFS('협력사 EPC(H)'!$I:$I,'협력사 EPC(H)'!$G:$G,AG$2,'협력사 EPC(H)'!$Q:$Q,$J3,'협력사 EPC(H)'!$C:$C,$L$1),
    SUMIFS('기타(Z)'!$I:$I,'기타(Z)'!$G:$G,AG$2,'기타(Z)'!$Q:$Q,$J3,'기타(Z)'!$C:$C,$L$1)
  )
)</f>
        <v/>
      </c>
      <c r="AH3" s="367" t="str">
        <f>IF(
  SUM(
    COUNTIFS('발전사업(A)'!$G:$G, AG$2, '발전사업(A)'!$Q:$Q, $J3, '발전사업(A)'!$C:$C, $L$1),
    COUNTIFS('자가소비(B)'!$G:$G, AG$2, '자가소비(B)'!$Q:$Q, $J3, '자가소비(B)'!$C:$C, $L$1),
    COUNTIFS('PPA 사업(C)'!$G:$G, AG$2, 'PPA 사업(C)'!$Q:$Q, $J3, 'PPA 사업(C)'!$C:$C, $L$1),
    COUNTIFS('리스사업(D)'!$G:$G, AG$2, '리스사업(D)'!$Q:$Q, $J3, '리스사업(D)'!$C:$C, $L$1),
    COUNTIFS('임대사업(E)'!$G:$G, AG$2, '임대사업(E)'!$Q:$Q, $J3, '임대사업(E)'!$C:$C, $L$1),
    COUNTIFS('환경부사업(F)'!$G:$G, AG$2, '환경부사업(F)'!$Q:$Q, $J3, '환경부사업(F)'!$C:$C, $L$1),
    COUNTIFS('프로젝트(G)'!$G:$G, AG$2, '프로젝트(G)'!$Q:$Q, $J3, '프로젝트(G)'!$C:$C, $L$1),
    COUNTIFS('협력사 EPC(H)'!$G:$G, AG$2, '협력사 EPC(H)'!$Q:$Q, $J3, '협력사 EPC(H)'!$C:$C, $L$1),
    COUNTIFS('기타(Z)'!$G:$G, AG$2, '기타(Z)'!$Q:$Q, $J3, '기타(Z)'!$C:$C, $L$1)
  ) = 0,
  "",
  COUNTIFS('발전사업(A)'!$G:$G, AG$2, '발전사업(A)'!$Q:$Q, $J3, '발전사업(A)'!$C:$C, $L$1)
  + COUNTIFS('자가소비(B)'!$G:$G, AG$2, '자가소비(B)'!$Q:$Q, $J3, '자가소비(B)'!$C:$C, $L$1)
  + COUNTIFS('PPA 사업(C)'!$G:$G, AG$2, 'PPA 사업(C)'!$Q:$Q, $J3, 'PPA 사업(C)'!$C:$C, $L$1)
  + COUNTIFS('리스사업(D)'!$G:$G, AG$2, '리스사업(D)'!$Q:$Q, $J3, '리스사업(D)'!$C:$C, $L$1)
  + COUNTIFS('임대사업(E)'!$G:$G, AG$2, '임대사업(E)'!$Q:$Q, $J3, '임대사업(E)'!$C:$C, $L$1)
  + COUNTIFS('환경부사업(F)'!$G:$G, AG$2, '환경부사업(F)'!$Q:$Q, $J3, '환경부사업(F)'!$C:$C, $L$1)
  + COUNTIFS('프로젝트(G)'!$G:$G, AG$2, '프로젝트(G)'!$Q:$Q, $J3, '프로젝트(G)'!$C:$C, $L$1)
  + COUNTIFS('협력사 EPC(H)'!$G:$G, AG$2, '협력사 EPC(H)'!$Q:$Q, $J3, '협력사 EPC(H)'!$C:$C, $L$1)
  + COUNTIFS('기타(Z)'!$G:$G, AG$2, '기타(Z)'!$Q:$Q, $J3, '기타(Z)'!$C:$C, $L$1)
)</f>
        <v/>
      </c>
      <c r="AI3" s="366" t="str">
        <f>IF(
  SUM(
    SUMIFS('발전사업(A)'!$I:$I,'발전사업(A)'!$G:$G,AI$2,'발전사업(A)'!$Q:$Q,$J3,'발전사업(A)'!$C:$C,$L$1),
    SUMIFS('자가소비(B)'!$I:$I,'자가소비(B)'!$G:$G,AI$2,'자가소비(B)'!$Q:$Q,$J3,'자가소비(B)'!$C:$C,$L$1),
    SUMIFS('PPA 사업(C)'!$I:$I,'PPA 사업(C)'!$G:$G,AI$2,'PPA 사업(C)'!$Q:$Q,$J3,'PPA 사업(C)'!$C:$C,$L$1),
    SUMIFS('리스사업(D)'!$I:$I,'리스사업(D)'!$G:$G,AI$2,'리스사업(D)'!$Q:$Q,$J3,'리스사업(D)'!$C:$C,$L$1),
    SUMIFS('임대사업(E)'!$I:$I,'임대사업(E)'!$G:$G,AI$2,'임대사업(E)'!$Q:$Q,$J3,'임대사업(E)'!$C:$C,$L$1),
    SUMIFS('환경부사업(F)'!$I:$I,'환경부사업(F)'!$G:$G,AI$2,'환경부사업(F)'!$Q:$Q,$J3,'환경부사업(F)'!$C:$C,$L$1),
    SUMIFS('프로젝트(G)'!$I:$I,'프로젝트(G)'!$G:$G,AI$2,'프로젝트(G)'!$Q:$Q,$J3,'프로젝트(G)'!$C:$C,$L$1),
    SUMIFS('협력사 EPC(H)'!$I:$I,'협력사 EPC(H)'!$G:$G,AI$2,'협력사 EPC(H)'!$Q:$Q,$J3,'협력사 EPC(H)'!$C:$C,$L$1),
    SUMIFS('기타(Z)'!$I:$I,'기타(Z)'!$G:$G,AI$2,'기타(Z)'!$Q:$Q,$J3,'기타(Z)'!$C:$C,$L$1)
  )=0,
  "",
  SUM(
    SUMIFS('발전사업(A)'!$I:$I,'발전사업(A)'!$G:$G,AI$2,'발전사업(A)'!$Q:$Q,$J3,'발전사업(A)'!$C:$C,$L$1),
    SUMIFS('자가소비(B)'!$I:$I,'자가소비(B)'!$G:$G,AI$2,'자가소비(B)'!$Q:$Q,$J3,'자가소비(B)'!$C:$C,$L$1),
    SUMIFS('PPA 사업(C)'!$I:$I,'PPA 사업(C)'!$G:$G,AI$2,'PPA 사업(C)'!$Q:$Q,$J3,'PPA 사업(C)'!$C:$C,$L$1),
    SUMIFS('리스사업(D)'!$I:$I,'리스사업(D)'!$G:$G,AI$2,'리스사업(D)'!$Q:$Q,$J3,'리스사업(D)'!$C:$C,$L$1),
    SUMIFS('임대사업(E)'!$I:$I,'임대사업(E)'!$G:$G,AI$2,'임대사업(E)'!$Q:$Q,$J3,'임대사업(E)'!$C:$C,$L$1),
    SUMIFS('환경부사업(F)'!$I:$I,'환경부사업(F)'!$G:$G,AI$2,'환경부사업(F)'!$Q:$Q,$J3,'환경부사업(F)'!$C:$C,$L$1),
    SUMIFS('프로젝트(G)'!$I:$I,'프로젝트(G)'!$G:$G,AI$2,'프로젝트(G)'!$Q:$Q,$J3,'프로젝트(G)'!$C:$C,$L$1),
    SUMIFS('협력사 EPC(H)'!$I:$I,'협력사 EPC(H)'!$G:$G,AI$2,'협력사 EPC(H)'!$Q:$Q,$J3,'협력사 EPC(H)'!$C:$C,$L$1),
    SUMIFS('기타(Z)'!$I:$I,'기타(Z)'!$G:$G,AI$2,'기타(Z)'!$Q:$Q,$J3,'기타(Z)'!$C:$C,$L$1)
  )
)</f>
        <v/>
      </c>
      <c r="AJ3" s="365" t="str">
        <f>IF(
  SUM(
    COUNTIFS('발전사업(A)'!$G:$G, AI$2, '발전사업(A)'!$Q:$Q, $J3, '발전사업(A)'!$C:$C, $L$1),
    COUNTIFS('자가소비(B)'!$G:$G, AI$2, '자가소비(B)'!$Q:$Q, $J3, '자가소비(B)'!$C:$C, $L$1),
    COUNTIFS('PPA 사업(C)'!$G:$G, AI$2, 'PPA 사업(C)'!$Q:$Q, $J3, 'PPA 사업(C)'!$C:$C, $L$1),
    COUNTIFS('리스사업(D)'!$G:$G, AI$2, '리스사업(D)'!$Q:$Q, $J3, '리스사업(D)'!$C:$C, $L$1),
    COUNTIFS('임대사업(E)'!$G:$G, AI$2, '임대사업(E)'!$Q:$Q, $J3, '임대사업(E)'!$C:$C, $L$1),
    COUNTIFS('환경부사업(F)'!$G:$G, AI$2, '환경부사업(F)'!$Q:$Q, $J3, '환경부사업(F)'!$C:$C, $L$1),
    COUNTIFS('프로젝트(G)'!$G:$G, AI$2, '프로젝트(G)'!$Q:$Q, $J3, '프로젝트(G)'!$C:$C, $L$1),
    COUNTIFS('협력사 EPC(H)'!$G:$G, AI$2, '협력사 EPC(H)'!$Q:$Q, $J3, '협력사 EPC(H)'!$C:$C, $L$1),
    COUNTIFS('기타(Z)'!$G:$G, AI$2, '기타(Z)'!$Q:$Q, $J3, '기타(Z)'!$C:$C, $L$1)
  ) = 0,
  "",
  COUNTIFS('발전사업(A)'!$G:$G, AI$2, '발전사업(A)'!$Q:$Q, $J3, '발전사업(A)'!$C:$C, $L$1)
  + COUNTIFS('자가소비(B)'!$G:$G, AI$2, '자가소비(B)'!$Q:$Q, $J3, '자가소비(B)'!$C:$C, $L$1)
  + COUNTIFS('PPA 사업(C)'!$G:$G, AI$2, 'PPA 사업(C)'!$Q:$Q, $J3, 'PPA 사업(C)'!$C:$C, $L$1)
  + COUNTIFS('리스사업(D)'!$G:$G, AI$2, '리스사업(D)'!$Q:$Q, $J3, '리스사업(D)'!$C:$C, $L$1)
  + COUNTIFS('임대사업(E)'!$G:$G, AI$2, '임대사업(E)'!$Q:$Q, $J3, '임대사업(E)'!$C:$C, $L$1)
  + COUNTIFS('환경부사업(F)'!$G:$G, AI$2, '환경부사업(F)'!$Q:$Q, $J3, '환경부사업(F)'!$C:$C, $L$1)
  + COUNTIFS('프로젝트(G)'!$G:$G, AI$2, '프로젝트(G)'!$Q:$Q, $J3, '프로젝트(G)'!$C:$C, $L$1)
  + COUNTIFS('협력사 EPC(H)'!$G:$G, AI$2, '협력사 EPC(H)'!$Q:$Q, $J3, '협력사 EPC(H)'!$C:$C, $L$1)
  + COUNTIFS('기타(Z)'!$G:$G, AI$2, '기타(Z)'!$Q:$Q, $J3, '기타(Z)'!$C:$C, $L$1)
)</f>
        <v/>
      </c>
    </row>
    <row r="4" spans="2:36" ht="16.5" x14ac:dyDescent="0.25">
      <c r="B4" s="195" t="s">
        <v>160</v>
      </c>
      <c r="C4" s="262">
        <f t="shared" ref="C4:H11" si="0">IF(COUNTA(C16,C28,C52,C64,C76,C88,C100,C112,C124,C136,C148)=0, "",
  IF(SUM(N(C16), N(C28), N(C52), N(C64), N(C76), N(C88), N(C100), N(C112), N(C124), N(C136), N(C148))=0, "",
    SUM(N(C16), N(C28), N(C52), N(C64), N(C76), N(C88), N(C100), N(C112), N(C124), N(C136), N(C148))
  )
)</f>
        <v>11766.494999999999</v>
      </c>
      <c r="D4" s="263">
        <f t="shared" si="0"/>
        <v>25</v>
      </c>
      <c r="E4" s="262">
        <f t="shared" si="0"/>
        <v>5357.5</v>
      </c>
      <c r="F4" s="263">
        <f t="shared" si="0"/>
        <v>10</v>
      </c>
      <c r="G4" s="262">
        <f t="shared" si="0"/>
        <v>6408.9949999999999</v>
      </c>
      <c r="H4" s="263">
        <f t="shared" si="0"/>
        <v>15</v>
      </c>
      <c r="J4" s="370" t="s">
        <v>197</v>
      </c>
      <c r="K4" s="354" t="str">
        <f t="shared" ref="K4:K10" si="1">IF(
  SUM(
    IFERROR(VALUE(SUBSTITUTE(M4,"kW","")),0),
    IFERROR(VALUE(SUBSTITUTE(O4,"kW","")),0),
    IFERROR(VALUE(SUBSTITUTE(Q4,"kW","")),0),
    IFERROR(VALUE(SUBSTITUTE(S4,"kW","")),0),
    IFERROR(VALUE(SUBSTITUTE(U4,"kW","")),0),
    IFERROR(VALUE(SUBSTITUTE(W4,"kW","")),0),
    IFERROR(VALUE(SUBSTITUTE(Y4,"kW","")),0),
    IFERROR(VALUE(SUBSTITUTE(AA4,"kW","")),0),
    IFERROR(VALUE(SUBSTITUTE(AC4,"kW","")),0),
    IFERROR(VALUE(SUBSTITUTE(AE4,"kW","")),0),
    IFERROR(VALUE(SUBSTITUTE(AG4,"kW","")),0),
    IFERROR(VALUE(SUBSTITUTE(AI4,"kW","")),0)
  )=0,
  "",
  SUM(
    IFERROR(VALUE(SUBSTITUTE(M4,"kW","")),0),
    IFERROR(VALUE(SUBSTITUTE(O4,"kW","")),0),
    IFERROR(VALUE(SUBSTITUTE(Q4,"kW","")),0),
    IFERROR(VALUE(SUBSTITUTE(S4,"kW","")),0),
    IFERROR(VALUE(SUBSTITUTE(U4,"kW","")),0),
    IFERROR(VALUE(SUBSTITUTE(W4,"kW","")),0),
    IFERROR(VALUE(SUBSTITUTE(Y4,"kW","")),0),
    IFERROR(VALUE(SUBSTITUTE(AA4,"kW","")),0),
    IFERROR(VALUE(SUBSTITUTE(AC4,"kW","")),0),
    IFERROR(VALUE(SUBSTITUTE(AE4,"kW","")),0),
    IFERROR(VALUE(SUBSTITUTE(AG4,"kW","")),0),
    IFERROR(VALUE(SUBSTITUTE(AI4,"kW","")),0)
  )
)</f>
        <v/>
      </c>
      <c r="L4" s="348" t="str">
        <f t="shared" ref="L4:L10" si="2">IF(
  SUM(
    IFERROR(VALUE(SUBSTITUTE(N4,"건","")),0),
    IFERROR(VALUE(SUBSTITUTE(P4,"건","")),0),
    IFERROR(VALUE(SUBSTITUTE(R4,"건","")),0),
    IFERROR(VALUE(SUBSTITUTE(T4,"건","")),0),
    IFERROR(VALUE(SUBSTITUTE(V4,"건","")),0),
    IFERROR(VALUE(SUBSTITUTE(X4,"건","")),0),
    IFERROR(VALUE(SUBSTITUTE(Z4,"건","")),0),
    IFERROR(VALUE(SUBSTITUTE(AB4,"건","")),0),
    IFERROR(VALUE(SUBSTITUTE(AD4,"건","")),0),
    IFERROR(VALUE(SUBSTITUTE(AF4,"건","")),0),
    IFERROR(VALUE(SUBSTITUTE(AH4,"건","")),0),
    IFERROR(VALUE(SUBSTITUTE(AJ4,"건","")),0)
  )=0,
  "",
  SUM(
    IFERROR(VALUE(SUBSTITUTE(N4,"건","")),0),
    IFERROR(VALUE(SUBSTITUTE(P4,"건","")),0),
    IFERROR(VALUE(SUBSTITUTE(R4,"건","")),0),
    IFERROR(VALUE(SUBSTITUTE(T4,"건","")),0),
    IFERROR(VALUE(SUBSTITUTE(V4,"건","")),0),
    IFERROR(VALUE(SUBSTITUTE(X4,"건","")),0),
    IFERROR(VALUE(SUBSTITUTE(Z4,"건","")),0),
    IFERROR(VALUE(SUBSTITUTE(AB4,"건","")),0),
    IFERROR(VALUE(SUBSTITUTE(AD4,"건","")),0),
    IFERROR(VALUE(SUBSTITUTE(AF4,"건","")),0),
    IFERROR(VALUE(SUBSTITUTE(AH4,"건","")),0),
    IFERROR(VALUE(SUBSTITUTE(AJ4,"건","")),0)
  )
)</f>
        <v/>
      </c>
      <c r="M4" s="366" t="str">
        <f>IF(
  SUM(
    SUMIFS('발전사업(A)'!$I:$I,'발전사업(A)'!$G:$G,M$2,'발전사업(A)'!$Q:$Q,$J4,'발전사업(A)'!$C:$C,$L$1),
    SUMIFS('자가소비(B)'!$I:$I,'자가소비(B)'!$G:$G,M$2,'자가소비(B)'!$Q:$Q,$J4,'자가소비(B)'!$C:$C,$L$1),
    SUMIFS('PPA 사업(C)'!$I:$I,'PPA 사업(C)'!$G:$G,M$2,'PPA 사업(C)'!$Q:$Q,$J4,'PPA 사업(C)'!$C:$C,$L$1),
    SUMIFS('리스사업(D)'!$I:$I,'리스사업(D)'!$G:$G,M$2,'리스사업(D)'!$Q:$Q,$J4,'리스사업(D)'!$C:$C,$L$1),
    SUMIFS('임대사업(E)'!$I:$I,'임대사업(E)'!$G:$G,M$2,'임대사업(E)'!$Q:$Q,$J4,'임대사업(E)'!$C:$C,$L$1),
    SUMIFS('환경부사업(F)'!$I:$I,'환경부사업(F)'!$G:$G,M$2,'환경부사업(F)'!$Q:$Q,$J4,'환경부사업(F)'!$C:$C,$L$1),
    SUMIFS('프로젝트(G)'!$I:$I,'프로젝트(G)'!$G:$G,M$2,'프로젝트(G)'!$Q:$Q,$J4,'프로젝트(G)'!$C:$C,$L$1),
    SUMIFS('협력사 EPC(H)'!$I:$I,'협력사 EPC(H)'!$G:$G,M$2,'협력사 EPC(H)'!$Q:$Q,$J4,'협력사 EPC(H)'!$C:$C,$L$1),
    SUMIFS('기타(Z)'!$I:$I,'기타(Z)'!$G:$G,M$2,'기타(Z)'!$Q:$Q,$J4,'기타(Z)'!$C:$C,$L$1)
  )=0,
  "",
  SUM(
    SUMIFS('발전사업(A)'!$I:$I,'발전사업(A)'!$G:$G,M$2,'발전사업(A)'!$Q:$Q,$J4,'발전사업(A)'!$C:$C,$L$1),
    SUMIFS('자가소비(B)'!$I:$I,'자가소비(B)'!$G:$G,M$2,'자가소비(B)'!$Q:$Q,$J4,'자가소비(B)'!$C:$C,$L$1),
    SUMIFS('PPA 사업(C)'!$I:$I,'PPA 사업(C)'!$G:$G,M$2,'PPA 사업(C)'!$Q:$Q,$J4,'PPA 사업(C)'!$C:$C,$L$1),
    SUMIFS('리스사업(D)'!$I:$I,'리스사업(D)'!$G:$G,M$2,'리스사업(D)'!$Q:$Q,$J4,'리스사업(D)'!$C:$C,$L$1),
    SUMIFS('임대사업(E)'!$I:$I,'임대사업(E)'!$G:$G,M$2,'임대사업(E)'!$Q:$Q,$J4,'임대사업(E)'!$C:$C,$L$1),
    SUMIFS('환경부사업(F)'!$I:$I,'환경부사업(F)'!$G:$G,M$2,'환경부사업(F)'!$Q:$Q,$J4,'환경부사업(F)'!$C:$C,$L$1),
    SUMIFS('프로젝트(G)'!$I:$I,'프로젝트(G)'!$G:$G,M$2,'프로젝트(G)'!$Q:$Q,$J4,'프로젝트(G)'!$C:$C,$L$1),
    SUMIFS('협력사 EPC(H)'!$I:$I,'협력사 EPC(H)'!$G:$G,M$2,'협력사 EPC(H)'!$Q:$Q,$J4,'협력사 EPC(H)'!$C:$C,$L$1),
    SUMIFS('기타(Z)'!$I:$I,'기타(Z)'!$G:$G,M$2,'기타(Z)'!$Q:$Q,$J4,'기타(Z)'!$C:$C,$L$1)
  )
)</f>
        <v/>
      </c>
      <c r="N4" s="367" t="str">
        <f>IF(
  SUM(
    COUNTIFS('발전사업(A)'!$G:$G, M$2, '발전사업(A)'!$Q:$Q, $J4, '발전사업(A)'!$C:$C, $L$1),
    COUNTIFS('자가소비(B)'!$G:$G, M$2, '자가소비(B)'!$Q:$Q, $J4, '자가소비(B)'!$C:$C, $L$1),
    COUNTIFS('PPA 사업(C)'!$G:$G, M$2, 'PPA 사업(C)'!$Q:$Q, $J4, 'PPA 사업(C)'!$C:$C, $L$1),
    COUNTIFS('리스사업(D)'!$G:$G, M$2, '리스사업(D)'!$Q:$Q, $J4, '리스사업(D)'!$C:$C, $L$1),
    COUNTIFS('임대사업(E)'!$G:$G, M$2, '임대사업(E)'!$Q:$Q, $J4, '임대사업(E)'!$C:$C, $L$1),
    COUNTIFS('환경부사업(F)'!$G:$G, M$2, '환경부사업(F)'!$Q:$Q, $J4, '환경부사업(F)'!$C:$C, $L$1),
    COUNTIFS('프로젝트(G)'!$G:$G, M$2, '프로젝트(G)'!$Q:$Q, $J4, '프로젝트(G)'!$C:$C, $L$1),
    COUNTIFS('협력사 EPC(H)'!$G:$G, M$2, '협력사 EPC(H)'!$Q:$Q, $J4, '협력사 EPC(H)'!$C:$C, $L$1),
    COUNTIFS('기타(Z)'!$G:$G, M$2, '기타(Z)'!$Q:$Q, $J4, '기타(Z)'!$C:$C, $L$1)
  ) = 0,
  "",
  COUNTIFS('발전사업(A)'!$G:$G, M$2, '발전사업(A)'!$Q:$Q, $J4, '발전사업(A)'!$C:$C, $L$1)
  + COUNTIFS('자가소비(B)'!$G:$G, M$2, '자가소비(B)'!$Q:$Q, $J4, '자가소비(B)'!$C:$C, $L$1)
  + COUNTIFS('PPA 사업(C)'!$G:$G, M$2, 'PPA 사업(C)'!$Q:$Q, $J4, 'PPA 사업(C)'!$C:$C, $L$1)
  + COUNTIFS('리스사업(D)'!$G:$G, M$2, '리스사업(D)'!$Q:$Q, $J4, '리스사업(D)'!$C:$C, $L$1)
  + COUNTIFS('임대사업(E)'!$G:$G, M$2, '임대사업(E)'!$Q:$Q, $J4, '임대사업(E)'!$C:$C, $L$1)
  + COUNTIFS('환경부사업(F)'!$G:$G, M$2, '환경부사업(F)'!$Q:$Q, $J4, '환경부사업(F)'!$C:$C, $L$1)
  + COUNTIFS('프로젝트(G)'!$G:$G, M$2, '프로젝트(G)'!$Q:$Q, $J4, '프로젝트(G)'!$C:$C, $L$1)
  + COUNTIFS('협력사 EPC(H)'!$G:$G, M$2, '협력사 EPC(H)'!$Q:$Q, $J4, '협력사 EPC(H)'!$C:$C, $L$1)
  + COUNTIFS('기타(Z)'!$G:$G, M$2, '기타(Z)'!$Q:$Q, $J4, '기타(Z)'!$C:$C, $L$1)
)</f>
        <v/>
      </c>
      <c r="O4" s="366" t="str">
        <f>IF(
  SUM(
    SUMIFS('발전사업(A)'!$I:$I,'발전사업(A)'!$G:$G,O$2,'발전사업(A)'!$Q:$Q,$J4,'발전사업(A)'!$C:$C,$L$1),
    SUMIFS('자가소비(B)'!$I:$I,'자가소비(B)'!$G:$G,O$2,'자가소비(B)'!$Q:$Q,$J4,'자가소비(B)'!$C:$C,$L$1),
    SUMIFS('PPA 사업(C)'!$I:$I,'PPA 사업(C)'!$G:$G,O$2,'PPA 사업(C)'!$Q:$Q,$J4,'PPA 사업(C)'!$C:$C,$L$1),
    SUMIFS('리스사업(D)'!$I:$I,'리스사업(D)'!$G:$G,O$2,'리스사업(D)'!$Q:$Q,$J4,'리스사업(D)'!$C:$C,$L$1),
    SUMIFS('임대사업(E)'!$I:$I,'임대사업(E)'!$G:$G,O$2,'임대사업(E)'!$Q:$Q,$J4,'임대사업(E)'!$C:$C,$L$1),
    SUMIFS('환경부사업(F)'!$I:$I,'환경부사업(F)'!$G:$G,O$2,'환경부사업(F)'!$Q:$Q,$J4,'환경부사업(F)'!$C:$C,$L$1),
    SUMIFS('프로젝트(G)'!$I:$I,'프로젝트(G)'!$G:$G,O$2,'프로젝트(G)'!$Q:$Q,$J4,'프로젝트(G)'!$C:$C,$L$1),
    SUMIFS('협력사 EPC(H)'!$I:$I,'협력사 EPC(H)'!$G:$G,O$2,'협력사 EPC(H)'!$Q:$Q,$J4,'협력사 EPC(H)'!$C:$C,$L$1),
    SUMIFS('기타(Z)'!$I:$I,'기타(Z)'!$G:$G,O$2,'기타(Z)'!$Q:$Q,$J4,'기타(Z)'!$C:$C,$L$1)
  )=0,
  "",
  SUM(
    SUMIFS('발전사업(A)'!$I:$I,'발전사업(A)'!$G:$G,O$2,'발전사업(A)'!$Q:$Q,$J4,'발전사업(A)'!$C:$C,$L$1),
    SUMIFS('자가소비(B)'!$I:$I,'자가소비(B)'!$G:$G,O$2,'자가소비(B)'!$Q:$Q,$J4,'자가소비(B)'!$C:$C,$L$1),
    SUMIFS('PPA 사업(C)'!$I:$I,'PPA 사업(C)'!$G:$G,O$2,'PPA 사업(C)'!$Q:$Q,$J4,'PPA 사업(C)'!$C:$C,$L$1),
    SUMIFS('리스사업(D)'!$I:$I,'리스사업(D)'!$G:$G,O$2,'리스사업(D)'!$Q:$Q,$J4,'리스사업(D)'!$C:$C,$L$1),
    SUMIFS('임대사업(E)'!$I:$I,'임대사업(E)'!$G:$G,O$2,'임대사업(E)'!$Q:$Q,$J4,'임대사업(E)'!$C:$C,$L$1),
    SUMIFS('환경부사업(F)'!$I:$I,'환경부사업(F)'!$G:$G,O$2,'환경부사업(F)'!$Q:$Q,$J4,'환경부사업(F)'!$C:$C,$L$1),
    SUMIFS('프로젝트(G)'!$I:$I,'프로젝트(G)'!$G:$G,O$2,'프로젝트(G)'!$Q:$Q,$J4,'프로젝트(G)'!$C:$C,$L$1),
    SUMIFS('협력사 EPC(H)'!$I:$I,'협력사 EPC(H)'!$G:$G,O$2,'협력사 EPC(H)'!$Q:$Q,$J4,'협력사 EPC(H)'!$C:$C,$L$1),
    SUMIFS('기타(Z)'!$I:$I,'기타(Z)'!$G:$G,O$2,'기타(Z)'!$Q:$Q,$J4,'기타(Z)'!$C:$C,$L$1)
  )
)</f>
        <v/>
      </c>
      <c r="P4" s="367" t="str">
        <f>IF(
  SUM(
    COUNTIFS('발전사업(A)'!$G:$G, O$2, '발전사업(A)'!$Q:$Q, $J4, '발전사업(A)'!$C:$C, $L$1),
    COUNTIFS('자가소비(B)'!$G:$G, O$2, '자가소비(B)'!$Q:$Q, $J4, '자가소비(B)'!$C:$C, $L$1),
    COUNTIFS('PPA 사업(C)'!$G:$G, O$2, 'PPA 사업(C)'!$Q:$Q, $J4, 'PPA 사업(C)'!$C:$C, $L$1),
    COUNTIFS('리스사업(D)'!$G:$G, O$2, '리스사업(D)'!$Q:$Q, $J4, '리스사업(D)'!$C:$C, $L$1),
    COUNTIFS('임대사업(E)'!$G:$G, O$2, '임대사업(E)'!$Q:$Q, $J4, '임대사업(E)'!$C:$C, $L$1),
    COUNTIFS('환경부사업(F)'!$G:$G, O$2, '환경부사업(F)'!$Q:$Q, $J4, '환경부사업(F)'!$C:$C, $L$1),
    COUNTIFS('프로젝트(G)'!$G:$G, O$2, '프로젝트(G)'!$Q:$Q, $J4, '프로젝트(G)'!$C:$C, $L$1),
    COUNTIFS('협력사 EPC(H)'!$G:$G, O$2, '협력사 EPC(H)'!$Q:$Q, $J4, '협력사 EPC(H)'!$C:$C, $L$1),
    COUNTIFS('기타(Z)'!$G:$G, O$2, '기타(Z)'!$Q:$Q, $J4, '기타(Z)'!$C:$C, $L$1)
  ) = 0,
  "",
  COUNTIFS('발전사업(A)'!$G:$G, O$2, '발전사업(A)'!$Q:$Q, $J4, '발전사업(A)'!$C:$C, $L$1)
  + COUNTIFS('자가소비(B)'!$G:$G, O$2, '자가소비(B)'!$Q:$Q, $J4, '자가소비(B)'!$C:$C, $L$1)
  + COUNTIFS('PPA 사업(C)'!$G:$G, O$2, 'PPA 사업(C)'!$Q:$Q, $J4, 'PPA 사업(C)'!$C:$C, $L$1)
  + COUNTIFS('리스사업(D)'!$G:$G, O$2, '리스사업(D)'!$Q:$Q, $J4, '리스사업(D)'!$C:$C, $L$1)
  + COUNTIFS('임대사업(E)'!$G:$G, O$2, '임대사업(E)'!$Q:$Q, $J4, '임대사업(E)'!$C:$C, $L$1)
  + COUNTIFS('환경부사업(F)'!$G:$G, O$2, '환경부사업(F)'!$Q:$Q, $J4, '환경부사업(F)'!$C:$C, $L$1)
  + COUNTIFS('프로젝트(G)'!$G:$G, O$2, '프로젝트(G)'!$Q:$Q, $J4, '프로젝트(G)'!$C:$C, $L$1)
  + COUNTIFS('협력사 EPC(H)'!$G:$G, O$2, '협력사 EPC(H)'!$Q:$Q, $J4, '협력사 EPC(H)'!$C:$C, $L$1)
  + COUNTIFS('기타(Z)'!$G:$G, O$2, '기타(Z)'!$Q:$Q, $J4, '기타(Z)'!$C:$C, $L$1)
)</f>
        <v/>
      </c>
      <c r="Q4" s="366" t="str">
        <f>IF(
  SUM(
    SUMIFS('발전사업(A)'!$I:$I,'발전사업(A)'!$G:$G,Q$2,'발전사업(A)'!$Q:$Q,$J4,'발전사업(A)'!$C:$C,$L$1),
    SUMIFS('자가소비(B)'!$I:$I,'자가소비(B)'!$G:$G,Q$2,'자가소비(B)'!$Q:$Q,$J4,'자가소비(B)'!$C:$C,$L$1),
    SUMIFS('PPA 사업(C)'!$I:$I,'PPA 사업(C)'!$G:$G,Q$2,'PPA 사업(C)'!$Q:$Q,$J4,'PPA 사업(C)'!$C:$C,$L$1),
    SUMIFS('리스사업(D)'!$I:$I,'리스사업(D)'!$G:$G,Q$2,'리스사업(D)'!$Q:$Q,$J4,'리스사업(D)'!$C:$C,$L$1),
    SUMIFS('임대사업(E)'!$I:$I,'임대사업(E)'!$G:$G,Q$2,'임대사업(E)'!$Q:$Q,$J4,'임대사업(E)'!$C:$C,$L$1),
    SUMIFS('환경부사업(F)'!$I:$I,'환경부사업(F)'!$G:$G,Q$2,'환경부사업(F)'!$Q:$Q,$J4,'환경부사업(F)'!$C:$C,$L$1),
    SUMIFS('프로젝트(G)'!$I:$I,'프로젝트(G)'!$G:$G,Q$2,'프로젝트(G)'!$Q:$Q,$J4,'프로젝트(G)'!$C:$C,$L$1),
    SUMIFS('협력사 EPC(H)'!$I:$I,'협력사 EPC(H)'!$G:$G,Q$2,'협력사 EPC(H)'!$Q:$Q,$J4,'협력사 EPC(H)'!$C:$C,$L$1),
    SUMIFS('기타(Z)'!$I:$I,'기타(Z)'!$G:$G,Q$2,'기타(Z)'!$Q:$Q,$J4,'기타(Z)'!$C:$C,$L$1)
  )=0,
  "",
  SUM(
    SUMIFS('발전사업(A)'!$I:$I,'발전사업(A)'!$G:$G,Q$2,'발전사업(A)'!$Q:$Q,$J4,'발전사업(A)'!$C:$C,$L$1),
    SUMIFS('자가소비(B)'!$I:$I,'자가소비(B)'!$G:$G,Q$2,'자가소비(B)'!$Q:$Q,$J4,'자가소비(B)'!$C:$C,$L$1),
    SUMIFS('PPA 사업(C)'!$I:$I,'PPA 사업(C)'!$G:$G,Q$2,'PPA 사업(C)'!$Q:$Q,$J4,'PPA 사업(C)'!$C:$C,$L$1),
    SUMIFS('리스사업(D)'!$I:$I,'리스사업(D)'!$G:$G,Q$2,'리스사업(D)'!$Q:$Q,$J4,'리스사업(D)'!$C:$C,$L$1),
    SUMIFS('임대사업(E)'!$I:$I,'임대사업(E)'!$G:$G,Q$2,'임대사업(E)'!$Q:$Q,$J4,'임대사업(E)'!$C:$C,$L$1),
    SUMIFS('환경부사업(F)'!$I:$I,'환경부사업(F)'!$G:$G,Q$2,'환경부사업(F)'!$Q:$Q,$J4,'환경부사업(F)'!$C:$C,$L$1),
    SUMIFS('프로젝트(G)'!$I:$I,'프로젝트(G)'!$G:$G,Q$2,'프로젝트(G)'!$Q:$Q,$J4,'프로젝트(G)'!$C:$C,$L$1),
    SUMIFS('협력사 EPC(H)'!$I:$I,'협력사 EPC(H)'!$G:$G,Q$2,'협력사 EPC(H)'!$Q:$Q,$J4,'협력사 EPC(H)'!$C:$C,$L$1),
    SUMIFS('기타(Z)'!$I:$I,'기타(Z)'!$G:$G,Q$2,'기타(Z)'!$Q:$Q,$J4,'기타(Z)'!$C:$C,$L$1)
  )
)</f>
        <v/>
      </c>
      <c r="R4" s="367" t="str">
        <f>IF(
  SUM(
    COUNTIFS('발전사업(A)'!$G:$G, Q$2, '발전사업(A)'!$Q:$Q, $J4, '발전사업(A)'!$C:$C, $L$1),
    COUNTIFS('자가소비(B)'!$G:$G, Q$2, '자가소비(B)'!$Q:$Q, $J4, '자가소비(B)'!$C:$C, $L$1),
    COUNTIFS('PPA 사업(C)'!$G:$G, Q$2, 'PPA 사업(C)'!$Q:$Q, $J4, 'PPA 사업(C)'!$C:$C, $L$1),
    COUNTIFS('리스사업(D)'!$G:$G, Q$2, '리스사업(D)'!$Q:$Q, $J4, '리스사업(D)'!$C:$C, $L$1),
    COUNTIFS('임대사업(E)'!$G:$G, Q$2, '임대사업(E)'!$Q:$Q, $J4, '임대사업(E)'!$C:$C, $L$1),
    COUNTIFS('환경부사업(F)'!$G:$G, Q$2, '환경부사업(F)'!$Q:$Q, $J4, '환경부사업(F)'!$C:$C, $L$1),
    COUNTIFS('프로젝트(G)'!$G:$G, Q$2, '프로젝트(G)'!$Q:$Q, $J4, '프로젝트(G)'!$C:$C, $L$1),
    COUNTIFS('협력사 EPC(H)'!$G:$G, Q$2, '협력사 EPC(H)'!$Q:$Q, $J4, '협력사 EPC(H)'!$C:$C, $L$1),
    COUNTIFS('기타(Z)'!$G:$G, Q$2, '기타(Z)'!$Q:$Q, $J4, '기타(Z)'!$C:$C, $L$1)
  ) = 0,
  "",
  COUNTIFS('발전사업(A)'!$G:$G, Q$2, '발전사업(A)'!$Q:$Q, $J4, '발전사업(A)'!$C:$C, $L$1)
  + COUNTIFS('자가소비(B)'!$G:$G, Q$2, '자가소비(B)'!$Q:$Q, $J4, '자가소비(B)'!$C:$C, $L$1)
  + COUNTIFS('PPA 사업(C)'!$G:$G, Q$2, 'PPA 사업(C)'!$Q:$Q, $J4, 'PPA 사업(C)'!$C:$C, $L$1)
  + COUNTIFS('리스사업(D)'!$G:$G, Q$2, '리스사업(D)'!$Q:$Q, $J4, '리스사업(D)'!$C:$C, $L$1)
  + COUNTIFS('임대사업(E)'!$G:$G, Q$2, '임대사업(E)'!$Q:$Q, $J4, '임대사업(E)'!$C:$C, $L$1)
  + COUNTIFS('환경부사업(F)'!$G:$G, Q$2, '환경부사업(F)'!$Q:$Q, $J4, '환경부사업(F)'!$C:$C, $L$1)
  + COUNTIFS('프로젝트(G)'!$G:$G, Q$2, '프로젝트(G)'!$Q:$Q, $J4, '프로젝트(G)'!$C:$C, $L$1)
  + COUNTIFS('협력사 EPC(H)'!$G:$G, Q$2, '협력사 EPC(H)'!$Q:$Q, $J4, '협력사 EPC(H)'!$C:$C, $L$1)
  + COUNTIFS('기타(Z)'!$G:$G, Q$2, '기타(Z)'!$Q:$Q, $J4, '기타(Z)'!$C:$C, $L$1)
)</f>
        <v/>
      </c>
      <c r="S4" s="366" t="str">
        <f>IF(
  SUM(
    SUMIFS('발전사업(A)'!$I:$I,'발전사업(A)'!$G:$G,S$2,'발전사업(A)'!$Q:$Q,$J4,'발전사업(A)'!$C:$C,$L$1),
    SUMIFS('자가소비(B)'!$I:$I,'자가소비(B)'!$G:$G,S$2,'자가소비(B)'!$Q:$Q,$J4,'자가소비(B)'!$C:$C,$L$1),
    SUMIFS('PPA 사업(C)'!$I:$I,'PPA 사업(C)'!$G:$G,S$2,'PPA 사업(C)'!$Q:$Q,$J4,'PPA 사업(C)'!$C:$C,$L$1),
    SUMIFS('리스사업(D)'!$I:$I,'리스사업(D)'!$G:$G,S$2,'리스사업(D)'!$Q:$Q,$J4,'리스사업(D)'!$C:$C,$L$1),
    SUMIFS('임대사업(E)'!$I:$I,'임대사업(E)'!$G:$G,S$2,'임대사업(E)'!$Q:$Q,$J4,'임대사업(E)'!$C:$C,$L$1),
    SUMIFS('환경부사업(F)'!$I:$I,'환경부사업(F)'!$G:$G,S$2,'환경부사업(F)'!$Q:$Q,$J4,'환경부사업(F)'!$C:$C,$L$1),
    SUMIFS('프로젝트(G)'!$I:$I,'프로젝트(G)'!$G:$G,S$2,'프로젝트(G)'!$Q:$Q,$J4,'프로젝트(G)'!$C:$C,$L$1),
    SUMIFS('협력사 EPC(H)'!$I:$I,'협력사 EPC(H)'!$G:$G,S$2,'협력사 EPC(H)'!$Q:$Q,$J4,'협력사 EPC(H)'!$C:$C,$L$1),
    SUMIFS('기타(Z)'!$I:$I,'기타(Z)'!$G:$G,S$2,'기타(Z)'!$Q:$Q,$J4,'기타(Z)'!$C:$C,$L$1)
  )=0,
  "",
  SUM(
    SUMIFS('발전사업(A)'!$I:$I,'발전사업(A)'!$G:$G,S$2,'발전사업(A)'!$Q:$Q,$J4,'발전사업(A)'!$C:$C,$L$1),
    SUMIFS('자가소비(B)'!$I:$I,'자가소비(B)'!$G:$G,S$2,'자가소비(B)'!$Q:$Q,$J4,'자가소비(B)'!$C:$C,$L$1),
    SUMIFS('PPA 사업(C)'!$I:$I,'PPA 사업(C)'!$G:$G,S$2,'PPA 사업(C)'!$Q:$Q,$J4,'PPA 사업(C)'!$C:$C,$L$1),
    SUMIFS('리스사업(D)'!$I:$I,'리스사업(D)'!$G:$G,S$2,'리스사업(D)'!$Q:$Q,$J4,'리스사업(D)'!$C:$C,$L$1),
    SUMIFS('임대사업(E)'!$I:$I,'임대사업(E)'!$G:$G,S$2,'임대사업(E)'!$Q:$Q,$J4,'임대사업(E)'!$C:$C,$L$1),
    SUMIFS('환경부사업(F)'!$I:$I,'환경부사업(F)'!$G:$G,S$2,'환경부사업(F)'!$Q:$Q,$J4,'환경부사업(F)'!$C:$C,$L$1),
    SUMIFS('프로젝트(G)'!$I:$I,'프로젝트(G)'!$G:$G,S$2,'프로젝트(G)'!$Q:$Q,$J4,'프로젝트(G)'!$C:$C,$L$1),
    SUMIFS('협력사 EPC(H)'!$I:$I,'협력사 EPC(H)'!$G:$G,S$2,'협력사 EPC(H)'!$Q:$Q,$J4,'협력사 EPC(H)'!$C:$C,$L$1),
    SUMIFS('기타(Z)'!$I:$I,'기타(Z)'!$G:$G,S$2,'기타(Z)'!$Q:$Q,$J4,'기타(Z)'!$C:$C,$L$1)
  )
)</f>
        <v/>
      </c>
      <c r="T4" s="367" t="str">
        <f>IF(
  SUM(
    COUNTIFS('발전사업(A)'!$G:$G, S$2, '발전사업(A)'!$Q:$Q, $J4, '발전사업(A)'!$C:$C, $L$1),
    COUNTIFS('자가소비(B)'!$G:$G, S$2, '자가소비(B)'!$Q:$Q, $J4, '자가소비(B)'!$C:$C, $L$1),
    COUNTIFS('PPA 사업(C)'!$G:$G, S$2, 'PPA 사업(C)'!$Q:$Q, $J4, 'PPA 사업(C)'!$C:$C, $L$1),
    COUNTIFS('리스사업(D)'!$G:$G, S$2, '리스사업(D)'!$Q:$Q, $J4, '리스사업(D)'!$C:$C, $L$1),
    COUNTIFS('임대사업(E)'!$G:$G, S$2, '임대사업(E)'!$Q:$Q, $J4, '임대사업(E)'!$C:$C, $L$1),
    COUNTIFS('환경부사업(F)'!$G:$G, S$2, '환경부사업(F)'!$Q:$Q, $J4, '환경부사업(F)'!$C:$C, $L$1),
    COUNTIFS('프로젝트(G)'!$G:$G, S$2, '프로젝트(G)'!$Q:$Q, $J4, '프로젝트(G)'!$C:$C, $L$1),
    COUNTIFS('협력사 EPC(H)'!$G:$G, S$2, '협력사 EPC(H)'!$Q:$Q, $J4, '협력사 EPC(H)'!$C:$C, $L$1),
    COUNTIFS('기타(Z)'!$G:$G, S$2, '기타(Z)'!$Q:$Q, $J4, '기타(Z)'!$C:$C, $L$1)
  ) = 0,
  "",
  COUNTIFS('발전사업(A)'!$G:$G, S$2, '발전사업(A)'!$Q:$Q, $J4, '발전사업(A)'!$C:$C, $L$1)
  + COUNTIFS('자가소비(B)'!$G:$G, S$2, '자가소비(B)'!$Q:$Q, $J4, '자가소비(B)'!$C:$C, $L$1)
  + COUNTIFS('PPA 사업(C)'!$G:$G, S$2, 'PPA 사업(C)'!$Q:$Q, $J4, 'PPA 사업(C)'!$C:$C, $L$1)
  + COUNTIFS('리스사업(D)'!$G:$G, S$2, '리스사업(D)'!$Q:$Q, $J4, '리스사업(D)'!$C:$C, $L$1)
  + COUNTIFS('임대사업(E)'!$G:$G, S$2, '임대사업(E)'!$Q:$Q, $J4, '임대사업(E)'!$C:$C, $L$1)
  + COUNTIFS('환경부사업(F)'!$G:$G, S$2, '환경부사업(F)'!$Q:$Q, $J4, '환경부사업(F)'!$C:$C, $L$1)
  + COUNTIFS('프로젝트(G)'!$G:$G, S$2, '프로젝트(G)'!$Q:$Q, $J4, '프로젝트(G)'!$C:$C, $L$1)
  + COUNTIFS('협력사 EPC(H)'!$G:$G, S$2, '협력사 EPC(H)'!$Q:$Q, $J4, '협력사 EPC(H)'!$C:$C, $L$1)
  + COUNTIFS('기타(Z)'!$G:$G, S$2, '기타(Z)'!$Q:$Q, $J4, '기타(Z)'!$C:$C, $L$1)
)</f>
        <v/>
      </c>
      <c r="U4" s="366" t="str">
        <f>IF(
  SUM(
    SUMIFS('발전사업(A)'!$I:$I,'발전사업(A)'!$G:$G,U$2,'발전사업(A)'!$Q:$Q,$J4,'발전사업(A)'!$C:$C,$L$1),
    SUMIFS('자가소비(B)'!$I:$I,'자가소비(B)'!$G:$G,U$2,'자가소비(B)'!$Q:$Q,$J4,'자가소비(B)'!$C:$C,$L$1),
    SUMIFS('PPA 사업(C)'!$I:$I,'PPA 사업(C)'!$G:$G,U$2,'PPA 사업(C)'!$Q:$Q,$J4,'PPA 사업(C)'!$C:$C,$L$1),
    SUMIFS('리스사업(D)'!$I:$I,'리스사업(D)'!$G:$G,U$2,'리스사업(D)'!$Q:$Q,$J4,'리스사업(D)'!$C:$C,$L$1),
    SUMIFS('임대사업(E)'!$I:$I,'임대사업(E)'!$G:$G,U$2,'임대사업(E)'!$Q:$Q,$J4,'임대사업(E)'!$C:$C,$L$1),
    SUMIFS('환경부사업(F)'!$I:$I,'환경부사업(F)'!$G:$G,U$2,'환경부사업(F)'!$Q:$Q,$J4,'환경부사업(F)'!$C:$C,$L$1),
    SUMIFS('프로젝트(G)'!$I:$I,'프로젝트(G)'!$G:$G,U$2,'프로젝트(G)'!$Q:$Q,$J4,'프로젝트(G)'!$C:$C,$L$1),
    SUMIFS('협력사 EPC(H)'!$I:$I,'협력사 EPC(H)'!$G:$G,U$2,'협력사 EPC(H)'!$Q:$Q,$J4,'협력사 EPC(H)'!$C:$C,$L$1),
    SUMIFS('기타(Z)'!$I:$I,'기타(Z)'!$G:$G,U$2,'기타(Z)'!$Q:$Q,$J4,'기타(Z)'!$C:$C,$L$1)
  )=0,
  "",
  SUM(
    SUMIFS('발전사업(A)'!$I:$I,'발전사업(A)'!$G:$G,U$2,'발전사업(A)'!$Q:$Q,$J4,'발전사업(A)'!$C:$C,$L$1),
    SUMIFS('자가소비(B)'!$I:$I,'자가소비(B)'!$G:$G,U$2,'자가소비(B)'!$Q:$Q,$J4,'자가소비(B)'!$C:$C,$L$1),
    SUMIFS('PPA 사업(C)'!$I:$I,'PPA 사업(C)'!$G:$G,U$2,'PPA 사업(C)'!$Q:$Q,$J4,'PPA 사업(C)'!$C:$C,$L$1),
    SUMIFS('리스사업(D)'!$I:$I,'리스사업(D)'!$G:$G,U$2,'리스사업(D)'!$Q:$Q,$J4,'리스사업(D)'!$C:$C,$L$1),
    SUMIFS('임대사업(E)'!$I:$I,'임대사업(E)'!$G:$G,U$2,'임대사업(E)'!$Q:$Q,$J4,'임대사업(E)'!$C:$C,$L$1),
    SUMIFS('환경부사업(F)'!$I:$I,'환경부사업(F)'!$G:$G,U$2,'환경부사업(F)'!$Q:$Q,$J4,'환경부사업(F)'!$C:$C,$L$1),
    SUMIFS('프로젝트(G)'!$I:$I,'프로젝트(G)'!$G:$G,U$2,'프로젝트(G)'!$Q:$Q,$J4,'프로젝트(G)'!$C:$C,$L$1),
    SUMIFS('협력사 EPC(H)'!$I:$I,'협력사 EPC(H)'!$G:$G,U$2,'협력사 EPC(H)'!$Q:$Q,$J4,'협력사 EPC(H)'!$C:$C,$L$1),
    SUMIFS('기타(Z)'!$I:$I,'기타(Z)'!$G:$G,U$2,'기타(Z)'!$Q:$Q,$J4,'기타(Z)'!$C:$C,$L$1)
  )
)</f>
        <v/>
      </c>
      <c r="V4" s="367" t="str">
        <f>IF(
  SUM(
    COUNTIFS('발전사업(A)'!$G:$G, U$2, '발전사업(A)'!$Q:$Q, $J4, '발전사업(A)'!$C:$C, $L$1),
    COUNTIFS('자가소비(B)'!$G:$G, U$2, '자가소비(B)'!$Q:$Q, $J4, '자가소비(B)'!$C:$C, $L$1),
    COUNTIFS('PPA 사업(C)'!$G:$G, U$2, 'PPA 사업(C)'!$Q:$Q, $J4, 'PPA 사업(C)'!$C:$C, $L$1),
    COUNTIFS('리스사업(D)'!$G:$G, U$2, '리스사업(D)'!$Q:$Q, $J4, '리스사업(D)'!$C:$C, $L$1),
    COUNTIFS('임대사업(E)'!$G:$G, U$2, '임대사업(E)'!$Q:$Q, $J4, '임대사업(E)'!$C:$C, $L$1),
    COUNTIFS('환경부사업(F)'!$G:$G, U$2, '환경부사업(F)'!$Q:$Q, $J4, '환경부사업(F)'!$C:$C, $L$1),
    COUNTIFS('프로젝트(G)'!$G:$G, U$2, '프로젝트(G)'!$Q:$Q, $J4, '프로젝트(G)'!$C:$C, $L$1),
    COUNTIFS('협력사 EPC(H)'!$G:$G, U$2, '협력사 EPC(H)'!$Q:$Q, $J4, '협력사 EPC(H)'!$C:$C, $L$1),
    COUNTIFS('기타(Z)'!$G:$G, U$2, '기타(Z)'!$Q:$Q, $J4, '기타(Z)'!$C:$C, $L$1)
  ) = 0,
  "",
  COUNTIFS('발전사업(A)'!$G:$G, U$2, '발전사업(A)'!$Q:$Q, $J4, '발전사업(A)'!$C:$C, $L$1)
  + COUNTIFS('자가소비(B)'!$G:$G, U$2, '자가소비(B)'!$Q:$Q, $J4, '자가소비(B)'!$C:$C, $L$1)
  + COUNTIFS('PPA 사업(C)'!$G:$G, U$2, 'PPA 사업(C)'!$Q:$Q, $J4, 'PPA 사업(C)'!$C:$C, $L$1)
  + COUNTIFS('리스사업(D)'!$G:$G, U$2, '리스사업(D)'!$Q:$Q, $J4, '리스사업(D)'!$C:$C, $L$1)
  + COUNTIFS('임대사업(E)'!$G:$G, U$2, '임대사업(E)'!$Q:$Q, $J4, '임대사업(E)'!$C:$C, $L$1)
  + COUNTIFS('환경부사업(F)'!$G:$G, U$2, '환경부사업(F)'!$Q:$Q, $J4, '환경부사업(F)'!$C:$C, $L$1)
  + COUNTIFS('프로젝트(G)'!$G:$G, U$2, '프로젝트(G)'!$Q:$Q, $J4, '프로젝트(G)'!$C:$C, $L$1)
  + COUNTIFS('협력사 EPC(H)'!$G:$G, U$2, '협력사 EPC(H)'!$Q:$Q, $J4, '협력사 EPC(H)'!$C:$C, $L$1)
  + COUNTIFS('기타(Z)'!$G:$G, U$2, '기타(Z)'!$Q:$Q, $J4, '기타(Z)'!$C:$C, $L$1)
)</f>
        <v/>
      </c>
      <c r="W4" s="366" t="str">
        <f>IF(
  SUM(
    SUMIFS('발전사업(A)'!$I:$I,'발전사업(A)'!$G:$G,W$2,'발전사업(A)'!$Q:$Q,$J4,'발전사업(A)'!$C:$C,$L$1),
    SUMIFS('자가소비(B)'!$I:$I,'자가소비(B)'!$G:$G,W$2,'자가소비(B)'!$Q:$Q,$J4,'자가소비(B)'!$C:$C,$L$1),
    SUMIFS('PPA 사업(C)'!$I:$I,'PPA 사업(C)'!$G:$G,W$2,'PPA 사업(C)'!$Q:$Q,$J4,'PPA 사업(C)'!$C:$C,$L$1),
    SUMIFS('리스사업(D)'!$I:$I,'리스사업(D)'!$G:$G,W$2,'리스사업(D)'!$Q:$Q,$J4,'리스사업(D)'!$C:$C,$L$1),
    SUMIFS('임대사업(E)'!$I:$I,'임대사업(E)'!$G:$G,W$2,'임대사업(E)'!$Q:$Q,$J4,'임대사업(E)'!$C:$C,$L$1),
    SUMIFS('환경부사업(F)'!$I:$I,'환경부사업(F)'!$G:$G,W$2,'환경부사업(F)'!$Q:$Q,$J4,'환경부사업(F)'!$C:$C,$L$1),
    SUMIFS('프로젝트(G)'!$I:$I,'프로젝트(G)'!$G:$G,W$2,'프로젝트(G)'!$Q:$Q,$J4,'프로젝트(G)'!$C:$C,$L$1),
    SUMIFS('협력사 EPC(H)'!$I:$I,'협력사 EPC(H)'!$G:$G,W$2,'협력사 EPC(H)'!$Q:$Q,$J4,'협력사 EPC(H)'!$C:$C,$L$1),
    SUMIFS('기타(Z)'!$I:$I,'기타(Z)'!$G:$G,W$2,'기타(Z)'!$Q:$Q,$J4,'기타(Z)'!$C:$C,$L$1)
  )=0,
  "",
  SUM(
    SUMIFS('발전사업(A)'!$I:$I,'발전사업(A)'!$G:$G,W$2,'발전사업(A)'!$Q:$Q,$J4,'발전사업(A)'!$C:$C,$L$1),
    SUMIFS('자가소비(B)'!$I:$I,'자가소비(B)'!$G:$G,W$2,'자가소비(B)'!$Q:$Q,$J4,'자가소비(B)'!$C:$C,$L$1),
    SUMIFS('PPA 사업(C)'!$I:$I,'PPA 사업(C)'!$G:$G,W$2,'PPA 사업(C)'!$Q:$Q,$J4,'PPA 사업(C)'!$C:$C,$L$1),
    SUMIFS('리스사업(D)'!$I:$I,'리스사업(D)'!$G:$G,W$2,'리스사업(D)'!$Q:$Q,$J4,'리스사업(D)'!$C:$C,$L$1),
    SUMIFS('임대사업(E)'!$I:$I,'임대사업(E)'!$G:$G,W$2,'임대사업(E)'!$Q:$Q,$J4,'임대사업(E)'!$C:$C,$L$1),
    SUMIFS('환경부사업(F)'!$I:$I,'환경부사업(F)'!$G:$G,W$2,'환경부사업(F)'!$Q:$Q,$J4,'환경부사업(F)'!$C:$C,$L$1),
    SUMIFS('프로젝트(G)'!$I:$I,'프로젝트(G)'!$G:$G,W$2,'프로젝트(G)'!$Q:$Q,$J4,'프로젝트(G)'!$C:$C,$L$1),
    SUMIFS('협력사 EPC(H)'!$I:$I,'협력사 EPC(H)'!$G:$G,W$2,'협력사 EPC(H)'!$Q:$Q,$J4,'협력사 EPC(H)'!$C:$C,$L$1),
    SUMIFS('기타(Z)'!$I:$I,'기타(Z)'!$G:$G,W$2,'기타(Z)'!$Q:$Q,$J4,'기타(Z)'!$C:$C,$L$1)
  )
)</f>
        <v/>
      </c>
      <c r="X4" s="347" t="str">
        <f>IF(
  SUM(
    COUNTIFS('발전사업(A)'!$G:$G,W$2,'발전사업(A)'!$Q:$Q,$J4),
    COUNTIFS('자가소비(B)'!$G:$G,W$2,'자가소비(B)'!$Q:$Q,$J4),
    COUNTIFS('PPA 사업(C)'!$G:$G,W$2,'PPA 사업(C)'!$Q:$Q,$J4),
    COUNTIFS('리스사업(D)'!$G:$G,W$2,'리스사업(D)'!$Q:$Q,$J4),
    COUNTIFS('임대사업(E)'!$G:$G,W$2,'임대사업(E)'!$Q:$Q,$J4),
    COUNTIFS('환경부사업(F)'!$G:$G,W$2,'환경부사업(F)'!$Q:$Q,$J4),
    COUNTIFS('프로젝트(G)'!$G:$G,W$2,'프로젝트(G)'!$Q:$Q,$J4),
    COUNTIFS('협력사 EPC(H)'!$G:$G,W$2,'협력사 EPC(H)'!$Q:$Q,$J4),
    COUNTIFS('기타(Z)'!$G:$G,W$2,'기타(Z)'!$Q:$Q,$J4)
  )=0,
  "",
  COUNTIFS('발전사업(A)'!$G:$G,W$2,'발전사업(A)'!$Q:$Q,$J4)
  +COUNTIFS('자가소비(B)'!$G:$G,W$2,'자가소비(B)'!$Q:$Q,$J4)
  +COUNTIFS('PPA 사업(C)'!$G:$G,W$2,'PPA 사업(C)'!$Q:$Q,$J4)
  +COUNTIFS('리스사업(D)'!$G:$G,W$2,'리스사업(D)'!$Q:$Q,$J4)
  +COUNTIFS('임대사업(E)'!$G:$G,W$2,'임대사업(E)'!$Q:$Q,$J4)
  +COUNTIFS('환경부사업(F)'!$G:$G,W$2,'환경부사업(F)'!$Q:$Q,$J4)
  +COUNTIFS('프로젝트(G)'!$G:$G,W$2,'프로젝트(G)'!$Q:$Q,$J4)
  +COUNTIFS('협력사 EPC(H)'!$G:$G,W$2,'협력사 EPC(H)'!$Q:$Q,$J4)
  +COUNTIFS('기타(Z)'!$G:$G,W$2,'기타(Z)'!$Q:$Q,$J4)
)</f>
        <v/>
      </c>
      <c r="Y4" s="366" t="str">
        <f>IF(
  SUM(
    SUMIFS('발전사업(A)'!$I:$I,'발전사업(A)'!$G:$G,Y$2,'발전사업(A)'!$Q:$Q,$J4,'발전사업(A)'!$C:$C,$L$1),
    SUMIFS('자가소비(B)'!$I:$I,'자가소비(B)'!$G:$G,Y$2,'자가소비(B)'!$Q:$Q,$J4,'자가소비(B)'!$C:$C,$L$1),
    SUMIFS('PPA 사업(C)'!$I:$I,'PPA 사업(C)'!$G:$G,Y$2,'PPA 사업(C)'!$Q:$Q,$J4,'PPA 사업(C)'!$C:$C,$L$1),
    SUMIFS('리스사업(D)'!$I:$I,'리스사업(D)'!$G:$G,Y$2,'리스사업(D)'!$Q:$Q,$J4,'리스사업(D)'!$C:$C,$L$1),
    SUMIFS('임대사업(E)'!$I:$I,'임대사업(E)'!$G:$G,Y$2,'임대사업(E)'!$Q:$Q,$J4,'임대사업(E)'!$C:$C,$L$1),
    SUMIFS('환경부사업(F)'!$I:$I,'환경부사업(F)'!$G:$G,Y$2,'환경부사업(F)'!$Q:$Q,$J4,'환경부사업(F)'!$C:$C,$L$1),
    SUMIFS('프로젝트(G)'!$I:$I,'프로젝트(G)'!$G:$G,Y$2,'프로젝트(G)'!$Q:$Q,$J4,'프로젝트(G)'!$C:$C,$L$1),
    SUMIFS('협력사 EPC(H)'!$I:$I,'협력사 EPC(H)'!$G:$G,Y$2,'협력사 EPC(H)'!$Q:$Q,$J4,'협력사 EPC(H)'!$C:$C,$L$1),
    SUMIFS('기타(Z)'!$I:$I,'기타(Z)'!$G:$G,Y$2,'기타(Z)'!$Q:$Q,$J4,'기타(Z)'!$C:$C,$L$1)
  )=0,
  "",
  SUM(
    SUMIFS('발전사업(A)'!$I:$I,'발전사업(A)'!$G:$G,Y$2,'발전사업(A)'!$Q:$Q,$J4,'발전사업(A)'!$C:$C,$L$1),
    SUMIFS('자가소비(B)'!$I:$I,'자가소비(B)'!$G:$G,Y$2,'자가소비(B)'!$Q:$Q,$J4,'자가소비(B)'!$C:$C,$L$1),
    SUMIFS('PPA 사업(C)'!$I:$I,'PPA 사업(C)'!$G:$G,Y$2,'PPA 사업(C)'!$Q:$Q,$J4,'PPA 사업(C)'!$C:$C,$L$1),
    SUMIFS('리스사업(D)'!$I:$I,'리스사업(D)'!$G:$G,Y$2,'리스사업(D)'!$Q:$Q,$J4,'리스사업(D)'!$C:$C,$L$1),
    SUMIFS('임대사업(E)'!$I:$I,'임대사업(E)'!$G:$G,Y$2,'임대사업(E)'!$Q:$Q,$J4,'임대사업(E)'!$C:$C,$L$1),
    SUMIFS('환경부사업(F)'!$I:$I,'환경부사업(F)'!$G:$G,Y$2,'환경부사업(F)'!$Q:$Q,$J4,'환경부사업(F)'!$C:$C,$L$1),
    SUMIFS('프로젝트(G)'!$I:$I,'프로젝트(G)'!$G:$G,Y$2,'프로젝트(G)'!$Q:$Q,$J4,'프로젝트(G)'!$C:$C,$L$1),
    SUMIFS('협력사 EPC(H)'!$I:$I,'협력사 EPC(H)'!$G:$G,Y$2,'협력사 EPC(H)'!$Q:$Q,$J4,'협력사 EPC(H)'!$C:$C,$L$1),
    SUMIFS('기타(Z)'!$I:$I,'기타(Z)'!$G:$G,Y$2,'기타(Z)'!$Q:$Q,$J4,'기타(Z)'!$C:$C,$L$1)
  )
)</f>
        <v/>
      </c>
      <c r="Z4" s="367" t="str">
        <f>IF(
  SUM(
    COUNTIFS('발전사업(A)'!$G:$G, Y$2, '발전사업(A)'!$Q:$Q, $J4, '발전사업(A)'!$C:$C, $L$1),
    COUNTIFS('자가소비(B)'!$G:$G, Y$2, '자가소비(B)'!$Q:$Q, $J4, '자가소비(B)'!$C:$C, $L$1),
    COUNTIFS('PPA 사업(C)'!$G:$G, Y$2, 'PPA 사업(C)'!$Q:$Q, $J4, 'PPA 사업(C)'!$C:$C, $L$1),
    COUNTIFS('리스사업(D)'!$G:$G, Y$2, '리스사업(D)'!$Q:$Q, $J4, '리스사업(D)'!$C:$C, $L$1),
    COUNTIFS('임대사업(E)'!$G:$G, Y$2, '임대사업(E)'!$Q:$Q, $J4, '임대사업(E)'!$C:$C, $L$1),
    COUNTIFS('환경부사업(F)'!$G:$G, Y$2, '환경부사업(F)'!$Q:$Q, $J4, '환경부사업(F)'!$C:$C, $L$1),
    COUNTIFS('프로젝트(G)'!$G:$G, Y$2, '프로젝트(G)'!$Q:$Q, $J4, '프로젝트(G)'!$C:$C, $L$1),
    COUNTIFS('협력사 EPC(H)'!$G:$G, Y$2, '협력사 EPC(H)'!$Q:$Q, $J4, '협력사 EPC(H)'!$C:$C, $L$1),
    COUNTIFS('기타(Z)'!$G:$G, Y$2, '기타(Z)'!$Q:$Q, $J4, '기타(Z)'!$C:$C, $L$1)
  ) = 0,
  "",
  COUNTIFS('발전사업(A)'!$G:$G, Y$2, '발전사업(A)'!$Q:$Q, $J4, '발전사업(A)'!$C:$C, $L$1)
  + COUNTIFS('자가소비(B)'!$G:$G, Y$2, '자가소비(B)'!$Q:$Q, $J4, '자가소비(B)'!$C:$C, $L$1)
  + COUNTIFS('PPA 사업(C)'!$G:$G, Y$2, 'PPA 사업(C)'!$Q:$Q, $J4, 'PPA 사업(C)'!$C:$C, $L$1)
  + COUNTIFS('리스사업(D)'!$G:$G, Y$2, '리스사업(D)'!$Q:$Q, $J4, '리스사업(D)'!$C:$C, $L$1)
  + COUNTIFS('임대사업(E)'!$G:$G, Y$2, '임대사업(E)'!$Q:$Q, $J4, '임대사업(E)'!$C:$C, $L$1)
  + COUNTIFS('환경부사업(F)'!$G:$G, Y$2, '환경부사업(F)'!$Q:$Q, $J4, '환경부사업(F)'!$C:$C, $L$1)
  + COUNTIFS('프로젝트(G)'!$G:$G, Y$2, '프로젝트(G)'!$Q:$Q, $J4, '프로젝트(G)'!$C:$C, $L$1)
  + COUNTIFS('협력사 EPC(H)'!$G:$G, Y$2, '협력사 EPC(H)'!$Q:$Q, $J4, '협력사 EPC(H)'!$C:$C, $L$1)
  + COUNTIFS('기타(Z)'!$G:$G, Y$2, '기타(Z)'!$Q:$Q, $J4, '기타(Z)'!$C:$C, $L$1)
)</f>
        <v/>
      </c>
      <c r="AA4" s="366" t="str">
        <f>IF(
  SUM(
    SUMIFS('발전사업(A)'!$I:$I,'발전사업(A)'!$G:$G,AA$2,'발전사업(A)'!$Q:$Q,$J4,'발전사업(A)'!$C:$C,$L$1),
    SUMIFS('자가소비(B)'!$I:$I,'자가소비(B)'!$G:$G,AA$2,'자가소비(B)'!$Q:$Q,$J4,'자가소비(B)'!$C:$C,$L$1),
    SUMIFS('PPA 사업(C)'!$I:$I,'PPA 사업(C)'!$G:$G,AA$2,'PPA 사업(C)'!$Q:$Q,$J4,'PPA 사업(C)'!$C:$C,$L$1),
    SUMIFS('리스사업(D)'!$I:$I,'리스사업(D)'!$G:$G,AA$2,'리스사업(D)'!$Q:$Q,$J4,'리스사업(D)'!$C:$C,$L$1),
    SUMIFS('임대사업(E)'!$I:$I,'임대사업(E)'!$G:$G,AA$2,'임대사업(E)'!$Q:$Q,$J4,'임대사업(E)'!$C:$C,$L$1),
    SUMIFS('환경부사업(F)'!$I:$I,'환경부사업(F)'!$G:$G,AA$2,'환경부사업(F)'!$Q:$Q,$J4,'환경부사업(F)'!$C:$C,$L$1),
    SUMIFS('프로젝트(G)'!$I:$I,'프로젝트(G)'!$G:$G,AA$2,'프로젝트(G)'!$Q:$Q,$J4,'프로젝트(G)'!$C:$C,$L$1),
    SUMIFS('협력사 EPC(H)'!$I:$I,'협력사 EPC(H)'!$G:$G,AA$2,'협력사 EPC(H)'!$Q:$Q,$J4,'협력사 EPC(H)'!$C:$C,$L$1),
    SUMIFS('기타(Z)'!$I:$I,'기타(Z)'!$G:$G,AA$2,'기타(Z)'!$Q:$Q,$J4,'기타(Z)'!$C:$C,$L$1)
  )=0,
  "",
  SUM(
    SUMIFS('발전사업(A)'!$I:$I,'발전사업(A)'!$G:$G,AA$2,'발전사업(A)'!$Q:$Q,$J4,'발전사업(A)'!$C:$C,$L$1),
    SUMIFS('자가소비(B)'!$I:$I,'자가소비(B)'!$G:$G,AA$2,'자가소비(B)'!$Q:$Q,$J4,'자가소비(B)'!$C:$C,$L$1),
    SUMIFS('PPA 사업(C)'!$I:$I,'PPA 사업(C)'!$G:$G,AA$2,'PPA 사업(C)'!$Q:$Q,$J4,'PPA 사업(C)'!$C:$C,$L$1),
    SUMIFS('리스사업(D)'!$I:$I,'리스사업(D)'!$G:$G,AA$2,'리스사업(D)'!$Q:$Q,$J4,'리스사업(D)'!$C:$C,$L$1),
    SUMIFS('임대사업(E)'!$I:$I,'임대사업(E)'!$G:$G,AA$2,'임대사업(E)'!$Q:$Q,$J4,'임대사업(E)'!$C:$C,$L$1),
    SUMIFS('환경부사업(F)'!$I:$I,'환경부사업(F)'!$G:$G,AA$2,'환경부사업(F)'!$Q:$Q,$J4,'환경부사업(F)'!$C:$C,$L$1),
    SUMIFS('프로젝트(G)'!$I:$I,'프로젝트(G)'!$G:$G,AA$2,'프로젝트(G)'!$Q:$Q,$J4,'프로젝트(G)'!$C:$C,$L$1),
    SUMIFS('협력사 EPC(H)'!$I:$I,'협력사 EPC(H)'!$G:$G,AA$2,'협력사 EPC(H)'!$Q:$Q,$J4,'협력사 EPC(H)'!$C:$C,$L$1),
    SUMIFS('기타(Z)'!$I:$I,'기타(Z)'!$G:$G,AA$2,'기타(Z)'!$Q:$Q,$J4,'기타(Z)'!$C:$C,$L$1)
  )
)</f>
        <v/>
      </c>
      <c r="AB4" s="367" t="str">
        <f>IF(
  SUM(
    COUNTIFS('발전사업(A)'!$G:$G, AA$2, '발전사업(A)'!$Q:$Q, $J4, '발전사업(A)'!$C:$C, $L$1),
    COUNTIFS('자가소비(B)'!$G:$G, AA$2, '자가소비(B)'!$Q:$Q, $J4, '자가소비(B)'!$C:$C, $L$1),
    COUNTIFS('PPA 사업(C)'!$G:$G, AA$2, 'PPA 사업(C)'!$Q:$Q, $J4, 'PPA 사업(C)'!$C:$C, $L$1),
    COUNTIFS('리스사업(D)'!$G:$G, AA$2, '리스사업(D)'!$Q:$Q, $J4, '리스사업(D)'!$C:$C, $L$1),
    COUNTIFS('임대사업(E)'!$G:$G, AA$2, '임대사업(E)'!$Q:$Q, $J4, '임대사업(E)'!$C:$C, $L$1),
    COUNTIFS('환경부사업(F)'!$G:$G, AA$2, '환경부사업(F)'!$Q:$Q, $J4, '환경부사업(F)'!$C:$C, $L$1),
    COUNTIFS('프로젝트(G)'!$G:$G, AA$2, '프로젝트(G)'!$Q:$Q, $J4, '프로젝트(G)'!$C:$C, $L$1),
    COUNTIFS('협력사 EPC(H)'!$G:$G, AA$2, '협력사 EPC(H)'!$Q:$Q, $J4, '협력사 EPC(H)'!$C:$C, $L$1),
    COUNTIFS('기타(Z)'!$G:$G, AA$2, '기타(Z)'!$Q:$Q, $J4, '기타(Z)'!$C:$C, $L$1)
  ) = 0,
  "",
  COUNTIFS('발전사업(A)'!$G:$G, AA$2, '발전사업(A)'!$Q:$Q, $J4, '발전사업(A)'!$C:$C, $L$1)
  + COUNTIFS('자가소비(B)'!$G:$G, AA$2, '자가소비(B)'!$Q:$Q, $J4, '자가소비(B)'!$C:$C, $L$1)
  + COUNTIFS('PPA 사업(C)'!$G:$G, AA$2, 'PPA 사업(C)'!$Q:$Q, $J4, 'PPA 사업(C)'!$C:$C, $L$1)
  + COUNTIFS('리스사업(D)'!$G:$G, AA$2, '리스사업(D)'!$Q:$Q, $J4, '리스사업(D)'!$C:$C, $L$1)
  + COUNTIFS('임대사업(E)'!$G:$G, AA$2, '임대사업(E)'!$Q:$Q, $J4, '임대사업(E)'!$C:$C, $L$1)
  + COUNTIFS('환경부사업(F)'!$G:$G, AA$2, '환경부사업(F)'!$Q:$Q, $J4, '환경부사업(F)'!$C:$C, $L$1)
  + COUNTIFS('프로젝트(G)'!$G:$G, AA$2, '프로젝트(G)'!$Q:$Q, $J4, '프로젝트(G)'!$C:$C, $L$1)
  + COUNTIFS('협력사 EPC(H)'!$G:$G, AA$2, '협력사 EPC(H)'!$Q:$Q, $J4, '협력사 EPC(H)'!$C:$C, $L$1)
  + COUNTIFS('기타(Z)'!$G:$G, AA$2, '기타(Z)'!$Q:$Q, $J4, '기타(Z)'!$C:$C, $L$1)
)</f>
        <v/>
      </c>
      <c r="AC4" s="366" t="str">
        <f>IF(
  SUM(
    SUMIFS('발전사업(A)'!$I:$I,'발전사업(A)'!$G:$G,AC$2,'발전사업(A)'!$Q:$Q,$J4,'발전사업(A)'!$C:$C,$L$1),
    SUMIFS('자가소비(B)'!$I:$I,'자가소비(B)'!$G:$G,AC$2,'자가소비(B)'!$Q:$Q,$J4,'자가소비(B)'!$C:$C,$L$1),
    SUMIFS('PPA 사업(C)'!$I:$I,'PPA 사업(C)'!$G:$G,AC$2,'PPA 사업(C)'!$Q:$Q,$J4,'PPA 사업(C)'!$C:$C,$L$1),
    SUMIFS('리스사업(D)'!$I:$I,'리스사업(D)'!$G:$G,AC$2,'리스사업(D)'!$Q:$Q,$J4,'리스사업(D)'!$C:$C,$L$1),
    SUMIFS('임대사업(E)'!$I:$I,'임대사업(E)'!$G:$G,AC$2,'임대사업(E)'!$Q:$Q,$J4,'임대사업(E)'!$C:$C,$L$1),
    SUMIFS('환경부사업(F)'!$I:$I,'환경부사업(F)'!$G:$G,AC$2,'환경부사업(F)'!$Q:$Q,$J4,'환경부사업(F)'!$C:$C,$L$1),
    SUMIFS('프로젝트(G)'!$I:$I,'프로젝트(G)'!$G:$G,AC$2,'프로젝트(G)'!$Q:$Q,$J4,'프로젝트(G)'!$C:$C,$L$1),
    SUMIFS('협력사 EPC(H)'!$I:$I,'협력사 EPC(H)'!$G:$G,AC$2,'협력사 EPC(H)'!$Q:$Q,$J4,'협력사 EPC(H)'!$C:$C,$L$1),
    SUMIFS('기타(Z)'!$I:$I,'기타(Z)'!$G:$G,AC$2,'기타(Z)'!$Q:$Q,$J4,'기타(Z)'!$C:$C,$L$1)
  )=0,
  "",
  SUM(
    SUMIFS('발전사업(A)'!$I:$I,'발전사업(A)'!$G:$G,AC$2,'발전사업(A)'!$Q:$Q,$J4,'발전사업(A)'!$C:$C,$L$1),
    SUMIFS('자가소비(B)'!$I:$I,'자가소비(B)'!$G:$G,AC$2,'자가소비(B)'!$Q:$Q,$J4,'자가소비(B)'!$C:$C,$L$1),
    SUMIFS('PPA 사업(C)'!$I:$I,'PPA 사업(C)'!$G:$G,AC$2,'PPA 사업(C)'!$Q:$Q,$J4,'PPA 사업(C)'!$C:$C,$L$1),
    SUMIFS('리스사업(D)'!$I:$I,'리스사업(D)'!$G:$G,AC$2,'리스사업(D)'!$Q:$Q,$J4,'리스사업(D)'!$C:$C,$L$1),
    SUMIFS('임대사업(E)'!$I:$I,'임대사업(E)'!$G:$G,AC$2,'임대사업(E)'!$Q:$Q,$J4,'임대사업(E)'!$C:$C,$L$1),
    SUMIFS('환경부사업(F)'!$I:$I,'환경부사업(F)'!$G:$G,AC$2,'환경부사업(F)'!$Q:$Q,$J4,'환경부사업(F)'!$C:$C,$L$1),
    SUMIFS('프로젝트(G)'!$I:$I,'프로젝트(G)'!$G:$G,AC$2,'프로젝트(G)'!$Q:$Q,$J4,'프로젝트(G)'!$C:$C,$L$1),
    SUMIFS('협력사 EPC(H)'!$I:$I,'협력사 EPC(H)'!$G:$G,AC$2,'협력사 EPC(H)'!$Q:$Q,$J4,'협력사 EPC(H)'!$C:$C,$L$1),
    SUMIFS('기타(Z)'!$I:$I,'기타(Z)'!$G:$G,AC$2,'기타(Z)'!$Q:$Q,$J4,'기타(Z)'!$C:$C,$L$1)
  )
)</f>
        <v/>
      </c>
      <c r="AD4" s="367" t="str">
        <f>IF(
  SUM(
    COUNTIFS('발전사업(A)'!$G:$G, AC$2, '발전사업(A)'!$Q:$Q, $J4, '발전사업(A)'!$C:$C, $L$1),
    COUNTIFS('자가소비(B)'!$G:$G, AC$2, '자가소비(B)'!$Q:$Q, $J4, '자가소비(B)'!$C:$C, $L$1),
    COUNTIFS('PPA 사업(C)'!$G:$G, AC$2, 'PPA 사업(C)'!$Q:$Q, $J4, 'PPA 사업(C)'!$C:$C, $L$1),
    COUNTIFS('리스사업(D)'!$G:$G, AC$2, '리스사업(D)'!$Q:$Q, $J4, '리스사업(D)'!$C:$C, $L$1),
    COUNTIFS('임대사업(E)'!$G:$G, AC$2, '임대사업(E)'!$Q:$Q, $J4, '임대사업(E)'!$C:$C, $L$1),
    COUNTIFS('환경부사업(F)'!$G:$G, AC$2, '환경부사업(F)'!$Q:$Q, $J4, '환경부사업(F)'!$C:$C, $L$1),
    COUNTIFS('프로젝트(G)'!$G:$G, AC$2, '프로젝트(G)'!$Q:$Q, $J4, '프로젝트(G)'!$C:$C, $L$1),
    COUNTIFS('협력사 EPC(H)'!$G:$G, AC$2, '협력사 EPC(H)'!$Q:$Q, $J4, '협력사 EPC(H)'!$C:$C, $L$1),
    COUNTIFS('기타(Z)'!$G:$G, AC$2, '기타(Z)'!$Q:$Q, $J4, '기타(Z)'!$C:$C, $L$1)
  ) = 0,
  "",
  COUNTIFS('발전사업(A)'!$G:$G, AC$2, '발전사업(A)'!$Q:$Q, $J4, '발전사업(A)'!$C:$C, $L$1)
  + COUNTIFS('자가소비(B)'!$G:$G, AC$2, '자가소비(B)'!$Q:$Q, $J4, '자가소비(B)'!$C:$C, $L$1)
  + COUNTIFS('PPA 사업(C)'!$G:$G, AC$2, 'PPA 사업(C)'!$Q:$Q, $J4, 'PPA 사업(C)'!$C:$C, $L$1)
  + COUNTIFS('리스사업(D)'!$G:$G, AC$2, '리스사업(D)'!$Q:$Q, $J4, '리스사업(D)'!$C:$C, $L$1)
  + COUNTIFS('임대사업(E)'!$G:$G, AC$2, '임대사업(E)'!$Q:$Q, $J4, '임대사업(E)'!$C:$C, $L$1)
  + COUNTIFS('환경부사업(F)'!$G:$G, AC$2, '환경부사업(F)'!$Q:$Q, $J4, '환경부사업(F)'!$C:$C, $L$1)
  + COUNTIFS('프로젝트(G)'!$G:$G, AC$2, '프로젝트(G)'!$Q:$Q, $J4, '프로젝트(G)'!$C:$C, $L$1)
  + COUNTIFS('협력사 EPC(H)'!$G:$G, AC$2, '협력사 EPC(H)'!$Q:$Q, $J4, '협력사 EPC(H)'!$C:$C, $L$1)
  + COUNTIFS('기타(Z)'!$G:$G, AC$2, '기타(Z)'!$Q:$Q, $J4, '기타(Z)'!$C:$C, $L$1)
)</f>
        <v/>
      </c>
      <c r="AE4" s="366" t="str">
        <f>IF(
  SUM(
    SUMIFS('발전사업(A)'!$I:$I,'발전사업(A)'!$G:$G,AE$2,'발전사업(A)'!$Q:$Q,$J4,'발전사업(A)'!$C:$C,$L$1),
    SUMIFS('자가소비(B)'!$I:$I,'자가소비(B)'!$G:$G,AE$2,'자가소비(B)'!$Q:$Q,$J4,'자가소비(B)'!$C:$C,$L$1),
    SUMIFS('PPA 사업(C)'!$I:$I,'PPA 사업(C)'!$G:$G,AE$2,'PPA 사업(C)'!$Q:$Q,$J4,'PPA 사업(C)'!$C:$C,$L$1),
    SUMIFS('리스사업(D)'!$I:$I,'리스사업(D)'!$G:$G,AE$2,'리스사업(D)'!$Q:$Q,$J4,'리스사업(D)'!$C:$C,$L$1),
    SUMIFS('임대사업(E)'!$I:$I,'임대사업(E)'!$G:$G,AE$2,'임대사업(E)'!$Q:$Q,$J4,'임대사업(E)'!$C:$C,$L$1),
    SUMIFS('환경부사업(F)'!$I:$I,'환경부사업(F)'!$G:$G,AE$2,'환경부사업(F)'!$Q:$Q,$J4,'환경부사업(F)'!$C:$C,$L$1),
    SUMIFS('프로젝트(G)'!$I:$I,'프로젝트(G)'!$G:$G,AE$2,'프로젝트(G)'!$Q:$Q,$J4,'프로젝트(G)'!$C:$C,$L$1),
    SUMIFS('협력사 EPC(H)'!$I:$I,'협력사 EPC(H)'!$G:$G,AE$2,'협력사 EPC(H)'!$Q:$Q,$J4,'협력사 EPC(H)'!$C:$C,$L$1),
    SUMIFS('기타(Z)'!$I:$I,'기타(Z)'!$G:$G,AE$2,'기타(Z)'!$Q:$Q,$J4,'기타(Z)'!$C:$C,$L$1)
  )=0,
  "",
  SUM(
    SUMIFS('발전사업(A)'!$I:$I,'발전사업(A)'!$G:$G,AE$2,'발전사업(A)'!$Q:$Q,$J4,'발전사업(A)'!$C:$C,$L$1),
    SUMIFS('자가소비(B)'!$I:$I,'자가소비(B)'!$G:$G,AE$2,'자가소비(B)'!$Q:$Q,$J4,'자가소비(B)'!$C:$C,$L$1),
    SUMIFS('PPA 사업(C)'!$I:$I,'PPA 사업(C)'!$G:$G,AE$2,'PPA 사업(C)'!$Q:$Q,$J4,'PPA 사업(C)'!$C:$C,$L$1),
    SUMIFS('리스사업(D)'!$I:$I,'리스사업(D)'!$G:$G,AE$2,'리스사업(D)'!$Q:$Q,$J4,'리스사업(D)'!$C:$C,$L$1),
    SUMIFS('임대사업(E)'!$I:$I,'임대사업(E)'!$G:$G,AE$2,'임대사업(E)'!$Q:$Q,$J4,'임대사업(E)'!$C:$C,$L$1),
    SUMIFS('환경부사업(F)'!$I:$I,'환경부사업(F)'!$G:$G,AE$2,'환경부사업(F)'!$Q:$Q,$J4,'환경부사업(F)'!$C:$C,$L$1),
    SUMIFS('프로젝트(G)'!$I:$I,'프로젝트(G)'!$G:$G,AE$2,'프로젝트(G)'!$Q:$Q,$J4,'프로젝트(G)'!$C:$C,$L$1),
    SUMIFS('협력사 EPC(H)'!$I:$I,'협력사 EPC(H)'!$G:$G,AE$2,'협력사 EPC(H)'!$Q:$Q,$J4,'협력사 EPC(H)'!$C:$C,$L$1),
    SUMIFS('기타(Z)'!$I:$I,'기타(Z)'!$G:$G,AE$2,'기타(Z)'!$Q:$Q,$J4,'기타(Z)'!$C:$C,$L$1)
  )
)</f>
        <v/>
      </c>
      <c r="AF4" s="367" t="str">
        <f>IF(
  SUM(
    COUNTIFS('발전사업(A)'!$G:$G, AE$2, '발전사업(A)'!$Q:$Q, $J4, '발전사업(A)'!$C:$C, $L$1),
    COUNTIFS('자가소비(B)'!$G:$G, AE$2, '자가소비(B)'!$Q:$Q, $J4, '자가소비(B)'!$C:$C, $L$1),
    COUNTIFS('PPA 사업(C)'!$G:$G, AE$2, 'PPA 사업(C)'!$Q:$Q, $J4, 'PPA 사업(C)'!$C:$C, $L$1),
    COUNTIFS('리스사업(D)'!$G:$G, AE$2, '리스사업(D)'!$Q:$Q, $J4, '리스사업(D)'!$C:$C, $L$1),
    COUNTIFS('임대사업(E)'!$G:$G, AE$2, '임대사업(E)'!$Q:$Q, $J4, '임대사업(E)'!$C:$C, $L$1),
    COUNTIFS('환경부사업(F)'!$G:$G, AE$2, '환경부사업(F)'!$Q:$Q, $J4, '환경부사업(F)'!$C:$C, $L$1),
    COUNTIFS('프로젝트(G)'!$G:$G, AE$2, '프로젝트(G)'!$Q:$Q, $J4, '프로젝트(G)'!$C:$C, $L$1),
    COUNTIFS('협력사 EPC(H)'!$G:$G, AE$2, '협력사 EPC(H)'!$Q:$Q, $J4, '협력사 EPC(H)'!$C:$C, $L$1),
    COUNTIFS('기타(Z)'!$G:$G, AE$2, '기타(Z)'!$Q:$Q, $J4, '기타(Z)'!$C:$C, $L$1)
  ) = 0,
  "",
  COUNTIFS('발전사업(A)'!$G:$G, AE$2, '발전사업(A)'!$Q:$Q, $J4, '발전사업(A)'!$C:$C, $L$1)
  + COUNTIFS('자가소비(B)'!$G:$G, AE$2, '자가소비(B)'!$Q:$Q, $J4, '자가소비(B)'!$C:$C, $L$1)
  + COUNTIFS('PPA 사업(C)'!$G:$G, AE$2, 'PPA 사업(C)'!$Q:$Q, $J4, 'PPA 사업(C)'!$C:$C, $L$1)
  + COUNTIFS('리스사업(D)'!$G:$G, AE$2, '리스사업(D)'!$Q:$Q, $J4, '리스사업(D)'!$C:$C, $L$1)
  + COUNTIFS('임대사업(E)'!$G:$G, AE$2, '임대사업(E)'!$Q:$Q, $J4, '임대사업(E)'!$C:$C, $L$1)
  + COUNTIFS('환경부사업(F)'!$G:$G, AE$2, '환경부사업(F)'!$Q:$Q, $J4, '환경부사업(F)'!$C:$C, $L$1)
  + COUNTIFS('프로젝트(G)'!$G:$G, AE$2, '프로젝트(G)'!$Q:$Q, $J4, '프로젝트(G)'!$C:$C, $L$1)
  + COUNTIFS('협력사 EPC(H)'!$G:$G, AE$2, '협력사 EPC(H)'!$Q:$Q, $J4, '협력사 EPC(H)'!$C:$C, $L$1)
  + COUNTIFS('기타(Z)'!$G:$G, AE$2, '기타(Z)'!$Q:$Q, $J4, '기타(Z)'!$C:$C, $L$1)
)</f>
        <v/>
      </c>
      <c r="AG4" s="366" t="str">
        <f>IF(
  SUM(
    SUMIFS('발전사업(A)'!$I:$I,'발전사업(A)'!$G:$G,AG$2,'발전사업(A)'!$Q:$Q,$J4,'발전사업(A)'!$C:$C,$L$1),
    SUMIFS('자가소비(B)'!$I:$I,'자가소비(B)'!$G:$G,AG$2,'자가소비(B)'!$Q:$Q,$J4,'자가소비(B)'!$C:$C,$L$1),
    SUMIFS('PPA 사업(C)'!$I:$I,'PPA 사업(C)'!$G:$G,AG$2,'PPA 사업(C)'!$Q:$Q,$J4,'PPA 사업(C)'!$C:$C,$L$1),
    SUMIFS('리스사업(D)'!$I:$I,'리스사업(D)'!$G:$G,AG$2,'리스사업(D)'!$Q:$Q,$J4,'리스사업(D)'!$C:$C,$L$1),
    SUMIFS('임대사업(E)'!$I:$I,'임대사업(E)'!$G:$G,AG$2,'임대사업(E)'!$Q:$Q,$J4,'임대사업(E)'!$C:$C,$L$1),
    SUMIFS('환경부사업(F)'!$I:$I,'환경부사업(F)'!$G:$G,AG$2,'환경부사업(F)'!$Q:$Q,$J4,'환경부사업(F)'!$C:$C,$L$1),
    SUMIFS('프로젝트(G)'!$I:$I,'프로젝트(G)'!$G:$G,AG$2,'프로젝트(G)'!$Q:$Q,$J4,'프로젝트(G)'!$C:$C,$L$1),
    SUMIFS('협력사 EPC(H)'!$I:$I,'협력사 EPC(H)'!$G:$G,AG$2,'협력사 EPC(H)'!$Q:$Q,$J4,'협력사 EPC(H)'!$C:$C,$L$1),
    SUMIFS('기타(Z)'!$I:$I,'기타(Z)'!$G:$G,AG$2,'기타(Z)'!$Q:$Q,$J4,'기타(Z)'!$C:$C,$L$1)
  )=0,
  "",
  SUM(
    SUMIFS('발전사업(A)'!$I:$I,'발전사업(A)'!$G:$G,AG$2,'발전사업(A)'!$Q:$Q,$J4,'발전사업(A)'!$C:$C,$L$1),
    SUMIFS('자가소비(B)'!$I:$I,'자가소비(B)'!$G:$G,AG$2,'자가소비(B)'!$Q:$Q,$J4,'자가소비(B)'!$C:$C,$L$1),
    SUMIFS('PPA 사업(C)'!$I:$I,'PPA 사업(C)'!$G:$G,AG$2,'PPA 사업(C)'!$Q:$Q,$J4,'PPA 사업(C)'!$C:$C,$L$1),
    SUMIFS('리스사업(D)'!$I:$I,'리스사업(D)'!$G:$G,AG$2,'리스사업(D)'!$Q:$Q,$J4,'리스사업(D)'!$C:$C,$L$1),
    SUMIFS('임대사업(E)'!$I:$I,'임대사업(E)'!$G:$G,AG$2,'임대사업(E)'!$Q:$Q,$J4,'임대사업(E)'!$C:$C,$L$1),
    SUMIFS('환경부사업(F)'!$I:$I,'환경부사업(F)'!$G:$G,AG$2,'환경부사업(F)'!$Q:$Q,$J4,'환경부사업(F)'!$C:$C,$L$1),
    SUMIFS('프로젝트(G)'!$I:$I,'프로젝트(G)'!$G:$G,AG$2,'프로젝트(G)'!$Q:$Q,$J4,'프로젝트(G)'!$C:$C,$L$1),
    SUMIFS('협력사 EPC(H)'!$I:$I,'협력사 EPC(H)'!$G:$G,AG$2,'협력사 EPC(H)'!$Q:$Q,$J4,'협력사 EPC(H)'!$C:$C,$L$1),
    SUMIFS('기타(Z)'!$I:$I,'기타(Z)'!$G:$G,AG$2,'기타(Z)'!$Q:$Q,$J4,'기타(Z)'!$C:$C,$L$1)
  )
)</f>
        <v/>
      </c>
      <c r="AH4" s="367" t="str">
        <f>IF(
  SUM(
    COUNTIFS('발전사업(A)'!$G:$G, AG$2, '발전사업(A)'!$Q:$Q, $J4, '발전사업(A)'!$C:$C, $L$1),
    COUNTIFS('자가소비(B)'!$G:$G, AG$2, '자가소비(B)'!$Q:$Q, $J4, '자가소비(B)'!$C:$C, $L$1),
    COUNTIFS('PPA 사업(C)'!$G:$G, AG$2, 'PPA 사업(C)'!$Q:$Q, $J4, 'PPA 사업(C)'!$C:$C, $L$1),
    COUNTIFS('리스사업(D)'!$G:$G, AG$2, '리스사업(D)'!$Q:$Q, $J4, '리스사업(D)'!$C:$C, $L$1),
    COUNTIFS('임대사업(E)'!$G:$G, AG$2, '임대사업(E)'!$Q:$Q, $J4, '임대사업(E)'!$C:$C, $L$1),
    COUNTIFS('환경부사업(F)'!$G:$G, AG$2, '환경부사업(F)'!$Q:$Q, $J4, '환경부사업(F)'!$C:$C, $L$1),
    COUNTIFS('프로젝트(G)'!$G:$G, AG$2, '프로젝트(G)'!$Q:$Q, $J4, '프로젝트(G)'!$C:$C, $L$1),
    COUNTIFS('협력사 EPC(H)'!$G:$G, AG$2, '협력사 EPC(H)'!$Q:$Q, $J4, '협력사 EPC(H)'!$C:$C, $L$1),
    COUNTIFS('기타(Z)'!$G:$G, AG$2, '기타(Z)'!$Q:$Q, $J4, '기타(Z)'!$C:$C, $L$1)
  ) = 0,
  "",
  COUNTIFS('발전사업(A)'!$G:$G, AG$2, '발전사업(A)'!$Q:$Q, $J4, '발전사업(A)'!$C:$C, $L$1)
  + COUNTIFS('자가소비(B)'!$G:$G, AG$2, '자가소비(B)'!$Q:$Q, $J4, '자가소비(B)'!$C:$C, $L$1)
  + COUNTIFS('PPA 사업(C)'!$G:$G, AG$2, 'PPA 사업(C)'!$Q:$Q, $J4, 'PPA 사업(C)'!$C:$C, $L$1)
  + COUNTIFS('리스사업(D)'!$G:$G, AG$2, '리스사업(D)'!$Q:$Q, $J4, '리스사업(D)'!$C:$C, $L$1)
  + COUNTIFS('임대사업(E)'!$G:$G, AG$2, '임대사업(E)'!$Q:$Q, $J4, '임대사업(E)'!$C:$C, $L$1)
  + COUNTIFS('환경부사업(F)'!$G:$G, AG$2, '환경부사업(F)'!$Q:$Q, $J4, '환경부사업(F)'!$C:$C, $L$1)
  + COUNTIFS('프로젝트(G)'!$G:$G, AG$2, '프로젝트(G)'!$Q:$Q, $J4, '프로젝트(G)'!$C:$C, $L$1)
  + COUNTIFS('협력사 EPC(H)'!$G:$G, AG$2, '협력사 EPC(H)'!$Q:$Q, $J4, '협력사 EPC(H)'!$C:$C, $L$1)
  + COUNTIFS('기타(Z)'!$G:$G, AG$2, '기타(Z)'!$Q:$Q, $J4, '기타(Z)'!$C:$C, $L$1)
)</f>
        <v/>
      </c>
      <c r="AI4" s="366" t="str">
        <f>IF(
  SUM(
    SUMIFS('발전사업(A)'!$I:$I,'발전사업(A)'!$G:$G,AI$2,'발전사업(A)'!$Q:$Q,$J4,'발전사업(A)'!$C:$C,$L$1),
    SUMIFS('자가소비(B)'!$I:$I,'자가소비(B)'!$G:$G,AI$2,'자가소비(B)'!$Q:$Q,$J4,'자가소비(B)'!$C:$C,$L$1),
    SUMIFS('PPA 사업(C)'!$I:$I,'PPA 사업(C)'!$G:$G,AI$2,'PPA 사업(C)'!$Q:$Q,$J4,'PPA 사업(C)'!$C:$C,$L$1),
    SUMIFS('리스사업(D)'!$I:$I,'리스사업(D)'!$G:$G,AI$2,'리스사업(D)'!$Q:$Q,$J4,'리스사업(D)'!$C:$C,$L$1),
    SUMIFS('임대사업(E)'!$I:$I,'임대사업(E)'!$G:$G,AI$2,'임대사업(E)'!$Q:$Q,$J4,'임대사업(E)'!$C:$C,$L$1),
    SUMIFS('환경부사업(F)'!$I:$I,'환경부사업(F)'!$G:$G,AI$2,'환경부사업(F)'!$Q:$Q,$J4,'환경부사업(F)'!$C:$C,$L$1),
    SUMIFS('프로젝트(G)'!$I:$I,'프로젝트(G)'!$G:$G,AI$2,'프로젝트(G)'!$Q:$Q,$J4,'프로젝트(G)'!$C:$C,$L$1),
    SUMIFS('협력사 EPC(H)'!$I:$I,'협력사 EPC(H)'!$G:$G,AI$2,'협력사 EPC(H)'!$Q:$Q,$J4,'협력사 EPC(H)'!$C:$C,$L$1),
    SUMIFS('기타(Z)'!$I:$I,'기타(Z)'!$G:$G,AI$2,'기타(Z)'!$Q:$Q,$J4,'기타(Z)'!$C:$C,$L$1)
  )=0,
  "",
  SUM(
    SUMIFS('발전사업(A)'!$I:$I,'발전사업(A)'!$G:$G,AI$2,'발전사업(A)'!$Q:$Q,$J4,'발전사업(A)'!$C:$C,$L$1),
    SUMIFS('자가소비(B)'!$I:$I,'자가소비(B)'!$G:$G,AI$2,'자가소비(B)'!$Q:$Q,$J4,'자가소비(B)'!$C:$C,$L$1),
    SUMIFS('PPA 사업(C)'!$I:$I,'PPA 사업(C)'!$G:$G,AI$2,'PPA 사업(C)'!$Q:$Q,$J4,'PPA 사업(C)'!$C:$C,$L$1),
    SUMIFS('리스사업(D)'!$I:$I,'리스사업(D)'!$G:$G,AI$2,'리스사업(D)'!$Q:$Q,$J4,'리스사업(D)'!$C:$C,$L$1),
    SUMIFS('임대사업(E)'!$I:$I,'임대사업(E)'!$G:$G,AI$2,'임대사업(E)'!$Q:$Q,$J4,'임대사업(E)'!$C:$C,$L$1),
    SUMIFS('환경부사업(F)'!$I:$I,'환경부사업(F)'!$G:$G,AI$2,'환경부사업(F)'!$Q:$Q,$J4,'환경부사업(F)'!$C:$C,$L$1),
    SUMIFS('프로젝트(G)'!$I:$I,'프로젝트(G)'!$G:$G,AI$2,'프로젝트(G)'!$Q:$Q,$J4,'프로젝트(G)'!$C:$C,$L$1),
    SUMIFS('협력사 EPC(H)'!$I:$I,'협력사 EPC(H)'!$G:$G,AI$2,'협력사 EPC(H)'!$Q:$Q,$J4,'협력사 EPC(H)'!$C:$C,$L$1),
    SUMIFS('기타(Z)'!$I:$I,'기타(Z)'!$G:$G,AI$2,'기타(Z)'!$Q:$Q,$J4,'기타(Z)'!$C:$C,$L$1)
  )
)</f>
        <v/>
      </c>
      <c r="AJ4" s="365" t="str">
        <f>IF(
  SUM(
    COUNTIFS('발전사업(A)'!$G:$G, AI$2, '발전사업(A)'!$Q:$Q, $J4, '발전사업(A)'!$C:$C, $L$1),
    COUNTIFS('자가소비(B)'!$G:$G, AI$2, '자가소비(B)'!$Q:$Q, $J4, '자가소비(B)'!$C:$C, $L$1),
    COUNTIFS('PPA 사업(C)'!$G:$G, AI$2, 'PPA 사업(C)'!$Q:$Q, $J4, 'PPA 사업(C)'!$C:$C, $L$1),
    COUNTIFS('리스사업(D)'!$G:$G, AI$2, '리스사업(D)'!$Q:$Q, $J4, '리스사업(D)'!$C:$C, $L$1),
    COUNTIFS('임대사업(E)'!$G:$G, AI$2, '임대사업(E)'!$Q:$Q, $J4, '임대사업(E)'!$C:$C, $L$1),
    COUNTIFS('환경부사업(F)'!$G:$G, AI$2, '환경부사업(F)'!$Q:$Q, $J4, '환경부사업(F)'!$C:$C, $L$1),
    COUNTIFS('프로젝트(G)'!$G:$G, AI$2, '프로젝트(G)'!$Q:$Q, $J4, '프로젝트(G)'!$C:$C, $L$1),
    COUNTIFS('협력사 EPC(H)'!$G:$G, AI$2, '협력사 EPC(H)'!$Q:$Q, $J4, '협력사 EPC(H)'!$C:$C, $L$1),
    COUNTIFS('기타(Z)'!$G:$G, AI$2, '기타(Z)'!$Q:$Q, $J4, '기타(Z)'!$C:$C, $L$1)
  ) = 0,
  "",
  COUNTIFS('발전사업(A)'!$G:$G, AI$2, '발전사업(A)'!$Q:$Q, $J4, '발전사업(A)'!$C:$C, $L$1)
  + COUNTIFS('자가소비(B)'!$G:$G, AI$2, '자가소비(B)'!$Q:$Q, $J4, '자가소비(B)'!$C:$C, $L$1)
  + COUNTIFS('PPA 사업(C)'!$G:$G, AI$2, 'PPA 사업(C)'!$Q:$Q, $J4, 'PPA 사업(C)'!$C:$C, $L$1)
  + COUNTIFS('리스사업(D)'!$G:$G, AI$2, '리스사업(D)'!$Q:$Q, $J4, '리스사업(D)'!$C:$C, $L$1)
  + COUNTIFS('임대사업(E)'!$G:$G, AI$2, '임대사업(E)'!$Q:$Q, $J4, '임대사업(E)'!$C:$C, $L$1)
  + COUNTIFS('환경부사업(F)'!$G:$G, AI$2, '환경부사업(F)'!$Q:$Q, $J4, '환경부사업(F)'!$C:$C, $L$1)
  + COUNTIFS('프로젝트(G)'!$G:$G, AI$2, '프로젝트(G)'!$Q:$Q, $J4, '프로젝트(G)'!$C:$C, $L$1)
  + COUNTIFS('협력사 EPC(H)'!$G:$G, AI$2, '협력사 EPC(H)'!$Q:$Q, $J4, '협력사 EPC(H)'!$C:$C, $L$1)
  + COUNTIFS('기타(Z)'!$G:$G, AI$2, '기타(Z)'!$Q:$Q, $J4, '기타(Z)'!$C:$C, $L$1)
)</f>
        <v/>
      </c>
    </row>
    <row r="5" spans="2:36" ht="16.5" x14ac:dyDescent="0.25">
      <c r="B5" s="195" t="s">
        <v>152</v>
      </c>
      <c r="C5" s="262">
        <f t="shared" si="0"/>
        <v>25910.614999999998</v>
      </c>
      <c r="D5" s="263">
        <f t="shared" si="0"/>
        <v>74</v>
      </c>
      <c r="E5" s="262">
        <f t="shared" si="0"/>
        <v>18402.595000000001</v>
      </c>
      <c r="F5" s="263">
        <f t="shared" si="0"/>
        <v>53</v>
      </c>
      <c r="G5" s="262">
        <f t="shared" si="0"/>
        <v>7508.0199999999995</v>
      </c>
      <c r="H5" s="263">
        <f t="shared" si="0"/>
        <v>21</v>
      </c>
      <c r="J5" s="370" t="s">
        <v>198</v>
      </c>
      <c r="K5" s="354">
        <f t="shared" si="1"/>
        <v>5744.5</v>
      </c>
      <c r="L5" s="348">
        <f t="shared" si="2"/>
        <v>13</v>
      </c>
      <c r="M5" s="366" t="str">
        <f>IF(
  SUM(
    SUMIFS('발전사업(A)'!$I:$I,'발전사업(A)'!$G:$G,M$2,'발전사업(A)'!$Q:$Q,$J5,'발전사업(A)'!$C:$C,$L$1),
    SUMIFS('자가소비(B)'!$I:$I,'자가소비(B)'!$G:$G,M$2,'자가소비(B)'!$Q:$Q,$J5,'자가소비(B)'!$C:$C,$L$1),
    SUMIFS('PPA 사업(C)'!$I:$I,'PPA 사업(C)'!$G:$G,M$2,'PPA 사업(C)'!$Q:$Q,$J5,'PPA 사업(C)'!$C:$C,$L$1),
    SUMIFS('리스사업(D)'!$I:$I,'리스사업(D)'!$G:$G,M$2,'리스사업(D)'!$Q:$Q,$J5,'리스사업(D)'!$C:$C,$L$1),
    SUMIFS('임대사업(E)'!$I:$I,'임대사업(E)'!$G:$G,M$2,'임대사업(E)'!$Q:$Q,$J5,'임대사업(E)'!$C:$C,$L$1),
    SUMIFS('환경부사업(F)'!$I:$I,'환경부사업(F)'!$G:$G,M$2,'환경부사업(F)'!$Q:$Q,$J5,'환경부사업(F)'!$C:$C,$L$1),
    SUMIFS('프로젝트(G)'!$I:$I,'프로젝트(G)'!$G:$G,M$2,'프로젝트(G)'!$Q:$Q,$J5,'프로젝트(G)'!$C:$C,$L$1),
    SUMIFS('협력사 EPC(H)'!$I:$I,'협력사 EPC(H)'!$G:$G,M$2,'협력사 EPC(H)'!$Q:$Q,$J5,'협력사 EPC(H)'!$C:$C,$L$1),
    SUMIFS('기타(Z)'!$I:$I,'기타(Z)'!$G:$G,M$2,'기타(Z)'!$Q:$Q,$J5,'기타(Z)'!$C:$C,$L$1)
  )=0,
  "",
  SUM(
    SUMIFS('발전사업(A)'!$I:$I,'발전사업(A)'!$G:$G,M$2,'발전사업(A)'!$Q:$Q,$J5,'발전사업(A)'!$C:$C,$L$1),
    SUMIFS('자가소비(B)'!$I:$I,'자가소비(B)'!$G:$G,M$2,'자가소비(B)'!$Q:$Q,$J5,'자가소비(B)'!$C:$C,$L$1),
    SUMIFS('PPA 사업(C)'!$I:$I,'PPA 사업(C)'!$G:$G,M$2,'PPA 사업(C)'!$Q:$Q,$J5,'PPA 사업(C)'!$C:$C,$L$1),
    SUMIFS('리스사업(D)'!$I:$I,'리스사업(D)'!$G:$G,M$2,'리스사업(D)'!$Q:$Q,$J5,'리스사업(D)'!$C:$C,$L$1),
    SUMIFS('임대사업(E)'!$I:$I,'임대사업(E)'!$G:$G,M$2,'임대사업(E)'!$Q:$Q,$J5,'임대사업(E)'!$C:$C,$L$1),
    SUMIFS('환경부사업(F)'!$I:$I,'환경부사업(F)'!$G:$G,M$2,'환경부사업(F)'!$Q:$Q,$J5,'환경부사업(F)'!$C:$C,$L$1),
    SUMIFS('프로젝트(G)'!$I:$I,'프로젝트(G)'!$G:$G,M$2,'프로젝트(G)'!$Q:$Q,$J5,'프로젝트(G)'!$C:$C,$L$1),
    SUMIFS('협력사 EPC(H)'!$I:$I,'협력사 EPC(H)'!$G:$G,M$2,'협력사 EPC(H)'!$Q:$Q,$J5,'협력사 EPC(H)'!$C:$C,$L$1),
    SUMIFS('기타(Z)'!$I:$I,'기타(Z)'!$G:$G,M$2,'기타(Z)'!$Q:$Q,$J5,'기타(Z)'!$C:$C,$L$1)
  )
)</f>
        <v/>
      </c>
      <c r="N5" s="367" t="str">
        <f>IF(
  SUM(
    COUNTIFS('발전사업(A)'!$G:$G, M$2, '발전사업(A)'!$Q:$Q, $J5, '발전사업(A)'!$C:$C, $L$1),
    COUNTIFS('자가소비(B)'!$G:$G, M$2, '자가소비(B)'!$Q:$Q, $J5, '자가소비(B)'!$C:$C, $L$1),
    COUNTIFS('PPA 사업(C)'!$G:$G, M$2, 'PPA 사업(C)'!$Q:$Q, $J5, 'PPA 사업(C)'!$C:$C, $L$1),
    COUNTIFS('리스사업(D)'!$G:$G, M$2, '리스사업(D)'!$Q:$Q, $J5, '리스사업(D)'!$C:$C, $L$1),
    COUNTIFS('임대사업(E)'!$G:$G, M$2, '임대사업(E)'!$Q:$Q, $J5, '임대사업(E)'!$C:$C, $L$1),
    COUNTIFS('환경부사업(F)'!$G:$G, M$2, '환경부사업(F)'!$Q:$Q, $J5, '환경부사업(F)'!$C:$C, $L$1),
    COUNTIFS('프로젝트(G)'!$G:$G, M$2, '프로젝트(G)'!$Q:$Q, $J5, '프로젝트(G)'!$C:$C, $L$1),
    COUNTIFS('협력사 EPC(H)'!$G:$G, M$2, '협력사 EPC(H)'!$Q:$Q, $J5, '협력사 EPC(H)'!$C:$C, $L$1),
    COUNTIFS('기타(Z)'!$G:$G, M$2, '기타(Z)'!$Q:$Q, $J5, '기타(Z)'!$C:$C, $L$1)
  ) = 0,
  "",
  COUNTIFS('발전사업(A)'!$G:$G, M$2, '발전사업(A)'!$Q:$Q, $J5, '발전사업(A)'!$C:$C, $L$1)
  + COUNTIFS('자가소비(B)'!$G:$G, M$2, '자가소비(B)'!$Q:$Q, $J5, '자가소비(B)'!$C:$C, $L$1)
  + COUNTIFS('PPA 사업(C)'!$G:$G, M$2, 'PPA 사업(C)'!$Q:$Q, $J5, 'PPA 사업(C)'!$C:$C, $L$1)
  + COUNTIFS('리스사업(D)'!$G:$G, M$2, '리스사업(D)'!$Q:$Q, $J5, '리스사업(D)'!$C:$C, $L$1)
  + COUNTIFS('임대사업(E)'!$G:$G, M$2, '임대사업(E)'!$Q:$Q, $J5, '임대사업(E)'!$C:$C, $L$1)
  + COUNTIFS('환경부사업(F)'!$G:$G, M$2, '환경부사업(F)'!$Q:$Q, $J5, '환경부사업(F)'!$C:$C, $L$1)
  + COUNTIFS('프로젝트(G)'!$G:$G, M$2, '프로젝트(G)'!$Q:$Q, $J5, '프로젝트(G)'!$C:$C, $L$1)
  + COUNTIFS('협력사 EPC(H)'!$G:$G, M$2, '협력사 EPC(H)'!$Q:$Q, $J5, '협력사 EPC(H)'!$C:$C, $L$1)
  + COUNTIFS('기타(Z)'!$G:$G, M$2, '기타(Z)'!$Q:$Q, $J5, '기타(Z)'!$C:$C, $L$1)
)</f>
        <v/>
      </c>
      <c r="O5" s="366">
        <f>IF(
  SUM(
    SUMIFS('발전사업(A)'!$I:$I,'발전사업(A)'!$G:$G,O$2,'발전사업(A)'!$Q:$Q,$J5,'발전사업(A)'!$C:$C,$L$1),
    SUMIFS('자가소비(B)'!$I:$I,'자가소비(B)'!$G:$G,O$2,'자가소비(B)'!$Q:$Q,$J5,'자가소비(B)'!$C:$C,$L$1),
    SUMIFS('PPA 사업(C)'!$I:$I,'PPA 사업(C)'!$G:$G,O$2,'PPA 사업(C)'!$Q:$Q,$J5,'PPA 사업(C)'!$C:$C,$L$1),
    SUMIFS('리스사업(D)'!$I:$I,'리스사업(D)'!$G:$G,O$2,'리스사업(D)'!$Q:$Q,$J5,'리스사업(D)'!$C:$C,$L$1),
    SUMIFS('임대사업(E)'!$I:$I,'임대사업(E)'!$G:$G,O$2,'임대사업(E)'!$Q:$Q,$J5,'임대사업(E)'!$C:$C,$L$1),
    SUMIFS('환경부사업(F)'!$I:$I,'환경부사업(F)'!$G:$G,O$2,'환경부사업(F)'!$Q:$Q,$J5,'환경부사업(F)'!$C:$C,$L$1),
    SUMIFS('프로젝트(G)'!$I:$I,'프로젝트(G)'!$G:$G,O$2,'프로젝트(G)'!$Q:$Q,$J5,'프로젝트(G)'!$C:$C,$L$1),
    SUMIFS('협력사 EPC(H)'!$I:$I,'협력사 EPC(H)'!$G:$G,O$2,'협력사 EPC(H)'!$Q:$Q,$J5,'협력사 EPC(H)'!$C:$C,$L$1),
    SUMIFS('기타(Z)'!$I:$I,'기타(Z)'!$G:$G,O$2,'기타(Z)'!$Q:$Q,$J5,'기타(Z)'!$C:$C,$L$1)
  )=0,
  "",
  SUM(
    SUMIFS('발전사업(A)'!$I:$I,'발전사업(A)'!$G:$G,O$2,'발전사업(A)'!$Q:$Q,$J5,'발전사업(A)'!$C:$C,$L$1),
    SUMIFS('자가소비(B)'!$I:$I,'자가소비(B)'!$G:$G,O$2,'자가소비(B)'!$Q:$Q,$J5,'자가소비(B)'!$C:$C,$L$1),
    SUMIFS('PPA 사업(C)'!$I:$I,'PPA 사업(C)'!$G:$G,O$2,'PPA 사업(C)'!$Q:$Q,$J5,'PPA 사업(C)'!$C:$C,$L$1),
    SUMIFS('리스사업(D)'!$I:$I,'리스사업(D)'!$G:$G,O$2,'리스사업(D)'!$Q:$Q,$J5,'리스사업(D)'!$C:$C,$L$1),
    SUMIFS('임대사업(E)'!$I:$I,'임대사업(E)'!$G:$G,O$2,'임대사업(E)'!$Q:$Q,$J5,'임대사업(E)'!$C:$C,$L$1),
    SUMIFS('환경부사업(F)'!$I:$I,'환경부사업(F)'!$G:$G,O$2,'환경부사업(F)'!$Q:$Q,$J5,'환경부사업(F)'!$C:$C,$L$1),
    SUMIFS('프로젝트(G)'!$I:$I,'프로젝트(G)'!$G:$G,O$2,'프로젝트(G)'!$Q:$Q,$J5,'프로젝트(G)'!$C:$C,$L$1),
    SUMIFS('협력사 EPC(H)'!$I:$I,'협력사 EPC(H)'!$G:$G,O$2,'협력사 EPC(H)'!$Q:$Q,$J5,'협력사 EPC(H)'!$C:$C,$L$1),
    SUMIFS('기타(Z)'!$I:$I,'기타(Z)'!$G:$G,O$2,'기타(Z)'!$Q:$Q,$J5,'기타(Z)'!$C:$C,$L$1)
  )
)</f>
        <v>195.435</v>
      </c>
      <c r="P5" s="367">
        <f>IF(
  SUM(
    COUNTIFS('발전사업(A)'!$G:$G, O$2, '발전사업(A)'!$Q:$Q, $J5, '발전사업(A)'!$C:$C, $L$1),
    COUNTIFS('자가소비(B)'!$G:$G, O$2, '자가소비(B)'!$Q:$Q, $J5, '자가소비(B)'!$C:$C, $L$1),
    COUNTIFS('PPA 사업(C)'!$G:$G, O$2, 'PPA 사업(C)'!$Q:$Q, $J5, 'PPA 사업(C)'!$C:$C, $L$1),
    COUNTIFS('리스사업(D)'!$G:$G, O$2, '리스사업(D)'!$Q:$Q, $J5, '리스사업(D)'!$C:$C, $L$1),
    COUNTIFS('임대사업(E)'!$G:$G, O$2, '임대사업(E)'!$Q:$Q, $J5, '임대사업(E)'!$C:$C, $L$1),
    COUNTIFS('환경부사업(F)'!$G:$G, O$2, '환경부사업(F)'!$Q:$Q, $J5, '환경부사업(F)'!$C:$C, $L$1),
    COUNTIFS('프로젝트(G)'!$G:$G, O$2, '프로젝트(G)'!$Q:$Q, $J5, '프로젝트(G)'!$C:$C, $L$1),
    COUNTIFS('협력사 EPC(H)'!$G:$G, O$2, '협력사 EPC(H)'!$Q:$Q, $J5, '협력사 EPC(H)'!$C:$C, $L$1),
    COUNTIFS('기타(Z)'!$G:$G, O$2, '기타(Z)'!$Q:$Q, $J5, '기타(Z)'!$C:$C, $L$1)
  ) = 0,
  "",
  COUNTIFS('발전사업(A)'!$G:$G, O$2, '발전사업(A)'!$Q:$Q, $J5, '발전사업(A)'!$C:$C, $L$1)
  + COUNTIFS('자가소비(B)'!$G:$G, O$2, '자가소비(B)'!$Q:$Q, $J5, '자가소비(B)'!$C:$C, $L$1)
  + COUNTIFS('PPA 사업(C)'!$G:$G, O$2, 'PPA 사업(C)'!$Q:$Q, $J5, 'PPA 사업(C)'!$C:$C, $L$1)
  + COUNTIFS('리스사업(D)'!$G:$G, O$2, '리스사업(D)'!$Q:$Q, $J5, '리스사업(D)'!$C:$C, $L$1)
  + COUNTIFS('임대사업(E)'!$G:$G, O$2, '임대사업(E)'!$Q:$Q, $J5, '임대사업(E)'!$C:$C, $L$1)
  + COUNTIFS('환경부사업(F)'!$G:$G, O$2, '환경부사업(F)'!$Q:$Q, $J5, '환경부사업(F)'!$C:$C, $L$1)
  + COUNTIFS('프로젝트(G)'!$G:$G, O$2, '프로젝트(G)'!$Q:$Q, $J5, '프로젝트(G)'!$C:$C, $L$1)
  + COUNTIFS('협력사 EPC(H)'!$G:$G, O$2, '협력사 EPC(H)'!$Q:$Q, $J5, '협력사 EPC(H)'!$C:$C, $L$1)
  + COUNTIFS('기타(Z)'!$G:$G, O$2, '기타(Z)'!$Q:$Q, $J5, '기타(Z)'!$C:$C, $L$1)
)</f>
        <v>2</v>
      </c>
      <c r="Q5" s="366" t="str">
        <f>IF(
  SUM(
    SUMIFS('발전사업(A)'!$I:$I,'발전사업(A)'!$G:$G,Q$2,'발전사업(A)'!$Q:$Q,$J5,'발전사업(A)'!$C:$C,$L$1),
    SUMIFS('자가소비(B)'!$I:$I,'자가소비(B)'!$G:$G,Q$2,'자가소비(B)'!$Q:$Q,$J5,'자가소비(B)'!$C:$C,$L$1),
    SUMIFS('PPA 사업(C)'!$I:$I,'PPA 사업(C)'!$G:$G,Q$2,'PPA 사업(C)'!$Q:$Q,$J5,'PPA 사업(C)'!$C:$C,$L$1),
    SUMIFS('리스사업(D)'!$I:$I,'리스사업(D)'!$G:$G,Q$2,'리스사업(D)'!$Q:$Q,$J5,'리스사업(D)'!$C:$C,$L$1),
    SUMIFS('임대사업(E)'!$I:$I,'임대사업(E)'!$G:$G,Q$2,'임대사업(E)'!$Q:$Q,$J5,'임대사업(E)'!$C:$C,$L$1),
    SUMIFS('환경부사업(F)'!$I:$I,'환경부사업(F)'!$G:$G,Q$2,'환경부사업(F)'!$Q:$Q,$J5,'환경부사업(F)'!$C:$C,$L$1),
    SUMIFS('프로젝트(G)'!$I:$I,'프로젝트(G)'!$G:$G,Q$2,'프로젝트(G)'!$Q:$Q,$J5,'프로젝트(G)'!$C:$C,$L$1),
    SUMIFS('협력사 EPC(H)'!$I:$I,'협력사 EPC(H)'!$G:$G,Q$2,'협력사 EPC(H)'!$Q:$Q,$J5,'협력사 EPC(H)'!$C:$C,$L$1),
    SUMIFS('기타(Z)'!$I:$I,'기타(Z)'!$G:$G,Q$2,'기타(Z)'!$Q:$Q,$J5,'기타(Z)'!$C:$C,$L$1)
  )=0,
  "",
  SUM(
    SUMIFS('발전사업(A)'!$I:$I,'발전사업(A)'!$G:$G,Q$2,'발전사업(A)'!$Q:$Q,$J5,'발전사업(A)'!$C:$C,$L$1),
    SUMIFS('자가소비(B)'!$I:$I,'자가소비(B)'!$G:$G,Q$2,'자가소비(B)'!$Q:$Q,$J5,'자가소비(B)'!$C:$C,$L$1),
    SUMIFS('PPA 사업(C)'!$I:$I,'PPA 사업(C)'!$G:$G,Q$2,'PPA 사업(C)'!$Q:$Q,$J5,'PPA 사업(C)'!$C:$C,$L$1),
    SUMIFS('리스사업(D)'!$I:$I,'리스사업(D)'!$G:$G,Q$2,'리스사업(D)'!$Q:$Q,$J5,'리스사업(D)'!$C:$C,$L$1),
    SUMIFS('임대사업(E)'!$I:$I,'임대사업(E)'!$G:$G,Q$2,'임대사업(E)'!$Q:$Q,$J5,'임대사업(E)'!$C:$C,$L$1),
    SUMIFS('환경부사업(F)'!$I:$I,'환경부사업(F)'!$G:$G,Q$2,'환경부사업(F)'!$Q:$Q,$J5,'환경부사업(F)'!$C:$C,$L$1),
    SUMIFS('프로젝트(G)'!$I:$I,'프로젝트(G)'!$G:$G,Q$2,'프로젝트(G)'!$Q:$Q,$J5,'프로젝트(G)'!$C:$C,$L$1),
    SUMIFS('협력사 EPC(H)'!$I:$I,'협력사 EPC(H)'!$G:$G,Q$2,'협력사 EPC(H)'!$Q:$Q,$J5,'협력사 EPC(H)'!$C:$C,$L$1),
    SUMIFS('기타(Z)'!$I:$I,'기타(Z)'!$G:$G,Q$2,'기타(Z)'!$Q:$Q,$J5,'기타(Z)'!$C:$C,$L$1)
  )
)</f>
        <v/>
      </c>
      <c r="R5" s="367" t="str">
        <f>IF(
  SUM(
    COUNTIFS('발전사업(A)'!$G:$G, Q$2, '발전사업(A)'!$Q:$Q, $J5, '발전사업(A)'!$C:$C, $L$1),
    COUNTIFS('자가소비(B)'!$G:$G, Q$2, '자가소비(B)'!$Q:$Q, $J5, '자가소비(B)'!$C:$C, $L$1),
    COUNTIFS('PPA 사업(C)'!$G:$G, Q$2, 'PPA 사업(C)'!$Q:$Q, $J5, 'PPA 사업(C)'!$C:$C, $L$1),
    COUNTIFS('리스사업(D)'!$G:$G, Q$2, '리스사업(D)'!$Q:$Q, $J5, '리스사업(D)'!$C:$C, $L$1),
    COUNTIFS('임대사업(E)'!$G:$G, Q$2, '임대사업(E)'!$Q:$Q, $J5, '임대사업(E)'!$C:$C, $L$1),
    COUNTIFS('환경부사업(F)'!$G:$G, Q$2, '환경부사업(F)'!$Q:$Q, $J5, '환경부사업(F)'!$C:$C, $L$1),
    COUNTIFS('프로젝트(G)'!$G:$G, Q$2, '프로젝트(G)'!$Q:$Q, $J5, '프로젝트(G)'!$C:$C, $L$1),
    COUNTIFS('협력사 EPC(H)'!$G:$G, Q$2, '협력사 EPC(H)'!$Q:$Q, $J5, '협력사 EPC(H)'!$C:$C, $L$1),
    COUNTIFS('기타(Z)'!$G:$G, Q$2, '기타(Z)'!$Q:$Q, $J5, '기타(Z)'!$C:$C, $L$1)
  ) = 0,
  "",
  COUNTIFS('발전사업(A)'!$G:$G, Q$2, '발전사업(A)'!$Q:$Q, $J5, '발전사업(A)'!$C:$C, $L$1)
  + COUNTIFS('자가소비(B)'!$G:$G, Q$2, '자가소비(B)'!$Q:$Q, $J5, '자가소비(B)'!$C:$C, $L$1)
  + COUNTIFS('PPA 사업(C)'!$G:$G, Q$2, 'PPA 사업(C)'!$Q:$Q, $J5, 'PPA 사업(C)'!$C:$C, $L$1)
  + COUNTIFS('리스사업(D)'!$G:$G, Q$2, '리스사업(D)'!$Q:$Q, $J5, '리스사업(D)'!$C:$C, $L$1)
  + COUNTIFS('임대사업(E)'!$G:$G, Q$2, '임대사업(E)'!$Q:$Q, $J5, '임대사업(E)'!$C:$C, $L$1)
  + COUNTIFS('환경부사업(F)'!$G:$G, Q$2, '환경부사업(F)'!$Q:$Q, $J5, '환경부사업(F)'!$C:$C, $L$1)
  + COUNTIFS('프로젝트(G)'!$G:$G, Q$2, '프로젝트(G)'!$Q:$Q, $J5, '프로젝트(G)'!$C:$C, $L$1)
  + COUNTIFS('협력사 EPC(H)'!$G:$G, Q$2, '협력사 EPC(H)'!$Q:$Q, $J5, '협력사 EPC(H)'!$C:$C, $L$1)
  + COUNTIFS('기타(Z)'!$G:$G, Q$2, '기타(Z)'!$Q:$Q, $J5, '기타(Z)'!$C:$C, $L$1)
)</f>
        <v/>
      </c>
      <c r="S5" s="366">
        <f>IF(
  SUM(
    SUMIFS('발전사업(A)'!$I:$I,'발전사업(A)'!$G:$G,S$2,'발전사업(A)'!$Q:$Q,$J5,'발전사업(A)'!$C:$C,$L$1),
    SUMIFS('자가소비(B)'!$I:$I,'자가소비(B)'!$G:$G,S$2,'자가소비(B)'!$Q:$Q,$J5,'자가소비(B)'!$C:$C,$L$1),
    SUMIFS('PPA 사업(C)'!$I:$I,'PPA 사업(C)'!$G:$G,S$2,'PPA 사업(C)'!$Q:$Q,$J5,'PPA 사업(C)'!$C:$C,$L$1),
    SUMIFS('리스사업(D)'!$I:$I,'리스사업(D)'!$G:$G,S$2,'리스사업(D)'!$Q:$Q,$J5,'리스사업(D)'!$C:$C,$L$1),
    SUMIFS('임대사업(E)'!$I:$I,'임대사업(E)'!$G:$G,S$2,'임대사업(E)'!$Q:$Q,$J5,'임대사업(E)'!$C:$C,$L$1),
    SUMIFS('환경부사업(F)'!$I:$I,'환경부사업(F)'!$G:$G,S$2,'환경부사업(F)'!$Q:$Q,$J5,'환경부사업(F)'!$C:$C,$L$1),
    SUMIFS('프로젝트(G)'!$I:$I,'프로젝트(G)'!$G:$G,S$2,'프로젝트(G)'!$Q:$Q,$J5,'프로젝트(G)'!$C:$C,$L$1),
    SUMIFS('협력사 EPC(H)'!$I:$I,'협력사 EPC(H)'!$G:$G,S$2,'협력사 EPC(H)'!$Q:$Q,$J5,'협력사 EPC(H)'!$C:$C,$L$1),
    SUMIFS('기타(Z)'!$I:$I,'기타(Z)'!$G:$G,S$2,'기타(Z)'!$Q:$Q,$J5,'기타(Z)'!$C:$C,$L$1)
  )=0,
  "",
  SUM(
    SUMIFS('발전사업(A)'!$I:$I,'발전사업(A)'!$G:$G,S$2,'발전사업(A)'!$Q:$Q,$J5,'발전사업(A)'!$C:$C,$L$1),
    SUMIFS('자가소비(B)'!$I:$I,'자가소비(B)'!$G:$G,S$2,'자가소비(B)'!$Q:$Q,$J5,'자가소비(B)'!$C:$C,$L$1),
    SUMIFS('PPA 사업(C)'!$I:$I,'PPA 사업(C)'!$G:$G,S$2,'PPA 사업(C)'!$Q:$Q,$J5,'PPA 사업(C)'!$C:$C,$L$1),
    SUMIFS('리스사업(D)'!$I:$I,'리스사업(D)'!$G:$G,S$2,'리스사업(D)'!$Q:$Q,$J5,'리스사업(D)'!$C:$C,$L$1),
    SUMIFS('임대사업(E)'!$I:$I,'임대사업(E)'!$G:$G,S$2,'임대사업(E)'!$Q:$Q,$J5,'임대사업(E)'!$C:$C,$L$1),
    SUMIFS('환경부사업(F)'!$I:$I,'환경부사업(F)'!$G:$G,S$2,'환경부사업(F)'!$Q:$Q,$J5,'환경부사업(F)'!$C:$C,$L$1),
    SUMIFS('프로젝트(G)'!$I:$I,'프로젝트(G)'!$G:$G,S$2,'프로젝트(G)'!$Q:$Q,$J5,'프로젝트(G)'!$C:$C,$L$1),
    SUMIFS('협력사 EPC(H)'!$I:$I,'협력사 EPC(H)'!$G:$G,S$2,'협력사 EPC(H)'!$Q:$Q,$J5,'협력사 EPC(H)'!$C:$C,$L$1),
    SUMIFS('기타(Z)'!$I:$I,'기타(Z)'!$G:$G,S$2,'기타(Z)'!$Q:$Q,$J5,'기타(Z)'!$C:$C,$L$1)
  )
)</f>
        <v>1452.5400000000002</v>
      </c>
      <c r="T5" s="367">
        <f>IF(
  SUM(
    COUNTIFS('발전사업(A)'!$G:$G, S$2, '발전사업(A)'!$Q:$Q, $J5, '발전사업(A)'!$C:$C, $L$1),
    COUNTIFS('자가소비(B)'!$G:$G, S$2, '자가소비(B)'!$Q:$Q, $J5, '자가소비(B)'!$C:$C, $L$1),
    COUNTIFS('PPA 사업(C)'!$G:$G, S$2, 'PPA 사업(C)'!$Q:$Q, $J5, 'PPA 사업(C)'!$C:$C, $L$1),
    COUNTIFS('리스사업(D)'!$G:$G, S$2, '리스사업(D)'!$Q:$Q, $J5, '리스사업(D)'!$C:$C, $L$1),
    COUNTIFS('임대사업(E)'!$G:$G, S$2, '임대사업(E)'!$Q:$Q, $J5, '임대사업(E)'!$C:$C, $L$1),
    COUNTIFS('환경부사업(F)'!$G:$G, S$2, '환경부사업(F)'!$Q:$Q, $J5, '환경부사업(F)'!$C:$C, $L$1),
    COUNTIFS('프로젝트(G)'!$G:$G, S$2, '프로젝트(G)'!$Q:$Q, $J5, '프로젝트(G)'!$C:$C, $L$1),
    COUNTIFS('협력사 EPC(H)'!$G:$G, S$2, '협력사 EPC(H)'!$Q:$Q, $J5, '협력사 EPC(H)'!$C:$C, $L$1),
    COUNTIFS('기타(Z)'!$G:$G, S$2, '기타(Z)'!$Q:$Q, $J5, '기타(Z)'!$C:$C, $L$1)
  ) = 0,
  "",
  COUNTIFS('발전사업(A)'!$G:$G, S$2, '발전사업(A)'!$Q:$Q, $J5, '발전사업(A)'!$C:$C, $L$1)
  + COUNTIFS('자가소비(B)'!$G:$G, S$2, '자가소비(B)'!$Q:$Q, $J5, '자가소비(B)'!$C:$C, $L$1)
  + COUNTIFS('PPA 사업(C)'!$G:$G, S$2, 'PPA 사업(C)'!$Q:$Q, $J5, 'PPA 사업(C)'!$C:$C, $L$1)
  + COUNTIFS('리스사업(D)'!$G:$G, S$2, '리스사업(D)'!$Q:$Q, $J5, '리스사업(D)'!$C:$C, $L$1)
  + COUNTIFS('임대사업(E)'!$G:$G, S$2, '임대사업(E)'!$Q:$Q, $J5, '임대사업(E)'!$C:$C, $L$1)
  + COUNTIFS('환경부사업(F)'!$G:$G, S$2, '환경부사업(F)'!$Q:$Q, $J5, '환경부사업(F)'!$C:$C, $L$1)
  + COUNTIFS('프로젝트(G)'!$G:$G, S$2, '프로젝트(G)'!$Q:$Q, $J5, '프로젝트(G)'!$C:$C, $L$1)
  + COUNTIFS('협력사 EPC(H)'!$G:$G, S$2, '협력사 EPC(H)'!$Q:$Q, $J5, '협력사 EPC(H)'!$C:$C, $L$1)
  + COUNTIFS('기타(Z)'!$G:$G, S$2, '기타(Z)'!$Q:$Q, $J5, '기타(Z)'!$C:$C, $L$1)
)</f>
        <v>3</v>
      </c>
      <c r="U5" s="366" t="str">
        <f>IF(
  SUM(
    SUMIFS('발전사업(A)'!$I:$I,'발전사업(A)'!$G:$G,U$2,'발전사업(A)'!$Q:$Q,$J5,'발전사업(A)'!$C:$C,$L$1),
    SUMIFS('자가소비(B)'!$I:$I,'자가소비(B)'!$G:$G,U$2,'자가소비(B)'!$Q:$Q,$J5,'자가소비(B)'!$C:$C,$L$1),
    SUMIFS('PPA 사업(C)'!$I:$I,'PPA 사업(C)'!$G:$G,U$2,'PPA 사업(C)'!$Q:$Q,$J5,'PPA 사업(C)'!$C:$C,$L$1),
    SUMIFS('리스사업(D)'!$I:$I,'리스사업(D)'!$G:$G,U$2,'리스사업(D)'!$Q:$Q,$J5,'리스사업(D)'!$C:$C,$L$1),
    SUMIFS('임대사업(E)'!$I:$I,'임대사업(E)'!$G:$G,U$2,'임대사업(E)'!$Q:$Q,$J5,'임대사업(E)'!$C:$C,$L$1),
    SUMIFS('환경부사업(F)'!$I:$I,'환경부사업(F)'!$G:$G,U$2,'환경부사업(F)'!$Q:$Q,$J5,'환경부사업(F)'!$C:$C,$L$1),
    SUMIFS('프로젝트(G)'!$I:$I,'프로젝트(G)'!$G:$G,U$2,'프로젝트(G)'!$Q:$Q,$J5,'프로젝트(G)'!$C:$C,$L$1),
    SUMIFS('협력사 EPC(H)'!$I:$I,'협력사 EPC(H)'!$G:$G,U$2,'협력사 EPC(H)'!$Q:$Q,$J5,'협력사 EPC(H)'!$C:$C,$L$1),
    SUMIFS('기타(Z)'!$I:$I,'기타(Z)'!$G:$G,U$2,'기타(Z)'!$Q:$Q,$J5,'기타(Z)'!$C:$C,$L$1)
  )=0,
  "",
  SUM(
    SUMIFS('발전사업(A)'!$I:$I,'발전사업(A)'!$G:$G,U$2,'발전사업(A)'!$Q:$Q,$J5,'발전사업(A)'!$C:$C,$L$1),
    SUMIFS('자가소비(B)'!$I:$I,'자가소비(B)'!$G:$G,U$2,'자가소비(B)'!$Q:$Q,$J5,'자가소비(B)'!$C:$C,$L$1),
    SUMIFS('PPA 사업(C)'!$I:$I,'PPA 사업(C)'!$G:$G,U$2,'PPA 사업(C)'!$Q:$Q,$J5,'PPA 사업(C)'!$C:$C,$L$1),
    SUMIFS('리스사업(D)'!$I:$I,'리스사업(D)'!$G:$G,U$2,'리스사업(D)'!$Q:$Q,$J5,'리스사업(D)'!$C:$C,$L$1),
    SUMIFS('임대사업(E)'!$I:$I,'임대사업(E)'!$G:$G,U$2,'임대사업(E)'!$Q:$Q,$J5,'임대사업(E)'!$C:$C,$L$1),
    SUMIFS('환경부사업(F)'!$I:$I,'환경부사업(F)'!$G:$G,U$2,'환경부사업(F)'!$Q:$Q,$J5,'환경부사업(F)'!$C:$C,$L$1),
    SUMIFS('프로젝트(G)'!$I:$I,'프로젝트(G)'!$G:$G,U$2,'프로젝트(G)'!$Q:$Q,$J5,'프로젝트(G)'!$C:$C,$L$1),
    SUMIFS('협력사 EPC(H)'!$I:$I,'협력사 EPC(H)'!$G:$G,U$2,'협력사 EPC(H)'!$Q:$Q,$J5,'협력사 EPC(H)'!$C:$C,$L$1),
    SUMIFS('기타(Z)'!$I:$I,'기타(Z)'!$G:$G,U$2,'기타(Z)'!$Q:$Q,$J5,'기타(Z)'!$C:$C,$L$1)
  )
)</f>
        <v/>
      </c>
      <c r="V5" s="367" t="str">
        <f>IF(
  SUM(
    COUNTIFS('발전사업(A)'!$G:$G, U$2, '발전사업(A)'!$Q:$Q, $J5, '발전사업(A)'!$C:$C, $L$1),
    COUNTIFS('자가소비(B)'!$G:$G, U$2, '자가소비(B)'!$Q:$Q, $J5, '자가소비(B)'!$C:$C, $L$1),
    COUNTIFS('PPA 사업(C)'!$G:$G, U$2, 'PPA 사업(C)'!$Q:$Q, $J5, 'PPA 사업(C)'!$C:$C, $L$1),
    COUNTIFS('리스사업(D)'!$G:$G, U$2, '리스사업(D)'!$Q:$Q, $J5, '리스사업(D)'!$C:$C, $L$1),
    COUNTIFS('임대사업(E)'!$G:$G, U$2, '임대사업(E)'!$Q:$Q, $J5, '임대사업(E)'!$C:$C, $L$1),
    COUNTIFS('환경부사업(F)'!$G:$G, U$2, '환경부사업(F)'!$Q:$Q, $J5, '환경부사업(F)'!$C:$C, $L$1),
    COUNTIFS('프로젝트(G)'!$G:$G, U$2, '프로젝트(G)'!$Q:$Q, $J5, '프로젝트(G)'!$C:$C, $L$1),
    COUNTIFS('협력사 EPC(H)'!$G:$G, U$2, '협력사 EPC(H)'!$Q:$Q, $J5, '협력사 EPC(H)'!$C:$C, $L$1),
    COUNTIFS('기타(Z)'!$G:$G, U$2, '기타(Z)'!$Q:$Q, $J5, '기타(Z)'!$C:$C, $L$1)
  ) = 0,
  "",
  COUNTIFS('발전사업(A)'!$G:$G, U$2, '발전사업(A)'!$Q:$Q, $J5, '발전사업(A)'!$C:$C, $L$1)
  + COUNTIFS('자가소비(B)'!$G:$G, U$2, '자가소비(B)'!$Q:$Q, $J5, '자가소비(B)'!$C:$C, $L$1)
  + COUNTIFS('PPA 사업(C)'!$G:$G, U$2, 'PPA 사업(C)'!$Q:$Q, $J5, 'PPA 사업(C)'!$C:$C, $L$1)
  + COUNTIFS('리스사업(D)'!$G:$G, U$2, '리스사업(D)'!$Q:$Q, $J5, '리스사업(D)'!$C:$C, $L$1)
  + COUNTIFS('임대사업(E)'!$G:$G, U$2, '임대사업(E)'!$Q:$Q, $J5, '임대사업(E)'!$C:$C, $L$1)
  + COUNTIFS('환경부사업(F)'!$G:$G, U$2, '환경부사업(F)'!$Q:$Q, $J5, '환경부사업(F)'!$C:$C, $L$1)
  + COUNTIFS('프로젝트(G)'!$G:$G, U$2, '프로젝트(G)'!$Q:$Q, $J5, '프로젝트(G)'!$C:$C, $L$1)
  + COUNTIFS('협력사 EPC(H)'!$G:$G, U$2, '협력사 EPC(H)'!$Q:$Q, $J5, '협력사 EPC(H)'!$C:$C, $L$1)
  + COUNTIFS('기타(Z)'!$G:$G, U$2, '기타(Z)'!$Q:$Q, $J5, '기타(Z)'!$C:$C, $L$1)
)</f>
        <v/>
      </c>
      <c r="W5" s="366">
        <f>IF(
  SUM(
    SUMIFS('발전사업(A)'!$I:$I,'발전사업(A)'!$G:$G,W$2,'발전사업(A)'!$Q:$Q,$J5,'발전사업(A)'!$C:$C,$L$1),
    SUMIFS('자가소비(B)'!$I:$I,'자가소비(B)'!$G:$G,W$2,'자가소비(B)'!$Q:$Q,$J5,'자가소비(B)'!$C:$C,$L$1),
    SUMIFS('PPA 사업(C)'!$I:$I,'PPA 사업(C)'!$G:$G,W$2,'PPA 사업(C)'!$Q:$Q,$J5,'PPA 사업(C)'!$C:$C,$L$1),
    SUMIFS('리스사업(D)'!$I:$I,'리스사업(D)'!$G:$G,W$2,'리스사업(D)'!$Q:$Q,$J5,'리스사업(D)'!$C:$C,$L$1),
    SUMIFS('임대사업(E)'!$I:$I,'임대사업(E)'!$G:$G,W$2,'임대사업(E)'!$Q:$Q,$J5,'임대사업(E)'!$C:$C,$L$1),
    SUMIFS('환경부사업(F)'!$I:$I,'환경부사업(F)'!$G:$G,W$2,'환경부사업(F)'!$Q:$Q,$J5,'환경부사업(F)'!$C:$C,$L$1),
    SUMIFS('프로젝트(G)'!$I:$I,'프로젝트(G)'!$G:$G,W$2,'프로젝트(G)'!$Q:$Q,$J5,'프로젝트(G)'!$C:$C,$L$1),
    SUMIFS('협력사 EPC(H)'!$I:$I,'협력사 EPC(H)'!$G:$G,W$2,'협력사 EPC(H)'!$Q:$Q,$J5,'협력사 EPC(H)'!$C:$C,$L$1),
    SUMIFS('기타(Z)'!$I:$I,'기타(Z)'!$G:$G,W$2,'기타(Z)'!$Q:$Q,$J5,'기타(Z)'!$C:$C,$L$1)
  )=0,
  "",
  SUM(
    SUMIFS('발전사업(A)'!$I:$I,'발전사업(A)'!$G:$G,W$2,'발전사업(A)'!$Q:$Q,$J5,'발전사업(A)'!$C:$C,$L$1),
    SUMIFS('자가소비(B)'!$I:$I,'자가소비(B)'!$G:$G,W$2,'자가소비(B)'!$Q:$Q,$J5,'자가소비(B)'!$C:$C,$L$1),
    SUMIFS('PPA 사업(C)'!$I:$I,'PPA 사업(C)'!$G:$G,W$2,'PPA 사업(C)'!$Q:$Q,$J5,'PPA 사업(C)'!$C:$C,$L$1),
    SUMIFS('리스사업(D)'!$I:$I,'리스사업(D)'!$G:$G,W$2,'리스사업(D)'!$Q:$Q,$J5,'리스사업(D)'!$C:$C,$L$1),
    SUMIFS('임대사업(E)'!$I:$I,'임대사업(E)'!$G:$G,W$2,'임대사업(E)'!$Q:$Q,$J5,'임대사업(E)'!$C:$C,$L$1),
    SUMIFS('환경부사업(F)'!$I:$I,'환경부사업(F)'!$G:$G,W$2,'환경부사업(F)'!$Q:$Q,$J5,'환경부사업(F)'!$C:$C,$L$1),
    SUMIFS('프로젝트(G)'!$I:$I,'프로젝트(G)'!$G:$G,W$2,'프로젝트(G)'!$Q:$Q,$J5,'프로젝트(G)'!$C:$C,$L$1),
    SUMIFS('협력사 EPC(H)'!$I:$I,'협력사 EPC(H)'!$G:$G,W$2,'협력사 EPC(H)'!$Q:$Q,$J5,'협력사 EPC(H)'!$C:$C,$L$1),
    SUMIFS('기타(Z)'!$I:$I,'기타(Z)'!$G:$G,W$2,'기타(Z)'!$Q:$Q,$J5,'기타(Z)'!$C:$C,$L$1)
  )
)</f>
        <v>228.97500000000002</v>
      </c>
      <c r="X5" s="347">
        <f>IF(
  SUM(
    COUNTIFS('발전사업(A)'!$G:$G,W$2,'발전사업(A)'!$Q:$Q,$J5),
    COUNTIFS('자가소비(B)'!$G:$G,W$2,'자가소비(B)'!$Q:$Q,$J5),
    COUNTIFS('PPA 사업(C)'!$G:$G,W$2,'PPA 사업(C)'!$Q:$Q,$J5),
    COUNTIFS('리스사업(D)'!$G:$G,W$2,'리스사업(D)'!$Q:$Q,$J5),
    COUNTIFS('임대사업(E)'!$G:$G,W$2,'임대사업(E)'!$Q:$Q,$J5),
    COUNTIFS('환경부사업(F)'!$G:$G,W$2,'환경부사업(F)'!$Q:$Q,$J5),
    COUNTIFS('프로젝트(G)'!$G:$G,W$2,'프로젝트(G)'!$Q:$Q,$J5),
    COUNTIFS('협력사 EPC(H)'!$G:$G,W$2,'협력사 EPC(H)'!$Q:$Q,$J5),
    COUNTIFS('기타(Z)'!$G:$G,W$2,'기타(Z)'!$Q:$Q,$J5)
  )=0,
  "",
  COUNTIFS('발전사업(A)'!$G:$G,W$2,'발전사업(A)'!$Q:$Q,$J5)
  +COUNTIFS('자가소비(B)'!$G:$G,W$2,'자가소비(B)'!$Q:$Q,$J5)
  +COUNTIFS('PPA 사업(C)'!$G:$G,W$2,'PPA 사업(C)'!$Q:$Q,$J5)
  +COUNTIFS('리스사업(D)'!$G:$G,W$2,'리스사업(D)'!$Q:$Q,$J5)
  +COUNTIFS('임대사업(E)'!$G:$G,W$2,'임대사업(E)'!$Q:$Q,$J5)
  +COUNTIFS('환경부사업(F)'!$G:$G,W$2,'환경부사업(F)'!$Q:$Q,$J5)
  +COUNTIFS('프로젝트(G)'!$G:$G,W$2,'프로젝트(G)'!$Q:$Q,$J5)
  +COUNTIFS('협력사 EPC(H)'!$G:$G,W$2,'협력사 EPC(H)'!$Q:$Q,$J5)
  +COUNTIFS('기타(Z)'!$G:$G,W$2,'기타(Z)'!$Q:$Q,$J5)
)</f>
        <v>2</v>
      </c>
      <c r="Y5" s="366">
        <f>IF(
  SUM(
    SUMIFS('발전사업(A)'!$I:$I,'발전사업(A)'!$G:$G,Y$2,'발전사업(A)'!$Q:$Q,$J5,'발전사업(A)'!$C:$C,$L$1),
    SUMIFS('자가소비(B)'!$I:$I,'자가소비(B)'!$G:$G,Y$2,'자가소비(B)'!$Q:$Q,$J5,'자가소비(B)'!$C:$C,$L$1),
    SUMIFS('PPA 사업(C)'!$I:$I,'PPA 사업(C)'!$G:$G,Y$2,'PPA 사업(C)'!$Q:$Q,$J5,'PPA 사업(C)'!$C:$C,$L$1),
    SUMIFS('리스사업(D)'!$I:$I,'리스사업(D)'!$G:$G,Y$2,'리스사업(D)'!$Q:$Q,$J5,'리스사업(D)'!$C:$C,$L$1),
    SUMIFS('임대사업(E)'!$I:$I,'임대사업(E)'!$G:$G,Y$2,'임대사업(E)'!$Q:$Q,$J5,'임대사업(E)'!$C:$C,$L$1),
    SUMIFS('환경부사업(F)'!$I:$I,'환경부사업(F)'!$G:$G,Y$2,'환경부사업(F)'!$Q:$Q,$J5,'환경부사업(F)'!$C:$C,$L$1),
    SUMIFS('프로젝트(G)'!$I:$I,'프로젝트(G)'!$G:$G,Y$2,'프로젝트(G)'!$Q:$Q,$J5,'프로젝트(G)'!$C:$C,$L$1),
    SUMIFS('협력사 EPC(H)'!$I:$I,'협력사 EPC(H)'!$G:$G,Y$2,'협력사 EPC(H)'!$Q:$Q,$J5,'협력사 EPC(H)'!$C:$C,$L$1),
    SUMIFS('기타(Z)'!$I:$I,'기타(Z)'!$G:$G,Y$2,'기타(Z)'!$Q:$Q,$J5,'기타(Z)'!$C:$C,$L$1)
  )=0,
  "",
  SUM(
    SUMIFS('발전사업(A)'!$I:$I,'발전사업(A)'!$G:$G,Y$2,'발전사업(A)'!$Q:$Q,$J5,'발전사업(A)'!$C:$C,$L$1),
    SUMIFS('자가소비(B)'!$I:$I,'자가소비(B)'!$G:$G,Y$2,'자가소비(B)'!$Q:$Q,$J5,'자가소비(B)'!$C:$C,$L$1),
    SUMIFS('PPA 사업(C)'!$I:$I,'PPA 사업(C)'!$G:$G,Y$2,'PPA 사업(C)'!$Q:$Q,$J5,'PPA 사업(C)'!$C:$C,$L$1),
    SUMIFS('리스사업(D)'!$I:$I,'리스사업(D)'!$G:$G,Y$2,'리스사업(D)'!$Q:$Q,$J5,'리스사업(D)'!$C:$C,$L$1),
    SUMIFS('임대사업(E)'!$I:$I,'임대사업(E)'!$G:$G,Y$2,'임대사업(E)'!$Q:$Q,$J5,'임대사업(E)'!$C:$C,$L$1),
    SUMIFS('환경부사업(F)'!$I:$I,'환경부사업(F)'!$G:$G,Y$2,'환경부사업(F)'!$Q:$Q,$J5,'환경부사업(F)'!$C:$C,$L$1),
    SUMIFS('프로젝트(G)'!$I:$I,'프로젝트(G)'!$G:$G,Y$2,'프로젝트(G)'!$Q:$Q,$J5,'프로젝트(G)'!$C:$C,$L$1),
    SUMIFS('협력사 EPC(H)'!$I:$I,'협력사 EPC(H)'!$G:$G,Y$2,'협력사 EPC(H)'!$Q:$Q,$J5,'협력사 EPC(H)'!$C:$C,$L$1),
    SUMIFS('기타(Z)'!$I:$I,'기타(Z)'!$G:$G,Y$2,'기타(Z)'!$Q:$Q,$J5,'기타(Z)'!$C:$C,$L$1)
  )
)</f>
        <v>1246.1399999999999</v>
      </c>
      <c r="Z5" s="367">
        <f>IF(
  SUM(
    COUNTIFS('발전사업(A)'!$G:$G, Y$2, '발전사업(A)'!$Q:$Q, $J5, '발전사업(A)'!$C:$C, $L$1),
    COUNTIFS('자가소비(B)'!$G:$G, Y$2, '자가소비(B)'!$Q:$Q, $J5, '자가소비(B)'!$C:$C, $L$1),
    COUNTIFS('PPA 사업(C)'!$G:$G, Y$2, 'PPA 사업(C)'!$Q:$Q, $J5, 'PPA 사업(C)'!$C:$C, $L$1),
    COUNTIFS('리스사업(D)'!$G:$G, Y$2, '리스사업(D)'!$Q:$Q, $J5, '리스사업(D)'!$C:$C, $L$1),
    COUNTIFS('임대사업(E)'!$G:$G, Y$2, '임대사업(E)'!$Q:$Q, $J5, '임대사업(E)'!$C:$C, $L$1),
    COUNTIFS('환경부사업(F)'!$G:$G, Y$2, '환경부사업(F)'!$Q:$Q, $J5, '환경부사업(F)'!$C:$C, $L$1),
    COUNTIFS('프로젝트(G)'!$G:$G, Y$2, '프로젝트(G)'!$Q:$Q, $J5, '프로젝트(G)'!$C:$C, $L$1),
    COUNTIFS('협력사 EPC(H)'!$G:$G, Y$2, '협력사 EPC(H)'!$Q:$Q, $J5, '협력사 EPC(H)'!$C:$C, $L$1),
    COUNTIFS('기타(Z)'!$G:$G, Y$2, '기타(Z)'!$Q:$Q, $J5, '기타(Z)'!$C:$C, $L$1)
  ) = 0,
  "",
  COUNTIFS('발전사업(A)'!$G:$G, Y$2, '발전사업(A)'!$Q:$Q, $J5, '발전사업(A)'!$C:$C, $L$1)
  + COUNTIFS('자가소비(B)'!$G:$G, Y$2, '자가소비(B)'!$Q:$Q, $J5, '자가소비(B)'!$C:$C, $L$1)
  + COUNTIFS('PPA 사업(C)'!$G:$G, Y$2, 'PPA 사업(C)'!$Q:$Q, $J5, 'PPA 사업(C)'!$C:$C, $L$1)
  + COUNTIFS('리스사업(D)'!$G:$G, Y$2, '리스사업(D)'!$Q:$Q, $J5, '리스사업(D)'!$C:$C, $L$1)
  + COUNTIFS('임대사업(E)'!$G:$G, Y$2, '임대사업(E)'!$Q:$Q, $J5, '임대사업(E)'!$C:$C, $L$1)
  + COUNTIFS('환경부사업(F)'!$G:$G, Y$2, '환경부사업(F)'!$Q:$Q, $J5, '환경부사업(F)'!$C:$C, $L$1)
  + COUNTIFS('프로젝트(G)'!$G:$G, Y$2, '프로젝트(G)'!$Q:$Q, $J5, '프로젝트(G)'!$C:$C, $L$1)
  + COUNTIFS('협력사 EPC(H)'!$G:$G, Y$2, '협력사 EPC(H)'!$Q:$Q, $J5, '협력사 EPC(H)'!$C:$C, $L$1)
  + COUNTIFS('기타(Z)'!$G:$G, Y$2, '기타(Z)'!$Q:$Q, $J5, '기타(Z)'!$C:$C, $L$1)
)</f>
        <v>2</v>
      </c>
      <c r="AA5" s="366" t="str">
        <f>IF(
  SUM(
    SUMIFS('발전사업(A)'!$I:$I,'발전사업(A)'!$G:$G,AA$2,'발전사업(A)'!$Q:$Q,$J5,'발전사업(A)'!$C:$C,$L$1),
    SUMIFS('자가소비(B)'!$I:$I,'자가소비(B)'!$G:$G,AA$2,'자가소비(B)'!$Q:$Q,$J5,'자가소비(B)'!$C:$C,$L$1),
    SUMIFS('PPA 사업(C)'!$I:$I,'PPA 사업(C)'!$G:$G,AA$2,'PPA 사업(C)'!$Q:$Q,$J5,'PPA 사업(C)'!$C:$C,$L$1),
    SUMIFS('리스사업(D)'!$I:$I,'리스사업(D)'!$G:$G,AA$2,'리스사업(D)'!$Q:$Q,$J5,'리스사업(D)'!$C:$C,$L$1),
    SUMIFS('임대사업(E)'!$I:$I,'임대사업(E)'!$G:$G,AA$2,'임대사업(E)'!$Q:$Q,$J5,'임대사업(E)'!$C:$C,$L$1),
    SUMIFS('환경부사업(F)'!$I:$I,'환경부사업(F)'!$G:$G,AA$2,'환경부사업(F)'!$Q:$Q,$J5,'환경부사업(F)'!$C:$C,$L$1),
    SUMIFS('프로젝트(G)'!$I:$I,'프로젝트(G)'!$G:$G,AA$2,'프로젝트(G)'!$Q:$Q,$J5,'프로젝트(G)'!$C:$C,$L$1),
    SUMIFS('협력사 EPC(H)'!$I:$I,'협력사 EPC(H)'!$G:$G,AA$2,'협력사 EPC(H)'!$Q:$Q,$J5,'협력사 EPC(H)'!$C:$C,$L$1),
    SUMIFS('기타(Z)'!$I:$I,'기타(Z)'!$G:$G,AA$2,'기타(Z)'!$Q:$Q,$J5,'기타(Z)'!$C:$C,$L$1)
  )=0,
  "",
  SUM(
    SUMIFS('발전사업(A)'!$I:$I,'발전사업(A)'!$G:$G,AA$2,'발전사업(A)'!$Q:$Q,$J5,'발전사업(A)'!$C:$C,$L$1),
    SUMIFS('자가소비(B)'!$I:$I,'자가소비(B)'!$G:$G,AA$2,'자가소비(B)'!$Q:$Q,$J5,'자가소비(B)'!$C:$C,$L$1),
    SUMIFS('PPA 사업(C)'!$I:$I,'PPA 사업(C)'!$G:$G,AA$2,'PPA 사업(C)'!$Q:$Q,$J5,'PPA 사업(C)'!$C:$C,$L$1),
    SUMIFS('리스사업(D)'!$I:$I,'리스사업(D)'!$G:$G,AA$2,'리스사업(D)'!$Q:$Q,$J5,'리스사업(D)'!$C:$C,$L$1),
    SUMIFS('임대사업(E)'!$I:$I,'임대사업(E)'!$G:$G,AA$2,'임대사업(E)'!$Q:$Q,$J5,'임대사업(E)'!$C:$C,$L$1),
    SUMIFS('환경부사업(F)'!$I:$I,'환경부사업(F)'!$G:$G,AA$2,'환경부사업(F)'!$Q:$Q,$J5,'환경부사업(F)'!$C:$C,$L$1),
    SUMIFS('프로젝트(G)'!$I:$I,'프로젝트(G)'!$G:$G,AA$2,'프로젝트(G)'!$Q:$Q,$J5,'프로젝트(G)'!$C:$C,$L$1),
    SUMIFS('협력사 EPC(H)'!$I:$I,'협력사 EPC(H)'!$G:$G,AA$2,'협력사 EPC(H)'!$Q:$Q,$J5,'협력사 EPC(H)'!$C:$C,$L$1),
    SUMIFS('기타(Z)'!$I:$I,'기타(Z)'!$G:$G,AA$2,'기타(Z)'!$Q:$Q,$J5,'기타(Z)'!$C:$C,$L$1)
  )
)</f>
        <v/>
      </c>
      <c r="AB5" s="367" t="str">
        <f>IF(
  SUM(
    COUNTIFS('발전사업(A)'!$G:$G, AA$2, '발전사업(A)'!$Q:$Q, $J5, '발전사업(A)'!$C:$C, $L$1),
    COUNTIFS('자가소비(B)'!$G:$G, AA$2, '자가소비(B)'!$Q:$Q, $J5, '자가소비(B)'!$C:$C, $L$1),
    COUNTIFS('PPA 사업(C)'!$G:$G, AA$2, 'PPA 사업(C)'!$Q:$Q, $J5, 'PPA 사업(C)'!$C:$C, $L$1),
    COUNTIFS('리스사업(D)'!$G:$G, AA$2, '리스사업(D)'!$Q:$Q, $J5, '리스사업(D)'!$C:$C, $L$1),
    COUNTIFS('임대사업(E)'!$G:$G, AA$2, '임대사업(E)'!$Q:$Q, $J5, '임대사업(E)'!$C:$C, $L$1),
    COUNTIFS('환경부사업(F)'!$G:$G, AA$2, '환경부사업(F)'!$Q:$Q, $J5, '환경부사업(F)'!$C:$C, $L$1),
    COUNTIFS('프로젝트(G)'!$G:$G, AA$2, '프로젝트(G)'!$Q:$Q, $J5, '프로젝트(G)'!$C:$C, $L$1),
    COUNTIFS('협력사 EPC(H)'!$G:$G, AA$2, '협력사 EPC(H)'!$Q:$Q, $J5, '협력사 EPC(H)'!$C:$C, $L$1),
    COUNTIFS('기타(Z)'!$G:$G, AA$2, '기타(Z)'!$Q:$Q, $J5, '기타(Z)'!$C:$C, $L$1)
  ) = 0,
  "",
  COUNTIFS('발전사업(A)'!$G:$G, AA$2, '발전사업(A)'!$Q:$Q, $J5, '발전사업(A)'!$C:$C, $L$1)
  + COUNTIFS('자가소비(B)'!$G:$G, AA$2, '자가소비(B)'!$Q:$Q, $J5, '자가소비(B)'!$C:$C, $L$1)
  + COUNTIFS('PPA 사업(C)'!$G:$G, AA$2, 'PPA 사업(C)'!$Q:$Q, $J5, 'PPA 사업(C)'!$C:$C, $L$1)
  + COUNTIFS('리스사업(D)'!$G:$G, AA$2, '리스사업(D)'!$Q:$Q, $J5, '리스사업(D)'!$C:$C, $L$1)
  + COUNTIFS('임대사업(E)'!$G:$G, AA$2, '임대사업(E)'!$Q:$Q, $J5, '임대사업(E)'!$C:$C, $L$1)
  + COUNTIFS('환경부사업(F)'!$G:$G, AA$2, '환경부사업(F)'!$Q:$Q, $J5, '환경부사업(F)'!$C:$C, $L$1)
  + COUNTIFS('프로젝트(G)'!$G:$G, AA$2, '프로젝트(G)'!$Q:$Q, $J5, '프로젝트(G)'!$C:$C, $L$1)
  + COUNTIFS('협력사 EPC(H)'!$G:$G, AA$2, '협력사 EPC(H)'!$Q:$Q, $J5, '협력사 EPC(H)'!$C:$C, $L$1)
  + COUNTIFS('기타(Z)'!$G:$G, AA$2, '기타(Z)'!$Q:$Q, $J5, '기타(Z)'!$C:$C, $L$1)
)</f>
        <v/>
      </c>
      <c r="AC5" s="366">
        <f>IF(
  SUM(
    SUMIFS('발전사업(A)'!$I:$I,'발전사업(A)'!$G:$G,AC$2,'발전사업(A)'!$Q:$Q,$J5,'발전사업(A)'!$C:$C,$L$1),
    SUMIFS('자가소비(B)'!$I:$I,'자가소비(B)'!$G:$G,AC$2,'자가소비(B)'!$Q:$Q,$J5,'자가소비(B)'!$C:$C,$L$1),
    SUMIFS('PPA 사업(C)'!$I:$I,'PPA 사업(C)'!$G:$G,AC$2,'PPA 사업(C)'!$Q:$Q,$J5,'PPA 사업(C)'!$C:$C,$L$1),
    SUMIFS('리스사업(D)'!$I:$I,'리스사업(D)'!$G:$G,AC$2,'리스사업(D)'!$Q:$Q,$J5,'리스사업(D)'!$C:$C,$L$1),
    SUMIFS('임대사업(E)'!$I:$I,'임대사업(E)'!$G:$G,AC$2,'임대사업(E)'!$Q:$Q,$J5,'임대사업(E)'!$C:$C,$L$1),
    SUMIFS('환경부사업(F)'!$I:$I,'환경부사업(F)'!$G:$G,AC$2,'환경부사업(F)'!$Q:$Q,$J5,'환경부사업(F)'!$C:$C,$L$1),
    SUMIFS('프로젝트(G)'!$I:$I,'프로젝트(G)'!$G:$G,AC$2,'프로젝트(G)'!$Q:$Q,$J5,'프로젝트(G)'!$C:$C,$L$1),
    SUMIFS('협력사 EPC(H)'!$I:$I,'협력사 EPC(H)'!$G:$G,AC$2,'협력사 EPC(H)'!$Q:$Q,$J5,'협력사 EPC(H)'!$C:$C,$L$1),
    SUMIFS('기타(Z)'!$I:$I,'기타(Z)'!$G:$G,AC$2,'기타(Z)'!$Q:$Q,$J5,'기타(Z)'!$C:$C,$L$1)
  )=0,
  "",
  SUM(
    SUMIFS('발전사업(A)'!$I:$I,'발전사업(A)'!$G:$G,AC$2,'발전사업(A)'!$Q:$Q,$J5,'발전사업(A)'!$C:$C,$L$1),
    SUMIFS('자가소비(B)'!$I:$I,'자가소비(B)'!$G:$G,AC$2,'자가소비(B)'!$Q:$Q,$J5,'자가소비(B)'!$C:$C,$L$1),
    SUMIFS('PPA 사업(C)'!$I:$I,'PPA 사업(C)'!$G:$G,AC$2,'PPA 사업(C)'!$Q:$Q,$J5,'PPA 사업(C)'!$C:$C,$L$1),
    SUMIFS('리스사업(D)'!$I:$I,'리스사업(D)'!$G:$G,AC$2,'리스사업(D)'!$Q:$Q,$J5,'리스사업(D)'!$C:$C,$L$1),
    SUMIFS('임대사업(E)'!$I:$I,'임대사업(E)'!$G:$G,AC$2,'임대사업(E)'!$Q:$Q,$J5,'임대사업(E)'!$C:$C,$L$1),
    SUMIFS('환경부사업(F)'!$I:$I,'환경부사업(F)'!$G:$G,AC$2,'환경부사업(F)'!$Q:$Q,$J5,'환경부사업(F)'!$C:$C,$L$1),
    SUMIFS('프로젝트(G)'!$I:$I,'프로젝트(G)'!$G:$G,AC$2,'프로젝트(G)'!$Q:$Q,$J5,'프로젝트(G)'!$C:$C,$L$1),
    SUMIFS('협력사 EPC(H)'!$I:$I,'협력사 EPC(H)'!$G:$G,AC$2,'협력사 EPC(H)'!$Q:$Q,$J5,'협력사 EPC(H)'!$C:$C,$L$1),
    SUMIFS('기타(Z)'!$I:$I,'기타(Z)'!$G:$G,AC$2,'기타(Z)'!$Q:$Q,$J5,'기타(Z)'!$C:$C,$L$1)
  )
)</f>
        <v>2621.41</v>
      </c>
      <c r="AD5" s="367">
        <f>IF(
  SUM(
    COUNTIFS('발전사업(A)'!$G:$G, AC$2, '발전사업(A)'!$Q:$Q, $J5, '발전사업(A)'!$C:$C, $L$1),
    COUNTIFS('자가소비(B)'!$G:$G, AC$2, '자가소비(B)'!$Q:$Q, $J5, '자가소비(B)'!$C:$C, $L$1),
    COUNTIFS('PPA 사업(C)'!$G:$G, AC$2, 'PPA 사업(C)'!$Q:$Q, $J5, 'PPA 사업(C)'!$C:$C, $L$1),
    COUNTIFS('리스사업(D)'!$G:$G, AC$2, '리스사업(D)'!$Q:$Q, $J5, '리스사업(D)'!$C:$C, $L$1),
    COUNTIFS('임대사업(E)'!$G:$G, AC$2, '임대사업(E)'!$Q:$Q, $J5, '임대사업(E)'!$C:$C, $L$1),
    COUNTIFS('환경부사업(F)'!$G:$G, AC$2, '환경부사업(F)'!$Q:$Q, $J5, '환경부사업(F)'!$C:$C, $L$1),
    COUNTIFS('프로젝트(G)'!$G:$G, AC$2, '프로젝트(G)'!$Q:$Q, $J5, '프로젝트(G)'!$C:$C, $L$1),
    COUNTIFS('협력사 EPC(H)'!$G:$G, AC$2, '협력사 EPC(H)'!$Q:$Q, $J5, '협력사 EPC(H)'!$C:$C, $L$1),
    COUNTIFS('기타(Z)'!$G:$G, AC$2, '기타(Z)'!$Q:$Q, $J5, '기타(Z)'!$C:$C, $L$1)
  ) = 0,
  "",
  COUNTIFS('발전사업(A)'!$G:$G, AC$2, '발전사업(A)'!$Q:$Q, $J5, '발전사업(A)'!$C:$C, $L$1)
  + COUNTIFS('자가소비(B)'!$G:$G, AC$2, '자가소비(B)'!$Q:$Q, $J5, '자가소비(B)'!$C:$C, $L$1)
  + COUNTIFS('PPA 사업(C)'!$G:$G, AC$2, 'PPA 사업(C)'!$Q:$Q, $J5, 'PPA 사업(C)'!$C:$C, $L$1)
  + COUNTIFS('리스사업(D)'!$G:$G, AC$2, '리스사업(D)'!$Q:$Q, $J5, '리스사업(D)'!$C:$C, $L$1)
  + COUNTIFS('임대사업(E)'!$G:$G, AC$2, '임대사업(E)'!$Q:$Q, $J5, '임대사업(E)'!$C:$C, $L$1)
  + COUNTIFS('환경부사업(F)'!$G:$G, AC$2, '환경부사업(F)'!$Q:$Q, $J5, '환경부사업(F)'!$C:$C, $L$1)
  + COUNTIFS('프로젝트(G)'!$G:$G, AC$2, '프로젝트(G)'!$Q:$Q, $J5, '프로젝트(G)'!$C:$C, $L$1)
  + COUNTIFS('협력사 EPC(H)'!$G:$G, AC$2, '협력사 EPC(H)'!$Q:$Q, $J5, '협력사 EPC(H)'!$C:$C, $L$1)
  + COUNTIFS('기타(Z)'!$G:$G, AC$2, '기타(Z)'!$Q:$Q, $J5, '기타(Z)'!$C:$C, $L$1)
)</f>
        <v>4</v>
      </c>
      <c r="AE5" s="366" t="str">
        <f>IF(
  SUM(
    SUMIFS('발전사업(A)'!$I:$I,'발전사업(A)'!$G:$G,AE$2,'발전사업(A)'!$Q:$Q,$J5,'발전사업(A)'!$C:$C,$L$1),
    SUMIFS('자가소비(B)'!$I:$I,'자가소비(B)'!$G:$G,AE$2,'자가소비(B)'!$Q:$Q,$J5,'자가소비(B)'!$C:$C,$L$1),
    SUMIFS('PPA 사업(C)'!$I:$I,'PPA 사업(C)'!$G:$G,AE$2,'PPA 사업(C)'!$Q:$Q,$J5,'PPA 사업(C)'!$C:$C,$L$1),
    SUMIFS('리스사업(D)'!$I:$I,'리스사업(D)'!$G:$G,AE$2,'리스사업(D)'!$Q:$Q,$J5,'리스사업(D)'!$C:$C,$L$1),
    SUMIFS('임대사업(E)'!$I:$I,'임대사업(E)'!$G:$G,AE$2,'임대사업(E)'!$Q:$Q,$J5,'임대사업(E)'!$C:$C,$L$1),
    SUMIFS('환경부사업(F)'!$I:$I,'환경부사업(F)'!$G:$G,AE$2,'환경부사업(F)'!$Q:$Q,$J5,'환경부사업(F)'!$C:$C,$L$1),
    SUMIFS('프로젝트(G)'!$I:$I,'프로젝트(G)'!$G:$G,AE$2,'프로젝트(G)'!$Q:$Q,$J5,'프로젝트(G)'!$C:$C,$L$1),
    SUMIFS('협력사 EPC(H)'!$I:$I,'협력사 EPC(H)'!$G:$G,AE$2,'협력사 EPC(H)'!$Q:$Q,$J5,'협력사 EPC(H)'!$C:$C,$L$1),
    SUMIFS('기타(Z)'!$I:$I,'기타(Z)'!$G:$G,AE$2,'기타(Z)'!$Q:$Q,$J5,'기타(Z)'!$C:$C,$L$1)
  )=0,
  "",
  SUM(
    SUMIFS('발전사업(A)'!$I:$I,'발전사업(A)'!$G:$G,AE$2,'발전사업(A)'!$Q:$Q,$J5,'발전사업(A)'!$C:$C,$L$1),
    SUMIFS('자가소비(B)'!$I:$I,'자가소비(B)'!$G:$G,AE$2,'자가소비(B)'!$Q:$Q,$J5,'자가소비(B)'!$C:$C,$L$1),
    SUMIFS('PPA 사업(C)'!$I:$I,'PPA 사업(C)'!$G:$G,AE$2,'PPA 사업(C)'!$Q:$Q,$J5,'PPA 사업(C)'!$C:$C,$L$1),
    SUMIFS('리스사업(D)'!$I:$I,'리스사업(D)'!$G:$G,AE$2,'리스사업(D)'!$Q:$Q,$J5,'리스사업(D)'!$C:$C,$L$1),
    SUMIFS('임대사업(E)'!$I:$I,'임대사업(E)'!$G:$G,AE$2,'임대사업(E)'!$Q:$Q,$J5,'임대사업(E)'!$C:$C,$L$1),
    SUMIFS('환경부사업(F)'!$I:$I,'환경부사업(F)'!$G:$G,AE$2,'환경부사업(F)'!$Q:$Q,$J5,'환경부사업(F)'!$C:$C,$L$1),
    SUMIFS('프로젝트(G)'!$I:$I,'프로젝트(G)'!$G:$G,AE$2,'프로젝트(G)'!$Q:$Q,$J5,'프로젝트(G)'!$C:$C,$L$1),
    SUMIFS('협력사 EPC(H)'!$I:$I,'협력사 EPC(H)'!$G:$G,AE$2,'협력사 EPC(H)'!$Q:$Q,$J5,'협력사 EPC(H)'!$C:$C,$L$1),
    SUMIFS('기타(Z)'!$I:$I,'기타(Z)'!$G:$G,AE$2,'기타(Z)'!$Q:$Q,$J5,'기타(Z)'!$C:$C,$L$1)
  )
)</f>
        <v/>
      </c>
      <c r="AF5" s="367" t="str">
        <f>IF(
  SUM(
    COUNTIFS('발전사업(A)'!$G:$G, AE$2, '발전사업(A)'!$Q:$Q, $J5, '발전사업(A)'!$C:$C, $L$1),
    COUNTIFS('자가소비(B)'!$G:$G, AE$2, '자가소비(B)'!$Q:$Q, $J5, '자가소비(B)'!$C:$C, $L$1),
    COUNTIFS('PPA 사업(C)'!$G:$G, AE$2, 'PPA 사업(C)'!$Q:$Q, $J5, 'PPA 사업(C)'!$C:$C, $L$1),
    COUNTIFS('리스사업(D)'!$G:$G, AE$2, '리스사업(D)'!$Q:$Q, $J5, '리스사업(D)'!$C:$C, $L$1),
    COUNTIFS('임대사업(E)'!$G:$G, AE$2, '임대사업(E)'!$Q:$Q, $J5, '임대사업(E)'!$C:$C, $L$1),
    COUNTIFS('환경부사업(F)'!$G:$G, AE$2, '환경부사업(F)'!$Q:$Q, $J5, '환경부사업(F)'!$C:$C, $L$1),
    COUNTIFS('프로젝트(G)'!$G:$G, AE$2, '프로젝트(G)'!$Q:$Q, $J5, '프로젝트(G)'!$C:$C, $L$1),
    COUNTIFS('협력사 EPC(H)'!$G:$G, AE$2, '협력사 EPC(H)'!$Q:$Q, $J5, '협력사 EPC(H)'!$C:$C, $L$1),
    COUNTIFS('기타(Z)'!$G:$G, AE$2, '기타(Z)'!$Q:$Q, $J5, '기타(Z)'!$C:$C, $L$1)
  ) = 0,
  "",
  COUNTIFS('발전사업(A)'!$G:$G, AE$2, '발전사업(A)'!$Q:$Q, $J5, '발전사업(A)'!$C:$C, $L$1)
  + COUNTIFS('자가소비(B)'!$G:$G, AE$2, '자가소비(B)'!$Q:$Q, $J5, '자가소비(B)'!$C:$C, $L$1)
  + COUNTIFS('PPA 사업(C)'!$G:$G, AE$2, 'PPA 사업(C)'!$Q:$Q, $J5, 'PPA 사업(C)'!$C:$C, $L$1)
  + COUNTIFS('리스사업(D)'!$G:$G, AE$2, '리스사업(D)'!$Q:$Q, $J5, '리스사업(D)'!$C:$C, $L$1)
  + COUNTIFS('임대사업(E)'!$G:$G, AE$2, '임대사업(E)'!$Q:$Q, $J5, '임대사업(E)'!$C:$C, $L$1)
  + COUNTIFS('환경부사업(F)'!$G:$G, AE$2, '환경부사업(F)'!$Q:$Q, $J5, '환경부사업(F)'!$C:$C, $L$1)
  + COUNTIFS('프로젝트(G)'!$G:$G, AE$2, '프로젝트(G)'!$Q:$Q, $J5, '프로젝트(G)'!$C:$C, $L$1)
  + COUNTIFS('협력사 EPC(H)'!$G:$G, AE$2, '협력사 EPC(H)'!$Q:$Q, $J5, '협력사 EPC(H)'!$C:$C, $L$1)
  + COUNTIFS('기타(Z)'!$G:$G, AE$2, '기타(Z)'!$Q:$Q, $J5, '기타(Z)'!$C:$C, $L$1)
)</f>
        <v/>
      </c>
      <c r="AG5" s="366" t="str">
        <f>IF(
  SUM(
    SUMIFS('발전사업(A)'!$I:$I,'발전사업(A)'!$G:$G,AG$2,'발전사업(A)'!$Q:$Q,$J5,'발전사업(A)'!$C:$C,$L$1),
    SUMIFS('자가소비(B)'!$I:$I,'자가소비(B)'!$G:$G,AG$2,'자가소비(B)'!$Q:$Q,$J5,'자가소비(B)'!$C:$C,$L$1),
    SUMIFS('PPA 사업(C)'!$I:$I,'PPA 사업(C)'!$G:$G,AG$2,'PPA 사업(C)'!$Q:$Q,$J5,'PPA 사업(C)'!$C:$C,$L$1),
    SUMIFS('리스사업(D)'!$I:$I,'리스사업(D)'!$G:$G,AG$2,'리스사업(D)'!$Q:$Q,$J5,'리스사업(D)'!$C:$C,$L$1),
    SUMIFS('임대사업(E)'!$I:$I,'임대사업(E)'!$G:$G,AG$2,'임대사업(E)'!$Q:$Q,$J5,'임대사업(E)'!$C:$C,$L$1),
    SUMIFS('환경부사업(F)'!$I:$I,'환경부사업(F)'!$G:$G,AG$2,'환경부사업(F)'!$Q:$Q,$J5,'환경부사업(F)'!$C:$C,$L$1),
    SUMIFS('프로젝트(G)'!$I:$I,'프로젝트(G)'!$G:$G,AG$2,'프로젝트(G)'!$Q:$Q,$J5,'프로젝트(G)'!$C:$C,$L$1),
    SUMIFS('협력사 EPC(H)'!$I:$I,'협력사 EPC(H)'!$G:$G,AG$2,'협력사 EPC(H)'!$Q:$Q,$J5,'협력사 EPC(H)'!$C:$C,$L$1),
    SUMIFS('기타(Z)'!$I:$I,'기타(Z)'!$G:$G,AG$2,'기타(Z)'!$Q:$Q,$J5,'기타(Z)'!$C:$C,$L$1)
  )=0,
  "",
  SUM(
    SUMIFS('발전사업(A)'!$I:$I,'발전사업(A)'!$G:$G,AG$2,'발전사업(A)'!$Q:$Q,$J5,'발전사업(A)'!$C:$C,$L$1),
    SUMIFS('자가소비(B)'!$I:$I,'자가소비(B)'!$G:$G,AG$2,'자가소비(B)'!$Q:$Q,$J5,'자가소비(B)'!$C:$C,$L$1),
    SUMIFS('PPA 사업(C)'!$I:$I,'PPA 사업(C)'!$G:$G,AG$2,'PPA 사업(C)'!$Q:$Q,$J5,'PPA 사업(C)'!$C:$C,$L$1),
    SUMIFS('리스사업(D)'!$I:$I,'리스사업(D)'!$G:$G,AG$2,'리스사업(D)'!$Q:$Q,$J5,'리스사업(D)'!$C:$C,$L$1),
    SUMIFS('임대사업(E)'!$I:$I,'임대사업(E)'!$G:$G,AG$2,'임대사업(E)'!$Q:$Q,$J5,'임대사업(E)'!$C:$C,$L$1),
    SUMIFS('환경부사업(F)'!$I:$I,'환경부사업(F)'!$G:$G,AG$2,'환경부사업(F)'!$Q:$Q,$J5,'환경부사업(F)'!$C:$C,$L$1),
    SUMIFS('프로젝트(G)'!$I:$I,'프로젝트(G)'!$G:$G,AG$2,'프로젝트(G)'!$Q:$Q,$J5,'프로젝트(G)'!$C:$C,$L$1),
    SUMIFS('협력사 EPC(H)'!$I:$I,'협력사 EPC(H)'!$G:$G,AG$2,'협력사 EPC(H)'!$Q:$Q,$J5,'협력사 EPC(H)'!$C:$C,$L$1),
    SUMIFS('기타(Z)'!$I:$I,'기타(Z)'!$G:$G,AG$2,'기타(Z)'!$Q:$Q,$J5,'기타(Z)'!$C:$C,$L$1)
  )
)</f>
        <v/>
      </c>
      <c r="AH5" s="367" t="str">
        <f>IF(
  SUM(
    COUNTIFS('발전사업(A)'!$G:$G, AG$2, '발전사업(A)'!$Q:$Q, $J5, '발전사업(A)'!$C:$C, $L$1),
    COUNTIFS('자가소비(B)'!$G:$G, AG$2, '자가소비(B)'!$Q:$Q, $J5, '자가소비(B)'!$C:$C, $L$1),
    COUNTIFS('PPA 사업(C)'!$G:$G, AG$2, 'PPA 사업(C)'!$Q:$Q, $J5, 'PPA 사업(C)'!$C:$C, $L$1),
    COUNTIFS('리스사업(D)'!$G:$G, AG$2, '리스사업(D)'!$Q:$Q, $J5, '리스사업(D)'!$C:$C, $L$1),
    COUNTIFS('임대사업(E)'!$G:$G, AG$2, '임대사업(E)'!$Q:$Q, $J5, '임대사업(E)'!$C:$C, $L$1),
    COUNTIFS('환경부사업(F)'!$G:$G, AG$2, '환경부사업(F)'!$Q:$Q, $J5, '환경부사업(F)'!$C:$C, $L$1),
    COUNTIFS('프로젝트(G)'!$G:$G, AG$2, '프로젝트(G)'!$Q:$Q, $J5, '프로젝트(G)'!$C:$C, $L$1),
    COUNTIFS('협력사 EPC(H)'!$G:$G, AG$2, '협력사 EPC(H)'!$Q:$Q, $J5, '협력사 EPC(H)'!$C:$C, $L$1),
    COUNTIFS('기타(Z)'!$G:$G, AG$2, '기타(Z)'!$Q:$Q, $J5, '기타(Z)'!$C:$C, $L$1)
  ) = 0,
  "",
  COUNTIFS('발전사업(A)'!$G:$G, AG$2, '발전사업(A)'!$Q:$Q, $J5, '발전사업(A)'!$C:$C, $L$1)
  + COUNTIFS('자가소비(B)'!$G:$G, AG$2, '자가소비(B)'!$Q:$Q, $J5, '자가소비(B)'!$C:$C, $L$1)
  + COUNTIFS('PPA 사업(C)'!$G:$G, AG$2, 'PPA 사업(C)'!$Q:$Q, $J5, 'PPA 사업(C)'!$C:$C, $L$1)
  + COUNTIFS('리스사업(D)'!$G:$G, AG$2, '리스사업(D)'!$Q:$Q, $J5, '리스사업(D)'!$C:$C, $L$1)
  + COUNTIFS('임대사업(E)'!$G:$G, AG$2, '임대사업(E)'!$Q:$Q, $J5, '임대사업(E)'!$C:$C, $L$1)
  + COUNTIFS('환경부사업(F)'!$G:$G, AG$2, '환경부사업(F)'!$Q:$Q, $J5, '환경부사업(F)'!$C:$C, $L$1)
  + COUNTIFS('프로젝트(G)'!$G:$G, AG$2, '프로젝트(G)'!$Q:$Q, $J5, '프로젝트(G)'!$C:$C, $L$1)
  + COUNTIFS('협력사 EPC(H)'!$G:$G, AG$2, '협력사 EPC(H)'!$Q:$Q, $J5, '협력사 EPC(H)'!$C:$C, $L$1)
  + COUNTIFS('기타(Z)'!$G:$G, AG$2, '기타(Z)'!$Q:$Q, $J5, '기타(Z)'!$C:$C, $L$1)
)</f>
        <v/>
      </c>
      <c r="AI5" s="366" t="str">
        <f>IF(
  SUM(
    SUMIFS('발전사업(A)'!$I:$I,'발전사업(A)'!$G:$G,AI$2,'발전사업(A)'!$Q:$Q,$J5,'발전사업(A)'!$C:$C,$L$1),
    SUMIFS('자가소비(B)'!$I:$I,'자가소비(B)'!$G:$G,AI$2,'자가소비(B)'!$Q:$Q,$J5,'자가소비(B)'!$C:$C,$L$1),
    SUMIFS('PPA 사업(C)'!$I:$I,'PPA 사업(C)'!$G:$G,AI$2,'PPA 사업(C)'!$Q:$Q,$J5,'PPA 사업(C)'!$C:$C,$L$1),
    SUMIFS('리스사업(D)'!$I:$I,'리스사업(D)'!$G:$G,AI$2,'리스사업(D)'!$Q:$Q,$J5,'리스사업(D)'!$C:$C,$L$1),
    SUMIFS('임대사업(E)'!$I:$I,'임대사업(E)'!$G:$G,AI$2,'임대사업(E)'!$Q:$Q,$J5,'임대사업(E)'!$C:$C,$L$1),
    SUMIFS('환경부사업(F)'!$I:$I,'환경부사업(F)'!$G:$G,AI$2,'환경부사업(F)'!$Q:$Q,$J5,'환경부사업(F)'!$C:$C,$L$1),
    SUMIFS('프로젝트(G)'!$I:$I,'프로젝트(G)'!$G:$G,AI$2,'프로젝트(G)'!$Q:$Q,$J5,'프로젝트(G)'!$C:$C,$L$1),
    SUMIFS('협력사 EPC(H)'!$I:$I,'협력사 EPC(H)'!$G:$G,AI$2,'협력사 EPC(H)'!$Q:$Q,$J5,'협력사 EPC(H)'!$C:$C,$L$1),
    SUMIFS('기타(Z)'!$I:$I,'기타(Z)'!$G:$G,AI$2,'기타(Z)'!$Q:$Q,$J5,'기타(Z)'!$C:$C,$L$1)
  )=0,
  "",
  SUM(
    SUMIFS('발전사업(A)'!$I:$I,'발전사업(A)'!$G:$G,AI$2,'발전사업(A)'!$Q:$Q,$J5,'발전사업(A)'!$C:$C,$L$1),
    SUMIFS('자가소비(B)'!$I:$I,'자가소비(B)'!$G:$G,AI$2,'자가소비(B)'!$Q:$Q,$J5,'자가소비(B)'!$C:$C,$L$1),
    SUMIFS('PPA 사업(C)'!$I:$I,'PPA 사업(C)'!$G:$G,AI$2,'PPA 사업(C)'!$Q:$Q,$J5,'PPA 사업(C)'!$C:$C,$L$1),
    SUMIFS('리스사업(D)'!$I:$I,'리스사업(D)'!$G:$G,AI$2,'리스사업(D)'!$Q:$Q,$J5,'리스사업(D)'!$C:$C,$L$1),
    SUMIFS('임대사업(E)'!$I:$I,'임대사업(E)'!$G:$G,AI$2,'임대사업(E)'!$Q:$Q,$J5,'임대사업(E)'!$C:$C,$L$1),
    SUMIFS('환경부사업(F)'!$I:$I,'환경부사업(F)'!$G:$G,AI$2,'환경부사업(F)'!$Q:$Q,$J5,'환경부사업(F)'!$C:$C,$L$1),
    SUMIFS('프로젝트(G)'!$I:$I,'프로젝트(G)'!$G:$G,AI$2,'프로젝트(G)'!$Q:$Q,$J5,'프로젝트(G)'!$C:$C,$L$1),
    SUMIFS('협력사 EPC(H)'!$I:$I,'협력사 EPC(H)'!$G:$G,AI$2,'협력사 EPC(H)'!$Q:$Q,$J5,'협력사 EPC(H)'!$C:$C,$L$1),
    SUMIFS('기타(Z)'!$I:$I,'기타(Z)'!$G:$G,AI$2,'기타(Z)'!$Q:$Q,$J5,'기타(Z)'!$C:$C,$L$1)
  )
)</f>
        <v/>
      </c>
      <c r="AJ5" s="365" t="str">
        <f>IF(
  SUM(
    COUNTIFS('발전사업(A)'!$G:$G, AI$2, '발전사업(A)'!$Q:$Q, $J5, '발전사업(A)'!$C:$C, $L$1),
    COUNTIFS('자가소비(B)'!$G:$G, AI$2, '자가소비(B)'!$Q:$Q, $J5, '자가소비(B)'!$C:$C, $L$1),
    COUNTIFS('PPA 사업(C)'!$G:$G, AI$2, 'PPA 사업(C)'!$Q:$Q, $J5, 'PPA 사업(C)'!$C:$C, $L$1),
    COUNTIFS('리스사업(D)'!$G:$G, AI$2, '리스사업(D)'!$Q:$Q, $J5, '리스사업(D)'!$C:$C, $L$1),
    COUNTIFS('임대사업(E)'!$G:$G, AI$2, '임대사업(E)'!$Q:$Q, $J5, '임대사업(E)'!$C:$C, $L$1),
    COUNTIFS('환경부사업(F)'!$G:$G, AI$2, '환경부사업(F)'!$Q:$Q, $J5, '환경부사업(F)'!$C:$C, $L$1),
    COUNTIFS('프로젝트(G)'!$G:$G, AI$2, '프로젝트(G)'!$Q:$Q, $J5, '프로젝트(G)'!$C:$C, $L$1),
    COUNTIFS('협력사 EPC(H)'!$G:$G, AI$2, '협력사 EPC(H)'!$Q:$Q, $J5, '협력사 EPC(H)'!$C:$C, $L$1),
    COUNTIFS('기타(Z)'!$G:$G, AI$2, '기타(Z)'!$Q:$Q, $J5, '기타(Z)'!$C:$C, $L$1)
  ) = 0,
  "",
  COUNTIFS('발전사업(A)'!$G:$G, AI$2, '발전사업(A)'!$Q:$Q, $J5, '발전사업(A)'!$C:$C, $L$1)
  + COUNTIFS('자가소비(B)'!$G:$G, AI$2, '자가소비(B)'!$Q:$Q, $J5, '자가소비(B)'!$C:$C, $L$1)
  + COUNTIFS('PPA 사업(C)'!$G:$G, AI$2, 'PPA 사업(C)'!$Q:$Q, $J5, 'PPA 사업(C)'!$C:$C, $L$1)
  + COUNTIFS('리스사업(D)'!$G:$G, AI$2, '리스사업(D)'!$Q:$Q, $J5, '리스사업(D)'!$C:$C, $L$1)
  + COUNTIFS('임대사업(E)'!$G:$G, AI$2, '임대사업(E)'!$Q:$Q, $J5, '임대사업(E)'!$C:$C, $L$1)
  + COUNTIFS('환경부사업(F)'!$G:$G, AI$2, '환경부사업(F)'!$Q:$Q, $J5, '환경부사업(F)'!$C:$C, $L$1)
  + COUNTIFS('프로젝트(G)'!$G:$G, AI$2, '프로젝트(G)'!$Q:$Q, $J5, '프로젝트(G)'!$C:$C, $L$1)
  + COUNTIFS('협력사 EPC(H)'!$G:$G, AI$2, '협력사 EPC(H)'!$Q:$Q, $J5, '협력사 EPC(H)'!$C:$C, $L$1)
  + COUNTIFS('기타(Z)'!$G:$G, AI$2, '기타(Z)'!$Q:$Q, $J5, '기타(Z)'!$C:$C, $L$1)
)</f>
        <v/>
      </c>
    </row>
    <row r="6" spans="2:36" ht="16.5" x14ac:dyDescent="0.25">
      <c r="B6" s="195" t="s">
        <v>153</v>
      </c>
      <c r="C6" s="262">
        <f t="shared" si="0"/>
        <v>993.30000000000007</v>
      </c>
      <c r="D6" s="263">
        <f t="shared" si="0"/>
        <v>5</v>
      </c>
      <c r="E6" s="262">
        <f t="shared" si="0"/>
        <v>691.44</v>
      </c>
      <c r="F6" s="263">
        <f t="shared" si="0"/>
        <v>4</v>
      </c>
      <c r="G6" s="262">
        <f t="shared" si="0"/>
        <v>301.86</v>
      </c>
      <c r="H6" s="263">
        <f t="shared" si="0"/>
        <v>1</v>
      </c>
      <c r="J6" s="370" t="s">
        <v>199</v>
      </c>
      <c r="K6" s="354">
        <f t="shared" si="1"/>
        <v>1236.4650000000001</v>
      </c>
      <c r="L6" s="348">
        <f t="shared" si="2"/>
        <v>6</v>
      </c>
      <c r="M6" s="366">
        <f>IF(
  SUM(
    SUMIFS('발전사업(A)'!$I:$I,'발전사업(A)'!$G:$G,M$2,'발전사업(A)'!$Q:$Q,$J6,'발전사업(A)'!$C:$C,$L$1),
    SUMIFS('자가소비(B)'!$I:$I,'자가소비(B)'!$G:$G,M$2,'자가소비(B)'!$Q:$Q,$J6,'자가소비(B)'!$C:$C,$L$1),
    SUMIFS('PPA 사업(C)'!$I:$I,'PPA 사업(C)'!$G:$G,M$2,'PPA 사업(C)'!$Q:$Q,$J6,'PPA 사업(C)'!$C:$C,$L$1),
    SUMIFS('리스사업(D)'!$I:$I,'리스사업(D)'!$G:$G,M$2,'리스사업(D)'!$Q:$Q,$J6,'리스사업(D)'!$C:$C,$L$1),
    SUMIFS('임대사업(E)'!$I:$I,'임대사업(E)'!$G:$G,M$2,'임대사업(E)'!$Q:$Q,$J6,'임대사업(E)'!$C:$C,$L$1),
    SUMIFS('환경부사업(F)'!$I:$I,'환경부사업(F)'!$G:$G,M$2,'환경부사업(F)'!$Q:$Q,$J6,'환경부사업(F)'!$C:$C,$L$1),
    SUMIFS('프로젝트(G)'!$I:$I,'프로젝트(G)'!$G:$G,M$2,'프로젝트(G)'!$Q:$Q,$J6,'프로젝트(G)'!$C:$C,$L$1),
    SUMIFS('협력사 EPC(H)'!$I:$I,'협력사 EPC(H)'!$G:$G,M$2,'협력사 EPC(H)'!$Q:$Q,$J6,'협력사 EPC(H)'!$C:$C,$L$1),
    SUMIFS('기타(Z)'!$I:$I,'기타(Z)'!$G:$G,M$2,'기타(Z)'!$Q:$Q,$J6,'기타(Z)'!$C:$C,$L$1)
  )=0,
  "",
  SUM(
    SUMIFS('발전사업(A)'!$I:$I,'발전사업(A)'!$G:$G,M$2,'발전사업(A)'!$Q:$Q,$J6,'발전사업(A)'!$C:$C,$L$1),
    SUMIFS('자가소비(B)'!$I:$I,'자가소비(B)'!$G:$G,M$2,'자가소비(B)'!$Q:$Q,$J6,'자가소비(B)'!$C:$C,$L$1),
    SUMIFS('PPA 사업(C)'!$I:$I,'PPA 사업(C)'!$G:$G,M$2,'PPA 사업(C)'!$Q:$Q,$J6,'PPA 사업(C)'!$C:$C,$L$1),
    SUMIFS('리스사업(D)'!$I:$I,'리스사업(D)'!$G:$G,M$2,'리스사업(D)'!$Q:$Q,$J6,'리스사업(D)'!$C:$C,$L$1),
    SUMIFS('임대사업(E)'!$I:$I,'임대사업(E)'!$G:$G,M$2,'임대사업(E)'!$Q:$Q,$J6,'임대사업(E)'!$C:$C,$L$1),
    SUMIFS('환경부사업(F)'!$I:$I,'환경부사업(F)'!$G:$G,M$2,'환경부사업(F)'!$Q:$Q,$J6,'환경부사업(F)'!$C:$C,$L$1),
    SUMIFS('프로젝트(G)'!$I:$I,'프로젝트(G)'!$G:$G,M$2,'프로젝트(G)'!$Q:$Q,$J6,'프로젝트(G)'!$C:$C,$L$1),
    SUMIFS('협력사 EPC(H)'!$I:$I,'협력사 EPC(H)'!$G:$G,M$2,'협력사 EPC(H)'!$Q:$Q,$J6,'협력사 EPC(H)'!$C:$C,$L$1),
    SUMIFS('기타(Z)'!$I:$I,'기타(Z)'!$G:$G,M$2,'기타(Z)'!$Q:$Q,$J6,'기타(Z)'!$C:$C,$L$1)
  )
)</f>
        <v>330.24</v>
      </c>
      <c r="N6" s="367">
        <f>IF(
  SUM(
    COUNTIFS('발전사업(A)'!$G:$G, M$2, '발전사업(A)'!$Q:$Q, $J6, '발전사업(A)'!$C:$C, $L$1),
    COUNTIFS('자가소비(B)'!$G:$G, M$2, '자가소비(B)'!$Q:$Q, $J6, '자가소비(B)'!$C:$C, $L$1),
    COUNTIFS('PPA 사업(C)'!$G:$G, M$2, 'PPA 사업(C)'!$Q:$Q, $J6, 'PPA 사업(C)'!$C:$C, $L$1),
    COUNTIFS('리스사업(D)'!$G:$G, M$2, '리스사업(D)'!$Q:$Q, $J6, '리스사업(D)'!$C:$C, $L$1),
    COUNTIFS('임대사업(E)'!$G:$G, M$2, '임대사업(E)'!$Q:$Q, $J6, '임대사업(E)'!$C:$C, $L$1),
    COUNTIFS('환경부사업(F)'!$G:$G, M$2, '환경부사업(F)'!$Q:$Q, $J6, '환경부사업(F)'!$C:$C, $L$1),
    COUNTIFS('프로젝트(G)'!$G:$G, M$2, '프로젝트(G)'!$Q:$Q, $J6, '프로젝트(G)'!$C:$C, $L$1),
    COUNTIFS('협력사 EPC(H)'!$G:$G, M$2, '협력사 EPC(H)'!$Q:$Q, $J6, '협력사 EPC(H)'!$C:$C, $L$1),
    COUNTIFS('기타(Z)'!$G:$G, M$2, '기타(Z)'!$Q:$Q, $J6, '기타(Z)'!$C:$C, $L$1)
  ) = 0,
  "",
  COUNTIFS('발전사업(A)'!$G:$G, M$2, '발전사업(A)'!$Q:$Q, $J6, '발전사업(A)'!$C:$C, $L$1)
  + COUNTIFS('자가소비(B)'!$G:$G, M$2, '자가소비(B)'!$Q:$Q, $J6, '자가소비(B)'!$C:$C, $L$1)
  + COUNTIFS('PPA 사업(C)'!$G:$G, M$2, 'PPA 사업(C)'!$Q:$Q, $J6, 'PPA 사업(C)'!$C:$C, $L$1)
  + COUNTIFS('리스사업(D)'!$G:$G, M$2, '리스사업(D)'!$Q:$Q, $J6, '리스사업(D)'!$C:$C, $L$1)
  + COUNTIFS('임대사업(E)'!$G:$G, M$2, '임대사업(E)'!$Q:$Q, $J6, '임대사업(E)'!$C:$C, $L$1)
  + COUNTIFS('환경부사업(F)'!$G:$G, M$2, '환경부사업(F)'!$Q:$Q, $J6, '환경부사업(F)'!$C:$C, $L$1)
  + COUNTIFS('프로젝트(G)'!$G:$G, M$2, '프로젝트(G)'!$Q:$Q, $J6, '프로젝트(G)'!$C:$C, $L$1)
  + COUNTIFS('협력사 EPC(H)'!$G:$G, M$2, '협력사 EPC(H)'!$Q:$Q, $J6, '협력사 EPC(H)'!$C:$C, $L$1)
  + COUNTIFS('기타(Z)'!$G:$G, M$2, '기타(Z)'!$Q:$Q, $J6, '기타(Z)'!$C:$C, $L$1)
)</f>
        <v>1</v>
      </c>
      <c r="O6" s="366">
        <f>IF(
  SUM(
    SUMIFS('발전사업(A)'!$I:$I,'발전사업(A)'!$G:$G,O$2,'발전사업(A)'!$Q:$Q,$J6,'발전사업(A)'!$C:$C,$L$1),
    SUMIFS('자가소비(B)'!$I:$I,'자가소비(B)'!$G:$G,O$2,'자가소비(B)'!$Q:$Q,$J6,'자가소비(B)'!$C:$C,$L$1),
    SUMIFS('PPA 사업(C)'!$I:$I,'PPA 사업(C)'!$G:$G,O$2,'PPA 사업(C)'!$Q:$Q,$J6,'PPA 사업(C)'!$C:$C,$L$1),
    SUMIFS('리스사업(D)'!$I:$I,'리스사업(D)'!$G:$G,O$2,'리스사업(D)'!$Q:$Q,$J6,'리스사업(D)'!$C:$C,$L$1),
    SUMIFS('임대사업(E)'!$I:$I,'임대사업(E)'!$G:$G,O$2,'임대사업(E)'!$Q:$Q,$J6,'임대사업(E)'!$C:$C,$L$1),
    SUMIFS('환경부사업(F)'!$I:$I,'환경부사업(F)'!$G:$G,O$2,'환경부사업(F)'!$Q:$Q,$J6,'환경부사업(F)'!$C:$C,$L$1),
    SUMIFS('프로젝트(G)'!$I:$I,'프로젝트(G)'!$G:$G,O$2,'프로젝트(G)'!$Q:$Q,$J6,'프로젝트(G)'!$C:$C,$L$1),
    SUMIFS('협력사 EPC(H)'!$I:$I,'협력사 EPC(H)'!$G:$G,O$2,'협력사 EPC(H)'!$Q:$Q,$J6,'협력사 EPC(H)'!$C:$C,$L$1),
    SUMIFS('기타(Z)'!$I:$I,'기타(Z)'!$G:$G,O$2,'기타(Z)'!$Q:$Q,$J6,'기타(Z)'!$C:$C,$L$1)
  )=0,
  "",
  SUM(
    SUMIFS('발전사업(A)'!$I:$I,'발전사업(A)'!$G:$G,O$2,'발전사업(A)'!$Q:$Q,$J6,'발전사업(A)'!$C:$C,$L$1),
    SUMIFS('자가소비(B)'!$I:$I,'자가소비(B)'!$G:$G,O$2,'자가소비(B)'!$Q:$Q,$J6,'자가소비(B)'!$C:$C,$L$1),
    SUMIFS('PPA 사업(C)'!$I:$I,'PPA 사업(C)'!$G:$G,O$2,'PPA 사업(C)'!$Q:$Q,$J6,'PPA 사업(C)'!$C:$C,$L$1),
    SUMIFS('리스사업(D)'!$I:$I,'리스사업(D)'!$G:$G,O$2,'리스사업(D)'!$Q:$Q,$J6,'리스사업(D)'!$C:$C,$L$1),
    SUMIFS('임대사업(E)'!$I:$I,'임대사업(E)'!$G:$G,O$2,'임대사업(E)'!$Q:$Q,$J6,'임대사업(E)'!$C:$C,$L$1),
    SUMIFS('환경부사업(F)'!$I:$I,'환경부사업(F)'!$G:$G,O$2,'환경부사업(F)'!$Q:$Q,$J6,'환경부사업(F)'!$C:$C,$L$1),
    SUMIFS('프로젝트(G)'!$I:$I,'프로젝트(G)'!$G:$G,O$2,'프로젝트(G)'!$Q:$Q,$J6,'프로젝트(G)'!$C:$C,$L$1),
    SUMIFS('협력사 EPC(H)'!$I:$I,'협력사 EPC(H)'!$G:$G,O$2,'협력사 EPC(H)'!$Q:$Q,$J6,'협력사 EPC(H)'!$C:$C,$L$1),
    SUMIFS('기타(Z)'!$I:$I,'기타(Z)'!$G:$G,O$2,'기타(Z)'!$Q:$Q,$J6,'기타(Z)'!$C:$C,$L$1)
  )
)</f>
        <v>400.54500000000002</v>
      </c>
      <c r="P6" s="367">
        <f>IF(
  SUM(
    COUNTIFS('발전사업(A)'!$G:$G, O$2, '발전사업(A)'!$Q:$Q, $J6, '발전사업(A)'!$C:$C, $L$1),
    COUNTIFS('자가소비(B)'!$G:$G, O$2, '자가소비(B)'!$Q:$Q, $J6, '자가소비(B)'!$C:$C, $L$1),
    COUNTIFS('PPA 사업(C)'!$G:$G, O$2, 'PPA 사업(C)'!$Q:$Q, $J6, 'PPA 사업(C)'!$C:$C, $L$1),
    COUNTIFS('리스사업(D)'!$G:$G, O$2, '리스사업(D)'!$Q:$Q, $J6, '리스사업(D)'!$C:$C, $L$1),
    COUNTIFS('임대사업(E)'!$G:$G, O$2, '임대사업(E)'!$Q:$Q, $J6, '임대사업(E)'!$C:$C, $L$1),
    COUNTIFS('환경부사업(F)'!$G:$G, O$2, '환경부사업(F)'!$Q:$Q, $J6, '환경부사업(F)'!$C:$C, $L$1),
    COUNTIFS('프로젝트(G)'!$G:$G, O$2, '프로젝트(G)'!$Q:$Q, $J6, '프로젝트(G)'!$C:$C, $L$1),
    COUNTIFS('협력사 EPC(H)'!$G:$G, O$2, '협력사 EPC(H)'!$Q:$Q, $J6, '협력사 EPC(H)'!$C:$C, $L$1),
    COUNTIFS('기타(Z)'!$G:$G, O$2, '기타(Z)'!$Q:$Q, $J6, '기타(Z)'!$C:$C, $L$1)
  ) = 0,
  "",
  COUNTIFS('발전사업(A)'!$G:$G, O$2, '발전사업(A)'!$Q:$Q, $J6, '발전사업(A)'!$C:$C, $L$1)
  + COUNTIFS('자가소비(B)'!$G:$G, O$2, '자가소비(B)'!$Q:$Q, $J6, '자가소비(B)'!$C:$C, $L$1)
  + COUNTIFS('PPA 사업(C)'!$G:$G, O$2, 'PPA 사업(C)'!$Q:$Q, $J6, 'PPA 사업(C)'!$C:$C, $L$1)
  + COUNTIFS('리스사업(D)'!$G:$G, O$2, '리스사업(D)'!$Q:$Q, $J6, '리스사업(D)'!$C:$C, $L$1)
  + COUNTIFS('임대사업(E)'!$G:$G, O$2, '임대사업(E)'!$Q:$Q, $J6, '임대사업(E)'!$C:$C, $L$1)
  + COUNTIFS('환경부사업(F)'!$G:$G, O$2, '환경부사업(F)'!$Q:$Q, $J6, '환경부사업(F)'!$C:$C, $L$1)
  + COUNTIFS('프로젝트(G)'!$G:$G, O$2, '프로젝트(G)'!$Q:$Q, $J6, '프로젝트(G)'!$C:$C, $L$1)
  + COUNTIFS('협력사 EPC(H)'!$G:$G, O$2, '협력사 EPC(H)'!$Q:$Q, $J6, '협력사 EPC(H)'!$C:$C, $L$1)
  + COUNTIFS('기타(Z)'!$G:$G, O$2, '기타(Z)'!$Q:$Q, $J6, '기타(Z)'!$C:$C, $L$1)
)</f>
        <v>1</v>
      </c>
      <c r="Q6" s="366" t="str">
        <f>IF(
  SUM(
    SUMIFS('발전사업(A)'!$I:$I,'발전사업(A)'!$G:$G,Q$2,'발전사업(A)'!$Q:$Q,$J6,'발전사업(A)'!$C:$C,$L$1),
    SUMIFS('자가소비(B)'!$I:$I,'자가소비(B)'!$G:$G,Q$2,'자가소비(B)'!$Q:$Q,$J6,'자가소비(B)'!$C:$C,$L$1),
    SUMIFS('PPA 사업(C)'!$I:$I,'PPA 사업(C)'!$G:$G,Q$2,'PPA 사업(C)'!$Q:$Q,$J6,'PPA 사업(C)'!$C:$C,$L$1),
    SUMIFS('리스사업(D)'!$I:$I,'리스사업(D)'!$G:$G,Q$2,'리스사업(D)'!$Q:$Q,$J6,'리스사업(D)'!$C:$C,$L$1),
    SUMIFS('임대사업(E)'!$I:$I,'임대사업(E)'!$G:$G,Q$2,'임대사업(E)'!$Q:$Q,$J6,'임대사업(E)'!$C:$C,$L$1),
    SUMIFS('환경부사업(F)'!$I:$I,'환경부사업(F)'!$G:$G,Q$2,'환경부사업(F)'!$Q:$Q,$J6,'환경부사업(F)'!$C:$C,$L$1),
    SUMIFS('프로젝트(G)'!$I:$I,'프로젝트(G)'!$G:$G,Q$2,'프로젝트(G)'!$Q:$Q,$J6,'프로젝트(G)'!$C:$C,$L$1),
    SUMIFS('협력사 EPC(H)'!$I:$I,'협력사 EPC(H)'!$G:$G,Q$2,'협력사 EPC(H)'!$Q:$Q,$J6,'협력사 EPC(H)'!$C:$C,$L$1),
    SUMIFS('기타(Z)'!$I:$I,'기타(Z)'!$G:$G,Q$2,'기타(Z)'!$Q:$Q,$J6,'기타(Z)'!$C:$C,$L$1)
  )=0,
  "",
  SUM(
    SUMIFS('발전사업(A)'!$I:$I,'발전사업(A)'!$G:$G,Q$2,'발전사업(A)'!$Q:$Q,$J6,'발전사업(A)'!$C:$C,$L$1),
    SUMIFS('자가소비(B)'!$I:$I,'자가소비(B)'!$G:$G,Q$2,'자가소비(B)'!$Q:$Q,$J6,'자가소비(B)'!$C:$C,$L$1),
    SUMIFS('PPA 사업(C)'!$I:$I,'PPA 사업(C)'!$G:$G,Q$2,'PPA 사업(C)'!$Q:$Q,$J6,'PPA 사업(C)'!$C:$C,$L$1),
    SUMIFS('리스사업(D)'!$I:$I,'리스사업(D)'!$G:$G,Q$2,'리스사업(D)'!$Q:$Q,$J6,'리스사업(D)'!$C:$C,$L$1),
    SUMIFS('임대사업(E)'!$I:$I,'임대사업(E)'!$G:$G,Q$2,'임대사업(E)'!$Q:$Q,$J6,'임대사업(E)'!$C:$C,$L$1),
    SUMIFS('환경부사업(F)'!$I:$I,'환경부사업(F)'!$G:$G,Q$2,'환경부사업(F)'!$Q:$Q,$J6,'환경부사업(F)'!$C:$C,$L$1),
    SUMIFS('프로젝트(G)'!$I:$I,'프로젝트(G)'!$G:$G,Q$2,'프로젝트(G)'!$Q:$Q,$J6,'프로젝트(G)'!$C:$C,$L$1),
    SUMIFS('협력사 EPC(H)'!$I:$I,'협력사 EPC(H)'!$G:$G,Q$2,'협력사 EPC(H)'!$Q:$Q,$J6,'협력사 EPC(H)'!$C:$C,$L$1),
    SUMIFS('기타(Z)'!$I:$I,'기타(Z)'!$G:$G,Q$2,'기타(Z)'!$Q:$Q,$J6,'기타(Z)'!$C:$C,$L$1)
  )
)</f>
        <v/>
      </c>
      <c r="R6" s="367" t="str">
        <f>IF(
  SUM(
    COUNTIFS('발전사업(A)'!$G:$G, Q$2, '발전사업(A)'!$Q:$Q, $J6, '발전사업(A)'!$C:$C, $L$1),
    COUNTIFS('자가소비(B)'!$G:$G, Q$2, '자가소비(B)'!$Q:$Q, $J6, '자가소비(B)'!$C:$C, $L$1),
    COUNTIFS('PPA 사업(C)'!$G:$G, Q$2, 'PPA 사업(C)'!$Q:$Q, $J6, 'PPA 사업(C)'!$C:$C, $L$1),
    COUNTIFS('리스사업(D)'!$G:$G, Q$2, '리스사업(D)'!$Q:$Q, $J6, '리스사업(D)'!$C:$C, $L$1),
    COUNTIFS('임대사업(E)'!$G:$G, Q$2, '임대사업(E)'!$Q:$Q, $J6, '임대사업(E)'!$C:$C, $L$1),
    COUNTIFS('환경부사업(F)'!$G:$G, Q$2, '환경부사업(F)'!$Q:$Q, $J6, '환경부사업(F)'!$C:$C, $L$1),
    COUNTIFS('프로젝트(G)'!$G:$G, Q$2, '프로젝트(G)'!$Q:$Q, $J6, '프로젝트(G)'!$C:$C, $L$1),
    COUNTIFS('협력사 EPC(H)'!$G:$G, Q$2, '협력사 EPC(H)'!$Q:$Q, $J6, '협력사 EPC(H)'!$C:$C, $L$1),
    COUNTIFS('기타(Z)'!$G:$G, Q$2, '기타(Z)'!$Q:$Q, $J6, '기타(Z)'!$C:$C, $L$1)
  ) = 0,
  "",
  COUNTIFS('발전사업(A)'!$G:$G, Q$2, '발전사업(A)'!$Q:$Q, $J6, '발전사업(A)'!$C:$C, $L$1)
  + COUNTIFS('자가소비(B)'!$G:$G, Q$2, '자가소비(B)'!$Q:$Q, $J6, '자가소비(B)'!$C:$C, $L$1)
  + COUNTIFS('PPA 사업(C)'!$G:$G, Q$2, 'PPA 사업(C)'!$Q:$Q, $J6, 'PPA 사업(C)'!$C:$C, $L$1)
  + COUNTIFS('리스사업(D)'!$G:$G, Q$2, '리스사업(D)'!$Q:$Q, $J6, '리스사업(D)'!$C:$C, $L$1)
  + COUNTIFS('임대사업(E)'!$G:$G, Q$2, '임대사업(E)'!$Q:$Q, $J6, '임대사업(E)'!$C:$C, $L$1)
  + COUNTIFS('환경부사업(F)'!$G:$G, Q$2, '환경부사업(F)'!$Q:$Q, $J6, '환경부사업(F)'!$C:$C, $L$1)
  + COUNTIFS('프로젝트(G)'!$G:$G, Q$2, '프로젝트(G)'!$Q:$Q, $J6, '프로젝트(G)'!$C:$C, $L$1)
  + COUNTIFS('협력사 EPC(H)'!$G:$G, Q$2, '협력사 EPC(H)'!$Q:$Q, $J6, '협력사 EPC(H)'!$C:$C, $L$1)
  + COUNTIFS('기타(Z)'!$G:$G, Q$2, '기타(Z)'!$Q:$Q, $J6, '기타(Z)'!$C:$C, $L$1)
)</f>
        <v/>
      </c>
      <c r="S6" s="366">
        <f>IF(
  SUM(
    SUMIFS('발전사업(A)'!$I:$I,'발전사업(A)'!$G:$G,S$2,'발전사업(A)'!$Q:$Q,$J6,'발전사업(A)'!$C:$C,$L$1),
    SUMIFS('자가소비(B)'!$I:$I,'자가소비(B)'!$G:$G,S$2,'자가소비(B)'!$Q:$Q,$J6,'자가소비(B)'!$C:$C,$L$1),
    SUMIFS('PPA 사업(C)'!$I:$I,'PPA 사업(C)'!$G:$G,S$2,'PPA 사업(C)'!$Q:$Q,$J6,'PPA 사업(C)'!$C:$C,$L$1),
    SUMIFS('리스사업(D)'!$I:$I,'리스사업(D)'!$G:$G,S$2,'리스사업(D)'!$Q:$Q,$J6,'리스사업(D)'!$C:$C,$L$1),
    SUMIFS('임대사업(E)'!$I:$I,'임대사업(E)'!$G:$G,S$2,'임대사업(E)'!$Q:$Q,$J6,'임대사업(E)'!$C:$C,$L$1),
    SUMIFS('환경부사업(F)'!$I:$I,'환경부사업(F)'!$G:$G,S$2,'환경부사업(F)'!$Q:$Q,$J6,'환경부사업(F)'!$C:$C,$L$1),
    SUMIFS('프로젝트(G)'!$I:$I,'프로젝트(G)'!$G:$G,S$2,'프로젝트(G)'!$Q:$Q,$J6,'프로젝트(G)'!$C:$C,$L$1),
    SUMIFS('협력사 EPC(H)'!$I:$I,'협력사 EPC(H)'!$G:$G,S$2,'협력사 EPC(H)'!$Q:$Q,$J6,'협력사 EPC(H)'!$C:$C,$L$1),
    SUMIFS('기타(Z)'!$I:$I,'기타(Z)'!$G:$G,S$2,'기타(Z)'!$Q:$Q,$J6,'기타(Z)'!$C:$C,$L$1)
  )=0,
  "",
  SUM(
    SUMIFS('발전사업(A)'!$I:$I,'발전사업(A)'!$G:$G,S$2,'발전사업(A)'!$Q:$Q,$J6,'발전사업(A)'!$C:$C,$L$1),
    SUMIFS('자가소비(B)'!$I:$I,'자가소비(B)'!$G:$G,S$2,'자가소비(B)'!$Q:$Q,$J6,'자가소비(B)'!$C:$C,$L$1),
    SUMIFS('PPA 사업(C)'!$I:$I,'PPA 사업(C)'!$G:$G,S$2,'PPA 사업(C)'!$Q:$Q,$J6,'PPA 사업(C)'!$C:$C,$L$1),
    SUMIFS('리스사업(D)'!$I:$I,'리스사업(D)'!$G:$G,S$2,'리스사업(D)'!$Q:$Q,$J6,'리스사업(D)'!$C:$C,$L$1),
    SUMIFS('임대사업(E)'!$I:$I,'임대사업(E)'!$G:$G,S$2,'임대사업(E)'!$Q:$Q,$J6,'임대사업(E)'!$C:$C,$L$1),
    SUMIFS('환경부사업(F)'!$I:$I,'환경부사업(F)'!$G:$G,S$2,'환경부사업(F)'!$Q:$Q,$J6,'환경부사업(F)'!$C:$C,$L$1),
    SUMIFS('프로젝트(G)'!$I:$I,'프로젝트(G)'!$G:$G,S$2,'프로젝트(G)'!$Q:$Q,$J6,'프로젝트(G)'!$C:$C,$L$1),
    SUMIFS('협력사 EPC(H)'!$I:$I,'협력사 EPC(H)'!$G:$G,S$2,'협력사 EPC(H)'!$Q:$Q,$J6,'협력사 EPC(H)'!$C:$C,$L$1),
    SUMIFS('기타(Z)'!$I:$I,'기타(Z)'!$G:$G,S$2,'기타(Z)'!$Q:$Q,$J6,'기타(Z)'!$C:$C,$L$1)
  )
)</f>
        <v>201.88499999999999</v>
      </c>
      <c r="T6" s="367">
        <f>IF(
  SUM(
    COUNTIFS('발전사업(A)'!$G:$G, S$2, '발전사업(A)'!$Q:$Q, $J6, '발전사업(A)'!$C:$C, $L$1),
    COUNTIFS('자가소비(B)'!$G:$G, S$2, '자가소비(B)'!$Q:$Q, $J6, '자가소비(B)'!$C:$C, $L$1),
    COUNTIFS('PPA 사업(C)'!$G:$G, S$2, 'PPA 사업(C)'!$Q:$Q, $J6, 'PPA 사업(C)'!$C:$C, $L$1),
    COUNTIFS('리스사업(D)'!$G:$G, S$2, '리스사업(D)'!$Q:$Q, $J6, '리스사업(D)'!$C:$C, $L$1),
    COUNTIFS('임대사업(E)'!$G:$G, S$2, '임대사업(E)'!$Q:$Q, $J6, '임대사업(E)'!$C:$C, $L$1),
    COUNTIFS('환경부사업(F)'!$G:$G, S$2, '환경부사업(F)'!$Q:$Q, $J6, '환경부사업(F)'!$C:$C, $L$1),
    COUNTIFS('프로젝트(G)'!$G:$G, S$2, '프로젝트(G)'!$Q:$Q, $J6, '프로젝트(G)'!$C:$C, $L$1),
    COUNTIFS('협력사 EPC(H)'!$G:$G, S$2, '협력사 EPC(H)'!$Q:$Q, $J6, '협력사 EPC(H)'!$C:$C, $L$1),
    COUNTIFS('기타(Z)'!$G:$G, S$2, '기타(Z)'!$Q:$Q, $J6, '기타(Z)'!$C:$C, $L$1)
  ) = 0,
  "",
  COUNTIFS('발전사업(A)'!$G:$G, S$2, '발전사업(A)'!$Q:$Q, $J6, '발전사업(A)'!$C:$C, $L$1)
  + COUNTIFS('자가소비(B)'!$G:$G, S$2, '자가소비(B)'!$Q:$Q, $J6, '자가소비(B)'!$C:$C, $L$1)
  + COUNTIFS('PPA 사업(C)'!$G:$G, S$2, 'PPA 사업(C)'!$Q:$Q, $J6, 'PPA 사업(C)'!$C:$C, $L$1)
  + COUNTIFS('리스사업(D)'!$G:$G, S$2, '리스사업(D)'!$Q:$Q, $J6, '리스사업(D)'!$C:$C, $L$1)
  + COUNTIFS('임대사업(E)'!$G:$G, S$2, '임대사업(E)'!$Q:$Q, $J6, '임대사업(E)'!$C:$C, $L$1)
  + COUNTIFS('환경부사업(F)'!$G:$G, S$2, '환경부사업(F)'!$Q:$Q, $J6, '환경부사업(F)'!$C:$C, $L$1)
  + COUNTIFS('프로젝트(G)'!$G:$G, S$2, '프로젝트(G)'!$Q:$Q, $J6, '프로젝트(G)'!$C:$C, $L$1)
  + COUNTIFS('협력사 EPC(H)'!$G:$G, S$2, '협력사 EPC(H)'!$Q:$Q, $J6, '협력사 EPC(H)'!$C:$C, $L$1)
  + COUNTIFS('기타(Z)'!$G:$G, S$2, '기타(Z)'!$Q:$Q, $J6, '기타(Z)'!$C:$C, $L$1)
)</f>
        <v>1</v>
      </c>
      <c r="U6" s="366" t="str">
        <f>IF(
  SUM(
    SUMIFS('발전사업(A)'!$I:$I,'발전사업(A)'!$G:$G,U$2,'발전사업(A)'!$Q:$Q,$J6,'발전사업(A)'!$C:$C,$L$1),
    SUMIFS('자가소비(B)'!$I:$I,'자가소비(B)'!$G:$G,U$2,'자가소비(B)'!$Q:$Q,$J6,'자가소비(B)'!$C:$C,$L$1),
    SUMIFS('PPA 사업(C)'!$I:$I,'PPA 사업(C)'!$G:$G,U$2,'PPA 사업(C)'!$Q:$Q,$J6,'PPA 사업(C)'!$C:$C,$L$1),
    SUMIFS('리스사업(D)'!$I:$I,'리스사업(D)'!$G:$G,U$2,'리스사업(D)'!$Q:$Q,$J6,'리스사업(D)'!$C:$C,$L$1),
    SUMIFS('임대사업(E)'!$I:$I,'임대사업(E)'!$G:$G,U$2,'임대사업(E)'!$Q:$Q,$J6,'임대사업(E)'!$C:$C,$L$1),
    SUMIFS('환경부사업(F)'!$I:$I,'환경부사업(F)'!$G:$G,U$2,'환경부사업(F)'!$Q:$Q,$J6,'환경부사업(F)'!$C:$C,$L$1),
    SUMIFS('프로젝트(G)'!$I:$I,'프로젝트(G)'!$G:$G,U$2,'프로젝트(G)'!$Q:$Q,$J6,'프로젝트(G)'!$C:$C,$L$1),
    SUMIFS('협력사 EPC(H)'!$I:$I,'협력사 EPC(H)'!$G:$G,U$2,'협력사 EPC(H)'!$Q:$Q,$J6,'협력사 EPC(H)'!$C:$C,$L$1),
    SUMIFS('기타(Z)'!$I:$I,'기타(Z)'!$G:$G,U$2,'기타(Z)'!$Q:$Q,$J6,'기타(Z)'!$C:$C,$L$1)
  )=0,
  "",
  SUM(
    SUMIFS('발전사업(A)'!$I:$I,'발전사업(A)'!$G:$G,U$2,'발전사업(A)'!$Q:$Q,$J6,'발전사업(A)'!$C:$C,$L$1),
    SUMIFS('자가소비(B)'!$I:$I,'자가소비(B)'!$G:$G,U$2,'자가소비(B)'!$Q:$Q,$J6,'자가소비(B)'!$C:$C,$L$1),
    SUMIFS('PPA 사업(C)'!$I:$I,'PPA 사업(C)'!$G:$G,U$2,'PPA 사업(C)'!$Q:$Q,$J6,'PPA 사업(C)'!$C:$C,$L$1),
    SUMIFS('리스사업(D)'!$I:$I,'리스사업(D)'!$G:$G,U$2,'리스사업(D)'!$Q:$Q,$J6,'리스사업(D)'!$C:$C,$L$1),
    SUMIFS('임대사업(E)'!$I:$I,'임대사업(E)'!$G:$G,U$2,'임대사업(E)'!$Q:$Q,$J6,'임대사업(E)'!$C:$C,$L$1),
    SUMIFS('환경부사업(F)'!$I:$I,'환경부사업(F)'!$G:$G,U$2,'환경부사업(F)'!$Q:$Q,$J6,'환경부사업(F)'!$C:$C,$L$1),
    SUMIFS('프로젝트(G)'!$I:$I,'프로젝트(G)'!$G:$G,U$2,'프로젝트(G)'!$Q:$Q,$J6,'프로젝트(G)'!$C:$C,$L$1),
    SUMIFS('협력사 EPC(H)'!$I:$I,'협력사 EPC(H)'!$G:$G,U$2,'협력사 EPC(H)'!$Q:$Q,$J6,'협력사 EPC(H)'!$C:$C,$L$1),
    SUMIFS('기타(Z)'!$I:$I,'기타(Z)'!$G:$G,U$2,'기타(Z)'!$Q:$Q,$J6,'기타(Z)'!$C:$C,$L$1)
  )
)</f>
        <v/>
      </c>
      <c r="V6" s="367" t="str">
        <f>IF(
  SUM(
    COUNTIFS('발전사업(A)'!$G:$G, U$2, '발전사업(A)'!$Q:$Q, $J6, '발전사업(A)'!$C:$C, $L$1),
    COUNTIFS('자가소비(B)'!$G:$G, U$2, '자가소비(B)'!$Q:$Q, $J6, '자가소비(B)'!$C:$C, $L$1),
    COUNTIFS('PPA 사업(C)'!$G:$G, U$2, 'PPA 사업(C)'!$Q:$Q, $J6, 'PPA 사업(C)'!$C:$C, $L$1),
    COUNTIFS('리스사업(D)'!$G:$G, U$2, '리스사업(D)'!$Q:$Q, $J6, '리스사업(D)'!$C:$C, $L$1),
    COUNTIFS('임대사업(E)'!$G:$G, U$2, '임대사업(E)'!$Q:$Q, $J6, '임대사업(E)'!$C:$C, $L$1),
    COUNTIFS('환경부사업(F)'!$G:$G, U$2, '환경부사업(F)'!$Q:$Q, $J6, '환경부사업(F)'!$C:$C, $L$1),
    COUNTIFS('프로젝트(G)'!$G:$G, U$2, '프로젝트(G)'!$Q:$Q, $J6, '프로젝트(G)'!$C:$C, $L$1),
    COUNTIFS('협력사 EPC(H)'!$G:$G, U$2, '협력사 EPC(H)'!$Q:$Q, $J6, '협력사 EPC(H)'!$C:$C, $L$1),
    COUNTIFS('기타(Z)'!$G:$G, U$2, '기타(Z)'!$Q:$Q, $J6, '기타(Z)'!$C:$C, $L$1)
  ) = 0,
  "",
  COUNTIFS('발전사업(A)'!$G:$G, U$2, '발전사업(A)'!$Q:$Q, $J6, '발전사업(A)'!$C:$C, $L$1)
  + COUNTIFS('자가소비(B)'!$G:$G, U$2, '자가소비(B)'!$Q:$Q, $J6, '자가소비(B)'!$C:$C, $L$1)
  + COUNTIFS('PPA 사업(C)'!$G:$G, U$2, 'PPA 사업(C)'!$Q:$Q, $J6, 'PPA 사업(C)'!$C:$C, $L$1)
  + COUNTIFS('리스사업(D)'!$G:$G, U$2, '리스사업(D)'!$Q:$Q, $J6, '리스사업(D)'!$C:$C, $L$1)
  + COUNTIFS('임대사업(E)'!$G:$G, U$2, '임대사업(E)'!$Q:$Q, $J6, '임대사업(E)'!$C:$C, $L$1)
  + COUNTIFS('환경부사업(F)'!$G:$G, U$2, '환경부사업(F)'!$Q:$Q, $J6, '환경부사업(F)'!$C:$C, $L$1)
  + COUNTIFS('프로젝트(G)'!$G:$G, U$2, '프로젝트(G)'!$Q:$Q, $J6, '프로젝트(G)'!$C:$C, $L$1)
  + COUNTIFS('협력사 EPC(H)'!$G:$G, U$2, '협력사 EPC(H)'!$Q:$Q, $J6, '협력사 EPC(H)'!$C:$C, $L$1)
  + COUNTIFS('기타(Z)'!$G:$G, U$2, '기타(Z)'!$Q:$Q, $J6, '기타(Z)'!$C:$C, $L$1)
)</f>
        <v/>
      </c>
      <c r="W6" s="366" t="str">
        <f>IF(
  SUM(
    SUMIFS('발전사업(A)'!$I:$I,'발전사업(A)'!$G:$G,W$2,'발전사업(A)'!$Q:$Q,$J6,'발전사업(A)'!$C:$C,$L$1),
    SUMIFS('자가소비(B)'!$I:$I,'자가소비(B)'!$G:$G,W$2,'자가소비(B)'!$Q:$Q,$J6,'자가소비(B)'!$C:$C,$L$1),
    SUMIFS('PPA 사업(C)'!$I:$I,'PPA 사업(C)'!$G:$G,W$2,'PPA 사업(C)'!$Q:$Q,$J6,'PPA 사업(C)'!$C:$C,$L$1),
    SUMIFS('리스사업(D)'!$I:$I,'리스사업(D)'!$G:$G,W$2,'리스사업(D)'!$Q:$Q,$J6,'리스사업(D)'!$C:$C,$L$1),
    SUMIFS('임대사업(E)'!$I:$I,'임대사업(E)'!$G:$G,W$2,'임대사업(E)'!$Q:$Q,$J6,'임대사업(E)'!$C:$C,$L$1),
    SUMIFS('환경부사업(F)'!$I:$I,'환경부사업(F)'!$G:$G,W$2,'환경부사업(F)'!$Q:$Q,$J6,'환경부사업(F)'!$C:$C,$L$1),
    SUMIFS('프로젝트(G)'!$I:$I,'프로젝트(G)'!$G:$G,W$2,'프로젝트(G)'!$Q:$Q,$J6,'프로젝트(G)'!$C:$C,$L$1),
    SUMIFS('협력사 EPC(H)'!$I:$I,'협력사 EPC(H)'!$G:$G,W$2,'협력사 EPC(H)'!$Q:$Q,$J6,'협력사 EPC(H)'!$C:$C,$L$1),
    SUMIFS('기타(Z)'!$I:$I,'기타(Z)'!$G:$G,W$2,'기타(Z)'!$Q:$Q,$J6,'기타(Z)'!$C:$C,$L$1)
  )=0,
  "",
  SUM(
    SUMIFS('발전사업(A)'!$I:$I,'발전사업(A)'!$G:$G,W$2,'발전사업(A)'!$Q:$Q,$J6,'발전사업(A)'!$C:$C,$L$1),
    SUMIFS('자가소비(B)'!$I:$I,'자가소비(B)'!$G:$G,W$2,'자가소비(B)'!$Q:$Q,$J6,'자가소비(B)'!$C:$C,$L$1),
    SUMIFS('PPA 사업(C)'!$I:$I,'PPA 사업(C)'!$G:$G,W$2,'PPA 사업(C)'!$Q:$Q,$J6,'PPA 사업(C)'!$C:$C,$L$1),
    SUMIFS('리스사업(D)'!$I:$I,'리스사업(D)'!$G:$G,W$2,'리스사업(D)'!$Q:$Q,$J6,'리스사업(D)'!$C:$C,$L$1),
    SUMIFS('임대사업(E)'!$I:$I,'임대사업(E)'!$G:$G,W$2,'임대사업(E)'!$Q:$Q,$J6,'임대사업(E)'!$C:$C,$L$1),
    SUMIFS('환경부사업(F)'!$I:$I,'환경부사업(F)'!$G:$G,W$2,'환경부사업(F)'!$Q:$Q,$J6,'환경부사업(F)'!$C:$C,$L$1),
    SUMIFS('프로젝트(G)'!$I:$I,'프로젝트(G)'!$G:$G,W$2,'프로젝트(G)'!$Q:$Q,$J6,'프로젝트(G)'!$C:$C,$L$1),
    SUMIFS('협력사 EPC(H)'!$I:$I,'협력사 EPC(H)'!$G:$G,W$2,'협력사 EPC(H)'!$Q:$Q,$J6,'협력사 EPC(H)'!$C:$C,$L$1),
    SUMIFS('기타(Z)'!$I:$I,'기타(Z)'!$G:$G,W$2,'기타(Z)'!$Q:$Q,$J6,'기타(Z)'!$C:$C,$L$1)
  )
)</f>
        <v/>
      </c>
      <c r="X6" s="347" t="str">
        <f>IF(
  SUM(
    COUNTIFS('발전사업(A)'!$G:$G,W$2,'발전사업(A)'!$Q:$Q,$J6),
    COUNTIFS('자가소비(B)'!$G:$G,W$2,'자가소비(B)'!$Q:$Q,$J6),
    COUNTIFS('PPA 사업(C)'!$G:$G,W$2,'PPA 사업(C)'!$Q:$Q,$J6),
    COUNTIFS('리스사업(D)'!$G:$G,W$2,'리스사업(D)'!$Q:$Q,$J6),
    COUNTIFS('임대사업(E)'!$G:$G,W$2,'임대사업(E)'!$Q:$Q,$J6),
    COUNTIFS('환경부사업(F)'!$G:$G,W$2,'환경부사업(F)'!$Q:$Q,$J6),
    COUNTIFS('프로젝트(G)'!$G:$G,W$2,'프로젝트(G)'!$Q:$Q,$J6),
    COUNTIFS('협력사 EPC(H)'!$G:$G,W$2,'협력사 EPC(H)'!$Q:$Q,$J6),
    COUNTIFS('기타(Z)'!$G:$G,W$2,'기타(Z)'!$Q:$Q,$J6)
  )=0,
  "",
  COUNTIFS('발전사업(A)'!$G:$G,W$2,'발전사업(A)'!$Q:$Q,$J6)
  +COUNTIFS('자가소비(B)'!$G:$G,W$2,'자가소비(B)'!$Q:$Q,$J6)
  +COUNTIFS('PPA 사업(C)'!$G:$G,W$2,'PPA 사업(C)'!$Q:$Q,$J6)
  +COUNTIFS('리스사업(D)'!$G:$G,W$2,'리스사업(D)'!$Q:$Q,$J6)
  +COUNTIFS('임대사업(E)'!$G:$G,W$2,'임대사업(E)'!$Q:$Q,$J6)
  +COUNTIFS('환경부사업(F)'!$G:$G,W$2,'환경부사업(F)'!$Q:$Q,$J6)
  +COUNTIFS('프로젝트(G)'!$G:$G,W$2,'프로젝트(G)'!$Q:$Q,$J6)
  +COUNTIFS('협력사 EPC(H)'!$G:$G,W$2,'협력사 EPC(H)'!$Q:$Q,$J6)
  +COUNTIFS('기타(Z)'!$G:$G,W$2,'기타(Z)'!$Q:$Q,$J6)
)</f>
        <v/>
      </c>
      <c r="Y6" s="366">
        <f>IF(
  SUM(
    SUMIFS('발전사업(A)'!$I:$I,'발전사업(A)'!$G:$G,Y$2,'발전사업(A)'!$Q:$Q,$J6,'발전사업(A)'!$C:$C,$L$1),
    SUMIFS('자가소비(B)'!$I:$I,'자가소비(B)'!$G:$G,Y$2,'자가소비(B)'!$Q:$Q,$J6,'자가소비(B)'!$C:$C,$L$1),
    SUMIFS('PPA 사업(C)'!$I:$I,'PPA 사업(C)'!$G:$G,Y$2,'PPA 사업(C)'!$Q:$Q,$J6,'PPA 사업(C)'!$C:$C,$L$1),
    SUMIFS('리스사업(D)'!$I:$I,'리스사업(D)'!$G:$G,Y$2,'리스사업(D)'!$Q:$Q,$J6,'리스사업(D)'!$C:$C,$L$1),
    SUMIFS('임대사업(E)'!$I:$I,'임대사업(E)'!$G:$G,Y$2,'임대사업(E)'!$Q:$Q,$J6,'임대사업(E)'!$C:$C,$L$1),
    SUMIFS('환경부사업(F)'!$I:$I,'환경부사업(F)'!$G:$G,Y$2,'환경부사업(F)'!$Q:$Q,$J6,'환경부사업(F)'!$C:$C,$L$1),
    SUMIFS('프로젝트(G)'!$I:$I,'프로젝트(G)'!$G:$G,Y$2,'프로젝트(G)'!$Q:$Q,$J6,'프로젝트(G)'!$C:$C,$L$1),
    SUMIFS('협력사 EPC(H)'!$I:$I,'협력사 EPC(H)'!$G:$G,Y$2,'협력사 EPC(H)'!$Q:$Q,$J6,'협력사 EPC(H)'!$C:$C,$L$1),
    SUMIFS('기타(Z)'!$I:$I,'기타(Z)'!$G:$G,Y$2,'기타(Z)'!$Q:$Q,$J6,'기타(Z)'!$C:$C,$L$1)
  )=0,
  "",
  SUM(
    SUMIFS('발전사업(A)'!$I:$I,'발전사업(A)'!$G:$G,Y$2,'발전사업(A)'!$Q:$Q,$J6,'발전사업(A)'!$C:$C,$L$1),
    SUMIFS('자가소비(B)'!$I:$I,'자가소비(B)'!$G:$G,Y$2,'자가소비(B)'!$Q:$Q,$J6,'자가소비(B)'!$C:$C,$L$1),
    SUMIFS('PPA 사업(C)'!$I:$I,'PPA 사업(C)'!$G:$G,Y$2,'PPA 사업(C)'!$Q:$Q,$J6,'PPA 사업(C)'!$C:$C,$L$1),
    SUMIFS('리스사업(D)'!$I:$I,'리스사업(D)'!$G:$G,Y$2,'리스사업(D)'!$Q:$Q,$J6,'리스사업(D)'!$C:$C,$L$1),
    SUMIFS('임대사업(E)'!$I:$I,'임대사업(E)'!$G:$G,Y$2,'임대사업(E)'!$Q:$Q,$J6,'임대사업(E)'!$C:$C,$L$1),
    SUMIFS('환경부사업(F)'!$I:$I,'환경부사업(F)'!$G:$G,Y$2,'환경부사업(F)'!$Q:$Q,$J6,'환경부사업(F)'!$C:$C,$L$1),
    SUMIFS('프로젝트(G)'!$I:$I,'프로젝트(G)'!$G:$G,Y$2,'프로젝트(G)'!$Q:$Q,$J6,'프로젝트(G)'!$C:$C,$L$1),
    SUMIFS('협력사 EPC(H)'!$I:$I,'협력사 EPC(H)'!$G:$G,Y$2,'협력사 EPC(H)'!$Q:$Q,$J6,'협력사 EPC(H)'!$C:$C,$L$1),
    SUMIFS('기타(Z)'!$I:$I,'기타(Z)'!$G:$G,Y$2,'기타(Z)'!$Q:$Q,$J6,'기타(Z)'!$C:$C,$L$1)
  )
)</f>
        <v>158.67000000000002</v>
      </c>
      <c r="Z6" s="367">
        <f>IF(
  SUM(
    COUNTIFS('발전사업(A)'!$G:$G, Y$2, '발전사업(A)'!$Q:$Q, $J6, '발전사업(A)'!$C:$C, $L$1),
    COUNTIFS('자가소비(B)'!$G:$G, Y$2, '자가소비(B)'!$Q:$Q, $J6, '자가소비(B)'!$C:$C, $L$1),
    COUNTIFS('PPA 사업(C)'!$G:$G, Y$2, 'PPA 사업(C)'!$Q:$Q, $J6, 'PPA 사업(C)'!$C:$C, $L$1),
    COUNTIFS('리스사업(D)'!$G:$G, Y$2, '리스사업(D)'!$Q:$Q, $J6, '리스사업(D)'!$C:$C, $L$1),
    COUNTIFS('임대사업(E)'!$G:$G, Y$2, '임대사업(E)'!$Q:$Q, $J6, '임대사업(E)'!$C:$C, $L$1),
    COUNTIFS('환경부사업(F)'!$G:$G, Y$2, '환경부사업(F)'!$Q:$Q, $J6, '환경부사업(F)'!$C:$C, $L$1),
    COUNTIFS('프로젝트(G)'!$G:$G, Y$2, '프로젝트(G)'!$Q:$Q, $J6, '프로젝트(G)'!$C:$C, $L$1),
    COUNTIFS('협력사 EPC(H)'!$G:$G, Y$2, '협력사 EPC(H)'!$Q:$Q, $J6, '협력사 EPC(H)'!$C:$C, $L$1),
    COUNTIFS('기타(Z)'!$G:$G, Y$2, '기타(Z)'!$Q:$Q, $J6, '기타(Z)'!$C:$C, $L$1)
  ) = 0,
  "",
  COUNTIFS('발전사업(A)'!$G:$G, Y$2, '발전사업(A)'!$Q:$Q, $J6, '발전사업(A)'!$C:$C, $L$1)
  + COUNTIFS('자가소비(B)'!$G:$G, Y$2, '자가소비(B)'!$Q:$Q, $J6, '자가소비(B)'!$C:$C, $L$1)
  + COUNTIFS('PPA 사업(C)'!$G:$G, Y$2, 'PPA 사업(C)'!$Q:$Q, $J6, 'PPA 사업(C)'!$C:$C, $L$1)
  + COUNTIFS('리스사업(D)'!$G:$G, Y$2, '리스사업(D)'!$Q:$Q, $J6, '리스사업(D)'!$C:$C, $L$1)
  + COUNTIFS('임대사업(E)'!$G:$G, Y$2, '임대사업(E)'!$Q:$Q, $J6, '임대사업(E)'!$C:$C, $L$1)
  + COUNTIFS('환경부사업(F)'!$G:$G, Y$2, '환경부사업(F)'!$Q:$Q, $J6, '환경부사업(F)'!$C:$C, $L$1)
  + COUNTIFS('프로젝트(G)'!$G:$G, Y$2, '프로젝트(G)'!$Q:$Q, $J6, '프로젝트(G)'!$C:$C, $L$1)
  + COUNTIFS('협력사 EPC(H)'!$G:$G, Y$2, '협력사 EPC(H)'!$Q:$Q, $J6, '협력사 EPC(H)'!$C:$C, $L$1)
  + COUNTIFS('기타(Z)'!$G:$G, Y$2, '기타(Z)'!$Q:$Q, $J6, '기타(Z)'!$C:$C, $L$1)
)</f>
        <v>2</v>
      </c>
      <c r="AA6" s="366">
        <f>IF(
  SUM(
    SUMIFS('발전사업(A)'!$I:$I,'발전사업(A)'!$G:$G,AA$2,'발전사업(A)'!$Q:$Q,$J6,'발전사업(A)'!$C:$C,$L$1),
    SUMIFS('자가소비(B)'!$I:$I,'자가소비(B)'!$G:$G,AA$2,'자가소비(B)'!$Q:$Q,$J6,'자가소비(B)'!$C:$C,$L$1),
    SUMIFS('PPA 사업(C)'!$I:$I,'PPA 사업(C)'!$G:$G,AA$2,'PPA 사업(C)'!$Q:$Q,$J6,'PPA 사업(C)'!$C:$C,$L$1),
    SUMIFS('리스사업(D)'!$I:$I,'리스사업(D)'!$G:$G,AA$2,'리스사업(D)'!$Q:$Q,$J6,'리스사업(D)'!$C:$C,$L$1),
    SUMIFS('임대사업(E)'!$I:$I,'임대사업(E)'!$G:$G,AA$2,'임대사업(E)'!$Q:$Q,$J6,'임대사업(E)'!$C:$C,$L$1),
    SUMIFS('환경부사업(F)'!$I:$I,'환경부사업(F)'!$G:$G,AA$2,'환경부사업(F)'!$Q:$Q,$J6,'환경부사업(F)'!$C:$C,$L$1),
    SUMIFS('프로젝트(G)'!$I:$I,'프로젝트(G)'!$G:$G,AA$2,'프로젝트(G)'!$Q:$Q,$J6,'프로젝트(G)'!$C:$C,$L$1),
    SUMIFS('협력사 EPC(H)'!$I:$I,'협력사 EPC(H)'!$G:$G,AA$2,'협력사 EPC(H)'!$Q:$Q,$J6,'협력사 EPC(H)'!$C:$C,$L$1),
    SUMIFS('기타(Z)'!$I:$I,'기타(Z)'!$G:$G,AA$2,'기타(Z)'!$Q:$Q,$J6,'기타(Z)'!$C:$C,$L$1)
  )=0,
  "",
  SUM(
    SUMIFS('발전사업(A)'!$I:$I,'발전사업(A)'!$G:$G,AA$2,'발전사업(A)'!$Q:$Q,$J6,'발전사업(A)'!$C:$C,$L$1),
    SUMIFS('자가소비(B)'!$I:$I,'자가소비(B)'!$G:$G,AA$2,'자가소비(B)'!$Q:$Q,$J6,'자가소비(B)'!$C:$C,$L$1),
    SUMIFS('PPA 사업(C)'!$I:$I,'PPA 사업(C)'!$G:$G,AA$2,'PPA 사업(C)'!$Q:$Q,$J6,'PPA 사업(C)'!$C:$C,$L$1),
    SUMIFS('리스사업(D)'!$I:$I,'리스사업(D)'!$G:$G,AA$2,'리스사업(D)'!$Q:$Q,$J6,'리스사업(D)'!$C:$C,$L$1),
    SUMIFS('임대사업(E)'!$I:$I,'임대사업(E)'!$G:$G,AA$2,'임대사업(E)'!$Q:$Q,$J6,'임대사업(E)'!$C:$C,$L$1),
    SUMIFS('환경부사업(F)'!$I:$I,'환경부사업(F)'!$G:$G,AA$2,'환경부사업(F)'!$Q:$Q,$J6,'환경부사업(F)'!$C:$C,$L$1),
    SUMIFS('프로젝트(G)'!$I:$I,'프로젝트(G)'!$G:$G,AA$2,'프로젝트(G)'!$Q:$Q,$J6,'프로젝트(G)'!$C:$C,$L$1),
    SUMIFS('협력사 EPC(H)'!$I:$I,'협력사 EPC(H)'!$G:$G,AA$2,'협력사 EPC(H)'!$Q:$Q,$J6,'협력사 EPC(H)'!$C:$C,$L$1),
    SUMIFS('기타(Z)'!$I:$I,'기타(Z)'!$G:$G,AA$2,'기타(Z)'!$Q:$Q,$J6,'기타(Z)'!$C:$C,$L$1)
  )
)</f>
        <v>145.125</v>
      </c>
      <c r="AB6" s="367">
        <f>IF(
  SUM(
    COUNTIFS('발전사업(A)'!$G:$G, AA$2, '발전사업(A)'!$Q:$Q, $J6, '발전사업(A)'!$C:$C, $L$1),
    COUNTIFS('자가소비(B)'!$G:$G, AA$2, '자가소비(B)'!$Q:$Q, $J6, '자가소비(B)'!$C:$C, $L$1),
    COUNTIFS('PPA 사업(C)'!$G:$G, AA$2, 'PPA 사업(C)'!$Q:$Q, $J6, 'PPA 사업(C)'!$C:$C, $L$1),
    COUNTIFS('리스사업(D)'!$G:$G, AA$2, '리스사업(D)'!$Q:$Q, $J6, '리스사업(D)'!$C:$C, $L$1),
    COUNTIFS('임대사업(E)'!$G:$G, AA$2, '임대사업(E)'!$Q:$Q, $J6, '임대사업(E)'!$C:$C, $L$1),
    COUNTIFS('환경부사업(F)'!$G:$G, AA$2, '환경부사업(F)'!$Q:$Q, $J6, '환경부사업(F)'!$C:$C, $L$1),
    COUNTIFS('프로젝트(G)'!$G:$G, AA$2, '프로젝트(G)'!$Q:$Q, $J6, '프로젝트(G)'!$C:$C, $L$1),
    COUNTIFS('협력사 EPC(H)'!$G:$G, AA$2, '협력사 EPC(H)'!$Q:$Q, $J6, '협력사 EPC(H)'!$C:$C, $L$1),
    COUNTIFS('기타(Z)'!$G:$G, AA$2, '기타(Z)'!$Q:$Q, $J6, '기타(Z)'!$C:$C, $L$1)
  ) = 0,
  "",
  COUNTIFS('발전사업(A)'!$G:$G, AA$2, '발전사업(A)'!$Q:$Q, $J6, '발전사업(A)'!$C:$C, $L$1)
  + COUNTIFS('자가소비(B)'!$G:$G, AA$2, '자가소비(B)'!$Q:$Q, $J6, '자가소비(B)'!$C:$C, $L$1)
  + COUNTIFS('PPA 사업(C)'!$G:$G, AA$2, 'PPA 사업(C)'!$Q:$Q, $J6, 'PPA 사업(C)'!$C:$C, $L$1)
  + COUNTIFS('리스사업(D)'!$G:$G, AA$2, '리스사업(D)'!$Q:$Q, $J6, '리스사업(D)'!$C:$C, $L$1)
  + COUNTIFS('임대사업(E)'!$G:$G, AA$2, '임대사업(E)'!$Q:$Q, $J6, '임대사업(E)'!$C:$C, $L$1)
  + COUNTIFS('환경부사업(F)'!$G:$G, AA$2, '환경부사업(F)'!$Q:$Q, $J6, '환경부사업(F)'!$C:$C, $L$1)
  + COUNTIFS('프로젝트(G)'!$G:$G, AA$2, '프로젝트(G)'!$Q:$Q, $J6, '프로젝트(G)'!$C:$C, $L$1)
  + COUNTIFS('협력사 EPC(H)'!$G:$G, AA$2, '협력사 EPC(H)'!$Q:$Q, $J6, '협력사 EPC(H)'!$C:$C, $L$1)
  + COUNTIFS('기타(Z)'!$G:$G, AA$2, '기타(Z)'!$Q:$Q, $J6, '기타(Z)'!$C:$C, $L$1)
)</f>
        <v>1</v>
      </c>
      <c r="AC6" s="366" t="str">
        <f>IF(
  SUM(
    SUMIFS('발전사업(A)'!$I:$I,'발전사업(A)'!$G:$G,AC$2,'발전사업(A)'!$Q:$Q,$J6,'발전사업(A)'!$C:$C,$L$1),
    SUMIFS('자가소비(B)'!$I:$I,'자가소비(B)'!$G:$G,AC$2,'자가소비(B)'!$Q:$Q,$J6,'자가소비(B)'!$C:$C,$L$1),
    SUMIFS('PPA 사업(C)'!$I:$I,'PPA 사업(C)'!$G:$G,AC$2,'PPA 사업(C)'!$Q:$Q,$J6,'PPA 사업(C)'!$C:$C,$L$1),
    SUMIFS('리스사업(D)'!$I:$I,'리스사업(D)'!$G:$G,AC$2,'리스사업(D)'!$Q:$Q,$J6,'리스사업(D)'!$C:$C,$L$1),
    SUMIFS('임대사업(E)'!$I:$I,'임대사업(E)'!$G:$G,AC$2,'임대사업(E)'!$Q:$Q,$J6,'임대사업(E)'!$C:$C,$L$1),
    SUMIFS('환경부사업(F)'!$I:$I,'환경부사업(F)'!$G:$G,AC$2,'환경부사업(F)'!$Q:$Q,$J6,'환경부사업(F)'!$C:$C,$L$1),
    SUMIFS('프로젝트(G)'!$I:$I,'프로젝트(G)'!$G:$G,AC$2,'프로젝트(G)'!$Q:$Q,$J6,'프로젝트(G)'!$C:$C,$L$1),
    SUMIFS('협력사 EPC(H)'!$I:$I,'협력사 EPC(H)'!$G:$G,AC$2,'협력사 EPC(H)'!$Q:$Q,$J6,'협력사 EPC(H)'!$C:$C,$L$1),
    SUMIFS('기타(Z)'!$I:$I,'기타(Z)'!$G:$G,AC$2,'기타(Z)'!$Q:$Q,$J6,'기타(Z)'!$C:$C,$L$1)
  )=0,
  "",
  SUM(
    SUMIFS('발전사업(A)'!$I:$I,'발전사업(A)'!$G:$G,AC$2,'발전사업(A)'!$Q:$Q,$J6,'발전사업(A)'!$C:$C,$L$1),
    SUMIFS('자가소비(B)'!$I:$I,'자가소비(B)'!$G:$G,AC$2,'자가소비(B)'!$Q:$Q,$J6,'자가소비(B)'!$C:$C,$L$1),
    SUMIFS('PPA 사업(C)'!$I:$I,'PPA 사업(C)'!$G:$G,AC$2,'PPA 사업(C)'!$Q:$Q,$J6,'PPA 사업(C)'!$C:$C,$L$1),
    SUMIFS('리스사업(D)'!$I:$I,'리스사업(D)'!$G:$G,AC$2,'리스사업(D)'!$Q:$Q,$J6,'리스사업(D)'!$C:$C,$L$1),
    SUMIFS('임대사업(E)'!$I:$I,'임대사업(E)'!$G:$G,AC$2,'임대사업(E)'!$Q:$Q,$J6,'임대사업(E)'!$C:$C,$L$1),
    SUMIFS('환경부사업(F)'!$I:$I,'환경부사업(F)'!$G:$G,AC$2,'환경부사업(F)'!$Q:$Q,$J6,'환경부사업(F)'!$C:$C,$L$1),
    SUMIFS('프로젝트(G)'!$I:$I,'프로젝트(G)'!$G:$G,AC$2,'프로젝트(G)'!$Q:$Q,$J6,'프로젝트(G)'!$C:$C,$L$1),
    SUMIFS('협력사 EPC(H)'!$I:$I,'협력사 EPC(H)'!$G:$G,AC$2,'협력사 EPC(H)'!$Q:$Q,$J6,'협력사 EPC(H)'!$C:$C,$L$1),
    SUMIFS('기타(Z)'!$I:$I,'기타(Z)'!$G:$G,AC$2,'기타(Z)'!$Q:$Q,$J6,'기타(Z)'!$C:$C,$L$1)
  )
)</f>
        <v/>
      </c>
      <c r="AD6" s="367" t="str">
        <f>IF(
  SUM(
    COUNTIFS('발전사업(A)'!$G:$G, AC$2, '발전사업(A)'!$Q:$Q, $J6, '발전사업(A)'!$C:$C, $L$1),
    COUNTIFS('자가소비(B)'!$G:$G, AC$2, '자가소비(B)'!$Q:$Q, $J6, '자가소비(B)'!$C:$C, $L$1),
    COUNTIFS('PPA 사업(C)'!$G:$G, AC$2, 'PPA 사업(C)'!$Q:$Q, $J6, 'PPA 사업(C)'!$C:$C, $L$1),
    COUNTIFS('리스사업(D)'!$G:$G, AC$2, '리스사업(D)'!$Q:$Q, $J6, '리스사업(D)'!$C:$C, $L$1),
    COUNTIFS('임대사업(E)'!$G:$G, AC$2, '임대사업(E)'!$Q:$Q, $J6, '임대사업(E)'!$C:$C, $L$1),
    COUNTIFS('환경부사업(F)'!$G:$G, AC$2, '환경부사업(F)'!$Q:$Q, $J6, '환경부사업(F)'!$C:$C, $L$1),
    COUNTIFS('프로젝트(G)'!$G:$G, AC$2, '프로젝트(G)'!$Q:$Q, $J6, '프로젝트(G)'!$C:$C, $L$1),
    COUNTIFS('협력사 EPC(H)'!$G:$G, AC$2, '협력사 EPC(H)'!$Q:$Q, $J6, '협력사 EPC(H)'!$C:$C, $L$1),
    COUNTIFS('기타(Z)'!$G:$G, AC$2, '기타(Z)'!$Q:$Q, $J6, '기타(Z)'!$C:$C, $L$1)
  ) = 0,
  "",
  COUNTIFS('발전사업(A)'!$G:$G, AC$2, '발전사업(A)'!$Q:$Q, $J6, '발전사업(A)'!$C:$C, $L$1)
  + COUNTIFS('자가소비(B)'!$G:$G, AC$2, '자가소비(B)'!$Q:$Q, $J6, '자가소비(B)'!$C:$C, $L$1)
  + COUNTIFS('PPA 사업(C)'!$G:$G, AC$2, 'PPA 사업(C)'!$Q:$Q, $J6, 'PPA 사업(C)'!$C:$C, $L$1)
  + COUNTIFS('리스사업(D)'!$G:$G, AC$2, '리스사업(D)'!$Q:$Q, $J6, '리스사업(D)'!$C:$C, $L$1)
  + COUNTIFS('임대사업(E)'!$G:$G, AC$2, '임대사업(E)'!$Q:$Q, $J6, '임대사업(E)'!$C:$C, $L$1)
  + COUNTIFS('환경부사업(F)'!$G:$G, AC$2, '환경부사업(F)'!$Q:$Q, $J6, '환경부사업(F)'!$C:$C, $L$1)
  + COUNTIFS('프로젝트(G)'!$G:$G, AC$2, '프로젝트(G)'!$Q:$Q, $J6, '프로젝트(G)'!$C:$C, $L$1)
  + COUNTIFS('협력사 EPC(H)'!$G:$G, AC$2, '협력사 EPC(H)'!$Q:$Q, $J6, '협력사 EPC(H)'!$C:$C, $L$1)
  + COUNTIFS('기타(Z)'!$G:$G, AC$2, '기타(Z)'!$Q:$Q, $J6, '기타(Z)'!$C:$C, $L$1)
)</f>
        <v/>
      </c>
      <c r="AE6" s="366" t="str">
        <f>IF(
  SUM(
    SUMIFS('발전사업(A)'!$I:$I,'발전사업(A)'!$G:$G,AE$2,'발전사업(A)'!$Q:$Q,$J6,'발전사업(A)'!$C:$C,$L$1),
    SUMIFS('자가소비(B)'!$I:$I,'자가소비(B)'!$G:$G,AE$2,'자가소비(B)'!$Q:$Q,$J6,'자가소비(B)'!$C:$C,$L$1),
    SUMIFS('PPA 사업(C)'!$I:$I,'PPA 사업(C)'!$G:$G,AE$2,'PPA 사업(C)'!$Q:$Q,$J6,'PPA 사업(C)'!$C:$C,$L$1),
    SUMIFS('리스사업(D)'!$I:$I,'리스사업(D)'!$G:$G,AE$2,'리스사업(D)'!$Q:$Q,$J6,'리스사업(D)'!$C:$C,$L$1),
    SUMIFS('임대사업(E)'!$I:$I,'임대사업(E)'!$G:$G,AE$2,'임대사업(E)'!$Q:$Q,$J6,'임대사업(E)'!$C:$C,$L$1),
    SUMIFS('환경부사업(F)'!$I:$I,'환경부사업(F)'!$G:$G,AE$2,'환경부사업(F)'!$Q:$Q,$J6,'환경부사업(F)'!$C:$C,$L$1),
    SUMIFS('프로젝트(G)'!$I:$I,'프로젝트(G)'!$G:$G,AE$2,'프로젝트(G)'!$Q:$Q,$J6,'프로젝트(G)'!$C:$C,$L$1),
    SUMIFS('협력사 EPC(H)'!$I:$I,'협력사 EPC(H)'!$G:$G,AE$2,'협력사 EPC(H)'!$Q:$Q,$J6,'협력사 EPC(H)'!$C:$C,$L$1),
    SUMIFS('기타(Z)'!$I:$I,'기타(Z)'!$G:$G,AE$2,'기타(Z)'!$Q:$Q,$J6,'기타(Z)'!$C:$C,$L$1)
  )=0,
  "",
  SUM(
    SUMIFS('발전사업(A)'!$I:$I,'발전사업(A)'!$G:$G,AE$2,'발전사업(A)'!$Q:$Q,$J6,'발전사업(A)'!$C:$C,$L$1),
    SUMIFS('자가소비(B)'!$I:$I,'자가소비(B)'!$G:$G,AE$2,'자가소비(B)'!$Q:$Q,$J6,'자가소비(B)'!$C:$C,$L$1),
    SUMIFS('PPA 사업(C)'!$I:$I,'PPA 사업(C)'!$G:$G,AE$2,'PPA 사업(C)'!$Q:$Q,$J6,'PPA 사업(C)'!$C:$C,$L$1),
    SUMIFS('리스사업(D)'!$I:$I,'리스사업(D)'!$G:$G,AE$2,'리스사업(D)'!$Q:$Q,$J6,'리스사업(D)'!$C:$C,$L$1),
    SUMIFS('임대사업(E)'!$I:$I,'임대사업(E)'!$G:$G,AE$2,'임대사업(E)'!$Q:$Q,$J6,'임대사업(E)'!$C:$C,$L$1),
    SUMIFS('환경부사업(F)'!$I:$I,'환경부사업(F)'!$G:$G,AE$2,'환경부사업(F)'!$Q:$Q,$J6,'환경부사업(F)'!$C:$C,$L$1),
    SUMIFS('프로젝트(G)'!$I:$I,'프로젝트(G)'!$G:$G,AE$2,'프로젝트(G)'!$Q:$Q,$J6,'프로젝트(G)'!$C:$C,$L$1),
    SUMIFS('협력사 EPC(H)'!$I:$I,'협력사 EPC(H)'!$G:$G,AE$2,'협력사 EPC(H)'!$Q:$Q,$J6,'협력사 EPC(H)'!$C:$C,$L$1),
    SUMIFS('기타(Z)'!$I:$I,'기타(Z)'!$G:$G,AE$2,'기타(Z)'!$Q:$Q,$J6,'기타(Z)'!$C:$C,$L$1)
  )
)</f>
        <v/>
      </c>
      <c r="AF6" s="367" t="str">
        <f>IF(
  SUM(
    COUNTIFS('발전사업(A)'!$G:$G, AE$2, '발전사업(A)'!$Q:$Q, $J6, '발전사업(A)'!$C:$C, $L$1),
    COUNTIFS('자가소비(B)'!$G:$G, AE$2, '자가소비(B)'!$Q:$Q, $J6, '자가소비(B)'!$C:$C, $L$1),
    COUNTIFS('PPA 사업(C)'!$G:$G, AE$2, 'PPA 사업(C)'!$Q:$Q, $J6, 'PPA 사업(C)'!$C:$C, $L$1),
    COUNTIFS('리스사업(D)'!$G:$G, AE$2, '리스사업(D)'!$Q:$Q, $J6, '리스사업(D)'!$C:$C, $L$1),
    COUNTIFS('임대사업(E)'!$G:$G, AE$2, '임대사업(E)'!$Q:$Q, $J6, '임대사업(E)'!$C:$C, $L$1),
    COUNTIFS('환경부사업(F)'!$G:$G, AE$2, '환경부사업(F)'!$Q:$Q, $J6, '환경부사업(F)'!$C:$C, $L$1),
    COUNTIFS('프로젝트(G)'!$G:$G, AE$2, '프로젝트(G)'!$Q:$Q, $J6, '프로젝트(G)'!$C:$C, $L$1),
    COUNTIFS('협력사 EPC(H)'!$G:$G, AE$2, '협력사 EPC(H)'!$Q:$Q, $J6, '협력사 EPC(H)'!$C:$C, $L$1),
    COUNTIFS('기타(Z)'!$G:$G, AE$2, '기타(Z)'!$Q:$Q, $J6, '기타(Z)'!$C:$C, $L$1)
  ) = 0,
  "",
  COUNTIFS('발전사업(A)'!$G:$G, AE$2, '발전사업(A)'!$Q:$Q, $J6, '발전사업(A)'!$C:$C, $L$1)
  + COUNTIFS('자가소비(B)'!$G:$G, AE$2, '자가소비(B)'!$Q:$Q, $J6, '자가소비(B)'!$C:$C, $L$1)
  + COUNTIFS('PPA 사업(C)'!$G:$G, AE$2, 'PPA 사업(C)'!$Q:$Q, $J6, 'PPA 사업(C)'!$C:$C, $L$1)
  + COUNTIFS('리스사업(D)'!$G:$G, AE$2, '리스사업(D)'!$Q:$Q, $J6, '리스사업(D)'!$C:$C, $L$1)
  + COUNTIFS('임대사업(E)'!$G:$G, AE$2, '임대사업(E)'!$Q:$Q, $J6, '임대사업(E)'!$C:$C, $L$1)
  + COUNTIFS('환경부사업(F)'!$G:$G, AE$2, '환경부사업(F)'!$Q:$Q, $J6, '환경부사업(F)'!$C:$C, $L$1)
  + COUNTIFS('프로젝트(G)'!$G:$G, AE$2, '프로젝트(G)'!$Q:$Q, $J6, '프로젝트(G)'!$C:$C, $L$1)
  + COUNTIFS('협력사 EPC(H)'!$G:$G, AE$2, '협력사 EPC(H)'!$Q:$Q, $J6, '협력사 EPC(H)'!$C:$C, $L$1)
  + COUNTIFS('기타(Z)'!$G:$G, AE$2, '기타(Z)'!$Q:$Q, $J6, '기타(Z)'!$C:$C, $L$1)
)</f>
        <v/>
      </c>
      <c r="AG6" s="366" t="str">
        <f>IF(
  SUM(
    SUMIFS('발전사업(A)'!$I:$I,'발전사업(A)'!$G:$G,AG$2,'발전사업(A)'!$Q:$Q,$J6,'발전사업(A)'!$C:$C,$L$1),
    SUMIFS('자가소비(B)'!$I:$I,'자가소비(B)'!$G:$G,AG$2,'자가소비(B)'!$Q:$Q,$J6,'자가소비(B)'!$C:$C,$L$1),
    SUMIFS('PPA 사업(C)'!$I:$I,'PPA 사업(C)'!$G:$G,AG$2,'PPA 사업(C)'!$Q:$Q,$J6,'PPA 사업(C)'!$C:$C,$L$1),
    SUMIFS('리스사업(D)'!$I:$I,'리스사업(D)'!$G:$G,AG$2,'리스사업(D)'!$Q:$Q,$J6,'리스사업(D)'!$C:$C,$L$1),
    SUMIFS('임대사업(E)'!$I:$I,'임대사업(E)'!$G:$G,AG$2,'임대사업(E)'!$Q:$Q,$J6,'임대사업(E)'!$C:$C,$L$1),
    SUMIFS('환경부사업(F)'!$I:$I,'환경부사업(F)'!$G:$G,AG$2,'환경부사업(F)'!$Q:$Q,$J6,'환경부사업(F)'!$C:$C,$L$1),
    SUMIFS('프로젝트(G)'!$I:$I,'프로젝트(G)'!$G:$G,AG$2,'프로젝트(G)'!$Q:$Q,$J6,'프로젝트(G)'!$C:$C,$L$1),
    SUMIFS('협력사 EPC(H)'!$I:$I,'협력사 EPC(H)'!$G:$G,AG$2,'협력사 EPC(H)'!$Q:$Q,$J6,'협력사 EPC(H)'!$C:$C,$L$1),
    SUMIFS('기타(Z)'!$I:$I,'기타(Z)'!$G:$G,AG$2,'기타(Z)'!$Q:$Q,$J6,'기타(Z)'!$C:$C,$L$1)
  )=0,
  "",
  SUM(
    SUMIFS('발전사업(A)'!$I:$I,'발전사업(A)'!$G:$G,AG$2,'발전사업(A)'!$Q:$Q,$J6,'발전사업(A)'!$C:$C,$L$1),
    SUMIFS('자가소비(B)'!$I:$I,'자가소비(B)'!$G:$G,AG$2,'자가소비(B)'!$Q:$Q,$J6,'자가소비(B)'!$C:$C,$L$1),
    SUMIFS('PPA 사업(C)'!$I:$I,'PPA 사업(C)'!$G:$G,AG$2,'PPA 사업(C)'!$Q:$Q,$J6,'PPA 사업(C)'!$C:$C,$L$1),
    SUMIFS('리스사업(D)'!$I:$I,'리스사업(D)'!$G:$G,AG$2,'리스사업(D)'!$Q:$Q,$J6,'리스사업(D)'!$C:$C,$L$1),
    SUMIFS('임대사업(E)'!$I:$I,'임대사업(E)'!$G:$G,AG$2,'임대사업(E)'!$Q:$Q,$J6,'임대사업(E)'!$C:$C,$L$1),
    SUMIFS('환경부사업(F)'!$I:$I,'환경부사업(F)'!$G:$G,AG$2,'환경부사업(F)'!$Q:$Q,$J6,'환경부사업(F)'!$C:$C,$L$1),
    SUMIFS('프로젝트(G)'!$I:$I,'프로젝트(G)'!$G:$G,AG$2,'프로젝트(G)'!$Q:$Q,$J6,'프로젝트(G)'!$C:$C,$L$1),
    SUMIFS('협력사 EPC(H)'!$I:$I,'협력사 EPC(H)'!$G:$G,AG$2,'협력사 EPC(H)'!$Q:$Q,$J6,'협력사 EPC(H)'!$C:$C,$L$1),
    SUMIFS('기타(Z)'!$I:$I,'기타(Z)'!$G:$G,AG$2,'기타(Z)'!$Q:$Q,$J6,'기타(Z)'!$C:$C,$L$1)
  )
)</f>
        <v/>
      </c>
      <c r="AH6" s="367" t="str">
        <f>IF(
  SUM(
    COUNTIFS('발전사업(A)'!$G:$G, AG$2, '발전사업(A)'!$Q:$Q, $J6, '발전사업(A)'!$C:$C, $L$1),
    COUNTIFS('자가소비(B)'!$G:$G, AG$2, '자가소비(B)'!$Q:$Q, $J6, '자가소비(B)'!$C:$C, $L$1),
    COUNTIFS('PPA 사업(C)'!$G:$G, AG$2, 'PPA 사업(C)'!$Q:$Q, $J6, 'PPA 사업(C)'!$C:$C, $L$1),
    COUNTIFS('리스사업(D)'!$G:$G, AG$2, '리스사업(D)'!$Q:$Q, $J6, '리스사업(D)'!$C:$C, $L$1),
    COUNTIFS('임대사업(E)'!$G:$G, AG$2, '임대사업(E)'!$Q:$Q, $J6, '임대사업(E)'!$C:$C, $L$1),
    COUNTIFS('환경부사업(F)'!$G:$G, AG$2, '환경부사업(F)'!$Q:$Q, $J6, '환경부사업(F)'!$C:$C, $L$1),
    COUNTIFS('프로젝트(G)'!$G:$G, AG$2, '프로젝트(G)'!$Q:$Q, $J6, '프로젝트(G)'!$C:$C, $L$1),
    COUNTIFS('협력사 EPC(H)'!$G:$G, AG$2, '협력사 EPC(H)'!$Q:$Q, $J6, '협력사 EPC(H)'!$C:$C, $L$1),
    COUNTIFS('기타(Z)'!$G:$G, AG$2, '기타(Z)'!$Q:$Q, $J6, '기타(Z)'!$C:$C, $L$1)
  ) = 0,
  "",
  COUNTIFS('발전사업(A)'!$G:$G, AG$2, '발전사업(A)'!$Q:$Q, $J6, '발전사업(A)'!$C:$C, $L$1)
  + COUNTIFS('자가소비(B)'!$G:$G, AG$2, '자가소비(B)'!$Q:$Q, $J6, '자가소비(B)'!$C:$C, $L$1)
  + COUNTIFS('PPA 사업(C)'!$G:$G, AG$2, 'PPA 사업(C)'!$Q:$Q, $J6, 'PPA 사업(C)'!$C:$C, $L$1)
  + COUNTIFS('리스사업(D)'!$G:$G, AG$2, '리스사업(D)'!$Q:$Q, $J6, '리스사업(D)'!$C:$C, $L$1)
  + COUNTIFS('임대사업(E)'!$G:$G, AG$2, '임대사업(E)'!$Q:$Q, $J6, '임대사업(E)'!$C:$C, $L$1)
  + COUNTIFS('환경부사업(F)'!$G:$G, AG$2, '환경부사업(F)'!$Q:$Q, $J6, '환경부사업(F)'!$C:$C, $L$1)
  + COUNTIFS('프로젝트(G)'!$G:$G, AG$2, '프로젝트(G)'!$Q:$Q, $J6, '프로젝트(G)'!$C:$C, $L$1)
  + COUNTIFS('협력사 EPC(H)'!$G:$G, AG$2, '협력사 EPC(H)'!$Q:$Q, $J6, '협력사 EPC(H)'!$C:$C, $L$1)
  + COUNTIFS('기타(Z)'!$G:$G, AG$2, '기타(Z)'!$Q:$Q, $J6, '기타(Z)'!$C:$C, $L$1)
)</f>
        <v/>
      </c>
      <c r="AI6" s="366" t="str">
        <f>IF(
  SUM(
    SUMIFS('발전사업(A)'!$I:$I,'발전사업(A)'!$G:$G,AI$2,'발전사업(A)'!$Q:$Q,$J6,'발전사업(A)'!$C:$C,$L$1),
    SUMIFS('자가소비(B)'!$I:$I,'자가소비(B)'!$G:$G,AI$2,'자가소비(B)'!$Q:$Q,$J6,'자가소비(B)'!$C:$C,$L$1),
    SUMIFS('PPA 사업(C)'!$I:$I,'PPA 사업(C)'!$G:$G,AI$2,'PPA 사업(C)'!$Q:$Q,$J6,'PPA 사업(C)'!$C:$C,$L$1),
    SUMIFS('리스사업(D)'!$I:$I,'리스사업(D)'!$G:$G,AI$2,'리스사업(D)'!$Q:$Q,$J6,'리스사업(D)'!$C:$C,$L$1),
    SUMIFS('임대사업(E)'!$I:$I,'임대사업(E)'!$G:$G,AI$2,'임대사업(E)'!$Q:$Q,$J6,'임대사업(E)'!$C:$C,$L$1),
    SUMIFS('환경부사업(F)'!$I:$I,'환경부사업(F)'!$G:$G,AI$2,'환경부사업(F)'!$Q:$Q,$J6,'환경부사업(F)'!$C:$C,$L$1),
    SUMIFS('프로젝트(G)'!$I:$I,'프로젝트(G)'!$G:$G,AI$2,'프로젝트(G)'!$Q:$Q,$J6,'프로젝트(G)'!$C:$C,$L$1),
    SUMIFS('협력사 EPC(H)'!$I:$I,'협력사 EPC(H)'!$G:$G,AI$2,'협력사 EPC(H)'!$Q:$Q,$J6,'협력사 EPC(H)'!$C:$C,$L$1),
    SUMIFS('기타(Z)'!$I:$I,'기타(Z)'!$G:$G,AI$2,'기타(Z)'!$Q:$Q,$J6,'기타(Z)'!$C:$C,$L$1)
  )=0,
  "",
  SUM(
    SUMIFS('발전사업(A)'!$I:$I,'발전사업(A)'!$G:$G,AI$2,'발전사업(A)'!$Q:$Q,$J6,'발전사업(A)'!$C:$C,$L$1),
    SUMIFS('자가소비(B)'!$I:$I,'자가소비(B)'!$G:$G,AI$2,'자가소비(B)'!$Q:$Q,$J6,'자가소비(B)'!$C:$C,$L$1),
    SUMIFS('PPA 사업(C)'!$I:$I,'PPA 사업(C)'!$G:$G,AI$2,'PPA 사업(C)'!$Q:$Q,$J6,'PPA 사업(C)'!$C:$C,$L$1),
    SUMIFS('리스사업(D)'!$I:$I,'리스사업(D)'!$G:$G,AI$2,'리스사업(D)'!$Q:$Q,$J6,'리스사업(D)'!$C:$C,$L$1),
    SUMIFS('임대사업(E)'!$I:$I,'임대사업(E)'!$G:$G,AI$2,'임대사업(E)'!$Q:$Q,$J6,'임대사업(E)'!$C:$C,$L$1),
    SUMIFS('환경부사업(F)'!$I:$I,'환경부사업(F)'!$G:$G,AI$2,'환경부사업(F)'!$Q:$Q,$J6,'환경부사업(F)'!$C:$C,$L$1),
    SUMIFS('프로젝트(G)'!$I:$I,'프로젝트(G)'!$G:$G,AI$2,'프로젝트(G)'!$Q:$Q,$J6,'프로젝트(G)'!$C:$C,$L$1),
    SUMIFS('협력사 EPC(H)'!$I:$I,'협력사 EPC(H)'!$G:$G,AI$2,'협력사 EPC(H)'!$Q:$Q,$J6,'협력사 EPC(H)'!$C:$C,$L$1),
    SUMIFS('기타(Z)'!$I:$I,'기타(Z)'!$G:$G,AI$2,'기타(Z)'!$Q:$Q,$J6,'기타(Z)'!$C:$C,$L$1)
  )
)</f>
        <v/>
      </c>
      <c r="AJ6" s="365" t="str">
        <f>IF(
  SUM(
    COUNTIFS('발전사업(A)'!$G:$G, AI$2, '발전사업(A)'!$Q:$Q, $J6, '발전사업(A)'!$C:$C, $L$1),
    COUNTIFS('자가소비(B)'!$G:$G, AI$2, '자가소비(B)'!$Q:$Q, $J6, '자가소비(B)'!$C:$C, $L$1),
    COUNTIFS('PPA 사업(C)'!$G:$G, AI$2, 'PPA 사업(C)'!$Q:$Q, $J6, 'PPA 사업(C)'!$C:$C, $L$1),
    COUNTIFS('리스사업(D)'!$G:$G, AI$2, '리스사업(D)'!$Q:$Q, $J6, '리스사업(D)'!$C:$C, $L$1),
    COUNTIFS('임대사업(E)'!$G:$G, AI$2, '임대사업(E)'!$Q:$Q, $J6, '임대사업(E)'!$C:$C, $L$1),
    COUNTIFS('환경부사업(F)'!$G:$G, AI$2, '환경부사업(F)'!$Q:$Q, $J6, '환경부사업(F)'!$C:$C, $L$1),
    COUNTIFS('프로젝트(G)'!$G:$G, AI$2, '프로젝트(G)'!$Q:$Q, $J6, '프로젝트(G)'!$C:$C, $L$1),
    COUNTIFS('협력사 EPC(H)'!$G:$G, AI$2, '협력사 EPC(H)'!$Q:$Q, $J6, '협력사 EPC(H)'!$C:$C, $L$1),
    COUNTIFS('기타(Z)'!$G:$G, AI$2, '기타(Z)'!$Q:$Q, $J6, '기타(Z)'!$C:$C, $L$1)
  ) = 0,
  "",
  COUNTIFS('발전사업(A)'!$G:$G, AI$2, '발전사업(A)'!$Q:$Q, $J6, '발전사업(A)'!$C:$C, $L$1)
  + COUNTIFS('자가소비(B)'!$G:$G, AI$2, '자가소비(B)'!$Q:$Q, $J6, '자가소비(B)'!$C:$C, $L$1)
  + COUNTIFS('PPA 사업(C)'!$G:$G, AI$2, 'PPA 사업(C)'!$Q:$Q, $J6, 'PPA 사업(C)'!$C:$C, $L$1)
  + COUNTIFS('리스사업(D)'!$G:$G, AI$2, '리스사업(D)'!$Q:$Q, $J6, '리스사업(D)'!$C:$C, $L$1)
  + COUNTIFS('임대사업(E)'!$G:$G, AI$2, '임대사업(E)'!$Q:$Q, $J6, '임대사업(E)'!$C:$C, $L$1)
  + COUNTIFS('환경부사업(F)'!$G:$G, AI$2, '환경부사업(F)'!$Q:$Q, $J6, '환경부사업(F)'!$C:$C, $L$1)
  + COUNTIFS('프로젝트(G)'!$G:$G, AI$2, '프로젝트(G)'!$Q:$Q, $J6, '프로젝트(G)'!$C:$C, $L$1)
  + COUNTIFS('협력사 EPC(H)'!$G:$G, AI$2, '협력사 EPC(H)'!$Q:$Q, $J6, '협력사 EPC(H)'!$C:$C, $L$1)
  + COUNTIFS('기타(Z)'!$G:$G, AI$2, '기타(Z)'!$Q:$Q, $J6, '기타(Z)'!$C:$C, $L$1)
)</f>
        <v/>
      </c>
    </row>
    <row r="7" spans="2:36" ht="15" x14ac:dyDescent="0.25">
      <c r="B7" s="195" t="s">
        <v>154</v>
      </c>
      <c r="C7" s="262">
        <f t="shared" si="0"/>
        <v>1684.74</v>
      </c>
      <c r="D7" s="263">
        <f t="shared" si="0"/>
        <v>7</v>
      </c>
      <c r="E7" s="262" t="str">
        <f t="shared" si="0"/>
        <v/>
      </c>
      <c r="F7" s="263" t="str">
        <f t="shared" si="0"/>
        <v/>
      </c>
      <c r="G7" s="262">
        <f t="shared" si="0"/>
        <v>1684.74</v>
      </c>
      <c r="H7" s="263">
        <f t="shared" si="0"/>
        <v>7</v>
      </c>
      <c r="J7" s="371" t="s">
        <v>185</v>
      </c>
      <c r="K7" s="354" t="str">
        <f t="shared" si="1"/>
        <v/>
      </c>
      <c r="L7" s="348" t="str">
        <f t="shared" si="2"/>
        <v/>
      </c>
      <c r="M7" s="366" t="str">
        <f>IF(
  SUM(
    SUMIFS('발전사업(A)'!$I:$I,'발전사업(A)'!$G:$G,M$2,'발전사업(A)'!$Q:$Q,$J7,'발전사업(A)'!$C:$C,$L$1),
    SUMIFS('자가소비(B)'!$I:$I,'자가소비(B)'!$G:$G,M$2,'자가소비(B)'!$Q:$Q,$J7,'자가소비(B)'!$C:$C,$L$1),
    SUMIFS('PPA 사업(C)'!$I:$I,'PPA 사업(C)'!$G:$G,M$2,'PPA 사업(C)'!$Q:$Q,$J7,'PPA 사업(C)'!$C:$C,$L$1),
    SUMIFS('리스사업(D)'!$I:$I,'리스사업(D)'!$G:$G,M$2,'리스사업(D)'!$Q:$Q,$J7,'리스사업(D)'!$C:$C,$L$1),
    SUMIFS('임대사업(E)'!$I:$I,'임대사업(E)'!$G:$G,M$2,'임대사업(E)'!$Q:$Q,$J7,'임대사업(E)'!$C:$C,$L$1),
    SUMIFS('환경부사업(F)'!$I:$I,'환경부사업(F)'!$G:$G,M$2,'환경부사업(F)'!$Q:$Q,$J7,'환경부사업(F)'!$C:$C,$L$1),
    SUMIFS('프로젝트(G)'!$I:$I,'프로젝트(G)'!$G:$G,M$2,'프로젝트(G)'!$Q:$Q,$J7,'프로젝트(G)'!$C:$C,$L$1),
    SUMIFS('협력사 EPC(H)'!$I:$I,'협력사 EPC(H)'!$G:$G,M$2,'협력사 EPC(H)'!$Q:$Q,$J7,'협력사 EPC(H)'!$C:$C,$L$1),
    SUMIFS('기타(Z)'!$I:$I,'기타(Z)'!$G:$G,M$2,'기타(Z)'!$Q:$Q,$J7,'기타(Z)'!$C:$C,$L$1)
  )=0,
  "",
  SUM(
    SUMIFS('발전사업(A)'!$I:$I,'발전사업(A)'!$G:$G,M$2,'발전사업(A)'!$Q:$Q,$J7,'발전사업(A)'!$C:$C,$L$1),
    SUMIFS('자가소비(B)'!$I:$I,'자가소비(B)'!$G:$G,M$2,'자가소비(B)'!$Q:$Q,$J7,'자가소비(B)'!$C:$C,$L$1),
    SUMIFS('PPA 사업(C)'!$I:$I,'PPA 사업(C)'!$G:$G,M$2,'PPA 사업(C)'!$Q:$Q,$J7,'PPA 사업(C)'!$C:$C,$L$1),
    SUMIFS('리스사업(D)'!$I:$I,'리스사업(D)'!$G:$G,M$2,'리스사업(D)'!$Q:$Q,$J7,'리스사업(D)'!$C:$C,$L$1),
    SUMIFS('임대사업(E)'!$I:$I,'임대사업(E)'!$G:$G,M$2,'임대사업(E)'!$Q:$Q,$J7,'임대사업(E)'!$C:$C,$L$1),
    SUMIFS('환경부사업(F)'!$I:$I,'환경부사업(F)'!$G:$G,M$2,'환경부사업(F)'!$Q:$Q,$J7,'환경부사업(F)'!$C:$C,$L$1),
    SUMIFS('프로젝트(G)'!$I:$I,'프로젝트(G)'!$G:$G,M$2,'프로젝트(G)'!$Q:$Q,$J7,'프로젝트(G)'!$C:$C,$L$1),
    SUMIFS('협력사 EPC(H)'!$I:$I,'협력사 EPC(H)'!$G:$G,M$2,'협력사 EPC(H)'!$Q:$Q,$J7,'협력사 EPC(H)'!$C:$C,$L$1),
    SUMIFS('기타(Z)'!$I:$I,'기타(Z)'!$G:$G,M$2,'기타(Z)'!$Q:$Q,$J7,'기타(Z)'!$C:$C,$L$1)
  )
)</f>
        <v/>
      </c>
      <c r="N7" s="367" t="str">
        <f>IF(
  SUM(
    COUNTIFS('발전사업(A)'!$G:$G, M$2, '발전사업(A)'!$Q:$Q, $J7, '발전사업(A)'!$C:$C, $L$1),
    COUNTIFS('자가소비(B)'!$G:$G, M$2, '자가소비(B)'!$Q:$Q, $J7, '자가소비(B)'!$C:$C, $L$1),
    COUNTIFS('PPA 사업(C)'!$G:$G, M$2, 'PPA 사업(C)'!$Q:$Q, $J7, 'PPA 사업(C)'!$C:$C, $L$1),
    COUNTIFS('리스사업(D)'!$G:$G, M$2, '리스사업(D)'!$Q:$Q, $J7, '리스사업(D)'!$C:$C, $L$1),
    COUNTIFS('임대사업(E)'!$G:$G, M$2, '임대사업(E)'!$Q:$Q, $J7, '임대사업(E)'!$C:$C, $L$1),
    COUNTIFS('환경부사업(F)'!$G:$G, M$2, '환경부사업(F)'!$Q:$Q, $J7, '환경부사업(F)'!$C:$C, $L$1),
    COUNTIFS('프로젝트(G)'!$G:$G, M$2, '프로젝트(G)'!$Q:$Q, $J7, '프로젝트(G)'!$C:$C, $L$1),
    COUNTIFS('협력사 EPC(H)'!$G:$G, M$2, '협력사 EPC(H)'!$Q:$Q, $J7, '협력사 EPC(H)'!$C:$C, $L$1),
    COUNTIFS('기타(Z)'!$G:$G, M$2, '기타(Z)'!$Q:$Q, $J7, '기타(Z)'!$C:$C, $L$1)
  ) = 0,
  "",
  COUNTIFS('발전사업(A)'!$G:$G, M$2, '발전사업(A)'!$Q:$Q, $J7, '발전사업(A)'!$C:$C, $L$1)
  + COUNTIFS('자가소비(B)'!$G:$G, M$2, '자가소비(B)'!$Q:$Q, $J7, '자가소비(B)'!$C:$C, $L$1)
  + COUNTIFS('PPA 사업(C)'!$G:$G, M$2, 'PPA 사업(C)'!$Q:$Q, $J7, 'PPA 사업(C)'!$C:$C, $L$1)
  + COUNTIFS('리스사업(D)'!$G:$G, M$2, '리스사업(D)'!$Q:$Q, $J7, '리스사업(D)'!$C:$C, $L$1)
  + COUNTIFS('임대사업(E)'!$G:$G, M$2, '임대사업(E)'!$Q:$Q, $J7, '임대사업(E)'!$C:$C, $L$1)
  + COUNTIFS('환경부사업(F)'!$G:$G, M$2, '환경부사업(F)'!$Q:$Q, $J7, '환경부사업(F)'!$C:$C, $L$1)
  + COUNTIFS('프로젝트(G)'!$G:$G, M$2, '프로젝트(G)'!$Q:$Q, $J7, '프로젝트(G)'!$C:$C, $L$1)
  + COUNTIFS('협력사 EPC(H)'!$G:$G, M$2, '협력사 EPC(H)'!$Q:$Q, $J7, '협력사 EPC(H)'!$C:$C, $L$1)
  + COUNTIFS('기타(Z)'!$G:$G, M$2, '기타(Z)'!$Q:$Q, $J7, '기타(Z)'!$C:$C, $L$1)
)</f>
        <v/>
      </c>
      <c r="O7" s="366" t="str">
        <f>IF(
  SUM(
    SUMIFS('발전사업(A)'!$I:$I,'발전사업(A)'!$G:$G,O$2,'발전사업(A)'!$Q:$Q,$J7,'발전사업(A)'!$C:$C,$L$1),
    SUMIFS('자가소비(B)'!$I:$I,'자가소비(B)'!$G:$G,O$2,'자가소비(B)'!$Q:$Q,$J7,'자가소비(B)'!$C:$C,$L$1),
    SUMIFS('PPA 사업(C)'!$I:$I,'PPA 사업(C)'!$G:$G,O$2,'PPA 사업(C)'!$Q:$Q,$J7,'PPA 사업(C)'!$C:$C,$L$1),
    SUMIFS('리스사업(D)'!$I:$I,'리스사업(D)'!$G:$G,O$2,'리스사업(D)'!$Q:$Q,$J7,'리스사업(D)'!$C:$C,$L$1),
    SUMIFS('임대사업(E)'!$I:$I,'임대사업(E)'!$G:$G,O$2,'임대사업(E)'!$Q:$Q,$J7,'임대사업(E)'!$C:$C,$L$1),
    SUMIFS('환경부사업(F)'!$I:$I,'환경부사업(F)'!$G:$G,O$2,'환경부사업(F)'!$Q:$Q,$J7,'환경부사업(F)'!$C:$C,$L$1),
    SUMIFS('프로젝트(G)'!$I:$I,'프로젝트(G)'!$G:$G,O$2,'프로젝트(G)'!$Q:$Q,$J7,'프로젝트(G)'!$C:$C,$L$1),
    SUMIFS('협력사 EPC(H)'!$I:$I,'협력사 EPC(H)'!$G:$G,O$2,'협력사 EPC(H)'!$Q:$Q,$J7,'협력사 EPC(H)'!$C:$C,$L$1),
    SUMIFS('기타(Z)'!$I:$I,'기타(Z)'!$G:$G,O$2,'기타(Z)'!$Q:$Q,$J7,'기타(Z)'!$C:$C,$L$1)
  )=0,
  "",
  SUM(
    SUMIFS('발전사업(A)'!$I:$I,'발전사업(A)'!$G:$G,O$2,'발전사업(A)'!$Q:$Q,$J7,'발전사업(A)'!$C:$C,$L$1),
    SUMIFS('자가소비(B)'!$I:$I,'자가소비(B)'!$G:$G,O$2,'자가소비(B)'!$Q:$Q,$J7,'자가소비(B)'!$C:$C,$L$1),
    SUMIFS('PPA 사업(C)'!$I:$I,'PPA 사업(C)'!$G:$G,O$2,'PPA 사업(C)'!$Q:$Q,$J7,'PPA 사업(C)'!$C:$C,$L$1),
    SUMIFS('리스사업(D)'!$I:$I,'리스사업(D)'!$G:$G,O$2,'리스사업(D)'!$Q:$Q,$J7,'리스사업(D)'!$C:$C,$L$1),
    SUMIFS('임대사업(E)'!$I:$I,'임대사업(E)'!$G:$G,O$2,'임대사업(E)'!$Q:$Q,$J7,'임대사업(E)'!$C:$C,$L$1),
    SUMIFS('환경부사업(F)'!$I:$I,'환경부사업(F)'!$G:$G,O$2,'환경부사업(F)'!$Q:$Q,$J7,'환경부사업(F)'!$C:$C,$L$1),
    SUMIFS('프로젝트(G)'!$I:$I,'프로젝트(G)'!$G:$G,O$2,'프로젝트(G)'!$Q:$Q,$J7,'프로젝트(G)'!$C:$C,$L$1),
    SUMIFS('협력사 EPC(H)'!$I:$I,'협력사 EPC(H)'!$G:$G,O$2,'협력사 EPC(H)'!$Q:$Q,$J7,'협력사 EPC(H)'!$C:$C,$L$1),
    SUMIFS('기타(Z)'!$I:$I,'기타(Z)'!$G:$G,O$2,'기타(Z)'!$Q:$Q,$J7,'기타(Z)'!$C:$C,$L$1)
  )
)</f>
        <v/>
      </c>
      <c r="P7" s="367" t="str">
        <f>IF(
  SUM(
    COUNTIFS('발전사업(A)'!$G:$G, O$2, '발전사업(A)'!$Q:$Q, $J7, '발전사업(A)'!$C:$C, $L$1),
    COUNTIFS('자가소비(B)'!$G:$G, O$2, '자가소비(B)'!$Q:$Q, $J7, '자가소비(B)'!$C:$C, $L$1),
    COUNTIFS('PPA 사업(C)'!$G:$G, O$2, 'PPA 사업(C)'!$Q:$Q, $J7, 'PPA 사업(C)'!$C:$C, $L$1),
    COUNTIFS('리스사업(D)'!$G:$G, O$2, '리스사업(D)'!$Q:$Q, $J7, '리스사업(D)'!$C:$C, $L$1),
    COUNTIFS('임대사업(E)'!$G:$G, O$2, '임대사업(E)'!$Q:$Q, $J7, '임대사업(E)'!$C:$C, $L$1),
    COUNTIFS('환경부사업(F)'!$G:$G, O$2, '환경부사업(F)'!$Q:$Q, $J7, '환경부사업(F)'!$C:$C, $L$1),
    COUNTIFS('프로젝트(G)'!$G:$G, O$2, '프로젝트(G)'!$Q:$Q, $J7, '프로젝트(G)'!$C:$C, $L$1),
    COUNTIFS('협력사 EPC(H)'!$G:$G, O$2, '협력사 EPC(H)'!$Q:$Q, $J7, '협력사 EPC(H)'!$C:$C, $L$1),
    COUNTIFS('기타(Z)'!$G:$G, O$2, '기타(Z)'!$Q:$Q, $J7, '기타(Z)'!$C:$C, $L$1)
  ) = 0,
  "",
  COUNTIFS('발전사업(A)'!$G:$G, O$2, '발전사업(A)'!$Q:$Q, $J7, '발전사업(A)'!$C:$C, $L$1)
  + COUNTIFS('자가소비(B)'!$G:$G, O$2, '자가소비(B)'!$Q:$Q, $J7, '자가소비(B)'!$C:$C, $L$1)
  + COUNTIFS('PPA 사업(C)'!$G:$G, O$2, 'PPA 사업(C)'!$Q:$Q, $J7, 'PPA 사업(C)'!$C:$C, $L$1)
  + COUNTIFS('리스사업(D)'!$G:$G, O$2, '리스사업(D)'!$Q:$Q, $J7, '리스사업(D)'!$C:$C, $L$1)
  + COUNTIFS('임대사업(E)'!$G:$G, O$2, '임대사업(E)'!$Q:$Q, $J7, '임대사업(E)'!$C:$C, $L$1)
  + COUNTIFS('환경부사업(F)'!$G:$G, O$2, '환경부사업(F)'!$Q:$Q, $J7, '환경부사업(F)'!$C:$C, $L$1)
  + COUNTIFS('프로젝트(G)'!$G:$G, O$2, '프로젝트(G)'!$Q:$Q, $J7, '프로젝트(G)'!$C:$C, $L$1)
  + COUNTIFS('협력사 EPC(H)'!$G:$G, O$2, '협력사 EPC(H)'!$Q:$Q, $J7, '협력사 EPC(H)'!$C:$C, $L$1)
  + COUNTIFS('기타(Z)'!$G:$G, O$2, '기타(Z)'!$Q:$Q, $J7, '기타(Z)'!$C:$C, $L$1)
)</f>
        <v/>
      </c>
      <c r="Q7" s="366" t="str">
        <f>IF(
  SUM(
    SUMIFS('발전사업(A)'!$I:$I,'발전사업(A)'!$G:$G,Q$2,'발전사업(A)'!$Q:$Q,$J7,'발전사업(A)'!$C:$C,$L$1),
    SUMIFS('자가소비(B)'!$I:$I,'자가소비(B)'!$G:$G,Q$2,'자가소비(B)'!$Q:$Q,$J7,'자가소비(B)'!$C:$C,$L$1),
    SUMIFS('PPA 사업(C)'!$I:$I,'PPA 사업(C)'!$G:$G,Q$2,'PPA 사업(C)'!$Q:$Q,$J7,'PPA 사업(C)'!$C:$C,$L$1),
    SUMIFS('리스사업(D)'!$I:$I,'리스사업(D)'!$G:$G,Q$2,'리스사업(D)'!$Q:$Q,$J7,'리스사업(D)'!$C:$C,$L$1),
    SUMIFS('임대사업(E)'!$I:$I,'임대사업(E)'!$G:$G,Q$2,'임대사업(E)'!$Q:$Q,$J7,'임대사업(E)'!$C:$C,$L$1),
    SUMIFS('환경부사업(F)'!$I:$I,'환경부사업(F)'!$G:$G,Q$2,'환경부사업(F)'!$Q:$Q,$J7,'환경부사업(F)'!$C:$C,$L$1),
    SUMIFS('프로젝트(G)'!$I:$I,'프로젝트(G)'!$G:$G,Q$2,'프로젝트(G)'!$Q:$Q,$J7,'프로젝트(G)'!$C:$C,$L$1),
    SUMIFS('협력사 EPC(H)'!$I:$I,'협력사 EPC(H)'!$G:$G,Q$2,'협력사 EPC(H)'!$Q:$Q,$J7,'협력사 EPC(H)'!$C:$C,$L$1),
    SUMIFS('기타(Z)'!$I:$I,'기타(Z)'!$G:$G,Q$2,'기타(Z)'!$Q:$Q,$J7,'기타(Z)'!$C:$C,$L$1)
  )=0,
  "",
  SUM(
    SUMIFS('발전사업(A)'!$I:$I,'발전사업(A)'!$G:$G,Q$2,'발전사업(A)'!$Q:$Q,$J7,'발전사업(A)'!$C:$C,$L$1),
    SUMIFS('자가소비(B)'!$I:$I,'자가소비(B)'!$G:$G,Q$2,'자가소비(B)'!$Q:$Q,$J7,'자가소비(B)'!$C:$C,$L$1),
    SUMIFS('PPA 사업(C)'!$I:$I,'PPA 사업(C)'!$G:$G,Q$2,'PPA 사업(C)'!$Q:$Q,$J7,'PPA 사업(C)'!$C:$C,$L$1),
    SUMIFS('리스사업(D)'!$I:$I,'리스사업(D)'!$G:$G,Q$2,'리스사업(D)'!$Q:$Q,$J7,'리스사업(D)'!$C:$C,$L$1),
    SUMIFS('임대사업(E)'!$I:$I,'임대사업(E)'!$G:$G,Q$2,'임대사업(E)'!$Q:$Q,$J7,'임대사업(E)'!$C:$C,$L$1),
    SUMIFS('환경부사업(F)'!$I:$I,'환경부사업(F)'!$G:$G,Q$2,'환경부사업(F)'!$Q:$Q,$J7,'환경부사업(F)'!$C:$C,$L$1),
    SUMIFS('프로젝트(G)'!$I:$I,'프로젝트(G)'!$G:$G,Q$2,'프로젝트(G)'!$Q:$Q,$J7,'프로젝트(G)'!$C:$C,$L$1),
    SUMIFS('협력사 EPC(H)'!$I:$I,'협력사 EPC(H)'!$G:$G,Q$2,'협력사 EPC(H)'!$Q:$Q,$J7,'협력사 EPC(H)'!$C:$C,$L$1),
    SUMIFS('기타(Z)'!$I:$I,'기타(Z)'!$G:$G,Q$2,'기타(Z)'!$Q:$Q,$J7,'기타(Z)'!$C:$C,$L$1)
  )
)</f>
        <v/>
      </c>
      <c r="R7" s="367" t="str">
        <f>IF(
  SUM(
    COUNTIFS('발전사업(A)'!$G:$G, Q$2, '발전사업(A)'!$Q:$Q, $J7, '발전사업(A)'!$C:$C, $L$1),
    COUNTIFS('자가소비(B)'!$G:$G, Q$2, '자가소비(B)'!$Q:$Q, $J7, '자가소비(B)'!$C:$C, $L$1),
    COUNTIFS('PPA 사업(C)'!$G:$G, Q$2, 'PPA 사업(C)'!$Q:$Q, $J7, 'PPA 사업(C)'!$C:$C, $L$1),
    COUNTIFS('리스사업(D)'!$G:$G, Q$2, '리스사업(D)'!$Q:$Q, $J7, '리스사업(D)'!$C:$C, $L$1),
    COUNTIFS('임대사업(E)'!$G:$G, Q$2, '임대사업(E)'!$Q:$Q, $J7, '임대사업(E)'!$C:$C, $L$1),
    COUNTIFS('환경부사업(F)'!$G:$G, Q$2, '환경부사업(F)'!$Q:$Q, $J7, '환경부사업(F)'!$C:$C, $L$1),
    COUNTIFS('프로젝트(G)'!$G:$G, Q$2, '프로젝트(G)'!$Q:$Q, $J7, '프로젝트(G)'!$C:$C, $L$1),
    COUNTIFS('협력사 EPC(H)'!$G:$G, Q$2, '협력사 EPC(H)'!$Q:$Q, $J7, '협력사 EPC(H)'!$C:$C, $L$1),
    COUNTIFS('기타(Z)'!$G:$G, Q$2, '기타(Z)'!$Q:$Q, $J7, '기타(Z)'!$C:$C, $L$1)
  ) = 0,
  "",
  COUNTIFS('발전사업(A)'!$G:$G, Q$2, '발전사업(A)'!$Q:$Q, $J7, '발전사업(A)'!$C:$C, $L$1)
  + COUNTIFS('자가소비(B)'!$G:$G, Q$2, '자가소비(B)'!$Q:$Q, $J7, '자가소비(B)'!$C:$C, $L$1)
  + COUNTIFS('PPA 사업(C)'!$G:$G, Q$2, 'PPA 사업(C)'!$Q:$Q, $J7, 'PPA 사업(C)'!$C:$C, $L$1)
  + COUNTIFS('리스사업(D)'!$G:$G, Q$2, '리스사업(D)'!$Q:$Q, $J7, '리스사업(D)'!$C:$C, $L$1)
  + COUNTIFS('임대사업(E)'!$G:$G, Q$2, '임대사업(E)'!$Q:$Q, $J7, '임대사업(E)'!$C:$C, $L$1)
  + COUNTIFS('환경부사업(F)'!$G:$G, Q$2, '환경부사업(F)'!$Q:$Q, $J7, '환경부사업(F)'!$C:$C, $L$1)
  + COUNTIFS('프로젝트(G)'!$G:$G, Q$2, '프로젝트(G)'!$Q:$Q, $J7, '프로젝트(G)'!$C:$C, $L$1)
  + COUNTIFS('협력사 EPC(H)'!$G:$G, Q$2, '협력사 EPC(H)'!$Q:$Q, $J7, '협력사 EPC(H)'!$C:$C, $L$1)
  + COUNTIFS('기타(Z)'!$G:$G, Q$2, '기타(Z)'!$Q:$Q, $J7, '기타(Z)'!$C:$C, $L$1)
)</f>
        <v/>
      </c>
      <c r="S7" s="366" t="str">
        <f>IF(
  SUM(
    SUMIFS('발전사업(A)'!$I:$I,'발전사업(A)'!$G:$G,S$2,'발전사업(A)'!$Q:$Q,$J7,'발전사업(A)'!$C:$C,$L$1),
    SUMIFS('자가소비(B)'!$I:$I,'자가소비(B)'!$G:$G,S$2,'자가소비(B)'!$Q:$Q,$J7,'자가소비(B)'!$C:$C,$L$1),
    SUMIFS('PPA 사업(C)'!$I:$I,'PPA 사업(C)'!$G:$G,S$2,'PPA 사업(C)'!$Q:$Q,$J7,'PPA 사업(C)'!$C:$C,$L$1),
    SUMIFS('리스사업(D)'!$I:$I,'리스사업(D)'!$G:$G,S$2,'리스사업(D)'!$Q:$Q,$J7,'리스사업(D)'!$C:$C,$L$1),
    SUMIFS('임대사업(E)'!$I:$I,'임대사업(E)'!$G:$G,S$2,'임대사업(E)'!$Q:$Q,$J7,'임대사업(E)'!$C:$C,$L$1),
    SUMIFS('환경부사업(F)'!$I:$I,'환경부사업(F)'!$G:$G,S$2,'환경부사업(F)'!$Q:$Q,$J7,'환경부사업(F)'!$C:$C,$L$1),
    SUMIFS('프로젝트(G)'!$I:$I,'프로젝트(G)'!$G:$G,S$2,'프로젝트(G)'!$Q:$Q,$J7,'프로젝트(G)'!$C:$C,$L$1),
    SUMIFS('협력사 EPC(H)'!$I:$I,'협력사 EPC(H)'!$G:$G,S$2,'협력사 EPC(H)'!$Q:$Q,$J7,'협력사 EPC(H)'!$C:$C,$L$1),
    SUMIFS('기타(Z)'!$I:$I,'기타(Z)'!$G:$G,S$2,'기타(Z)'!$Q:$Q,$J7,'기타(Z)'!$C:$C,$L$1)
  )=0,
  "",
  SUM(
    SUMIFS('발전사업(A)'!$I:$I,'발전사업(A)'!$G:$G,S$2,'발전사업(A)'!$Q:$Q,$J7,'발전사업(A)'!$C:$C,$L$1),
    SUMIFS('자가소비(B)'!$I:$I,'자가소비(B)'!$G:$G,S$2,'자가소비(B)'!$Q:$Q,$J7,'자가소비(B)'!$C:$C,$L$1),
    SUMIFS('PPA 사업(C)'!$I:$I,'PPA 사업(C)'!$G:$G,S$2,'PPA 사업(C)'!$Q:$Q,$J7,'PPA 사업(C)'!$C:$C,$L$1),
    SUMIFS('리스사업(D)'!$I:$I,'리스사업(D)'!$G:$G,S$2,'리스사업(D)'!$Q:$Q,$J7,'리스사업(D)'!$C:$C,$L$1),
    SUMIFS('임대사업(E)'!$I:$I,'임대사업(E)'!$G:$G,S$2,'임대사업(E)'!$Q:$Q,$J7,'임대사업(E)'!$C:$C,$L$1),
    SUMIFS('환경부사업(F)'!$I:$I,'환경부사업(F)'!$G:$G,S$2,'환경부사업(F)'!$Q:$Q,$J7,'환경부사업(F)'!$C:$C,$L$1),
    SUMIFS('프로젝트(G)'!$I:$I,'프로젝트(G)'!$G:$G,S$2,'프로젝트(G)'!$Q:$Q,$J7,'프로젝트(G)'!$C:$C,$L$1),
    SUMIFS('협력사 EPC(H)'!$I:$I,'협력사 EPC(H)'!$G:$G,S$2,'협력사 EPC(H)'!$Q:$Q,$J7,'협력사 EPC(H)'!$C:$C,$L$1),
    SUMIFS('기타(Z)'!$I:$I,'기타(Z)'!$G:$G,S$2,'기타(Z)'!$Q:$Q,$J7,'기타(Z)'!$C:$C,$L$1)
  )
)</f>
        <v/>
      </c>
      <c r="T7" s="367" t="str">
        <f>IF(
  SUM(
    COUNTIFS('발전사업(A)'!$G:$G, S$2, '발전사업(A)'!$Q:$Q, $J7, '발전사업(A)'!$C:$C, $L$1),
    COUNTIFS('자가소비(B)'!$G:$G, S$2, '자가소비(B)'!$Q:$Q, $J7, '자가소비(B)'!$C:$C, $L$1),
    COUNTIFS('PPA 사업(C)'!$G:$G, S$2, 'PPA 사업(C)'!$Q:$Q, $J7, 'PPA 사업(C)'!$C:$C, $L$1),
    COUNTIFS('리스사업(D)'!$G:$G, S$2, '리스사업(D)'!$Q:$Q, $J7, '리스사업(D)'!$C:$C, $L$1),
    COUNTIFS('임대사업(E)'!$G:$G, S$2, '임대사업(E)'!$Q:$Q, $J7, '임대사업(E)'!$C:$C, $L$1),
    COUNTIFS('환경부사업(F)'!$G:$G, S$2, '환경부사업(F)'!$Q:$Q, $J7, '환경부사업(F)'!$C:$C, $L$1),
    COUNTIFS('프로젝트(G)'!$G:$G, S$2, '프로젝트(G)'!$Q:$Q, $J7, '프로젝트(G)'!$C:$C, $L$1),
    COUNTIFS('협력사 EPC(H)'!$G:$G, S$2, '협력사 EPC(H)'!$Q:$Q, $J7, '협력사 EPC(H)'!$C:$C, $L$1),
    COUNTIFS('기타(Z)'!$G:$G, S$2, '기타(Z)'!$Q:$Q, $J7, '기타(Z)'!$C:$C, $L$1)
  ) = 0,
  "",
  COUNTIFS('발전사업(A)'!$G:$G, S$2, '발전사업(A)'!$Q:$Q, $J7, '발전사업(A)'!$C:$C, $L$1)
  + COUNTIFS('자가소비(B)'!$G:$G, S$2, '자가소비(B)'!$Q:$Q, $J7, '자가소비(B)'!$C:$C, $L$1)
  + COUNTIFS('PPA 사업(C)'!$G:$G, S$2, 'PPA 사업(C)'!$Q:$Q, $J7, 'PPA 사업(C)'!$C:$C, $L$1)
  + COUNTIFS('리스사업(D)'!$G:$G, S$2, '리스사업(D)'!$Q:$Q, $J7, '리스사업(D)'!$C:$C, $L$1)
  + COUNTIFS('임대사업(E)'!$G:$G, S$2, '임대사업(E)'!$Q:$Q, $J7, '임대사업(E)'!$C:$C, $L$1)
  + COUNTIFS('환경부사업(F)'!$G:$G, S$2, '환경부사업(F)'!$Q:$Q, $J7, '환경부사업(F)'!$C:$C, $L$1)
  + COUNTIFS('프로젝트(G)'!$G:$G, S$2, '프로젝트(G)'!$Q:$Q, $J7, '프로젝트(G)'!$C:$C, $L$1)
  + COUNTIFS('협력사 EPC(H)'!$G:$G, S$2, '협력사 EPC(H)'!$Q:$Q, $J7, '협력사 EPC(H)'!$C:$C, $L$1)
  + COUNTIFS('기타(Z)'!$G:$G, S$2, '기타(Z)'!$Q:$Q, $J7, '기타(Z)'!$C:$C, $L$1)
)</f>
        <v/>
      </c>
      <c r="U7" s="366" t="str">
        <f>IF(
  SUM(
    SUMIFS('발전사업(A)'!$I:$I,'발전사업(A)'!$G:$G,U$2,'발전사업(A)'!$Q:$Q,$J7,'발전사업(A)'!$C:$C,$L$1),
    SUMIFS('자가소비(B)'!$I:$I,'자가소비(B)'!$G:$G,U$2,'자가소비(B)'!$Q:$Q,$J7,'자가소비(B)'!$C:$C,$L$1),
    SUMIFS('PPA 사업(C)'!$I:$I,'PPA 사업(C)'!$G:$G,U$2,'PPA 사업(C)'!$Q:$Q,$J7,'PPA 사업(C)'!$C:$C,$L$1),
    SUMIFS('리스사업(D)'!$I:$I,'리스사업(D)'!$G:$G,U$2,'리스사업(D)'!$Q:$Q,$J7,'리스사업(D)'!$C:$C,$L$1),
    SUMIFS('임대사업(E)'!$I:$I,'임대사업(E)'!$G:$G,U$2,'임대사업(E)'!$Q:$Q,$J7,'임대사업(E)'!$C:$C,$L$1),
    SUMIFS('환경부사업(F)'!$I:$I,'환경부사업(F)'!$G:$G,U$2,'환경부사업(F)'!$Q:$Q,$J7,'환경부사업(F)'!$C:$C,$L$1),
    SUMIFS('프로젝트(G)'!$I:$I,'프로젝트(G)'!$G:$G,U$2,'프로젝트(G)'!$Q:$Q,$J7,'프로젝트(G)'!$C:$C,$L$1),
    SUMIFS('협력사 EPC(H)'!$I:$I,'협력사 EPC(H)'!$G:$G,U$2,'협력사 EPC(H)'!$Q:$Q,$J7,'협력사 EPC(H)'!$C:$C,$L$1),
    SUMIFS('기타(Z)'!$I:$I,'기타(Z)'!$G:$G,U$2,'기타(Z)'!$Q:$Q,$J7,'기타(Z)'!$C:$C,$L$1)
  )=0,
  "",
  SUM(
    SUMIFS('발전사업(A)'!$I:$I,'발전사업(A)'!$G:$G,U$2,'발전사업(A)'!$Q:$Q,$J7,'발전사업(A)'!$C:$C,$L$1),
    SUMIFS('자가소비(B)'!$I:$I,'자가소비(B)'!$G:$G,U$2,'자가소비(B)'!$Q:$Q,$J7,'자가소비(B)'!$C:$C,$L$1),
    SUMIFS('PPA 사업(C)'!$I:$I,'PPA 사업(C)'!$G:$G,U$2,'PPA 사업(C)'!$Q:$Q,$J7,'PPA 사업(C)'!$C:$C,$L$1),
    SUMIFS('리스사업(D)'!$I:$I,'리스사업(D)'!$G:$G,U$2,'리스사업(D)'!$Q:$Q,$J7,'리스사업(D)'!$C:$C,$L$1),
    SUMIFS('임대사업(E)'!$I:$I,'임대사업(E)'!$G:$G,U$2,'임대사업(E)'!$Q:$Q,$J7,'임대사업(E)'!$C:$C,$L$1),
    SUMIFS('환경부사업(F)'!$I:$I,'환경부사업(F)'!$G:$G,U$2,'환경부사업(F)'!$Q:$Q,$J7,'환경부사업(F)'!$C:$C,$L$1),
    SUMIFS('프로젝트(G)'!$I:$I,'프로젝트(G)'!$G:$G,U$2,'프로젝트(G)'!$Q:$Q,$J7,'프로젝트(G)'!$C:$C,$L$1),
    SUMIFS('협력사 EPC(H)'!$I:$I,'협력사 EPC(H)'!$G:$G,U$2,'협력사 EPC(H)'!$Q:$Q,$J7,'협력사 EPC(H)'!$C:$C,$L$1),
    SUMIFS('기타(Z)'!$I:$I,'기타(Z)'!$G:$G,U$2,'기타(Z)'!$Q:$Q,$J7,'기타(Z)'!$C:$C,$L$1)
  )
)</f>
        <v/>
      </c>
      <c r="V7" s="367" t="str">
        <f>IF(
  SUM(
    COUNTIFS('발전사업(A)'!$G:$G, U$2, '발전사업(A)'!$Q:$Q, $J7, '발전사업(A)'!$C:$C, $L$1),
    COUNTIFS('자가소비(B)'!$G:$G, U$2, '자가소비(B)'!$Q:$Q, $J7, '자가소비(B)'!$C:$C, $L$1),
    COUNTIFS('PPA 사업(C)'!$G:$G, U$2, 'PPA 사업(C)'!$Q:$Q, $J7, 'PPA 사업(C)'!$C:$C, $L$1),
    COUNTIFS('리스사업(D)'!$G:$G, U$2, '리스사업(D)'!$Q:$Q, $J7, '리스사업(D)'!$C:$C, $L$1),
    COUNTIFS('임대사업(E)'!$G:$G, U$2, '임대사업(E)'!$Q:$Q, $J7, '임대사업(E)'!$C:$C, $L$1),
    COUNTIFS('환경부사업(F)'!$G:$G, U$2, '환경부사업(F)'!$Q:$Q, $J7, '환경부사업(F)'!$C:$C, $L$1),
    COUNTIFS('프로젝트(G)'!$G:$G, U$2, '프로젝트(G)'!$Q:$Q, $J7, '프로젝트(G)'!$C:$C, $L$1),
    COUNTIFS('협력사 EPC(H)'!$G:$G, U$2, '협력사 EPC(H)'!$Q:$Q, $J7, '협력사 EPC(H)'!$C:$C, $L$1),
    COUNTIFS('기타(Z)'!$G:$G, U$2, '기타(Z)'!$Q:$Q, $J7, '기타(Z)'!$C:$C, $L$1)
  ) = 0,
  "",
  COUNTIFS('발전사업(A)'!$G:$G, U$2, '발전사업(A)'!$Q:$Q, $J7, '발전사업(A)'!$C:$C, $L$1)
  + COUNTIFS('자가소비(B)'!$G:$G, U$2, '자가소비(B)'!$Q:$Q, $J7, '자가소비(B)'!$C:$C, $L$1)
  + COUNTIFS('PPA 사업(C)'!$G:$G, U$2, 'PPA 사업(C)'!$Q:$Q, $J7, 'PPA 사업(C)'!$C:$C, $L$1)
  + COUNTIFS('리스사업(D)'!$G:$G, U$2, '리스사업(D)'!$Q:$Q, $J7, '리스사업(D)'!$C:$C, $L$1)
  + COUNTIFS('임대사업(E)'!$G:$G, U$2, '임대사업(E)'!$Q:$Q, $J7, '임대사업(E)'!$C:$C, $L$1)
  + COUNTIFS('환경부사업(F)'!$G:$G, U$2, '환경부사업(F)'!$Q:$Q, $J7, '환경부사업(F)'!$C:$C, $L$1)
  + COUNTIFS('프로젝트(G)'!$G:$G, U$2, '프로젝트(G)'!$Q:$Q, $J7, '프로젝트(G)'!$C:$C, $L$1)
  + COUNTIFS('협력사 EPC(H)'!$G:$G, U$2, '협력사 EPC(H)'!$Q:$Q, $J7, '협력사 EPC(H)'!$C:$C, $L$1)
  + COUNTIFS('기타(Z)'!$G:$G, U$2, '기타(Z)'!$Q:$Q, $J7, '기타(Z)'!$C:$C, $L$1)
)</f>
        <v/>
      </c>
      <c r="W7" s="366" t="str">
        <f>IF(
  SUM(
    SUMIFS('발전사업(A)'!$I:$I,'발전사업(A)'!$G:$G,W$2,'발전사업(A)'!$Q:$Q,$J7,'발전사업(A)'!$C:$C,$L$1),
    SUMIFS('자가소비(B)'!$I:$I,'자가소비(B)'!$G:$G,W$2,'자가소비(B)'!$Q:$Q,$J7,'자가소비(B)'!$C:$C,$L$1),
    SUMIFS('PPA 사업(C)'!$I:$I,'PPA 사업(C)'!$G:$G,W$2,'PPA 사업(C)'!$Q:$Q,$J7,'PPA 사업(C)'!$C:$C,$L$1),
    SUMIFS('리스사업(D)'!$I:$I,'리스사업(D)'!$G:$G,W$2,'리스사업(D)'!$Q:$Q,$J7,'리스사업(D)'!$C:$C,$L$1),
    SUMIFS('임대사업(E)'!$I:$I,'임대사업(E)'!$G:$G,W$2,'임대사업(E)'!$Q:$Q,$J7,'임대사업(E)'!$C:$C,$L$1),
    SUMIFS('환경부사업(F)'!$I:$I,'환경부사업(F)'!$G:$G,W$2,'환경부사업(F)'!$Q:$Q,$J7,'환경부사업(F)'!$C:$C,$L$1),
    SUMIFS('프로젝트(G)'!$I:$I,'프로젝트(G)'!$G:$G,W$2,'프로젝트(G)'!$Q:$Q,$J7,'프로젝트(G)'!$C:$C,$L$1),
    SUMIFS('협력사 EPC(H)'!$I:$I,'협력사 EPC(H)'!$G:$G,W$2,'협력사 EPC(H)'!$Q:$Q,$J7,'협력사 EPC(H)'!$C:$C,$L$1),
    SUMIFS('기타(Z)'!$I:$I,'기타(Z)'!$G:$G,W$2,'기타(Z)'!$Q:$Q,$J7,'기타(Z)'!$C:$C,$L$1)
  )=0,
  "",
  SUM(
    SUMIFS('발전사업(A)'!$I:$I,'발전사업(A)'!$G:$G,W$2,'발전사업(A)'!$Q:$Q,$J7,'발전사업(A)'!$C:$C,$L$1),
    SUMIFS('자가소비(B)'!$I:$I,'자가소비(B)'!$G:$G,W$2,'자가소비(B)'!$Q:$Q,$J7,'자가소비(B)'!$C:$C,$L$1),
    SUMIFS('PPA 사업(C)'!$I:$I,'PPA 사업(C)'!$G:$G,W$2,'PPA 사업(C)'!$Q:$Q,$J7,'PPA 사업(C)'!$C:$C,$L$1),
    SUMIFS('리스사업(D)'!$I:$I,'리스사업(D)'!$G:$G,W$2,'리스사업(D)'!$Q:$Q,$J7,'리스사업(D)'!$C:$C,$L$1),
    SUMIFS('임대사업(E)'!$I:$I,'임대사업(E)'!$G:$G,W$2,'임대사업(E)'!$Q:$Q,$J7,'임대사업(E)'!$C:$C,$L$1),
    SUMIFS('환경부사업(F)'!$I:$I,'환경부사업(F)'!$G:$G,W$2,'환경부사업(F)'!$Q:$Q,$J7,'환경부사업(F)'!$C:$C,$L$1),
    SUMIFS('프로젝트(G)'!$I:$I,'프로젝트(G)'!$G:$G,W$2,'프로젝트(G)'!$Q:$Q,$J7,'프로젝트(G)'!$C:$C,$L$1),
    SUMIFS('협력사 EPC(H)'!$I:$I,'협력사 EPC(H)'!$G:$G,W$2,'협력사 EPC(H)'!$Q:$Q,$J7,'협력사 EPC(H)'!$C:$C,$L$1),
    SUMIFS('기타(Z)'!$I:$I,'기타(Z)'!$G:$G,W$2,'기타(Z)'!$Q:$Q,$J7,'기타(Z)'!$C:$C,$L$1)
  )
)</f>
        <v/>
      </c>
      <c r="X7" s="347" t="str">
        <f>IF(
  SUM(
    COUNTIFS('발전사업(A)'!$G:$G,W$2,'발전사업(A)'!$Q:$Q,$J7),
    COUNTIFS('자가소비(B)'!$G:$G,W$2,'자가소비(B)'!$Q:$Q,$J7),
    COUNTIFS('PPA 사업(C)'!$G:$G,W$2,'PPA 사업(C)'!$Q:$Q,$J7),
    COUNTIFS('리스사업(D)'!$G:$G,W$2,'리스사업(D)'!$Q:$Q,$J7),
    COUNTIFS('임대사업(E)'!$G:$G,W$2,'임대사업(E)'!$Q:$Q,$J7),
    COUNTIFS('환경부사업(F)'!$G:$G,W$2,'환경부사업(F)'!$Q:$Q,$J7),
    COUNTIFS('프로젝트(G)'!$G:$G,W$2,'프로젝트(G)'!$Q:$Q,$J7),
    COUNTIFS('협력사 EPC(H)'!$G:$G,W$2,'협력사 EPC(H)'!$Q:$Q,$J7),
    COUNTIFS('기타(Z)'!$G:$G,W$2,'기타(Z)'!$Q:$Q,$J7)
  )=0,
  "",
  COUNTIFS('발전사업(A)'!$G:$G,W$2,'발전사업(A)'!$Q:$Q,$J7)
  +COUNTIFS('자가소비(B)'!$G:$G,W$2,'자가소비(B)'!$Q:$Q,$J7)
  +COUNTIFS('PPA 사업(C)'!$G:$G,W$2,'PPA 사업(C)'!$Q:$Q,$J7)
  +COUNTIFS('리스사업(D)'!$G:$G,W$2,'리스사업(D)'!$Q:$Q,$J7)
  +COUNTIFS('임대사업(E)'!$G:$G,W$2,'임대사업(E)'!$Q:$Q,$J7)
  +COUNTIFS('환경부사업(F)'!$G:$G,W$2,'환경부사업(F)'!$Q:$Q,$J7)
  +COUNTIFS('프로젝트(G)'!$G:$G,W$2,'프로젝트(G)'!$Q:$Q,$J7)
  +COUNTIFS('협력사 EPC(H)'!$G:$G,W$2,'협력사 EPC(H)'!$Q:$Q,$J7)
  +COUNTIFS('기타(Z)'!$G:$G,W$2,'기타(Z)'!$Q:$Q,$J7)
)</f>
        <v/>
      </c>
      <c r="Y7" s="366" t="str">
        <f>IF(
  SUM(
    SUMIFS('발전사업(A)'!$I:$I,'발전사업(A)'!$G:$G,Y$2,'발전사업(A)'!$Q:$Q,$J7,'발전사업(A)'!$C:$C,$L$1),
    SUMIFS('자가소비(B)'!$I:$I,'자가소비(B)'!$G:$G,Y$2,'자가소비(B)'!$Q:$Q,$J7,'자가소비(B)'!$C:$C,$L$1),
    SUMIFS('PPA 사업(C)'!$I:$I,'PPA 사업(C)'!$G:$G,Y$2,'PPA 사업(C)'!$Q:$Q,$J7,'PPA 사업(C)'!$C:$C,$L$1),
    SUMIFS('리스사업(D)'!$I:$I,'리스사업(D)'!$G:$G,Y$2,'리스사업(D)'!$Q:$Q,$J7,'리스사업(D)'!$C:$C,$L$1),
    SUMIFS('임대사업(E)'!$I:$I,'임대사업(E)'!$G:$G,Y$2,'임대사업(E)'!$Q:$Q,$J7,'임대사업(E)'!$C:$C,$L$1),
    SUMIFS('환경부사업(F)'!$I:$I,'환경부사업(F)'!$G:$G,Y$2,'환경부사업(F)'!$Q:$Q,$J7,'환경부사업(F)'!$C:$C,$L$1),
    SUMIFS('프로젝트(G)'!$I:$I,'프로젝트(G)'!$G:$G,Y$2,'프로젝트(G)'!$Q:$Q,$J7,'프로젝트(G)'!$C:$C,$L$1),
    SUMIFS('협력사 EPC(H)'!$I:$I,'협력사 EPC(H)'!$G:$G,Y$2,'협력사 EPC(H)'!$Q:$Q,$J7,'협력사 EPC(H)'!$C:$C,$L$1),
    SUMIFS('기타(Z)'!$I:$I,'기타(Z)'!$G:$G,Y$2,'기타(Z)'!$Q:$Q,$J7,'기타(Z)'!$C:$C,$L$1)
  )=0,
  "",
  SUM(
    SUMIFS('발전사업(A)'!$I:$I,'발전사업(A)'!$G:$G,Y$2,'발전사업(A)'!$Q:$Q,$J7,'발전사업(A)'!$C:$C,$L$1),
    SUMIFS('자가소비(B)'!$I:$I,'자가소비(B)'!$G:$G,Y$2,'자가소비(B)'!$Q:$Q,$J7,'자가소비(B)'!$C:$C,$L$1),
    SUMIFS('PPA 사업(C)'!$I:$I,'PPA 사업(C)'!$G:$G,Y$2,'PPA 사업(C)'!$Q:$Q,$J7,'PPA 사업(C)'!$C:$C,$L$1),
    SUMIFS('리스사업(D)'!$I:$I,'리스사업(D)'!$G:$G,Y$2,'리스사업(D)'!$Q:$Q,$J7,'리스사업(D)'!$C:$C,$L$1),
    SUMIFS('임대사업(E)'!$I:$I,'임대사업(E)'!$G:$G,Y$2,'임대사업(E)'!$Q:$Q,$J7,'임대사업(E)'!$C:$C,$L$1),
    SUMIFS('환경부사업(F)'!$I:$I,'환경부사업(F)'!$G:$G,Y$2,'환경부사업(F)'!$Q:$Q,$J7,'환경부사업(F)'!$C:$C,$L$1),
    SUMIFS('프로젝트(G)'!$I:$I,'프로젝트(G)'!$G:$G,Y$2,'프로젝트(G)'!$Q:$Q,$J7,'프로젝트(G)'!$C:$C,$L$1),
    SUMIFS('협력사 EPC(H)'!$I:$I,'협력사 EPC(H)'!$G:$G,Y$2,'협력사 EPC(H)'!$Q:$Q,$J7,'협력사 EPC(H)'!$C:$C,$L$1),
    SUMIFS('기타(Z)'!$I:$I,'기타(Z)'!$G:$G,Y$2,'기타(Z)'!$Q:$Q,$J7,'기타(Z)'!$C:$C,$L$1)
  )
)</f>
        <v/>
      </c>
      <c r="Z7" s="367" t="str">
        <f>IF(
  SUM(
    COUNTIFS('발전사업(A)'!$G:$G, Y$2, '발전사업(A)'!$Q:$Q, $J7, '발전사업(A)'!$C:$C, $L$1),
    COUNTIFS('자가소비(B)'!$G:$G, Y$2, '자가소비(B)'!$Q:$Q, $J7, '자가소비(B)'!$C:$C, $L$1),
    COUNTIFS('PPA 사업(C)'!$G:$G, Y$2, 'PPA 사업(C)'!$Q:$Q, $J7, 'PPA 사업(C)'!$C:$C, $L$1),
    COUNTIFS('리스사업(D)'!$G:$G, Y$2, '리스사업(D)'!$Q:$Q, $J7, '리스사업(D)'!$C:$C, $L$1),
    COUNTIFS('임대사업(E)'!$G:$G, Y$2, '임대사업(E)'!$Q:$Q, $J7, '임대사업(E)'!$C:$C, $L$1),
    COUNTIFS('환경부사업(F)'!$G:$G, Y$2, '환경부사업(F)'!$Q:$Q, $J7, '환경부사업(F)'!$C:$C, $L$1),
    COUNTIFS('프로젝트(G)'!$G:$G, Y$2, '프로젝트(G)'!$Q:$Q, $J7, '프로젝트(G)'!$C:$C, $L$1),
    COUNTIFS('협력사 EPC(H)'!$G:$G, Y$2, '협력사 EPC(H)'!$Q:$Q, $J7, '협력사 EPC(H)'!$C:$C, $L$1),
    COUNTIFS('기타(Z)'!$G:$G, Y$2, '기타(Z)'!$Q:$Q, $J7, '기타(Z)'!$C:$C, $L$1)
  ) = 0,
  "",
  COUNTIFS('발전사업(A)'!$G:$G, Y$2, '발전사업(A)'!$Q:$Q, $J7, '발전사업(A)'!$C:$C, $L$1)
  + COUNTIFS('자가소비(B)'!$G:$G, Y$2, '자가소비(B)'!$Q:$Q, $J7, '자가소비(B)'!$C:$C, $L$1)
  + COUNTIFS('PPA 사업(C)'!$G:$G, Y$2, 'PPA 사업(C)'!$Q:$Q, $J7, 'PPA 사업(C)'!$C:$C, $L$1)
  + COUNTIFS('리스사업(D)'!$G:$G, Y$2, '리스사업(D)'!$Q:$Q, $J7, '리스사업(D)'!$C:$C, $L$1)
  + COUNTIFS('임대사업(E)'!$G:$G, Y$2, '임대사업(E)'!$Q:$Q, $J7, '임대사업(E)'!$C:$C, $L$1)
  + COUNTIFS('환경부사업(F)'!$G:$G, Y$2, '환경부사업(F)'!$Q:$Q, $J7, '환경부사업(F)'!$C:$C, $L$1)
  + COUNTIFS('프로젝트(G)'!$G:$G, Y$2, '프로젝트(G)'!$Q:$Q, $J7, '프로젝트(G)'!$C:$C, $L$1)
  + COUNTIFS('협력사 EPC(H)'!$G:$G, Y$2, '협력사 EPC(H)'!$Q:$Q, $J7, '협력사 EPC(H)'!$C:$C, $L$1)
  + COUNTIFS('기타(Z)'!$G:$G, Y$2, '기타(Z)'!$Q:$Q, $J7, '기타(Z)'!$C:$C, $L$1)
)</f>
        <v/>
      </c>
      <c r="AA7" s="366" t="str">
        <f>IF(
  SUM(
    SUMIFS('발전사업(A)'!$I:$I,'발전사업(A)'!$G:$G,AA$2,'발전사업(A)'!$Q:$Q,$J7,'발전사업(A)'!$C:$C,$L$1),
    SUMIFS('자가소비(B)'!$I:$I,'자가소비(B)'!$G:$G,AA$2,'자가소비(B)'!$Q:$Q,$J7,'자가소비(B)'!$C:$C,$L$1),
    SUMIFS('PPA 사업(C)'!$I:$I,'PPA 사업(C)'!$G:$G,AA$2,'PPA 사업(C)'!$Q:$Q,$J7,'PPA 사업(C)'!$C:$C,$L$1),
    SUMIFS('리스사업(D)'!$I:$I,'리스사업(D)'!$G:$G,AA$2,'리스사업(D)'!$Q:$Q,$J7,'리스사업(D)'!$C:$C,$L$1),
    SUMIFS('임대사업(E)'!$I:$I,'임대사업(E)'!$G:$G,AA$2,'임대사업(E)'!$Q:$Q,$J7,'임대사업(E)'!$C:$C,$L$1),
    SUMIFS('환경부사업(F)'!$I:$I,'환경부사업(F)'!$G:$G,AA$2,'환경부사업(F)'!$Q:$Q,$J7,'환경부사업(F)'!$C:$C,$L$1),
    SUMIFS('프로젝트(G)'!$I:$I,'프로젝트(G)'!$G:$G,AA$2,'프로젝트(G)'!$Q:$Q,$J7,'프로젝트(G)'!$C:$C,$L$1),
    SUMIFS('협력사 EPC(H)'!$I:$I,'협력사 EPC(H)'!$G:$G,AA$2,'협력사 EPC(H)'!$Q:$Q,$J7,'협력사 EPC(H)'!$C:$C,$L$1),
    SUMIFS('기타(Z)'!$I:$I,'기타(Z)'!$G:$G,AA$2,'기타(Z)'!$Q:$Q,$J7,'기타(Z)'!$C:$C,$L$1)
  )=0,
  "",
  SUM(
    SUMIFS('발전사업(A)'!$I:$I,'발전사업(A)'!$G:$G,AA$2,'발전사업(A)'!$Q:$Q,$J7,'발전사업(A)'!$C:$C,$L$1),
    SUMIFS('자가소비(B)'!$I:$I,'자가소비(B)'!$G:$G,AA$2,'자가소비(B)'!$Q:$Q,$J7,'자가소비(B)'!$C:$C,$L$1),
    SUMIFS('PPA 사업(C)'!$I:$I,'PPA 사업(C)'!$G:$G,AA$2,'PPA 사업(C)'!$Q:$Q,$J7,'PPA 사업(C)'!$C:$C,$L$1),
    SUMIFS('리스사업(D)'!$I:$I,'리스사업(D)'!$G:$G,AA$2,'리스사업(D)'!$Q:$Q,$J7,'리스사업(D)'!$C:$C,$L$1),
    SUMIFS('임대사업(E)'!$I:$I,'임대사업(E)'!$G:$G,AA$2,'임대사업(E)'!$Q:$Q,$J7,'임대사업(E)'!$C:$C,$L$1),
    SUMIFS('환경부사업(F)'!$I:$I,'환경부사업(F)'!$G:$G,AA$2,'환경부사업(F)'!$Q:$Q,$J7,'환경부사업(F)'!$C:$C,$L$1),
    SUMIFS('프로젝트(G)'!$I:$I,'프로젝트(G)'!$G:$G,AA$2,'프로젝트(G)'!$Q:$Q,$J7,'프로젝트(G)'!$C:$C,$L$1),
    SUMIFS('협력사 EPC(H)'!$I:$I,'협력사 EPC(H)'!$G:$G,AA$2,'협력사 EPC(H)'!$Q:$Q,$J7,'협력사 EPC(H)'!$C:$C,$L$1),
    SUMIFS('기타(Z)'!$I:$I,'기타(Z)'!$G:$G,AA$2,'기타(Z)'!$Q:$Q,$J7,'기타(Z)'!$C:$C,$L$1)
  )
)</f>
        <v/>
      </c>
      <c r="AB7" s="367" t="str">
        <f>IF(
  SUM(
    COUNTIFS('발전사업(A)'!$G:$G, AA$2, '발전사업(A)'!$Q:$Q, $J7, '발전사업(A)'!$C:$C, $L$1),
    COUNTIFS('자가소비(B)'!$G:$G, AA$2, '자가소비(B)'!$Q:$Q, $J7, '자가소비(B)'!$C:$C, $L$1),
    COUNTIFS('PPA 사업(C)'!$G:$G, AA$2, 'PPA 사업(C)'!$Q:$Q, $J7, 'PPA 사업(C)'!$C:$C, $L$1),
    COUNTIFS('리스사업(D)'!$G:$G, AA$2, '리스사업(D)'!$Q:$Q, $J7, '리스사업(D)'!$C:$C, $L$1),
    COUNTIFS('임대사업(E)'!$G:$G, AA$2, '임대사업(E)'!$Q:$Q, $J7, '임대사업(E)'!$C:$C, $L$1),
    COUNTIFS('환경부사업(F)'!$G:$G, AA$2, '환경부사업(F)'!$Q:$Q, $J7, '환경부사업(F)'!$C:$C, $L$1),
    COUNTIFS('프로젝트(G)'!$G:$G, AA$2, '프로젝트(G)'!$Q:$Q, $J7, '프로젝트(G)'!$C:$C, $L$1),
    COUNTIFS('협력사 EPC(H)'!$G:$G, AA$2, '협력사 EPC(H)'!$Q:$Q, $J7, '협력사 EPC(H)'!$C:$C, $L$1),
    COUNTIFS('기타(Z)'!$G:$G, AA$2, '기타(Z)'!$Q:$Q, $J7, '기타(Z)'!$C:$C, $L$1)
  ) = 0,
  "",
  COUNTIFS('발전사업(A)'!$G:$G, AA$2, '발전사업(A)'!$Q:$Q, $J7, '발전사업(A)'!$C:$C, $L$1)
  + COUNTIFS('자가소비(B)'!$G:$G, AA$2, '자가소비(B)'!$Q:$Q, $J7, '자가소비(B)'!$C:$C, $L$1)
  + COUNTIFS('PPA 사업(C)'!$G:$G, AA$2, 'PPA 사업(C)'!$Q:$Q, $J7, 'PPA 사업(C)'!$C:$C, $L$1)
  + COUNTIFS('리스사업(D)'!$G:$G, AA$2, '리스사업(D)'!$Q:$Q, $J7, '리스사업(D)'!$C:$C, $L$1)
  + COUNTIFS('임대사업(E)'!$G:$G, AA$2, '임대사업(E)'!$Q:$Q, $J7, '임대사업(E)'!$C:$C, $L$1)
  + COUNTIFS('환경부사업(F)'!$G:$G, AA$2, '환경부사업(F)'!$Q:$Q, $J7, '환경부사업(F)'!$C:$C, $L$1)
  + COUNTIFS('프로젝트(G)'!$G:$G, AA$2, '프로젝트(G)'!$Q:$Q, $J7, '프로젝트(G)'!$C:$C, $L$1)
  + COUNTIFS('협력사 EPC(H)'!$G:$G, AA$2, '협력사 EPC(H)'!$Q:$Q, $J7, '협력사 EPC(H)'!$C:$C, $L$1)
  + COUNTIFS('기타(Z)'!$G:$G, AA$2, '기타(Z)'!$Q:$Q, $J7, '기타(Z)'!$C:$C, $L$1)
)</f>
        <v/>
      </c>
      <c r="AC7" s="366" t="str">
        <f>IF(
  SUM(
    SUMIFS('발전사업(A)'!$I:$I,'발전사업(A)'!$G:$G,AC$2,'발전사업(A)'!$Q:$Q,$J7,'발전사업(A)'!$C:$C,$L$1),
    SUMIFS('자가소비(B)'!$I:$I,'자가소비(B)'!$G:$G,AC$2,'자가소비(B)'!$Q:$Q,$J7,'자가소비(B)'!$C:$C,$L$1),
    SUMIFS('PPA 사업(C)'!$I:$I,'PPA 사업(C)'!$G:$G,AC$2,'PPA 사업(C)'!$Q:$Q,$J7,'PPA 사업(C)'!$C:$C,$L$1),
    SUMIFS('리스사업(D)'!$I:$I,'리스사업(D)'!$G:$G,AC$2,'리스사업(D)'!$Q:$Q,$J7,'리스사업(D)'!$C:$C,$L$1),
    SUMIFS('임대사업(E)'!$I:$I,'임대사업(E)'!$G:$G,AC$2,'임대사업(E)'!$Q:$Q,$J7,'임대사업(E)'!$C:$C,$L$1),
    SUMIFS('환경부사업(F)'!$I:$I,'환경부사업(F)'!$G:$G,AC$2,'환경부사업(F)'!$Q:$Q,$J7,'환경부사업(F)'!$C:$C,$L$1),
    SUMIFS('프로젝트(G)'!$I:$I,'프로젝트(G)'!$G:$G,AC$2,'프로젝트(G)'!$Q:$Q,$J7,'프로젝트(G)'!$C:$C,$L$1),
    SUMIFS('협력사 EPC(H)'!$I:$I,'협력사 EPC(H)'!$G:$G,AC$2,'협력사 EPC(H)'!$Q:$Q,$J7,'협력사 EPC(H)'!$C:$C,$L$1),
    SUMIFS('기타(Z)'!$I:$I,'기타(Z)'!$G:$G,AC$2,'기타(Z)'!$Q:$Q,$J7,'기타(Z)'!$C:$C,$L$1)
  )=0,
  "",
  SUM(
    SUMIFS('발전사업(A)'!$I:$I,'발전사업(A)'!$G:$G,AC$2,'발전사업(A)'!$Q:$Q,$J7,'발전사업(A)'!$C:$C,$L$1),
    SUMIFS('자가소비(B)'!$I:$I,'자가소비(B)'!$G:$G,AC$2,'자가소비(B)'!$Q:$Q,$J7,'자가소비(B)'!$C:$C,$L$1),
    SUMIFS('PPA 사업(C)'!$I:$I,'PPA 사업(C)'!$G:$G,AC$2,'PPA 사업(C)'!$Q:$Q,$J7,'PPA 사업(C)'!$C:$C,$L$1),
    SUMIFS('리스사업(D)'!$I:$I,'리스사업(D)'!$G:$G,AC$2,'리스사업(D)'!$Q:$Q,$J7,'리스사업(D)'!$C:$C,$L$1),
    SUMIFS('임대사업(E)'!$I:$I,'임대사업(E)'!$G:$G,AC$2,'임대사업(E)'!$Q:$Q,$J7,'임대사업(E)'!$C:$C,$L$1),
    SUMIFS('환경부사업(F)'!$I:$I,'환경부사업(F)'!$G:$G,AC$2,'환경부사업(F)'!$Q:$Q,$J7,'환경부사업(F)'!$C:$C,$L$1),
    SUMIFS('프로젝트(G)'!$I:$I,'프로젝트(G)'!$G:$G,AC$2,'프로젝트(G)'!$Q:$Q,$J7,'프로젝트(G)'!$C:$C,$L$1),
    SUMIFS('협력사 EPC(H)'!$I:$I,'협력사 EPC(H)'!$G:$G,AC$2,'협력사 EPC(H)'!$Q:$Q,$J7,'협력사 EPC(H)'!$C:$C,$L$1),
    SUMIFS('기타(Z)'!$I:$I,'기타(Z)'!$G:$G,AC$2,'기타(Z)'!$Q:$Q,$J7,'기타(Z)'!$C:$C,$L$1)
  )
)</f>
        <v/>
      </c>
      <c r="AD7" s="367" t="str">
        <f>IF(
  SUM(
    COUNTIFS('발전사업(A)'!$G:$G, AC$2, '발전사업(A)'!$Q:$Q, $J7, '발전사업(A)'!$C:$C, $L$1),
    COUNTIFS('자가소비(B)'!$G:$G, AC$2, '자가소비(B)'!$Q:$Q, $J7, '자가소비(B)'!$C:$C, $L$1),
    COUNTIFS('PPA 사업(C)'!$G:$G, AC$2, 'PPA 사업(C)'!$Q:$Q, $J7, 'PPA 사업(C)'!$C:$C, $L$1),
    COUNTIFS('리스사업(D)'!$G:$G, AC$2, '리스사업(D)'!$Q:$Q, $J7, '리스사업(D)'!$C:$C, $L$1),
    COUNTIFS('임대사업(E)'!$G:$G, AC$2, '임대사업(E)'!$Q:$Q, $J7, '임대사업(E)'!$C:$C, $L$1),
    COUNTIFS('환경부사업(F)'!$G:$G, AC$2, '환경부사업(F)'!$Q:$Q, $J7, '환경부사업(F)'!$C:$C, $L$1),
    COUNTIFS('프로젝트(G)'!$G:$G, AC$2, '프로젝트(G)'!$Q:$Q, $J7, '프로젝트(G)'!$C:$C, $L$1),
    COUNTIFS('협력사 EPC(H)'!$G:$G, AC$2, '협력사 EPC(H)'!$Q:$Q, $J7, '협력사 EPC(H)'!$C:$C, $L$1),
    COUNTIFS('기타(Z)'!$G:$G, AC$2, '기타(Z)'!$Q:$Q, $J7, '기타(Z)'!$C:$C, $L$1)
  ) = 0,
  "",
  COUNTIFS('발전사업(A)'!$G:$G, AC$2, '발전사업(A)'!$Q:$Q, $J7, '발전사업(A)'!$C:$C, $L$1)
  + COUNTIFS('자가소비(B)'!$G:$G, AC$2, '자가소비(B)'!$Q:$Q, $J7, '자가소비(B)'!$C:$C, $L$1)
  + COUNTIFS('PPA 사업(C)'!$G:$G, AC$2, 'PPA 사업(C)'!$Q:$Q, $J7, 'PPA 사업(C)'!$C:$C, $L$1)
  + COUNTIFS('리스사업(D)'!$G:$G, AC$2, '리스사업(D)'!$Q:$Q, $J7, '리스사업(D)'!$C:$C, $L$1)
  + COUNTIFS('임대사업(E)'!$G:$G, AC$2, '임대사업(E)'!$Q:$Q, $J7, '임대사업(E)'!$C:$C, $L$1)
  + COUNTIFS('환경부사업(F)'!$G:$G, AC$2, '환경부사업(F)'!$Q:$Q, $J7, '환경부사업(F)'!$C:$C, $L$1)
  + COUNTIFS('프로젝트(G)'!$G:$G, AC$2, '프로젝트(G)'!$Q:$Q, $J7, '프로젝트(G)'!$C:$C, $L$1)
  + COUNTIFS('협력사 EPC(H)'!$G:$G, AC$2, '협력사 EPC(H)'!$Q:$Q, $J7, '협력사 EPC(H)'!$C:$C, $L$1)
  + COUNTIFS('기타(Z)'!$G:$G, AC$2, '기타(Z)'!$Q:$Q, $J7, '기타(Z)'!$C:$C, $L$1)
)</f>
        <v/>
      </c>
      <c r="AE7" s="366" t="str">
        <f>IF(
  SUM(
    SUMIFS('발전사업(A)'!$I:$I,'발전사업(A)'!$G:$G,AE$2,'발전사업(A)'!$Q:$Q,$J7,'발전사업(A)'!$C:$C,$L$1),
    SUMIFS('자가소비(B)'!$I:$I,'자가소비(B)'!$G:$G,AE$2,'자가소비(B)'!$Q:$Q,$J7,'자가소비(B)'!$C:$C,$L$1),
    SUMIFS('PPA 사업(C)'!$I:$I,'PPA 사업(C)'!$G:$G,AE$2,'PPA 사업(C)'!$Q:$Q,$J7,'PPA 사업(C)'!$C:$C,$L$1),
    SUMIFS('리스사업(D)'!$I:$I,'리스사업(D)'!$G:$G,AE$2,'리스사업(D)'!$Q:$Q,$J7,'리스사업(D)'!$C:$C,$L$1),
    SUMIFS('임대사업(E)'!$I:$I,'임대사업(E)'!$G:$G,AE$2,'임대사업(E)'!$Q:$Q,$J7,'임대사업(E)'!$C:$C,$L$1),
    SUMIFS('환경부사업(F)'!$I:$I,'환경부사업(F)'!$G:$G,AE$2,'환경부사업(F)'!$Q:$Q,$J7,'환경부사업(F)'!$C:$C,$L$1),
    SUMIFS('프로젝트(G)'!$I:$I,'프로젝트(G)'!$G:$G,AE$2,'프로젝트(G)'!$Q:$Q,$J7,'프로젝트(G)'!$C:$C,$L$1),
    SUMIFS('협력사 EPC(H)'!$I:$I,'협력사 EPC(H)'!$G:$G,AE$2,'협력사 EPC(H)'!$Q:$Q,$J7,'협력사 EPC(H)'!$C:$C,$L$1),
    SUMIFS('기타(Z)'!$I:$I,'기타(Z)'!$G:$G,AE$2,'기타(Z)'!$Q:$Q,$J7,'기타(Z)'!$C:$C,$L$1)
  )=0,
  "",
  SUM(
    SUMIFS('발전사업(A)'!$I:$I,'발전사업(A)'!$G:$G,AE$2,'발전사업(A)'!$Q:$Q,$J7,'발전사업(A)'!$C:$C,$L$1),
    SUMIFS('자가소비(B)'!$I:$I,'자가소비(B)'!$G:$G,AE$2,'자가소비(B)'!$Q:$Q,$J7,'자가소비(B)'!$C:$C,$L$1),
    SUMIFS('PPA 사업(C)'!$I:$I,'PPA 사업(C)'!$G:$G,AE$2,'PPA 사업(C)'!$Q:$Q,$J7,'PPA 사업(C)'!$C:$C,$L$1),
    SUMIFS('리스사업(D)'!$I:$I,'리스사업(D)'!$G:$G,AE$2,'리스사업(D)'!$Q:$Q,$J7,'리스사업(D)'!$C:$C,$L$1),
    SUMIFS('임대사업(E)'!$I:$I,'임대사업(E)'!$G:$G,AE$2,'임대사업(E)'!$Q:$Q,$J7,'임대사업(E)'!$C:$C,$L$1),
    SUMIFS('환경부사업(F)'!$I:$I,'환경부사업(F)'!$G:$G,AE$2,'환경부사업(F)'!$Q:$Q,$J7,'환경부사업(F)'!$C:$C,$L$1),
    SUMIFS('프로젝트(G)'!$I:$I,'프로젝트(G)'!$G:$G,AE$2,'프로젝트(G)'!$Q:$Q,$J7,'프로젝트(G)'!$C:$C,$L$1),
    SUMIFS('협력사 EPC(H)'!$I:$I,'협력사 EPC(H)'!$G:$G,AE$2,'협력사 EPC(H)'!$Q:$Q,$J7,'협력사 EPC(H)'!$C:$C,$L$1),
    SUMIFS('기타(Z)'!$I:$I,'기타(Z)'!$G:$G,AE$2,'기타(Z)'!$Q:$Q,$J7,'기타(Z)'!$C:$C,$L$1)
  )
)</f>
        <v/>
      </c>
      <c r="AF7" s="367" t="str">
        <f>IF(
  SUM(
    COUNTIFS('발전사업(A)'!$G:$G, AE$2, '발전사업(A)'!$Q:$Q, $J7, '발전사업(A)'!$C:$C, $L$1),
    COUNTIFS('자가소비(B)'!$G:$G, AE$2, '자가소비(B)'!$Q:$Q, $J7, '자가소비(B)'!$C:$C, $L$1),
    COUNTIFS('PPA 사업(C)'!$G:$G, AE$2, 'PPA 사업(C)'!$Q:$Q, $J7, 'PPA 사업(C)'!$C:$C, $L$1),
    COUNTIFS('리스사업(D)'!$G:$G, AE$2, '리스사업(D)'!$Q:$Q, $J7, '리스사업(D)'!$C:$C, $L$1),
    COUNTIFS('임대사업(E)'!$G:$G, AE$2, '임대사업(E)'!$Q:$Q, $J7, '임대사업(E)'!$C:$C, $L$1),
    COUNTIFS('환경부사업(F)'!$G:$G, AE$2, '환경부사업(F)'!$Q:$Q, $J7, '환경부사업(F)'!$C:$C, $L$1),
    COUNTIFS('프로젝트(G)'!$G:$G, AE$2, '프로젝트(G)'!$Q:$Q, $J7, '프로젝트(G)'!$C:$C, $L$1),
    COUNTIFS('협력사 EPC(H)'!$G:$G, AE$2, '협력사 EPC(H)'!$Q:$Q, $J7, '협력사 EPC(H)'!$C:$C, $L$1),
    COUNTIFS('기타(Z)'!$G:$G, AE$2, '기타(Z)'!$Q:$Q, $J7, '기타(Z)'!$C:$C, $L$1)
  ) = 0,
  "",
  COUNTIFS('발전사업(A)'!$G:$G, AE$2, '발전사업(A)'!$Q:$Q, $J7, '발전사업(A)'!$C:$C, $L$1)
  + COUNTIFS('자가소비(B)'!$G:$G, AE$2, '자가소비(B)'!$Q:$Q, $J7, '자가소비(B)'!$C:$C, $L$1)
  + COUNTIFS('PPA 사업(C)'!$G:$G, AE$2, 'PPA 사업(C)'!$Q:$Q, $J7, 'PPA 사업(C)'!$C:$C, $L$1)
  + COUNTIFS('리스사업(D)'!$G:$G, AE$2, '리스사업(D)'!$Q:$Q, $J7, '리스사업(D)'!$C:$C, $L$1)
  + COUNTIFS('임대사업(E)'!$G:$G, AE$2, '임대사업(E)'!$Q:$Q, $J7, '임대사업(E)'!$C:$C, $L$1)
  + COUNTIFS('환경부사업(F)'!$G:$G, AE$2, '환경부사업(F)'!$Q:$Q, $J7, '환경부사업(F)'!$C:$C, $L$1)
  + COUNTIFS('프로젝트(G)'!$G:$G, AE$2, '프로젝트(G)'!$Q:$Q, $J7, '프로젝트(G)'!$C:$C, $L$1)
  + COUNTIFS('협력사 EPC(H)'!$G:$G, AE$2, '협력사 EPC(H)'!$Q:$Q, $J7, '협력사 EPC(H)'!$C:$C, $L$1)
  + COUNTIFS('기타(Z)'!$G:$G, AE$2, '기타(Z)'!$Q:$Q, $J7, '기타(Z)'!$C:$C, $L$1)
)</f>
        <v/>
      </c>
      <c r="AG7" s="366" t="str">
        <f>IF(
  SUM(
    SUMIFS('발전사업(A)'!$I:$I,'발전사업(A)'!$G:$G,AG$2,'발전사업(A)'!$Q:$Q,$J7,'발전사업(A)'!$C:$C,$L$1),
    SUMIFS('자가소비(B)'!$I:$I,'자가소비(B)'!$G:$G,AG$2,'자가소비(B)'!$Q:$Q,$J7,'자가소비(B)'!$C:$C,$L$1),
    SUMIFS('PPA 사업(C)'!$I:$I,'PPA 사업(C)'!$G:$G,AG$2,'PPA 사업(C)'!$Q:$Q,$J7,'PPA 사업(C)'!$C:$C,$L$1),
    SUMIFS('리스사업(D)'!$I:$I,'리스사업(D)'!$G:$G,AG$2,'리스사업(D)'!$Q:$Q,$J7,'리스사업(D)'!$C:$C,$L$1),
    SUMIFS('임대사업(E)'!$I:$I,'임대사업(E)'!$G:$G,AG$2,'임대사업(E)'!$Q:$Q,$J7,'임대사업(E)'!$C:$C,$L$1),
    SUMIFS('환경부사업(F)'!$I:$I,'환경부사업(F)'!$G:$G,AG$2,'환경부사업(F)'!$Q:$Q,$J7,'환경부사업(F)'!$C:$C,$L$1),
    SUMIFS('프로젝트(G)'!$I:$I,'프로젝트(G)'!$G:$G,AG$2,'프로젝트(G)'!$Q:$Q,$J7,'프로젝트(G)'!$C:$C,$L$1),
    SUMIFS('협력사 EPC(H)'!$I:$I,'협력사 EPC(H)'!$G:$G,AG$2,'협력사 EPC(H)'!$Q:$Q,$J7,'협력사 EPC(H)'!$C:$C,$L$1),
    SUMIFS('기타(Z)'!$I:$I,'기타(Z)'!$G:$G,AG$2,'기타(Z)'!$Q:$Q,$J7,'기타(Z)'!$C:$C,$L$1)
  )=0,
  "",
  SUM(
    SUMIFS('발전사업(A)'!$I:$I,'발전사업(A)'!$G:$G,AG$2,'발전사업(A)'!$Q:$Q,$J7,'발전사업(A)'!$C:$C,$L$1),
    SUMIFS('자가소비(B)'!$I:$I,'자가소비(B)'!$G:$G,AG$2,'자가소비(B)'!$Q:$Q,$J7,'자가소비(B)'!$C:$C,$L$1),
    SUMIFS('PPA 사업(C)'!$I:$I,'PPA 사업(C)'!$G:$G,AG$2,'PPA 사업(C)'!$Q:$Q,$J7,'PPA 사업(C)'!$C:$C,$L$1),
    SUMIFS('리스사업(D)'!$I:$I,'리스사업(D)'!$G:$G,AG$2,'리스사업(D)'!$Q:$Q,$J7,'리스사업(D)'!$C:$C,$L$1),
    SUMIFS('임대사업(E)'!$I:$I,'임대사업(E)'!$G:$G,AG$2,'임대사업(E)'!$Q:$Q,$J7,'임대사업(E)'!$C:$C,$L$1),
    SUMIFS('환경부사업(F)'!$I:$I,'환경부사업(F)'!$G:$G,AG$2,'환경부사업(F)'!$Q:$Q,$J7,'환경부사업(F)'!$C:$C,$L$1),
    SUMIFS('프로젝트(G)'!$I:$I,'프로젝트(G)'!$G:$G,AG$2,'프로젝트(G)'!$Q:$Q,$J7,'프로젝트(G)'!$C:$C,$L$1),
    SUMIFS('협력사 EPC(H)'!$I:$I,'협력사 EPC(H)'!$G:$G,AG$2,'협력사 EPC(H)'!$Q:$Q,$J7,'협력사 EPC(H)'!$C:$C,$L$1),
    SUMIFS('기타(Z)'!$I:$I,'기타(Z)'!$G:$G,AG$2,'기타(Z)'!$Q:$Q,$J7,'기타(Z)'!$C:$C,$L$1)
  )
)</f>
        <v/>
      </c>
      <c r="AH7" s="367" t="str">
        <f>IF(
  SUM(
    COUNTIFS('발전사업(A)'!$G:$G, AG$2, '발전사업(A)'!$Q:$Q, $J7, '발전사업(A)'!$C:$C, $L$1),
    COUNTIFS('자가소비(B)'!$G:$G, AG$2, '자가소비(B)'!$Q:$Q, $J7, '자가소비(B)'!$C:$C, $L$1),
    COUNTIFS('PPA 사업(C)'!$G:$G, AG$2, 'PPA 사업(C)'!$Q:$Q, $J7, 'PPA 사업(C)'!$C:$C, $L$1),
    COUNTIFS('리스사업(D)'!$G:$G, AG$2, '리스사업(D)'!$Q:$Q, $J7, '리스사업(D)'!$C:$C, $L$1),
    COUNTIFS('임대사업(E)'!$G:$G, AG$2, '임대사업(E)'!$Q:$Q, $J7, '임대사업(E)'!$C:$C, $L$1),
    COUNTIFS('환경부사업(F)'!$G:$G, AG$2, '환경부사업(F)'!$Q:$Q, $J7, '환경부사업(F)'!$C:$C, $L$1),
    COUNTIFS('프로젝트(G)'!$G:$G, AG$2, '프로젝트(G)'!$Q:$Q, $J7, '프로젝트(G)'!$C:$C, $L$1),
    COUNTIFS('협력사 EPC(H)'!$G:$G, AG$2, '협력사 EPC(H)'!$Q:$Q, $J7, '협력사 EPC(H)'!$C:$C, $L$1),
    COUNTIFS('기타(Z)'!$G:$G, AG$2, '기타(Z)'!$Q:$Q, $J7, '기타(Z)'!$C:$C, $L$1)
  ) = 0,
  "",
  COUNTIFS('발전사업(A)'!$G:$G, AG$2, '발전사업(A)'!$Q:$Q, $J7, '발전사업(A)'!$C:$C, $L$1)
  + COUNTIFS('자가소비(B)'!$G:$G, AG$2, '자가소비(B)'!$Q:$Q, $J7, '자가소비(B)'!$C:$C, $L$1)
  + COUNTIFS('PPA 사업(C)'!$G:$G, AG$2, 'PPA 사업(C)'!$Q:$Q, $J7, 'PPA 사업(C)'!$C:$C, $L$1)
  + COUNTIFS('리스사업(D)'!$G:$G, AG$2, '리스사업(D)'!$Q:$Q, $J7, '리스사업(D)'!$C:$C, $L$1)
  + COUNTIFS('임대사업(E)'!$G:$G, AG$2, '임대사업(E)'!$Q:$Q, $J7, '임대사업(E)'!$C:$C, $L$1)
  + COUNTIFS('환경부사업(F)'!$G:$G, AG$2, '환경부사업(F)'!$Q:$Q, $J7, '환경부사업(F)'!$C:$C, $L$1)
  + COUNTIFS('프로젝트(G)'!$G:$G, AG$2, '프로젝트(G)'!$Q:$Q, $J7, '프로젝트(G)'!$C:$C, $L$1)
  + COUNTIFS('협력사 EPC(H)'!$G:$G, AG$2, '협력사 EPC(H)'!$Q:$Q, $J7, '협력사 EPC(H)'!$C:$C, $L$1)
  + COUNTIFS('기타(Z)'!$G:$G, AG$2, '기타(Z)'!$Q:$Q, $J7, '기타(Z)'!$C:$C, $L$1)
)</f>
        <v/>
      </c>
      <c r="AI7" s="366" t="str">
        <f>IF(
  SUM(
    SUMIFS('발전사업(A)'!$I:$I,'발전사업(A)'!$G:$G,AI$2,'발전사업(A)'!$Q:$Q,$J7,'발전사업(A)'!$C:$C,$L$1),
    SUMIFS('자가소비(B)'!$I:$I,'자가소비(B)'!$G:$G,AI$2,'자가소비(B)'!$Q:$Q,$J7,'자가소비(B)'!$C:$C,$L$1),
    SUMIFS('PPA 사업(C)'!$I:$I,'PPA 사업(C)'!$G:$G,AI$2,'PPA 사업(C)'!$Q:$Q,$J7,'PPA 사업(C)'!$C:$C,$L$1),
    SUMIFS('리스사업(D)'!$I:$I,'리스사업(D)'!$G:$G,AI$2,'리스사업(D)'!$Q:$Q,$J7,'리스사업(D)'!$C:$C,$L$1),
    SUMIFS('임대사업(E)'!$I:$I,'임대사업(E)'!$G:$G,AI$2,'임대사업(E)'!$Q:$Q,$J7,'임대사업(E)'!$C:$C,$L$1),
    SUMIFS('환경부사업(F)'!$I:$I,'환경부사업(F)'!$G:$G,AI$2,'환경부사업(F)'!$Q:$Q,$J7,'환경부사업(F)'!$C:$C,$L$1),
    SUMIFS('프로젝트(G)'!$I:$I,'프로젝트(G)'!$G:$G,AI$2,'프로젝트(G)'!$Q:$Q,$J7,'프로젝트(G)'!$C:$C,$L$1),
    SUMIFS('협력사 EPC(H)'!$I:$I,'협력사 EPC(H)'!$G:$G,AI$2,'협력사 EPC(H)'!$Q:$Q,$J7,'협력사 EPC(H)'!$C:$C,$L$1),
    SUMIFS('기타(Z)'!$I:$I,'기타(Z)'!$G:$G,AI$2,'기타(Z)'!$Q:$Q,$J7,'기타(Z)'!$C:$C,$L$1)
  )=0,
  "",
  SUM(
    SUMIFS('발전사업(A)'!$I:$I,'발전사업(A)'!$G:$G,AI$2,'발전사업(A)'!$Q:$Q,$J7,'발전사업(A)'!$C:$C,$L$1),
    SUMIFS('자가소비(B)'!$I:$I,'자가소비(B)'!$G:$G,AI$2,'자가소비(B)'!$Q:$Q,$J7,'자가소비(B)'!$C:$C,$L$1),
    SUMIFS('PPA 사업(C)'!$I:$I,'PPA 사업(C)'!$G:$G,AI$2,'PPA 사업(C)'!$Q:$Q,$J7,'PPA 사업(C)'!$C:$C,$L$1),
    SUMIFS('리스사업(D)'!$I:$I,'리스사업(D)'!$G:$G,AI$2,'리스사업(D)'!$Q:$Q,$J7,'리스사업(D)'!$C:$C,$L$1),
    SUMIFS('임대사업(E)'!$I:$I,'임대사업(E)'!$G:$G,AI$2,'임대사업(E)'!$Q:$Q,$J7,'임대사업(E)'!$C:$C,$L$1),
    SUMIFS('환경부사업(F)'!$I:$I,'환경부사업(F)'!$G:$G,AI$2,'환경부사업(F)'!$Q:$Q,$J7,'환경부사업(F)'!$C:$C,$L$1),
    SUMIFS('프로젝트(G)'!$I:$I,'프로젝트(G)'!$G:$G,AI$2,'프로젝트(G)'!$Q:$Q,$J7,'프로젝트(G)'!$C:$C,$L$1),
    SUMIFS('협력사 EPC(H)'!$I:$I,'협력사 EPC(H)'!$G:$G,AI$2,'협력사 EPC(H)'!$Q:$Q,$J7,'협력사 EPC(H)'!$C:$C,$L$1),
    SUMIFS('기타(Z)'!$I:$I,'기타(Z)'!$G:$G,AI$2,'기타(Z)'!$Q:$Q,$J7,'기타(Z)'!$C:$C,$L$1)
  )
)</f>
        <v/>
      </c>
      <c r="AJ7" s="365" t="str">
        <f>IF(
  SUM(
    COUNTIFS('발전사업(A)'!$G:$G, AI$2, '발전사업(A)'!$Q:$Q, $J7, '발전사업(A)'!$C:$C, $L$1),
    COUNTIFS('자가소비(B)'!$G:$G, AI$2, '자가소비(B)'!$Q:$Q, $J7, '자가소비(B)'!$C:$C, $L$1),
    COUNTIFS('PPA 사업(C)'!$G:$G, AI$2, 'PPA 사업(C)'!$Q:$Q, $J7, 'PPA 사업(C)'!$C:$C, $L$1),
    COUNTIFS('리스사업(D)'!$G:$G, AI$2, '리스사업(D)'!$Q:$Q, $J7, '리스사업(D)'!$C:$C, $L$1),
    COUNTIFS('임대사업(E)'!$G:$G, AI$2, '임대사업(E)'!$Q:$Q, $J7, '임대사업(E)'!$C:$C, $L$1),
    COUNTIFS('환경부사업(F)'!$G:$G, AI$2, '환경부사업(F)'!$Q:$Q, $J7, '환경부사업(F)'!$C:$C, $L$1),
    COUNTIFS('프로젝트(G)'!$G:$G, AI$2, '프로젝트(G)'!$Q:$Q, $J7, '프로젝트(G)'!$C:$C, $L$1),
    COUNTIFS('협력사 EPC(H)'!$G:$G, AI$2, '협력사 EPC(H)'!$Q:$Q, $J7, '협력사 EPC(H)'!$C:$C, $L$1),
    COUNTIFS('기타(Z)'!$G:$G, AI$2, '기타(Z)'!$Q:$Q, $J7, '기타(Z)'!$C:$C, $L$1)
  ) = 0,
  "",
  COUNTIFS('발전사업(A)'!$G:$G, AI$2, '발전사업(A)'!$Q:$Q, $J7, '발전사업(A)'!$C:$C, $L$1)
  + COUNTIFS('자가소비(B)'!$G:$G, AI$2, '자가소비(B)'!$Q:$Q, $J7, '자가소비(B)'!$C:$C, $L$1)
  + COUNTIFS('PPA 사업(C)'!$G:$G, AI$2, 'PPA 사업(C)'!$Q:$Q, $J7, 'PPA 사업(C)'!$C:$C, $L$1)
  + COUNTIFS('리스사업(D)'!$G:$G, AI$2, '리스사업(D)'!$Q:$Q, $J7, '리스사업(D)'!$C:$C, $L$1)
  + COUNTIFS('임대사업(E)'!$G:$G, AI$2, '임대사업(E)'!$Q:$Q, $J7, '임대사업(E)'!$C:$C, $L$1)
  + COUNTIFS('환경부사업(F)'!$G:$G, AI$2, '환경부사업(F)'!$Q:$Q, $J7, '환경부사업(F)'!$C:$C, $L$1)
  + COUNTIFS('프로젝트(G)'!$G:$G, AI$2, '프로젝트(G)'!$Q:$Q, $J7, '프로젝트(G)'!$C:$C, $L$1)
  + COUNTIFS('협력사 EPC(H)'!$G:$G, AI$2, '협력사 EPC(H)'!$Q:$Q, $J7, '협력사 EPC(H)'!$C:$C, $L$1)
  + COUNTIFS('기타(Z)'!$G:$G, AI$2, '기타(Z)'!$Q:$Q, $J7, '기타(Z)'!$C:$C, $L$1)
)</f>
        <v/>
      </c>
    </row>
    <row r="8" spans="2:36" ht="15" x14ac:dyDescent="0.25">
      <c r="B8" s="195" t="s">
        <v>155</v>
      </c>
      <c r="C8" s="262">
        <f t="shared" si="0"/>
        <v>3398.7449999999999</v>
      </c>
      <c r="D8" s="263">
        <f t="shared" si="0"/>
        <v>32</v>
      </c>
      <c r="E8" s="262">
        <f t="shared" si="0"/>
        <v>2291.5049999999997</v>
      </c>
      <c r="F8" s="263">
        <f t="shared" si="0"/>
        <v>21</v>
      </c>
      <c r="G8" s="262">
        <f t="shared" si="0"/>
        <v>1107.24</v>
      </c>
      <c r="H8" s="263">
        <f t="shared" si="0"/>
        <v>11</v>
      </c>
      <c r="J8" s="371" t="s">
        <v>186</v>
      </c>
      <c r="K8" s="354">
        <f t="shared" si="1"/>
        <v>307.02</v>
      </c>
      <c r="L8" s="348">
        <f t="shared" si="2"/>
        <v>2</v>
      </c>
      <c r="M8" s="366" t="str">
        <f>IF(
  SUM(
    SUMIFS('발전사업(A)'!$I:$I,'발전사업(A)'!$G:$G,M$2,'발전사업(A)'!$Q:$Q,$J8,'발전사업(A)'!$C:$C,$L$1),
    SUMIFS('자가소비(B)'!$I:$I,'자가소비(B)'!$G:$G,M$2,'자가소비(B)'!$Q:$Q,$J8,'자가소비(B)'!$C:$C,$L$1),
    SUMIFS('PPA 사업(C)'!$I:$I,'PPA 사업(C)'!$G:$G,M$2,'PPA 사업(C)'!$Q:$Q,$J8,'PPA 사업(C)'!$C:$C,$L$1),
    SUMIFS('리스사업(D)'!$I:$I,'리스사업(D)'!$G:$G,M$2,'리스사업(D)'!$Q:$Q,$J8,'리스사업(D)'!$C:$C,$L$1),
    SUMIFS('임대사업(E)'!$I:$I,'임대사업(E)'!$G:$G,M$2,'임대사업(E)'!$Q:$Q,$J8,'임대사업(E)'!$C:$C,$L$1),
    SUMIFS('환경부사업(F)'!$I:$I,'환경부사업(F)'!$G:$G,M$2,'환경부사업(F)'!$Q:$Q,$J8,'환경부사업(F)'!$C:$C,$L$1),
    SUMIFS('프로젝트(G)'!$I:$I,'프로젝트(G)'!$G:$G,M$2,'프로젝트(G)'!$Q:$Q,$J8,'프로젝트(G)'!$C:$C,$L$1),
    SUMIFS('협력사 EPC(H)'!$I:$I,'협력사 EPC(H)'!$G:$G,M$2,'협력사 EPC(H)'!$Q:$Q,$J8,'협력사 EPC(H)'!$C:$C,$L$1),
    SUMIFS('기타(Z)'!$I:$I,'기타(Z)'!$G:$G,M$2,'기타(Z)'!$Q:$Q,$J8,'기타(Z)'!$C:$C,$L$1)
  )=0,
  "",
  SUM(
    SUMIFS('발전사업(A)'!$I:$I,'발전사업(A)'!$G:$G,M$2,'발전사업(A)'!$Q:$Q,$J8,'발전사업(A)'!$C:$C,$L$1),
    SUMIFS('자가소비(B)'!$I:$I,'자가소비(B)'!$G:$G,M$2,'자가소비(B)'!$Q:$Q,$J8,'자가소비(B)'!$C:$C,$L$1),
    SUMIFS('PPA 사업(C)'!$I:$I,'PPA 사업(C)'!$G:$G,M$2,'PPA 사업(C)'!$Q:$Q,$J8,'PPA 사업(C)'!$C:$C,$L$1),
    SUMIFS('리스사업(D)'!$I:$I,'리스사업(D)'!$G:$G,M$2,'리스사업(D)'!$Q:$Q,$J8,'리스사업(D)'!$C:$C,$L$1),
    SUMIFS('임대사업(E)'!$I:$I,'임대사업(E)'!$G:$G,M$2,'임대사업(E)'!$Q:$Q,$J8,'임대사업(E)'!$C:$C,$L$1),
    SUMIFS('환경부사업(F)'!$I:$I,'환경부사업(F)'!$G:$G,M$2,'환경부사업(F)'!$Q:$Q,$J8,'환경부사업(F)'!$C:$C,$L$1),
    SUMIFS('프로젝트(G)'!$I:$I,'프로젝트(G)'!$G:$G,M$2,'프로젝트(G)'!$Q:$Q,$J8,'프로젝트(G)'!$C:$C,$L$1),
    SUMIFS('협력사 EPC(H)'!$I:$I,'협력사 EPC(H)'!$G:$G,M$2,'협력사 EPC(H)'!$Q:$Q,$J8,'협력사 EPC(H)'!$C:$C,$L$1),
    SUMIFS('기타(Z)'!$I:$I,'기타(Z)'!$G:$G,M$2,'기타(Z)'!$Q:$Q,$J8,'기타(Z)'!$C:$C,$L$1)
  )
)</f>
        <v/>
      </c>
      <c r="N8" s="367" t="str">
        <f>IF(
  SUM(
    COUNTIFS('발전사업(A)'!$G:$G, M$2, '발전사업(A)'!$Q:$Q, $J8, '발전사업(A)'!$C:$C, $L$1),
    COUNTIFS('자가소비(B)'!$G:$G, M$2, '자가소비(B)'!$Q:$Q, $J8, '자가소비(B)'!$C:$C, $L$1),
    COUNTIFS('PPA 사업(C)'!$G:$G, M$2, 'PPA 사업(C)'!$Q:$Q, $J8, 'PPA 사업(C)'!$C:$C, $L$1),
    COUNTIFS('리스사업(D)'!$G:$G, M$2, '리스사업(D)'!$Q:$Q, $J8, '리스사업(D)'!$C:$C, $L$1),
    COUNTIFS('임대사업(E)'!$G:$G, M$2, '임대사업(E)'!$Q:$Q, $J8, '임대사업(E)'!$C:$C, $L$1),
    COUNTIFS('환경부사업(F)'!$G:$G, M$2, '환경부사업(F)'!$Q:$Q, $J8, '환경부사업(F)'!$C:$C, $L$1),
    COUNTIFS('프로젝트(G)'!$G:$G, M$2, '프로젝트(G)'!$Q:$Q, $J8, '프로젝트(G)'!$C:$C, $L$1),
    COUNTIFS('협력사 EPC(H)'!$G:$G, M$2, '협력사 EPC(H)'!$Q:$Q, $J8, '협력사 EPC(H)'!$C:$C, $L$1),
    COUNTIFS('기타(Z)'!$G:$G, M$2, '기타(Z)'!$Q:$Q, $J8, '기타(Z)'!$C:$C, $L$1)
  ) = 0,
  "",
  COUNTIFS('발전사업(A)'!$G:$G, M$2, '발전사업(A)'!$Q:$Q, $J8, '발전사업(A)'!$C:$C, $L$1)
  + COUNTIFS('자가소비(B)'!$G:$G, M$2, '자가소비(B)'!$Q:$Q, $J8, '자가소비(B)'!$C:$C, $L$1)
  + COUNTIFS('PPA 사업(C)'!$G:$G, M$2, 'PPA 사업(C)'!$Q:$Q, $J8, 'PPA 사업(C)'!$C:$C, $L$1)
  + COUNTIFS('리스사업(D)'!$G:$G, M$2, '리스사업(D)'!$Q:$Q, $J8, '리스사업(D)'!$C:$C, $L$1)
  + COUNTIFS('임대사업(E)'!$G:$G, M$2, '임대사업(E)'!$Q:$Q, $J8, '임대사업(E)'!$C:$C, $L$1)
  + COUNTIFS('환경부사업(F)'!$G:$G, M$2, '환경부사업(F)'!$Q:$Q, $J8, '환경부사업(F)'!$C:$C, $L$1)
  + COUNTIFS('프로젝트(G)'!$G:$G, M$2, '프로젝트(G)'!$Q:$Q, $J8, '프로젝트(G)'!$C:$C, $L$1)
  + COUNTIFS('협력사 EPC(H)'!$G:$G, M$2, '협력사 EPC(H)'!$Q:$Q, $J8, '협력사 EPC(H)'!$C:$C, $L$1)
  + COUNTIFS('기타(Z)'!$G:$G, M$2, '기타(Z)'!$Q:$Q, $J8, '기타(Z)'!$C:$C, $L$1)
)</f>
        <v/>
      </c>
      <c r="O8" s="366" t="str">
        <f>IF(
  SUM(
    SUMIFS('발전사업(A)'!$I:$I,'발전사업(A)'!$G:$G,O$2,'발전사업(A)'!$Q:$Q,$J8,'발전사업(A)'!$C:$C,$L$1),
    SUMIFS('자가소비(B)'!$I:$I,'자가소비(B)'!$G:$G,O$2,'자가소비(B)'!$Q:$Q,$J8,'자가소비(B)'!$C:$C,$L$1),
    SUMIFS('PPA 사업(C)'!$I:$I,'PPA 사업(C)'!$G:$G,O$2,'PPA 사업(C)'!$Q:$Q,$J8,'PPA 사업(C)'!$C:$C,$L$1),
    SUMIFS('리스사업(D)'!$I:$I,'리스사업(D)'!$G:$G,O$2,'리스사업(D)'!$Q:$Q,$J8,'리스사업(D)'!$C:$C,$L$1),
    SUMIFS('임대사업(E)'!$I:$I,'임대사업(E)'!$G:$G,O$2,'임대사업(E)'!$Q:$Q,$J8,'임대사업(E)'!$C:$C,$L$1),
    SUMIFS('환경부사업(F)'!$I:$I,'환경부사업(F)'!$G:$G,O$2,'환경부사업(F)'!$Q:$Q,$J8,'환경부사업(F)'!$C:$C,$L$1),
    SUMIFS('프로젝트(G)'!$I:$I,'프로젝트(G)'!$G:$G,O$2,'프로젝트(G)'!$Q:$Q,$J8,'프로젝트(G)'!$C:$C,$L$1),
    SUMIFS('협력사 EPC(H)'!$I:$I,'협력사 EPC(H)'!$G:$G,O$2,'협력사 EPC(H)'!$Q:$Q,$J8,'협력사 EPC(H)'!$C:$C,$L$1),
    SUMIFS('기타(Z)'!$I:$I,'기타(Z)'!$G:$G,O$2,'기타(Z)'!$Q:$Q,$J8,'기타(Z)'!$C:$C,$L$1)
  )=0,
  "",
  SUM(
    SUMIFS('발전사업(A)'!$I:$I,'발전사업(A)'!$G:$G,O$2,'발전사업(A)'!$Q:$Q,$J8,'발전사업(A)'!$C:$C,$L$1),
    SUMIFS('자가소비(B)'!$I:$I,'자가소비(B)'!$G:$G,O$2,'자가소비(B)'!$Q:$Q,$J8,'자가소비(B)'!$C:$C,$L$1),
    SUMIFS('PPA 사업(C)'!$I:$I,'PPA 사업(C)'!$G:$G,O$2,'PPA 사업(C)'!$Q:$Q,$J8,'PPA 사업(C)'!$C:$C,$L$1),
    SUMIFS('리스사업(D)'!$I:$I,'리스사업(D)'!$G:$G,O$2,'리스사업(D)'!$Q:$Q,$J8,'리스사업(D)'!$C:$C,$L$1),
    SUMIFS('임대사업(E)'!$I:$I,'임대사업(E)'!$G:$G,O$2,'임대사업(E)'!$Q:$Q,$J8,'임대사업(E)'!$C:$C,$L$1),
    SUMIFS('환경부사업(F)'!$I:$I,'환경부사업(F)'!$G:$G,O$2,'환경부사업(F)'!$Q:$Q,$J8,'환경부사업(F)'!$C:$C,$L$1),
    SUMIFS('프로젝트(G)'!$I:$I,'프로젝트(G)'!$G:$G,O$2,'프로젝트(G)'!$Q:$Q,$J8,'프로젝트(G)'!$C:$C,$L$1),
    SUMIFS('협력사 EPC(H)'!$I:$I,'협력사 EPC(H)'!$G:$G,O$2,'협력사 EPC(H)'!$Q:$Q,$J8,'협력사 EPC(H)'!$C:$C,$L$1),
    SUMIFS('기타(Z)'!$I:$I,'기타(Z)'!$G:$G,O$2,'기타(Z)'!$Q:$Q,$J8,'기타(Z)'!$C:$C,$L$1)
  )
)</f>
        <v/>
      </c>
      <c r="P8" s="367" t="str">
        <f>IF(
  SUM(
    COUNTIFS('발전사업(A)'!$G:$G, O$2, '발전사업(A)'!$Q:$Q, $J8, '발전사업(A)'!$C:$C, $L$1),
    COUNTIFS('자가소비(B)'!$G:$G, O$2, '자가소비(B)'!$Q:$Q, $J8, '자가소비(B)'!$C:$C, $L$1),
    COUNTIFS('PPA 사업(C)'!$G:$G, O$2, 'PPA 사업(C)'!$Q:$Q, $J8, 'PPA 사업(C)'!$C:$C, $L$1),
    COUNTIFS('리스사업(D)'!$G:$G, O$2, '리스사업(D)'!$Q:$Q, $J8, '리스사업(D)'!$C:$C, $L$1),
    COUNTIFS('임대사업(E)'!$G:$G, O$2, '임대사업(E)'!$Q:$Q, $J8, '임대사업(E)'!$C:$C, $L$1),
    COUNTIFS('환경부사업(F)'!$G:$G, O$2, '환경부사업(F)'!$Q:$Q, $J8, '환경부사업(F)'!$C:$C, $L$1),
    COUNTIFS('프로젝트(G)'!$G:$G, O$2, '프로젝트(G)'!$Q:$Q, $J8, '프로젝트(G)'!$C:$C, $L$1),
    COUNTIFS('협력사 EPC(H)'!$G:$G, O$2, '협력사 EPC(H)'!$Q:$Q, $J8, '협력사 EPC(H)'!$C:$C, $L$1),
    COUNTIFS('기타(Z)'!$G:$G, O$2, '기타(Z)'!$Q:$Q, $J8, '기타(Z)'!$C:$C, $L$1)
  ) = 0,
  "",
  COUNTIFS('발전사업(A)'!$G:$G, O$2, '발전사업(A)'!$Q:$Q, $J8, '발전사업(A)'!$C:$C, $L$1)
  + COUNTIFS('자가소비(B)'!$G:$G, O$2, '자가소비(B)'!$Q:$Q, $J8, '자가소비(B)'!$C:$C, $L$1)
  + COUNTIFS('PPA 사업(C)'!$G:$G, O$2, 'PPA 사업(C)'!$Q:$Q, $J8, 'PPA 사업(C)'!$C:$C, $L$1)
  + COUNTIFS('리스사업(D)'!$G:$G, O$2, '리스사업(D)'!$Q:$Q, $J8, '리스사업(D)'!$C:$C, $L$1)
  + COUNTIFS('임대사업(E)'!$G:$G, O$2, '임대사업(E)'!$Q:$Q, $J8, '임대사업(E)'!$C:$C, $L$1)
  + COUNTIFS('환경부사업(F)'!$G:$G, O$2, '환경부사업(F)'!$Q:$Q, $J8, '환경부사업(F)'!$C:$C, $L$1)
  + COUNTIFS('프로젝트(G)'!$G:$G, O$2, '프로젝트(G)'!$Q:$Q, $J8, '프로젝트(G)'!$C:$C, $L$1)
  + COUNTIFS('협력사 EPC(H)'!$G:$G, O$2, '협력사 EPC(H)'!$Q:$Q, $J8, '협력사 EPC(H)'!$C:$C, $L$1)
  + COUNTIFS('기타(Z)'!$G:$G, O$2, '기타(Z)'!$Q:$Q, $J8, '기타(Z)'!$C:$C, $L$1)
)</f>
        <v/>
      </c>
      <c r="Q8" s="366" t="str">
        <f>IF(
  SUM(
    SUMIFS('발전사업(A)'!$I:$I,'발전사업(A)'!$G:$G,Q$2,'발전사업(A)'!$Q:$Q,$J8,'발전사업(A)'!$C:$C,$L$1),
    SUMIFS('자가소비(B)'!$I:$I,'자가소비(B)'!$G:$G,Q$2,'자가소비(B)'!$Q:$Q,$J8,'자가소비(B)'!$C:$C,$L$1),
    SUMIFS('PPA 사업(C)'!$I:$I,'PPA 사업(C)'!$G:$G,Q$2,'PPA 사업(C)'!$Q:$Q,$J8,'PPA 사업(C)'!$C:$C,$L$1),
    SUMIFS('리스사업(D)'!$I:$I,'리스사업(D)'!$G:$G,Q$2,'리스사업(D)'!$Q:$Q,$J8,'리스사업(D)'!$C:$C,$L$1),
    SUMIFS('임대사업(E)'!$I:$I,'임대사업(E)'!$G:$G,Q$2,'임대사업(E)'!$Q:$Q,$J8,'임대사업(E)'!$C:$C,$L$1),
    SUMIFS('환경부사업(F)'!$I:$I,'환경부사업(F)'!$G:$G,Q$2,'환경부사업(F)'!$Q:$Q,$J8,'환경부사업(F)'!$C:$C,$L$1),
    SUMIFS('프로젝트(G)'!$I:$I,'프로젝트(G)'!$G:$G,Q$2,'프로젝트(G)'!$Q:$Q,$J8,'프로젝트(G)'!$C:$C,$L$1),
    SUMIFS('협력사 EPC(H)'!$I:$I,'협력사 EPC(H)'!$G:$G,Q$2,'협력사 EPC(H)'!$Q:$Q,$J8,'협력사 EPC(H)'!$C:$C,$L$1),
    SUMIFS('기타(Z)'!$I:$I,'기타(Z)'!$G:$G,Q$2,'기타(Z)'!$Q:$Q,$J8,'기타(Z)'!$C:$C,$L$1)
  )=0,
  "",
  SUM(
    SUMIFS('발전사업(A)'!$I:$I,'발전사업(A)'!$G:$G,Q$2,'발전사업(A)'!$Q:$Q,$J8,'발전사업(A)'!$C:$C,$L$1),
    SUMIFS('자가소비(B)'!$I:$I,'자가소비(B)'!$G:$G,Q$2,'자가소비(B)'!$Q:$Q,$J8,'자가소비(B)'!$C:$C,$L$1),
    SUMIFS('PPA 사업(C)'!$I:$I,'PPA 사업(C)'!$G:$G,Q$2,'PPA 사업(C)'!$Q:$Q,$J8,'PPA 사업(C)'!$C:$C,$L$1),
    SUMIFS('리스사업(D)'!$I:$I,'리스사업(D)'!$G:$G,Q$2,'리스사업(D)'!$Q:$Q,$J8,'리스사업(D)'!$C:$C,$L$1),
    SUMIFS('임대사업(E)'!$I:$I,'임대사업(E)'!$G:$G,Q$2,'임대사업(E)'!$Q:$Q,$J8,'임대사업(E)'!$C:$C,$L$1),
    SUMIFS('환경부사업(F)'!$I:$I,'환경부사업(F)'!$G:$G,Q$2,'환경부사업(F)'!$Q:$Q,$J8,'환경부사업(F)'!$C:$C,$L$1),
    SUMIFS('프로젝트(G)'!$I:$I,'프로젝트(G)'!$G:$G,Q$2,'프로젝트(G)'!$Q:$Q,$J8,'프로젝트(G)'!$C:$C,$L$1),
    SUMIFS('협력사 EPC(H)'!$I:$I,'협력사 EPC(H)'!$G:$G,Q$2,'협력사 EPC(H)'!$Q:$Q,$J8,'협력사 EPC(H)'!$C:$C,$L$1),
    SUMIFS('기타(Z)'!$I:$I,'기타(Z)'!$G:$G,Q$2,'기타(Z)'!$Q:$Q,$J8,'기타(Z)'!$C:$C,$L$1)
  )
)</f>
        <v/>
      </c>
      <c r="R8" s="367" t="str">
        <f>IF(
  SUM(
    COUNTIFS('발전사업(A)'!$G:$G, Q$2, '발전사업(A)'!$Q:$Q, $J8, '발전사업(A)'!$C:$C, $L$1),
    COUNTIFS('자가소비(B)'!$G:$G, Q$2, '자가소비(B)'!$Q:$Q, $J8, '자가소비(B)'!$C:$C, $L$1),
    COUNTIFS('PPA 사업(C)'!$G:$G, Q$2, 'PPA 사업(C)'!$Q:$Q, $J8, 'PPA 사업(C)'!$C:$C, $L$1),
    COUNTIFS('리스사업(D)'!$G:$G, Q$2, '리스사업(D)'!$Q:$Q, $J8, '리스사업(D)'!$C:$C, $L$1),
    COUNTIFS('임대사업(E)'!$G:$G, Q$2, '임대사업(E)'!$Q:$Q, $J8, '임대사업(E)'!$C:$C, $L$1),
    COUNTIFS('환경부사업(F)'!$G:$G, Q$2, '환경부사업(F)'!$Q:$Q, $J8, '환경부사업(F)'!$C:$C, $L$1),
    COUNTIFS('프로젝트(G)'!$G:$G, Q$2, '프로젝트(G)'!$Q:$Q, $J8, '프로젝트(G)'!$C:$C, $L$1),
    COUNTIFS('협력사 EPC(H)'!$G:$G, Q$2, '협력사 EPC(H)'!$Q:$Q, $J8, '협력사 EPC(H)'!$C:$C, $L$1),
    COUNTIFS('기타(Z)'!$G:$G, Q$2, '기타(Z)'!$Q:$Q, $J8, '기타(Z)'!$C:$C, $L$1)
  ) = 0,
  "",
  COUNTIFS('발전사업(A)'!$G:$G, Q$2, '발전사업(A)'!$Q:$Q, $J8, '발전사업(A)'!$C:$C, $L$1)
  + COUNTIFS('자가소비(B)'!$G:$G, Q$2, '자가소비(B)'!$Q:$Q, $J8, '자가소비(B)'!$C:$C, $L$1)
  + COUNTIFS('PPA 사업(C)'!$G:$G, Q$2, 'PPA 사업(C)'!$Q:$Q, $J8, 'PPA 사업(C)'!$C:$C, $L$1)
  + COUNTIFS('리스사업(D)'!$G:$G, Q$2, '리스사업(D)'!$Q:$Q, $J8, '리스사업(D)'!$C:$C, $L$1)
  + COUNTIFS('임대사업(E)'!$G:$G, Q$2, '임대사업(E)'!$Q:$Q, $J8, '임대사업(E)'!$C:$C, $L$1)
  + COUNTIFS('환경부사업(F)'!$G:$G, Q$2, '환경부사업(F)'!$Q:$Q, $J8, '환경부사업(F)'!$C:$C, $L$1)
  + COUNTIFS('프로젝트(G)'!$G:$G, Q$2, '프로젝트(G)'!$Q:$Q, $J8, '프로젝트(G)'!$C:$C, $L$1)
  + COUNTIFS('협력사 EPC(H)'!$G:$G, Q$2, '협력사 EPC(H)'!$Q:$Q, $J8, '협력사 EPC(H)'!$C:$C, $L$1)
  + COUNTIFS('기타(Z)'!$G:$G, Q$2, '기타(Z)'!$Q:$Q, $J8, '기타(Z)'!$C:$C, $L$1)
)</f>
        <v/>
      </c>
      <c r="S8" s="366" t="str">
        <f>IF(
  SUM(
    SUMIFS('발전사업(A)'!$I:$I,'발전사업(A)'!$G:$G,S$2,'발전사업(A)'!$Q:$Q,$J8,'발전사업(A)'!$C:$C,$L$1),
    SUMIFS('자가소비(B)'!$I:$I,'자가소비(B)'!$G:$G,S$2,'자가소비(B)'!$Q:$Q,$J8,'자가소비(B)'!$C:$C,$L$1),
    SUMIFS('PPA 사업(C)'!$I:$I,'PPA 사업(C)'!$G:$G,S$2,'PPA 사업(C)'!$Q:$Q,$J8,'PPA 사업(C)'!$C:$C,$L$1),
    SUMIFS('리스사업(D)'!$I:$I,'리스사업(D)'!$G:$G,S$2,'리스사업(D)'!$Q:$Q,$J8,'리스사업(D)'!$C:$C,$L$1),
    SUMIFS('임대사업(E)'!$I:$I,'임대사업(E)'!$G:$G,S$2,'임대사업(E)'!$Q:$Q,$J8,'임대사업(E)'!$C:$C,$L$1),
    SUMIFS('환경부사업(F)'!$I:$I,'환경부사업(F)'!$G:$G,S$2,'환경부사업(F)'!$Q:$Q,$J8,'환경부사업(F)'!$C:$C,$L$1),
    SUMIFS('프로젝트(G)'!$I:$I,'프로젝트(G)'!$G:$G,S$2,'프로젝트(G)'!$Q:$Q,$J8,'프로젝트(G)'!$C:$C,$L$1),
    SUMIFS('협력사 EPC(H)'!$I:$I,'협력사 EPC(H)'!$G:$G,S$2,'협력사 EPC(H)'!$Q:$Q,$J8,'협력사 EPC(H)'!$C:$C,$L$1),
    SUMIFS('기타(Z)'!$I:$I,'기타(Z)'!$G:$G,S$2,'기타(Z)'!$Q:$Q,$J8,'기타(Z)'!$C:$C,$L$1)
  )=0,
  "",
  SUM(
    SUMIFS('발전사업(A)'!$I:$I,'발전사업(A)'!$G:$G,S$2,'발전사업(A)'!$Q:$Q,$J8,'발전사업(A)'!$C:$C,$L$1),
    SUMIFS('자가소비(B)'!$I:$I,'자가소비(B)'!$G:$G,S$2,'자가소비(B)'!$Q:$Q,$J8,'자가소비(B)'!$C:$C,$L$1),
    SUMIFS('PPA 사업(C)'!$I:$I,'PPA 사업(C)'!$G:$G,S$2,'PPA 사업(C)'!$Q:$Q,$J8,'PPA 사업(C)'!$C:$C,$L$1),
    SUMIFS('리스사업(D)'!$I:$I,'리스사업(D)'!$G:$G,S$2,'리스사업(D)'!$Q:$Q,$J8,'리스사업(D)'!$C:$C,$L$1),
    SUMIFS('임대사업(E)'!$I:$I,'임대사업(E)'!$G:$G,S$2,'임대사업(E)'!$Q:$Q,$J8,'임대사업(E)'!$C:$C,$L$1),
    SUMIFS('환경부사업(F)'!$I:$I,'환경부사업(F)'!$G:$G,S$2,'환경부사업(F)'!$Q:$Q,$J8,'환경부사업(F)'!$C:$C,$L$1),
    SUMIFS('프로젝트(G)'!$I:$I,'프로젝트(G)'!$G:$G,S$2,'프로젝트(G)'!$Q:$Q,$J8,'프로젝트(G)'!$C:$C,$L$1),
    SUMIFS('협력사 EPC(H)'!$I:$I,'협력사 EPC(H)'!$G:$G,S$2,'협력사 EPC(H)'!$Q:$Q,$J8,'협력사 EPC(H)'!$C:$C,$L$1),
    SUMIFS('기타(Z)'!$I:$I,'기타(Z)'!$G:$G,S$2,'기타(Z)'!$Q:$Q,$J8,'기타(Z)'!$C:$C,$L$1)
  )
)</f>
        <v/>
      </c>
      <c r="T8" s="367" t="str">
        <f>IF(
  SUM(
    COUNTIFS('발전사업(A)'!$G:$G, S$2, '발전사업(A)'!$Q:$Q, $J8, '발전사업(A)'!$C:$C, $L$1),
    COUNTIFS('자가소비(B)'!$G:$G, S$2, '자가소비(B)'!$Q:$Q, $J8, '자가소비(B)'!$C:$C, $L$1),
    COUNTIFS('PPA 사업(C)'!$G:$G, S$2, 'PPA 사업(C)'!$Q:$Q, $J8, 'PPA 사업(C)'!$C:$C, $L$1),
    COUNTIFS('리스사업(D)'!$G:$G, S$2, '리스사업(D)'!$Q:$Q, $J8, '리스사업(D)'!$C:$C, $L$1),
    COUNTIFS('임대사업(E)'!$G:$G, S$2, '임대사업(E)'!$Q:$Q, $J8, '임대사업(E)'!$C:$C, $L$1),
    COUNTIFS('환경부사업(F)'!$G:$G, S$2, '환경부사업(F)'!$Q:$Q, $J8, '환경부사업(F)'!$C:$C, $L$1),
    COUNTIFS('프로젝트(G)'!$G:$G, S$2, '프로젝트(G)'!$Q:$Q, $J8, '프로젝트(G)'!$C:$C, $L$1),
    COUNTIFS('협력사 EPC(H)'!$G:$G, S$2, '협력사 EPC(H)'!$Q:$Q, $J8, '협력사 EPC(H)'!$C:$C, $L$1),
    COUNTIFS('기타(Z)'!$G:$G, S$2, '기타(Z)'!$Q:$Q, $J8, '기타(Z)'!$C:$C, $L$1)
  ) = 0,
  "",
  COUNTIFS('발전사업(A)'!$G:$G, S$2, '발전사업(A)'!$Q:$Q, $J8, '발전사업(A)'!$C:$C, $L$1)
  + COUNTIFS('자가소비(B)'!$G:$G, S$2, '자가소비(B)'!$Q:$Q, $J8, '자가소비(B)'!$C:$C, $L$1)
  + COUNTIFS('PPA 사업(C)'!$G:$G, S$2, 'PPA 사업(C)'!$Q:$Q, $J8, 'PPA 사업(C)'!$C:$C, $L$1)
  + COUNTIFS('리스사업(D)'!$G:$G, S$2, '리스사업(D)'!$Q:$Q, $J8, '리스사업(D)'!$C:$C, $L$1)
  + COUNTIFS('임대사업(E)'!$G:$G, S$2, '임대사업(E)'!$Q:$Q, $J8, '임대사업(E)'!$C:$C, $L$1)
  + COUNTIFS('환경부사업(F)'!$G:$G, S$2, '환경부사업(F)'!$Q:$Q, $J8, '환경부사업(F)'!$C:$C, $L$1)
  + COUNTIFS('프로젝트(G)'!$G:$G, S$2, '프로젝트(G)'!$Q:$Q, $J8, '프로젝트(G)'!$C:$C, $L$1)
  + COUNTIFS('협력사 EPC(H)'!$G:$G, S$2, '협력사 EPC(H)'!$Q:$Q, $J8, '협력사 EPC(H)'!$C:$C, $L$1)
  + COUNTIFS('기타(Z)'!$G:$G, S$2, '기타(Z)'!$Q:$Q, $J8, '기타(Z)'!$C:$C, $L$1)
)</f>
        <v/>
      </c>
      <c r="U8" s="366" t="str">
        <f>IF(
  SUM(
    SUMIFS('발전사업(A)'!$I:$I,'발전사업(A)'!$G:$G,U$2,'발전사업(A)'!$Q:$Q,$J8,'발전사업(A)'!$C:$C,$L$1),
    SUMIFS('자가소비(B)'!$I:$I,'자가소비(B)'!$G:$G,U$2,'자가소비(B)'!$Q:$Q,$J8,'자가소비(B)'!$C:$C,$L$1),
    SUMIFS('PPA 사업(C)'!$I:$I,'PPA 사업(C)'!$G:$G,U$2,'PPA 사업(C)'!$Q:$Q,$J8,'PPA 사업(C)'!$C:$C,$L$1),
    SUMIFS('리스사업(D)'!$I:$I,'리스사업(D)'!$G:$G,U$2,'리스사업(D)'!$Q:$Q,$J8,'리스사업(D)'!$C:$C,$L$1),
    SUMIFS('임대사업(E)'!$I:$I,'임대사업(E)'!$G:$G,U$2,'임대사업(E)'!$Q:$Q,$J8,'임대사업(E)'!$C:$C,$L$1),
    SUMIFS('환경부사업(F)'!$I:$I,'환경부사업(F)'!$G:$G,U$2,'환경부사업(F)'!$Q:$Q,$J8,'환경부사업(F)'!$C:$C,$L$1),
    SUMIFS('프로젝트(G)'!$I:$I,'프로젝트(G)'!$G:$G,U$2,'프로젝트(G)'!$Q:$Q,$J8,'프로젝트(G)'!$C:$C,$L$1),
    SUMIFS('협력사 EPC(H)'!$I:$I,'협력사 EPC(H)'!$G:$G,U$2,'협력사 EPC(H)'!$Q:$Q,$J8,'협력사 EPC(H)'!$C:$C,$L$1),
    SUMIFS('기타(Z)'!$I:$I,'기타(Z)'!$G:$G,U$2,'기타(Z)'!$Q:$Q,$J8,'기타(Z)'!$C:$C,$L$1)
  )=0,
  "",
  SUM(
    SUMIFS('발전사업(A)'!$I:$I,'발전사업(A)'!$G:$G,U$2,'발전사업(A)'!$Q:$Q,$J8,'발전사업(A)'!$C:$C,$L$1),
    SUMIFS('자가소비(B)'!$I:$I,'자가소비(B)'!$G:$G,U$2,'자가소비(B)'!$Q:$Q,$J8,'자가소비(B)'!$C:$C,$L$1),
    SUMIFS('PPA 사업(C)'!$I:$I,'PPA 사업(C)'!$G:$G,U$2,'PPA 사업(C)'!$Q:$Q,$J8,'PPA 사업(C)'!$C:$C,$L$1),
    SUMIFS('리스사업(D)'!$I:$I,'리스사업(D)'!$G:$G,U$2,'리스사업(D)'!$Q:$Q,$J8,'리스사업(D)'!$C:$C,$L$1),
    SUMIFS('임대사업(E)'!$I:$I,'임대사업(E)'!$G:$G,U$2,'임대사업(E)'!$Q:$Q,$J8,'임대사업(E)'!$C:$C,$L$1),
    SUMIFS('환경부사업(F)'!$I:$I,'환경부사업(F)'!$G:$G,U$2,'환경부사업(F)'!$Q:$Q,$J8,'환경부사업(F)'!$C:$C,$L$1),
    SUMIFS('프로젝트(G)'!$I:$I,'프로젝트(G)'!$G:$G,U$2,'프로젝트(G)'!$Q:$Q,$J8,'프로젝트(G)'!$C:$C,$L$1),
    SUMIFS('협력사 EPC(H)'!$I:$I,'협력사 EPC(H)'!$G:$G,U$2,'협력사 EPC(H)'!$Q:$Q,$J8,'협력사 EPC(H)'!$C:$C,$L$1),
    SUMIFS('기타(Z)'!$I:$I,'기타(Z)'!$G:$G,U$2,'기타(Z)'!$Q:$Q,$J8,'기타(Z)'!$C:$C,$L$1)
  )
)</f>
        <v/>
      </c>
      <c r="V8" s="367" t="str">
        <f>IF(
  SUM(
    COUNTIFS('발전사업(A)'!$G:$G, U$2, '발전사업(A)'!$Q:$Q, $J8, '발전사업(A)'!$C:$C, $L$1),
    COUNTIFS('자가소비(B)'!$G:$G, U$2, '자가소비(B)'!$Q:$Q, $J8, '자가소비(B)'!$C:$C, $L$1),
    COUNTIFS('PPA 사업(C)'!$G:$G, U$2, 'PPA 사업(C)'!$Q:$Q, $J8, 'PPA 사업(C)'!$C:$C, $L$1),
    COUNTIFS('리스사업(D)'!$G:$G, U$2, '리스사업(D)'!$Q:$Q, $J8, '리스사업(D)'!$C:$C, $L$1),
    COUNTIFS('임대사업(E)'!$G:$G, U$2, '임대사업(E)'!$Q:$Q, $J8, '임대사업(E)'!$C:$C, $L$1),
    COUNTIFS('환경부사업(F)'!$G:$G, U$2, '환경부사업(F)'!$Q:$Q, $J8, '환경부사업(F)'!$C:$C, $L$1),
    COUNTIFS('프로젝트(G)'!$G:$G, U$2, '프로젝트(G)'!$Q:$Q, $J8, '프로젝트(G)'!$C:$C, $L$1),
    COUNTIFS('협력사 EPC(H)'!$G:$G, U$2, '협력사 EPC(H)'!$Q:$Q, $J8, '협력사 EPC(H)'!$C:$C, $L$1),
    COUNTIFS('기타(Z)'!$G:$G, U$2, '기타(Z)'!$Q:$Q, $J8, '기타(Z)'!$C:$C, $L$1)
  ) = 0,
  "",
  COUNTIFS('발전사업(A)'!$G:$G, U$2, '발전사업(A)'!$Q:$Q, $J8, '발전사업(A)'!$C:$C, $L$1)
  + COUNTIFS('자가소비(B)'!$G:$G, U$2, '자가소비(B)'!$Q:$Q, $J8, '자가소비(B)'!$C:$C, $L$1)
  + COUNTIFS('PPA 사업(C)'!$G:$G, U$2, 'PPA 사업(C)'!$Q:$Q, $J8, 'PPA 사업(C)'!$C:$C, $L$1)
  + COUNTIFS('리스사업(D)'!$G:$G, U$2, '리스사업(D)'!$Q:$Q, $J8, '리스사업(D)'!$C:$C, $L$1)
  + COUNTIFS('임대사업(E)'!$G:$G, U$2, '임대사업(E)'!$Q:$Q, $J8, '임대사업(E)'!$C:$C, $L$1)
  + COUNTIFS('환경부사업(F)'!$G:$G, U$2, '환경부사업(F)'!$Q:$Q, $J8, '환경부사업(F)'!$C:$C, $L$1)
  + COUNTIFS('프로젝트(G)'!$G:$G, U$2, '프로젝트(G)'!$Q:$Q, $J8, '프로젝트(G)'!$C:$C, $L$1)
  + COUNTIFS('협력사 EPC(H)'!$G:$G, U$2, '협력사 EPC(H)'!$Q:$Q, $J8, '협력사 EPC(H)'!$C:$C, $L$1)
  + COUNTIFS('기타(Z)'!$G:$G, U$2, '기타(Z)'!$Q:$Q, $J8, '기타(Z)'!$C:$C, $L$1)
)</f>
        <v/>
      </c>
      <c r="W8" s="366">
        <f>IF(
  SUM(
    SUMIFS('발전사업(A)'!$I:$I,'발전사업(A)'!$G:$G,W$2,'발전사업(A)'!$Q:$Q,$J8,'발전사업(A)'!$C:$C,$L$1),
    SUMIFS('자가소비(B)'!$I:$I,'자가소비(B)'!$G:$G,W$2,'자가소비(B)'!$Q:$Q,$J8,'자가소비(B)'!$C:$C,$L$1),
    SUMIFS('PPA 사업(C)'!$I:$I,'PPA 사업(C)'!$G:$G,W$2,'PPA 사업(C)'!$Q:$Q,$J8,'PPA 사업(C)'!$C:$C,$L$1),
    SUMIFS('리스사업(D)'!$I:$I,'리스사업(D)'!$G:$G,W$2,'리스사업(D)'!$Q:$Q,$J8,'리스사업(D)'!$C:$C,$L$1),
    SUMIFS('임대사업(E)'!$I:$I,'임대사업(E)'!$G:$G,W$2,'임대사업(E)'!$Q:$Q,$J8,'임대사업(E)'!$C:$C,$L$1),
    SUMIFS('환경부사업(F)'!$I:$I,'환경부사업(F)'!$G:$G,W$2,'환경부사업(F)'!$Q:$Q,$J8,'환경부사업(F)'!$C:$C,$L$1),
    SUMIFS('프로젝트(G)'!$I:$I,'프로젝트(G)'!$G:$G,W$2,'프로젝트(G)'!$Q:$Q,$J8,'프로젝트(G)'!$C:$C,$L$1),
    SUMIFS('협력사 EPC(H)'!$I:$I,'협력사 EPC(H)'!$G:$G,W$2,'협력사 EPC(H)'!$Q:$Q,$J8,'협력사 EPC(H)'!$C:$C,$L$1),
    SUMIFS('기타(Z)'!$I:$I,'기타(Z)'!$G:$G,W$2,'기타(Z)'!$Q:$Q,$J8,'기타(Z)'!$C:$C,$L$1)
  )=0,
  "",
  SUM(
    SUMIFS('발전사업(A)'!$I:$I,'발전사업(A)'!$G:$G,W$2,'발전사업(A)'!$Q:$Q,$J8,'발전사업(A)'!$C:$C,$L$1),
    SUMIFS('자가소비(B)'!$I:$I,'자가소비(B)'!$G:$G,W$2,'자가소비(B)'!$Q:$Q,$J8,'자가소비(B)'!$C:$C,$L$1),
    SUMIFS('PPA 사업(C)'!$I:$I,'PPA 사업(C)'!$G:$G,W$2,'PPA 사업(C)'!$Q:$Q,$J8,'PPA 사업(C)'!$C:$C,$L$1),
    SUMIFS('리스사업(D)'!$I:$I,'리스사업(D)'!$G:$G,W$2,'리스사업(D)'!$Q:$Q,$J8,'리스사업(D)'!$C:$C,$L$1),
    SUMIFS('임대사업(E)'!$I:$I,'임대사업(E)'!$G:$G,W$2,'임대사업(E)'!$Q:$Q,$J8,'임대사업(E)'!$C:$C,$L$1),
    SUMIFS('환경부사업(F)'!$I:$I,'환경부사업(F)'!$G:$G,W$2,'환경부사업(F)'!$Q:$Q,$J8,'환경부사업(F)'!$C:$C,$L$1),
    SUMIFS('프로젝트(G)'!$I:$I,'프로젝트(G)'!$G:$G,W$2,'프로젝트(G)'!$Q:$Q,$J8,'프로젝트(G)'!$C:$C,$L$1),
    SUMIFS('협력사 EPC(H)'!$I:$I,'협력사 EPC(H)'!$G:$G,W$2,'협력사 EPC(H)'!$Q:$Q,$J8,'협력사 EPC(H)'!$C:$C,$L$1),
    SUMIFS('기타(Z)'!$I:$I,'기타(Z)'!$G:$G,W$2,'기타(Z)'!$Q:$Q,$J8,'기타(Z)'!$C:$C,$L$1)
  )
)</f>
        <v>307.02</v>
      </c>
      <c r="X8" s="347">
        <f>IF(
  SUM(
    COUNTIFS('발전사업(A)'!$G:$G,W$2,'발전사업(A)'!$Q:$Q,$J8),
    COUNTIFS('자가소비(B)'!$G:$G,W$2,'자가소비(B)'!$Q:$Q,$J8),
    COUNTIFS('PPA 사업(C)'!$G:$G,W$2,'PPA 사업(C)'!$Q:$Q,$J8),
    COUNTIFS('리스사업(D)'!$G:$G,W$2,'리스사업(D)'!$Q:$Q,$J8),
    COUNTIFS('임대사업(E)'!$G:$G,W$2,'임대사업(E)'!$Q:$Q,$J8),
    COUNTIFS('환경부사업(F)'!$G:$G,W$2,'환경부사업(F)'!$Q:$Q,$J8),
    COUNTIFS('프로젝트(G)'!$G:$G,W$2,'프로젝트(G)'!$Q:$Q,$J8),
    COUNTIFS('협력사 EPC(H)'!$G:$G,W$2,'협력사 EPC(H)'!$Q:$Q,$J8),
    COUNTIFS('기타(Z)'!$G:$G,W$2,'기타(Z)'!$Q:$Q,$J8)
  )=0,
  "",
  COUNTIFS('발전사업(A)'!$G:$G,W$2,'발전사업(A)'!$Q:$Q,$J8)
  +COUNTIFS('자가소비(B)'!$G:$G,W$2,'자가소비(B)'!$Q:$Q,$J8)
  +COUNTIFS('PPA 사업(C)'!$G:$G,W$2,'PPA 사업(C)'!$Q:$Q,$J8)
  +COUNTIFS('리스사업(D)'!$G:$G,W$2,'리스사업(D)'!$Q:$Q,$J8)
  +COUNTIFS('임대사업(E)'!$G:$G,W$2,'임대사업(E)'!$Q:$Q,$J8)
  +COUNTIFS('환경부사업(F)'!$G:$G,W$2,'환경부사업(F)'!$Q:$Q,$J8)
  +COUNTIFS('프로젝트(G)'!$G:$G,W$2,'프로젝트(G)'!$Q:$Q,$J8)
  +COUNTIFS('협력사 EPC(H)'!$G:$G,W$2,'협력사 EPC(H)'!$Q:$Q,$J8)
  +COUNTIFS('기타(Z)'!$G:$G,W$2,'기타(Z)'!$Q:$Q,$J8)
)</f>
        <v>2</v>
      </c>
      <c r="Y8" s="366" t="str">
        <f>IF(
  SUM(
    SUMIFS('발전사업(A)'!$I:$I,'발전사업(A)'!$G:$G,Y$2,'발전사업(A)'!$Q:$Q,$J8,'발전사업(A)'!$C:$C,$L$1),
    SUMIFS('자가소비(B)'!$I:$I,'자가소비(B)'!$G:$G,Y$2,'자가소비(B)'!$Q:$Q,$J8,'자가소비(B)'!$C:$C,$L$1),
    SUMIFS('PPA 사업(C)'!$I:$I,'PPA 사업(C)'!$G:$G,Y$2,'PPA 사업(C)'!$Q:$Q,$J8,'PPA 사업(C)'!$C:$C,$L$1),
    SUMIFS('리스사업(D)'!$I:$I,'리스사업(D)'!$G:$G,Y$2,'리스사업(D)'!$Q:$Q,$J8,'리스사업(D)'!$C:$C,$L$1),
    SUMIFS('임대사업(E)'!$I:$I,'임대사업(E)'!$G:$G,Y$2,'임대사업(E)'!$Q:$Q,$J8,'임대사업(E)'!$C:$C,$L$1),
    SUMIFS('환경부사업(F)'!$I:$I,'환경부사업(F)'!$G:$G,Y$2,'환경부사업(F)'!$Q:$Q,$J8,'환경부사업(F)'!$C:$C,$L$1),
    SUMIFS('프로젝트(G)'!$I:$I,'프로젝트(G)'!$G:$G,Y$2,'프로젝트(G)'!$Q:$Q,$J8,'프로젝트(G)'!$C:$C,$L$1),
    SUMIFS('협력사 EPC(H)'!$I:$I,'협력사 EPC(H)'!$G:$G,Y$2,'협력사 EPC(H)'!$Q:$Q,$J8,'협력사 EPC(H)'!$C:$C,$L$1),
    SUMIFS('기타(Z)'!$I:$I,'기타(Z)'!$G:$G,Y$2,'기타(Z)'!$Q:$Q,$J8,'기타(Z)'!$C:$C,$L$1)
  )=0,
  "",
  SUM(
    SUMIFS('발전사업(A)'!$I:$I,'발전사업(A)'!$G:$G,Y$2,'발전사업(A)'!$Q:$Q,$J8,'발전사업(A)'!$C:$C,$L$1),
    SUMIFS('자가소비(B)'!$I:$I,'자가소비(B)'!$G:$G,Y$2,'자가소비(B)'!$Q:$Q,$J8,'자가소비(B)'!$C:$C,$L$1),
    SUMIFS('PPA 사업(C)'!$I:$I,'PPA 사업(C)'!$G:$G,Y$2,'PPA 사업(C)'!$Q:$Q,$J8,'PPA 사업(C)'!$C:$C,$L$1),
    SUMIFS('리스사업(D)'!$I:$I,'리스사업(D)'!$G:$G,Y$2,'리스사업(D)'!$Q:$Q,$J8,'리스사업(D)'!$C:$C,$L$1),
    SUMIFS('임대사업(E)'!$I:$I,'임대사업(E)'!$G:$G,Y$2,'임대사업(E)'!$Q:$Q,$J8,'임대사업(E)'!$C:$C,$L$1),
    SUMIFS('환경부사업(F)'!$I:$I,'환경부사업(F)'!$G:$G,Y$2,'환경부사업(F)'!$Q:$Q,$J8,'환경부사업(F)'!$C:$C,$L$1),
    SUMIFS('프로젝트(G)'!$I:$I,'프로젝트(G)'!$G:$G,Y$2,'프로젝트(G)'!$Q:$Q,$J8,'프로젝트(G)'!$C:$C,$L$1),
    SUMIFS('협력사 EPC(H)'!$I:$I,'협력사 EPC(H)'!$G:$G,Y$2,'협력사 EPC(H)'!$Q:$Q,$J8,'협력사 EPC(H)'!$C:$C,$L$1),
    SUMIFS('기타(Z)'!$I:$I,'기타(Z)'!$G:$G,Y$2,'기타(Z)'!$Q:$Q,$J8,'기타(Z)'!$C:$C,$L$1)
  )
)</f>
        <v/>
      </c>
      <c r="Z8" s="367" t="str">
        <f>IF(
  SUM(
    COUNTIFS('발전사업(A)'!$G:$G, Y$2, '발전사업(A)'!$Q:$Q, $J8, '발전사업(A)'!$C:$C, $L$1),
    COUNTIFS('자가소비(B)'!$G:$G, Y$2, '자가소비(B)'!$Q:$Q, $J8, '자가소비(B)'!$C:$C, $L$1),
    COUNTIFS('PPA 사업(C)'!$G:$G, Y$2, 'PPA 사업(C)'!$Q:$Q, $J8, 'PPA 사업(C)'!$C:$C, $L$1),
    COUNTIFS('리스사업(D)'!$G:$G, Y$2, '리스사업(D)'!$Q:$Q, $J8, '리스사업(D)'!$C:$C, $L$1),
    COUNTIFS('임대사업(E)'!$G:$G, Y$2, '임대사업(E)'!$Q:$Q, $J8, '임대사업(E)'!$C:$C, $L$1),
    COUNTIFS('환경부사업(F)'!$G:$G, Y$2, '환경부사업(F)'!$Q:$Q, $J8, '환경부사업(F)'!$C:$C, $L$1),
    COUNTIFS('프로젝트(G)'!$G:$G, Y$2, '프로젝트(G)'!$Q:$Q, $J8, '프로젝트(G)'!$C:$C, $L$1),
    COUNTIFS('협력사 EPC(H)'!$G:$G, Y$2, '협력사 EPC(H)'!$Q:$Q, $J8, '협력사 EPC(H)'!$C:$C, $L$1),
    COUNTIFS('기타(Z)'!$G:$G, Y$2, '기타(Z)'!$Q:$Q, $J8, '기타(Z)'!$C:$C, $L$1)
  ) = 0,
  "",
  COUNTIFS('발전사업(A)'!$G:$G, Y$2, '발전사업(A)'!$Q:$Q, $J8, '발전사업(A)'!$C:$C, $L$1)
  + COUNTIFS('자가소비(B)'!$G:$G, Y$2, '자가소비(B)'!$Q:$Q, $J8, '자가소비(B)'!$C:$C, $L$1)
  + COUNTIFS('PPA 사업(C)'!$G:$G, Y$2, 'PPA 사업(C)'!$Q:$Q, $J8, 'PPA 사업(C)'!$C:$C, $L$1)
  + COUNTIFS('리스사업(D)'!$G:$G, Y$2, '리스사업(D)'!$Q:$Q, $J8, '리스사업(D)'!$C:$C, $L$1)
  + COUNTIFS('임대사업(E)'!$G:$G, Y$2, '임대사업(E)'!$Q:$Q, $J8, '임대사업(E)'!$C:$C, $L$1)
  + COUNTIFS('환경부사업(F)'!$G:$G, Y$2, '환경부사업(F)'!$Q:$Q, $J8, '환경부사업(F)'!$C:$C, $L$1)
  + COUNTIFS('프로젝트(G)'!$G:$G, Y$2, '프로젝트(G)'!$Q:$Q, $J8, '프로젝트(G)'!$C:$C, $L$1)
  + COUNTIFS('협력사 EPC(H)'!$G:$G, Y$2, '협력사 EPC(H)'!$Q:$Q, $J8, '협력사 EPC(H)'!$C:$C, $L$1)
  + COUNTIFS('기타(Z)'!$G:$G, Y$2, '기타(Z)'!$Q:$Q, $J8, '기타(Z)'!$C:$C, $L$1)
)</f>
        <v/>
      </c>
      <c r="AA8" s="366" t="str">
        <f>IF(
  SUM(
    SUMIFS('발전사업(A)'!$I:$I,'발전사업(A)'!$G:$G,AA$2,'발전사업(A)'!$Q:$Q,$J8,'발전사업(A)'!$C:$C,$L$1),
    SUMIFS('자가소비(B)'!$I:$I,'자가소비(B)'!$G:$G,AA$2,'자가소비(B)'!$Q:$Q,$J8,'자가소비(B)'!$C:$C,$L$1),
    SUMIFS('PPA 사업(C)'!$I:$I,'PPA 사업(C)'!$G:$G,AA$2,'PPA 사업(C)'!$Q:$Q,$J8,'PPA 사업(C)'!$C:$C,$L$1),
    SUMIFS('리스사업(D)'!$I:$I,'리스사업(D)'!$G:$G,AA$2,'리스사업(D)'!$Q:$Q,$J8,'리스사업(D)'!$C:$C,$L$1),
    SUMIFS('임대사업(E)'!$I:$I,'임대사업(E)'!$G:$G,AA$2,'임대사업(E)'!$Q:$Q,$J8,'임대사업(E)'!$C:$C,$L$1),
    SUMIFS('환경부사업(F)'!$I:$I,'환경부사업(F)'!$G:$G,AA$2,'환경부사업(F)'!$Q:$Q,$J8,'환경부사업(F)'!$C:$C,$L$1),
    SUMIFS('프로젝트(G)'!$I:$I,'프로젝트(G)'!$G:$G,AA$2,'프로젝트(G)'!$Q:$Q,$J8,'프로젝트(G)'!$C:$C,$L$1),
    SUMIFS('협력사 EPC(H)'!$I:$I,'협력사 EPC(H)'!$G:$G,AA$2,'협력사 EPC(H)'!$Q:$Q,$J8,'협력사 EPC(H)'!$C:$C,$L$1),
    SUMIFS('기타(Z)'!$I:$I,'기타(Z)'!$G:$G,AA$2,'기타(Z)'!$Q:$Q,$J8,'기타(Z)'!$C:$C,$L$1)
  )=0,
  "",
  SUM(
    SUMIFS('발전사업(A)'!$I:$I,'발전사업(A)'!$G:$G,AA$2,'발전사업(A)'!$Q:$Q,$J8,'발전사업(A)'!$C:$C,$L$1),
    SUMIFS('자가소비(B)'!$I:$I,'자가소비(B)'!$G:$G,AA$2,'자가소비(B)'!$Q:$Q,$J8,'자가소비(B)'!$C:$C,$L$1),
    SUMIFS('PPA 사업(C)'!$I:$I,'PPA 사업(C)'!$G:$G,AA$2,'PPA 사업(C)'!$Q:$Q,$J8,'PPA 사업(C)'!$C:$C,$L$1),
    SUMIFS('리스사업(D)'!$I:$I,'리스사업(D)'!$G:$G,AA$2,'리스사업(D)'!$Q:$Q,$J8,'리스사업(D)'!$C:$C,$L$1),
    SUMIFS('임대사업(E)'!$I:$I,'임대사업(E)'!$G:$G,AA$2,'임대사업(E)'!$Q:$Q,$J8,'임대사업(E)'!$C:$C,$L$1),
    SUMIFS('환경부사업(F)'!$I:$I,'환경부사업(F)'!$G:$G,AA$2,'환경부사업(F)'!$Q:$Q,$J8,'환경부사업(F)'!$C:$C,$L$1),
    SUMIFS('프로젝트(G)'!$I:$I,'프로젝트(G)'!$G:$G,AA$2,'프로젝트(G)'!$Q:$Q,$J8,'프로젝트(G)'!$C:$C,$L$1),
    SUMIFS('협력사 EPC(H)'!$I:$I,'협력사 EPC(H)'!$G:$G,AA$2,'협력사 EPC(H)'!$Q:$Q,$J8,'협력사 EPC(H)'!$C:$C,$L$1),
    SUMIFS('기타(Z)'!$I:$I,'기타(Z)'!$G:$G,AA$2,'기타(Z)'!$Q:$Q,$J8,'기타(Z)'!$C:$C,$L$1)
  )
)</f>
        <v/>
      </c>
      <c r="AB8" s="367" t="str">
        <f>IF(
  SUM(
    COUNTIFS('발전사업(A)'!$G:$G, AA$2, '발전사업(A)'!$Q:$Q, $J8, '발전사업(A)'!$C:$C, $L$1),
    COUNTIFS('자가소비(B)'!$G:$G, AA$2, '자가소비(B)'!$Q:$Q, $J8, '자가소비(B)'!$C:$C, $L$1),
    COUNTIFS('PPA 사업(C)'!$G:$G, AA$2, 'PPA 사업(C)'!$Q:$Q, $J8, 'PPA 사업(C)'!$C:$C, $L$1),
    COUNTIFS('리스사업(D)'!$G:$G, AA$2, '리스사업(D)'!$Q:$Q, $J8, '리스사업(D)'!$C:$C, $L$1),
    COUNTIFS('임대사업(E)'!$G:$G, AA$2, '임대사업(E)'!$Q:$Q, $J8, '임대사업(E)'!$C:$C, $L$1),
    COUNTIFS('환경부사업(F)'!$G:$G, AA$2, '환경부사업(F)'!$Q:$Q, $J8, '환경부사업(F)'!$C:$C, $L$1),
    COUNTIFS('프로젝트(G)'!$G:$G, AA$2, '프로젝트(G)'!$Q:$Q, $J8, '프로젝트(G)'!$C:$C, $L$1),
    COUNTIFS('협력사 EPC(H)'!$G:$G, AA$2, '협력사 EPC(H)'!$Q:$Q, $J8, '협력사 EPC(H)'!$C:$C, $L$1),
    COUNTIFS('기타(Z)'!$G:$G, AA$2, '기타(Z)'!$Q:$Q, $J8, '기타(Z)'!$C:$C, $L$1)
  ) = 0,
  "",
  COUNTIFS('발전사업(A)'!$G:$G, AA$2, '발전사업(A)'!$Q:$Q, $J8, '발전사업(A)'!$C:$C, $L$1)
  + COUNTIFS('자가소비(B)'!$G:$G, AA$2, '자가소비(B)'!$Q:$Q, $J8, '자가소비(B)'!$C:$C, $L$1)
  + COUNTIFS('PPA 사업(C)'!$G:$G, AA$2, 'PPA 사업(C)'!$Q:$Q, $J8, 'PPA 사업(C)'!$C:$C, $L$1)
  + COUNTIFS('리스사업(D)'!$G:$G, AA$2, '리스사업(D)'!$Q:$Q, $J8, '리스사업(D)'!$C:$C, $L$1)
  + COUNTIFS('임대사업(E)'!$G:$G, AA$2, '임대사업(E)'!$Q:$Q, $J8, '임대사업(E)'!$C:$C, $L$1)
  + COUNTIFS('환경부사업(F)'!$G:$G, AA$2, '환경부사업(F)'!$Q:$Q, $J8, '환경부사업(F)'!$C:$C, $L$1)
  + COUNTIFS('프로젝트(G)'!$G:$G, AA$2, '프로젝트(G)'!$Q:$Q, $J8, '프로젝트(G)'!$C:$C, $L$1)
  + COUNTIFS('협력사 EPC(H)'!$G:$G, AA$2, '협력사 EPC(H)'!$Q:$Q, $J8, '협력사 EPC(H)'!$C:$C, $L$1)
  + COUNTIFS('기타(Z)'!$G:$G, AA$2, '기타(Z)'!$Q:$Q, $J8, '기타(Z)'!$C:$C, $L$1)
)</f>
        <v/>
      </c>
      <c r="AC8" s="366" t="str">
        <f>IF(
  SUM(
    SUMIFS('발전사업(A)'!$I:$I,'발전사업(A)'!$G:$G,AC$2,'발전사업(A)'!$Q:$Q,$J8,'발전사업(A)'!$C:$C,$L$1),
    SUMIFS('자가소비(B)'!$I:$I,'자가소비(B)'!$G:$G,AC$2,'자가소비(B)'!$Q:$Q,$J8,'자가소비(B)'!$C:$C,$L$1),
    SUMIFS('PPA 사업(C)'!$I:$I,'PPA 사업(C)'!$G:$G,AC$2,'PPA 사업(C)'!$Q:$Q,$J8,'PPA 사업(C)'!$C:$C,$L$1),
    SUMIFS('리스사업(D)'!$I:$I,'리스사업(D)'!$G:$G,AC$2,'리스사업(D)'!$Q:$Q,$J8,'리스사업(D)'!$C:$C,$L$1),
    SUMIFS('임대사업(E)'!$I:$I,'임대사업(E)'!$G:$G,AC$2,'임대사업(E)'!$Q:$Q,$J8,'임대사업(E)'!$C:$C,$L$1),
    SUMIFS('환경부사업(F)'!$I:$I,'환경부사업(F)'!$G:$G,AC$2,'환경부사업(F)'!$Q:$Q,$J8,'환경부사업(F)'!$C:$C,$L$1),
    SUMIFS('프로젝트(G)'!$I:$I,'프로젝트(G)'!$G:$G,AC$2,'프로젝트(G)'!$Q:$Q,$J8,'프로젝트(G)'!$C:$C,$L$1),
    SUMIFS('협력사 EPC(H)'!$I:$I,'협력사 EPC(H)'!$G:$G,AC$2,'협력사 EPC(H)'!$Q:$Q,$J8,'협력사 EPC(H)'!$C:$C,$L$1),
    SUMIFS('기타(Z)'!$I:$I,'기타(Z)'!$G:$G,AC$2,'기타(Z)'!$Q:$Q,$J8,'기타(Z)'!$C:$C,$L$1)
  )=0,
  "",
  SUM(
    SUMIFS('발전사업(A)'!$I:$I,'발전사업(A)'!$G:$G,AC$2,'발전사업(A)'!$Q:$Q,$J8,'발전사업(A)'!$C:$C,$L$1),
    SUMIFS('자가소비(B)'!$I:$I,'자가소비(B)'!$G:$G,AC$2,'자가소비(B)'!$Q:$Q,$J8,'자가소비(B)'!$C:$C,$L$1),
    SUMIFS('PPA 사업(C)'!$I:$I,'PPA 사업(C)'!$G:$G,AC$2,'PPA 사업(C)'!$Q:$Q,$J8,'PPA 사업(C)'!$C:$C,$L$1),
    SUMIFS('리스사업(D)'!$I:$I,'리스사업(D)'!$G:$G,AC$2,'리스사업(D)'!$Q:$Q,$J8,'리스사업(D)'!$C:$C,$L$1),
    SUMIFS('임대사업(E)'!$I:$I,'임대사업(E)'!$G:$G,AC$2,'임대사업(E)'!$Q:$Q,$J8,'임대사업(E)'!$C:$C,$L$1),
    SUMIFS('환경부사업(F)'!$I:$I,'환경부사업(F)'!$G:$G,AC$2,'환경부사업(F)'!$Q:$Q,$J8,'환경부사업(F)'!$C:$C,$L$1),
    SUMIFS('프로젝트(G)'!$I:$I,'프로젝트(G)'!$G:$G,AC$2,'프로젝트(G)'!$Q:$Q,$J8,'프로젝트(G)'!$C:$C,$L$1),
    SUMIFS('협력사 EPC(H)'!$I:$I,'협력사 EPC(H)'!$G:$G,AC$2,'협력사 EPC(H)'!$Q:$Q,$J8,'협력사 EPC(H)'!$C:$C,$L$1),
    SUMIFS('기타(Z)'!$I:$I,'기타(Z)'!$G:$G,AC$2,'기타(Z)'!$Q:$Q,$J8,'기타(Z)'!$C:$C,$L$1)
  )
)</f>
        <v/>
      </c>
      <c r="AD8" s="367" t="str">
        <f>IF(
  SUM(
    COUNTIFS('발전사업(A)'!$G:$G, AC$2, '발전사업(A)'!$Q:$Q, $J8, '발전사업(A)'!$C:$C, $L$1),
    COUNTIFS('자가소비(B)'!$G:$G, AC$2, '자가소비(B)'!$Q:$Q, $J8, '자가소비(B)'!$C:$C, $L$1),
    COUNTIFS('PPA 사업(C)'!$G:$G, AC$2, 'PPA 사업(C)'!$Q:$Q, $J8, 'PPA 사업(C)'!$C:$C, $L$1),
    COUNTIFS('리스사업(D)'!$G:$G, AC$2, '리스사업(D)'!$Q:$Q, $J8, '리스사업(D)'!$C:$C, $L$1),
    COUNTIFS('임대사업(E)'!$G:$G, AC$2, '임대사업(E)'!$Q:$Q, $J8, '임대사업(E)'!$C:$C, $L$1),
    COUNTIFS('환경부사업(F)'!$G:$G, AC$2, '환경부사업(F)'!$Q:$Q, $J8, '환경부사업(F)'!$C:$C, $L$1),
    COUNTIFS('프로젝트(G)'!$G:$G, AC$2, '프로젝트(G)'!$Q:$Q, $J8, '프로젝트(G)'!$C:$C, $L$1),
    COUNTIFS('협력사 EPC(H)'!$G:$G, AC$2, '협력사 EPC(H)'!$Q:$Q, $J8, '협력사 EPC(H)'!$C:$C, $L$1),
    COUNTIFS('기타(Z)'!$G:$G, AC$2, '기타(Z)'!$Q:$Q, $J8, '기타(Z)'!$C:$C, $L$1)
  ) = 0,
  "",
  COUNTIFS('발전사업(A)'!$G:$G, AC$2, '발전사업(A)'!$Q:$Q, $J8, '발전사업(A)'!$C:$C, $L$1)
  + COUNTIFS('자가소비(B)'!$G:$G, AC$2, '자가소비(B)'!$Q:$Q, $J8, '자가소비(B)'!$C:$C, $L$1)
  + COUNTIFS('PPA 사업(C)'!$G:$G, AC$2, 'PPA 사업(C)'!$Q:$Q, $J8, 'PPA 사업(C)'!$C:$C, $L$1)
  + COUNTIFS('리스사업(D)'!$G:$G, AC$2, '리스사업(D)'!$Q:$Q, $J8, '리스사업(D)'!$C:$C, $L$1)
  + COUNTIFS('임대사업(E)'!$G:$G, AC$2, '임대사업(E)'!$Q:$Q, $J8, '임대사업(E)'!$C:$C, $L$1)
  + COUNTIFS('환경부사업(F)'!$G:$G, AC$2, '환경부사업(F)'!$Q:$Q, $J8, '환경부사업(F)'!$C:$C, $L$1)
  + COUNTIFS('프로젝트(G)'!$G:$G, AC$2, '프로젝트(G)'!$Q:$Q, $J8, '프로젝트(G)'!$C:$C, $L$1)
  + COUNTIFS('협력사 EPC(H)'!$G:$G, AC$2, '협력사 EPC(H)'!$Q:$Q, $J8, '협력사 EPC(H)'!$C:$C, $L$1)
  + COUNTIFS('기타(Z)'!$G:$G, AC$2, '기타(Z)'!$Q:$Q, $J8, '기타(Z)'!$C:$C, $L$1)
)</f>
        <v/>
      </c>
      <c r="AE8" s="366" t="str">
        <f>IF(
  SUM(
    SUMIFS('발전사업(A)'!$I:$I,'발전사업(A)'!$G:$G,AE$2,'발전사업(A)'!$Q:$Q,$J8,'발전사업(A)'!$C:$C,$L$1),
    SUMIFS('자가소비(B)'!$I:$I,'자가소비(B)'!$G:$G,AE$2,'자가소비(B)'!$Q:$Q,$J8,'자가소비(B)'!$C:$C,$L$1),
    SUMIFS('PPA 사업(C)'!$I:$I,'PPA 사업(C)'!$G:$G,AE$2,'PPA 사업(C)'!$Q:$Q,$J8,'PPA 사업(C)'!$C:$C,$L$1),
    SUMIFS('리스사업(D)'!$I:$I,'리스사업(D)'!$G:$G,AE$2,'리스사업(D)'!$Q:$Q,$J8,'리스사업(D)'!$C:$C,$L$1),
    SUMIFS('임대사업(E)'!$I:$I,'임대사업(E)'!$G:$G,AE$2,'임대사업(E)'!$Q:$Q,$J8,'임대사업(E)'!$C:$C,$L$1),
    SUMIFS('환경부사업(F)'!$I:$I,'환경부사업(F)'!$G:$G,AE$2,'환경부사업(F)'!$Q:$Q,$J8,'환경부사업(F)'!$C:$C,$L$1),
    SUMIFS('프로젝트(G)'!$I:$I,'프로젝트(G)'!$G:$G,AE$2,'프로젝트(G)'!$Q:$Q,$J8,'프로젝트(G)'!$C:$C,$L$1),
    SUMIFS('협력사 EPC(H)'!$I:$I,'협력사 EPC(H)'!$G:$G,AE$2,'협력사 EPC(H)'!$Q:$Q,$J8,'협력사 EPC(H)'!$C:$C,$L$1),
    SUMIFS('기타(Z)'!$I:$I,'기타(Z)'!$G:$G,AE$2,'기타(Z)'!$Q:$Q,$J8,'기타(Z)'!$C:$C,$L$1)
  )=0,
  "",
  SUM(
    SUMIFS('발전사업(A)'!$I:$I,'발전사업(A)'!$G:$G,AE$2,'발전사업(A)'!$Q:$Q,$J8,'발전사업(A)'!$C:$C,$L$1),
    SUMIFS('자가소비(B)'!$I:$I,'자가소비(B)'!$G:$G,AE$2,'자가소비(B)'!$Q:$Q,$J8,'자가소비(B)'!$C:$C,$L$1),
    SUMIFS('PPA 사업(C)'!$I:$I,'PPA 사업(C)'!$G:$G,AE$2,'PPA 사업(C)'!$Q:$Q,$J8,'PPA 사업(C)'!$C:$C,$L$1),
    SUMIFS('리스사업(D)'!$I:$I,'리스사업(D)'!$G:$G,AE$2,'리스사업(D)'!$Q:$Q,$J8,'리스사업(D)'!$C:$C,$L$1),
    SUMIFS('임대사업(E)'!$I:$I,'임대사업(E)'!$G:$G,AE$2,'임대사업(E)'!$Q:$Q,$J8,'임대사업(E)'!$C:$C,$L$1),
    SUMIFS('환경부사업(F)'!$I:$I,'환경부사업(F)'!$G:$G,AE$2,'환경부사업(F)'!$Q:$Q,$J8,'환경부사업(F)'!$C:$C,$L$1),
    SUMIFS('프로젝트(G)'!$I:$I,'프로젝트(G)'!$G:$G,AE$2,'프로젝트(G)'!$Q:$Q,$J8,'프로젝트(G)'!$C:$C,$L$1),
    SUMIFS('협력사 EPC(H)'!$I:$I,'협력사 EPC(H)'!$G:$G,AE$2,'협력사 EPC(H)'!$Q:$Q,$J8,'협력사 EPC(H)'!$C:$C,$L$1),
    SUMIFS('기타(Z)'!$I:$I,'기타(Z)'!$G:$G,AE$2,'기타(Z)'!$Q:$Q,$J8,'기타(Z)'!$C:$C,$L$1)
  )
)</f>
        <v/>
      </c>
      <c r="AF8" s="367" t="str">
        <f>IF(
  SUM(
    COUNTIFS('발전사업(A)'!$G:$G, AE$2, '발전사업(A)'!$Q:$Q, $J8, '발전사업(A)'!$C:$C, $L$1),
    COUNTIFS('자가소비(B)'!$G:$G, AE$2, '자가소비(B)'!$Q:$Q, $J8, '자가소비(B)'!$C:$C, $L$1),
    COUNTIFS('PPA 사업(C)'!$G:$G, AE$2, 'PPA 사업(C)'!$Q:$Q, $J8, 'PPA 사업(C)'!$C:$C, $L$1),
    COUNTIFS('리스사업(D)'!$G:$G, AE$2, '리스사업(D)'!$Q:$Q, $J8, '리스사업(D)'!$C:$C, $L$1),
    COUNTIFS('임대사업(E)'!$G:$G, AE$2, '임대사업(E)'!$Q:$Q, $J8, '임대사업(E)'!$C:$C, $L$1),
    COUNTIFS('환경부사업(F)'!$G:$G, AE$2, '환경부사업(F)'!$Q:$Q, $J8, '환경부사업(F)'!$C:$C, $L$1),
    COUNTIFS('프로젝트(G)'!$G:$G, AE$2, '프로젝트(G)'!$Q:$Q, $J8, '프로젝트(G)'!$C:$C, $L$1),
    COUNTIFS('협력사 EPC(H)'!$G:$G, AE$2, '협력사 EPC(H)'!$Q:$Q, $J8, '협력사 EPC(H)'!$C:$C, $L$1),
    COUNTIFS('기타(Z)'!$G:$G, AE$2, '기타(Z)'!$Q:$Q, $J8, '기타(Z)'!$C:$C, $L$1)
  ) = 0,
  "",
  COUNTIFS('발전사업(A)'!$G:$G, AE$2, '발전사업(A)'!$Q:$Q, $J8, '발전사업(A)'!$C:$C, $L$1)
  + COUNTIFS('자가소비(B)'!$G:$G, AE$2, '자가소비(B)'!$Q:$Q, $J8, '자가소비(B)'!$C:$C, $L$1)
  + COUNTIFS('PPA 사업(C)'!$G:$G, AE$2, 'PPA 사업(C)'!$Q:$Q, $J8, 'PPA 사업(C)'!$C:$C, $L$1)
  + COUNTIFS('리스사업(D)'!$G:$G, AE$2, '리스사업(D)'!$Q:$Q, $J8, '리스사업(D)'!$C:$C, $L$1)
  + COUNTIFS('임대사업(E)'!$G:$G, AE$2, '임대사업(E)'!$Q:$Q, $J8, '임대사업(E)'!$C:$C, $L$1)
  + COUNTIFS('환경부사업(F)'!$G:$G, AE$2, '환경부사업(F)'!$Q:$Q, $J8, '환경부사업(F)'!$C:$C, $L$1)
  + COUNTIFS('프로젝트(G)'!$G:$G, AE$2, '프로젝트(G)'!$Q:$Q, $J8, '프로젝트(G)'!$C:$C, $L$1)
  + COUNTIFS('협력사 EPC(H)'!$G:$G, AE$2, '협력사 EPC(H)'!$Q:$Q, $J8, '협력사 EPC(H)'!$C:$C, $L$1)
  + COUNTIFS('기타(Z)'!$G:$G, AE$2, '기타(Z)'!$Q:$Q, $J8, '기타(Z)'!$C:$C, $L$1)
)</f>
        <v/>
      </c>
      <c r="AG8" s="366" t="str">
        <f>IF(
  SUM(
    SUMIFS('발전사업(A)'!$I:$I,'발전사업(A)'!$G:$G,AG$2,'발전사업(A)'!$Q:$Q,$J8,'발전사업(A)'!$C:$C,$L$1),
    SUMIFS('자가소비(B)'!$I:$I,'자가소비(B)'!$G:$G,AG$2,'자가소비(B)'!$Q:$Q,$J8,'자가소비(B)'!$C:$C,$L$1),
    SUMIFS('PPA 사업(C)'!$I:$I,'PPA 사업(C)'!$G:$G,AG$2,'PPA 사업(C)'!$Q:$Q,$J8,'PPA 사업(C)'!$C:$C,$L$1),
    SUMIFS('리스사업(D)'!$I:$I,'리스사업(D)'!$G:$G,AG$2,'리스사업(D)'!$Q:$Q,$J8,'리스사업(D)'!$C:$C,$L$1),
    SUMIFS('임대사업(E)'!$I:$I,'임대사업(E)'!$G:$G,AG$2,'임대사업(E)'!$Q:$Q,$J8,'임대사업(E)'!$C:$C,$L$1),
    SUMIFS('환경부사업(F)'!$I:$I,'환경부사업(F)'!$G:$G,AG$2,'환경부사업(F)'!$Q:$Q,$J8,'환경부사업(F)'!$C:$C,$L$1),
    SUMIFS('프로젝트(G)'!$I:$I,'프로젝트(G)'!$G:$G,AG$2,'프로젝트(G)'!$Q:$Q,$J8,'프로젝트(G)'!$C:$C,$L$1),
    SUMIFS('협력사 EPC(H)'!$I:$I,'협력사 EPC(H)'!$G:$G,AG$2,'협력사 EPC(H)'!$Q:$Q,$J8,'협력사 EPC(H)'!$C:$C,$L$1),
    SUMIFS('기타(Z)'!$I:$I,'기타(Z)'!$G:$G,AG$2,'기타(Z)'!$Q:$Q,$J8,'기타(Z)'!$C:$C,$L$1)
  )=0,
  "",
  SUM(
    SUMIFS('발전사업(A)'!$I:$I,'발전사업(A)'!$G:$G,AG$2,'발전사업(A)'!$Q:$Q,$J8,'발전사업(A)'!$C:$C,$L$1),
    SUMIFS('자가소비(B)'!$I:$I,'자가소비(B)'!$G:$G,AG$2,'자가소비(B)'!$Q:$Q,$J8,'자가소비(B)'!$C:$C,$L$1),
    SUMIFS('PPA 사업(C)'!$I:$I,'PPA 사업(C)'!$G:$G,AG$2,'PPA 사업(C)'!$Q:$Q,$J8,'PPA 사업(C)'!$C:$C,$L$1),
    SUMIFS('리스사업(D)'!$I:$I,'리스사업(D)'!$G:$G,AG$2,'리스사업(D)'!$Q:$Q,$J8,'리스사업(D)'!$C:$C,$L$1),
    SUMIFS('임대사업(E)'!$I:$I,'임대사업(E)'!$G:$G,AG$2,'임대사업(E)'!$Q:$Q,$J8,'임대사업(E)'!$C:$C,$L$1),
    SUMIFS('환경부사업(F)'!$I:$I,'환경부사업(F)'!$G:$G,AG$2,'환경부사업(F)'!$Q:$Q,$J8,'환경부사업(F)'!$C:$C,$L$1),
    SUMIFS('프로젝트(G)'!$I:$I,'프로젝트(G)'!$G:$G,AG$2,'프로젝트(G)'!$Q:$Q,$J8,'프로젝트(G)'!$C:$C,$L$1),
    SUMIFS('협력사 EPC(H)'!$I:$I,'협력사 EPC(H)'!$G:$G,AG$2,'협력사 EPC(H)'!$Q:$Q,$J8,'협력사 EPC(H)'!$C:$C,$L$1),
    SUMIFS('기타(Z)'!$I:$I,'기타(Z)'!$G:$G,AG$2,'기타(Z)'!$Q:$Q,$J8,'기타(Z)'!$C:$C,$L$1)
  )
)</f>
        <v/>
      </c>
      <c r="AH8" s="367" t="str">
        <f>IF(
  SUM(
    COUNTIFS('발전사업(A)'!$G:$G, AG$2, '발전사업(A)'!$Q:$Q, $J8, '발전사업(A)'!$C:$C, $L$1),
    COUNTIFS('자가소비(B)'!$G:$G, AG$2, '자가소비(B)'!$Q:$Q, $J8, '자가소비(B)'!$C:$C, $L$1),
    COUNTIFS('PPA 사업(C)'!$G:$G, AG$2, 'PPA 사업(C)'!$Q:$Q, $J8, 'PPA 사업(C)'!$C:$C, $L$1),
    COUNTIFS('리스사업(D)'!$G:$G, AG$2, '리스사업(D)'!$Q:$Q, $J8, '리스사업(D)'!$C:$C, $L$1),
    COUNTIFS('임대사업(E)'!$G:$G, AG$2, '임대사업(E)'!$Q:$Q, $J8, '임대사업(E)'!$C:$C, $L$1),
    COUNTIFS('환경부사업(F)'!$G:$G, AG$2, '환경부사업(F)'!$Q:$Q, $J8, '환경부사업(F)'!$C:$C, $L$1),
    COUNTIFS('프로젝트(G)'!$G:$G, AG$2, '프로젝트(G)'!$Q:$Q, $J8, '프로젝트(G)'!$C:$C, $L$1),
    COUNTIFS('협력사 EPC(H)'!$G:$G, AG$2, '협력사 EPC(H)'!$Q:$Q, $J8, '협력사 EPC(H)'!$C:$C, $L$1),
    COUNTIFS('기타(Z)'!$G:$G, AG$2, '기타(Z)'!$Q:$Q, $J8, '기타(Z)'!$C:$C, $L$1)
  ) = 0,
  "",
  COUNTIFS('발전사업(A)'!$G:$G, AG$2, '발전사업(A)'!$Q:$Q, $J8, '발전사업(A)'!$C:$C, $L$1)
  + COUNTIFS('자가소비(B)'!$G:$G, AG$2, '자가소비(B)'!$Q:$Q, $J8, '자가소비(B)'!$C:$C, $L$1)
  + COUNTIFS('PPA 사업(C)'!$G:$G, AG$2, 'PPA 사업(C)'!$Q:$Q, $J8, 'PPA 사업(C)'!$C:$C, $L$1)
  + COUNTIFS('리스사업(D)'!$G:$G, AG$2, '리스사업(D)'!$Q:$Q, $J8, '리스사업(D)'!$C:$C, $L$1)
  + COUNTIFS('임대사업(E)'!$G:$G, AG$2, '임대사업(E)'!$Q:$Q, $J8, '임대사업(E)'!$C:$C, $L$1)
  + COUNTIFS('환경부사업(F)'!$G:$G, AG$2, '환경부사업(F)'!$Q:$Q, $J8, '환경부사업(F)'!$C:$C, $L$1)
  + COUNTIFS('프로젝트(G)'!$G:$G, AG$2, '프로젝트(G)'!$Q:$Q, $J8, '프로젝트(G)'!$C:$C, $L$1)
  + COUNTIFS('협력사 EPC(H)'!$G:$G, AG$2, '협력사 EPC(H)'!$Q:$Q, $J8, '협력사 EPC(H)'!$C:$C, $L$1)
  + COUNTIFS('기타(Z)'!$G:$G, AG$2, '기타(Z)'!$Q:$Q, $J8, '기타(Z)'!$C:$C, $L$1)
)</f>
        <v/>
      </c>
      <c r="AI8" s="366" t="str">
        <f>IF(
  SUM(
    SUMIFS('발전사업(A)'!$I:$I,'발전사업(A)'!$G:$G,AI$2,'발전사업(A)'!$Q:$Q,$J8,'발전사업(A)'!$C:$C,$L$1),
    SUMIFS('자가소비(B)'!$I:$I,'자가소비(B)'!$G:$G,AI$2,'자가소비(B)'!$Q:$Q,$J8,'자가소비(B)'!$C:$C,$L$1),
    SUMIFS('PPA 사업(C)'!$I:$I,'PPA 사업(C)'!$G:$G,AI$2,'PPA 사업(C)'!$Q:$Q,$J8,'PPA 사업(C)'!$C:$C,$L$1),
    SUMIFS('리스사업(D)'!$I:$I,'리스사업(D)'!$G:$G,AI$2,'리스사업(D)'!$Q:$Q,$J8,'리스사업(D)'!$C:$C,$L$1),
    SUMIFS('임대사업(E)'!$I:$I,'임대사업(E)'!$G:$G,AI$2,'임대사업(E)'!$Q:$Q,$J8,'임대사업(E)'!$C:$C,$L$1),
    SUMIFS('환경부사업(F)'!$I:$I,'환경부사업(F)'!$G:$G,AI$2,'환경부사업(F)'!$Q:$Q,$J8,'환경부사업(F)'!$C:$C,$L$1),
    SUMIFS('프로젝트(G)'!$I:$I,'프로젝트(G)'!$G:$G,AI$2,'프로젝트(G)'!$Q:$Q,$J8,'프로젝트(G)'!$C:$C,$L$1),
    SUMIFS('협력사 EPC(H)'!$I:$I,'협력사 EPC(H)'!$G:$G,AI$2,'협력사 EPC(H)'!$Q:$Q,$J8,'협력사 EPC(H)'!$C:$C,$L$1),
    SUMIFS('기타(Z)'!$I:$I,'기타(Z)'!$G:$G,AI$2,'기타(Z)'!$Q:$Q,$J8,'기타(Z)'!$C:$C,$L$1)
  )=0,
  "",
  SUM(
    SUMIFS('발전사업(A)'!$I:$I,'발전사업(A)'!$G:$G,AI$2,'발전사업(A)'!$Q:$Q,$J8,'발전사업(A)'!$C:$C,$L$1),
    SUMIFS('자가소비(B)'!$I:$I,'자가소비(B)'!$G:$G,AI$2,'자가소비(B)'!$Q:$Q,$J8,'자가소비(B)'!$C:$C,$L$1),
    SUMIFS('PPA 사업(C)'!$I:$I,'PPA 사업(C)'!$G:$G,AI$2,'PPA 사업(C)'!$Q:$Q,$J8,'PPA 사업(C)'!$C:$C,$L$1),
    SUMIFS('리스사업(D)'!$I:$I,'리스사업(D)'!$G:$G,AI$2,'리스사업(D)'!$Q:$Q,$J8,'리스사업(D)'!$C:$C,$L$1),
    SUMIFS('임대사업(E)'!$I:$I,'임대사업(E)'!$G:$G,AI$2,'임대사업(E)'!$Q:$Q,$J8,'임대사업(E)'!$C:$C,$L$1),
    SUMIFS('환경부사업(F)'!$I:$I,'환경부사업(F)'!$G:$G,AI$2,'환경부사업(F)'!$Q:$Q,$J8,'환경부사업(F)'!$C:$C,$L$1),
    SUMIFS('프로젝트(G)'!$I:$I,'프로젝트(G)'!$G:$G,AI$2,'프로젝트(G)'!$Q:$Q,$J8,'프로젝트(G)'!$C:$C,$L$1),
    SUMIFS('협력사 EPC(H)'!$I:$I,'협력사 EPC(H)'!$G:$G,AI$2,'협력사 EPC(H)'!$Q:$Q,$J8,'협력사 EPC(H)'!$C:$C,$L$1),
    SUMIFS('기타(Z)'!$I:$I,'기타(Z)'!$G:$G,AI$2,'기타(Z)'!$Q:$Q,$J8,'기타(Z)'!$C:$C,$L$1)
  )
)</f>
        <v/>
      </c>
      <c r="AJ8" s="365" t="str">
        <f>IF(
  SUM(
    COUNTIFS('발전사업(A)'!$G:$G, AI$2, '발전사업(A)'!$Q:$Q, $J8, '발전사업(A)'!$C:$C, $L$1),
    COUNTIFS('자가소비(B)'!$G:$G, AI$2, '자가소비(B)'!$Q:$Q, $J8, '자가소비(B)'!$C:$C, $L$1),
    COUNTIFS('PPA 사업(C)'!$G:$G, AI$2, 'PPA 사업(C)'!$Q:$Q, $J8, 'PPA 사업(C)'!$C:$C, $L$1),
    COUNTIFS('리스사업(D)'!$G:$G, AI$2, '리스사업(D)'!$Q:$Q, $J8, '리스사업(D)'!$C:$C, $L$1),
    COUNTIFS('임대사업(E)'!$G:$G, AI$2, '임대사업(E)'!$Q:$Q, $J8, '임대사업(E)'!$C:$C, $L$1),
    COUNTIFS('환경부사업(F)'!$G:$G, AI$2, '환경부사업(F)'!$Q:$Q, $J8, '환경부사업(F)'!$C:$C, $L$1),
    COUNTIFS('프로젝트(G)'!$G:$G, AI$2, '프로젝트(G)'!$Q:$Q, $J8, '프로젝트(G)'!$C:$C, $L$1),
    COUNTIFS('협력사 EPC(H)'!$G:$G, AI$2, '협력사 EPC(H)'!$Q:$Q, $J8, '협력사 EPC(H)'!$C:$C, $L$1),
    COUNTIFS('기타(Z)'!$G:$G, AI$2, '기타(Z)'!$Q:$Q, $J8, '기타(Z)'!$C:$C, $L$1)
  ) = 0,
  "",
  COUNTIFS('발전사업(A)'!$G:$G, AI$2, '발전사업(A)'!$Q:$Q, $J8, '발전사업(A)'!$C:$C, $L$1)
  + COUNTIFS('자가소비(B)'!$G:$G, AI$2, '자가소비(B)'!$Q:$Q, $J8, '자가소비(B)'!$C:$C, $L$1)
  + COUNTIFS('PPA 사업(C)'!$G:$G, AI$2, 'PPA 사업(C)'!$Q:$Q, $J8, 'PPA 사업(C)'!$C:$C, $L$1)
  + COUNTIFS('리스사업(D)'!$G:$G, AI$2, '리스사업(D)'!$Q:$Q, $J8, '리스사업(D)'!$C:$C, $L$1)
  + COUNTIFS('임대사업(E)'!$G:$G, AI$2, '임대사업(E)'!$Q:$Q, $J8, '임대사업(E)'!$C:$C, $L$1)
  + COUNTIFS('환경부사업(F)'!$G:$G, AI$2, '환경부사업(F)'!$Q:$Q, $J8, '환경부사업(F)'!$C:$C, $L$1)
  + COUNTIFS('프로젝트(G)'!$G:$G, AI$2, '프로젝트(G)'!$Q:$Q, $J8, '프로젝트(G)'!$C:$C, $L$1)
  + COUNTIFS('협력사 EPC(H)'!$G:$G, AI$2, '협력사 EPC(H)'!$Q:$Q, $J8, '협력사 EPC(H)'!$C:$C, $L$1)
  + COUNTIFS('기타(Z)'!$G:$G, AI$2, '기타(Z)'!$Q:$Q, $J8, '기타(Z)'!$C:$C, $L$1)
)</f>
        <v/>
      </c>
    </row>
    <row r="9" spans="2:36" ht="15" x14ac:dyDescent="0.25">
      <c r="B9" s="195" t="s">
        <v>156</v>
      </c>
      <c r="C9" s="262">
        <f t="shared" si="0"/>
        <v>990.72</v>
      </c>
      <c r="D9" s="263">
        <f t="shared" si="0"/>
        <v>3</v>
      </c>
      <c r="E9" s="262">
        <f t="shared" si="0"/>
        <v>366.36</v>
      </c>
      <c r="F9" s="263">
        <f t="shared" si="0"/>
        <v>2</v>
      </c>
      <c r="G9" s="262">
        <f t="shared" si="0"/>
        <v>624.36</v>
      </c>
      <c r="H9" s="263">
        <f t="shared" si="0"/>
        <v>1</v>
      </c>
      <c r="J9" s="371" t="s">
        <v>187</v>
      </c>
      <c r="K9" s="354" t="str">
        <f t="shared" si="1"/>
        <v/>
      </c>
      <c r="L9" s="348" t="str">
        <f t="shared" si="2"/>
        <v/>
      </c>
      <c r="M9" s="366" t="str">
        <f>IF(
  SUM(
    SUMIFS('발전사업(A)'!$I:$I,'발전사업(A)'!$G:$G,M$2,'발전사업(A)'!$Q:$Q,$J9,'발전사업(A)'!$C:$C,$L$1),
    SUMIFS('자가소비(B)'!$I:$I,'자가소비(B)'!$G:$G,M$2,'자가소비(B)'!$Q:$Q,$J9,'자가소비(B)'!$C:$C,$L$1),
    SUMIFS('PPA 사업(C)'!$I:$I,'PPA 사업(C)'!$G:$G,M$2,'PPA 사업(C)'!$Q:$Q,$J9,'PPA 사업(C)'!$C:$C,$L$1),
    SUMIFS('리스사업(D)'!$I:$I,'리스사업(D)'!$G:$G,M$2,'리스사업(D)'!$Q:$Q,$J9,'리스사업(D)'!$C:$C,$L$1),
    SUMIFS('임대사업(E)'!$I:$I,'임대사업(E)'!$G:$G,M$2,'임대사업(E)'!$Q:$Q,$J9,'임대사업(E)'!$C:$C,$L$1),
    SUMIFS('환경부사업(F)'!$I:$I,'환경부사업(F)'!$G:$G,M$2,'환경부사업(F)'!$Q:$Q,$J9,'환경부사업(F)'!$C:$C,$L$1),
    SUMIFS('프로젝트(G)'!$I:$I,'프로젝트(G)'!$G:$G,M$2,'프로젝트(G)'!$Q:$Q,$J9,'프로젝트(G)'!$C:$C,$L$1),
    SUMIFS('협력사 EPC(H)'!$I:$I,'협력사 EPC(H)'!$G:$G,M$2,'협력사 EPC(H)'!$Q:$Q,$J9,'협력사 EPC(H)'!$C:$C,$L$1),
    SUMIFS('기타(Z)'!$I:$I,'기타(Z)'!$G:$G,M$2,'기타(Z)'!$Q:$Q,$J9,'기타(Z)'!$C:$C,$L$1)
  )=0,
  "",
  SUM(
    SUMIFS('발전사업(A)'!$I:$I,'발전사업(A)'!$G:$G,M$2,'발전사업(A)'!$Q:$Q,$J9,'발전사업(A)'!$C:$C,$L$1),
    SUMIFS('자가소비(B)'!$I:$I,'자가소비(B)'!$G:$G,M$2,'자가소비(B)'!$Q:$Q,$J9,'자가소비(B)'!$C:$C,$L$1),
    SUMIFS('PPA 사업(C)'!$I:$I,'PPA 사업(C)'!$G:$G,M$2,'PPA 사업(C)'!$Q:$Q,$J9,'PPA 사업(C)'!$C:$C,$L$1),
    SUMIFS('리스사업(D)'!$I:$I,'리스사업(D)'!$G:$G,M$2,'리스사업(D)'!$Q:$Q,$J9,'리스사업(D)'!$C:$C,$L$1),
    SUMIFS('임대사업(E)'!$I:$I,'임대사업(E)'!$G:$G,M$2,'임대사업(E)'!$Q:$Q,$J9,'임대사업(E)'!$C:$C,$L$1),
    SUMIFS('환경부사업(F)'!$I:$I,'환경부사업(F)'!$G:$G,M$2,'환경부사업(F)'!$Q:$Q,$J9,'환경부사업(F)'!$C:$C,$L$1),
    SUMIFS('프로젝트(G)'!$I:$I,'프로젝트(G)'!$G:$G,M$2,'프로젝트(G)'!$Q:$Q,$J9,'프로젝트(G)'!$C:$C,$L$1),
    SUMIFS('협력사 EPC(H)'!$I:$I,'협력사 EPC(H)'!$G:$G,M$2,'협력사 EPC(H)'!$Q:$Q,$J9,'협력사 EPC(H)'!$C:$C,$L$1),
    SUMIFS('기타(Z)'!$I:$I,'기타(Z)'!$G:$G,M$2,'기타(Z)'!$Q:$Q,$J9,'기타(Z)'!$C:$C,$L$1)
  )
)</f>
        <v/>
      </c>
      <c r="N9" s="367" t="str">
        <f>IF(
  SUM(
    COUNTIFS('발전사업(A)'!$G:$G, M$2, '발전사업(A)'!$Q:$Q, $J9, '발전사업(A)'!$C:$C, $L$1),
    COUNTIFS('자가소비(B)'!$G:$G, M$2, '자가소비(B)'!$Q:$Q, $J9, '자가소비(B)'!$C:$C, $L$1),
    COUNTIFS('PPA 사업(C)'!$G:$G, M$2, 'PPA 사업(C)'!$Q:$Q, $J9, 'PPA 사업(C)'!$C:$C, $L$1),
    COUNTIFS('리스사업(D)'!$G:$G, M$2, '리스사업(D)'!$Q:$Q, $J9, '리스사업(D)'!$C:$C, $L$1),
    COUNTIFS('임대사업(E)'!$G:$G, M$2, '임대사업(E)'!$Q:$Q, $J9, '임대사업(E)'!$C:$C, $L$1),
    COUNTIFS('환경부사업(F)'!$G:$G, M$2, '환경부사업(F)'!$Q:$Q, $J9, '환경부사업(F)'!$C:$C, $L$1),
    COUNTIFS('프로젝트(G)'!$G:$G, M$2, '프로젝트(G)'!$Q:$Q, $J9, '프로젝트(G)'!$C:$C, $L$1),
    COUNTIFS('협력사 EPC(H)'!$G:$G, M$2, '협력사 EPC(H)'!$Q:$Q, $J9, '협력사 EPC(H)'!$C:$C, $L$1),
    COUNTIFS('기타(Z)'!$G:$G, M$2, '기타(Z)'!$Q:$Q, $J9, '기타(Z)'!$C:$C, $L$1)
  ) = 0,
  "",
  COUNTIFS('발전사업(A)'!$G:$G, M$2, '발전사업(A)'!$Q:$Q, $J9, '발전사업(A)'!$C:$C, $L$1)
  + COUNTIFS('자가소비(B)'!$G:$G, M$2, '자가소비(B)'!$Q:$Q, $J9, '자가소비(B)'!$C:$C, $L$1)
  + COUNTIFS('PPA 사업(C)'!$G:$G, M$2, 'PPA 사업(C)'!$Q:$Q, $J9, 'PPA 사업(C)'!$C:$C, $L$1)
  + COUNTIFS('리스사업(D)'!$G:$G, M$2, '리스사업(D)'!$Q:$Q, $J9, '리스사업(D)'!$C:$C, $L$1)
  + COUNTIFS('임대사업(E)'!$G:$G, M$2, '임대사업(E)'!$Q:$Q, $J9, '임대사업(E)'!$C:$C, $L$1)
  + COUNTIFS('환경부사업(F)'!$G:$G, M$2, '환경부사업(F)'!$Q:$Q, $J9, '환경부사업(F)'!$C:$C, $L$1)
  + COUNTIFS('프로젝트(G)'!$G:$G, M$2, '프로젝트(G)'!$Q:$Q, $J9, '프로젝트(G)'!$C:$C, $L$1)
  + COUNTIFS('협력사 EPC(H)'!$G:$G, M$2, '협력사 EPC(H)'!$Q:$Q, $J9, '협력사 EPC(H)'!$C:$C, $L$1)
  + COUNTIFS('기타(Z)'!$G:$G, M$2, '기타(Z)'!$Q:$Q, $J9, '기타(Z)'!$C:$C, $L$1)
)</f>
        <v/>
      </c>
      <c r="O9" s="366" t="str">
        <f>IF(
  SUM(
    SUMIFS('발전사업(A)'!$I:$I,'발전사업(A)'!$G:$G,O$2,'발전사업(A)'!$Q:$Q,$J9,'발전사업(A)'!$C:$C,$L$1),
    SUMIFS('자가소비(B)'!$I:$I,'자가소비(B)'!$G:$G,O$2,'자가소비(B)'!$Q:$Q,$J9,'자가소비(B)'!$C:$C,$L$1),
    SUMIFS('PPA 사업(C)'!$I:$I,'PPA 사업(C)'!$G:$G,O$2,'PPA 사업(C)'!$Q:$Q,$J9,'PPA 사업(C)'!$C:$C,$L$1),
    SUMIFS('리스사업(D)'!$I:$I,'리스사업(D)'!$G:$G,O$2,'리스사업(D)'!$Q:$Q,$J9,'리스사업(D)'!$C:$C,$L$1),
    SUMIFS('임대사업(E)'!$I:$I,'임대사업(E)'!$G:$G,O$2,'임대사업(E)'!$Q:$Q,$J9,'임대사업(E)'!$C:$C,$L$1),
    SUMIFS('환경부사업(F)'!$I:$I,'환경부사업(F)'!$G:$G,O$2,'환경부사업(F)'!$Q:$Q,$J9,'환경부사업(F)'!$C:$C,$L$1),
    SUMIFS('프로젝트(G)'!$I:$I,'프로젝트(G)'!$G:$G,O$2,'프로젝트(G)'!$Q:$Q,$J9,'프로젝트(G)'!$C:$C,$L$1),
    SUMIFS('협력사 EPC(H)'!$I:$I,'협력사 EPC(H)'!$G:$G,O$2,'협력사 EPC(H)'!$Q:$Q,$J9,'협력사 EPC(H)'!$C:$C,$L$1),
    SUMIFS('기타(Z)'!$I:$I,'기타(Z)'!$G:$G,O$2,'기타(Z)'!$Q:$Q,$J9,'기타(Z)'!$C:$C,$L$1)
  )=0,
  "",
  SUM(
    SUMIFS('발전사업(A)'!$I:$I,'발전사업(A)'!$G:$G,O$2,'발전사업(A)'!$Q:$Q,$J9,'발전사업(A)'!$C:$C,$L$1),
    SUMIFS('자가소비(B)'!$I:$I,'자가소비(B)'!$G:$G,O$2,'자가소비(B)'!$Q:$Q,$J9,'자가소비(B)'!$C:$C,$L$1),
    SUMIFS('PPA 사업(C)'!$I:$I,'PPA 사업(C)'!$G:$G,O$2,'PPA 사업(C)'!$Q:$Q,$J9,'PPA 사업(C)'!$C:$C,$L$1),
    SUMIFS('리스사업(D)'!$I:$I,'리스사업(D)'!$G:$G,O$2,'리스사업(D)'!$Q:$Q,$J9,'리스사업(D)'!$C:$C,$L$1),
    SUMIFS('임대사업(E)'!$I:$I,'임대사업(E)'!$G:$G,O$2,'임대사업(E)'!$Q:$Q,$J9,'임대사업(E)'!$C:$C,$L$1),
    SUMIFS('환경부사업(F)'!$I:$I,'환경부사업(F)'!$G:$G,O$2,'환경부사업(F)'!$Q:$Q,$J9,'환경부사업(F)'!$C:$C,$L$1),
    SUMIFS('프로젝트(G)'!$I:$I,'프로젝트(G)'!$G:$G,O$2,'프로젝트(G)'!$Q:$Q,$J9,'프로젝트(G)'!$C:$C,$L$1),
    SUMIFS('협력사 EPC(H)'!$I:$I,'협력사 EPC(H)'!$G:$G,O$2,'협력사 EPC(H)'!$Q:$Q,$J9,'협력사 EPC(H)'!$C:$C,$L$1),
    SUMIFS('기타(Z)'!$I:$I,'기타(Z)'!$G:$G,O$2,'기타(Z)'!$Q:$Q,$J9,'기타(Z)'!$C:$C,$L$1)
  )
)</f>
        <v/>
      </c>
      <c r="P9" s="367" t="str">
        <f>IF(
  SUM(
    COUNTIFS('발전사업(A)'!$G:$G, O$2, '발전사업(A)'!$Q:$Q, $J9, '발전사업(A)'!$C:$C, $L$1),
    COUNTIFS('자가소비(B)'!$G:$G, O$2, '자가소비(B)'!$Q:$Q, $J9, '자가소비(B)'!$C:$C, $L$1),
    COUNTIFS('PPA 사업(C)'!$G:$G, O$2, 'PPA 사업(C)'!$Q:$Q, $J9, 'PPA 사업(C)'!$C:$C, $L$1),
    COUNTIFS('리스사업(D)'!$G:$G, O$2, '리스사업(D)'!$Q:$Q, $J9, '리스사업(D)'!$C:$C, $L$1),
    COUNTIFS('임대사업(E)'!$G:$G, O$2, '임대사업(E)'!$Q:$Q, $J9, '임대사업(E)'!$C:$C, $L$1),
    COUNTIFS('환경부사업(F)'!$G:$G, O$2, '환경부사업(F)'!$Q:$Q, $J9, '환경부사업(F)'!$C:$C, $L$1),
    COUNTIFS('프로젝트(G)'!$G:$G, O$2, '프로젝트(G)'!$Q:$Q, $J9, '프로젝트(G)'!$C:$C, $L$1),
    COUNTIFS('협력사 EPC(H)'!$G:$G, O$2, '협력사 EPC(H)'!$Q:$Q, $J9, '협력사 EPC(H)'!$C:$C, $L$1),
    COUNTIFS('기타(Z)'!$G:$G, O$2, '기타(Z)'!$Q:$Q, $J9, '기타(Z)'!$C:$C, $L$1)
  ) = 0,
  "",
  COUNTIFS('발전사업(A)'!$G:$G, O$2, '발전사업(A)'!$Q:$Q, $J9, '발전사업(A)'!$C:$C, $L$1)
  + COUNTIFS('자가소비(B)'!$G:$G, O$2, '자가소비(B)'!$Q:$Q, $J9, '자가소비(B)'!$C:$C, $L$1)
  + COUNTIFS('PPA 사업(C)'!$G:$G, O$2, 'PPA 사업(C)'!$Q:$Q, $J9, 'PPA 사업(C)'!$C:$C, $L$1)
  + COUNTIFS('리스사업(D)'!$G:$G, O$2, '리스사업(D)'!$Q:$Q, $J9, '리스사업(D)'!$C:$C, $L$1)
  + COUNTIFS('임대사업(E)'!$G:$G, O$2, '임대사업(E)'!$Q:$Q, $J9, '임대사업(E)'!$C:$C, $L$1)
  + COUNTIFS('환경부사업(F)'!$G:$G, O$2, '환경부사업(F)'!$Q:$Q, $J9, '환경부사업(F)'!$C:$C, $L$1)
  + COUNTIFS('프로젝트(G)'!$G:$G, O$2, '프로젝트(G)'!$Q:$Q, $J9, '프로젝트(G)'!$C:$C, $L$1)
  + COUNTIFS('협력사 EPC(H)'!$G:$G, O$2, '협력사 EPC(H)'!$Q:$Q, $J9, '협력사 EPC(H)'!$C:$C, $L$1)
  + COUNTIFS('기타(Z)'!$G:$G, O$2, '기타(Z)'!$Q:$Q, $J9, '기타(Z)'!$C:$C, $L$1)
)</f>
        <v/>
      </c>
      <c r="Q9" s="366" t="str">
        <f>IF(
  SUM(
    SUMIFS('발전사업(A)'!$I:$I,'발전사업(A)'!$G:$G,Q$2,'발전사업(A)'!$Q:$Q,$J9,'발전사업(A)'!$C:$C,$L$1),
    SUMIFS('자가소비(B)'!$I:$I,'자가소비(B)'!$G:$G,Q$2,'자가소비(B)'!$Q:$Q,$J9,'자가소비(B)'!$C:$C,$L$1),
    SUMIFS('PPA 사업(C)'!$I:$I,'PPA 사업(C)'!$G:$G,Q$2,'PPA 사업(C)'!$Q:$Q,$J9,'PPA 사업(C)'!$C:$C,$L$1),
    SUMIFS('리스사업(D)'!$I:$I,'리스사업(D)'!$G:$G,Q$2,'리스사업(D)'!$Q:$Q,$J9,'리스사업(D)'!$C:$C,$L$1),
    SUMIFS('임대사업(E)'!$I:$I,'임대사업(E)'!$G:$G,Q$2,'임대사업(E)'!$Q:$Q,$J9,'임대사업(E)'!$C:$C,$L$1),
    SUMIFS('환경부사업(F)'!$I:$I,'환경부사업(F)'!$G:$G,Q$2,'환경부사업(F)'!$Q:$Q,$J9,'환경부사업(F)'!$C:$C,$L$1),
    SUMIFS('프로젝트(G)'!$I:$I,'프로젝트(G)'!$G:$G,Q$2,'프로젝트(G)'!$Q:$Q,$J9,'프로젝트(G)'!$C:$C,$L$1),
    SUMIFS('협력사 EPC(H)'!$I:$I,'협력사 EPC(H)'!$G:$G,Q$2,'협력사 EPC(H)'!$Q:$Q,$J9,'협력사 EPC(H)'!$C:$C,$L$1),
    SUMIFS('기타(Z)'!$I:$I,'기타(Z)'!$G:$G,Q$2,'기타(Z)'!$Q:$Q,$J9,'기타(Z)'!$C:$C,$L$1)
  )=0,
  "",
  SUM(
    SUMIFS('발전사업(A)'!$I:$I,'발전사업(A)'!$G:$G,Q$2,'발전사업(A)'!$Q:$Q,$J9,'발전사업(A)'!$C:$C,$L$1),
    SUMIFS('자가소비(B)'!$I:$I,'자가소비(B)'!$G:$G,Q$2,'자가소비(B)'!$Q:$Q,$J9,'자가소비(B)'!$C:$C,$L$1),
    SUMIFS('PPA 사업(C)'!$I:$I,'PPA 사업(C)'!$G:$G,Q$2,'PPA 사업(C)'!$Q:$Q,$J9,'PPA 사업(C)'!$C:$C,$L$1),
    SUMIFS('리스사업(D)'!$I:$I,'리스사업(D)'!$G:$G,Q$2,'리스사업(D)'!$Q:$Q,$J9,'리스사업(D)'!$C:$C,$L$1),
    SUMIFS('임대사업(E)'!$I:$I,'임대사업(E)'!$G:$G,Q$2,'임대사업(E)'!$Q:$Q,$J9,'임대사업(E)'!$C:$C,$L$1),
    SUMIFS('환경부사업(F)'!$I:$I,'환경부사업(F)'!$G:$G,Q$2,'환경부사업(F)'!$Q:$Q,$J9,'환경부사업(F)'!$C:$C,$L$1),
    SUMIFS('프로젝트(G)'!$I:$I,'프로젝트(G)'!$G:$G,Q$2,'프로젝트(G)'!$Q:$Q,$J9,'프로젝트(G)'!$C:$C,$L$1),
    SUMIFS('협력사 EPC(H)'!$I:$I,'협력사 EPC(H)'!$G:$G,Q$2,'협력사 EPC(H)'!$Q:$Q,$J9,'협력사 EPC(H)'!$C:$C,$L$1),
    SUMIFS('기타(Z)'!$I:$I,'기타(Z)'!$G:$G,Q$2,'기타(Z)'!$Q:$Q,$J9,'기타(Z)'!$C:$C,$L$1)
  )
)</f>
        <v/>
      </c>
      <c r="R9" s="367" t="str">
        <f>IF(
  SUM(
    COUNTIFS('발전사업(A)'!$G:$G, Q$2, '발전사업(A)'!$Q:$Q, $J9, '발전사업(A)'!$C:$C, $L$1),
    COUNTIFS('자가소비(B)'!$G:$G, Q$2, '자가소비(B)'!$Q:$Q, $J9, '자가소비(B)'!$C:$C, $L$1),
    COUNTIFS('PPA 사업(C)'!$G:$G, Q$2, 'PPA 사업(C)'!$Q:$Q, $J9, 'PPA 사업(C)'!$C:$C, $L$1),
    COUNTIFS('리스사업(D)'!$G:$G, Q$2, '리스사업(D)'!$Q:$Q, $J9, '리스사업(D)'!$C:$C, $L$1),
    COUNTIFS('임대사업(E)'!$G:$G, Q$2, '임대사업(E)'!$Q:$Q, $J9, '임대사업(E)'!$C:$C, $L$1),
    COUNTIFS('환경부사업(F)'!$G:$G, Q$2, '환경부사업(F)'!$Q:$Q, $J9, '환경부사업(F)'!$C:$C, $L$1),
    COUNTIFS('프로젝트(G)'!$G:$G, Q$2, '프로젝트(G)'!$Q:$Q, $J9, '프로젝트(G)'!$C:$C, $L$1),
    COUNTIFS('협력사 EPC(H)'!$G:$G, Q$2, '협력사 EPC(H)'!$Q:$Q, $J9, '협력사 EPC(H)'!$C:$C, $L$1),
    COUNTIFS('기타(Z)'!$G:$G, Q$2, '기타(Z)'!$Q:$Q, $J9, '기타(Z)'!$C:$C, $L$1)
  ) = 0,
  "",
  COUNTIFS('발전사업(A)'!$G:$G, Q$2, '발전사업(A)'!$Q:$Q, $J9, '발전사업(A)'!$C:$C, $L$1)
  + COUNTIFS('자가소비(B)'!$G:$G, Q$2, '자가소비(B)'!$Q:$Q, $J9, '자가소비(B)'!$C:$C, $L$1)
  + COUNTIFS('PPA 사업(C)'!$G:$G, Q$2, 'PPA 사업(C)'!$Q:$Q, $J9, 'PPA 사업(C)'!$C:$C, $L$1)
  + COUNTIFS('리스사업(D)'!$G:$G, Q$2, '리스사업(D)'!$Q:$Q, $J9, '리스사업(D)'!$C:$C, $L$1)
  + COUNTIFS('임대사업(E)'!$G:$G, Q$2, '임대사업(E)'!$Q:$Q, $J9, '임대사업(E)'!$C:$C, $L$1)
  + COUNTIFS('환경부사업(F)'!$G:$G, Q$2, '환경부사업(F)'!$Q:$Q, $J9, '환경부사업(F)'!$C:$C, $L$1)
  + COUNTIFS('프로젝트(G)'!$G:$G, Q$2, '프로젝트(G)'!$Q:$Q, $J9, '프로젝트(G)'!$C:$C, $L$1)
  + COUNTIFS('협력사 EPC(H)'!$G:$G, Q$2, '협력사 EPC(H)'!$Q:$Q, $J9, '협력사 EPC(H)'!$C:$C, $L$1)
  + COUNTIFS('기타(Z)'!$G:$G, Q$2, '기타(Z)'!$Q:$Q, $J9, '기타(Z)'!$C:$C, $L$1)
)</f>
        <v/>
      </c>
      <c r="S9" s="366" t="str">
        <f>IF(
  SUM(
    SUMIFS('발전사업(A)'!$I:$I,'발전사업(A)'!$G:$G,S$2,'발전사업(A)'!$Q:$Q,$J9,'발전사업(A)'!$C:$C,$L$1),
    SUMIFS('자가소비(B)'!$I:$I,'자가소비(B)'!$G:$G,S$2,'자가소비(B)'!$Q:$Q,$J9,'자가소비(B)'!$C:$C,$L$1),
    SUMIFS('PPA 사업(C)'!$I:$I,'PPA 사업(C)'!$G:$G,S$2,'PPA 사업(C)'!$Q:$Q,$J9,'PPA 사업(C)'!$C:$C,$L$1),
    SUMIFS('리스사업(D)'!$I:$I,'리스사업(D)'!$G:$G,S$2,'리스사업(D)'!$Q:$Q,$J9,'리스사업(D)'!$C:$C,$L$1),
    SUMIFS('임대사업(E)'!$I:$I,'임대사업(E)'!$G:$G,S$2,'임대사업(E)'!$Q:$Q,$J9,'임대사업(E)'!$C:$C,$L$1),
    SUMIFS('환경부사업(F)'!$I:$I,'환경부사업(F)'!$G:$G,S$2,'환경부사업(F)'!$Q:$Q,$J9,'환경부사업(F)'!$C:$C,$L$1),
    SUMIFS('프로젝트(G)'!$I:$I,'프로젝트(G)'!$G:$G,S$2,'프로젝트(G)'!$Q:$Q,$J9,'프로젝트(G)'!$C:$C,$L$1),
    SUMIFS('협력사 EPC(H)'!$I:$I,'협력사 EPC(H)'!$G:$G,S$2,'협력사 EPC(H)'!$Q:$Q,$J9,'협력사 EPC(H)'!$C:$C,$L$1),
    SUMIFS('기타(Z)'!$I:$I,'기타(Z)'!$G:$G,S$2,'기타(Z)'!$Q:$Q,$J9,'기타(Z)'!$C:$C,$L$1)
  )=0,
  "",
  SUM(
    SUMIFS('발전사업(A)'!$I:$I,'발전사업(A)'!$G:$G,S$2,'발전사업(A)'!$Q:$Q,$J9,'발전사업(A)'!$C:$C,$L$1),
    SUMIFS('자가소비(B)'!$I:$I,'자가소비(B)'!$G:$G,S$2,'자가소비(B)'!$Q:$Q,$J9,'자가소비(B)'!$C:$C,$L$1),
    SUMIFS('PPA 사업(C)'!$I:$I,'PPA 사업(C)'!$G:$G,S$2,'PPA 사업(C)'!$Q:$Q,$J9,'PPA 사업(C)'!$C:$C,$L$1),
    SUMIFS('리스사업(D)'!$I:$I,'리스사업(D)'!$G:$G,S$2,'리스사업(D)'!$Q:$Q,$J9,'리스사업(D)'!$C:$C,$L$1),
    SUMIFS('임대사업(E)'!$I:$I,'임대사업(E)'!$G:$G,S$2,'임대사업(E)'!$Q:$Q,$J9,'임대사업(E)'!$C:$C,$L$1),
    SUMIFS('환경부사업(F)'!$I:$I,'환경부사업(F)'!$G:$G,S$2,'환경부사업(F)'!$Q:$Q,$J9,'환경부사업(F)'!$C:$C,$L$1),
    SUMIFS('프로젝트(G)'!$I:$I,'프로젝트(G)'!$G:$G,S$2,'프로젝트(G)'!$Q:$Q,$J9,'프로젝트(G)'!$C:$C,$L$1),
    SUMIFS('협력사 EPC(H)'!$I:$I,'협력사 EPC(H)'!$G:$G,S$2,'협력사 EPC(H)'!$Q:$Q,$J9,'협력사 EPC(H)'!$C:$C,$L$1),
    SUMIFS('기타(Z)'!$I:$I,'기타(Z)'!$G:$G,S$2,'기타(Z)'!$Q:$Q,$J9,'기타(Z)'!$C:$C,$L$1)
  )
)</f>
        <v/>
      </c>
      <c r="T9" s="367" t="str">
        <f>IF(
  SUM(
    COUNTIFS('발전사업(A)'!$G:$G, S$2, '발전사업(A)'!$Q:$Q, $J9, '발전사업(A)'!$C:$C, $L$1),
    COUNTIFS('자가소비(B)'!$G:$G, S$2, '자가소비(B)'!$Q:$Q, $J9, '자가소비(B)'!$C:$C, $L$1),
    COUNTIFS('PPA 사업(C)'!$G:$G, S$2, 'PPA 사업(C)'!$Q:$Q, $J9, 'PPA 사업(C)'!$C:$C, $L$1),
    COUNTIFS('리스사업(D)'!$G:$G, S$2, '리스사업(D)'!$Q:$Q, $J9, '리스사업(D)'!$C:$C, $L$1),
    COUNTIFS('임대사업(E)'!$G:$G, S$2, '임대사업(E)'!$Q:$Q, $J9, '임대사업(E)'!$C:$C, $L$1),
    COUNTIFS('환경부사업(F)'!$G:$G, S$2, '환경부사업(F)'!$Q:$Q, $J9, '환경부사업(F)'!$C:$C, $L$1),
    COUNTIFS('프로젝트(G)'!$G:$G, S$2, '프로젝트(G)'!$Q:$Q, $J9, '프로젝트(G)'!$C:$C, $L$1),
    COUNTIFS('협력사 EPC(H)'!$G:$G, S$2, '협력사 EPC(H)'!$Q:$Q, $J9, '협력사 EPC(H)'!$C:$C, $L$1),
    COUNTIFS('기타(Z)'!$G:$G, S$2, '기타(Z)'!$Q:$Q, $J9, '기타(Z)'!$C:$C, $L$1)
  ) = 0,
  "",
  COUNTIFS('발전사업(A)'!$G:$G, S$2, '발전사업(A)'!$Q:$Q, $J9, '발전사업(A)'!$C:$C, $L$1)
  + COUNTIFS('자가소비(B)'!$G:$G, S$2, '자가소비(B)'!$Q:$Q, $J9, '자가소비(B)'!$C:$C, $L$1)
  + COUNTIFS('PPA 사업(C)'!$G:$G, S$2, 'PPA 사업(C)'!$Q:$Q, $J9, 'PPA 사업(C)'!$C:$C, $L$1)
  + COUNTIFS('리스사업(D)'!$G:$G, S$2, '리스사업(D)'!$Q:$Q, $J9, '리스사업(D)'!$C:$C, $L$1)
  + COUNTIFS('임대사업(E)'!$G:$G, S$2, '임대사업(E)'!$Q:$Q, $J9, '임대사업(E)'!$C:$C, $L$1)
  + COUNTIFS('환경부사업(F)'!$G:$G, S$2, '환경부사업(F)'!$Q:$Q, $J9, '환경부사업(F)'!$C:$C, $L$1)
  + COUNTIFS('프로젝트(G)'!$G:$G, S$2, '프로젝트(G)'!$Q:$Q, $J9, '프로젝트(G)'!$C:$C, $L$1)
  + COUNTIFS('협력사 EPC(H)'!$G:$G, S$2, '협력사 EPC(H)'!$Q:$Q, $J9, '협력사 EPC(H)'!$C:$C, $L$1)
  + COUNTIFS('기타(Z)'!$G:$G, S$2, '기타(Z)'!$Q:$Q, $J9, '기타(Z)'!$C:$C, $L$1)
)</f>
        <v/>
      </c>
      <c r="U9" s="366" t="str">
        <f>IF(
  SUM(
    SUMIFS('발전사업(A)'!$I:$I,'발전사업(A)'!$G:$G,U$2,'발전사업(A)'!$Q:$Q,$J9,'발전사업(A)'!$C:$C,$L$1),
    SUMIFS('자가소비(B)'!$I:$I,'자가소비(B)'!$G:$G,U$2,'자가소비(B)'!$Q:$Q,$J9,'자가소비(B)'!$C:$C,$L$1),
    SUMIFS('PPA 사업(C)'!$I:$I,'PPA 사업(C)'!$G:$G,U$2,'PPA 사업(C)'!$Q:$Q,$J9,'PPA 사업(C)'!$C:$C,$L$1),
    SUMIFS('리스사업(D)'!$I:$I,'리스사업(D)'!$G:$G,U$2,'리스사업(D)'!$Q:$Q,$J9,'리스사업(D)'!$C:$C,$L$1),
    SUMIFS('임대사업(E)'!$I:$I,'임대사업(E)'!$G:$G,U$2,'임대사업(E)'!$Q:$Q,$J9,'임대사업(E)'!$C:$C,$L$1),
    SUMIFS('환경부사업(F)'!$I:$I,'환경부사업(F)'!$G:$G,U$2,'환경부사업(F)'!$Q:$Q,$J9,'환경부사업(F)'!$C:$C,$L$1),
    SUMIFS('프로젝트(G)'!$I:$I,'프로젝트(G)'!$G:$G,U$2,'프로젝트(G)'!$Q:$Q,$J9,'프로젝트(G)'!$C:$C,$L$1),
    SUMIFS('협력사 EPC(H)'!$I:$I,'협력사 EPC(H)'!$G:$G,U$2,'협력사 EPC(H)'!$Q:$Q,$J9,'협력사 EPC(H)'!$C:$C,$L$1),
    SUMIFS('기타(Z)'!$I:$I,'기타(Z)'!$G:$G,U$2,'기타(Z)'!$Q:$Q,$J9,'기타(Z)'!$C:$C,$L$1)
  )=0,
  "",
  SUM(
    SUMIFS('발전사업(A)'!$I:$I,'발전사업(A)'!$G:$G,U$2,'발전사업(A)'!$Q:$Q,$J9,'발전사업(A)'!$C:$C,$L$1),
    SUMIFS('자가소비(B)'!$I:$I,'자가소비(B)'!$G:$G,U$2,'자가소비(B)'!$Q:$Q,$J9,'자가소비(B)'!$C:$C,$L$1),
    SUMIFS('PPA 사업(C)'!$I:$I,'PPA 사업(C)'!$G:$G,U$2,'PPA 사업(C)'!$Q:$Q,$J9,'PPA 사업(C)'!$C:$C,$L$1),
    SUMIFS('리스사업(D)'!$I:$I,'리스사업(D)'!$G:$G,U$2,'리스사업(D)'!$Q:$Q,$J9,'리스사업(D)'!$C:$C,$L$1),
    SUMIFS('임대사업(E)'!$I:$I,'임대사업(E)'!$G:$G,U$2,'임대사업(E)'!$Q:$Q,$J9,'임대사업(E)'!$C:$C,$L$1),
    SUMIFS('환경부사업(F)'!$I:$I,'환경부사업(F)'!$G:$G,U$2,'환경부사업(F)'!$Q:$Q,$J9,'환경부사업(F)'!$C:$C,$L$1),
    SUMIFS('프로젝트(G)'!$I:$I,'프로젝트(G)'!$G:$G,U$2,'프로젝트(G)'!$Q:$Q,$J9,'프로젝트(G)'!$C:$C,$L$1),
    SUMIFS('협력사 EPC(H)'!$I:$I,'협력사 EPC(H)'!$G:$G,U$2,'협력사 EPC(H)'!$Q:$Q,$J9,'협력사 EPC(H)'!$C:$C,$L$1),
    SUMIFS('기타(Z)'!$I:$I,'기타(Z)'!$G:$G,U$2,'기타(Z)'!$Q:$Q,$J9,'기타(Z)'!$C:$C,$L$1)
  )
)</f>
        <v/>
      </c>
      <c r="V9" s="367" t="str">
        <f>IF(
  SUM(
    COUNTIFS('발전사업(A)'!$G:$G, U$2, '발전사업(A)'!$Q:$Q, $J9, '발전사업(A)'!$C:$C, $L$1),
    COUNTIFS('자가소비(B)'!$G:$G, U$2, '자가소비(B)'!$Q:$Q, $J9, '자가소비(B)'!$C:$C, $L$1),
    COUNTIFS('PPA 사업(C)'!$G:$G, U$2, 'PPA 사업(C)'!$Q:$Q, $J9, 'PPA 사업(C)'!$C:$C, $L$1),
    COUNTIFS('리스사업(D)'!$G:$G, U$2, '리스사업(D)'!$Q:$Q, $J9, '리스사업(D)'!$C:$C, $L$1),
    COUNTIFS('임대사업(E)'!$G:$G, U$2, '임대사업(E)'!$Q:$Q, $J9, '임대사업(E)'!$C:$C, $L$1),
    COUNTIFS('환경부사업(F)'!$G:$G, U$2, '환경부사업(F)'!$Q:$Q, $J9, '환경부사업(F)'!$C:$C, $L$1),
    COUNTIFS('프로젝트(G)'!$G:$G, U$2, '프로젝트(G)'!$Q:$Q, $J9, '프로젝트(G)'!$C:$C, $L$1),
    COUNTIFS('협력사 EPC(H)'!$G:$G, U$2, '협력사 EPC(H)'!$Q:$Q, $J9, '협력사 EPC(H)'!$C:$C, $L$1),
    COUNTIFS('기타(Z)'!$G:$G, U$2, '기타(Z)'!$Q:$Q, $J9, '기타(Z)'!$C:$C, $L$1)
  ) = 0,
  "",
  COUNTIFS('발전사업(A)'!$G:$G, U$2, '발전사업(A)'!$Q:$Q, $J9, '발전사업(A)'!$C:$C, $L$1)
  + COUNTIFS('자가소비(B)'!$G:$G, U$2, '자가소비(B)'!$Q:$Q, $J9, '자가소비(B)'!$C:$C, $L$1)
  + COUNTIFS('PPA 사업(C)'!$G:$G, U$2, 'PPA 사업(C)'!$Q:$Q, $J9, 'PPA 사업(C)'!$C:$C, $L$1)
  + COUNTIFS('리스사업(D)'!$G:$G, U$2, '리스사업(D)'!$Q:$Q, $J9, '리스사업(D)'!$C:$C, $L$1)
  + COUNTIFS('임대사업(E)'!$G:$G, U$2, '임대사업(E)'!$Q:$Q, $J9, '임대사업(E)'!$C:$C, $L$1)
  + COUNTIFS('환경부사업(F)'!$G:$G, U$2, '환경부사업(F)'!$Q:$Q, $J9, '환경부사업(F)'!$C:$C, $L$1)
  + COUNTIFS('프로젝트(G)'!$G:$G, U$2, '프로젝트(G)'!$Q:$Q, $J9, '프로젝트(G)'!$C:$C, $L$1)
  + COUNTIFS('협력사 EPC(H)'!$G:$G, U$2, '협력사 EPC(H)'!$Q:$Q, $J9, '협력사 EPC(H)'!$C:$C, $L$1)
  + COUNTIFS('기타(Z)'!$G:$G, U$2, '기타(Z)'!$Q:$Q, $J9, '기타(Z)'!$C:$C, $L$1)
)</f>
        <v/>
      </c>
      <c r="W9" s="366" t="str">
        <f>IF(
  SUM(
    SUMIFS('발전사업(A)'!$I:$I,'발전사업(A)'!$G:$G,W$2,'발전사업(A)'!$Q:$Q,$J9,'발전사업(A)'!$C:$C,$L$1),
    SUMIFS('자가소비(B)'!$I:$I,'자가소비(B)'!$G:$G,W$2,'자가소비(B)'!$Q:$Q,$J9,'자가소비(B)'!$C:$C,$L$1),
    SUMIFS('PPA 사업(C)'!$I:$I,'PPA 사업(C)'!$G:$G,W$2,'PPA 사업(C)'!$Q:$Q,$J9,'PPA 사업(C)'!$C:$C,$L$1),
    SUMIFS('리스사업(D)'!$I:$I,'리스사업(D)'!$G:$G,W$2,'리스사업(D)'!$Q:$Q,$J9,'리스사업(D)'!$C:$C,$L$1),
    SUMIFS('임대사업(E)'!$I:$I,'임대사업(E)'!$G:$G,W$2,'임대사업(E)'!$Q:$Q,$J9,'임대사업(E)'!$C:$C,$L$1),
    SUMIFS('환경부사업(F)'!$I:$I,'환경부사업(F)'!$G:$G,W$2,'환경부사업(F)'!$Q:$Q,$J9,'환경부사업(F)'!$C:$C,$L$1),
    SUMIFS('프로젝트(G)'!$I:$I,'프로젝트(G)'!$G:$G,W$2,'프로젝트(G)'!$Q:$Q,$J9,'프로젝트(G)'!$C:$C,$L$1),
    SUMIFS('협력사 EPC(H)'!$I:$I,'협력사 EPC(H)'!$G:$G,W$2,'협력사 EPC(H)'!$Q:$Q,$J9,'협력사 EPC(H)'!$C:$C,$L$1),
    SUMIFS('기타(Z)'!$I:$I,'기타(Z)'!$G:$G,W$2,'기타(Z)'!$Q:$Q,$J9,'기타(Z)'!$C:$C,$L$1)
  )=0,
  "",
  SUM(
    SUMIFS('발전사업(A)'!$I:$I,'발전사업(A)'!$G:$G,W$2,'발전사업(A)'!$Q:$Q,$J9,'발전사업(A)'!$C:$C,$L$1),
    SUMIFS('자가소비(B)'!$I:$I,'자가소비(B)'!$G:$G,W$2,'자가소비(B)'!$Q:$Q,$J9,'자가소비(B)'!$C:$C,$L$1),
    SUMIFS('PPA 사업(C)'!$I:$I,'PPA 사업(C)'!$G:$G,W$2,'PPA 사업(C)'!$Q:$Q,$J9,'PPA 사업(C)'!$C:$C,$L$1),
    SUMIFS('리스사업(D)'!$I:$I,'리스사업(D)'!$G:$G,W$2,'리스사업(D)'!$Q:$Q,$J9,'리스사업(D)'!$C:$C,$L$1),
    SUMIFS('임대사업(E)'!$I:$I,'임대사업(E)'!$G:$G,W$2,'임대사업(E)'!$Q:$Q,$J9,'임대사업(E)'!$C:$C,$L$1),
    SUMIFS('환경부사업(F)'!$I:$I,'환경부사업(F)'!$G:$G,W$2,'환경부사업(F)'!$Q:$Q,$J9,'환경부사업(F)'!$C:$C,$L$1),
    SUMIFS('프로젝트(G)'!$I:$I,'프로젝트(G)'!$G:$G,W$2,'프로젝트(G)'!$Q:$Q,$J9,'프로젝트(G)'!$C:$C,$L$1),
    SUMIFS('협력사 EPC(H)'!$I:$I,'협력사 EPC(H)'!$G:$G,W$2,'협력사 EPC(H)'!$Q:$Q,$J9,'협력사 EPC(H)'!$C:$C,$L$1),
    SUMIFS('기타(Z)'!$I:$I,'기타(Z)'!$G:$G,W$2,'기타(Z)'!$Q:$Q,$J9,'기타(Z)'!$C:$C,$L$1)
  )
)</f>
        <v/>
      </c>
      <c r="X9" s="347" t="str">
        <f>IF(
  SUM(
    COUNTIFS('발전사업(A)'!$G:$G,W$2,'발전사업(A)'!$Q:$Q,$J9),
    COUNTIFS('자가소비(B)'!$G:$G,W$2,'자가소비(B)'!$Q:$Q,$J9),
    COUNTIFS('PPA 사업(C)'!$G:$G,W$2,'PPA 사업(C)'!$Q:$Q,$J9),
    COUNTIFS('리스사업(D)'!$G:$G,W$2,'리스사업(D)'!$Q:$Q,$J9),
    COUNTIFS('임대사업(E)'!$G:$G,W$2,'임대사업(E)'!$Q:$Q,$J9),
    COUNTIFS('환경부사업(F)'!$G:$G,W$2,'환경부사업(F)'!$Q:$Q,$J9),
    COUNTIFS('프로젝트(G)'!$G:$G,W$2,'프로젝트(G)'!$Q:$Q,$J9),
    COUNTIFS('협력사 EPC(H)'!$G:$G,W$2,'협력사 EPC(H)'!$Q:$Q,$J9),
    COUNTIFS('기타(Z)'!$G:$G,W$2,'기타(Z)'!$Q:$Q,$J9)
  )=0,
  "",
  COUNTIFS('발전사업(A)'!$G:$G,W$2,'발전사업(A)'!$Q:$Q,$J9)
  +COUNTIFS('자가소비(B)'!$G:$G,W$2,'자가소비(B)'!$Q:$Q,$J9)
  +COUNTIFS('PPA 사업(C)'!$G:$G,W$2,'PPA 사업(C)'!$Q:$Q,$J9)
  +COUNTIFS('리스사업(D)'!$G:$G,W$2,'리스사업(D)'!$Q:$Q,$J9)
  +COUNTIFS('임대사업(E)'!$G:$G,W$2,'임대사업(E)'!$Q:$Q,$J9)
  +COUNTIFS('환경부사업(F)'!$G:$G,W$2,'환경부사업(F)'!$Q:$Q,$J9)
  +COUNTIFS('프로젝트(G)'!$G:$G,W$2,'프로젝트(G)'!$Q:$Q,$J9)
  +COUNTIFS('협력사 EPC(H)'!$G:$G,W$2,'협력사 EPC(H)'!$Q:$Q,$J9)
  +COUNTIFS('기타(Z)'!$G:$G,W$2,'기타(Z)'!$Q:$Q,$J9)
)</f>
        <v/>
      </c>
      <c r="Y9" s="366" t="str">
        <f>IF(
  SUM(
    SUMIFS('발전사업(A)'!$I:$I,'발전사업(A)'!$G:$G,Y$2,'발전사업(A)'!$Q:$Q,$J9,'발전사업(A)'!$C:$C,$L$1),
    SUMIFS('자가소비(B)'!$I:$I,'자가소비(B)'!$G:$G,Y$2,'자가소비(B)'!$Q:$Q,$J9,'자가소비(B)'!$C:$C,$L$1),
    SUMIFS('PPA 사업(C)'!$I:$I,'PPA 사업(C)'!$G:$G,Y$2,'PPA 사업(C)'!$Q:$Q,$J9,'PPA 사업(C)'!$C:$C,$L$1),
    SUMIFS('리스사업(D)'!$I:$I,'리스사업(D)'!$G:$G,Y$2,'리스사업(D)'!$Q:$Q,$J9,'리스사업(D)'!$C:$C,$L$1),
    SUMIFS('임대사업(E)'!$I:$I,'임대사업(E)'!$G:$G,Y$2,'임대사업(E)'!$Q:$Q,$J9,'임대사업(E)'!$C:$C,$L$1),
    SUMIFS('환경부사업(F)'!$I:$I,'환경부사업(F)'!$G:$G,Y$2,'환경부사업(F)'!$Q:$Q,$J9,'환경부사업(F)'!$C:$C,$L$1),
    SUMIFS('프로젝트(G)'!$I:$I,'프로젝트(G)'!$G:$G,Y$2,'프로젝트(G)'!$Q:$Q,$J9,'프로젝트(G)'!$C:$C,$L$1),
    SUMIFS('협력사 EPC(H)'!$I:$I,'협력사 EPC(H)'!$G:$G,Y$2,'협력사 EPC(H)'!$Q:$Q,$J9,'협력사 EPC(H)'!$C:$C,$L$1),
    SUMIFS('기타(Z)'!$I:$I,'기타(Z)'!$G:$G,Y$2,'기타(Z)'!$Q:$Q,$J9,'기타(Z)'!$C:$C,$L$1)
  )=0,
  "",
  SUM(
    SUMIFS('발전사업(A)'!$I:$I,'발전사업(A)'!$G:$G,Y$2,'발전사업(A)'!$Q:$Q,$J9,'발전사업(A)'!$C:$C,$L$1),
    SUMIFS('자가소비(B)'!$I:$I,'자가소비(B)'!$G:$G,Y$2,'자가소비(B)'!$Q:$Q,$J9,'자가소비(B)'!$C:$C,$L$1),
    SUMIFS('PPA 사업(C)'!$I:$I,'PPA 사업(C)'!$G:$G,Y$2,'PPA 사업(C)'!$Q:$Q,$J9,'PPA 사업(C)'!$C:$C,$L$1),
    SUMIFS('리스사업(D)'!$I:$I,'리스사업(D)'!$G:$G,Y$2,'리스사업(D)'!$Q:$Q,$J9,'리스사업(D)'!$C:$C,$L$1),
    SUMIFS('임대사업(E)'!$I:$I,'임대사업(E)'!$G:$G,Y$2,'임대사업(E)'!$Q:$Q,$J9,'임대사업(E)'!$C:$C,$L$1),
    SUMIFS('환경부사업(F)'!$I:$I,'환경부사업(F)'!$G:$G,Y$2,'환경부사업(F)'!$Q:$Q,$J9,'환경부사업(F)'!$C:$C,$L$1),
    SUMIFS('프로젝트(G)'!$I:$I,'프로젝트(G)'!$G:$G,Y$2,'프로젝트(G)'!$Q:$Q,$J9,'프로젝트(G)'!$C:$C,$L$1),
    SUMIFS('협력사 EPC(H)'!$I:$I,'협력사 EPC(H)'!$G:$G,Y$2,'협력사 EPC(H)'!$Q:$Q,$J9,'협력사 EPC(H)'!$C:$C,$L$1),
    SUMIFS('기타(Z)'!$I:$I,'기타(Z)'!$G:$G,Y$2,'기타(Z)'!$Q:$Q,$J9,'기타(Z)'!$C:$C,$L$1)
  )
)</f>
        <v/>
      </c>
      <c r="Z9" s="367" t="str">
        <f>IF(
  SUM(
    COUNTIFS('발전사업(A)'!$G:$G, Y$2, '발전사업(A)'!$Q:$Q, $J9, '발전사업(A)'!$C:$C, $L$1),
    COUNTIFS('자가소비(B)'!$G:$G, Y$2, '자가소비(B)'!$Q:$Q, $J9, '자가소비(B)'!$C:$C, $L$1),
    COUNTIFS('PPA 사업(C)'!$G:$G, Y$2, 'PPA 사업(C)'!$Q:$Q, $J9, 'PPA 사업(C)'!$C:$C, $L$1),
    COUNTIFS('리스사업(D)'!$G:$G, Y$2, '리스사업(D)'!$Q:$Q, $J9, '리스사업(D)'!$C:$C, $L$1),
    COUNTIFS('임대사업(E)'!$G:$G, Y$2, '임대사업(E)'!$Q:$Q, $J9, '임대사업(E)'!$C:$C, $L$1),
    COUNTIFS('환경부사업(F)'!$G:$G, Y$2, '환경부사업(F)'!$Q:$Q, $J9, '환경부사업(F)'!$C:$C, $L$1),
    COUNTIFS('프로젝트(G)'!$G:$G, Y$2, '프로젝트(G)'!$Q:$Q, $J9, '프로젝트(G)'!$C:$C, $L$1),
    COUNTIFS('협력사 EPC(H)'!$G:$G, Y$2, '협력사 EPC(H)'!$Q:$Q, $J9, '협력사 EPC(H)'!$C:$C, $L$1),
    COUNTIFS('기타(Z)'!$G:$G, Y$2, '기타(Z)'!$Q:$Q, $J9, '기타(Z)'!$C:$C, $L$1)
  ) = 0,
  "",
  COUNTIFS('발전사업(A)'!$G:$G, Y$2, '발전사업(A)'!$Q:$Q, $J9, '발전사업(A)'!$C:$C, $L$1)
  + COUNTIFS('자가소비(B)'!$G:$G, Y$2, '자가소비(B)'!$Q:$Q, $J9, '자가소비(B)'!$C:$C, $L$1)
  + COUNTIFS('PPA 사업(C)'!$G:$G, Y$2, 'PPA 사업(C)'!$Q:$Q, $J9, 'PPA 사업(C)'!$C:$C, $L$1)
  + COUNTIFS('리스사업(D)'!$G:$G, Y$2, '리스사업(D)'!$Q:$Q, $J9, '리스사업(D)'!$C:$C, $L$1)
  + COUNTIFS('임대사업(E)'!$G:$G, Y$2, '임대사업(E)'!$Q:$Q, $J9, '임대사업(E)'!$C:$C, $L$1)
  + COUNTIFS('환경부사업(F)'!$G:$G, Y$2, '환경부사업(F)'!$Q:$Q, $J9, '환경부사업(F)'!$C:$C, $L$1)
  + COUNTIFS('프로젝트(G)'!$G:$G, Y$2, '프로젝트(G)'!$Q:$Q, $J9, '프로젝트(G)'!$C:$C, $L$1)
  + COUNTIFS('협력사 EPC(H)'!$G:$G, Y$2, '협력사 EPC(H)'!$Q:$Q, $J9, '협력사 EPC(H)'!$C:$C, $L$1)
  + COUNTIFS('기타(Z)'!$G:$G, Y$2, '기타(Z)'!$Q:$Q, $J9, '기타(Z)'!$C:$C, $L$1)
)</f>
        <v/>
      </c>
      <c r="AA9" s="366" t="str">
        <f>IF(
  SUM(
    SUMIFS('발전사업(A)'!$I:$I,'발전사업(A)'!$G:$G,AA$2,'발전사업(A)'!$Q:$Q,$J9,'발전사업(A)'!$C:$C,$L$1),
    SUMIFS('자가소비(B)'!$I:$I,'자가소비(B)'!$G:$G,AA$2,'자가소비(B)'!$Q:$Q,$J9,'자가소비(B)'!$C:$C,$L$1),
    SUMIFS('PPA 사업(C)'!$I:$I,'PPA 사업(C)'!$G:$G,AA$2,'PPA 사업(C)'!$Q:$Q,$J9,'PPA 사업(C)'!$C:$C,$L$1),
    SUMIFS('리스사업(D)'!$I:$I,'리스사업(D)'!$G:$G,AA$2,'리스사업(D)'!$Q:$Q,$J9,'리스사업(D)'!$C:$C,$L$1),
    SUMIFS('임대사업(E)'!$I:$I,'임대사업(E)'!$G:$G,AA$2,'임대사업(E)'!$Q:$Q,$J9,'임대사업(E)'!$C:$C,$L$1),
    SUMIFS('환경부사업(F)'!$I:$I,'환경부사업(F)'!$G:$G,AA$2,'환경부사업(F)'!$Q:$Q,$J9,'환경부사업(F)'!$C:$C,$L$1),
    SUMIFS('프로젝트(G)'!$I:$I,'프로젝트(G)'!$G:$G,AA$2,'프로젝트(G)'!$Q:$Q,$J9,'프로젝트(G)'!$C:$C,$L$1),
    SUMIFS('협력사 EPC(H)'!$I:$I,'협력사 EPC(H)'!$G:$G,AA$2,'협력사 EPC(H)'!$Q:$Q,$J9,'협력사 EPC(H)'!$C:$C,$L$1),
    SUMIFS('기타(Z)'!$I:$I,'기타(Z)'!$G:$G,AA$2,'기타(Z)'!$Q:$Q,$J9,'기타(Z)'!$C:$C,$L$1)
  )=0,
  "",
  SUM(
    SUMIFS('발전사업(A)'!$I:$I,'발전사업(A)'!$G:$G,AA$2,'발전사업(A)'!$Q:$Q,$J9,'발전사업(A)'!$C:$C,$L$1),
    SUMIFS('자가소비(B)'!$I:$I,'자가소비(B)'!$G:$G,AA$2,'자가소비(B)'!$Q:$Q,$J9,'자가소비(B)'!$C:$C,$L$1),
    SUMIFS('PPA 사업(C)'!$I:$I,'PPA 사업(C)'!$G:$G,AA$2,'PPA 사업(C)'!$Q:$Q,$J9,'PPA 사업(C)'!$C:$C,$L$1),
    SUMIFS('리스사업(D)'!$I:$I,'리스사업(D)'!$G:$G,AA$2,'리스사업(D)'!$Q:$Q,$J9,'리스사업(D)'!$C:$C,$L$1),
    SUMIFS('임대사업(E)'!$I:$I,'임대사업(E)'!$G:$G,AA$2,'임대사업(E)'!$Q:$Q,$J9,'임대사업(E)'!$C:$C,$L$1),
    SUMIFS('환경부사업(F)'!$I:$I,'환경부사업(F)'!$G:$G,AA$2,'환경부사업(F)'!$Q:$Q,$J9,'환경부사업(F)'!$C:$C,$L$1),
    SUMIFS('프로젝트(G)'!$I:$I,'프로젝트(G)'!$G:$G,AA$2,'프로젝트(G)'!$Q:$Q,$J9,'프로젝트(G)'!$C:$C,$L$1),
    SUMIFS('협력사 EPC(H)'!$I:$I,'협력사 EPC(H)'!$G:$G,AA$2,'협력사 EPC(H)'!$Q:$Q,$J9,'협력사 EPC(H)'!$C:$C,$L$1),
    SUMIFS('기타(Z)'!$I:$I,'기타(Z)'!$G:$G,AA$2,'기타(Z)'!$Q:$Q,$J9,'기타(Z)'!$C:$C,$L$1)
  )
)</f>
        <v/>
      </c>
      <c r="AB9" s="367" t="str">
        <f>IF(
  SUM(
    COUNTIFS('발전사업(A)'!$G:$G, AA$2, '발전사업(A)'!$Q:$Q, $J9, '발전사업(A)'!$C:$C, $L$1),
    COUNTIFS('자가소비(B)'!$G:$G, AA$2, '자가소비(B)'!$Q:$Q, $J9, '자가소비(B)'!$C:$C, $L$1),
    COUNTIFS('PPA 사업(C)'!$G:$G, AA$2, 'PPA 사업(C)'!$Q:$Q, $J9, 'PPA 사업(C)'!$C:$C, $L$1),
    COUNTIFS('리스사업(D)'!$G:$G, AA$2, '리스사업(D)'!$Q:$Q, $J9, '리스사업(D)'!$C:$C, $L$1),
    COUNTIFS('임대사업(E)'!$G:$G, AA$2, '임대사업(E)'!$Q:$Q, $J9, '임대사업(E)'!$C:$C, $L$1),
    COUNTIFS('환경부사업(F)'!$G:$G, AA$2, '환경부사업(F)'!$Q:$Q, $J9, '환경부사업(F)'!$C:$C, $L$1),
    COUNTIFS('프로젝트(G)'!$G:$G, AA$2, '프로젝트(G)'!$Q:$Q, $J9, '프로젝트(G)'!$C:$C, $L$1),
    COUNTIFS('협력사 EPC(H)'!$G:$G, AA$2, '협력사 EPC(H)'!$Q:$Q, $J9, '협력사 EPC(H)'!$C:$C, $L$1),
    COUNTIFS('기타(Z)'!$G:$G, AA$2, '기타(Z)'!$Q:$Q, $J9, '기타(Z)'!$C:$C, $L$1)
  ) = 0,
  "",
  COUNTIFS('발전사업(A)'!$G:$G, AA$2, '발전사업(A)'!$Q:$Q, $J9, '발전사업(A)'!$C:$C, $L$1)
  + COUNTIFS('자가소비(B)'!$G:$G, AA$2, '자가소비(B)'!$Q:$Q, $J9, '자가소비(B)'!$C:$C, $L$1)
  + COUNTIFS('PPA 사업(C)'!$G:$G, AA$2, 'PPA 사업(C)'!$Q:$Q, $J9, 'PPA 사업(C)'!$C:$C, $L$1)
  + COUNTIFS('리스사업(D)'!$G:$G, AA$2, '리스사업(D)'!$Q:$Q, $J9, '리스사업(D)'!$C:$C, $L$1)
  + COUNTIFS('임대사업(E)'!$G:$G, AA$2, '임대사업(E)'!$Q:$Q, $J9, '임대사업(E)'!$C:$C, $L$1)
  + COUNTIFS('환경부사업(F)'!$G:$G, AA$2, '환경부사업(F)'!$Q:$Q, $J9, '환경부사업(F)'!$C:$C, $L$1)
  + COUNTIFS('프로젝트(G)'!$G:$G, AA$2, '프로젝트(G)'!$Q:$Q, $J9, '프로젝트(G)'!$C:$C, $L$1)
  + COUNTIFS('협력사 EPC(H)'!$G:$G, AA$2, '협력사 EPC(H)'!$Q:$Q, $J9, '협력사 EPC(H)'!$C:$C, $L$1)
  + COUNTIFS('기타(Z)'!$G:$G, AA$2, '기타(Z)'!$Q:$Q, $J9, '기타(Z)'!$C:$C, $L$1)
)</f>
        <v/>
      </c>
      <c r="AC9" s="366" t="str">
        <f>IF(
  SUM(
    SUMIFS('발전사업(A)'!$I:$I,'발전사업(A)'!$G:$G,AC$2,'발전사업(A)'!$Q:$Q,$J9,'발전사업(A)'!$C:$C,$L$1),
    SUMIFS('자가소비(B)'!$I:$I,'자가소비(B)'!$G:$G,AC$2,'자가소비(B)'!$Q:$Q,$J9,'자가소비(B)'!$C:$C,$L$1),
    SUMIFS('PPA 사업(C)'!$I:$I,'PPA 사업(C)'!$G:$G,AC$2,'PPA 사업(C)'!$Q:$Q,$J9,'PPA 사업(C)'!$C:$C,$L$1),
    SUMIFS('리스사업(D)'!$I:$I,'리스사업(D)'!$G:$G,AC$2,'리스사업(D)'!$Q:$Q,$J9,'리스사업(D)'!$C:$C,$L$1),
    SUMIFS('임대사업(E)'!$I:$I,'임대사업(E)'!$G:$G,AC$2,'임대사업(E)'!$Q:$Q,$J9,'임대사업(E)'!$C:$C,$L$1),
    SUMIFS('환경부사업(F)'!$I:$I,'환경부사업(F)'!$G:$G,AC$2,'환경부사업(F)'!$Q:$Q,$J9,'환경부사업(F)'!$C:$C,$L$1),
    SUMIFS('프로젝트(G)'!$I:$I,'프로젝트(G)'!$G:$G,AC$2,'프로젝트(G)'!$Q:$Q,$J9,'프로젝트(G)'!$C:$C,$L$1),
    SUMIFS('협력사 EPC(H)'!$I:$I,'협력사 EPC(H)'!$G:$G,AC$2,'협력사 EPC(H)'!$Q:$Q,$J9,'협력사 EPC(H)'!$C:$C,$L$1),
    SUMIFS('기타(Z)'!$I:$I,'기타(Z)'!$G:$G,AC$2,'기타(Z)'!$Q:$Q,$J9,'기타(Z)'!$C:$C,$L$1)
  )=0,
  "",
  SUM(
    SUMIFS('발전사업(A)'!$I:$I,'발전사업(A)'!$G:$G,AC$2,'발전사업(A)'!$Q:$Q,$J9,'발전사업(A)'!$C:$C,$L$1),
    SUMIFS('자가소비(B)'!$I:$I,'자가소비(B)'!$G:$G,AC$2,'자가소비(B)'!$Q:$Q,$J9,'자가소비(B)'!$C:$C,$L$1),
    SUMIFS('PPA 사업(C)'!$I:$I,'PPA 사업(C)'!$G:$G,AC$2,'PPA 사업(C)'!$Q:$Q,$J9,'PPA 사업(C)'!$C:$C,$L$1),
    SUMIFS('리스사업(D)'!$I:$I,'리스사업(D)'!$G:$G,AC$2,'리스사업(D)'!$Q:$Q,$J9,'리스사업(D)'!$C:$C,$L$1),
    SUMIFS('임대사업(E)'!$I:$I,'임대사업(E)'!$G:$G,AC$2,'임대사업(E)'!$Q:$Q,$J9,'임대사업(E)'!$C:$C,$L$1),
    SUMIFS('환경부사업(F)'!$I:$I,'환경부사업(F)'!$G:$G,AC$2,'환경부사업(F)'!$Q:$Q,$J9,'환경부사업(F)'!$C:$C,$L$1),
    SUMIFS('프로젝트(G)'!$I:$I,'프로젝트(G)'!$G:$G,AC$2,'프로젝트(G)'!$Q:$Q,$J9,'프로젝트(G)'!$C:$C,$L$1),
    SUMIFS('협력사 EPC(H)'!$I:$I,'협력사 EPC(H)'!$G:$G,AC$2,'협력사 EPC(H)'!$Q:$Q,$J9,'협력사 EPC(H)'!$C:$C,$L$1),
    SUMIFS('기타(Z)'!$I:$I,'기타(Z)'!$G:$G,AC$2,'기타(Z)'!$Q:$Q,$J9,'기타(Z)'!$C:$C,$L$1)
  )
)</f>
        <v/>
      </c>
      <c r="AD9" s="367" t="str">
        <f>IF(
  SUM(
    COUNTIFS('발전사업(A)'!$G:$G, AC$2, '발전사업(A)'!$Q:$Q, $J9, '발전사업(A)'!$C:$C, $L$1),
    COUNTIFS('자가소비(B)'!$G:$G, AC$2, '자가소비(B)'!$Q:$Q, $J9, '자가소비(B)'!$C:$C, $L$1),
    COUNTIFS('PPA 사업(C)'!$G:$G, AC$2, 'PPA 사업(C)'!$Q:$Q, $J9, 'PPA 사업(C)'!$C:$C, $L$1),
    COUNTIFS('리스사업(D)'!$G:$G, AC$2, '리스사업(D)'!$Q:$Q, $J9, '리스사업(D)'!$C:$C, $L$1),
    COUNTIFS('임대사업(E)'!$G:$G, AC$2, '임대사업(E)'!$Q:$Q, $J9, '임대사업(E)'!$C:$C, $L$1),
    COUNTIFS('환경부사업(F)'!$G:$G, AC$2, '환경부사업(F)'!$Q:$Q, $J9, '환경부사업(F)'!$C:$C, $L$1),
    COUNTIFS('프로젝트(G)'!$G:$G, AC$2, '프로젝트(G)'!$Q:$Q, $J9, '프로젝트(G)'!$C:$C, $L$1),
    COUNTIFS('협력사 EPC(H)'!$G:$G, AC$2, '협력사 EPC(H)'!$Q:$Q, $J9, '협력사 EPC(H)'!$C:$C, $L$1),
    COUNTIFS('기타(Z)'!$G:$G, AC$2, '기타(Z)'!$Q:$Q, $J9, '기타(Z)'!$C:$C, $L$1)
  ) = 0,
  "",
  COUNTIFS('발전사업(A)'!$G:$G, AC$2, '발전사업(A)'!$Q:$Q, $J9, '발전사업(A)'!$C:$C, $L$1)
  + COUNTIFS('자가소비(B)'!$G:$G, AC$2, '자가소비(B)'!$Q:$Q, $J9, '자가소비(B)'!$C:$C, $L$1)
  + COUNTIFS('PPA 사업(C)'!$G:$G, AC$2, 'PPA 사업(C)'!$Q:$Q, $J9, 'PPA 사업(C)'!$C:$C, $L$1)
  + COUNTIFS('리스사업(D)'!$G:$G, AC$2, '리스사업(D)'!$Q:$Q, $J9, '리스사업(D)'!$C:$C, $L$1)
  + COUNTIFS('임대사업(E)'!$G:$G, AC$2, '임대사업(E)'!$Q:$Q, $J9, '임대사업(E)'!$C:$C, $L$1)
  + COUNTIFS('환경부사업(F)'!$G:$G, AC$2, '환경부사업(F)'!$Q:$Q, $J9, '환경부사업(F)'!$C:$C, $L$1)
  + COUNTIFS('프로젝트(G)'!$G:$G, AC$2, '프로젝트(G)'!$Q:$Q, $J9, '프로젝트(G)'!$C:$C, $L$1)
  + COUNTIFS('협력사 EPC(H)'!$G:$G, AC$2, '협력사 EPC(H)'!$Q:$Q, $J9, '협력사 EPC(H)'!$C:$C, $L$1)
  + COUNTIFS('기타(Z)'!$G:$G, AC$2, '기타(Z)'!$Q:$Q, $J9, '기타(Z)'!$C:$C, $L$1)
)</f>
        <v/>
      </c>
      <c r="AE9" s="366" t="str">
        <f>IF(
  SUM(
    SUMIFS('발전사업(A)'!$I:$I,'발전사업(A)'!$G:$G,AE$2,'발전사업(A)'!$Q:$Q,$J9,'발전사업(A)'!$C:$C,$L$1),
    SUMIFS('자가소비(B)'!$I:$I,'자가소비(B)'!$G:$G,AE$2,'자가소비(B)'!$Q:$Q,$J9,'자가소비(B)'!$C:$C,$L$1),
    SUMIFS('PPA 사업(C)'!$I:$I,'PPA 사업(C)'!$G:$G,AE$2,'PPA 사업(C)'!$Q:$Q,$J9,'PPA 사업(C)'!$C:$C,$L$1),
    SUMIFS('리스사업(D)'!$I:$I,'리스사업(D)'!$G:$G,AE$2,'리스사업(D)'!$Q:$Q,$J9,'리스사업(D)'!$C:$C,$L$1),
    SUMIFS('임대사업(E)'!$I:$I,'임대사업(E)'!$G:$G,AE$2,'임대사업(E)'!$Q:$Q,$J9,'임대사업(E)'!$C:$C,$L$1),
    SUMIFS('환경부사업(F)'!$I:$I,'환경부사업(F)'!$G:$G,AE$2,'환경부사업(F)'!$Q:$Q,$J9,'환경부사업(F)'!$C:$C,$L$1),
    SUMIFS('프로젝트(G)'!$I:$I,'프로젝트(G)'!$G:$G,AE$2,'프로젝트(G)'!$Q:$Q,$J9,'프로젝트(G)'!$C:$C,$L$1),
    SUMIFS('협력사 EPC(H)'!$I:$I,'협력사 EPC(H)'!$G:$G,AE$2,'협력사 EPC(H)'!$Q:$Q,$J9,'협력사 EPC(H)'!$C:$C,$L$1),
    SUMIFS('기타(Z)'!$I:$I,'기타(Z)'!$G:$G,AE$2,'기타(Z)'!$Q:$Q,$J9,'기타(Z)'!$C:$C,$L$1)
  )=0,
  "",
  SUM(
    SUMIFS('발전사업(A)'!$I:$I,'발전사업(A)'!$G:$G,AE$2,'발전사업(A)'!$Q:$Q,$J9,'발전사업(A)'!$C:$C,$L$1),
    SUMIFS('자가소비(B)'!$I:$I,'자가소비(B)'!$G:$G,AE$2,'자가소비(B)'!$Q:$Q,$J9,'자가소비(B)'!$C:$C,$L$1),
    SUMIFS('PPA 사업(C)'!$I:$I,'PPA 사업(C)'!$G:$G,AE$2,'PPA 사업(C)'!$Q:$Q,$J9,'PPA 사업(C)'!$C:$C,$L$1),
    SUMIFS('리스사업(D)'!$I:$I,'리스사업(D)'!$G:$G,AE$2,'리스사업(D)'!$Q:$Q,$J9,'리스사업(D)'!$C:$C,$L$1),
    SUMIFS('임대사업(E)'!$I:$I,'임대사업(E)'!$G:$G,AE$2,'임대사업(E)'!$Q:$Q,$J9,'임대사업(E)'!$C:$C,$L$1),
    SUMIFS('환경부사업(F)'!$I:$I,'환경부사업(F)'!$G:$G,AE$2,'환경부사업(F)'!$Q:$Q,$J9,'환경부사업(F)'!$C:$C,$L$1),
    SUMIFS('프로젝트(G)'!$I:$I,'프로젝트(G)'!$G:$G,AE$2,'프로젝트(G)'!$Q:$Q,$J9,'프로젝트(G)'!$C:$C,$L$1),
    SUMIFS('협력사 EPC(H)'!$I:$I,'협력사 EPC(H)'!$G:$G,AE$2,'협력사 EPC(H)'!$Q:$Q,$J9,'협력사 EPC(H)'!$C:$C,$L$1),
    SUMIFS('기타(Z)'!$I:$I,'기타(Z)'!$G:$G,AE$2,'기타(Z)'!$Q:$Q,$J9,'기타(Z)'!$C:$C,$L$1)
  )
)</f>
        <v/>
      </c>
      <c r="AF9" s="367" t="str">
        <f>IF(
  SUM(
    COUNTIFS('발전사업(A)'!$G:$G, AE$2, '발전사업(A)'!$Q:$Q, $J9, '발전사업(A)'!$C:$C, $L$1),
    COUNTIFS('자가소비(B)'!$G:$G, AE$2, '자가소비(B)'!$Q:$Q, $J9, '자가소비(B)'!$C:$C, $L$1),
    COUNTIFS('PPA 사업(C)'!$G:$G, AE$2, 'PPA 사업(C)'!$Q:$Q, $J9, 'PPA 사업(C)'!$C:$C, $L$1),
    COUNTIFS('리스사업(D)'!$G:$G, AE$2, '리스사업(D)'!$Q:$Q, $J9, '리스사업(D)'!$C:$C, $L$1),
    COUNTIFS('임대사업(E)'!$G:$G, AE$2, '임대사업(E)'!$Q:$Q, $J9, '임대사업(E)'!$C:$C, $L$1),
    COUNTIFS('환경부사업(F)'!$G:$G, AE$2, '환경부사업(F)'!$Q:$Q, $J9, '환경부사업(F)'!$C:$C, $L$1),
    COUNTIFS('프로젝트(G)'!$G:$G, AE$2, '프로젝트(G)'!$Q:$Q, $J9, '프로젝트(G)'!$C:$C, $L$1),
    COUNTIFS('협력사 EPC(H)'!$G:$G, AE$2, '협력사 EPC(H)'!$Q:$Q, $J9, '협력사 EPC(H)'!$C:$C, $L$1),
    COUNTIFS('기타(Z)'!$G:$G, AE$2, '기타(Z)'!$Q:$Q, $J9, '기타(Z)'!$C:$C, $L$1)
  ) = 0,
  "",
  COUNTIFS('발전사업(A)'!$G:$G, AE$2, '발전사업(A)'!$Q:$Q, $J9, '발전사업(A)'!$C:$C, $L$1)
  + COUNTIFS('자가소비(B)'!$G:$G, AE$2, '자가소비(B)'!$Q:$Q, $J9, '자가소비(B)'!$C:$C, $L$1)
  + COUNTIFS('PPA 사업(C)'!$G:$G, AE$2, 'PPA 사업(C)'!$Q:$Q, $J9, 'PPA 사업(C)'!$C:$C, $L$1)
  + COUNTIFS('리스사업(D)'!$G:$G, AE$2, '리스사업(D)'!$Q:$Q, $J9, '리스사업(D)'!$C:$C, $L$1)
  + COUNTIFS('임대사업(E)'!$G:$G, AE$2, '임대사업(E)'!$Q:$Q, $J9, '임대사업(E)'!$C:$C, $L$1)
  + COUNTIFS('환경부사업(F)'!$G:$G, AE$2, '환경부사업(F)'!$Q:$Q, $J9, '환경부사업(F)'!$C:$C, $L$1)
  + COUNTIFS('프로젝트(G)'!$G:$G, AE$2, '프로젝트(G)'!$Q:$Q, $J9, '프로젝트(G)'!$C:$C, $L$1)
  + COUNTIFS('협력사 EPC(H)'!$G:$G, AE$2, '협력사 EPC(H)'!$Q:$Q, $J9, '협력사 EPC(H)'!$C:$C, $L$1)
  + COUNTIFS('기타(Z)'!$G:$G, AE$2, '기타(Z)'!$Q:$Q, $J9, '기타(Z)'!$C:$C, $L$1)
)</f>
        <v/>
      </c>
      <c r="AG9" s="366" t="str">
        <f>IF(
  SUM(
    SUMIFS('발전사업(A)'!$I:$I,'발전사업(A)'!$G:$G,AG$2,'발전사업(A)'!$Q:$Q,$J9,'발전사업(A)'!$C:$C,$L$1),
    SUMIFS('자가소비(B)'!$I:$I,'자가소비(B)'!$G:$G,AG$2,'자가소비(B)'!$Q:$Q,$J9,'자가소비(B)'!$C:$C,$L$1),
    SUMIFS('PPA 사업(C)'!$I:$I,'PPA 사업(C)'!$G:$G,AG$2,'PPA 사업(C)'!$Q:$Q,$J9,'PPA 사업(C)'!$C:$C,$L$1),
    SUMIFS('리스사업(D)'!$I:$I,'리스사업(D)'!$G:$G,AG$2,'리스사업(D)'!$Q:$Q,$J9,'리스사업(D)'!$C:$C,$L$1),
    SUMIFS('임대사업(E)'!$I:$I,'임대사업(E)'!$G:$G,AG$2,'임대사업(E)'!$Q:$Q,$J9,'임대사업(E)'!$C:$C,$L$1),
    SUMIFS('환경부사업(F)'!$I:$I,'환경부사업(F)'!$G:$G,AG$2,'환경부사업(F)'!$Q:$Q,$J9,'환경부사업(F)'!$C:$C,$L$1),
    SUMIFS('프로젝트(G)'!$I:$I,'프로젝트(G)'!$G:$G,AG$2,'프로젝트(G)'!$Q:$Q,$J9,'프로젝트(G)'!$C:$C,$L$1),
    SUMIFS('협력사 EPC(H)'!$I:$I,'협력사 EPC(H)'!$G:$G,AG$2,'협력사 EPC(H)'!$Q:$Q,$J9,'협력사 EPC(H)'!$C:$C,$L$1),
    SUMIFS('기타(Z)'!$I:$I,'기타(Z)'!$G:$G,AG$2,'기타(Z)'!$Q:$Q,$J9,'기타(Z)'!$C:$C,$L$1)
  )=0,
  "",
  SUM(
    SUMIFS('발전사업(A)'!$I:$I,'발전사업(A)'!$G:$G,AG$2,'발전사업(A)'!$Q:$Q,$J9,'발전사업(A)'!$C:$C,$L$1),
    SUMIFS('자가소비(B)'!$I:$I,'자가소비(B)'!$G:$G,AG$2,'자가소비(B)'!$Q:$Q,$J9,'자가소비(B)'!$C:$C,$L$1),
    SUMIFS('PPA 사업(C)'!$I:$I,'PPA 사업(C)'!$G:$G,AG$2,'PPA 사업(C)'!$Q:$Q,$J9,'PPA 사업(C)'!$C:$C,$L$1),
    SUMIFS('리스사업(D)'!$I:$I,'리스사업(D)'!$G:$G,AG$2,'리스사업(D)'!$Q:$Q,$J9,'리스사업(D)'!$C:$C,$L$1),
    SUMIFS('임대사업(E)'!$I:$I,'임대사업(E)'!$G:$G,AG$2,'임대사업(E)'!$Q:$Q,$J9,'임대사업(E)'!$C:$C,$L$1),
    SUMIFS('환경부사업(F)'!$I:$I,'환경부사업(F)'!$G:$G,AG$2,'환경부사업(F)'!$Q:$Q,$J9,'환경부사업(F)'!$C:$C,$L$1),
    SUMIFS('프로젝트(G)'!$I:$I,'프로젝트(G)'!$G:$G,AG$2,'프로젝트(G)'!$Q:$Q,$J9,'프로젝트(G)'!$C:$C,$L$1),
    SUMIFS('협력사 EPC(H)'!$I:$I,'협력사 EPC(H)'!$G:$G,AG$2,'협력사 EPC(H)'!$Q:$Q,$J9,'협력사 EPC(H)'!$C:$C,$L$1),
    SUMIFS('기타(Z)'!$I:$I,'기타(Z)'!$G:$G,AG$2,'기타(Z)'!$Q:$Q,$J9,'기타(Z)'!$C:$C,$L$1)
  )
)</f>
        <v/>
      </c>
      <c r="AH9" s="367" t="str">
        <f>IF(
  SUM(
    COUNTIFS('발전사업(A)'!$G:$G, AG$2, '발전사업(A)'!$Q:$Q, $J9, '발전사업(A)'!$C:$C, $L$1),
    COUNTIFS('자가소비(B)'!$G:$G, AG$2, '자가소비(B)'!$Q:$Q, $J9, '자가소비(B)'!$C:$C, $L$1),
    COUNTIFS('PPA 사업(C)'!$G:$G, AG$2, 'PPA 사업(C)'!$Q:$Q, $J9, 'PPA 사업(C)'!$C:$C, $L$1),
    COUNTIFS('리스사업(D)'!$G:$G, AG$2, '리스사업(D)'!$Q:$Q, $J9, '리스사업(D)'!$C:$C, $L$1),
    COUNTIFS('임대사업(E)'!$G:$G, AG$2, '임대사업(E)'!$Q:$Q, $J9, '임대사업(E)'!$C:$C, $L$1),
    COUNTIFS('환경부사업(F)'!$G:$G, AG$2, '환경부사업(F)'!$Q:$Q, $J9, '환경부사업(F)'!$C:$C, $L$1),
    COUNTIFS('프로젝트(G)'!$G:$G, AG$2, '프로젝트(G)'!$Q:$Q, $J9, '프로젝트(G)'!$C:$C, $L$1),
    COUNTIFS('협력사 EPC(H)'!$G:$G, AG$2, '협력사 EPC(H)'!$Q:$Q, $J9, '협력사 EPC(H)'!$C:$C, $L$1),
    COUNTIFS('기타(Z)'!$G:$G, AG$2, '기타(Z)'!$Q:$Q, $J9, '기타(Z)'!$C:$C, $L$1)
  ) = 0,
  "",
  COUNTIFS('발전사업(A)'!$G:$G, AG$2, '발전사업(A)'!$Q:$Q, $J9, '발전사업(A)'!$C:$C, $L$1)
  + COUNTIFS('자가소비(B)'!$G:$G, AG$2, '자가소비(B)'!$Q:$Q, $J9, '자가소비(B)'!$C:$C, $L$1)
  + COUNTIFS('PPA 사업(C)'!$G:$G, AG$2, 'PPA 사업(C)'!$Q:$Q, $J9, 'PPA 사업(C)'!$C:$C, $L$1)
  + COUNTIFS('리스사업(D)'!$G:$G, AG$2, '리스사업(D)'!$Q:$Q, $J9, '리스사업(D)'!$C:$C, $L$1)
  + COUNTIFS('임대사업(E)'!$G:$G, AG$2, '임대사업(E)'!$Q:$Q, $J9, '임대사업(E)'!$C:$C, $L$1)
  + COUNTIFS('환경부사업(F)'!$G:$G, AG$2, '환경부사업(F)'!$Q:$Q, $J9, '환경부사업(F)'!$C:$C, $L$1)
  + COUNTIFS('프로젝트(G)'!$G:$G, AG$2, '프로젝트(G)'!$Q:$Q, $J9, '프로젝트(G)'!$C:$C, $L$1)
  + COUNTIFS('협력사 EPC(H)'!$G:$G, AG$2, '협력사 EPC(H)'!$Q:$Q, $J9, '협력사 EPC(H)'!$C:$C, $L$1)
  + COUNTIFS('기타(Z)'!$G:$G, AG$2, '기타(Z)'!$Q:$Q, $J9, '기타(Z)'!$C:$C, $L$1)
)</f>
        <v/>
      </c>
      <c r="AI9" s="366" t="str">
        <f>IF(
  SUM(
    SUMIFS('발전사업(A)'!$I:$I,'발전사업(A)'!$G:$G,AI$2,'발전사업(A)'!$Q:$Q,$J9,'발전사업(A)'!$C:$C,$L$1),
    SUMIFS('자가소비(B)'!$I:$I,'자가소비(B)'!$G:$G,AI$2,'자가소비(B)'!$Q:$Q,$J9,'자가소비(B)'!$C:$C,$L$1),
    SUMIFS('PPA 사업(C)'!$I:$I,'PPA 사업(C)'!$G:$G,AI$2,'PPA 사업(C)'!$Q:$Q,$J9,'PPA 사업(C)'!$C:$C,$L$1),
    SUMIFS('리스사업(D)'!$I:$I,'리스사업(D)'!$G:$G,AI$2,'리스사업(D)'!$Q:$Q,$J9,'리스사업(D)'!$C:$C,$L$1),
    SUMIFS('임대사업(E)'!$I:$I,'임대사업(E)'!$G:$G,AI$2,'임대사업(E)'!$Q:$Q,$J9,'임대사업(E)'!$C:$C,$L$1),
    SUMIFS('환경부사업(F)'!$I:$I,'환경부사업(F)'!$G:$G,AI$2,'환경부사업(F)'!$Q:$Q,$J9,'환경부사업(F)'!$C:$C,$L$1),
    SUMIFS('프로젝트(G)'!$I:$I,'프로젝트(G)'!$G:$G,AI$2,'프로젝트(G)'!$Q:$Q,$J9,'프로젝트(G)'!$C:$C,$L$1),
    SUMIFS('협력사 EPC(H)'!$I:$I,'협력사 EPC(H)'!$G:$G,AI$2,'협력사 EPC(H)'!$Q:$Q,$J9,'협력사 EPC(H)'!$C:$C,$L$1),
    SUMIFS('기타(Z)'!$I:$I,'기타(Z)'!$G:$G,AI$2,'기타(Z)'!$Q:$Q,$J9,'기타(Z)'!$C:$C,$L$1)
  )=0,
  "",
  SUM(
    SUMIFS('발전사업(A)'!$I:$I,'발전사업(A)'!$G:$G,AI$2,'발전사업(A)'!$Q:$Q,$J9,'발전사업(A)'!$C:$C,$L$1),
    SUMIFS('자가소비(B)'!$I:$I,'자가소비(B)'!$G:$G,AI$2,'자가소비(B)'!$Q:$Q,$J9,'자가소비(B)'!$C:$C,$L$1),
    SUMIFS('PPA 사업(C)'!$I:$I,'PPA 사업(C)'!$G:$G,AI$2,'PPA 사업(C)'!$Q:$Q,$J9,'PPA 사업(C)'!$C:$C,$L$1),
    SUMIFS('리스사업(D)'!$I:$I,'리스사업(D)'!$G:$G,AI$2,'리스사업(D)'!$Q:$Q,$J9,'리스사업(D)'!$C:$C,$L$1),
    SUMIFS('임대사업(E)'!$I:$I,'임대사업(E)'!$G:$G,AI$2,'임대사업(E)'!$Q:$Q,$J9,'임대사업(E)'!$C:$C,$L$1),
    SUMIFS('환경부사업(F)'!$I:$I,'환경부사업(F)'!$G:$G,AI$2,'환경부사업(F)'!$Q:$Q,$J9,'환경부사업(F)'!$C:$C,$L$1),
    SUMIFS('프로젝트(G)'!$I:$I,'프로젝트(G)'!$G:$G,AI$2,'프로젝트(G)'!$Q:$Q,$J9,'프로젝트(G)'!$C:$C,$L$1),
    SUMIFS('협력사 EPC(H)'!$I:$I,'협력사 EPC(H)'!$G:$G,AI$2,'협력사 EPC(H)'!$Q:$Q,$J9,'협력사 EPC(H)'!$C:$C,$L$1),
    SUMIFS('기타(Z)'!$I:$I,'기타(Z)'!$G:$G,AI$2,'기타(Z)'!$Q:$Q,$J9,'기타(Z)'!$C:$C,$L$1)
  )
)</f>
        <v/>
      </c>
      <c r="AJ9" s="365" t="str">
        <f>IF(
  SUM(
    COUNTIFS('발전사업(A)'!$G:$G, AI$2, '발전사업(A)'!$Q:$Q, $J9, '발전사업(A)'!$C:$C, $L$1),
    COUNTIFS('자가소비(B)'!$G:$G, AI$2, '자가소비(B)'!$Q:$Q, $J9, '자가소비(B)'!$C:$C, $L$1),
    COUNTIFS('PPA 사업(C)'!$G:$G, AI$2, 'PPA 사업(C)'!$Q:$Q, $J9, 'PPA 사업(C)'!$C:$C, $L$1),
    COUNTIFS('리스사업(D)'!$G:$G, AI$2, '리스사업(D)'!$Q:$Q, $J9, '리스사업(D)'!$C:$C, $L$1),
    COUNTIFS('임대사업(E)'!$G:$G, AI$2, '임대사업(E)'!$Q:$Q, $J9, '임대사업(E)'!$C:$C, $L$1),
    COUNTIFS('환경부사업(F)'!$G:$G, AI$2, '환경부사업(F)'!$Q:$Q, $J9, '환경부사업(F)'!$C:$C, $L$1),
    COUNTIFS('프로젝트(G)'!$G:$G, AI$2, '프로젝트(G)'!$Q:$Q, $J9, '프로젝트(G)'!$C:$C, $L$1),
    COUNTIFS('협력사 EPC(H)'!$G:$G, AI$2, '협력사 EPC(H)'!$Q:$Q, $J9, '협력사 EPC(H)'!$C:$C, $L$1),
    COUNTIFS('기타(Z)'!$G:$G, AI$2, '기타(Z)'!$Q:$Q, $J9, '기타(Z)'!$C:$C, $L$1)
  ) = 0,
  "",
  COUNTIFS('발전사업(A)'!$G:$G, AI$2, '발전사업(A)'!$Q:$Q, $J9, '발전사업(A)'!$C:$C, $L$1)
  + COUNTIFS('자가소비(B)'!$G:$G, AI$2, '자가소비(B)'!$Q:$Q, $J9, '자가소비(B)'!$C:$C, $L$1)
  + COUNTIFS('PPA 사업(C)'!$G:$G, AI$2, 'PPA 사업(C)'!$Q:$Q, $J9, 'PPA 사업(C)'!$C:$C, $L$1)
  + COUNTIFS('리스사업(D)'!$G:$G, AI$2, '리스사업(D)'!$Q:$Q, $J9, '리스사업(D)'!$C:$C, $L$1)
  + COUNTIFS('임대사업(E)'!$G:$G, AI$2, '임대사업(E)'!$Q:$Q, $J9, '임대사업(E)'!$C:$C, $L$1)
  + COUNTIFS('환경부사업(F)'!$G:$G, AI$2, '환경부사업(F)'!$Q:$Q, $J9, '환경부사업(F)'!$C:$C, $L$1)
  + COUNTIFS('프로젝트(G)'!$G:$G, AI$2, '프로젝트(G)'!$Q:$Q, $J9, '프로젝트(G)'!$C:$C, $L$1)
  + COUNTIFS('협력사 EPC(H)'!$G:$G, AI$2, '협력사 EPC(H)'!$Q:$Q, $J9, '협력사 EPC(H)'!$C:$C, $L$1)
  + COUNTIFS('기타(Z)'!$G:$G, AI$2, '기타(Z)'!$Q:$Q, $J9, '기타(Z)'!$C:$C, $L$1)
)</f>
        <v/>
      </c>
    </row>
    <row r="10" spans="2:36" ht="15" x14ac:dyDescent="0.25">
      <c r="B10" s="195" t="s">
        <v>157</v>
      </c>
      <c r="C10" s="262" t="str">
        <f t="shared" si="0"/>
        <v/>
      </c>
      <c r="D10" s="263" t="str">
        <f t="shared" si="0"/>
        <v/>
      </c>
      <c r="E10" s="262" t="str">
        <f t="shared" si="0"/>
        <v/>
      </c>
      <c r="F10" s="263" t="str">
        <f t="shared" si="0"/>
        <v/>
      </c>
      <c r="G10" s="262" t="str">
        <f t="shared" si="0"/>
        <v/>
      </c>
      <c r="H10" s="263" t="str">
        <f t="shared" si="0"/>
        <v/>
      </c>
      <c r="J10" s="371" t="s">
        <v>188</v>
      </c>
      <c r="K10" s="354" t="str">
        <f t="shared" si="1"/>
        <v/>
      </c>
      <c r="L10" s="348" t="str">
        <f t="shared" si="2"/>
        <v/>
      </c>
      <c r="M10" s="366" t="str">
        <f>IF(
  SUM(
    SUMIFS('발전사업(A)'!$I:$I,'발전사업(A)'!$G:$G,M$2,'발전사업(A)'!$Q:$Q,$J10,'발전사업(A)'!$C:$C,$L$1),
    SUMIFS('자가소비(B)'!$I:$I,'자가소비(B)'!$G:$G,M$2,'자가소비(B)'!$Q:$Q,$J10,'자가소비(B)'!$C:$C,$L$1),
    SUMIFS('PPA 사업(C)'!$I:$I,'PPA 사업(C)'!$G:$G,M$2,'PPA 사업(C)'!$Q:$Q,$J10,'PPA 사업(C)'!$C:$C,$L$1),
    SUMIFS('리스사업(D)'!$I:$I,'리스사업(D)'!$G:$G,M$2,'리스사업(D)'!$Q:$Q,$J10,'리스사업(D)'!$C:$C,$L$1),
    SUMIFS('임대사업(E)'!$I:$I,'임대사업(E)'!$G:$G,M$2,'임대사업(E)'!$Q:$Q,$J10,'임대사업(E)'!$C:$C,$L$1),
    SUMIFS('환경부사업(F)'!$I:$I,'환경부사업(F)'!$G:$G,M$2,'환경부사업(F)'!$Q:$Q,$J10,'환경부사업(F)'!$C:$C,$L$1),
    SUMIFS('프로젝트(G)'!$I:$I,'프로젝트(G)'!$G:$G,M$2,'프로젝트(G)'!$Q:$Q,$J10,'프로젝트(G)'!$C:$C,$L$1),
    SUMIFS('협력사 EPC(H)'!$I:$I,'협력사 EPC(H)'!$G:$G,M$2,'협력사 EPC(H)'!$Q:$Q,$J10,'협력사 EPC(H)'!$C:$C,$L$1),
    SUMIFS('기타(Z)'!$I:$I,'기타(Z)'!$G:$G,M$2,'기타(Z)'!$Q:$Q,$J10,'기타(Z)'!$C:$C,$L$1)
  )=0,
  "",
  SUM(
    SUMIFS('발전사업(A)'!$I:$I,'발전사업(A)'!$G:$G,M$2,'발전사업(A)'!$Q:$Q,$J10,'발전사업(A)'!$C:$C,$L$1),
    SUMIFS('자가소비(B)'!$I:$I,'자가소비(B)'!$G:$G,M$2,'자가소비(B)'!$Q:$Q,$J10,'자가소비(B)'!$C:$C,$L$1),
    SUMIFS('PPA 사업(C)'!$I:$I,'PPA 사업(C)'!$G:$G,M$2,'PPA 사업(C)'!$Q:$Q,$J10,'PPA 사업(C)'!$C:$C,$L$1),
    SUMIFS('리스사업(D)'!$I:$I,'리스사업(D)'!$G:$G,M$2,'리스사업(D)'!$Q:$Q,$J10,'리스사업(D)'!$C:$C,$L$1),
    SUMIFS('임대사업(E)'!$I:$I,'임대사업(E)'!$G:$G,M$2,'임대사업(E)'!$Q:$Q,$J10,'임대사업(E)'!$C:$C,$L$1),
    SUMIFS('환경부사업(F)'!$I:$I,'환경부사업(F)'!$G:$G,M$2,'환경부사업(F)'!$Q:$Q,$J10,'환경부사업(F)'!$C:$C,$L$1),
    SUMIFS('프로젝트(G)'!$I:$I,'프로젝트(G)'!$G:$G,M$2,'프로젝트(G)'!$Q:$Q,$J10,'프로젝트(G)'!$C:$C,$L$1),
    SUMIFS('협력사 EPC(H)'!$I:$I,'협력사 EPC(H)'!$G:$G,M$2,'협력사 EPC(H)'!$Q:$Q,$J10,'협력사 EPC(H)'!$C:$C,$L$1),
    SUMIFS('기타(Z)'!$I:$I,'기타(Z)'!$G:$G,M$2,'기타(Z)'!$Q:$Q,$J10,'기타(Z)'!$C:$C,$L$1)
  )
)</f>
        <v/>
      </c>
      <c r="N10" s="367" t="str">
        <f>IF(
  SUM(
    COUNTIFS('발전사업(A)'!$G:$G, M$2, '발전사업(A)'!$Q:$Q, $J10, '발전사업(A)'!$C:$C, $L$1),
    COUNTIFS('자가소비(B)'!$G:$G, M$2, '자가소비(B)'!$Q:$Q, $J10, '자가소비(B)'!$C:$C, $L$1),
    COUNTIFS('PPA 사업(C)'!$G:$G, M$2, 'PPA 사업(C)'!$Q:$Q, $J10, 'PPA 사업(C)'!$C:$C, $L$1),
    COUNTIFS('리스사업(D)'!$G:$G, M$2, '리스사업(D)'!$Q:$Q, $J10, '리스사업(D)'!$C:$C, $L$1),
    COUNTIFS('임대사업(E)'!$G:$G, M$2, '임대사업(E)'!$Q:$Q, $J10, '임대사업(E)'!$C:$C, $L$1),
    COUNTIFS('환경부사업(F)'!$G:$G, M$2, '환경부사업(F)'!$Q:$Q, $J10, '환경부사업(F)'!$C:$C, $L$1),
    COUNTIFS('프로젝트(G)'!$G:$G, M$2, '프로젝트(G)'!$Q:$Q, $J10, '프로젝트(G)'!$C:$C, $L$1),
    COUNTIFS('협력사 EPC(H)'!$G:$G, M$2, '협력사 EPC(H)'!$Q:$Q, $J10, '협력사 EPC(H)'!$C:$C, $L$1),
    COUNTIFS('기타(Z)'!$G:$G, M$2, '기타(Z)'!$Q:$Q, $J10, '기타(Z)'!$C:$C, $L$1)
  ) = 0,
  "",
  COUNTIFS('발전사업(A)'!$G:$G, M$2, '발전사업(A)'!$Q:$Q, $J10, '발전사업(A)'!$C:$C, $L$1)
  + COUNTIFS('자가소비(B)'!$G:$G, M$2, '자가소비(B)'!$Q:$Q, $J10, '자가소비(B)'!$C:$C, $L$1)
  + COUNTIFS('PPA 사업(C)'!$G:$G, M$2, 'PPA 사업(C)'!$Q:$Q, $J10, 'PPA 사업(C)'!$C:$C, $L$1)
  + COUNTIFS('리스사업(D)'!$G:$G, M$2, '리스사업(D)'!$Q:$Q, $J10, '리스사업(D)'!$C:$C, $L$1)
  + COUNTIFS('임대사업(E)'!$G:$G, M$2, '임대사업(E)'!$Q:$Q, $J10, '임대사업(E)'!$C:$C, $L$1)
  + COUNTIFS('환경부사업(F)'!$G:$G, M$2, '환경부사업(F)'!$Q:$Q, $J10, '환경부사업(F)'!$C:$C, $L$1)
  + COUNTIFS('프로젝트(G)'!$G:$G, M$2, '프로젝트(G)'!$Q:$Q, $J10, '프로젝트(G)'!$C:$C, $L$1)
  + COUNTIFS('협력사 EPC(H)'!$G:$G, M$2, '협력사 EPC(H)'!$Q:$Q, $J10, '협력사 EPC(H)'!$C:$C, $L$1)
  + COUNTIFS('기타(Z)'!$G:$G, M$2, '기타(Z)'!$Q:$Q, $J10, '기타(Z)'!$C:$C, $L$1)
)</f>
        <v/>
      </c>
      <c r="O10" s="366" t="str">
        <f>IF(
  SUM(
    SUMIFS('발전사업(A)'!$I:$I,'발전사업(A)'!$G:$G,O$2,'발전사업(A)'!$Q:$Q,$J10,'발전사업(A)'!$C:$C,$L$1),
    SUMIFS('자가소비(B)'!$I:$I,'자가소비(B)'!$G:$G,O$2,'자가소비(B)'!$Q:$Q,$J10,'자가소비(B)'!$C:$C,$L$1),
    SUMIFS('PPA 사업(C)'!$I:$I,'PPA 사업(C)'!$G:$G,O$2,'PPA 사업(C)'!$Q:$Q,$J10,'PPA 사업(C)'!$C:$C,$L$1),
    SUMIFS('리스사업(D)'!$I:$I,'리스사업(D)'!$G:$G,O$2,'리스사업(D)'!$Q:$Q,$J10,'리스사업(D)'!$C:$C,$L$1),
    SUMIFS('임대사업(E)'!$I:$I,'임대사업(E)'!$G:$G,O$2,'임대사업(E)'!$Q:$Q,$J10,'임대사업(E)'!$C:$C,$L$1),
    SUMIFS('환경부사업(F)'!$I:$I,'환경부사업(F)'!$G:$G,O$2,'환경부사업(F)'!$Q:$Q,$J10,'환경부사업(F)'!$C:$C,$L$1),
    SUMIFS('프로젝트(G)'!$I:$I,'프로젝트(G)'!$G:$G,O$2,'프로젝트(G)'!$Q:$Q,$J10,'프로젝트(G)'!$C:$C,$L$1),
    SUMIFS('협력사 EPC(H)'!$I:$I,'협력사 EPC(H)'!$G:$G,O$2,'협력사 EPC(H)'!$Q:$Q,$J10,'협력사 EPC(H)'!$C:$C,$L$1),
    SUMIFS('기타(Z)'!$I:$I,'기타(Z)'!$G:$G,O$2,'기타(Z)'!$Q:$Q,$J10,'기타(Z)'!$C:$C,$L$1)
  )=0,
  "",
  SUM(
    SUMIFS('발전사업(A)'!$I:$I,'발전사업(A)'!$G:$G,O$2,'발전사업(A)'!$Q:$Q,$J10,'발전사업(A)'!$C:$C,$L$1),
    SUMIFS('자가소비(B)'!$I:$I,'자가소비(B)'!$G:$G,O$2,'자가소비(B)'!$Q:$Q,$J10,'자가소비(B)'!$C:$C,$L$1),
    SUMIFS('PPA 사업(C)'!$I:$I,'PPA 사업(C)'!$G:$G,O$2,'PPA 사업(C)'!$Q:$Q,$J10,'PPA 사업(C)'!$C:$C,$L$1),
    SUMIFS('리스사업(D)'!$I:$I,'리스사업(D)'!$G:$G,O$2,'리스사업(D)'!$Q:$Q,$J10,'리스사업(D)'!$C:$C,$L$1),
    SUMIFS('임대사업(E)'!$I:$I,'임대사업(E)'!$G:$G,O$2,'임대사업(E)'!$Q:$Q,$J10,'임대사업(E)'!$C:$C,$L$1),
    SUMIFS('환경부사업(F)'!$I:$I,'환경부사업(F)'!$G:$G,O$2,'환경부사업(F)'!$Q:$Q,$J10,'환경부사업(F)'!$C:$C,$L$1),
    SUMIFS('프로젝트(G)'!$I:$I,'프로젝트(G)'!$G:$G,O$2,'프로젝트(G)'!$Q:$Q,$J10,'프로젝트(G)'!$C:$C,$L$1),
    SUMIFS('협력사 EPC(H)'!$I:$I,'협력사 EPC(H)'!$G:$G,O$2,'협력사 EPC(H)'!$Q:$Q,$J10,'협력사 EPC(H)'!$C:$C,$L$1),
    SUMIFS('기타(Z)'!$I:$I,'기타(Z)'!$G:$G,O$2,'기타(Z)'!$Q:$Q,$J10,'기타(Z)'!$C:$C,$L$1)
  )
)</f>
        <v/>
      </c>
      <c r="P10" s="367" t="str">
        <f>IF(
  SUM(
    COUNTIFS('발전사업(A)'!$G:$G, O$2, '발전사업(A)'!$Q:$Q, $J10, '발전사업(A)'!$C:$C, $L$1),
    COUNTIFS('자가소비(B)'!$G:$G, O$2, '자가소비(B)'!$Q:$Q, $J10, '자가소비(B)'!$C:$C, $L$1),
    COUNTIFS('PPA 사업(C)'!$G:$G, O$2, 'PPA 사업(C)'!$Q:$Q, $J10, 'PPA 사업(C)'!$C:$C, $L$1),
    COUNTIFS('리스사업(D)'!$G:$G, O$2, '리스사업(D)'!$Q:$Q, $J10, '리스사업(D)'!$C:$C, $L$1),
    COUNTIFS('임대사업(E)'!$G:$G, O$2, '임대사업(E)'!$Q:$Q, $J10, '임대사업(E)'!$C:$C, $L$1),
    COUNTIFS('환경부사업(F)'!$G:$G, O$2, '환경부사업(F)'!$Q:$Q, $J10, '환경부사업(F)'!$C:$C, $L$1),
    COUNTIFS('프로젝트(G)'!$G:$G, O$2, '프로젝트(G)'!$Q:$Q, $J10, '프로젝트(G)'!$C:$C, $L$1),
    COUNTIFS('협력사 EPC(H)'!$G:$G, O$2, '협력사 EPC(H)'!$Q:$Q, $J10, '협력사 EPC(H)'!$C:$C, $L$1),
    COUNTIFS('기타(Z)'!$G:$G, O$2, '기타(Z)'!$Q:$Q, $J10, '기타(Z)'!$C:$C, $L$1)
  ) = 0,
  "",
  COUNTIFS('발전사업(A)'!$G:$G, O$2, '발전사업(A)'!$Q:$Q, $J10, '발전사업(A)'!$C:$C, $L$1)
  + COUNTIFS('자가소비(B)'!$G:$G, O$2, '자가소비(B)'!$Q:$Q, $J10, '자가소비(B)'!$C:$C, $L$1)
  + COUNTIFS('PPA 사업(C)'!$G:$G, O$2, 'PPA 사업(C)'!$Q:$Q, $J10, 'PPA 사업(C)'!$C:$C, $L$1)
  + COUNTIFS('리스사업(D)'!$G:$G, O$2, '리스사업(D)'!$Q:$Q, $J10, '리스사업(D)'!$C:$C, $L$1)
  + COUNTIFS('임대사업(E)'!$G:$G, O$2, '임대사업(E)'!$Q:$Q, $J10, '임대사업(E)'!$C:$C, $L$1)
  + COUNTIFS('환경부사업(F)'!$G:$G, O$2, '환경부사업(F)'!$Q:$Q, $J10, '환경부사업(F)'!$C:$C, $L$1)
  + COUNTIFS('프로젝트(G)'!$G:$G, O$2, '프로젝트(G)'!$Q:$Q, $J10, '프로젝트(G)'!$C:$C, $L$1)
  + COUNTIFS('협력사 EPC(H)'!$G:$G, O$2, '협력사 EPC(H)'!$Q:$Q, $J10, '협력사 EPC(H)'!$C:$C, $L$1)
  + COUNTIFS('기타(Z)'!$G:$G, O$2, '기타(Z)'!$Q:$Q, $J10, '기타(Z)'!$C:$C, $L$1)
)</f>
        <v/>
      </c>
      <c r="Q10" s="366" t="str">
        <f>IF(
  SUM(
    SUMIFS('발전사업(A)'!$I:$I,'발전사업(A)'!$G:$G,Q$2,'발전사업(A)'!$Q:$Q,$J10,'발전사업(A)'!$C:$C,$L$1),
    SUMIFS('자가소비(B)'!$I:$I,'자가소비(B)'!$G:$G,Q$2,'자가소비(B)'!$Q:$Q,$J10,'자가소비(B)'!$C:$C,$L$1),
    SUMIFS('PPA 사업(C)'!$I:$I,'PPA 사업(C)'!$G:$G,Q$2,'PPA 사업(C)'!$Q:$Q,$J10,'PPA 사업(C)'!$C:$C,$L$1),
    SUMIFS('리스사업(D)'!$I:$I,'리스사업(D)'!$G:$G,Q$2,'리스사업(D)'!$Q:$Q,$J10,'리스사업(D)'!$C:$C,$L$1),
    SUMIFS('임대사업(E)'!$I:$I,'임대사업(E)'!$G:$G,Q$2,'임대사업(E)'!$Q:$Q,$J10,'임대사업(E)'!$C:$C,$L$1),
    SUMIFS('환경부사업(F)'!$I:$I,'환경부사업(F)'!$G:$G,Q$2,'환경부사업(F)'!$Q:$Q,$J10,'환경부사업(F)'!$C:$C,$L$1),
    SUMIFS('프로젝트(G)'!$I:$I,'프로젝트(G)'!$G:$G,Q$2,'프로젝트(G)'!$Q:$Q,$J10,'프로젝트(G)'!$C:$C,$L$1),
    SUMIFS('협력사 EPC(H)'!$I:$I,'협력사 EPC(H)'!$G:$G,Q$2,'협력사 EPC(H)'!$Q:$Q,$J10,'협력사 EPC(H)'!$C:$C,$L$1),
    SUMIFS('기타(Z)'!$I:$I,'기타(Z)'!$G:$G,Q$2,'기타(Z)'!$Q:$Q,$J10,'기타(Z)'!$C:$C,$L$1)
  )=0,
  "",
  SUM(
    SUMIFS('발전사업(A)'!$I:$I,'발전사업(A)'!$G:$G,Q$2,'발전사업(A)'!$Q:$Q,$J10,'발전사업(A)'!$C:$C,$L$1),
    SUMIFS('자가소비(B)'!$I:$I,'자가소비(B)'!$G:$G,Q$2,'자가소비(B)'!$Q:$Q,$J10,'자가소비(B)'!$C:$C,$L$1),
    SUMIFS('PPA 사업(C)'!$I:$I,'PPA 사업(C)'!$G:$G,Q$2,'PPA 사업(C)'!$Q:$Q,$J10,'PPA 사업(C)'!$C:$C,$L$1),
    SUMIFS('리스사업(D)'!$I:$I,'리스사업(D)'!$G:$G,Q$2,'리스사업(D)'!$Q:$Q,$J10,'리스사업(D)'!$C:$C,$L$1),
    SUMIFS('임대사업(E)'!$I:$I,'임대사업(E)'!$G:$G,Q$2,'임대사업(E)'!$Q:$Q,$J10,'임대사업(E)'!$C:$C,$L$1),
    SUMIFS('환경부사업(F)'!$I:$I,'환경부사업(F)'!$G:$G,Q$2,'환경부사업(F)'!$Q:$Q,$J10,'환경부사업(F)'!$C:$C,$L$1),
    SUMIFS('프로젝트(G)'!$I:$I,'프로젝트(G)'!$G:$G,Q$2,'프로젝트(G)'!$Q:$Q,$J10,'프로젝트(G)'!$C:$C,$L$1),
    SUMIFS('협력사 EPC(H)'!$I:$I,'협력사 EPC(H)'!$G:$G,Q$2,'협력사 EPC(H)'!$Q:$Q,$J10,'협력사 EPC(H)'!$C:$C,$L$1),
    SUMIFS('기타(Z)'!$I:$I,'기타(Z)'!$G:$G,Q$2,'기타(Z)'!$Q:$Q,$J10,'기타(Z)'!$C:$C,$L$1)
  )
)</f>
        <v/>
      </c>
      <c r="R10" s="367" t="str">
        <f>IF(
  SUM(
    COUNTIFS('발전사업(A)'!$G:$G, Q$2, '발전사업(A)'!$Q:$Q, $J10, '발전사업(A)'!$C:$C, $L$1),
    COUNTIFS('자가소비(B)'!$G:$G, Q$2, '자가소비(B)'!$Q:$Q, $J10, '자가소비(B)'!$C:$C, $L$1),
    COUNTIFS('PPA 사업(C)'!$G:$G, Q$2, 'PPA 사업(C)'!$Q:$Q, $J10, 'PPA 사업(C)'!$C:$C, $L$1),
    COUNTIFS('리스사업(D)'!$G:$G, Q$2, '리스사업(D)'!$Q:$Q, $J10, '리스사업(D)'!$C:$C, $L$1),
    COUNTIFS('임대사업(E)'!$G:$G, Q$2, '임대사업(E)'!$Q:$Q, $J10, '임대사업(E)'!$C:$C, $L$1),
    COUNTIFS('환경부사업(F)'!$G:$G, Q$2, '환경부사업(F)'!$Q:$Q, $J10, '환경부사업(F)'!$C:$C, $L$1),
    COUNTIFS('프로젝트(G)'!$G:$G, Q$2, '프로젝트(G)'!$Q:$Q, $J10, '프로젝트(G)'!$C:$C, $L$1),
    COUNTIFS('협력사 EPC(H)'!$G:$G, Q$2, '협력사 EPC(H)'!$Q:$Q, $J10, '협력사 EPC(H)'!$C:$C, $L$1),
    COUNTIFS('기타(Z)'!$G:$G, Q$2, '기타(Z)'!$Q:$Q, $J10, '기타(Z)'!$C:$C, $L$1)
  ) = 0,
  "",
  COUNTIFS('발전사업(A)'!$G:$G, Q$2, '발전사업(A)'!$Q:$Q, $J10, '발전사업(A)'!$C:$C, $L$1)
  + COUNTIFS('자가소비(B)'!$G:$G, Q$2, '자가소비(B)'!$Q:$Q, $J10, '자가소비(B)'!$C:$C, $L$1)
  + COUNTIFS('PPA 사업(C)'!$G:$G, Q$2, 'PPA 사업(C)'!$Q:$Q, $J10, 'PPA 사업(C)'!$C:$C, $L$1)
  + COUNTIFS('리스사업(D)'!$G:$G, Q$2, '리스사업(D)'!$Q:$Q, $J10, '리스사업(D)'!$C:$C, $L$1)
  + COUNTIFS('임대사업(E)'!$G:$G, Q$2, '임대사업(E)'!$Q:$Q, $J10, '임대사업(E)'!$C:$C, $L$1)
  + COUNTIFS('환경부사업(F)'!$G:$G, Q$2, '환경부사업(F)'!$Q:$Q, $J10, '환경부사업(F)'!$C:$C, $L$1)
  + COUNTIFS('프로젝트(G)'!$G:$G, Q$2, '프로젝트(G)'!$Q:$Q, $J10, '프로젝트(G)'!$C:$C, $L$1)
  + COUNTIFS('협력사 EPC(H)'!$G:$G, Q$2, '협력사 EPC(H)'!$Q:$Q, $J10, '협력사 EPC(H)'!$C:$C, $L$1)
  + COUNTIFS('기타(Z)'!$G:$G, Q$2, '기타(Z)'!$Q:$Q, $J10, '기타(Z)'!$C:$C, $L$1)
)</f>
        <v/>
      </c>
      <c r="S10" s="366" t="str">
        <f>IF(
  SUM(
    SUMIFS('발전사업(A)'!$I:$I,'발전사업(A)'!$G:$G,S$2,'발전사업(A)'!$Q:$Q,$J10,'발전사업(A)'!$C:$C,$L$1),
    SUMIFS('자가소비(B)'!$I:$I,'자가소비(B)'!$G:$G,S$2,'자가소비(B)'!$Q:$Q,$J10,'자가소비(B)'!$C:$C,$L$1),
    SUMIFS('PPA 사업(C)'!$I:$I,'PPA 사업(C)'!$G:$G,S$2,'PPA 사업(C)'!$Q:$Q,$J10,'PPA 사업(C)'!$C:$C,$L$1),
    SUMIFS('리스사업(D)'!$I:$I,'리스사업(D)'!$G:$G,S$2,'리스사업(D)'!$Q:$Q,$J10,'리스사업(D)'!$C:$C,$L$1),
    SUMIFS('임대사업(E)'!$I:$I,'임대사업(E)'!$G:$G,S$2,'임대사업(E)'!$Q:$Q,$J10,'임대사업(E)'!$C:$C,$L$1),
    SUMIFS('환경부사업(F)'!$I:$I,'환경부사업(F)'!$G:$G,S$2,'환경부사업(F)'!$Q:$Q,$J10,'환경부사업(F)'!$C:$C,$L$1),
    SUMIFS('프로젝트(G)'!$I:$I,'프로젝트(G)'!$G:$G,S$2,'프로젝트(G)'!$Q:$Q,$J10,'프로젝트(G)'!$C:$C,$L$1),
    SUMIFS('협력사 EPC(H)'!$I:$I,'협력사 EPC(H)'!$G:$G,S$2,'협력사 EPC(H)'!$Q:$Q,$J10,'협력사 EPC(H)'!$C:$C,$L$1),
    SUMIFS('기타(Z)'!$I:$I,'기타(Z)'!$G:$G,S$2,'기타(Z)'!$Q:$Q,$J10,'기타(Z)'!$C:$C,$L$1)
  )=0,
  "",
  SUM(
    SUMIFS('발전사업(A)'!$I:$I,'발전사업(A)'!$G:$G,S$2,'발전사업(A)'!$Q:$Q,$J10,'발전사업(A)'!$C:$C,$L$1),
    SUMIFS('자가소비(B)'!$I:$I,'자가소비(B)'!$G:$G,S$2,'자가소비(B)'!$Q:$Q,$J10,'자가소비(B)'!$C:$C,$L$1),
    SUMIFS('PPA 사업(C)'!$I:$I,'PPA 사업(C)'!$G:$G,S$2,'PPA 사업(C)'!$Q:$Q,$J10,'PPA 사업(C)'!$C:$C,$L$1),
    SUMIFS('리스사업(D)'!$I:$I,'리스사업(D)'!$G:$G,S$2,'리스사업(D)'!$Q:$Q,$J10,'리스사업(D)'!$C:$C,$L$1),
    SUMIFS('임대사업(E)'!$I:$I,'임대사업(E)'!$G:$G,S$2,'임대사업(E)'!$Q:$Q,$J10,'임대사업(E)'!$C:$C,$L$1),
    SUMIFS('환경부사업(F)'!$I:$I,'환경부사업(F)'!$G:$G,S$2,'환경부사업(F)'!$Q:$Q,$J10,'환경부사업(F)'!$C:$C,$L$1),
    SUMIFS('프로젝트(G)'!$I:$I,'프로젝트(G)'!$G:$G,S$2,'프로젝트(G)'!$Q:$Q,$J10,'프로젝트(G)'!$C:$C,$L$1),
    SUMIFS('협력사 EPC(H)'!$I:$I,'협력사 EPC(H)'!$G:$G,S$2,'협력사 EPC(H)'!$Q:$Q,$J10,'협력사 EPC(H)'!$C:$C,$L$1),
    SUMIFS('기타(Z)'!$I:$I,'기타(Z)'!$G:$G,S$2,'기타(Z)'!$Q:$Q,$J10,'기타(Z)'!$C:$C,$L$1)
  )
)</f>
        <v/>
      </c>
      <c r="T10" s="367" t="str">
        <f>IF(
  SUM(
    COUNTIFS('발전사업(A)'!$G:$G, S$2, '발전사업(A)'!$Q:$Q, $J10, '발전사업(A)'!$C:$C, $L$1),
    COUNTIFS('자가소비(B)'!$G:$G, S$2, '자가소비(B)'!$Q:$Q, $J10, '자가소비(B)'!$C:$C, $L$1),
    COUNTIFS('PPA 사업(C)'!$G:$G, S$2, 'PPA 사업(C)'!$Q:$Q, $J10, 'PPA 사업(C)'!$C:$C, $L$1),
    COUNTIFS('리스사업(D)'!$G:$G, S$2, '리스사업(D)'!$Q:$Q, $J10, '리스사업(D)'!$C:$C, $L$1),
    COUNTIFS('임대사업(E)'!$G:$G, S$2, '임대사업(E)'!$Q:$Q, $J10, '임대사업(E)'!$C:$C, $L$1),
    COUNTIFS('환경부사업(F)'!$G:$G, S$2, '환경부사업(F)'!$Q:$Q, $J10, '환경부사업(F)'!$C:$C, $L$1),
    COUNTIFS('프로젝트(G)'!$G:$G, S$2, '프로젝트(G)'!$Q:$Q, $J10, '프로젝트(G)'!$C:$C, $L$1),
    COUNTIFS('협력사 EPC(H)'!$G:$G, S$2, '협력사 EPC(H)'!$Q:$Q, $J10, '협력사 EPC(H)'!$C:$C, $L$1),
    COUNTIFS('기타(Z)'!$G:$G, S$2, '기타(Z)'!$Q:$Q, $J10, '기타(Z)'!$C:$C, $L$1)
  ) = 0,
  "",
  COUNTIFS('발전사업(A)'!$G:$G, S$2, '발전사업(A)'!$Q:$Q, $J10, '발전사업(A)'!$C:$C, $L$1)
  + COUNTIFS('자가소비(B)'!$G:$G, S$2, '자가소비(B)'!$Q:$Q, $J10, '자가소비(B)'!$C:$C, $L$1)
  + COUNTIFS('PPA 사업(C)'!$G:$G, S$2, 'PPA 사업(C)'!$Q:$Q, $J10, 'PPA 사업(C)'!$C:$C, $L$1)
  + COUNTIFS('리스사업(D)'!$G:$G, S$2, '리스사업(D)'!$Q:$Q, $J10, '리스사업(D)'!$C:$C, $L$1)
  + COUNTIFS('임대사업(E)'!$G:$G, S$2, '임대사업(E)'!$Q:$Q, $J10, '임대사업(E)'!$C:$C, $L$1)
  + COUNTIFS('환경부사업(F)'!$G:$G, S$2, '환경부사업(F)'!$Q:$Q, $J10, '환경부사업(F)'!$C:$C, $L$1)
  + COUNTIFS('프로젝트(G)'!$G:$G, S$2, '프로젝트(G)'!$Q:$Q, $J10, '프로젝트(G)'!$C:$C, $L$1)
  + COUNTIFS('협력사 EPC(H)'!$G:$G, S$2, '협력사 EPC(H)'!$Q:$Q, $J10, '협력사 EPC(H)'!$C:$C, $L$1)
  + COUNTIFS('기타(Z)'!$G:$G, S$2, '기타(Z)'!$Q:$Q, $J10, '기타(Z)'!$C:$C, $L$1)
)</f>
        <v/>
      </c>
      <c r="U10" s="366" t="str">
        <f>IF(
  SUM(
    SUMIFS('발전사업(A)'!$I:$I,'발전사업(A)'!$G:$G,U$2,'발전사업(A)'!$Q:$Q,$J10,'발전사업(A)'!$C:$C,$L$1),
    SUMIFS('자가소비(B)'!$I:$I,'자가소비(B)'!$G:$G,U$2,'자가소비(B)'!$Q:$Q,$J10,'자가소비(B)'!$C:$C,$L$1),
    SUMIFS('PPA 사업(C)'!$I:$I,'PPA 사업(C)'!$G:$G,U$2,'PPA 사업(C)'!$Q:$Q,$J10,'PPA 사업(C)'!$C:$C,$L$1),
    SUMIFS('리스사업(D)'!$I:$I,'리스사업(D)'!$G:$G,U$2,'리스사업(D)'!$Q:$Q,$J10,'리스사업(D)'!$C:$C,$L$1),
    SUMIFS('임대사업(E)'!$I:$I,'임대사업(E)'!$G:$G,U$2,'임대사업(E)'!$Q:$Q,$J10,'임대사업(E)'!$C:$C,$L$1),
    SUMIFS('환경부사업(F)'!$I:$I,'환경부사업(F)'!$G:$G,U$2,'환경부사업(F)'!$Q:$Q,$J10,'환경부사업(F)'!$C:$C,$L$1),
    SUMIFS('프로젝트(G)'!$I:$I,'프로젝트(G)'!$G:$G,U$2,'프로젝트(G)'!$Q:$Q,$J10,'프로젝트(G)'!$C:$C,$L$1),
    SUMIFS('협력사 EPC(H)'!$I:$I,'협력사 EPC(H)'!$G:$G,U$2,'협력사 EPC(H)'!$Q:$Q,$J10,'협력사 EPC(H)'!$C:$C,$L$1),
    SUMIFS('기타(Z)'!$I:$I,'기타(Z)'!$G:$G,U$2,'기타(Z)'!$Q:$Q,$J10,'기타(Z)'!$C:$C,$L$1)
  )=0,
  "",
  SUM(
    SUMIFS('발전사업(A)'!$I:$I,'발전사업(A)'!$G:$G,U$2,'발전사업(A)'!$Q:$Q,$J10,'발전사업(A)'!$C:$C,$L$1),
    SUMIFS('자가소비(B)'!$I:$I,'자가소비(B)'!$G:$G,U$2,'자가소비(B)'!$Q:$Q,$J10,'자가소비(B)'!$C:$C,$L$1),
    SUMIFS('PPA 사업(C)'!$I:$I,'PPA 사업(C)'!$G:$G,U$2,'PPA 사업(C)'!$Q:$Q,$J10,'PPA 사업(C)'!$C:$C,$L$1),
    SUMIFS('리스사업(D)'!$I:$I,'리스사업(D)'!$G:$G,U$2,'리스사업(D)'!$Q:$Q,$J10,'리스사업(D)'!$C:$C,$L$1),
    SUMIFS('임대사업(E)'!$I:$I,'임대사업(E)'!$G:$G,U$2,'임대사업(E)'!$Q:$Q,$J10,'임대사업(E)'!$C:$C,$L$1),
    SUMIFS('환경부사업(F)'!$I:$I,'환경부사업(F)'!$G:$G,U$2,'환경부사업(F)'!$Q:$Q,$J10,'환경부사업(F)'!$C:$C,$L$1),
    SUMIFS('프로젝트(G)'!$I:$I,'프로젝트(G)'!$G:$G,U$2,'프로젝트(G)'!$Q:$Q,$J10,'프로젝트(G)'!$C:$C,$L$1),
    SUMIFS('협력사 EPC(H)'!$I:$I,'협력사 EPC(H)'!$G:$G,U$2,'협력사 EPC(H)'!$Q:$Q,$J10,'협력사 EPC(H)'!$C:$C,$L$1),
    SUMIFS('기타(Z)'!$I:$I,'기타(Z)'!$G:$G,U$2,'기타(Z)'!$Q:$Q,$J10,'기타(Z)'!$C:$C,$L$1)
  )
)</f>
        <v/>
      </c>
      <c r="V10" s="367" t="str">
        <f>IF(
  SUM(
    COUNTIFS('발전사업(A)'!$G:$G, U$2, '발전사업(A)'!$Q:$Q, $J10, '발전사업(A)'!$C:$C, $L$1),
    COUNTIFS('자가소비(B)'!$G:$G, U$2, '자가소비(B)'!$Q:$Q, $J10, '자가소비(B)'!$C:$C, $L$1),
    COUNTIFS('PPA 사업(C)'!$G:$G, U$2, 'PPA 사업(C)'!$Q:$Q, $J10, 'PPA 사업(C)'!$C:$C, $L$1),
    COUNTIFS('리스사업(D)'!$G:$G, U$2, '리스사업(D)'!$Q:$Q, $J10, '리스사업(D)'!$C:$C, $L$1),
    COUNTIFS('임대사업(E)'!$G:$G, U$2, '임대사업(E)'!$Q:$Q, $J10, '임대사업(E)'!$C:$C, $L$1),
    COUNTIFS('환경부사업(F)'!$G:$G, U$2, '환경부사업(F)'!$Q:$Q, $J10, '환경부사업(F)'!$C:$C, $L$1),
    COUNTIFS('프로젝트(G)'!$G:$G, U$2, '프로젝트(G)'!$Q:$Q, $J10, '프로젝트(G)'!$C:$C, $L$1),
    COUNTIFS('협력사 EPC(H)'!$G:$G, U$2, '협력사 EPC(H)'!$Q:$Q, $J10, '협력사 EPC(H)'!$C:$C, $L$1),
    COUNTIFS('기타(Z)'!$G:$G, U$2, '기타(Z)'!$Q:$Q, $J10, '기타(Z)'!$C:$C, $L$1)
  ) = 0,
  "",
  COUNTIFS('발전사업(A)'!$G:$G, U$2, '발전사업(A)'!$Q:$Q, $J10, '발전사업(A)'!$C:$C, $L$1)
  + COUNTIFS('자가소비(B)'!$G:$G, U$2, '자가소비(B)'!$Q:$Q, $J10, '자가소비(B)'!$C:$C, $L$1)
  + COUNTIFS('PPA 사업(C)'!$G:$G, U$2, 'PPA 사업(C)'!$Q:$Q, $J10, 'PPA 사업(C)'!$C:$C, $L$1)
  + COUNTIFS('리스사업(D)'!$G:$G, U$2, '리스사업(D)'!$Q:$Q, $J10, '리스사업(D)'!$C:$C, $L$1)
  + COUNTIFS('임대사업(E)'!$G:$G, U$2, '임대사업(E)'!$Q:$Q, $J10, '임대사업(E)'!$C:$C, $L$1)
  + COUNTIFS('환경부사업(F)'!$G:$G, U$2, '환경부사업(F)'!$Q:$Q, $J10, '환경부사업(F)'!$C:$C, $L$1)
  + COUNTIFS('프로젝트(G)'!$G:$G, U$2, '프로젝트(G)'!$Q:$Q, $J10, '프로젝트(G)'!$C:$C, $L$1)
  + COUNTIFS('협력사 EPC(H)'!$G:$G, U$2, '협력사 EPC(H)'!$Q:$Q, $J10, '협력사 EPC(H)'!$C:$C, $L$1)
  + COUNTIFS('기타(Z)'!$G:$G, U$2, '기타(Z)'!$Q:$Q, $J10, '기타(Z)'!$C:$C, $L$1)
)</f>
        <v/>
      </c>
      <c r="W10" s="366" t="str">
        <f>IF(
  SUM(
    SUMIFS('발전사업(A)'!$I:$I,'발전사업(A)'!$G:$G,W$2,'발전사업(A)'!$Q:$Q,$J10,'발전사업(A)'!$C:$C,$L$1),
    SUMIFS('자가소비(B)'!$I:$I,'자가소비(B)'!$G:$G,W$2,'자가소비(B)'!$Q:$Q,$J10,'자가소비(B)'!$C:$C,$L$1),
    SUMIFS('PPA 사업(C)'!$I:$I,'PPA 사업(C)'!$G:$G,W$2,'PPA 사업(C)'!$Q:$Q,$J10,'PPA 사업(C)'!$C:$C,$L$1),
    SUMIFS('리스사업(D)'!$I:$I,'리스사업(D)'!$G:$G,W$2,'리스사업(D)'!$Q:$Q,$J10,'리스사업(D)'!$C:$C,$L$1),
    SUMIFS('임대사업(E)'!$I:$I,'임대사업(E)'!$G:$G,W$2,'임대사업(E)'!$Q:$Q,$J10,'임대사업(E)'!$C:$C,$L$1),
    SUMIFS('환경부사업(F)'!$I:$I,'환경부사업(F)'!$G:$G,W$2,'환경부사업(F)'!$Q:$Q,$J10,'환경부사업(F)'!$C:$C,$L$1),
    SUMIFS('프로젝트(G)'!$I:$I,'프로젝트(G)'!$G:$G,W$2,'프로젝트(G)'!$Q:$Q,$J10,'프로젝트(G)'!$C:$C,$L$1),
    SUMIFS('협력사 EPC(H)'!$I:$I,'협력사 EPC(H)'!$G:$G,W$2,'협력사 EPC(H)'!$Q:$Q,$J10,'협력사 EPC(H)'!$C:$C,$L$1),
    SUMIFS('기타(Z)'!$I:$I,'기타(Z)'!$G:$G,W$2,'기타(Z)'!$Q:$Q,$J10,'기타(Z)'!$C:$C,$L$1)
  )=0,
  "",
  SUM(
    SUMIFS('발전사업(A)'!$I:$I,'발전사업(A)'!$G:$G,W$2,'발전사업(A)'!$Q:$Q,$J10,'발전사업(A)'!$C:$C,$L$1),
    SUMIFS('자가소비(B)'!$I:$I,'자가소비(B)'!$G:$G,W$2,'자가소비(B)'!$Q:$Q,$J10,'자가소비(B)'!$C:$C,$L$1),
    SUMIFS('PPA 사업(C)'!$I:$I,'PPA 사업(C)'!$G:$G,W$2,'PPA 사업(C)'!$Q:$Q,$J10,'PPA 사업(C)'!$C:$C,$L$1),
    SUMIFS('리스사업(D)'!$I:$I,'리스사업(D)'!$G:$G,W$2,'리스사업(D)'!$Q:$Q,$J10,'리스사업(D)'!$C:$C,$L$1),
    SUMIFS('임대사업(E)'!$I:$I,'임대사업(E)'!$G:$G,W$2,'임대사업(E)'!$Q:$Q,$J10,'임대사업(E)'!$C:$C,$L$1),
    SUMIFS('환경부사업(F)'!$I:$I,'환경부사업(F)'!$G:$G,W$2,'환경부사업(F)'!$Q:$Q,$J10,'환경부사업(F)'!$C:$C,$L$1),
    SUMIFS('프로젝트(G)'!$I:$I,'프로젝트(G)'!$G:$G,W$2,'프로젝트(G)'!$Q:$Q,$J10,'프로젝트(G)'!$C:$C,$L$1),
    SUMIFS('협력사 EPC(H)'!$I:$I,'협력사 EPC(H)'!$G:$G,W$2,'협력사 EPC(H)'!$Q:$Q,$J10,'협력사 EPC(H)'!$C:$C,$L$1),
    SUMIFS('기타(Z)'!$I:$I,'기타(Z)'!$G:$G,W$2,'기타(Z)'!$Q:$Q,$J10,'기타(Z)'!$C:$C,$L$1)
  )
)</f>
        <v/>
      </c>
      <c r="X10" s="347" t="str">
        <f>IF(
  SUM(
    COUNTIFS('발전사업(A)'!$G:$G,W$2,'발전사업(A)'!$Q:$Q,$J10),
    COUNTIFS('자가소비(B)'!$G:$G,W$2,'자가소비(B)'!$Q:$Q,$J10),
    COUNTIFS('PPA 사업(C)'!$G:$G,W$2,'PPA 사업(C)'!$Q:$Q,$J10),
    COUNTIFS('리스사업(D)'!$G:$G,W$2,'리스사업(D)'!$Q:$Q,$J10),
    COUNTIFS('임대사업(E)'!$G:$G,W$2,'임대사업(E)'!$Q:$Q,$J10),
    COUNTIFS('환경부사업(F)'!$G:$G,W$2,'환경부사업(F)'!$Q:$Q,$J10),
    COUNTIFS('프로젝트(G)'!$G:$G,W$2,'프로젝트(G)'!$Q:$Q,$J10),
    COUNTIFS('협력사 EPC(H)'!$G:$G,W$2,'협력사 EPC(H)'!$Q:$Q,$J10),
    COUNTIFS('기타(Z)'!$G:$G,W$2,'기타(Z)'!$Q:$Q,$J10)
  )=0,
  "",
  COUNTIFS('발전사업(A)'!$G:$G,W$2,'발전사업(A)'!$Q:$Q,$J10)
  +COUNTIFS('자가소비(B)'!$G:$G,W$2,'자가소비(B)'!$Q:$Q,$J10)
  +COUNTIFS('PPA 사업(C)'!$G:$G,W$2,'PPA 사업(C)'!$Q:$Q,$J10)
  +COUNTIFS('리스사업(D)'!$G:$G,W$2,'리스사업(D)'!$Q:$Q,$J10)
  +COUNTIFS('임대사업(E)'!$G:$G,W$2,'임대사업(E)'!$Q:$Q,$J10)
  +COUNTIFS('환경부사업(F)'!$G:$G,W$2,'환경부사업(F)'!$Q:$Q,$J10)
  +COUNTIFS('프로젝트(G)'!$G:$G,W$2,'프로젝트(G)'!$Q:$Q,$J10)
  +COUNTIFS('협력사 EPC(H)'!$G:$G,W$2,'협력사 EPC(H)'!$Q:$Q,$J10)
  +COUNTIFS('기타(Z)'!$G:$G,W$2,'기타(Z)'!$Q:$Q,$J10)
)</f>
        <v/>
      </c>
      <c r="Y10" s="366" t="str">
        <f>IF(
  SUM(
    SUMIFS('발전사업(A)'!$I:$I,'발전사업(A)'!$G:$G,Y$2,'발전사업(A)'!$Q:$Q,$J10,'발전사업(A)'!$C:$C,$L$1),
    SUMIFS('자가소비(B)'!$I:$I,'자가소비(B)'!$G:$G,Y$2,'자가소비(B)'!$Q:$Q,$J10,'자가소비(B)'!$C:$C,$L$1),
    SUMIFS('PPA 사업(C)'!$I:$I,'PPA 사업(C)'!$G:$G,Y$2,'PPA 사업(C)'!$Q:$Q,$J10,'PPA 사업(C)'!$C:$C,$L$1),
    SUMIFS('리스사업(D)'!$I:$I,'리스사업(D)'!$G:$G,Y$2,'리스사업(D)'!$Q:$Q,$J10,'리스사업(D)'!$C:$C,$L$1),
    SUMIFS('임대사업(E)'!$I:$I,'임대사업(E)'!$G:$G,Y$2,'임대사업(E)'!$Q:$Q,$J10,'임대사업(E)'!$C:$C,$L$1),
    SUMIFS('환경부사업(F)'!$I:$I,'환경부사업(F)'!$G:$G,Y$2,'환경부사업(F)'!$Q:$Q,$J10,'환경부사업(F)'!$C:$C,$L$1),
    SUMIFS('프로젝트(G)'!$I:$I,'프로젝트(G)'!$G:$G,Y$2,'프로젝트(G)'!$Q:$Q,$J10,'프로젝트(G)'!$C:$C,$L$1),
    SUMIFS('협력사 EPC(H)'!$I:$I,'협력사 EPC(H)'!$G:$G,Y$2,'협력사 EPC(H)'!$Q:$Q,$J10,'협력사 EPC(H)'!$C:$C,$L$1),
    SUMIFS('기타(Z)'!$I:$I,'기타(Z)'!$G:$G,Y$2,'기타(Z)'!$Q:$Q,$J10,'기타(Z)'!$C:$C,$L$1)
  )=0,
  "",
  SUM(
    SUMIFS('발전사업(A)'!$I:$I,'발전사업(A)'!$G:$G,Y$2,'발전사업(A)'!$Q:$Q,$J10,'발전사업(A)'!$C:$C,$L$1),
    SUMIFS('자가소비(B)'!$I:$I,'자가소비(B)'!$G:$G,Y$2,'자가소비(B)'!$Q:$Q,$J10,'자가소비(B)'!$C:$C,$L$1),
    SUMIFS('PPA 사업(C)'!$I:$I,'PPA 사업(C)'!$G:$G,Y$2,'PPA 사업(C)'!$Q:$Q,$J10,'PPA 사업(C)'!$C:$C,$L$1),
    SUMIFS('리스사업(D)'!$I:$I,'리스사업(D)'!$G:$G,Y$2,'리스사업(D)'!$Q:$Q,$J10,'리스사업(D)'!$C:$C,$L$1),
    SUMIFS('임대사업(E)'!$I:$I,'임대사업(E)'!$G:$G,Y$2,'임대사업(E)'!$Q:$Q,$J10,'임대사업(E)'!$C:$C,$L$1),
    SUMIFS('환경부사업(F)'!$I:$I,'환경부사업(F)'!$G:$G,Y$2,'환경부사업(F)'!$Q:$Q,$J10,'환경부사업(F)'!$C:$C,$L$1),
    SUMIFS('프로젝트(G)'!$I:$I,'프로젝트(G)'!$G:$G,Y$2,'프로젝트(G)'!$Q:$Q,$J10,'프로젝트(G)'!$C:$C,$L$1),
    SUMIFS('협력사 EPC(H)'!$I:$I,'협력사 EPC(H)'!$G:$G,Y$2,'협력사 EPC(H)'!$Q:$Q,$J10,'협력사 EPC(H)'!$C:$C,$L$1),
    SUMIFS('기타(Z)'!$I:$I,'기타(Z)'!$G:$G,Y$2,'기타(Z)'!$Q:$Q,$J10,'기타(Z)'!$C:$C,$L$1)
  )
)</f>
        <v/>
      </c>
      <c r="Z10" s="367" t="str">
        <f>IF(
  SUM(
    COUNTIFS('발전사업(A)'!$G:$G, Y$2, '발전사업(A)'!$Q:$Q, $J10, '발전사업(A)'!$C:$C, $L$1),
    COUNTIFS('자가소비(B)'!$G:$G, Y$2, '자가소비(B)'!$Q:$Q, $J10, '자가소비(B)'!$C:$C, $L$1),
    COUNTIFS('PPA 사업(C)'!$G:$G, Y$2, 'PPA 사업(C)'!$Q:$Q, $J10, 'PPA 사업(C)'!$C:$C, $L$1),
    COUNTIFS('리스사업(D)'!$G:$G, Y$2, '리스사업(D)'!$Q:$Q, $J10, '리스사업(D)'!$C:$C, $L$1),
    COUNTIFS('임대사업(E)'!$G:$G, Y$2, '임대사업(E)'!$Q:$Q, $J10, '임대사업(E)'!$C:$C, $L$1),
    COUNTIFS('환경부사업(F)'!$G:$G, Y$2, '환경부사업(F)'!$Q:$Q, $J10, '환경부사업(F)'!$C:$C, $L$1),
    COUNTIFS('프로젝트(G)'!$G:$G, Y$2, '프로젝트(G)'!$Q:$Q, $J10, '프로젝트(G)'!$C:$C, $L$1),
    COUNTIFS('협력사 EPC(H)'!$G:$G, Y$2, '협력사 EPC(H)'!$Q:$Q, $J10, '협력사 EPC(H)'!$C:$C, $L$1),
    COUNTIFS('기타(Z)'!$G:$G, Y$2, '기타(Z)'!$Q:$Q, $J10, '기타(Z)'!$C:$C, $L$1)
  ) = 0,
  "",
  COUNTIFS('발전사업(A)'!$G:$G, Y$2, '발전사업(A)'!$Q:$Q, $J10, '발전사업(A)'!$C:$C, $L$1)
  + COUNTIFS('자가소비(B)'!$G:$G, Y$2, '자가소비(B)'!$Q:$Q, $J10, '자가소비(B)'!$C:$C, $L$1)
  + COUNTIFS('PPA 사업(C)'!$G:$G, Y$2, 'PPA 사업(C)'!$Q:$Q, $J10, 'PPA 사업(C)'!$C:$C, $L$1)
  + COUNTIFS('리스사업(D)'!$G:$G, Y$2, '리스사업(D)'!$Q:$Q, $J10, '리스사업(D)'!$C:$C, $L$1)
  + COUNTIFS('임대사업(E)'!$G:$G, Y$2, '임대사업(E)'!$Q:$Q, $J10, '임대사업(E)'!$C:$C, $L$1)
  + COUNTIFS('환경부사업(F)'!$G:$G, Y$2, '환경부사업(F)'!$Q:$Q, $J10, '환경부사업(F)'!$C:$C, $L$1)
  + COUNTIFS('프로젝트(G)'!$G:$G, Y$2, '프로젝트(G)'!$Q:$Q, $J10, '프로젝트(G)'!$C:$C, $L$1)
  + COUNTIFS('협력사 EPC(H)'!$G:$G, Y$2, '협력사 EPC(H)'!$Q:$Q, $J10, '협력사 EPC(H)'!$C:$C, $L$1)
  + COUNTIFS('기타(Z)'!$G:$G, Y$2, '기타(Z)'!$Q:$Q, $J10, '기타(Z)'!$C:$C, $L$1)
)</f>
        <v/>
      </c>
      <c r="AA10" s="366" t="str">
        <f>IF(
  SUM(
    SUMIFS('발전사업(A)'!$I:$I,'발전사업(A)'!$G:$G,AA$2,'발전사업(A)'!$Q:$Q,$J10,'발전사업(A)'!$C:$C,$L$1),
    SUMIFS('자가소비(B)'!$I:$I,'자가소비(B)'!$G:$G,AA$2,'자가소비(B)'!$Q:$Q,$J10,'자가소비(B)'!$C:$C,$L$1),
    SUMIFS('PPA 사업(C)'!$I:$I,'PPA 사업(C)'!$G:$G,AA$2,'PPA 사업(C)'!$Q:$Q,$J10,'PPA 사업(C)'!$C:$C,$L$1),
    SUMIFS('리스사업(D)'!$I:$I,'리스사업(D)'!$G:$G,AA$2,'리스사업(D)'!$Q:$Q,$J10,'리스사업(D)'!$C:$C,$L$1),
    SUMIFS('임대사업(E)'!$I:$I,'임대사업(E)'!$G:$G,AA$2,'임대사업(E)'!$Q:$Q,$J10,'임대사업(E)'!$C:$C,$L$1),
    SUMIFS('환경부사업(F)'!$I:$I,'환경부사업(F)'!$G:$G,AA$2,'환경부사업(F)'!$Q:$Q,$J10,'환경부사업(F)'!$C:$C,$L$1),
    SUMIFS('프로젝트(G)'!$I:$I,'프로젝트(G)'!$G:$G,AA$2,'프로젝트(G)'!$Q:$Q,$J10,'프로젝트(G)'!$C:$C,$L$1),
    SUMIFS('협력사 EPC(H)'!$I:$I,'협력사 EPC(H)'!$G:$G,AA$2,'협력사 EPC(H)'!$Q:$Q,$J10,'협력사 EPC(H)'!$C:$C,$L$1),
    SUMIFS('기타(Z)'!$I:$I,'기타(Z)'!$G:$G,AA$2,'기타(Z)'!$Q:$Q,$J10,'기타(Z)'!$C:$C,$L$1)
  )=0,
  "",
  SUM(
    SUMIFS('발전사업(A)'!$I:$I,'발전사업(A)'!$G:$G,AA$2,'발전사업(A)'!$Q:$Q,$J10,'발전사업(A)'!$C:$C,$L$1),
    SUMIFS('자가소비(B)'!$I:$I,'자가소비(B)'!$G:$G,AA$2,'자가소비(B)'!$Q:$Q,$J10,'자가소비(B)'!$C:$C,$L$1),
    SUMIFS('PPA 사업(C)'!$I:$I,'PPA 사업(C)'!$G:$G,AA$2,'PPA 사업(C)'!$Q:$Q,$J10,'PPA 사업(C)'!$C:$C,$L$1),
    SUMIFS('리스사업(D)'!$I:$I,'리스사업(D)'!$G:$G,AA$2,'리스사업(D)'!$Q:$Q,$J10,'리스사업(D)'!$C:$C,$L$1),
    SUMIFS('임대사업(E)'!$I:$I,'임대사업(E)'!$G:$G,AA$2,'임대사업(E)'!$Q:$Q,$J10,'임대사업(E)'!$C:$C,$L$1),
    SUMIFS('환경부사업(F)'!$I:$I,'환경부사업(F)'!$G:$G,AA$2,'환경부사업(F)'!$Q:$Q,$J10,'환경부사업(F)'!$C:$C,$L$1),
    SUMIFS('프로젝트(G)'!$I:$I,'프로젝트(G)'!$G:$G,AA$2,'프로젝트(G)'!$Q:$Q,$J10,'프로젝트(G)'!$C:$C,$L$1),
    SUMIFS('협력사 EPC(H)'!$I:$I,'협력사 EPC(H)'!$G:$G,AA$2,'협력사 EPC(H)'!$Q:$Q,$J10,'협력사 EPC(H)'!$C:$C,$L$1),
    SUMIFS('기타(Z)'!$I:$I,'기타(Z)'!$G:$G,AA$2,'기타(Z)'!$Q:$Q,$J10,'기타(Z)'!$C:$C,$L$1)
  )
)</f>
        <v/>
      </c>
      <c r="AB10" s="367" t="str">
        <f>IF(
  SUM(
    COUNTIFS('발전사업(A)'!$G:$G, AA$2, '발전사업(A)'!$Q:$Q, $J10, '발전사업(A)'!$C:$C, $L$1),
    COUNTIFS('자가소비(B)'!$G:$G, AA$2, '자가소비(B)'!$Q:$Q, $J10, '자가소비(B)'!$C:$C, $L$1),
    COUNTIFS('PPA 사업(C)'!$G:$G, AA$2, 'PPA 사업(C)'!$Q:$Q, $J10, 'PPA 사업(C)'!$C:$C, $L$1),
    COUNTIFS('리스사업(D)'!$G:$G, AA$2, '리스사업(D)'!$Q:$Q, $J10, '리스사업(D)'!$C:$C, $L$1),
    COUNTIFS('임대사업(E)'!$G:$G, AA$2, '임대사업(E)'!$Q:$Q, $J10, '임대사업(E)'!$C:$C, $L$1),
    COUNTIFS('환경부사업(F)'!$G:$G, AA$2, '환경부사업(F)'!$Q:$Q, $J10, '환경부사업(F)'!$C:$C, $L$1),
    COUNTIFS('프로젝트(G)'!$G:$G, AA$2, '프로젝트(G)'!$Q:$Q, $J10, '프로젝트(G)'!$C:$C, $L$1),
    COUNTIFS('협력사 EPC(H)'!$G:$G, AA$2, '협력사 EPC(H)'!$Q:$Q, $J10, '협력사 EPC(H)'!$C:$C, $L$1),
    COUNTIFS('기타(Z)'!$G:$G, AA$2, '기타(Z)'!$Q:$Q, $J10, '기타(Z)'!$C:$C, $L$1)
  ) = 0,
  "",
  COUNTIFS('발전사업(A)'!$G:$G, AA$2, '발전사업(A)'!$Q:$Q, $J10, '발전사업(A)'!$C:$C, $L$1)
  + COUNTIFS('자가소비(B)'!$G:$G, AA$2, '자가소비(B)'!$Q:$Q, $J10, '자가소비(B)'!$C:$C, $L$1)
  + COUNTIFS('PPA 사업(C)'!$G:$G, AA$2, 'PPA 사업(C)'!$Q:$Q, $J10, 'PPA 사업(C)'!$C:$C, $L$1)
  + COUNTIFS('리스사업(D)'!$G:$G, AA$2, '리스사업(D)'!$Q:$Q, $J10, '리스사업(D)'!$C:$C, $L$1)
  + COUNTIFS('임대사업(E)'!$G:$G, AA$2, '임대사업(E)'!$Q:$Q, $J10, '임대사업(E)'!$C:$C, $L$1)
  + COUNTIFS('환경부사업(F)'!$G:$G, AA$2, '환경부사업(F)'!$Q:$Q, $J10, '환경부사업(F)'!$C:$C, $L$1)
  + COUNTIFS('프로젝트(G)'!$G:$G, AA$2, '프로젝트(G)'!$Q:$Q, $J10, '프로젝트(G)'!$C:$C, $L$1)
  + COUNTIFS('협력사 EPC(H)'!$G:$G, AA$2, '협력사 EPC(H)'!$Q:$Q, $J10, '협력사 EPC(H)'!$C:$C, $L$1)
  + COUNTIFS('기타(Z)'!$G:$G, AA$2, '기타(Z)'!$Q:$Q, $J10, '기타(Z)'!$C:$C, $L$1)
)</f>
        <v/>
      </c>
      <c r="AC10" s="366" t="str">
        <f>IF(
  SUM(
    SUMIFS('발전사업(A)'!$I:$I,'발전사업(A)'!$G:$G,AC$2,'발전사업(A)'!$Q:$Q,$J10,'발전사업(A)'!$C:$C,$L$1),
    SUMIFS('자가소비(B)'!$I:$I,'자가소비(B)'!$G:$G,AC$2,'자가소비(B)'!$Q:$Q,$J10,'자가소비(B)'!$C:$C,$L$1),
    SUMIFS('PPA 사업(C)'!$I:$I,'PPA 사업(C)'!$G:$G,AC$2,'PPA 사업(C)'!$Q:$Q,$J10,'PPA 사업(C)'!$C:$C,$L$1),
    SUMIFS('리스사업(D)'!$I:$I,'리스사업(D)'!$G:$G,AC$2,'리스사업(D)'!$Q:$Q,$J10,'리스사업(D)'!$C:$C,$L$1),
    SUMIFS('임대사업(E)'!$I:$I,'임대사업(E)'!$G:$G,AC$2,'임대사업(E)'!$Q:$Q,$J10,'임대사업(E)'!$C:$C,$L$1),
    SUMIFS('환경부사업(F)'!$I:$I,'환경부사업(F)'!$G:$G,AC$2,'환경부사업(F)'!$Q:$Q,$J10,'환경부사업(F)'!$C:$C,$L$1),
    SUMIFS('프로젝트(G)'!$I:$I,'프로젝트(G)'!$G:$G,AC$2,'프로젝트(G)'!$Q:$Q,$J10,'프로젝트(G)'!$C:$C,$L$1),
    SUMIFS('협력사 EPC(H)'!$I:$I,'협력사 EPC(H)'!$G:$G,AC$2,'협력사 EPC(H)'!$Q:$Q,$J10,'협력사 EPC(H)'!$C:$C,$L$1),
    SUMIFS('기타(Z)'!$I:$I,'기타(Z)'!$G:$G,AC$2,'기타(Z)'!$Q:$Q,$J10,'기타(Z)'!$C:$C,$L$1)
  )=0,
  "",
  SUM(
    SUMIFS('발전사업(A)'!$I:$I,'발전사업(A)'!$G:$G,AC$2,'발전사업(A)'!$Q:$Q,$J10,'발전사업(A)'!$C:$C,$L$1),
    SUMIFS('자가소비(B)'!$I:$I,'자가소비(B)'!$G:$G,AC$2,'자가소비(B)'!$Q:$Q,$J10,'자가소비(B)'!$C:$C,$L$1),
    SUMIFS('PPA 사업(C)'!$I:$I,'PPA 사업(C)'!$G:$G,AC$2,'PPA 사업(C)'!$Q:$Q,$J10,'PPA 사업(C)'!$C:$C,$L$1),
    SUMIFS('리스사업(D)'!$I:$I,'리스사업(D)'!$G:$G,AC$2,'리스사업(D)'!$Q:$Q,$J10,'리스사업(D)'!$C:$C,$L$1),
    SUMIFS('임대사업(E)'!$I:$I,'임대사업(E)'!$G:$G,AC$2,'임대사업(E)'!$Q:$Q,$J10,'임대사업(E)'!$C:$C,$L$1),
    SUMIFS('환경부사업(F)'!$I:$I,'환경부사업(F)'!$G:$G,AC$2,'환경부사업(F)'!$Q:$Q,$J10,'환경부사업(F)'!$C:$C,$L$1),
    SUMIFS('프로젝트(G)'!$I:$I,'프로젝트(G)'!$G:$G,AC$2,'프로젝트(G)'!$Q:$Q,$J10,'프로젝트(G)'!$C:$C,$L$1),
    SUMIFS('협력사 EPC(H)'!$I:$I,'협력사 EPC(H)'!$G:$G,AC$2,'협력사 EPC(H)'!$Q:$Q,$J10,'협력사 EPC(H)'!$C:$C,$L$1),
    SUMIFS('기타(Z)'!$I:$I,'기타(Z)'!$G:$G,AC$2,'기타(Z)'!$Q:$Q,$J10,'기타(Z)'!$C:$C,$L$1)
  )
)</f>
        <v/>
      </c>
      <c r="AD10" s="367" t="str">
        <f>IF(
  SUM(
    COUNTIFS('발전사업(A)'!$G:$G, AC$2, '발전사업(A)'!$Q:$Q, $J10, '발전사업(A)'!$C:$C, $L$1),
    COUNTIFS('자가소비(B)'!$G:$G, AC$2, '자가소비(B)'!$Q:$Q, $J10, '자가소비(B)'!$C:$C, $L$1),
    COUNTIFS('PPA 사업(C)'!$G:$G, AC$2, 'PPA 사업(C)'!$Q:$Q, $J10, 'PPA 사업(C)'!$C:$C, $L$1),
    COUNTIFS('리스사업(D)'!$G:$G, AC$2, '리스사업(D)'!$Q:$Q, $J10, '리스사업(D)'!$C:$C, $L$1),
    COUNTIFS('임대사업(E)'!$G:$G, AC$2, '임대사업(E)'!$Q:$Q, $J10, '임대사업(E)'!$C:$C, $L$1),
    COUNTIFS('환경부사업(F)'!$G:$G, AC$2, '환경부사업(F)'!$Q:$Q, $J10, '환경부사업(F)'!$C:$C, $L$1),
    COUNTIFS('프로젝트(G)'!$G:$G, AC$2, '프로젝트(G)'!$Q:$Q, $J10, '프로젝트(G)'!$C:$C, $L$1),
    COUNTIFS('협력사 EPC(H)'!$G:$G, AC$2, '협력사 EPC(H)'!$Q:$Q, $J10, '협력사 EPC(H)'!$C:$C, $L$1),
    COUNTIFS('기타(Z)'!$G:$G, AC$2, '기타(Z)'!$Q:$Q, $J10, '기타(Z)'!$C:$C, $L$1)
  ) = 0,
  "",
  COUNTIFS('발전사업(A)'!$G:$G, AC$2, '발전사업(A)'!$Q:$Q, $J10, '발전사업(A)'!$C:$C, $L$1)
  + COUNTIFS('자가소비(B)'!$G:$G, AC$2, '자가소비(B)'!$Q:$Q, $J10, '자가소비(B)'!$C:$C, $L$1)
  + COUNTIFS('PPA 사업(C)'!$G:$G, AC$2, 'PPA 사업(C)'!$Q:$Q, $J10, 'PPA 사업(C)'!$C:$C, $L$1)
  + COUNTIFS('리스사업(D)'!$G:$G, AC$2, '리스사업(D)'!$Q:$Q, $J10, '리스사업(D)'!$C:$C, $L$1)
  + COUNTIFS('임대사업(E)'!$G:$G, AC$2, '임대사업(E)'!$Q:$Q, $J10, '임대사업(E)'!$C:$C, $L$1)
  + COUNTIFS('환경부사업(F)'!$G:$G, AC$2, '환경부사업(F)'!$Q:$Q, $J10, '환경부사업(F)'!$C:$C, $L$1)
  + COUNTIFS('프로젝트(G)'!$G:$G, AC$2, '프로젝트(G)'!$Q:$Q, $J10, '프로젝트(G)'!$C:$C, $L$1)
  + COUNTIFS('협력사 EPC(H)'!$G:$G, AC$2, '협력사 EPC(H)'!$Q:$Q, $J10, '협력사 EPC(H)'!$C:$C, $L$1)
  + COUNTIFS('기타(Z)'!$G:$G, AC$2, '기타(Z)'!$Q:$Q, $J10, '기타(Z)'!$C:$C, $L$1)
)</f>
        <v/>
      </c>
      <c r="AE10" s="366" t="str">
        <f>IF(
  SUM(
    SUMIFS('발전사업(A)'!$I:$I,'발전사업(A)'!$G:$G,AE$2,'발전사업(A)'!$Q:$Q,$J10,'발전사업(A)'!$C:$C,$L$1),
    SUMIFS('자가소비(B)'!$I:$I,'자가소비(B)'!$G:$G,AE$2,'자가소비(B)'!$Q:$Q,$J10,'자가소비(B)'!$C:$C,$L$1),
    SUMIFS('PPA 사업(C)'!$I:$I,'PPA 사업(C)'!$G:$G,AE$2,'PPA 사업(C)'!$Q:$Q,$J10,'PPA 사업(C)'!$C:$C,$L$1),
    SUMIFS('리스사업(D)'!$I:$I,'리스사업(D)'!$G:$G,AE$2,'리스사업(D)'!$Q:$Q,$J10,'리스사업(D)'!$C:$C,$L$1),
    SUMIFS('임대사업(E)'!$I:$I,'임대사업(E)'!$G:$G,AE$2,'임대사업(E)'!$Q:$Q,$J10,'임대사업(E)'!$C:$C,$L$1),
    SUMIFS('환경부사업(F)'!$I:$I,'환경부사업(F)'!$G:$G,AE$2,'환경부사업(F)'!$Q:$Q,$J10,'환경부사업(F)'!$C:$C,$L$1),
    SUMIFS('프로젝트(G)'!$I:$I,'프로젝트(G)'!$G:$G,AE$2,'프로젝트(G)'!$Q:$Q,$J10,'프로젝트(G)'!$C:$C,$L$1),
    SUMIFS('협력사 EPC(H)'!$I:$I,'협력사 EPC(H)'!$G:$G,AE$2,'협력사 EPC(H)'!$Q:$Q,$J10,'협력사 EPC(H)'!$C:$C,$L$1),
    SUMIFS('기타(Z)'!$I:$I,'기타(Z)'!$G:$G,AE$2,'기타(Z)'!$Q:$Q,$J10,'기타(Z)'!$C:$C,$L$1)
  )=0,
  "",
  SUM(
    SUMIFS('발전사업(A)'!$I:$I,'발전사업(A)'!$G:$G,AE$2,'발전사업(A)'!$Q:$Q,$J10,'발전사업(A)'!$C:$C,$L$1),
    SUMIFS('자가소비(B)'!$I:$I,'자가소비(B)'!$G:$G,AE$2,'자가소비(B)'!$Q:$Q,$J10,'자가소비(B)'!$C:$C,$L$1),
    SUMIFS('PPA 사업(C)'!$I:$I,'PPA 사업(C)'!$G:$G,AE$2,'PPA 사업(C)'!$Q:$Q,$J10,'PPA 사업(C)'!$C:$C,$L$1),
    SUMIFS('리스사업(D)'!$I:$I,'리스사업(D)'!$G:$G,AE$2,'리스사업(D)'!$Q:$Q,$J10,'리스사업(D)'!$C:$C,$L$1),
    SUMIFS('임대사업(E)'!$I:$I,'임대사업(E)'!$G:$G,AE$2,'임대사업(E)'!$Q:$Q,$J10,'임대사업(E)'!$C:$C,$L$1),
    SUMIFS('환경부사업(F)'!$I:$I,'환경부사업(F)'!$G:$G,AE$2,'환경부사업(F)'!$Q:$Q,$J10,'환경부사업(F)'!$C:$C,$L$1),
    SUMIFS('프로젝트(G)'!$I:$I,'프로젝트(G)'!$G:$G,AE$2,'프로젝트(G)'!$Q:$Q,$J10,'프로젝트(G)'!$C:$C,$L$1),
    SUMIFS('협력사 EPC(H)'!$I:$I,'협력사 EPC(H)'!$G:$G,AE$2,'협력사 EPC(H)'!$Q:$Q,$J10,'협력사 EPC(H)'!$C:$C,$L$1),
    SUMIFS('기타(Z)'!$I:$I,'기타(Z)'!$G:$G,AE$2,'기타(Z)'!$Q:$Q,$J10,'기타(Z)'!$C:$C,$L$1)
  )
)</f>
        <v/>
      </c>
      <c r="AF10" s="367" t="str">
        <f>IF(
  SUM(
    COUNTIFS('발전사업(A)'!$G:$G, AE$2, '발전사업(A)'!$Q:$Q, $J10, '발전사업(A)'!$C:$C, $L$1),
    COUNTIFS('자가소비(B)'!$G:$G, AE$2, '자가소비(B)'!$Q:$Q, $J10, '자가소비(B)'!$C:$C, $L$1),
    COUNTIFS('PPA 사업(C)'!$G:$G, AE$2, 'PPA 사업(C)'!$Q:$Q, $J10, 'PPA 사업(C)'!$C:$C, $L$1),
    COUNTIFS('리스사업(D)'!$G:$G, AE$2, '리스사업(D)'!$Q:$Q, $J10, '리스사업(D)'!$C:$C, $L$1),
    COUNTIFS('임대사업(E)'!$G:$G, AE$2, '임대사업(E)'!$Q:$Q, $J10, '임대사업(E)'!$C:$C, $L$1),
    COUNTIFS('환경부사업(F)'!$G:$G, AE$2, '환경부사업(F)'!$Q:$Q, $J10, '환경부사업(F)'!$C:$C, $L$1),
    COUNTIFS('프로젝트(G)'!$G:$G, AE$2, '프로젝트(G)'!$Q:$Q, $J10, '프로젝트(G)'!$C:$C, $L$1),
    COUNTIFS('협력사 EPC(H)'!$G:$G, AE$2, '협력사 EPC(H)'!$Q:$Q, $J10, '협력사 EPC(H)'!$C:$C, $L$1),
    COUNTIFS('기타(Z)'!$G:$G, AE$2, '기타(Z)'!$Q:$Q, $J10, '기타(Z)'!$C:$C, $L$1)
  ) = 0,
  "",
  COUNTIFS('발전사업(A)'!$G:$G, AE$2, '발전사업(A)'!$Q:$Q, $J10, '발전사업(A)'!$C:$C, $L$1)
  + COUNTIFS('자가소비(B)'!$G:$G, AE$2, '자가소비(B)'!$Q:$Q, $J10, '자가소비(B)'!$C:$C, $L$1)
  + COUNTIFS('PPA 사업(C)'!$G:$G, AE$2, 'PPA 사업(C)'!$Q:$Q, $J10, 'PPA 사업(C)'!$C:$C, $L$1)
  + COUNTIFS('리스사업(D)'!$G:$G, AE$2, '리스사업(D)'!$Q:$Q, $J10, '리스사업(D)'!$C:$C, $L$1)
  + COUNTIFS('임대사업(E)'!$G:$G, AE$2, '임대사업(E)'!$Q:$Q, $J10, '임대사업(E)'!$C:$C, $L$1)
  + COUNTIFS('환경부사업(F)'!$G:$G, AE$2, '환경부사업(F)'!$Q:$Q, $J10, '환경부사업(F)'!$C:$C, $L$1)
  + COUNTIFS('프로젝트(G)'!$G:$G, AE$2, '프로젝트(G)'!$Q:$Q, $J10, '프로젝트(G)'!$C:$C, $L$1)
  + COUNTIFS('협력사 EPC(H)'!$G:$G, AE$2, '협력사 EPC(H)'!$Q:$Q, $J10, '협력사 EPC(H)'!$C:$C, $L$1)
  + COUNTIFS('기타(Z)'!$G:$G, AE$2, '기타(Z)'!$Q:$Q, $J10, '기타(Z)'!$C:$C, $L$1)
)</f>
        <v/>
      </c>
      <c r="AG10" s="366" t="str">
        <f>IF(
  SUM(
    SUMIFS('발전사업(A)'!$I:$I,'발전사업(A)'!$G:$G,AG$2,'발전사업(A)'!$Q:$Q,$J10,'발전사업(A)'!$C:$C,$L$1),
    SUMIFS('자가소비(B)'!$I:$I,'자가소비(B)'!$G:$G,AG$2,'자가소비(B)'!$Q:$Q,$J10,'자가소비(B)'!$C:$C,$L$1),
    SUMIFS('PPA 사업(C)'!$I:$I,'PPA 사업(C)'!$G:$G,AG$2,'PPA 사업(C)'!$Q:$Q,$J10,'PPA 사업(C)'!$C:$C,$L$1),
    SUMIFS('리스사업(D)'!$I:$I,'리스사업(D)'!$G:$G,AG$2,'리스사업(D)'!$Q:$Q,$J10,'리스사업(D)'!$C:$C,$L$1),
    SUMIFS('임대사업(E)'!$I:$I,'임대사업(E)'!$G:$G,AG$2,'임대사업(E)'!$Q:$Q,$J10,'임대사업(E)'!$C:$C,$L$1),
    SUMIFS('환경부사업(F)'!$I:$I,'환경부사업(F)'!$G:$G,AG$2,'환경부사업(F)'!$Q:$Q,$J10,'환경부사업(F)'!$C:$C,$L$1),
    SUMIFS('프로젝트(G)'!$I:$I,'프로젝트(G)'!$G:$G,AG$2,'프로젝트(G)'!$Q:$Q,$J10,'프로젝트(G)'!$C:$C,$L$1),
    SUMIFS('협력사 EPC(H)'!$I:$I,'협력사 EPC(H)'!$G:$G,AG$2,'협력사 EPC(H)'!$Q:$Q,$J10,'협력사 EPC(H)'!$C:$C,$L$1),
    SUMIFS('기타(Z)'!$I:$I,'기타(Z)'!$G:$G,AG$2,'기타(Z)'!$Q:$Q,$J10,'기타(Z)'!$C:$C,$L$1)
  )=0,
  "",
  SUM(
    SUMIFS('발전사업(A)'!$I:$I,'발전사업(A)'!$G:$G,AG$2,'발전사업(A)'!$Q:$Q,$J10,'발전사업(A)'!$C:$C,$L$1),
    SUMIFS('자가소비(B)'!$I:$I,'자가소비(B)'!$G:$G,AG$2,'자가소비(B)'!$Q:$Q,$J10,'자가소비(B)'!$C:$C,$L$1),
    SUMIFS('PPA 사업(C)'!$I:$I,'PPA 사업(C)'!$G:$G,AG$2,'PPA 사업(C)'!$Q:$Q,$J10,'PPA 사업(C)'!$C:$C,$L$1),
    SUMIFS('리스사업(D)'!$I:$I,'리스사업(D)'!$G:$G,AG$2,'리스사업(D)'!$Q:$Q,$J10,'리스사업(D)'!$C:$C,$L$1),
    SUMIFS('임대사업(E)'!$I:$I,'임대사업(E)'!$G:$G,AG$2,'임대사업(E)'!$Q:$Q,$J10,'임대사업(E)'!$C:$C,$L$1),
    SUMIFS('환경부사업(F)'!$I:$I,'환경부사업(F)'!$G:$G,AG$2,'환경부사업(F)'!$Q:$Q,$J10,'환경부사업(F)'!$C:$C,$L$1),
    SUMIFS('프로젝트(G)'!$I:$I,'프로젝트(G)'!$G:$G,AG$2,'프로젝트(G)'!$Q:$Q,$J10,'프로젝트(G)'!$C:$C,$L$1),
    SUMIFS('협력사 EPC(H)'!$I:$I,'협력사 EPC(H)'!$G:$G,AG$2,'협력사 EPC(H)'!$Q:$Q,$J10,'협력사 EPC(H)'!$C:$C,$L$1),
    SUMIFS('기타(Z)'!$I:$I,'기타(Z)'!$G:$G,AG$2,'기타(Z)'!$Q:$Q,$J10,'기타(Z)'!$C:$C,$L$1)
  )
)</f>
        <v/>
      </c>
      <c r="AH10" s="367" t="str">
        <f>IF(
  SUM(
    COUNTIFS('발전사업(A)'!$G:$G, AG$2, '발전사업(A)'!$Q:$Q, $J10, '발전사업(A)'!$C:$C, $L$1),
    COUNTIFS('자가소비(B)'!$G:$G, AG$2, '자가소비(B)'!$Q:$Q, $J10, '자가소비(B)'!$C:$C, $L$1),
    COUNTIFS('PPA 사업(C)'!$G:$G, AG$2, 'PPA 사업(C)'!$Q:$Q, $J10, 'PPA 사업(C)'!$C:$C, $L$1),
    COUNTIFS('리스사업(D)'!$G:$G, AG$2, '리스사업(D)'!$Q:$Q, $J10, '리스사업(D)'!$C:$C, $L$1),
    COUNTIFS('임대사업(E)'!$G:$G, AG$2, '임대사업(E)'!$Q:$Q, $J10, '임대사업(E)'!$C:$C, $L$1),
    COUNTIFS('환경부사업(F)'!$G:$G, AG$2, '환경부사업(F)'!$Q:$Q, $J10, '환경부사업(F)'!$C:$C, $L$1),
    COUNTIFS('프로젝트(G)'!$G:$G, AG$2, '프로젝트(G)'!$Q:$Q, $J10, '프로젝트(G)'!$C:$C, $L$1),
    COUNTIFS('협력사 EPC(H)'!$G:$G, AG$2, '협력사 EPC(H)'!$Q:$Q, $J10, '협력사 EPC(H)'!$C:$C, $L$1),
    COUNTIFS('기타(Z)'!$G:$G, AG$2, '기타(Z)'!$Q:$Q, $J10, '기타(Z)'!$C:$C, $L$1)
  ) = 0,
  "",
  COUNTIFS('발전사업(A)'!$G:$G, AG$2, '발전사업(A)'!$Q:$Q, $J10, '발전사업(A)'!$C:$C, $L$1)
  + COUNTIFS('자가소비(B)'!$G:$G, AG$2, '자가소비(B)'!$Q:$Q, $J10, '자가소비(B)'!$C:$C, $L$1)
  + COUNTIFS('PPA 사업(C)'!$G:$G, AG$2, 'PPA 사업(C)'!$Q:$Q, $J10, 'PPA 사업(C)'!$C:$C, $L$1)
  + COUNTIFS('리스사업(D)'!$G:$G, AG$2, '리스사업(D)'!$Q:$Q, $J10, '리스사업(D)'!$C:$C, $L$1)
  + COUNTIFS('임대사업(E)'!$G:$G, AG$2, '임대사업(E)'!$Q:$Q, $J10, '임대사업(E)'!$C:$C, $L$1)
  + COUNTIFS('환경부사업(F)'!$G:$G, AG$2, '환경부사업(F)'!$Q:$Q, $J10, '환경부사업(F)'!$C:$C, $L$1)
  + COUNTIFS('프로젝트(G)'!$G:$G, AG$2, '프로젝트(G)'!$Q:$Q, $J10, '프로젝트(G)'!$C:$C, $L$1)
  + COUNTIFS('협력사 EPC(H)'!$G:$G, AG$2, '협력사 EPC(H)'!$Q:$Q, $J10, '협력사 EPC(H)'!$C:$C, $L$1)
  + COUNTIFS('기타(Z)'!$G:$G, AG$2, '기타(Z)'!$Q:$Q, $J10, '기타(Z)'!$C:$C, $L$1)
)</f>
        <v/>
      </c>
      <c r="AI10" s="366" t="str">
        <f>IF(
  SUM(
    SUMIFS('발전사업(A)'!$I:$I,'발전사업(A)'!$G:$G,AI$2,'발전사업(A)'!$Q:$Q,$J10,'발전사업(A)'!$C:$C,$L$1),
    SUMIFS('자가소비(B)'!$I:$I,'자가소비(B)'!$G:$G,AI$2,'자가소비(B)'!$Q:$Q,$J10,'자가소비(B)'!$C:$C,$L$1),
    SUMIFS('PPA 사업(C)'!$I:$I,'PPA 사업(C)'!$G:$G,AI$2,'PPA 사업(C)'!$Q:$Q,$J10,'PPA 사업(C)'!$C:$C,$L$1),
    SUMIFS('리스사업(D)'!$I:$I,'리스사업(D)'!$G:$G,AI$2,'리스사업(D)'!$Q:$Q,$J10,'리스사업(D)'!$C:$C,$L$1),
    SUMIFS('임대사업(E)'!$I:$I,'임대사업(E)'!$G:$G,AI$2,'임대사업(E)'!$Q:$Q,$J10,'임대사업(E)'!$C:$C,$L$1),
    SUMIFS('환경부사업(F)'!$I:$I,'환경부사업(F)'!$G:$G,AI$2,'환경부사업(F)'!$Q:$Q,$J10,'환경부사업(F)'!$C:$C,$L$1),
    SUMIFS('프로젝트(G)'!$I:$I,'프로젝트(G)'!$G:$G,AI$2,'프로젝트(G)'!$Q:$Q,$J10,'프로젝트(G)'!$C:$C,$L$1),
    SUMIFS('협력사 EPC(H)'!$I:$I,'협력사 EPC(H)'!$G:$G,AI$2,'협력사 EPC(H)'!$Q:$Q,$J10,'협력사 EPC(H)'!$C:$C,$L$1),
    SUMIFS('기타(Z)'!$I:$I,'기타(Z)'!$G:$G,AI$2,'기타(Z)'!$Q:$Q,$J10,'기타(Z)'!$C:$C,$L$1)
  )=0,
  "",
  SUM(
    SUMIFS('발전사업(A)'!$I:$I,'발전사업(A)'!$G:$G,AI$2,'발전사업(A)'!$Q:$Q,$J10,'발전사업(A)'!$C:$C,$L$1),
    SUMIFS('자가소비(B)'!$I:$I,'자가소비(B)'!$G:$G,AI$2,'자가소비(B)'!$Q:$Q,$J10,'자가소비(B)'!$C:$C,$L$1),
    SUMIFS('PPA 사업(C)'!$I:$I,'PPA 사업(C)'!$G:$G,AI$2,'PPA 사업(C)'!$Q:$Q,$J10,'PPA 사업(C)'!$C:$C,$L$1),
    SUMIFS('리스사업(D)'!$I:$I,'리스사업(D)'!$G:$G,AI$2,'리스사업(D)'!$Q:$Q,$J10,'리스사업(D)'!$C:$C,$L$1),
    SUMIFS('임대사업(E)'!$I:$I,'임대사업(E)'!$G:$G,AI$2,'임대사업(E)'!$Q:$Q,$J10,'임대사업(E)'!$C:$C,$L$1),
    SUMIFS('환경부사업(F)'!$I:$I,'환경부사업(F)'!$G:$G,AI$2,'환경부사업(F)'!$Q:$Q,$J10,'환경부사업(F)'!$C:$C,$L$1),
    SUMIFS('프로젝트(G)'!$I:$I,'프로젝트(G)'!$G:$G,AI$2,'프로젝트(G)'!$Q:$Q,$J10,'프로젝트(G)'!$C:$C,$L$1),
    SUMIFS('협력사 EPC(H)'!$I:$I,'협력사 EPC(H)'!$G:$G,AI$2,'협력사 EPC(H)'!$Q:$Q,$J10,'협력사 EPC(H)'!$C:$C,$L$1),
    SUMIFS('기타(Z)'!$I:$I,'기타(Z)'!$G:$G,AI$2,'기타(Z)'!$Q:$Q,$J10,'기타(Z)'!$C:$C,$L$1)
  )
)</f>
        <v/>
      </c>
      <c r="AJ10" s="365" t="str">
        <f>IF(
  SUM(
    COUNTIFS('발전사업(A)'!$G:$G, AI$2, '발전사업(A)'!$Q:$Q, $J10, '발전사업(A)'!$C:$C, $L$1),
    COUNTIFS('자가소비(B)'!$G:$G, AI$2, '자가소비(B)'!$Q:$Q, $J10, '자가소비(B)'!$C:$C, $L$1),
    COUNTIFS('PPA 사업(C)'!$G:$G, AI$2, 'PPA 사업(C)'!$Q:$Q, $J10, 'PPA 사업(C)'!$C:$C, $L$1),
    COUNTIFS('리스사업(D)'!$G:$G, AI$2, '리스사업(D)'!$Q:$Q, $J10, '리스사업(D)'!$C:$C, $L$1),
    COUNTIFS('임대사업(E)'!$G:$G, AI$2, '임대사업(E)'!$Q:$Q, $J10, '임대사업(E)'!$C:$C, $L$1),
    COUNTIFS('환경부사업(F)'!$G:$G, AI$2, '환경부사업(F)'!$Q:$Q, $J10, '환경부사업(F)'!$C:$C, $L$1),
    COUNTIFS('프로젝트(G)'!$G:$G, AI$2, '프로젝트(G)'!$Q:$Q, $J10, '프로젝트(G)'!$C:$C, $L$1),
    COUNTIFS('협력사 EPC(H)'!$G:$G, AI$2, '협력사 EPC(H)'!$Q:$Q, $J10, '협력사 EPC(H)'!$C:$C, $L$1),
    COUNTIFS('기타(Z)'!$G:$G, AI$2, '기타(Z)'!$Q:$Q, $J10, '기타(Z)'!$C:$C, $L$1)
  ) = 0,
  "",
  COUNTIFS('발전사업(A)'!$G:$G, AI$2, '발전사업(A)'!$Q:$Q, $J10, '발전사업(A)'!$C:$C, $L$1)
  + COUNTIFS('자가소비(B)'!$G:$G, AI$2, '자가소비(B)'!$Q:$Q, $J10, '자가소비(B)'!$C:$C, $L$1)
  + COUNTIFS('PPA 사업(C)'!$G:$G, AI$2, 'PPA 사업(C)'!$Q:$Q, $J10, 'PPA 사업(C)'!$C:$C, $L$1)
  + COUNTIFS('리스사업(D)'!$G:$G, AI$2, '리스사업(D)'!$Q:$Q, $J10, '리스사업(D)'!$C:$C, $L$1)
  + COUNTIFS('임대사업(E)'!$G:$G, AI$2, '임대사업(E)'!$Q:$Q, $J10, '임대사업(E)'!$C:$C, $L$1)
  + COUNTIFS('환경부사업(F)'!$G:$G, AI$2, '환경부사업(F)'!$Q:$Q, $J10, '환경부사업(F)'!$C:$C, $L$1)
  + COUNTIFS('프로젝트(G)'!$G:$G, AI$2, '프로젝트(G)'!$Q:$Q, $J10, '프로젝트(G)'!$C:$C, $L$1)
  + COUNTIFS('협력사 EPC(H)'!$G:$G, AI$2, '협력사 EPC(H)'!$Q:$Q, $J10, '협력사 EPC(H)'!$C:$C, $L$1)
  + COUNTIFS('기타(Z)'!$G:$G, AI$2, '기타(Z)'!$Q:$Q, $J10, '기타(Z)'!$C:$C, $L$1)
)</f>
        <v/>
      </c>
    </row>
    <row r="11" spans="2:36" ht="15.75" thickBot="1" x14ac:dyDescent="0.3">
      <c r="B11" s="195" t="s">
        <v>158</v>
      </c>
      <c r="C11" s="262">
        <f t="shared" si="0"/>
        <v>47.73</v>
      </c>
      <c r="D11" s="263">
        <f t="shared" si="0"/>
        <v>1</v>
      </c>
      <c r="E11" s="262" t="str">
        <f t="shared" si="0"/>
        <v/>
      </c>
      <c r="F11" s="263" t="str">
        <f t="shared" si="0"/>
        <v/>
      </c>
      <c r="G11" s="262">
        <f t="shared" si="0"/>
        <v>47.73</v>
      </c>
      <c r="H11" s="263">
        <f t="shared" si="0"/>
        <v>1</v>
      </c>
      <c r="J11" s="352" t="s">
        <v>189</v>
      </c>
      <c r="K11" s="355">
        <f t="shared" ref="K11:AJ11" si="3">IF(SUM(K3:K10)=0, "", SUM(K3:K10))</f>
        <v>23982.115000000002</v>
      </c>
      <c r="L11" s="351">
        <f t="shared" si="3"/>
        <v>87</v>
      </c>
      <c r="M11" s="353">
        <f t="shared" si="3"/>
        <v>2110.1549999999997</v>
      </c>
      <c r="N11" s="350">
        <f t="shared" si="3"/>
        <v>10</v>
      </c>
      <c r="O11" s="349">
        <f t="shared" si="3"/>
        <v>3872.07</v>
      </c>
      <c r="P11" s="350">
        <f t="shared" si="3"/>
        <v>14</v>
      </c>
      <c r="Q11" s="349">
        <f t="shared" si="3"/>
        <v>2404.9349999999999</v>
      </c>
      <c r="R11" s="350">
        <f t="shared" si="3"/>
        <v>13</v>
      </c>
      <c r="S11" s="349">
        <f t="shared" si="3"/>
        <v>3304.335</v>
      </c>
      <c r="T11" s="350">
        <f t="shared" si="3"/>
        <v>14</v>
      </c>
      <c r="U11" s="349">
        <f t="shared" si="3"/>
        <v>1180.9949999999999</v>
      </c>
      <c r="V11" s="350">
        <f t="shared" si="3"/>
        <v>3</v>
      </c>
      <c r="W11" s="349">
        <f t="shared" si="3"/>
        <v>2472.9299999999998</v>
      </c>
      <c r="X11" s="350">
        <f t="shared" si="3"/>
        <v>12</v>
      </c>
      <c r="Y11" s="349">
        <f t="shared" si="3"/>
        <v>3535.2599999999998</v>
      </c>
      <c r="Z11" s="350">
        <f t="shared" si="3"/>
        <v>11</v>
      </c>
      <c r="AA11" s="349">
        <f t="shared" si="3"/>
        <v>745.62000000000012</v>
      </c>
      <c r="AB11" s="350">
        <f t="shared" si="3"/>
        <v>5</v>
      </c>
      <c r="AC11" s="349">
        <f t="shared" si="3"/>
        <v>4355.8149999999996</v>
      </c>
      <c r="AD11" s="350">
        <f t="shared" si="3"/>
        <v>5</v>
      </c>
      <c r="AE11" s="349" t="str">
        <f t="shared" si="3"/>
        <v/>
      </c>
      <c r="AF11" s="350" t="str">
        <f t="shared" si="3"/>
        <v/>
      </c>
      <c r="AG11" s="349" t="str">
        <f t="shared" si="3"/>
        <v/>
      </c>
      <c r="AH11" s="350" t="str">
        <f t="shared" si="3"/>
        <v/>
      </c>
      <c r="AI11" s="349" t="str">
        <f t="shared" si="3"/>
        <v/>
      </c>
      <c r="AJ11" s="351" t="str">
        <f t="shared" si="3"/>
        <v/>
      </c>
    </row>
    <row r="12" spans="2:36" ht="17.25" thickBot="1" x14ac:dyDescent="0.3">
      <c r="B12" s="274" t="s">
        <v>174</v>
      </c>
      <c r="C12" s="268">
        <f t="shared" ref="C12:H12" si="4">SUM(C4:C11)</f>
        <v>44792.345000000008</v>
      </c>
      <c r="D12" s="269">
        <f t="shared" si="4"/>
        <v>147</v>
      </c>
      <c r="E12" s="270">
        <f t="shared" si="4"/>
        <v>27109.4</v>
      </c>
      <c r="F12" s="271">
        <f t="shared" si="4"/>
        <v>90</v>
      </c>
      <c r="G12" s="272">
        <f t="shared" si="4"/>
        <v>17682.945</v>
      </c>
      <c r="H12" s="273">
        <f t="shared" si="4"/>
        <v>57</v>
      </c>
    </row>
    <row r="13" spans="2:36" ht="16.5" x14ac:dyDescent="0.25">
      <c r="J13" s="372" t="s">
        <v>200</v>
      </c>
      <c r="K13" s="360">
        <f t="shared" ref="K13:K21" si="5">IF(
  SUM(
    IFERROR(VALUE(SUBSTITUTE(M13,"kW","")),0),
    IFERROR(VALUE(SUBSTITUTE(O13,"kW","")),0),
    IFERROR(VALUE(SUBSTITUTE(Q13,"kW","")),0),
    IFERROR(VALUE(SUBSTITUTE(S13,"kW","")),0),
    IFERROR(VALUE(SUBSTITUTE(U13,"kW","")),0),
    IFERROR(VALUE(SUBSTITUTE(W13,"kW","")),0),
    IFERROR(VALUE(SUBSTITUTE(Y13,"kW","")),0),
    IFERROR(VALUE(SUBSTITUTE(AA13,"kW","")),0),
    IFERROR(VALUE(SUBSTITUTE(AC13,"kW","")),0),
    IFERROR(VALUE(SUBSTITUTE(AE13,"kW","")),0),
    IFERROR(VALUE(SUBSTITUTE(AG13,"kW","")),0),
    IFERROR(VALUE(SUBSTITUTE(AI13,"kW","")),0)
  )=0,
  "",
  SUM(
    IFERROR(VALUE(SUBSTITUTE(M13,"kW","")),0),
    IFERROR(VALUE(SUBSTITUTE(O13,"kW","")),0),
    IFERROR(VALUE(SUBSTITUTE(Q13,"kW","")),0),
    IFERROR(VALUE(SUBSTITUTE(S13,"kW","")),0),
    IFERROR(VALUE(SUBSTITUTE(U13,"kW","")),0),
    IFERROR(VALUE(SUBSTITUTE(W13,"kW","")),0),
    IFERROR(VALUE(SUBSTITUTE(Y13,"kW","")),0),
    IFERROR(VALUE(SUBSTITUTE(AA13,"kW","")),0),
    IFERROR(VALUE(SUBSTITUTE(AC13,"kW","")),0),
    IFERROR(VALUE(SUBSTITUTE(AE13,"kW","")),0),
    IFERROR(VALUE(SUBSTITUTE(AG13,"kW","")),0),
    IFERROR(VALUE(SUBSTITUTE(AI13,"kW","")),0)
  )
)</f>
        <v>16294.494999999999</v>
      </c>
      <c r="L13" s="357">
        <f>IF(
  SUM(
    IFERROR(VALUE(SUBSTITUTE(N13,"건","")),0),
    IFERROR(VALUE(SUBSTITUTE(P13,"건","")),0),
    IFERROR(VALUE(SUBSTITUTE(R13,"건","")),0),
    IFERROR(VALUE(SUBSTITUTE(T13,"건","")),0),
    IFERROR(VALUE(SUBSTITUTE(V13,"건","")),0),
    IFERROR(VALUE(SUBSTITUTE(X13,"건","")),0),
    IFERROR(VALUE(SUBSTITUTE(Z13,"건","")),0),
    IFERROR(VALUE(SUBSTITUTE(AB13,"건","")),0),
    IFERROR(VALUE(SUBSTITUTE(AD13,"건","")),0),
    IFERROR(VALUE(SUBSTITUTE(AF13,"건","")),0),
    IFERROR(VALUE(SUBSTITUTE(AH13,"건","")),0),
    IFERROR(VALUE(SUBSTITUTE(AJ13,"건","")),0)
  )=0,
  "",
  SUM(
    IFERROR(VALUE(SUBSTITUTE(N13,"건","")),0),
    IFERROR(VALUE(SUBSTITUTE(P13,"건","")),0),
    IFERROR(VALUE(SUBSTITUTE(R13,"건","")),0),
    IFERROR(VALUE(SUBSTITUTE(T13,"건","")),0),
    IFERROR(VALUE(SUBSTITUTE(V13,"건","")),0),
    IFERROR(VALUE(SUBSTITUTE(X13,"건","")),0),
    IFERROR(VALUE(SUBSTITUTE(Z13,"건","")),0),
    IFERROR(VALUE(SUBSTITUTE(AB13,"건","")),0),
    IFERROR(VALUE(SUBSTITUTE(AD13,"건","")),0),
    IFERROR(VALUE(SUBSTITUTE(AF13,"건","")),0),
    IFERROR(VALUE(SUBSTITUTE(AH13,"건","")),0),
    IFERROR(VALUE(SUBSTITUTE(AJ13,"건","")),0)
  )
)</f>
        <v>48</v>
      </c>
      <c r="M13" s="359">
        <f>IF(
  SUM(
    SUMIFS('발전사업(A)'!$I:$I,'발전사업(A)'!$G:$G,M$2,'발전사업(A)'!$Q:$Q,$J13,'발전사업(A)'!$C:$C,$L$1),
    SUMIFS('자가소비(B)'!$I:$I,'자가소비(B)'!$G:$G,M$2,'자가소비(B)'!$Q:$Q,$J13,'자가소비(B)'!$C:$C,$L$1),
    SUMIFS('PPA 사업(C)'!$I:$I,'PPA 사업(C)'!$G:$G,M$2,'PPA 사업(C)'!$Q:$Q,$J13,'PPA 사업(C)'!$C:$C,$L$1),
    SUMIFS('리스사업(D)'!$I:$I,'리스사업(D)'!$G:$G,M$2,'리스사업(D)'!$Q:$Q,$J13,'리스사업(D)'!$C:$C,$L$1),
    SUMIFS('임대사업(E)'!$I:$I,'임대사업(E)'!$G:$G,M$2,'임대사업(E)'!$Q:$Q,$J13,'임대사업(E)'!$C:$C,$L$1),
    SUMIFS('환경부사업(F)'!$I:$I,'환경부사업(F)'!$G:$G,M$2,'환경부사업(F)'!$Q:$Q,$J13,'환경부사업(F)'!$C:$C,$L$1),
    SUMIFS('프로젝트(G)'!$I:$I,'프로젝트(G)'!$G:$G,M$2,'프로젝트(G)'!$Q:$Q,$J13,'프로젝트(G)'!$C:$C,$L$1),
    SUMIFS('협력사 EPC(H)'!$I:$I,'협력사 EPC(H)'!$G:$G,M$2,'협력사 EPC(H)'!$Q:$Q,$J13,'협력사 EPC(H)'!$C:$C,$L$1),
    SUMIFS('기타(Z)'!$I:$I,'기타(Z)'!$G:$G,M$2,'기타(Z)'!$Q:$Q,$J13,'기타(Z)'!$C:$C,$L$1)
  )=0,
  "",
  SUM(
    SUMIFS('발전사업(A)'!$I:$I,'발전사업(A)'!$G:$G,M$2,'발전사업(A)'!$Q:$Q,$J13,'발전사업(A)'!$C:$C,$L$1),
    SUMIFS('자가소비(B)'!$I:$I,'자가소비(B)'!$G:$G,M$2,'자가소비(B)'!$Q:$Q,$J13,'자가소비(B)'!$C:$C,$L$1),
    SUMIFS('PPA 사업(C)'!$I:$I,'PPA 사업(C)'!$G:$G,M$2,'PPA 사업(C)'!$Q:$Q,$J13,'PPA 사업(C)'!$C:$C,$L$1),
    SUMIFS('리스사업(D)'!$I:$I,'리스사업(D)'!$G:$G,M$2,'리스사업(D)'!$Q:$Q,$J13,'리스사업(D)'!$C:$C,$L$1),
    SUMIFS('임대사업(E)'!$I:$I,'임대사업(E)'!$G:$G,M$2,'임대사업(E)'!$Q:$Q,$J13,'임대사업(E)'!$C:$C,$L$1),
    SUMIFS('환경부사업(F)'!$I:$I,'환경부사업(F)'!$G:$G,M$2,'환경부사업(F)'!$Q:$Q,$J13,'환경부사업(F)'!$C:$C,$L$1),
    SUMIFS('프로젝트(G)'!$I:$I,'프로젝트(G)'!$G:$G,M$2,'프로젝트(G)'!$Q:$Q,$J13,'프로젝트(G)'!$C:$C,$L$1),
    SUMIFS('협력사 EPC(H)'!$I:$I,'협력사 EPC(H)'!$G:$G,M$2,'협력사 EPC(H)'!$Q:$Q,$J13,'협력사 EPC(H)'!$C:$C,$L$1),
    SUMIFS('기타(Z)'!$I:$I,'기타(Z)'!$G:$G,M$2,'기타(Z)'!$Q:$Q,$J13,'기타(Z)'!$C:$C,$L$1)
  )
)</f>
        <v>3828.3600000000006</v>
      </c>
      <c r="N13" s="356">
        <f>IF(
  SUM(
    COUNTIFS('발전사업(A)'!$G:$G, M$2, '발전사업(A)'!$Q:$Q, $J13, '발전사업(A)'!$C:$C, $L$1),
    COUNTIFS('자가소비(B)'!$G:$G, M$2, '자가소비(B)'!$Q:$Q, $J13, '자가소비(B)'!$C:$C, $L$1),
    COUNTIFS('PPA 사업(C)'!$G:$G, M$2, 'PPA 사업(C)'!$Q:$Q, $J13, 'PPA 사업(C)'!$C:$C, $L$1),
    COUNTIFS('리스사업(D)'!$G:$G, M$2, '리스사업(D)'!$Q:$Q, $J13, '리스사업(D)'!$C:$C, $L$1),
    COUNTIFS('임대사업(E)'!$G:$G, M$2, '임대사업(E)'!$Q:$Q, $J13, '임대사업(E)'!$C:$C, $L$1),
    COUNTIFS('환경부사업(F)'!$G:$G, M$2, '환경부사업(F)'!$Q:$Q, $J13, '환경부사업(F)'!$C:$C, $L$1),
    COUNTIFS('프로젝트(G)'!$G:$G, M$2, '프로젝트(G)'!$Q:$Q, $J13, '프로젝트(G)'!$C:$C, $L$1),
    COUNTIFS('협력사 EPC(H)'!$G:$G, M$2, '협력사 EPC(H)'!$Q:$Q, $J13, '협력사 EPC(H)'!$C:$C, $L$1),
    COUNTIFS('기타(Z)'!$G:$G, M$2, '기타(Z)'!$Q:$Q, $J13, '기타(Z)'!$C:$C, $L$1)
  ) = 0,
  "",
  COUNTIFS('발전사업(A)'!$G:$G, M$2, '발전사업(A)'!$Q:$Q, $J13, '발전사업(A)'!$C:$C, $L$1)
  + COUNTIFS('자가소비(B)'!$G:$G, M$2, '자가소비(B)'!$Q:$Q, $J13, '자가소비(B)'!$C:$C, $L$1)
  + COUNTIFS('PPA 사업(C)'!$G:$G, M$2, 'PPA 사업(C)'!$Q:$Q, $J13, 'PPA 사업(C)'!$C:$C, $L$1)
  + COUNTIFS('리스사업(D)'!$G:$G, M$2, '리스사업(D)'!$Q:$Q, $J13, '리스사업(D)'!$C:$C, $L$1)
  + COUNTIFS('임대사업(E)'!$G:$G, M$2, '임대사업(E)'!$Q:$Q, $J13, '임대사업(E)'!$C:$C, $L$1)
  + COUNTIFS('환경부사업(F)'!$G:$G, M$2, '환경부사업(F)'!$Q:$Q, $J13, '환경부사업(F)'!$C:$C, $L$1)
  + COUNTIFS('프로젝트(G)'!$G:$G, M$2, '프로젝트(G)'!$Q:$Q, $J13, '프로젝트(G)'!$C:$C, $L$1)
  + COUNTIFS('협력사 EPC(H)'!$G:$G, M$2, '협력사 EPC(H)'!$Q:$Q, $J13, '협력사 EPC(H)'!$C:$C, $L$1)
  + COUNTIFS('기타(Z)'!$G:$G, M$2, '기타(Z)'!$Q:$Q, $J13, '기타(Z)'!$C:$C, $L$1)
)</f>
        <v>7</v>
      </c>
      <c r="O13" s="359">
        <f>IF(
  SUM(
    SUMIFS('발전사업(A)'!$I:$I,'발전사업(A)'!$G:$G,O$2,'발전사업(A)'!$Q:$Q,$J13,'발전사업(A)'!$C:$C,$L$1),
    SUMIFS('자가소비(B)'!$I:$I,'자가소비(B)'!$G:$G,O$2,'자가소비(B)'!$Q:$Q,$J13,'자가소비(B)'!$C:$C,$L$1),
    SUMIFS('PPA 사업(C)'!$I:$I,'PPA 사업(C)'!$G:$G,O$2,'PPA 사업(C)'!$Q:$Q,$J13,'PPA 사업(C)'!$C:$C,$L$1),
    SUMIFS('리스사업(D)'!$I:$I,'리스사업(D)'!$G:$G,O$2,'리스사업(D)'!$Q:$Q,$J13,'리스사업(D)'!$C:$C,$L$1),
    SUMIFS('임대사업(E)'!$I:$I,'임대사업(E)'!$G:$G,O$2,'임대사업(E)'!$Q:$Q,$J13,'임대사업(E)'!$C:$C,$L$1),
    SUMIFS('환경부사업(F)'!$I:$I,'환경부사업(F)'!$G:$G,O$2,'환경부사업(F)'!$Q:$Q,$J13,'환경부사업(F)'!$C:$C,$L$1),
    SUMIFS('프로젝트(G)'!$I:$I,'프로젝트(G)'!$G:$G,O$2,'프로젝트(G)'!$Q:$Q,$J13,'프로젝트(G)'!$C:$C,$L$1),
    SUMIFS('협력사 EPC(H)'!$I:$I,'협력사 EPC(H)'!$G:$G,O$2,'협력사 EPC(H)'!$Q:$Q,$J13,'협력사 EPC(H)'!$C:$C,$L$1),
    SUMIFS('기타(Z)'!$I:$I,'기타(Z)'!$G:$G,O$2,'기타(Z)'!$Q:$Q,$J13,'기타(Z)'!$C:$C,$L$1)
  )=0,
  "",
  SUM(
    SUMIFS('발전사업(A)'!$I:$I,'발전사업(A)'!$G:$G,O$2,'발전사업(A)'!$Q:$Q,$J13,'발전사업(A)'!$C:$C,$L$1),
    SUMIFS('자가소비(B)'!$I:$I,'자가소비(B)'!$G:$G,O$2,'자가소비(B)'!$Q:$Q,$J13,'자가소비(B)'!$C:$C,$L$1),
    SUMIFS('PPA 사업(C)'!$I:$I,'PPA 사업(C)'!$G:$G,O$2,'PPA 사업(C)'!$Q:$Q,$J13,'PPA 사업(C)'!$C:$C,$L$1),
    SUMIFS('리스사업(D)'!$I:$I,'리스사업(D)'!$G:$G,O$2,'리스사업(D)'!$Q:$Q,$J13,'리스사업(D)'!$C:$C,$L$1),
    SUMIFS('임대사업(E)'!$I:$I,'임대사업(E)'!$G:$G,O$2,'임대사업(E)'!$Q:$Q,$J13,'임대사업(E)'!$C:$C,$L$1),
    SUMIFS('환경부사업(F)'!$I:$I,'환경부사업(F)'!$G:$G,O$2,'환경부사업(F)'!$Q:$Q,$J13,'환경부사업(F)'!$C:$C,$L$1),
    SUMIFS('프로젝트(G)'!$I:$I,'프로젝트(G)'!$G:$G,O$2,'프로젝트(G)'!$Q:$Q,$J13,'프로젝트(G)'!$C:$C,$L$1),
    SUMIFS('협력사 EPC(H)'!$I:$I,'협력사 EPC(H)'!$G:$G,O$2,'협력사 EPC(H)'!$Q:$Q,$J13,'협력사 EPC(H)'!$C:$C,$L$1),
    SUMIFS('기타(Z)'!$I:$I,'기타(Z)'!$G:$G,O$2,'기타(Z)'!$Q:$Q,$J13,'기타(Z)'!$C:$C,$L$1)
  )
)</f>
        <v>508.90500000000003</v>
      </c>
      <c r="P13" s="356">
        <f>IF(
  SUM(
    COUNTIFS('발전사업(A)'!$G:$G, O$2, '발전사업(A)'!$Q:$Q, $J13, '발전사업(A)'!$C:$C, $L$1),
    COUNTIFS('자가소비(B)'!$G:$G, O$2, '자가소비(B)'!$Q:$Q, $J13, '자가소비(B)'!$C:$C, $L$1),
    COUNTIFS('PPA 사업(C)'!$G:$G, O$2, 'PPA 사업(C)'!$Q:$Q, $J13, 'PPA 사업(C)'!$C:$C, $L$1),
    COUNTIFS('리스사업(D)'!$G:$G, O$2, '리스사업(D)'!$Q:$Q, $J13, '리스사업(D)'!$C:$C, $L$1),
    COUNTIFS('임대사업(E)'!$G:$G, O$2, '임대사업(E)'!$Q:$Q, $J13, '임대사업(E)'!$C:$C, $L$1),
    COUNTIFS('환경부사업(F)'!$G:$G, O$2, '환경부사업(F)'!$Q:$Q, $J13, '환경부사업(F)'!$C:$C, $L$1),
    COUNTIFS('프로젝트(G)'!$G:$G, O$2, '프로젝트(G)'!$Q:$Q, $J13, '프로젝트(G)'!$C:$C, $L$1),
    COUNTIFS('협력사 EPC(H)'!$G:$G, O$2, '협력사 EPC(H)'!$Q:$Q, $J13, '협력사 EPC(H)'!$C:$C, $L$1),
    COUNTIFS('기타(Z)'!$G:$G, O$2, '기타(Z)'!$Q:$Q, $J13, '기타(Z)'!$C:$C, $L$1)
  ) = 0,
  "",
  COUNTIFS('발전사업(A)'!$G:$G, O$2, '발전사업(A)'!$Q:$Q, $J13, '발전사업(A)'!$C:$C, $L$1)
  + COUNTIFS('자가소비(B)'!$G:$G, O$2, '자가소비(B)'!$Q:$Q, $J13, '자가소비(B)'!$C:$C, $L$1)
  + COUNTIFS('PPA 사업(C)'!$G:$G, O$2, 'PPA 사업(C)'!$Q:$Q, $J13, 'PPA 사업(C)'!$C:$C, $L$1)
  + COUNTIFS('리스사업(D)'!$G:$G, O$2, '리스사업(D)'!$Q:$Q, $J13, '리스사업(D)'!$C:$C, $L$1)
  + COUNTIFS('임대사업(E)'!$G:$G, O$2, '임대사업(E)'!$Q:$Q, $J13, '임대사업(E)'!$C:$C, $L$1)
  + COUNTIFS('환경부사업(F)'!$G:$G, O$2, '환경부사업(F)'!$Q:$Q, $J13, '환경부사업(F)'!$C:$C, $L$1)
  + COUNTIFS('프로젝트(G)'!$G:$G, O$2, '프로젝트(G)'!$Q:$Q, $J13, '프로젝트(G)'!$C:$C, $L$1)
  + COUNTIFS('협력사 EPC(H)'!$G:$G, O$2, '협력사 EPC(H)'!$Q:$Q, $J13, '협력사 EPC(H)'!$C:$C, $L$1)
  + COUNTIFS('기타(Z)'!$G:$G, O$2, '기타(Z)'!$Q:$Q, $J13, '기타(Z)'!$C:$C, $L$1)
)</f>
        <v>3</v>
      </c>
      <c r="Q13" s="359">
        <f>IF(
  SUM(
    SUMIFS('발전사업(A)'!$I:$I,'발전사업(A)'!$G:$G,Q$2,'발전사업(A)'!$Q:$Q,$J13,'발전사업(A)'!$C:$C,$L$1),
    SUMIFS('자가소비(B)'!$I:$I,'자가소비(B)'!$G:$G,Q$2,'자가소비(B)'!$Q:$Q,$J13,'자가소비(B)'!$C:$C,$L$1),
    SUMIFS('PPA 사업(C)'!$I:$I,'PPA 사업(C)'!$G:$G,Q$2,'PPA 사업(C)'!$Q:$Q,$J13,'PPA 사업(C)'!$C:$C,$L$1),
    SUMIFS('리스사업(D)'!$I:$I,'리스사업(D)'!$G:$G,Q$2,'리스사업(D)'!$Q:$Q,$J13,'리스사업(D)'!$C:$C,$L$1),
    SUMIFS('임대사업(E)'!$I:$I,'임대사업(E)'!$G:$G,Q$2,'임대사업(E)'!$Q:$Q,$J13,'임대사업(E)'!$C:$C,$L$1),
    SUMIFS('환경부사업(F)'!$I:$I,'환경부사업(F)'!$G:$G,Q$2,'환경부사업(F)'!$Q:$Q,$J13,'환경부사업(F)'!$C:$C,$L$1),
    SUMIFS('프로젝트(G)'!$I:$I,'프로젝트(G)'!$G:$G,Q$2,'프로젝트(G)'!$Q:$Q,$J13,'프로젝트(G)'!$C:$C,$L$1),
    SUMIFS('협력사 EPC(H)'!$I:$I,'협력사 EPC(H)'!$G:$G,Q$2,'협력사 EPC(H)'!$Q:$Q,$J13,'협력사 EPC(H)'!$C:$C,$L$1),
    SUMIFS('기타(Z)'!$I:$I,'기타(Z)'!$G:$G,Q$2,'기타(Z)'!$Q:$Q,$J13,'기타(Z)'!$C:$C,$L$1)
  )=0,
  "",
  SUM(
    SUMIFS('발전사업(A)'!$I:$I,'발전사업(A)'!$G:$G,Q$2,'발전사업(A)'!$Q:$Q,$J13,'발전사업(A)'!$C:$C,$L$1),
    SUMIFS('자가소비(B)'!$I:$I,'자가소비(B)'!$G:$G,Q$2,'자가소비(B)'!$Q:$Q,$J13,'자가소비(B)'!$C:$C,$L$1),
    SUMIFS('PPA 사업(C)'!$I:$I,'PPA 사업(C)'!$G:$G,Q$2,'PPA 사업(C)'!$Q:$Q,$J13,'PPA 사업(C)'!$C:$C,$L$1),
    SUMIFS('리스사업(D)'!$I:$I,'리스사업(D)'!$G:$G,Q$2,'리스사업(D)'!$Q:$Q,$J13,'리스사업(D)'!$C:$C,$L$1),
    SUMIFS('임대사업(E)'!$I:$I,'임대사업(E)'!$G:$G,Q$2,'임대사업(E)'!$Q:$Q,$J13,'임대사업(E)'!$C:$C,$L$1),
    SUMIFS('환경부사업(F)'!$I:$I,'환경부사업(F)'!$G:$G,Q$2,'환경부사업(F)'!$Q:$Q,$J13,'환경부사업(F)'!$C:$C,$L$1),
    SUMIFS('프로젝트(G)'!$I:$I,'프로젝트(G)'!$G:$G,Q$2,'프로젝트(G)'!$Q:$Q,$J13,'프로젝트(G)'!$C:$C,$L$1),
    SUMIFS('협력사 EPC(H)'!$I:$I,'협력사 EPC(H)'!$G:$G,Q$2,'협력사 EPC(H)'!$Q:$Q,$J13,'협력사 EPC(H)'!$C:$C,$L$1),
    SUMIFS('기타(Z)'!$I:$I,'기타(Z)'!$G:$G,Q$2,'기타(Z)'!$Q:$Q,$J13,'기타(Z)'!$C:$C,$L$1)
  )
)</f>
        <v>3023.76</v>
      </c>
      <c r="R13" s="356">
        <f>IF(
  SUM(
    COUNTIFS('발전사업(A)'!$G:$G, Q$2, '발전사업(A)'!$Q:$Q, $J13, '발전사업(A)'!$C:$C, $L$1),
    COUNTIFS('자가소비(B)'!$G:$G, Q$2, '자가소비(B)'!$Q:$Q, $J13, '자가소비(B)'!$C:$C, $L$1),
    COUNTIFS('PPA 사업(C)'!$G:$G, Q$2, 'PPA 사업(C)'!$Q:$Q, $J13, 'PPA 사업(C)'!$C:$C, $L$1),
    COUNTIFS('리스사업(D)'!$G:$G, Q$2, '리스사업(D)'!$Q:$Q, $J13, '리스사업(D)'!$C:$C, $L$1),
    COUNTIFS('임대사업(E)'!$G:$G, Q$2, '임대사업(E)'!$Q:$Q, $J13, '임대사업(E)'!$C:$C, $L$1),
    COUNTIFS('환경부사업(F)'!$G:$G, Q$2, '환경부사업(F)'!$Q:$Q, $J13, '환경부사업(F)'!$C:$C, $L$1),
    COUNTIFS('프로젝트(G)'!$G:$G, Q$2, '프로젝트(G)'!$Q:$Q, $J13, '프로젝트(G)'!$C:$C, $L$1),
    COUNTIFS('협력사 EPC(H)'!$G:$G, Q$2, '협력사 EPC(H)'!$Q:$Q, $J13, '협력사 EPC(H)'!$C:$C, $L$1),
    COUNTIFS('기타(Z)'!$G:$G, Q$2, '기타(Z)'!$Q:$Q, $J13, '기타(Z)'!$C:$C, $L$1)
  ) = 0,
  "",
  COUNTIFS('발전사업(A)'!$G:$G, Q$2, '발전사업(A)'!$Q:$Q, $J13, '발전사업(A)'!$C:$C, $L$1)
  + COUNTIFS('자가소비(B)'!$G:$G, Q$2, '자가소비(B)'!$Q:$Q, $J13, '자가소비(B)'!$C:$C, $L$1)
  + COUNTIFS('PPA 사업(C)'!$G:$G, Q$2, 'PPA 사업(C)'!$Q:$Q, $J13, 'PPA 사업(C)'!$C:$C, $L$1)
  + COUNTIFS('리스사업(D)'!$G:$G, Q$2, '리스사업(D)'!$Q:$Q, $J13, '리스사업(D)'!$C:$C, $L$1)
  + COUNTIFS('임대사업(E)'!$G:$G, Q$2, '임대사업(E)'!$Q:$Q, $J13, '임대사업(E)'!$C:$C, $L$1)
  + COUNTIFS('환경부사업(F)'!$G:$G, Q$2, '환경부사업(F)'!$Q:$Q, $J13, '환경부사업(F)'!$C:$C, $L$1)
  + COUNTIFS('프로젝트(G)'!$G:$G, Q$2, '프로젝트(G)'!$Q:$Q, $J13, '프로젝트(G)'!$C:$C, $L$1)
  + COUNTIFS('협력사 EPC(H)'!$G:$G, Q$2, '협력사 EPC(H)'!$Q:$Q, $J13, '협력사 EPC(H)'!$C:$C, $L$1)
  + COUNTIFS('기타(Z)'!$G:$G, Q$2, '기타(Z)'!$Q:$Q, $J13, '기타(Z)'!$C:$C, $L$1)
)</f>
        <v>8</v>
      </c>
      <c r="S13" s="359">
        <f>IF(
  SUM(
    SUMIFS('발전사업(A)'!$I:$I,'발전사업(A)'!$G:$G,S$2,'발전사업(A)'!$Q:$Q,$J13,'발전사업(A)'!$C:$C,$L$1),
    SUMIFS('자가소비(B)'!$I:$I,'자가소비(B)'!$G:$G,S$2,'자가소비(B)'!$Q:$Q,$J13,'자가소비(B)'!$C:$C,$L$1),
    SUMIFS('PPA 사업(C)'!$I:$I,'PPA 사업(C)'!$G:$G,S$2,'PPA 사업(C)'!$Q:$Q,$J13,'PPA 사업(C)'!$C:$C,$L$1),
    SUMIFS('리스사업(D)'!$I:$I,'리스사업(D)'!$G:$G,S$2,'리스사업(D)'!$Q:$Q,$J13,'리스사업(D)'!$C:$C,$L$1),
    SUMIFS('임대사업(E)'!$I:$I,'임대사업(E)'!$G:$G,S$2,'임대사업(E)'!$Q:$Q,$J13,'임대사업(E)'!$C:$C,$L$1),
    SUMIFS('환경부사업(F)'!$I:$I,'환경부사업(F)'!$G:$G,S$2,'환경부사업(F)'!$Q:$Q,$J13,'환경부사업(F)'!$C:$C,$L$1),
    SUMIFS('프로젝트(G)'!$I:$I,'프로젝트(G)'!$G:$G,S$2,'프로젝트(G)'!$Q:$Q,$J13,'프로젝트(G)'!$C:$C,$L$1),
    SUMIFS('협력사 EPC(H)'!$I:$I,'협력사 EPC(H)'!$G:$G,S$2,'협력사 EPC(H)'!$Q:$Q,$J13,'협력사 EPC(H)'!$C:$C,$L$1),
    SUMIFS('기타(Z)'!$I:$I,'기타(Z)'!$G:$G,S$2,'기타(Z)'!$Q:$Q,$J13,'기타(Z)'!$C:$C,$L$1)
  )=0,
  "",
  SUM(
    SUMIFS('발전사업(A)'!$I:$I,'발전사업(A)'!$G:$G,S$2,'발전사업(A)'!$Q:$Q,$J13,'발전사업(A)'!$C:$C,$L$1),
    SUMIFS('자가소비(B)'!$I:$I,'자가소비(B)'!$G:$G,S$2,'자가소비(B)'!$Q:$Q,$J13,'자가소비(B)'!$C:$C,$L$1),
    SUMIFS('PPA 사업(C)'!$I:$I,'PPA 사업(C)'!$G:$G,S$2,'PPA 사업(C)'!$Q:$Q,$J13,'PPA 사업(C)'!$C:$C,$L$1),
    SUMIFS('리스사업(D)'!$I:$I,'리스사업(D)'!$G:$G,S$2,'리스사업(D)'!$Q:$Q,$J13,'리스사업(D)'!$C:$C,$L$1),
    SUMIFS('임대사업(E)'!$I:$I,'임대사업(E)'!$G:$G,S$2,'임대사업(E)'!$Q:$Q,$J13,'임대사업(E)'!$C:$C,$L$1),
    SUMIFS('환경부사업(F)'!$I:$I,'환경부사업(F)'!$G:$G,S$2,'환경부사업(F)'!$Q:$Q,$J13,'환경부사업(F)'!$C:$C,$L$1),
    SUMIFS('프로젝트(G)'!$I:$I,'프로젝트(G)'!$G:$G,S$2,'프로젝트(G)'!$Q:$Q,$J13,'프로젝트(G)'!$C:$C,$L$1),
    SUMIFS('협력사 EPC(H)'!$I:$I,'협력사 EPC(H)'!$G:$G,S$2,'협력사 EPC(H)'!$Q:$Q,$J13,'협력사 EPC(H)'!$C:$C,$L$1),
    SUMIFS('기타(Z)'!$I:$I,'기타(Z)'!$G:$G,S$2,'기타(Z)'!$Q:$Q,$J13,'기타(Z)'!$C:$C,$L$1)
  )
)</f>
        <v>2645.7899999999995</v>
      </c>
      <c r="T13" s="356">
        <f>IF(
  SUM(
    COUNTIFS('발전사업(A)'!$G:$G, S$2, '발전사업(A)'!$Q:$Q, $J13, '발전사업(A)'!$C:$C, $L$1),
    COUNTIFS('자가소비(B)'!$G:$G, S$2, '자가소비(B)'!$Q:$Q, $J13, '자가소비(B)'!$C:$C, $L$1),
    COUNTIFS('PPA 사업(C)'!$G:$G, S$2, 'PPA 사업(C)'!$Q:$Q, $J13, 'PPA 사업(C)'!$C:$C, $L$1),
    COUNTIFS('리스사업(D)'!$G:$G, S$2, '리스사업(D)'!$Q:$Q, $J13, '리스사업(D)'!$C:$C, $L$1),
    COUNTIFS('임대사업(E)'!$G:$G, S$2, '임대사업(E)'!$Q:$Q, $J13, '임대사업(E)'!$C:$C, $L$1),
    COUNTIFS('환경부사업(F)'!$G:$G, S$2, '환경부사업(F)'!$Q:$Q, $J13, '환경부사업(F)'!$C:$C, $L$1),
    COUNTIFS('프로젝트(G)'!$G:$G, S$2, '프로젝트(G)'!$Q:$Q, $J13, '프로젝트(G)'!$C:$C, $L$1),
    COUNTIFS('협력사 EPC(H)'!$G:$G, S$2, '협력사 EPC(H)'!$Q:$Q, $J13, '협력사 EPC(H)'!$C:$C, $L$1),
    COUNTIFS('기타(Z)'!$G:$G, S$2, '기타(Z)'!$Q:$Q, $J13, '기타(Z)'!$C:$C, $L$1)
  ) = 0,
  "",
  COUNTIFS('발전사업(A)'!$G:$G, S$2, '발전사업(A)'!$Q:$Q, $J13, '발전사업(A)'!$C:$C, $L$1)
  + COUNTIFS('자가소비(B)'!$G:$G, S$2, '자가소비(B)'!$Q:$Q, $J13, '자가소비(B)'!$C:$C, $L$1)
  + COUNTIFS('PPA 사업(C)'!$G:$G, S$2, 'PPA 사업(C)'!$Q:$Q, $J13, 'PPA 사업(C)'!$C:$C, $L$1)
  + COUNTIFS('리스사업(D)'!$G:$G, S$2, '리스사업(D)'!$Q:$Q, $J13, '리스사업(D)'!$C:$C, $L$1)
  + COUNTIFS('임대사업(E)'!$G:$G, S$2, '임대사업(E)'!$Q:$Q, $J13, '임대사업(E)'!$C:$C, $L$1)
  + COUNTIFS('환경부사업(F)'!$G:$G, S$2, '환경부사업(F)'!$Q:$Q, $J13, '환경부사업(F)'!$C:$C, $L$1)
  + COUNTIFS('프로젝트(G)'!$G:$G, S$2, '프로젝트(G)'!$Q:$Q, $J13, '프로젝트(G)'!$C:$C, $L$1)
  + COUNTIFS('협력사 EPC(H)'!$G:$G, S$2, '협력사 EPC(H)'!$Q:$Q, $J13, '협력사 EPC(H)'!$C:$C, $L$1)
  + COUNTIFS('기타(Z)'!$G:$G, S$2, '기타(Z)'!$Q:$Q, $J13, '기타(Z)'!$C:$C, $L$1)
)</f>
        <v>8</v>
      </c>
      <c r="U13" s="359">
        <f>IF(
  SUM(
    SUMIFS('발전사업(A)'!$I:$I,'발전사업(A)'!$G:$G,U$2,'발전사업(A)'!$Q:$Q,$J13,'발전사업(A)'!$C:$C,$L$1),
    SUMIFS('자가소비(B)'!$I:$I,'자가소비(B)'!$G:$G,U$2,'자가소비(B)'!$Q:$Q,$J13,'자가소비(B)'!$C:$C,$L$1),
    SUMIFS('PPA 사업(C)'!$I:$I,'PPA 사업(C)'!$G:$G,U$2,'PPA 사업(C)'!$Q:$Q,$J13,'PPA 사업(C)'!$C:$C,$L$1),
    SUMIFS('리스사업(D)'!$I:$I,'리스사업(D)'!$G:$G,U$2,'리스사업(D)'!$Q:$Q,$J13,'리스사업(D)'!$C:$C,$L$1),
    SUMIFS('임대사업(E)'!$I:$I,'임대사업(E)'!$G:$G,U$2,'임대사업(E)'!$Q:$Q,$J13,'임대사업(E)'!$C:$C,$L$1),
    SUMIFS('환경부사업(F)'!$I:$I,'환경부사업(F)'!$G:$G,U$2,'환경부사업(F)'!$Q:$Q,$J13,'환경부사업(F)'!$C:$C,$L$1),
    SUMIFS('프로젝트(G)'!$I:$I,'프로젝트(G)'!$G:$G,U$2,'프로젝트(G)'!$Q:$Q,$J13,'프로젝트(G)'!$C:$C,$L$1),
    SUMIFS('협력사 EPC(H)'!$I:$I,'협력사 EPC(H)'!$G:$G,U$2,'협력사 EPC(H)'!$Q:$Q,$J13,'협력사 EPC(H)'!$C:$C,$L$1),
    SUMIFS('기타(Z)'!$I:$I,'기타(Z)'!$G:$G,U$2,'기타(Z)'!$Q:$Q,$J13,'기타(Z)'!$C:$C,$L$1)
  )=0,
  "",
  SUM(
    SUMIFS('발전사업(A)'!$I:$I,'발전사업(A)'!$G:$G,U$2,'발전사업(A)'!$Q:$Q,$J13,'발전사업(A)'!$C:$C,$L$1),
    SUMIFS('자가소비(B)'!$I:$I,'자가소비(B)'!$G:$G,U$2,'자가소비(B)'!$Q:$Q,$J13,'자가소비(B)'!$C:$C,$L$1),
    SUMIFS('PPA 사업(C)'!$I:$I,'PPA 사업(C)'!$G:$G,U$2,'PPA 사업(C)'!$Q:$Q,$J13,'PPA 사업(C)'!$C:$C,$L$1),
    SUMIFS('리스사업(D)'!$I:$I,'리스사업(D)'!$G:$G,U$2,'리스사업(D)'!$Q:$Q,$J13,'리스사업(D)'!$C:$C,$L$1),
    SUMIFS('임대사업(E)'!$I:$I,'임대사업(E)'!$G:$G,U$2,'임대사업(E)'!$Q:$Q,$J13,'임대사업(E)'!$C:$C,$L$1),
    SUMIFS('환경부사업(F)'!$I:$I,'환경부사업(F)'!$G:$G,U$2,'환경부사업(F)'!$Q:$Q,$J13,'환경부사업(F)'!$C:$C,$L$1),
    SUMIFS('프로젝트(G)'!$I:$I,'프로젝트(G)'!$G:$G,U$2,'프로젝트(G)'!$Q:$Q,$J13,'프로젝트(G)'!$C:$C,$L$1),
    SUMIFS('협력사 EPC(H)'!$I:$I,'협력사 EPC(H)'!$G:$G,U$2,'협력사 EPC(H)'!$Q:$Q,$J13,'협력사 EPC(H)'!$C:$C,$L$1),
    SUMIFS('기타(Z)'!$I:$I,'기타(Z)'!$G:$G,U$2,'기타(Z)'!$Q:$Q,$J13,'기타(Z)'!$C:$C,$L$1)
  )
)</f>
        <v>1273.23</v>
      </c>
      <c r="V13" s="356">
        <f>IF(
  SUM(
    COUNTIFS('발전사업(A)'!$G:$G, U$2, '발전사업(A)'!$Q:$Q, $J13, '발전사업(A)'!$C:$C, $L$1),
    COUNTIFS('자가소비(B)'!$G:$G, U$2, '자가소비(B)'!$Q:$Q, $J13, '자가소비(B)'!$C:$C, $L$1),
    COUNTIFS('PPA 사업(C)'!$G:$G, U$2, 'PPA 사업(C)'!$Q:$Q, $J13, 'PPA 사업(C)'!$C:$C, $L$1),
    COUNTIFS('리스사업(D)'!$G:$G, U$2, '리스사업(D)'!$Q:$Q, $J13, '리스사업(D)'!$C:$C, $L$1),
    COUNTIFS('임대사업(E)'!$G:$G, U$2, '임대사업(E)'!$Q:$Q, $J13, '임대사업(E)'!$C:$C, $L$1),
    COUNTIFS('환경부사업(F)'!$G:$G, U$2, '환경부사업(F)'!$Q:$Q, $J13, '환경부사업(F)'!$C:$C, $L$1),
    COUNTIFS('프로젝트(G)'!$G:$G, U$2, '프로젝트(G)'!$Q:$Q, $J13, '프로젝트(G)'!$C:$C, $L$1),
    COUNTIFS('협력사 EPC(H)'!$G:$G, U$2, '협력사 EPC(H)'!$Q:$Q, $J13, '협력사 EPC(H)'!$C:$C, $L$1),
    COUNTIFS('기타(Z)'!$G:$G, U$2, '기타(Z)'!$Q:$Q, $J13, '기타(Z)'!$C:$C, $L$1)
  ) = 0,
  "",
  COUNTIFS('발전사업(A)'!$G:$G, U$2, '발전사업(A)'!$Q:$Q, $J13, '발전사업(A)'!$C:$C, $L$1)
  + COUNTIFS('자가소비(B)'!$G:$G, U$2, '자가소비(B)'!$Q:$Q, $J13, '자가소비(B)'!$C:$C, $L$1)
  + COUNTIFS('PPA 사업(C)'!$G:$G, U$2, 'PPA 사업(C)'!$Q:$Q, $J13, 'PPA 사업(C)'!$C:$C, $L$1)
  + COUNTIFS('리스사업(D)'!$G:$G, U$2, '리스사업(D)'!$Q:$Q, $J13, '리스사업(D)'!$C:$C, $L$1)
  + COUNTIFS('임대사업(E)'!$G:$G, U$2, '임대사업(E)'!$Q:$Q, $J13, '임대사업(E)'!$C:$C, $L$1)
  + COUNTIFS('환경부사업(F)'!$G:$G, U$2, '환경부사업(F)'!$Q:$Q, $J13, '환경부사업(F)'!$C:$C, $L$1)
  + COUNTIFS('프로젝트(G)'!$G:$G, U$2, '프로젝트(G)'!$Q:$Q, $J13, '프로젝트(G)'!$C:$C, $L$1)
  + COUNTIFS('협력사 EPC(H)'!$G:$G, U$2, '협력사 EPC(H)'!$Q:$Q, $J13, '협력사 EPC(H)'!$C:$C, $L$1)
  + COUNTIFS('기타(Z)'!$G:$G, U$2, '기타(Z)'!$Q:$Q, $J13, '기타(Z)'!$C:$C, $L$1)
)</f>
        <v>4</v>
      </c>
      <c r="W13" s="359">
        <f>IF(
  SUM(
    SUMIFS('발전사업(A)'!$I:$I,'발전사업(A)'!$G:$G,W$2,'발전사업(A)'!$Q:$Q,$J13,'발전사업(A)'!$C:$C,$L$1),
    SUMIFS('자가소비(B)'!$I:$I,'자가소비(B)'!$G:$G,W$2,'자가소비(B)'!$Q:$Q,$J13,'자가소비(B)'!$C:$C,$L$1),
    SUMIFS('PPA 사업(C)'!$I:$I,'PPA 사업(C)'!$G:$G,W$2,'PPA 사업(C)'!$Q:$Q,$J13,'PPA 사업(C)'!$C:$C,$L$1),
    SUMIFS('리스사업(D)'!$I:$I,'리스사업(D)'!$G:$G,W$2,'리스사업(D)'!$Q:$Q,$J13,'리스사업(D)'!$C:$C,$L$1),
    SUMIFS('임대사업(E)'!$I:$I,'임대사업(E)'!$G:$G,W$2,'임대사업(E)'!$Q:$Q,$J13,'임대사업(E)'!$C:$C,$L$1),
    SUMIFS('환경부사업(F)'!$I:$I,'환경부사업(F)'!$G:$G,W$2,'환경부사업(F)'!$Q:$Q,$J13,'환경부사업(F)'!$C:$C,$L$1),
    SUMIFS('프로젝트(G)'!$I:$I,'프로젝트(G)'!$G:$G,W$2,'프로젝트(G)'!$Q:$Q,$J13,'프로젝트(G)'!$C:$C,$L$1),
    SUMIFS('협력사 EPC(H)'!$I:$I,'협력사 EPC(H)'!$G:$G,W$2,'협력사 EPC(H)'!$Q:$Q,$J13,'협력사 EPC(H)'!$C:$C,$L$1),
    SUMIFS('기타(Z)'!$I:$I,'기타(Z)'!$G:$G,W$2,'기타(Z)'!$Q:$Q,$J13,'기타(Z)'!$C:$C,$L$1)
  )=0,
  "",
  SUM(
    SUMIFS('발전사업(A)'!$I:$I,'발전사업(A)'!$G:$G,W$2,'발전사업(A)'!$Q:$Q,$J13,'발전사업(A)'!$C:$C,$L$1),
    SUMIFS('자가소비(B)'!$I:$I,'자가소비(B)'!$G:$G,W$2,'자가소비(B)'!$Q:$Q,$J13,'자가소비(B)'!$C:$C,$L$1),
    SUMIFS('PPA 사업(C)'!$I:$I,'PPA 사업(C)'!$G:$G,W$2,'PPA 사업(C)'!$Q:$Q,$J13,'PPA 사업(C)'!$C:$C,$L$1),
    SUMIFS('리스사업(D)'!$I:$I,'리스사업(D)'!$G:$G,W$2,'리스사업(D)'!$Q:$Q,$J13,'리스사업(D)'!$C:$C,$L$1),
    SUMIFS('임대사업(E)'!$I:$I,'임대사업(E)'!$G:$G,W$2,'임대사업(E)'!$Q:$Q,$J13,'임대사업(E)'!$C:$C,$L$1),
    SUMIFS('환경부사업(F)'!$I:$I,'환경부사업(F)'!$G:$G,W$2,'환경부사업(F)'!$Q:$Q,$J13,'환경부사업(F)'!$C:$C,$L$1),
    SUMIFS('프로젝트(G)'!$I:$I,'프로젝트(G)'!$G:$G,W$2,'프로젝트(G)'!$Q:$Q,$J13,'프로젝트(G)'!$C:$C,$L$1),
    SUMIFS('협력사 EPC(H)'!$I:$I,'협력사 EPC(H)'!$G:$G,W$2,'협력사 EPC(H)'!$Q:$Q,$J13,'협력사 EPC(H)'!$C:$C,$L$1),
    SUMIFS('기타(Z)'!$I:$I,'기타(Z)'!$G:$G,W$2,'기타(Z)'!$Q:$Q,$J13,'기타(Z)'!$C:$C,$L$1)
  )
)</f>
        <v>1808.58</v>
      </c>
      <c r="X13" s="356">
        <f>IF(
  SUM(
    COUNTIFS('발전사업(A)'!$G:$G, W$2, '발전사업(A)'!$Q:$Q, $J13, '발전사업(A)'!$C:$C, $L$1),
    COUNTIFS('자가소비(B)'!$G:$G, W$2, '자가소비(B)'!$Q:$Q, $J13, '자가소비(B)'!$C:$C, $L$1),
    COUNTIFS('PPA 사업(C)'!$G:$G, W$2, 'PPA 사업(C)'!$Q:$Q, $J13, 'PPA 사업(C)'!$C:$C, $L$1),
    COUNTIFS('리스사업(D)'!$G:$G, W$2, '리스사업(D)'!$Q:$Q, $J13, '리스사업(D)'!$C:$C, $L$1),
    COUNTIFS('임대사업(E)'!$G:$G, W$2, '임대사업(E)'!$Q:$Q, $J13, '임대사업(E)'!$C:$C, $L$1),
    COUNTIFS('환경부사업(F)'!$G:$G, W$2, '환경부사업(F)'!$Q:$Q, $J13, '환경부사업(F)'!$C:$C, $L$1),
    COUNTIFS('프로젝트(G)'!$G:$G, W$2, '프로젝트(G)'!$Q:$Q, $J13, '프로젝트(G)'!$C:$C, $L$1),
    COUNTIFS('협력사 EPC(H)'!$G:$G, W$2, '협력사 EPC(H)'!$Q:$Q, $J13, '협력사 EPC(H)'!$C:$C, $L$1),
    COUNTIFS('기타(Z)'!$G:$G, W$2, '기타(Z)'!$Q:$Q, $J13, '기타(Z)'!$C:$C, $L$1)
  ) = 0,
  "",
  COUNTIFS('발전사업(A)'!$G:$G, W$2, '발전사업(A)'!$Q:$Q, $J13, '발전사업(A)'!$C:$C, $L$1)
  + COUNTIFS('자가소비(B)'!$G:$G, W$2, '자가소비(B)'!$Q:$Q, $J13, '자가소비(B)'!$C:$C, $L$1)
  + COUNTIFS('PPA 사업(C)'!$G:$G, W$2, 'PPA 사업(C)'!$Q:$Q, $J13, 'PPA 사업(C)'!$C:$C, $L$1)
  + COUNTIFS('리스사업(D)'!$G:$G, W$2, '리스사업(D)'!$Q:$Q, $J13, '리스사업(D)'!$C:$C, $L$1)
  + COUNTIFS('임대사업(E)'!$G:$G, W$2, '임대사업(E)'!$Q:$Q, $J13, '임대사업(E)'!$C:$C, $L$1)
  + COUNTIFS('환경부사업(F)'!$G:$G, W$2, '환경부사업(F)'!$Q:$Q, $J13, '환경부사업(F)'!$C:$C, $L$1)
  + COUNTIFS('프로젝트(G)'!$G:$G, W$2, '프로젝트(G)'!$Q:$Q, $J13, '프로젝트(G)'!$C:$C, $L$1)
  + COUNTIFS('협력사 EPC(H)'!$G:$G, W$2, '협력사 EPC(H)'!$Q:$Q, $J13, '협력사 EPC(H)'!$C:$C, $L$1)
  + COUNTIFS('기타(Z)'!$G:$G, W$2, '기타(Z)'!$Q:$Q, $J13, '기타(Z)'!$C:$C, $L$1)
)</f>
        <v>7</v>
      </c>
      <c r="Y13" s="359">
        <f>IF(
  SUM(
    SUMIFS('발전사업(A)'!$I:$I,'발전사업(A)'!$G:$G,Y$2,'발전사업(A)'!$Q:$Q,$J13,'발전사업(A)'!$C:$C,$L$1),
    SUMIFS('자가소비(B)'!$I:$I,'자가소비(B)'!$G:$G,Y$2,'자가소비(B)'!$Q:$Q,$J13,'자가소비(B)'!$C:$C,$L$1),
    SUMIFS('PPA 사업(C)'!$I:$I,'PPA 사업(C)'!$G:$G,Y$2,'PPA 사업(C)'!$Q:$Q,$J13,'PPA 사업(C)'!$C:$C,$L$1),
    SUMIFS('리스사업(D)'!$I:$I,'리스사업(D)'!$G:$G,Y$2,'리스사업(D)'!$Q:$Q,$J13,'리스사업(D)'!$C:$C,$L$1),
    SUMIFS('임대사업(E)'!$I:$I,'임대사업(E)'!$G:$G,Y$2,'임대사업(E)'!$Q:$Q,$J13,'임대사업(E)'!$C:$C,$L$1),
    SUMIFS('환경부사업(F)'!$I:$I,'환경부사업(F)'!$G:$G,Y$2,'환경부사업(F)'!$Q:$Q,$J13,'환경부사업(F)'!$C:$C,$L$1),
    SUMIFS('프로젝트(G)'!$I:$I,'프로젝트(G)'!$G:$G,Y$2,'프로젝트(G)'!$Q:$Q,$J13,'프로젝트(G)'!$C:$C,$L$1),
    SUMIFS('협력사 EPC(H)'!$I:$I,'협력사 EPC(H)'!$G:$G,Y$2,'협력사 EPC(H)'!$Q:$Q,$J13,'협력사 EPC(H)'!$C:$C,$L$1),
    SUMIFS('기타(Z)'!$I:$I,'기타(Z)'!$G:$G,Y$2,'기타(Z)'!$Q:$Q,$J13,'기타(Z)'!$C:$C,$L$1)
  )=0,
  "",
  SUM(
    SUMIFS('발전사업(A)'!$I:$I,'발전사업(A)'!$G:$G,Y$2,'발전사업(A)'!$Q:$Q,$J13,'발전사업(A)'!$C:$C,$L$1),
    SUMIFS('자가소비(B)'!$I:$I,'자가소비(B)'!$G:$G,Y$2,'자가소비(B)'!$Q:$Q,$J13,'자가소비(B)'!$C:$C,$L$1),
    SUMIFS('PPA 사업(C)'!$I:$I,'PPA 사업(C)'!$G:$G,Y$2,'PPA 사업(C)'!$Q:$Q,$J13,'PPA 사업(C)'!$C:$C,$L$1),
    SUMIFS('리스사업(D)'!$I:$I,'리스사업(D)'!$G:$G,Y$2,'리스사업(D)'!$Q:$Q,$J13,'리스사업(D)'!$C:$C,$L$1),
    SUMIFS('임대사업(E)'!$I:$I,'임대사업(E)'!$G:$G,Y$2,'임대사업(E)'!$Q:$Q,$J13,'임대사업(E)'!$C:$C,$L$1),
    SUMIFS('환경부사업(F)'!$I:$I,'환경부사업(F)'!$G:$G,Y$2,'환경부사업(F)'!$Q:$Q,$J13,'환경부사업(F)'!$C:$C,$L$1),
    SUMIFS('프로젝트(G)'!$I:$I,'프로젝트(G)'!$G:$G,Y$2,'프로젝트(G)'!$Q:$Q,$J13,'프로젝트(G)'!$C:$C,$L$1),
    SUMIFS('협력사 EPC(H)'!$I:$I,'협력사 EPC(H)'!$G:$G,Y$2,'협력사 EPC(H)'!$Q:$Q,$J13,'협력사 EPC(H)'!$C:$C,$L$1),
    SUMIFS('기타(Z)'!$I:$I,'기타(Z)'!$G:$G,Y$2,'기타(Z)'!$Q:$Q,$J13,'기타(Z)'!$C:$C,$L$1)
  )
)</f>
        <v>1943.605</v>
      </c>
      <c r="Z13" s="356">
        <f>IF(
  SUM(
    COUNTIFS('발전사업(A)'!$G:$G, Y$2, '발전사업(A)'!$Q:$Q, $J13, '발전사업(A)'!$C:$C, $L$1),
    COUNTIFS('자가소비(B)'!$G:$G, Y$2, '자가소비(B)'!$Q:$Q, $J13, '자가소비(B)'!$C:$C, $L$1),
    COUNTIFS('PPA 사업(C)'!$G:$G, Y$2, 'PPA 사업(C)'!$Q:$Q, $J13, 'PPA 사업(C)'!$C:$C, $L$1),
    COUNTIFS('리스사업(D)'!$G:$G, Y$2, '리스사업(D)'!$Q:$Q, $J13, '리스사업(D)'!$C:$C, $L$1),
    COUNTIFS('임대사업(E)'!$G:$G, Y$2, '임대사업(E)'!$Q:$Q, $J13, '임대사업(E)'!$C:$C, $L$1),
    COUNTIFS('환경부사업(F)'!$G:$G, Y$2, '환경부사업(F)'!$Q:$Q, $J13, '환경부사업(F)'!$C:$C, $L$1),
    COUNTIFS('프로젝트(G)'!$G:$G, Y$2, '프로젝트(G)'!$Q:$Q, $J13, '프로젝트(G)'!$C:$C, $L$1),
    COUNTIFS('협력사 EPC(H)'!$G:$G, Y$2, '협력사 EPC(H)'!$Q:$Q, $J13, '협력사 EPC(H)'!$C:$C, $L$1),
    COUNTIFS('기타(Z)'!$G:$G, Y$2, '기타(Z)'!$Q:$Q, $J13, '기타(Z)'!$C:$C, $L$1)
  ) = 0,
  "",
  COUNTIFS('발전사업(A)'!$G:$G, Y$2, '발전사업(A)'!$Q:$Q, $J13, '발전사업(A)'!$C:$C, $L$1)
  + COUNTIFS('자가소비(B)'!$G:$G, Y$2, '자가소비(B)'!$Q:$Q, $J13, '자가소비(B)'!$C:$C, $L$1)
  + COUNTIFS('PPA 사업(C)'!$G:$G, Y$2, 'PPA 사업(C)'!$Q:$Q, $J13, 'PPA 사업(C)'!$C:$C, $L$1)
  + COUNTIFS('리스사업(D)'!$G:$G, Y$2, '리스사업(D)'!$Q:$Q, $J13, '리스사업(D)'!$C:$C, $L$1)
  + COUNTIFS('임대사업(E)'!$G:$G, Y$2, '임대사업(E)'!$Q:$Q, $J13, '임대사업(E)'!$C:$C, $L$1)
  + COUNTIFS('환경부사업(F)'!$G:$G, Y$2, '환경부사업(F)'!$Q:$Q, $J13, '환경부사업(F)'!$C:$C, $L$1)
  + COUNTIFS('프로젝트(G)'!$G:$G, Y$2, '프로젝트(G)'!$Q:$Q, $J13, '프로젝트(G)'!$C:$C, $L$1)
  + COUNTIFS('협력사 EPC(H)'!$G:$G, Y$2, '협력사 EPC(H)'!$Q:$Q, $J13, '협력사 EPC(H)'!$C:$C, $L$1)
  + COUNTIFS('기타(Z)'!$G:$G, Y$2, '기타(Z)'!$Q:$Q, $J13, '기타(Z)'!$C:$C, $L$1)
)</f>
        <v>5</v>
      </c>
      <c r="AA13" s="359">
        <f>IF(
  SUM(
    SUMIFS('발전사업(A)'!$I:$I,'발전사업(A)'!$G:$G,AA$2,'발전사업(A)'!$Q:$Q,$J13,'발전사업(A)'!$C:$C,$L$1),
    SUMIFS('자가소비(B)'!$I:$I,'자가소비(B)'!$G:$G,AA$2,'자가소비(B)'!$Q:$Q,$J13,'자가소비(B)'!$C:$C,$L$1),
    SUMIFS('PPA 사업(C)'!$I:$I,'PPA 사업(C)'!$G:$G,AA$2,'PPA 사업(C)'!$Q:$Q,$J13,'PPA 사업(C)'!$C:$C,$L$1),
    SUMIFS('리스사업(D)'!$I:$I,'리스사업(D)'!$G:$G,AA$2,'리스사업(D)'!$Q:$Q,$J13,'리스사업(D)'!$C:$C,$L$1),
    SUMIFS('임대사업(E)'!$I:$I,'임대사업(E)'!$G:$G,AA$2,'임대사업(E)'!$Q:$Q,$J13,'임대사업(E)'!$C:$C,$L$1),
    SUMIFS('환경부사업(F)'!$I:$I,'환경부사업(F)'!$G:$G,AA$2,'환경부사업(F)'!$Q:$Q,$J13,'환경부사업(F)'!$C:$C,$L$1),
    SUMIFS('프로젝트(G)'!$I:$I,'프로젝트(G)'!$G:$G,AA$2,'프로젝트(G)'!$Q:$Q,$J13,'프로젝트(G)'!$C:$C,$L$1),
    SUMIFS('협력사 EPC(H)'!$I:$I,'협력사 EPC(H)'!$G:$G,AA$2,'협력사 EPC(H)'!$Q:$Q,$J13,'협력사 EPC(H)'!$C:$C,$L$1),
    SUMIFS('기타(Z)'!$I:$I,'기타(Z)'!$G:$G,AA$2,'기타(Z)'!$Q:$Q,$J13,'기타(Z)'!$C:$C,$L$1)
  )=0,
  "",
  SUM(
    SUMIFS('발전사업(A)'!$I:$I,'발전사업(A)'!$G:$G,AA$2,'발전사업(A)'!$Q:$Q,$J13,'발전사업(A)'!$C:$C,$L$1),
    SUMIFS('자가소비(B)'!$I:$I,'자가소비(B)'!$G:$G,AA$2,'자가소비(B)'!$Q:$Q,$J13,'자가소비(B)'!$C:$C,$L$1),
    SUMIFS('PPA 사업(C)'!$I:$I,'PPA 사업(C)'!$G:$G,AA$2,'PPA 사업(C)'!$Q:$Q,$J13,'PPA 사업(C)'!$C:$C,$L$1),
    SUMIFS('리스사업(D)'!$I:$I,'리스사업(D)'!$G:$G,AA$2,'리스사업(D)'!$Q:$Q,$J13,'리스사업(D)'!$C:$C,$L$1),
    SUMIFS('임대사업(E)'!$I:$I,'임대사업(E)'!$G:$G,AA$2,'임대사업(E)'!$Q:$Q,$J13,'임대사업(E)'!$C:$C,$L$1),
    SUMIFS('환경부사업(F)'!$I:$I,'환경부사업(F)'!$G:$G,AA$2,'환경부사업(F)'!$Q:$Q,$J13,'환경부사업(F)'!$C:$C,$L$1),
    SUMIFS('프로젝트(G)'!$I:$I,'프로젝트(G)'!$G:$G,AA$2,'프로젝트(G)'!$Q:$Q,$J13,'프로젝트(G)'!$C:$C,$L$1),
    SUMIFS('협력사 EPC(H)'!$I:$I,'협력사 EPC(H)'!$G:$G,AA$2,'협력사 EPC(H)'!$Q:$Q,$J13,'협력사 EPC(H)'!$C:$C,$L$1),
    SUMIFS('기타(Z)'!$I:$I,'기타(Z)'!$G:$G,AA$2,'기타(Z)'!$Q:$Q,$J13,'기타(Z)'!$C:$C,$L$1)
  )
)</f>
        <v>942.34500000000003</v>
      </c>
      <c r="AB13" s="356">
        <f>IF(
  SUM(
    COUNTIFS('발전사업(A)'!$G:$G, AA$2, '발전사업(A)'!$Q:$Q, $J13, '발전사업(A)'!$C:$C, $L$1),
    COUNTIFS('자가소비(B)'!$G:$G, AA$2, '자가소비(B)'!$Q:$Q, $J13, '자가소비(B)'!$C:$C, $L$1),
    COUNTIFS('PPA 사업(C)'!$G:$G, AA$2, 'PPA 사업(C)'!$Q:$Q, $J13, 'PPA 사업(C)'!$C:$C, $L$1),
    COUNTIFS('리스사업(D)'!$G:$G, AA$2, '리스사업(D)'!$Q:$Q, $J13, '리스사업(D)'!$C:$C, $L$1),
    COUNTIFS('임대사업(E)'!$G:$G, AA$2, '임대사업(E)'!$Q:$Q, $J13, '임대사업(E)'!$C:$C, $L$1),
    COUNTIFS('환경부사업(F)'!$G:$G, AA$2, '환경부사업(F)'!$Q:$Q, $J13, '환경부사업(F)'!$C:$C, $L$1),
    COUNTIFS('프로젝트(G)'!$G:$G, AA$2, '프로젝트(G)'!$Q:$Q, $J13, '프로젝트(G)'!$C:$C, $L$1),
    COUNTIFS('협력사 EPC(H)'!$G:$G, AA$2, '협력사 EPC(H)'!$Q:$Q, $J13, '협력사 EPC(H)'!$C:$C, $L$1),
    COUNTIFS('기타(Z)'!$G:$G, AA$2, '기타(Z)'!$Q:$Q, $J13, '기타(Z)'!$C:$C, $L$1)
  ) = 0,
  "",
  COUNTIFS('발전사업(A)'!$G:$G, AA$2, '발전사업(A)'!$Q:$Q, $J13, '발전사업(A)'!$C:$C, $L$1)
  + COUNTIFS('자가소비(B)'!$G:$G, AA$2, '자가소비(B)'!$Q:$Q, $J13, '자가소비(B)'!$C:$C, $L$1)
  + COUNTIFS('PPA 사업(C)'!$G:$G, AA$2, 'PPA 사업(C)'!$Q:$Q, $J13, 'PPA 사업(C)'!$C:$C, $L$1)
  + COUNTIFS('리스사업(D)'!$G:$G, AA$2, '리스사업(D)'!$Q:$Q, $J13, '리스사업(D)'!$C:$C, $L$1)
  + COUNTIFS('임대사업(E)'!$G:$G, AA$2, '임대사업(E)'!$Q:$Q, $J13, '임대사업(E)'!$C:$C, $L$1)
  + COUNTIFS('환경부사업(F)'!$G:$G, AA$2, '환경부사업(F)'!$Q:$Q, $J13, '환경부사업(F)'!$C:$C, $L$1)
  + COUNTIFS('프로젝트(G)'!$G:$G, AA$2, '프로젝트(G)'!$Q:$Q, $J13, '프로젝트(G)'!$C:$C, $L$1)
  + COUNTIFS('협력사 EPC(H)'!$G:$G, AA$2, '협력사 EPC(H)'!$Q:$Q, $J13, '협력사 EPC(H)'!$C:$C, $L$1)
  + COUNTIFS('기타(Z)'!$G:$G, AA$2, '기타(Z)'!$Q:$Q, $J13, '기타(Z)'!$C:$C, $L$1)
)</f>
        <v>4</v>
      </c>
      <c r="AC13" s="359">
        <f>IF(
  SUM(
    SUMIFS('발전사업(A)'!$I:$I,'발전사업(A)'!$G:$G,AC$2,'발전사업(A)'!$Q:$Q,$J13,'발전사업(A)'!$C:$C,$L$1),
    SUMIFS('자가소비(B)'!$I:$I,'자가소비(B)'!$G:$G,AC$2,'자가소비(B)'!$Q:$Q,$J13,'자가소비(B)'!$C:$C,$L$1),
    SUMIFS('PPA 사업(C)'!$I:$I,'PPA 사업(C)'!$G:$G,AC$2,'PPA 사업(C)'!$Q:$Q,$J13,'PPA 사업(C)'!$C:$C,$L$1),
    SUMIFS('리스사업(D)'!$I:$I,'리스사업(D)'!$G:$G,AC$2,'리스사업(D)'!$Q:$Q,$J13,'리스사업(D)'!$C:$C,$L$1),
    SUMIFS('임대사업(E)'!$I:$I,'임대사업(E)'!$G:$G,AC$2,'임대사업(E)'!$Q:$Q,$J13,'임대사업(E)'!$C:$C,$L$1),
    SUMIFS('환경부사업(F)'!$I:$I,'환경부사업(F)'!$G:$G,AC$2,'환경부사업(F)'!$Q:$Q,$J13,'환경부사업(F)'!$C:$C,$L$1),
    SUMIFS('프로젝트(G)'!$I:$I,'프로젝트(G)'!$G:$G,AC$2,'프로젝트(G)'!$Q:$Q,$J13,'프로젝트(G)'!$C:$C,$L$1),
    SUMIFS('협력사 EPC(H)'!$I:$I,'협력사 EPC(H)'!$G:$G,AC$2,'협력사 EPC(H)'!$Q:$Q,$J13,'협력사 EPC(H)'!$C:$C,$L$1),
    SUMIFS('기타(Z)'!$I:$I,'기타(Z)'!$G:$G,AC$2,'기타(Z)'!$Q:$Q,$J13,'기타(Z)'!$C:$C,$L$1)
  )=0,
  "",
  SUM(
    SUMIFS('발전사업(A)'!$I:$I,'발전사업(A)'!$G:$G,AC$2,'발전사업(A)'!$Q:$Q,$J13,'발전사업(A)'!$C:$C,$L$1),
    SUMIFS('자가소비(B)'!$I:$I,'자가소비(B)'!$G:$G,AC$2,'자가소비(B)'!$Q:$Q,$J13,'자가소비(B)'!$C:$C,$L$1),
    SUMIFS('PPA 사업(C)'!$I:$I,'PPA 사업(C)'!$G:$G,AC$2,'PPA 사업(C)'!$Q:$Q,$J13,'PPA 사업(C)'!$C:$C,$L$1),
    SUMIFS('리스사업(D)'!$I:$I,'리스사업(D)'!$G:$G,AC$2,'리스사업(D)'!$Q:$Q,$J13,'리스사업(D)'!$C:$C,$L$1),
    SUMIFS('임대사업(E)'!$I:$I,'임대사업(E)'!$G:$G,AC$2,'임대사업(E)'!$Q:$Q,$J13,'임대사업(E)'!$C:$C,$L$1),
    SUMIFS('환경부사업(F)'!$I:$I,'환경부사업(F)'!$G:$G,AC$2,'환경부사업(F)'!$Q:$Q,$J13,'환경부사업(F)'!$C:$C,$L$1),
    SUMIFS('프로젝트(G)'!$I:$I,'프로젝트(G)'!$G:$G,AC$2,'프로젝트(G)'!$Q:$Q,$J13,'프로젝트(G)'!$C:$C,$L$1),
    SUMIFS('협력사 EPC(H)'!$I:$I,'협력사 EPC(H)'!$G:$G,AC$2,'협력사 EPC(H)'!$Q:$Q,$J13,'협력사 EPC(H)'!$C:$C,$L$1),
    SUMIFS('기타(Z)'!$I:$I,'기타(Z)'!$G:$G,AC$2,'기타(Z)'!$Q:$Q,$J13,'기타(Z)'!$C:$C,$L$1)
  )
)</f>
        <v>319.91999999999996</v>
      </c>
      <c r="AD13" s="356">
        <f>IF(
  SUM(
    COUNTIFS('발전사업(A)'!$G:$G, AC$2, '발전사업(A)'!$Q:$Q, $J13, '발전사업(A)'!$C:$C, $L$1),
    COUNTIFS('자가소비(B)'!$G:$G, AC$2, '자가소비(B)'!$Q:$Q, $J13, '자가소비(B)'!$C:$C, $L$1),
    COUNTIFS('PPA 사업(C)'!$G:$G, AC$2, 'PPA 사업(C)'!$Q:$Q, $J13, 'PPA 사업(C)'!$C:$C, $L$1),
    COUNTIFS('리스사업(D)'!$G:$G, AC$2, '리스사업(D)'!$Q:$Q, $J13, '리스사업(D)'!$C:$C, $L$1),
    COUNTIFS('임대사업(E)'!$G:$G, AC$2, '임대사업(E)'!$Q:$Q, $J13, '임대사업(E)'!$C:$C, $L$1),
    COUNTIFS('환경부사업(F)'!$G:$G, AC$2, '환경부사업(F)'!$Q:$Q, $J13, '환경부사업(F)'!$C:$C, $L$1),
    COUNTIFS('프로젝트(G)'!$G:$G, AC$2, '프로젝트(G)'!$Q:$Q, $J13, '프로젝트(G)'!$C:$C, $L$1),
    COUNTIFS('협력사 EPC(H)'!$G:$G, AC$2, '협력사 EPC(H)'!$Q:$Q, $J13, '협력사 EPC(H)'!$C:$C, $L$1),
    COUNTIFS('기타(Z)'!$G:$G, AC$2, '기타(Z)'!$Q:$Q, $J13, '기타(Z)'!$C:$C, $L$1)
  ) = 0,
  "",
  COUNTIFS('발전사업(A)'!$G:$G, AC$2, '발전사업(A)'!$Q:$Q, $J13, '발전사업(A)'!$C:$C, $L$1)
  + COUNTIFS('자가소비(B)'!$G:$G, AC$2, '자가소비(B)'!$Q:$Q, $J13, '자가소비(B)'!$C:$C, $L$1)
  + COUNTIFS('PPA 사업(C)'!$G:$G, AC$2, 'PPA 사업(C)'!$Q:$Q, $J13, 'PPA 사업(C)'!$C:$C, $L$1)
  + COUNTIFS('리스사업(D)'!$G:$G, AC$2, '리스사업(D)'!$Q:$Q, $J13, '리스사업(D)'!$C:$C, $L$1)
  + COUNTIFS('임대사업(E)'!$G:$G, AC$2, '임대사업(E)'!$Q:$Q, $J13, '임대사업(E)'!$C:$C, $L$1)
  + COUNTIFS('환경부사업(F)'!$G:$G, AC$2, '환경부사업(F)'!$Q:$Q, $J13, '환경부사업(F)'!$C:$C, $L$1)
  + COUNTIFS('프로젝트(G)'!$G:$G, AC$2, '프로젝트(G)'!$Q:$Q, $J13, '프로젝트(G)'!$C:$C, $L$1)
  + COUNTIFS('협력사 EPC(H)'!$G:$G, AC$2, '협력사 EPC(H)'!$Q:$Q, $J13, '협력사 EPC(H)'!$C:$C, $L$1)
  + COUNTIFS('기타(Z)'!$G:$G, AC$2, '기타(Z)'!$Q:$Q, $J13, '기타(Z)'!$C:$C, $L$1)
)</f>
        <v>2</v>
      </c>
      <c r="AE13" s="359" t="str">
        <f>IF(
  SUM(
    SUMIFS('발전사업(A)'!$I:$I,'발전사업(A)'!$G:$G,AE$2,'발전사업(A)'!$Q:$Q,$J13,'발전사업(A)'!$C:$C,$L$1),
    SUMIFS('자가소비(B)'!$I:$I,'자가소비(B)'!$G:$G,AE$2,'자가소비(B)'!$Q:$Q,$J13,'자가소비(B)'!$C:$C,$L$1),
    SUMIFS('PPA 사업(C)'!$I:$I,'PPA 사업(C)'!$G:$G,AE$2,'PPA 사업(C)'!$Q:$Q,$J13,'PPA 사업(C)'!$C:$C,$L$1),
    SUMIFS('리스사업(D)'!$I:$I,'리스사업(D)'!$G:$G,AE$2,'리스사업(D)'!$Q:$Q,$J13,'리스사업(D)'!$C:$C,$L$1),
    SUMIFS('임대사업(E)'!$I:$I,'임대사업(E)'!$G:$G,AE$2,'임대사업(E)'!$Q:$Q,$J13,'임대사업(E)'!$C:$C,$L$1),
    SUMIFS('환경부사업(F)'!$I:$I,'환경부사업(F)'!$G:$G,AE$2,'환경부사업(F)'!$Q:$Q,$J13,'환경부사업(F)'!$C:$C,$L$1),
    SUMIFS('프로젝트(G)'!$I:$I,'프로젝트(G)'!$G:$G,AE$2,'프로젝트(G)'!$Q:$Q,$J13,'프로젝트(G)'!$C:$C,$L$1),
    SUMIFS('협력사 EPC(H)'!$I:$I,'협력사 EPC(H)'!$G:$G,AE$2,'협력사 EPC(H)'!$Q:$Q,$J13,'협력사 EPC(H)'!$C:$C,$L$1),
    SUMIFS('기타(Z)'!$I:$I,'기타(Z)'!$G:$G,AE$2,'기타(Z)'!$Q:$Q,$J13,'기타(Z)'!$C:$C,$L$1)
  )=0,
  "",
  SUM(
    SUMIFS('발전사업(A)'!$I:$I,'발전사업(A)'!$G:$G,AE$2,'발전사업(A)'!$Q:$Q,$J13,'발전사업(A)'!$C:$C,$L$1),
    SUMIFS('자가소비(B)'!$I:$I,'자가소비(B)'!$G:$G,AE$2,'자가소비(B)'!$Q:$Q,$J13,'자가소비(B)'!$C:$C,$L$1),
    SUMIFS('PPA 사업(C)'!$I:$I,'PPA 사업(C)'!$G:$G,AE$2,'PPA 사업(C)'!$Q:$Q,$J13,'PPA 사업(C)'!$C:$C,$L$1),
    SUMIFS('리스사업(D)'!$I:$I,'리스사업(D)'!$G:$G,AE$2,'리스사업(D)'!$Q:$Q,$J13,'리스사업(D)'!$C:$C,$L$1),
    SUMIFS('임대사업(E)'!$I:$I,'임대사업(E)'!$G:$G,AE$2,'임대사업(E)'!$Q:$Q,$J13,'임대사업(E)'!$C:$C,$L$1),
    SUMIFS('환경부사업(F)'!$I:$I,'환경부사업(F)'!$G:$G,AE$2,'환경부사업(F)'!$Q:$Q,$J13,'환경부사업(F)'!$C:$C,$L$1),
    SUMIFS('프로젝트(G)'!$I:$I,'프로젝트(G)'!$G:$G,AE$2,'프로젝트(G)'!$Q:$Q,$J13,'프로젝트(G)'!$C:$C,$L$1),
    SUMIFS('협력사 EPC(H)'!$I:$I,'협력사 EPC(H)'!$G:$G,AE$2,'협력사 EPC(H)'!$Q:$Q,$J13,'협력사 EPC(H)'!$C:$C,$L$1),
    SUMIFS('기타(Z)'!$I:$I,'기타(Z)'!$G:$G,AE$2,'기타(Z)'!$Q:$Q,$J13,'기타(Z)'!$C:$C,$L$1)
  )
)</f>
        <v/>
      </c>
      <c r="AF13" s="356" t="str">
        <f>IF(
  SUM(
    COUNTIFS('발전사업(A)'!$G:$G, AE$2, '발전사업(A)'!$Q:$Q, $J13, '발전사업(A)'!$C:$C, $L$1),
    COUNTIFS('자가소비(B)'!$G:$G, AE$2, '자가소비(B)'!$Q:$Q, $J13, '자가소비(B)'!$C:$C, $L$1),
    COUNTIFS('PPA 사업(C)'!$G:$G, AE$2, 'PPA 사업(C)'!$Q:$Q, $J13, 'PPA 사업(C)'!$C:$C, $L$1),
    COUNTIFS('리스사업(D)'!$G:$G, AE$2, '리스사업(D)'!$Q:$Q, $J13, '리스사업(D)'!$C:$C, $L$1),
    COUNTIFS('임대사업(E)'!$G:$G, AE$2, '임대사업(E)'!$Q:$Q, $J13, '임대사업(E)'!$C:$C, $L$1),
    COUNTIFS('환경부사업(F)'!$G:$G, AE$2, '환경부사업(F)'!$Q:$Q, $J13, '환경부사업(F)'!$C:$C, $L$1),
    COUNTIFS('프로젝트(G)'!$G:$G, AE$2, '프로젝트(G)'!$Q:$Q, $J13, '프로젝트(G)'!$C:$C, $L$1),
    COUNTIFS('협력사 EPC(H)'!$G:$G, AE$2, '협력사 EPC(H)'!$Q:$Q, $J13, '협력사 EPC(H)'!$C:$C, $L$1),
    COUNTIFS('기타(Z)'!$G:$G, AE$2, '기타(Z)'!$Q:$Q, $J13, '기타(Z)'!$C:$C, $L$1)
  ) = 0,
  "",
  COUNTIFS('발전사업(A)'!$G:$G, AE$2, '발전사업(A)'!$Q:$Q, $J13, '발전사업(A)'!$C:$C, $L$1)
  + COUNTIFS('자가소비(B)'!$G:$G, AE$2, '자가소비(B)'!$Q:$Q, $J13, '자가소비(B)'!$C:$C, $L$1)
  + COUNTIFS('PPA 사업(C)'!$G:$G, AE$2, 'PPA 사업(C)'!$Q:$Q, $J13, 'PPA 사업(C)'!$C:$C, $L$1)
  + COUNTIFS('리스사업(D)'!$G:$G, AE$2, '리스사업(D)'!$Q:$Q, $J13, '리스사업(D)'!$C:$C, $L$1)
  + COUNTIFS('임대사업(E)'!$G:$G, AE$2, '임대사업(E)'!$Q:$Q, $J13, '임대사업(E)'!$C:$C, $L$1)
  + COUNTIFS('환경부사업(F)'!$G:$G, AE$2, '환경부사업(F)'!$Q:$Q, $J13, '환경부사업(F)'!$C:$C, $L$1)
  + COUNTIFS('프로젝트(G)'!$G:$G, AE$2, '프로젝트(G)'!$Q:$Q, $J13, '프로젝트(G)'!$C:$C, $L$1)
  + COUNTIFS('협력사 EPC(H)'!$G:$G, AE$2, '협력사 EPC(H)'!$Q:$Q, $J13, '협력사 EPC(H)'!$C:$C, $L$1)
  + COUNTIFS('기타(Z)'!$G:$G, AE$2, '기타(Z)'!$Q:$Q, $J13, '기타(Z)'!$C:$C, $L$1)
)</f>
        <v/>
      </c>
      <c r="AG13" s="359" t="str">
        <f>IF(
  SUM(
    SUMIFS('발전사업(A)'!$I:$I,'발전사업(A)'!$G:$G,AG$2,'발전사업(A)'!$Q:$Q,$J13,'발전사업(A)'!$C:$C,$L$1),
    SUMIFS('자가소비(B)'!$I:$I,'자가소비(B)'!$G:$G,AG$2,'자가소비(B)'!$Q:$Q,$J13,'자가소비(B)'!$C:$C,$L$1),
    SUMIFS('PPA 사업(C)'!$I:$I,'PPA 사업(C)'!$G:$G,AG$2,'PPA 사업(C)'!$Q:$Q,$J13,'PPA 사업(C)'!$C:$C,$L$1),
    SUMIFS('리스사업(D)'!$I:$I,'리스사업(D)'!$G:$G,AG$2,'리스사업(D)'!$Q:$Q,$J13,'리스사업(D)'!$C:$C,$L$1),
    SUMIFS('임대사업(E)'!$I:$I,'임대사업(E)'!$G:$G,AG$2,'임대사업(E)'!$Q:$Q,$J13,'임대사업(E)'!$C:$C,$L$1),
    SUMIFS('환경부사업(F)'!$I:$I,'환경부사업(F)'!$G:$G,AG$2,'환경부사업(F)'!$Q:$Q,$J13,'환경부사업(F)'!$C:$C,$L$1),
    SUMIFS('프로젝트(G)'!$I:$I,'프로젝트(G)'!$G:$G,AG$2,'프로젝트(G)'!$Q:$Q,$J13,'프로젝트(G)'!$C:$C,$L$1),
    SUMIFS('협력사 EPC(H)'!$I:$I,'협력사 EPC(H)'!$G:$G,AG$2,'협력사 EPC(H)'!$Q:$Q,$J13,'협력사 EPC(H)'!$C:$C,$L$1),
    SUMIFS('기타(Z)'!$I:$I,'기타(Z)'!$G:$G,AG$2,'기타(Z)'!$Q:$Q,$J13,'기타(Z)'!$C:$C,$L$1)
  )=0,
  "",
  SUM(
    SUMIFS('발전사업(A)'!$I:$I,'발전사업(A)'!$G:$G,AG$2,'발전사업(A)'!$Q:$Q,$J13,'발전사업(A)'!$C:$C,$L$1),
    SUMIFS('자가소비(B)'!$I:$I,'자가소비(B)'!$G:$G,AG$2,'자가소비(B)'!$Q:$Q,$J13,'자가소비(B)'!$C:$C,$L$1),
    SUMIFS('PPA 사업(C)'!$I:$I,'PPA 사업(C)'!$G:$G,AG$2,'PPA 사업(C)'!$Q:$Q,$J13,'PPA 사업(C)'!$C:$C,$L$1),
    SUMIFS('리스사업(D)'!$I:$I,'리스사업(D)'!$G:$G,AG$2,'리스사업(D)'!$Q:$Q,$J13,'리스사업(D)'!$C:$C,$L$1),
    SUMIFS('임대사업(E)'!$I:$I,'임대사업(E)'!$G:$G,AG$2,'임대사업(E)'!$Q:$Q,$J13,'임대사업(E)'!$C:$C,$L$1),
    SUMIFS('환경부사업(F)'!$I:$I,'환경부사업(F)'!$G:$G,AG$2,'환경부사업(F)'!$Q:$Q,$J13,'환경부사업(F)'!$C:$C,$L$1),
    SUMIFS('프로젝트(G)'!$I:$I,'프로젝트(G)'!$G:$G,AG$2,'프로젝트(G)'!$Q:$Q,$J13,'프로젝트(G)'!$C:$C,$L$1),
    SUMIFS('협력사 EPC(H)'!$I:$I,'협력사 EPC(H)'!$G:$G,AG$2,'협력사 EPC(H)'!$Q:$Q,$J13,'협력사 EPC(H)'!$C:$C,$L$1),
    SUMIFS('기타(Z)'!$I:$I,'기타(Z)'!$G:$G,AG$2,'기타(Z)'!$Q:$Q,$J13,'기타(Z)'!$C:$C,$L$1)
  )
)</f>
        <v/>
      </c>
      <c r="AH13" s="356" t="str">
        <f>IF(
  SUM(
    COUNTIFS('발전사업(A)'!$G:$G, AG$2, '발전사업(A)'!$Q:$Q, $J13, '발전사업(A)'!$C:$C, $L$1),
    COUNTIFS('자가소비(B)'!$G:$G, AG$2, '자가소비(B)'!$Q:$Q, $J13, '자가소비(B)'!$C:$C, $L$1),
    COUNTIFS('PPA 사업(C)'!$G:$G, AG$2, 'PPA 사업(C)'!$Q:$Q, $J13, 'PPA 사업(C)'!$C:$C, $L$1),
    COUNTIFS('리스사업(D)'!$G:$G, AG$2, '리스사업(D)'!$Q:$Q, $J13, '리스사업(D)'!$C:$C, $L$1),
    COUNTIFS('임대사업(E)'!$G:$G, AG$2, '임대사업(E)'!$Q:$Q, $J13, '임대사업(E)'!$C:$C, $L$1),
    COUNTIFS('환경부사업(F)'!$G:$G, AG$2, '환경부사업(F)'!$Q:$Q, $J13, '환경부사업(F)'!$C:$C, $L$1),
    COUNTIFS('프로젝트(G)'!$G:$G, AG$2, '프로젝트(G)'!$Q:$Q, $J13, '프로젝트(G)'!$C:$C, $L$1),
    COUNTIFS('협력사 EPC(H)'!$G:$G, AG$2, '협력사 EPC(H)'!$Q:$Q, $J13, '협력사 EPC(H)'!$C:$C, $L$1),
    COUNTIFS('기타(Z)'!$G:$G, AG$2, '기타(Z)'!$Q:$Q, $J13, '기타(Z)'!$C:$C, $L$1)
  ) = 0,
  "",
  COUNTIFS('발전사업(A)'!$G:$G, AG$2, '발전사업(A)'!$Q:$Q, $J13, '발전사업(A)'!$C:$C, $L$1)
  + COUNTIFS('자가소비(B)'!$G:$G, AG$2, '자가소비(B)'!$Q:$Q, $J13, '자가소비(B)'!$C:$C, $L$1)
  + COUNTIFS('PPA 사업(C)'!$G:$G, AG$2, 'PPA 사업(C)'!$Q:$Q, $J13, 'PPA 사업(C)'!$C:$C, $L$1)
  + COUNTIFS('리스사업(D)'!$G:$G, AG$2, '리스사업(D)'!$Q:$Q, $J13, '리스사업(D)'!$C:$C, $L$1)
  + COUNTIFS('임대사업(E)'!$G:$G, AG$2, '임대사업(E)'!$Q:$Q, $J13, '임대사업(E)'!$C:$C, $L$1)
  + COUNTIFS('환경부사업(F)'!$G:$G, AG$2, '환경부사업(F)'!$Q:$Q, $J13, '환경부사업(F)'!$C:$C, $L$1)
  + COUNTIFS('프로젝트(G)'!$G:$G, AG$2, '프로젝트(G)'!$Q:$Q, $J13, '프로젝트(G)'!$C:$C, $L$1)
  + COUNTIFS('협력사 EPC(H)'!$G:$G, AG$2, '협력사 EPC(H)'!$Q:$Q, $J13, '협력사 EPC(H)'!$C:$C, $L$1)
  + COUNTIFS('기타(Z)'!$G:$G, AG$2, '기타(Z)'!$Q:$Q, $J13, '기타(Z)'!$C:$C, $L$1)
)</f>
        <v/>
      </c>
      <c r="AI13" s="359" t="str">
        <f>IF(
  SUM(
    SUMIFS('발전사업(A)'!$I:$I,'발전사업(A)'!$G:$G,AI$2,'발전사업(A)'!$Q:$Q,$J13,'발전사업(A)'!$C:$C,$L$1),
    SUMIFS('자가소비(B)'!$I:$I,'자가소비(B)'!$G:$G,AI$2,'자가소비(B)'!$Q:$Q,$J13,'자가소비(B)'!$C:$C,$L$1),
    SUMIFS('PPA 사업(C)'!$I:$I,'PPA 사업(C)'!$G:$G,AI$2,'PPA 사업(C)'!$Q:$Q,$J13,'PPA 사업(C)'!$C:$C,$L$1),
    SUMIFS('리스사업(D)'!$I:$I,'리스사업(D)'!$G:$G,AI$2,'리스사업(D)'!$Q:$Q,$J13,'리스사업(D)'!$C:$C,$L$1),
    SUMIFS('임대사업(E)'!$I:$I,'임대사업(E)'!$G:$G,AI$2,'임대사업(E)'!$Q:$Q,$J13,'임대사업(E)'!$C:$C,$L$1),
    SUMIFS('환경부사업(F)'!$I:$I,'환경부사업(F)'!$G:$G,AI$2,'환경부사업(F)'!$Q:$Q,$J13,'환경부사업(F)'!$C:$C,$L$1),
    SUMIFS('프로젝트(G)'!$I:$I,'프로젝트(G)'!$G:$G,AI$2,'프로젝트(G)'!$Q:$Q,$J13,'프로젝트(G)'!$C:$C,$L$1),
    SUMIFS('협력사 EPC(H)'!$I:$I,'협력사 EPC(H)'!$G:$G,AI$2,'협력사 EPC(H)'!$Q:$Q,$J13,'협력사 EPC(H)'!$C:$C,$L$1),
    SUMIFS('기타(Z)'!$I:$I,'기타(Z)'!$G:$G,AI$2,'기타(Z)'!$Q:$Q,$J13,'기타(Z)'!$C:$C,$L$1)
  )=0,
  "",
  SUM(
    SUMIFS('발전사업(A)'!$I:$I,'발전사업(A)'!$G:$G,AI$2,'발전사업(A)'!$Q:$Q,$J13,'발전사업(A)'!$C:$C,$L$1),
    SUMIFS('자가소비(B)'!$I:$I,'자가소비(B)'!$G:$G,AI$2,'자가소비(B)'!$Q:$Q,$J13,'자가소비(B)'!$C:$C,$L$1),
    SUMIFS('PPA 사업(C)'!$I:$I,'PPA 사업(C)'!$G:$G,AI$2,'PPA 사업(C)'!$Q:$Q,$J13,'PPA 사업(C)'!$C:$C,$L$1),
    SUMIFS('리스사업(D)'!$I:$I,'리스사업(D)'!$G:$G,AI$2,'리스사업(D)'!$Q:$Q,$J13,'리스사업(D)'!$C:$C,$L$1),
    SUMIFS('임대사업(E)'!$I:$I,'임대사업(E)'!$G:$G,AI$2,'임대사업(E)'!$Q:$Q,$J13,'임대사업(E)'!$C:$C,$L$1),
    SUMIFS('환경부사업(F)'!$I:$I,'환경부사업(F)'!$G:$G,AI$2,'환경부사업(F)'!$Q:$Q,$J13,'환경부사업(F)'!$C:$C,$L$1),
    SUMIFS('프로젝트(G)'!$I:$I,'프로젝트(G)'!$G:$G,AI$2,'프로젝트(G)'!$Q:$Q,$J13,'프로젝트(G)'!$C:$C,$L$1),
    SUMIFS('협력사 EPC(H)'!$I:$I,'협력사 EPC(H)'!$G:$G,AI$2,'협력사 EPC(H)'!$Q:$Q,$J13,'협력사 EPC(H)'!$C:$C,$L$1),
    SUMIFS('기타(Z)'!$I:$I,'기타(Z)'!$G:$G,AI$2,'기타(Z)'!$Q:$Q,$J13,'기타(Z)'!$C:$C,$L$1)
  )
)</f>
        <v/>
      </c>
      <c r="AJ13" s="357" t="str">
        <f>IF(
  SUM(
    COUNTIFS('발전사업(A)'!$G:$G, AI$2, '발전사업(A)'!$Q:$Q, $J13, '발전사업(A)'!$C:$C, $L$1),
    COUNTIFS('자가소비(B)'!$G:$G, AI$2, '자가소비(B)'!$Q:$Q, $J13, '자가소비(B)'!$C:$C, $L$1),
    COUNTIFS('PPA 사업(C)'!$G:$G, AI$2, 'PPA 사업(C)'!$Q:$Q, $J13, 'PPA 사업(C)'!$C:$C, $L$1),
    COUNTIFS('리스사업(D)'!$G:$G, AI$2, '리스사업(D)'!$Q:$Q, $J13, '리스사업(D)'!$C:$C, $L$1),
    COUNTIFS('임대사업(E)'!$G:$G, AI$2, '임대사업(E)'!$Q:$Q, $J13, '임대사업(E)'!$C:$C, $L$1),
    COUNTIFS('환경부사업(F)'!$G:$G, AI$2, '환경부사업(F)'!$Q:$Q, $J13, '환경부사업(F)'!$C:$C, $L$1),
    COUNTIFS('프로젝트(G)'!$G:$G, AI$2, '프로젝트(G)'!$Q:$Q, $J13, '프로젝트(G)'!$C:$C, $L$1),
    COUNTIFS('협력사 EPC(H)'!$G:$G, AI$2, '협력사 EPC(H)'!$Q:$Q, $J13, '협력사 EPC(H)'!$C:$C, $L$1),
    COUNTIFS('기타(Z)'!$G:$G, AI$2, '기타(Z)'!$Q:$Q, $J13, '기타(Z)'!$C:$C, $L$1)
  ) = 0,
  "",
  COUNTIFS('발전사업(A)'!$G:$G, AI$2, '발전사업(A)'!$Q:$Q, $J13, '발전사업(A)'!$C:$C, $L$1)
  + COUNTIFS('자가소비(B)'!$G:$G, AI$2, '자가소비(B)'!$Q:$Q, $J13, '자가소비(B)'!$C:$C, $L$1)
  + COUNTIFS('PPA 사업(C)'!$G:$G, AI$2, 'PPA 사업(C)'!$Q:$Q, $J13, 'PPA 사업(C)'!$C:$C, $L$1)
  + COUNTIFS('리스사업(D)'!$G:$G, AI$2, '리스사업(D)'!$Q:$Q, $J13, '리스사업(D)'!$C:$C, $L$1)
  + COUNTIFS('임대사업(E)'!$G:$G, AI$2, '임대사업(E)'!$Q:$Q, $J13, '임대사업(E)'!$C:$C, $L$1)
  + COUNTIFS('환경부사업(F)'!$G:$G, AI$2, '환경부사업(F)'!$Q:$Q, $J13, '환경부사업(F)'!$C:$C, $L$1)
  + COUNTIFS('프로젝트(G)'!$G:$G, AI$2, '프로젝트(G)'!$Q:$Q, $J13, '프로젝트(G)'!$C:$C, $L$1)
  + COUNTIFS('협력사 EPC(H)'!$G:$G, AI$2, '협력사 EPC(H)'!$Q:$Q, $J13, '협력사 EPC(H)'!$C:$C, $L$1)
  + COUNTIFS('기타(Z)'!$G:$G, AI$2, '기타(Z)'!$Q:$Q, $J13, '기타(Z)'!$C:$C, $L$1)
)</f>
        <v/>
      </c>
    </row>
    <row r="14" spans="2:36" ht="16.5" x14ac:dyDescent="0.25">
      <c r="J14" s="370" t="s">
        <v>201</v>
      </c>
      <c r="K14" s="354">
        <f t="shared" si="5"/>
        <v>4097.6850000000004</v>
      </c>
      <c r="L14" s="348">
        <f t="shared" ref="L14:L21" si="6">IF(
  SUM(
    IFERROR(VALUE(SUBSTITUTE(N14,"건","")),0),
    IFERROR(VALUE(SUBSTITUTE(P14,"건","")),0),
    IFERROR(VALUE(SUBSTITUTE(R14,"건","")),0),
    IFERROR(VALUE(SUBSTITUTE(T14,"건","")),0),
    IFERROR(VALUE(SUBSTITUTE(V14,"건","")),0),
    IFERROR(VALUE(SUBSTITUTE(X14,"건","")),0),
    IFERROR(VALUE(SUBSTITUTE(Z14,"건","")),0),
    IFERROR(VALUE(SUBSTITUTE(AB14,"건","")),0),
    IFERROR(VALUE(SUBSTITUTE(AD14,"건","")),0),
    IFERROR(VALUE(SUBSTITUTE(AF14,"건","")),0),
    IFERROR(VALUE(SUBSTITUTE(AH14,"건","")),0),
    IFERROR(VALUE(SUBSTITUTE(AJ14,"건","")),0)
  )=0,
  "",
  SUM(
    IFERROR(VALUE(SUBSTITUTE(N14,"건","")),0),
    IFERROR(VALUE(SUBSTITUTE(P14,"건","")),0),
    IFERROR(VALUE(SUBSTITUTE(R14,"건","")),0),
    IFERROR(VALUE(SUBSTITUTE(T14,"건","")),0),
    IFERROR(VALUE(SUBSTITUTE(V14,"건","")),0),
    IFERROR(VALUE(SUBSTITUTE(X14,"건","")),0),
    IFERROR(VALUE(SUBSTITUTE(Z14,"건","")),0),
    IFERROR(VALUE(SUBSTITUTE(AB14,"건","")),0),
    IFERROR(VALUE(SUBSTITUTE(AD14,"건","")),0),
    IFERROR(VALUE(SUBSTITUTE(AF14,"건","")),0),
    IFERROR(VALUE(SUBSTITUTE(AH14,"건","")),0),
    IFERROR(VALUE(SUBSTITUTE(AJ14,"건","")),0)
  )
)</f>
        <v>8</v>
      </c>
      <c r="M14" s="366">
        <f>IF(
  SUM(
    SUMIFS('발전사업(A)'!$I:$I,'발전사업(A)'!$G:$G,M$2,'발전사업(A)'!$Q:$Q,$J14,'발전사업(A)'!$C:$C,$L$1),
    SUMIFS('자가소비(B)'!$I:$I,'자가소비(B)'!$G:$G,M$2,'자가소비(B)'!$Q:$Q,$J14,'자가소비(B)'!$C:$C,$L$1),
    SUMIFS('PPA 사업(C)'!$I:$I,'PPA 사업(C)'!$G:$G,M$2,'PPA 사업(C)'!$Q:$Q,$J14,'PPA 사업(C)'!$C:$C,$L$1),
    SUMIFS('리스사업(D)'!$I:$I,'리스사업(D)'!$G:$G,M$2,'리스사업(D)'!$Q:$Q,$J14,'리스사업(D)'!$C:$C,$L$1),
    SUMIFS('임대사업(E)'!$I:$I,'임대사업(E)'!$G:$G,M$2,'임대사업(E)'!$Q:$Q,$J14,'임대사업(E)'!$C:$C,$L$1),
    SUMIFS('환경부사업(F)'!$I:$I,'환경부사업(F)'!$G:$G,M$2,'환경부사업(F)'!$Q:$Q,$J14,'환경부사업(F)'!$C:$C,$L$1),
    SUMIFS('프로젝트(G)'!$I:$I,'프로젝트(G)'!$G:$G,M$2,'프로젝트(G)'!$Q:$Q,$J14,'프로젝트(G)'!$C:$C,$L$1),
    SUMIFS('협력사 EPC(H)'!$I:$I,'협력사 EPC(H)'!$G:$G,M$2,'협력사 EPC(H)'!$Q:$Q,$J14,'협력사 EPC(H)'!$C:$C,$L$1),
    SUMIFS('기타(Z)'!$I:$I,'기타(Z)'!$G:$G,M$2,'기타(Z)'!$Q:$Q,$J14,'기타(Z)'!$C:$C,$L$1)
  )=0,
  "",
  SUM(
    SUMIFS('발전사업(A)'!$I:$I,'발전사업(A)'!$G:$G,M$2,'발전사업(A)'!$Q:$Q,$J14,'발전사업(A)'!$C:$C,$L$1),
    SUMIFS('자가소비(B)'!$I:$I,'자가소비(B)'!$G:$G,M$2,'자가소비(B)'!$Q:$Q,$J14,'자가소비(B)'!$C:$C,$L$1),
    SUMIFS('PPA 사업(C)'!$I:$I,'PPA 사업(C)'!$G:$G,M$2,'PPA 사업(C)'!$Q:$Q,$J14,'PPA 사업(C)'!$C:$C,$L$1),
    SUMIFS('리스사업(D)'!$I:$I,'리스사업(D)'!$G:$G,M$2,'리스사업(D)'!$Q:$Q,$J14,'리스사업(D)'!$C:$C,$L$1),
    SUMIFS('임대사업(E)'!$I:$I,'임대사업(E)'!$G:$G,M$2,'임대사업(E)'!$Q:$Q,$J14,'임대사업(E)'!$C:$C,$L$1),
    SUMIFS('환경부사업(F)'!$I:$I,'환경부사업(F)'!$G:$G,M$2,'환경부사업(F)'!$Q:$Q,$J14,'환경부사업(F)'!$C:$C,$L$1),
    SUMIFS('프로젝트(G)'!$I:$I,'프로젝트(G)'!$G:$G,M$2,'프로젝트(G)'!$Q:$Q,$J14,'프로젝트(G)'!$C:$C,$L$1),
    SUMIFS('협력사 EPC(H)'!$I:$I,'협력사 EPC(H)'!$G:$G,M$2,'협력사 EPC(H)'!$Q:$Q,$J14,'협력사 EPC(H)'!$C:$C,$L$1),
    SUMIFS('기타(Z)'!$I:$I,'기타(Z)'!$G:$G,M$2,'기타(Z)'!$Q:$Q,$J14,'기타(Z)'!$C:$C,$L$1)
  )
)</f>
        <v>413.44499999999999</v>
      </c>
      <c r="N14" s="367">
        <f>IF(
  SUM(
    COUNTIFS('발전사업(A)'!$G:$G, M$2, '발전사업(A)'!$Q:$Q, $J14, '발전사업(A)'!$C:$C, $L$1),
    COUNTIFS('자가소비(B)'!$G:$G, M$2, '자가소비(B)'!$Q:$Q, $J14, '자가소비(B)'!$C:$C, $L$1),
    COUNTIFS('PPA 사업(C)'!$G:$G, M$2, 'PPA 사업(C)'!$Q:$Q, $J14, 'PPA 사업(C)'!$C:$C, $L$1),
    COUNTIFS('리스사업(D)'!$G:$G, M$2, '리스사업(D)'!$Q:$Q, $J14, '리스사업(D)'!$C:$C, $L$1),
    COUNTIFS('임대사업(E)'!$G:$G, M$2, '임대사업(E)'!$Q:$Q, $J14, '임대사업(E)'!$C:$C, $L$1),
    COUNTIFS('환경부사업(F)'!$G:$G, M$2, '환경부사업(F)'!$Q:$Q, $J14, '환경부사업(F)'!$C:$C, $L$1),
    COUNTIFS('프로젝트(G)'!$G:$G, M$2, '프로젝트(G)'!$Q:$Q, $J14, '프로젝트(G)'!$C:$C, $L$1),
    COUNTIFS('협력사 EPC(H)'!$G:$G, M$2, '협력사 EPC(H)'!$Q:$Q, $J14, '협력사 EPC(H)'!$C:$C, $L$1),
    COUNTIFS('기타(Z)'!$G:$G, M$2, '기타(Z)'!$Q:$Q, $J14, '기타(Z)'!$C:$C, $L$1)
  ) = 0,
  "",
  COUNTIFS('발전사업(A)'!$G:$G, M$2, '발전사업(A)'!$Q:$Q, $J14, '발전사업(A)'!$C:$C, $L$1)
  + COUNTIFS('자가소비(B)'!$G:$G, M$2, '자가소비(B)'!$Q:$Q, $J14, '자가소비(B)'!$C:$C, $L$1)
  + COUNTIFS('PPA 사업(C)'!$G:$G, M$2, 'PPA 사업(C)'!$Q:$Q, $J14, 'PPA 사업(C)'!$C:$C, $L$1)
  + COUNTIFS('리스사업(D)'!$G:$G, M$2, '리스사업(D)'!$Q:$Q, $J14, '리스사업(D)'!$C:$C, $L$1)
  + COUNTIFS('임대사업(E)'!$G:$G, M$2, '임대사업(E)'!$Q:$Q, $J14, '임대사업(E)'!$C:$C, $L$1)
  + COUNTIFS('환경부사업(F)'!$G:$G, M$2, '환경부사업(F)'!$Q:$Q, $J14, '환경부사업(F)'!$C:$C, $L$1)
  + COUNTIFS('프로젝트(G)'!$G:$G, M$2, '프로젝트(G)'!$Q:$Q, $J14, '프로젝트(G)'!$C:$C, $L$1)
  + COUNTIFS('협력사 EPC(H)'!$G:$G, M$2, '협력사 EPC(H)'!$Q:$Q, $J14, '협력사 EPC(H)'!$C:$C, $L$1)
  + COUNTIFS('기타(Z)'!$G:$G, M$2, '기타(Z)'!$Q:$Q, $J14, '기타(Z)'!$C:$C, $L$1)
)</f>
        <v>2</v>
      </c>
      <c r="O14" s="366" t="str">
        <f>IF(
  SUM(
    SUMIFS('발전사업(A)'!$I:$I,'발전사업(A)'!$G:$G,O$2,'발전사업(A)'!$Q:$Q,$J14,'발전사업(A)'!$C:$C,$L$1),
    SUMIFS('자가소비(B)'!$I:$I,'자가소비(B)'!$G:$G,O$2,'자가소비(B)'!$Q:$Q,$J14,'자가소비(B)'!$C:$C,$L$1),
    SUMIFS('PPA 사업(C)'!$I:$I,'PPA 사업(C)'!$G:$G,O$2,'PPA 사업(C)'!$Q:$Q,$J14,'PPA 사업(C)'!$C:$C,$L$1),
    SUMIFS('리스사업(D)'!$I:$I,'리스사업(D)'!$G:$G,O$2,'리스사업(D)'!$Q:$Q,$J14,'리스사업(D)'!$C:$C,$L$1),
    SUMIFS('임대사업(E)'!$I:$I,'임대사업(E)'!$G:$G,O$2,'임대사업(E)'!$Q:$Q,$J14,'임대사업(E)'!$C:$C,$L$1),
    SUMIFS('환경부사업(F)'!$I:$I,'환경부사업(F)'!$G:$G,O$2,'환경부사업(F)'!$Q:$Q,$J14,'환경부사업(F)'!$C:$C,$L$1),
    SUMIFS('프로젝트(G)'!$I:$I,'프로젝트(G)'!$G:$G,O$2,'프로젝트(G)'!$Q:$Q,$J14,'프로젝트(G)'!$C:$C,$L$1),
    SUMIFS('협력사 EPC(H)'!$I:$I,'협력사 EPC(H)'!$G:$G,O$2,'협력사 EPC(H)'!$Q:$Q,$J14,'협력사 EPC(H)'!$C:$C,$L$1),
    SUMIFS('기타(Z)'!$I:$I,'기타(Z)'!$G:$G,O$2,'기타(Z)'!$Q:$Q,$J14,'기타(Z)'!$C:$C,$L$1)
  )=0,
  "",
  SUM(
    SUMIFS('발전사업(A)'!$I:$I,'발전사업(A)'!$G:$G,O$2,'발전사업(A)'!$Q:$Q,$J14,'발전사업(A)'!$C:$C,$L$1),
    SUMIFS('자가소비(B)'!$I:$I,'자가소비(B)'!$G:$G,O$2,'자가소비(B)'!$Q:$Q,$J14,'자가소비(B)'!$C:$C,$L$1),
    SUMIFS('PPA 사업(C)'!$I:$I,'PPA 사업(C)'!$G:$G,O$2,'PPA 사업(C)'!$Q:$Q,$J14,'PPA 사업(C)'!$C:$C,$L$1),
    SUMIFS('리스사업(D)'!$I:$I,'리스사업(D)'!$G:$G,O$2,'리스사업(D)'!$Q:$Q,$J14,'리스사업(D)'!$C:$C,$L$1),
    SUMIFS('임대사업(E)'!$I:$I,'임대사업(E)'!$G:$G,O$2,'임대사업(E)'!$Q:$Q,$J14,'임대사업(E)'!$C:$C,$L$1),
    SUMIFS('환경부사업(F)'!$I:$I,'환경부사업(F)'!$G:$G,O$2,'환경부사업(F)'!$Q:$Q,$J14,'환경부사업(F)'!$C:$C,$L$1),
    SUMIFS('프로젝트(G)'!$I:$I,'프로젝트(G)'!$G:$G,O$2,'프로젝트(G)'!$Q:$Q,$J14,'프로젝트(G)'!$C:$C,$L$1),
    SUMIFS('협력사 EPC(H)'!$I:$I,'협력사 EPC(H)'!$G:$G,O$2,'협력사 EPC(H)'!$Q:$Q,$J14,'협력사 EPC(H)'!$C:$C,$L$1),
    SUMIFS('기타(Z)'!$I:$I,'기타(Z)'!$G:$G,O$2,'기타(Z)'!$Q:$Q,$J14,'기타(Z)'!$C:$C,$L$1)
  )
)</f>
        <v/>
      </c>
      <c r="P14" s="367" t="str">
        <f>IF(
  SUM(
    COUNTIFS('발전사업(A)'!$G:$G, O$2, '발전사업(A)'!$Q:$Q, $J14, '발전사업(A)'!$C:$C, $L$1),
    COUNTIFS('자가소비(B)'!$G:$G, O$2, '자가소비(B)'!$Q:$Q, $J14, '자가소비(B)'!$C:$C, $L$1),
    COUNTIFS('PPA 사업(C)'!$G:$G, O$2, 'PPA 사업(C)'!$Q:$Q, $J14, 'PPA 사업(C)'!$C:$C, $L$1),
    COUNTIFS('리스사업(D)'!$G:$G, O$2, '리스사업(D)'!$Q:$Q, $J14, '리스사업(D)'!$C:$C, $L$1),
    COUNTIFS('임대사업(E)'!$G:$G, O$2, '임대사업(E)'!$Q:$Q, $J14, '임대사업(E)'!$C:$C, $L$1),
    COUNTIFS('환경부사업(F)'!$G:$G, O$2, '환경부사업(F)'!$Q:$Q, $J14, '환경부사업(F)'!$C:$C, $L$1),
    COUNTIFS('프로젝트(G)'!$G:$G, O$2, '프로젝트(G)'!$Q:$Q, $J14, '프로젝트(G)'!$C:$C, $L$1),
    COUNTIFS('협력사 EPC(H)'!$G:$G, O$2, '협력사 EPC(H)'!$Q:$Q, $J14, '협력사 EPC(H)'!$C:$C, $L$1),
    COUNTIFS('기타(Z)'!$G:$G, O$2, '기타(Z)'!$Q:$Q, $J14, '기타(Z)'!$C:$C, $L$1)
  ) = 0,
  "",
  COUNTIFS('발전사업(A)'!$G:$G, O$2, '발전사업(A)'!$Q:$Q, $J14, '발전사업(A)'!$C:$C, $L$1)
  + COUNTIFS('자가소비(B)'!$G:$G, O$2, '자가소비(B)'!$Q:$Q, $J14, '자가소비(B)'!$C:$C, $L$1)
  + COUNTIFS('PPA 사업(C)'!$G:$G, O$2, 'PPA 사업(C)'!$Q:$Q, $J14, 'PPA 사업(C)'!$C:$C, $L$1)
  + COUNTIFS('리스사업(D)'!$G:$G, O$2, '리스사업(D)'!$Q:$Q, $J14, '리스사업(D)'!$C:$C, $L$1)
  + COUNTIFS('임대사업(E)'!$G:$G, O$2, '임대사업(E)'!$Q:$Q, $J14, '임대사업(E)'!$C:$C, $L$1)
  + COUNTIFS('환경부사업(F)'!$G:$G, O$2, '환경부사업(F)'!$Q:$Q, $J14, '환경부사업(F)'!$C:$C, $L$1)
  + COUNTIFS('프로젝트(G)'!$G:$G, O$2, '프로젝트(G)'!$Q:$Q, $J14, '프로젝트(G)'!$C:$C, $L$1)
  + COUNTIFS('협력사 EPC(H)'!$G:$G, O$2, '협력사 EPC(H)'!$Q:$Q, $J14, '협력사 EPC(H)'!$C:$C, $L$1)
  + COUNTIFS('기타(Z)'!$G:$G, O$2, '기타(Z)'!$Q:$Q, $J14, '기타(Z)'!$C:$C, $L$1)
)</f>
        <v/>
      </c>
      <c r="Q14" s="366">
        <f>IF(
  SUM(
    SUMIFS('발전사업(A)'!$I:$I,'발전사업(A)'!$G:$G,Q$2,'발전사업(A)'!$Q:$Q,$J14,'발전사업(A)'!$C:$C,$L$1),
    SUMIFS('자가소비(B)'!$I:$I,'자가소비(B)'!$G:$G,Q$2,'자가소비(B)'!$Q:$Q,$J14,'자가소비(B)'!$C:$C,$L$1),
    SUMIFS('PPA 사업(C)'!$I:$I,'PPA 사업(C)'!$G:$G,Q$2,'PPA 사업(C)'!$Q:$Q,$J14,'PPA 사업(C)'!$C:$C,$L$1),
    SUMIFS('리스사업(D)'!$I:$I,'리스사업(D)'!$G:$G,Q$2,'리스사업(D)'!$Q:$Q,$J14,'리스사업(D)'!$C:$C,$L$1),
    SUMIFS('임대사업(E)'!$I:$I,'임대사업(E)'!$G:$G,Q$2,'임대사업(E)'!$Q:$Q,$J14,'임대사업(E)'!$C:$C,$L$1),
    SUMIFS('환경부사업(F)'!$I:$I,'환경부사업(F)'!$G:$G,Q$2,'환경부사업(F)'!$Q:$Q,$J14,'환경부사업(F)'!$C:$C,$L$1),
    SUMIFS('프로젝트(G)'!$I:$I,'프로젝트(G)'!$G:$G,Q$2,'프로젝트(G)'!$Q:$Q,$J14,'프로젝트(G)'!$C:$C,$L$1),
    SUMIFS('협력사 EPC(H)'!$I:$I,'협력사 EPC(H)'!$G:$G,Q$2,'협력사 EPC(H)'!$Q:$Q,$J14,'협력사 EPC(H)'!$C:$C,$L$1),
    SUMIFS('기타(Z)'!$I:$I,'기타(Z)'!$G:$G,Q$2,'기타(Z)'!$Q:$Q,$J14,'기타(Z)'!$C:$C,$L$1)
  )=0,
  "",
  SUM(
    SUMIFS('발전사업(A)'!$I:$I,'발전사업(A)'!$G:$G,Q$2,'발전사업(A)'!$Q:$Q,$J14,'발전사업(A)'!$C:$C,$L$1),
    SUMIFS('자가소비(B)'!$I:$I,'자가소비(B)'!$G:$G,Q$2,'자가소비(B)'!$Q:$Q,$J14,'자가소비(B)'!$C:$C,$L$1),
    SUMIFS('PPA 사업(C)'!$I:$I,'PPA 사업(C)'!$G:$G,Q$2,'PPA 사업(C)'!$Q:$Q,$J14,'PPA 사업(C)'!$C:$C,$L$1),
    SUMIFS('리스사업(D)'!$I:$I,'리스사업(D)'!$G:$G,Q$2,'리스사업(D)'!$Q:$Q,$J14,'리스사업(D)'!$C:$C,$L$1),
    SUMIFS('임대사업(E)'!$I:$I,'임대사업(E)'!$G:$G,Q$2,'임대사업(E)'!$Q:$Q,$J14,'임대사업(E)'!$C:$C,$L$1),
    SUMIFS('환경부사업(F)'!$I:$I,'환경부사업(F)'!$G:$G,Q$2,'환경부사업(F)'!$Q:$Q,$J14,'환경부사업(F)'!$C:$C,$L$1),
    SUMIFS('프로젝트(G)'!$I:$I,'프로젝트(G)'!$G:$G,Q$2,'프로젝트(G)'!$Q:$Q,$J14,'프로젝트(G)'!$C:$C,$L$1),
    SUMIFS('협력사 EPC(H)'!$I:$I,'협력사 EPC(H)'!$G:$G,Q$2,'협력사 EPC(H)'!$Q:$Q,$J14,'협력사 EPC(H)'!$C:$C,$L$1),
    SUMIFS('기타(Z)'!$I:$I,'기타(Z)'!$G:$G,Q$2,'기타(Z)'!$Q:$Q,$J14,'기타(Z)'!$C:$C,$L$1)
  )
)</f>
        <v>2781.8850000000002</v>
      </c>
      <c r="R14" s="367">
        <f>IF(
  SUM(
    COUNTIFS('발전사업(A)'!$G:$G, Q$2, '발전사업(A)'!$Q:$Q, $J14, '발전사업(A)'!$C:$C, $L$1),
    COUNTIFS('자가소비(B)'!$G:$G, Q$2, '자가소비(B)'!$Q:$Q, $J14, '자가소비(B)'!$C:$C, $L$1),
    COUNTIFS('PPA 사업(C)'!$G:$G, Q$2, 'PPA 사업(C)'!$Q:$Q, $J14, 'PPA 사업(C)'!$C:$C, $L$1),
    COUNTIFS('리스사업(D)'!$G:$G, Q$2, '리스사업(D)'!$Q:$Q, $J14, '리스사업(D)'!$C:$C, $L$1),
    COUNTIFS('임대사업(E)'!$G:$G, Q$2, '임대사업(E)'!$Q:$Q, $J14, '임대사업(E)'!$C:$C, $L$1),
    COUNTIFS('환경부사업(F)'!$G:$G, Q$2, '환경부사업(F)'!$Q:$Q, $J14, '환경부사업(F)'!$C:$C, $L$1),
    COUNTIFS('프로젝트(G)'!$G:$G, Q$2, '프로젝트(G)'!$Q:$Q, $J14, '프로젝트(G)'!$C:$C, $L$1),
    COUNTIFS('협력사 EPC(H)'!$G:$G, Q$2, '협력사 EPC(H)'!$Q:$Q, $J14, '협력사 EPC(H)'!$C:$C, $L$1),
    COUNTIFS('기타(Z)'!$G:$G, Q$2, '기타(Z)'!$Q:$Q, $J14, '기타(Z)'!$C:$C, $L$1)
  ) = 0,
  "",
  COUNTIFS('발전사업(A)'!$G:$G, Q$2, '발전사업(A)'!$Q:$Q, $J14, '발전사업(A)'!$C:$C, $L$1)
  + COUNTIFS('자가소비(B)'!$G:$G, Q$2, '자가소비(B)'!$Q:$Q, $J14, '자가소비(B)'!$C:$C, $L$1)
  + COUNTIFS('PPA 사업(C)'!$G:$G, Q$2, 'PPA 사업(C)'!$Q:$Q, $J14, 'PPA 사업(C)'!$C:$C, $L$1)
  + COUNTIFS('리스사업(D)'!$G:$G, Q$2, '리스사업(D)'!$Q:$Q, $J14, '리스사업(D)'!$C:$C, $L$1)
  + COUNTIFS('임대사업(E)'!$G:$G, Q$2, '임대사업(E)'!$Q:$Q, $J14, '임대사업(E)'!$C:$C, $L$1)
  + COUNTIFS('환경부사업(F)'!$G:$G, Q$2, '환경부사업(F)'!$Q:$Q, $J14, '환경부사업(F)'!$C:$C, $L$1)
  + COUNTIFS('프로젝트(G)'!$G:$G, Q$2, '프로젝트(G)'!$Q:$Q, $J14, '프로젝트(G)'!$C:$C, $L$1)
  + COUNTIFS('협력사 EPC(H)'!$G:$G, Q$2, '협력사 EPC(H)'!$Q:$Q, $J14, '협력사 EPC(H)'!$C:$C, $L$1)
  + COUNTIFS('기타(Z)'!$G:$G, Q$2, '기타(Z)'!$Q:$Q, $J14, '기타(Z)'!$C:$C, $L$1)
)</f>
        <v>3</v>
      </c>
      <c r="S14" s="366">
        <f>IF(
  SUM(
    SUMIFS('발전사업(A)'!$I:$I,'발전사업(A)'!$G:$G,S$2,'발전사업(A)'!$Q:$Q,$J14,'발전사업(A)'!$C:$C,$L$1),
    SUMIFS('자가소비(B)'!$I:$I,'자가소비(B)'!$G:$G,S$2,'자가소비(B)'!$Q:$Q,$J14,'자가소비(B)'!$C:$C,$L$1),
    SUMIFS('PPA 사업(C)'!$I:$I,'PPA 사업(C)'!$G:$G,S$2,'PPA 사업(C)'!$Q:$Q,$J14,'PPA 사업(C)'!$C:$C,$L$1),
    SUMIFS('리스사업(D)'!$I:$I,'리스사업(D)'!$G:$G,S$2,'리스사업(D)'!$Q:$Q,$J14,'리스사업(D)'!$C:$C,$L$1),
    SUMIFS('임대사업(E)'!$I:$I,'임대사업(E)'!$G:$G,S$2,'임대사업(E)'!$Q:$Q,$J14,'임대사업(E)'!$C:$C,$L$1),
    SUMIFS('환경부사업(F)'!$I:$I,'환경부사업(F)'!$G:$G,S$2,'환경부사업(F)'!$Q:$Q,$J14,'환경부사업(F)'!$C:$C,$L$1),
    SUMIFS('프로젝트(G)'!$I:$I,'프로젝트(G)'!$G:$G,S$2,'프로젝트(G)'!$Q:$Q,$J14,'프로젝트(G)'!$C:$C,$L$1),
    SUMIFS('협력사 EPC(H)'!$I:$I,'협력사 EPC(H)'!$G:$G,S$2,'협력사 EPC(H)'!$Q:$Q,$J14,'협력사 EPC(H)'!$C:$C,$L$1),
    SUMIFS('기타(Z)'!$I:$I,'기타(Z)'!$G:$G,S$2,'기타(Z)'!$Q:$Q,$J14,'기타(Z)'!$C:$C,$L$1)
  )=0,
  "",
  SUM(
    SUMIFS('발전사업(A)'!$I:$I,'발전사업(A)'!$G:$G,S$2,'발전사업(A)'!$Q:$Q,$J14,'발전사업(A)'!$C:$C,$L$1),
    SUMIFS('자가소비(B)'!$I:$I,'자가소비(B)'!$G:$G,S$2,'자가소비(B)'!$Q:$Q,$J14,'자가소비(B)'!$C:$C,$L$1),
    SUMIFS('PPA 사업(C)'!$I:$I,'PPA 사업(C)'!$G:$G,S$2,'PPA 사업(C)'!$Q:$Q,$J14,'PPA 사업(C)'!$C:$C,$L$1),
    SUMIFS('리스사업(D)'!$I:$I,'리스사업(D)'!$G:$G,S$2,'리스사업(D)'!$Q:$Q,$J14,'리스사업(D)'!$C:$C,$L$1),
    SUMIFS('임대사업(E)'!$I:$I,'임대사업(E)'!$G:$G,S$2,'임대사업(E)'!$Q:$Q,$J14,'임대사업(E)'!$C:$C,$L$1),
    SUMIFS('환경부사업(F)'!$I:$I,'환경부사업(F)'!$G:$G,S$2,'환경부사업(F)'!$Q:$Q,$J14,'환경부사업(F)'!$C:$C,$L$1),
    SUMIFS('프로젝트(G)'!$I:$I,'프로젝트(G)'!$G:$G,S$2,'프로젝트(G)'!$Q:$Q,$J14,'프로젝트(G)'!$C:$C,$L$1),
    SUMIFS('협력사 EPC(H)'!$I:$I,'협력사 EPC(H)'!$G:$G,S$2,'협력사 EPC(H)'!$Q:$Q,$J14,'협력사 EPC(H)'!$C:$C,$L$1),
    SUMIFS('기타(Z)'!$I:$I,'기타(Z)'!$G:$G,S$2,'기타(Z)'!$Q:$Q,$J14,'기타(Z)'!$C:$C,$L$1)
  )
)</f>
        <v>902.35500000000002</v>
      </c>
      <c r="T14" s="367">
        <f>IF(
  SUM(
    COUNTIFS('발전사업(A)'!$G:$G, S$2, '발전사업(A)'!$Q:$Q, $J14, '발전사업(A)'!$C:$C, $L$1),
    COUNTIFS('자가소비(B)'!$G:$G, S$2, '자가소비(B)'!$Q:$Q, $J14, '자가소비(B)'!$C:$C, $L$1),
    COUNTIFS('PPA 사업(C)'!$G:$G, S$2, 'PPA 사업(C)'!$Q:$Q, $J14, 'PPA 사업(C)'!$C:$C, $L$1),
    COUNTIFS('리스사업(D)'!$G:$G, S$2, '리스사업(D)'!$Q:$Q, $J14, '리스사업(D)'!$C:$C, $L$1),
    COUNTIFS('임대사업(E)'!$G:$G, S$2, '임대사업(E)'!$Q:$Q, $J14, '임대사업(E)'!$C:$C, $L$1),
    COUNTIFS('환경부사업(F)'!$G:$G, S$2, '환경부사업(F)'!$Q:$Q, $J14, '환경부사업(F)'!$C:$C, $L$1),
    COUNTIFS('프로젝트(G)'!$G:$G, S$2, '프로젝트(G)'!$Q:$Q, $J14, '프로젝트(G)'!$C:$C, $L$1),
    COUNTIFS('협력사 EPC(H)'!$G:$G, S$2, '협력사 EPC(H)'!$Q:$Q, $J14, '협력사 EPC(H)'!$C:$C, $L$1),
    COUNTIFS('기타(Z)'!$G:$G, S$2, '기타(Z)'!$Q:$Q, $J14, '기타(Z)'!$C:$C, $L$1)
  ) = 0,
  "",
  COUNTIFS('발전사업(A)'!$G:$G, S$2, '발전사업(A)'!$Q:$Q, $J14, '발전사업(A)'!$C:$C, $L$1)
  + COUNTIFS('자가소비(B)'!$G:$G, S$2, '자가소비(B)'!$Q:$Q, $J14, '자가소비(B)'!$C:$C, $L$1)
  + COUNTIFS('PPA 사업(C)'!$G:$G, S$2, 'PPA 사업(C)'!$Q:$Q, $J14, 'PPA 사업(C)'!$C:$C, $L$1)
  + COUNTIFS('리스사업(D)'!$G:$G, S$2, '리스사업(D)'!$Q:$Q, $J14, '리스사업(D)'!$C:$C, $L$1)
  + COUNTIFS('임대사업(E)'!$G:$G, S$2, '임대사업(E)'!$Q:$Q, $J14, '임대사업(E)'!$C:$C, $L$1)
  + COUNTIFS('환경부사업(F)'!$G:$G, S$2, '환경부사업(F)'!$Q:$Q, $J14, '환경부사업(F)'!$C:$C, $L$1)
  + COUNTIFS('프로젝트(G)'!$G:$G, S$2, '프로젝트(G)'!$Q:$Q, $J14, '프로젝트(G)'!$C:$C, $L$1)
  + COUNTIFS('협력사 EPC(H)'!$G:$G, S$2, '협력사 EPC(H)'!$Q:$Q, $J14, '협력사 EPC(H)'!$C:$C, $L$1)
  + COUNTIFS('기타(Z)'!$G:$G, S$2, '기타(Z)'!$Q:$Q, $J14, '기타(Z)'!$C:$C, $L$1)
)</f>
        <v>3</v>
      </c>
      <c r="U14" s="366" t="str">
        <f>IF(
  SUM(
    SUMIFS('발전사업(A)'!$I:$I,'발전사업(A)'!$G:$G,U$2,'발전사업(A)'!$Q:$Q,$J14,'발전사업(A)'!$C:$C,$L$1),
    SUMIFS('자가소비(B)'!$I:$I,'자가소비(B)'!$G:$G,U$2,'자가소비(B)'!$Q:$Q,$J14,'자가소비(B)'!$C:$C,$L$1),
    SUMIFS('PPA 사업(C)'!$I:$I,'PPA 사업(C)'!$G:$G,U$2,'PPA 사업(C)'!$Q:$Q,$J14,'PPA 사업(C)'!$C:$C,$L$1),
    SUMIFS('리스사업(D)'!$I:$I,'리스사업(D)'!$G:$G,U$2,'리스사업(D)'!$Q:$Q,$J14,'리스사업(D)'!$C:$C,$L$1),
    SUMIFS('임대사업(E)'!$I:$I,'임대사업(E)'!$G:$G,U$2,'임대사업(E)'!$Q:$Q,$J14,'임대사업(E)'!$C:$C,$L$1),
    SUMIFS('환경부사업(F)'!$I:$I,'환경부사업(F)'!$G:$G,U$2,'환경부사업(F)'!$Q:$Q,$J14,'환경부사업(F)'!$C:$C,$L$1),
    SUMIFS('프로젝트(G)'!$I:$I,'프로젝트(G)'!$G:$G,U$2,'프로젝트(G)'!$Q:$Q,$J14,'프로젝트(G)'!$C:$C,$L$1),
    SUMIFS('협력사 EPC(H)'!$I:$I,'협력사 EPC(H)'!$G:$G,U$2,'협력사 EPC(H)'!$Q:$Q,$J14,'협력사 EPC(H)'!$C:$C,$L$1),
    SUMIFS('기타(Z)'!$I:$I,'기타(Z)'!$G:$G,U$2,'기타(Z)'!$Q:$Q,$J14,'기타(Z)'!$C:$C,$L$1)
  )=0,
  "",
  SUM(
    SUMIFS('발전사업(A)'!$I:$I,'발전사업(A)'!$G:$G,U$2,'발전사업(A)'!$Q:$Q,$J14,'발전사업(A)'!$C:$C,$L$1),
    SUMIFS('자가소비(B)'!$I:$I,'자가소비(B)'!$G:$G,U$2,'자가소비(B)'!$Q:$Q,$J14,'자가소비(B)'!$C:$C,$L$1),
    SUMIFS('PPA 사업(C)'!$I:$I,'PPA 사업(C)'!$G:$G,U$2,'PPA 사업(C)'!$Q:$Q,$J14,'PPA 사업(C)'!$C:$C,$L$1),
    SUMIFS('리스사업(D)'!$I:$I,'리스사업(D)'!$G:$G,U$2,'리스사업(D)'!$Q:$Q,$J14,'리스사업(D)'!$C:$C,$L$1),
    SUMIFS('임대사업(E)'!$I:$I,'임대사업(E)'!$G:$G,U$2,'임대사업(E)'!$Q:$Q,$J14,'임대사업(E)'!$C:$C,$L$1),
    SUMIFS('환경부사업(F)'!$I:$I,'환경부사업(F)'!$G:$G,U$2,'환경부사업(F)'!$Q:$Q,$J14,'환경부사업(F)'!$C:$C,$L$1),
    SUMIFS('프로젝트(G)'!$I:$I,'프로젝트(G)'!$G:$G,U$2,'프로젝트(G)'!$Q:$Q,$J14,'프로젝트(G)'!$C:$C,$L$1),
    SUMIFS('협력사 EPC(H)'!$I:$I,'협력사 EPC(H)'!$G:$G,U$2,'협력사 EPC(H)'!$Q:$Q,$J14,'협력사 EPC(H)'!$C:$C,$L$1),
    SUMIFS('기타(Z)'!$I:$I,'기타(Z)'!$G:$G,U$2,'기타(Z)'!$Q:$Q,$J14,'기타(Z)'!$C:$C,$L$1)
  )
)</f>
        <v/>
      </c>
      <c r="V14" s="367" t="str">
        <f>IF(
  SUM(
    COUNTIFS('발전사업(A)'!$G:$G, U$2, '발전사업(A)'!$Q:$Q, $J14, '발전사업(A)'!$C:$C, $L$1),
    COUNTIFS('자가소비(B)'!$G:$G, U$2, '자가소비(B)'!$Q:$Q, $J14, '자가소비(B)'!$C:$C, $L$1),
    COUNTIFS('PPA 사업(C)'!$G:$G, U$2, 'PPA 사업(C)'!$Q:$Q, $J14, 'PPA 사업(C)'!$C:$C, $L$1),
    COUNTIFS('리스사업(D)'!$G:$G, U$2, '리스사업(D)'!$Q:$Q, $J14, '리스사업(D)'!$C:$C, $L$1),
    COUNTIFS('임대사업(E)'!$G:$G, U$2, '임대사업(E)'!$Q:$Q, $J14, '임대사업(E)'!$C:$C, $L$1),
    COUNTIFS('환경부사업(F)'!$G:$G, U$2, '환경부사업(F)'!$Q:$Q, $J14, '환경부사업(F)'!$C:$C, $L$1),
    COUNTIFS('프로젝트(G)'!$G:$G, U$2, '프로젝트(G)'!$Q:$Q, $J14, '프로젝트(G)'!$C:$C, $L$1),
    COUNTIFS('협력사 EPC(H)'!$G:$G, U$2, '협력사 EPC(H)'!$Q:$Q, $J14, '협력사 EPC(H)'!$C:$C, $L$1),
    COUNTIFS('기타(Z)'!$G:$G, U$2, '기타(Z)'!$Q:$Q, $J14, '기타(Z)'!$C:$C, $L$1)
  ) = 0,
  "",
  COUNTIFS('발전사업(A)'!$G:$G, U$2, '발전사업(A)'!$Q:$Q, $J14, '발전사업(A)'!$C:$C, $L$1)
  + COUNTIFS('자가소비(B)'!$G:$G, U$2, '자가소비(B)'!$Q:$Q, $J14, '자가소비(B)'!$C:$C, $L$1)
  + COUNTIFS('PPA 사업(C)'!$G:$G, U$2, 'PPA 사업(C)'!$Q:$Q, $J14, 'PPA 사업(C)'!$C:$C, $L$1)
  + COUNTIFS('리스사업(D)'!$G:$G, U$2, '리스사업(D)'!$Q:$Q, $J14, '리스사업(D)'!$C:$C, $L$1)
  + COUNTIFS('임대사업(E)'!$G:$G, U$2, '임대사업(E)'!$Q:$Q, $J14, '임대사업(E)'!$C:$C, $L$1)
  + COUNTIFS('환경부사업(F)'!$G:$G, U$2, '환경부사업(F)'!$Q:$Q, $J14, '환경부사업(F)'!$C:$C, $L$1)
  + COUNTIFS('프로젝트(G)'!$G:$G, U$2, '프로젝트(G)'!$Q:$Q, $J14, '프로젝트(G)'!$C:$C, $L$1)
  + COUNTIFS('협력사 EPC(H)'!$G:$G, U$2, '협력사 EPC(H)'!$Q:$Q, $J14, '협력사 EPC(H)'!$C:$C, $L$1)
  + COUNTIFS('기타(Z)'!$G:$G, U$2, '기타(Z)'!$Q:$Q, $J14, '기타(Z)'!$C:$C, $L$1)
)</f>
        <v/>
      </c>
      <c r="W14" s="366" t="str">
        <f>IF(
  SUM(
    SUMIFS('발전사업(A)'!$I:$I,'발전사업(A)'!$G:$G,W$2,'발전사업(A)'!$Q:$Q,$J14,'발전사업(A)'!$C:$C,$L$1),
    SUMIFS('자가소비(B)'!$I:$I,'자가소비(B)'!$G:$G,W$2,'자가소비(B)'!$Q:$Q,$J14,'자가소비(B)'!$C:$C,$L$1),
    SUMIFS('PPA 사업(C)'!$I:$I,'PPA 사업(C)'!$G:$G,W$2,'PPA 사업(C)'!$Q:$Q,$J14,'PPA 사업(C)'!$C:$C,$L$1),
    SUMIFS('리스사업(D)'!$I:$I,'리스사업(D)'!$G:$G,W$2,'리스사업(D)'!$Q:$Q,$J14,'리스사업(D)'!$C:$C,$L$1),
    SUMIFS('임대사업(E)'!$I:$I,'임대사업(E)'!$G:$G,W$2,'임대사업(E)'!$Q:$Q,$J14,'임대사업(E)'!$C:$C,$L$1),
    SUMIFS('환경부사업(F)'!$I:$I,'환경부사업(F)'!$G:$G,W$2,'환경부사업(F)'!$Q:$Q,$J14,'환경부사업(F)'!$C:$C,$L$1),
    SUMIFS('프로젝트(G)'!$I:$I,'프로젝트(G)'!$G:$G,W$2,'프로젝트(G)'!$Q:$Q,$J14,'프로젝트(G)'!$C:$C,$L$1),
    SUMIFS('협력사 EPC(H)'!$I:$I,'협력사 EPC(H)'!$G:$G,W$2,'협력사 EPC(H)'!$Q:$Q,$J14,'협력사 EPC(H)'!$C:$C,$L$1),
    SUMIFS('기타(Z)'!$I:$I,'기타(Z)'!$G:$G,W$2,'기타(Z)'!$Q:$Q,$J14,'기타(Z)'!$C:$C,$L$1)
  )=0,
  "",
  SUM(
    SUMIFS('발전사업(A)'!$I:$I,'발전사업(A)'!$G:$G,W$2,'발전사업(A)'!$Q:$Q,$J14,'발전사업(A)'!$C:$C,$L$1),
    SUMIFS('자가소비(B)'!$I:$I,'자가소비(B)'!$G:$G,W$2,'자가소비(B)'!$Q:$Q,$J14,'자가소비(B)'!$C:$C,$L$1),
    SUMIFS('PPA 사업(C)'!$I:$I,'PPA 사업(C)'!$G:$G,W$2,'PPA 사업(C)'!$Q:$Q,$J14,'PPA 사업(C)'!$C:$C,$L$1),
    SUMIFS('리스사업(D)'!$I:$I,'리스사업(D)'!$G:$G,W$2,'리스사업(D)'!$Q:$Q,$J14,'리스사업(D)'!$C:$C,$L$1),
    SUMIFS('임대사업(E)'!$I:$I,'임대사업(E)'!$G:$G,W$2,'임대사업(E)'!$Q:$Q,$J14,'임대사업(E)'!$C:$C,$L$1),
    SUMIFS('환경부사업(F)'!$I:$I,'환경부사업(F)'!$G:$G,W$2,'환경부사업(F)'!$Q:$Q,$J14,'환경부사업(F)'!$C:$C,$L$1),
    SUMIFS('프로젝트(G)'!$I:$I,'프로젝트(G)'!$G:$G,W$2,'프로젝트(G)'!$Q:$Q,$J14,'프로젝트(G)'!$C:$C,$L$1),
    SUMIFS('협력사 EPC(H)'!$I:$I,'협력사 EPC(H)'!$G:$G,W$2,'협력사 EPC(H)'!$Q:$Q,$J14,'협력사 EPC(H)'!$C:$C,$L$1),
    SUMIFS('기타(Z)'!$I:$I,'기타(Z)'!$G:$G,W$2,'기타(Z)'!$Q:$Q,$J14,'기타(Z)'!$C:$C,$L$1)
  )
)</f>
        <v/>
      </c>
      <c r="X14" s="367" t="str">
        <f>IF(
  SUM(
    COUNTIFS('발전사업(A)'!$G:$G, W$2, '발전사업(A)'!$Q:$Q, $J14, '발전사업(A)'!$C:$C, $L$1),
    COUNTIFS('자가소비(B)'!$G:$G, W$2, '자가소비(B)'!$Q:$Q, $J14, '자가소비(B)'!$C:$C, $L$1),
    COUNTIFS('PPA 사업(C)'!$G:$G, W$2, 'PPA 사업(C)'!$Q:$Q, $J14, 'PPA 사업(C)'!$C:$C, $L$1),
    COUNTIFS('리스사업(D)'!$G:$G, W$2, '리스사업(D)'!$Q:$Q, $J14, '리스사업(D)'!$C:$C, $L$1),
    COUNTIFS('임대사업(E)'!$G:$G, W$2, '임대사업(E)'!$Q:$Q, $J14, '임대사업(E)'!$C:$C, $L$1),
    COUNTIFS('환경부사업(F)'!$G:$G, W$2, '환경부사업(F)'!$Q:$Q, $J14, '환경부사업(F)'!$C:$C, $L$1),
    COUNTIFS('프로젝트(G)'!$G:$G, W$2, '프로젝트(G)'!$Q:$Q, $J14, '프로젝트(G)'!$C:$C, $L$1),
    COUNTIFS('협력사 EPC(H)'!$G:$G, W$2, '협력사 EPC(H)'!$Q:$Q, $J14, '협력사 EPC(H)'!$C:$C, $L$1),
    COUNTIFS('기타(Z)'!$G:$G, W$2, '기타(Z)'!$Q:$Q, $J14, '기타(Z)'!$C:$C, $L$1)
  ) = 0,
  "",
  COUNTIFS('발전사업(A)'!$G:$G, W$2, '발전사업(A)'!$Q:$Q, $J14, '발전사업(A)'!$C:$C, $L$1)
  + COUNTIFS('자가소비(B)'!$G:$G, W$2, '자가소비(B)'!$Q:$Q, $J14, '자가소비(B)'!$C:$C, $L$1)
  + COUNTIFS('PPA 사업(C)'!$G:$G, W$2, 'PPA 사업(C)'!$Q:$Q, $J14, 'PPA 사업(C)'!$C:$C, $L$1)
  + COUNTIFS('리스사업(D)'!$G:$G, W$2, '리스사업(D)'!$Q:$Q, $J14, '리스사업(D)'!$C:$C, $L$1)
  + COUNTIFS('임대사업(E)'!$G:$G, W$2, '임대사업(E)'!$Q:$Q, $J14, '임대사업(E)'!$C:$C, $L$1)
  + COUNTIFS('환경부사업(F)'!$G:$G, W$2, '환경부사업(F)'!$Q:$Q, $J14, '환경부사업(F)'!$C:$C, $L$1)
  + COUNTIFS('프로젝트(G)'!$G:$G, W$2, '프로젝트(G)'!$Q:$Q, $J14, '프로젝트(G)'!$C:$C, $L$1)
  + COUNTIFS('협력사 EPC(H)'!$G:$G, W$2, '협력사 EPC(H)'!$Q:$Q, $J14, '협력사 EPC(H)'!$C:$C, $L$1)
  + COUNTIFS('기타(Z)'!$G:$G, W$2, '기타(Z)'!$Q:$Q, $J14, '기타(Z)'!$C:$C, $L$1)
)</f>
        <v/>
      </c>
      <c r="Y14" s="366" t="str">
        <f>IF(
  SUM(
    SUMIFS('발전사업(A)'!$I:$I,'발전사업(A)'!$G:$G,Y$2,'발전사업(A)'!$Q:$Q,$J14,'발전사업(A)'!$C:$C,$L$1),
    SUMIFS('자가소비(B)'!$I:$I,'자가소비(B)'!$G:$G,Y$2,'자가소비(B)'!$Q:$Q,$J14,'자가소비(B)'!$C:$C,$L$1),
    SUMIFS('PPA 사업(C)'!$I:$I,'PPA 사업(C)'!$G:$G,Y$2,'PPA 사업(C)'!$Q:$Q,$J14,'PPA 사업(C)'!$C:$C,$L$1),
    SUMIFS('리스사업(D)'!$I:$I,'리스사업(D)'!$G:$G,Y$2,'리스사업(D)'!$Q:$Q,$J14,'리스사업(D)'!$C:$C,$L$1),
    SUMIFS('임대사업(E)'!$I:$I,'임대사업(E)'!$G:$G,Y$2,'임대사업(E)'!$Q:$Q,$J14,'임대사업(E)'!$C:$C,$L$1),
    SUMIFS('환경부사업(F)'!$I:$I,'환경부사업(F)'!$G:$G,Y$2,'환경부사업(F)'!$Q:$Q,$J14,'환경부사업(F)'!$C:$C,$L$1),
    SUMIFS('프로젝트(G)'!$I:$I,'프로젝트(G)'!$G:$G,Y$2,'프로젝트(G)'!$Q:$Q,$J14,'프로젝트(G)'!$C:$C,$L$1),
    SUMIFS('협력사 EPC(H)'!$I:$I,'협력사 EPC(H)'!$G:$G,Y$2,'협력사 EPC(H)'!$Q:$Q,$J14,'협력사 EPC(H)'!$C:$C,$L$1),
    SUMIFS('기타(Z)'!$I:$I,'기타(Z)'!$G:$G,Y$2,'기타(Z)'!$Q:$Q,$J14,'기타(Z)'!$C:$C,$L$1)
  )=0,
  "",
  SUM(
    SUMIFS('발전사업(A)'!$I:$I,'발전사업(A)'!$G:$G,Y$2,'발전사업(A)'!$Q:$Q,$J14,'발전사업(A)'!$C:$C,$L$1),
    SUMIFS('자가소비(B)'!$I:$I,'자가소비(B)'!$G:$G,Y$2,'자가소비(B)'!$Q:$Q,$J14,'자가소비(B)'!$C:$C,$L$1),
    SUMIFS('PPA 사업(C)'!$I:$I,'PPA 사업(C)'!$G:$G,Y$2,'PPA 사업(C)'!$Q:$Q,$J14,'PPA 사업(C)'!$C:$C,$L$1),
    SUMIFS('리스사업(D)'!$I:$I,'리스사업(D)'!$G:$G,Y$2,'리스사업(D)'!$Q:$Q,$J14,'리스사업(D)'!$C:$C,$L$1),
    SUMIFS('임대사업(E)'!$I:$I,'임대사업(E)'!$G:$G,Y$2,'임대사업(E)'!$Q:$Q,$J14,'임대사업(E)'!$C:$C,$L$1),
    SUMIFS('환경부사업(F)'!$I:$I,'환경부사업(F)'!$G:$G,Y$2,'환경부사업(F)'!$Q:$Q,$J14,'환경부사업(F)'!$C:$C,$L$1),
    SUMIFS('프로젝트(G)'!$I:$I,'프로젝트(G)'!$G:$G,Y$2,'프로젝트(G)'!$Q:$Q,$J14,'프로젝트(G)'!$C:$C,$L$1),
    SUMIFS('협력사 EPC(H)'!$I:$I,'협력사 EPC(H)'!$G:$G,Y$2,'협력사 EPC(H)'!$Q:$Q,$J14,'협력사 EPC(H)'!$C:$C,$L$1),
    SUMIFS('기타(Z)'!$I:$I,'기타(Z)'!$G:$G,Y$2,'기타(Z)'!$Q:$Q,$J14,'기타(Z)'!$C:$C,$L$1)
  )
)</f>
        <v/>
      </c>
      <c r="Z14" s="367" t="str">
        <f>IF(
  SUM(
    COUNTIFS('발전사업(A)'!$G:$G, Y$2, '발전사업(A)'!$Q:$Q, $J14, '발전사업(A)'!$C:$C, $L$1),
    COUNTIFS('자가소비(B)'!$G:$G, Y$2, '자가소비(B)'!$Q:$Q, $J14, '자가소비(B)'!$C:$C, $L$1),
    COUNTIFS('PPA 사업(C)'!$G:$G, Y$2, 'PPA 사업(C)'!$Q:$Q, $J14, 'PPA 사업(C)'!$C:$C, $L$1),
    COUNTIFS('리스사업(D)'!$G:$G, Y$2, '리스사업(D)'!$Q:$Q, $J14, '리스사업(D)'!$C:$C, $L$1),
    COUNTIFS('임대사업(E)'!$G:$G, Y$2, '임대사업(E)'!$Q:$Q, $J14, '임대사업(E)'!$C:$C, $L$1),
    COUNTIFS('환경부사업(F)'!$G:$G, Y$2, '환경부사업(F)'!$Q:$Q, $J14, '환경부사업(F)'!$C:$C, $L$1),
    COUNTIFS('프로젝트(G)'!$G:$G, Y$2, '프로젝트(G)'!$Q:$Q, $J14, '프로젝트(G)'!$C:$C, $L$1),
    COUNTIFS('협력사 EPC(H)'!$G:$G, Y$2, '협력사 EPC(H)'!$Q:$Q, $J14, '협력사 EPC(H)'!$C:$C, $L$1),
    COUNTIFS('기타(Z)'!$G:$G, Y$2, '기타(Z)'!$Q:$Q, $J14, '기타(Z)'!$C:$C, $L$1)
  ) = 0,
  "",
  COUNTIFS('발전사업(A)'!$G:$G, Y$2, '발전사업(A)'!$Q:$Q, $J14, '발전사업(A)'!$C:$C, $L$1)
  + COUNTIFS('자가소비(B)'!$G:$G, Y$2, '자가소비(B)'!$Q:$Q, $J14, '자가소비(B)'!$C:$C, $L$1)
  + COUNTIFS('PPA 사업(C)'!$G:$G, Y$2, 'PPA 사업(C)'!$Q:$Q, $J14, 'PPA 사업(C)'!$C:$C, $L$1)
  + COUNTIFS('리스사업(D)'!$G:$G, Y$2, '리스사업(D)'!$Q:$Q, $J14, '리스사업(D)'!$C:$C, $L$1)
  + COUNTIFS('임대사업(E)'!$G:$G, Y$2, '임대사업(E)'!$Q:$Q, $J14, '임대사업(E)'!$C:$C, $L$1)
  + COUNTIFS('환경부사업(F)'!$G:$G, Y$2, '환경부사업(F)'!$Q:$Q, $J14, '환경부사업(F)'!$C:$C, $L$1)
  + COUNTIFS('프로젝트(G)'!$G:$G, Y$2, '프로젝트(G)'!$Q:$Q, $J14, '프로젝트(G)'!$C:$C, $L$1)
  + COUNTIFS('협력사 EPC(H)'!$G:$G, Y$2, '협력사 EPC(H)'!$Q:$Q, $J14, '협력사 EPC(H)'!$C:$C, $L$1)
  + COUNTIFS('기타(Z)'!$G:$G, Y$2, '기타(Z)'!$Q:$Q, $J14, '기타(Z)'!$C:$C, $L$1)
)</f>
        <v/>
      </c>
      <c r="AA14" s="366" t="str">
        <f>IF(
  SUM(
    SUMIFS('발전사업(A)'!$I:$I,'발전사업(A)'!$G:$G,AA$2,'발전사업(A)'!$Q:$Q,$J14,'발전사업(A)'!$C:$C,$L$1),
    SUMIFS('자가소비(B)'!$I:$I,'자가소비(B)'!$G:$G,AA$2,'자가소비(B)'!$Q:$Q,$J14,'자가소비(B)'!$C:$C,$L$1),
    SUMIFS('PPA 사업(C)'!$I:$I,'PPA 사업(C)'!$G:$G,AA$2,'PPA 사업(C)'!$Q:$Q,$J14,'PPA 사업(C)'!$C:$C,$L$1),
    SUMIFS('리스사업(D)'!$I:$I,'리스사업(D)'!$G:$G,AA$2,'리스사업(D)'!$Q:$Q,$J14,'리스사업(D)'!$C:$C,$L$1),
    SUMIFS('임대사업(E)'!$I:$I,'임대사업(E)'!$G:$G,AA$2,'임대사업(E)'!$Q:$Q,$J14,'임대사업(E)'!$C:$C,$L$1),
    SUMIFS('환경부사업(F)'!$I:$I,'환경부사업(F)'!$G:$G,AA$2,'환경부사업(F)'!$Q:$Q,$J14,'환경부사업(F)'!$C:$C,$L$1),
    SUMIFS('프로젝트(G)'!$I:$I,'프로젝트(G)'!$G:$G,AA$2,'프로젝트(G)'!$Q:$Q,$J14,'프로젝트(G)'!$C:$C,$L$1),
    SUMIFS('협력사 EPC(H)'!$I:$I,'협력사 EPC(H)'!$G:$G,AA$2,'협력사 EPC(H)'!$Q:$Q,$J14,'협력사 EPC(H)'!$C:$C,$L$1),
    SUMIFS('기타(Z)'!$I:$I,'기타(Z)'!$G:$G,AA$2,'기타(Z)'!$Q:$Q,$J14,'기타(Z)'!$C:$C,$L$1)
  )=0,
  "",
  SUM(
    SUMIFS('발전사업(A)'!$I:$I,'발전사업(A)'!$G:$G,AA$2,'발전사업(A)'!$Q:$Q,$J14,'발전사업(A)'!$C:$C,$L$1),
    SUMIFS('자가소비(B)'!$I:$I,'자가소비(B)'!$G:$G,AA$2,'자가소비(B)'!$Q:$Q,$J14,'자가소비(B)'!$C:$C,$L$1),
    SUMIFS('PPA 사업(C)'!$I:$I,'PPA 사업(C)'!$G:$G,AA$2,'PPA 사업(C)'!$Q:$Q,$J14,'PPA 사업(C)'!$C:$C,$L$1),
    SUMIFS('리스사업(D)'!$I:$I,'리스사업(D)'!$G:$G,AA$2,'리스사업(D)'!$Q:$Q,$J14,'리스사업(D)'!$C:$C,$L$1),
    SUMIFS('임대사업(E)'!$I:$I,'임대사업(E)'!$G:$G,AA$2,'임대사업(E)'!$Q:$Q,$J14,'임대사업(E)'!$C:$C,$L$1),
    SUMIFS('환경부사업(F)'!$I:$I,'환경부사업(F)'!$G:$G,AA$2,'환경부사업(F)'!$Q:$Q,$J14,'환경부사업(F)'!$C:$C,$L$1),
    SUMIFS('프로젝트(G)'!$I:$I,'프로젝트(G)'!$G:$G,AA$2,'프로젝트(G)'!$Q:$Q,$J14,'프로젝트(G)'!$C:$C,$L$1),
    SUMIFS('협력사 EPC(H)'!$I:$I,'협력사 EPC(H)'!$G:$G,AA$2,'협력사 EPC(H)'!$Q:$Q,$J14,'협력사 EPC(H)'!$C:$C,$L$1),
    SUMIFS('기타(Z)'!$I:$I,'기타(Z)'!$G:$G,AA$2,'기타(Z)'!$Q:$Q,$J14,'기타(Z)'!$C:$C,$L$1)
  )
)</f>
        <v/>
      </c>
      <c r="AB14" s="367" t="str">
        <f>IF(
  SUM(
    COUNTIFS('발전사업(A)'!$G:$G, AA$2, '발전사업(A)'!$Q:$Q, $J14, '발전사업(A)'!$C:$C, $L$1),
    COUNTIFS('자가소비(B)'!$G:$G, AA$2, '자가소비(B)'!$Q:$Q, $J14, '자가소비(B)'!$C:$C, $L$1),
    COUNTIFS('PPA 사업(C)'!$G:$G, AA$2, 'PPA 사업(C)'!$Q:$Q, $J14, 'PPA 사업(C)'!$C:$C, $L$1),
    COUNTIFS('리스사업(D)'!$G:$G, AA$2, '리스사업(D)'!$Q:$Q, $J14, '리스사업(D)'!$C:$C, $L$1),
    COUNTIFS('임대사업(E)'!$G:$G, AA$2, '임대사업(E)'!$Q:$Q, $J14, '임대사업(E)'!$C:$C, $L$1),
    COUNTIFS('환경부사업(F)'!$G:$G, AA$2, '환경부사업(F)'!$Q:$Q, $J14, '환경부사업(F)'!$C:$C, $L$1),
    COUNTIFS('프로젝트(G)'!$G:$G, AA$2, '프로젝트(G)'!$Q:$Q, $J14, '프로젝트(G)'!$C:$C, $L$1),
    COUNTIFS('협력사 EPC(H)'!$G:$G, AA$2, '협력사 EPC(H)'!$Q:$Q, $J14, '협력사 EPC(H)'!$C:$C, $L$1),
    COUNTIFS('기타(Z)'!$G:$G, AA$2, '기타(Z)'!$Q:$Q, $J14, '기타(Z)'!$C:$C, $L$1)
  ) = 0,
  "",
  COUNTIFS('발전사업(A)'!$G:$G, AA$2, '발전사업(A)'!$Q:$Q, $J14, '발전사업(A)'!$C:$C, $L$1)
  + COUNTIFS('자가소비(B)'!$G:$G, AA$2, '자가소비(B)'!$Q:$Q, $J14, '자가소비(B)'!$C:$C, $L$1)
  + COUNTIFS('PPA 사업(C)'!$G:$G, AA$2, 'PPA 사업(C)'!$Q:$Q, $J14, 'PPA 사업(C)'!$C:$C, $L$1)
  + COUNTIFS('리스사업(D)'!$G:$G, AA$2, '리스사업(D)'!$Q:$Q, $J14, '리스사업(D)'!$C:$C, $L$1)
  + COUNTIFS('임대사업(E)'!$G:$G, AA$2, '임대사업(E)'!$Q:$Q, $J14, '임대사업(E)'!$C:$C, $L$1)
  + COUNTIFS('환경부사업(F)'!$G:$G, AA$2, '환경부사업(F)'!$Q:$Q, $J14, '환경부사업(F)'!$C:$C, $L$1)
  + COUNTIFS('프로젝트(G)'!$G:$G, AA$2, '프로젝트(G)'!$Q:$Q, $J14, '프로젝트(G)'!$C:$C, $L$1)
  + COUNTIFS('협력사 EPC(H)'!$G:$G, AA$2, '협력사 EPC(H)'!$Q:$Q, $J14, '협력사 EPC(H)'!$C:$C, $L$1)
  + COUNTIFS('기타(Z)'!$G:$G, AA$2, '기타(Z)'!$Q:$Q, $J14, '기타(Z)'!$C:$C, $L$1)
)</f>
        <v/>
      </c>
      <c r="AC14" s="366" t="str">
        <f>IF(
  SUM(
    SUMIFS('발전사업(A)'!$I:$I,'발전사업(A)'!$G:$G,AC$2,'발전사업(A)'!$Q:$Q,$J14,'발전사업(A)'!$C:$C,$L$1),
    SUMIFS('자가소비(B)'!$I:$I,'자가소비(B)'!$G:$G,AC$2,'자가소비(B)'!$Q:$Q,$J14,'자가소비(B)'!$C:$C,$L$1),
    SUMIFS('PPA 사업(C)'!$I:$I,'PPA 사업(C)'!$G:$G,AC$2,'PPA 사업(C)'!$Q:$Q,$J14,'PPA 사업(C)'!$C:$C,$L$1),
    SUMIFS('리스사업(D)'!$I:$I,'리스사업(D)'!$G:$G,AC$2,'리스사업(D)'!$Q:$Q,$J14,'리스사업(D)'!$C:$C,$L$1),
    SUMIFS('임대사업(E)'!$I:$I,'임대사업(E)'!$G:$G,AC$2,'임대사업(E)'!$Q:$Q,$J14,'임대사업(E)'!$C:$C,$L$1),
    SUMIFS('환경부사업(F)'!$I:$I,'환경부사업(F)'!$G:$G,AC$2,'환경부사업(F)'!$Q:$Q,$J14,'환경부사업(F)'!$C:$C,$L$1),
    SUMIFS('프로젝트(G)'!$I:$I,'프로젝트(G)'!$G:$G,AC$2,'프로젝트(G)'!$Q:$Q,$J14,'프로젝트(G)'!$C:$C,$L$1),
    SUMIFS('협력사 EPC(H)'!$I:$I,'협력사 EPC(H)'!$G:$G,AC$2,'협력사 EPC(H)'!$Q:$Q,$J14,'협력사 EPC(H)'!$C:$C,$L$1),
    SUMIFS('기타(Z)'!$I:$I,'기타(Z)'!$G:$G,AC$2,'기타(Z)'!$Q:$Q,$J14,'기타(Z)'!$C:$C,$L$1)
  )=0,
  "",
  SUM(
    SUMIFS('발전사업(A)'!$I:$I,'발전사업(A)'!$G:$G,AC$2,'발전사업(A)'!$Q:$Q,$J14,'발전사업(A)'!$C:$C,$L$1),
    SUMIFS('자가소비(B)'!$I:$I,'자가소비(B)'!$G:$G,AC$2,'자가소비(B)'!$Q:$Q,$J14,'자가소비(B)'!$C:$C,$L$1),
    SUMIFS('PPA 사업(C)'!$I:$I,'PPA 사업(C)'!$G:$G,AC$2,'PPA 사업(C)'!$Q:$Q,$J14,'PPA 사업(C)'!$C:$C,$L$1),
    SUMIFS('리스사업(D)'!$I:$I,'리스사업(D)'!$G:$G,AC$2,'리스사업(D)'!$Q:$Q,$J14,'리스사업(D)'!$C:$C,$L$1),
    SUMIFS('임대사업(E)'!$I:$I,'임대사업(E)'!$G:$G,AC$2,'임대사업(E)'!$Q:$Q,$J14,'임대사업(E)'!$C:$C,$L$1),
    SUMIFS('환경부사업(F)'!$I:$I,'환경부사업(F)'!$G:$G,AC$2,'환경부사업(F)'!$Q:$Q,$J14,'환경부사업(F)'!$C:$C,$L$1),
    SUMIFS('프로젝트(G)'!$I:$I,'프로젝트(G)'!$G:$G,AC$2,'프로젝트(G)'!$Q:$Q,$J14,'프로젝트(G)'!$C:$C,$L$1),
    SUMIFS('협력사 EPC(H)'!$I:$I,'협력사 EPC(H)'!$G:$G,AC$2,'협력사 EPC(H)'!$Q:$Q,$J14,'협력사 EPC(H)'!$C:$C,$L$1),
    SUMIFS('기타(Z)'!$I:$I,'기타(Z)'!$G:$G,AC$2,'기타(Z)'!$Q:$Q,$J14,'기타(Z)'!$C:$C,$L$1)
  )
)</f>
        <v/>
      </c>
      <c r="AD14" s="367" t="str">
        <f>IF(
  SUM(
    COUNTIFS('발전사업(A)'!$G:$G, AC$2, '발전사업(A)'!$Q:$Q, $J14, '발전사업(A)'!$C:$C, $L$1),
    COUNTIFS('자가소비(B)'!$G:$G, AC$2, '자가소비(B)'!$Q:$Q, $J14, '자가소비(B)'!$C:$C, $L$1),
    COUNTIFS('PPA 사업(C)'!$G:$G, AC$2, 'PPA 사업(C)'!$Q:$Q, $J14, 'PPA 사업(C)'!$C:$C, $L$1),
    COUNTIFS('리스사업(D)'!$G:$G, AC$2, '리스사업(D)'!$Q:$Q, $J14, '리스사업(D)'!$C:$C, $L$1),
    COUNTIFS('임대사업(E)'!$G:$G, AC$2, '임대사업(E)'!$Q:$Q, $J14, '임대사업(E)'!$C:$C, $L$1),
    COUNTIFS('환경부사업(F)'!$G:$G, AC$2, '환경부사업(F)'!$Q:$Q, $J14, '환경부사업(F)'!$C:$C, $L$1),
    COUNTIFS('프로젝트(G)'!$G:$G, AC$2, '프로젝트(G)'!$Q:$Q, $J14, '프로젝트(G)'!$C:$C, $L$1),
    COUNTIFS('협력사 EPC(H)'!$G:$G, AC$2, '협력사 EPC(H)'!$Q:$Q, $J14, '협력사 EPC(H)'!$C:$C, $L$1),
    COUNTIFS('기타(Z)'!$G:$G, AC$2, '기타(Z)'!$Q:$Q, $J14, '기타(Z)'!$C:$C, $L$1)
  ) = 0,
  "",
  COUNTIFS('발전사업(A)'!$G:$G, AC$2, '발전사업(A)'!$Q:$Q, $J14, '발전사업(A)'!$C:$C, $L$1)
  + COUNTIFS('자가소비(B)'!$G:$G, AC$2, '자가소비(B)'!$Q:$Q, $J14, '자가소비(B)'!$C:$C, $L$1)
  + COUNTIFS('PPA 사업(C)'!$G:$G, AC$2, 'PPA 사업(C)'!$Q:$Q, $J14, 'PPA 사업(C)'!$C:$C, $L$1)
  + COUNTIFS('리스사업(D)'!$G:$G, AC$2, '리스사업(D)'!$Q:$Q, $J14, '리스사업(D)'!$C:$C, $L$1)
  + COUNTIFS('임대사업(E)'!$G:$G, AC$2, '임대사업(E)'!$Q:$Q, $J14, '임대사업(E)'!$C:$C, $L$1)
  + COUNTIFS('환경부사업(F)'!$G:$G, AC$2, '환경부사업(F)'!$Q:$Q, $J14, '환경부사업(F)'!$C:$C, $L$1)
  + COUNTIFS('프로젝트(G)'!$G:$G, AC$2, '프로젝트(G)'!$Q:$Q, $J14, '프로젝트(G)'!$C:$C, $L$1)
  + COUNTIFS('협력사 EPC(H)'!$G:$G, AC$2, '협력사 EPC(H)'!$Q:$Q, $J14, '협력사 EPC(H)'!$C:$C, $L$1)
  + COUNTIFS('기타(Z)'!$G:$G, AC$2, '기타(Z)'!$Q:$Q, $J14, '기타(Z)'!$C:$C, $L$1)
)</f>
        <v/>
      </c>
      <c r="AE14" s="366" t="str">
        <f>IF(
  SUM(
    SUMIFS('발전사업(A)'!$I:$I,'발전사업(A)'!$G:$G,AE$2,'발전사업(A)'!$Q:$Q,$J14,'발전사업(A)'!$C:$C,$L$1),
    SUMIFS('자가소비(B)'!$I:$I,'자가소비(B)'!$G:$G,AE$2,'자가소비(B)'!$Q:$Q,$J14,'자가소비(B)'!$C:$C,$L$1),
    SUMIFS('PPA 사업(C)'!$I:$I,'PPA 사업(C)'!$G:$G,AE$2,'PPA 사업(C)'!$Q:$Q,$J14,'PPA 사업(C)'!$C:$C,$L$1),
    SUMIFS('리스사업(D)'!$I:$I,'리스사업(D)'!$G:$G,AE$2,'리스사업(D)'!$Q:$Q,$J14,'리스사업(D)'!$C:$C,$L$1),
    SUMIFS('임대사업(E)'!$I:$I,'임대사업(E)'!$G:$G,AE$2,'임대사업(E)'!$Q:$Q,$J14,'임대사업(E)'!$C:$C,$L$1),
    SUMIFS('환경부사업(F)'!$I:$I,'환경부사업(F)'!$G:$G,AE$2,'환경부사업(F)'!$Q:$Q,$J14,'환경부사업(F)'!$C:$C,$L$1),
    SUMIFS('프로젝트(G)'!$I:$I,'프로젝트(G)'!$G:$G,AE$2,'프로젝트(G)'!$Q:$Q,$J14,'프로젝트(G)'!$C:$C,$L$1),
    SUMIFS('협력사 EPC(H)'!$I:$I,'협력사 EPC(H)'!$G:$G,AE$2,'협력사 EPC(H)'!$Q:$Q,$J14,'협력사 EPC(H)'!$C:$C,$L$1),
    SUMIFS('기타(Z)'!$I:$I,'기타(Z)'!$G:$G,AE$2,'기타(Z)'!$Q:$Q,$J14,'기타(Z)'!$C:$C,$L$1)
  )=0,
  "",
  SUM(
    SUMIFS('발전사업(A)'!$I:$I,'발전사업(A)'!$G:$G,AE$2,'발전사업(A)'!$Q:$Q,$J14,'발전사업(A)'!$C:$C,$L$1),
    SUMIFS('자가소비(B)'!$I:$I,'자가소비(B)'!$G:$G,AE$2,'자가소비(B)'!$Q:$Q,$J14,'자가소비(B)'!$C:$C,$L$1),
    SUMIFS('PPA 사업(C)'!$I:$I,'PPA 사업(C)'!$G:$G,AE$2,'PPA 사업(C)'!$Q:$Q,$J14,'PPA 사업(C)'!$C:$C,$L$1),
    SUMIFS('리스사업(D)'!$I:$I,'리스사업(D)'!$G:$G,AE$2,'리스사업(D)'!$Q:$Q,$J14,'리스사업(D)'!$C:$C,$L$1),
    SUMIFS('임대사업(E)'!$I:$I,'임대사업(E)'!$G:$G,AE$2,'임대사업(E)'!$Q:$Q,$J14,'임대사업(E)'!$C:$C,$L$1),
    SUMIFS('환경부사업(F)'!$I:$I,'환경부사업(F)'!$G:$G,AE$2,'환경부사업(F)'!$Q:$Q,$J14,'환경부사업(F)'!$C:$C,$L$1),
    SUMIFS('프로젝트(G)'!$I:$I,'프로젝트(G)'!$G:$G,AE$2,'프로젝트(G)'!$Q:$Q,$J14,'프로젝트(G)'!$C:$C,$L$1),
    SUMIFS('협력사 EPC(H)'!$I:$I,'협력사 EPC(H)'!$G:$G,AE$2,'협력사 EPC(H)'!$Q:$Q,$J14,'협력사 EPC(H)'!$C:$C,$L$1),
    SUMIFS('기타(Z)'!$I:$I,'기타(Z)'!$G:$G,AE$2,'기타(Z)'!$Q:$Q,$J14,'기타(Z)'!$C:$C,$L$1)
  )
)</f>
        <v/>
      </c>
      <c r="AF14" s="367" t="str">
        <f>IF(
  SUM(
    COUNTIFS('발전사업(A)'!$G:$G, AE$2, '발전사업(A)'!$Q:$Q, $J14, '발전사업(A)'!$C:$C, $L$1),
    COUNTIFS('자가소비(B)'!$G:$G, AE$2, '자가소비(B)'!$Q:$Q, $J14, '자가소비(B)'!$C:$C, $L$1),
    COUNTIFS('PPA 사업(C)'!$G:$G, AE$2, 'PPA 사업(C)'!$Q:$Q, $J14, 'PPA 사업(C)'!$C:$C, $L$1),
    COUNTIFS('리스사업(D)'!$G:$G, AE$2, '리스사업(D)'!$Q:$Q, $J14, '리스사업(D)'!$C:$C, $L$1),
    COUNTIFS('임대사업(E)'!$G:$G, AE$2, '임대사업(E)'!$Q:$Q, $J14, '임대사업(E)'!$C:$C, $L$1),
    COUNTIFS('환경부사업(F)'!$G:$G, AE$2, '환경부사업(F)'!$Q:$Q, $J14, '환경부사업(F)'!$C:$C, $L$1),
    COUNTIFS('프로젝트(G)'!$G:$G, AE$2, '프로젝트(G)'!$Q:$Q, $J14, '프로젝트(G)'!$C:$C, $L$1),
    COUNTIFS('협력사 EPC(H)'!$G:$G, AE$2, '협력사 EPC(H)'!$Q:$Q, $J14, '협력사 EPC(H)'!$C:$C, $L$1),
    COUNTIFS('기타(Z)'!$G:$G, AE$2, '기타(Z)'!$Q:$Q, $J14, '기타(Z)'!$C:$C, $L$1)
  ) = 0,
  "",
  COUNTIFS('발전사업(A)'!$G:$G, AE$2, '발전사업(A)'!$Q:$Q, $J14, '발전사업(A)'!$C:$C, $L$1)
  + COUNTIFS('자가소비(B)'!$G:$G, AE$2, '자가소비(B)'!$Q:$Q, $J14, '자가소비(B)'!$C:$C, $L$1)
  + COUNTIFS('PPA 사업(C)'!$G:$G, AE$2, 'PPA 사업(C)'!$Q:$Q, $J14, 'PPA 사업(C)'!$C:$C, $L$1)
  + COUNTIFS('리스사업(D)'!$G:$G, AE$2, '리스사업(D)'!$Q:$Q, $J14, '리스사업(D)'!$C:$C, $L$1)
  + COUNTIFS('임대사업(E)'!$G:$G, AE$2, '임대사업(E)'!$Q:$Q, $J14, '임대사업(E)'!$C:$C, $L$1)
  + COUNTIFS('환경부사업(F)'!$G:$G, AE$2, '환경부사업(F)'!$Q:$Q, $J14, '환경부사업(F)'!$C:$C, $L$1)
  + COUNTIFS('프로젝트(G)'!$G:$G, AE$2, '프로젝트(G)'!$Q:$Q, $J14, '프로젝트(G)'!$C:$C, $L$1)
  + COUNTIFS('협력사 EPC(H)'!$G:$G, AE$2, '협력사 EPC(H)'!$Q:$Q, $J14, '협력사 EPC(H)'!$C:$C, $L$1)
  + COUNTIFS('기타(Z)'!$G:$G, AE$2, '기타(Z)'!$Q:$Q, $J14, '기타(Z)'!$C:$C, $L$1)
)</f>
        <v/>
      </c>
      <c r="AG14" s="366" t="str">
        <f>IF(
  SUM(
    SUMIFS('발전사업(A)'!$I:$I,'발전사업(A)'!$G:$G,AG$2,'발전사업(A)'!$Q:$Q,$J14,'발전사업(A)'!$C:$C,$L$1),
    SUMIFS('자가소비(B)'!$I:$I,'자가소비(B)'!$G:$G,AG$2,'자가소비(B)'!$Q:$Q,$J14,'자가소비(B)'!$C:$C,$L$1),
    SUMIFS('PPA 사업(C)'!$I:$I,'PPA 사업(C)'!$G:$G,AG$2,'PPA 사업(C)'!$Q:$Q,$J14,'PPA 사업(C)'!$C:$C,$L$1),
    SUMIFS('리스사업(D)'!$I:$I,'리스사업(D)'!$G:$G,AG$2,'리스사업(D)'!$Q:$Q,$J14,'리스사업(D)'!$C:$C,$L$1),
    SUMIFS('임대사업(E)'!$I:$I,'임대사업(E)'!$G:$G,AG$2,'임대사업(E)'!$Q:$Q,$J14,'임대사업(E)'!$C:$C,$L$1),
    SUMIFS('환경부사업(F)'!$I:$I,'환경부사업(F)'!$G:$G,AG$2,'환경부사업(F)'!$Q:$Q,$J14,'환경부사업(F)'!$C:$C,$L$1),
    SUMIFS('프로젝트(G)'!$I:$I,'프로젝트(G)'!$G:$G,AG$2,'프로젝트(G)'!$Q:$Q,$J14,'프로젝트(G)'!$C:$C,$L$1),
    SUMIFS('협력사 EPC(H)'!$I:$I,'협력사 EPC(H)'!$G:$G,AG$2,'협력사 EPC(H)'!$Q:$Q,$J14,'협력사 EPC(H)'!$C:$C,$L$1),
    SUMIFS('기타(Z)'!$I:$I,'기타(Z)'!$G:$G,AG$2,'기타(Z)'!$Q:$Q,$J14,'기타(Z)'!$C:$C,$L$1)
  )=0,
  "",
  SUM(
    SUMIFS('발전사업(A)'!$I:$I,'발전사업(A)'!$G:$G,AG$2,'발전사업(A)'!$Q:$Q,$J14,'발전사업(A)'!$C:$C,$L$1),
    SUMIFS('자가소비(B)'!$I:$I,'자가소비(B)'!$G:$G,AG$2,'자가소비(B)'!$Q:$Q,$J14,'자가소비(B)'!$C:$C,$L$1),
    SUMIFS('PPA 사업(C)'!$I:$I,'PPA 사업(C)'!$G:$G,AG$2,'PPA 사업(C)'!$Q:$Q,$J14,'PPA 사업(C)'!$C:$C,$L$1),
    SUMIFS('리스사업(D)'!$I:$I,'리스사업(D)'!$G:$G,AG$2,'리스사업(D)'!$Q:$Q,$J14,'리스사업(D)'!$C:$C,$L$1),
    SUMIFS('임대사업(E)'!$I:$I,'임대사업(E)'!$G:$G,AG$2,'임대사업(E)'!$Q:$Q,$J14,'임대사업(E)'!$C:$C,$L$1),
    SUMIFS('환경부사업(F)'!$I:$I,'환경부사업(F)'!$G:$G,AG$2,'환경부사업(F)'!$Q:$Q,$J14,'환경부사업(F)'!$C:$C,$L$1),
    SUMIFS('프로젝트(G)'!$I:$I,'프로젝트(G)'!$G:$G,AG$2,'프로젝트(G)'!$Q:$Q,$J14,'프로젝트(G)'!$C:$C,$L$1),
    SUMIFS('협력사 EPC(H)'!$I:$I,'협력사 EPC(H)'!$G:$G,AG$2,'협력사 EPC(H)'!$Q:$Q,$J14,'협력사 EPC(H)'!$C:$C,$L$1),
    SUMIFS('기타(Z)'!$I:$I,'기타(Z)'!$G:$G,AG$2,'기타(Z)'!$Q:$Q,$J14,'기타(Z)'!$C:$C,$L$1)
  )
)</f>
        <v/>
      </c>
      <c r="AH14" s="367" t="str">
        <f>IF(
  SUM(
    COUNTIFS('발전사업(A)'!$G:$G, AG$2, '발전사업(A)'!$Q:$Q, $J14, '발전사업(A)'!$C:$C, $L$1),
    COUNTIFS('자가소비(B)'!$G:$G, AG$2, '자가소비(B)'!$Q:$Q, $J14, '자가소비(B)'!$C:$C, $L$1),
    COUNTIFS('PPA 사업(C)'!$G:$G, AG$2, 'PPA 사업(C)'!$Q:$Q, $J14, 'PPA 사업(C)'!$C:$C, $L$1),
    COUNTIFS('리스사업(D)'!$G:$G, AG$2, '리스사업(D)'!$Q:$Q, $J14, '리스사업(D)'!$C:$C, $L$1),
    COUNTIFS('임대사업(E)'!$G:$G, AG$2, '임대사업(E)'!$Q:$Q, $J14, '임대사업(E)'!$C:$C, $L$1),
    COUNTIFS('환경부사업(F)'!$G:$G, AG$2, '환경부사업(F)'!$Q:$Q, $J14, '환경부사업(F)'!$C:$C, $L$1),
    COUNTIFS('프로젝트(G)'!$G:$G, AG$2, '프로젝트(G)'!$Q:$Q, $J14, '프로젝트(G)'!$C:$C, $L$1),
    COUNTIFS('협력사 EPC(H)'!$G:$G, AG$2, '협력사 EPC(H)'!$Q:$Q, $J14, '협력사 EPC(H)'!$C:$C, $L$1),
    COUNTIFS('기타(Z)'!$G:$G, AG$2, '기타(Z)'!$Q:$Q, $J14, '기타(Z)'!$C:$C, $L$1)
  ) = 0,
  "",
  COUNTIFS('발전사업(A)'!$G:$G, AG$2, '발전사업(A)'!$Q:$Q, $J14, '발전사업(A)'!$C:$C, $L$1)
  + COUNTIFS('자가소비(B)'!$G:$G, AG$2, '자가소비(B)'!$Q:$Q, $J14, '자가소비(B)'!$C:$C, $L$1)
  + COUNTIFS('PPA 사업(C)'!$G:$G, AG$2, 'PPA 사업(C)'!$Q:$Q, $J14, 'PPA 사업(C)'!$C:$C, $L$1)
  + COUNTIFS('리스사업(D)'!$G:$G, AG$2, '리스사업(D)'!$Q:$Q, $J14, '리스사업(D)'!$C:$C, $L$1)
  + COUNTIFS('임대사업(E)'!$G:$G, AG$2, '임대사업(E)'!$Q:$Q, $J14, '임대사업(E)'!$C:$C, $L$1)
  + COUNTIFS('환경부사업(F)'!$G:$G, AG$2, '환경부사업(F)'!$Q:$Q, $J14, '환경부사업(F)'!$C:$C, $L$1)
  + COUNTIFS('프로젝트(G)'!$G:$G, AG$2, '프로젝트(G)'!$Q:$Q, $J14, '프로젝트(G)'!$C:$C, $L$1)
  + COUNTIFS('협력사 EPC(H)'!$G:$G, AG$2, '협력사 EPC(H)'!$Q:$Q, $J14, '협력사 EPC(H)'!$C:$C, $L$1)
  + COUNTIFS('기타(Z)'!$G:$G, AG$2, '기타(Z)'!$Q:$Q, $J14, '기타(Z)'!$C:$C, $L$1)
)</f>
        <v/>
      </c>
      <c r="AI14" s="366" t="str">
        <f>IF(
  SUM(
    SUMIFS('발전사업(A)'!$I:$I,'발전사업(A)'!$G:$G,AI$2,'발전사업(A)'!$Q:$Q,$J14,'발전사업(A)'!$C:$C,$L$1),
    SUMIFS('자가소비(B)'!$I:$I,'자가소비(B)'!$G:$G,AI$2,'자가소비(B)'!$Q:$Q,$J14,'자가소비(B)'!$C:$C,$L$1),
    SUMIFS('PPA 사업(C)'!$I:$I,'PPA 사업(C)'!$G:$G,AI$2,'PPA 사업(C)'!$Q:$Q,$J14,'PPA 사업(C)'!$C:$C,$L$1),
    SUMIFS('리스사업(D)'!$I:$I,'리스사업(D)'!$G:$G,AI$2,'리스사업(D)'!$Q:$Q,$J14,'리스사업(D)'!$C:$C,$L$1),
    SUMIFS('임대사업(E)'!$I:$I,'임대사업(E)'!$G:$G,AI$2,'임대사업(E)'!$Q:$Q,$J14,'임대사업(E)'!$C:$C,$L$1),
    SUMIFS('환경부사업(F)'!$I:$I,'환경부사업(F)'!$G:$G,AI$2,'환경부사업(F)'!$Q:$Q,$J14,'환경부사업(F)'!$C:$C,$L$1),
    SUMIFS('프로젝트(G)'!$I:$I,'프로젝트(G)'!$G:$G,AI$2,'프로젝트(G)'!$Q:$Q,$J14,'프로젝트(G)'!$C:$C,$L$1),
    SUMIFS('협력사 EPC(H)'!$I:$I,'협력사 EPC(H)'!$G:$G,AI$2,'협력사 EPC(H)'!$Q:$Q,$J14,'협력사 EPC(H)'!$C:$C,$L$1),
    SUMIFS('기타(Z)'!$I:$I,'기타(Z)'!$G:$G,AI$2,'기타(Z)'!$Q:$Q,$J14,'기타(Z)'!$C:$C,$L$1)
  )=0,
  "",
  SUM(
    SUMIFS('발전사업(A)'!$I:$I,'발전사업(A)'!$G:$G,AI$2,'발전사업(A)'!$Q:$Q,$J14,'발전사업(A)'!$C:$C,$L$1),
    SUMIFS('자가소비(B)'!$I:$I,'자가소비(B)'!$G:$G,AI$2,'자가소비(B)'!$Q:$Q,$J14,'자가소비(B)'!$C:$C,$L$1),
    SUMIFS('PPA 사업(C)'!$I:$I,'PPA 사업(C)'!$G:$G,AI$2,'PPA 사업(C)'!$Q:$Q,$J14,'PPA 사업(C)'!$C:$C,$L$1),
    SUMIFS('리스사업(D)'!$I:$I,'리스사업(D)'!$G:$G,AI$2,'리스사업(D)'!$Q:$Q,$J14,'리스사업(D)'!$C:$C,$L$1),
    SUMIFS('임대사업(E)'!$I:$I,'임대사업(E)'!$G:$G,AI$2,'임대사업(E)'!$Q:$Q,$J14,'임대사업(E)'!$C:$C,$L$1),
    SUMIFS('환경부사업(F)'!$I:$I,'환경부사업(F)'!$G:$G,AI$2,'환경부사업(F)'!$Q:$Q,$J14,'환경부사업(F)'!$C:$C,$L$1),
    SUMIFS('프로젝트(G)'!$I:$I,'프로젝트(G)'!$G:$G,AI$2,'프로젝트(G)'!$Q:$Q,$J14,'프로젝트(G)'!$C:$C,$L$1),
    SUMIFS('협력사 EPC(H)'!$I:$I,'협력사 EPC(H)'!$G:$G,AI$2,'협력사 EPC(H)'!$Q:$Q,$J14,'협력사 EPC(H)'!$C:$C,$L$1),
    SUMIFS('기타(Z)'!$I:$I,'기타(Z)'!$G:$G,AI$2,'기타(Z)'!$Q:$Q,$J14,'기타(Z)'!$C:$C,$L$1)
  )
)</f>
        <v/>
      </c>
      <c r="AJ14" s="365" t="str">
        <f>IF(
  SUM(
    COUNTIFS('발전사업(A)'!$G:$G, AI$2, '발전사업(A)'!$Q:$Q, $J14, '발전사업(A)'!$C:$C, $L$1),
    COUNTIFS('자가소비(B)'!$G:$G, AI$2, '자가소비(B)'!$Q:$Q, $J14, '자가소비(B)'!$C:$C, $L$1),
    COUNTIFS('PPA 사업(C)'!$G:$G, AI$2, 'PPA 사업(C)'!$Q:$Q, $J14, 'PPA 사업(C)'!$C:$C, $L$1),
    COUNTIFS('리스사업(D)'!$G:$G, AI$2, '리스사업(D)'!$Q:$Q, $J14, '리스사업(D)'!$C:$C, $L$1),
    COUNTIFS('임대사업(E)'!$G:$G, AI$2, '임대사업(E)'!$Q:$Q, $J14, '임대사업(E)'!$C:$C, $L$1),
    COUNTIFS('환경부사업(F)'!$G:$G, AI$2, '환경부사업(F)'!$Q:$Q, $J14, '환경부사업(F)'!$C:$C, $L$1),
    COUNTIFS('프로젝트(G)'!$G:$G, AI$2, '프로젝트(G)'!$Q:$Q, $J14, '프로젝트(G)'!$C:$C, $L$1),
    COUNTIFS('협력사 EPC(H)'!$G:$G, AI$2, '협력사 EPC(H)'!$Q:$Q, $J14, '협력사 EPC(H)'!$C:$C, $L$1),
    COUNTIFS('기타(Z)'!$G:$G, AI$2, '기타(Z)'!$Q:$Q, $J14, '기타(Z)'!$C:$C, $L$1)
  ) = 0,
  "",
  COUNTIFS('발전사업(A)'!$G:$G, AI$2, '발전사업(A)'!$Q:$Q, $J14, '발전사업(A)'!$C:$C, $L$1)
  + COUNTIFS('자가소비(B)'!$G:$G, AI$2, '자가소비(B)'!$Q:$Q, $J14, '자가소비(B)'!$C:$C, $L$1)
  + COUNTIFS('PPA 사업(C)'!$G:$G, AI$2, 'PPA 사업(C)'!$Q:$Q, $J14, 'PPA 사업(C)'!$C:$C, $L$1)
  + COUNTIFS('리스사업(D)'!$G:$G, AI$2, '리스사업(D)'!$Q:$Q, $J14, '리스사업(D)'!$C:$C, $L$1)
  + COUNTIFS('임대사업(E)'!$G:$G, AI$2, '임대사업(E)'!$Q:$Q, $J14, '임대사업(E)'!$C:$C, $L$1)
  + COUNTIFS('환경부사업(F)'!$G:$G, AI$2, '환경부사업(F)'!$Q:$Q, $J14, '환경부사업(F)'!$C:$C, $L$1)
  + COUNTIFS('프로젝트(G)'!$G:$G, AI$2, '프로젝트(G)'!$Q:$Q, $J14, '프로젝트(G)'!$C:$C, $L$1)
  + COUNTIFS('협력사 EPC(H)'!$G:$G, AI$2, '협력사 EPC(H)'!$Q:$Q, $J14, '협력사 EPC(H)'!$C:$C, $L$1)
  + COUNTIFS('기타(Z)'!$G:$G, AI$2, '기타(Z)'!$Q:$Q, $J14, '기타(Z)'!$C:$C, $L$1)
)</f>
        <v/>
      </c>
    </row>
    <row r="15" spans="2:36" ht="17.25" x14ac:dyDescent="0.25">
      <c r="B15" s="264">
        <v>1</v>
      </c>
      <c r="C15" s="265" t="s">
        <v>176</v>
      </c>
      <c r="D15" s="265" t="s">
        <v>175</v>
      </c>
      <c r="E15" s="266" t="s">
        <v>177</v>
      </c>
      <c r="F15" s="266" t="s">
        <v>178</v>
      </c>
      <c r="G15" s="267" t="s">
        <v>179</v>
      </c>
      <c r="H15" s="267" t="s">
        <v>180</v>
      </c>
      <c r="J15" s="370" t="s">
        <v>203</v>
      </c>
      <c r="K15" s="354">
        <f t="shared" si="5"/>
        <v>99.33</v>
      </c>
      <c r="L15" s="348">
        <f t="shared" si="6"/>
        <v>1</v>
      </c>
      <c r="M15" s="366" t="str">
        <f>IF(
  SUM(
    SUMIFS('발전사업(A)'!$I:$I,'발전사업(A)'!$G:$G,M$2,'발전사업(A)'!$Q:$Q,$J15,'발전사업(A)'!$C:$C,$L$1),
    SUMIFS('자가소비(B)'!$I:$I,'자가소비(B)'!$G:$G,M$2,'자가소비(B)'!$Q:$Q,$J15,'자가소비(B)'!$C:$C,$L$1),
    SUMIFS('PPA 사업(C)'!$I:$I,'PPA 사업(C)'!$G:$G,M$2,'PPA 사업(C)'!$Q:$Q,$J15,'PPA 사업(C)'!$C:$C,$L$1),
    SUMIFS('리스사업(D)'!$I:$I,'리스사업(D)'!$G:$G,M$2,'리스사업(D)'!$Q:$Q,$J15,'리스사업(D)'!$C:$C,$L$1),
    SUMIFS('임대사업(E)'!$I:$I,'임대사업(E)'!$G:$G,M$2,'임대사업(E)'!$Q:$Q,$J15,'임대사업(E)'!$C:$C,$L$1),
    SUMIFS('환경부사업(F)'!$I:$I,'환경부사업(F)'!$G:$G,M$2,'환경부사업(F)'!$Q:$Q,$J15,'환경부사업(F)'!$C:$C,$L$1),
    SUMIFS('프로젝트(G)'!$I:$I,'프로젝트(G)'!$G:$G,M$2,'프로젝트(G)'!$Q:$Q,$J15,'프로젝트(G)'!$C:$C,$L$1),
    SUMIFS('협력사 EPC(H)'!$I:$I,'협력사 EPC(H)'!$G:$G,M$2,'협력사 EPC(H)'!$Q:$Q,$J15,'협력사 EPC(H)'!$C:$C,$L$1),
    SUMIFS('기타(Z)'!$I:$I,'기타(Z)'!$G:$G,M$2,'기타(Z)'!$Q:$Q,$J15,'기타(Z)'!$C:$C,$L$1)
  )=0,
  "",
  SUM(
    SUMIFS('발전사업(A)'!$I:$I,'발전사업(A)'!$G:$G,M$2,'발전사업(A)'!$Q:$Q,$J15,'발전사업(A)'!$C:$C,$L$1),
    SUMIFS('자가소비(B)'!$I:$I,'자가소비(B)'!$G:$G,M$2,'자가소비(B)'!$Q:$Q,$J15,'자가소비(B)'!$C:$C,$L$1),
    SUMIFS('PPA 사업(C)'!$I:$I,'PPA 사업(C)'!$G:$G,M$2,'PPA 사업(C)'!$Q:$Q,$J15,'PPA 사업(C)'!$C:$C,$L$1),
    SUMIFS('리스사업(D)'!$I:$I,'리스사업(D)'!$G:$G,M$2,'리스사업(D)'!$Q:$Q,$J15,'리스사업(D)'!$C:$C,$L$1),
    SUMIFS('임대사업(E)'!$I:$I,'임대사업(E)'!$G:$G,M$2,'임대사업(E)'!$Q:$Q,$J15,'임대사업(E)'!$C:$C,$L$1),
    SUMIFS('환경부사업(F)'!$I:$I,'환경부사업(F)'!$G:$G,M$2,'환경부사업(F)'!$Q:$Q,$J15,'환경부사업(F)'!$C:$C,$L$1),
    SUMIFS('프로젝트(G)'!$I:$I,'프로젝트(G)'!$G:$G,M$2,'프로젝트(G)'!$Q:$Q,$J15,'프로젝트(G)'!$C:$C,$L$1),
    SUMIFS('협력사 EPC(H)'!$I:$I,'협력사 EPC(H)'!$G:$G,M$2,'협력사 EPC(H)'!$Q:$Q,$J15,'협력사 EPC(H)'!$C:$C,$L$1),
    SUMIFS('기타(Z)'!$I:$I,'기타(Z)'!$G:$G,M$2,'기타(Z)'!$Q:$Q,$J15,'기타(Z)'!$C:$C,$L$1)
  )
)</f>
        <v/>
      </c>
      <c r="N15" s="367" t="str">
        <f>IF(
  SUM(
    COUNTIFS('발전사업(A)'!$G:$G, M$2, '발전사업(A)'!$Q:$Q, $J15, '발전사업(A)'!$C:$C, $L$1),
    COUNTIFS('자가소비(B)'!$G:$G, M$2, '자가소비(B)'!$Q:$Q, $J15, '자가소비(B)'!$C:$C, $L$1),
    COUNTIFS('PPA 사업(C)'!$G:$G, M$2, 'PPA 사업(C)'!$Q:$Q, $J15, 'PPA 사업(C)'!$C:$C, $L$1),
    COUNTIFS('리스사업(D)'!$G:$G, M$2, '리스사업(D)'!$Q:$Q, $J15, '리스사업(D)'!$C:$C, $L$1),
    COUNTIFS('임대사업(E)'!$G:$G, M$2, '임대사업(E)'!$Q:$Q, $J15, '임대사업(E)'!$C:$C, $L$1),
    COUNTIFS('환경부사업(F)'!$G:$G, M$2, '환경부사업(F)'!$Q:$Q, $J15, '환경부사업(F)'!$C:$C, $L$1),
    COUNTIFS('프로젝트(G)'!$G:$G, M$2, '프로젝트(G)'!$Q:$Q, $J15, '프로젝트(G)'!$C:$C, $L$1),
    COUNTIFS('협력사 EPC(H)'!$G:$G, M$2, '협력사 EPC(H)'!$Q:$Q, $J15, '협력사 EPC(H)'!$C:$C, $L$1),
    COUNTIFS('기타(Z)'!$G:$G, M$2, '기타(Z)'!$Q:$Q, $J15, '기타(Z)'!$C:$C, $L$1)
  ) = 0,
  "",
  COUNTIFS('발전사업(A)'!$G:$G, M$2, '발전사업(A)'!$Q:$Q, $J15, '발전사업(A)'!$C:$C, $L$1)
  + COUNTIFS('자가소비(B)'!$G:$G, M$2, '자가소비(B)'!$Q:$Q, $J15, '자가소비(B)'!$C:$C, $L$1)
  + COUNTIFS('PPA 사업(C)'!$G:$G, M$2, 'PPA 사업(C)'!$Q:$Q, $J15, 'PPA 사업(C)'!$C:$C, $L$1)
  + COUNTIFS('리스사업(D)'!$G:$G, M$2, '리스사업(D)'!$Q:$Q, $J15, '리스사업(D)'!$C:$C, $L$1)
  + COUNTIFS('임대사업(E)'!$G:$G, M$2, '임대사업(E)'!$Q:$Q, $J15, '임대사업(E)'!$C:$C, $L$1)
  + COUNTIFS('환경부사업(F)'!$G:$G, M$2, '환경부사업(F)'!$Q:$Q, $J15, '환경부사업(F)'!$C:$C, $L$1)
  + COUNTIFS('프로젝트(G)'!$G:$G, M$2, '프로젝트(G)'!$Q:$Q, $J15, '프로젝트(G)'!$C:$C, $L$1)
  + COUNTIFS('협력사 EPC(H)'!$G:$G, M$2, '협력사 EPC(H)'!$Q:$Q, $J15, '협력사 EPC(H)'!$C:$C, $L$1)
  + COUNTIFS('기타(Z)'!$G:$G, M$2, '기타(Z)'!$Q:$Q, $J15, '기타(Z)'!$C:$C, $L$1)
)</f>
        <v/>
      </c>
      <c r="O15" s="366">
        <f>IF(
  SUM(
    SUMIFS('발전사업(A)'!$I:$I,'발전사업(A)'!$G:$G,O$2,'발전사업(A)'!$Q:$Q,$J15,'발전사업(A)'!$C:$C,$L$1),
    SUMIFS('자가소비(B)'!$I:$I,'자가소비(B)'!$G:$G,O$2,'자가소비(B)'!$Q:$Q,$J15,'자가소비(B)'!$C:$C,$L$1),
    SUMIFS('PPA 사업(C)'!$I:$I,'PPA 사업(C)'!$G:$G,O$2,'PPA 사업(C)'!$Q:$Q,$J15,'PPA 사업(C)'!$C:$C,$L$1),
    SUMIFS('리스사업(D)'!$I:$I,'리스사업(D)'!$G:$G,O$2,'리스사업(D)'!$Q:$Q,$J15,'리스사업(D)'!$C:$C,$L$1),
    SUMIFS('임대사업(E)'!$I:$I,'임대사업(E)'!$G:$G,O$2,'임대사업(E)'!$Q:$Q,$J15,'임대사업(E)'!$C:$C,$L$1),
    SUMIFS('환경부사업(F)'!$I:$I,'환경부사업(F)'!$G:$G,O$2,'환경부사업(F)'!$Q:$Q,$J15,'환경부사업(F)'!$C:$C,$L$1),
    SUMIFS('프로젝트(G)'!$I:$I,'프로젝트(G)'!$G:$G,O$2,'프로젝트(G)'!$Q:$Q,$J15,'프로젝트(G)'!$C:$C,$L$1),
    SUMIFS('협력사 EPC(H)'!$I:$I,'협력사 EPC(H)'!$G:$G,O$2,'협력사 EPC(H)'!$Q:$Q,$J15,'협력사 EPC(H)'!$C:$C,$L$1),
    SUMIFS('기타(Z)'!$I:$I,'기타(Z)'!$G:$G,O$2,'기타(Z)'!$Q:$Q,$J15,'기타(Z)'!$C:$C,$L$1)
  )=0,
  "",
  SUM(
    SUMIFS('발전사업(A)'!$I:$I,'발전사업(A)'!$G:$G,O$2,'발전사업(A)'!$Q:$Q,$J15,'발전사업(A)'!$C:$C,$L$1),
    SUMIFS('자가소비(B)'!$I:$I,'자가소비(B)'!$G:$G,O$2,'자가소비(B)'!$Q:$Q,$J15,'자가소비(B)'!$C:$C,$L$1),
    SUMIFS('PPA 사업(C)'!$I:$I,'PPA 사업(C)'!$G:$G,O$2,'PPA 사업(C)'!$Q:$Q,$J15,'PPA 사업(C)'!$C:$C,$L$1),
    SUMIFS('리스사업(D)'!$I:$I,'리스사업(D)'!$G:$G,O$2,'리스사업(D)'!$Q:$Q,$J15,'리스사업(D)'!$C:$C,$L$1),
    SUMIFS('임대사업(E)'!$I:$I,'임대사업(E)'!$G:$G,O$2,'임대사업(E)'!$Q:$Q,$J15,'임대사업(E)'!$C:$C,$L$1),
    SUMIFS('환경부사업(F)'!$I:$I,'환경부사업(F)'!$G:$G,O$2,'환경부사업(F)'!$Q:$Q,$J15,'환경부사업(F)'!$C:$C,$L$1),
    SUMIFS('프로젝트(G)'!$I:$I,'프로젝트(G)'!$G:$G,O$2,'프로젝트(G)'!$Q:$Q,$J15,'프로젝트(G)'!$C:$C,$L$1),
    SUMIFS('협력사 EPC(H)'!$I:$I,'협력사 EPC(H)'!$G:$G,O$2,'협력사 EPC(H)'!$Q:$Q,$J15,'협력사 EPC(H)'!$C:$C,$L$1),
    SUMIFS('기타(Z)'!$I:$I,'기타(Z)'!$G:$G,O$2,'기타(Z)'!$Q:$Q,$J15,'기타(Z)'!$C:$C,$L$1)
  )
)</f>
        <v>99.33</v>
      </c>
      <c r="P15" s="367">
        <f>IF(
  SUM(
    COUNTIFS('발전사업(A)'!$G:$G, O$2, '발전사업(A)'!$Q:$Q, $J15, '발전사업(A)'!$C:$C, $L$1),
    COUNTIFS('자가소비(B)'!$G:$G, O$2, '자가소비(B)'!$Q:$Q, $J15, '자가소비(B)'!$C:$C, $L$1),
    COUNTIFS('PPA 사업(C)'!$G:$G, O$2, 'PPA 사업(C)'!$Q:$Q, $J15, 'PPA 사업(C)'!$C:$C, $L$1),
    COUNTIFS('리스사업(D)'!$G:$G, O$2, '리스사업(D)'!$Q:$Q, $J15, '리스사업(D)'!$C:$C, $L$1),
    COUNTIFS('임대사업(E)'!$G:$G, O$2, '임대사업(E)'!$Q:$Q, $J15, '임대사업(E)'!$C:$C, $L$1),
    COUNTIFS('환경부사업(F)'!$G:$G, O$2, '환경부사업(F)'!$Q:$Q, $J15, '환경부사업(F)'!$C:$C, $L$1),
    COUNTIFS('프로젝트(G)'!$G:$G, O$2, '프로젝트(G)'!$Q:$Q, $J15, '프로젝트(G)'!$C:$C, $L$1),
    COUNTIFS('협력사 EPC(H)'!$G:$G, O$2, '협력사 EPC(H)'!$Q:$Q, $J15, '협력사 EPC(H)'!$C:$C, $L$1),
    COUNTIFS('기타(Z)'!$G:$G, O$2, '기타(Z)'!$Q:$Q, $J15, '기타(Z)'!$C:$C, $L$1)
  ) = 0,
  "",
  COUNTIFS('발전사업(A)'!$G:$G, O$2, '발전사업(A)'!$Q:$Q, $J15, '발전사업(A)'!$C:$C, $L$1)
  + COUNTIFS('자가소비(B)'!$G:$G, O$2, '자가소비(B)'!$Q:$Q, $J15, '자가소비(B)'!$C:$C, $L$1)
  + COUNTIFS('PPA 사업(C)'!$G:$G, O$2, 'PPA 사업(C)'!$Q:$Q, $J15, 'PPA 사업(C)'!$C:$C, $L$1)
  + COUNTIFS('리스사업(D)'!$G:$G, O$2, '리스사업(D)'!$Q:$Q, $J15, '리스사업(D)'!$C:$C, $L$1)
  + COUNTIFS('임대사업(E)'!$G:$G, O$2, '임대사업(E)'!$Q:$Q, $J15, '임대사업(E)'!$C:$C, $L$1)
  + COUNTIFS('환경부사업(F)'!$G:$G, O$2, '환경부사업(F)'!$Q:$Q, $J15, '환경부사업(F)'!$C:$C, $L$1)
  + COUNTIFS('프로젝트(G)'!$G:$G, O$2, '프로젝트(G)'!$Q:$Q, $J15, '프로젝트(G)'!$C:$C, $L$1)
  + COUNTIFS('협력사 EPC(H)'!$G:$G, O$2, '협력사 EPC(H)'!$Q:$Q, $J15, '협력사 EPC(H)'!$C:$C, $L$1)
  + COUNTIFS('기타(Z)'!$G:$G, O$2, '기타(Z)'!$Q:$Q, $J15, '기타(Z)'!$C:$C, $L$1)
)</f>
        <v>1</v>
      </c>
      <c r="Q15" s="366" t="str">
        <f>IF(
  SUM(
    SUMIFS('발전사업(A)'!$I:$I,'발전사업(A)'!$G:$G,Q$2,'발전사업(A)'!$Q:$Q,$J15,'발전사업(A)'!$C:$C,$L$1),
    SUMIFS('자가소비(B)'!$I:$I,'자가소비(B)'!$G:$G,Q$2,'자가소비(B)'!$Q:$Q,$J15,'자가소비(B)'!$C:$C,$L$1),
    SUMIFS('PPA 사업(C)'!$I:$I,'PPA 사업(C)'!$G:$G,Q$2,'PPA 사업(C)'!$Q:$Q,$J15,'PPA 사업(C)'!$C:$C,$L$1),
    SUMIFS('리스사업(D)'!$I:$I,'리스사업(D)'!$G:$G,Q$2,'리스사업(D)'!$Q:$Q,$J15,'리스사업(D)'!$C:$C,$L$1),
    SUMIFS('임대사업(E)'!$I:$I,'임대사업(E)'!$G:$G,Q$2,'임대사업(E)'!$Q:$Q,$J15,'임대사업(E)'!$C:$C,$L$1),
    SUMIFS('환경부사업(F)'!$I:$I,'환경부사업(F)'!$G:$G,Q$2,'환경부사업(F)'!$Q:$Q,$J15,'환경부사업(F)'!$C:$C,$L$1),
    SUMIFS('프로젝트(G)'!$I:$I,'프로젝트(G)'!$G:$G,Q$2,'프로젝트(G)'!$Q:$Q,$J15,'프로젝트(G)'!$C:$C,$L$1),
    SUMIFS('협력사 EPC(H)'!$I:$I,'협력사 EPC(H)'!$G:$G,Q$2,'협력사 EPC(H)'!$Q:$Q,$J15,'협력사 EPC(H)'!$C:$C,$L$1),
    SUMIFS('기타(Z)'!$I:$I,'기타(Z)'!$G:$G,Q$2,'기타(Z)'!$Q:$Q,$J15,'기타(Z)'!$C:$C,$L$1)
  )=0,
  "",
  SUM(
    SUMIFS('발전사업(A)'!$I:$I,'발전사업(A)'!$G:$G,Q$2,'발전사업(A)'!$Q:$Q,$J15,'발전사업(A)'!$C:$C,$L$1),
    SUMIFS('자가소비(B)'!$I:$I,'자가소비(B)'!$G:$G,Q$2,'자가소비(B)'!$Q:$Q,$J15,'자가소비(B)'!$C:$C,$L$1),
    SUMIFS('PPA 사업(C)'!$I:$I,'PPA 사업(C)'!$G:$G,Q$2,'PPA 사업(C)'!$Q:$Q,$J15,'PPA 사업(C)'!$C:$C,$L$1),
    SUMIFS('리스사업(D)'!$I:$I,'리스사업(D)'!$G:$G,Q$2,'리스사업(D)'!$Q:$Q,$J15,'리스사업(D)'!$C:$C,$L$1),
    SUMIFS('임대사업(E)'!$I:$I,'임대사업(E)'!$G:$G,Q$2,'임대사업(E)'!$Q:$Q,$J15,'임대사업(E)'!$C:$C,$L$1),
    SUMIFS('환경부사업(F)'!$I:$I,'환경부사업(F)'!$G:$G,Q$2,'환경부사업(F)'!$Q:$Q,$J15,'환경부사업(F)'!$C:$C,$L$1),
    SUMIFS('프로젝트(G)'!$I:$I,'프로젝트(G)'!$G:$G,Q$2,'프로젝트(G)'!$Q:$Q,$J15,'프로젝트(G)'!$C:$C,$L$1),
    SUMIFS('협력사 EPC(H)'!$I:$I,'협력사 EPC(H)'!$G:$G,Q$2,'협력사 EPC(H)'!$Q:$Q,$J15,'협력사 EPC(H)'!$C:$C,$L$1),
    SUMIFS('기타(Z)'!$I:$I,'기타(Z)'!$G:$G,Q$2,'기타(Z)'!$Q:$Q,$J15,'기타(Z)'!$C:$C,$L$1)
  )
)</f>
        <v/>
      </c>
      <c r="R15" s="367" t="str">
        <f>IF(
  SUM(
    COUNTIFS('발전사업(A)'!$G:$G, Q$2, '발전사업(A)'!$Q:$Q, $J15, '발전사업(A)'!$C:$C, $L$1),
    COUNTIFS('자가소비(B)'!$G:$G, Q$2, '자가소비(B)'!$Q:$Q, $J15, '자가소비(B)'!$C:$C, $L$1),
    COUNTIFS('PPA 사업(C)'!$G:$G, Q$2, 'PPA 사업(C)'!$Q:$Q, $J15, 'PPA 사업(C)'!$C:$C, $L$1),
    COUNTIFS('리스사업(D)'!$G:$G, Q$2, '리스사업(D)'!$Q:$Q, $J15, '리스사업(D)'!$C:$C, $L$1),
    COUNTIFS('임대사업(E)'!$G:$G, Q$2, '임대사업(E)'!$Q:$Q, $J15, '임대사업(E)'!$C:$C, $L$1),
    COUNTIFS('환경부사업(F)'!$G:$G, Q$2, '환경부사업(F)'!$Q:$Q, $J15, '환경부사업(F)'!$C:$C, $L$1),
    COUNTIFS('프로젝트(G)'!$G:$G, Q$2, '프로젝트(G)'!$Q:$Q, $J15, '프로젝트(G)'!$C:$C, $L$1),
    COUNTIFS('협력사 EPC(H)'!$G:$G, Q$2, '협력사 EPC(H)'!$Q:$Q, $J15, '협력사 EPC(H)'!$C:$C, $L$1),
    COUNTIFS('기타(Z)'!$G:$G, Q$2, '기타(Z)'!$Q:$Q, $J15, '기타(Z)'!$C:$C, $L$1)
  ) = 0,
  "",
  COUNTIFS('발전사업(A)'!$G:$G, Q$2, '발전사업(A)'!$Q:$Q, $J15, '발전사업(A)'!$C:$C, $L$1)
  + COUNTIFS('자가소비(B)'!$G:$G, Q$2, '자가소비(B)'!$Q:$Q, $J15, '자가소비(B)'!$C:$C, $L$1)
  + COUNTIFS('PPA 사업(C)'!$G:$G, Q$2, 'PPA 사업(C)'!$Q:$Q, $J15, 'PPA 사업(C)'!$C:$C, $L$1)
  + COUNTIFS('리스사업(D)'!$G:$G, Q$2, '리스사업(D)'!$Q:$Q, $J15, '리스사업(D)'!$C:$C, $L$1)
  + COUNTIFS('임대사업(E)'!$G:$G, Q$2, '임대사업(E)'!$Q:$Q, $J15, '임대사업(E)'!$C:$C, $L$1)
  + COUNTIFS('환경부사업(F)'!$G:$G, Q$2, '환경부사업(F)'!$Q:$Q, $J15, '환경부사업(F)'!$C:$C, $L$1)
  + COUNTIFS('프로젝트(G)'!$G:$G, Q$2, '프로젝트(G)'!$Q:$Q, $J15, '프로젝트(G)'!$C:$C, $L$1)
  + COUNTIFS('협력사 EPC(H)'!$G:$G, Q$2, '협력사 EPC(H)'!$Q:$Q, $J15, '협력사 EPC(H)'!$C:$C, $L$1)
  + COUNTIFS('기타(Z)'!$G:$G, Q$2, '기타(Z)'!$Q:$Q, $J15, '기타(Z)'!$C:$C, $L$1)
)</f>
        <v/>
      </c>
      <c r="S15" s="366" t="str">
        <f>IF(
  SUM(
    SUMIFS('발전사업(A)'!$I:$I,'발전사업(A)'!$G:$G,S$2,'발전사업(A)'!$Q:$Q,$J15,'발전사업(A)'!$C:$C,$L$1),
    SUMIFS('자가소비(B)'!$I:$I,'자가소비(B)'!$G:$G,S$2,'자가소비(B)'!$Q:$Q,$J15,'자가소비(B)'!$C:$C,$L$1),
    SUMIFS('PPA 사업(C)'!$I:$I,'PPA 사업(C)'!$G:$G,S$2,'PPA 사업(C)'!$Q:$Q,$J15,'PPA 사업(C)'!$C:$C,$L$1),
    SUMIFS('리스사업(D)'!$I:$I,'리스사업(D)'!$G:$G,S$2,'리스사업(D)'!$Q:$Q,$J15,'리스사업(D)'!$C:$C,$L$1),
    SUMIFS('임대사업(E)'!$I:$I,'임대사업(E)'!$G:$G,S$2,'임대사업(E)'!$Q:$Q,$J15,'임대사업(E)'!$C:$C,$L$1),
    SUMIFS('환경부사업(F)'!$I:$I,'환경부사업(F)'!$G:$G,S$2,'환경부사업(F)'!$Q:$Q,$J15,'환경부사업(F)'!$C:$C,$L$1),
    SUMIFS('프로젝트(G)'!$I:$I,'프로젝트(G)'!$G:$G,S$2,'프로젝트(G)'!$Q:$Q,$J15,'프로젝트(G)'!$C:$C,$L$1),
    SUMIFS('협력사 EPC(H)'!$I:$I,'협력사 EPC(H)'!$G:$G,S$2,'협력사 EPC(H)'!$Q:$Q,$J15,'협력사 EPC(H)'!$C:$C,$L$1),
    SUMIFS('기타(Z)'!$I:$I,'기타(Z)'!$G:$G,S$2,'기타(Z)'!$Q:$Q,$J15,'기타(Z)'!$C:$C,$L$1)
  )=0,
  "",
  SUM(
    SUMIFS('발전사업(A)'!$I:$I,'발전사업(A)'!$G:$G,S$2,'발전사업(A)'!$Q:$Q,$J15,'발전사업(A)'!$C:$C,$L$1),
    SUMIFS('자가소비(B)'!$I:$I,'자가소비(B)'!$G:$G,S$2,'자가소비(B)'!$Q:$Q,$J15,'자가소비(B)'!$C:$C,$L$1),
    SUMIFS('PPA 사업(C)'!$I:$I,'PPA 사업(C)'!$G:$G,S$2,'PPA 사업(C)'!$Q:$Q,$J15,'PPA 사업(C)'!$C:$C,$L$1),
    SUMIFS('리스사업(D)'!$I:$I,'리스사업(D)'!$G:$G,S$2,'리스사업(D)'!$Q:$Q,$J15,'리스사업(D)'!$C:$C,$L$1),
    SUMIFS('임대사업(E)'!$I:$I,'임대사업(E)'!$G:$G,S$2,'임대사업(E)'!$Q:$Q,$J15,'임대사업(E)'!$C:$C,$L$1),
    SUMIFS('환경부사업(F)'!$I:$I,'환경부사업(F)'!$G:$G,S$2,'환경부사업(F)'!$Q:$Q,$J15,'환경부사업(F)'!$C:$C,$L$1),
    SUMIFS('프로젝트(G)'!$I:$I,'프로젝트(G)'!$G:$G,S$2,'프로젝트(G)'!$Q:$Q,$J15,'프로젝트(G)'!$C:$C,$L$1),
    SUMIFS('협력사 EPC(H)'!$I:$I,'협력사 EPC(H)'!$G:$G,S$2,'협력사 EPC(H)'!$Q:$Q,$J15,'협력사 EPC(H)'!$C:$C,$L$1),
    SUMIFS('기타(Z)'!$I:$I,'기타(Z)'!$G:$G,S$2,'기타(Z)'!$Q:$Q,$J15,'기타(Z)'!$C:$C,$L$1)
  )
)</f>
        <v/>
      </c>
      <c r="T15" s="367" t="str">
        <f>IF(
  SUM(
    COUNTIFS('발전사업(A)'!$G:$G, S$2, '발전사업(A)'!$Q:$Q, $J15, '발전사업(A)'!$C:$C, $L$1),
    COUNTIFS('자가소비(B)'!$G:$G, S$2, '자가소비(B)'!$Q:$Q, $J15, '자가소비(B)'!$C:$C, $L$1),
    COUNTIFS('PPA 사업(C)'!$G:$G, S$2, 'PPA 사업(C)'!$Q:$Q, $J15, 'PPA 사업(C)'!$C:$C, $L$1),
    COUNTIFS('리스사업(D)'!$G:$G, S$2, '리스사업(D)'!$Q:$Q, $J15, '리스사업(D)'!$C:$C, $L$1),
    COUNTIFS('임대사업(E)'!$G:$G, S$2, '임대사업(E)'!$Q:$Q, $J15, '임대사업(E)'!$C:$C, $L$1),
    COUNTIFS('환경부사업(F)'!$G:$G, S$2, '환경부사업(F)'!$Q:$Q, $J15, '환경부사업(F)'!$C:$C, $L$1),
    COUNTIFS('프로젝트(G)'!$G:$G, S$2, '프로젝트(G)'!$Q:$Q, $J15, '프로젝트(G)'!$C:$C, $L$1),
    COUNTIFS('협력사 EPC(H)'!$G:$G, S$2, '협력사 EPC(H)'!$Q:$Q, $J15, '협력사 EPC(H)'!$C:$C, $L$1),
    COUNTIFS('기타(Z)'!$G:$G, S$2, '기타(Z)'!$Q:$Q, $J15, '기타(Z)'!$C:$C, $L$1)
  ) = 0,
  "",
  COUNTIFS('발전사업(A)'!$G:$G, S$2, '발전사업(A)'!$Q:$Q, $J15, '발전사업(A)'!$C:$C, $L$1)
  + COUNTIFS('자가소비(B)'!$G:$G, S$2, '자가소비(B)'!$Q:$Q, $J15, '자가소비(B)'!$C:$C, $L$1)
  + COUNTIFS('PPA 사업(C)'!$G:$G, S$2, 'PPA 사업(C)'!$Q:$Q, $J15, 'PPA 사업(C)'!$C:$C, $L$1)
  + COUNTIFS('리스사업(D)'!$G:$G, S$2, '리스사업(D)'!$Q:$Q, $J15, '리스사업(D)'!$C:$C, $L$1)
  + COUNTIFS('임대사업(E)'!$G:$G, S$2, '임대사업(E)'!$Q:$Q, $J15, '임대사업(E)'!$C:$C, $L$1)
  + COUNTIFS('환경부사업(F)'!$G:$G, S$2, '환경부사업(F)'!$Q:$Q, $J15, '환경부사업(F)'!$C:$C, $L$1)
  + COUNTIFS('프로젝트(G)'!$G:$G, S$2, '프로젝트(G)'!$Q:$Q, $J15, '프로젝트(G)'!$C:$C, $L$1)
  + COUNTIFS('협력사 EPC(H)'!$G:$G, S$2, '협력사 EPC(H)'!$Q:$Q, $J15, '협력사 EPC(H)'!$C:$C, $L$1)
  + COUNTIFS('기타(Z)'!$G:$G, S$2, '기타(Z)'!$Q:$Q, $J15, '기타(Z)'!$C:$C, $L$1)
)</f>
        <v/>
      </c>
      <c r="U15" s="366" t="str">
        <f>IF(
  SUM(
    SUMIFS('발전사업(A)'!$I:$I,'발전사업(A)'!$G:$G,U$2,'발전사업(A)'!$Q:$Q,$J15,'발전사업(A)'!$C:$C,$L$1),
    SUMIFS('자가소비(B)'!$I:$I,'자가소비(B)'!$G:$G,U$2,'자가소비(B)'!$Q:$Q,$J15,'자가소비(B)'!$C:$C,$L$1),
    SUMIFS('PPA 사업(C)'!$I:$I,'PPA 사업(C)'!$G:$G,U$2,'PPA 사업(C)'!$Q:$Q,$J15,'PPA 사업(C)'!$C:$C,$L$1),
    SUMIFS('리스사업(D)'!$I:$I,'리스사업(D)'!$G:$G,U$2,'리스사업(D)'!$Q:$Q,$J15,'리스사업(D)'!$C:$C,$L$1),
    SUMIFS('임대사업(E)'!$I:$I,'임대사업(E)'!$G:$G,U$2,'임대사업(E)'!$Q:$Q,$J15,'임대사업(E)'!$C:$C,$L$1),
    SUMIFS('환경부사업(F)'!$I:$I,'환경부사업(F)'!$G:$G,U$2,'환경부사업(F)'!$Q:$Q,$J15,'환경부사업(F)'!$C:$C,$L$1),
    SUMIFS('프로젝트(G)'!$I:$I,'프로젝트(G)'!$G:$G,U$2,'프로젝트(G)'!$Q:$Q,$J15,'프로젝트(G)'!$C:$C,$L$1),
    SUMIFS('협력사 EPC(H)'!$I:$I,'협력사 EPC(H)'!$G:$G,U$2,'협력사 EPC(H)'!$Q:$Q,$J15,'협력사 EPC(H)'!$C:$C,$L$1),
    SUMIFS('기타(Z)'!$I:$I,'기타(Z)'!$G:$G,U$2,'기타(Z)'!$Q:$Q,$J15,'기타(Z)'!$C:$C,$L$1)
  )=0,
  "",
  SUM(
    SUMIFS('발전사업(A)'!$I:$I,'발전사업(A)'!$G:$G,U$2,'발전사업(A)'!$Q:$Q,$J15,'발전사업(A)'!$C:$C,$L$1),
    SUMIFS('자가소비(B)'!$I:$I,'자가소비(B)'!$G:$G,U$2,'자가소비(B)'!$Q:$Q,$J15,'자가소비(B)'!$C:$C,$L$1),
    SUMIFS('PPA 사업(C)'!$I:$I,'PPA 사업(C)'!$G:$G,U$2,'PPA 사업(C)'!$Q:$Q,$J15,'PPA 사업(C)'!$C:$C,$L$1),
    SUMIFS('리스사업(D)'!$I:$I,'리스사업(D)'!$G:$G,U$2,'리스사업(D)'!$Q:$Q,$J15,'리스사업(D)'!$C:$C,$L$1),
    SUMIFS('임대사업(E)'!$I:$I,'임대사업(E)'!$G:$G,U$2,'임대사업(E)'!$Q:$Q,$J15,'임대사업(E)'!$C:$C,$L$1),
    SUMIFS('환경부사업(F)'!$I:$I,'환경부사업(F)'!$G:$G,U$2,'환경부사업(F)'!$Q:$Q,$J15,'환경부사업(F)'!$C:$C,$L$1),
    SUMIFS('프로젝트(G)'!$I:$I,'프로젝트(G)'!$G:$G,U$2,'프로젝트(G)'!$Q:$Q,$J15,'프로젝트(G)'!$C:$C,$L$1),
    SUMIFS('협력사 EPC(H)'!$I:$I,'협력사 EPC(H)'!$G:$G,U$2,'협력사 EPC(H)'!$Q:$Q,$J15,'협력사 EPC(H)'!$C:$C,$L$1),
    SUMIFS('기타(Z)'!$I:$I,'기타(Z)'!$G:$G,U$2,'기타(Z)'!$Q:$Q,$J15,'기타(Z)'!$C:$C,$L$1)
  )
)</f>
        <v/>
      </c>
      <c r="V15" s="367" t="str">
        <f>IF(
  SUM(
    COUNTIFS('발전사업(A)'!$G:$G, U$2, '발전사업(A)'!$Q:$Q, $J15, '발전사업(A)'!$C:$C, $L$1),
    COUNTIFS('자가소비(B)'!$G:$G, U$2, '자가소비(B)'!$Q:$Q, $J15, '자가소비(B)'!$C:$C, $L$1),
    COUNTIFS('PPA 사업(C)'!$G:$G, U$2, 'PPA 사업(C)'!$Q:$Q, $J15, 'PPA 사업(C)'!$C:$C, $L$1),
    COUNTIFS('리스사업(D)'!$G:$G, U$2, '리스사업(D)'!$Q:$Q, $J15, '리스사업(D)'!$C:$C, $L$1),
    COUNTIFS('임대사업(E)'!$G:$G, U$2, '임대사업(E)'!$Q:$Q, $J15, '임대사업(E)'!$C:$C, $L$1),
    COUNTIFS('환경부사업(F)'!$G:$G, U$2, '환경부사업(F)'!$Q:$Q, $J15, '환경부사업(F)'!$C:$C, $L$1),
    COUNTIFS('프로젝트(G)'!$G:$G, U$2, '프로젝트(G)'!$Q:$Q, $J15, '프로젝트(G)'!$C:$C, $L$1),
    COUNTIFS('협력사 EPC(H)'!$G:$G, U$2, '협력사 EPC(H)'!$Q:$Q, $J15, '협력사 EPC(H)'!$C:$C, $L$1),
    COUNTIFS('기타(Z)'!$G:$G, U$2, '기타(Z)'!$Q:$Q, $J15, '기타(Z)'!$C:$C, $L$1)
  ) = 0,
  "",
  COUNTIFS('발전사업(A)'!$G:$G, U$2, '발전사업(A)'!$Q:$Q, $J15, '발전사업(A)'!$C:$C, $L$1)
  + COUNTIFS('자가소비(B)'!$G:$G, U$2, '자가소비(B)'!$Q:$Q, $J15, '자가소비(B)'!$C:$C, $L$1)
  + COUNTIFS('PPA 사업(C)'!$G:$G, U$2, 'PPA 사업(C)'!$Q:$Q, $J15, 'PPA 사업(C)'!$C:$C, $L$1)
  + COUNTIFS('리스사업(D)'!$G:$G, U$2, '리스사업(D)'!$Q:$Q, $J15, '리스사업(D)'!$C:$C, $L$1)
  + COUNTIFS('임대사업(E)'!$G:$G, U$2, '임대사업(E)'!$Q:$Q, $J15, '임대사업(E)'!$C:$C, $L$1)
  + COUNTIFS('환경부사업(F)'!$G:$G, U$2, '환경부사업(F)'!$Q:$Q, $J15, '환경부사업(F)'!$C:$C, $L$1)
  + COUNTIFS('프로젝트(G)'!$G:$G, U$2, '프로젝트(G)'!$Q:$Q, $J15, '프로젝트(G)'!$C:$C, $L$1)
  + COUNTIFS('협력사 EPC(H)'!$G:$G, U$2, '협력사 EPC(H)'!$Q:$Q, $J15, '협력사 EPC(H)'!$C:$C, $L$1)
  + COUNTIFS('기타(Z)'!$G:$G, U$2, '기타(Z)'!$Q:$Q, $J15, '기타(Z)'!$C:$C, $L$1)
)</f>
        <v/>
      </c>
      <c r="W15" s="366" t="str">
        <f>IF(
  SUM(
    SUMIFS('발전사업(A)'!$I:$I,'발전사업(A)'!$G:$G,W$2,'발전사업(A)'!$Q:$Q,$J15,'발전사업(A)'!$C:$C,$L$1),
    SUMIFS('자가소비(B)'!$I:$I,'자가소비(B)'!$G:$G,W$2,'자가소비(B)'!$Q:$Q,$J15,'자가소비(B)'!$C:$C,$L$1),
    SUMIFS('PPA 사업(C)'!$I:$I,'PPA 사업(C)'!$G:$G,W$2,'PPA 사업(C)'!$Q:$Q,$J15,'PPA 사업(C)'!$C:$C,$L$1),
    SUMIFS('리스사업(D)'!$I:$I,'리스사업(D)'!$G:$G,W$2,'리스사업(D)'!$Q:$Q,$J15,'리스사업(D)'!$C:$C,$L$1),
    SUMIFS('임대사업(E)'!$I:$I,'임대사업(E)'!$G:$G,W$2,'임대사업(E)'!$Q:$Q,$J15,'임대사업(E)'!$C:$C,$L$1),
    SUMIFS('환경부사업(F)'!$I:$I,'환경부사업(F)'!$G:$G,W$2,'환경부사업(F)'!$Q:$Q,$J15,'환경부사업(F)'!$C:$C,$L$1),
    SUMIFS('프로젝트(G)'!$I:$I,'프로젝트(G)'!$G:$G,W$2,'프로젝트(G)'!$Q:$Q,$J15,'프로젝트(G)'!$C:$C,$L$1),
    SUMIFS('협력사 EPC(H)'!$I:$I,'협력사 EPC(H)'!$G:$G,W$2,'협력사 EPC(H)'!$Q:$Q,$J15,'협력사 EPC(H)'!$C:$C,$L$1),
    SUMIFS('기타(Z)'!$I:$I,'기타(Z)'!$G:$G,W$2,'기타(Z)'!$Q:$Q,$J15,'기타(Z)'!$C:$C,$L$1)
  )=0,
  "",
  SUM(
    SUMIFS('발전사업(A)'!$I:$I,'발전사업(A)'!$G:$G,W$2,'발전사업(A)'!$Q:$Q,$J15,'발전사업(A)'!$C:$C,$L$1),
    SUMIFS('자가소비(B)'!$I:$I,'자가소비(B)'!$G:$G,W$2,'자가소비(B)'!$Q:$Q,$J15,'자가소비(B)'!$C:$C,$L$1),
    SUMIFS('PPA 사업(C)'!$I:$I,'PPA 사업(C)'!$G:$G,W$2,'PPA 사업(C)'!$Q:$Q,$J15,'PPA 사업(C)'!$C:$C,$L$1),
    SUMIFS('리스사업(D)'!$I:$I,'리스사업(D)'!$G:$G,W$2,'리스사업(D)'!$Q:$Q,$J15,'리스사업(D)'!$C:$C,$L$1),
    SUMIFS('임대사업(E)'!$I:$I,'임대사업(E)'!$G:$G,W$2,'임대사업(E)'!$Q:$Q,$J15,'임대사업(E)'!$C:$C,$L$1),
    SUMIFS('환경부사업(F)'!$I:$I,'환경부사업(F)'!$G:$G,W$2,'환경부사업(F)'!$Q:$Q,$J15,'환경부사업(F)'!$C:$C,$L$1),
    SUMIFS('프로젝트(G)'!$I:$I,'프로젝트(G)'!$G:$G,W$2,'프로젝트(G)'!$Q:$Q,$J15,'프로젝트(G)'!$C:$C,$L$1),
    SUMIFS('협력사 EPC(H)'!$I:$I,'협력사 EPC(H)'!$G:$G,W$2,'협력사 EPC(H)'!$Q:$Q,$J15,'협력사 EPC(H)'!$C:$C,$L$1),
    SUMIFS('기타(Z)'!$I:$I,'기타(Z)'!$G:$G,W$2,'기타(Z)'!$Q:$Q,$J15,'기타(Z)'!$C:$C,$L$1)
  )
)</f>
        <v/>
      </c>
      <c r="X15" s="367" t="str">
        <f>IF(
  SUM(
    COUNTIFS('발전사업(A)'!$G:$G, W$2, '발전사업(A)'!$Q:$Q, $J15, '발전사업(A)'!$C:$C, $L$1),
    COUNTIFS('자가소비(B)'!$G:$G, W$2, '자가소비(B)'!$Q:$Q, $J15, '자가소비(B)'!$C:$C, $L$1),
    COUNTIFS('PPA 사업(C)'!$G:$G, W$2, 'PPA 사업(C)'!$Q:$Q, $J15, 'PPA 사업(C)'!$C:$C, $L$1),
    COUNTIFS('리스사업(D)'!$G:$G, W$2, '리스사업(D)'!$Q:$Q, $J15, '리스사업(D)'!$C:$C, $L$1),
    COUNTIFS('임대사업(E)'!$G:$G, W$2, '임대사업(E)'!$Q:$Q, $J15, '임대사업(E)'!$C:$C, $L$1),
    COUNTIFS('환경부사업(F)'!$G:$G, W$2, '환경부사업(F)'!$Q:$Q, $J15, '환경부사업(F)'!$C:$C, $L$1),
    COUNTIFS('프로젝트(G)'!$G:$G, W$2, '프로젝트(G)'!$Q:$Q, $J15, '프로젝트(G)'!$C:$C, $L$1),
    COUNTIFS('협력사 EPC(H)'!$G:$G, W$2, '협력사 EPC(H)'!$Q:$Q, $J15, '협력사 EPC(H)'!$C:$C, $L$1),
    COUNTIFS('기타(Z)'!$G:$G, W$2, '기타(Z)'!$Q:$Q, $J15, '기타(Z)'!$C:$C, $L$1)
  ) = 0,
  "",
  COUNTIFS('발전사업(A)'!$G:$G, W$2, '발전사업(A)'!$Q:$Q, $J15, '발전사업(A)'!$C:$C, $L$1)
  + COUNTIFS('자가소비(B)'!$G:$G, W$2, '자가소비(B)'!$Q:$Q, $J15, '자가소비(B)'!$C:$C, $L$1)
  + COUNTIFS('PPA 사업(C)'!$G:$G, W$2, 'PPA 사업(C)'!$Q:$Q, $J15, 'PPA 사업(C)'!$C:$C, $L$1)
  + COUNTIFS('리스사업(D)'!$G:$G, W$2, '리스사업(D)'!$Q:$Q, $J15, '리스사업(D)'!$C:$C, $L$1)
  + COUNTIFS('임대사업(E)'!$G:$G, W$2, '임대사업(E)'!$Q:$Q, $J15, '임대사업(E)'!$C:$C, $L$1)
  + COUNTIFS('환경부사업(F)'!$G:$G, W$2, '환경부사업(F)'!$Q:$Q, $J15, '환경부사업(F)'!$C:$C, $L$1)
  + COUNTIFS('프로젝트(G)'!$G:$G, W$2, '프로젝트(G)'!$Q:$Q, $J15, '프로젝트(G)'!$C:$C, $L$1)
  + COUNTIFS('협력사 EPC(H)'!$G:$G, W$2, '협력사 EPC(H)'!$Q:$Q, $J15, '협력사 EPC(H)'!$C:$C, $L$1)
  + COUNTIFS('기타(Z)'!$G:$G, W$2, '기타(Z)'!$Q:$Q, $J15, '기타(Z)'!$C:$C, $L$1)
)</f>
        <v/>
      </c>
      <c r="Y15" s="366" t="str">
        <f>IF(
  SUM(
    SUMIFS('발전사업(A)'!$I:$I,'발전사업(A)'!$G:$G,Y$2,'발전사업(A)'!$Q:$Q,$J15,'발전사업(A)'!$C:$C,$L$1),
    SUMIFS('자가소비(B)'!$I:$I,'자가소비(B)'!$G:$G,Y$2,'자가소비(B)'!$Q:$Q,$J15,'자가소비(B)'!$C:$C,$L$1),
    SUMIFS('PPA 사업(C)'!$I:$I,'PPA 사업(C)'!$G:$G,Y$2,'PPA 사업(C)'!$Q:$Q,$J15,'PPA 사업(C)'!$C:$C,$L$1),
    SUMIFS('리스사업(D)'!$I:$I,'리스사업(D)'!$G:$G,Y$2,'리스사업(D)'!$Q:$Q,$J15,'리스사업(D)'!$C:$C,$L$1),
    SUMIFS('임대사업(E)'!$I:$I,'임대사업(E)'!$G:$G,Y$2,'임대사업(E)'!$Q:$Q,$J15,'임대사업(E)'!$C:$C,$L$1),
    SUMIFS('환경부사업(F)'!$I:$I,'환경부사업(F)'!$G:$G,Y$2,'환경부사업(F)'!$Q:$Q,$J15,'환경부사업(F)'!$C:$C,$L$1),
    SUMIFS('프로젝트(G)'!$I:$I,'프로젝트(G)'!$G:$G,Y$2,'프로젝트(G)'!$Q:$Q,$J15,'프로젝트(G)'!$C:$C,$L$1),
    SUMIFS('협력사 EPC(H)'!$I:$I,'협력사 EPC(H)'!$G:$G,Y$2,'협력사 EPC(H)'!$Q:$Q,$J15,'협력사 EPC(H)'!$C:$C,$L$1),
    SUMIFS('기타(Z)'!$I:$I,'기타(Z)'!$G:$G,Y$2,'기타(Z)'!$Q:$Q,$J15,'기타(Z)'!$C:$C,$L$1)
  )=0,
  "",
  SUM(
    SUMIFS('발전사업(A)'!$I:$I,'발전사업(A)'!$G:$G,Y$2,'발전사업(A)'!$Q:$Q,$J15,'발전사업(A)'!$C:$C,$L$1),
    SUMIFS('자가소비(B)'!$I:$I,'자가소비(B)'!$G:$G,Y$2,'자가소비(B)'!$Q:$Q,$J15,'자가소비(B)'!$C:$C,$L$1),
    SUMIFS('PPA 사업(C)'!$I:$I,'PPA 사업(C)'!$G:$G,Y$2,'PPA 사업(C)'!$Q:$Q,$J15,'PPA 사업(C)'!$C:$C,$L$1),
    SUMIFS('리스사업(D)'!$I:$I,'리스사업(D)'!$G:$G,Y$2,'리스사업(D)'!$Q:$Q,$J15,'리스사업(D)'!$C:$C,$L$1),
    SUMIFS('임대사업(E)'!$I:$I,'임대사업(E)'!$G:$G,Y$2,'임대사업(E)'!$Q:$Q,$J15,'임대사업(E)'!$C:$C,$L$1),
    SUMIFS('환경부사업(F)'!$I:$I,'환경부사업(F)'!$G:$G,Y$2,'환경부사업(F)'!$Q:$Q,$J15,'환경부사업(F)'!$C:$C,$L$1),
    SUMIFS('프로젝트(G)'!$I:$I,'프로젝트(G)'!$G:$G,Y$2,'프로젝트(G)'!$Q:$Q,$J15,'프로젝트(G)'!$C:$C,$L$1),
    SUMIFS('협력사 EPC(H)'!$I:$I,'협력사 EPC(H)'!$G:$G,Y$2,'협력사 EPC(H)'!$Q:$Q,$J15,'협력사 EPC(H)'!$C:$C,$L$1),
    SUMIFS('기타(Z)'!$I:$I,'기타(Z)'!$G:$G,Y$2,'기타(Z)'!$Q:$Q,$J15,'기타(Z)'!$C:$C,$L$1)
  )
)</f>
        <v/>
      </c>
      <c r="Z15" s="367" t="str">
        <f>IF(
  SUM(
    COUNTIFS('발전사업(A)'!$G:$G, Y$2, '발전사업(A)'!$Q:$Q, $J15, '발전사업(A)'!$C:$C, $L$1),
    COUNTIFS('자가소비(B)'!$G:$G, Y$2, '자가소비(B)'!$Q:$Q, $J15, '자가소비(B)'!$C:$C, $L$1),
    COUNTIFS('PPA 사업(C)'!$G:$G, Y$2, 'PPA 사업(C)'!$Q:$Q, $J15, 'PPA 사업(C)'!$C:$C, $L$1),
    COUNTIFS('리스사업(D)'!$G:$G, Y$2, '리스사업(D)'!$Q:$Q, $J15, '리스사업(D)'!$C:$C, $L$1),
    COUNTIFS('임대사업(E)'!$G:$G, Y$2, '임대사업(E)'!$Q:$Q, $J15, '임대사업(E)'!$C:$C, $L$1),
    COUNTIFS('환경부사업(F)'!$G:$G, Y$2, '환경부사업(F)'!$Q:$Q, $J15, '환경부사업(F)'!$C:$C, $L$1),
    COUNTIFS('프로젝트(G)'!$G:$G, Y$2, '프로젝트(G)'!$Q:$Q, $J15, '프로젝트(G)'!$C:$C, $L$1),
    COUNTIFS('협력사 EPC(H)'!$G:$G, Y$2, '협력사 EPC(H)'!$Q:$Q, $J15, '협력사 EPC(H)'!$C:$C, $L$1),
    COUNTIFS('기타(Z)'!$G:$G, Y$2, '기타(Z)'!$Q:$Q, $J15, '기타(Z)'!$C:$C, $L$1)
  ) = 0,
  "",
  COUNTIFS('발전사업(A)'!$G:$G, Y$2, '발전사업(A)'!$Q:$Q, $J15, '발전사업(A)'!$C:$C, $L$1)
  + COUNTIFS('자가소비(B)'!$G:$G, Y$2, '자가소비(B)'!$Q:$Q, $J15, '자가소비(B)'!$C:$C, $L$1)
  + COUNTIFS('PPA 사업(C)'!$G:$G, Y$2, 'PPA 사업(C)'!$Q:$Q, $J15, 'PPA 사업(C)'!$C:$C, $L$1)
  + COUNTIFS('리스사업(D)'!$G:$G, Y$2, '리스사업(D)'!$Q:$Q, $J15, '리스사업(D)'!$C:$C, $L$1)
  + COUNTIFS('임대사업(E)'!$G:$G, Y$2, '임대사업(E)'!$Q:$Q, $J15, '임대사업(E)'!$C:$C, $L$1)
  + COUNTIFS('환경부사업(F)'!$G:$G, Y$2, '환경부사업(F)'!$Q:$Q, $J15, '환경부사업(F)'!$C:$C, $L$1)
  + COUNTIFS('프로젝트(G)'!$G:$G, Y$2, '프로젝트(G)'!$Q:$Q, $J15, '프로젝트(G)'!$C:$C, $L$1)
  + COUNTIFS('협력사 EPC(H)'!$G:$G, Y$2, '협력사 EPC(H)'!$Q:$Q, $J15, '협력사 EPC(H)'!$C:$C, $L$1)
  + COUNTIFS('기타(Z)'!$G:$G, Y$2, '기타(Z)'!$Q:$Q, $J15, '기타(Z)'!$C:$C, $L$1)
)</f>
        <v/>
      </c>
      <c r="AA15" s="366" t="str">
        <f>IF(
  SUM(
    SUMIFS('발전사업(A)'!$I:$I,'발전사업(A)'!$G:$G,AA$2,'발전사업(A)'!$Q:$Q,$J15,'발전사업(A)'!$C:$C,$L$1),
    SUMIFS('자가소비(B)'!$I:$I,'자가소비(B)'!$G:$G,AA$2,'자가소비(B)'!$Q:$Q,$J15,'자가소비(B)'!$C:$C,$L$1),
    SUMIFS('PPA 사업(C)'!$I:$I,'PPA 사업(C)'!$G:$G,AA$2,'PPA 사업(C)'!$Q:$Q,$J15,'PPA 사업(C)'!$C:$C,$L$1),
    SUMIFS('리스사업(D)'!$I:$I,'리스사업(D)'!$G:$G,AA$2,'리스사업(D)'!$Q:$Q,$J15,'리스사업(D)'!$C:$C,$L$1),
    SUMIFS('임대사업(E)'!$I:$I,'임대사업(E)'!$G:$G,AA$2,'임대사업(E)'!$Q:$Q,$J15,'임대사업(E)'!$C:$C,$L$1),
    SUMIFS('환경부사업(F)'!$I:$I,'환경부사업(F)'!$G:$G,AA$2,'환경부사업(F)'!$Q:$Q,$J15,'환경부사업(F)'!$C:$C,$L$1),
    SUMIFS('프로젝트(G)'!$I:$I,'프로젝트(G)'!$G:$G,AA$2,'프로젝트(G)'!$Q:$Q,$J15,'프로젝트(G)'!$C:$C,$L$1),
    SUMIFS('협력사 EPC(H)'!$I:$I,'협력사 EPC(H)'!$G:$G,AA$2,'협력사 EPC(H)'!$Q:$Q,$J15,'협력사 EPC(H)'!$C:$C,$L$1),
    SUMIFS('기타(Z)'!$I:$I,'기타(Z)'!$G:$G,AA$2,'기타(Z)'!$Q:$Q,$J15,'기타(Z)'!$C:$C,$L$1)
  )=0,
  "",
  SUM(
    SUMIFS('발전사업(A)'!$I:$I,'발전사업(A)'!$G:$G,AA$2,'발전사업(A)'!$Q:$Q,$J15,'발전사업(A)'!$C:$C,$L$1),
    SUMIFS('자가소비(B)'!$I:$I,'자가소비(B)'!$G:$G,AA$2,'자가소비(B)'!$Q:$Q,$J15,'자가소비(B)'!$C:$C,$L$1),
    SUMIFS('PPA 사업(C)'!$I:$I,'PPA 사업(C)'!$G:$G,AA$2,'PPA 사업(C)'!$Q:$Q,$J15,'PPA 사업(C)'!$C:$C,$L$1),
    SUMIFS('리스사업(D)'!$I:$I,'리스사업(D)'!$G:$G,AA$2,'리스사업(D)'!$Q:$Q,$J15,'리스사업(D)'!$C:$C,$L$1),
    SUMIFS('임대사업(E)'!$I:$I,'임대사업(E)'!$G:$G,AA$2,'임대사업(E)'!$Q:$Q,$J15,'임대사업(E)'!$C:$C,$L$1),
    SUMIFS('환경부사업(F)'!$I:$I,'환경부사업(F)'!$G:$G,AA$2,'환경부사업(F)'!$Q:$Q,$J15,'환경부사업(F)'!$C:$C,$L$1),
    SUMIFS('프로젝트(G)'!$I:$I,'프로젝트(G)'!$G:$G,AA$2,'프로젝트(G)'!$Q:$Q,$J15,'프로젝트(G)'!$C:$C,$L$1),
    SUMIFS('협력사 EPC(H)'!$I:$I,'협력사 EPC(H)'!$G:$G,AA$2,'협력사 EPC(H)'!$Q:$Q,$J15,'협력사 EPC(H)'!$C:$C,$L$1),
    SUMIFS('기타(Z)'!$I:$I,'기타(Z)'!$G:$G,AA$2,'기타(Z)'!$Q:$Q,$J15,'기타(Z)'!$C:$C,$L$1)
  )
)</f>
        <v/>
      </c>
      <c r="AB15" s="367" t="str">
        <f>IF(
  SUM(
    COUNTIFS('발전사업(A)'!$G:$G, AA$2, '발전사업(A)'!$Q:$Q, $J15, '발전사업(A)'!$C:$C, $L$1),
    COUNTIFS('자가소비(B)'!$G:$G, AA$2, '자가소비(B)'!$Q:$Q, $J15, '자가소비(B)'!$C:$C, $L$1),
    COUNTIFS('PPA 사업(C)'!$G:$G, AA$2, 'PPA 사업(C)'!$Q:$Q, $J15, 'PPA 사업(C)'!$C:$C, $L$1),
    COUNTIFS('리스사업(D)'!$G:$G, AA$2, '리스사업(D)'!$Q:$Q, $J15, '리스사업(D)'!$C:$C, $L$1),
    COUNTIFS('임대사업(E)'!$G:$G, AA$2, '임대사업(E)'!$Q:$Q, $J15, '임대사업(E)'!$C:$C, $L$1),
    COUNTIFS('환경부사업(F)'!$G:$G, AA$2, '환경부사업(F)'!$Q:$Q, $J15, '환경부사업(F)'!$C:$C, $L$1),
    COUNTIFS('프로젝트(G)'!$G:$G, AA$2, '프로젝트(G)'!$Q:$Q, $J15, '프로젝트(G)'!$C:$C, $L$1),
    COUNTIFS('협력사 EPC(H)'!$G:$G, AA$2, '협력사 EPC(H)'!$Q:$Q, $J15, '협력사 EPC(H)'!$C:$C, $L$1),
    COUNTIFS('기타(Z)'!$G:$G, AA$2, '기타(Z)'!$Q:$Q, $J15, '기타(Z)'!$C:$C, $L$1)
  ) = 0,
  "",
  COUNTIFS('발전사업(A)'!$G:$G, AA$2, '발전사업(A)'!$Q:$Q, $J15, '발전사업(A)'!$C:$C, $L$1)
  + COUNTIFS('자가소비(B)'!$G:$G, AA$2, '자가소비(B)'!$Q:$Q, $J15, '자가소비(B)'!$C:$C, $L$1)
  + COUNTIFS('PPA 사업(C)'!$G:$G, AA$2, 'PPA 사업(C)'!$Q:$Q, $J15, 'PPA 사업(C)'!$C:$C, $L$1)
  + COUNTIFS('리스사업(D)'!$G:$G, AA$2, '리스사업(D)'!$Q:$Q, $J15, '리스사업(D)'!$C:$C, $L$1)
  + COUNTIFS('임대사업(E)'!$G:$G, AA$2, '임대사업(E)'!$Q:$Q, $J15, '임대사업(E)'!$C:$C, $L$1)
  + COUNTIFS('환경부사업(F)'!$G:$G, AA$2, '환경부사업(F)'!$Q:$Q, $J15, '환경부사업(F)'!$C:$C, $L$1)
  + COUNTIFS('프로젝트(G)'!$G:$G, AA$2, '프로젝트(G)'!$Q:$Q, $J15, '프로젝트(G)'!$C:$C, $L$1)
  + COUNTIFS('협력사 EPC(H)'!$G:$G, AA$2, '협력사 EPC(H)'!$Q:$Q, $J15, '협력사 EPC(H)'!$C:$C, $L$1)
  + COUNTIFS('기타(Z)'!$G:$G, AA$2, '기타(Z)'!$Q:$Q, $J15, '기타(Z)'!$C:$C, $L$1)
)</f>
        <v/>
      </c>
      <c r="AC15" s="366" t="str">
        <f>IF(
  SUM(
    SUMIFS('발전사업(A)'!$I:$I,'발전사업(A)'!$G:$G,AC$2,'발전사업(A)'!$Q:$Q,$J15,'발전사업(A)'!$C:$C,$L$1),
    SUMIFS('자가소비(B)'!$I:$I,'자가소비(B)'!$G:$G,AC$2,'자가소비(B)'!$Q:$Q,$J15,'자가소비(B)'!$C:$C,$L$1),
    SUMIFS('PPA 사업(C)'!$I:$I,'PPA 사업(C)'!$G:$G,AC$2,'PPA 사업(C)'!$Q:$Q,$J15,'PPA 사업(C)'!$C:$C,$L$1),
    SUMIFS('리스사업(D)'!$I:$I,'리스사업(D)'!$G:$G,AC$2,'리스사업(D)'!$Q:$Q,$J15,'리스사업(D)'!$C:$C,$L$1),
    SUMIFS('임대사업(E)'!$I:$I,'임대사업(E)'!$G:$G,AC$2,'임대사업(E)'!$Q:$Q,$J15,'임대사업(E)'!$C:$C,$L$1),
    SUMIFS('환경부사업(F)'!$I:$I,'환경부사업(F)'!$G:$G,AC$2,'환경부사업(F)'!$Q:$Q,$J15,'환경부사업(F)'!$C:$C,$L$1),
    SUMIFS('프로젝트(G)'!$I:$I,'프로젝트(G)'!$G:$G,AC$2,'프로젝트(G)'!$Q:$Q,$J15,'프로젝트(G)'!$C:$C,$L$1),
    SUMIFS('협력사 EPC(H)'!$I:$I,'협력사 EPC(H)'!$G:$G,AC$2,'협력사 EPC(H)'!$Q:$Q,$J15,'협력사 EPC(H)'!$C:$C,$L$1),
    SUMIFS('기타(Z)'!$I:$I,'기타(Z)'!$G:$G,AC$2,'기타(Z)'!$Q:$Q,$J15,'기타(Z)'!$C:$C,$L$1)
  )=0,
  "",
  SUM(
    SUMIFS('발전사업(A)'!$I:$I,'발전사업(A)'!$G:$G,AC$2,'발전사업(A)'!$Q:$Q,$J15,'발전사업(A)'!$C:$C,$L$1),
    SUMIFS('자가소비(B)'!$I:$I,'자가소비(B)'!$G:$G,AC$2,'자가소비(B)'!$Q:$Q,$J15,'자가소비(B)'!$C:$C,$L$1),
    SUMIFS('PPA 사업(C)'!$I:$I,'PPA 사업(C)'!$G:$G,AC$2,'PPA 사업(C)'!$Q:$Q,$J15,'PPA 사업(C)'!$C:$C,$L$1),
    SUMIFS('리스사업(D)'!$I:$I,'리스사업(D)'!$G:$G,AC$2,'리스사업(D)'!$Q:$Q,$J15,'리스사업(D)'!$C:$C,$L$1),
    SUMIFS('임대사업(E)'!$I:$I,'임대사업(E)'!$G:$G,AC$2,'임대사업(E)'!$Q:$Q,$J15,'임대사업(E)'!$C:$C,$L$1),
    SUMIFS('환경부사업(F)'!$I:$I,'환경부사업(F)'!$G:$G,AC$2,'환경부사업(F)'!$Q:$Q,$J15,'환경부사업(F)'!$C:$C,$L$1),
    SUMIFS('프로젝트(G)'!$I:$I,'프로젝트(G)'!$G:$G,AC$2,'프로젝트(G)'!$Q:$Q,$J15,'프로젝트(G)'!$C:$C,$L$1),
    SUMIFS('협력사 EPC(H)'!$I:$I,'협력사 EPC(H)'!$G:$G,AC$2,'협력사 EPC(H)'!$Q:$Q,$J15,'협력사 EPC(H)'!$C:$C,$L$1),
    SUMIFS('기타(Z)'!$I:$I,'기타(Z)'!$G:$G,AC$2,'기타(Z)'!$Q:$Q,$J15,'기타(Z)'!$C:$C,$L$1)
  )
)</f>
        <v/>
      </c>
      <c r="AD15" s="367" t="str">
        <f>IF(
  SUM(
    COUNTIFS('발전사업(A)'!$G:$G, AC$2, '발전사업(A)'!$Q:$Q, $J15, '발전사업(A)'!$C:$C, $L$1),
    COUNTIFS('자가소비(B)'!$G:$G, AC$2, '자가소비(B)'!$Q:$Q, $J15, '자가소비(B)'!$C:$C, $L$1),
    COUNTIFS('PPA 사업(C)'!$G:$G, AC$2, 'PPA 사업(C)'!$Q:$Q, $J15, 'PPA 사업(C)'!$C:$C, $L$1),
    COUNTIFS('리스사업(D)'!$G:$G, AC$2, '리스사업(D)'!$Q:$Q, $J15, '리스사업(D)'!$C:$C, $L$1),
    COUNTIFS('임대사업(E)'!$G:$G, AC$2, '임대사업(E)'!$Q:$Q, $J15, '임대사업(E)'!$C:$C, $L$1),
    COUNTIFS('환경부사업(F)'!$G:$G, AC$2, '환경부사업(F)'!$Q:$Q, $J15, '환경부사업(F)'!$C:$C, $L$1),
    COUNTIFS('프로젝트(G)'!$G:$G, AC$2, '프로젝트(G)'!$Q:$Q, $J15, '프로젝트(G)'!$C:$C, $L$1),
    COUNTIFS('협력사 EPC(H)'!$G:$G, AC$2, '협력사 EPC(H)'!$Q:$Q, $J15, '협력사 EPC(H)'!$C:$C, $L$1),
    COUNTIFS('기타(Z)'!$G:$G, AC$2, '기타(Z)'!$Q:$Q, $J15, '기타(Z)'!$C:$C, $L$1)
  ) = 0,
  "",
  COUNTIFS('발전사업(A)'!$G:$G, AC$2, '발전사업(A)'!$Q:$Q, $J15, '발전사업(A)'!$C:$C, $L$1)
  + COUNTIFS('자가소비(B)'!$G:$G, AC$2, '자가소비(B)'!$Q:$Q, $J15, '자가소비(B)'!$C:$C, $L$1)
  + COUNTIFS('PPA 사업(C)'!$G:$G, AC$2, 'PPA 사업(C)'!$Q:$Q, $J15, 'PPA 사업(C)'!$C:$C, $L$1)
  + COUNTIFS('리스사업(D)'!$G:$G, AC$2, '리스사업(D)'!$Q:$Q, $J15, '리스사업(D)'!$C:$C, $L$1)
  + COUNTIFS('임대사업(E)'!$G:$G, AC$2, '임대사업(E)'!$Q:$Q, $J15, '임대사업(E)'!$C:$C, $L$1)
  + COUNTIFS('환경부사업(F)'!$G:$G, AC$2, '환경부사업(F)'!$Q:$Q, $J15, '환경부사업(F)'!$C:$C, $L$1)
  + COUNTIFS('프로젝트(G)'!$G:$G, AC$2, '프로젝트(G)'!$Q:$Q, $J15, '프로젝트(G)'!$C:$C, $L$1)
  + COUNTIFS('협력사 EPC(H)'!$G:$G, AC$2, '협력사 EPC(H)'!$Q:$Q, $J15, '협력사 EPC(H)'!$C:$C, $L$1)
  + COUNTIFS('기타(Z)'!$G:$G, AC$2, '기타(Z)'!$Q:$Q, $J15, '기타(Z)'!$C:$C, $L$1)
)</f>
        <v/>
      </c>
      <c r="AE15" s="366" t="str">
        <f>IF(
  SUM(
    SUMIFS('발전사업(A)'!$I:$I,'발전사업(A)'!$G:$G,AE$2,'발전사업(A)'!$Q:$Q,$J15,'발전사업(A)'!$C:$C,$L$1),
    SUMIFS('자가소비(B)'!$I:$I,'자가소비(B)'!$G:$G,AE$2,'자가소비(B)'!$Q:$Q,$J15,'자가소비(B)'!$C:$C,$L$1),
    SUMIFS('PPA 사업(C)'!$I:$I,'PPA 사업(C)'!$G:$G,AE$2,'PPA 사업(C)'!$Q:$Q,$J15,'PPA 사업(C)'!$C:$C,$L$1),
    SUMIFS('리스사업(D)'!$I:$I,'리스사업(D)'!$G:$G,AE$2,'리스사업(D)'!$Q:$Q,$J15,'리스사업(D)'!$C:$C,$L$1),
    SUMIFS('임대사업(E)'!$I:$I,'임대사업(E)'!$G:$G,AE$2,'임대사업(E)'!$Q:$Q,$J15,'임대사업(E)'!$C:$C,$L$1),
    SUMIFS('환경부사업(F)'!$I:$I,'환경부사업(F)'!$G:$G,AE$2,'환경부사업(F)'!$Q:$Q,$J15,'환경부사업(F)'!$C:$C,$L$1),
    SUMIFS('프로젝트(G)'!$I:$I,'프로젝트(G)'!$G:$G,AE$2,'프로젝트(G)'!$Q:$Q,$J15,'프로젝트(G)'!$C:$C,$L$1),
    SUMIFS('협력사 EPC(H)'!$I:$I,'협력사 EPC(H)'!$G:$G,AE$2,'협력사 EPC(H)'!$Q:$Q,$J15,'협력사 EPC(H)'!$C:$C,$L$1),
    SUMIFS('기타(Z)'!$I:$I,'기타(Z)'!$G:$G,AE$2,'기타(Z)'!$Q:$Q,$J15,'기타(Z)'!$C:$C,$L$1)
  )=0,
  "",
  SUM(
    SUMIFS('발전사업(A)'!$I:$I,'발전사업(A)'!$G:$G,AE$2,'발전사업(A)'!$Q:$Q,$J15,'발전사업(A)'!$C:$C,$L$1),
    SUMIFS('자가소비(B)'!$I:$I,'자가소비(B)'!$G:$G,AE$2,'자가소비(B)'!$Q:$Q,$J15,'자가소비(B)'!$C:$C,$L$1),
    SUMIFS('PPA 사업(C)'!$I:$I,'PPA 사업(C)'!$G:$G,AE$2,'PPA 사업(C)'!$Q:$Q,$J15,'PPA 사업(C)'!$C:$C,$L$1),
    SUMIFS('리스사업(D)'!$I:$I,'리스사업(D)'!$G:$G,AE$2,'리스사업(D)'!$Q:$Q,$J15,'리스사업(D)'!$C:$C,$L$1),
    SUMIFS('임대사업(E)'!$I:$I,'임대사업(E)'!$G:$G,AE$2,'임대사업(E)'!$Q:$Q,$J15,'임대사업(E)'!$C:$C,$L$1),
    SUMIFS('환경부사업(F)'!$I:$I,'환경부사업(F)'!$G:$G,AE$2,'환경부사업(F)'!$Q:$Q,$J15,'환경부사업(F)'!$C:$C,$L$1),
    SUMIFS('프로젝트(G)'!$I:$I,'프로젝트(G)'!$G:$G,AE$2,'프로젝트(G)'!$Q:$Q,$J15,'프로젝트(G)'!$C:$C,$L$1),
    SUMIFS('협력사 EPC(H)'!$I:$I,'협력사 EPC(H)'!$G:$G,AE$2,'협력사 EPC(H)'!$Q:$Q,$J15,'협력사 EPC(H)'!$C:$C,$L$1),
    SUMIFS('기타(Z)'!$I:$I,'기타(Z)'!$G:$G,AE$2,'기타(Z)'!$Q:$Q,$J15,'기타(Z)'!$C:$C,$L$1)
  )
)</f>
        <v/>
      </c>
      <c r="AF15" s="367" t="str">
        <f>IF(
  SUM(
    COUNTIFS('발전사업(A)'!$G:$G, AE$2, '발전사업(A)'!$Q:$Q, $J15, '발전사업(A)'!$C:$C, $L$1),
    COUNTIFS('자가소비(B)'!$G:$G, AE$2, '자가소비(B)'!$Q:$Q, $J15, '자가소비(B)'!$C:$C, $L$1),
    COUNTIFS('PPA 사업(C)'!$G:$G, AE$2, 'PPA 사업(C)'!$Q:$Q, $J15, 'PPA 사업(C)'!$C:$C, $L$1),
    COUNTIFS('리스사업(D)'!$G:$G, AE$2, '리스사업(D)'!$Q:$Q, $J15, '리스사업(D)'!$C:$C, $L$1),
    COUNTIFS('임대사업(E)'!$G:$G, AE$2, '임대사업(E)'!$Q:$Q, $J15, '임대사업(E)'!$C:$C, $L$1),
    COUNTIFS('환경부사업(F)'!$G:$G, AE$2, '환경부사업(F)'!$Q:$Q, $J15, '환경부사업(F)'!$C:$C, $L$1),
    COUNTIFS('프로젝트(G)'!$G:$G, AE$2, '프로젝트(G)'!$Q:$Q, $J15, '프로젝트(G)'!$C:$C, $L$1),
    COUNTIFS('협력사 EPC(H)'!$G:$G, AE$2, '협력사 EPC(H)'!$Q:$Q, $J15, '협력사 EPC(H)'!$C:$C, $L$1),
    COUNTIFS('기타(Z)'!$G:$G, AE$2, '기타(Z)'!$Q:$Q, $J15, '기타(Z)'!$C:$C, $L$1)
  ) = 0,
  "",
  COUNTIFS('발전사업(A)'!$G:$G, AE$2, '발전사업(A)'!$Q:$Q, $J15, '발전사업(A)'!$C:$C, $L$1)
  + COUNTIFS('자가소비(B)'!$G:$G, AE$2, '자가소비(B)'!$Q:$Q, $J15, '자가소비(B)'!$C:$C, $L$1)
  + COUNTIFS('PPA 사업(C)'!$G:$G, AE$2, 'PPA 사업(C)'!$Q:$Q, $J15, 'PPA 사업(C)'!$C:$C, $L$1)
  + COUNTIFS('리스사업(D)'!$G:$G, AE$2, '리스사업(D)'!$Q:$Q, $J15, '리스사업(D)'!$C:$C, $L$1)
  + COUNTIFS('임대사업(E)'!$G:$G, AE$2, '임대사업(E)'!$Q:$Q, $J15, '임대사업(E)'!$C:$C, $L$1)
  + COUNTIFS('환경부사업(F)'!$G:$G, AE$2, '환경부사업(F)'!$Q:$Q, $J15, '환경부사업(F)'!$C:$C, $L$1)
  + COUNTIFS('프로젝트(G)'!$G:$G, AE$2, '프로젝트(G)'!$Q:$Q, $J15, '프로젝트(G)'!$C:$C, $L$1)
  + COUNTIFS('협력사 EPC(H)'!$G:$G, AE$2, '협력사 EPC(H)'!$Q:$Q, $J15, '협력사 EPC(H)'!$C:$C, $L$1)
  + COUNTIFS('기타(Z)'!$G:$G, AE$2, '기타(Z)'!$Q:$Q, $J15, '기타(Z)'!$C:$C, $L$1)
)</f>
        <v/>
      </c>
      <c r="AG15" s="366" t="str">
        <f>IF(
  SUM(
    SUMIFS('발전사업(A)'!$I:$I,'발전사업(A)'!$G:$G,AG$2,'발전사업(A)'!$Q:$Q,$J15,'발전사업(A)'!$C:$C,$L$1),
    SUMIFS('자가소비(B)'!$I:$I,'자가소비(B)'!$G:$G,AG$2,'자가소비(B)'!$Q:$Q,$J15,'자가소비(B)'!$C:$C,$L$1),
    SUMIFS('PPA 사업(C)'!$I:$I,'PPA 사업(C)'!$G:$G,AG$2,'PPA 사업(C)'!$Q:$Q,$J15,'PPA 사업(C)'!$C:$C,$L$1),
    SUMIFS('리스사업(D)'!$I:$I,'리스사업(D)'!$G:$G,AG$2,'리스사업(D)'!$Q:$Q,$J15,'리스사업(D)'!$C:$C,$L$1),
    SUMIFS('임대사업(E)'!$I:$I,'임대사업(E)'!$G:$G,AG$2,'임대사업(E)'!$Q:$Q,$J15,'임대사업(E)'!$C:$C,$L$1),
    SUMIFS('환경부사업(F)'!$I:$I,'환경부사업(F)'!$G:$G,AG$2,'환경부사업(F)'!$Q:$Q,$J15,'환경부사업(F)'!$C:$C,$L$1),
    SUMIFS('프로젝트(G)'!$I:$I,'프로젝트(G)'!$G:$G,AG$2,'프로젝트(G)'!$Q:$Q,$J15,'프로젝트(G)'!$C:$C,$L$1),
    SUMIFS('협력사 EPC(H)'!$I:$I,'협력사 EPC(H)'!$G:$G,AG$2,'협력사 EPC(H)'!$Q:$Q,$J15,'협력사 EPC(H)'!$C:$C,$L$1),
    SUMIFS('기타(Z)'!$I:$I,'기타(Z)'!$G:$G,AG$2,'기타(Z)'!$Q:$Q,$J15,'기타(Z)'!$C:$C,$L$1)
  )=0,
  "",
  SUM(
    SUMIFS('발전사업(A)'!$I:$I,'발전사업(A)'!$G:$G,AG$2,'발전사업(A)'!$Q:$Q,$J15,'발전사업(A)'!$C:$C,$L$1),
    SUMIFS('자가소비(B)'!$I:$I,'자가소비(B)'!$G:$G,AG$2,'자가소비(B)'!$Q:$Q,$J15,'자가소비(B)'!$C:$C,$L$1),
    SUMIFS('PPA 사업(C)'!$I:$I,'PPA 사업(C)'!$G:$G,AG$2,'PPA 사업(C)'!$Q:$Q,$J15,'PPA 사업(C)'!$C:$C,$L$1),
    SUMIFS('리스사업(D)'!$I:$I,'리스사업(D)'!$G:$G,AG$2,'리스사업(D)'!$Q:$Q,$J15,'리스사업(D)'!$C:$C,$L$1),
    SUMIFS('임대사업(E)'!$I:$I,'임대사업(E)'!$G:$G,AG$2,'임대사업(E)'!$Q:$Q,$J15,'임대사업(E)'!$C:$C,$L$1),
    SUMIFS('환경부사업(F)'!$I:$I,'환경부사업(F)'!$G:$G,AG$2,'환경부사업(F)'!$Q:$Q,$J15,'환경부사업(F)'!$C:$C,$L$1),
    SUMIFS('프로젝트(G)'!$I:$I,'프로젝트(G)'!$G:$G,AG$2,'프로젝트(G)'!$Q:$Q,$J15,'프로젝트(G)'!$C:$C,$L$1),
    SUMIFS('협력사 EPC(H)'!$I:$I,'협력사 EPC(H)'!$G:$G,AG$2,'협력사 EPC(H)'!$Q:$Q,$J15,'협력사 EPC(H)'!$C:$C,$L$1),
    SUMIFS('기타(Z)'!$I:$I,'기타(Z)'!$G:$G,AG$2,'기타(Z)'!$Q:$Q,$J15,'기타(Z)'!$C:$C,$L$1)
  )
)</f>
        <v/>
      </c>
      <c r="AH15" s="367" t="str">
        <f>IF(
  SUM(
    COUNTIFS('발전사업(A)'!$G:$G, AG$2, '발전사업(A)'!$Q:$Q, $J15, '발전사업(A)'!$C:$C, $L$1),
    COUNTIFS('자가소비(B)'!$G:$G, AG$2, '자가소비(B)'!$Q:$Q, $J15, '자가소비(B)'!$C:$C, $L$1),
    COUNTIFS('PPA 사업(C)'!$G:$G, AG$2, 'PPA 사업(C)'!$Q:$Q, $J15, 'PPA 사업(C)'!$C:$C, $L$1),
    COUNTIFS('리스사업(D)'!$G:$G, AG$2, '리스사업(D)'!$Q:$Q, $J15, '리스사업(D)'!$C:$C, $L$1),
    COUNTIFS('임대사업(E)'!$G:$G, AG$2, '임대사업(E)'!$Q:$Q, $J15, '임대사업(E)'!$C:$C, $L$1),
    COUNTIFS('환경부사업(F)'!$G:$G, AG$2, '환경부사업(F)'!$Q:$Q, $J15, '환경부사업(F)'!$C:$C, $L$1),
    COUNTIFS('프로젝트(G)'!$G:$G, AG$2, '프로젝트(G)'!$Q:$Q, $J15, '프로젝트(G)'!$C:$C, $L$1),
    COUNTIFS('협력사 EPC(H)'!$G:$G, AG$2, '협력사 EPC(H)'!$Q:$Q, $J15, '협력사 EPC(H)'!$C:$C, $L$1),
    COUNTIFS('기타(Z)'!$G:$G, AG$2, '기타(Z)'!$Q:$Q, $J15, '기타(Z)'!$C:$C, $L$1)
  ) = 0,
  "",
  COUNTIFS('발전사업(A)'!$G:$G, AG$2, '발전사업(A)'!$Q:$Q, $J15, '발전사업(A)'!$C:$C, $L$1)
  + COUNTIFS('자가소비(B)'!$G:$G, AG$2, '자가소비(B)'!$Q:$Q, $J15, '자가소비(B)'!$C:$C, $L$1)
  + COUNTIFS('PPA 사업(C)'!$G:$G, AG$2, 'PPA 사업(C)'!$Q:$Q, $J15, 'PPA 사업(C)'!$C:$C, $L$1)
  + COUNTIFS('리스사업(D)'!$G:$G, AG$2, '리스사업(D)'!$Q:$Q, $J15, '리스사업(D)'!$C:$C, $L$1)
  + COUNTIFS('임대사업(E)'!$G:$G, AG$2, '임대사업(E)'!$Q:$Q, $J15, '임대사업(E)'!$C:$C, $L$1)
  + COUNTIFS('환경부사업(F)'!$G:$G, AG$2, '환경부사업(F)'!$Q:$Q, $J15, '환경부사업(F)'!$C:$C, $L$1)
  + COUNTIFS('프로젝트(G)'!$G:$G, AG$2, '프로젝트(G)'!$Q:$Q, $J15, '프로젝트(G)'!$C:$C, $L$1)
  + COUNTIFS('협력사 EPC(H)'!$G:$G, AG$2, '협력사 EPC(H)'!$Q:$Q, $J15, '협력사 EPC(H)'!$C:$C, $L$1)
  + COUNTIFS('기타(Z)'!$G:$G, AG$2, '기타(Z)'!$Q:$Q, $J15, '기타(Z)'!$C:$C, $L$1)
)</f>
        <v/>
      </c>
      <c r="AI15" s="366" t="str">
        <f>IF(
  SUM(
    SUMIFS('발전사업(A)'!$I:$I,'발전사업(A)'!$G:$G,AI$2,'발전사업(A)'!$Q:$Q,$J15,'발전사업(A)'!$C:$C,$L$1),
    SUMIFS('자가소비(B)'!$I:$I,'자가소비(B)'!$G:$G,AI$2,'자가소비(B)'!$Q:$Q,$J15,'자가소비(B)'!$C:$C,$L$1),
    SUMIFS('PPA 사업(C)'!$I:$I,'PPA 사업(C)'!$G:$G,AI$2,'PPA 사업(C)'!$Q:$Q,$J15,'PPA 사업(C)'!$C:$C,$L$1),
    SUMIFS('리스사업(D)'!$I:$I,'리스사업(D)'!$G:$G,AI$2,'리스사업(D)'!$Q:$Q,$J15,'리스사업(D)'!$C:$C,$L$1),
    SUMIFS('임대사업(E)'!$I:$I,'임대사업(E)'!$G:$G,AI$2,'임대사업(E)'!$Q:$Q,$J15,'임대사업(E)'!$C:$C,$L$1),
    SUMIFS('환경부사업(F)'!$I:$I,'환경부사업(F)'!$G:$G,AI$2,'환경부사업(F)'!$Q:$Q,$J15,'환경부사업(F)'!$C:$C,$L$1),
    SUMIFS('프로젝트(G)'!$I:$I,'프로젝트(G)'!$G:$G,AI$2,'프로젝트(G)'!$Q:$Q,$J15,'프로젝트(G)'!$C:$C,$L$1),
    SUMIFS('협력사 EPC(H)'!$I:$I,'협력사 EPC(H)'!$G:$G,AI$2,'협력사 EPC(H)'!$Q:$Q,$J15,'협력사 EPC(H)'!$C:$C,$L$1),
    SUMIFS('기타(Z)'!$I:$I,'기타(Z)'!$G:$G,AI$2,'기타(Z)'!$Q:$Q,$J15,'기타(Z)'!$C:$C,$L$1)
  )=0,
  "",
  SUM(
    SUMIFS('발전사업(A)'!$I:$I,'발전사업(A)'!$G:$G,AI$2,'발전사업(A)'!$Q:$Q,$J15,'발전사업(A)'!$C:$C,$L$1),
    SUMIFS('자가소비(B)'!$I:$I,'자가소비(B)'!$G:$G,AI$2,'자가소비(B)'!$Q:$Q,$J15,'자가소비(B)'!$C:$C,$L$1),
    SUMIFS('PPA 사업(C)'!$I:$I,'PPA 사업(C)'!$G:$G,AI$2,'PPA 사업(C)'!$Q:$Q,$J15,'PPA 사업(C)'!$C:$C,$L$1),
    SUMIFS('리스사업(D)'!$I:$I,'리스사업(D)'!$G:$G,AI$2,'리스사업(D)'!$Q:$Q,$J15,'리스사업(D)'!$C:$C,$L$1),
    SUMIFS('임대사업(E)'!$I:$I,'임대사업(E)'!$G:$G,AI$2,'임대사업(E)'!$Q:$Q,$J15,'임대사업(E)'!$C:$C,$L$1),
    SUMIFS('환경부사업(F)'!$I:$I,'환경부사업(F)'!$G:$G,AI$2,'환경부사업(F)'!$Q:$Q,$J15,'환경부사업(F)'!$C:$C,$L$1),
    SUMIFS('프로젝트(G)'!$I:$I,'프로젝트(G)'!$G:$G,AI$2,'프로젝트(G)'!$Q:$Q,$J15,'프로젝트(G)'!$C:$C,$L$1),
    SUMIFS('협력사 EPC(H)'!$I:$I,'협력사 EPC(H)'!$G:$G,AI$2,'협력사 EPC(H)'!$Q:$Q,$J15,'협력사 EPC(H)'!$C:$C,$L$1),
    SUMIFS('기타(Z)'!$I:$I,'기타(Z)'!$G:$G,AI$2,'기타(Z)'!$Q:$Q,$J15,'기타(Z)'!$C:$C,$L$1)
  )
)</f>
        <v/>
      </c>
      <c r="AJ15" s="365" t="str">
        <f>IF(
  SUM(
    COUNTIFS('발전사업(A)'!$G:$G, AI$2, '발전사업(A)'!$Q:$Q, $J15, '발전사업(A)'!$C:$C, $L$1),
    COUNTIFS('자가소비(B)'!$G:$G, AI$2, '자가소비(B)'!$Q:$Q, $J15, '자가소비(B)'!$C:$C, $L$1),
    COUNTIFS('PPA 사업(C)'!$G:$G, AI$2, 'PPA 사업(C)'!$Q:$Q, $J15, 'PPA 사업(C)'!$C:$C, $L$1),
    COUNTIFS('리스사업(D)'!$G:$G, AI$2, '리스사업(D)'!$Q:$Q, $J15, '리스사업(D)'!$C:$C, $L$1),
    COUNTIFS('임대사업(E)'!$G:$G, AI$2, '임대사업(E)'!$Q:$Q, $J15, '임대사업(E)'!$C:$C, $L$1),
    COUNTIFS('환경부사업(F)'!$G:$G, AI$2, '환경부사업(F)'!$Q:$Q, $J15, '환경부사업(F)'!$C:$C, $L$1),
    COUNTIFS('프로젝트(G)'!$G:$G, AI$2, '프로젝트(G)'!$Q:$Q, $J15, '프로젝트(G)'!$C:$C, $L$1),
    COUNTIFS('협력사 EPC(H)'!$G:$G, AI$2, '협력사 EPC(H)'!$Q:$Q, $J15, '협력사 EPC(H)'!$C:$C, $L$1),
    COUNTIFS('기타(Z)'!$G:$G, AI$2, '기타(Z)'!$Q:$Q, $J15, '기타(Z)'!$C:$C, $L$1)
  ) = 0,
  "",
  COUNTIFS('발전사업(A)'!$G:$G, AI$2, '발전사업(A)'!$Q:$Q, $J15, '발전사업(A)'!$C:$C, $L$1)
  + COUNTIFS('자가소비(B)'!$G:$G, AI$2, '자가소비(B)'!$Q:$Q, $J15, '자가소비(B)'!$C:$C, $L$1)
  + COUNTIFS('PPA 사업(C)'!$G:$G, AI$2, 'PPA 사업(C)'!$Q:$Q, $J15, 'PPA 사업(C)'!$C:$C, $L$1)
  + COUNTIFS('리스사업(D)'!$G:$G, AI$2, '리스사업(D)'!$Q:$Q, $J15, '리스사업(D)'!$C:$C, $L$1)
  + COUNTIFS('임대사업(E)'!$G:$G, AI$2, '임대사업(E)'!$Q:$Q, $J15, '임대사업(E)'!$C:$C, $L$1)
  + COUNTIFS('환경부사업(F)'!$G:$G, AI$2, '환경부사업(F)'!$Q:$Q, $J15, '환경부사업(F)'!$C:$C, $L$1)
  + COUNTIFS('프로젝트(G)'!$G:$G, AI$2, '프로젝트(G)'!$Q:$Q, $J15, '프로젝트(G)'!$C:$C, $L$1)
  + COUNTIFS('협력사 EPC(H)'!$G:$G, AI$2, '협력사 EPC(H)'!$Q:$Q, $J15, '협력사 EPC(H)'!$C:$C, $L$1)
  + COUNTIFS('기타(Z)'!$G:$G, AI$2, '기타(Z)'!$Q:$Q, $J15, '기타(Z)'!$C:$C, $L$1)
)</f>
        <v/>
      </c>
    </row>
    <row r="16" spans="2:36" ht="16.5" x14ac:dyDescent="0.25">
      <c r="B16" s="195" t="s">
        <v>160</v>
      </c>
      <c r="C16" s="262">
        <f>IF(
  SUM(
    SUMIFS('발전사업(A)'!I:I, '발전사업(A)'!C:C, $E$1, '발전사업(A)'!G:G, B15, '발전사업(A)'!X:X, B16),
    SUMIFS('자가소비(B)'!I:I, '자가소비(B)'!C:C, $E$1, '자가소비(B)'!G:G, B15, '자가소비(B)'!X:X, B16),
    SUMIFS('PPA 사업(C)'!I:I, 'PPA 사업(C)'!C:C, $E$1, 'PPA 사업(C)'!G:G, B15, 'PPA 사업(C)'!X:X, B16),
    SUMIFS('리스사업(D)'!I:I, '리스사업(D)'!C:C, $E$1, '리스사업(D)'!G:G, B15, '리스사업(D)'!X:X, B16),
    SUMIFS('임대사업(E)'!I:I, '임대사업(E)'!C:C, $E$1, '임대사업(E)'!G:G, B15, '임대사업(E)'!X:X, B16),
    SUMIFS('환경부사업(F)'!I:I, '환경부사업(F)'!C:C, $E$1, '환경부사업(F)'!G:G, B15, '환경부사업(F)'!X:X, B16),
    SUMIFS('프로젝트(G)'!I:I, '프로젝트(G)'!C:C, $E$1, '프로젝트(G)'!G:G, B15, '프로젝트(G)'!X:X, B16),
    SUMIFS('협력사 EPC(H)'!I:I, '협력사 EPC(H)'!C:C, $E$1, '협력사 EPC(H)'!G:G, B15, '협력사 EPC(H)'!X:X, B16),
    SUMIFS('기타(Z)'!I:I, '기타(Z)'!C:C, $E$1, '기타(Z)'!G:G, B15, '기타(Z)'!X:X, B16)
  ) = 0,
  "",
  SUMIFS('발전사업(A)'!I:I, '발전사업(A)'!C:C, $E$1, '발전사업(A)'!G:G, B15, '발전사업(A)'!X:X, B16)
  + SUMIFS('자가소비(B)'!I:I, '자가소비(B)'!C:C, $E$1, '자가소비(B)'!G:G, B15, '자가소비(B)'!X:X, B16)
  + SUMIFS('PPA 사업(C)'!I:I, 'PPA 사업(C)'!C:C, $E$1, 'PPA 사업(C)'!G:G, B15, 'PPA 사업(C)'!X:X, B16)
  + SUMIFS('리스사업(D)'!I:I, '리스사업(D)'!C:C, $E$1, '리스사업(D)'!G:G, B15, '리스사업(D)'!X:X, B16)
  + SUMIFS('임대사업(E)'!I:I, '임대사업(E)'!C:C, $E$1, '임대사업(E)'!G:G, B15, '임대사업(E)'!X:X, B16)
  + SUMIFS('환경부사업(F)'!I:I, '환경부사업(F)'!C:C, $E$1, '환경부사업(F)'!G:G, B15, '환경부사업(F)'!X:X, B16)
  + SUMIFS('프로젝트(G)'!I:I, '프로젝트(G)'!C:C, $E$1, '프로젝트(G)'!G:G, B15, '프로젝트(G)'!X:X, B16)
  + SUMIFS('협력사 EPC(H)'!I:I, '협력사 EPC(H)'!C:C, $E$1, '협력사 EPC(H)'!G:G, B15, '협력사 EPC(H)'!X:X, B16)
  + SUMIFS('기타(Z)'!I:I, '기타(Z)'!C:C, $E$1, '기타(Z)'!G:G, B15, '기타(Z)'!X:X, B16)
)</f>
        <v>2680.25</v>
      </c>
      <c r="D16" s="263">
        <f>IF(
  COUNTIFS('발전사업(A)'!C:C, $E$1, '발전사업(A)'!G:G, B15, '발전사업(A)'!X:X, B16)
  + COUNTIFS('자가소비(B)'!C:C, $E$1, '자가소비(B)'!G:G, B15, '자가소비(B)'!X:X, B16)
  + COUNTIFS('PPA 사업(C)'!C:C, $E$1, 'PPA 사업(C)'!G:G, B15, 'PPA 사업(C)'!X:X, B16)
  + COUNTIFS('리스사업(D)'!C:C, $E$1, '리스사업(D)'!G:G, B15, '리스사업(D)'!X:X, B16)
  + COUNTIFS('임대사업(E)'!C:C, $E$1, '임대사업(E)'!G:G, B15, '임대사업(E)'!X:X, B16)
  + COUNTIFS('환경부사업(F)'!C:C, $E$1, '환경부사업(F)'!G:G, B15, '환경부사업(F)'!X:X, B16)
  + COUNTIFS('프로젝트(G)'!C:C, $E$1, '프로젝트(G)'!G:G, B15, '프로젝트(G)'!X:X, B16)
  + COUNTIFS('협력사 EPC(H)'!C:C, $E$1, '협력사 EPC(H)'!G:G, B15, '협력사 EPC(H)'!X:X, B16)
  + COUNTIFS('기타(Z)'!C:C, $E$1, '기타(Z)'!G:G, B15, '기타(Z)'!X:X, B16)
  = 0,
  "",
  COUNTIFS('발전사업(A)'!C:C, $E$1, '발전사업(A)'!G:G, B15, '발전사업(A)'!X:X, B16)
  + COUNTIFS('자가소비(B)'!C:C, $E$1, '자가소비(B)'!G:G, B15, '자가소비(B)'!X:X, B16)
  + COUNTIFS('PPA 사업(C)'!C:C, $E$1, 'PPA 사업(C)'!G:G, B15, 'PPA 사업(C)'!X:X, B16)
  + COUNTIFS('리스사업(D)'!C:C, $E$1, '리스사업(D)'!G:G, B15, '리스사업(D)'!X:X, B16)
  + COUNTIFS('임대사업(E)'!C:C, $E$1, '임대사업(E)'!G:G, B15, '임대사업(E)'!X:X, B16)
  + COUNTIFS('환경부사업(F)'!C:C, $E$1, '환경부사업(F)'!G:G, B15, '환경부사업(F)'!X:X, B16)
  + COUNTIFS('프로젝트(G)'!C:C, $E$1, '프로젝트(G)'!G:G, B15, '프로젝트(G)'!X:X, B16)
  + COUNTIFS('협력사 EPC(H)'!C:C, $E$1, '협력사 EPC(H)'!G:G, B15, '협력사 EPC(H)'!X:X, B16)
  + COUNTIFS('기타(Z)'!C:C, $E$1, '기타(Z)'!G:G, B15, '기타(Z)'!X:X, B16)
)</f>
        <v>5</v>
      </c>
      <c r="E16" s="262">
        <f>IF(
  SUM(
    SUMIFS('발전사업(A)'!I:I, '발전사업(A)'!C:C, $E$1, '발전사업(A)'!G:G, B15, '발전사업(A)'!X:X, B16, '발전사업(A)'!U:U, $C$1),
    SUMIFS('자가소비(B)'!I:I, '자가소비(B)'!C:C, $E$1, '자가소비(B)'!G:G, B15, '자가소비(B)'!X:X, B16, '자가소비(B)'!U:U, $C$1),
    SUMIFS('PPA 사업(C)'!I:I, 'PPA 사업(C)'!C:C, $E$1, 'PPA 사업(C)'!G:G, B15, 'PPA 사업(C)'!X:X, B16, 'PPA 사업(C)'!U:U, $C$1),
    SUMIFS('리스사업(D)'!I:I, '리스사업(D)'!C:C, $E$1, '리스사업(D)'!G:G, B15, '리스사업(D)'!X:X, B16, '리스사업(D)'!U:U, $C$1),
    SUMIFS('임대사업(E)'!I:I, '임대사업(E)'!C:C, $E$1, '임대사업(E)'!G:G, B15, '임대사업(E)'!X:X, B16, '임대사업(E)'!U:U, $C$1),
    SUMIFS('환경부사업(F)'!I:I, '환경부사업(F)'!C:C, $E$1, '환경부사업(F)'!G:G, B15, '환경부사업(F)'!X:X, B16, '환경부사업(F)'!U:U, $C$1),
    SUMIFS('프로젝트(G)'!I:I, '프로젝트(G)'!C:C, $E$1, '프로젝트(G)'!G:G, B15, '프로젝트(G)'!X:X, B16, '프로젝트(G)'!U:U, $C$1),
    SUMIFS('협력사 EPC(H)'!I:I, '협력사 EPC(H)'!C:C, $E$1, '협력사 EPC(H)'!G:G, B15, '협력사 EPC(H)'!X:X, B16, '협력사 EPC(H)'!U:U, $C$1),
    SUMIFS('기타(Z)'!I:I, '기타(Z)'!C:C, $E$1, '기타(Z)'!G:G, B15, '기타(Z)'!X:X, B16, '기타(Z)'!U:U, $C$1)
  ) = 0,
  "",
  SUM(
    SUMIFS('발전사업(A)'!I:I, '발전사업(A)'!C:C, $E$1, '발전사업(A)'!G:G, B15, '발전사업(A)'!X:X, B16, '발전사업(A)'!U:U, $C$1),
    SUMIFS('자가소비(B)'!I:I, '자가소비(B)'!C:C, $E$1, '자가소비(B)'!G:G, B15, '자가소비(B)'!X:X, B16, '자가소비(B)'!U:U, $C$1),
    SUMIFS('PPA 사업(C)'!I:I, 'PPA 사업(C)'!C:C, $E$1, 'PPA 사업(C)'!G:G, B15, 'PPA 사업(C)'!X:X, B16, 'PPA 사업(C)'!U:U, $C$1),
    SUMIFS('리스사업(D)'!I:I, '리스사업(D)'!C:C, $E$1, '리스사업(D)'!G:G, B15, '리스사업(D)'!X:X, B16, '리스사업(D)'!U:U, $C$1),
    SUMIFS('임대사업(E)'!I:I, '임대사업(E)'!C:C, $E$1, '임대사업(E)'!G:G, B15, '임대사업(E)'!X:X, B16, '임대사업(E)'!U:U, $C$1),
    SUMIFS('환경부사업(F)'!I:I, '환경부사업(F)'!C:C, $E$1, '환경부사업(F)'!G:G, B15, '환경부사업(F)'!X:X, B16, '환경부사업(F)'!U:U, $C$1),
    SUMIFS('프로젝트(G)'!I:I, '프로젝트(G)'!C:C, $E$1, '프로젝트(G)'!G:G, B15, '프로젝트(G)'!X:X, B16, '프로젝트(G)'!U:U, $C$1),
    SUMIFS('협력사 EPC(H)'!I:I, '협력사 EPC(H)'!C:C, $E$1, '협력사 EPC(H)'!G:G, B15, '협력사 EPC(H)'!X:X, B16, '협력사 EPC(H)'!U:U, $C$1),
    SUMIFS('기타(Z)'!I:I, '기타(Z)'!C:C, $E$1, '기타(Z)'!G:G, B15, '기타(Z)'!X:X, B16, '기타(Z)'!U:U, $C$1)
  )
)</f>
        <v>1144.23</v>
      </c>
      <c r="F16" s="263">
        <f>IF(
  SUM(
    COUNTIFS('발전사업(A)'!C:C, $E$1, '발전사업(A)'!G:G, B15, '발전사업(A)'!X:X, B16, '발전사업(A)'!U:U, $C$1),
    COUNTIFS('자가소비(B)'!C:C, $E$1, '자가소비(B)'!G:G, B15, '자가소비(B)'!X:X, B16, '자가소비(B)'!U:U, $C$1),
    COUNTIFS('PPA 사업(C)'!C:C, $E$1, 'PPA 사업(C)'!G:G, B15, 'PPA 사업(C)'!X:X, B16, 'PPA 사업(C)'!U:U, $C$1),
    COUNTIFS('리스사업(D)'!C:C, $E$1, '리스사업(D)'!G:G, B15, '리스사업(D)'!X:X, B16, '리스사업(D)'!U:U, $C$1),
    COUNTIFS('임대사업(E)'!C:C, $E$1, '임대사업(E)'!G:G, B15, '임대사업(E)'!X:X, B16, '임대사업(E)'!U:U, $C$1),
    COUNTIFS('환경부사업(F)'!C:C, $E$1, '환경부사업(F)'!G:G, B15, '환경부사업(F)'!X:X, B16, '환경부사업(F)'!U:U, $C$1),
    COUNTIFS('프로젝트(G)'!C:C, $E$1, '프로젝트(G)'!G:G, B15, '프로젝트(G)'!X:X, B16, '프로젝트(G)'!U:U, $C$1),
    COUNTIFS('협력사 EPC(H)'!C:C, $E$1, '협력사 EPC(H)'!G:G, B15, '협력사 EPC(H)'!X:X, B16, '협력사 EPC(H)'!U:U, $C$1),
    COUNTIFS('기타(Z)'!C:C, $E$1, '기타(Z)'!G:G, B15, '기타(Z)'!X:X, B16, '기타(Z)'!U:U, $C$1)
  ) = 0,
  "",
  SUM(
    COUNTIFS('발전사업(A)'!C:C, $E$1, '발전사업(A)'!G:G, B15, '발전사업(A)'!X:X, B16, '발전사업(A)'!U:U, $C$1),
    COUNTIFS('자가소비(B)'!C:C, $E$1, '자가소비(B)'!G:G, B15, '자가소비(B)'!X:X, B16, '자가소비(B)'!U:U, $C$1),
    COUNTIFS('PPA 사업(C)'!C:C, $E$1, 'PPA 사업(C)'!G:G, B15, 'PPA 사업(C)'!X:X, B16, 'PPA 사업(C)'!U:U, $C$1),
    COUNTIFS('리스사업(D)'!C:C, $E$1, '리스사업(D)'!G:G, B15, '리스사업(D)'!X:X, B16, '리스사업(D)'!U:U, $C$1),
    COUNTIFS('임대사업(E)'!C:C, $E$1, '임대사업(E)'!G:G, B15, '임대사업(E)'!X:X, B16, '임대사업(E)'!U:U, $C$1),
    COUNTIFS('환경부사업(F)'!C:C, $E$1, '환경부사업(F)'!G:G, B15, '환경부사업(F)'!X:X, B16, '환경부사업(F)'!U:U, $C$1),
    COUNTIFS('프로젝트(G)'!C:C, $E$1, '프로젝트(G)'!G:G, B15, '프로젝트(G)'!X:X, B16, '프로젝트(G)'!U:U, $C$1),
    COUNTIFS('협력사 EPC(H)'!C:C, $E$1, '협력사 EPC(H)'!G:G, B15, '협력사 EPC(H)'!X:X, B16, '협력사 EPC(H)'!U:U, $C$1),
    COUNTIFS('기타(Z)'!C:C, $E$1, '기타(Z)'!G:G, B15, '기타(Z)'!X:X, B16, '기타(Z)'!U:U, $C$1)
  )
)</f>
        <v>3</v>
      </c>
      <c r="G16" s="262">
        <f>IF(
  SUM(
    SUMIFS('발전사업(A)'!I:I, '발전사업(A)'!C:C, $E$1, '발전사업(A)'!G:G, B15, '발전사업(A)'!X:X, B16, '발전사업(A)'!U:U, $D$1),
    SUMIFS('자가소비(B)'!I:I, '자가소비(B)'!C:C, $E$1, '자가소비(B)'!G:G, B15, '자가소비(B)'!X:X, B16, '자가소비(B)'!U:U, $D$1),
    SUMIFS('PPA 사업(C)'!I:I, 'PPA 사업(C)'!C:C, $E$1, 'PPA 사업(C)'!G:G, B15, 'PPA 사업(C)'!X:X, B16, 'PPA 사업(C)'!U:U, $D$1),
    SUMIFS('리스사업(D)'!I:I, '리스사업(D)'!C:C, $E$1, '리스사업(D)'!G:G, B15, '리스사업(D)'!X:X, B16, '리스사업(D)'!U:U, $D$1),
    SUMIFS('임대사업(E)'!I:I, '임대사업(E)'!C:C, $E$1, '임대사업(E)'!G:G, B15, '임대사업(E)'!X:X, B16, '임대사업(E)'!U:U, $D$1),
    SUMIFS('환경부사업(F)'!I:I, '환경부사업(F)'!C:C, $E$1, '환경부사업(F)'!G:G, B15, '환경부사업(F)'!X:X, B16, '환경부사업(F)'!U:U, $D$1),
    SUMIFS('프로젝트(G)'!I:I, '프로젝트(G)'!C:C, $E$1, '프로젝트(G)'!G:G, B15, '프로젝트(G)'!X:X, B16, '프로젝트(G)'!U:U, $D$1),
    SUMIFS('협력사 EPC(H)'!I:I, '협력사 EPC(H)'!C:C, $E$1, '협력사 EPC(H)'!G:G, B15, '협력사 EPC(H)'!X:X, B16, '협력사 EPC(H)'!U:U, $D$1),
    SUMIFS('기타(Z)'!I:I, '기타(Z)'!C:C, $E$1, '기타(Z)'!G:G, B15, '기타(Z)'!X:X, B16, '기타(Z)'!U:U, $D$1)
  ) = 0,
  "",
  SUM(
    SUMIFS('발전사업(A)'!I:I, '발전사업(A)'!C:C, $E$1, '발전사업(A)'!G:G, B15, '발전사업(A)'!X:X, B16, '발전사업(A)'!U:U, $D$1),
    SUMIFS('자가소비(B)'!I:I, '자가소비(B)'!C:C, $E$1, '자가소비(B)'!G:G, B15, '자가소비(B)'!X:X, B16, '자가소비(B)'!U:U, $D$1),
    SUMIFS('PPA 사업(C)'!I:I, 'PPA 사업(C)'!C:C, $E$1, 'PPA 사업(C)'!G:G, B15, 'PPA 사업(C)'!X:X, B16, 'PPA 사업(C)'!U:U, $D$1),
    SUMIFS('리스사업(D)'!I:I, '리스사업(D)'!C:C, $E$1, '리스사업(D)'!G:G, B15, '리스사업(D)'!X:X, B16, '리스사업(D)'!U:U, $D$1),
    SUMIFS('임대사업(E)'!I:I, '임대사업(E)'!C:C, $E$1, '임대사업(E)'!G:G, B15, '임대사업(E)'!X:X, B16, '임대사업(E)'!U:U, $D$1),
    SUMIFS('환경부사업(F)'!I:I, '환경부사업(F)'!C:C, $E$1, '환경부사업(F)'!G:G, B15, '환경부사업(F)'!X:X, B16, '환경부사업(F)'!U:U, $D$1),
    SUMIFS('프로젝트(G)'!I:I, '프로젝트(G)'!C:C, $E$1, '프로젝트(G)'!G:G, B15, '프로젝트(G)'!X:X, B16, '프로젝트(G)'!U:U, $D$1),
    SUMIFS('협력사 EPC(H)'!I:I, '협력사 EPC(H)'!C:C, $E$1, '협력사 EPC(H)'!G:G, B15, '협력사 EPC(H)'!X:X, B16, '협력사 EPC(H)'!U:U, $D$1),
    SUMIFS('기타(Z)'!I:I, '기타(Z)'!C:C, $E$1, '기타(Z)'!G:G, B15, '기타(Z)'!X:X, B16, '기타(Z)'!U:U, $D$1)
  )
)</f>
        <v>1536.02</v>
      </c>
      <c r="H16" s="263">
        <f>IF(
  (
    COUNTIFS('발전사업(A)'!C:C, $E$1, '발전사업(A)'!G:G, B15, '발전사업(A)'!X:X, B16, '발전사업(A)'!U:U, $D$1)
    + COUNTIFS('자가소비(B)'!C:C, $E$1, '자가소비(B)'!G:G, B15, '자가소비(B)'!X:X, B16, '자가소비(B)'!U:U, $D$1)
    + COUNTIFS('PPA 사업(C)'!C:C, $E$1, 'PPA 사업(C)'!G:G, B15, 'PPA 사업(C)'!X:X, B16, 'PPA 사업(C)'!U:U, $D$1)
    + COUNTIFS('리스사업(D)'!C:C, $E$1, '리스사업(D)'!G:G, B15, '리스사업(D)'!X:X, B16, '리스사업(D)'!U:U, $D$1)
    + COUNTIFS('임대사업(E)'!C:C, $E$1, '임대사업(E)'!G:G, B15, '임대사업(E)'!X:X, B16, '임대사업(E)'!U:U, $D$1)
    + COUNTIFS('환경부사업(F)'!C:C, $E$1, '환경부사업(F)'!G:G, B15, '환경부사업(F)'!X:X, B16, '환경부사업(F)'!U:U, $D$1)
    + COUNTIFS('프로젝트(G)'!C:C, $E$1, '프로젝트(G)'!G:G, B15, '프로젝트(G)'!X:X, B16, '프로젝트(G)'!U:U, $D$1)
    + COUNTIFS('협력사 EPC(H)'!C:C, $E$1, '협력사 EPC(H)'!G:G, B15, '협력사 EPC(H)'!X:X, B16, '협력사 EPC(H)'!U:U, $D$1)
    + COUNTIFS('기타(Z)'!C:C, $E$1, '기타(Z)'!G:G, B15, '기타(Z)'!X:X, B16, '기타(Z)'!U:U, $D$1)
  ) = 0,
  "",
  COUNTIFS('발전사업(A)'!C:C, $E$1, '발전사업(A)'!G:G, B15, '발전사업(A)'!X:X, B16, '발전사업(A)'!U:U, $D$1)
  + COUNTIFS('자가소비(B)'!C:C, $E$1, '자가소비(B)'!G:G, B15, '자가소비(B)'!X:X, B16, '자가소비(B)'!U:U, $D$1)
  + COUNTIFS('PPA 사업(C)'!C:C, $E$1, 'PPA 사업(C)'!G:G, B15, 'PPA 사업(C)'!X:X, B16, 'PPA 사업(C)'!U:U, $D$1)
  + COUNTIFS('리스사업(D)'!C:C, $E$1, '리스사업(D)'!G:G, B15, '리스사업(D)'!X:X, B16, '리스사업(D)'!U:U, $D$1)
  + COUNTIFS('임대사업(E)'!C:C, $E$1, '임대사업(E)'!G:G, B15, '임대사업(E)'!X:X, B16, '임대사업(E)'!U:U, $D$1)
  + COUNTIFS('환경부사업(F)'!C:C, $E$1, '환경부사업(F)'!G:G, B15, '환경부사업(F)'!X:X, B16, '환경부사업(F)'!U:U, $D$1)
  + COUNTIFS('프로젝트(G)'!C:C, $E$1, '프로젝트(G)'!G:G, B15, '프로젝트(G)'!X:X, B16, '프로젝트(G)'!U:U, $D$1)
  + COUNTIFS('협력사 EPC(H)'!C:C, $E$1, '협력사 EPC(H)'!G:G, B15, '협력사 EPC(H)'!X:X, B16, '협력사 EPC(H)'!U:U, $D$1)
  + COUNTIFS('기타(Z)'!C:C, $E$1, '기타(Z)'!G:G, B15, '기타(Z)'!X:X, B16, '기타(Z)'!U:U, $D$1)
)</f>
        <v>2</v>
      </c>
      <c r="J16" s="370" t="s">
        <v>202</v>
      </c>
      <c r="K16" s="354">
        <f t="shared" si="5"/>
        <v>1194.54</v>
      </c>
      <c r="L16" s="348">
        <f t="shared" si="6"/>
        <v>3</v>
      </c>
      <c r="M16" s="366" t="str">
        <f>IF(
  SUM(
    SUMIFS('발전사업(A)'!$I:$I,'발전사업(A)'!$G:$G,M$2,'발전사업(A)'!$Q:$Q,$J16,'발전사업(A)'!$C:$C,$L$1),
    SUMIFS('자가소비(B)'!$I:$I,'자가소비(B)'!$G:$G,M$2,'자가소비(B)'!$Q:$Q,$J16,'자가소비(B)'!$C:$C,$L$1),
    SUMIFS('PPA 사업(C)'!$I:$I,'PPA 사업(C)'!$G:$G,M$2,'PPA 사업(C)'!$Q:$Q,$J16,'PPA 사업(C)'!$C:$C,$L$1),
    SUMIFS('리스사업(D)'!$I:$I,'리스사업(D)'!$G:$G,M$2,'리스사업(D)'!$Q:$Q,$J16,'리스사업(D)'!$C:$C,$L$1),
    SUMIFS('임대사업(E)'!$I:$I,'임대사업(E)'!$G:$G,M$2,'임대사업(E)'!$Q:$Q,$J16,'임대사업(E)'!$C:$C,$L$1),
    SUMIFS('환경부사업(F)'!$I:$I,'환경부사업(F)'!$G:$G,M$2,'환경부사업(F)'!$Q:$Q,$J16,'환경부사업(F)'!$C:$C,$L$1),
    SUMIFS('프로젝트(G)'!$I:$I,'프로젝트(G)'!$G:$G,M$2,'프로젝트(G)'!$Q:$Q,$J16,'프로젝트(G)'!$C:$C,$L$1),
    SUMIFS('협력사 EPC(H)'!$I:$I,'협력사 EPC(H)'!$G:$G,M$2,'협력사 EPC(H)'!$Q:$Q,$J16,'협력사 EPC(H)'!$C:$C,$L$1),
    SUMIFS('기타(Z)'!$I:$I,'기타(Z)'!$G:$G,M$2,'기타(Z)'!$Q:$Q,$J16,'기타(Z)'!$C:$C,$L$1)
  )=0,
  "",
  SUM(
    SUMIFS('발전사업(A)'!$I:$I,'발전사업(A)'!$G:$G,M$2,'발전사업(A)'!$Q:$Q,$J16,'발전사업(A)'!$C:$C,$L$1),
    SUMIFS('자가소비(B)'!$I:$I,'자가소비(B)'!$G:$G,M$2,'자가소비(B)'!$Q:$Q,$J16,'자가소비(B)'!$C:$C,$L$1),
    SUMIFS('PPA 사업(C)'!$I:$I,'PPA 사업(C)'!$G:$G,M$2,'PPA 사업(C)'!$Q:$Q,$J16,'PPA 사업(C)'!$C:$C,$L$1),
    SUMIFS('리스사업(D)'!$I:$I,'리스사업(D)'!$G:$G,M$2,'리스사업(D)'!$Q:$Q,$J16,'리스사업(D)'!$C:$C,$L$1),
    SUMIFS('임대사업(E)'!$I:$I,'임대사업(E)'!$G:$G,M$2,'임대사업(E)'!$Q:$Q,$J16,'임대사업(E)'!$C:$C,$L$1),
    SUMIFS('환경부사업(F)'!$I:$I,'환경부사업(F)'!$G:$G,M$2,'환경부사업(F)'!$Q:$Q,$J16,'환경부사업(F)'!$C:$C,$L$1),
    SUMIFS('프로젝트(G)'!$I:$I,'프로젝트(G)'!$G:$G,M$2,'프로젝트(G)'!$Q:$Q,$J16,'프로젝트(G)'!$C:$C,$L$1),
    SUMIFS('협력사 EPC(H)'!$I:$I,'협력사 EPC(H)'!$G:$G,M$2,'협력사 EPC(H)'!$Q:$Q,$J16,'협력사 EPC(H)'!$C:$C,$L$1),
    SUMIFS('기타(Z)'!$I:$I,'기타(Z)'!$G:$G,M$2,'기타(Z)'!$Q:$Q,$J16,'기타(Z)'!$C:$C,$L$1)
  )
)</f>
        <v/>
      </c>
      <c r="N16" s="367" t="str">
        <f>IF(
  SUM(
    COUNTIFS('발전사업(A)'!$G:$G, M$2, '발전사업(A)'!$Q:$Q, $J16, '발전사업(A)'!$C:$C, $L$1),
    COUNTIFS('자가소비(B)'!$G:$G, M$2, '자가소비(B)'!$Q:$Q, $J16, '자가소비(B)'!$C:$C, $L$1),
    COUNTIFS('PPA 사업(C)'!$G:$G, M$2, 'PPA 사업(C)'!$Q:$Q, $J16, 'PPA 사업(C)'!$C:$C, $L$1),
    COUNTIFS('리스사업(D)'!$G:$G, M$2, '리스사업(D)'!$Q:$Q, $J16, '리스사업(D)'!$C:$C, $L$1),
    COUNTIFS('임대사업(E)'!$G:$G, M$2, '임대사업(E)'!$Q:$Q, $J16, '임대사업(E)'!$C:$C, $L$1),
    COUNTIFS('환경부사업(F)'!$G:$G, M$2, '환경부사업(F)'!$Q:$Q, $J16, '환경부사업(F)'!$C:$C, $L$1),
    COUNTIFS('프로젝트(G)'!$G:$G, M$2, '프로젝트(G)'!$Q:$Q, $J16, '프로젝트(G)'!$C:$C, $L$1),
    COUNTIFS('협력사 EPC(H)'!$G:$G, M$2, '협력사 EPC(H)'!$Q:$Q, $J16, '협력사 EPC(H)'!$C:$C, $L$1),
    COUNTIFS('기타(Z)'!$G:$G, M$2, '기타(Z)'!$Q:$Q, $J16, '기타(Z)'!$C:$C, $L$1)
  ) = 0,
  "",
  COUNTIFS('발전사업(A)'!$G:$G, M$2, '발전사업(A)'!$Q:$Q, $J16, '발전사업(A)'!$C:$C, $L$1)
  + COUNTIFS('자가소비(B)'!$G:$G, M$2, '자가소비(B)'!$Q:$Q, $J16, '자가소비(B)'!$C:$C, $L$1)
  + COUNTIFS('PPA 사업(C)'!$G:$G, M$2, 'PPA 사업(C)'!$Q:$Q, $J16, 'PPA 사업(C)'!$C:$C, $L$1)
  + COUNTIFS('리스사업(D)'!$G:$G, M$2, '리스사업(D)'!$Q:$Q, $J16, '리스사업(D)'!$C:$C, $L$1)
  + COUNTIFS('임대사업(E)'!$G:$G, M$2, '임대사업(E)'!$Q:$Q, $J16, '임대사업(E)'!$C:$C, $L$1)
  + COUNTIFS('환경부사업(F)'!$G:$G, M$2, '환경부사업(F)'!$Q:$Q, $J16, '환경부사업(F)'!$C:$C, $L$1)
  + COUNTIFS('프로젝트(G)'!$G:$G, M$2, '프로젝트(G)'!$Q:$Q, $J16, '프로젝트(G)'!$C:$C, $L$1)
  + COUNTIFS('협력사 EPC(H)'!$G:$G, M$2, '협력사 EPC(H)'!$Q:$Q, $J16, '협력사 EPC(H)'!$C:$C, $L$1)
  + COUNTIFS('기타(Z)'!$G:$G, M$2, '기타(Z)'!$Q:$Q, $J16, '기타(Z)'!$C:$C, $L$1)
)</f>
        <v/>
      </c>
      <c r="O16" s="366">
        <f>IF(
  SUM(
    SUMIFS('발전사업(A)'!$I:$I,'발전사업(A)'!$G:$G,O$2,'발전사업(A)'!$Q:$Q,$J16,'발전사업(A)'!$C:$C,$L$1),
    SUMIFS('자가소비(B)'!$I:$I,'자가소비(B)'!$G:$G,O$2,'자가소비(B)'!$Q:$Q,$J16,'자가소비(B)'!$C:$C,$L$1),
    SUMIFS('PPA 사업(C)'!$I:$I,'PPA 사업(C)'!$G:$G,O$2,'PPA 사업(C)'!$Q:$Q,$J16,'PPA 사업(C)'!$C:$C,$L$1),
    SUMIFS('리스사업(D)'!$I:$I,'리스사업(D)'!$G:$G,O$2,'리스사업(D)'!$Q:$Q,$J16,'리스사업(D)'!$C:$C,$L$1),
    SUMIFS('임대사업(E)'!$I:$I,'임대사업(E)'!$G:$G,O$2,'임대사업(E)'!$Q:$Q,$J16,'임대사업(E)'!$C:$C,$L$1),
    SUMIFS('환경부사업(F)'!$I:$I,'환경부사업(F)'!$G:$G,O$2,'환경부사업(F)'!$Q:$Q,$J16,'환경부사업(F)'!$C:$C,$L$1),
    SUMIFS('프로젝트(G)'!$I:$I,'프로젝트(G)'!$G:$G,O$2,'프로젝트(G)'!$Q:$Q,$J16,'프로젝트(G)'!$C:$C,$L$1),
    SUMIFS('협력사 EPC(H)'!$I:$I,'협력사 EPC(H)'!$G:$G,O$2,'협력사 EPC(H)'!$Q:$Q,$J16,'협력사 EPC(H)'!$C:$C,$L$1),
    SUMIFS('기타(Z)'!$I:$I,'기타(Z)'!$G:$G,O$2,'기타(Z)'!$Q:$Q,$J16,'기타(Z)'!$C:$C,$L$1)
  )=0,
  "",
  SUM(
    SUMIFS('발전사업(A)'!$I:$I,'발전사업(A)'!$G:$G,O$2,'발전사업(A)'!$Q:$Q,$J16,'발전사업(A)'!$C:$C,$L$1),
    SUMIFS('자가소비(B)'!$I:$I,'자가소비(B)'!$G:$G,O$2,'자가소비(B)'!$Q:$Q,$J16,'자가소비(B)'!$C:$C,$L$1),
    SUMIFS('PPA 사업(C)'!$I:$I,'PPA 사업(C)'!$G:$G,O$2,'PPA 사업(C)'!$Q:$Q,$J16,'PPA 사업(C)'!$C:$C,$L$1),
    SUMIFS('리스사업(D)'!$I:$I,'리스사업(D)'!$G:$G,O$2,'리스사업(D)'!$Q:$Q,$J16,'리스사업(D)'!$C:$C,$L$1),
    SUMIFS('임대사업(E)'!$I:$I,'임대사업(E)'!$G:$G,O$2,'임대사업(E)'!$Q:$Q,$J16,'임대사업(E)'!$C:$C,$L$1),
    SUMIFS('환경부사업(F)'!$I:$I,'환경부사업(F)'!$G:$G,O$2,'환경부사업(F)'!$Q:$Q,$J16,'환경부사업(F)'!$C:$C,$L$1),
    SUMIFS('프로젝트(G)'!$I:$I,'프로젝트(G)'!$G:$G,O$2,'프로젝트(G)'!$Q:$Q,$J16,'프로젝트(G)'!$C:$C,$L$1),
    SUMIFS('협력사 EPC(H)'!$I:$I,'협력사 EPC(H)'!$G:$G,O$2,'협력사 EPC(H)'!$Q:$Q,$J16,'협력사 EPC(H)'!$C:$C,$L$1),
    SUMIFS('기타(Z)'!$I:$I,'기타(Z)'!$G:$G,O$2,'기타(Z)'!$Q:$Q,$J16,'기타(Z)'!$C:$C,$L$1)
  )
)</f>
        <v>89.655000000000001</v>
      </c>
      <c r="P16" s="367">
        <f>IF(
  SUM(
    COUNTIFS('발전사업(A)'!$G:$G, O$2, '발전사업(A)'!$Q:$Q, $J16, '발전사업(A)'!$C:$C, $L$1),
    COUNTIFS('자가소비(B)'!$G:$G, O$2, '자가소비(B)'!$Q:$Q, $J16, '자가소비(B)'!$C:$C, $L$1),
    COUNTIFS('PPA 사업(C)'!$G:$G, O$2, 'PPA 사업(C)'!$Q:$Q, $J16, 'PPA 사업(C)'!$C:$C, $L$1),
    COUNTIFS('리스사업(D)'!$G:$G, O$2, '리스사업(D)'!$Q:$Q, $J16, '리스사업(D)'!$C:$C, $L$1),
    COUNTIFS('임대사업(E)'!$G:$G, O$2, '임대사업(E)'!$Q:$Q, $J16, '임대사업(E)'!$C:$C, $L$1),
    COUNTIFS('환경부사업(F)'!$G:$G, O$2, '환경부사업(F)'!$Q:$Q, $J16, '환경부사업(F)'!$C:$C, $L$1),
    COUNTIFS('프로젝트(G)'!$G:$G, O$2, '프로젝트(G)'!$Q:$Q, $J16, '프로젝트(G)'!$C:$C, $L$1),
    COUNTIFS('협력사 EPC(H)'!$G:$G, O$2, '협력사 EPC(H)'!$Q:$Q, $J16, '협력사 EPC(H)'!$C:$C, $L$1),
    COUNTIFS('기타(Z)'!$G:$G, O$2, '기타(Z)'!$Q:$Q, $J16, '기타(Z)'!$C:$C, $L$1)
  ) = 0,
  "",
  COUNTIFS('발전사업(A)'!$G:$G, O$2, '발전사업(A)'!$Q:$Q, $J16, '발전사업(A)'!$C:$C, $L$1)
  + COUNTIFS('자가소비(B)'!$G:$G, O$2, '자가소비(B)'!$Q:$Q, $J16, '자가소비(B)'!$C:$C, $L$1)
  + COUNTIFS('PPA 사업(C)'!$G:$G, O$2, 'PPA 사업(C)'!$Q:$Q, $J16, 'PPA 사업(C)'!$C:$C, $L$1)
  + COUNTIFS('리스사업(D)'!$G:$G, O$2, '리스사업(D)'!$Q:$Q, $J16, '리스사업(D)'!$C:$C, $L$1)
  + COUNTIFS('임대사업(E)'!$G:$G, O$2, '임대사업(E)'!$Q:$Q, $J16, '임대사업(E)'!$C:$C, $L$1)
  + COUNTIFS('환경부사업(F)'!$G:$G, O$2, '환경부사업(F)'!$Q:$Q, $J16, '환경부사업(F)'!$C:$C, $L$1)
  + COUNTIFS('프로젝트(G)'!$G:$G, O$2, '프로젝트(G)'!$Q:$Q, $J16, '프로젝트(G)'!$C:$C, $L$1)
  + COUNTIFS('협력사 EPC(H)'!$G:$G, O$2, '협력사 EPC(H)'!$Q:$Q, $J16, '협력사 EPC(H)'!$C:$C, $L$1)
  + COUNTIFS('기타(Z)'!$G:$G, O$2, '기타(Z)'!$Q:$Q, $J16, '기타(Z)'!$C:$C, $L$1)
)</f>
        <v>1</v>
      </c>
      <c r="Q16" s="366">
        <f>IF(
  SUM(
    SUMIFS('발전사업(A)'!$I:$I,'발전사업(A)'!$G:$G,Q$2,'발전사업(A)'!$Q:$Q,$J16,'발전사업(A)'!$C:$C,$L$1),
    SUMIFS('자가소비(B)'!$I:$I,'자가소비(B)'!$G:$G,Q$2,'자가소비(B)'!$Q:$Q,$J16,'자가소비(B)'!$C:$C,$L$1),
    SUMIFS('PPA 사업(C)'!$I:$I,'PPA 사업(C)'!$G:$G,Q$2,'PPA 사업(C)'!$Q:$Q,$J16,'PPA 사업(C)'!$C:$C,$L$1),
    SUMIFS('리스사업(D)'!$I:$I,'리스사업(D)'!$G:$G,Q$2,'리스사업(D)'!$Q:$Q,$J16,'리스사업(D)'!$C:$C,$L$1),
    SUMIFS('임대사업(E)'!$I:$I,'임대사업(E)'!$G:$G,Q$2,'임대사업(E)'!$Q:$Q,$J16,'임대사업(E)'!$C:$C,$L$1),
    SUMIFS('환경부사업(F)'!$I:$I,'환경부사업(F)'!$G:$G,Q$2,'환경부사업(F)'!$Q:$Q,$J16,'환경부사업(F)'!$C:$C,$L$1),
    SUMIFS('프로젝트(G)'!$I:$I,'프로젝트(G)'!$G:$G,Q$2,'프로젝트(G)'!$Q:$Q,$J16,'프로젝트(G)'!$C:$C,$L$1),
    SUMIFS('협력사 EPC(H)'!$I:$I,'협력사 EPC(H)'!$G:$G,Q$2,'협력사 EPC(H)'!$Q:$Q,$J16,'협력사 EPC(H)'!$C:$C,$L$1),
    SUMIFS('기타(Z)'!$I:$I,'기타(Z)'!$G:$G,Q$2,'기타(Z)'!$Q:$Q,$J16,'기타(Z)'!$C:$C,$L$1)
  )=0,
  "",
  SUM(
    SUMIFS('발전사업(A)'!$I:$I,'발전사업(A)'!$G:$G,Q$2,'발전사업(A)'!$Q:$Q,$J16,'발전사업(A)'!$C:$C,$L$1),
    SUMIFS('자가소비(B)'!$I:$I,'자가소비(B)'!$G:$G,Q$2,'자가소비(B)'!$Q:$Q,$J16,'자가소비(B)'!$C:$C,$L$1),
    SUMIFS('PPA 사업(C)'!$I:$I,'PPA 사업(C)'!$G:$G,Q$2,'PPA 사업(C)'!$Q:$Q,$J16,'PPA 사업(C)'!$C:$C,$L$1),
    SUMIFS('리스사업(D)'!$I:$I,'리스사업(D)'!$G:$G,Q$2,'리스사업(D)'!$Q:$Q,$J16,'리스사업(D)'!$C:$C,$L$1),
    SUMIFS('임대사업(E)'!$I:$I,'임대사업(E)'!$G:$G,Q$2,'임대사업(E)'!$Q:$Q,$J16,'임대사업(E)'!$C:$C,$L$1),
    SUMIFS('환경부사업(F)'!$I:$I,'환경부사업(F)'!$G:$G,Q$2,'환경부사업(F)'!$Q:$Q,$J16,'환경부사업(F)'!$C:$C,$L$1),
    SUMIFS('프로젝트(G)'!$I:$I,'프로젝트(G)'!$G:$G,Q$2,'프로젝트(G)'!$Q:$Q,$J16,'프로젝트(G)'!$C:$C,$L$1),
    SUMIFS('협력사 EPC(H)'!$I:$I,'협력사 EPC(H)'!$G:$G,Q$2,'협력사 EPC(H)'!$Q:$Q,$J16,'협력사 EPC(H)'!$C:$C,$L$1),
    SUMIFS('기타(Z)'!$I:$I,'기타(Z)'!$G:$G,Q$2,'기타(Z)'!$Q:$Q,$J16,'기타(Z)'!$C:$C,$L$1)
  )
)</f>
        <v>605.01</v>
      </c>
      <c r="R16" s="367">
        <f>IF(
  SUM(
    COUNTIFS('발전사업(A)'!$G:$G, Q$2, '발전사업(A)'!$Q:$Q, $J16, '발전사업(A)'!$C:$C, $L$1),
    COUNTIFS('자가소비(B)'!$G:$G, Q$2, '자가소비(B)'!$Q:$Q, $J16, '자가소비(B)'!$C:$C, $L$1),
    COUNTIFS('PPA 사업(C)'!$G:$G, Q$2, 'PPA 사업(C)'!$Q:$Q, $J16, 'PPA 사업(C)'!$C:$C, $L$1),
    COUNTIFS('리스사업(D)'!$G:$G, Q$2, '리스사업(D)'!$Q:$Q, $J16, '리스사업(D)'!$C:$C, $L$1),
    COUNTIFS('임대사업(E)'!$G:$G, Q$2, '임대사업(E)'!$Q:$Q, $J16, '임대사업(E)'!$C:$C, $L$1),
    COUNTIFS('환경부사업(F)'!$G:$G, Q$2, '환경부사업(F)'!$Q:$Q, $J16, '환경부사업(F)'!$C:$C, $L$1),
    COUNTIFS('프로젝트(G)'!$G:$G, Q$2, '프로젝트(G)'!$Q:$Q, $J16, '프로젝트(G)'!$C:$C, $L$1),
    COUNTIFS('협력사 EPC(H)'!$G:$G, Q$2, '협력사 EPC(H)'!$Q:$Q, $J16, '협력사 EPC(H)'!$C:$C, $L$1),
    COUNTIFS('기타(Z)'!$G:$G, Q$2, '기타(Z)'!$Q:$Q, $J16, '기타(Z)'!$C:$C, $L$1)
  ) = 0,
  "",
  COUNTIFS('발전사업(A)'!$G:$G, Q$2, '발전사업(A)'!$Q:$Q, $J16, '발전사업(A)'!$C:$C, $L$1)
  + COUNTIFS('자가소비(B)'!$G:$G, Q$2, '자가소비(B)'!$Q:$Q, $J16, '자가소비(B)'!$C:$C, $L$1)
  + COUNTIFS('PPA 사업(C)'!$G:$G, Q$2, 'PPA 사업(C)'!$Q:$Q, $J16, 'PPA 사업(C)'!$C:$C, $L$1)
  + COUNTIFS('리스사업(D)'!$G:$G, Q$2, '리스사업(D)'!$Q:$Q, $J16, '리스사업(D)'!$C:$C, $L$1)
  + COUNTIFS('임대사업(E)'!$G:$G, Q$2, '임대사업(E)'!$Q:$Q, $J16, '임대사업(E)'!$C:$C, $L$1)
  + COUNTIFS('환경부사업(F)'!$G:$G, Q$2, '환경부사업(F)'!$Q:$Q, $J16, '환경부사업(F)'!$C:$C, $L$1)
  + COUNTIFS('프로젝트(G)'!$G:$G, Q$2, '프로젝트(G)'!$Q:$Q, $J16, '프로젝트(G)'!$C:$C, $L$1)
  + COUNTIFS('협력사 EPC(H)'!$G:$G, Q$2, '협력사 EPC(H)'!$Q:$Q, $J16, '협력사 EPC(H)'!$C:$C, $L$1)
  + COUNTIFS('기타(Z)'!$G:$G, Q$2, '기타(Z)'!$Q:$Q, $J16, '기타(Z)'!$C:$C, $L$1)
)</f>
        <v>1</v>
      </c>
      <c r="S16" s="366" t="str">
        <f>IF(
  SUM(
    SUMIFS('발전사업(A)'!$I:$I,'발전사업(A)'!$G:$G,S$2,'발전사업(A)'!$Q:$Q,$J16,'발전사업(A)'!$C:$C,$L$1),
    SUMIFS('자가소비(B)'!$I:$I,'자가소비(B)'!$G:$G,S$2,'자가소비(B)'!$Q:$Q,$J16,'자가소비(B)'!$C:$C,$L$1),
    SUMIFS('PPA 사업(C)'!$I:$I,'PPA 사업(C)'!$G:$G,S$2,'PPA 사업(C)'!$Q:$Q,$J16,'PPA 사업(C)'!$C:$C,$L$1),
    SUMIFS('리스사업(D)'!$I:$I,'리스사업(D)'!$G:$G,S$2,'리스사업(D)'!$Q:$Q,$J16,'리스사업(D)'!$C:$C,$L$1),
    SUMIFS('임대사업(E)'!$I:$I,'임대사업(E)'!$G:$G,S$2,'임대사업(E)'!$Q:$Q,$J16,'임대사업(E)'!$C:$C,$L$1),
    SUMIFS('환경부사업(F)'!$I:$I,'환경부사업(F)'!$G:$G,S$2,'환경부사업(F)'!$Q:$Q,$J16,'환경부사업(F)'!$C:$C,$L$1),
    SUMIFS('프로젝트(G)'!$I:$I,'프로젝트(G)'!$G:$G,S$2,'프로젝트(G)'!$Q:$Q,$J16,'프로젝트(G)'!$C:$C,$L$1),
    SUMIFS('협력사 EPC(H)'!$I:$I,'협력사 EPC(H)'!$G:$G,S$2,'협력사 EPC(H)'!$Q:$Q,$J16,'협력사 EPC(H)'!$C:$C,$L$1),
    SUMIFS('기타(Z)'!$I:$I,'기타(Z)'!$G:$G,S$2,'기타(Z)'!$Q:$Q,$J16,'기타(Z)'!$C:$C,$L$1)
  )=0,
  "",
  SUM(
    SUMIFS('발전사업(A)'!$I:$I,'발전사업(A)'!$G:$G,S$2,'발전사업(A)'!$Q:$Q,$J16,'발전사업(A)'!$C:$C,$L$1),
    SUMIFS('자가소비(B)'!$I:$I,'자가소비(B)'!$G:$G,S$2,'자가소비(B)'!$Q:$Q,$J16,'자가소비(B)'!$C:$C,$L$1),
    SUMIFS('PPA 사업(C)'!$I:$I,'PPA 사업(C)'!$G:$G,S$2,'PPA 사업(C)'!$Q:$Q,$J16,'PPA 사업(C)'!$C:$C,$L$1),
    SUMIFS('리스사업(D)'!$I:$I,'리스사업(D)'!$G:$G,S$2,'리스사업(D)'!$Q:$Q,$J16,'리스사업(D)'!$C:$C,$L$1),
    SUMIFS('임대사업(E)'!$I:$I,'임대사업(E)'!$G:$G,S$2,'임대사업(E)'!$Q:$Q,$J16,'임대사업(E)'!$C:$C,$L$1),
    SUMIFS('환경부사업(F)'!$I:$I,'환경부사업(F)'!$G:$G,S$2,'환경부사업(F)'!$Q:$Q,$J16,'환경부사업(F)'!$C:$C,$L$1),
    SUMIFS('프로젝트(G)'!$I:$I,'프로젝트(G)'!$G:$G,S$2,'프로젝트(G)'!$Q:$Q,$J16,'프로젝트(G)'!$C:$C,$L$1),
    SUMIFS('협력사 EPC(H)'!$I:$I,'협력사 EPC(H)'!$G:$G,S$2,'협력사 EPC(H)'!$Q:$Q,$J16,'협력사 EPC(H)'!$C:$C,$L$1),
    SUMIFS('기타(Z)'!$I:$I,'기타(Z)'!$G:$G,S$2,'기타(Z)'!$Q:$Q,$J16,'기타(Z)'!$C:$C,$L$1)
  )
)</f>
        <v/>
      </c>
      <c r="T16" s="367" t="str">
        <f>IF(
  SUM(
    COUNTIFS('발전사업(A)'!$G:$G, S$2, '발전사업(A)'!$Q:$Q, $J16, '발전사업(A)'!$C:$C, $L$1),
    COUNTIFS('자가소비(B)'!$G:$G, S$2, '자가소비(B)'!$Q:$Q, $J16, '자가소비(B)'!$C:$C, $L$1),
    COUNTIFS('PPA 사업(C)'!$G:$G, S$2, 'PPA 사업(C)'!$Q:$Q, $J16, 'PPA 사업(C)'!$C:$C, $L$1),
    COUNTIFS('리스사업(D)'!$G:$G, S$2, '리스사업(D)'!$Q:$Q, $J16, '리스사업(D)'!$C:$C, $L$1),
    COUNTIFS('임대사업(E)'!$G:$G, S$2, '임대사업(E)'!$Q:$Q, $J16, '임대사업(E)'!$C:$C, $L$1),
    COUNTIFS('환경부사업(F)'!$G:$G, S$2, '환경부사업(F)'!$Q:$Q, $J16, '환경부사업(F)'!$C:$C, $L$1),
    COUNTIFS('프로젝트(G)'!$G:$G, S$2, '프로젝트(G)'!$Q:$Q, $J16, '프로젝트(G)'!$C:$C, $L$1),
    COUNTIFS('협력사 EPC(H)'!$G:$G, S$2, '협력사 EPC(H)'!$Q:$Q, $J16, '협력사 EPC(H)'!$C:$C, $L$1),
    COUNTIFS('기타(Z)'!$G:$G, S$2, '기타(Z)'!$Q:$Q, $J16, '기타(Z)'!$C:$C, $L$1)
  ) = 0,
  "",
  COUNTIFS('발전사업(A)'!$G:$G, S$2, '발전사업(A)'!$Q:$Q, $J16, '발전사업(A)'!$C:$C, $L$1)
  + COUNTIFS('자가소비(B)'!$G:$G, S$2, '자가소비(B)'!$Q:$Q, $J16, '자가소비(B)'!$C:$C, $L$1)
  + COUNTIFS('PPA 사업(C)'!$G:$G, S$2, 'PPA 사업(C)'!$Q:$Q, $J16, 'PPA 사업(C)'!$C:$C, $L$1)
  + COUNTIFS('리스사업(D)'!$G:$G, S$2, '리스사업(D)'!$Q:$Q, $J16, '리스사업(D)'!$C:$C, $L$1)
  + COUNTIFS('임대사업(E)'!$G:$G, S$2, '임대사업(E)'!$Q:$Q, $J16, '임대사업(E)'!$C:$C, $L$1)
  + COUNTIFS('환경부사업(F)'!$G:$G, S$2, '환경부사업(F)'!$Q:$Q, $J16, '환경부사업(F)'!$C:$C, $L$1)
  + COUNTIFS('프로젝트(G)'!$G:$G, S$2, '프로젝트(G)'!$Q:$Q, $J16, '프로젝트(G)'!$C:$C, $L$1)
  + COUNTIFS('협력사 EPC(H)'!$G:$G, S$2, '협력사 EPC(H)'!$Q:$Q, $J16, '협력사 EPC(H)'!$C:$C, $L$1)
  + COUNTIFS('기타(Z)'!$G:$G, S$2, '기타(Z)'!$Q:$Q, $J16, '기타(Z)'!$C:$C, $L$1)
)</f>
        <v/>
      </c>
      <c r="U16" s="366" t="str">
        <f>IF(
  SUM(
    SUMIFS('발전사업(A)'!$I:$I,'발전사업(A)'!$G:$G,U$2,'발전사업(A)'!$Q:$Q,$J16,'발전사업(A)'!$C:$C,$L$1),
    SUMIFS('자가소비(B)'!$I:$I,'자가소비(B)'!$G:$G,U$2,'자가소비(B)'!$Q:$Q,$J16,'자가소비(B)'!$C:$C,$L$1),
    SUMIFS('PPA 사업(C)'!$I:$I,'PPA 사업(C)'!$G:$G,U$2,'PPA 사업(C)'!$Q:$Q,$J16,'PPA 사업(C)'!$C:$C,$L$1),
    SUMIFS('리스사업(D)'!$I:$I,'리스사업(D)'!$G:$G,U$2,'리스사업(D)'!$Q:$Q,$J16,'리스사업(D)'!$C:$C,$L$1),
    SUMIFS('임대사업(E)'!$I:$I,'임대사업(E)'!$G:$G,U$2,'임대사업(E)'!$Q:$Q,$J16,'임대사업(E)'!$C:$C,$L$1),
    SUMIFS('환경부사업(F)'!$I:$I,'환경부사업(F)'!$G:$G,U$2,'환경부사업(F)'!$Q:$Q,$J16,'환경부사업(F)'!$C:$C,$L$1),
    SUMIFS('프로젝트(G)'!$I:$I,'프로젝트(G)'!$G:$G,U$2,'프로젝트(G)'!$Q:$Q,$J16,'프로젝트(G)'!$C:$C,$L$1),
    SUMIFS('협력사 EPC(H)'!$I:$I,'협력사 EPC(H)'!$G:$G,U$2,'협력사 EPC(H)'!$Q:$Q,$J16,'협력사 EPC(H)'!$C:$C,$L$1),
    SUMIFS('기타(Z)'!$I:$I,'기타(Z)'!$G:$G,U$2,'기타(Z)'!$Q:$Q,$J16,'기타(Z)'!$C:$C,$L$1)
  )=0,
  "",
  SUM(
    SUMIFS('발전사업(A)'!$I:$I,'발전사업(A)'!$G:$G,U$2,'발전사업(A)'!$Q:$Q,$J16,'발전사업(A)'!$C:$C,$L$1),
    SUMIFS('자가소비(B)'!$I:$I,'자가소비(B)'!$G:$G,U$2,'자가소비(B)'!$Q:$Q,$J16,'자가소비(B)'!$C:$C,$L$1),
    SUMIFS('PPA 사업(C)'!$I:$I,'PPA 사업(C)'!$G:$G,U$2,'PPA 사업(C)'!$Q:$Q,$J16,'PPA 사업(C)'!$C:$C,$L$1),
    SUMIFS('리스사업(D)'!$I:$I,'리스사업(D)'!$G:$G,U$2,'리스사업(D)'!$Q:$Q,$J16,'리스사업(D)'!$C:$C,$L$1),
    SUMIFS('임대사업(E)'!$I:$I,'임대사업(E)'!$G:$G,U$2,'임대사업(E)'!$Q:$Q,$J16,'임대사업(E)'!$C:$C,$L$1),
    SUMIFS('환경부사업(F)'!$I:$I,'환경부사업(F)'!$G:$G,U$2,'환경부사업(F)'!$Q:$Q,$J16,'환경부사업(F)'!$C:$C,$L$1),
    SUMIFS('프로젝트(G)'!$I:$I,'프로젝트(G)'!$G:$G,U$2,'프로젝트(G)'!$Q:$Q,$J16,'프로젝트(G)'!$C:$C,$L$1),
    SUMIFS('협력사 EPC(H)'!$I:$I,'협력사 EPC(H)'!$G:$G,U$2,'협력사 EPC(H)'!$Q:$Q,$J16,'협력사 EPC(H)'!$C:$C,$L$1),
    SUMIFS('기타(Z)'!$I:$I,'기타(Z)'!$G:$G,U$2,'기타(Z)'!$Q:$Q,$J16,'기타(Z)'!$C:$C,$L$1)
  )
)</f>
        <v/>
      </c>
      <c r="V16" s="367" t="str">
        <f>IF(
  SUM(
    COUNTIFS('발전사업(A)'!$G:$G, U$2, '발전사업(A)'!$Q:$Q, $J16, '발전사업(A)'!$C:$C, $L$1),
    COUNTIFS('자가소비(B)'!$G:$G, U$2, '자가소비(B)'!$Q:$Q, $J16, '자가소비(B)'!$C:$C, $L$1),
    COUNTIFS('PPA 사업(C)'!$G:$G, U$2, 'PPA 사업(C)'!$Q:$Q, $J16, 'PPA 사업(C)'!$C:$C, $L$1),
    COUNTIFS('리스사업(D)'!$G:$G, U$2, '리스사업(D)'!$Q:$Q, $J16, '리스사업(D)'!$C:$C, $L$1),
    COUNTIFS('임대사업(E)'!$G:$G, U$2, '임대사업(E)'!$Q:$Q, $J16, '임대사업(E)'!$C:$C, $L$1),
    COUNTIFS('환경부사업(F)'!$G:$G, U$2, '환경부사업(F)'!$Q:$Q, $J16, '환경부사업(F)'!$C:$C, $L$1),
    COUNTIFS('프로젝트(G)'!$G:$G, U$2, '프로젝트(G)'!$Q:$Q, $J16, '프로젝트(G)'!$C:$C, $L$1),
    COUNTIFS('협력사 EPC(H)'!$G:$G, U$2, '협력사 EPC(H)'!$Q:$Q, $J16, '협력사 EPC(H)'!$C:$C, $L$1),
    COUNTIFS('기타(Z)'!$G:$G, U$2, '기타(Z)'!$Q:$Q, $J16, '기타(Z)'!$C:$C, $L$1)
  ) = 0,
  "",
  COUNTIFS('발전사업(A)'!$G:$G, U$2, '발전사업(A)'!$Q:$Q, $J16, '발전사업(A)'!$C:$C, $L$1)
  + COUNTIFS('자가소비(B)'!$G:$G, U$2, '자가소비(B)'!$Q:$Q, $J16, '자가소비(B)'!$C:$C, $L$1)
  + COUNTIFS('PPA 사업(C)'!$G:$G, U$2, 'PPA 사업(C)'!$Q:$Q, $J16, 'PPA 사업(C)'!$C:$C, $L$1)
  + COUNTIFS('리스사업(D)'!$G:$G, U$2, '리스사업(D)'!$Q:$Q, $J16, '리스사업(D)'!$C:$C, $L$1)
  + COUNTIFS('임대사업(E)'!$G:$G, U$2, '임대사업(E)'!$Q:$Q, $J16, '임대사업(E)'!$C:$C, $L$1)
  + COUNTIFS('환경부사업(F)'!$G:$G, U$2, '환경부사업(F)'!$Q:$Q, $J16, '환경부사업(F)'!$C:$C, $L$1)
  + COUNTIFS('프로젝트(G)'!$G:$G, U$2, '프로젝트(G)'!$Q:$Q, $J16, '프로젝트(G)'!$C:$C, $L$1)
  + COUNTIFS('협력사 EPC(H)'!$G:$G, U$2, '협력사 EPC(H)'!$Q:$Q, $J16, '협력사 EPC(H)'!$C:$C, $L$1)
  + COUNTIFS('기타(Z)'!$G:$G, U$2, '기타(Z)'!$Q:$Q, $J16, '기타(Z)'!$C:$C, $L$1)
)</f>
        <v/>
      </c>
      <c r="W16" s="366">
        <f>IF(
  SUM(
    SUMIFS('발전사업(A)'!$I:$I,'발전사업(A)'!$G:$G,W$2,'발전사업(A)'!$Q:$Q,$J16,'발전사업(A)'!$C:$C,$L$1),
    SUMIFS('자가소비(B)'!$I:$I,'자가소비(B)'!$G:$G,W$2,'자가소비(B)'!$Q:$Q,$J16,'자가소비(B)'!$C:$C,$L$1),
    SUMIFS('PPA 사업(C)'!$I:$I,'PPA 사업(C)'!$G:$G,W$2,'PPA 사업(C)'!$Q:$Q,$J16,'PPA 사업(C)'!$C:$C,$L$1),
    SUMIFS('리스사업(D)'!$I:$I,'리스사업(D)'!$G:$G,W$2,'리스사업(D)'!$Q:$Q,$J16,'리스사업(D)'!$C:$C,$L$1),
    SUMIFS('임대사업(E)'!$I:$I,'임대사업(E)'!$G:$G,W$2,'임대사업(E)'!$Q:$Q,$J16,'임대사업(E)'!$C:$C,$L$1),
    SUMIFS('환경부사업(F)'!$I:$I,'환경부사업(F)'!$G:$G,W$2,'환경부사업(F)'!$Q:$Q,$J16,'환경부사업(F)'!$C:$C,$L$1),
    SUMIFS('프로젝트(G)'!$I:$I,'프로젝트(G)'!$G:$G,W$2,'프로젝트(G)'!$Q:$Q,$J16,'프로젝트(G)'!$C:$C,$L$1),
    SUMIFS('협력사 EPC(H)'!$I:$I,'협력사 EPC(H)'!$G:$G,W$2,'협력사 EPC(H)'!$Q:$Q,$J16,'협력사 EPC(H)'!$C:$C,$L$1),
    SUMIFS('기타(Z)'!$I:$I,'기타(Z)'!$G:$G,W$2,'기타(Z)'!$Q:$Q,$J16,'기타(Z)'!$C:$C,$L$1)
  )=0,
  "",
  SUM(
    SUMIFS('발전사업(A)'!$I:$I,'발전사업(A)'!$G:$G,W$2,'발전사업(A)'!$Q:$Q,$J16,'발전사업(A)'!$C:$C,$L$1),
    SUMIFS('자가소비(B)'!$I:$I,'자가소비(B)'!$G:$G,W$2,'자가소비(B)'!$Q:$Q,$J16,'자가소비(B)'!$C:$C,$L$1),
    SUMIFS('PPA 사업(C)'!$I:$I,'PPA 사업(C)'!$G:$G,W$2,'PPA 사업(C)'!$Q:$Q,$J16,'PPA 사업(C)'!$C:$C,$L$1),
    SUMIFS('리스사업(D)'!$I:$I,'리스사업(D)'!$G:$G,W$2,'리스사업(D)'!$Q:$Q,$J16,'리스사업(D)'!$C:$C,$L$1),
    SUMIFS('임대사업(E)'!$I:$I,'임대사업(E)'!$G:$G,W$2,'임대사업(E)'!$Q:$Q,$J16,'임대사업(E)'!$C:$C,$L$1),
    SUMIFS('환경부사업(F)'!$I:$I,'환경부사업(F)'!$G:$G,W$2,'환경부사업(F)'!$Q:$Q,$J16,'환경부사업(F)'!$C:$C,$L$1),
    SUMIFS('프로젝트(G)'!$I:$I,'프로젝트(G)'!$G:$G,W$2,'프로젝트(G)'!$Q:$Q,$J16,'프로젝트(G)'!$C:$C,$L$1),
    SUMIFS('협력사 EPC(H)'!$I:$I,'협력사 EPC(H)'!$G:$G,W$2,'협력사 EPC(H)'!$Q:$Q,$J16,'협력사 EPC(H)'!$C:$C,$L$1),
    SUMIFS('기타(Z)'!$I:$I,'기타(Z)'!$G:$G,W$2,'기타(Z)'!$Q:$Q,$J16,'기타(Z)'!$C:$C,$L$1)
  )
)</f>
        <v>499.875</v>
      </c>
      <c r="X16" s="367">
        <f>IF(
  SUM(
    COUNTIFS('발전사업(A)'!$G:$G, W$2, '발전사업(A)'!$Q:$Q, $J16, '발전사업(A)'!$C:$C, $L$1),
    COUNTIFS('자가소비(B)'!$G:$G, W$2, '자가소비(B)'!$Q:$Q, $J16, '자가소비(B)'!$C:$C, $L$1),
    COUNTIFS('PPA 사업(C)'!$G:$G, W$2, 'PPA 사업(C)'!$Q:$Q, $J16, 'PPA 사업(C)'!$C:$C, $L$1),
    COUNTIFS('리스사업(D)'!$G:$G, W$2, '리스사업(D)'!$Q:$Q, $J16, '리스사업(D)'!$C:$C, $L$1),
    COUNTIFS('임대사업(E)'!$G:$G, W$2, '임대사업(E)'!$Q:$Q, $J16, '임대사업(E)'!$C:$C, $L$1),
    COUNTIFS('환경부사업(F)'!$G:$G, W$2, '환경부사업(F)'!$Q:$Q, $J16, '환경부사업(F)'!$C:$C, $L$1),
    COUNTIFS('프로젝트(G)'!$G:$G, W$2, '프로젝트(G)'!$Q:$Q, $J16, '프로젝트(G)'!$C:$C, $L$1),
    COUNTIFS('협력사 EPC(H)'!$G:$G, W$2, '협력사 EPC(H)'!$Q:$Q, $J16, '협력사 EPC(H)'!$C:$C, $L$1),
    COUNTIFS('기타(Z)'!$G:$G, W$2, '기타(Z)'!$Q:$Q, $J16, '기타(Z)'!$C:$C, $L$1)
  ) = 0,
  "",
  COUNTIFS('발전사업(A)'!$G:$G, W$2, '발전사업(A)'!$Q:$Q, $J16, '발전사업(A)'!$C:$C, $L$1)
  + COUNTIFS('자가소비(B)'!$G:$G, W$2, '자가소비(B)'!$Q:$Q, $J16, '자가소비(B)'!$C:$C, $L$1)
  + COUNTIFS('PPA 사업(C)'!$G:$G, W$2, 'PPA 사업(C)'!$Q:$Q, $J16, 'PPA 사업(C)'!$C:$C, $L$1)
  + COUNTIFS('리스사업(D)'!$G:$G, W$2, '리스사업(D)'!$Q:$Q, $J16, '리스사업(D)'!$C:$C, $L$1)
  + COUNTIFS('임대사업(E)'!$G:$G, W$2, '임대사업(E)'!$Q:$Q, $J16, '임대사업(E)'!$C:$C, $L$1)
  + COUNTIFS('환경부사업(F)'!$G:$G, W$2, '환경부사업(F)'!$Q:$Q, $J16, '환경부사업(F)'!$C:$C, $L$1)
  + COUNTIFS('프로젝트(G)'!$G:$G, W$2, '프로젝트(G)'!$Q:$Q, $J16, '프로젝트(G)'!$C:$C, $L$1)
  + COUNTIFS('협력사 EPC(H)'!$G:$G, W$2, '협력사 EPC(H)'!$Q:$Q, $J16, '협력사 EPC(H)'!$C:$C, $L$1)
  + COUNTIFS('기타(Z)'!$G:$G, W$2, '기타(Z)'!$Q:$Q, $J16, '기타(Z)'!$C:$C, $L$1)
)</f>
        <v>1</v>
      </c>
      <c r="Y16" s="366" t="str">
        <f>IF(
  SUM(
    SUMIFS('발전사업(A)'!$I:$I,'발전사업(A)'!$G:$G,Y$2,'발전사업(A)'!$Q:$Q,$J16,'발전사업(A)'!$C:$C,$L$1),
    SUMIFS('자가소비(B)'!$I:$I,'자가소비(B)'!$G:$G,Y$2,'자가소비(B)'!$Q:$Q,$J16,'자가소비(B)'!$C:$C,$L$1),
    SUMIFS('PPA 사업(C)'!$I:$I,'PPA 사업(C)'!$G:$G,Y$2,'PPA 사업(C)'!$Q:$Q,$J16,'PPA 사업(C)'!$C:$C,$L$1),
    SUMIFS('리스사업(D)'!$I:$I,'리스사업(D)'!$G:$G,Y$2,'리스사업(D)'!$Q:$Q,$J16,'리스사업(D)'!$C:$C,$L$1),
    SUMIFS('임대사업(E)'!$I:$I,'임대사업(E)'!$G:$G,Y$2,'임대사업(E)'!$Q:$Q,$J16,'임대사업(E)'!$C:$C,$L$1),
    SUMIFS('환경부사업(F)'!$I:$I,'환경부사업(F)'!$G:$G,Y$2,'환경부사업(F)'!$Q:$Q,$J16,'환경부사업(F)'!$C:$C,$L$1),
    SUMIFS('프로젝트(G)'!$I:$I,'프로젝트(G)'!$G:$G,Y$2,'프로젝트(G)'!$Q:$Q,$J16,'프로젝트(G)'!$C:$C,$L$1),
    SUMIFS('협력사 EPC(H)'!$I:$I,'협력사 EPC(H)'!$G:$G,Y$2,'협력사 EPC(H)'!$Q:$Q,$J16,'협력사 EPC(H)'!$C:$C,$L$1),
    SUMIFS('기타(Z)'!$I:$I,'기타(Z)'!$G:$G,Y$2,'기타(Z)'!$Q:$Q,$J16,'기타(Z)'!$C:$C,$L$1)
  )=0,
  "",
  SUM(
    SUMIFS('발전사업(A)'!$I:$I,'발전사업(A)'!$G:$G,Y$2,'발전사업(A)'!$Q:$Q,$J16,'발전사업(A)'!$C:$C,$L$1),
    SUMIFS('자가소비(B)'!$I:$I,'자가소비(B)'!$G:$G,Y$2,'자가소비(B)'!$Q:$Q,$J16,'자가소비(B)'!$C:$C,$L$1),
    SUMIFS('PPA 사업(C)'!$I:$I,'PPA 사업(C)'!$G:$G,Y$2,'PPA 사업(C)'!$Q:$Q,$J16,'PPA 사업(C)'!$C:$C,$L$1),
    SUMIFS('리스사업(D)'!$I:$I,'리스사업(D)'!$G:$G,Y$2,'리스사업(D)'!$Q:$Q,$J16,'리스사업(D)'!$C:$C,$L$1),
    SUMIFS('임대사업(E)'!$I:$I,'임대사업(E)'!$G:$G,Y$2,'임대사업(E)'!$Q:$Q,$J16,'임대사업(E)'!$C:$C,$L$1),
    SUMIFS('환경부사업(F)'!$I:$I,'환경부사업(F)'!$G:$G,Y$2,'환경부사업(F)'!$Q:$Q,$J16,'환경부사업(F)'!$C:$C,$L$1),
    SUMIFS('프로젝트(G)'!$I:$I,'프로젝트(G)'!$G:$G,Y$2,'프로젝트(G)'!$Q:$Q,$J16,'프로젝트(G)'!$C:$C,$L$1),
    SUMIFS('협력사 EPC(H)'!$I:$I,'협력사 EPC(H)'!$G:$G,Y$2,'협력사 EPC(H)'!$Q:$Q,$J16,'협력사 EPC(H)'!$C:$C,$L$1),
    SUMIFS('기타(Z)'!$I:$I,'기타(Z)'!$G:$G,Y$2,'기타(Z)'!$Q:$Q,$J16,'기타(Z)'!$C:$C,$L$1)
  )
)</f>
        <v/>
      </c>
      <c r="Z16" s="367" t="str">
        <f>IF(
  SUM(
    COUNTIFS('발전사업(A)'!$G:$G, Y$2, '발전사업(A)'!$Q:$Q, $J16, '발전사업(A)'!$C:$C, $L$1),
    COUNTIFS('자가소비(B)'!$G:$G, Y$2, '자가소비(B)'!$Q:$Q, $J16, '자가소비(B)'!$C:$C, $L$1),
    COUNTIFS('PPA 사업(C)'!$G:$G, Y$2, 'PPA 사업(C)'!$Q:$Q, $J16, 'PPA 사업(C)'!$C:$C, $L$1),
    COUNTIFS('리스사업(D)'!$G:$G, Y$2, '리스사업(D)'!$Q:$Q, $J16, '리스사업(D)'!$C:$C, $L$1),
    COUNTIFS('임대사업(E)'!$G:$G, Y$2, '임대사업(E)'!$Q:$Q, $J16, '임대사업(E)'!$C:$C, $L$1),
    COUNTIFS('환경부사업(F)'!$G:$G, Y$2, '환경부사업(F)'!$Q:$Q, $J16, '환경부사업(F)'!$C:$C, $L$1),
    COUNTIFS('프로젝트(G)'!$G:$G, Y$2, '프로젝트(G)'!$Q:$Q, $J16, '프로젝트(G)'!$C:$C, $L$1),
    COUNTIFS('협력사 EPC(H)'!$G:$G, Y$2, '협력사 EPC(H)'!$Q:$Q, $J16, '협력사 EPC(H)'!$C:$C, $L$1),
    COUNTIFS('기타(Z)'!$G:$G, Y$2, '기타(Z)'!$Q:$Q, $J16, '기타(Z)'!$C:$C, $L$1)
  ) = 0,
  "",
  COUNTIFS('발전사업(A)'!$G:$G, Y$2, '발전사업(A)'!$Q:$Q, $J16, '발전사업(A)'!$C:$C, $L$1)
  + COUNTIFS('자가소비(B)'!$G:$G, Y$2, '자가소비(B)'!$Q:$Q, $J16, '자가소비(B)'!$C:$C, $L$1)
  + COUNTIFS('PPA 사업(C)'!$G:$G, Y$2, 'PPA 사업(C)'!$Q:$Q, $J16, 'PPA 사업(C)'!$C:$C, $L$1)
  + COUNTIFS('리스사업(D)'!$G:$G, Y$2, '리스사업(D)'!$Q:$Q, $J16, '리스사업(D)'!$C:$C, $L$1)
  + COUNTIFS('임대사업(E)'!$G:$G, Y$2, '임대사업(E)'!$Q:$Q, $J16, '임대사업(E)'!$C:$C, $L$1)
  + COUNTIFS('환경부사업(F)'!$G:$G, Y$2, '환경부사업(F)'!$Q:$Q, $J16, '환경부사업(F)'!$C:$C, $L$1)
  + COUNTIFS('프로젝트(G)'!$G:$G, Y$2, '프로젝트(G)'!$Q:$Q, $J16, '프로젝트(G)'!$C:$C, $L$1)
  + COUNTIFS('협력사 EPC(H)'!$G:$G, Y$2, '협력사 EPC(H)'!$Q:$Q, $J16, '협력사 EPC(H)'!$C:$C, $L$1)
  + COUNTIFS('기타(Z)'!$G:$G, Y$2, '기타(Z)'!$Q:$Q, $J16, '기타(Z)'!$C:$C, $L$1)
)</f>
        <v/>
      </c>
      <c r="AA16" s="366" t="str">
        <f>IF(
  SUM(
    SUMIFS('발전사업(A)'!$I:$I,'발전사업(A)'!$G:$G,AA$2,'발전사업(A)'!$Q:$Q,$J16,'발전사업(A)'!$C:$C,$L$1),
    SUMIFS('자가소비(B)'!$I:$I,'자가소비(B)'!$G:$G,AA$2,'자가소비(B)'!$Q:$Q,$J16,'자가소비(B)'!$C:$C,$L$1),
    SUMIFS('PPA 사업(C)'!$I:$I,'PPA 사업(C)'!$G:$G,AA$2,'PPA 사업(C)'!$Q:$Q,$J16,'PPA 사업(C)'!$C:$C,$L$1),
    SUMIFS('리스사업(D)'!$I:$I,'리스사업(D)'!$G:$G,AA$2,'리스사업(D)'!$Q:$Q,$J16,'리스사업(D)'!$C:$C,$L$1),
    SUMIFS('임대사업(E)'!$I:$I,'임대사업(E)'!$G:$G,AA$2,'임대사업(E)'!$Q:$Q,$J16,'임대사업(E)'!$C:$C,$L$1),
    SUMIFS('환경부사업(F)'!$I:$I,'환경부사업(F)'!$G:$G,AA$2,'환경부사업(F)'!$Q:$Q,$J16,'환경부사업(F)'!$C:$C,$L$1),
    SUMIFS('프로젝트(G)'!$I:$I,'프로젝트(G)'!$G:$G,AA$2,'프로젝트(G)'!$Q:$Q,$J16,'프로젝트(G)'!$C:$C,$L$1),
    SUMIFS('협력사 EPC(H)'!$I:$I,'협력사 EPC(H)'!$G:$G,AA$2,'협력사 EPC(H)'!$Q:$Q,$J16,'협력사 EPC(H)'!$C:$C,$L$1),
    SUMIFS('기타(Z)'!$I:$I,'기타(Z)'!$G:$G,AA$2,'기타(Z)'!$Q:$Q,$J16,'기타(Z)'!$C:$C,$L$1)
  )=0,
  "",
  SUM(
    SUMIFS('발전사업(A)'!$I:$I,'발전사업(A)'!$G:$G,AA$2,'발전사업(A)'!$Q:$Q,$J16,'발전사업(A)'!$C:$C,$L$1),
    SUMIFS('자가소비(B)'!$I:$I,'자가소비(B)'!$G:$G,AA$2,'자가소비(B)'!$Q:$Q,$J16,'자가소비(B)'!$C:$C,$L$1),
    SUMIFS('PPA 사업(C)'!$I:$I,'PPA 사업(C)'!$G:$G,AA$2,'PPA 사업(C)'!$Q:$Q,$J16,'PPA 사업(C)'!$C:$C,$L$1),
    SUMIFS('리스사업(D)'!$I:$I,'리스사업(D)'!$G:$G,AA$2,'리스사업(D)'!$Q:$Q,$J16,'리스사업(D)'!$C:$C,$L$1),
    SUMIFS('임대사업(E)'!$I:$I,'임대사업(E)'!$G:$G,AA$2,'임대사업(E)'!$Q:$Q,$J16,'임대사업(E)'!$C:$C,$L$1),
    SUMIFS('환경부사업(F)'!$I:$I,'환경부사업(F)'!$G:$G,AA$2,'환경부사업(F)'!$Q:$Q,$J16,'환경부사업(F)'!$C:$C,$L$1),
    SUMIFS('프로젝트(G)'!$I:$I,'프로젝트(G)'!$G:$G,AA$2,'프로젝트(G)'!$Q:$Q,$J16,'프로젝트(G)'!$C:$C,$L$1),
    SUMIFS('협력사 EPC(H)'!$I:$I,'협력사 EPC(H)'!$G:$G,AA$2,'협력사 EPC(H)'!$Q:$Q,$J16,'협력사 EPC(H)'!$C:$C,$L$1),
    SUMIFS('기타(Z)'!$I:$I,'기타(Z)'!$G:$G,AA$2,'기타(Z)'!$Q:$Q,$J16,'기타(Z)'!$C:$C,$L$1)
  )
)</f>
        <v/>
      </c>
      <c r="AB16" s="367" t="str">
        <f>IF(
  SUM(
    COUNTIFS('발전사업(A)'!$G:$G, AA$2, '발전사업(A)'!$Q:$Q, $J16, '발전사업(A)'!$C:$C, $L$1),
    COUNTIFS('자가소비(B)'!$G:$G, AA$2, '자가소비(B)'!$Q:$Q, $J16, '자가소비(B)'!$C:$C, $L$1),
    COUNTIFS('PPA 사업(C)'!$G:$G, AA$2, 'PPA 사업(C)'!$Q:$Q, $J16, 'PPA 사업(C)'!$C:$C, $L$1),
    COUNTIFS('리스사업(D)'!$G:$G, AA$2, '리스사업(D)'!$Q:$Q, $J16, '리스사업(D)'!$C:$C, $L$1),
    COUNTIFS('임대사업(E)'!$G:$G, AA$2, '임대사업(E)'!$Q:$Q, $J16, '임대사업(E)'!$C:$C, $L$1),
    COUNTIFS('환경부사업(F)'!$G:$G, AA$2, '환경부사업(F)'!$Q:$Q, $J16, '환경부사업(F)'!$C:$C, $L$1),
    COUNTIFS('프로젝트(G)'!$G:$G, AA$2, '프로젝트(G)'!$Q:$Q, $J16, '프로젝트(G)'!$C:$C, $L$1),
    COUNTIFS('협력사 EPC(H)'!$G:$G, AA$2, '협력사 EPC(H)'!$Q:$Q, $J16, '협력사 EPC(H)'!$C:$C, $L$1),
    COUNTIFS('기타(Z)'!$G:$G, AA$2, '기타(Z)'!$Q:$Q, $J16, '기타(Z)'!$C:$C, $L$1)
  ) = 0,
  "",
  COUNTIFS('발전사업(A)'!$G:$G, AA$2, '발전사업(A)'!$Q:$Q, $J16, '발전사업(A)'!$C:$C, $L$1)
  + COUNTIFS('자가소비(B)'!$G:$G, AA$2, '자가소비(B)'!$Q:$Q, $J16, '자가소비(B)'!$C:$C, $L$1)
  + COUNTIFS('PPA 사업(C)'!$G:$G, AA$2, 'PPA 사업(C)'!$Q:$Q, $J16, 'PPA 사업(C)'!$C:$C, $L$1)
  + COUNTIFS('리스사업(D)'!$G:$G, AA$2, '리스사업(D)'!$Q:$Q, $J16, '리스사업(D)'!$C:$C, $L$1)
  + COUNTIFS('임대사업(E)'!$G:$G, AA$2, '임대사업(E)'!$Q:$Q, $J16, '임대사업(E)'!$C:$C, $L$1)
  + COUNTIFS('환경부사업(F)'!$G:$G, AA$2, '환경부사업(F)'!$Q:$Q, $J16, '환경부사업(F)'!$C:$C, $L$1)
  + COUNTIFS('프로젝트(G)'!$G:$G, AA$2, '프로젝트(G)'!$Q:$Q, $J16, '프로젝트(G)'!$C:$C, $L$1)
  + COUNTIFS('협력사 EPC(H)'!$G:$G, AA$2, '협력사 EPC(H)'!$Q:$Q, $J16, '협력사 EPC(H)'!$C:$C, $L$1)
  + COUNTIFS('기타(Z)'!$G:$G, AA$2, '기타(Z)'!$Q:$Q, $J16, '기타(Z)'!$C:$C, $L$1)
)</f>
        <v/>
      </c>
      <c r="AC16" s="366" t="str">
        <f>IF(
  SUM(
    SUMIFS('발전사업(A)'!$I:$I,'발전사업(A)'!$G:$G,AC$2,'발전사업(A)'!$Q:$Q,$J16,'발전사업(A)'!$C:$C,$L$1),
    SUMIFS('자가소비(B)'!$I:$I,'자가소비(B)'!$G:$G,AC$2,'자가소비(B)'!$Q:$Q,$J16,'자가소비(B)'!$C:$C,$L$1),
    SUMIFS('PPA 사업(C)'!$I:$I,'PPA 사업(C)'!$G:$G,AC$2,'PPA 사업(C)'!$Q:$Q,$J16,'PPA 사업(C)'!$C:$C,$L$1),
    SUMIFS('리스사업(D)'!$I:$I,'리스사업(D)'!$G:$G,AC$2,'리스사업(D)'!$Q:$Q,$J16,'리스사업(D)'!$C:$C,$L$1),
    SUMIFS('임대사업(E)'!$I:$I,'임대사업(E)'!$G:$G,AC$2,'임대사업(E)'!$Q:$Q,$J16,'임대사업(E)'!$C:$C,$L$1),
    SUMIFS('환경부사업(F)'!$I:$I,'환경부사업(F)'!$G:$G,AC$2,'환경부사업(F)'!$Q:$Q,$J16,'환경부사업(F)'!$C:$C,$L$1),
    SUMIFS('프로젝트(G)'!$I:$I,'프로젝트(G)'!$G:$G,AC$2,'프로젝트(G)'!$Q:$Q,$J16,'프로젝트(G)'!$C:$C,$L$1),
    SUMIFS('협력사 EPC(H)'!$I:$I,'협력사 EPC(H)'!$G:$G,AC$2,'협력사 EPC(H)'!$Q:$Q,$J16,'협력사 EPC(H)'!$C:$C,$L$1),
    SUMIFS('기타(Z)'!$I:$I,'기타(Z)'!$G:$G,AC$2,'기타(Z)'!$Q:$Q,$J16,'기타(Z)'!$C:$C,$L$1)
  )=0,
  "",
  SUM(
    SUMIFS('발전사업(A)'!$I:$I,'발전사업(A)'!$G:$G,AC$2,'발전사업(A)'!$Q:$Q,$J16,'발전사업(A)'!$C:$C,$L$1),
    SUMIFS('자가소비(B)'!$I:$I,'자가소비(B)'!$G:$G,AC$2,'자가소비(B)'!$Q:$Q,$J16,'자가소비(B)'!$C:$C,$L$1),
    SUMIFS('PPA 사업(C)'!$I:$I,'PPA 사업(C)'!$G:$G,AC$2,'PPA 사업(C)'!$Q:$Q,$J16,'PPA 사업(C)'!$C:$C,$L$1),
    SUMIFS('리스사업(D)'!$I:$I,'리스사업(D)'!$G:$G,AC$2,'리스사업(D)'!$Q:$Q,$J16,'리스사업(D)'!$C:$C,$L$1),
    SUMIFS('임대사업(E)'!$I:$I,'임대사업(E)'!$G:$G,AC$2,'임대사업(E)'!$Q:$Q,$J16,'임대사업(E)'!$C:$C,$L$1),
    SUMIFS('환경부사업(F)'!$I:$I,'환경부사업(F)'!$G:$G,AC$2,'환경부사업(F)'!$Q:$Q,$J16,'환경부사업(F)'!$C:$C,$L$1),
    SUMIFS('프로젝트(G)'!$I:$I,'프로젝트(G)'!$G:$G,AC$2,'프로젝트(G)'!$Q:$Q,$J16,'프로젝트(G)'!$C:$C,$L$1),
    SUMIFS('협력사 EPC(H)'!$I:$I,'협력사 EPC(H)'!$G:$G,AC$2,'협력사 EPC(H)'!$Q:$Q,$J16,'협력사 EPC(H)'!$C:$C,$L$1),
    SUMIFS('기타(Z)'!$I:$I,'기타(Z)'!$G:$G,AC$2,'기타(Z)'!$Q:$Q,$J16,'기타(Z)'!$C:$C,$L$1)
  )
)</f>
        <v/>
      </c>
      <c r="AD16" s="367" t="str">
        <f>IF(
  SUM(
    COUNTIFS('발전사업(A)'!$G:$G, AC$2, '발전사업(A)'!$Q:$Q, $J16, '발전사업(A)'!$C:$C, $L$1),
    COUNTIFS('자가소비(B)'!$G:$G, AC$2, '자가소비(B)'!$Q:$Q, $J16, '자가소비(B)'!$C:$C, $L$1),
    COUNTIFS('PPA 사업(C)'!$G:$G, AC$2, 'PPA 사업(C)'!$Q:$Q, $J16, 'PPA 사업(C)'!$C:$C, $L$1),
    COUNTIFS('리스사업(D)'!$G:$G, AC$2, '리스사업(D)'!$Q:$Q, $J16, '리스사업(D)'!$C:$C, $L$1),
    COUNTIFS('임대사업(E)'!$G:$G, AC$2, '임대사업(E)'!$Q:$Q, $J16, '임대사업(E)'!$C:$C, $L$1),
    COUNTIFS('환경부사업(F)'!$G:$G, AC$2, '환경부사업(F)'!$Q:$Q, $J16, '환경부사업(F)'!$C:$C, $L$1),
    COUNTIFS('프로젝트(G)'!$G:$G, AC$2, '프로젝트(G)'!$Q:$Q, $J16, '프로젝트(G)'!$C:$C, $L$1),
    COUNTIFS('협력사 EPC(H)'!$G:$G, AC$2, '협력사 EPC(H)'!$Q:$Q, $J16, '협력사 EPC(H)'!$C:$C, $L$1),
    COUNTIFS('기타(Z)'!$G:$G, AC$2, '기타(Z)'!$Q:$Q, $J16, '기타(Z)'!$C:$C, $L$1)
  ) = 0,
  "",
  COUNTIFS('발전사업(A)'!$G:$G, AC$2, '발전사업(A)'!$Q:$Q, $J16, '발전사업(A)'!$C:$C, $L$1)
  + COUNTIFS('자가소비(B)'!$G:$G, AC$2, '자가소비(B)'!$Q:$Q, $J16, '자가소비(B)'!$C:$C, $L$1)
  + COUNTIFS('PPA 사업(C)'!$G:$G, AC$2, 'PPA 사업(C)'!$Q:$Q, $J16, 'PPA 사업(C)'!$C:$C, $L$1)
  + COUNTIFS('리스사업(D)'!$G:$G, AC$2, '리스사업(D)'!$Q:$Q, $J16, '리스사업(D)'!$C:$C, $L$1)
  + COUNTIFS('임대사업(E)'!$G:$G, AC$2, '임대사업(E)'!$Q:$Q, $J16, '임대사업(E)'!$C:$C, $L$1)
  + COUNTIFS('환경부사업(F)'!$G:$G, AC$2, '환경부사업(F)'!$Q:$Q, $J16, '환경부사업(F)'!$C:$C, $L$1)
  + COUNTIFS('프로젝트(G)'!$G:$G, AC$2, '프로젝트(G)'!$Q:$Q, $J16, '프로젝트(G)'!$C:$C, $L$1)
  + COUNTIFS('협력사 EPC(H)'!$G:$G, AC$2, '협력사 EPC(H)'!$Q:$Q, $J16, '협력사 EPC(H)'!$C:$C, $L$1)
  + COUNTIFS('기타(Z)'!$G:$G, AC$2, '기타(Z)'!$Q:$Q, $J16, '기타(Z)'!$C:$C, $L$1)
)</f>
        <v/>
      </c>
      <c r="AE16" s="366" t="str">
        <f>IF(
  SUM(
    SUMIFS('발전사업(A)'!$I:$I,'발전사업(A)'!$G:$G,AE$2,'발전사업(A)'!$Q:$Q,$J16,'발전사업(A)'!$C:$C,$L$1),
    SUMIFS('자가소비(B)'!$I:$I,'자가소비(B)'!$G:$G,AE$2,'자가소비(B)'!$Q:$Q,$J16,'자가소비(B)'!$C:$C,$L$1),
    SUMIFS('PPA 사업(C)'!$I:$I,'PPA 사업(C)'!$G:$G,AE$2,'PPA 사업(C)'!$Q:$Q,$J16,'PPA 사업(C)'!$C:$C,$L$1),
    SUMIFS('리스사업(D)'!$I:$I,'리스사업(D)'!$G:$G,AE$2,'리스사업(D)'!$Q:$Q,$J16,'리스사업(D)'!$C:$C,$L$1),
    SUMIFS('임대사업(E)'!$I:$I,'임대사업(E)'!$G:$G,AE$2,'임대사업(E)'!$Q:$Q,$J16,'임대사업(E)'!$C:$C,$L$1),
    SUMIFS('환경부사업(F)'!$I:$I,'환경부사업(F)'!$G:$G,AE$2,'환경부사업(F)'!$Q:$Q,$J16,'환경부사업(F)'!$C:$C,$L$1),
    SUMIFS('프로젝트(G)'!$I:$I,'프로젝트(G)'!$G:$G,AE$2,'프로젝트(G)'!$Q:$Q,$J16,'프로젝트(G)'!$C:$C,$L$1),
    SUMIFS('협력사 EPC(H)'!$I:$I,'협력사 EPC(H)'!$G:$G,AE$2,'협력사 EPC(H)'!$Q:$Q,$J16,'협력사 EPC(H)'!$C:$C,$L$1),
    SUMIFS('기타(Z)'!$I:$I,'기타(Z)'!$G:$G,AE$2,'기타(Z)'!$Q:$Q,$J16,'기타(Z)'!$C:$C,$L$1)
  )=0,
  "",
  SUM(
    SUMIFS('발전사업(A)'!$I:$I,'발전사업(A)'!$G:$G,AE$2,'발전사업(A)'!$Q:$Q,$J16,'발전사업(A)'!$C:$C,$L$1),
    SUMIFS('자가소비(B)'!$I:$I,'자가소비(B)'!$G:$G,AE$2,'자가소비(B)'!$Q:$Q,$J16,'자가소비(B)'!$C:$C,$L$1),
    SUMIFS('PPA 사업(C)'!$I:$I,'PPA 사업(C)'!$G:$G,AE$2,'PPA 사업(C)'!$Q:$Q,$J16,'PPA 사업(C)'!$C:$C,$L$1),
    SUMIFS('리스사업(D)'!$I:$I,'리스사업(D)'!$G:$G,AE$2,'리스사업(D)'!$Q:$Q,$J16,'리스사업(D)'!$C:$C,$L$1),
    SUMIFS('임대사업(E)'!$I:$I,'임대사업(E)'!$G:$G,AE$2,'임대사업(E)'!$Q:$Q,$J16,'임대사업(E)'!$C:$C,$L$1),
    SUMIFS('환경부사업(F)'!$I:$I,'환경부사업(F)'!$G:$G,AE$2,'환경부사업(F)'!$Q:$Q,$J16,'환경부사업(F)'!$C:$C,$L$1),
    SUMIFS('프로젝트(G)'!$I:$I,'프로젝트(G)'!$G:$G,AE$2,'프로젝트(G)'!$Q:$Q,$J16,'프로젝트(G)'!$C:$C,$L$1),
    SUMIFS('협력사 EPC(H)'!$I:$I,'협력사 EPC(H)'!$G:$G,AE$2,'협력사 EPC(H)'!$Q:$Q,$J16,'협력사 EPC(H)'!$C:$C,$L$1),
    SUMIFS('기타(Z)'!$I:$I,'기타(Z)'!$G:$G,AE$2,'기타(Z)'!$Q:$Q,$J16,'기타(Z)'!$C:$C,$L$1)
  )
)</f>
        <v/>
      </c>
      <c r="AF16" s="367" t="str">
        <f>IF(
  SUM(
    COUNTIFS('발전사업(A)'!$G:$G, AE$2, '발전사업(A)'!$Q:$Q, $J16, '발전사업(A)'!$C:$C, $L$1),
    COUNTIFS('자가소비(B)'!$G:$G, AE$2, '자가소비(B)'!$Q:$Q, $J16, '자가소비(B)'!$C:$C, $L$1),
    COUNTIFS('PPA 사업(C)'!$G:$G, AE$2, 'PPA 사업(C)'!$Q:$Q, $J16, 'PPA 사업(C)'!$C:$C, $L$1),
    COUNTIFS('리스사업(D)'!$G:$G, AE$2, '리스사업(D)'!$Q:$Q, $J16, '리스사업(D)'!$C:$C, $L$1),
    COUNTIFS('임대사업(E)'!$G:$G, AE$2, '임대사업(E)'!$Q:$Q, $J16, '임대사업(E)'!$C:$C, $L$1),
    COUNTIFS('환경부사업(F)'!$G:$G, AE$2, '환경부사업(F)'!$Q:$Q, $J16, '환경부사업(F)'!$C:$C, $L$1),
    COUNTIFS('프로젝트(G)'!$G:$G, AE$2, '프로젝트(G)'!$Q:$Q, $J16, '프로젝트(G)'!$C:$C, $L$1),
    COUNTIFS('협력사 EPC(H)'!$G:$G, AE$2, '협력사 EPC(H)'!$Q:$Q, $J16, '협력사 EPC(H)'!$C:$C, $L$1),
    COUNTIFS('기타(Z)'!$G:$G, AE$2, '기타(Z)'!$Q:$Q, $J16, '기타(Z)'!$C:$C, $L$1)
  ) = 0,
  "",
  COUNTIFS('발전사업(A)'!$G:$G, AE$2, '발전사업(A)'!$Q:$Q, $J16, '발전사업(A)'!$C:$C, $L$1)
  + COUNTIFS('자가소비(B)'!$G:$G, AE$2, '자가소비(B)'!$Q:$Q, $J16, '자가소비(B)'!$C:$C, $L$1)
  + COUNTIFS('PPA 사업(C)'!$G:$G, AE$2, 'PPA 사업(C)'!$Q:$Q, $J16, 'PPA 사업(C)'!$C:$C, $L$1)
  + COUNTIFS('리스사업(D)'!$G:$G, AE$2, '리스사업(D)'!$Q:$Q, $J16, '리스사업(D)'!$C:$C, $L$1)
  + COUNTIFS('임대사업(E)'!$G:$G, AE$2, '임대사업(E)'!$Q:$Q, $J16, '임대사업(E)'!$C:$C, $L$1)
  + COUNTIFS('환경부사업(F)'!$G:$G, AE$2, '환경부사업(F)'!$Q:$Q, $J16, '환경부사업(F)'!$C:$C, $L$1)
  + COUNTIFS('프로젝트(G)'!$G:$G, AE$2, '프로젝트(G)'!$Q:$Q, $J16, '프로젝트(G)'!$C:$C, $L$1)
  + COUNTIFS('협력사 EPC(H)'!$G:$G, AE$2, '협력사 EPC(H)'!$Q:$Q, $J16, '협력사 EPC(H)'!$C:$C, $L$1)
  + COUNTIFS('기타(Z)'!$G:$G, AE$2, '기타(Z)'!$Q:$Q, $J16, '기타(Z)'!$C:$C, $L$1)
)</f>
        <v/>
      </c>
      <c r="AG16" s="366" t="str">
        <f>IF(
  SUM(
    SUMIFS('발전사업(A)'!$I:$I,'발전사업(A)'!$G:$G,AG$2,'발전사업(A)'!$Q:$Q,$J16,'발전사업(A)'!$C:$C,$L$1),
    SUMIFS('자가소비(B)'!$I:$I,'자가소비(B)'!$G:$G,AG$2,'자가소비(B)'!$Q:$Q,$J16,'자가소비(B)'!$C:$C,$L$1),
    SUMIFS('PPA 사업(C)'!$I:$I,'PPA 사업(C)'!$G:$G,AG$2,'PPA 사업(C)'!$Q:$Q,$J16,'PPA 사업(C)'!$C:$C,$L$1),
    SUMIFS('리스사업(D)'!$I:$I,'리스사업(D)'!$G:$G,AG$2,'리스사업(D)'!$Q:$Q,$J16,'리스사업(D)'!$C:$C,$L$1),
    SUMIFS('임대사업(E)'!$I:$I,'임대사업(E)'!$G:$G,AG$2,'임대사업(E)'!$Q:$Q,$J16,'임대사업(E)'!$C:$C,$L$1),
    SUMIFS('환경부사업(F)'!$I:$I,'환경부사업(F)'!$G:$G,AG$2,'환경부사업(F)'!$Q:$Q,$J16,'환경부사업(F)'!$C:$C,$L$1),
    SUMIFS('프로젝트(G)'!$I:$I,'프로젝트(G)'!$G:$G,AG$2,'프로젝트(G)'!$Q:$Q,$J16,'프로젝트(G)'!$C:$C,$L$1),
    SUMIFS('협력사 EPC(H)'!$I:$I,'협력사 EPC(H)'!$G:$G,AG$2,'협력사 EPC(H)'!$Q:$Q,$J16,'협력사 EPC(H)'!$C:$C,$L$1),
    SUMIFS('기타(Z)'!$I:$I,'기타(Z)'!$G:$G,AG$2,'기타(Z)'!$Q:$Q,$J16,'기타(Z)'!$C:$C,$L$1)
  )=0,
  "",
  SUM(
    SUMIFS('발전사업(A)'!$I:$I,'발전사업(A)'!$G:$G,AG$2,'발전사업(A)'!$Q:$Q,$J16,'발전사업(A)'!$C:$C,$L$1),
    SUMIFS('자가소비(B)'!$I:$I,'자가소비(B)'!$G:$G,AG$2,'자가소비(B)'!$Q:$Q,$J16,'자가소비(B)'!$C:$C,$L$1),
    SUMIFS('PPA 사업(C)'!$I:$I,'PPA 사업(C)'!$G:$G,AG$2,'PPA 사업(C)'!$Q:$Q,$J16,'PPA 사업(C)'!$C:$C,$L$1),
    SUMIFS('리스사업(D)'!$I:$I,'리스사업(D)'!$G:$G,AG$2,'리스사업(D)'!$Q:$Q,$J16,'리스사업(D)'!$C:$C,$L$1),
    SUMIFS('임대사업(E)'!$I:$I,'임대사업(E)'!$G:$G,AG$2,'임대사업(E)'!$Q:$Q,$J16,'임대사업(E)'!$C:$C,$L$1),
    SUMIFS('환경부사업(F)'!$I:$I,'환경부사업(F)'!$G:$G,AG$2,'환경부사업(F)'!$Q:$Q,$J16,'환경부사업(F)'!$C:$C,$L$1),
    SUMIFS('프로젝트(G)'!$I:$I,'프로젝트(G)'!$G:$G,AG$2,'프로젝트(G)'!$Q:$Q,$J16,'프로젝트(G)'!$C:$C,$L$1),
    SUMIFS('협력사 EPC(H)'!$I:$I,'협력사 EPC(H)'!$G:$G,AG$2,'협력사 EPC(H)'!$Q:$Q,$J16,'협력사 EPC(H)'!$C:$C,$L$1),
    SUMIFS('기타(Z)'!$I:$I,'기타(Z)'!$G:$G,AG$2,'기타(Z)'!$Q:$Q,$J16,'기타(Z)'!$C:$C,$L$1)
  )
)</f>
        <v/>
      </c>
      <c r="AH16" s="367" t="str">
        <f>IF(
  SUM(
    COUNTIFS('발전사업(A)'!$G:$G, AG$2, '발전사업(A)'!$Q:$Q, $J16, '발전사업(A)'!$C:$C, $L$1),
    COUNTIFS('자가소비(B)'!$G:$G, AG$2, '자가소비(B)'!$Q:$Q, $J16, '자가소비(B)'!$C:$C, $L$1),
    COUNTIFS('PPA 사업(C)'!$G:$G, AG$2, 'PPA 사업(C)'!$Q:$Q, $J16, 'PPA 사업(C)'!$C:$C, $L$1),
    COUNTIFS('리스사업(D)'!$G:$G, AG$2, '리스사업(D)'!$Q:$Q, $J16, '리스사업(D)'!$C:$C, $L$1),
    COUNTIFS('임대사업(E)'!$G:$G, AG$2, '임대사업(E)'!$Q:$Q, $J16, '임대사업(E)'!$C:$C, $L$1),
    COUNTIFS('환경부사업(F)'!$G:$G, AG$2, '환경부사업(F)'!$Q:$Q, $J16, '환경부사업(F)'!$C:$C, $L$1),
    COUNTIFS('프로젝트(G)'!$G:$G, AG$2, '프로젝트(G)'!$Q:$Q, $J16, '프로젝트(G)'!$C:$C, $L$1),
    COUNTIFS('협력사 EPC(H)'!$G:$G, AG$2, '협력사 EPC(H)'!$Q:$Q, $J16, '협력사 EPC(H)'!$C:$C, $L$1),
    COUNTIFS('기타(Z)'!$G:$G, AG$2, '기타(Z)'!$Q:$Q, $J16, '기타(Z)'!$C:$C, $L$1)
  ) = 0,
  "",
  COUNTIFS('발전사업(A)'!$G:$G, AG$2, '발전사업(A)'!$Q:$Q, $J16, '발전사업(A)'!$C:$C, $L$1)
  + COUNTIFS('자가소비(B)'!$G:$G, AG$2, '자가소비(B)'!$Q:$Q, $J16, '자가소비(B)'!$C:$C, $L$1)
  + COUNTIFS('PPA 사업(C)'!$G:$G, AG$2, 'PPA 사업(C)'!$Q:$Q, $J16, 'PPA 사업(C)'!$C:$C, $L$1)
  + COUNTIFS('리스사업(D)'!$G:$G, AG$2, '리스사업(D)'!$Q:$Q, $J16, '리스사업(D)'!$C:$C, $L$1)
  + COUNTIFS('임대사업(E)'!$G:$G, AG$2, '임대사업(E)'!$Q:$Q, $J16, '임대사업(E)'!$C:$C, $L$1)
  + COUNTIFS('환경부사업(F)'!$G:$G, AG$2, '환경부사업(F)'!$Q:$Q, $J16, '환경부사업(F)'!$C:$C, $L$1)
  + COUNTIFS('프로젝트(G)'!$G:$G, AG$2, '프로젝트(G)'!$Q:$Q, $J16, '프로젝트(G)'!$C:$C, $L$1)
  + COUNTIFS('협력사 EPC(H)'!$G:$G, AG$2, '협력사 EPC(H)'!$Q:$Q, $J16, '협력사 EPC(H)'!$C:$C, $L$1)
  + COUNTIFS('기타(Z)'!$G:$G, AG$2, '기타(Z)'!$Q:$Q, $J16, '기타(Z)'!$C:$C, $L$1)
)</f>
        <v/>
      </c>
      <c r="AI16" s="366" t="str">
        <f>IF(
  SUM(
    SUMIFS('발전사업(A)'!$I:$I,'발전사업(A)'!$G:$G,AI$2,'발전사업(A)'!$Q:$Q,$J16,'발전사업(A)'!$C:$C,$L$1),
    SUMIFS('자가소비(B)'!$I:$I,'자가소비(B)'!$G:$G,AI$2,'자가소비(B)'!$Q:$Q,$J16,'자가소비(B)'!$C:$C,$L$1),
    SUMIFS('PPA 사업(C)'!$I:$I,'PPA 사업(C)'!$G:$G,AI$2,'PPA 사업(C)'!$Q:$Q,$J16,'PPA 사업(C)'!$C:$C,$L$1),
    SUMIFS('리스사업(D)'!$I:$I,'리스사업(D)'!$G:$G,AI$2,'리스사업(D)'!$Q:$Q,$J16,'리스사업(D)'!$C:$C,$L$1),
    SUMIFS('임대사업(E)'!$I:$I,'임대사업(E)'!$G:$G,AI$2,'임대사업(E)'!$Q:$Q,$J16,'임대사업(E)'!$C:$C,$L$1),
    SUMIFS('환경부사업(F)'!$I:$I,'환경부사업(F)'!$G:$G,AI$2,'환경부사업(F)'!$Q:$Q,$J16,'환경부사업(F)'!$C:$C,$L$1),
    SUMIFS('프로젝트(G)'!$I:$I,'프로젝트(G)'!$G:$G,AI$2,'프로젝트(G)'!$Q:$Q,$J16,'프로젝트(G)'!$C:$C,$L$1),
    SUMIFS('협력사 EPC(H)'!$I:$I,'협력사 EPC(H)'!$G:$G,AI$2,'협력사 EPC(H)'!$Q:$Q,$J16,'협력사 EPC(H)'!$C:$C,$L$1),
    SUMIFS('기타(Z)'!$I:$I,'기타(Z)'!$G:$G,AI$2,'기타(Z)'!$Q:$Q,$J16,'기타(Z)'!$C:$C,$L$1)
  )=0,
  "",
  SUM(
    SUMIFS('발전사업(A)'!$I:$I,'발전사업(A)'!$G:$G,AI$2,'발전사업(A)'!$Q:$Q,$J16,'발전사업(A)'!$C:$C,$L$1),
    SUMIFS('자가소비(B)'!$I:$I,'자가소비(B)'!$G:$G,AI$2,'자가소비(B)'!$Q:$Q,$J16,'자가소비(B)'!$C:$C,$L$1),
    SUMIFS('PPA 사업(C)'!$I:$I,'PPA 사업(C)'!$G:$G,AI$2,'PPA 사업(C)'!$Q:$Q,$J16,'PPA 사업(C)'!$C:$C,$L$1),
    SUMIFS('리스사업(D)'!$I:$I,'리스사업(D)'!$G:$G,AI$2,'리스사업(D)'!$Q:$Q,$J16,'리스사업(D)'!$C:$C,$L$1),
    SUMIFS('임대사업(E)'!$I:$I,'임대사업(E)'!$G:$G,AI$2,'임대사업(E)'!$Q:$Q,$J16,'임대사업(E)'!$C:$C,$L$1),
    SUMIFS('환경부사업(F)'!$I:$I,'환경부사업(F)'!$G:$G,AI$2,'환경부사업(F)'!$Q:$Q,$J16,'환경부사업(F)'!$C:$C,$L$1),
    SUMIFS('프로젝트(G)'!$I:$I,'프로젝트(G)'!$G:$G,AI$2,'프로젝트(G)'!$Q:$Q,$J16,'프로젝트(G)'!$C:$C,$L$1),
    SUMIFS('협력사 EPC(H)'!$I:$I,'협력사 EPC(H)'!$G:$G,AI$2,'협력사 EPC(H)'!$Q:$Q,$J16,'협력사 EPC(H)'!$C:$C,$L$1),
    SUMIFS('기타(Z)'!$I:$I,'기타(Z)'!$G:$G,AI$2,'기타(Z)'!$Q:$Q,$J16,'기타(Z)'!$C:$C,$L$1)
  )
)</f>
        <v/>
      </c>
      <c r="AJ16" s="365" t="str">
        <f>IF(
  SUM(
    COUNTIFS('발전사업(A)'!$G:$G, AI$2, '발전사업(A)'!$Q:$Q, $J16, '발전사업(A)'!$C:$C, $L$1),
    COUNTIFS('자가소비(B)'!$G:$G, AI$2, '자가소비(B)'!$Q:$Q, $J16, '자가소비(B)'!$C:$C, $L$1),
    COUNTIFS('PPA 사업(C)'!$G:$G, AI$2, 'PPA 사업(C)'!$Q:$Q, $J16, 'PPA 사업(C)'!$C:$C, $L$1),
    COUNTIFS('리스사업(D)'!$G:$G, AI$2, '리스사업(D)'!$Q:$Q, $J16, '리스사업(D)'!$C:$C, $L$1),
    COUNTIFS('임대사업(E)'!$G:$G, AI$2, '임대사업(E)'!$Q:$Q, $J16, '임대사업(E)'!$C:$C, $L$1),
    COUNTIFS('환경부사업(F)'!$G:$G, AI$2, '환경부사업(F)'!$Q:$Q, $J16, '환경부사업(F)'!$C:$C, $L$1),
    COUNTIFS('프로젝트(G)'!$G:$G, AI$2, '프로젝트(G)'!$Q:$Q, $J16, '프로젝트(G)'!$C:$C, $L$1),
    COUNTIFS('협력사 EPC(H)'!$G:$G, AI$2, '협력사 EPC(H)'!$Q:$Q, $J16, '협력사 EPC(H)'!$C:$C, $L$1),
    COUNTIFS('기타(Z)'!$G:$G, AI$2, '기타(Z)'!$Q:$Q, $J16, '기타(Z)'!$C:$C, $L$1)
  ) = 0,
  "",
  COUNTIFS('발전사업(A)'!$G:$G, AI$2, '발전사업(A)'!$Q:$Q, $J16, '발전사업(A)'!$C:$C, $L$1)
  + COUNTIFS('자가소비(B)'!$G:$G, AI$2, '자가소비(B)'!$Q:$Q, $J16, '자가소비(B)'!$C:$C, $L$1)
  + COUNTIFS('PPA 사업(C)'!$G:$G, AI$2, 'PPA 사업(C)'!$Q:$Q, $J16, 'PPA 사업(C)'!$C:$C, $L$1)
  + COUNTIFS('리스사업(D)'!$G:$G, AI$2, '리스사업(D)'!$Q:$Q, $J16, '리스사업(D)'!$C:$C, $L$1)
  + COUNTIFS('임대사업(E)'!$G:$G, AI$2, '임대사업(E)'!$Q:$Q, $J16, '임대사업(E)'!$C:$C, $L$1)
  + COUNTIFS('환경부사업(F)'!$G:$G, AI$2, '환경부사업(F)'!$Q:$Q, $J16, '환경부사업(F)'!$C:$C, $L$1)
  + COUNTIFS('프로젝트(G)'!$G:$G, AI$2, '프로젝트(G)'!$Q:$Q, $J16, '프로젝트(G)'!$C:$C, $L$1)
  + COUNTIFS('협력사 EPC(H)'!$G:$G, AI$2, '협력사 EPC(H)'!$Q:$Q, $J16, '협력사 EPC(H)'!$C:$C, $L$1)
  + COUNTIFS('기타(Z)'!$G:$G, AI$2, '기타(Z)'!$Q:$Q, $J16, '기타(Z)'!$C:$C, $L$1)
)</f>
        <v/>
      </c>
    </row>
    <row r="17" spans="2:36" ht="15" x14ac:dyDescent="0.25">
      <c r="B17" s="195" t="s">
        <v>152</v>
      </c>
      <c r="C17" s="262">
        <f>IF(
  SUM(
    SUMIFS('발전사업(A)'!I:I, '발전사업(A)'!C:C, $E$1, '발전사업(A)'!G:G, B15, '발전사업(A)'!X:X, B17),
    SUMIFS('자가소비(B)'!I:I, '자가소비(B)'!C:C, $E$1, '자가소비(B)'!G:G, B15, '자가소비(B)'!X:X, B17),
    SUMIFS('PPA 사업(C)'!I:I, 'PPA 사업(C)'!C:C, $E$1, 'PPA 사업(C)'!G:G, B15, 'PPA 사업(C)'!X:X, B17),
    SUMIFS('리스사업(D)'!I:I, '리스사업(D)'!C:C, $E$1, '리스사업(D)'!G:G, B15, '리스사업(D)'!X:X, B17),
    SUMIFS('임대사업(E)'!I:I, '임대사업(E)'!C:C, $E$1, '임대사업(E)'!G:G, B15, '임대사업(E)'!X:X, B17),
    SUMIFS('환경부사업(F)'!I:I, '환경부사업(F)'!C:C, $E$1, '환경부사업(F)'!G:G, B15, '환경부사업(F)'!X:X, B17),
    SUMIFS('프로젝트(G)'!I:I, '프로젝트(G)'!C:C, $E$1, '프로젝트(G)'!G:G, B15, '프로젝트(G)'!X:X, B17),
    SUMIFS('협력사 EPC(H)'!I:I, '협력사 EPC(H)'!C:C, $E$1, '협력사 EPC(H)'!G:G, B15, '협력사 EPC(H)'!X:X, B17),
    SUMIFS('기타(Z)'!I:I, '기타(Z)'!C:C, $E$1, '기타(Z)'!G:G, B15, '기타(Z)'!X:X, B17)
  ) = 0,
  "",
  SUMIFS('발전사업(A)'!I:I, '발전사업(A)'!C:C, $E$1, '발전사업(A)'!G:G, B15, '발전사업(A)'!X:X, B17)
  + SUMIFS('자가소비(B)'!I:I, '자가소비(B)'!C:C, $E$1, '자가소비(B)'!G:G, B15, '자가소비(B)'!X:X, B17)
  + SUMIFS('PPA 사업(C)'!I:I, 'PPA 사업(C)'!C:C, $E$1, 'PPA 사업(C)'!G:G, B15, 'PPA 사업(C)'!X:X, B17)
  + SUMIFS('리스사업(D)'!I:I, '리스사업(D)'!C:C, $E$1, '리스사업(D)'!G:G, B15, '리스사업(D)'!X:X, B17)
  + SUMIFS('임대사업(E)'!I:I, '임대사업(E)'!C:C, $E$1, '임대사업(E)'!G:G, B15, '임대사업(E)'!X:X, B17)
  + SUMIFS('환경부사업(F)'!I:I, '환경부사업(F)'!C:C, $E$1, '환경부사업(F)'!G:G, B15, '환경부사업(F)'!X:X, B17)
  + SUMIFS('프로젝트(G)'!I:I, '프로젝트(G)'!C:C, $E$1, '프로젝트(G)'!G:G, B15, '프로젝트(G)'!X:X, B17)
  + SUMIFS('협력사 EPC(H)'!I:I, '협력사 EPC(H)'!C:C, $E$1, '협력사 EPC(H)'!G:G, B15, '협력사 EPC(H)'!X:X, B17)
  + SUMIFS('기타(Z)'!I:I, '기타(Z)'!C:C, $E$1, '기타(Z)'!G:G, B15, '기타(Z)'!X:X, B17)
)</f>
        <v>2192.7250000000004</v>
      </c>
      <c r="D17" s="263">
        <f>IF(
  COUNTIFS('발전사업(A)'!C:C, $E$1, '발전사업(A)'!G:G, B15, '발전사업(A)'!X:X, B17)
  + COUNTIFS('자가소비(B)'!C:C, $E$1, '자가소비(B)'!G:G, B15, '자가소비(B)'!X:X, B17)
  + COUNTIFS('PPA 사업(C)'!C:C, $E$1, 'PPA 사업(C)'!G:G, B15, 'PPA 사업(C)'!X:X, B17)
  + COUNTIFS('리스사업(D)'!C:C, $E$1, '리스사업(D)'!G:G, B15, '리스사업(D)'!X:X, B17)
  + COUNTIFS('임대사업(E)'!C:C, $E$1, '임대사업(E)'!G:G, B15, '임대사업(E)'!X:X, B17)
  + COUNTIFS('환경부사업(F)'!C:C, $E$1, '환경부사업(F)'!G:G, B15, '환경부사업(F)'!X:X, B17)
  + COUNTIFS('프로젝트(G)'!C:C, $E$1, '프로젝트(G)'!G:G, B15, '프로젝트(G)'!X:X, B17)
  + COUNTIFS('협력사 EPC(H)'!C:C, $E$1, '협력사 EPC(H)'!G:G, B15, '협력사 EPC(H)'!X:X, B17)
  + COUNTIFS('기타(Z)'!C:C, $E$1, '기타(Z)'!G:G, B15, '기타(Z)'!X:X, B17)
  = 0,
  "",
  COUNTIFS('발전사업(A)'!C:C, $E$1, '발전사업(A)'!G:G, B15, '발전사업(A)'!X:X, B17)
  + COUNTIFS('자가소비(B)'!C:C, $E$1, '자가소비(B)'!G:G, B15, '자가소비(B)'!X:X, B17)
  + COUNTIFS('PPA 사업(C)'!C:C, $E$1, 'PPA 사업(C)'!G:G, B15, 'PPA 사업(C)'!X:X, B17)
  + COUNTIFS('리스사업(D)'!C:C, $E$1, '리스사업(D)'!G:G, B15, '리스사업(D)'!X:X, B17)
  + COUNTIFS('임대사업(E)'!C:C, $E$1, '임대사업(E)'!G:G, B15, '임대사업(E)'!X:X, B17)
  + COUNTIFS('환경부사업(F)'!C:C, $E$1, '환경부사업(F)'!G:G, B15, '환경부사업(F)'!X:X, B17)
  + COUNTIFS('프로젝트(G)'!C:C, $E$1, '프로젝트(G)'!G:G, B15, '프로젝트(G)'!X:X, B17)
  + COUNTIFS('협력사 EPC(H)'!C:C, $E$1, '협력사 EPC(H)'!G:G, B15, '협력사 EPC(H)'!X:X, B17)
  + COUNTIFS('기타(Z)'!C:C, $E$1, '기타(Z)'!G:G, B15, '기타(Z)'!X:X, B17)
)</f>
        <v>7</v>
      </c>
      <c r="E17" s="262">
        <f>IF(
  SUM(
    SUMIFS('발전사업(A)'!I:I, '발전사업(A)'!C:C, $E$1, '발전사업(A)'!G:G, B15, '발전사업(A)'!X:X, B17, '발전사업(A)'!U:U, $C$1),
    SUMIFS('자가소비(B)'!I:I, '자가소비(B)'!C:C, $E$1, '자가소비(B)'!G:G, B15, '자가소비(B)'!X:X, B17, '자가소비(B)'!U:U, $C$1),
    SUMIFS('PPA 사업(C)'!I:I, 'PPA 사업(C)'!C:C, $E$1, 'PPA 사업(C)'!G:G, B15, 'PPA 사업(C)'!X:X, B17, 'PPA 사업(C)'!U:U, $C$1),
    SUMIFS('리스사업(D)'!I:I, '리스사업(D)'!C:C, $E$1, '리스사업(D)'!G:G, B15, '리스사업(D)'!X:X, B17, '리스사업(D)'!U:U, $C$1),
    SUMIFS('임대사업(E)'!I:I, '임대사업(E)'!C:C, $E$1, '임대사업(E)'!G:G, B15, '임대사업(E)'!X:X, B17, '임대사업(E)'!U:U, $C$1),
    SUMIFS('환경부사업(F)'!I:I, '환경부사업(F)'!C:C, $E$1, '환경부사업(F)'!G:G, B15, '환경부사업(F)'!X:X, B17, '환경부사업(F)'!U:U, $C$1),
    SUMIFS('프로젝트(G)'!I:I, '프로젝트(G)'!C:C, $E$1, '프로젝트(G)'!G:G, B15, '프로젝트(G)'!X:X, B17, '프로젝트(G)'!U:U, $C$1),
    SUMIFS('협력사 EPC(H)'!I:I, '협력사 EPC(H)'!C:C, $E$1, '협력사 EPC(H)'!G:G, B15, '협력사 EPC(H)'!X:X, B17, '협력사 EPC(H)'!U:U, $C$1),
    SUMIFS('기타(Z)'!I:I, '기타(Z)'!C:C, $E$1, '기타(Z)'!G:G, B15, '기타(Z)'!X:X, B17, '기타(Z)'!U:U, $C$1)
  ) = 0,
  "",
  SUM(
    SUMIFS('발전사업(A)'!I:I, '발전사업(A)'!C:C, $E$1, '발전사업(A)'!G:G, B15, '발전사업(A)'!X:X, B17, '발전사업(A)'!U:U, $C$1),
    SUMIFS('자가소비(B)'!I:I, '자가소비(B)'!C:C, $E$1, '자가소비(B)'!G:G, B15, '자가소비(B)'!X:X, B17, '자가소비(B)'!U:U, $C$1),
    SUMIFS('PPA 사업(C)'!I:I, 'PPA 사업(C)'!C:C, $E$1, 'PPA 사업(C)'!G:G, B15, 'PPA 사업(C)'!X:X, B17, 'PPA 사업(C)'!U:U, $C$1),
    SUMIFS('리스사업(D)'!I:I, '리스사업(D)'!C:C, $E$1, '리스사업(D)'!G:G, B15, '리스사업(D)'!X:X, B17, '리스사업(D)'!U:U, $C$1),
    SUMIFS('임대사업(E)'!I:I, '임대사업(E)'!C:C, $E$1, '임대사업(E)'!G:G, B15, '임대사업(E)'!X:X, B17, '임대사업(E)'!U:U, $C$1),
    SUMIFS('환경부사업(F)'!I:I, '환경부사업(F)'!C:C, $E$1, '환경부사업(F)'!G:G, B15, '환경부사업(F)'!X:X, B17, '환경부사업(F)'!U:U, $C$1),
    SUMIFS('프로젝트(G)'!I:I, '프로젝트(G)'!C:C, $E$1, '프로젝트(G)'!G:G, B15, '프로젝트(G)'!X:X, B17, '프로젝트(G)'!U:U, $C$1),
    SUMIFS('협력사 EPC(H)'!I:I, '협력사 EPC(H)'!C:C, $E$1, '협력사 EPC(H)'!G:G, B15, '협력사 EPC(H)'!X:X, B17, '협력사 EPC(H)'!U:U, $C$1),
    SUMIFS('기타(Z)'!I:I, '기타(Z)'!C:C, $E$1, '기타(Z)'!G:G, B15, '기타(Z)'!X:X, B17, '기타(Z)'!U:U, $C$1)
  )
)</f>
        <v>1913.4400000000005</v>
      </c>
      <c r="F17" s="263">
        <f>IF(
  SUM(
    COUNTIFS('발전사업(A)'!C:C, $E$1, '발전사업(A)'!G:G, B15, '발전사업(A)'!X:X, B17, '발전사업(A)'!U:U, $C$1),
    COUNTIFS('자가소비(B)'!C:C, $E$1, '자가소비(B)'!G:G, B15, '자가소비(B)'!X:X, B17, '자가소비(B)'!U:U, $C$1),
    COUNTIFS('PPA 사업(C)'!C:C, $E$1, 'PPA 사업(C)'!G:G, B15, 'PPA 사업(C)'!X:X, B17, 'PPA 사업(C)'!U:U, $C$1),
    COUNTIFS('리스사업(D)'!C:C, $E$1, '리스사업(D)'!G:G, B15, '리스사업(D)'!X:X, B17, '리스사업(D)'!U:U, $C$1),
    COUNTIFS('임대사업(E)'!C:C, $E$1, '임대사업(E)'!G:G, B15, '임대사업(E)'!X:X, B17, '임대사업(E)'!U:U, $C$1),
    COUNTIFS('환경부사업(F)'!C:C, $E$1, '환경부사업(F)'!G:G, B15, '환경부사업(F)'!X:X, B17, '환경부사업(F)'!U:U, $C$1),
    COUNTIFS('프로젝트(G)'!C:C, $E$1, '프로젝트(G)'!G:G, B15, '프로젝트(G)'!X:X, B17, '프로젝트(G)'!U:U, $C$1),
    COUNTIFS('협력사 EPC(H)'!C:C, $E$1, '협력사 EPC(H)'!G:G, B15, '협력사 EPC(H)'!X:X, B17, '협력사 EPC(H)'!U:U, $C$1),
    COUNTIFS('기타(Z)'!C:C, $E$1, '기타(Z)'!G:G, B15, '기타(Z)'!X:X, B17, '기타(Z)'!U:U, $C$1)
  ) = 0,
  "",
  SUM(
    COUNTIFS('발전사업(A)'!C:C, $E$1, '발전사업(A)'!G:G, B15, '발전사업(A)'!X:X, B17, '발전사업(A)'!U:U, $C$1),
    COUNTIFS('자가소비(B)'!C:C, $E$1, '자가소비(B)'!G:G, B15, '자가소비(B)'!X:X, B17, '자가소비(B)'!U:U, $C$1),
    COUNTIFS('PPA 사업(C)'!C:C, $E$1, 'PPA 사업(C)'!G:G, B15, 'PPA 사업(C)'!X:X, B17, 'PPA 사업(C)'!U:U, $C$1),
    COUNTIFS('리스사업(D)'!C:C, $E$1, '리스사업(D)'!G:G, B15, '리스사업(D)'!X:X, B17, '리스사업(D)'!U:U, $C$1),
    COUNTIFS('임대사업(E)'!C:C, $E$1, '임대사업(E)'!G:G, B15, '임대사업(E)'!X:X, B17, '임대사업(E)'!U:U, $C$1),
    COUNTIFS('환경부사업(F)'!C:C, $E$1, '환경부사업(F)'!G:G, B15, '환경부사업(F)'!X:X, B17, '환경부사업(F)'!U:U, $C$1),
    COUNTIFS('프로젝트(G)'!C:C, $E$1, '프로젝트(G)'!G:G, B15, '프로젝트(G)'!X:X, B17, '프로젝트(G)'!U:U, $C$1),
    COUNTIFS('협력사 EPC(H)'!C:C, $E$1, '협력사 EPC(H)'!G:G, B15, '협력사 EPC(H)'!X:X, B17, '협력사 EPC(H)'!U:U, $C$1),
    COUNTIFS('기타(Z)'!C:C, $E$1, '기타(Z)'!G:G, B15, '기타(Z)'!X:X, B17, '기타(Z)'!U:U, $C$1)
  )
)</f>
        <v>6</v>
      </c>
      <c r="G17" s="262">
        <f>IF(
  SUM(
    SUMIFS('발전사업(A)'!I:I, '발전사업(A)'!C:C, $E$1, '발전사업(A)'!G:G, B15, '발전사업(A)'!X:X, B17, '발전사업(A)'!U:U, $D$1),
    SUMIFS('자가소비(B)'!I:I, '자가소비(B)'!C:C, $E$1, '자가소비(B)'!G:G, B15, '자가소비(B)'!X:X, B17, '자가소비(B)'!U:U, $D$1),
    SUMIFS('PPA 사업(C)'!I:I, 'PPA 사업(C)'!C:C, $E$1, 'PPA 사업(C)'!G:G, B15, 'PPA 사업(C)'!X:X, B17, 'PPA 사업(C)'!U:U, $D$1),
    SUMIFS('리스사업(D)'!I:I, '리스사업(D)'!C:C, $E$1, '리스사업(D)'!G:G, B15, '리스사업(D)'!X:X, B17, '리스사업(D)'!U:U, $D$1),
    SUMIFS('임대사업(E)'!I:I, '임대사업(E)'!C:C, $E$1, '임대사업(E)'!G:G, B15, '임대사업(E)'!X:X, B17, '임대사업(E)'!U:U, $D$1),
    SUMIFS('환경부사업(F)'!I:I, '환경부사업(F)'!C:C, $E$1, '환경부사업(F)'!G:G, B15, '환경부사업(F)'!X:X, B17, '환경부사업(F)'!U:U, $D$1),
    SUMIFS('프로젝트(G)'!I:I, '프로젝트(G)'!C:C, $E$1, '프로젝트(G)'!G:G, B15, '프로젝트(G)'!X:X, B17, '프로젝트(G)'!U:U, $D$1),
    SUMIFS('협력사 EPC(H)'!I:I, '협력사 EPC(H)'!C:C, $E$1, '협력사 EPC(H)'!G:G, B15, '협력사 EPC(H)'!X:X, B17, '협력사 EPC(H)'!U:U, $D$1),
    SUMIFS('기타(Z)'!I:I, '기타(Z)'!C:C, $E$1, '기타(Z)'!G:G, B15, '기타(Z)'!X:X, B17, '기타(Z)'!U:U, $D$1)
  ) = 0,
  "",
  SUM(
    SUMIFS('발전사업(A)'!I:I, '발전사업(A)'!C:C, $E$1, '발전사업(A)'!G:G, B15, '발전사업(A)'!X:X, B17, '발전사업(A)'!U:U, $D$1),
    SUMIFS('자가소비(B)'!I:I, '자가소비(B)'!C:C, $E$1, '자가소비(B)'!G:G, B15, '자가소비(B)'!X:X, B17, '자가소비(B)'!U:U, $D$1),
    SUMIFS('PPA 사업(C)'!I:I, 'PPA 사업(C)'!C:C, $E$1, 'PPA 사업(C)'!G:G, B15, 'PPA 사업(C)'!X:X, B17, 'PPA 사업(C)'!U:U, $D$1),
    SUMIFS('리스사업(D)'!I:I, '리스사업(D)'!C:C, $E$1, '리스사업(D)'!G:G, B15, '리스사업(D)'!X:X, B17, '리스사업(D)'!U:U, $D$1),
    SUMIFS('임대사업(E)'!I:I, '임대사업(E)'!C:C, $E$1, '임대사업(E)'!G:G, B15, '임대사업(E)'!X:X, B17, '임대사업(E)'!U:U, $D$1),
    SUMIFS('환경부사업(F)'!I:I, '환경부사업(F)'!C:C, $E$1, '환경부사업(F)'!G:G, B15, '환경부사업(F)'!X:X, B17, '환경부사업(F)'!U:U, $D$1),
    SUMIFS('프로젝트(G)'!I:I, '프로젝트(G)'!C:C, $E$1, '프로젝트(G)'!G:G, B15, '프로젝트(G)'!X:X, B17, '프로젝트(G)'!U:U, $D$1),
    SUMIFS('협력사 EPC(H)'!I:I, '협력사 EPC(H)'!C:C, $E$1, '협력사 EPC(H)'!G:G, B15, '협력사 EPC(H)'!X:X, B17, '협력사 EPC(H)'!U:U, $D$1),
    SUMIFS('기타(Z)'!I:I, '기타(Z)'!C:C, $E$1, '기타(Z)'!G:G, B15, '기타(Z)'!X:X, B17, '기타(Z)'!U:U, $D$1)
  )
)</f>
        <v>279.28500000000003</v>
      </c>
      <c r="H17" s="263">
        <f>IF(
  (
    COUNTIFS('발전사업(A)'!C:C, $E$1, '발전사업(A)'!G:G, B15, '발전사업(A)'!X:X, B17, '발전사업(A)'!U:U, $D$1)
    + COUNTIFS('자가소비(B)'!C:C, $E$1, '자가소비(B)'!G:G, B15, '자가소비(B)'!X:X, B17, '자가소비(B)'!U:U, $D$1)
    + COUNTIFS('PPA 사업(C)'!C:C, $E$1, 'PPA 사업(C)'!G:G, B15, 'PPA 사업(C)'!X:X, B17, 'PPA 사업(C)'!U:U, $D$1)
    + COUNTIFS('리스사업(D)'!C:C, $E$1, '리스사업(D)'!G:G, B15, '리스사업(D)'!X:X, B17, '리스사업(D)'!U:U, $D$1)
    + COUNTIFS('임대사업(E)'!C:C, $E$1, '임대사업(E)'!G:G, B15, '임대사업(E)'!X:X, B17, '임대사업(E)'!U:U, $D$1)
    + COUNTIFS('환경부사업(F)'!C:C, $E$1, '환경부사업(F)'!G:G, B15, '환경부사업(F)'!X:X, B17, '환경부사업(F)'!U:U, $D$1)
    + COUNTIFS('프로젝트(G)'!C:C, $E$1, '프로젝트(G)'!G:G, B15, '프로젝트(G)'!X:X, B17, '프로젝트(G)'!U:U, $D$1)
    + COUNTIFS('협력사 EPC(H)'!C:C, $E$1, '협력사 EPC(H)'!G:G, B15, '협력사 EPC(H)'!X:X, B17, '협력사 EPC(H)'!U:U, $D$1)
    + COUNTIFS('기타(Z)'!C:C, $E$1, '기타(Z)'!G:G, B15, '기타(Z)'!X:X, B17, '기타(Z)'!U:U, $D$1)
  ) = 0,
  "",
  COUNTIFS('발전사업(A)'!C:C, $E$1, '발전사업(A)'!G:G, B15, '발전사업(A)'!X:X, B17, '발전사업(A)'!U:U, $D$1)
  + COUNTIFS('자가소비(B)'!C:C, $E$1, '자가소비(B)'!G:G, B15, '자가소비(B)'!X:X, B17, '자가소비(B)'!U:U, $D$1)
  + COUNTIFS('PPA 사업(C)'!C:C, $E$1, 'PPA 사업(C)'!G:G, B15, 'PPA 사업(C)'!X:X, B17, 'PPA 사업(C)'!U:U, $D$1)
  + COUNTIFS('리스사업(D)'!C:C, $E$1, '리스사업(D)'!G:G, B15, '리스사업(D)'!X:X, B17, '리스사업(D)'!U:U, $D$1)
  + COUNTIFS('임대사업(E)'!C:C, $E$1, '임대사업(E)'!G:G, B15, '임대사업(E)'!X:X, B17, '임대사업(E)'!U:U, $D$1)
  + COUNTIFS('환경부사업(F)'!C:C, $E$1, '환경부사업(F)'!G:G, B15, '환경부사업(F)'!X:X, B17, '환경부사업(F)'!U:U, $D$1)
  + COUNTIFS('프로젝트(G)'!C:C, $E$1, '프로젝트(G)'!G:G, B15, '프로젝트(G)'!X:X, B17, '프로젝트(G)'!U:U, $D$1)
  + COUNTIFS('협력사 EPC(H)'!C:C, $E$1, '협력사 EPC(H)'!G:G, B15, '협력사 EPC(H)'!X:X, B17, '협력사 EPC(H)'!U:U, $D$1)
  + COUNTIFS('기타(Z)'!C:C, $E$1, '기타(Z)'!G:G, B15, '기타(Z)'!X:X, B17, '기타(Z)'!U:U, $D$1)
)</f>
        <v>1</v>
      </c>
      <c r="J17" s="371" t="s">
        <v>190</v>
      </c>
      <c r="K17" s="354">
        <f t="shared" si="5"/>
        <v>7586.9549999999999</v>
      </c>
      <c r="L17" s="348">
        <f t="shared" si="6"/>
        <v>26</v>
      </c>
      <c r="M17" s="366">
        <f>IF(
  SUM(
    SUMIFS('발전사업(A)'!$I:$I,'발전사업(A)'!$G:$G,M$2,'발전사업(A)'!$Q:$Q,$J17,'발전사업(A)'!$C:$C,$L$1),
    SUMIFS('자가소비(B)'!$I:$I,'자가소비(B)'!$G:$G,M$2,'자가소비(B)'!$Q:$Q,$J17,'자가소비(B)'!$C:$C,$L$1),
    SUMIFS('PPA 사업(C)'!$I:$I,'PPA 사업(C)'!$G:$G,M$2,'PPA 사업(C)'!$Q:$Q,$J17,'PPA 사업(C)'!$C:$C,$L$1),
    SUMIFS('리스사업(D)'!$I:$I,'리스사업(D)'!$G:$G,M$2,'리스사업(D)'!$Q:$Q,$J17,'리스사업(D)'!$C:$C,$L$1),
    SUMIFS('임대사업(E)'!$I:$I,'임대사업(E)'!$G:$G,M$2,'임대사업(E)'!$Q:$Q,$J17,'임대사업(E)'!$C:$C,$L$1),
    SUMIFS('환경부사업(F)'!$I:$I,'환경부사업(F)'!$G:$G,M$2,'환경부사업(F)'!$Q:$Q,$J17,'환경부사업(F)'!$C:$C,$L$1),
    SUMIFS('프로젝트(G)'!$I:$I,'프로젝트(G)'!$G:$G,M$2,'프로젝트(G)'!$Q:$Q,$J17,'프로젝트(G)'!$C:$C,$L$1),
    SUMIFS('협력사 EPC(H)'!$I:$I,'협력사 EPC(H)'!$G:$G,M$2,'협력사 EPC(H)'!$Q:$Q,$J17,'협력사 EPC(H)'!$C:$C,$L$1),
    SUMIFS('기타(Z)'!$I:$I,'기타(Z)'!$G:$G,M$2,'기타(Z)'!$Q:$Q,$J17,'기타(Z)'!$C:$C,$L$1)
  )=0,
  "",
  SUM(
    SUMIFS('발전사업(A)'!$I:$I,'발전사업(A)'!$G:$G,M$2,'발전사업(A)'!$Q:$Q,$J17,'발전사업(A)'!$C:$C,$L$1),
    SUMIFS('자가소비(B)'!$I:$I,'자가소비(B)'!$G:$G,M$2,'자가소비(B)'!$Q:$Q,$J17,'자가소비(B)'!$C:$C,$L$1),
    SUMIFS('PPA 사업(C)'!$I:$I,'PPA 사업(C)'!$G:$G,M$2,'PPA 사업(C)'!$Q:$Q,$J17,'PPA 사업(C)'!$C:$C,$L$1),
    SUMIFS('리스사업(D)'!$I:$I,'리스사업(D)'!$G:$G,M$2,'리스사업(D)'!$Q:$Q,$J17,'리스사업(D)'!$C:$C,$L$1),
    SUMIFS('임대사업(E)'!$I:$I,'임대사업(E)'!$G:$G,M$2,'임대사업(E)'!$Q:$Q,$J17,'임대사업(E)'!$C:$C,$L$1),
    SUMIFS('환경부사업(F)'!$I:$I,'환경부사업(F)'!$G:$G,M$2,'환경부사업(F)'!$Q:$Q,$J17,'환경부사업(F)'!$C:$C,$L$1),
    SUMIFS('프로젝트(G)'!$I:$I,'프로젝트(G)'!$G:$G,M$2,'프로젝트(G)'!$Q:$Q,$J17,'프로젝트(G)'!$C:$C,$L$1),
    SUMIFS('협력사 EPC(H)'!$I:$I,'협력사 EPC(H)'!$G:$G,M$2,'협력사 EPC(H)'!$Q:$Q,$J17,'협력사 EPC(H)'!$C:$C,$L$1),
    SUMIFS('기타(Z)'!$I:$I,'기타(Z)'!$G:$G,M$2,'기타(Z)'!$Q:$Q,$J17,'기타(Z)'!$C:$C,$L$1)
  )
)</f>
        <v>132.87</v>
      </c>
      <c r="N17" s="367">
        <f>IF(
  SUM(
    COUNTIFS('발전사업(A)'!$G:$G, M$2, '발전사업(A)'!$Q:$Q, $J17, '발전사업(A)'!$C:$C, $L$1),
    COUNTIFS('자가소비(B)'!$G:$G, M$2, '자가소비(B)'!$Q:$Q, $J17, '자가소비(B)'!$C:$C, $L$1),
    COUNTIFS('PPA 사업(C)'!$G:$G, M$2, 'PPA 사업(C)'!$Q:$Q, $J17, 'PPA 사업(C)'!$C:$C, $L$1),
    COUNTIFS('리스사업(D)'!$G:$G, M$2, '리스사업(D)'!$Q:$Q, $J17, '리스사업(D)'!$C:$C, $L$1),
    COUNTIFS('임대사업(E)'!$G:$G, M$2, '임대사업(E)'!$Q:$Q, $J17, '임대사업(E)'!$C:$C, $L$1),
    COUNTIFS('환경부사업(F)'!$G:$G, M$2, '환경부사업(F)'!$Q:$Q, $J17, '환경부사업(F)'!$C:$C, $L$1),
    COUNTIFS('프로젝트(G)'!$G:$G, M$2, '프로젝트(G)'!$Q:$Q, $J17, '프로젝트(G)'!$C:$C, $L$1),
    COUNTIFS('협력사 EPC(H)'!$G:$G, M$2, '협력사 EPC(H)'!$Q:$Q, $J17, '협력사 EPC(H)'!$C:$C, $L$1),
    COUNTIFS('기타(Z)'!$G:$G, M$2, '기타(Z)'!$Q:$Q, $J17, '기타(Z)'!$C:$C, $L$1)
  ) = 0,
  "",
  COUNTIFS('발전사업(A)'!$G:$G, M$2, '발전사업(A)'!$Q:$Q, $J17, '발전사업(A)'!$C:$C, $L$1)
  + COUNTIFS('자가소비(B)'!$G:$G, M$2, '자가소비(B)'!$Q:$Q, $J17, '자가소비(B)'!$C:$C, $L$1)
  + COUNTIFS('PPA 사업(C)'!$G:$G, M$2, 'PPA 사업(C)'!$Q:$Q, $J17, 'PPA 사업(C)'!$C:$C, $L$1)
  + COUNTIFS('리스사업(D)'!$G:$G, M$2, '리스사업(D)'!$Q:$Q, $J17, '리스사업(D)'!$C:$C, $L$1)
  + COUNTIFS('임대사업(E)'!$G:$G, M$2, '임대사업(E)'!$Q:$Q, $J17, '임대사업(E)'!$C:$C, $L$1)
  + COUNTIFS('환경부사업(F)'!$G:$G, M$2, '환경부사업(F)'!$Q:$Q, $J17, '환경부사업(F)'!$C:$C, $L$1)
  + COUNTIFS('프로젝트(G)'!$G:$G, M$2, '프로젝트(G)'!$Q:$Q, $J17, '프로젝트(G)'!$C:$C, $L$1)
  + COUNTIFS('협력사 EPC(H)'!$G:$G, M$2, '협력사 EPC(H)'!$Q:$Q, $J17, '협력사 EPC(H)'!$C:$C, $L$1)
  + COUNTIFS('기타(Z)'!$G:$G, M$2, '기타(Z)'!$Q:$Q, $J17, '기타(Z)'!$C:$C, $L$1)
)</f>
        <v>2</v>
      </c>
      <c r="O17" s="366">
        <f>IF(
  SUM(
    SUMIFS('발전사업(A)'!$I:$I,'발전사업(A)'!$G:$G,O$2,'발전사업(A)'!$Q:$Q,$J17,'발전사업(A)'!$C:$C,$L$1),
    SUMIFS('자가소비(B)'!$I:$I,'자가소비(B)'!$G:$G,O$2,'자가소비(B)'!$Q:$Q,$J17,'자가소비(B)'!$C:$C,$L$1),
    SUMIFS('PPA 사업(C)'!$I:$I,'PPA 사업(C)'!$G:$G,O$2,'PPA 사업(C)'!$Q:$Q,$J17,'PPA 사업(C)'!$C:$C,$L$1),
    SUMIFS('리스사업(D)'!$I:$I,'리스사업(D)'!$G:$G,O$2,'리스사업(D)'!$Q:$Q,$J17,'리스사업(D)'!$C:$C,$L$1),
    SUMIFS('임대사업(E)'!$I:$I,'임대사업(E)'!$G:$G,O$2,'임대사업(E)'!$Q:$Q,$J17,'임대사업(E)'!$C:$C,$L$1),
    SUMIFS('환경부사업(F)'!$I:$I,'환경부사업(F)'!$G:$G,O$2,'환경부사업(F)'!$Q:$Q,$J17,'환경부사업(F)'!$C:$C,$L$1),
    SUMIFS('프로젝트(G)'!$I:$I,'프로젝트(G)'!$G:$G,O$2,'프로젝트(G)'!$Q:$Q,$J17,'프로젝트(G)'!$C:$C,$L$1),
    SUMIFS('협력사 EPC(H)'!$I:$I,'협력사 EPC(H)'!$G:$G,O$2,'협력사 EPC(H)'!$Q:$Q,$J17,'협력사 EPC(H)'!$C:$C,$L$1),
    SUMIFS('기타(Z)'!$I:$I,'기타(Z)'!$G:$G,O$2,'기타(Z)'!$Q:$Q,$J17,'기타(Z)'!$C:$C,$L$1)
  )=0,
  "",
  SUM(
    SUMIFS('발전사업(A)'!$I:$I,'발전사업(A)'!$G:$G,O$2,'발전사업(A)'!$Q:$Q,$J17,'발전사업(A)'!$C:$C,$L$1),
    SUMIFS('자가소비(B)'!$I:$I,'자가소비(B)'!$G:$G,O$2,'자가소비(B)'!$Q:$Q,$J17,'자가소비(B)'!$C:$C,$L$1),
    SUMIFS('PPA 사업(C)'!$I:$I,'PPA 사업(C)'!$G:$G,O$2,'PPA 사업(C)'!$Q:$Q,$J17,'PPA 사업(C)'!$C:$C,$L$1),
    SUMIFS('리스사업(D)'!$I:$I,'리스사업(D)'!$G:$G,O$2,'리스사업(D)'!$Q:$Q,$J17,'리스사업(D)'!$C:$C,$L$1),
    SUMIFS('임대사업(E)'!$I:$I,'임대사업(E)'!$G:$G,O$2,'임대사업(E)'!$Q:$Q,$J17,'임대사업(E)'!$C:$C,$L$1),
    SUMIFS('환경부사업(F)'!$I:$I,'환경부사업(F)'!$G:$G,O$2,'환경부사업(F)'!$Q:$Q,$J17,'환경부사업(F)'!$C:$C,$L$1),
    SUMIFS('프로젝트(G)'!$I:$I,'프로젝트(G)'!$G:$G,O$2,'프로젝트(G)'!$Q:$Q,$J17,'프로젝트(G)'!$C:$C,$L$1),
    SUMIFS('협력사 EPC(H)'!$I:$I,'협력사 EPC(H)'!$G:$G,O$2,'협력사 EPC(H)'!$Q:$Q,$J17,'협력사 EPC(H)'!$C:$C,$L$1),
    SUMIFS('기타(Z)'!$I:$I,'기타(Z)'!$G:$G,O$2,'기타(Z)'!$Q:$Q,$J17,'기타(Z)'!$C:$C,$L$1)
  )
)</f>
        <v>2741.895</v>
      </c>
      <c r="P17" s="367">
        <f>IF(
  SUM(
    COUNTIFS('발전사업(A)'!$G:$G, O$2, '발전사업(A)'!$Q:$Q, $J17, '발전사업(A)'!$C:$C, $L$1),
    COUNTIFS('자가소비(B)'!$G:$G, O$2, '자가소비(B)'!$Q:$Q, $J17, '자가소비(B)'!$C:$C, $L$1),
    COUNTIFS('PPA 사업(C)'!$G:$G, O$2, 'PPA 사업(C)'!$Q:$Q, $J17, 'PPA 사업(C)'!$C:$C, $L$1),
    COUNTIFS('리스사업(D)'!$G:$G, O$2, '리스사업(D)'!$Q:$Q, $J17, '리스사업(D)'!$C:$C, $L$1),
    COUNTIFS('임대사업(E)'!$G:$G, O$2, '임대사업(E)'!$Q:$Q, $J17, '임대사업(E)'!$C:$C, $L$1),
    COUNTIFS('환경부사업(F)'!$G:$G, O$2, '환경부사업(F)'!$Q:$Q, $J17, '환경부사업(F)'!$C:$C, $L$1),
    COUNTIFS('프로젝트(G)'!$G:$G, O$2, '프로젝트(G)'!$Q:$Q, $J17, '프로젝트(G)'!$C:$C, $L$1),
    COUNTIFS('협력사 EPC(H)'!$G:$G, O$2, '협력사 EPC(H)'!$Q:$Q, $J17, '협력사 EPC(H)'!$C:$C, $L$1),
    COUNTIFS('기타(Z)'!$G:$G, O$2, '기타(Z)'!$Q:$Q, $J17, '기타(Z)'!$C:$C, $L$1)
  ) = 0,
  "",
  COUNTIFS('발전사업(A)'!$G:$G, O$2, '발전사업(A)'!$Q:$Q, $J17, '발전사업(A)'!$C:$C, $L$1)
  + COUNTIFS('자가소비(B)'!$G:$G, O$2, '자가소비(B)'!$Q:$Q, $J17, '자가소비(B)'!$C:$C, $L$1)
  + COUNTIFS('PPA 사업(C)'!$G:$G, O$2, 'PPA 사업(C)'!$Q:$Q, $J17, 'PPA 사업(C)'!$C:$C, $L$1)
  + COUNTIFS('리스사업(D)'!$G:$G, O$2, '리스사업(D)'!$Q:$Q, $J17, '리스사업(D)'!$C:$C, $L$1)
  + COUNTIFS('임대사업(E)'!$G:$G, O$2, '임대사업(E)'!$Q:$Q, $J17, '임대사업(E)'!$C:$C, $L$1)
  + COUNTIFS('환경부사업(F)'!$G:$G, O$2, '환경부사업(F)'!$Q:$Q, $J17, '환경부사업(F)'!$C:$C, $L$1)
  + COUNTIFS('프로젝트(G)'!$G:$G, O$2, '프로젝트(G)'!$Q:$Q, $J17, '프로젝트(G)'!$C:$C, $L$1)
  + COUNTIFS('협력사 EPC(H)'!$G:$G, O$2, '협력사 EPC(H)'!$Q:$Q, $J17, '협력사 EPC(H)'!$C:$C, $L$1)
  + COUNTIFS('기타(Z)'!$G:$G, O$2, '기타(Z)'!$Q:$Q, $J17, '기타(Z)'!$C:$C, $L$1)
)</f>
        <v>7</v>
      </c>
      <c r="Q17" s="366">
        <f>IF(
  SUM(
    SUMIFS('발전사업(A)'!$I:$I,'발전사업(A)'!$G:$G,Q$2,'발전사업(A)'!$Q:$Q,$J17,'발전사업(A)'!$C:$C,$L$1),
    SUMIFS('자가소비(B)'!$I:$I,'자가소비(B)'!$G:$G,Q$2,'자가소비(B)'!$Q:$Q,$J17,'자가소비(B)'!$C:$C,$L$1),
    SUMIFS('PPA 사업(C)'!$I:$I,'PPA 사업(C)'!$G:$G,Q$2,'PPA 사업(C)'!$Q:$Q,$J17,'PPA 사업(C)'!$C:$C,$L$1),
    SUMIFS('리스사업(D)'!$I:$I,'리스사업(D)'!$G:$G,Q$2,'리스사업(D)'!$Q:$Q,$J17,'리스사업(D)'!$C:$C,$L$1),
    SUMIFS('임대사업(E)'!$I:$I,'임대사업(E)'!$G:$G,Q$2,'임대사업(E)'!$Q:$Q,$J17,'임대사업(E)'!$C:$C,$L$1),
    SUMIFS('환경부사업(F)'!$I:$I,'환경부사업(F)'!$G:$G,Q$2,'환경부사업(F)'!$Q:$Q,$J17,'환경부사업(F)'!$C:$C,$L$1),
    SUMIFS('프로젝트(G)'!$I:$I,'프로젝트(G)'!$G:$G,Q$2,'프로젝트(G)'!$Q:$Q,$J17,'프로젝트(G)'!$C:$C,$L$1),
    SUMIFS('협력사 EPC(H)'!$I:$I,'협력사 EPC(H)'!$G:$G,Q$2,'협력사 EPC(H)'!$Q:$Q,$J17,'협력사 EPC(H)'!$C:$C,$L$1),
    SUMIFS('기타(Z)'!$I:$I,'기타(Z)'!$G:$G,Q$2,'기타(Z)'!$Q:$Q,$J17,'기타(Z)'!$C:$C,$L$1)
  )=0,
  "",
  SUM(
    SUMIFS('발전사업(A)'!$I:$I,'발전사업(A)'!$G:$G,Q$2,'발전사업(A)'!$Q:$Q,$J17,'발전사업(A)'!$C:$C,$L$1),
    SUMIFS('자가소비(B)'!$I:$I,'자가소비(B)'!$G:$G,Q$2,'자가소비(B)'!$Q:$Q,$J17,'자가소비(B)'!$C:$C,$L$1),
    SUMIFS('PPA 사업(C)'!$I:$I,'PPA 사업(C)'!$G:$G,Q$2,'PPA 사업(C)'!$Q:$Q,$J17,'PPA 사업(C)'!$C:$C,$L$1),
    SUMIFS('리스사업(D)'!$I:$I,'리스사업(D)'!$G:$G,Q$2,'리스사업(D)'!$Q:$Q,$J17,'리스사업(D)'!$C:$C,$L$1),
    SUMIFS('임대사업(E)'!$I:$I,'임대사업(E)'!$G:$G,Q$2,'임대사업(E)'!$Q:$Q,$J17,'임대사업(E)'!$C:$C,$L$1),
    SUMIFS('환경부사업(F)'!$I:$I,'환경부사업(F)'!$G:$G,Q$2,'환경부사업(F)'!$Q:$Q,$J17,'환경부사업(F)'!$C:$C,$L$1),
    SUMIFS('프로젝트(G)'!$I:$I,'프로젝트(G)'!$G:$G,Q$2,'프로젝트(G)'!$Q:$Q,$J17,'프로젝트(G)'!$C:$C,$L$1),
    SUMIFS('협력사 EPC(H)'!$I:$I,'협력사 EPC(H)'!$G:$G,Q$2,'협력사 EPC(H)'!$Q:$Q,$J17,'협력사 EPC(H)'!$C:$C,$L$1),
    SUMIFS('기타(Z)'!$I:$I,'기타(Z)'!$G:$G,Q$2,'기타(Z)'!$Q:$Q,$J17,'기타(Z)'!$C:$C,$L$1)
  )
)</f>
        <v>836.56500000000005</v>
      </c>
      <c r="R17" s="367">
        <f>IF(
  SUM(
    COUNTIFS('발전사업(A)'!$G:$G, Q$2, '발전사업(A)'!$Q:$Q, $J17, '발전사업(A)'!$C:$C, $L$1),
    COUNTIFS('자가소비(B)'!$G:$G, Q$2, '자가소비(B)'!$Q:$Q, $J17, '자가소비(B)'!$C:$C, $L$1),
    COUNTIFS('PPA 사업(C)'!$G:$G, Q$2, 'PPA 사업(C)'!$Q:$Q, $J17, 'PPA 사업(C)'!$C:$C, $L$1),
    COUNTIFS('리스사업(D)'!$G:$G, Q$2, '리스사업(D)'!$Q:$Q, $J17, '리스사업(D)'!$C:$C, $L$1),
    COUNTIFS('임대사업(E)'!$G:$G, Q$2, '임대사업(E)'!$Q:$Q, $J17, '임대사업(E)'!$C:$C, $L$1),
    COUNTIFS('환경부사업(F)'!$G:$G, Q$2, '환경부사업(F)'!$Q:$Q, $J17, '환경부사업(F)'!$C:$C, $L$1),
    COUNTIFS('프로젝트(G)'!$G:$G, Q$2, '프로젝트(G)'!$Q:$Q, $J17, '프로젝트(G)'!$C:$C, $L$1),
    COUNTIFS('협력사 EPC(H)'!$G:$G, Q$2, '협력사 EPC(H)'!$Q:$Q, $J17, '협력사 EPC(H)'!$C:$C, $L$1),
    COUNTIFS('기타(Z)'!$G:$G, Q$2, '기타(Z)'!$Q:$Q, $J17, '기타(Z)'!$C:$C, $L$1)
  ) = 0,
  "",
  COUNTIFS('발전사업(A)'!$G:$G, Q$2, '발전사업(A)'!$Q:$Q, $J17, '발전사업(A)'!$C:$C, $L$1)
  + COUNTIFS('자가소비(B)'!$G:$G, Q$2, '자가소비(B)'!$Q:$Q, $J17, '자가소비(B)'!$C:$C, $L$1)
  + COUNTIFS('PPA 사업(C)'!$G:$G, Q$2, 'PPA 사업(C)'!$Q:$Q, $J17, 'PPA 사업(C)'!$C:$C, $L$1)
  + COUNTIFS('리스사업(D)'!$G:$G, Q$2, '리스사업(D)'!$Q:$Q, $J17, '리스사업(D)'!$C:$C, $L$1)
  + COUNTIFS('임대사업(E)'!$G:$G, Q$2, '임대사업(E)'!$Q:$Q, $J17, '임대사업(E)'!$C:$C, $L$1)
  + COUNTIFS('환경부사업(F)'!$G:$G, Q$2, '환경부사업(F)'!$Q:$Q, $J17, '환경부사업(F)'!$C:$C, $L$1)
  + COUNTIFS('프로젝트(G)'!$G:$G, Q$2, '프로젝트(G)'!$Q:$Q, $J17, '프로젝트(G)'!$C:$C, $L$1)
  + COUNTIFS('협력사 EPC(H)'!$G:$G, Q$2, '협력사 EPC(H)'!$Q:$Q, $J17, '협력사 EPC(H)'!$C:$C, $L$1)
  + COUNTIFS('기타(Z)'!$G:$G, Q$2, '기타(Z)'!$Q:$Q, $J17, '기타(Z)'!$C:$C, $L$1)
)</f>
        <v>3</v>
      </c>
      <c r="S17" s="366" t="str">
        <f>IF(
  SUM(
    SUMIFS('발전사업(A)'!$I:$I,'발전사업(A)'!$G:$G,S$2,'발전사업(A)'!$Q:$Q,$J17,'발전사업(A)'!$C:$C,$L$1),
    SUMIFS('자가소비(B)'!$I:$I,'자가소비(B)'!$G:$G,S$2,'자가소비(B)'!$Q:$Q,$J17,'자가소비(B)'!$C:$C,$L$1),
    SUMIFS('PPA 사업(C)'!$I:$I,'PPA 사업(C)'!$G:$G,S$2,'PPA 사업(C)'!$Q:$Q,$J17,'PPA 사업(C)'!$C:$C,$L$1),
    SUMIFS('리스사업(D)'!$I:$I,'리스사업(D)'!$G:$G,S$2,'리스사업(D)'!$Q:$Q,$J17,'리스사업(D)'!$C:$C,$L$1),
    SUMIFS('임대사업(E)'!$I:$I,'임대사업(E)'!$G:$G,S$2,'임대사업(E)'!$Q:$Q,$J17,'임대사업(E)'!$C:$C,$L$1),
    SUMIFS('환경부사업(F)'!$I:$I,'환경부사업(F)'!$G:$G,S$2,'환경부사업(F)'!$Q:$Q,$J17,'환경부사업(F)'!$C:$C,$L$1),
    SUMIFS('프로젝트(G)'!$I:$I,'프로젝트(G)'!$G:$G,S$2,'프로젝트(G)'!$Q:$Q,$J17,'프로젝트(G)'!$C:$C,$L$1),
    SUMIFS('협력사 EPC(H)'!$I:$I,'협력사 EPC(H)'!$G:$G,S$2,'협력사 EPC(H)'!$Q:$Q,$J17,'협력사 EPC(H)'!$C:$C,$L$1),
    SUMIFS('기타(Z)'!$I:$I,'기타(Z)'!$G:$G,S$2,'기타(Z)'!$Q:$Q,$J17,'기타(Z)'!$C:$C,$L$1)
  )=0,
  "",
  SUM(
    SUMIFS('발전사업(A)'!$I:$I,'발전사업(A)'!$G:$G,S$2,'발전사업(A)'!$Q:$Q,$J17,'발전사업(A)'!$C:$C,$L$1),
    SUMIFS('자가소비(B)'!$I:$I,'자가소비(B)'!$G:$G,S$2,'자가소비(B)'!$Q:$Q,$J17,'자가소비(B)'!$C:$C,$L$1),
    SUMIFS('PPA 사업(C)'!$I:$I,'PPA 사업(C)'!$G:$G,S$2,'PPA 사업(C)'!$Q:$Q,$J17,'PPA 사업(C)'!$C:$C,$L$1),
    SUMIFS('리스사업(D)'!$I:$I,'리스사업(D)'!$G:$G,S$2,'리스사업(D)'!$Q:$Q,$J17,'리스사업(D)'!$C:$C,$L$1),
    SUMIFS('임대사업(E)'!$I:$I,'임대사업(E)'!$G:$G,S$2,'임대사업(E)'!$Q:$Q,$J17,'임대사업(E)'!$C:$C,$L$1),
    SUMIFS('환경부사업(F)'!$I:$I,'환경부사업(F)'!$G:$G,S$2,'환경부사업(F)'!$Q:$Q,$J17,'환경부사업(F)'!$C:$C,$L$1),
    SUMIFS('프로젝트(G)'!$I:$I,'프로젝트(G)'!$G:$G,S$2,'프로젝트(G)'!$Q:$Q,$J17,'프로젝트(G)'!$C:$C,$L$1),
    SUMIFS('협력사 EPC(H)'!$I:$I,'협력사 EPC(H)'!$G:$G,S$2,'협력사 EPC(H)'!$Q:$Q,$J17,'협력사 EPC(H)'!$C:$C,$L$1),
    SUMIFS('기타(Z)'!$I:$I,'기타(Z)'!$G:$G,S$2,'기타(Z)'!$Q:$Q,$J17,'기타(Z)'!$C:$C,$L$1)
  )
)</f>
        <v/>
      </c>
      <c r="T17" s="367" t="str">
        <f>IF(
  SUM(
    COUNTIFS('발전사업(A)'!$G:$G, S$2, '발전사업(A)'!$Q:$Q, $J17, '발전사업(A)'!$C:$C, $L$1),
    COUNTIFS('자가소비(B)'!$G:$G, S$2, '자가소비(B)'!$Q:$Q, $J17, '자가소비(B)'!$C:$C, $L$1),
    COUNTIFS('PPA 사업(C)'!$G:$G, S$2, 'PPA 사업(C)'!$Q:$Q, $J17, 'PPA 사업(C)'!$C:$C, $L$1),
    COUNTIFS('리스사업(D)'!$G:$G, S$2, '리스사업(D)'!$Q:$Q, $J17, '리스사업(D)'!$C:$C, $L$1),
    COUNTIFS('임대사업(E)'!$G:$G, S$2, '임대사업(E)'!$Q:$Q, $J17, '임대사업(E)'!$C:$C, $L$1),
    COUNTIFS('환경부사업(F)'!$G:$G, S$2, '환경부사업(F)'!$Q:$Q, $J17, '환경부사업(F)'!$C:$C, $L$1),
    COUNTIFS('프로젝트(G)'!$G:$G, S$2, '프로젝트(G)'!$Q:$Q, $J17, '프로젝트(G)'!$C:$C, $L$1),
    COUNTIFS('협력사 EPC(H)'!$G:$G, S$2, '협력사 EPC(H)'!$Q:$Q, $J17, '협력사 EPC(H)'!$C:$C, $L$1),
    COUNTIFS('기타(Z)'!$G:$G, S$2, '기타(Z)'!$Q:$Q, $J17, '기타(Z)'!$C:$C, $L$1)
  ) = 0,
  "",
  COUNTIFS('발전사업(A)'!$G:$G, S$2, '발전사업(A)'!$Q:$Q, $J17, '발전사업(A)'!$C:$C, $L$1)
  + COUNTIFS('자가소비(B)'!$G:$G, S$2, '자가소비(B)'!$Q:$Q, $J17, '자가소비(B)'!$C:$C, $L$1)
  + COUNTIFS('PPA 사업(C)'!$G:$G, S$2, 'PPA 사업(C)'!$Q:$Q, $J17, 'PPA 사업(C)'!$C:$C, $L$1)
  + COUNTIFS('리스사업(D)'!$G:$G, S$2, '리스사업(D)'!$Q:$Q, $J17, '리스사업(D)'!$C:$C, $L$1)
  + COUNTIFS('임대사업(E)'!$G:$G, S$2, '임대사업(E)'!$Q:$Q, $J17, '임대사업(E)'!$C:$C, $L$1)
  + COUNTIFS('환경부사업(F)'!$G:$G, S$2, '환경부사업(F)'!$Q:$Q, $J17, '환경부사업(F)'!$C:$C, $L$1)
  + COUNTIFS('프로젝트(G)'!$G:$G, S$2, '프로젝트(G)'!$Q:$Q, $J17, '프로젝트(G)'!$C:$C, $L$1)
  + COUNTIFS('협력사 EPC(H)'!$G:$G, S$2, '협력사 EPC(H)'!$Q:$Q, $J17, '협력사 EPC(H)'!$C:$C, $L$1)
  + COUNTIFS('기타(Z)'!$G:$G, S$2, '기타(Z)'!$Q:$Q, $J17, '기타(Z)'!$C:$C, $L$1)
)</f>
        <v/>
      </c>
      <c r="U17" s="366">
        <f>IF(
  SUM(
    SUMIFS('발전사업(A)'!$I:$I,'발전사업(A)'!$G:$G,U$2,'발전사업(A)'!$Q:$Q,$J17,'발전사업(A)'!$C:$C,$L$1),
    SUMIFS('자가소비(B)'!$I:$I,'자가소비(B)'!$G:$G,U$2,'자가소비(B)'!$Q:$Q,$J17,'자가소비(B)'!$C:$C,$L$1),
    SUMIFS('PPA 사업(C)'!$I:$I,'PPA 사업(C)'!$G:$G,U$2,'PPA 사업(C)'!$Q:$Q,$J17,'PPA 사업(C)'!$C:$C,$L$1),
    SUMIFS('리스사업(D)'!$I:$I,'리스사업(D)'!$G:$G,U$2,'리스사업(D)'!$Q:$Q,$J17,'리스사업(D)'!$C:$C,$L$1),
    SUMIFS('임대사업(E)'!$I:$I,'임대사업(E)'!$G:$G,U$2,'임대사업(E)'!$Q:$Q,$J17,'임대사업(E)'!$C:$C,$L$1),
    SUMIFS('환경부사업(F)'!$I:$I,'환경부사업(F)'!$G:$G,U$2,'환경부사업(F)'!$Q:$Q,$J17,'환경부사업(F)'!$C:$C,$L$1),
    SUMIFS('프로젝트(G)'!$I:$I,'프로젝트(G)'!$G:$G,U$2,'프로젝트(G)'!$Q:$Q,$J17,'프로젝트(G)'!$C:$C,$L$1),
    SUMIFS('협력사 EPC(H)'!$I:$I,'협력사 EPC(H)'!$G:$G,U$2,'협력사 EPC(H)'!$Q:$Q,$J17,'협력사 EPC(H)'!$C:$C,$L$1),
    SUMIFS('기타(Z)'!$I:$I,'기타(Z)'!$G:$G,U$2,'기타(Z)'!$Q:$Q,$J17,'기타(Z)'!$C:$C,$L$1)
  )=0,
  "",
  SUM(
    SUMIFS('발전사업(A)'!$I:$I,'발전사업(A)'!$G:$G,U$2,'발전사업(A)'!$Q:$Q,$J17,'발전사업(A)'!$C:$C,$L$1),
    SUMIFS('자가소비(B)'!$I:$I,'자가소비(B)'!$G:$G,U$2,'자가소비(B)'!$Q:$Q,$J17,'자가소비(B)'!$C:$C,$L$1),
    SUMIFS('PPA 사업(C)'!$I:$I,'PPA 사업(C)'!$G:$G,U$2,'PPA 사업(C)'!$Q:$Q,$J17,'PPA 사업(C)'!$C:$C,$L$1),
    SUMIFS('리스사업(D)'!$I:$I,'리스사업(D)'!$G:$G,U$2,'리스사업(D)'!$Q:$Q,$J17,'리스사업(D)'!$C:$C,$L$1),
    SUMIFS('임대사업(E)'!$I:$I,'임대사업(E)'!$G:$G,U$2,'임대사업(E)'!$Q:$Q,$J17,'임대사업(E)'!$C:$C,$L$1),
    SUMIFS('환경부사업(F)'!$I:$I,'환경부사업(F)'!$G:$G,U$2,'환경부사업(F)'!$Q:$Q,$J17,'환경부사업(F)'!$C:$C,$L$1),
    SUMIFS('프로젝트(G)'!$I:$I,'프로젝트(G)'!$G:$G,U$2,'프로젝트(G)'!$Q:$Q,$J17,'프로젝트(G)'!$C:$C,$L$1),
    SUMIFS('협력사 EPC(H)'!$I:$I,'협력사 EPC(H)'!$G:$G,U$2,'협력사 EPC(H)'!$Q:$Q,$J17,'협력사 EPC(H)'!$C:$C,$L$1),
    SUMIFS('기타(Z)'!$I:$I,'기타(Z)'!$G:$G,U$2,'기타(Z)'!$Q:$Q,$J17,'기타(Z)'!$C:$C,$L$1)
  )
)</f>
        <v>101.91</v>
      </c>
      <c r="V17" s="367">
        <f>IF(
  SUM(
    COUNTIFS('발전사업(A)'!$G:$G, U$2, '발전사업(A)'!$Q:$Q, $J17, '발전사업(A)'!$C:$C, $L$1),
    COUNTIFS('자가소비(B)'!$G:$G, U$2, '자가소비(B)'!$Q:$Q, $J17, '자가소비(B)'!$C:$C, $L$1),
    COUNTIFS('PPA 사업(C)'!$G:$G, U$2, 'PPA 사업(C)'!$Q:$Q, $J17, 'PPA 사업(C)'!$C:$C, $L$1),
    COUNTIFS('리스사업(D)'!$G:$G, U$2, '리스사업(D)'!$Q:$Q, $J17, '리스사업(D)'!$C:$C, $L$1),
    COUNTIFS('임대사업(E)'!$G:$G, U$2, '임대사업(E)'!$Q:$Q, $J17, '임대사업(E)'!$C:$C, $L$1),
    COUNTIFS('환경부사업(F)'!$G:$G, U$2, '환경부사업(F)'!$Q:$Q, $J17, '환경부사업(F)'!$C:$C, $L$1),
    COUNTIFS('프로젝트(G)'!$G:$G, U$2, '프로젝트(G)'!$Q:$Q, $J17, '프로젝트(G)'!$C:$C, $L$1),
    COUNTIFS('협력사 EPC(H)'!$G:$G, U$2, '협력사 EPC(H)'!$Q:$Q, $J17, '협력사 EPC(H)'!$C:$C, $L$1),
    COUNTIFS('기타(Z)'!$G:$G, U$2, '기타(Z)'!$Q:$Q, $J17, '기타(Z)'!$C:$C, $L$1)
  ) = 0,
  "",
  COUNTIFS('발전사업(A)'!$G:$G, U$2, '발전사업(A)'!$Q:$Q, $J17, '발전사업(A)'!$C:$C, $L$1)
  + COUNTIFS('자가소비(B)'!$G:$G, U$2, '자가소비(B)'!$Q:$Q, $J17, '자가소비(B)'!$C:$C, $L$1)
  + COUNTIFS('PPA 사업(C)'!$G:$G, U$2, 'PPA 사업(C)'!$Q:$Q, $J17, 'PPA 사업(C)'!$C:$C, $L$1)
  + COUNTIFS('리스사업(D)'!$G:$G, U$2, '리스사업(D)'!$Q:$Q, $J17, '리스사업(D)'!$C:$C, $L$1)
  + COUNTIFS('임대사업(E)'!$G:$G, U$2, '임대사업(E)'!$Q:$Q, $J17, '임대사업(E)'!$C:$C, $L$1)
  + COUNTIFS('환경부사업(F)'!$G:$G, U$2, '환경부사업(F)'!$Q:$Q, $J17, '환경부사업(F)'!$C:$C, $L$1)
  + COUNTIFS('프로젝트(G)'!$G:$G, U$2, '프로젝트(G)'!$Q:$Q, $J17, '프로젝트(G)'!$C:$C, $L$1)
  + COUNTIFS('협력사 EPC(H)'!$G:$G, U$2, '협력사 EPC(H)'!$Q:$Q, $J17, '협력사 EPC(H)'!$C:$C, $L$1)
  + COUNTIFS('기타(Z)'!$G:$G, U$2, '기타(Z)'!$Q:$Q, $J17, '기타(Z)'!$C:$C, $L$1)
)</f>
        <v>1</v>
      </c>
      <c r="W17" s="366">
        <f>IF(
  SUM(
    SUMIFS('발전사업(A)'!$I:$I,'발전사업(A)'!$G:$G,W$2,'발전사업(A)'!$Q:$Q,$J17,'발전사업(A)'!$C:$C,$L$1),
    SUMIFS('자가소비(B)'!$I:$I,'자가소비(B)'!$G:$G,W$2,'자가소비(B)'!$Q:$Q,$J17,'자가소비(B)'!$C:$C,$L$1),
    SUMIFS('PPA 사업(C)'!$I:$I,'PPA 사업(C)'!$G:$G,W$2,'PPA 사업(C)'!$Q:$Q,$J17,'PPA 사업(C)'!$C:$C,$L$1),
    SUMIFS('리스사업(D)'!$I:$I,'리스사업(D)'!$G:$G,W$2,'리스사업(D)'!$Q:$Q,$J17,'리스사업(D)'!$C:$C,$L$1),
    SUMIFS('임대사업(E)'!$I:$I,'임대사업(E)'!$G:$G,W$2,'임대사업(E)'!$Q:$Q,$J17,'임대사업(E)'!$C:$C,$L$1),
    SUMIFS('환경부사업(F)'!$I:$I,'환경부사업(F)'!$G:$G,W$2,'환경부사업(F)'!$Q:$Q,$J17,'환경부사업(F)'!$C:$C,$L$1),
    SUMIFS('프로젝트(G)'!$I:$I,'프로젝트(G)'!$G:$G,W$2,'프로젝트(G)'!$Q:$Q,$J17,'프로젝트(G)'!$C:$C,$L$1),
    SUMIFS('협력사 EPC(H)'!$I:$I,'협력사 EPC(H)'!$G:$G,W$2,'협력사 EPC(H)'!$Q:$Q,$J17,'협력사 EPC(H)'!$C:$C,$L$1),
    SUMIFS('기타(Z)'!$I:$I,'기타(Z)'!$G:$G,W$2,'기타(Z)'!$Q:$Q,$J17,'기타(Z)'!$C:$C,$L$1)
  )=0,
  "",
  SUM(
    SUMIFS('발전사업(A)'!$I:$I,'발전사업(A)'!$G:$G,W$2,'발전사업(A)'!$Q:$Q,$J17,'발전사업(A)'!$C:$C,$L$1),
    SUMIFS('자가소비(B)'!$I:$I,'자가소비(B)'!$G:$G,W$2,'자가소비(B)'!$Q:$Q,$J17,'자가소비(B)'!$C:$C,$L$1),
    SUMIFS('PPA 사업(C)'!$I:$I,'PPA 사업(C)'!$G:$G,W$2,'PPA 사업(C)'!$Q:$Q,$J17,'PPA 사업(C)'!$C:$C,$L$1),
    SUMIFS('리스사업(D)'!$I:$I,'리스사업(D)'!$G:$G,W$2,'리스사업(D)'!$Q:$Q,$J17,'리스사업(D)'!$C:$C,$L$1),
    SUMIFS('임대사업(E)'!$I:$I,'임대사업(E)'!$G:$G,W$2,'임대사업(E)'!$Q:$Q,$J17,'임대사업(E)'!$C:$C,$L$1),
    SUMIFS('환경부사업(F)'!$I:$I,'환경부사업(F)'!$G:$G,W$2,'환경부사업(F)'!$Q:$Q,$J17,'환경부사업(F)'!$C:$C,$L$1),
    SUMIFS('프로젝트(G)'!$I:$I,'프로젝트(G)'!$G:$G,W$2,'프로젝트(G)'!$Q:$Q,$J17,'프로젝트(G)'!$C:$C,$L$1),
    SUMIFS('협력사 EPC(H)'!$I:$I,'협력사 EPC(H)'!$G:$G,W$2,'협력사 EPC(H)'!$Q:$Q,$J17,'협력사 EPC(H)'!$C:$C,$L$1),
    SUMIFS('기타(Z)'!$I:$I,'기타(Z)'!$G:$G,W$2,'기타(Z)'!$Q:$Q,$J17,'기타(Z)'!$C:$C,$L$1)
  )
)</f>
        <v>404.41500000000002</v>
      </c>
      <c r="X17" s="367">
        <f>IF(
  SUM(
    COUNTIFS('발전사업(A)'!$G:$G, W$2, '발전사업(A)'!$Q:$Q, $J17, '발전사업(A)'!$C:$C, $L$1),
    COUNTIFS('자가소비(B)'!$G:$G, W$2, '자가소비(B)'!$Q:$Q, $J17, '자가소비(B)'!$C:$C, $L$1),
    COUNTIFS('PPA 사업(C)'!$G:$G, W$2, 'PPA 사업(C)'!$Q:$Q, $J17, 'PPA 사업(C)'!$C:$C, $L$1),
    COUNTIFS('리스사업(D)'!$G:$G, W$2, '리스사업(D)'!$Q:$Q, $J17, '리스사업(D)'!$C:$C, $L$1),
    COUNTIFS('임대사업(E)'!$G:$G, W$2, '임대사업(E)'!$Q:$Q, $J17, '임대사업(E)'!$C:$C, $L$1),
    COUNTIFS('환경부사업(F)'!$G:$G, W$2, '환경부사업(F)'!$Q:$Q, $J17, '환경부사업(F)'!$C:$C, $L$1),
    COUNTIFS('프로젝트(G)'!$G:$G, W$2, '프로젝트(G)'!$Q:$Q, $J17, '프로젝트(G)'!$C:$C, $L$1),
    COUNTIFS('협력사 EPC(H)'!$G:$G, W$2, '협력사 EPC(H)'!$Q:$Q, $J17, '협력사 EPC(H)'!$C:$C, $L$1),
    COUNTIFS('기타(Z)'!$G:$G, W$2, '기타(Z)'!$Q:$Q, $J17, '기타(Z)'!$C:$C, $L$1)
  ) = 0,
  "",
  COUNTIFS('발전사업(A)'!$G:$G, W$2, '발전사업(A)'!$Q:$Q, $J17, '발전사업(A)'!$C:$C, $L$1)
  + COUNTIFS('자가소비(B)'!$G:$G, W$2, '자가소비(B)'!$Q:$Q, $J17, '자가소비(B)'!$C:$C, $L$1)
  + COUNTIFS('PPA 사업(C)'!$G:$G, W$2, 'PPA 사업(C)'!$Q:$Q, $J17, 'PPA 사업(C)'!$C:$C, $L$1)
  + COUNTIFS('리스사업(D)'!$G:$G, W$2, '리스사업(D)'!$Q:$Q, $J17, '리스사업(D)'!$C:$C, $L$1)
  + COUNTIFS('임대사업(E)'!$G:$G, W$2, '임대사업(E)'!$Q:$Q, $J17, '임대사업(E)'!$C:$C, $L$1)
  + COUNTIFS('환경부사업(F)'!$G:$G, W$2, '환경부사업(F)'!$Q:$Q, $J17, '환경부사업(F)'!$C:$C, $L$1)
  + COUNTIFS('프로젝트(G)'!$G:$G, W$2, '프로젝트(G)'!$Q:$Q, $J17, '프로젝트(G)'!$C:$C, $L$1)
  + COUNTIFS('협력사 EPC(H)'!$G:$G, W$2, '협력사 EPC(H)'!$Q:$Q, $J17, '협력사 EPC(H)'!$C:$C, $L$1)
  + COUNTIFS('기타(Z)'!$G:$G, W$2, '기타(Z)'!$Q:$Q, $J17, '기타(Z)'!$C:$C, $L$1)
)</f>
        <v>1</v>
      </c>
      <c r="Y17" s="366">
        <f>IF(
  SUM(
    SUMIFS('발전사업(A)'!$I:$I,'발전사업(A)'!$G:$G,Y$2,'발전사업(A)'!$Q:$Q,$J17,'발전사업(A)'!$C:$C,$L$1),
    SUMIFS('자가소비(B)'!$I:$I,'자가소비(B)'!$G:$G,Y$2,'자가소비(B)'!$Q:$Q,$J17,'자가소비(B)'!$C:$C,$L$1),
    SUMIFS('PPA 사업(C)'!$I:$I,'PPA 사업(C)'!$G:$G,Y$2,'PPA 사업(C)'!$Q:$Q,$J17,'PPA 사업(C)'!$C:$C,$L$1),
    SUMIFS('리스사업(D)'!$I:$I,'리스사업(D)'!$G:$G,Y$2,'리스사업(D)'!$Q:$Q,$J17,'리스사업(D)'!$C:$C,$L$1),
    SUMIFS('임대사업(E)'!$I:$I,'임대사업(E)'!$G:$G,Y$2,'임대사업(E)'!$Q:$Q,$J17,'임대사업(E)'!$C:$C,$L$1),
    SUMIFS('환경부사업(F)'!$I:$I,'환경부사업(F)'!$G:$G,Y$2,'환경부사업(F)'!$Q:$Q,$J17,'환경부사업(F)'!$C:$C,$L$1),
    SUMIFS('프로젝트(G)'!$I:$I,'프로젝트(G)'!$G:$G,Y$2,'프로젝트(G)'!$Q:$Q,$J17,'프로젝트(G)'!$C:$C,$L$1),
    SUMIFS('협력사 EPC(H)'!$I:$I,'협력사 EPC(H)'!$G:$G,Y$2,'협력사 EPC(H)'!$Q:$Q,$J17,'협력사 EPC(H)'!$C:$C,$L$1),
    SUMIFS('기타(Z)'!$I:$I,'기타(Z)'!$G:$G,Y$2,'기타(Z)'!$Q:$Q,$J17,'기타(Z)'!$C:$C,$L$1)
  )=0,
  "",
  SUM(
    SUMIFS('발전사업(A)'!$I:$I,'발전사업(A)'!$G:$G,Y$2,'발전사업(A)'!$Q:$Q,$J17,'발전사업(A)'!$C:$C,$L$1),
    SUMIFS('자가소비(B)'!$I:$I,'자가소비(B)'!$G:$G,Y$2,'자가소비(B)'!$Q:$Q,$J17,'자가소비(B)'!$C:$C,$L$1),
    SUMIFS('PPA 사업(C)'!$I:$I,'PPA 사업(C)'!$G:$G,Y$2,'PPA 사업(C)'!$Q:$Q,$J17,'PPA 사업(C)'!$C:$C,$L$1),
    SUMIFS('리스사업(D)'!$I:$I,'리스사업(D)'!$G:$G,Y$2,'리스사업(D)'!$Q:$Q,$J17,'리스사업(D)'!$C:$C,$L$1),
    SUMIFS('임대사업(E)'!$I:$I,'임대사업(E)'!$G:$G,Y$2,'임대사업(E)'!$Q:$Q,$J17,'임대사업(E)'!$C:$C,$L$1),
    SUMIFS('환경부사업(F)'!$I:$I,'환경부사업(F)'!$G:$G,Y$2,'환경부사업(F)'!$Q:$Q,$J17,'환경부사업(F)'!$C:$C,$L$1),
    SUMIFS('프로젝트(G)'!$I:$I,'프로젝트(G)'!$G:$G,Y$2,'프로젝트(G)'!$Q:$Q,$J17,'프로젝트(G)'!$C:$C,$L$1),
    SUMIFS('협력사 EPC(H)'!$I:$I,'협력사 EPC(H)'!$G:$G,Y$2,'협력사 EPC(H)'!$Q:$Q,$J17,'협력사 EPC(H)'!$C:$C,$L$1),
    SUMIFS('기타(Z)'!$I:$I,'기타(Z)'!$G:$G,Y$2,'기타(Z)'!$Q:$Q,$J17,'기타(Z)'!$C:$C,$L$1)
  )
)</f>
        <v>790.59</v>
      </c>
      <c r="Z17" s="367">
        <f>IF(
  SUM(
    COUNTIFS('발전사업(A)'!$G:$G, Y$2, '발전사업(A)'!$Q:$Q, $J17, '발전사업(A)'!$C:$C, $L$1),
    COUNTIFS('자가소비(B)'!$G:$G, Y$2, '자가소비(B)'!$Q:$Q, $J17, '자가소비(B)'!$C:$C, $L$1),
    COUNTIFS('PPA 사업(C)'!$G:$G, Y$2, 'PPA 사업(C)'!$Q:$Q, $J17, 'PPA 사업(C)'!$C:$C, $L$1),
    COUNTIFS('리스사업(D)'!$G:$G, Y$2, '리스사업(D)'!$Q:$Q, $J17, '리스사업(D)'!$C:$C, $L$1),
    COUNTIFS('임대사업(E)'!$G:$G, Y$2, '임대사업(E)'!$Q:$Q, $J17, '임대사업(E)'!$C:$C, $L$1),
    COUNTIFS('환경부사업(F)'!$G:$G, Y$2, '환경부사업(F)'!$Q:$Q, $J17, '환경부사업(F)'!$C:$C, $L$1),
    COUNTIFS('프로젝트(G)'!$G:$G, Y$2, '프로젝트(G)'!$Q:$Q, $J17, '프로젝트(G)'!$C:$C, $L$1),
    COUNTIFS('협력사 EPC(H)'!$G:$G, Y$2, '협력사 EPC(H)'!$Q:$Q, $J17, '협력사 EPC(H)'!$C:$C, $L$1),
    COUNTIFS('기타(Z)'!$G:$G, Y$2, '기타(Z)'!$Q:$Q, $J17, '기타(Z)'!$C:$C, $L$1)
  ) = 0,
  "",
  COUNTIFS('발전사업(A)'!$G:$G, Y$2, '발전사업(A)'!$Q:$Q, $J17, '발전사업(A)'!$C:$C, $L$1)
  + COUNTIFS('자가소비(B)'!$G:$G, Y$2, '자가소비(B)'!$Q:$Q, $J17, '자가소비(B)'!$C:$C, $L$1)
  + COUNTIFS('PPA 사업(C)'!$G:$G, Y$2, 'PPA 사업(C)'!$Q:$Q, $J17, 'PPA 사업(C)'!$C:$C, $L$1)
  + COUNTIFS('리스사업(D)'!$G:$G, Y$2, '리스사업(D)'!$Q:$Q, $J17, '리스사업(D)'!$C:$C, $L$1)
  + COUNTIFS('임대사업(E)'!$G:$G, Y$2, '임대사업(E)'!$Q:$Q, $J17, '임대사업(E)'!$C:$C, $L$1)
  + COUNTIFS('환경부사업(F)'!$G:$G, Y$2, '환경부사업(F)'!$Q:$Q, $J17, '환경부사업(F)'!$C:$C, $L$1)
  + COUNTIFS('프로젝트(G)'!$G:$G, Y$2, '프로젝트(G)'!$Q:$Q, $J17, '프로젝트(G)'!$C:$C, $L$1)
  + COUNTIFS('협력사 EPC(H)'!$G:$G, Y$2, '협력사 EPC(H)'!$Q:$Q, $J17, '협력사 EPC(H)'!$C:$C, $L$1)
  + COUNTIFS('기타(Z)'!$G:$G, Y$2, '기타(Z)'!$Q:$Q, $J17, '기타(Z)'!$C:$C, $L$1)
)</f>
        <v>4</v>
      </c>
      <c r="AA17" s="366">
        <f>IF(
  SUM(
    SUMIFS('발전사업(A)'!$I:$I,'발전사업(A)'!$G:$G,AA$2,'발전사업(A)'!$Q:$Q,$J17,'발전사업(A)'!$C:$C,$L$1),
    SUMIFS('자가소비(B)'!$I:$I,'자가소비(B)'!$G:$G,AA$2,'자가소비(B)'!$Q:$Q,$J17,'자가소비(B)'!$C:$C,$L$1),
    SUMIFS('PPA 사업(C)'!$I:$I,'PPA 사업(C)'!$G:$G,AA$2,'PPA 사업(C)'!$Q:$Q,$J17,'PPA 사업(C)'!$C:$C,$L$1),
    SUMIFS('리스사업(D)'!$I:$I,'리스사업(D)'!$G:$G,AA$2,'리스사업(D)'!$Q:$Q,$J17,'리스사업(D)'!$C:$C,$L$1),
    SUMIFS('임대사업(E)'!$I:$I,'임대사업(E)'!$G:$G,AA$2,'임대사업(E)'!$Q:$Q,$J17,'임대사업(E)'!$C:$C,$L$1),
    SUMIFS('환경부사업(F)'!$I:$I,'환경부사업(F)'!$G:$G,AA$2,'환경부사업(F)'!$Q:$Q,$J17,'환경부사업(F)'!$C:$C,$L$1),
    SUMIFS('프로젝트(G)'!$I:$I,'프로젝트(G)'!$G:$G,AA$2,'프로젝트(G)'!$Q:$Q,$J17,'프로젝트(G)'!$C:$C,$L$1),
    SUMIFS('협력사 EPC(H)'!$I:$I,'협력사 EPC(H)'!$G:$G,AA$2,'협력사 EPC(H)'!$Q:$Q,$J17,'협력사 EPC(H)'!$C:$C,$L$1),
    SUMIFS('기타(Z)'!$I:$I,'기타(Z)'!$G:$G,AA$2,'기타(Z)'!$Q:$Q,$J17,'기타(Z)'!$C:$C,$L$1)
  )=0,
  "",
  SUM(
    SUMIFS('발전사업(A)'!$I:$I,'발전사업(A)'!$G:$G,AA$2,'발전사업(A)'!$Q:$Q,$J17,'발전사업(A)'!$C:$C,$L$1),
    SUMIFS('자가소비(B)'!$I:$I,'자가소비(B)'!$G:$G,AA$2,'자가소비(B)'!$Q:$Q,$J17,'자가소비(B)'!$C:$C,$L$1),
    SUMIFS('PPA 사업(C)'!$I:$I,'PPA 사업(C)'!$G:$G,AA$2,'PPA 사업(C)'!$Q:$Q,$J17,'PPA 사업(C)'!$C:$C,$L$1),
    SUMIFS('리스사업(D)'!$I:$I,'리스사업(D)'!$G:$G,AA$2,'리스사업(D)'!$Q:$Q,$J17,'리스사업(D)'!$C:$C,$L$1),
    SUMIFS('임대사업(E)'!$I:$I,'임대사업(E)'!$G:$G,AA$2,'임대사업(E)'!$Q:$Q,$J17,'임대사업(E)'!$C:$C,$L$1),
    SUMIFS('환경부사업(F)'!$I:$I,'환경부사업(F)'!$G:$G,AA$2,'환경부사업(F)'!$Q:$Q,$J17,'환경부사업(F)'!$C:$C,$L$1),
    SUMIFS('프로젝트(G)'!$I:$I,'프로젝트(G)'!$G:$G,AA$2,'프로젝트(G)'!$Q:$Q,$J17,'프로젝트(G)'!$C:$C,$L$1),
    SUMIFS('협력사 EPC(H)'!$I:$I,'협력사 EPC(H)'!$G:$G,AA$2,'협력사 EPC(H)'!$Q:$Q,$J17,'협력사 EPC(H)'!$C:$C,$L$1),
    SUMIFS('기타(Z)'!$I:$I,'기타(Z)'!$G:$G,AA$2,'기타(Z)'!$Q:$Q,$J17,'기타(Z)'!$C:$C,$L$1)
  )
)</f>
        <v>2340.7049999999999</v>
      </c>
      <c r="AB17" s="367">
        <f>IF(
  SUM(
    COUNTIFS('발전사업(A)'!$G:$G, AA$2, '발전사업(A)'!$Q:$Q, $J17, '발전사업(A)'!$C:$C, $L$1),
    COUNTIFS('자가소비(B)'!$G:$G, AA$2, '자가소비(B)'!$Q:$Q, $J17, '자가소비(B)'!$C:$C, $L$1),
    COUNTIFS('PPA 사업(C)'!$G:$G, AA$2, 'PPA 사업(C)'!$Q:$Q, $J17, 'PPA 사업(C)'!$C:$C, $L$1),
    COUNTIFS('리스사업(D)'!$G:$G, AA$2, '리스사업(D)'!$Q:$Q, $J17, '리스사업(D)'!$C:$C, $L$1),
    COUNTIFS('임대사업(E)'!$G:$G, AA$2, '임대사업(E)'!$Q:$Q, $J17, '임대사업(E)'!$C:$C, $L$1),
    COUNTIFS('환경부사업(F)'!$G:$G, AA$2, '환경부사업(F)'!$Q:$Q, $J17, '환경부사업(F)'!$C:$C, $L$1),
    COUNTIFS('프로젝트(G)'!$G:$G, AA$2, '프로젝트(G)'!$Q:$Q, $J17, '프로젝트(G)'!$C:$C, $L$1),
    COUNTIFS('협력사 EPC(H)'!$G:$G, AA$2, '협력사 EPC(H)'!$Q:$Q, $J17, '협력사 EPC(H)'!$C:$C, $L$1),
    COUNTIFS('기타(Z)'!$G:$G, AA$2, '기타(Z)'!$Q:$Q, $J17, '기타(Z)'!$C:$C, $L$1)
  ) = 0,
  "",
  COUNTIFS('발전사업(A)'!$G:$G, AA$2, '발전사업(A)'!$Q:$Q, $J17, '발전사업(A)'!$C:$C, $L$1)
  + COUNTIFS('자가소비(B)'!$G:$G, AA$2, '자가소비(B)'!$Q:$Q, $J17, '자가소비(B)'!$C:$C, $L$1)
  + COUNTIFS('PPA 사업(C)'!$G:$G, AA$2, 'PPA 사업(C)'!$Q:$Q, $J17, 'PPA 사업(C)'!$C:$C, $L$1)
  + COUNTIFS('리스사업(D)'!$G:$G, AA$2, '리스사업(D)'!$Q:$Q, $J17, '리스사업(D)'!$C:$C, $L$1)
  + COUNTIFS('임대사업(E)'!$G:$G, AA$2, '임대사업(E)'!$Q:$Q, $J17, '임대사업(E)'!$C:$C, $L$1)
  + COUNTIFS('환경부사업(F)'!$G:$G, AA$2, '환경부사업(F)'!$Q:$Q, $J17, '환경부사업(F)'!$C:$C, $L$1)
  + COUNTIFS('프로젝트(G)'!$G:$G, AA$2, '프로젝트(G)'!$Q:$Q, $J17, '프로젝트(G)'!$C:$C, $L$1)
  + COUNTIFS('협력사 EPC(H)'!$G:$G, AA$2, '협력사 EPC(H)'!$Q:$Q, $J17, '협력사 EPC(H)'!$C:$C, $L$1)
  + COUNTIFS('기타(Z)'!$G:$G, AA$2, '기타(Z)'!$Q:$Q, $J17, '기타(Z)'!$C:$C, $L$1)
)</f>
        <v>5</v>
      </c>
      <c r="AC17" s="366">
        <f>IF(
  SUM(
    SUMIFS('발전사업(A)'!$I:$I,'발전사업(A)'!$G:$G,AC$2,'발전사업(A)'!$Q:$Q,$J17,'발전사업(A)'!$C:$C,$L$1),
    SUMIFS('자가소비(B)'!$I:$I,'자가소비(B)'!$G:$G,AC$2,'자가소비(B)'!$Q:$Q,$J17,'자가소비(B)'!$C:$C,$L$1),
    SUMIFS('PPA 사업(C)'!$I:$I,'PPA 사업(C)'!$G:$G,AC$2,'PPA 사업(C)'!$Q:$Q,$J17,'PPA 사업(C)'!$C:$C,$L$1),
    SUMIFS('리스사업(D)'!$I:$I,'리스사업(D)'!$G:$G,AC$2,'리스사업(D)'!$Q:$Q,$J17,'리스사업(D)'!$C:$C,$L$1),
    SUMIFS('임대사업(E)'!$I:$I,'임대사업(E)'!$G:$G,AC$2,'임대사업(E)'!$Q:$Q,$J17,'임대사업(E)'!$C:$C,$L$1),
    SUMIFS('환경부사업(F)'!$I:$I,'환경부사업(F)'!$G:$G,AC$2,'환경부사업(F)'!$Q:$Q,$J17,'환경부사업(F)'!$C:$C,$L$1),
    SUMIFS('프로젝트(G)'!$I:$I,'프로젝트(G)'!$G:$G,AC$2,'프로젝트(G)'!$Q:$Q,$J17,'프로젝트(G)'!$C:$C,$L$1),
    SUMIFS('협력사 EPC(H)'!$I:$I,'협력사 EPC(H)'!$G:$G,AC$2,'협력사 EPC(H)'!$Q:$Q,$J17,'협력사 EPC(H)'!$C:$C,$L$1),
    SUMIFS('기타(Z)'!$I:$I,'기타(Z)'!$G:$G,AC$2,'기타(Z)'!$Q:$Q,$J17,'기타(Z)'!$C:$C,$L$1)
  )=0,
  "",
  SUM(
    SUMIFS('발전사업(A)'!$I:$I,'발전사업(A)'!$G:$G,AC$2,'발전사업(A)'!$Q:$Q,$J17,'발전사업(A)'!$C:$C,$L$1),
    SUMIFS('자가소비(B)'!$I:$I,'자가소비(B)'!$G:$G,AC$2,'자가소비(B)'!$Q:$Q,$J17,'자가소비(B)'!$C:$C,$L$1),
    SUMIFS('PPA 사업(C)'!$I:$I,'PPA 사업(C)'!$G:$G,AC$2,'PPA 사업(C)'!$Q:$Q,$J17,'PPA 사업(C)'!$C:$C,$L$1),
    SUMIFS('리스사업(D)'!$I:$I,'리스사업(D)'!$G:$G,AC$2,'리스사업(D)'!$Q:$Q,$J17,'리스사업(D)'!$C:$C,$L$1),
    SUMIFS('임대사업(E)'!$I:$I,'임대사업(E)'!$G:$G,AC$2,'임대사업(E)'!$Q:$Q,$J17,'임대사업(E)'!$C:$C,$L$1),
    SUMIFS('환경부사업(F)'!$I:$I,'환경부사업(F)'!$G:$G,AC$2,'환경부사업(F)'!$Q:$Q,$J17,'환경부사업(F)'!$C:$C,$L$1),
    SUMIFS('프로젝트(G)'!$I:$I,'프로젝트(G)'!$G:$G,AC$2,'프로젝트(G)'!$Q:$Q,$J17,'프로젝트(G)'!$C:$C,$L$1),
    SUMIFS('협력사 EPC(H)'!$I:$I,'협력사 EPC(H)'!$G:$G,AC$2,'협력사 EPC(H)'!$Q:$Q,$J17,'협력사 EPC(H)'!$C:$C,$L$1),
    SUMIFS('기타(Z)'!$I:$I,'기타(Z)'!$G:$G,AC$2,'기타(Z)'!$Q:$Q,$J17,'기타(Z)'!$C:$C,$L$1)
  )
)</f>
        <v>238.005</v>
      </c>
      <c r="AD17" s="367">
        <f>IF(
  SUM(
    COUNTIFS('발전사업(A)'!$G:$G, AC$2, '발전사업(A)'!$Q:$Q, $J17, '발전사업(A)'!$C:$C, $L$1),
    COUNTIFS('자가소비(B)'!$G:$G, AC$2, '자가소비(B)'!$Q:$Q, $J17, '자가소비(B)'!$C:$C, $L$1),
    COUNTIFS('PPA 사업(C)'!$G:$G, AC$2, 'PPA 사업(C)'!$Q:$Q, $J17, 'PPA 사업(C)'!$C:$C, $L$1),
    COUNTIFS('리스사업(D)'!$G:$G, AC$2, '리스사업(D)'!$Q:$Q, $J17, '리스사업(D)'!$C:$C, $L$1),
    COUNTIFS('임대사업(E)'!$G:$G, AC$2, '임대사업(E)'!$Q:$Q, $J17, '임대사업(E)'!$C:$C, $L$1),
    COUNTIFS('환경부사업(F)'!$G:$G, AC$2, '환경부사업(F)'!$Q:$Q, $J17, '환경부사업(F)'!$C:$C, $L$1),
    COUNTIFS('프로젝트(G)'!$G:$G, AC$2, '프로젝트(G)'!$Q:$Q, $J17, '프로젝트(G)'!$C:$C, $L$1),
    COUNTIFS('협력사 EPC(H)'!$G:$G, AC$2, '협력사 EPC(H)'!$Q:$Q, $J17, '협력사 EPC(H)'!$C:$C, $L$1),
    COUNTIFS('기타(Z)'!$G:$G, AC$2, '기타(Z)'!$Q:$Q, $J17, '기타(Z)'!$C:$C, $L$1)
  ) = 0,
  "",
  COUNTIFS('발전사업(A)'!$G:$G, AC$2, '발전사업(A)'!$Q:$Q, $J17, '발전사업(A)'!$C:$C, $L$1)
  + COUNTIFS('자가소비(B)'!$G:$G, AC$2, '자가소비(B)'!$Q:$Q, $J17, '자가소비(B)'!$C:$C, $L$1)
  + COUNTIFS('PPA 사업(C)'!$G:$G, AC$2, 'PPA 사업(C)'!$Q:$Q, $J17, 'PPA 사업(C)'!$C:$C, $L$1)
  + COUNTIFS('리스사업(D)'!$G:$G, AC$2, '리스사업(D)'!$Q:$Q, $J17, '리스사업(D)'!$C:$C, $L$1)
  + COUNTIFS('임대사업(E)'!$G:$G, AC$2, '임대사업(E)'!$Q:$Q, $J17, '임대사업(E)'!$C:$C, $L$1)
  + COUNTIFS('환경부사업(F)'!$G:$G, AC$2, '환경부사업(F)'!$Q:$Q, $J17, '환경부사업(F)'!$C:$C, $L$1)
  + COUNTIFS('프로젝트(G)'!$G:$G, AC$2, '프로젝트(G)'!$Q:$Q, $J17, '프로젝트(G)'!$C:$C, $L$1)
  + COUNTIFS('협력사 EPC(H)'!$G:$G, AC$2, '협력사 EPC(H)'!$Q:$Q, $J17, '협력사 EPC(H)'!$C:$C, $L$1)
  + COUNTIFS('기타(Z)'!$G:$G, AC$2, '기타(Z)'!$Q:$Q, $J17, '기타(Z)'!$C:$C, $L$1)
)</f>
        <v>3</v>
      </c>
      <c r="AE17" s="366" t="str">
        <f>IF(
  SUM(
    SUMIFS('발전사업(A)'!$I:$I,'발전사업(A)'!$G:$G,AE$2,'발전사업(A)'!$Q:$Q,$J17,'발전사업(A)'!$C:$C,$L$1),
    SUMIFS('자가소비(B)'!$I:$I,'자가소비(B)'!$G:$G,AE$2,'자가소비(B)'!$Q:$Q,$J17,'자가소비(B)'!$C:$C,$L$1),
    SUMIFS('PPA 사업(C)'!$I:$I,'PPA 사업(C)'!$G:$G,AE$2,'PPA 사업(C)'!$Q:$Q,$J17,'PPA 사업(C)'!$C:$C,$L$1),
    SUMIFS('리스사업(D)'!$I:$I,'리스사업(D)'!$G:$G,AE$2,'리스사업(D)'!$Q:$Q,$J17,'리스사업(D)'!$C:$C,$L$1),
    SUMIFS('임대사업(E)'!$I:$I,'임대사업(E)'!$G:$G,AE$2,'임대사업(E)'!$Q:$Q,$J17,'임대사업(E)'!$C:$C,$L$1),
    SUMIFS('환경부사업(F)'!$I:$I,'환경부사업(F)'!$G:$G,AE$2,'환경부사업(F)'!$Q:$Q,$J17,'환경부사업(F)'!$C:$C,$L$1),
    SUMIFS('프로젝트(G)'!$I:$I,'프로젝트(G)'!$G:$G,AE$2,'프로젝트(G)'!$Q:$Q,$J17,'프로젝트(G)'!$C:$C,$L$1),
    SUMIFS('협력사 EPC(H)'!$I:$I,'협력사 EPC(H)'!$G:$G,AE$2,'협력사 EPC(H)'!$Q:$Q,$J17,'협력사 EPC(H)'!$C:$C,$L$1),
    SUMIFS('기타(Z)'!$I:$I,'기타(Z)'!$G:$G,AE$2,'기타(Z)'!$Q:$Q,$J17,'기타(Z)'!$C:$C,$L$1)
  )=0,
  "",
  SUM(
    SUMIFS('발전사업(A)'!$I:$I,'발전사업(A)'!$G:$G,AE$2,'발전사업(A)'!$Q:$Q,$J17,'발전사업(A)'!$C:$C,$L$1),
    SUMIFS('자가소비(B)'!$I:$I,'자가소비(B)'!$G:$G,AE$2,'자가소비(B)'!$Q:$Q,$J17,'자가소비(B)'!$C:$C,$L$1),
    SUMIFS('PPA 사업(C)'!$I:$I,'PPA 사업(C)'!$G:$G,AE$2,'PPA 사업(C)'!$Q:$Q,$J17,'PPA 사업(C)'!$C:$C,$L$1),
    SUMIFS('리스사업(D)'!$I:$I,'리스사업(D)'!$G:$G,AE$2,'리스사업(D)'!$Q:$Q,$J17,'리스사업(D)'!$C:$C,$L$1),
    SUMIFS('임대사업(E)'!$I:$I,'임대사업(E)'!$G:$G,AE$2,'임대사업(E)'!$Q:$Q,$J17,'임대사업(E)'!$C:$C,$L$1),
    SUMIFS('환경부사업(F)'!$I:$I,'환경부사업(F)'!$G:$G,AE$2,'환경부사업(F)'!$Q:$Q,$J17,'환경부사업(F)'!$C:$C,$L$1),
    SUMIFS('프로젝트(G)'!$I:$I,'프로젝트(G)'!$G:$G,AE$2,'프로젝트(G)'!$Q:$Q,$J17,'프로젝트(G)'!$C:$C,$L$1),
    SUMIFS('협력사 EPC(H)'!$I:$I,'협력사 EPC(H)'!$G:$G,AE$2,'협력사 EPC(H)'!$Q:$Q,$J17,'협력사 EPC(H)'!$C:$C,$L$1),
    SUMIFS('기타(Z)'!$I:$I,'기타(Z)'!$G:$G,AE$2,'기타(Z)'!$Q:$Q,$J17,'기타(Z)'!$C:$C,$L$1)
  )
)</f>
        <v/>
      </c>
      <c r="AF17" s="367" t="str">
        <f>IF(
  SUM(
    COUNTIFS('발전사업(A)'!$G:$G, AE$2, '발전사업(A)'!$Q:$Q, $J17, '발전사업(A)'!$C:$C, $L$1),
    COUNTIFS('자가소비(B)'!$G:$G, AE$2, '자가소비(B)'!$Q:$Q, $J17, '자가소비(B)'!$C:$C, $L$1),
    COUNTIFS('PPA 사업(C)'!$G:$G, AE$2, 'PPA 사업(C)'!$Q:$Q, $J17, 'PPA 사업(C)'!$C:$C, $L$1),
    COUNTIFS('리스사업(D)'!$G:$G, AE$2, '리스사업(D)'!$Q:$Q, $J17, '리스사업(D)'!$C:$C, $L$1),
    COUNTIFS('임대사업(E)'!$G:$G, AE$2, '임대사업(E)'!$Q:$Q, $J17, '임대사업(E)'!$C:$C, $L$1),
    COUNTIFS('환경부사업(F)'!$G:$G, AE$2, '환경부사업(F)'!$Q:$Q, $J17, '환경부사업(F)'!$C:$C, $L$1),
    COUNTIFS('프로젝트(G)'!$G:$G, AE$2, '프로젝트(G)'!$Q:$Q, $J17, '프로젝트(G)'!$C:$C, $L$1),
    COUNTIFS('협력사 EPC(H)'!$G:$G, AE$2, '협력사 EPC(H)'!$Q:$Q, $J17, '협력사 EPC(H)'!$C:$C, $L$1),
    COUNTIFS('기타(Z)'!$G:$G, AE$2, '기타(Z)'!$Q:$Q, $J17, '기타(Z)'!$C:$C, $L$1)
  ) = 0,
  "",
  COUNTIFS('발전사업(A)'!$G:$G, AE$2, '발전사업(A)'!$Q:$Q, $J17, '발전사업(A)'!$C:$C, $L$1)
  + COUNTIFS('자가소비(B)'!$G:$G, AE$2, '자가소비(B)'!$Q:$Q, $J17, '자가소비(B)'!$C:$C, $L$1)
  + COUNTIFS('PPA 사업(C)'!$G:$G, AE$2, 'PPA 사업(C)'!$Q:$Q, $J17, 'PPA 사업(C)'!$C:$C, $L$1)
  + COUNTIFS('리스사업(D)'!$G:$G, AE$2, '리스사업(D)'!$Q:$Q, $J17, '리스사업(D)'!$C:$C, $L$1)
  + COUNTIFS('임대사업(E)'!$G:$G, AE$2, '임대사업(E)'!$Q:$Q, $J17, '임대사업(E)'!$C:$C, $L$1)
  + COUNTIFS('환경부사업(F)'!$G:$G, AE$2, '환경부사업(F)'!$Q:$Q, $J17, '환경부사업(F)'!$C:$C, $L$1)
  + COUNTIFS('프로젝트(G)'!$G:$G, AE$2, '프로젝트(G)'!$Q:$Q, $J17, '프로젝트(G)'!$C:$C, $L$1)
  + COUNTIFS('협력사 EPC(H)'!$G:$G, AE$2, '협력사 EPC(H)'!$Q:$Q, $J17, '협력사 EPC(H)'!$C:$C, $L$1)
  + COUNTIFS('기타(Z)'!$G:$G, AE$2, '기타(Z)'!$Q:$Q, $J17, '기타(Z)'!$C:$C, $L$1)
)</f>
        <v/>
      </c>
      <c r="AG17" s="366" t="str">
        <f>IF(
  SUM(
    SUMIFS('발전사업(A)'!$I:$I,'발전사업(A)'!$G:$G,AG$2,'발전사업(A)'!$Q:$Q,$J17,'발전사업(A)'!$C:$C,$L$1),
    SUMIFS('자가소비(B)'!$I:$I,'자가소비(B)'!$G:$G,AG$2,'자가소비(B)'!$Q:$Q,$J17,'자가소비(B)'!$C:$C,$L$1),
    SUMIFS('PPA 사업(C)'!$I:$I,'PPA 사업(C)'!$G:$G,AG$2,'PPA 사업(C)'!$Q:$Q,$J17,'PPA 사업(C)'!$C:$C,$L$1),
    SUMIFS('리스사업(D)'!$I:$I,'리스사업(D)'!$G:$G,AG$2,'리스사업(D)'!$Q:$Q,$J17,'리스사업(D)'!$C:$C,$L$1),
    SUMIFS('임대사업(E)'!$I:$I,'임대사업(E)'!$G:$G,AG$2,'임대사업(E)'!$Q:$Q,$J17,'임대사업(E)'!$C:$C,$L$1),
    SUMIFS('환경부사업(F)'!$I:$I,'환경부사업(F)'!$G:$G,AG$2,'환경부사업(F)'!$Q:$Q,$J17,'환경부사업(F)'!$C:$C,$L$1),
    SUMIFS('프로젝트(G)'!$I:$I,'프로젝트(G)'!$G:$G,AG$2,'프로젝트(G)'!$Q:$Q,$J17,'프로젝트(G)'!$C:$C,$L$1),
    SUMIFS('협력사 EPC(H)'!$I:$I,'협력사 EPC(H)'!$G:$G,AG$2,'협력사 EPC(H)'!$Q:$Q,$J17,'협력사 EPC(H)'!$C:$C,$L$1),
    SUMIFS('기타(Z)'!$I:$I,'기타(Z)'!$G:$G,AG$2,'기타(Z)'!$Q:$Q,$J17,'기타(Z)'!$C:$C,$L$1)
  )=0,
  "",
  SUM(
    SUMIFS('발전사업(A)'!$I:$I,'발전사업(A)'!$G:$G,AG$2,'발전사업(A)'!$Q:$Q,$J17,'발전사업(A)'!$C:$C,$L$1),
    SUMIFS('자가소비(B)'!$I:$I,'자가소비(B)'!$G:$G,AG$2,'자가소비(B)'!$Q:$Q,$J17,'자가소비(B)'!$C:$C,$L$1),
    SUMIFS('PPA 사업(C)'!$I:$I,'PPA 사업(C)'!$G:$G,AG$2,'PPA 사업(C)'!$Q:$Q,$J17,'PPA 사업(C)'!$C:$C,$L$1),
    SUMIFS('리스사업(D)'!$I:$I,'리스사업(D)'!$G:$G,AG$2,'리스사업(D)'!$Q:$Q,$J17,'리스사업(D)'!$C:$C,$L$1),
    SUMIFS('임대사업(E)'!$I:$I,'임대사업(E)'!$G:$G,AG$2,'임대사업(E)'!$Q:$Q,$J17,'임대사업(E)'!$C:$C,$L$1),
    SUMIFS('환경부사업(F)'!$I:$I,'환경부사업(F)'!$G:$G,AG$2,'환경부사업(F)'!$Q:$Q,$J17,'환경부사업(F)'!$C:$C,$L$1),
    SUMIFS('프로젝트(G)'!$I:$I,'프로젝트(G)'!$G:$G,AG$2,'프로젝트(G)'!$Q:$Q,$J17,'프로젝트(G)'!$C:$C,$L$1),
    SUMIFS('협력사 EPC(H)'!$I:$I,'협력사 EPC(H)'!$G:$G,AG$2,'협력사 EPC(H)'!$Q:$Q,$J17,'협력사 EPC(H)'!$C:$C,$L$1),
    SUMIFS('기타(Z)'!$I:$I,'기타(Z)'!$G:$G,AG$2,'기타(Z)'!$Q:$Q,$J17,'기타(Z)'!$C:$C,$L$1)
  )
)</f>
        <v/>
      </c>
      <c r="AH17" s="367" t="str">
        <f>IF(
  SUM(
    COUNTIFS('발전사업(A)'!$G:$G, AG$2, '발전사업(A)'!$Q:$Q, $J17, '발전사업(A)'!$C:$C, $L$1),
    COUNTIFS('자가소비(B)'!$G:$G, AG$2, '자가소비(B)'!$Q:$Q, $J17, '자가소비(B)'!$C:$C, $L$1),
    COUNTIFS('PPA 사업(C)'!$G:$G, AG$2, 'PPA 사업(C)'!$Q:$Q, $J17, 'PPA 사업(C)'!$C:$C, $L$1),
    COUNTIFS('리스사업(D)'!$G:$G, AG$2, '리스사업(D)'!$Q:$Q, $J17, '리스사업(D)'!$C:$C, $L$1),
    COUNTIFS('임대사업(E)'!$G:$G, AG$2, '임대사업(E)'!$Q:$Q, $J17, '임대사업(E)'!$C:$C, $L$1),
    COUNTIFS('환경부사업(F)'!$G:$G, AG$2, '환경부사업(F)'!$Q:$Q, $J17, '환경부사업(F)'!$C:$C, $L$1),
    COUNTIFS('프로젝트(G)'!$G:$G, AG$2, '프로젝트(G)'!$Q:$Q, $J17, '프로젝트(G)'!$C:$C, $L$1),
    COUNTIFS('협력사 EPC(H)'!$G:$G, AG$2, '협력사 EPC(H)'!$Q:$Q, $J17, '협력사 EPC(H)'!$C:$C, $L$1),
    COUNTIFS('기타(Z)'!$G:$G, AG$2, '기타(Z)'!$Q:$Q, $J17, '기타(Z)'!$C:$C, $L$1)
  ) = 0,
  "",
  COUNTIFS('발전사업(A)'!$G:$G, AG$2, '발전사업(A)'!$Q:$Q, $J17, '발전사업(A)'!$C:$C, $L$1)
  + COUNTIFS('자가소비(B)'!$G:$G, AG$2, '자가소비(B)'!$Q:$Q, $J17, '자가소비(B)'!$C:$C, $L$1)
  + COUNTIFS('PPA 사업(C)'!$G:$G, AG$2, 'PPA 사업(C)'!$Q:$Q, $J17, 'PPA 사업(C)'!$C:$C, $L$1)
  + COUNTIFS('리스사업(D)'!$G:$G, AG$2, '리스사업(D)'!$Q:$Q, $J17, '리스사업(D)'!$C:$C, $L$1)
  + COUNTIFS('임대사업(E)'!$G:$G, AG$2, '임대사업(E)'!$Q:$Q, $J17, '임대사업(E)'!$C:$C, $L$1)
  + COUNTIFS('환경부사업(F)'!$G:$G, AG$2, '환경부사업(F)'!$Q:$Q, $J17, '환경부사업(F)'!$C:$C, $L$1)
  + COUNTIFS('프로젝트(G)'!$G:$G, AG$2, '프로젝트(G)'!$Q:$Q, $J17, '프로젝트(G)'!$C:$C, $L$1)
  + COUNTIFS('협력사 EPC(H)'!$G:$G, AG$2, '협력사 EPC(H)'!$Q:$Q, $J17, '협력사 EPC(H)'!$C:$C, $L$1)
  + COUNTIFS('기타(Z)'!$G:$G, AG$2, '기타(Z)'!$Q:$Q, $J17, '기타(Z)'!$C:$C, $L$1)
)</f>
        <v/>
      </c>
      <c r="AI17" s="366" t="str">
        <f>IF(
  SUM(
    SUMIFS('발전사업(A)'!$I:$I,'발전사업(A)'!$G:$G,AI$2,'발전사업(A)'!$Q:$Q,$J17,'발전사업(A)'!$C:$C,$L$1),
    SUMIFS('자가소비(B)'!$I:$I,'자가소비(B)'!$G:$G,AI$2,'자가소비(B)'!$Q:$Q,$J17,'자가소비(B)'!$C:$C,$L$1),
    SUMIFS('PPA 사업(C)'!$I:$I,'PPA 사업(C)'!$G:$G,AI$2,'PPA 사업(C)'!$Q:$Q,$J17,'PPA 사업(C)'!$C:$C,$L$1),
    SUMIFS('리스사업(D)'!$I:$I,'리스사업(D)'!$G:$G,AI$2,'리스사업(D)'!$Q:$Q,$J17,'리스사업(D)'!$C:$C,$L$1),
    SUMIFS('임대사업(E)'!$I:$I,'임대사업(E)'!$G:$G,AI$2,'임대사업(E)'!$Q:$Q,$J17,'임대사업(E)'!$C:$C,$L$1),
    SUMIFS('환경부사업(F)'!$I:$I,'환경부사업(F)'!$G:$G,AI$2,'환경부사업(F)'!$Q:$Q,$J17,'환경부사업(F)'!$C:$C,$L$1),
    SUMIFS('프로젝트(G)'!$I:$I,'프로젝트(G)'!$G:$G,AI$2,'프로젝트(G)'!$Q:$Q,$J17,'프로젝트(G)'!$C:$C,$L$1),
    SUMIFS('협력사 EPC(H)'!$I:$I,'협력사 EPC(H)'!$G:$G,AI$2,'협력사 EPC(H)'!$Q:$Q,$J17,'협력사 EPC(H)'!$C:$C,$L$1),
    SUMIFS('기타(Z)'!$I:$I,'기타(Z)'!$G:$G,AI$2,'기타(Z)'!$Q:$Q,$J17,'기타(Z)'!$C:$C,$L$1)
  )=0,
  "",
  SUM(
    SUMIFS('발전사업(A)'!$I:$I,'발전사업(A)'!$G:$G,AI$2,'발전사업(A)'!$Q:$Q,$J17,'발전사업(A)'!$C:$C,$L$1),
    SUMIFS('자가소비(B)'!$I:$I,'자가소비(B)'!$G:$G,AI$2,'자가소비(B)'!$Q:$Q,$J17,'자가소비(B)'!$C:$C,$L$1),
    SUMIFS('PPA 사업(C)'!$I:$I,'PPA 사업(C)'!$G:$G,AI$2,'PPA 사업(C)'!$Q:$Q,$J17,'PPA 사업(C)'!$C:$C,$L$1),
    SUMIFS('리스사업(D)'!$I:$I,'리스사업(D)'!$G:$G,AI$2,'리스사업(D)'!$Q:$Q,$J17,'리스사업(D)'!$C:$C,$L$1),
    SUMIFS('임대사업(E)'!$I:$I,'임대사업(E)'!$G:$G,AI$2,'임대사업(E)'!$Q:$Q,$J17,'임대사업(E)'!$C:$C,$L$1),
    SUMIFS('환경부사업(F)'!$I:$I,'환경부사업(F)'!$G:$G,AI$2,'환경부사업(F)'!$Q:$Q,$J17,'환경부사업(F)'!$C:$C,$L$1),
    SUMIFS('프로젝트(G)'!$I:$I,'프로젝트(G)'!$G:$G,AI$2,'프로젝트(G)'!$Q:$Q,$J17,'프로젝트(G)'!$C:$C,$L$1),
    SUMIFS('협력사 EPC(H)'!$I:$I,'협력사 EPC(H)'!$G:$G,AI$2,'협력사 EPC(H)'!$Q:$Q,$J17,'협력사 EPC(H)'!$C:$C,$L$1),
    SUMIFS('기타(Z)'!$I:$I,'기타(Z)'!$G:$G,AI$2,'기타(Z)'!$Q:$Q,$J17,'기타(Z)'!$C:$C,$L$1)
  )
)</f>
        <v/>
      </c>
      <c r="AJ17" s="365" t="str">
        <f>IF(
  SUM(
    COUNTIFS('발전사업(A)'!$G:$G, AI$2, '발전사업(A)'!$Q:$Q, $J17, '발전사업(A)'!$C:$C, $L$1),
    COUNTIFS('자가소비(B)'!$G:$G, AI$2, '자가소비(B)'!$Q:$Q, $J17, '자가소비(B)'!$C:$C, $L$1),
    COUNTIFS('PPA 사업(C)'!$G:$G, AI$2, 'PPA 사업(C)'!$Q:$Q, $J17, 'PPA 사업(C)'!$C:$C, $L$1),
    COUNTIFS('리스사업(D)'!$G:$G, AI$2, '리스사업(D)'!$Q:$Q, $J17, '리스사업(D)'!$C:$C, $L$1),
    COUNTIFS('임대사업(E)'!$G:$G, AI$2, '임대사업(E)'!$Q:$Q, $J17, '임대사업(E)'!$C:$C, $L$1),
    COUNTIFS('환경부사업(F)'!$G:$G, AI$2, '환경부사업(F)'!$Q:$Q, $J17, '환경부사업(F)'!$C:$C, $L$1),
    COUNTIFS('프로젝트(G)'!$G:$G, AI$2, '프로젝트(G)'!$Q:$Q, $J17, '프로젝트(G)'!$C:$C, $L$1),
    COUNTIFS('협력사 EPC(H)'!$G:$G, AI$2, '협력사 EPC(H)'!$Q:$Q, $J17, '협력사 EPC(H)'!$C:$C, $L$1),
    COUNTIFS('기타(Z)'!$G:$G, AI$2, '기타(Z)'!$Q:$Q, $J17, '기타(Z)'!$C:$C, $L$1)
  ) = 0,
  "",
  COUNTIFS('발전사업(A)'!$G:$G, AI$2, '발전사업(A)'!$Q:$Q, $J17, '발전사업(A)'!$C:$C, $L$1)
  + COUNTIFS('자가소비(B)'!$G:$G, AI$2, '자가소비(B)'!$Q:$Q, $J17, '자가소비(B)'!$C:$C, $L$1)
  + COUNTIFS('PPA 사업(C)'!$G:$G, AI$2, 'PPA 사업(C)'!$Q:$Q, $J17, 'PPA 사업(C)'!$C:$C, $L$1)
  + COUNTIFS('리스사업(D)'!$G:$G, AI$2, '리스사업(D)'!$Q:$Q, $J17, '리스사업(D)'!$C:$C, $L$1)
  + COUNTIFS('임대사업(E)'!$G:$G, AI$2, '임대사업(E)'!$Q:$Q, $J17, '임대사업(E)'!$C:$C, $L$1)
  + COUNTIFS('환경부사업(F)'!$G:$G, AI$2, '환경부사업(F)'!$Q:$Q, $J17, '환경부사업(F)'!$C:$C, $L$1)
  + COUNTIFS('프로젝트(G)'!$G:$G, AI$2, '프로젝트(G)'!$Q:$Q, $J17, '프로젝트(G)'!$C:$C, $L$1)
  + COUNTIFS('협력사 EPC(H)'!$G:$G, AI$2, '협력사 EPC(H)'!$Q:$Q, $J17, '협력사 EPC(H)'!$C:$C, $L$1)
  + COUNTIFS('기타(Z)'!$G:$G, AI$2, '기타(Z)'!$Q:$Q, $J17, '기타(Z)'!$C:$C, $L$1)
)</f>
        <v/>
      </c>
    </row>
    <row r="18" spans="2:36" ht="15" x14ac:dyDescent="0.25">
      <c r="B18" s="195" t="s">
        <v>153</v>
      </c>
      <c r="C18" s="262">
        <f>IF(
  SUM(
    SUMIFS('발전사업(A)'!I:I, '발전사업(A)'!C:C, $E$1, '발전사업(A)'!G:G, B15, '발전사업(A)'!X:X, B18),
    SUMIFS('자가소비(B)'!I:I, '자가소비(B)'!C:C, $E$1, '자가소비(B)'!G:G, B15, '자가소비(B)'!X:X, B18),
    SUMIFS('PPA 사업(C)'!I:I, 'PPA 사업(C)'!C:C, $E$1, 'PPA 사업(C)'!G:G, B15, 'PPA 사업(C)'!X:X, B18),
    SUMIFS('리스사업(D)'!I:I, '리스사업(D)'!C:C, $E$1, '리스사업(D)'!G:G, B15, '리스사업(D)'!X:X, B18),
    SUMIFS('임대사업(E)'!I:I, '임대사업(E)'!C:C, $E$1, '임대사업(E)'!G:G, B15, '임대사업(E)'!X:X, B18),
    SUMIFS('환경부사업(F)'!I:I, '환경부사업(F)'!C:C, $E$1, '환경부사업(F)'!G:G, B15, '환경부사업(F)'!X:X, B18),
    SUMIFS('프로젝트(G)'!I:I, '프로젝트(G)'!C:C, $E$1, '프로젝트(G)'!G:G, B15, '프로젝트(G)'!X:X, B18),
    SUMIFS('협력사 EPC(H)'!I:I, '협력사 EPC(H)'!C:C, $E$1, '협력사 EPC(H)'!G:G, B15, '협력사 EPC(H)'!X:X, B18),
    SUMIFS('기타(Z)'!I:I, '기타(Z)'!C:C, $E$1, '기타(Z)'!G:G, B15, '기타(Z)'!X:X, B18)
  ) = 0,
  "",
  SUMIFS('발전사업(A)'!I:I, '발전사업(A)'!C:C, $E$1, '발전사업(A)'!G:G, B15, '발전사업(A)'!X:X, B18)
  + SUMIFS('자가소비(B)'!I:I, '자가소비(B)'!C:C, $E$1, '자가소비(B)'!G:G, B15, '자가소비(B)'!X:X, B18)
  + SUMIFS('PPA 사업(C)'!I:I, 'PPA 사업(C)'!C:C, $E$1, 'PPA 사업(C)'!G:G, B15, 'PPA 사업(C)'!X:X, B18)
  + SUMIFS('리스사업(D)'!I:I, '리스사업(D)'!C:C, $E$1, '리스사업(D)'!G:G, B15, '리스사업(D)'!X:X, B18)
  + SUMIFS('임대사업(E)'!I:I, '임대사업(E)'!C:C, $E$1, '임대사업(E)'!G:G, B15, '임대사업(E)'!X:X, B18)
  + SUMIFS('환경부사업(F)'!I:I, '환경부사업(F)'!C:C, $E$1, '환경부사업(F)'!G:G, B15, '환경부사업(F)'!X:X, B18)
  + SUMIFS('프로젝트(G)'!I:I, '프로젝트(G)'!C:C, $E$1, '프로젝트(G)'!G:G, B15, '프로젝트(G)'!X:X, B18)
  + SUMIFS('협력사 EPC(H)'!I:I, '협력사 EPC(H)'!C:C, $E$1, '협력사 EPC(H)'!G:G, B15, '협력사 EPC(H)'!X:X, B18)
  + SUMIFS('기타(Z)'!I:I, '기타(Z)'!C:C, $E$1, '기타(Z)'!G:G, B15, '기타(Z)'!X:X, B18)
)</f>
        <v>501.81</v>
      </c>
      <c r="D18" s="263">
        <f>IF(
  COUNTIFS('발전사업(A)'!C:C, $E$1, '발전사업(A)'!G:G, B15, '발전사업(A)'!X:X, B18)
  + COUNTIFS('자가소비(B)'!C:C, $E$1, '자가소비(B)'!G:G, B15, '자가소비(B)'!X:X, B18)
  + COUNTIFS('PPA 사업(C)'!C:C, $E$1, 'PPA 사업(C)'!G:G, B15, 'PPA 사업(C)'!X:X, B18)
  + COUNTIFS('리스사업(D)'!C:C, $E$1, '리스사업(D)'!G:G, B15, '리스사업(D)'!X:X, B18)
  + COUNTIFS('임대사업(E)'!C:C, $E$1, '임대사업(E)'!G:G, B15, '임대사업(E)'!X:X, B18)
  + COUNTIFS('환경부사업(F)'!C:C, $E$1, '환경부사업(F)'!G:G, B15, '환경부사업(F)'!X:X, B18)
  + COUNTIFS('프로젝트(G)'!C:C, $E$1, '프로젝트(G)'!G:G, B15, '프로젝트(G)'!X:X, B18)
  + COUNTIFS('협력사 EPC(H)'!C:C, $E$1, '협력사 EPC(H)'!G:G, B15, '협력사 EPC(H)'!X:X, B18)
  + COUNTIFS('기타(Z)'!C:C, $E$1, '기타(Z)'!G:G, B15, '기타(Z)'!X:X, B18)
  = 0,
  "",
  COUNTIFS('발전사업(A)'!C:C, $E$1, '발전사업(A)'!G:G, B15, '발전사업(A)'!X:X, B18)
  + COUNTIFS('자가소비(B)'!C:C, $E$1, '자가소비(B)'!G:G, B15, '자가소비(B)'!X:X, B18)
  + COUNTIFS('PPA 사업(C)'!C:C, $E$1, 'PPA 사업(C)'!G:G, B15, 'PPA 사업(C)'!X:X, B18)
  + COUNTIFS('리스사업(D)'!C:C, $E$1, '리스사업(D)'!G:G, B15, '리스사업(D)'!X:X, B18)
  + COUNTIFS('임대사업(E)'!C:C, $E$1, '임대사업(E)'!G:G, B15, '임대사업(E)'!X:X, B18)
  + COUNTIFS('환경부사업(F)'!C:C, $E$1, '환경부사업(F)'!G:G, B15, '환경부사업(F)'!X:X, B18)
  + COUNTIFS('프로젝트(G)'!C:C, $E$1, '프로젝트(G)'!G:G, B15, '프로젝트(G)'!X:X, B18)
  + COUNTIFS('협력사 EPC(H)'!C:C, $E$1, '협력사 EPC(H)'!G:G, B15, '협력사 EPC(H)'!X:X, B18)
  + COUNTIFS('기타(Z)'!C:C, $E$1, '기타(Z)'!G:G, B15, '기타(Z)'!X:X, B18)
)</f>
        <v>2</v>
      </c>
      <c r="E18" s="262">
        <f>IF(
  SUM(
    SUMIFS('발전사업(A)'!I:I, '발전사업(A)'!C:C, $E$1, '발전사업(A)'!G:G, B15, '발전사업(A)'!X:X, B18, '발전사업(A)'!U:U, $C$1),
    SUMIFS('자가소비(B)'!I:I, '자가소비(B)'!C:C, $E$1, '자가소비(B)'!G:G, B15, '자가소비(B)'!X:X, B18, '자가소비(B)'!U:U, $C$1),
    SUMIFS('PPA 사업(C)'!I:I, 'PPA 사업(C)'!C:C, $E$1, 'PPA 사업(C)'!G:G, B15, 'PPA 사업(C)'!X:X, B18, 'PPA 사업(C)'!U:U, $C$1),
    SUMIFS('리스사업(D)'!I:I, '리스사업(D)'!C:C, $E$1, '리스사업(D)'!G:G, B15, '리스사업(D)'!X:X, B18, '리스사업(D)'!U:U, $C$1),
    SUMIFS('임대사업(E)'!I:I, '임대사업(E)'!C:C, $E$1, '임대사업(E)'!G:G, B15, '임대사업(E)'!X:X, B18, '임대사업(E)'!U:U, $C$1),
    SUMIFS('환경부사업(F)'!I:I, '환경부사업(F)'!C:C, $E$1, '환경부사업(F)'!G:G, B15, '환경부사업(F)'!X:X, B18, '환경부사업(F)'!U:U, $C$1),
    SUMIFS('프로젝트(G)'!I:I, '프로젝트(G)'!C:C, $E$1, '프로젝트(G)'!G:G, B15, '프로젝트(G)'!X:X, B18, '프로젝트(G)'!U:U, $C$1),
    SUMIFS('협력사 EPC(H)'!I:I, '협력사 EPC(H)'!C:C, $E$1, '협력사 EPC(H)'!G:G, B15, '협력사 EPC(H)'!X:X, B18, '협력사 EPC(H)'!U:U, $C$1),
    SUMIFS('기타(Z)'!I:I, '기타(Z)'!C:C, $E$1, '기타(Z)'!G:G, B15, '기타(Z)'!X:X, B18, '기타(Z)'!U:U, $C$1)
  ) = 0,
  "",
  SUM(
    SUMIFS('발전사업(A)'!I:I, '발전사업(A)'!C:C, $E$1, '발전사업(A)'!G:G, B15, '발전사업(A)'!X:X, B18, '발전사업(A)'!U:U, $C$1),
    SUMIFS('자가소비(B)'!I:I, '자가소비(B)'!C:C, $E$1, '자가소비(B)'!G:G, B15, '자가소비(B)'!X:X, B18, '자가소비(B)'!U:U, $C$1),
    SUMIFS('PPA 사업(C)'!I:I, 'PPA 사업(C)'!C:C, $E$1, 'PPA 사업(C)'!G:G, B15, 'PPA 사업(C)'!X:X, B18, 'PPA 사업(C)'!U:U, $C$1),
    SUMIFS('리스사업(D)'!I:I, '리스사업(D)'!C:C, $E$1, '리스사업(D)'!G:G, B15, '리스사업(D)'!X:X, B18, '리스사업(D)'!U:U, $C$1),
    SUMIFS('임대사업(E)'!I:I, '임대사업(E)'!C:C, $E$1, '임대사업(E)'!G:G, B15, '임대사업(E)'!X:X, B18, '임대사업(E)'!U:U, $C$1),
    SUMIFS('환경부사업(F)'!I:I, '환경부사업(F)'!C:C, $E$1, '환경부사업(F)'!G:G, B15, '환경부사업(F)'!X:X, B18, '환경부사업(F)'!U:U, $C$1),
    SUMIFS('프로젝트(G)'!I:I, '프로젝트(G)'!C:C, $E$1, '프로젝트(G)'!G:G, B15, '프로젝트(G)'!X:X, B18, '프로젝트(G)'!U:U, $C$1),
    SUMIFS('협력사 EPC(H)'!I:I, '협력사 EPC(H)'!C:C, $E$1, '협력사 EPC(H)'!G:G, B15, '협력사 EPC(H)'!X:X, B18, '협력사 EPC(H)'!U:U, $C$1),
    SUMIFS('기타(Z)'!I:I, '기타(Z)'!C:C, $E$1, '기타(Z)'!G:G, B15, '기타(Z)'!X:X, B18, '기타(Z)'!U:U, $C$1)
  )
)</f>
        <v>501.81</v>
      </c>
      <c r="F18" s="263">
        <f>IF(
  SUM(
    COUNTIFS('발전사업(A)'!C:C, $E$1, '발전사업(A)'!G:G, B15, '발전사업(A)'!X:X, B18, '발전사업(A)'!U:U, $C$1),
    COUNTIFS('자가소비(B)'!C:C, $E$1, '자가소비(B)'!G:G, B15, '자가소비(B)'!X:X, B18, '자가소비(B)'!U:U, $C$1),
    COUNTIFS('PPA 사업(C)'!C:C, $E$1, 'PPA 사업(C)'!G:G, B15, 'PPA 사업(C)'!X:X, B18, 'PPA 사업(C)'!U:U, $C$1),
    COUNTIFS('리스사업(D)'!C:C, $E$1, '리스사업(D)'!G:G, B15, '리스사업(D)'!X:X, B18, '리스사업(D)'!U:U, $C$1),
    COUNTIFS('임대사업(E)'!C:C, $E$1, '임대사업(E)'!G:G, B15, '임대사업(E)'!X:X, B18, '임대사업(E)'!U:U, $C$1),
    COUNTIFS('환경부사업(F)'!C:C, $E$1, '환경부사업(F)'!G:G, B15, '환경부사업(F)'!X:X, B18, '환경부사업(F)'!U:U, $C$1),
    COUNTIFS('프로젝트(G)'!C:C, $E$1, '프로젝트(G)'!G:G, B15, '프로젝트(G)'!X:X, B18, '프로젝트(G)'!U:U, $C$1),
    COUNTIFS('협력사 EPC(H)'!C:C, $E$1, '협력사 EPC(H)'!G:G, B15, '협력사 EPC(H)'!X:X, B18, '협력사 EPC(H)'!U:U, $C$1),
    COUNTIFS('기타(Z)'!C:C, $E$1, '기타(Z)'!G:G, B15, '기타(Z)'!X:X, B18, '기타(Z)'!U:U, $C$1)
  ) = 0,
  "",
  SUM(
    COUNTIFS('발전사업(A)'!C:C, $E$1, '발전사업(A)'!G:G, B15, '발전사업(A)'!X:X, B18, '발전사업(A)'!U:U, $C$1),
    COUNTIFS('자가소비(B)'!C:C, $E$1, '자가소비(B)'!G:G, B15, '자가소비(B)'!X:X, B18, '자가소비(B)'!U:U, $C$1),
    COUNTIFS('PPA 사업(C)'!C:C, $E$1, 'PPA 사업(C)'!G:G, B15, 'PPA 사업(C)'!X:X, B18, 'PPA 사업(C)'!U:U, $C$1),
    COUNTIFS('리스사업(D)'!C:C, $E$1, '리스사업(D)'!G:G, B15, '리스사업(D)'!X:X, B18, '리스사업(D)'!U:U, $C$1),
    COUNTIFS('임대사업(E)'!C:C, $E$1, '임대사업(E)'!G:G, B15, '임대사업(E)'!X:X, B18, '임대사업(E)'!U:U, $C$1),
    COUNTIFS('환경부사업(F)'!C:C, $E$1, '환경부사업(F)'!G:G, B15, '환경부사업(F)'!X:X, B18, '환경부사업(F)'!U:U, $C$1),
    COUNTIFS('프로젝트(G)'!C:C, $E$1, '프로젝트(G)'!G:G, B15, '프로젝트(G)'!X:X, B18, '프로젝트(G)'!U:U, $C$1),
    COUNTIFS('협력사 EPC(H)'!C:C, $E$1, '협력사 EPC(H)'!G:G, B15, '협력사 EPC(H)'!X:X, B18, '협력사 EPC(H)'!U:U, $C$1),
    COUNTIFS('기타(Z)'!C:C, $E$1, '기타(Z)'!G:G, B15, '기타(Z)'!X:X, B18, '기타(Z)'!U:U, $C$1)
  )
)</f>
        <v>2</v>
      </c>
      <c r="G18" s="262" t="str">
        <f>IF(
  SUM(
    SUMIFS('발전사업(A)'!I:I, '발전사업(A)'!C:C, $E$1, '발전사업(A)'!G:G, B15, '발전사업(A)'!X:X, B18, '발전사업(A)'!U:U, $D$1),
    SUMIFS('자가소비(B)'!I:I, '자가소비(B)'!C:C, $E$1, '자가소비(B)'!G:G, B15, '자가소비(B)'!X:X, B18, '자가소비(B)'!U:U, $D$1),
    SUMIFS('PPA 사업(C)'!I:I, 'PPA 사업(C)'!C:C, $E$1, 'PPA 사업(C)'!G:G, B15, 'PPA 사업(C)'!X:X, B18, 'PPA 사업(C)'!U:U, $D$1),
    SUMIFS('리스사업(D)'!I:I, '리스사업(D)'!C:C, $E$1, '리스사업(D)'!G:G, B15, '리스사업(D)'!X:X, B18, '리스사업(D)'!U:U, $D$1),
    SUMIFS('임대사업(E)'!I:I, '임대사업(E)'!C:C, $E$1, '임대사업(E)'!G:G, B15, '임대사업(E)'!X:X, B18, '임대사업(E)'!U:U, $D$1),
    SUMIFS('환경부사업(F)'!I:I, '환경부사업(F)'!C:C, $E$1, '환경부사업(F)'!G:G, B15, '환경부사업(F)'!X:X, B18, '환경부사업(F)'!U:U, $D$1),
    SUMIFS('프로젝트(G)'!I:I, '프로젝트(G)'!C:C, $E$1, '프로젝트(G)'!G:G, B15, '프로젝트(G)'!X:X, B18, '프로젝트(G)'!U:U, $D$1),
    SUMIFS('협력사 EPC(H)'!I:I, '협력사 EPC(H)'!C:C, $E$1, '협력사 EPC(H)'!G:G, B15, '협력사 EPC(H)'!X:X, B18, '협력사 EPC(H)'!U:U, $D$1),
    SUMIFS('기타(Z)'!I:I, '기타(Z)'!C:C, $E$1, '기타(Z)'!G:G, B15, '기타(Z)'!X:X, B18, '기타(Z)'!U:U, $D$1)
  ) = 0,
  "",
  SUM(
    SUMIFS('발전사업(A)'!I:I, '발전사업(A)'!C:C, $E$1, '발전사업(A)'!G:G, B15, '발전사업(A)'!X:X, B18, '발전사업(A)'!U:U, $D$1),
    SUMIFS('자가소비(B)'!I:I, '자가소비(B)'!C:C, $E$1, '자가소비(B)'!G:G, B15, '자가소비(B)'!X:X, B18, '자가소비(B)'!U:U, $D$1),
    SUMIFS('PPA 사업(C)'!I:I, 'PPA 사업(C)'!C:C, $E$1, 'PPA 사업(C)'!G:G, B15, 'PPA 사업(C)'!X:X, B18, 'PPA 사업(C)'!U:U, $D$1),
    SUMIFS('리스사업(D)'!I:I, '리스사업(D)'!C:C, $E$1, '리스사업(D)'!G:G, B15, '리스사업(D)'!X:X, B18, '리스사업(D)'!U:U, $D$1),
    SUMIFS('임대사업(E)'!I:I, '임대사업(E)'!C:C, $E$1, '임대사업(E)'!G:G, B15, '임대사업(E)'!X:X, B18, '임대사업(E)'!U:U, $D$1),
    SUMIFS('환경부사업(F)'!I:I, '환경부사업(F)'!C:C, $E$1, '환경부사업(F)'!G:G, B15, '환경부사업(F)'!X:X, B18, '환경부사업(F)'!U:U, $D$1),
    SUMIFS('프로젝트(G)'!I:I, '프로젝트(G)'!C:C, $E$1, '프로젝트(G)'!G:G, B15, '프로젝트(G)'!X:X, B18, '프로젝트(G)'!U:U, $D$1),
    SUMIFS('협력사 EPC(H)'!I:I, '협력사 EPC(H)'!C:C, $E$1, '협력사 EPC(H)'!G:G, B15, '협력사 EPC(H)'!X:X, B18, '협력사 EPC(H)'!U:U, $D$1),
    SUMIFS('기타(Z)'!I:I, '기타(Z)'!C:C, $E$1, '기타(Z)'!G:G, B15, '기타(Z)'!X:X, B18, '기타(Z)'!U:U, $D$1)
  )
)</f>
        <v/>
      </c>
      <c r="H18" s="263" t="str">
        <f>IF(
  (
    COUNTIFS('발전사업(A)'!C:C, $E$1, '발전사업(A)'!G:G, B15, '발전사업(A)'!X:X, B18, '발전사업(A)'!U:U, $D$1)
    + COUNTIFS('자가소비(B)'!C:C, $E$1, '자가소비(B)'!G:G, B15, '자가소비(B)'!X:X, B18, '자가소비(B)'!U:U, $D$1)
    + COUNTIFS('PPA 사업(C)'!C:C, $E$1, 'PPA 사업(C)'!G:G, B15, 'PPA 사업(C)'!X:X, B18, 'PPA 사업(C)'!U:U, $D$1)
    + COUNTIFS('리스사업(D)'!C:C, $E$1, '리스사업(D)'!G:G, B15, '리스사업(D)'!X:X, B18, '리스사업(D)'!U:U, $D$1)
    + COUNTIFS('임대사업(E)'!C:C, $E$1, '임대사업(E)'!G:G, B15, '임대사업(E)'!X:X, B18, '임대사업(E)'!U:U, $D$1)
    + COUNTIFS('환경부사업(F)'!C:C, $E$1, '환경부사업(F)'!G:G, B15, '환경부사업(F)'!X:X, B18, '환경부사업(F)'!U:U, $D$1)
    + COUNTIFS('프로젝트(G)'!C:C, $E$1, '프로젝트(G)'!G:G, B15, '프로젝트(G)'!X:X, B18, '프로젝트(G)'!U:U, $D$1)
    + COUNTIFS('협력사 EPC(H)'!C:C, $E$1, '협력사 EPC(H)'!G:G, B15, '협력사 EPC(H)'!X:X, B18, '협력사 EPC(H)'!U:U, $D$1)
    + COUNTIFS('기타(Z)'!C:C, $E$1, '기타(Z)'!G:G, B15, '기타(Z)'!X:X, B18, '기타(Z)'!U:U, $D$1)
  ) = 0,
  "",
  COUNTIFS('발전사업(A)'!C:C, $E$1, '발전사업(A)'!G:G, B15, '발전사업(A)'!X:X, B18, '발전사업(A)'!U:U, $D$1)
  + COUNTIFS('자가소비(B)'!C:C, $E$1, '자가소비(B)'!G:G, B15, '자가소비(B)'!X:X, B18, '자가소비(B)'!U:U, $D$1)
  + COUNTIFS('PPA 사업(C)'!C:C, $E$1, 'PPA 사업(C)'!G:G, B15, 'PPA 사업(C)'!X:X, B18, 'PPA 사업(C)'!U:U, $D$1)
  + COUNTIFS('리스사업(D)'!C:C, $E$1, '리스사업(D)'!G:G, B15, '리스사업(D)'!X:X, B18, '리스사업(D)'!U:U, $D$1)
  + COUNTIFS('임대사업(E)'!C:C, $E$1, '임대사업(E)'!G:G, B15, '임대사업(E)'!X:X, B18, '임대사업(E)'!U:U, $D$1)
  + COUNTIFS('환경부사업(F)'!C:C, $E$1, '환경부사업(F)'!G:G, B15, '환경부사업(F)'!X:X, B18, '환경부사업(F)'!U:U, $D$1)
  + COUNTIFS('프로젝트(G)'!C:C, $E$1, '프로젝트(G)'!G:G, B15, '프로젝트(G)'!X:X, B18, '프로젝트(G)'!U:U, $D$1)
  + COUNTIFS('협력사 EPC(H)'!C:C, $E$1, '협력사 EPC(H)'!G:G, B15, '협력사 EPC(H)'!X:X, B18, '협력사 EPC(H)'!U:U, $D$1)
  + COUNTIFS('기타(Z)'!C:C, $E$1, '기타(Z)'!G:G, B15, '기타(Z)'!X:X, B18, '기타(Z)'!U:U, $D$1)
)</f>
        <v/>
      </c>
      <c r="J18" s="371" t="s">
        <v>191</v>
      </c>
      <c r="K18" s="354">
        <f t="shared" si="5"/>
        <v>70.95</v>
      </c>
      <c r="L18" s="348">
        <f t="shared" si="6"/>
        <v>1</v>
      </c>
      <c r="M18" s="366" t="str">
        <f>IF(
  SUM(
    SUMIFS('발전사업(A)'!$I:$I,'발전사업(A)'!$G:$G,M$2,'발전사업(A)'!$Q:$Q,$J18,'발전사업(A)'!$C:$C,$L$1),
    SUMIFS('자가소비(B)'!$I:$I,'자가소비(B)'!$G:$G,M$2,'자가소비(B)'!$Q:$Q,$J18,'자가소비(B)'!$C:$C,$L$1),
    SUMIFS('PPA 사업(C)'!$I:$I,'PPA 사업(C)'!$G:$G,M$2,'PPA 사업(C)'!$Q:$Q,$J18,'PPA 사업(C)'!$C:$C,$L$1),
    SUMIFS('리스사업(D)'!$I:$I,'리스사업(D)'!$G:$G,M$2,'리스사업(D)'!$Q:$Q,$J18,'리스사업(D)'!$C:$C,$L$1),
    SUMIFS('임대사업(E)'!$I:$I,'임대사업(E)'!$G:$G,M$2,'임대사업(E)'!$Q:$Q,$J18,'임대사업(E)'!$C:$C,$L$1),
    SUMIFS('환경부사업(F)'!$I:$I,'환경부사업(F)'!$G:$G,M$2,'환경부사업(F)'!$Q:$Q,$J18,'환경부사업(F)'!$C:$C,$L$1),
    SUMIFS('프로젝트(G)'!$I:$I,'프로젝트(G)'!$G:$G,M$2,'프로젝트(G)'!$Q:$Q,$J18,'프로젝트(G)'!$C:$C,$L$1),
    SUMIFS('협력사 EPC(H)'!$I:$I,'협력사 EPC(H)'!$G:$G,M$2,'협력사 EPC(H)'!$Q:$Q,$J18,'협력사 EPC(H)'!$C:$C,$L$1),
    SUMIFS('기타(Z)'!$I:$I,'기타(Z)'!$G:$G,M$2,'기타(Z)'!$Q:$Q,$J18,'기타(Z)'!$C:$C,$L$1)
  )=0,
  "",
  SUM(
    SUMIFS('발전사업(A)'!$I:$I,'발전사업(A)'!$G:$G,M$2,'발전사업(A)'!$Q:$Q,$J18,'발전사업(A)'!$C:$C,$L$1),
    SUMIFS('자가소비(B)'!$I:$I,'자가소비(B)'!$G:$G,M$2,'자가소비(B)'!$Q:$Q,$J18,'자가소비(B)'!$C:$C,$L$1),
    SUMIFS('PPA 사업(C)'!$I:$I,'PPA 사업(C)'!$G:$G,M$2,'PPA 사업(C)'!$Q:$Q,$J18,'PPA 사업(C)'!$C:$C,$L$1),
    SUMIFS('리스사업(D)'!$I:$I,'리스사업(D)'!$G:$G,M$2,'리스사업(D)'!$Q:$Q,$J18,'리스사업(D)'!$C:$C,$L$1),
    SUMIFS('임대사업(E)'!$I:$I,'임대사업(E)'!$G:$G,M$2,'임대사업(E)'!$Q:$Q,$J18,'임대사업(E)'!$C:$C,$L$1),
    SUMIFS('환경부사업(F)'!$I:$I,'환경부사업(F)'!$G:$G,M$2,'환경부사업(F)'!$Q:$Q,$J18,'환경부사업(F)'!$C:$C,$L$1),
    SUMIFS('프로젝트(G)'!$I:$I,'프로젝트(G)'!$G:$G,M$2,'프로젝트(G)'!$Q:$Q,$J18,'프로젝트(G)'!$C:$C,$L$1),
    SUMIFS('협력사 EPC(H)'!$I:$I,'협력사 EPC(H)'!$G:$G,M$2,'협력사 EPC(H)'!$Q:$Q,$J18,'협력사 EPC(H)'!$C:$C,$L$1),
    SUMIFS('기타(Z)'!$I:$I,'기타(Z)'!$G:$G,M$2,'기타(Z)'!$Q:$Q,$J18,'기타(Z)'!$C:$C,$L$1)
  )
)</f>
        <v/>
      </c>
      <c r="N18" s="367" t="str">
        <f>IF(
  SUM(
    COUNTIFS('발전사업(A)'!$G:$G, M$2, '발전사업(A)'!$Q:$Q, $J18, '발전사업(A)'!$C:$C, $L$1),
    COUNTIFS('자가소비(B)'!$G:$G, M$2, '자가소비(B)'!$Q:$Q, $J18, '자가소비(B)'!$C:$C, $L$1),
    COUNTIFS('PPA 사업(C)'!$G:$G, M$2, 'PPA 사업(C)'!$Q:$Q, $J18, 'PPA 사업(C)'!$C:$C, $L$1),
    COUNTIFS('리스사업(D)'!$G:$G, M$2, '리스사업(D)'!$Q:$Q, $J18, '리스사업(D)'!$C:$C, $L$1),
    COUNTIFS('임대사업(E)'!$G:$G, M$2, '임대사업(E)'!$Q:$Q, $J18, '임대사업(E)'!$C:$C, $L$1),
    COUNTIFS('환경부사업(F)'!$G:$G, M$2, '환경부사업(F)'!$Q:$Q, $J18, '환경부사업(F)'!$C:$C, $L$1),
    COUNTIFS('프로젝트(G)'!$G:$G, M$2, '프로젝트(G)'!$Q:$Q, $J18, '프로젝트(G)'!$C:$C, $L$1),
    COUNTIFS('협력사 EPC(H)'!$G:$G, M$2, '협력사 EPC(H)'!$Q:$Q, $J18, '협력사 EPC(H)'!$C:$C, $L$1),
    COUNTIFS('기타(Z)'!$G:$G, M$2, '기타(Z)'!$Q:$Q, $J18, '기타(Z)'!$C:$C, $L$1)
  ) = 0,
  "",
  COUNTIFS('발전사업(A)'!$G:$G, M$2, '발전사업(A)'!$Q:$Q, $J18, '발전사업(A)'!$C:$C, $L$1)
  + COUNTIFS('자가소비(B)'!$G:$G, M$2, '자가소비(B)'!$Q:$Q, $J18, '자가소비(B)'!$C:$C, $L$1)
  + COUNTIFS('PPA 사업(C)'!$G:$G, M$2, 'PPA 사업(C)'!$Q:$Q, $J18, 'PPA 사업(C)'!$C:$C, $L$1)
  + COUNTIFS('리스사업(D)'!$G:$G, M$2, '리스사업(D)'!$Q:$Q, $J18, '리스사업(D)'!$C:$C, $L$1)
  + COUNTIFS('임대사업(E)'!$G:$G, M$2, '임대사업(E)'!$Q:$Q, $J18, '임대사업(E)'!$C:$C, $L$1)
  + COUNTIFS('환경부사업(F)'!$G:$G, M$2, '환경부사업(F)'!$Q:$Q, $J18, '환경부사업(F)'!$C:$C, $L$1)
  + COUNTIFS('프로젝트(G)'!$G:$G, M$2, '프로젝트(G)'!$Q:$Q, $J18, '프로젝트(G)'!$C:$C, $L$1)
  + COUNTIFS('협력사 EPC(H)'!$G:$G, M$2, '협력사 EPC(H)'!$Q:$Q, $J18, '협력사 EPC(H)'!$C:$C, $L$1)
  + COUNTIFS('기타(Z)'!$G:$G, M$2, '기타(Z)'!$Q:$Q, $J18, '기타(Z)'!$C:$C, $L$1)
)</f>
        <v/>
      </c>
      <c r="O18" s="366">
        <f>IF(
  SUM(
    SUMIFS('발전사업(A)'!$I:$I,'발전사업(A)'!$G:$G,O$2,'발전사업(A)'!$Q:$Q,$J18,'발전사업(A)'!$C:$C,$L$1),
    SUMIFS('자가소비(B)'!$I:$I,'자가소비(B)'!$G:$G,O$2,'자가소비(B)'!$Q:$Q,$J18,'자가소비(B)'!$C:$C,$L$1),
    SUMIFS('PPA 사업(C)'!$I:$I,'PPA 사업(C)'!$G:$G,O$2,'PPA 사업(C)'!$Q:$Q,$J18,'PPA 사업(C)'!$C:$C,$L$1),
    SUMIFS('리스사업(D)'!$I:$I,'리스사업(D)'!$G:$G,O$2,'리스사업(D)'!$Q:$Q,$J18,'리스사업(D)'!$C:$C,$L$1),
    SUMIFS('임대사업(E)'!$I:$I,'임대사업(E)'!$G:$G,O$2,'임대사업(E)'!$Q:$Q,$J18,'임대사업(E)'!$C:$C,$L$1),
    SUMIFS('환경부사업(F)'!$I:$I,'환경부사업(F)'!$G:$G,O$2,'환경부사업(F)'!$Q:$Q,$J18,'환경부사업(F)'!$C:$C,$L$1),
    SUMIFS('프로젝트(G)'!$I:$I,'프로젝트(G)'!$G:$G,O$2,'프로젝트(G)'!$Q:$Q,$J18,'프로젝트(G)'!$C:$C,$L$1),
    SUMIFS('협력사 EPC(H)'!$I:$I,'협력사 EPC(H)'!$G:$G,O$2,'협력사 EPC(H)'!$Q:$Q,$J18,'협력사 EPC(H)'!$C:$C,$L$1),
    SUMIFS('기타(Z)'!$I:$I,'기타(Z)'!$G:$G,O$2,'기타(Z)'!$Q:$Q,$J18,'기타(Z)'!$C:$C,$L$1)
  )=0,
  "",
  SUM(
    SUMIFS('발전사업(A)'!$I:$I,'발전사업(A)'!$G:$G,O$2,'발전사업(A)'!$Q:$Q,$J18,'발전사업(A)'!$C:$C,$L$1),
    SUMIFS('자가소비(B)'!$I:$I,'자가소비(B)'!$G:$G,O$2,'자가소비(B)'!$Q:$Q,$J18,'자가소비(B)'!$C:$C,$L$1),
    SUMIFS('PPA 사업(C)'!$I:$I,'PPA 사업(C)'!$G:$G,O$2,'PPA 사업(C)'!$Q:$Q,$J18,'PPA 사업(C)'!$C:$C,$L$1),
    SUMIFS('리스사업(D)'!$I:$I,'리스사업(D)'!$G:$G,O$2,'리스사업(D)'!$Q:$Q,$J18,'리스사업(D)'!$C:$C,$L$1),
    SUMIFS('임대사업(E)'!$I:$I,'임대사업(E)'!$G:$G,O$2,'임대사업(E)'!$Q:$Q,$J18,'임대사업(E)'!$C:$C,$L$1),
    SUMIFS('환경부사업(F)'!$I:$I,'환경부사업(F)'!$G:$G,O$2,'환경부사업(F)'!$Q:$Q,$J18,'환경부사업(F)'!$C:$C,$L$1),
    SUMIFS('프로젝트(G)'!$I:$I,'프로젝트(G)'!$G:$G,O$2,'프로젝트(G)'!$Q:$Q,$J18,'프로젝트(G)'!$C:$C,$L$1),
    SUMIFS('협력사 EPC(H)'!$I:$I,'협력사 EPC(H)'!$G:$G,O$2,'협력사 EPC(H)'!$Q:$Q,$J18,'협력사 EPC(H)'!$C:$C,$L$1),
    SUMIFS('기타(Z)'!$I:$I,'기타(Z)'!$G:$G,O$2,'기타(Z)'!$Q:$Q,$J18,'기타(Z)'!$C:$C,$L$1)
  )
)</f>
        <v>70.95</v>
      </c>
      <c r="P18" s="367">
        <f>IF(
  SUM(
    COUNTIFS('발전사업(A)'!$G:$G, O$2, '발전사업(A)'!$Q:$Q, $J18, '발전사업(A)'!$C:$C, $L$1),
    COUNTIFS('자가소비(B)'!$G:$G, O$2, '자가소비(B)'!$Q:$Q, $J18, '자가소비(B)'!$C:$C, $L$1),
    COUNTIFS('PPA 사업(C)'!$G:$G, O$2, 'PPA 사업(C)'!$Q:$Q, $J18, 'PPA 사업(C)'!$C:$C, $L$1),
    COUNTIFS('리스사업(D)'!$G:$G, O$2, '리스사업(D)'!$Q:$Q, $J18, '리스사업(D)'!$C:$C, $L$1),
    COUNTIFS('임대사업(E)'!$G:$G, O$2, '임대사업(E)'!$Q:$Q, $J18, '임대사업(E)'!$C:$C, $L$1),
    COUNTIFS('환경부사업(F)'!$G:$G, O$2, '환경부사업(F)'!$Q:$Q, $J18, '환경부사업(F)'!$C:$C, $L$1),
    COUNTIFS('프로젝트(G)'!$G:$G, O$2, '프로젝트(G)'!$Q:$Q, $J18, '프로젝트(G)'!$C:$C, $L$1),
    COUNTIFS('협력사 EPC(H)'!$G:$G, O$2, '협력사 EPC(H)'!$Q:$Q, $J18, '협력사 EPC(H)'!$C:$C, $L$1),
    COUNTIFS('기타(Z)'!$G:$G, O$2, '기타(Z)'!$Q:$Q, $J18, '기타(Z)'!$C:$C, $L$1)
  ) = 0,
  "",
  COUNTIFS('발전사업(A)'!$G:$G, O$2, '발전사업(A)'!$Q:$Q, $J18, '발전사업(A)'!$C:$C, $L$1)
  + COUNTIFS('자가소비(B)'!$G:$G, O$2, '자가소비(B)'!$Q:$Q, $J18, '자가소비(B)'!$C:$C, $L$1)
  + COUNTIFS('PPA 사업(C)'!$G:$G, O$2, 'PPA 사업(C)'!$Q:$Q, $J18, 'PPA 사업(C)'!$C:$C, $L$1)
  + COUNTIFS('리스사업(D)'!$G:$G, O$2, '리스사업(D)'!$Q:$Q, $J18, '리스사업(D)'!$C:$C, $L$1)
  + COUNTIFS('임대사업(E)'!$G:$G, O$2, '임대사업(E)'!$Q:$Q, $J18, '임대사업(E)'!$C:$C, $L$1)
  + COUNTIFS('환경부사업(F)'!$G:$G, O$2, '환경부사업(F)'!$Q:$Q, $J18, '환경부사업(F)'!$C:$C, $L$1)
  + COUNTIFS('프로젝트(G)'!$G:$G, O$2, '프로젝트(G)'!$Q:$Q, $J18, '프로젝트(G)'!$C:$C, $L$1)
  + COUNTIFS('협력사 EPC(H)'!$G:$G, O$2, '협력사 EPC(H)'!$Q:$Q, $J18, '협력사 EPC(H)'!$C:$C, $L$1)
  + COUNTIFS('기타(Z)'!$G:$G, O$2, '기타(Z)'!$Q:$Q, $J18, '기타(Z)'!$C:$C, $L$1)
)</f>
        <v>1</v>
      </c>
      <c r="Q18" s="366" t="str">
        <f>IF(
  SUM(
    SUMIFS('발전사업(A)'!$I:$I,'발전사업(A)'!$G:$G,Q$2,'발전사업(A)'!$Q:$Q,$J18,'발전사업(A)'!$C:$C,$L$1),
    SUMIFS('자가소비(B)'!$I:$I,'자가소비(B)'!$G:$G,Q$2,'자가소비(B)'!$Q:$Q,$J18,'자가소비(B)'!$C:$C,$L$1),
    SUMIFS('PPA 사업(C)'!$I:$I,'PPA 사업(C)'!$G:$G,Q$2,'PPA 사업(C)'!$Q:$Q,$J18,'PPA 사업(C)'!$C:$C,$L$1),
    SUMIFS('리스사업(D)'!$I:$I,'리스사업(D)'!$G:$G,Q$2,'리스사업(D)'!$Q:$Q,$J18,'리스사업(D)'!$C:$C,$L$1),
    SUMIFS('임대사업(E)'!$I:$I,'임대사업(E)'!$G:$G,Q$2,'임대사업(E)'!$Q:$Q,$J18,'임대사업(E)'!$C:$C,$L$1),
    SUMIFS('환경부사업(F)'!$I:$I,'환경부사업(F)'!$G:$G,Q$2,'환경부사업(F)'!$Q:$Q,$J18,'환경부사업(F)'!$C:$C,$L$1),
    SUMIFS('프로젝트(G)'!$I:$I,'프로젝트(G)'!$G:$G,Q$2,'프로젝트(G)'!$Q:$Q,$J18,'프로젝트(G)'!$C:$C,$L$1),
    SUMIFS('협력사 EPC(H)'!$I:$I,'협력사 EPC(H)'!$G:$G,Q$2,'협력사 EPC(H)'!$Q:$Q,$J18,'협력사 EPC(H)'!$C:$C,$L$1),
    SUMIFS('기타(Z)'!$I:$I,'기타(Z)'!$G:$G,Q$2,'기타(Z)'!$Q:$Q,$J18,'기타(Z)'!$C:$C,$L$1)
  )=0,
  "",
  SUM(
    SUMIFS('발전사업(A)'!$I:$I,'발전사업(A)'!$G:$G,Q$2,'발전사업(A)'!$Q:$Q,$J18,'발전사업(A)'!$C:$C,$L$1),
    SUMIFS('자가소비(B)'!$I:$I,'자가소비(B)'!$G:$G,Q$2,'자가소비(B)'!$Q:$Q,$J18,'자가소비(B)'!$C:$C,$L$1),
    SUMIFS('PPA 사업(C)'!$I:$I,'PPA 사업(C)'!$G:$G,Q$2,'PPA 사업(C)'!$Q:$Q,$J18,'PPA 사업(C)'!$C:$C,$L$1),
    SUMIFS('리스사업(D)'!$I:$I,'리스사업(D)'!$G:$G,Q$2,'리스사업(D)'!$Q:$Q,$J18,'리스사업(D)'!$C:$C,$L$1),
    SUMIFS('임대사업(E)'!$I:$I,'임대사업(E)'!$G:$G,Q$2,'임대사업(E)'!$Q:$Q,$J18,'임대사업(E)'!$C:$C,$L$1),
    SUMIFS('환경부사업(F)'!$I:$I,'환경부사업(F)'!$G:$G,Q$2,'환경부사업(F)'!$Q:$Q,$J18,'환경부사업(F)'!$C:$C,$L$1),
    SUMIFS('프로젝트(G)'!$I:$I,'프로젝트(G)'!$G:$G,Q$2,'프로젝트(G)'!$Q:$Q,$J18,'프로젝트(G)'!$C:$C,$L$1),
    SUMIFS('협력사 EPC(H)'!$I:$I,'협력사 EPC(H)'!$G:$G,Q$2,'협력사 EPC(H)'!$Q:$Q,$J18,'협력사 EPC(H)'!$C:$C,$L$1),
    SUMIFS('기타(Z)'!$I:$I,'기타(Z)'!$G:$G,Q$2,'기타(Z)'!$Q:$Q,$J18,'기타(Z)'!$C:$C,$L$1)
  )
)</f>
        <v/>
      </c>
      <c r="R18" s="367" t="str">
        <f>IF(
  SUM(
    COUNTIFS('발전사업(A)'!$G:$G, Q$2, '발전사업(A)'!$Q:$Q, $J18, '발전사업(A)'!$C:$C, $L$1),
    COUNTIFS('자가소비(B)'!$G:$G, Q$2, '자가소비(B)'!$Q:$Q, $J18, '자가소비(B)'!$C:$C, $L$1),
    COUNTIFS('PPA 사업(C)'!$G:$G, Q$2, 'PPA 사업(C)'!$Q:$Q, $J18, 'PPA 사업(C)'!$C:$C, $L$1),
    COUNTIFS('리스사업(D)'!$G:$G, Q$2, '리스사업(D)'!$Q:$Q, $J18, '리스사업(D)'!$C:$C, $L$1),
    COUNTIFS('임대사업(E)'!$G:$G, Q$2, '임대사업(E)'!$Q:$Q, $J18, '임대사업(E)'!$C:$C, $L$1),
    COUNTIFS('환경부사업(F)'!$G:$G, Q$2, '환경부사업(F)'!$Q:$Q, $J18, '환경부사업(F)'!$C:$C, $L$1),
    COUNTIFS('프로젝트(G)'!$G:$G, Q$2, '프로젝트(G)'!$Q:$Q, $J18, '프로젝트(G)'!$C:$C, $L$1),
    COUNTIFS('협력사 EPC(H)'!$G:$G, Q$2, '협력사 EPC(H)'!$Q:$Q, $J18, '협력사 EPC(H)'!$C:$C, $L$1),
    COUNTIFS('기타(Z)'!$G:$G, Q$2, '기타(Z)'!$Q:$Q, $J18, '기타(Z)'!$C:$C, $L$1)
  ) = 0,
  "",
  COUNTIFS('발전사업(A)'!$G:$G, Q$2, '발전사업(A)'!$Q:$Q, $J18, '발전사업(A)'!$C:$C, $L$1)
  + COUNTIFS('자가소비(B)'!$G:$G, Q$2, '자가소비(B)'!$Q:$Q, $J18, '자가소비(B)'!$C:$C, $L$1)
  + COUNTIFS('PPA 사업(C)'!$G:$G, Q$2, 'PPA 사업(C)'!$Q:$Q, $J18, 'PPA 사업(C)'!$C:$C, $L$1)
  + COUNTIFS('리스사업(D)'!$G:$G, Q$2, '리스사업(D)'!$Q:$Q, $J18, '리스사업(D)'!$C:$C, $L$1)
  + COUNTIFS('임대사업(E)'!$G:$G, Q$2, '임대사업(E)'!$Q:$Q, $J18, '임대사업(E)'!$C:$C, $L$1)
  + COUNTIFS('환경부사업(F)'!$G:$G, Q$2, '환경부사업(F)'!$Q:$Q, $J18, '환경부사업(F)'!$C:$C, $L$1)
  + COUNTIFS('프로젝트(G)'!$G:$G, Q$2, '프로젝트(G)'!$Q:$Q, $J18, '프로젝트(G)'!$C:$C, $L$1)
  + COUNTIFS('협력사 EPC(H)'!$G:$G, Q$2, '협력사 EPC(H)'!$Q:$Q, $J18, '협력사 EPC(H)'!$C:$C, $L$1)
  + COUNTIFS('기타(Z)'!$G:$G, Q$2, '기타(Z)'!$Q:$Q, $J18, '기타(Z)'!$C:$C, $L$1)
)</f>
        <v/>
      </c>
      <c r="S18" s="366" t="str">
        <f>IF(
  SUM(
    SUMIFS('발전사업(A)'!$I:$I,'발전사업(A)'!$G:$G,S$2,'발전사업(A)'!$Q:$Q,$J18,'발전사업(A)'!$C:$C,$L$1),
    SUMIFS('자가소비(B)'!$I:$I,'자가소비(B)'!$G:$G,S$2,'자가소비(B)'!$Q:$Q,$J18,'자가소비(B)'!$C:$C,$L$1),
    SUMIFS('PPA 사업(C)'!$I:$I,'PPA 사업(C)'!$G:$G,S$2,'PPA 사업(C)'!$Q:$Q,$J18,'PPA 사업(C)'!$C:$C,$L$1),
    SUMIFS('리스사업(D)'!$I:$I,'리스사업(D)'!$G:$G,S$2,'리스사업(D)'!$Q:$Q,$J18,'리스사업(D)'!$C:$C,$L$1),
    SUMIFS('임대사업(E)'!$I:$I,'임대사업(E)'!$G:$G,S$2,'임대사업(E)'!$Q:$Q,$J18,'임대사업(E)'!$C:$C,$L$1),
    SUMIFS('환경부사업(F)'!$I:$I,'환경부사업(F)'!$G:$G,S$2,'환경부사업(F)'!$Q:$Q,$J18,'환경부사업(F)'!$C:$C,$L$1),
    SUMIFS('프로젝트(G)'!$I:$I,'프로젝트(G)'!$G:$G,S$2,'프로젝트(G)'!$Q:$Q,$J18,'프로젝트(G)'!$C:$C,$L$1),
    SUMIFS('협력사 EPC(H)'!$I:$I,'협력사 EPC(H)'!$G:$G,S$2,'협력사 EPC(H)'!$Q:$Q,$J18,'협력사 EPC(H)'!$C:$C,$L$1),
    SUMIFS('기타(Z)'!$I:$I,'기타(Z)'!$G:$G,S$2,'기타(Z)'!$Q:$Q,$J18,'기타(Z)'!$C:$C,$L$1)
  )=0,
  "",
  SUM(
    SUMIFS('발전사업(A)'!$I:$I,'발전사업(A)'!$G:$G,S$2,'발전사업(A)'!$Q:$Q,$J18,'발전사업(A)'!$C:$C,$L$1),
    SUMIFS('자가소비(B)'!$I:$I,'자가소비(B)'!$G:$G,S$2,'자가소비(B)'!$Q:$Q,$J18,'자가소비(B)'!$C:$C,$L$1),
    SUMIFS('PPA 사업(C)'!$I:$I,'PPA 사업(C)'!$G:$G,S$2,'PPA 사업(C)'!$Q:$Q,$J18,'PPA 사업(C)'!$C:$C,$L$1),
    SUMIFS('리스사업(D)'!$I:$I,'리스사업(D)'!$G:$G,S$2,'리스사업(D)'!$Q:$Q,$J18,'리스사업(D)'!$C:$C,$L$1),
    SUMIFS('임대사업(E)'!$I:$I,'임대사업(E)'!$G:$G,S$2,'임대사업(E)'!$Q:$Q,$J18,'임대사업(E)'!$C:$C,$L$1),
    SUMIFS('환경부사업(F)'!$I:$I,'환경부사업(F)'!$G:$G,S$2,'환경부사업(F)'!$Q:$Q,$J18,'환경부사업(F)'!$C:$C,$L$1),
    SUMIFS('프로젝트(G)'!$I:$I,'프로젝트(G)'!$G:$G,S$2,'프로젝트(G)'!$Q:$Q,$J18,'프로젝트(G)'!$C:$C,$L$1),
    SUMIFS('협력사 EPC(H)'!$I:$I,'협력사 EPC(H)'!$G:$G,S$2,'협력사 EPC(H)'!$Q:$Q,$J18,'협력사 EPC(H)'!$C:$C,$L$1),
    SUMIFS('기타(Z)'!$I:$I,'기타(Z)'!$G:$G,S$2,'기타(Z)'!$Q:$Q,$J18,'기타(Z)'!$C:$C,$L$1)
  )
)</f>
        <v/>
      </c>
      <c r="T18" s="367" t="str">
        <f>IF(
  SUM(
    COUNTIFS('발전사업(A)'!$G:$G, S$2, '발전사업(A)'!$Q:$Q, $J18, '발전사업(A)'!$C:$C, $L$1),
    COUNTIFS('자가소비(B)'!$G:$G, S$2, '자가소비(B)'!$Q:$Q, $J18, '자가소비(B)'!$C:$C, $L$1),
    COUNTIFS('PPA 사업(C)'!$G:$G, S$2, 'PPA 사업(C)'!$Q:$Q, $J18, 'PPA 사업(C)'!$C:$C, $L$1),
    COUNTIFS('리스사업(D)'!$G:$G, S$2, '리스사업(D)'!$Q:$Q, $J18, '리스사업(D)'!$C:$C, $L$1),
    COUNTIFS('임대사업(E)'!$G:$G, S$2, '임대사업(E)'!$Q:$Q, $J18, '임대사업(E)'!$C:$C, $L$1),
    COUNTIFS('환경부사업(F)'!$G:$G, S$2, '환경부사업(F)'!$Q:$Q, $J18, '환경부사업(F)'!$C:$C, $L$1),
    COUNTIFS('프로젝트(G)'!$G:$G, S$2, '프로젝트(G)'!$Q:$Q, $J18, '프로젝트(G)'!$C:$C, $L$1),
    COUNTIFS('협력사 EPC(H)'!$G:$G, S$2, '협력사 EPC(H)'!$Q:$Q, $J18, '협력사 EPC(H)'!$C:$C, $L$1),
    COUNTIFS('기타(Z)'!$G:$G, S$2, '기타(Z)'!$Q:$Q, $J18, '기타(Z)'!$C:$C, $L$1)
  ) = 0,
  "",
  COUNTIFS('발전사업(A)'!$G:$G, S$2, '발전사업(A)'!$Q:$Q, $J18, '발전사업(A)'!$C:$C, $L$1)
  + COUNTIFS('자가소비(B)'!$G:$G, S$2, '자가소비(B)'!$Q:$Q, $J18, '자가소비(B)'!$C:$C, $L$1)
  + COUNTIFS('PPA 사업(C)'!$G:$G, S$2, 'PPA 사업(C)'!$Q:$Q, $J18, 'PPA 사업(C)'!$C:$C, $L$1)
  + COUNTIFS('리스사업(D)'!$G:$G, S$2, '리스사업(D)'!$Q:$Q, $J18, '리스사업(D)'!$C:$C, $L$1)
  + COUNTIFS('임대사업(E)'!$G:$G, S$2, '임대사업(E)'!$Q:$Q, $J18, '임대사업(E)'!$C:$C, $L$1)
  + COUNTIFS('환경부사업(F)'!$G:$G, S$2, '환경부사업(F)'!$Q:$Q, $J18, '환경부사업(F)'!$C:$C, $L$1)
  + COUNTIFS('프로젝트(G)'!$G:$G, S$2, '프로젝트(G)'!$Q:$Q, $J18, '프로젝트(G)'!$C:$C, $L$1)
  + COUNTIFS('협력사 EPC(H)'!$G:$G, S$2, '협력사 EPC(H)'!$Q:$Q, $J18, '협력사 EPC(H)'!$C:$C, $L$1)
  + COUNTIFS('기타(Z)'!$G:$G, S$2, '기타(Z)'!$Q:$Q, $J18, '기타(Z)'!$C:$C, $L$1)
)</f>
        <v/>
      </c>
      <c r="U18" s="366" t="str">
        <f>IF(
  SUM(
    SUMIFS('발전사업(A)'!$I:$I,'발전사업(A)'!$G:$G,U$2,'발전사업(A)'!$Q:$Q,$J18,'발전사업(A)'!$C:$C,$L$1),
    SUMIFS('자가소비(B)'!$I:$I,'자가소비(B)'!$G:$G,U$2,'자가소비(B)'!$Q:$Q,$J18,'자가소비(B)'!$C:$C,$L$1),
    SUMIFS('PPA 사업(C)'!$I:$I,'PPA 사업(C)'!$G:$G,U$2,'PPA 사업(C)'!$Q:$Q,$J18,'PPA 사업(C)'!$C:$C,$L$1),
    SUMIFS('리스사업(D)'!$I:$I,'리스사업(D)'!$G:$G,U$2,'리스사업(D)'!$Q:$Q,$J18,'리스사업(D)'!$C:$C,$L$1),
    SUMIFS('임대사업(E)'!$I:$I,'임대사업(E)'!$G:$G,U$2,'임대사업(E)'!$Q:$Q,$J18,'임대사업(E)'!$C:$C,$L$1),
    SUMIFS('환경부사업(F)'!$I:$I,'환경부사업(F)'!$G:$G,U$2,'환경부사업(F)'!$Q:$Q,$J18,'환경부사업(F)'!$C:$C,$L$1),
    SUMIFS('프로젝트(G)'!$I:$I,'프로젝트(G)'!$G:$G,U$2,'프로젝트(G)'!$Q:$Q,$J18,'프로젝트(G)'!$C:$C,$L$1),
    SUMIFS('협력사 EPC(H)'!$I:$I,'협력사 EPC(H)'!$G:$G,U$2,'협력사 EPC(H)'!$Q:$Q,$J18,'협력사 EPC(H)'!$C:$C,$L$1),
    SUMIFS('기타(Z)'!$I:$I,'기타(Z)'!$G:$G,U$2,'기타(Z)'!$Q:$Q,$J18,'기타(Z)'!$C:$C,$L$1)
  )=0,
  "",
  SUM(
    SUMIFS('발전사업(A)'!$I:$I,'발전사업(A)'!$G:$G,U$2,'발전사업(A)'!$Q:$Q,$J18,'발전사업(A)'!$C:$C,$L$1),
    SUMIFS('자가소비(B)'!$I:$I,'자가소비(B)'!$G:$G,U$2,'자가소비(B)'!$Q:$Q,$J18,'자가소비(B)'!$C:$C,$L$1),
    SUMIFS('PPA 사업(C)'!$I:$I,'PPA 사업(C)'!$G:$G,U$2,'PPA 사업(C)'!$Q:$Q,$J18,'PPA 사업(C)'!$C:$C,$L$1),
    SUMIFS('리스사업(D)'!$I:$I,'리스사업(D)'!$G:$G,U$2,'리스사업(D)'!$Q:$Q,$J18,'리스사업(D)'!$C:$C,$L$1),
    SUMIFS('임대사업(E)'!$I:$I,'임대사업(E)'!$G:$G,U$2,'임대사업(E)'!$Q:$Q,$J18,'임대사업(E)'!$C:$C,$L$1),
    SUMIFS('환경부사업(F)'!$I:$I,'환경부사업(F)'!$G:$G,U$2,'환경부사업(F)'!$Q:$Q,$J18,'환경부사업(F)'!$C:$C,$L$1),
    SUMIFS('프로젝트(G)'!$I:$I,'프로젝트(G)'!$G:$G,U$2,'프로젝트(G)'!$Q:$Q,$J18,'프로젝트(G)'!$C:$C,$L$1),
    SUMIFS('협력사 EPC(H)'!$I:$I,'협력사 EPC(H)'!$G:$G,U$2,'협력사 EPC(H)'!$Q:$Q,$J18,'협력사 EPC(H)'!$C:$C,$L$1),
    SUMIFS('기타(Z)'!$I:$I,'기타(Z)'!$G:$G,U$2,'기타(Z)'!$Q:$Q,$J18,'기타(Z)'!$C:$C,$L$1)
  )
)</f>
        <v/>
      </c>
      <c r="V18" s="367" t="str">
        <f>IF(
  SUM(
    COUNTIFS('발전사업(A)'!$G:$G, U$2, '발전사업(A)'!$Q:$Q, $J18, '발전사업(A)'!$C:$C, $L$1),
    COUNTIFS('자가소비(B)'!$G:$G, U$2, '자가소비(B)'!$Q:$Q, $J18, '자가소비(B)'!$C:$C, $L$1),
    COUNTIFS('PPA 사업(C)'!$G:$G, U$2, 'PPA 사업(C)'!$Q:$Q, $J18, 'PPA 사업(C)'!$C:$C, $L$1),
    COUNTIFS('리스사업(D)'!$G:$G, U$2, '리스사업(D)'!$Q:$Q, $J18, '리스사업(D)'!$C:$C, $L$1),
    COUNTIFS('임대사업(E)'!$G:$G, U$2, '임대사업(E)'!$Q:$Q, $J18, '임대사업(E)'!$C:$C, $L$1),
    COUNTIFS('환경부사업(F)'!$G:$G, U$2, '환경부사업(F)'!$Q:$Q, $J18, '환경부사업(F)'!$C:$C, $L$1),
    COUNTIFS('프로젝트(G)'!$G:$G, U$2, '프로젝트(G)'!$Q:$Q, $J18, '프로젝트(G)'!$C:$C, $L$1),
    COUNTIFS('협력사 EPC(H)'!$G:$G, U$2, '협력사 EPC(H)'!$Q:$Q, $J18, '협력사 EPC(H)'!$C:$C, $L$1),
    COUNTIFS('기타(Z)'!$G:$G, U$2, '기타(Z)'!$Q:$Q, $J18, '기타(Z)'!$C:$C, $L$1)
  ) = 0,
  "",
  COUNTIFS('발전사업(A)'!$G:$G, U$2, '발전사업(A)'!$Q:$Q, $J18, '발전사업(A)'!$C:$C, $L$1)
  + COUNTIFS('자가소비(B)'!$G:$G, U$2, '자가소비(B)'!$Q:$Q, $J18, '자가소비(B)'!$C:$C, $L$1)
  + COUNTIFS('PPA 사업(C)'!$G:$G, U$2, 'PPA 사업(C)'!$Q:$Q, $J18, 'PPA 사업(C)'!$C:$C, $L$1)
  + COUNTIFS('리스사업(D)'!$G:$G, U$2, '리스사업(D)'!$Q:$Q, $J18, '리스사업(D)'!$C:$C, $L$1)
  + COUNTIFS('임대사업(E)'!$G:$G, U$2, '임대사업(E)'!$Q:$Q, $J18, '임대사업(E)'!$C:$C, $L$1)
  + COUNTIFS('환경부사업(F)'!$G:$G, U$2, '환경부사업(F)'!$Q:$Q, $J18, '환경부사업(F)'!$C:$C, $L$1)
  + COUNTIFS('프로젝트(G)'!$G:$G, U$2, '프로젝트(G)'!$Q:$Q, $J18, '프로젝트(G)'!$C:$C, $L$1)
  + COUNTIFS('협력사 EPC(H)'!$G:$G, U$2, '협력사 EPC(H)'!$Q:$Q, $J18, '협력사 EPC(H)'!$C:$C, $L$1)
  + COUNTIFS('기타(Z)'!$G:$G, U$2, '기타(Z)'!$Q:$Q, $J18, '기타(Z)'!$C:$C, $L$1)
)</f>
        <v/>
      </c>
      <c r="W18" s="366" t="str">
        <f>IF(
  SUM(
    SUMIFS('발전사업(A)'!$I:$I,'발전사업(A)'!$G:$G,W$2,'발전사업(A)'!$Q:$Q,$J18,'발전사업(A)'!$C:$C,$L$1),
    SUMIFS('자가소비(B)'!$I:$I,'자가소비(B)'!$G:$G,W$2,'자가소비(B)'!$Q:$Q,$J18,'자가소비(B)'!$C:$C,$L$1),
    SUMIFS('PPA 사업(C)'!$I:$I,'PPA 사업(C)'!$G:$G,W$2,'PPA 사업(C)'!$Q:$Q,$J18,'PPA 사업(C)'!$C:$C,$L$1),
    SUMIFS('리스사업(D)'!$I:$I,'리스사업(D)'!$G:$G,W$2,'리스사업(D)'!$Q:$Q,$J18,'리스사업(D)'!$C:$C,$L$1),
    SUMIFS('임대사업(E)'!$I:$I,'임대사업(E)'!$G:$G,W$2,'임대사업(E)'!$Q:$Q,$J18,'임대사업(E)'!$C:$C,$L$1),
    SUMIFS('환경부사업(F)'!$I:$I,'환경부사업(F)'!$G:$G,W$2,'환경부사업(F)'!$Q:$Q,$J18,'환경부사업(F)'!$C:$C,$L$1),
    SUMIFS('프로젝트(G)'!$I:$I,'프로젝트(G)'!$G:$G,W$2,'프로젝트(G)'!$Q:$Q,$J18,'프로젝트(G)'!$C:$C,$L$1),
    SUMIFS('협력사 EPC(H)'!$I:$I,'협력사 EPC(H)'!$G:$G,W$2,'협력사 EPC(H)'!$Q:$Q,$J18,'협력사 EPC(H)'!$C:$C,$L$1),
    SUMIFS('기타(Z)'!$I:$I,'기타(Z)'!$G:$G,W$2,'기타(Z)'!$Q:$Q,$J18,'기타(Z)'!$C:$C,$L$1)
  )=0,
  "",
  SUM(
    SUMIFS('발전사업(A)'!$I:$I,'발전사업(A)'!$G:$G,W$2,'발전사업(A)'!$Q:$Q,$J18,'발전사업(A)'!$C:$C,$L$1),
    SUMIFS('자가소비(B)'!$I:$I,'자가소비(B)'!$G:$G,W$2,'자가소비(B)'!$Q:$Q,$J18,'자가소비(B)'!$C:$C,$L$1),
    SUMIFS('PPA 사업(C)'!$I:$I,'PPA 사업(C)'!$G:$G,W$2,'PPA 사업(C)'!$Q:$Q,$J18,'PPA 사업(C)'!$C:$C,$L$1),
    SUMIFS('리스사업(D)'!$I:$I,'리스사업(D)'!$G:$G,W$2,'리스사업(D)'!$Q:$Q,$J18,'리스사업(D)'!$C:$C,$L$1),
    SUMIFS('임대사업(E)'!$I:$I,'임대사업(E)'!$G:$G,W$2,'임대사업(E)'!$Q:$Q,$J18,'임대사업(E)'!$C:$C,$L$1),
    SUMIFS('환경부사업(F)'!$I:$I,'환경부사업(F)'!$G:$G,W$2,'환경부사업(F)'!$Q:$Q,$J18,'환경부사업(F)'!$C:$C,$L$1),
    SUMIFS('프로젝트(G)'!$I:$I,'프로젝트(G)'!$G:$G,W$2,'프로젝트(G)'!$Q:$Q,$J18,'프로젝트(G)'!$C:$C,$L$1),
    SUMIFS('협력사 EPC(H)'!$I:$I,'협력사 EPC(H)'!$G:$G,W$2,'협력사 EPC(H)'!$Q:$Q,$J18,'협력사 EPC(H)'!$C:$C,$L$1),
    SUMIFS('기타(Z)'!$I:$I,'기타(Z)'!$G:$G,W$2,'기타(Z)'!$Q:$Q,$J18,'기타(Z)'!$C:$C,$L$1)
  )
)</f>
        <v/>
      </c>
      <c r="X18" s="367" t="str">
        <f>IF(
  SUM(
    COUNTIFS('발전사업(A)'!$G:$G, W$2, '발전사업(A)'!$Q:$Q, $J18, '발전사업(A)'!$C:$C, $L$1),
    COUNTIFS('자가소비(B)'!$G:$G, W$2, '자가소비(B)'!$Q:$Q, $J18, '자가소비(B)'!$C:$C, $L$1),
    COUNTIFS('PPA 사업(C)'!$G:$G, W$2, 'PPA 사업(C)'!$Q:$Q, $J18, 'PPA 사업(C)'!$C:$C, $L$1),
    COUNTIFS('리스사업(D)'!$G:$G, W$2, '리스사업(D)'!$Q:$Q, $J18, '리스사업(D)'!$C:$C, $L$1),
    COUNTIFS('임대사업(E)'!$G:$G, W$2, '임대사업(E)'!$Q:$Q, $J18, '임대사업(E)'!$C:$C, $L$1),
    COUNTIFS('환경부사업(F)'!$G:$G, W$2, '환경부사업(F)'!$Q:$Q, $J18, '환경부사업(F)'!$C:$C, $L$1),
    COUNTIFS('프로젝트(G)'!$G:$G, W$2, '프로젝트(G)'!$Q:$Q, $J18, '프로젝트(G)'!$C:$C, $L$1),
    COUNTIFS('협력사 EPC(H)'!$G:$G, W$2, '협력사 EPC(H)'!$Q:$Q, $J18, '협력사 EPC(H)'!$C:$C, $L$1),
    COUNTIFS('기타(Z)'!$G:$G, W$2, '기타(Z)'!$Q:$Q, $J18, '기타(Z)'!$C:$C, $L$1)
  ) = 0,
  "",
  COUNTIFS('발전사업(A)'!$G:$G, W$2, '발전사업(A)'!$Q:$Q, $J18, '발전사업(A)'!$C:$C, $L$1)
  + COUNTIFS('자가소비(B)'!$G:$G, W$2, '자가소비(B)'!$Q:$Q, $J18, '자가소비(B)'!$C:$C, $L$1)
  + COUNTIFS('PPA 사업(C)'!$G:$G, W$2, 'PPA 사업(C)'!$Q:$Q, $J18, 'PPA 사업(C)'!$C:$C, $L$1)
  + COUNTIFS('리스사업(D)'!$G:$G, W$2, '리스사업(D)'!$Q:$Q, $J18, '리스사업(D)'!$C:$C, $L$1)
  + COUNTIFS('임대사업(E)'!$G:$G, W$2, '임대사업(E)'!$Q:$Q, $J18, '임대사업(E)'!$C:$C, $L$1)
  + COUNTIFS('환경부사업(F)'!$G:$G, W$2, '환경부사업(F)'!$Q:$Q, $J18, '환경부사업(F)'!$C:$C, $L$1)
  + COUNTIFS('프로젝트(G)'!$G:$G, W$2, '프로젝트(G)'!$Q:$Q, $J18, '프로젝트(G)'!$C:$C, $L$1)
  + COUNTIFS('협력사 EPC(H)'!$G:$G, W$2, '협력사 EPC(H)'!$Q:$Q, $J18, '협력사 EPC(H)'!$C:$C, $L$1)
  + COUNTIFS('기타(Z)'!$G:$G, W$2, '기타(Z)'!$Q:$Q, $J18, '기타(Z)'!$C:$C, $L$1)
)</f>
        <v/>
      </c>
      <c r="Y18" s="366" t="str">
        <f>IF(
  SUM(
    SUMIFS('발전사업(A)'!$I:$I,'발전사업(A)'!$G:$G,Y$2,'발전사업(A)'!$Q:$Q,$J18,'발전사업(A)'!$C:$C,$L$1),
    SUMIFS('자가소비(B)'!$I:$I,'자가소비(B)'!$G:$G,Y$2,'자가소비(B)'!$Q:$Q,$J18,'자가소비(B)'!$C:$C,$L$1),
    SUMIFS('PPA 사업(C)'!$I:$I,'PPA 사업(C)'!$G:$G,Y$2,'PPA 사업(C)'!$Q:$Q,$J18,'PPA 사업(C)'!$C:$C,$L$1),
    SUMIFS('리스사업(D)'!$I:$I,'리스사업(D)'!$G:$G,Y$2,'리스사업(D)'!$Q:$Q,$J18,'리스사업(D)'!$C:$C,$L$1),
    SUMIFS('임대사업(E)'!$I:$I,'임대사업(E)'!$G:$G,Y$2,'임대사업(E)'!$Q:$Q,$J18,'임대사업(E)'!$C:$C,$L$1),
    SUMIFS('환경부사업(F)'!$I:$I,'환경부사업(F)'!$G:$G,Y$2,'환경부사업(F)'!$Q:$Q,$J18,'환경부사업(F)'!$C:$C,$L$1),
    SUMIFS('프로젝트(G)'!$I:$I,'프로젝트(G)'!$G:$G,Y$2,'프로젝트(G)'!$Q:$Q,$J18,'프로젝트(G)'!$C:$C,$L$1),
    SUMIFS('협력사 EPC(H)'!$I:$I,'협력사 EPC(H)'!$G:$G,Y$2,'협력사 EPC(H)'!$Q:$Q,$J18,'협력사 EPC(H)'!$C:$C,$L$1),
    SUMIFS('기타(Z)'!$I:$I,'기타(Z)'!$G:$G,Y$2,'기타(Z)'!$Q:$Q,$J18,'기타(Z)'!$C:$C,$L$1)
  )=0,
  "",
  SUM(
    SUMIFS('발전사업(A)'!$I:$I,'발전사업(A)'!$G:$G,Y$2,'발전사업(A)'!$Q:$Q,$J18,'발전사업(A)'!$C:$C,$L$1),
    SUMIFS('자가소비(B)'!$I:$I,'자가소비(B)'!$G:$G,Y$2,'자가소비(B)'!$Q:$Q,$J18,'자가소비(B)'!$C:$C,$L$1),
    SUMIFS('PPA 사업(C)'!$I:$I,'PPA 사업(C)'!$G:$G,Y$2,'PPA 사업(C)'!$Q:$Q,$J18,'PPA 사업(C)'!$C:$C,$L$1),
    SUMIFS('리스사업(D)'!$I:$I,'리스사업(D)'!$G:$G,Y$2,'리스사업(D)'!$Q:$Q,$J18,'리스사업(D)'!$C:$C,$L$1),
    SUMIFS('임대사업(E)'!$I:$I,'임대사업(E)'!$G:$G,Y$2,'임대사업(E)'!$Q:$Q,$J18,'임대사업(E)'!$C:$C,$L$1),
    SUMIFS('환경부사업(F)'!$I:$I,'환경부사업(F)'!$G:$G,Y$2,'환경부사업(F)'!$Q:$Q,$J18,'환경부사업(F)'!$C:$C,$L$1),
    SUMIFS('프로젝트(G)'!$I:$I,'프로젝트(G)'!$G:$G,Y$2,'프로젝트(G)'!$Q:$Q,$J18,'프로젝트(G)'!$C:$C,$L$1),
    SUMIFS('협력사 EPC(H)'!$I:$I,'협력사 EPC(H)'!$G:$G,Y$2,'협력사 EPC(H)'!$Q:$Q,$J18,'협력사 EPC(H)'!$C:$C,$L$1),
    SUMIFS('기타(Z)'!$I:$I,'기타(Z)'!$G:$G,Y$2,'기타(Z)'!$Q:$Q,$J18,'기타(Z)'!$C:$C,$L$1)
  )
)</f>
        <v/>
      </c>
      <c r="Z18" s="367" t="str">
        <f>IF(
  SUM(
    COUNTIFS('발전사업(A)'!$G:$G, Y$2, '발전사업(A)'!$Q:$Q, $J18, '발전사업(A)'!$C:$C, $L$1),
    COUNTIFS('자가소비(B)'!$G:$G, Y$2, '자가소비(B)'!$Q:$Q, $J18, '자가소비(B)'!$C:$C, $L$1),
    COUNTIFS('PPA 사업(C)'!$G:$G, Y$2, 'PPA 사업(C)'!$Q:$Q, $J18, 'PPA 사업(C)'!$C:$C, $L$1),
    COUNTIFS('리스사업(D)'!$G:$G, Y$2, '리스사업(D)'!$Q:$Q, $J18, '리스사업(D)'!$C:$C, $L$1),
    COUNTIFS('임대사업(E)'!$G:$G, Y$2, '임대사업(E)'!$Q:$Q, $J18, '임대사업(E)'!$C:$C, $L$1),
    COUNTIFS('환경부사업(F)'!$G:$G, Y$2, '환경부사업(F)'!$Q:$Q, $J18, '환경부사업(F)'!$C:$C, $L$1),
    COUNTIFS('프로젝트(G)'!$G:$G, Y$2, '프로젝트(G)'!$Q:$Q, $J18, '프로젝트(G)'!$C:$C, $L$1),
    COUNTIFS('협력사 EPC(H)'!$G:$G, Y$2, '협력사 EPC(H)'!$Q:$Q, $J18, '협력사 EPC(H)'!$C:$C, $L$1),
    COUNTIFS('기타(Z)'!$G:$G, Y$2, '기타(Z)'!$Q:$Q, $J18, '기타(Z)'!$C:$C, $L$1)
  ) = 0,
  "",
  COUNTIFS('발전사업(A)'!$G:$G, Y$2, '발전사업(A)'!$Q:$Q, $J18, '발전사업(A)'!$C:$C, $L$1)
  + COUNTIFS('자가소비(B)'!$G:$G, Y$2, '자가소비(B)'!$Q:$Q, $J18, '자가소비(B)'!$C:$C, $L$1)
  + COUNTIFS('PPA 사업(C)'!$G:$G, Y$2, 'PPA 사업(C)'!$Q:$Q, $J18, 'PPA 사업(C)'!$C:$C, $L$1)
  + COUNTIFS('리스사업(D)'!$G:$G, Y$2, '리스사업(D)'!$Q:$Q, $J18, '리스사업(D)'!$C:$C, $L$1)
  + COUNTIFS('임대사업(E)'!$G:$G, Y$2, '임대사업(E)'!$Q:$Q, $J18, '임대사업(E)'!$C:$C, $L$1)
  + COUNTIFS('환경부사업(F)'!$G:$G, Y$2, '환경부사업(F)'!$Q:$Q, $J18, '환경부사업(F)'!$C:$C, $L$1)
  + COUNTIFS('프로젝트(G)'!$G:$G, Y$2, '프로젝트(G)'!$Q:$Q, $J18, '프로젝트(G)'!$C:$C, $L$1)
  + COUNTIFS('협력사 EPC(H)'!$G:$G, Y$2, '협력사 EPC(H)'!$Q:$Q, $J18, '협력사 EPC(H)'!$C:$C, $L$1)
  + COUNTIFS('기타(Z)'!$G:$G, Y$2, '기타(Z)'!$Q:$Q, $J18, '기타(Z)'!$C:$C, $L$1)
)</f>
        <v/>
      </c>
      <c r="AA18" s="366" t="str">
        <f>IF(
  SUM(
    SUMIFS('발전사업(A)'!$I:$I,'발전사업(A)'!$G:$G,AA$2,'발전사업(A)'!$Q:$Q,$J18,'발전사업(A)'!$C:$C,$L$1),
    SUMIFS('자가소비(B)'!$I:$I,'자가소비(B)'!$G:$G,AA$2,'자가소비(B)'!$Q:$Q,$J18,'자가소비(B)'!$C:$C,$L$1),
    SUMIFS('PPA 사업(C)'!$I:$I,'PPA 사업(C)'!$G:$G,AA$2,'PPA 사업(C)'!$Q:$Q,$J18,'PPA 사업(C)'!$C:$C,$L$1),
    SUMIFS('리스사업(D)'!$I:$I,'리스사업(D)'!$G:$G,AA$2,'리스사업(D)'!$Q:$Q,$J18,'리스사업(D)'!$C:$C,$L$1),
    SUMIFS('임대사업(E)'!$I:$I,'임대사업(E)'!$G:$G,AA$2,'임대사업(E)'!$Q:$Q,$J18,'임대사업(E)'!$C:$C,$L$1),
    SUMIFS('환경부사업(F)'!$I:$I,'환경부사업(F)'!$G:$G,AA$2,'환경부사업(F)'!$Q:$Q,$J18,'환경부사업(F)'!$C:$C,$L$1),
    SUMIFS('프로젝트(G)'!$I:$I,'프로젝트(G)'!$G:$G,AA$2,'프로젝트(G)'!$Q:$Q,$J18,'프로젝트(G)'!$C:$C,$L$1),
    SUMIFS('협력사 EPC(H)'!$I:$I,'협력사 EPC(H)'!$G:$G,AA$2,'협력사 EPC(H)'!$Q:$Q,$J18,'협력사 EPC(H)'!$C:$C,$L$1),
    SUMIFS('기타(Z)'!$I:$I,'기타(Z)'!$G:$G,AA$2,'기타(Z)'!$Q:$Q,$J18,'기타(Z)'!$C:$C,$L$1)
  )=0,
  "",
  SUM(
    SUMIFS('발전사업(A)'!$I:$I,'발전사업(A)'!$G:$G,AA$2,'발전사업(A)'!$Q:$Q,$J18,'발전사업(A)'!$C:$C,$L$1),
    SUMIFS('자가소비(B)'!$I:$I,'자가소비(B)'!$G:$G,AA$2,'자가소비(B)'!$Q:$Q,$J18,'자가소비(B)'!$C:$C,$L$1),
    SUMIFS('PPA 사업(C)'!$I:$I,'PPA 사업(C)'!$G:$G,AA$2,'PPA 사업(C)'!$Q:$Q,$J18,'PPA 사업(C)'!$C:$C,$L$1),
    SUMIFS('리스사업(D)'!$I:$I,'리스사업(D)'!$G:$G,AA$2,'리스사업(D)'!$Q:$Q,$J18,'리스사업(D)'!$C:$C,$L$1),
    SUMIFS('임대사업(E)'!$I:$I,'임대사업(E)'!$G:$G,AA$2,'임대사업(E)'!$Q:$Q,$J18,'임대사업(E)'!$C:$C,$L$1),
    SUMIFS('환경부사업(F)'!$I:$I,'환경부사업(F)'!$G:$G,AA$2,'환경부사업(F)'!$Q:$Q,$J18,'환경부사업(F)'!$C:$C,$L$1),
    SUMIFS('프로젝트(G)'!$I:$I,'프로젝트(G)'!$G:$G,AA$2,'프로젝트(G)'!$Q:$Q,$J18,'프로젝트(G)'!$C:$C,$L$1),
    SUMIFS('협력사 EPC(H)'!$I:$I,'협력사 EPC(H)'!$G:$G,AA$2,'협력사 EPC(H)'!$Q:$Q,$J18,'협력사 EPC(H)'!$C:$C,$L$1),
    SUMIFS('기타(Z)'!$I:$I,'기타(Z)'!$G:$G,AA$2,'기타(Z)'!$Q:$Q,$J18,'기타(Z)'!$C:$C,$L$1)
  )
)</f>
        <v/>
      </c>
      <c r="AB18" s="367" t="str">
        <f>IF(
  SUM(
    COUNTIFS('발전사업(A)'!$G:$G, AA$2, '발전사업(A)'!$Q:$Q, $J18, '발전사업(A)'!$C:$C, $L$1),
    COUNTIFS('자가소비(B)'!$G:$G, AA$2, '자가소비(B)'!$Q:$Q, $J18, '자가소비(B)'!$C:$C, $L$1),
    COUNTIFS('PPA 사업(C)'!$G:$G, AA$2, 'PPA 사업(C)'!$Q:$Q, $J18, 'PPA 사업(C)'!$C:$C, $L$1),
    COUNTIFS('리스사업(D)'!$G:$G, AA$2, '리스사업(D)'!$Q:$Q, $J18, '리스사업(D)'!$C:$C, $L$1),
    COUNTIFS('임대사업(E)'!$G:$G, AA$2, '임대사업(E)'!$Q:$Q, $J18, '임대사업(E)'!$C:$C, $L$1),
    COUNTIFS('환경부사업(F)'!$G:$G, AA$2, '환경부사업(F)'!$Q:$Q, $J18, '환경부사업(F)'!$C:$C, $L$1),
    COUNTIFS('프로젝트(G)'!$G:$G, AA$2, '프로젝트(G)'!$Q:$Q, $J18, '프로젝트(G)'!$C:$C, $L$1),
    COUNTIFS('협력사 EPC(H)'!$G:$G, AA$2, '협력사 EPC(H)'!$Q:$Q, $J18, '협력사 EPC(H)'!$C:$C, $L$1),
    COUNTIFS('기타(Z)'!$G:$G, AA$2, '기타(Z)'!$Q:$Q, $J18, '기타(Z)'!$C:$C, $L$1)
  ) = 0,
  "",
  COUNTIFS('발전사업(A)'!$G:$G, AA$2, '발전사업(A)'!$Q:$Q, $J18, '발전사업(A)'!$C:$C, $L$1)
  + COUNTIFS('자가소비(B)'!$G:$G, AA$2, '자가소비(B)'!$Q:$Q, $J18, '자가소비(B)'!$C:$C, $L$1)
  + COUNTIFS('PPA 사업(C)'!$G:$G, AA$2, 'PPA 사업(C)'!$Q:$Q, $J18, 'PPA 사업(C)'!$C:$C, $L$1)
  + COUNTIFS('리스사업(D)'!$G:$G, AA$2, '리스사업(D)'!$Q:$Q, $J18, '리스사업(D)'!$C:$C, $L$1)
  + COUNTIFS('임대사업(E)'!$G:$G, AA$2, '임대사업(E)'!$Q:$Q, $J18, '임대사업(E)'!$C:$C, $L$1)
  + COUNTIFS('환경부사업(F)'!$G:$G, AA$2, '환경부사업(F)'!$Q:$Q, $J18, '환경부사업(F)'!$C:$C, $L$1)
  + COUNTIFS('프로젝트(G)'!$G:$G, AA$2, '프로젝트(G)'!$Q:$Q, $J18, '프로젝트(G)'!$C:$C, $L$1)
  + COUNTIFS('협력사 EPC(H)'!$G:$G, AA$2, '협력사 EPC(H)'!$Q:$Q, $J18, '협력사 EPC(H)'!$C:$C, $L$1)
  + COUNTIFS('기타(Z)'!$G:$G, AA$2, '기타(Z)'!$Q:$Q, $J18, '기타(Z)'!$C:$C, $L$1)
)</f>
        <v/>
      </c>
      <c r="AC18" s="366" t="str">
        <f>IF(
  SUM(
    SUMIFS('발전사업(A)'!$I:$I,'발전사업(A)'!$G:$G,AC$2,'발전사업(A)'!$Q:$Q,$J18,'발전사업(A)'!$C:$C,$L$1),
    SUMIFS('자가소비(B)'!$I:$I,'자가소비(B)'!$G:$G,AC$2,'자가소비(B)'!$Q:$Q,$J18,'자가소비(B)'!$C:$C,$L$1),
    SUMIFS('PPA 사업(C)'!$I:$I,'PPA 사업(C)'!$G:$G,AC$2,'PPA 사업(C)'!$Q:$Q,$J18,'PPA 사업(C)'!$C:$C,$L$1),
    SUMIFS('리스사업(D)'!$I:$I,'리스사업(D)'!$G:$G,AC$2,'리스사업(D)'!$Q:$Q,$J18,'리스사업(D)'!$C:$C,$L$1),
    SUMIFS('임대사업(E)'!$I:$I,'임대사업(E)'!$G:$G,AC$2,'임대사업(E)'!$Q:$Q,$J18,'임대사업(E)'!$C:$C,$L$1),
    SUMIFS('환경부사업(F)'!$I:$I,'환경부사업(F)'!$G:$G,AC$2,'환경부사업(F)'!$Q:$Q,$J18,'환경부사업(F)'!$C:$C,$L$1),
    SUMIFS('프로젝트(G)'!$I:$I,'프로젝트(G)'!$G:$G,AC$2,'프로젝트(G)'!$Q:$Q,$J18,'프로젝트(G)'!$C:$C,$L$1),
    SUMIFS('협력사 EPC(H)'!$I:$I,'협력사 EPC(H)'!$G:$G,AC$2,'협력사 EPC(H)'!$Q:$Q,$J18,'협력사 EPC(H)'!$C:$C,$L$1),
    SUMIFS('기타(Z)'!$I:$I,'기타(Z)'!$G:$G,AC$2,'기타(Z)'!$Q:$Q,$J18,'기타(Z)'!$C:$C,$L$1)
  )=0,
  "",
  SUM(
    SUMIFS('발전사업(A)'!$I:$I,'발전사업(A)'!$G:$G,AC$2,'발전사업(A)'!$Q:$Q,$J18,'발전사업(A)'!$C:$C,$L$1),
    SUMIFS('자가소비(B)'!$I:$I,'자가소비(B)'!$G:$G,AC$2,'자가소비(B)'!$Q:$Q,$J18,'자가소비(B)'!$C:$C,$L$1),
    SUMIFS('PPA 사업(C)'!$I:$I,'PPA 사업(C)'!$G:$G,AC$2,'PPA 사업(C)'!$Q:$Q,$J18,'PPA 사업(C)'!$C:$C,$L$1),
    SUMIFS('리스사업(D)'!$I:$I,'리스사업(D)'!$G:$G,AC$2,'리스사업(D)'!$Q:$Q,$J18,'리스사업(D)'!$C:$C,$L$1),
    SUMIFS('임대사업(E)'!$I:$I,'임대사업(E)'!$G:$G,AC$2,'임대사업(E)'!$Q:$Q,$J18,'임대사업(E)'!$C:$C,$L$1),
    SUMIFS('환경부사업(F)'!$I:$I,'환경부사업(F)'!$G:$G,AC$2,'환경부사업(F)'!$Q:$Q,$J18,'환경부사업(F)'!$C:$C,$L$1),
    SUMIFS('프로젝트(G)'!$I:$I,'프로젝트(G)'!$G:$G,AC$2,'프로젝트(G)'!$Q:$Q,$J18,'프로젝트(G)'!$C:$C,$L$1),
    SUMIFS('협력사 EPC(H)'!$I:$I,'협력사 EPC(H)'!$G:$G,AC$2,'협력사 EPC(H)'!$Q:$Q,$J18,'협력사 EPC(H)'!$C:$C,$L$1),
    SUMIFS('기타(Z)'!$I:$I,'기타(Z)'!$G:$G,AC$2,'기타(Z)'!$Q:$Q,$J18,'기타(Z)'!$C:$C,$L$1)
  )
)</f>
        <v/>
      </c>
      <c r="AD18" s="367" t="str">
        <f>IF(
  SUM(
    COUNTIFS('발전사업(A)'!$G:$G, AC$2, '발전사업(A)'!$Q:$Q, $J18, '발전사업(A)'!$C:$C, $L$1),
    COUNTIFS('자가소비(B)'!$G:$G, AC$2, '자가소비(B)'!$Q:$Q, $J18, '자가소비(B)'!$C:$C, $L$1),
    COUNTIFS('PPA 사업(C)'!$G:$G, AC$2, 'PPA 사업(C)'!$Q:$Q, $J18, 'PPA 사업(C)'!$C:$C, $L$1),
    COUNTIFS('리스사업(D)'!$G:$G, AC$2, '리스사업(D)'!$Q:$Q, $J18, '리스사업(D)'!$C:$C, $L$1),
    COUNTIFS('임대사업(E)'!$G:$G, AC$2, '임대사업(E)'!$Q:$Q, $J18, '임대사업(E)'!$C:$C, $L$1),
    COUNTIFS('환경부사업(F)'!$G:$G, AC$2, '환경부사업(F)'!$Q:$Q, $J18, '환경부사업(F)'!$C:$C, $L$1),
    COUNTIFS('프로젝트(G)'!$G:$G, AC$2, '프로젝트(G)'!$Q:$Q, $J18, '프로젝트(G)'!$C:$C, $L$1),
    COUNTIFS('협력사 EPC(H)'!$G:$G, AC$2, '협력사 EPC(H)'!$Q:$Q, $J18, '협력사 EPC(H)'!$C:$C, $L$1),
    COUNTIFS('기타(Z)'!$G:$G, AC$2, '기타(Z)'!$Q:$Q, $J18, '기타(Z)'!$C:$C, $L$1)
  ) = 0,
  "",
  COUNTIFS('발전사업(A)'!$G:$G, AC$2, '발전사업(A)'!$Q:$Q, $J18, '발전사업(A)'!$C:$C, $L$1)
  + COUNTIFS('자가소비(B)'!$G:$G, AC$2, '자가소비(B)'!$Q:$Q, $J18, '자가소비(B)'!$C:$C, $L$1)
  + COUNTIFS('PPA 사업(C)'!$G:$G, AC$2, 'PPA 사업(C)'!$Q:$Q, $J18, 'PPA 사업(C)'!$C:$C, $L$1)
  + COUNTIFS('리스사업(D)'!$G:$G, AC$2, '리스사업(D)'!$Q:$Q, $J18, '리스사업(D)'!$C:$C, $L$1)
  + COUNTIFS('임대사업(E)'!$G:$G, AC$2, '임대사업(E)'!$Q:$Q, $J18, '임대사업(E)'!$C:$C, $L$1)
  + COUNTIFS('환경부사업(F)'!$G:$G, AC$2, '환경부사업(F)'!$Q:$Q, $J18, '환경부사업(F)'!$C:$C, $L$1)
  + COUNTIFS('프로젝트(G)'!$G:$G, AC$2, '프로젝트(G)'!$Q:$Q, $J18, '프로젝트(G)'!$C:$C, $L$1)
  + COUNTIFS('협력사 EPC(H)'!$G:$G, AC$2, '협력사 EPC(H)'!$Q:$Q, $J18, '협력사 EPC(H)'!$C:$C, $L$1)
  + COUNTIFS('기타(Z)'!$G:$G, AC$2, '기타(Z)'!$Q:$Q, $J18, '기타(Z)'!$C:$C, $L$1)
)</f>
        <v/>
      </c>
      <c r="AE18" s="366" t="str">
        <f>IF(
  SUM(
    SUMIFS('발전사업(A)'!$I:$I,'발전사업(A)'!$G:$G,AE$2,'발전사업(A)'!$Q:$Q,$J18,'발전사업(A)'!$C:$C,$L$1),
    SUMIFS('자가소비(B)'!$I:$I,'자가소비(B)'!$G:$G,AE$2,'자가소비(B)'!$Q:$Q,$J18,'자가소비(B)'!$C:$C,$L$1),
    SUMIFS('PPA 사업(C)'!$I:$I,'PPA 사업(C)'!$G:$G,AE$2,'PPA 사업(C)'!$Q:$Q,$J18,'PPA 사업(C)'!$C:$C,$L$1),
    SUMIFS('리스사업(D)'!$I:$I,'리스사업(D)'!$G:$G,AE$2,'리스사업(D)'!$Q:$Q,$J18,'리스사업(D)'!$C:$C,$L$1),
    SUMIFS('임대사업(E)'!$I:$I,'임대사업(E)'!$G:$G,AE$2,'임대사업(E)'!$Q:$Q,$J18,'임대사업(E)'!$C:$C,$L$1),
    SUMIFS('환경부사업(F)'!$I:$I,'환경부사업(F)'!$G:$G,AE$2,'환경부사업(F)'!$Q:$Q,$J18,'환경부사업(F)'!$C:$C,$L$1),
    SUMIFS('프로젝트(G)'!$I:$I,'프로젝트(G)'!$G:$G,AE$2,'프로젝트(G)'!$Q:$Q,$J18,'프로젝트(G)'!$C:$C,$L$1),
    SUMIFS('협력사 EPC(H)'!$I:$I,'협력사 EPC(H)'!$G:$G,AE$2,'협력사 EPC(H)'!$Q:$Q,$J18,'협력사 EPC(H)'!$C:$C,$L$1),
    SUMIFS('기타(Z)'!$I:$I,'기타(Z)'!$G:$G,AE$2,'기타(Z)'!$Q:$Q,$J18,'기타(Z)'!$C:$C,$L$1)
  )=0,
  "",
  SUM(
    SUMIFS('발전사업(A)'!$I:$I,'발전사업(A)'!$G:$G,AE$2,'발전사업(A)'!$Q:$Q,$J18,'발전사업(A)'!$C:$C,$L$1),
    SUMIFS('자가소비(B)'!$I:$I,'자가소비(B)'!$G:$G,AE$2,'자가소비(B)'!$Q:$Q,$J18,'자가소비(B)'!$C:$C,$L$1),
    SUMIFS('PPA 사업(C)'!$I:$I,'PPA 사업(C)'!$G:$G,AE$2,'PPA 사업(C)'!$Q:$Q,$J18,'PPA 사업(C)'!$C:$C,$L$1),
    SUMIFS('리스사업(D)'!$I:$I,'리스사업(D)'!$G:$G,AE$2,'리스사업(D)'!$Q:$Q,$J18,'리스사업(D)'!$C:$C,$L$1),
    SUMIFS('임대사업(E)'!$I:$I,'임대사업(E)'!$G:$G,AE$2,'임대사업(E)'!$Q:$Q,$J18,'임대사업(E)'!$C:$C,$L$1),
    SUMIFS('환경부사업(F)'!$I:$I,'환경부사업(F)'!$G:$G,AE$2,'환경부사업(F)'!$Q:$Q,$J18,'환경부사업(F)'!$C:$C,$L$1),
    SUMIFS('프로젝트(G)'!$I:$I,'프로젝트(G)'!$G:$G,AE$2,'프로젝트(G)'!$Q:$Q,$J18,'프로젝트(G)'!$C:$C,$L$1),
    SUMIFS('협력사 EPC(H)'!$I:$I,'협력사 EPC(H)'!$G:$G,AE$2,'협력사 EPC(H)'!$Q:$Q,$J18,'협력사 EPC(H)'!$C:$C,$L$1),
    SUMIFS('기타(Z)'!$I:$I,'기타(Z)'!$G:$G,AE$2,'기타(Z)'!$Q:$Q,$J18,'기타(Z)'!$C:$C,$L$1)
  )
)</f>
        <v/>
      </c>
      <c r="AF18" s="367" t="str">
        <f>IF(
  SUM(
    COUNTIFS('발전사업(A)'!$G:$G, AE$2, '발전사업(A)'!$Q:$Q, $J18, '발전사업(A)'!$C:$C, $L$1),
    COUNTIFS('자가소비(B)'!$G:$G, AE$2, '자가소비(B)'!$Q:$Q, $J18, '자가소비(B)'!$C:$C, $L$1),
    COUNTIFS('PPA 사업(C)'!$G:$G, AE$2, 'PPA 사업(C)'!$Q:$Q, $J18, 'PPA 사업(C)'!$C:$C, $L$1),
    COUNTIFS('리스사업(D)'!$G:$G, AE$2, '리스사업(D)'!$Q:$Q, $J18, '리스사업(D)'!$C:$C, $L$1),
    COUNTIFS('임대사업(E)'!$G:$G, AE$2, '임대사업(E)'!$Q:$Q, $J18, '임대사업(E)'!$C:$C, $L$1),
    COUNTIFS('환경부사업(F)'!$G:$G, AE$2, '환경부사업(F)'!$Q:$Q, $J18, '환경부사업(F)'!$C:$C, $L$1),
    COUNTIFS('프로젝트(G)'!$G:$G, AE$2, '프로젝트(G)'!$Q:$Q, $J18, '프로젝트(G)'!$C:$C, $L$1),
    COUNTIFS('협력사 EPC(H)'!$G:$G, AE$2, '협력사 EPC(H)'!$Q:$Q, $J18, '협력사 EPC(H)'!$C:$C, $L$1),
    COUNTIFS('기타(Z)'!$G:$G, AE$2, '기타(Z)'!$Q:$Q, $J18, '기타(Z)'!$C:$C, $L$1)
  ) = 0,
  "",
  COUNTIFS('발전사업(A)'!$G:$G, AE$2, '발전사업(A)'!$Q:$Q, $J18, '발전사업(A)'!$C:$C, $L$1)
  + COUNTIFS('자가소비(B)'!$G:$G, AE$2, '자가소비(B)'!$Q:$Q, $J18, '자가소비(B)'!$C:$C, $L$1)
  + COUNTIFS('PPA 사업(C)'!$G:$G, AE$2, 'PPA 사업(C)'!$Q:$Q, $J18, 'PPA 사업(C)'!$C:$C, $L$1)
  + COUNTIFS('리스사업(D)'!$G:$G, AE$2, '리스사업(D)'!$Q:$Q, $J18, '리스사업(D)'!$C:$C, $L$1)
  + COUNTIFS('임대사업(E)'!$G:$G, AE$2, '임대사업(E)'!$Q:$Q, $J18, '임대사업(E)'!$C:$C, $L$1)
  + COUNTIFS('환경부사업(F)'!$G:$G, AE$2, '환경부사업(F)'!$Q:$Q, $J18, '환경부사업(F)'!$C:$C, $L$1)
  + COUNTIFS('프로젝트(G)'!$G:$G, AE$2, '프로젝트(G)'!$Q:$Q, $J18, '프로젝트(G)'!$C:$C, $L$1)
  + COUNTIFS('협력사 EPC(H)'!$G:$G, AE$2, '협력사 EPC(H)'!$Q:$Q, $J18, '협력사 EPC(H)'!$C:$C, $L$1)
  + COUNTIFS('기타(Z)'!$G:$G, AE$2, '기타(Z)'!$Q:$Q, $J18, '기타(Z)'!$C:$C, $L$1)
)</f>
        <v/>
      </c>
      <c r="AG18" s="366" t="str">
        <f>IF(
  SUM(
    SUMIFS('발전사업(A)'!$I:$I,'발전사업(A)'!$G:$G,AG$2,'발전사업(A)'!$Q:$Q,$J18,'발전사업(A)'!$C:$C,$L$1),
    SUMIFS('자가소비(B)'!$I:$I,'자가소비(B)'!$G:$G,AG$2,'자가소비(B)'!$Q:$Q,$J18,'자가소비(B)'!$C:$C,$L$1),
    SUMIFS('PPA 사업(C)'!$I:$I,'PPA 사업(C)'!$G:$G,AG$2,'PPA 사업(C)'!$Q:$Q,$J18,'PPA 사업(C)'!$C:$C,$L$1),
    SUMIFS('리스사업(D)'!$I:$I,'리스사업(D)'!$G:$G,AG$2,'리스사업(D)'!$Q:$Q,$J18,'리스사업(D)'!$C:$C,$L$1),
    SUMIFS('임대사업(E)'!$I:$I,'임대사업(E)'!$G:$G,AG$2,'임대사업(E)'!$Q:$Q,$J18,'임대사업(E)'!$C:$C,$L$1),
    SUMIFS('환경부사업(F)'!$I:$I,'환경부사업(F)'!$G:$G,AG$2,'환경부사업(F)'!$Q:$Q,$J18,'환경부사업(F)'!$C:$C,$L$1),
    SUMIFS('프로젝트(G)'!$I:$I,'프로젝트(G)'!$G:$G,AG$2,'프로젝트(G)'!$Q:$Q,$J18,'프로젝트(G)'!$C:$C,$L$1),
    SUMIFS('협력사 EPC(H)'!$I:$I,'협력사 EPC(H)'!$G:$G,AG$2,'협력사 EPC(H)'!$Q:$Q,$J18,'협력사 EPC(H)'!$C:$C,$L$1),
    SUMIFS('기타(Z)'!$I:$I,'기타(Z)'!$G:$G,AG$2,'기타(Z)'!$Q:$Q,$J18,'기타(Z)'!$C:$C,$L$1)
  )=0,
  "",
  SUM(
    SUMIFS('발전사업(A)'!$I:$I,'발전사업(A)'!$G:$G,AG$2,'발전사업(A)'!$Q:$Q,$J18,'발전사업(A)'!$C:$C,$L$1),
    SUMIFS('자가소비(B)'!$I:$I,'자가소비(B)'!$G:$G,AG$2,'자가소비(B)'!$Q:$Q,$J18,'자가소비(B)'!$C:$C,$L$1),
    SUMIFS('PPA 사업(C)'!$I:$I,'PPA 사업(C)'!$G:$G,AG$2,'PPA 사업(C)'!$Q:$Q,$J18,'PPA 사업(C)'!$C:$C,$L$1),
    SUMIFS('리스사업(D)'!$I:$I,'리스사업(D)'!$G:$G,AG$2,'리스사업(D)'!$Q:$Q,$J18,'리스사업(D)'!$C:$C,$L$1),
    SUMIFS('임대사업(E)'!$I:$I,'임대사업(E)'!$G:$G,AG$2,'임대사업(E)'!$Q:$Q,$J18,'임대사업(E)'!$C:$C,$L$1),
    SUMIFS('환경부사업(F)'!$I:$I,'환경부사업(F)'!$G:$G,AG$2,'환경부사업(F)'!$Q:$Q,$J18,'환경부사업(F)'!$C:$C,$L$1),
    SUMIFS('프로젝트(G)'!$I:$I,'프로젝트(G)'!$G:$G,AG$2,'프로젝트(G)'!$Q:$Q,$J18,'프로젝트(G)'!$C:$C,$L$1),
    SUMIFS('협력사 EPC(H)'!$I:$I,'협력사 EPC(H)'!$G:$G,AG$2,'협력사 EPC(H)'!$Q:$Q,$J18,'협력사 EPC(H)'!$C:$C,$L$1),
    SUMIFS('기타(Z)'!$I:$I,'기타(Z)'!$G:$G,AG$2,'기타(Z)'!$Q:$Q,$J18,'기타(Z)'!$C:$C,$L$1)
  )
)</f>
        <v/>
      </c>
      <c r="AH18" s="367" t="str">
        <f>IF(
  SUM(
    COUNTIFS('발전사업(A)'!$G:$G, AG$2, '발전사업(A)'!$Q:$Q, $J18, '발전사업(A)'!$C:$C, $L$1),
    COUNTIFS('자가소비(B)'!$G:$G, AG$2, '자가소비(B)'!$Q:$Q, $J18, '자가소비(B)'!$C:$C, $L$1),
    COUNTIFS('PPA 사업(C)'!$G:$G, AG$2, 'PPA 사업(C)'!$Q:$Q, $J18, 'PPA 사업(C)'!$C:$C, $L$1),
    COUNTIFS('리스사업(D)'!$G:$G, AG$2, '리스사업(D)'!$Q:$Q, $J18, '리스사업(D)'!$C:$C, $L$1),
    COUNTIFS('임대사업(E)'!$G:$G, AG$2, '임대사업(E)'!$Q:$Q, $J18, '임대사업(E)'!$C:$C, $L$1),
    COUNTIFS('환경부사업(F)'!$G:$G, AG$2, '환경부사업(F)'!$Q:$Q, $J18, '환경부사업(F)'!$C:$C, $L$1),
    COUNTIFS('프로젝트(G)'!$G:$G, AG$2, '프로젝트(G)'!$Q:$Q, $J18, '프로젝트(G)'!$C:$C, $L$1),
    COUNTIFS('협력사 EPC(H)'!$G:$G, AG$2, '협력사 EPC(H)'!$Q:$Q, $J18, '협력사 EPC(H)'!$C:$C, $L$1),
    COUNTIFS('기타(Z)'!$G:$G, AG$2, '기타(Z)'!$Q:$Q, $J18, '기타(Z)'!$C:$C, $L$1)
  ) = 0,
  "",
  COUNTIFS('발전사업(A)'!$G:$G, AG$2, '발전사업(A)'!$Q:$Q, $J18, '발전사업(A)'!$C:$C, $L$1)
  + COUNTIFS('자가소비(B)'!$G:$G, AG$2, '자가소비(B)'!$Q:$Q, $J18, '자가소비(B)'!$C:$C, $L$1)
  + COUNTIFS('PPA 사업(C)'!$G:$G, AG$2, 'PPA 사업(C)'!$Q:$Q, $J18, 'PPA 사업(C)'!$C:$C, $L$1)
  + COUNTIFS('리스사업(D)'!$G:$G, AG$2, '리스사업(D)'!$Q:$Q, $J18, '리스사업(D)'!$C:$C, $L$1)
  + COUNTIFS('임대사업(E)'!$G:$G, AG$2, '임대사업(E)'!$Q:$Q, $J18, '임대사업(E)'!$C:$C, $L$1)
  + COUNTIFS('환경부사업(F)'!$G:$G, AG$2, '환경부사업(F)'!$Q:$Q, $J18, '환경부사업(F)'!$C:$C, $L$1)
  + COUNTIFS('프로젝트(G)'!$G:$G, AG$2, '프로젝트(G)'!$Q:$Q, $J18, '프로젝트(G)'!$C:$C, $L$1)
  + COUNTIFS('협력사 EPC(H)'!$G:$G, AG$2, '협력사 EPC(H)'!$Q:$Q, $J18, '협력사 EPC(H)'!$C:$C, $L$1)
  + COUNTIFS('기타(Z)'!$G:$G, AG$2, '기타(Z)'!$Q:$Q, $J18, '기타(Z)'!$C:$C, $L$1)
)</f>
        <v/>
      </c>
      <c r="AI18" s="366" t="str">
        <f>IF(
  SUM(
    SUMIFS('발전사업(A)'!$I:$I,'발전사업(A)'!$G:$G,AI$2,'발전사업(A)'!$Q:$Q,$J18,'발전사업(A)'!$C:$C,$L$1),
    SUMIFS('자가소비(B)'!$I:$I,'자가소비(B)'!$G:$G,AI$2,'자가소비(B)'!$Q:$Q,$J18,'자가소비(B)'!$C:$C,$L$1),
    SUMIFS('PPA 사업(C)'!$I:$I,'PPA 사업(C)'!$G:$G,AI$2,'PPA 사업(C)'!$Q:$Q,$J18,'PPA 사업(C)'!$C:$C,$L$1),
    SUMIFS('리스사업(D)'!$I:$I,'리스사업(D)'!$G:$G,AI$2,'리스사업(D)'!$Q:$Q,$J18,'리스사업(D)'!$C:$C,$L$1),
    SUMIFS('임대사업(E)'!$I:$I,'임대사업(E)'!$G:$G,AI$2,'임대사업(E)'!$Q:$Q,$J18,'임대사업(E)'!$C:$C,$L$1),
    SUMIFS('환경부사업(F)'!$I:$I,'환경부사업(F)'!$G:$G,AI$2,'환경부사업(F)'!$Q:$Q,$J18,'환경부사업(F)'!$C:$C,$L$1),
    SUMIFS('프로젝트(G)'!$I:$I,'프로젝트(G)'!$G:$G,AI$2,'프로젝트(G)'!$Q:$Q,$J18,'프로젝트(G)'!$C:$C,$L$1),
    SUMIFS('협력사 EPC(H)'!$I:$I,'협력사 EPC(H)'!$G:$G,AI$2,'협력사 EPC(H)'!$Q:$Q,$J18,'협력사 EPC(H)'!$C:$C,$L$1),
    SUMIFS('기타(Z)'!$I:$I,'기타(Z)'!$G:$G,AI$2,'기타(Z)'!$Q:$Q,$J18,'기타(Z)'!$C:$C,$L$1)
  )=0,
  "",
  SUM(
    SUMIFS('발전사업(A)'!$I:$I,'발전사업(A)'!$G:$G,AI$2,'발전사업(A)'!$Q:$Q,$J18,'발전사업(A)'!$C:$C,$L$1),
    SUMIFS('자가소비(B)'!$I:$I,'자가소비(B)'!$G:$G,AI$2,'자가소비(B)'!$Q:$Q,$J18,'자가소비(B)'!$C:$C,$L$1),
    SUMIFS('PPA 사업(C)'!$I:$I,'PPA 사업(C)'!$G:$G,AI$2,'PPA 사업(C)'!$Q:$Q,$J18,'PPA 사업(C)'!$C:$C,$L$1),
    SUMIFS('리스사업(D)'!$I:$I,'리스사업(D)'!$G:$G,AI$2,'리스사업(D)'!$Q:$Q,$J18,'리스사업(D)'!$C:$C,$L$1),
    SUMIFS('임대사업(E)'!$I:$I,'임대사업(E)'!$G:$G,AI$2,'임대사업(E)'!$Q:$Q,$J18,'임대사업(E)'!$C:$C,$L$1),
    SUMIFS('환경부사업(F)'!$I:$I,'환경부사업(F)'!$G:$G,AI$2,'환경부사업(F)'!$Q:$Q,$J18,'환경부사업(F)'!$C:$C,$L$1),
    SUMIFS('프로젝트(G)'!$I:$I,'프로젝트(G)'!$G:$G,AI$2,'프로젝트(G)'!$Q:$Q,$J18,'프로젝트(G)'!$C:$C,$L$1),
    SUMIFS('협력사 EPC(H)'!$I:$I,'협력사 EPC(H)'!$G:$G,AI$2,'협력사 EPC(H)'!$Q:$Q,$J18,'협력사 EPC(H)'!$C:$C,$L$1),
    SUMIFS('기타(Z)'!$I:$I,'기타(Z)'!$G:$G,AI$2,'기타(Z)'!$Q:$Q,$J18,'기타(Z)'!$C:$C,$L$1)
  )
)</f>
        <v/>
      </c>
      <c r="AJ18" s="365" t="str">
        <f>IF(
  SUM(
    COUNTIFS('발전사업(A)'!$G:$G, AI$2, '발전사업(A)'!$Q:$Q, $J18, '발전사업(A)'!$C:$C, $L$1),
    COUNTIFS('자가소비(B)'!$G:$G, AI$2, '자가소비(B)'!$Q:$Q, $J18, '자가소비(B)'!$C:$C, $L$1),
    COUNTIFS('PPA 사업(C)'!$G:$G, AI$2, 'PPA 사업(C)'!$Q:$Q, $J18, 'PPA 사업(C)'!$C:$C, $L$1),
    COUNTIFS('리스사업(D)'!$G:$G, AI$2, '리스사업(D)'!$Q:$Q, $J18, '리스사업(D)'!$C:$C, $L$1),
    COUNTIFS('임대사업(E)'!$G:$G, AI$2, '임대사업(E)'!$Q:$Q, $J18, '임대사업(E)'!$C:$C, $L$1),
    COUNTIFS('환경부사업(F)'!$G:$G, AI$2, '환경부사업(F)'!$Q:$Q, $J18, '환경부사업(F)'!$C:$C, $L$1),
    COUNTIFS('프로젝트(G)'!$G:$G, AI$2, '프로젝트(G)'!$Q:$Q, $J18, '프로젝트(G)'!$C:$C, $L$1),
    COUNTIFS('협력사 EPC(H)'!$G:$G, AI$2, '협력사 EPC(H)'!$Q:$Q, $J18, '협력사 EPC(H)'!$C:$C, $L$1),
    COUNTIFS('기타(Z)'!$G:$G, AI$2, '기타(Z)'!$Q:$Q, $J18, '기타(Z)'!$C:$C, $L$1)
  ) = 0,
  "",
  COUNTIFS('발전사업(A)'!$G:$G, AI$2, '발전사업(A)'!$Q:$Q, $J18, '발전사업(A)'!$C:$C, $L$1)
  + COUNTIFS('자가소비(B)'!$G:$G, AI$2, '자가소비(B)'!$Q:$Q, $J18, '자가소비(B)'!$C:$C, $L$1)
  + COUNTIFS('PPA 사업(C)'!$G:$G, AI$2, 'PPA 사업(C)'!$Q:$Q, $J18, 'PPA 사업(C)'!$C:$C, $L$1)
  + COUNTIFS('리스사업(D)'!$G:$G, AI$2, '리스사업(D)'!$Q:$Q, $J18, '리스사업(D)'!$C:$C, $L$1)
  + COUNTIFS('임대사업(E)'!$G:$G, AI$2, '임대사업(E)'!$Q:$Q, $J18, '임대사업(E)'!$C:$C, $L$1)
  + COUNTIFS('환경부사업(F)'!$G:$G, AI$2, '환경부사업(F)'!$Q:$Q, $J18, '환경부사업(F)'!$C:$C, $L$1)
  + COUNTIFS('프로젝트(G)'!$G:$G, AI$2, '프로젝트(G)'!$Q:$Q, $J18, '프로젝트(G)'!$C:$C, $L$1)
  + COUNTIFS('협력사 EPC(H)'!$G:$G, AI$2, '협력사 EPC(H)'!$Q:$Q, $J18, '협력사 EPC(H)'!$C:$C, $L$1)
  + COUNTIFS('기타(Z)'!$G:$G, AI$2, '기타(Z)'!$Q:$Q, $J18, '기타(Z)'!$C:$C, $L$1)
)</f>
        <v/>
      </c>
    </row>
    <row r="19" spans="2:36" ht="15" x14ac:dyDescent="0.25">
      <c r="B19" s="195" t="s">
        <v>154</v>
      </c>
      <c r="C19" s="262">
        <f>IF(
  SUM(
    SUMIFS('발전사업(A)'!I:I, '발전사업(A)'!C:C, $E$1, '발전사업(A)'!G:G, B15, '발전사업(A)'!X:X, B19),
    SUMIFS('자가소비(B)'!I:I, '자가소비(B)'!C:C, $E$1, '자가소비(B)'!G:G, B15, '자가소비(B)'!X:X, B19),
    SUMIFS('PPA 사업(C)'!I:I, 'PPA 사업(C)'!C:C, $E$1, 'PPA 사업(C)'!G:G, B15, 'PPA 사업(C)'!X:X, B19),
    SUMIFS('리스사업(D)'!I:I, '리스사업(D)'!C:C, $E$1, '리스사업(D)'!G:G, B15, '리스사업(D)'!X:X, B19),
    SUMIFS('임대사업(E)'!I:I, '임대사업(E)'!C:C, $E$1, '임대사업(E)'!G:G, B15, '임대사업(E)'!X:X, B19),
    SUMIFS('환경부사업(F)'!I:I, '환경부사업(F)'!C:C, $E$1, '환경부사업(F)'!G:G, B15, '환경부사업(F)'!X:X, B19),
    SUMIFS('프로젝트(G)'!I:I, '프로젝트(G)'!C:C, $E$1, '프로젝트(G)'!G:G, B15, '프로젝트(G)'!X:X, B19),
    SUMIFS('협력사 EPC(H)'!I:I, '협력사 EPC(H)'!C:C, $E$1, '협력사 EPC(H)'!G:G, B15, '협력사 EPC(H)'!X:X, B19),
    SUMIFS('기타(Z)'!I:I, '기타(Z)'!C:C, $E$1, '기타(Z)'!G:G, B15, '기타(Z)'!X:X, B19)
  ) = 0,
  "",
  SUMIFS('발전사업(A)'!I:I, '발전사업(A)'!C:C, $E$1, '발전사업(A)'!G:G, B15, '발전사업(A)'!X:X, B19)
  + SUMIFS('자가소비(B)'!I:I, '자가소비(B)'!C:C, $E$1, '자가소비(B)'!G:G, B15, '자가소비(B)'!X:X, B19)
  + SUMIFS('PPA 사업(C)'!I:I, 'PPA 사업(C)'!C:C, $E$1, 'PPA 사업(C)'!G:G, B15, 'PPA 사업(C)'!X:X, B19)
  + SUMIFS('리스사업(D)'!I:I, '리스사업(D)'!C:C, $E$1, '리스사업(D)'!G:G, B15, '리스사업(D)'!X:X, B19)
  + SUMIFS('임대사업(E)'!I:I, '임대사업(E)'!C:C, $E$1, '임대사업(E)'!G:G, B15, '임대사업(E)'!X:X, B19)
  + SUMIFS('환경부사업(F)'!I:I, '환경부사업(F)'!C:C, $E$1, '환경부사업(F)'!G:G, B15, '환경부사업(F)'!X:X, B19)
  + SUMIFS('프로젝트(G)'!I:I, '프로젝트(G)'!C:C, $E$1, '프로젝트(G)'!G:G, B15, '프로젝트(G)'!X:X, B19)
  + SUMIFS('협력사 EPC(H)'!I:I, '협력사 EPC(H)'!C:C, $E$1, '협력사 EPC(H)'!G:G, B15, '협력사 EPC(H)'!X:X, B19)
  + SUMIFS('기타(Z)'!I:I, '기타(Z)'!C:C, $E$1, '기타(Z)'!G:G, B15, '기타(Z)'!X:X, B19)
)</f>
        <v>413.44499999999999</v>
      </c>
      <c r="D19" s="263">
        <f>IF(
  COUNTIFS('발전사업(A)'!C:C, $E$1, '발전사업(A)'!G:G, B15, '발전사업(A)'!X:X, B19)
  + COUNTIFS('자가소비(B)'!C:C, $E$1, '자가소비(B)'!G:G, B15, '자가소비(B)'!X:X, B19)
  + COUNTIFS('PPA 사업(C)'!C:C, $E$1, 'PPA 사업(C)'!G:G, B15, 'PPA 사업(C)'!X:X, B19)
  + COUNTIFS('리스사업(D)'!C:C, $E$1, '리스사업(D)'!G:G, B15, '리스사업(D)'!X:X, B19)
  + COUNTIFS('임대사업(E)'!C:C, $E$1, '임대사업(E)'!G:G, B15, '임대사업(E)'!X:X, B19)
  + COUNTIFS('환경부사업(F)'!C:C, $E$1, '환경부사업(F)'!G:G, B15, '환경부사업(F)'!X:X, B19)
  + COUNTIFS('프로젝트(G)'!C:C, $E$1, '프로젝트(G)'!G:G, B15, '프로젝트(G)'!X:X, B19)
  + COUNTIFS('협력사 EPC(H)'!C:C, $E$1, '협력사 EPC(H)'!G:G, B15, '협력사 EPC(H)'!X:X, B19)
  + COUNTIFS('기타(Z)'!C:C, $E$1, '기타(Z)'!G:G, B15, '기타(Z)'!X:X, B19)
  = 0,
  "",
  COUNTIFS('발전사업(A)'!C:C, $E$1, '발전사업(A)'!G:G, B15, '발전사업(A)'!X:X, B19)
  + COUNTIFS('자가소비(B)'!C:C, $E$1, '자가소비(B)'!G:G, B15, '자가소비(B)'!X:X, B19)
  + COUNTIFS('PPA 사업(C)'!C:C, $E$1, 'PPA 사업(C)'!G:G, B15, 'PPA 사업(C)'!X:X, B19)
  + COUNTIFS('리스사업(D)'!C:C, $E$1, '리스사업(D)'!G:G, B15, '리스사업(D)'!X:X, B19)
  + COUNTIFS('임대사업(E)'!C:C, $E$1, '임대사업(E)'!G:G, B15, '임대사업(E)'!X:X, B19)
  + COUNTIFS('환경부사업(F)'!C:C, $E$1, '환경부사업(F)'!G:G, B15, '환경부사업(F)'!X:X, B19)
  + COUNTIFS('프로젝트(G)'!C:C, $E$1, '프로젝트(G)'!G:G, B15, '프로젝트(G)'!X:X, B19)
  + COUNTIFS('협력사 EPC(H)'!C:C, $E$1, '협력사 EPC(H)'!G:G, B15, '협력사 EPC(H)'!X:X, B19)
  + COUNTIFS('기타(Z)'!C:C, $E$1, '기타(Z)'!G:G, B15, '기타(Z)'!X:X, B19)
)</f>
        <v>2</v>
      </c>
      <c r="E19" s="262" t="str">
        <f>IF(
  SUM(
    SUMIFS('발전사업(A)'!I:I, '발전사업(A)'!C:C, $E$1, '발전사업(A)'!G:G, B15, '발전사업(A)'!X:X, B19, '발전사업(A)'!U:U, $C$1),
    SUMIFS('자가소비(B)'!I:I, '자가소비(B)'!C:C, $E$1, '자가소비(B)'!G:G, B15, '자가소비(B)'!X:X, B19, '자가소비(B)'!U:U, $C$1),
    SUMIFS('PPA 사업(C)'!I:I, 'PPA 사업(C)'!C:C, $E$1, 'PPA 사업(C)'!G:G, B15, 'PPA 사업(C)'!X:X, B19, 'PPA 사업(C)'!U:U, $C$1),
    SUMIFS('리스사업(D)'!I:I, '리스사업(D)'!C:C, $E$1, '리스사업(D)'!G:G, B15, '리스사업(D)'!X:X, B19, '리스사업(D)'!U:U, $C$1),
    SUMIFS('임대사업(E)'!I:I, '임대사업(E)'!C:C, $E$1, '임대사업(E)'!G:G, B15, '임대사업(E)'!X:X, B19, '임대사업(E)'!U:U, $C$1),
    SUMIFS('환경부사업(F)'!I:I, '환경부사업(F)'!C:C, $E$1, '환경부사업(F)'!G:G, B15, '환경부사업(F)'!X:X, B19, '환경부사업(F)'!U:U, $C$1),
    SUMIFS('프로젝트(G)'!I:I, '프로젝트(G)'!C:C, $E$1, '프로젝트(G)'!G:G, B15, '프로젝트(G)'!X:X, B19, '프로젝트(G)'!U:U, $C$1),
    SUMIFS('협력사 EPC(H)'!I:I, '협력사 EPC(H)'!C:C, $E$1, '협력사 EPC(H)'!G:G, B15, '협력사 EPC(H)'!X:X, B19, '협력사 EPC(H)'!U:U, $C$1),
    SUMIFS('기타(Z)'!I:I, '기타(Z)'!C:C, $E$1, '기타(Z)'!G:G, B15, '기타(Z)'!X:X, B19, '기타(Z)'!U:U, $C$1)
  ) = 0,
  "",
  SUM(
    SUMIFS('발전사업(A)'!I:I, '발전사업(A)'!C:C, $E$1, '발전사업(A)'!G:G, B15, '발전사업(A)'!X:X, B19, '발전사업(A)'!U:U, $C$1),
    SUMIFS('자가소비(B)'!I:I, '자가소비(B)'!C:C, $E$1, '자가소비(B)'!G:G, B15, '자가소비(B)'!X:X, B19, '자가소비(B)'!U:U, $C$1),
    SUMIFS('PPA 사업(C)'!I:I, 'PPA 사업(C)'!C:C, $E$1, 'PPA 사업(C)'!G:G, B15, 'PPA 사업(C)'!X:X, B19, 'PPA 사업(C)'!U:U, $C$1),
    SUMIFS('리스사업(D)'!I:I, '리스사업(D)'!C:C, $E$1, '리스사업(D)'!G:G, B15, '리스사업(D)'!X:X, B19, '리스사업(D)'!U:U, $C$1),
    SUMIFS('임대사업(E)'!I:I, '임대사업(E)'!C:C, $E$1, '임대사업(E)'!G:G, B15, '임대사업(E)'!X:X, B19, '임대사업(E)'!U:U, $C$1),
    SUMIFS('환경부사업(F)'!I:I, '환경부사업(F)'!C:C, $E$1, '환경부사업(F)'!G:G, B15, '환경부사업(F)'!X:X, B19, '환경부사업(F)'!U:U, $C$1),
    SUMIFS('프로젝트(G)'!I:I, '프로젝트(G)'!C:C, $E$1, '프로젝트(G)'!G:G, B15, '프로젝트(G)'!X:X, B19, '프로젝트(G)'!U:U, $C$1),
    SUMIFS('협력사 EPC(H)'!I:I, '협력사 EPC(H)'!C:C, $E$1, '협력사 EPC(H)'!G:G, B15, '협력사 EPC(H)'!X:X, B19, '협력사 EPC(H)'!U:U, $C$1),
    SUMIFS('기타(Z)'!I:I, '기타(Z)'!C:C, $E$1, '기타(Z)'!G:G, B15, '기타(Z)'!X:X, B19, '기타(Z)'!U:U, $C$1)
  )
)</f>
        <v/>
      </c>
      <c r="F19" s="263" t="str">
        <f>IF(
  SUM(
    COUNTIFS('발전사업(A)'!C:C, $E$1, '발전사업(A)'!G:G, B15, '발전사업(A)'!X:X, B19, '발전사업(A)'!U:U, $C$1),
    COUNTIFS('자가소비(B)'!C:C, $E$1, '자가소비(B)'!G:G, B15, '자가소비(B)'!X:X, B19, '자가소비(B)'!U:U, $C$1),
    COUNTIFS('PPA 사업(C)'!C:C, $E$1, 'PPA 사업(C)'!G:G, B15, 'PPA 사업(C)'!X:X, B19, 'PPA 사업(C)'!U:U, $C$1),
    COUNTIFS('리스사업(D)'!C:C, $E$1, '리스사업(D)'!G:G, B15, '리스사업(D)'!X:X, B19, '리스사업(D)'!U:U, $C$1),
    COUNTIFS('임대사업(E)'!C:C, $E$1, '임대사업(E)'!G:G, B15, '임대사업(E)'!X:X, B19, '임대사업(E)'!U:U, $C$1),
    COUNTIFS('환경부사업(F)'!C:C, $E$1, '환경부사업(F)'!G:G, B15, '환경부사업(F)'!X:X, B19, '환경부사업(F)'!U:U, $C$1),
    COUNTIFS('프로젝트(G)'!C:C, $E$1, '프로젝트(G)'!G:G, B15, '프로젝트(G)'!X:X, B19, '프로젝트(G)'!U:U, $C$1),
    COUNTIFS('협력사 EPC(H)'!C:C, $E$1, '협력사 EPC(H)'!G:G, B15, '협력사 EPC(H)'!X:X, B19, '협력사 EPC(H)'!U:U, $C$1),
    COUNTIFS('기타(Z)'!C:C, $E$1, '기타(Z)'!G:G, B15, '기타(Z)'!X:X, B19, '기타(Z)'!U:U, $C$1)
  ) = 0,
  "",
  SUM(
    COUNTIFS('발전사업(A)'!C:C, $E$1, '발전사업(A)'!G:G, B15, '발전사업(A)'!X:X, B19, '발전사업(A)'!U:U, $C$1),
    COUNTIFS('자가소비(B)'!C:C, $E$1, '자가소비(B)'!G:G, B15, '자가소비(B)'!X:X, B19, '자가소비(B)'!U:U, $C$1),
    COUNTIFS('PPA 사업(C)'!C:C, $E$1, 'PPA 사업(C)'!G:G, B15, 'PPA 사업(C)'!X:X, B19, 'PPA 사업(C)'!U:U, $C$1),
    COUNTIFS('리스사업(D)'!C:C, $E$1, '리스사업(D)'!G:G, B15, '리스사업(D)'!X:X, B19, '리스사업(D)'!U:U, $C$1),
    COUNTIFS('임대사업(E)'!C:C, $E$1, '임대사업(E)'!G:G, B15, '임대사업(E)'!X:X, B19, '임대사업(E)'!U:U, $C$1),
    COUNTIFS('환경부사업(F)'!C:C, $E$1, '환경부사업(F)'!G:G, B15, '환경부사업(F)'!X:X, B19, '환경부사업(F)'!U:U, $C$1),
    COUNTIFS('프로젝트(G)'!C:C, $E$1, '프로젝트(G)'!G:G, B15, '프로젝트(G)'!X:X, B19, '프로젝트(G)'!U:U, $C$1),
    COUNTIFS('협력사 EPC(H)'!C:C, $E$1, '협력사 EPC(H)'!G:G, B15, '협력사 EPC(H)'!X:X, B19, '협력사 EPC(H)'!U:U, $C$1),
    COUNTIFS('기타(Z)'!C:C, $E$1, '기타(Z)'!G:G, B15, '기타(Z)'!X:X, B19, '기타(Z)'!U:U, $C$1)
  )
)</f>
        <v/>
      </c>
      <c r="G19" s="262">
        <f>IF(
  SUM(
    SUMIFS('발전사업(A)'!I:I, '발전사업(A)'!C:C, $E$1, '발전사업(A)'!G:G, B15, '발전사업(A)'!X:X, B19, '발전사업(A)'!U:U, $D$1),
    SUMIFS('자가소비(B)'!I:I, '자가소비(B)'!C:C, $E$1, '자가소비(B)'!G:G, B15, '자가소비(B)'!X:X, B19, '자가소비(B)'!U:U, $D$1),
    SUMIFS('PPA 사업(C)'!I:I, 'PPA 사업(C)'!C:C, $E$1, 'PPA 사업(C)'!G:G, B15, 'PPA 사업(C)'!X:X, B19, 'PPA 사업(C)'!U:U, $D$1),
    SUMIFS('리스사업(D)'!I:I, '리스사업(D)'!C:C, $E$1, '리스사업(D)'!G:G, B15, '리스사업(D)'!X:X, B19, '리스사업(D)'!U:U, $D$1),
    SUMIFS('임대사업(E)'!I:I, '임대사업(E)'!C:C, $E$1, '임대사업(E)'!G:G, B15, '임대사업(E)'!X:X, B19, '임대사업(E)'!U:U, $D$1),
    SUMIFS('환경부사업(F)'!I:I, '환경부사업(F)'!C:C, $E$1, '환경부사업(F)'!G:G, B15, '환경부사업(F)'!X:X, B19, '환경부사업(F)'!U:U, $D$1),
    SUMIFS('프로젝트(G)'!I:I, '프로젝트(G)'!C:C, $E$1, '프로젝트(G)'!G:G, B15, '프로젝트(G)'!X:X, B19, '프로젝트(G)'!U:U, $D$1),
    SUMIFS('협력사 EPC(H)'!I:I, '협력사 EPC(H)'!C:C, $E$1, '협력사 EPC(H)'!G:G, B15, '협력사 EPC(H)'!X:X, B19, '협력사 EPC(H)'!U:U, $D$1),
    SUMIFS('기타(Z)'!I:I, '기타(Z)'!C:C, $E$1, '기타(Z)'!G:G, B15, '기타(Z)'!X:X, B19, '기타(Z)'!U:U, $D$1)
  ) = 0,
  "",
  SUM(
    SUMIFS('발전사업(A)'!I:I, '발전사업(A)'!C:C, $E$1, '발전사업(A)'!G:G, B15, '발전사업(A)'!X:X, B19, '발전사업(A)'!U:U, $D$1),
    SUMIFS('자가소비(B)'!I:I, '자가소비(B)'!C:C, $E$1, '자가소비(B)'!G:G, B15, '자가소비(B)'!X:X, B19, '자가소비(B)'!U:U, $D$1),
    SUMIFS('PPA 사업(C)'!I:I, 'PPA 사업(C)'!C:C, $E$1, 'PPA 사업(C)'!G:G, B15, 'PPA 사업(C)'!X:X, B19, 'PPA 사업(C)'!U:U, $D$1),
    SUMIFS('리스사업(D)'!I:I, '리스사업(D)'!C:C, $E$1, '리스사업(D)'!G:G, B15, '리스사업(D)'!X:X, B19, '리스사업(D)'!U:U, $D$1),
    SUMIFS('임대사업(E)'!I:I, '임대사업(E)'!C:C, $E$1, '임대사업(E)'!G:G, B15, '임대사업(E)'!X:X, B19, '임대사업(E)'!U:U, $D$1),
    SUMIFS('환경부사업(F)'!I:I, '환경부사업(F)'!C:C, $E$1, '환경부사업(F)'!G:G, B15, '환경부사업(F)'!X:X, B19, '환경부사업(F)'!U:U, $D$1),
    SUMIFS('프로젝트(G)'!I:I, '프로젝트(G)'!C:C, $E$1, '프로젝트(G)'!G:G, B15, '프로젝트(G)'!X:X, B19, '프로젝트(G)'!U:U, $D$1),
    SUMIFS('협력사 EPC(H)'!I:I, '협력사 EPC(H)'!C:C, $E$1, '협력사 EPC(H)'!G:G, B15, '협력사 EPC(H)'!X:X, B19, '협력사 EPC(H)'!U:U, $D$1),
    SUMIFS('기타(Z)'!I:I, '기타(Z)'!C:C, $E$1, '기타(Z)'!G:G, B15, '기타(Z)'!X:X, B19, '기타(Z)'!U:U, $D$1)
  )
)</f>
        <v>413.44499999999999</v>
      </c>
      <c r="H19" s="263">
        <f>IF(
  (
    COUNTIFS('발전사업(A)'!C:C, $E$1, '발전사업(A)'!G:G, B15, '발전사업(A)'!X:X, B19, '발전사업(A)'!U:U, $D$1)
    + COUNTIFS('자가소비(B)'!C:C, $E$1, '자가소비(B)'!G:G, B15, '자가소비(B)'!X:X, B19, '자가소비(B)'!U:U, $D$1)
    + COUNTIFS('PPA 사업(C)'!C:C, $E$1, 'PPA 사업(C)'!G:G, B15, 'PPA 사업(C)'!X:X, B19, 'PPA 사업(C)'!U:U, $D$1)
    + COUNTIFS('리스사업(D)'!C:C, $E$1, '리스사업(D)'!G:G, B15, '리스사업(D)'!X:X, B19, '리스사업(D)'!U:U, $D$1)
    + COUNTIFS('임대사업(E)'!C:C, $E$1, '임대사업(E)'!G:G, B15, '임대사업(E)'!X:X, B19, '임대사업(E)'!U:U, $D$1)
    + COUNTIFS('환경부사업(F)'!C:C, $E$1, '환경부사업(F)'!G:G, B15, '환경부사업(F)'!X:X, B19, '환경부사업(F)'!U:U, $D$1)
    + COUNTIFS('프로젝트(G)'!C:C, $E$1, '프로젝트(G)'!G:G, B15, '프로젝트(G)'!X:X, B19, '프로젝트(G)'!U:U, $D$1)
    + COUNTIFS('협력사 EPC(H)'!C:C, $E$1, '협력사 EPC(H)'!G:G, B15, '협력사 EPC(H)'!X:X, B19, '협력사 EPC(H)'!U:U, $D$1)
    + COUNTIFS('기타(Z)'!C:C, $E$1, '기타(Z)'!G:G, B15, '기타(Z)'!X:X, B19, '기타(Z)'!U:U, $D$1)
  ) = 0,
  "",
  COUNTIFS('발전사업(A)'!C:C, $E$1, '발전사업(A)'!G:G, B15, '발전사업(A)'!X:X, B19, '발전사업(A)'!U:U, $D$1)
  + COUNTIFS('자가소비(B)'!C:C, $E$1, '자가소비(B)'!G:G, B15, '자가소비(B)'!X:X, B19, '자가소비(B)'!U:U, $D$1)
  + COUNTIFS('PPA 사업(C)'!C:C, $E$1, 'PPA 사업(C)'!G:G, B15, 'PPA 사업(C)'!X:X, B19, 'PPA 사업(C)'!U:U, $D$1)
  + COUNTIFS('리스사업(D)'!C:C, $E$1, '리스사업(D)'!G:G, B15, '리스사업(D)'!X:X, B19, '리스사업(D)'!U:U, $D$1)
  + COUNTIFS('임대사업(E)'!C:C, $E$1, '임대사업(E)'!G:G, B15, '임대사업(E)'!X:X, B19, '임대사업(E)'!U:U, $D$1)
  + COUNTIFS('환경부사업(F)'!C:C, $E$1, '환경부사업(F)'!G:G, B15, '환경부사업(F)'!X:X, B19, '환경부사업(F)'!U:U, $D$1)
  + COUNTIFS('프로젝트(G)'!C:C, $E$1, '프로젝트(G)'!G:G, B15, '프로젝트(G)'!X:X, B19, '프로젝트(G)'!U:U, $D$1)
  + COUNTIFS('협력사 EPC(H)'!C:C, $E$1, '협력사 EPC(H)'!G:G, B15, '협력사 EPC(H)'!X:X, B19, '협력사 EPC(H)'!U:U, $D$1)
  + COUNTIFS('기타(Z)'!C:C, $E$1, '기타(Z)'!G:G, B15, '기타(Z)'!X:X, B19, '기타(Z)'!U:U, $D$1)
)</f>
        <v>2</v>
      </c>
      <c r="J19" s="371" t="s">
        <v>192</v>
      </c>
      <c r="K19" s="354">
        <f t="shared" si="5"/>
        <v>998.46</v>
      </c>
      <c r="L19" s="348">
        <f t="shared" si="6"/>
        <v>1</v>
      </c>
      <c r="M19" s="366" t="str">
        <f>IF(
  SUM(
    SUMIFS('발전사업(A)'!$I:$I,'발전사업(A)'!$G:$G,M$2,'발전사업(A)'!$Q:$Q,$J19,'발전사업(A)'!$C:$C,$L$1),
    SUMIFS('자가소비(B)'!$I:$I,'자가소비(B)'!$G:$G,M$2,'자가소비(B)'!$Q:$Q,$J19,'자가소비(B)'!$C:$C,$L$1),
    SUMIFS('PPA 사업(C)'!$I:$I,'PPA 사업(C)'!$G:$G,M$2,'PPA 사업(C)'!$Q:$Q,$J19,'PPA 사업(C)'!$C:$C,$L$1),
    SUMIFS('리스사업(D)'!$I:$I,'리스사업(D)'!$G:$G,M$2,'리스사업(D)'!$Q:$Q,$J19,'리스사업(D)'!$C:$C,$L$1),
    SUMIFS('임대사업(E)'!$I:$I,'임대사업(E)'!$G:$G,M$2,'임대사업(E)'!$Q:$Q,$J19,'임대사업(E)'!$C:$C,$L$1),
    SUMIFS('환경부사업(F)'!$I:$I,'환경부사업(F)'!$G:$G,M$2,'환경부사업(F)'!$Q:$Q,$J19,'환경부사업(F)'!$C:$C,$L$1),
    SUMIFS('프로젝트(G)'!$I:$I,'프로젝트(G)'!$G:$G,M$2,'프로젝트(G)'!$Q:$Q,$J19,'프로젝트(G)'!$C:$C,$L$1),
    SUMIFS('협력사 EPC(H)'!$I:$I,'협력사 EPC(H)'!$G:$G,M$2,'협력사 EPC(H)'!$Q:$Q,$J19,'협력사 EPC(H)'!$C:$C,$L$1),
    SUMIFS('기타(Z)'!$I:$I,'기타(Z)'!$G:$G,M$2,'기타(Z)'!$Q:$Q,$J19,'기타(Z)'!$C:$C,$L$1)
  )=0,
  "",
  SUM(
    SUMIFS('발전사업(A)'!$I:$I,'발전사업(A)'!$G:$G,M$2,'발전사업(A)'!$Q:$Q,$J19,'발전사업(A)'!$C:$C,$L$1),
    SUMIFS('자가소비(B)'!$I:$I,'자가소비(B)'!$G:$G,M$2,'자가소비(B)'!$Q:$Q,$J19,'자가소비(B)'!$C:$C,$L$1),
    SUMIFS('PPA 사업(C)'!$I:$I,'PPA 사업(C)'!$G:$G,M$2,'PPA 사업(C)'!$Q:$Q,$J19,'PPA 사업(C)'!$C:$C,$L$1),
    SUMIFS('리스사업(D)'!$I:$I,'리스사업(D)'!$G:$G,M$2,'리스사업(D)'!$Q:$Q,$J19,'리스사업(D)'!$C:$C,$L$1),
    SUMIFS('임대사업(E)'!$I:$I,'임대사업(E)'!$G:$G,M$2,'임대사업(E)'!$Q:$Q,$J19,'임대사업(E)'!$C:$C,$L$1),
    SUMIFS('환경부사업(F)'!$I:$I,'환경부사업(F)'!$G:$G,M$2,'환경부사업(F)'!$Q:$Q,$J19,'환경부사업(F)'!$C:$C,$L$1),
    SUMIFS('프로젝트(G)'!$I:$I,'프로젝트(G)'!$G:$G,M$2,'프로젝트(G)'!$Q:$Q,$J19,'프로젝트(G)'!$C:$C,$L$1),
    SUMIFS('협력사 EPC(H)'!$I:$I,'협력사 EPC(H)'!$G:$G,M$2,'협력사 EPC(H)'!$Q:$Q,$J19,'협력사 EPC(H)'!$C:$C,$L$1),
    SUMIFS('기타(Z)'!$I:$I,'기타(Z)'!$G:$G,M$2,'기타(Z)'!$Q:$Q,$J19,'기타(Z)'!$C:$C,$L$1)
  )
)</f>
        <v/>
      </c>
      <c r="N19" s="367" t="str">
        <f>IF(
  SUM(
    COUNTIFS('발전사업(A)'!$G:$G, M$2, '발전사업(A)'!$Q:$Q, $J19, '발전사업(A)'!$C:$C, $L$1),
    COUNTIFS('자가소비(B)'!$G:$G, M$2, '자가소비(B)'!$Q:$Q, $J19, '자가소비(B)'!$C:$C, $L$1),
    COUNTIFS('PPA 사업(C)'!$G:$G, M$2, 'PPA 사업(C)'!$Q:$Q, $J19, 'PPA 사업(C)'!$C:$C, $L$1),
    COUNTIFS('리스사업(D)'!$G:$G, M$2, '리스사업(D)'!$Q:$Q, $J19, '리스사업(D)'!$C:$C, $L$1),
    COUNTIFS('임대사업(E)'!$G:$G, M$2, '임대사업(E)'!$Q:$Q, $J19, '임대사업(E)'!$C:$C, $L$1),
    COUNTIFS('환경부사업(F)'!$G:$G, M$2, '환경부사업(F)'!$Q:$Q, $J19, '환경부사업(F)'!$C:$C, $L$1),
    COUNTIFS('프로젝트(G)'!$G:$G, M$2, '프로젝트(G)'!$Q:$Q, $J19, '프로젝트(G)'!$C:$C, $L$1),
    COUNTIFS('협력사 EPC(H)'!$G:$G, M$2, '협력사 EPC(H)'!$Q:$Q, $J19, '협력사 EPC(H)'!$C:$C, $L$1),
    COUNTIFS('기타(Z)'!$G:$G, M$2, '기타(Z)'!$Q:$Q, $J19, '기타(Z)'!$C:$C, $L$1)
  ) = 0,
  "",
  COUNTIFS('발전사업(A)'!$G:$G, M$2, '발전사업(A)'!$Q:$Q, $J19, '발전사업(A)'!$C:$C, $L$1)
  + COUNTIFS('자가소비(B)'!$G:$G, M$2, '자가소비(B)'!$Q:$Q, $J19, '자가소비(B)'!$C:$C, $L$1)
  + COUNTIFS('PPA 사업(C)'!$G:$G, M$2, 'PPA 사업(C)'!$Q:$Q, $J19, 'PPA 사업(C)'!$C:$C, $L$1)
  + COUNTIFS('리스사업(D)'!$G:$G, M$2, '리스사업(D)'!$Q:$Q, $J19, '리스사업(D)'!$C:$C, $L$1)
  + COUNTIFS('임대사업(E)'!$G:$G, M$2, '임대사업(E)'!$Q:$Q, $J19, '임대사업(E)'!$C:$C, $L$1)
  + COUNTIFS('환경부사업(F)'!$G:$G, M$2, '환경부사업(F)'!$Q:$Q, $J19, '환경부사업(F)'!$C:$C, $L$1)
  + COUNTIFS('프로젝트(G)'!$G:$G, M$2, '프로젝트(G)'!$Q:$Q, $J19, '프로젝트(G)'!$C:$C, $L$1)
  + COUNTIFS('협력사 EPC(H)'!$G:$G, M$2, '협력사 EPC(H)'!$Q:$Q, $J19, '협력사 EPC(H)'!$C:$C, $L$1)
  + COUNTIFS('기타(Z)'!$G:$G, M$2, '기타(Z)'!$Q:$Q, $J19, '기타(Z)'!$C:$C, $L$1)
)</f>
        <v/>
      </c>
      <c r="O19" s="366" t="str">
        <f>IF(
  SUM(
    SUMIFS('발전사업(A)'!$I:$I,'발전사업(A)'!$G:$G,O$2,'발전사업(A)'!$Q:$Q,$J19,'발전사업(A)'!$C:$C,$L$1),
    SUMIFS('자가소비(B)'!$I:$I,'자가소비(B)'!$G:$G,O$2,'자가소비(B)'!$Q:$Q,$J19,'자가소비(B)'!$C:$C,$L$1),
    SUMIFS('PPA 사업(C)'!$I:$I,'PPA 사업(C)'!$G:$G,O$2,'PPA 사업(C)'!$Q:$Q,$J19,'PPA 사업(C)'!$C:$C,$L$1),
    SUMIFS('리스사업(D)'!$I:$I,'리스사업(D)'!$G:$G,O$2,'리스사업(D)'!$Q:$Q,$J19,'리스사업(D)'!$C:$C,$L$1),
    SUMIFS('임대사업(E)'!$I:$I,'임대사업(E)'!$G:$G,O$2,'임대사업(E)'!$Q:$Q,$J19,'임대사업(E)'!$C:$C,$L$1),
    SUMIFS('환경부사업(F)'!$I:$I,'환경부사업(F)'!$G:$G,O$2,'환경부사업(F)'!$Q:$Q,$J19,'환경부사업(F)'!$C:$C,$L$1),
    SUMIFS('프로젝트(G)'!$I:$I,'프로젝트(G)'!$G:$G,O$2,'프로젝트(G)'!$Q:$Q,$J19,'프로젝트(G)'!$C:$C,$L$1),
    SUMIFS('협력사 EPC(H)'!$I:$I,'협력사 EPC(H)'!$G:$G,O$2,'협력사 EPC(H)'!$Q:$Q,$J19,'협력사 EPC(H)'!$C:$C,$L$1),
    SUMIFS('기타(Z)'!$I:$I,'기타(Z)'!$G:$G,O$2,'기타(Z)'!$Q:$Q,$J19,'기타(Z)'!$C:$C,$L$1)
  )=0,
  "",
  SUM(
    SUMIFS('발전사업(A)'!$I:$I,'발전사업(A)'!$G:$G,O$2,'발전사업(A)'!$Q:$Q,$J19,'발전사업(A)'!$C:$C,$L$1),
    SUMIFS('자가소비(B)'!$I:$I,'자가소비(B)'!$G:$G,O$2,'자가소비(B)'!$Q:$Q,$J19,'자가소비(B)'!$C:$C,$L$1),
    SUMIFS('PPA 사업(C)'!$I:$I,'PPA 사업(C)'!$G:$G,O$2,'PPA 사업(C)'!$Q:$Q,$J19,'PPA 사업(C)'!$C:$C,$L$1),
    SUMIFS('리스사업(D)'!$I:$I,'리스사업(D)'!$G:$G,O$2,'리스사업(D)'!$Q:$Q,$J19,'리스사업(D)'!$C:$C,$L$1),
    SUMIFS('임대사업(E)'!$I:$I,'임대사업(E)'!$G:$G,O$2,'임대사업(E)'!$Q:$Q,$J19,'임대사업(E)'!$C:$C,$L$1),
    SUMIFS('환경부사업(F)'!$I:$I,'환경부사업(F)'!$G:$G,O$2,'환경부사업(F)'!$Q:$Q,$J19,'환경부사업(F)'!$C:$C,$L$1),
    SUMIFS('프로젝트(G)'!$I:$I,'프로젝트(G)'!$G:$G,O$2,'프로젝트(G)'!$Q:$Q,$J19,'프로젝트(G)'!$C:$C,$L$1),
    SUMIFS('협력사 EPC(H)'!$I:$I,'협력사 EPC(H)'!$G:$G,O$2,'협력사 EPC(H)'!$Q:$Q,$J19,'협력사 EPC(H)'!$C:$C,$L$1),
    SUMIFS('기타(Z)'!$I:$I,'기타(Z)'!$G:$G,O$2,'기타(Z)'!$Q:$Q,$J19,'기타(Z)'!$C:$C,$L$1)
  )
)</f>
        <v/>
      </c>
      <c r="P19" s="367" t="str">
        <f>IF(
  SUM(
    COUNTIFS('발전사업(A)'!$G:$G, O$2, '발전사업(A)'!$Q:$Q, $J19, '발전사업(A)'!$C:$C, $L$1),
    COUNTIFS('자가소비(B)'!$G:$G, O$2, '자가소비(B)'!$Q:$Q, $J19, '자가소비(B)'!$C:$C, $L$1),
    COUNTIFS('PPA 사업(C)'!$G:$G, O$2, 'PPA 사업(C)'!$Q:$Q, $J19, 'PPA 사업(C)'!$C:$C, $L$1),
    COUNTIFS('리스사업(D)'!$G:$G, O$2, '리스사업(D)'!$Q:$Q, $J19, '리스사업(D)'!$C:$C, $L$1),
    COUNTIFS('임대사업(E)'!$G:$G, O$2, '임대사업(E)'!$Q:$Q, $J19, '임대사업(E)'!$C:$C, $L$1),
    COUNTIFS('환경부사업(F)'!$G:$G, O$2, '환경부사업(F)'!$Q:$Q, $J19, '환경부사업(F)'!$C:$C, $L$1),
    COUNTIFS('프로젝트(G)'!$G:$G, O$2, '프로젝트(G)'!$Q:$Q, $J19, '프로젝트(G)'!$C:$C, $L$1),
    COUNTIFS('협력사 EPC(H)'!$G:$G, O$2, '협력사 EPC(H)'!$Q:$Q, $J19, '협력사 EPC(H)'!$C:$C, $L$1),
    COUNTIFS('기타(Z)'!$G:$G, O$2, '기타(Z)'!$Q:$Q, $J19, '기타(Z)'!$C:$C, $L$1)
  ) = 0,
  "",
  COUNTIFS('발전사업(A)'!$G:$G, O$2, '발전사업(A)'!$Q:$Q, $J19, '발전사업(A)'!$C:$C, $L$1)
  + COUNTIFS('자가소비(B)'!$G:$G, O$2, '자가소비(B)'!$Q:$Q, $J19, '자가소비(B)'!$C:$C, $L$1)
  + COUNTIFS('PPA 사업(C)'!$G:$G, O$2, 'PPA 사업(C)'!$Q:$Q, $J19, 'PPA 사업(C)'!$C:$C, $L$1)
  + COUNTIFS('리스사업(D)'!$G:$G, O$2, '리스사업(D)'!$Q:$Q, $J19, '리스사업(D)'!$C:$C, $L$1)
  + COUNTIFS('임대사업(E)'!$G:$G, O$2, '임대사업(E)'!$Q:$Q, $J19, '임대사업(E)'!$C:$C, $L$1)
  + COUNTIFS('환경부사업(F)'!$G:$G, O$2, '환경부사업(F)'!$Q:$Q, $J19, '환경부사업(F)'!$C:$C, $L$1)
  + COUNTIFS('프로젝트(G)'!$G:$G, O$2, '프로젝트(G)'!$Q:$Q, $J19, '프로젝트(G)'!$C:$C, $L$1)
  + COUNTIFS('협력사 EPC(H)'!$G:$G, O$2, '협력사 EPC(H)'!$Q:$Q, $J19, '협력사 EPC(H)'!$C:$C, $L$1)
  + COUNTIFS('기타(Z)'!$G:$G, O$2, '기타(Z)'!$Q:$Q, $J19, '기타(Z)'!$C:$C, $L$1)
)</f>
        <v/>
      </c>
      <c r="Q19" s="366" t="str">
        <f>IF(
  SUM(
    SUMIFS('발전사업(A)'!$I:$I,'발전사업(A)'!$G:$G,Q$2,'발전사업(A)'!$Q:$Q,$J19,'발전사업(A)'!$C:$C,$L$1),
    SUMIFS('자가소비(B)'!$I:$I,'자가소비(B)'!$G:$G,Q$2,'자가소비(B)'!$Q:$Q,$J19,'자가소비(B)'!$C:$C,$L$1),
    SUMIFS('PPA 사업(C)'!$I:$I,'PPA 사업(C)'!$G:$G,Q$2,'PPA 사업(C)'!$Q:$Q,$J19,'PPA 사업(C)'!$C:$C,$L$1),
    SUMIFS('리스사업(D)'!$I:$I,'리스사업(D)'!$G:$G,Q$2,'리스사업(D)'!$Q:$Q,$J19,'리스사업(D)'!$C:$C,$L$1),
    SUMIFS('임대사업(E)'!$I:$I,'임대사업(E)'!$G:$G,Q$2,'임대사업(E)'!$Q:$Q,$J19,'임대사업(E)'!$C:$C,$L$1),
    SUMIFS('환경부사업(F)'!$I:$I,'환경부사업(F)'!$G:$G,Q$2,'환경부사업(F)'!$Q:$Q,$J19,'환경부사업(F)'!$C:$C,$L$1),
    SUMIFS('프로젝트(G)'!$I:$I,'프로젝트(G)'!$G:$G,Q$2,'프로젝트(G)'!$Q:$Q,$J19,'프로젝트(G)'!$C:$C,$L$1),
    SUMIFS('협력사 EPC(H)'!$I:$I,'협력사 EPC(H)'!$G:$G,Q$2,'협력사 EPC(H)'!$Q:$Q,$J19,'협력사 EPC(H)'!$C:$C,$L$1),
    SUMIFS('기타(Z)'!$I:$I,'기타(Z)'!$G:$G,Q$2,'기타(Z)'!$Q:$Q,$J19,'기타(Z)'!$C:$C,$L$1)
  )=0,
  "",
  SUM(
    SUMIFS('발전사업(A)'!$I:$I,'발전사업(A)'!$G:$G,Q$2,'발전사업(A)'!$Q:$Q,$J19,'발전사업(A)'!$C:$C,$L$1),
    SUMIFS('자가소비(B)'!$I:$I,'자가소비(B)'!$G:$G,Q$2,'자가소비(B)'!$Q:$Q,$J19,'자가소비(B)'!$C:$C,$L$1),
    SUMIFS('PPA 사업(C)'!$I:$I,'PPA 사업(C)'!$G:$G,Q$2,'PPA 사업(C)'!$Q:$Q,$J19,'PPA 사업(C)'!$C:$C,$L$1),
    SUMIFS('리스사업(D)'!$I:$I,'리스사업(D)'!$G:$G,Q$2,'리스사업(D)'!$Q:$Q,$J19,'리스사업(D)'!$C:$C,$L$1),
    SUMIFS('임대사업(E)'!$I:$I,'임대사업(E)'!$G:$G,Q$2,'임대사업(E)'!$Q:$Q,$J19,'임대사업(E)'!$C:$C,$L$1),
    SUMIFS('환경부사업(F)'!$I:$I,'환경부사업(F)'!$G:$G,Q$2,'환경부사업(F)'!$Q:$Q,$J19,'환경부사업(F)'!$C:$C,$L$1),
    SUMIFS('프로젝트(G)'!$I:$I,'프로젝트(G)'!$G:$G,Q$2,'프로젝트(G)'!$Q:$Q,$J19,'프로젝트(G)'!$C:$C,$L$1),
    SUMIFS('협력사 EPC(H)'!$I:$I,'협력사 EPC(H)'!$G:$G,Q$2,'협력사 EPC(H)'!$Q:$Q,$J19,'협력사 EPC(H)'!$C:$C,$L$1),
    SUMIFS('기타(Z)'!$I:$I,'기타(Z)'!$G:$G,Q$2,'기타(Z)'!$Q:$Q,$J19,'기타(Z)'!$C:$C,$L$1)
  )
)</f>
        <v/>
      </c>
      <c r="R19" s="367" t="str">
        <f>IF(
  SUM(
    COUNTIFS('발전사업(A)'!$G:$G, Q$2, '발전사업(A)'!$Q:$Q, $J19, '발전사업(A)'!$C:$C, $L$1),
    COUNTIFS('자가소비(B)'!$G:$G, Q$2, '자가소비(B)'!$Q:$Q, $J19, '자가소비(B)'!$C:$C, $L$1),
    COUNTIFS('PPA 사업(C)'!$G:$G, Q$2, 'PPA 사업(C)'!$Q:$Q, $J19, 'PPA 사업(C)'!$C:$C, $L$1),
    COUNTIFS('리스사업(D)'!$G:$G, Q$2, '리스사업(D)'!$Q:$Q, $J19, '리스사업(D)'!$C:$C, $L$1),
    COUNTIFS('임대사업(E)'!$G:$G, Q$2, '임대사업(E)'!$Q:$Q, $J19, '임대사업(E)'!$C:$C, $L$1),
    COUNTIFS('환경부사업(F)'!$G:$G, Q$2, '환경부사업(F)'!$Q:$Q, $J19, '환경부사업(F)'!$C:$C, $L$1),
    COUNTIFS('프로젝트(G)'!$G:$G, Q$2, '프로젝트(G)'!$Q:$Q, $J19, '프로젝트(G)'!$C:$C, $L$1),
    COUNTIFS('협력사 EPC(H)'!$G:$G, Q$2, '협력사 EPC(H)'!$Q:$Q, $J19, '협력사 EPC(H)'!$C:$C, $L$1),
    COUNTIFS('기타(Z)'!$G:$G, Q$2, '기타(Z)'!$Q:$Q, $J19, '기타(Z)'!$C:$C, $L$1)
  ) = 0,
  "",
  COUNTIFS('발전사업(A)'!$G:$G, Q$2, '발전사업(A)'!$Q:$Q, $J19, '발전사업(A)'!$C:$C, $L$1)
  + COUNTIFS('자가소비(B)'!$G:$G, Q$2, '자가소비(B)'!$Q:$Q, $J19, '자가소비(B)'!$C:$C, $L$1)
  + COUNTIFS('PPA 사업(C)'!$G:$G, Q$2, 'PPA 사업(C)'!$Q:$Q, $J19, 'PPA 사업(C)'!$C:$C, $L$1)
  + COUNTIFS('리스사업(D)'!$G:$G, Q$2, '리스사업(D)'!$Q:$Q, $J19, '리스사업(D)'!$C:$C, $L$1)
  + COUNTIFS('임대사업(E)'!$G:$G, Q$2, '임대사업(E)'!$Q:$Q, $J19, '임대사업(E)'!$C:$C, $L$1)
  + COUNTIFS('환경부사업(F)'!$G:$G, Q$2, '환경부사업(F)'!$Q:$Q, $J19, '환경부사업(F)'!$C:$C, $L$1)
  + COUNTIFS('프로젝트(G)'!$G:$G, Q$2, '프로젝트(G)'!$Q:$Q, $J19, '프로젝트(G)'!$C:$C, $L$1)
  + COUNTIFS('협력사 EPC(H)'!$G:$G, Q$2, '협력사 EPC(H)'!$Q:$Q, $J19, '협력사 EPC(H)'!$C:$C, $L$1)
  + COUNTIFS('기타(Z)'!$G:$G, Q$2, '기타(Z)'!$Q:$Q, $J19, '기타(Z)'!$C:$C, $L$1)
)</f>
        <v/>
      </c>
      <c r="S19" s="366" t="str">
        <f>IF(
  SUM(
    SUMIFS('발전사업(A)'!$I:$I,'발전사업(A)'!$G:$G,S$2,'발전사업(A)'!$Q:$Q,$J19,'발전사업(A)'!$C:$C,$L$1),
    SUMIFS('자가소비(B)'!$I:$I,'자가소비(B)'!$G:$G,S$2,'자가소비(B)'!$Q:$Q,$J19,'자가소비(B)'!$C:$C,$L$1),
    SUMIFS('PPA 사업(C)'!$I:$I,'PPA 사업(C)'!$G:$G,S$2,'PPA 사업(C)'!$Q:$Q,$J19,'PPA 사업(C)'!$C:$C,$L$1),
    SUMIFS('리스사업(D)'!$I:$I,'리스사업(D)'!$G:$G,S$2,'리스사업(D)'!$Q:$Q,$J19,'리스사업(D)'!$C:$C,$L$1),
    SUMIFS('임대사업(E)'!$I:$I,'임대사업(E)'!$G:$G,S$2,'임대사업(E)'!$Q:$Q,$J19,'임대사업(E)'!$C:$C,$L$1),
    SUMIFS('환경부사업(F)'!$I:$I,'환경부사업(F)'!$G:$G,S$2,'환경부사업(F)'!$Q:$Q,$J19,'환경부사업(F)'!$C:$C,$L$1),
    SUMIFS('프로젝트(G)'!$I:$I,'프로젝트(G)'!$G:$G,S$2,'프로젝트(G)'!$Q:$Q,$J19,'프로젝트(G)'!$C:$C,$L$1),
    SUMIFS('협력사 EPC(H)'!$I:$I,'협력사 EPC(H)'!$G:$G,S$2,'협력사 EPC(H)'!$Q:$Q,$J19,'협력사 EPC(H)'!$C:$C,$L$1),
    SUMIFS('기타(Z)'!$I:$I,'기타(Z)'!$G:$G,S$2,'기타(Z)'!$Q:$Q,$J19,'기타(Z)'!$C:$C,$L$1)
  )=0,
  "",
  SUM(
    SUMIFS('발전사업(A)'!$I:$I,'발전사업(A)'!$G:$G,S$2,'발전사업(A)'!$Q:$Q,$J19,'발전사업(A)'!$C:$C,$L$1),
    SUMIFS('자가소비(B)'!$I:$I,'자가소비(B)'!$G:$G,S$2,'자가소비(B)'!$Q:$Q,$J19,'자가소비(B)'!$C:$C,$L$1),
    SUMIFS('PPA 사업(C)'!$I:$I,'PPA 사업(C)'!$G:$G,S$2,'PPA 사업(C)'!$Q:$Q,$J19,'PPA 사업(C)'!$C:$C,$L$1),
    SUMIFS('리스사업(D)'!$I:$I,'리스사업(D)'!$G:$G,S$2,'리스사업(D)'!$Q:$Q,$J19,'리스사업(D)'!$C:$C,$L$1),
    SUMIFS('임대사업(E)'!$I:$I,'임대사업(E)'!$G:$G,S$2,'임대사업(E)'!$Q:$Q,$J19,'임대사업(E)'!$C:$C,$L$1),
    SUMIFS('환경부사업(F)'!$I:$I,'환경부사업(F)'!$G:$G,S$2,'환경부사업(F)'!$Q:$Q,$J19,'환경부사업(F)'!$C:$C,$L$1),
    SUMIFS('프로젝트(G)'!$I:$I,'프로젝트(G)'!$G:$G,S$2,'프로젝트(G)'!$Q:$Q,$J19,'프로젝트(G)'!$C:$C,$L$1),
    SUMIFS('협력사 EPC(H)'!$I:$I,'협력사 EPC(H)'!$G:$G,S$2,'협력사 EPC(H)'!$Q:$Q,$J19,'협력사 EPC(H)'!$C:$C,$L$1),
    SUMIFS('기타(Z)'!$I:$I,'기타(Z)'!$G:$G,S$2,'기타(Z)'!$Q:$Q,$J19,'기타(Z)'!$C:$C,$L$1)
  )
)</f>
        <v/>
      </c>
      <c r="T19" s="367" t="str">
        <f>IF(
  SUM(
    COUNTIFS('발전사업(A)'!$G:$G, S$2, '발전사업(A)'!$Q:$Q, $J19, '발전사업(A)'!$C:$C, $L$1),
    COUNTIFS('자가소비(B)'!$G:$G, S$2, '자가소비(B)'!$Q:$Q, $J19, '자가소비(B)'!$C:$C, $L$1),
    COUNTIFS('PPA 사업(C)'!$G:$G, S$2, 'PPA 사업(C)'!$Q:$Q, $J19, 'PPA 사업(C)'!$C:$C, $L$1),
    COUNTIFS('리스사업(D)'!$G:$G, S$2, '리스사업(D)'!$Q:$Q, $J19, '리스사업(D)'!$C:$C, $L$1),
    COUNTIFS('임대사업(E)'!$G:$G, S$2, '임대사업(E)'!$Q:$Q, $J19, '임대사업(E)'!$C:$C, $L$1),
    COUNTIFS('환경부사업(F)'!$G:$G, S$2, '환경부사업(F)'!$Q:$Q, $J19, '환경부사업(F)'!$C:$C, $L$1),
    COUNTIFS('프로젝트(G)'!$G:$G, S$2, '프로젝트(G)'!$Q:$Q, $J19, '프로젝트(G)'!$C:$C, $L$1),
    COUNTIFS('협력사 EPC(H)'!$G:$G, S$2, '협력사 EPC(H)'!$Q:$Q, $J19, '협력사 EPC(H)'!$C:$C, $L$1),
    COUNTIFS('기타(Z)'!$G:$G, S$2, '기타(Z)'!$Q:$Q, $J19, '기타(Z)'!$C:$C, $L$1)
  ) = 0,
  "",
  COUNTIFS('발전사업(A)'!$G:$G, S$2, '발전사업(A)'!$Q:$Q, $J19, '발전사업(A)'!$C:$C, $L$1)
  + COUNTIFS('자가소비(B)'!$G:$G, S$2, '자가소비(B)'!$Q:$Q, $J19, '자가소비(B)'!$C:$C, $L$1)
  + COUNTIFS('PPA 사업(C)'!$G:$G, S$2, 'PPA 사업(C)'!$Q:$Q, $J19, 'PPA 사업(C)'!$C:$C, $L$1)
  + COUNTIFS('리스사업(D)'!$G:$G, S$2, '리스사업(D)'!$Q:$Q, $J19, '리스사업(D)'!$C:$C, $L$1)
  + COUNTIFS('임대사업(E)'!$G:$G, S$2, '임대사업(E)'!$Q:$Q, $J19, '임대사업(E)'!$C:$C, $L$1)
  + COUNTIFS('환경부사업(F)'!$G:$G, S$2, '환경부사업(F)'!$Q:$Q, $J19, '환경부사업(F)'!$C:$C, $L$1)
  + COUNTIFS('프로젝트(G)'!$G:$G, S$2, '프로젝트(G)'!$Q:$Q, $J19, '프로젝트(G)'!$C:$C, $L$1)
  + COUNTIFS('협력사 EPC(H)'!$G:$G, S$2, '협력사 EPC(H)'!$Q:$Q, $J19, '협력사 EPC(H)'!$C:$C, $L$1)
  + COUNTIFS('기타(Z)'!$G:$G, S$2, '기타(Z)'!$Q:$Q, $J19, '기타(Z)'!$C:$C, $L$1)
)</f>
        <v/>
      </c>
      <c r="U19" s="366" t="str">
        <f>IF(
  SUM(
    SUMIFS('발전사업(A)'!$I:$I,'발전사업(A)'!$G:$G,U$2,'발전사업(A)'!$Q:$Q,$J19,'발전사업(A)'!$C:$C,$L$1),
    SUMIFS('자가소비(B)'!$I:$I,'자가소비(B)'!$G:$G,U$2,'자가소비(B)'!$Q:$Q,$J19,'자가소비(B)'!$C:$C,$L$1),
    SUMIFS('PPA 사업(C)'!$I:$I,'PPA 사업(C)'!$G:$G,U$2,'PPA 사업(C)'!$Q:$Q,$J19,'PPA 사업(C)'!$C:$C,$L$1),
    SUMIFS('리스사업(D)'!$I:$I,'리스사업(D)'!$G:$G,U$2,'리스사업(D)'!$Q:$Q,$J19,'리스사업(D)'!$C:$C,$L$1),
    SUMIFS('임대사업(E)'!$I:$I,'임대사업(E)'!$G:$G,U$2,'임대사업(E)'!$Q:$Q,$J19,'임대사업(E)'!$C:$C,$L$1),
    SUMIFS('환경부사업(F)'!$I:$I,'환경부사업(F)'!$G:$G,U$2,'환경부사업(F)'!$Q:$Q,$J19,'환경부사업(F)'!$C:$C,$L$1),
    SUMIFS('프로젝트(G)'!$I:$I,'프로젝트(G)'!$G:$G,U$2,'프로젝트(G)'!$Q:$Q,$J19,'프로젝트(G)'!$C:$C,$L$1),
    SUMIFS('협력사 EPC(H)'!$I:$I,'협력사 EPC(H)'!$G:$G,U$2,'협력사 EPC(H)'!$Q:$Q,$J19,'협력사 EPC(H)'!$C:$C,$L$1),
    SUMIFS('기타(Z)'!$I:$I,'기타(Z)'!$G:$G,U$2,'기타(Z)'!$Q:$Q,$J19,'기타(Z)'!$C:$C,$L$1)
  )=0,
  "",
  SUM(
    SUMIFS('발전사업(A)'!$I:$I,'발전사업(A)'!$G:$G,U$2,'발전사업(A)'!$Q:$Q,$J19,'발전사업(A)'!$C:$C,$L$1),
    SUMIFS('자가소비(B)'!$I:$I,'자가소비(B)'!$G:$G,U$2,'자가소비(B)'!$Q:$Q,$J19,'자가소비(B)'!$C:$C,$L$1),
    SUMIFS('PPA 사업(C)'!$I:$I,'PPA 사업(C)'!$G:$G,U$2,'PPA 사업(C)'!$Q:$Q,$J19,'PPA 사업(C)'!$C:$C,$L$1),
    SUMIFS('리스사업(D)'!$I:$I,'리스사업(D)'!$G:$G,U$2,'리스사업(D)'!$Q:$Q,$J19,'리스사업(D)'!$C:$C,$L$1),
    SUMIFS('임대사업(E)'!$I:$I,'임대사업(E)'!$G:$G,U$2,'임대사업(E)'!$Q:$Q,$J19,'임대사업(E)'!$C:$C,$L$1),
    SUMIFS('환경부사업(F)'!$I:$I,'환경부사업(F)'!$G:$G,U$2,'환경부사업(F)'!$Q:$Q,$J19,'환경부사업(F)'!$C:$C,$L$1),
    SUMIFS('프로젝트(G)'!$I:$I,'프로젝트(G)'!$G:$G,U$2,'프로젝트(G)'!$Q:$Q,$J19,'프로젝트(G)'!$C:$C,$L$1),
    SUMIFS('협력사 EPC(H)'!$I:$I,'협력사 EPC(H)'!$G:$G,U$2,'협력사 EPC(H)'!$Q:$Q,$J19,'협력사 EPC(H)'!$C:$C,$L$1),
    SUMIFS('기타(Z)'!$I:$I,'기타(Z)'!$G:$G,U$2,'기타(Z)'!$Q:$Q,$J19,'기타(Z)'!$C:$C,$L$1)
  )
)</f>
        <v/>
      </c>
      <c r="V19" s="367" t="str">
        <f>IF(
  SUM(
    COUNTIFS('발전사업(A)'!$G:$G, U$2, '발전사업(A)'!$Q:$Q, $J19, '발전사업(A)'!$C:$C, $L$1),
    COUNTIFS('자가소비(B)'!$G:$G, U$2, '자가소비(B)'!$Q:$Q, $J19, '자가소비(B)'!$C:$C, $L$1),
    COUNTIFS('PPA 사업(C)'!$G:$G, U$2, 'PPA 사업(C)'!$Q:$Q, $J19, 'PPA 사업(C)'!$C:$C, $L$1),
    COUNTIFS('리스사업(D)'!$G:$G, U$2, '리스사업(D)'!$Q:$Q, $J19, '리스사업(D)'!$C:$C, $L$1),
    COUNTIFS('임대사업(E)'!$G:$G, U$2, '임대사업(E)'!$Q:$Q, $J19, '임대사업(E)'!$C:$C, $L$1),
    COUNTIFS('환경부사업(F)'!$G:$G, U$2, '환경부사업(F)'!$Q:$Q, $J19, '환경부사업(F)'!$C:$C, $L$1),
    COUNTIFS('프로젝트(G)'!$G:$G, U$2, '프로젝트(G)'!$Q:$Q, $J19, '프로젝트(G)'!$C:$C, $L$1),
    COUNTIFS('협력사 EPC(H)'!$G:$G, U$2, '협력사 EPC(H)'!$Q:$Q, $J19, '협력사 EPC(H)'!$C:$C, $L$1),
    COUNTIFS('기타(Z)'!$G:$G, U$2, '기타(Z)'!$Q:$Q, $J19, '기타(Z)'!$C:$C, $L$1)
  ) = 0,
  "",
  COUNTIFS('발전사업(A)'!$G:$G, U$2, '발전사업(A)'!$Q:$Q, $J19, '발전사업(A)'!$C:$C, $L$1)
  + COUNTIFS('자가소비(B)'!$G:$G, U$2, '자가소비(B)'!$Q:$Q, $J19, '자가소비(B)'!$C:$C, $L$1)
  + COUNTIFS('PPA 사업(C)'!$G:$G, U$2, 'PPA 사업(C)'!$Q:$Q, $J19, 'PPA 사업(C)'!$C:$C, $L$1)
  + COUNTIFS('리스사업(D)'!$G:$G, U$2, '리스사업(D)'!$Q:$Q, $J19, '리스사업(D)'!$C:$C, $L$1)
  + COUNTIFS('임대사업(E)'!$G:$G, U$2, '임대사업(E)'!$Q:$Q, $J19, '임대사업(E)'!$C:$C, $L$1)
  + COUNTIFS('환경부사업(F)'!$G:$G, U$2, '환경부사업(F)'!$Q:$Q, $J19, '환경부사업(F)'!$C:$C, $L$1)
  + COUNTIFS('프로젝트(G)'!$G:$G, U$2, '프로젝트(G)'!$Q:$Q, $J19, '프로젝트(G)'!$C:$C, $L$1)
  + COUNTIFS('협력사 EPC(H)'!$G:$G, U$2, '협력사 EPC(H)'!$Q:$Q, $J19, '협력사 EPC(H)'!$C:$C, $L$1)
  + COUNTIFS('기타(Z)'!$G:$G, U$2, '기타(Z)'!$Q:$Q, $J19, '기타(Z)'!$C:$C, $L$1)
)</f>
        <v/>
      </c>
      <c r="W19" s="366" t="str">
        <f>IF(
  SUM(
    SUMIFS('발전사업(A)'!$I:$I,'발전사업(A)'!$G:$G,W$2,'발전사업(A)'!$Q:$Q,$J19,'발전사업(A)'!$C:$C,$L$1),
    SUMIFS('자가소비(B)'!$I:$I,'자가소비(B)'!$G:$G,W$2,'자가소비(B)'!$Q:$Q,$J19,'자가소비(B)'!$C:$C,$L$1),
    SUMIFS('PPA 사업(C)'!$I:$I,'PPA 사업(C)'!$G:$G,W$2,'PPA 사업(C)'!$Q:$Q,$J19,'PPA 사업(C)'!$C:$C,$L$1),
    SUMIFS('리스사업(D)'!$I:$I,'리스사업(D)'!$G:$G,W$2,'리스사업(D)'!$Q:$Q,$J19,'리스사업(D)'!$C:$C,$L$1),
    SUMIFS('임대사업(E)'!$I:$I,'임대사업(E)'!$G:$G,W$2,'임대사업(E)'!$Q:$Q,$J19,'임대사업(E)'!$C:$C,$L$1),
    SUMIFS('환경부사업(F)'!$I:$I,'환경부사업(F)'!$G:$G,W$2,'환경부사업(F)'!$Q:$Q,$J19,'환경부사업(F)'!$C:$C,$L$1),
    SUMIFS('프로젝트(G)'!$I:$I,'프로젝트(G)'!$G:$G,W$2,'프로젝트(G)'!$Q:$Q,$J19,'프로젝트(G)'!$C:$C,$L$1),
    SUMIFS('협력사 EPC(H)'!$I:$I,'협력사 EPC(H)'!$G:$G,W$2,'협력사 EPC(H)'!$Q:$Q,$J19,'협력사 EPC(H)'!$C:$C,$L$1),
    SUMIFS('기타(Z)'!$I:$I,'기타(Z)'!$G:$G,W$2,'기타(Z)'!$Q:$Q,$J19,'기타(Z)'!$C:$C,$L$1)
  )=0,
  "",
  SUM(
    SUMIFS('발전사업(A)'!$I:$I,'발전사업(A)'!$G:$G,W$2,'발전사업(A)'!$Q:$Q,$J19,'발전사업(A)'!$C:$C,$L$1),
    SUMIFS('자가소비(B)'!$I:$I,'자가소비(B)'!$G:$G,W$2,'자가소비(B)'!$Q:$Q,$J19,'자가소비(B)'!$C:$C,$L$1),
    SUMIFS('PPA 사업(C)'!$I:$I,'PPA 사업(C)'!$G:$G,W$2,'PPA 사업(C)'!$Q:$Q,$J19,'PPA 사업(C)'!$C:$C,$L$1),
    SUMIFS('리스사업(D)'!$I:$I,'리스사업(D)'!$G:$G,W$2,'리스사업(D)'!$Q:$Q,$J19,'리스사업(D)'!$C:$C,$L$1),
    SUMIFS('임대사업(E)'!$I:$I,'임대사업(E)'!$G:$G,W$2,'임대사업(E)'!$Q:$Q,$J19,'임대사업(E)'!$C:$C,$L$1),
    SUMIFS('환경부사업(F)'!$I:$I,'환경부사업(F)'!$G:$G,W$2,'환경부사업(F)'!$Q:$Q,$J19,'환경부사업(F)'!$C:$C,$L$1),
    SUMIFS('프로젝트(G)'!$I:$I,'프로젝트(G)'!$G:$G,W$2,'프로젝트(G)'!$Q:$Q,$J19,'프로젝트(G)'!$C:$C,$L$1),
    SUMIFS('협력사 EPC(H)'!$I:$I,'협력사 EPC(H)'!$G:$G,W$2,'협력사 EPC(H)'!$Q:$Q,$J19,'협력사 EPC(H)'!$C:$C,$L$1),
    SUMIFS('기타(Z)'!$I:$I,'기타(Z)'!$G:$G,W$2,'기타(Z)'!$Q:$Q,$J19,'기타(Z)'!$C:$C,$L$1)
  )
)</f>
        <v/>
      </c>
      <c r="X19" s="367" t="str">
        <f>IF(
  SUM(
    COUNTIFS('발전사업(A)'!$G:$G, W$2, '발전사업(A)'!$Q:$Q, $J19, '발전사업(A)'!$C:$C, $L$1),
    COUNTIFS('자가소비(B)'!$G:$G, W$2, '자가소비(B)'!$Q:$Q, $J19, '자가소비(B)'!$C:$C, $L$1),
    COUNTIFS('PPA 사업(C)'!$G:$G, W$2, 'PPA 사업(C)'!$Q:$Q, $J19, 'PPA 사업(C)'!$C:$C, $L$1),
    COUNTIFS('리스사업(D)'!$G:$G, W$2, '리스사업(D)'!$Q:$Q, $J19, '리스사업(D)'!$C:$C, $L$1),
    COUNTIFS('임대사업(E)'!$G:$G, W$2, '임대사업(E)'!$Q:$Q, $J19, '임대사업(E)'!$C:$C, $L$1),
    COUNTIFS('환경부사업(F)'!$G:$G, W$2, '환경부사업(F)'!$Q:$Q, $J19, '환경부사업(F)'!$C:$C, $L$1),
    COUNTIFS('프로젝트(G)'!$G:$G, W$2, '프로젝트(G)'!$Q:$Q, $J19, '프로젝트(G)'!$C:$C, $L$1),
    COUNTIFS('협력사 EPC(H)'!$G:$G, W$2, '협력사 EPC(H)'!$Q:$Q, $J19, '협력사 EPC(H)'!$C:$C, $L$1),
    COUNTIFS('기타(Z)'!$G:$G, W$2, '기타(Z)'!$Q:$Q, $J19, '기타(Z)'!$C:$C, $L$1)
  ) = 0,
  "",
  COUNTIFS('발전사업(A)'!$G:$G, W$2, '발전사업(A)'!$Q:$Q, $J19, '발전사업(A)'!$C:$C, $L$1)
  + COUNTIFS('자가소비(B)'!$G:$G, W$2, '자가소비(B)'!$Q:$Q, $J19, '자가소비(B)'!$C:$C, $L$1)
  + COUNTIFS('PPA 사업(C)'!$G:$G, W$2, 'PPA 사업(C)'!$Q:$Q, $J19, 'PPA 사업(C)'!$C:$C, $L$1)
  + COUNTIFS('리스사업(D)'!$G:$G, W$2, '리스사업(D)'!$Q:$Q, $J19, '리스사업(D)'!$C:$C, $L$1)
  + COUNTIFS('임대사업(E)'!$G:$G, W$2, '임대사업(E)'!$Q:$Q, $J19, '임대사업(E)'!$C:$C, $L$1)
  + COUNTIFS('환경부사업(F)'!$G:$G, W$2, '환경부사업(F)'!$Q:$Q, $J19, '환경부사업(F)'!$C:$C, $L$1)
  + COUNTIFS('프로젝트(G)'!$G:$G, W$2, '프로젝트(G)'!$Q:$Q, $J19, '프로젝트(G)'!$C:$C, $L$1)
  + COUNTIFS('협력사 EPC(H)'!$G:$G, W$2, '협력사 EPC(H)'!$Q:$Q, $J19, '협력사 EPC(H)'!$C:$C, $L$1)
  + COUNTIFS('기타(Z)'!$G:$G, W$2, '기타(Z)'!$Q:$Q, $J19, '기타(Z)'!$C:$C, $L$1)
)</f>
        <v/>
      </c>
      <c r="Y19" s="366">
        <f>IF(
  SUM(
    SUMIFS('발전사업(A)'!$I:$I,'발전사업(A)'!$G:$G,Y$2,'발전사업(A)'!$Q:$Q,$J19,'발전사업(A)'!$C:$C,$L$1),
    SUMIFS('자가소비(B)'!$I:$I,'자가소비(B)'!$G:$G,Y$2,'자가소비(B)'!$Q:$Q,$J19,'자가소비(B)'!$C:$C,$L$1),
    SUMIFS('PPA 사업(C)'!$I:$I,'PPA 사업(C)'!$G:$G,Y$2,'PPA 사업(C)'!$Q:$Q,$J19,'PPA 사업(C)'!$C:$C,$L$1),
    SUMIFS('리스사업(D)'!$I:$I,'리스사업(D)'!$G:$G,Y$2,'리스사업(D)'!$Q:$Q,$J19,'리스사업(D)'!$C:$C,$L$1),
    SUMIFS('임대사업(E)'!$I:$I,'임대사업(E)'!$G:$G,Y$2,'임대사업(E)'!$Q:$Q,$J19,'임대사업(E)'!$C:$C,$L$1),
    SUMIFS('환경부사업(F)'!$I:$I,'환경부사업(F)'!$G:$G,Y$2,'환경부사업(F)'!$Q:$Q,$J19,'환경부사업(F)'!$C:$C,$L$1),
    SUMIFS('프로젝트(G)'!$I:$I,'프로젝트(G)'!$G:$G,Y$2,'프로젝트(G)'!$Q:$Q,$J19,'프로젝트(G)'!$C:$C,$L$1),
    SUMIFS('협력사 EPC(H)'!$I:$I,'협력사 EPC(H)'!$G:$G,Y$2,'협력사 EPC(H)'!$Q:$Q,$J19,'협력사 EPC(H)'!$C:$C,$L$1),
    SUMIFS('기타(Z)'!$I:$I,'기타(Z)'!$G:$G,Y$2,'기타(Z)'!$Q:$Q,$J19,'기타(Z)'!$C:$C,$L$1)
  )=0,
  "",
  SUM(
    SUMIFS('발전사업(A)'!$I:$I,'발전사업(A)'!$G:$G,Y$2,'발전사업(A)'!$Q:$Q,$J19,'발전사업(A)'!$C:$C,$L$1),
    SUMIFS('자가소비(B)'!$I:$I,'자가소비(B)'!$G:$G,Y$2,'자가소비(B)'!$Q:$Q,$J19,'자가소비(B)'!$C:$C,$L$1),
    SUMIFS('PPA 사업(C)'!$I:$I,'PPA 사업(C)'!$G:$G,Y$2,'PPA 사업(C)'!$Q:$Q,$J19,'PPA 사업(C)'!$C:$C,$L$1),
    SUMIFS('리스사업(D)'!$I:$I,'리스사업(D)'!$G:$G,Y$2,'리스사업(D)'!$Q:$Q,$J19,'리스사업(D)'!$C:$C,$L$1),
    SUMIFS('임대사업(E)'!$I:$I,'임대사업(E)'!$G:$G,Y$2,'임대사업(E)'!$Q:$Q,$J19,'임대사업(E)'!$C:$C,$L$1),
    SUMIFS('환경부사업(F)'!$I:$I,'환경부사업(F)'!$G:$G,Y$2,'환경부사업(F)'!$Q:$Q,$J19,'환경부사업(F)'!$C:$C,$L$1),
    SUMIFS('프로젝트(G)'!$I:$I,'프로젝트(G)'!$G:$G,Y$2,'프로젝트(G)'!$Q:$Q,$J19,'프로젝트(G)'!$C:$C,$L$1),
    SUMIFS('협력사 EPC(H)'!$I:$I,'협력사 EPC(H)'!$G:$G,Y$2,'협력사 EPC(H)'!$Q:$Q,$J19,'협력사 EPC(H)'!$C:$C,$L$1),
    SUMIFS('기타(Z)'!$I:$I,'기타(Z)'!$G:$G,Y$2,'기타(Z)'!$Q:$Q,$J19,'기타(Z)'!$C:$C,$L$1)
  )
)</f>
        <v>998.46</v>
      </c>
      <c r="Z19" s="367">
        <f>IF(
  SUM(
    COUNTIFS('발전사업(A)'!$G:$G, Y$2, '발전사업(A)'!$Q:$Q, $J19, '발전사업(A)'!$C:$C, $L$1),
    COUNTIFS('자가소비(B)'!$G:$G, Y$2, '자가소비(B)'!$Q:$Q, $J19, '자가소비(B)'!$C:$C, $L$1),
    COUNTIFS('PPA 사업(C)'!$G:$G, Y$2, 'PPA 사업(C)'!$Q:$Q, $J19, 'PPA 사업(C)'!$C:$C, $L$1),
    COUNTIFS('리스사업(D)'!$G:$G, Y$2, '리스사업(D)'!$Q:$Q, $J19, '리스사업(D)'!$C:$C, $L$1),
    COUNTIFS('임대사업(E)'!$G:$G, Y$2, '임대사업(E)'!$Q:$Q, $J19, '임대사업(E)'!$C:$C, $L$1),
    COUNTIFS('환경부사업(F)'!$G:$G, Y$2, '환경부사업(F)'!$Q:$Q, $J19, '환경부사업(F)'!$C:$C, $L$1),
    COUNTIFS('프로젝트(G)'!$G:$G, Y$2, '프로젝트(G)'!$Q:$Q, $J19, '프로젝트(G)'!$C:$C, $L$1),
    COUNTIFS('협력사 EPC(H)'!$G:$G, Y$2, '협력사 EPC(H)'!$Q:$Q, $J19, '협력사 EPC(H)'!$C:$C, $L$1),
    COUNTIFS('기타(Z)'!$G:$G, Y$2, '기타(Z)'!$Q:$Q, $J19, '기타(Z)'!$C:$C, $L$1)
  ) = 0,
  "",
  COUNTIFS('발전사업(A)'!$G:$G, Y$2, '발전사업(A)'!$Q:$Q, $J19, '발전사업(A)'!$C:$C, $L$1)
  + COUNTIFS('자가소비(B)'!$G:$G, Y$2, '자가소비(B)'!$Q:$Q, $J19, '자가소비(B)'!$C:$C, $L$1)
  + COUNTIFS('PPA 사업(C)'!$G:$G, Y$2, 'PPA 사업(C)'!$Q:$Q, $J19, 'PPA 사업(C)'!$C:$C, $L$1)
  + COUNTIFS('리스사업(D)'!$G:$G, Y$2, '리스사업(D)'!$Q:$Q, $J19, '리스사업(D)'!$C:$C, $L$1)
  + COUNTIFS('임대사업(E)'!$G:$G, Y$2, '임대사업(E)'!$Q:$Q, $J19, '임대사업(E)'!$C:$C, $L$1)
  + COUNTIFS('환경부사업(F)'!$G:$G, Y$2, '환경부사업(F)'!$Q:$Q, $J19, '환경부사업(F)'!$C:$C, $L$1)
  + COUNTIFS('프로젝트(G)'!$G:$G, Y$2, '프로젝트(G)'!$Q:$Q, $J19, '프로젝트(G)'!$C:$C, $L$1)
  + COUNTIFS('협력사 EPC(H)'!$G:$G, Y$2, '협력사 EPC(H)'!$Q:$Q, $J19, '협력사 EPC(H)'!$C:$C, $L$1)
  + COUNTIFS('기타(Z)'!$G:$G, Y$2, '기타(Z)'!$Q:$Q, $J19, '기타(Z)'!$C:$C, $L$1)
)</f>
        <v>1</v>
      </c>
      <c r="AA19" s="366" t="str">
        <f>IF(
  SUM(
    SUMIFS('발전사업(A)'!$I:$I,'발전사업(A)'!$G:$G,AA$2,'발전사업(A)'!$Q:$Q,$J19,'발전사업(A)'!$C:$C,$L$1),
    SUMIFS('자가소비(B)'!$I:$I,'자가소비(B)'!$G:$G,AA$2,'자가소비(B)'!$Q:$Q,$J19,'자가소비(B)'!$C:$C,$L$1),
    SUMIFS('PPA 사업(C)'!$I:$I,'PPA 사업(C)'!$G:$G,AA$2,'PPA 사업(C)'!$Q:$Q,$J19,'PPA 사업(C)'!$C:$C,$L$1),
    SUMIFS('리스사업(D)'!$I:$I,'리스사업(D)'!$G:$G,AA$2,'리스사업(D)'!$Q:$Q,$J19,'리스사업(D)'!$C:$C,$L$1),
    SUMIFS('임대사업(E)'!$I:$I,'임대사업(E)'!$G:$G,AA$2,'임대사업(E)'!$Q:$Q,$J19,'임대사업(E)'!$C:$C,$L$1),
    SUMIFS('환경부사업(F)'!$I:$I,'환경부사업(F)'!$G:$G,AA$2,'환경부사업(F)'!$Q:$Q,$J19,'환경부사업(F)'!$C:$C,$L$1),
    SUMIFS('프로젝트(G)'!$I:$I,'프로젝트(G)'!$G:$G,AA$2,'프로젝트(G)'!$Q:$Q,$J19,'프로젝트(G)'!$C:$C,$L$1),
    SUMIFS('협력사 EPC(H)'!$I:$I,'협력사 EPC(H)'!$G:$G,AA$2,'협력사 EPC(H)'!$Q:$Q,$J19,'협력사 EPC(H)'!$C:$C,$L$1),
    SUMIFS('기타(Z)'!$I:$I,'기타(Z)'!$G:$G,AA$2,'기타(Z)'!$Q:$Q,$J19,'기타(Z)'!$C:$C,$L$1)
  )=0,
  "",
  SUM(
    SUMIFS('발전사업(A)'!$I:$I,'발전사업(A)'!$G:$G,AA$2,'발전사업(A)'!$Q:$Q,$J19,'발전사업(A)'!$C:$C,$L$1),
    SUMIFS('자가소비(B)'!$I:$I,'자가소비(B)'!$G:$G,AA$2,'자가소비(B)'!$Q:$Q,$J19,'자가소비(B)'!$C:$C,$L$1),
    SUMIFS('PPA 사업(C)'!$I:$I,'PPA 사업(C)'!$G:$G,AA$2,'PPA 사업(C)'!$Q:$Q,$J19,'PPA 사업(C)'!$C:$C,$L$1),
    SUMIFS('리스사업(D)'!$I:$I,'리스사업(D)'!$G:$G,AA$2,'리스사업(D)'!$Q:$Q,$J19,'리스사업(D)'!$C:$C,$L$1),
    SUMIFS('임대사업(E)'!$I:$I,'임대사업(E)'!$G:$G,AA$2,'임대사업(E)'!$Q:$Q,$J19,'임대사업(E)'!$C:$C,$L$1),
    SUMIFS('환경부사업(F)'!$I:$I,'환경부사업(F)'!$G:$G,AA$2,'환경부사업(F)'!$Q:$Q,$J19,'환경부사업(F)'!$C:$C,$L$1),
    SUMIFS('프로젝트(G)'!$I:$I,'프로젝트(G)'!$G:$G,AA$2,'프로젝트(G)'!$Q:$Q,$J19,'프로젝트(G)'!$C:$C,$L$1),
    SUMIFS('협력사 EPC(H)'!$I:$I,'협력사 EPC(H)'!$G:$G,AA$2,'협력사 EPC(H)'!$Q:$Q,$J19,'협력사 EPC(H)'!$C:$C,$L$1),
    SUMIFS('기타(Z)'!$I:$I,'기타(Z)'!$G:$G,AA$2,'기타(Z)'!$Q:$Q,$J19,'기타(Z)'!$C:$C,$L$1)
  )
)</f>
        <v/>
      </c>
      <c r="AB19" s="367" t="str">
        <f>IF(
  SUM(
    COUNTIFS('발전사업(A)'!$G:$G, AA$2, '발전사업(A)'!$Q:$Q, $J19, '발전사업(A)'!$C:$C, $L$1),
    COUNTIFS('자가소비(B)'!$G:$G, AA$2, '자가소비(B)'!$Q:$Q, $J19, '자가소비(B)'!$C:$C, $L$1),
    COUNTIFS('PPA 사업(C)'!$G:$G, AA$2, 'PPA 사업(C)'!$Q:$Q, $J19, 'PPA 사업(C)'!$C:$C, $L$1),
    COUNTIFS('리스사업(D)'!$G:$G, AA$2, '리스사업(D)'!$Q:$Q, $J19, '리스사업(D)'!$C:$C, $L$1),
    COUNTIFS('임대사업(E)'!$G:$G, AA$2, '임대사업(E)'!$Q:$Q, $J19, '임대사업(E)'!$C:$C, $L$1),
    COUNTIFS('환경부사업(F)'!$G:$G, AA$2, '환경부사업(F)'!$Q:$Q, $J19, '환경부사업(F)'!$C:$C, $L$1),
    COUNTIFS('프로젝트(G)'!$G:$G, AA$2, '프로젝트(G)'!$Q:$Q, $J19, '프로젝트(G)'!$C:$C, $L$1),
    COUNTIFS('협력사 EPC(H)'!$G:$G, AA$2, '협력사 EPC(H)'!$Q:$Q, $J19, '협력사 EPC(H)'!$C:$C, $L$1),
    COUNTIFS('기타(Z)'!$G:$G, AA$2, '기타(Z)'!$Q:$Q, $J19, '기타(Z)'!$C:$C, $L$1)
  ) = 0,
  "",
  COUNTIFS('발전사업(A)'!$G:$G, AA$2, '발전사업(A)'!$Q:$Q, $J19, '발전사업(A)'!$C:$C, $L$1)
  + COUNTIFS('자가소비(B)'!$G:$G, AA$2, '자가소비(B)'!$Q:$Q, $J19, '자가소비(B)'!$C:$C, $L$1)
  + COUNTIFS('PPA 사업(C)'!$G:$G, AA$2, 'PPA 사업(C)'!$Q:$Q, $J19, 'PPA 사업(C)'!$C:$C, $L$1)
  + COUNTIFS('리스사업(D)'!$G:$G, AA$2, '리스사업(D)'!$Q:$Q, $J19, '리스사업(D)'!$C:$C, $L$1)
  + COUNTIFS('임대사업(E)'!$G:$G, AA$2, '임대사업(E)'!$Q:$Q, $J19, '임대사업(E)'!$C:$C, $L$1)
  + COUNTIFS('환경부사업(F)'!$G:$G, AA$2, '환경부사업(F)'!$Q:$Q, $J19, '환경부사업(F)'!$C:$C, $L$1)
  + COUNTIFS('프로젝트(G)'!$G:$G, AA$2, '프로젝트(G)'!$Q:$Q, $J19, '프로젝트(G)'!$C:$C, $L$1)
  + COUNTIFS('협력사 EPC(H)'!$G:$G, AA$2, '협력사 EPC(H)'!$Q:$Q, $J19, '협력사 EPC(H)'!$C:$C, $L$1)
  + COUNTIFS('기타(Z)'!$G:$G, AA$2, '기타(Z)'!$Q:$Q, $J19, '기타(Z)'!$C:$C, $L$1)
)</f>
        <v/>
      </c>
      <c r="AC19" s="366" t="str">
        <f>IF(
  SUM(
    SUMIFS('발전사업(A)'!$I:$I,'발전사업(A)'!$G:$G,AC$2,'발전사업(A)'!$Q:$Q,$J19,'발전사업(A)'!$C:$C,$L$1),
    SUMIFS('자가소비(B)'!$I:$I,'자가소비(B)'!$G:$G,AC$2,'자가소비(B)'!$Q:$Q,$J19,'자가소비(B)'!$C:$C,$L$1),
    SUMIFS('PPA 사업(C)'!$I:$I,'PPA 사업(C)'!$G:$G,AC$2,'PPA 사업(C)'!$Q:$Q,$J19,'PPA 사업(C)'!$C:$C,$L$1),
    SUMIFS('리스사업(D)'!$I:$I,'리스사업(D)'!$G:$G,AC$2,'리스사업(D)'!$Q:$Q,$J19,'리스사업(D)'!$C:$C,$L$1),
    SUMIFS('임대사업(E)'!$I:$I,'임대사업(E)'!$G:$G,AC$2,'임대사업(E)'!$Q:$Q,$J19,'임대사업(E)'!$C:$C,$L$1),
    SUMIFS('환경부사업(F)'!$I:$I,'환경부사업(F)'!$G:$G,AC$2,'환경부사업(F)'!$Q:$Q,$J19,'환경부사업(F)'!$C:$C,$L$1),
    SUMIFS('프로젝트(G)'!$I:$I,'프로젝트(G)'!$G:$G,AC$2,'프로젝트(G)'!$Q:$Q,$J19,'프로젝트(G)'!$C:$C,$L$1),
    SUMIFS('협력사 EPC(H)'!$I:$I,'협력사 EPC(H)'!$G:$G,AC$2,'협력사 EPC(H)'!$Q:$Q,$J19,'협력사 EPC(H)'!$C:$C,$L$1),
    SUMIFS('기타(Z)'!$I:$I,'기타(Z)'!$G:$G,AC$2,'기타(Z)'!$Q:$Q,$J19,'기타(Z)'!$C:$C,$L$1)
  )=0,
  "",
  SUM(
    SUMIFS('발전사업(A)'!$I:$I,'발전사업(A)'!$G:$G,AC$2,'발전사업(A)'!$Q:$Q,$J19,'발전사업(A)'!$C:$C,$L$1),
    SUMIFS('자가소비(B)'!$I:$I,'자가소비(B)'!$G:$G,AC$2,'자가소비(B)'!$Q:$Q,$J19,'자가소비(B)'!$C:$C,$L$1),
    SUMIFS('PPA 사업(C)'!$I:$I,'PPA 사업(C)'!$G:$G,AC$2,'PPA 사업(C)'!$Q:$Q,$J19,'PPA 사업(C)'!$C:$C,$L$1),
    SUMIFS('리스사업(D)'!$I:$I,'리스사업(D)'!$G:$G,AC$2,'리스사업(D)'!$Q:$Q,$J19,'리스사업(D)'!$C:$C,$L$1),
    SUMIFS('임대사업(E)'!$I:$I,'임대사업(E)'!$G:$G,AC$2,'임대사업(E)'!$Q:$Q,$J19,'임대사업(E)'!$C:$C,$L$1),
    SUMIFS('환경부사업(F)'!$I:$I,'환경부사업(F)'!$G:$G,AC$2,'환경부사업(F)'!$Q:$Q,$J19,'환경부사업(F)'!$C:$C,$L$1),
    SUMIFS('프로젝트(G)'!$I:$I,'프로젝트(G)'!$G:$G,AC$2,'프로젝트(G)'!$Q:$Q,$J19,'프로젝트(G)'!$C:$C,$L$1),
    SUMIFS('협력사 EPC(H)'!$I:$I,'협력사 EPC(H)'!$G:$G,AC$2,'협력사 EPC(H)'!$Q:$Q,$J19,'협력사 EPC(H)'!$C:$C,$L$1),
    SUMIFS('기타(Z)'!$I:$I,'기타(Z)'!$G:$G,AC$2,'기타(Z)'!$Q:$Q,$J19,'기타(Z)'!$C:$C,$L$1)
  )
)</f>
        <v/>
      </c>
      <c r="AD19" s="367" t="str">
        <f>IF(
  SUM(
    COUNTIFS('발전사업(A)'!$G:$G, AC$2, '발전사업(A)'!$Q:$Q, $J19, '발전사업(A)'!$C:$C, $L$1),
    COUNTIFS('자가소비(B)'!$G:$G, AC$2, '자가소비(B)'!$Q:$Q, $J19, '자가소비(B)'!$C:$C, $L$1),
    COUNTIFS('PPA 사업(C)'!$G:$G, AC$2, 'PPA 사업(C)'!$Q:$Q, $J19, 'PPA 사업(C)'!$C:$C, $L$1),
    COUNTIFS('리스사업(D)'!$G:$G, AC$2, '리스사업(D)'!$Q:$Q, $J19, '리스사업(D)'!$C:$C, $L$1),
    COUNTIFS('임대사업(E)'!$G:$G, AC$2, '임대사업(E)'!$Q:$Q, $J19, '임대사업(E)'!$C:$C, $L$1),
    COUNTIFS('환경부사업(F)'!$G:$G, AC$2, '환경부사업(F)'!$Q:$Q, $J19, '환경부사업(F)'!$C:$C, $L$1),
    COUNTIFS('프로젝트(G)'!$G:$G, AC$2, '프로젝트(G)'!$Q:$Q, $J19, '프로젝트(G)'!$C:$C, $L$1),
    COUNTIFS('협력사 EPC(H)'!$G:$G, AC$2, '협력사 EPC(H)'!$Q:$Q, $J19, '협력사 EPC(H)'!$C:$C, $L$1),
    COUNTIFS('기타(Z)'!$G:$G, AC$2, '기타(Z)'!$Q:$Q, $J19, '기타(Z)'!$C:$C, $L$1)
  ) = 0,
  "",
  COUNTIFS('발전사업(A)'!$G:$G, AC$2, '발전사업(A)'!$Q:$Q, $J19, '발전사업(A)'!$C:$C, $L$1)
  + COUNTIFS('자가소비(B)'!$G:$G, AC$2, '자가소비(B)'!$Q:$Q, $J19, '자가소비(B)'!$C:$C, $L$1)
  + COUNTIFS('PPA 사업(C)'!$G:$G, AC$2, 'PPA 사업(C)'!$Q:$Q, $J19, 'PPA 사업(C)'!$C:$C, $L$1)
  + COUNTIFS('리스사업(D)'!$G:$G, AC$2, '리스사업(D)'!$Q:$Q, $J19, '리스사업(D)'!$C:$C, $L$1)
  + COUNTIFS('임대사업(E)'!$G:$G, AC$2, '임대사업(E)'!$Q:$Q, $J19, '임대사업(E)'!$C:$C, $L$1)
  + COUNTIFS('환경부사업(F)'!$G:$G, AC$2, '환경부사업(F)'!$Q:$Q, $J19, '환경부사업(F)'!$C:$C, $L$1)
  + COUNTIFS('프로젝트(G)'!$G:$G, AC$2, '프로젝트(G)'!$Q:$Q, $J19, '프로젝트(G)'!$C:$C, $L$1)
  + COUNTIFS('협력사 EPC(H)'!$G:$G, AC$2, '협력사 EPC(H)'!$Q:$Q, $J19, '협력사 EPC(H)'!$C:$C, $L$1)
  + COUNTIFS('기타(Z)'!$G:$G, AC$2, '기타(Z)'!$Q:$Q, $J19, '기타(Z)'!$C:$C, $L$1)
)</f>
        <v/>
      </c>
      <c r="AE19" s="366" t="str">
        <f>IF(
  SUM(
    SUMIFS('발전사업(A)'!$I:$I,'발전사업(A)'!$G:$G,AE$2,'발전사업(A)'!$Q:$Q,$J19,'발전사업(A)'!$C:$C,$L$1),
    SUMIFS('자가소비(B)'!$I:$I,'자가소비(B)'!$G:$G,AE$2,'자가소비(B)'!$Q:$Q,$J19,'자가소비(B)'!$C:$C,$L$1),
    SUMIFS('PPA 사업(C)'!$I:$I,'PPA 사업(C)'!$G:$G,AE$2,'PPA 사업(C)'!$Q:$Q,$J19,'PPA 사업(C)'!$C:$C,$L$1),
    SUMIFS('리스사업(D)'!$I:$I,'리스사업(D)'!$G:$G,AE$2,'리스사업(D)'!$Q:$Q,$J19,'리스사업(D)'!$C:$C,$L$1),
    SUMIFS('임대사업(E)'!$I:$I,'임대사업(E)'!$G:$G,AE$2,'임대사업(E)'!$Q:$Q,$J19,'임대사업(E)'!$C:$C,$L$1),
    SUMIFS('환경부사업(F)'!$I:$I,'환경부사업(F)'!$G:$G,AE$2,'환경부사업(F)'!$Q:$Q,$J19,'환경부사업(F)'!$C:$C,$L$1),
    SUMIFS('프로젝트(G)'!$I:$I,'프로젝트(G)'!$G:$G,AE$2,'프로젝트(G)'!$Q:$Q,$J19,'프로젝트(G)'!$C:$C,$L$1),
    SUMIFS('협력사 EPC(H)'!$I:$I,'협력사 EPC(H)'!$G:$G,AE$2,'협력사 EPC(H)'!$Q:$Q,$J19,'협력사 EPC(H)'!$C:$C,$L$1),
    SUMIFS('기타(Z)'!$I:$I,'기타(Z)'!$G:$G,AE$2,'기타(Z)'!$Q:$Q,$J19,'기타(Z)'!$C:$C,$L$1)
  )=0,
  "",
  SUM(
    SUMIFS('발전사업(A)'!$I:$I,'발전사업(A)'!$G:$G,AE$2,'발전사업(A)'!$Q:$Q,$J19,'발전사업(A)'!$C:$C,$L$1),
    SUMIFS('자가소비(B)'!$I:$I,'자가소비(B)'!$G:$G,AE$2,'자가소비(B)'!$Q:$Q,$J19,'자가소비(B)'!$C:$C,$L$1),
    SUMIFS('PPA 사업(C)'!$I:$I,'PPA 사업(C)'!$G:$G,AE$2,'PPA 사업(C)'!$Q:$Q,$J19,'PPA 사업(C)'!$C:$C,$L$1),
    SUMIFS('리스사업(D)'!$I:$I,'리스사업(D)'!$G:$G,AE$2,'리스사업(D)'!$Q:$Q,$J19,'리스사업(D)'!$C:$C,$L$1),
    SUMIFS('임대사업(E)'!$I:$I,'임대사업(E)'!$G:$G,AE$2,'임대사업(E)'!$Q:$Q,$J19,'임대사업(E)'!$C:$C,$L$1),
    SUMIFS('환경부사업(F)'!$I:$I,'환경부사업(F)'!$G:$G,AE$2,'환경부사업(F)'!$Q:$Q,$J19,'환경부사업(F)'!$C:$C,$L$1),
    SUMIFS('프로젝트(G)'!$I:$I,'프로젝트(G)'!$G:$G,AE$2,'프로젝트(G)'!$Q:$Q,$J19,'프로젝트(G)'!$C:$C,$L$1),
    SUMIFS('협력사 EPC(H)'!$I:$I,'협력사 EPC(H)'!$G:$G,AE$2,'협력사 EPC(H)'!$Q:$Q,$J19,'협력사 EPC(H)'!$C:$C,$L$1),
    SUMIFS('기타(Z)'!$I:$I,'기타(Z)'!$G:$G,AE$2,'기타(Z)'!$Q:$Q,$J19,'기타(Z)'!$C:$C,$L$1)
  )
)</f>
        <v/>
      </c>
      <c r="AF19" s="367" t="str">
        <f>IF(
  SUM(
    COUNTIFS('발전사업(A)'!$G:$G, AE$2, '발전사업(A)'!$Q:$Q, $J19, '발전사업(A)'!$C:$C, $L$1),
    COUNTIFS('자가소비(B)'!$G:$G, AE$2, '자가소비(B)'!$Q:$Q, $J19, '자가소비(B)'!$C:$C, $L$1),
    COUNTIFS('PPA 사업(C)'!$G:$G, AE$2, 'PPA 사업(C)'!$Q:$Q, $J19, 'PPA 사업(C)'!$C:$C, $L$1),
    COUNTIFS('리스사업(D)'!$G:$G, AE$2, '리스사업(D)'!$Q:$Q, $J19, '리스사업(D)'!$C:$C, $L$1),
    COUNTIFS('임대사업(E)'!$G:$G, AE$2, '임대사업(E)'!$Q:$Q, $J19, '임대사업(E)'!$C:$C, $L$1),
    COUNTIFS('환경부사업(F)'!$G:$G, AE$2, '환경부사업(F)'!$Q:$Q, $J19, '환경부사업(F)'!$C:$C, $L$1),
    COUNTIFS('프로젝트(G)'!$G:$G, AE$2, '프로젝트(G)'!$Q:$Q, $J19, '프로젝트(G)'!$C:$C, $L$1),
    COUNTIFS('협력사 EPC(H)'!$G:$G, AE$2, '협력사 EPC(H)'!$Q:$Q, $J19, '협력사 EPC(H)'!$C:$C, $L$1),
    COUNTIFS('기타(Z)'!$G:$G, AE$2, '기타(Z)'!$Q:$Q, $J19, '기타(Z)'!$C:$C, $L$1)
  ) = 0,
  "",
  COUNTIFS('발전사업(A)'!$G:$G, AE$2, '발전사업(A)'!$Q:$Q, $J19, '발전사업(A)'!$C:$C, $L$1)
  + COUNTIFS('자가소비(B)'!$G:$G, AE$2, '자가소비(B)'!$Q:$Q, $J19, '자가소비(B)'!$C:$C, $L$1)
  + COUNTIFS('PPA 사업(C)'!$G:$G, AE$2, 'PPA 사업(C)'!$Q:$Q, $J19, 'PPA 사업(C)'!$C:$C, $L$1)
  + COUNTIFS('리스사업(D)'!$G:$G, AE$2, '리스사업(D)'!$Q:$Q, $J19, '리스사업(D)'!$C:$C, $L$1)
  + COUNTIFS('임대사업(E)'!$G:$G, AE$2, '임대사업(E)'!$Q:$Q, $J19, '임대사업(E)'!$C:$C, $L$1)
  + COUNTIFS('환경부사업(F)'!$G:$G, AE$2, '환경부사업(F)'!$Q:$Q, $J19, '환경부사업(F)'!$C:$C, $L$1)
  + COUNTIFS('프로젝트(G)'!$G:$G, AE$2, '프로젝트(G)'!$Q:$Q, $J19, '프로젝트(G)'!$C:$C, $L$1)
  + COUNTIFS('협력사 EPC(H)'!$G:$G, AE$2, '협력사 EPC(H)'!$Q:$Q, $J19, '협력사 EPC(H)'!$C:$C, $L$1)
  + COUNTIFS('기타(Z)'!$G:$G, AE$2, '기타(Z)'!$Q:$Q, $J19, '기타(Z)'!$C:$C, $L$1)
)</f>
        <v/>
      </c>
      <c r="AG19" s="366" t="str">
        <f>IF(
  SUM(
    SUMIFS('발전사업(A)'!$I:$I,'발전사업(A)'!$G:$G,AG$2,'발전사업(A)'!$Q:$Q,$J19,'발전사업(A)'!$C:$C,$L$1),
    SUMIFS('자가소비(B)'!$I:$I,'자가소비(B)'!$G:$G,AG$2,'자가소비(B)'!$Q:$Q,$J19,'자가소비(B)'!$C:$C,$L$1),
    SUMIFS('PPA 사업(C)'!$I:$I,'PPA 사업(C)'!$G:$G,AG$2,'PPA 사업(C)'!$Q:$Q,$J19,'PPA 사업(C)'!$C:$C,$L$1),
    SUMIFS('리스사업(D)'!$I:$I,'리스사업(D)'!$G:$G,AG$2,'리스사업(D)'!$Q:$Q,$J19,'리스사업(D)'!$C:$C,$L$1),
    SUMIFS('임대사업(E)'!$I:$I,'임대사업(E)'!$G:$G,AG$2,'임대사업(E)'!$Q:$Q,$J19,'임대사업(E)'!$C:$C,$L$1),
    SUMIFS('환경부사업(F)'!$I:$I,'환경부사업(F)'!$G:$G,AG$2,'환경부사업(F)'!$Q:$Q,$J19,'환경부사업(F)'!$C:$C,$L$1),
    SUMIFS('프로젝트(G)'!$I:$I,'프로젝트(G)'!$G:$G,AG$2,'프로젝트(G)'!$Q:$Q,$J19,'프로젝트(G)'!$C:$C,$L$1),
    SUMIFS('협력사 EPC(H)'!$I:$I,'협력사 EPC(H)'!$G:$G,AG$2,'협력사 EPC(H)'!$Q:$Q,$J19,'협력사 EPC(H)'!$C:$C,$L$1),
    SUMIFS('기타(Z)'!$I:$I,'기타(Z)'!$G:$G,AG$2,'기타(Z)'!$Q:$Q,$J19,'기타(Z)'!$C:$C,$L$1)
  )=0,
  "",
  SUM(
    SUMIFS('발전사업(A)'!$I:$I,'발전사업(A)'!$G:$G,AG$2,'발전사업(A)'!$Q:$Q,$J19,'발전사업(A)'!$C:$C,$L$1),
    SUMIFS('자가소비(B)'!$I:$I,'자가소비(B)'!$G:$G,AG$2,'자가소비(B)'!$Q:$Q,$J19,'자가소비(B)'!$C:$C,$L$1),
    SUMIFS('PPA 사업(C)'!$I:$I,'PPA 사업(C)'!$G:$G,AG$2,'PPA 사업(C)'!$Q:$Q,$J19,'PPA 사업(C)'!$C:$C,$L$1),
    SUMIFS('리스사업(D)'!$I:$I,'리스사업(D)'!$G:$G,AG$2,'리스사업(D)'!$Q:$Q,$J19,'리스사업(D)'!$C:$C,$L$1),
    SUMIFS('임대사업(E)'!$I:$I,'임대사업(E)'!$G:$G,AG$2,'임대사업(E)'!$Q:$Q,$J19,'임대사업(E)'!$C:$C,$L$1),
    SUMIFS('환경부사업(F)'!$I:$I,'환경부사업(F)'!$G:$G,AG$2,'환경부사업(F)'!$Q:$Q,$J19,'환경부사업(F)'!$C:$C,$L$1),
    SUMIFS('프로젝트(G)'!$I:$I,'프로젝트(G)'!$G:$G,AG$2,'프로젝트(G)'!$Q:$Q,$J19,'프로젝트(G)'!$C:$C,$L$1),
    SUMIFS('협력사 EPC(H)'!$I:$I,'협력사 EPC(H)'!$G:$G,AG$2,'협력사 EPC(H)'!$Q:$Q,$J19,'협력사 EPC(H)'!$C:$C,$L$1),
    SUMIFS('기타(Z)'!$I:$I,'기타(Z)'!$G:$G,AG$2,'기타(Z)'!$Q:$Q,$J19,'기타(Z)'!$C:$C,$L$1)
  )
)</f>
        <v/>
      </c>
      <c r="AH19" s="367" t="str">
        <f>IF(
  SUM(
    COUNTIFS('발전사업(A)'!$G:$G, AG$2, '발전사업(A)'!$Q:$Q, $J19, '발전사업(A)'!$C:$C, $L$1),
    COUNTIFS('자가소비(B)'!$G:$G, AG$2, '자가소비(B)'!$Q:$Q, $J19, '자가소비(B)'!$C:$C, $L$1),
    COUNTIFS('PPA 사업(C)'!$G:$G, AG$2, 'PPA 사업(C)'!$Q:$Q, $J19, 'PPA 사업(C)'!$C:$C, $L$1),
    COUNTIFS('리스사업(D)'!$G:$G, AG$2, '리스사업(D)'!$Q:$Q, $J19, '리스사업(D)'!$C:$C, $L$1),
    COUNTIFS('임대사업(E)'!$G:$G, AG$2, '임대사업(E)'!$Q:$Q, $J19, '임대사업(E)'!$C:$C, $L$1),
    COUNTIFS('환경부사업(F)'!$G:$G, AG$2, '환경부사업(F)'!$Q:$Q, $J19, '환경부사업(F)'!$C:$C, $L$1),
    COUNTIFS('프로젝트(G)'!$G:$G, AG$2, '프로젝트(G)'!$Q:$Q, $J19, '프로젝트(G)'!$C:$C, $L$1),
    COUNTIFS('협력사 EPC(H)'!$G:$G, AG$2, '협력사 EPC(H)'!$Q:$Q, $J19, '협력사 EPC(H)'!$C:$C, $L$1),
    COUNTIFS('기타(Z)'!$G:$G, AG$2, '기타(Z)'!$Q:$Q, $J19, '기타(Z)'!$C:$C, $L$1)
  ) = 0,
  "",
  COUNTIFS('발전사업(A)'!$G:$G, AG$2, '발전사업(A)'!$Q:$Q, $J19, '발전사업(A)'!$C:$C, $L$1)
  + COUNTIFS('자가소비(B)'!$G:$G, AG$2, '자가소비(B)'!$Q:$Q, $J19, '자가소비(B)'!$C:$C, $L$1)
  + COUNTIFS('PPA 사업(C)'!$G:$G, AG$2, 'PPA 사업(C)'!$Q:$Q, $J19, 'PPA 사업(C)'!$C:$C, $L$1)
  + COUNTIFS('리스사업(D)'!$G:$G, AG$2, '리스사업(D)'!$Q:$Q, $J19, '리스사업(D)'!$C:$C, $L$1)
  + COUNTIFS('임대사업(E)'!$G:$G, AG$2, '임대사업(E)'!$Q:$Q, $J19, '임대사업(E)'!$C:$C, $L$1)
  + COUNTIFS('환경부사업(F)'!$G:$G, AG$2, '환경부사업(F)'!$Q:$Q, $J19, '환경부사업(F)'!$C:$C, $L$1)
  + COUNTIFS('프로젝트(G)'!$G:$G, AG$2, '프로젝트(G)'!$Q:$Q, $J19, '프로젝트(G)'!$C:$C, $L$1)
  + COUNTIFS('협력사 EPC(H)'!$G:$G, AG$2, '협력사 EPC(H)'!$Q:$Q, $J19, '협력사 EPC(H)'!$C:$C, $L$1)
  + COUNTIFS('기타(Z)'!$G:$G, AG$2, '기타(Z)'!$Q:$Q, $J19, '기타(Z)'!$C:$C, $L$1)
)</f>
        <v/>
      </c>
      <c r="AI19" s="366" t="str">
        <f>IF(
  SUM(
    SUMIFS('발전사업(A)'!$I:$I,'발전사업(A)'!$G:$G,AI$2,'발전사업(A)'!$Q:$Q,$J19,'발전사업(A)'!$C:$C,$L$1),
    SUMIFS('자가소비(B)'!$I:$I,'자가소비(B)'!$G:$G,AI$2,'자가소비(B)'!$Q:$Q,$J19,'자가소비(B)'!$C:$C,$L$1),
    SUMIFS('PPA 사업(C)'!$I:$I,'PPA 사업(C)'!$G:$G,AI$2,'PPA 사업(C)'!$Q:$Q,$J19,'PPA 사업(C)'!$C:$C,$L$1),
    SUMIFS('리스사업(D)'!$I:$I,'리스사업(D)'!$G:$G,AI$2,'리스사업(D)'!$Q:$Q,$J19,'리스사업(D)'!$C:$C,$L$1),
    SUMIFS('임대사업(E)'!$I:$I,'임대사업(E)'!$G:$G,AI$2,'임대사업(E)'!$Q:$Q,$J19,'임대사업(E)'!$C:$C,$L$1),
    SUMIFS('환경부사업(F)'!$I:$I,'환경부사업(F)'!$G:$G,AI$2,'환경부사업(F)'!$Q:$Q,$J19,'환경부사업(F)'!$C:$C,$L$1),
    SUMIFS('프로젝트(G)'!$I:$I,'프로젝트(G)'!$G:$G,AI$2,'프로젝트(G)'!$Q:$Q,$J19,'프로젝트(G)'!$C:$C,$L$1),
    SUMIFS('협력사 EPC(H)'!$I:$I,'협력사 EPC(H)'!$G:$G,AI$2,'협력사 EPC(H)'!$Q:$Q,$J19,'협력사 EPC(H)'!$C:$C,$L$1),
    SUMIFS('기타(Z)'!$I:$I,'기타(Z)'!$G:$G,AI$2,'기타(Z)'!$Q:$Q,$J19,'기타(Z)'!$C:$C,$L$1)
  )=0,
  "",
  SUM(
    SUMIFS('발전사업(A)'!$I:$I,'발전사업(A)'!$G:$G,AI$2,'발전사업(A)'!$Q:$Q,$J19,'발전사업(A)'!$C:$C,$L$1),
    SUMIFS('자가소비(B)'!$I:$I,'자가소비(B)'!$G:$G,AI$2,'자가소비(B)'!$Q:$Q,$J19,'자가소비(B)'!$C:$C,$L$1),
    SUMIFS('PPA 사업(C)'!$I:$I,'PPA 사업(C)'!$G:$G,AI$2,'PPA 사업(C)'!$Q:$Q,$J19,'PPA 사업(C)'!$C:$C,$L$1),
    SUMIFS('리스사업(D)'!$I:$I,'리스사업(D)'!$G:$G,AI$2,'리스사업(D)'!$Q:$Q,$J19,'리스사업(D)'!$C:$C,$L$1),
    SUMIFS('임대사업(E)'!$I:$I,'임대사업(E)'!$G:$G,AI$2,'임대사업(E)'!$Q:$Q,$J19,'임대사업(E)'!$C:$C,$L$1),
    SUMIFS('환경부사업(F)'!$I:$I,'환경부사업(F)'!$G:$G,AI$2,'환경부사업(F)'!$Q:$Q,$J19,'환경부사업(F)'!$C:$C,$L$1),
    SUMIFS('프로젝트(G)'!$I:$I,'프로젝트(G)'!$G:$G,AI$2,'프로젝트(G)'!$Q:$Q,$J19,'프로젝트(G)'!$C:$C,$L$1),
    SUMIFS('협력사 EPC(H)'!$I:$I,'협력사 EPC(H)'!$G:$G,AI$2,'협력사 EPC(H)'!$Q:$Q,$J19,'협력사 EPC(H)'!$C:$C,$L$1),
    SUMIFS('기타(Z)'!$I:$I,'기타(Z)'!$G:$G,AI$2,'기타(Z)'!$Q:$Q,$J19,'기타(Z)'!$C:$C,$L$1)
  )
)</f>
        <v/>
      </c>
      <c r="AJ19" s="365" t="str">
        <f>IF(
  SUM(
    COUNTIFS('발전사업(A)'!$G:$G, AI$2, '발전사업(A)'!$Q:$Q, $J19, '발전사업(A)'!$C:$C, $L$1),
    COUNTIFS('자가소비(B)'!$G:$G, AI$2, '자가소비(B)'!$Q:$Q, $J19, '자가소비(B)'!$C:$C, $L$1),
    COUNTIFS('PPA 사업(C)'!$G:$G, AI$2, 'PPA 사업(C)'!$Q:$Q, $J19, 'PPA 사업(C)'!$C:$C, $L$1),
    COUNTIFS('리스사업(D)'!$G:$G, AI$2, '리스사업(D)'!$Q:$Q, $J19, '리스사업(D)'!$C:$C, $L$1),
    COUNTIFS('임대사업(E)'!$G:$G, AI$2, '임대사업(E)'!$Q:$Q, $J19, '임대사업(E)'!$C:$C, $L$1),
    COUNTIFS('환경부사업(F)'!$G:$G, AI$2, '환경부사업(F)'!$Q:$Q, $J19, '환경부사업(F)'!$C:$C, $L$1),
    COUNTIFS('프로젝트(G)'!$G:$G, AI$2, '프로젝트(G)'!$Q:$Q, $J19, '프로젝트(G)'!$C:$C, $L$1),
    COUNTIFS('협력사 EPC(H)'!$G:$G, AI$2, '협력사 EPC(H)'!$Q:$Q, $J19, '협력사 EPC(H)'!$C:$C, $L$1),
    COUNTIFS('기타(Z)'!$G:$G, AI$2, '기타(Z)'!$Q:$Q, $J19, '기타(Z)'!$C:$C, $L$1)
  ) = 0,
  "",
  COUNTIFS('발전사업(A)'!$G:$G, AI$2, '발전사업(A)'!$Q:$Q, $J19, '발전사업(A)'!$C:$C, $L$1)
  + COUNTIFS('자가소비(B)'!$G:$G, AI$2, '자가소비(B)'!$Q:$Q, $J19, '자가소비(B)'!$C:$C, $L$1)
  + COUNTIFS('PPA 사업(C)'!$G:$G, AI$2, 'PPA 사업(C)'!$Q:$Q, $J19, 'PPA 사업(C)'!$C:$C, $L$1)
  + COUNTIFS('리스사업(D)'!$G:$G, AI$2, '리스사업(D)'!$Q:$Q, $J19, '리스사업(D)'!$C:$C, $L$1)
  + COUNTIFS('임대사업(E)'!$G:$G, AI$2, '임대사업(E)'!$Q:$Q, $J19, '임대사업(E)'!$C:$C, $L$1)
  + COUNTIFS('환경부사업(F)'!$G:$G, AI$2, '환경부사업(F)'!$Q:$Q, $J19, '환경부사업(F)'!$C:$C, $L$1)
  + COUNTIFS('프로젝트(G)'!$G:$G, AI$2, '프로젝트(G)'!$Q:$Q, $J19, '프로젝트(G)'!$C:$C, $L$1)
  + COUNTIFS('협력사 EPC(H)'!$G:$G, AI$2, '협력사 EPC(H)'!$Q:$Q, $J19, '협력사 EPC(H)'!$C:$C, $L$1)
  + COUNTIFS('기타(Z)'!$G:$G, AI$2, '기타(Z)'!$Q:$Q, $J19, '기타(Z)'!$C:$C, $L$1)
)</f>
        <v/>
      </c>
    </row>
    <row r="20" spans="2:36" ht="15" x14ac:dyDescent="0.25">
      <c r="B20" s="195" t="s">
        <v>155</v>
      </c>
      <c r="C20" s="262">
        <f>IF(
  SUM(
    SUMIFS('발전사업(A)'!I:I, '발전사업(A)'!C:C, $E$1, '발전사업(A)'!G:G, B15, '발전사업(A)'!X:X, B20),
    SUMIFS('자가소비(B)'!I:I, '자가소비(B)'!C:C, $E$1, '자가소비(B)'!G:G, B15, '자가소비(B)'!X:X, B20),
    SUMIFS('PPA 사업(C)'!I:I, 'PPA 사업(C)'!C:C, $E$1, 'PPA 사업(C)'!G:G, B15, 'PPA 사업(C)'!X:X, B20),
    SUMIFS('리스사업(D)'!I:I, '리스사업(D)'!C:C, $E$1, '리스사업(D)'!G:G, B15, '리스사업(D)'!X:X, B20),
    SUMIFS('임대사업(E)'!I:I, '임대사업(E)'!C:C, $E$1, '임대사업(E)'!G:G, B15, '임대사업(E)'!X:X, B20),
    SUMIFS('환경부사업(F)'!I:I, '환경부사업(F)'!C:C, $E$1, '환경부사업(F)'!G:G, B15, '환경부사업(F)'!X:X, B20),
    SUMIFS('프로젝트(G)'!I:I, '프로젝트(G)'!C:C, $E$1, '프로젝트(G)'!G:G, B15, '프로젝트(G)'!X:X, B20),
    SUMIFS('협력사 EPC(H)'!I:I, '협력사 EPC(H)'!C:C, $E$1, '협력사 EPC(H)'!G:G, B15, '협력사 EPC(H)'!X:X, B20),
    SUMIFS('기타(Z)'!I:I, '기타(Z)'!C:C, $E$1, '기타(Z)'!G:G, B15, '기타(Z)'!X:X, B20)
  ) = 0,
  "",
  SUMIFS('발전사업(A)'!I:I, '발전사업(A)'!C:C, $E$1, '발전사업(A)'!G:G, B15, '발전사업(A)'!X:X, B20)
  + SUMIFS('자가소비(B)'!I:I, '자가소비(B)'!C:C, $E$1, '자가소비(B)'!G:G, B15, '자가소비(B)'!X:X, B20)
  + SUMIFS('PPA 사업(C)'!I:I, 'PPA 사업(C)'!C:C, $E$1, 'PPA 사업(C)'!G:G, B15, 'PPA 사업(C)'!X:X, B20)
  + SUMIFS('리스사업(D)'!I:I, '리스사업(D)'!C:C, $E$1, '리스사업(D)'!G:G, B15, '리스사업(D)'!X:X, B20)
  + SUMIFS('임대사업(E)'!I:I, '임대사업(E)'!C:C, $E$1, '임대사업(E)'!G:G, B15, '임대사업(E)'!X:X, B20)
  + SUMIFS('환경부사업(F)'!I:I, '환경부사업(F)'!C:C, $E$1, '환경부사업(F)'!G:G, B15, '환경부사업(F)'!X:X, B20)
  + SUMIFS('프로젝트(G)'!I:I, '프로젝트(G)'!C:C, $E$1, '프로젝트(G)'!G:G, B15, '프로젝트(G)'!X:X, B20)
  + SUMIFS('협력사 EPC(H)'!I:I, '협력사 EPC(H)'!C:C, $E$1, '협력사 EPC(H)'!G:G, B15, '협력사 EPC(H)'!X:X, B20)
  + SUMIFS('기타(Z)'!I:I, '기타(Z)'!C:C, $E$1, '기타(Z)'!G:G, B15, '기타(Z)'!X:X, B20)
)</f>
        <v>282.51</v>
      </c>
      <c r="D20" s="263">
        <f>IF(
  COUNTIFS('발전사업(A)'!C:C, $E$1, '발전사업(A)'!G:G, B15, '발전사업(A)'!X:X, B20)
  + COUNTIFS('자가소비(B)'!C:C, $E$1, '자가소비(B)'!G:G, B15, '자가소비(B)'!X:X, B20)
  + COUNTIFS('PPA 사업(C)'!C:C, $E$1, 'PPA 사업(C)'!G:G, B15, 'PPA 사업(C)'!X:X, B20)
  + COUNTIFS('리스사업(D)'!C:C, $E$1, '리스사업(D)'!G:G, B15, '리스사업(D)'!X:X, B20)
  + COUNTIFS('임대사업(E)'!C:C, $E$1, '임대사업(E)'!G:G, B15, '임대사업(E)'!X:X, B20)
  + COUNTIFS('환경부사업(F)'!C:C, $E$1, '환경부사업(F)'!G:G, B15, '환경부사업(F)'!X:X, B20)
  + COUNTIFS('프로젝트(G)'!C:C, $E$1, '프로젝트(G)'!G:G, B15, '프로젝트(G)'!X:X, B20)
  + COUNTIFS('협력사 EPC(H)'!C:C, $E$1, '협력사 EPC(H)'!G:G, B15, '협력사 EPC(H)'!X:X, B20)
  + COUNTIFS('기타(Z)'!C:C, $E$1, '기타(Z)'!G:G, B15, '기타(Z)'!X:X, B20)
  = 0,
  "",
  COUNTIFS('발전사업(A)'!C:C, $E$1, '발전사업(A)'!G:G, B15, '발전사업(A)'!X:X, B20)
  + COUNTIFS('자가소비(B)'!C:C, $E$1, '자가소비(B)'!G:G, B15, '자가소비(B)'!X:X, B20)
  + COUNTIFS('PPA 사업(C)'!C:C, $E$1, 'PPA 사업(C)'!G:G, B15, 'PPA 사업(C)'!X:X, B20)
  + COUNTIFS('리스사업(D)'!C:C, $E$1, '리스사업(D)'!G:G, B15, '리스사업(D)'!X:X, B20)
  + COUNTIFS('임대사업(E)'!C:C, $E$1, '임대사업(E)'!G:G, B15, '임대사업(E)'!X:X, B20)
  + COUNTIFS('환경부사업(F)'!C:C, $E$1, '환경부사업(F)'!G:G, B15, '환경부사업(F)'!X:X, B20)
  + COUNTIFS('프로젝트(G)'!C:C, $E$1, '프로젝트(G)'!G:G, B15, '프로젝트(G)'!X:X, B20)
  + COUNTIFS('협력사 EPC(H)'!C:C, $E$1, '협력사 EPC(H)'!G:G, B15, '협력사 EPC(H)'!X:X, B20)
  + COUNTIFS('기타(Z)'!C:C, $E$1, '기타(Z)'!G:G, B15, '기타(Z)'!X:X, B20)
)</f>
        <v>2</v>
      </c>
      <c r="E20" s="262">
        <f>IF(
  SUM(
    SUMIFS('발전사업(A)'!I:I, '발전사업(A)'!C:C, $E$1, '발전사업(A)'!G:G, B15, '발전사업(A)'!X:X, B20, '발전사업(A)'!U:U, $C$1),
    SUMIFS('자가소비(B)'!I:I, '자가소비(B)'!C:C, $E$1, '자가소비(B)'!G:G, B15, '자가소비(B)'!X:X, B20, '자가소비(B)'!U:U, $C$1),
    SUMIFS('PPA 사업(C)'!I:I, 'PPA 사업(C)'!C:C, $E$1, 'PPA 사업(C)'!G:G, B15, 'PPA 사업(C)'!X:X, B20, 'PPA 사업(C)'!U:U, $C$1),
    SUMIFS('리스사업(D)'!I:I, '리스사업(D)'!C:C, $E$1, '리스사업(D)'!G:G, B15, '리스사업(D)'!X:X, B20, '리스사업(D)'!U:U, $C$1),
    SUMIFS('임대사업(E)'!I:I, '임대사업(E)'!C:C, $E$1, '임대사업(E)'!G:G, B15, '임대사업(E)'!X:X, B20, '임대사업(E)'!U:U, $C$1),
    SUMIFS('환경부사업(F)'!I:I, '환경부사업(F)'!C:C, $E$1, '환경부사업(F)'!G:G, B15, '환경부사업(F)'!X:X, B20, '환경부사업(F)'!U:U, $C$1),
    SUMIFS('프로젝트(G)'!I:I, '프로젝트(G)'!C:C, $E$1, '프로젝트(G)'!G:G, B15, '프로젝트(G)'!X:X, B20, '프로젝트(G)'!U:U, $C$1),
    SUMIFS('협력사 EPC(H)'!I:I, '협력사 EPC(H)'!C:C, $E$1, '협력사 EPC(H)'!G:G, B15, '협력사 EPC(H)'!X:X, B20, '협력사 EPC(H)'!U:U, $C$1),
    SUMIFS('기타(Z)'!I:I, '기타(Z)'!C:C, $E$1, '기타(Z)'!G:G, B15, '기타(Z)'!X:X, B20, '기타(Z)'!U:U, $C$1)
  ) = 0,
  "",
  SUM(
    SUMIFS('발전사업(A)'!I:I, '발전사업(A)'!C:C, $E$1, '발전사업(A)'!G:G, B15, '발전사업(A)'!X:X, B20, '발전사업(A)'!U:U, $C$1),
    SUMIFS('자가소비(B)'!I:I, '자가소비(B)'!C:C, $E$1, '자가소비(B)'!G:G, B15, '자가소비(B)'!X:X, B20, '자가소비(B)'!U:U, $C$1),
    SUMIFS('PPA 사업(C)'!I:I, 'PPA 사업(C)'!C:C, $E$1, 'PPA 사업(C)'!G:G, B15, 'PPA 사업(C)'!X:X, B20, 'PPA 사업(C)'!U:U, $C$1),
    SUMIFS('리스사업(D)'!I:I, '리스사업(D)'!C:C, $E$1, '리스사업(D)'!G:G, B15, '리스사업(D)'!X:X, B20, '리스사업(D)'!U:U, $C$1),
    SUMIFS('임대사업(E)'!I:I, '임대사업(E)'!C:C, $E$1, '임대사업(E)'!G:G, B15, '임대사업(E)'!X:X, B20, '임대사업(E)'!U:U, $C$1),
    SUMIFS('환경부사업(F)'!I:I, '환경부사업(F)'!C:C, $E$1, '환경부사업(F)'!G:G, B15, '환경부사업(F)'!X:X, B20, '환경부사업(F)'!U:U, $C$1),
    SUMIFS('프로젝트(G)'!I:I, '프로젝트(G)'!C:C, $E$1, '프로젝트(G)'!G:G, B15, '프로젝트(G)'!X:X, B20, '프로젝트(G)'!U:U, $C$1),
    SUMIFS('협력사 EPC(H)'!I:I, '협력사 EPC(H)'!C:C, $E$1, '협력사 EPC(H)'!G:G, B15, '협력사 EPC(H)'!X:X, B20, '협력사 EPC(H)'!U:U, $C$1),
    SUMIFS('기타(Z)'!I:I, '기타(Z)'!C:C, $E$1, '기타(Z)'!G:G, B15, '기타(Z)'!X:X, B20, '기타(Z)'!U:U, $C$1)
  )
)</f>
        <v>282.51</v>
      </c>
      <c r="F20" s="263">
        <f>IF(
  SUM(
    COUNTIFS('발전사업(A)'!C:C, $E$1, '발전사업(A)'!G:G, B15, '발전사업(A)'!X:X, B20, '발전사업(A)'!U:U, $C$1),
    COUNTIFS('자가소비(B)'!C:C, $E$1, '자가소비(B)'!G:G, B15, '자가소비(B)'!X:X, B20, '자가소비(B)'!U:U, $C$1),
    COUNTIFS('PPA 사업(C)'!C:C, $E$1, 'PPA 사업(C)'!G:G, B15, 'PPA 사업(C)'!X:X, B20, 'PPA 사업(C)'!U:U, $C$1),
    COUNTIFS('리스사업(D)'!C:C, $E$1, '리스사업(D)'!G:G, B15, '리스사업(D)'!X:X, B20, '리스사업(D)'!U:U, $C$1),
    COUNTIFS('임대사업(E)'!C:C, $E$1, '임대사업(E)'!G:G, B15, '임대사업(E)'!X:X, B20, '임대사업(E)'!U:U, $C$1),
    COUNTIFS('환경부사업(F)'!C:C, $E$1, '환경부사업(F)'!G:G, B15, '환경부사업(F)'!X:X, B20, '환경부사업(F)'!U:U, $C$1),
    COUNTIFS('프로젝트(G)'!C:C, $E$1, '프로젝트(G)'!G:G, B15, '프로젝트(G)'!X:X, B20, '프로젝트(G)'!U:U, $C$1),
    COUNTIFS('협력사 EPC(H)'!C:C, $E$1, '협력사 EPC(H)'!G:G, B15, '협력사 EPC(H)'!X:X, B20, '협력사 EPC(H)'!U:U, $C$1),
    COUNTIFS('기타(Z)'!C:C, $E$1, '기타(Z)'!G:G, B15, '기타(Z)'!X:X, B20, '기타(Z)'!U:U, $C$1)
  ) = 0,
  "",
  SUM(
    COUNTIFS('발전사업(A)'!C:C, $E$1, '발전사업(A)'!G:G, B15, '발전사업(A)'!X:X, B20, '발전사업(A)'!U:U, $C$1),
    COUNTIFS('자가소비(B)'!C:C, $E$1, '자가소비(B)'!G:G, B15, '자가소비(B)'!X:X, B20, '자가소비(B)'!U:U, $C$1),
    COUNTIFS('PPA 사업(C)'!C:C, $E$1, 'PPA 사업(C)'!G:G, B15, 'PPA 사업(C)'!X:X, B20, 'PPA 사업(C)'!U:U, $C$1),
    COUNTIFS('리스사업(D)'!C:C, $E$1, '리스사업(D)'!G:G, B15, '리스사업(D)'!X:X, B20, '리스사업(D)'!U:U, $C$1),
    COUNTIFS('임대사업(E)'!C:C, $E$1, '임대사업(E)'!G:G, B15, '임대사업(E)'!X:X, B20, '임대사업(E)'!U:U, $C$1),
    COUNTIFS('환경부사업(F)'!C:C, $E$1, '환경부사업(F)'!G:G, B15, '환경부사업(F)'!X:X, B20, '환경부사업(F)'!U:U, $C$1),
    COUNTIFS('프로젝트(G)'!C:C, $E$1, '프로젝트(G)'!G:G, B15, '프로젝트(G)'!X:X, B20, '프로젝트(G)'!U:U, $C$1),
    COUNTIFS('협력사 EPC(H)'!C:C, $E$1, '협력사 EPC(H)'!G:G, B15, '협력사 EPC(H)'!X:X, B20, '협력사 EPC(H)'!U:U, $C$1),
    COUNTIFS('기타(Z)'!C:C, $E$1, '기타(Z)'!G:G, B15, '기타(Z)'!X:X, B20, '기타(Z)'!U:U, $C$1)
  )
)</f>
        <v>2</v>
      </c>
      <c r="G20" s="262" t="str">
        <f>IF(
  SUM(
    SUMIFS('발전사업(A)'!I:I, '발전사업(A)'!C:C, $E$1, '발전사업(A)'!G:G, B15, '발전사업(A)'!X:X, B20, '발전사업(A)'!U:U, $D$1),
    SUMIFS('자가소비(B)'!I:I, '자가소비(B)'!C:C, $E$1, '자가소비(B)'!G:G, B15, '자가소비(B)'!X:X, B20, '자가소비(B)'!U:U, $D$1),
    SUMIFS('PPA 사업(C)'!I:I, 'PPA 사업(C)'!C:C, $E$1, 'PPA 사업(C)'!G:G, B15, 'PPA 사업(C)'!X:X, B20, 'PPA 사업(C)'!U:U, $D$1),
    SUMIFS('리스사업(D)'!I:I, '리스사업(D)'!C:C, $E$1, '리스사업(D)'!G:G, B15, '리스사업(D)'!X:X, B20, '리스사업(D)'!U:U, $D$1),
    SUMIFS('임대사업(E)'!I:I, '임대사업(E)'!C:C, $E$1, '임대사업(E)'!G:G, B15, '임대사업(E)'!X:X, B20, '임대사업(E)'!U:U, $D$1),
    SUMIFS('환경부사업(F)'!I:I, '환경부사업(F)'!C:C, $E$1, '환경부사업(F)'!G:G, B15, '환경부사업(F)'!X:X, B20, '환경부사업(F)'!U:U, $D$1),
    SUMIFS('프로젝트(G)'!I:I, '프로젝트(G)'!C:C, $E$1, '프로젝트(G)'!G:G, B15, '프로젝트(G)'!X:X, B20, '프로젝트(G)'!U:U, $D$1),
    SUMIFS('협력사 EPC(H)'!I:I, '협력사 EPC(H)'!C:C, $E$1, '협력사 EPC(H)'!G:G, B15, '협력사 EPC(H)'!X:X, B20, '협력사 EPC(H)'!U:U, $D$1),
    SUMIFS('기타(Z)'!I:I, '기타(Z)'!C:C, $E$1, '기타(Z)'!G:G, B15, '기타(Z)'!X:X, B20, '기타(Z)'!U:U, $D$1)
  ) = 0,
  "",
  SUM(
    SUMIFS('발전사업(A)'!I:I, '발전사업(A)'!C:C, $E$1, '발전사업(A)'!G:G, B15, '발전사업(A)'!X:X, B20, '발전사업(A)'!U:U, $D$1),
    SUMIFS('자가소비(B)'!I:I, '자가소비(B)'!C:C, $E$1, '자가소비(B)'!G:G, B15, '자가소비(B)'!X:X, B20, '자가소비(B)'!U:U, $D$1),
    SUMIFS('PPA 사업(C)'!I:I, 'PPA 사업(C)'!C:C, $E$1, 'PPA 사업(C)'!G:G, B15, 'PPA 사업(C)'!X:X, B20, 'PPA 사업(C)'!U:U, $D$1),
    SUMIFS('리스사업(D)'!I:I, '리스사업(D)'!C:C, $E$1, '리스사업(D)'!G:G, B15, '리스사업(D)'!X:X, B20, '리스사업(D)'!U:U, $D$1),
    SUMIFS('임대사업(E)'!I:I, '임대사업(E)'!C:C, $E$1, '임대사업(E)'!G:G, B15, '임대사업(E)'!X:X, B20, '임대사업(E)'!U:U, $D$1),
    SUMIFS('환경부사업(F)'!I:I, '환경부사업(F)'!C:C, $E$1, '환경부사업(F)'!G:G, B15, '환경부사업(F)'!X:X, B20, '환경부사업(F)'!U:U, $D$1),
    SUMIFS('프로젝트(G)'!I:I, '프로젝트(G)'!C:C, $E$1, '프로젝트(G)'!G:G, B15, '프로젝트(G)'!X:X, B20, '프로젝트(G)'!U:U, $D$1),
    SUMIFS('협력사 EPC(H)'!I:I, '협력사 EPC(H)'!C:C, $E$1, '협력사 EPC(H)'!G:G, B15, '협력사 EPC(H)'!X:X, B20, '협력사 EPC(H)'!U:U, $D$1),
    SUMIFS('기타(Z)'!I:I, '기타(Z)'!C:C, $E$1, '기타(Z)'!G:G, B15, '기타(Z)'!X:X, B20, '기타(Z)'!U:U, $D$1)
  )
)</f>
        <v/>
      </c>
      <c r="H20" s="263" t="str">
        <f>IF(
  (
    COUNTIFS('발전사업(A)'!C:C, $E$1, '발전사업(A)'!G:G, B15, '발전사업(A)'!X:X, B20, '발전사업(A)'!U:U, $D$1)
    + COUNTIFS('자가소비(B)'!C:C, $E$1, '자가소비(B)'!G:G, B15, '자가소비(B)'!X:X, B20, '자가소비(B)'!U:U, $D$1)
    + COUNTIFS('PPA 사업(C)'!C:C, $E$1, 'PPA 사업(C)'!G:G, B15, 'PPA 사업(C)'!X:X, B20, 'PPA 사업(C)'!U:U, $D$1)
    + COUNTIFS('리스사업(D)'!C:C, $E$1, '리스사업(D)'!G:G, B15, '리스사업(D)'!X:X, B20, '리스사업(D)'!U:U, $D$1)
    + COUNTIFS('임대사업(E)'!C:C, $E$1, '임대사업(E)'!G:G, B15, '임대사업(E)'!X:X, B20, '임대사업(E)'!U:U, $D$1)
    + COUNTIFS('환경부사업(F)'!C:C, $E$1, '환경부사업(F)'!G:G, B15, '환경부사업(F)'!X:X, B20, '환경부사업(F)'!U:U, $D$1)
    + COUNTIFS('프로젝트(G)'!C:C, $E$1, '프로젝트(G)'!G:G, B15, '프로젝트(G)'!X:X, B20, '프로젝트(G)'!U:U, $D$1)
    + COUNTIFS('협력사 EPC(H)'!C:C, $E$1, '협력사 EPC(H)'!G:G, B15, '협력사 EPC(H)'!X:X, B20, '협력사 EPC(H)'!U:U, $D$1)
    + COUNTIFS('기타(Z)'!C:C, $E$1, '기타(Z)'!G:G, B15, '기타(Z)'!X:X, B20, '기타(Z)'!U:U, $D$1)
  ) = 0,
  "",
  COUNTIFS('발전사업(A)'!C:C, $E$1, '발전사업(A)'!G:G, B15, '발전사업(A)'!X:X, B20, '발전사업(A)'!U:U, $D$1)
  + COUNTIFS('자가소비(B)'!C:C, $E$1, '자가소비(B)'!G:G, B15, '자가소비(B)'!X:X, B20, '자가소비(B)'!U:U, $D$1)
  + COUNTIFS('PPA 사업(C)'!C:C, $E$1, 'PPA 사업(C)'!G:G, B15, 'PPA 사업(C)'!X:X, B20, 'PPA 사업(C)'!U:U, $D$1)
  + COUNTIFS('리스사업(D)'!C:C, $E$1, '리스사업(D)'!G:G, B15, '리스사업(D)'!X:X, B20, '리스사업(D)'!U:U, $D$1)
  + COUNTIFS('임대사업(E)'!C:C, $E$1, '임대사업(E)'!G:G, B15, '임대사업(E)'!X:X, B20, '임대사업(E)'!U:U, $D$1)
  + COUNTIFS('환경부사업(F)'!C:C, $E$1, '환경부사업(F)'!G:G, B15, '환경부사업(F)'!X:X, B20, '환경부사업(F)'!U:U, $D$1)
  + COUNTIFS('프로젝트(G)'!C:C, $E$1, '프로젝트(G)'!G:G, B15, '프로젝트(G)'!X:X, B20, '프로젝트(G)'!U:U, $D$1)
  + COUNTIFS('협력사 EPC(H)'!C:C, $E$1, '협력사 EPC(H)'!G:G, B15, '협력사 EPC(H)'!X:X, B20, '협력사 EPC(H)'!U:U, $D$1)
  + COUNTIFS('기타(Z)'!C:C, $E$1, '기타(Z)'!G:G, B15, '기타(Z)'!X:X, B20, '기타(Z)'!U:U, $D$1)
)</f>
        <v/>
      </c>
      <c r="J20" s="371" t="s">
        <v>193</v>
      </c>
      <c r="K20" s="354" t="str">
        <f t="shared" si="5"/>
        <v/>
      </c>
      <c r="L20" s="348" t="str">
        <f t="shared" si="6"/>
        <v/>
      </c>
      <c r="M20" s="366" t="str">
        <f>IF(
  SUM(
    SUMIFS('발전사업(A)'!$I:$I,'발전사업(A)'!$G:$G,M$2,'발전사업(A)'!$Q:$Q,$J20,'발전사업(A)'!$C:$C,$L$1),
    SUMIFS('자가소비(B)'!$I:$I,'자가소비(B)'!$G:$G,M$2,'자가소비(B)'!$Q:$Q,$J20,'자가소비(B)'!$C:$C,$L$1),
    SUMIFS('PPA 사업(C)'!$I:$I,'PPA 사업(C)'!$G:$G,M$2,'PPA 사업(C)'!$Q:$Q,$J20,'PPA 사업(C)'!$C:$C,$L$1),
    SUMIFS('리스사업(D)'!$I:$I,'리스사업(D)'!$G:$G,M$2,'리스사업(D)'!$Q:$Q,$J20,'리스사업(D)'!$C:$C,$L$1),
    SUMIFS('임대사업(E)'!$I:$I,'임대사업(E)'!$G:$G,M$2,'임대사업(E)'!$Q:$Q,$J20,'임대사업(E)'!$C:$C,$L$1),
    SUMIFS('환경부사업(F)'!$I:$I,'환경부사업(F)'!$G:$G,M$2,'환경부사업(F)'!$Q:$Q,$J20,'환경부사업(F)'!$C:$C,$L$1),
    SUMIFS('프로젝트(G)'!$I:$I,'프로젝트(G)'!$G:$G,M$2,'프로젝트(G)'!$Q:$Q,$J20,'프로젝트(G)'!$C:$C,$L$1),
    SUMIFS('협력사 EPC(H)'!$I:$I,'협력사 EPC(H)'!$G:$G,M$2,'협력사 EPC(H)'!$Q:$Q,$J20,'협력사 EPC(H)'!$C:$C,$L$1),
    SUMIFS('기타(Z)'!$I:$I,'기타(Z)'!$G:$G,M$2,'기타(Z)'!$Q:$Q,$J20,'기타(Z)'!$C:$C,$L$1)
  )=0,
  "",
  SUM(
    SUMIFS('발전사업(A)'!$I:$I,'발전사업(A)'!$G:$G,M$2,'발전사업(A)'!$Q:$Q,$J20,'발전사업(A)'!$C:$C,$L$1),
    SUMIFS('자가소비(B)'!$I:$I,'자가소비(B)'!$G:$G,M$2,'자가소비(B)'!$Q:$Q,$J20,'자가소비(B)'!$C:$C,$L$1),
    SUMIFS('PPA 사업(C)'!$I:$I,'PPA 사업(C)'!$G:$G,M$2,'PPA 사업(C)'!$Q:$Q,$J20,'PPA 사업(C)'!$C:$C,$L$1),
    SUMIFS('리스사업(D)'!$I:$I,'리스사업(D)'!$G:$G,M$2,'리스사업(D)'!$Q:$Q,$J20,'리스사업(D)'!$C:$C,$L$1),
    SUMIFS('임대사업(E)'!$I:$I,'임대사업(E)'!$G:$G,M$2,'임대사업(E)'!$Q:$Q,$J20,'임대사업(E)'!$C:$C,$L$1),
    SUMIFS('환경부사업(F)'!$I:$I,'환경부사업(F)'!$G:$G,M$2,'환경부사업(F)'!$Q:$Q,$J20,'환경부사업(F)'!$C:$C,$L$1),
    SUMIFS('프로젝트(G)'!$I:$I,'프로젝트(G)'!$G:$G,M$2,'프로젝트(G)'!$Q:$Q,$J20,'프로젝트(G)'!$C:$C,$L$1),
    SUMIFS('협력사 EPC(H)'!$I:$I,'협력사 EPC(H)'!$G:$G,M$2,'협력사 EPC(H)'!$Q:$Q,$J20,'협력사 EPC(H)'!$C:$C,$L$1),
    SUMIFS('기타(Z)'!$I:$I,'기타(Z)'!$G:$G,M$2,'기타(Z)'!$Q:$Q,$J20,'기타(Z)'!$C:$C,$L$1)
  )
)</f>
        <v/>
      </c>
      <c r="N20" s="367" t="str">
        <f>IF(
  SUM(
    COUNTIFS('발전사업(A)'!$G:$G, M$2, '발전사업(A)'!$Q:$Q, $J20, '발전사업(A)'!$C:$C, $L$1),
    COUNTIFS('자가소비(B)'!$G:$G, M$2, '자가소비(B)'!$Q:$Q, $J20, '자가소비(B)'!$C:$C, $L$1),
    COUNTIFS('PPA 사업(C)'!$G:$G, M$2, 'PPA 사업(C)'!$Q:$Q, $J20, 'PPA 사업(C)'!$C:$C, $L$1),
    COUNTIFS('리스사업(D)'!$G:$G, M$2, '리스사업(D)'!$Q:$Q, $J20, '리스사업(D)'!$C:$C, $L$1),
    COUNTIFS('임대사업(E)'!$G:$G, M$2, '임대사업(E)'!$Q:$Q, $J20, '임대사업(E)'!$C:$C, $L$1),
    COUNTIFS('환경부사업(F)'!$G:$G, M$2, '환경부사업(F)'!$Q:$Q, $J20, '환경부사업(F)'!$C:$C, $L$1),
    COUNTIFS('프로젝트(G)'!$G:$G, M$2, '프로젝트(G)'!$Q:$Q, $J20, '프로젝트(G)'!$C:$C, $L$1),
    COUNTIFS('협력사 EPC(H)'!$G:$G, M$2, '협력사 EPC(H)'!$Q:$Q, $J20, '협력사 EPC(H)'!$C:$C, $L$1),
    COUNTIFS('기타(Z)'!$G:$G, M$2, '기타(Z)'!$Q:$Q, $J20, '기타(Z)'!$C:$C, $L$1)
  ) = 0,
  "",
  COUNTIFS('발전사업(A)'!$G:$G, M$2, '발전사업(A)'!$Q:$Q, $J20, '발전사업(A)'!$C:$C, $L$1)
  + COUNTIFS('자가소비(B)'!$G:$G, M$2, '자가소비(B)'!$Q:$Q, $J20, '자가소비(B)'!$C:$C, $L$1)
  + COUNTIFS('PPA 사업(C)'!$G:$G, M$2, 'PPA 사업(C)'!$Q:$Q, $J20, 'PPA 사업(C)'!$C:$C, $L$1)
  + COUNTIFS('리스사업(D)'!$G:$G, M$2, '리스사업(D)'!$Q:$Q, $J20, '리스사업(D)'!$C:$C, $L$1)
  + COUNTIFS('임대사업(E)'!$G:$G, M$2, '임대사업(E)'!$Q:$Q, $J20, '임대사업(E)'!$C:$C, $L$1)
  + COUNTIFS('환경부사업(F)'!$G:$G, M$2, '환경부사업(F)'!$Q:$Q, $J20, '환경부사업(F)'!$C:$C, $L$1)
  + COUNTIFS('프로젝트(G)'!$G:$G, M$2, '프로젝트(G)'!$Q:$Q, $J20, '프로젝트(G)'!$C:$C, $L$1)
  + COUNTIFS('협력사 EPC(H)'!$G:$G, M$2, '협력사 EPC(H)'!$Q:$Q, $J20, '협력사 EPC(H)'!$C:$C, $L$1)
  + COUNTIFS('기타(Z)'!$G:$G, M$2, '기타(Z)'!$Q:$Q, $J20, '기타(Z)'!$C:$C, $L$1)
)</f>
        <v/>
      </c>
      <c r="O20" s="366" t="str">
        <f>IF(
  SUM(
    SUMIFS('발전사업(A)'!$I:$I,'발전사업(A)'!$G:$G,O$2,'발전사업(A)'!$Q:$Q,$J20,'발전사업(A)'!$C:$C,$L$1),
    SUMIFS('자가소비(B)'!$I:$I,'자가소비(B)'!$G:$G,O$2,'자가소비(B)'!$Q:$Q,$J20,'자가소비(B)'!$C:$C,$L$1),
    SUMIFS('PPA 사업(C)'!$I:$I,'PPA 사업(C)'!$G:$G,O$2,'PPA 사업(C)'!$Q:$Q,$J20,'PPA 사업(C)'!$C:$C,$L$1),
    SUMIFS('리스사업(D)'!$I:$I,'리스사업(D)'!$G:$G,O$2,'리스사업(D)'!$Q:$Q,$J20,'리스사업(D)'!$C:$C,$L$1),
    SUMIFS('임대사업(E)'!$I:$I,'임대사업(E)'!$G:$G,O$2,'임대사업(E)'!$Q:$Q,$J20,'임대사업(E)'!$C:$C,$L$1),
    SUMIFS('환경부사업(F)'!$I:$I,'환경부사업(F)'!$G:$G,O$2,'환경부사업(F)'!$Q:$Q,$J20,'환경부사업(F)'!$C:$C,$L$1),
    SUMIFS('프로젝트(G)'!$I:$I,'프로젝트(G)'!$G:$G,O$2,'프로젝트(G)'!$Q:$Q,$J20,'프로젝트(G)'!$C:$C,$L$1),
    SUMIFS('협력사 EPC(H)'!$I:$I,'협력사 EPC(H)'!$G:$G,O$2,'협력사 EPC(H)'!$Q:$Q,$J20,'협력사 EPC(H)'!$C:$C,$L$1),
    SUMIFS('기타(Z)'!$I:$I,'기타(Z)'!$G:$G,O$2,'기타(Z)'!$Q:$Q,$J20,'기타(Z)'!$C:$C,$L$1)
  )=0,
  "",
  SUM(
    SUMIFS('발전사업(A)'!$I:$I,'발전사업(A)'!$G:$G,O$2,'발전사업(A)'!$Q:$Q,$J20,'발전사업(A)'!$C:$C,$L$1),
    SUMIFS('자가소비(B)'!$I:$I,'자가소비(B)'!$G:$G,O$2,'자가소비(B)'!$Q:$Q,$J20,'자가소비(B)'!$C:$C,$L$1),
    SUMIFS('PPA 사업(C)'!$I:$I,'PPA 사업(C)'!$G:$G,O$2,'PPA 사업(C)'!$Q:$Q,$J20,'PPA 사업(C)'!$C:$C,$L$1),
    SUMIFS('리스사업(D)'!$I:$I,'리스사업(D)'!$G:$G,O$2,'리스사업(D)'!$Q:$Q,$J20,'리스사업(D)'!$C:$C,$L$1),
    SUMIFS('임대사업(E)'!$I:$I,'임대사업(E)'!$G:$G,O$2,'임대사업(E)'!$Q:$Q,$J20,'임대사업(E)'!$C:$C,$L$1),
    SUMIFS('환경부사업(F)'!$I:$I,'환경부사업(F)'!$G:$G,O$2,'환경부사업(F)'!$Q:$Q,$J20,'환경부사업(F)'!$C:$C,$L$1),
    SUMIFS('프로젝트(G)'!$I:$I,'프로젝트(G)'!$G:$G,O$2,'프로젝트(G)'!$Q:$Q,$J20,'프로젝트(G)'!$C:$C,$L$1),
    SUMIFS('협력사 EPC(H)'!$I:$I,'협력사 EPC(H)'!$G:$G,O$2,'협력사 EPC(H)'!$Q:$Q,$J20,'협력사 EPC(H)'!$C:$C,$L$1),
    SUMIFS('기타(Z)'!$I:$I,'기타(Z)'!$G:$G,O$2,'기타(Z)'!$Q:$Q,$J20,'기타(Z)'!$C:$C,$L$1)
  )
)</f>
        <v/>
      </c>
      <c r="P20" s="367" t="str">
        <f>IF(
  SUM(
    COUNTIFS('발전사업(A)'!$G:$G, O$2, '발전사업(A)'!$Q:$Q, $J20, '발전사업(A)'!$C:$C, $L$1),
    COUNTIFS('자가소비(B)'!$G:$G, O$2, '자가소비(B)'!$Q:$Q, $J20, '자가소비(B)'!$C:$C, $L$1),
    COUNTIFS('PPA 사업(C)'!$G:$G, O$2, 'PPA 사업(C)'!$Q:$Q, $J20, 'PPA 사업(C)'!$C:$C, $L$1),
    COUNTIFS('리스사업(D)'!$G:$G, O$2, '리스사업(D)'!$Q:$Q, $J20, '리스사업(D)'!$C:$C, $L$1),
    COUNTIFS('임대사업(E)'!$G:$G, O$2, '임대사업(E)'!$Q:$Q, $J20, '임대사업(E)'!$C:$C, $L$1),
    COUNTIFS('환경부사업(F)'!$G:$G, O$2, '환경부사업(F)'!$Q:$Q, $J20, '환경부사업(F)'!$C:$C, $L$1),
    COUNTIFS('프로젝트(G)'!$G:$G, O$2, '프로젝트(G)'!$Q:$Q, $J20, '프로젝트(G)'!$C:$C, $L$1),
    COUNTIFS('협력사 EPC(H)'!$G:$G, O$2, '협력사 EPC(H)'!$Q:$Q, $J20, '협력사 EPC(H)'!$C:$C, $L$1),
    COUNTIFS('기타(Z)'!$G:$G, O$2, '기타(Z)'!$Q:$Q, $J20, '기타(Z)'!$C:$C, $L$1)
  ) = 0,
  "",
  COUNTIFS('발전사업(A)'!$G:$G, O$2, '발전사업(A)'!$Q:$Q, $J20, '발전사업(A)'!$C:$C, $L$1)
  + COUNTIFS('자가소비(B)'!$G:$G, O$2, '자가소비(B)'!$Q:$Q, $J20, '자가소비(B)'!$C:$C, $L$1)
  + COUNTIFS('PPA 사업(C)'!$G:$G, O$2, 'PPA 사업(C)'!$Q:$Q, $J20, 'PPA 사업(C)'!$C:$C, $L$1)
  + COUNTIFS('리스사업(D)'!$G:$G, O$2, '리스사업(D)'!$Q:$Q, $J20, '리스사업(D)'!$C:$C, $L$1)
  + COUNTIFS('임대사업(E)'!$G:$G, O$2, '임대사업(E)'!$Q:$Q, $J20, '임대사업(E)'!$C:$C, $L$1)
  + COUNTIFS('환경부사업(F)'!$G:$G, O$2, '환경부사업(F)'!$Q:$Q, $J20, '환경부사업(F)'!$C:$C, $L$1)
  + COUNTIFS('프로젝트(G)'!$G:$G, O$2, '프로젝트(G)'!$Q:$Q, $J20, '프로젝트(G)'!$C:$C, $L$1)
  + COUNTIFS('협력사 EPC(H)'!$G:$G, O$2, '협력사 EPC(H)'!$Q:$Q, $J20, '협력사 EPC(H)'!$C:$C, $L$1)
  + COUNTIFS('기타(Z)'!$G:$G, O$2, '기타(Z)'!$Q:$Q, $J20, '기타(Z)'!$C:$C, $L$1)
)</f>
        <v/>
      </c>
      <c r="Q20" s="366" t="str">
        <f>IF(
  SUM(
    SUMIFS('발전사업(A)'!$I:$I,'발전사업(A)'!$G:$G,Q$2,'발전사업(A)'!$Q:$Q,$J20,'발전사업(A)'!$C:$C,$L$1),
    SUMIFS('자가소비(B)'!$I:$I,'자가소비(B)'!$G:$G,Q$2,'자가소비(B)'!$Q:$Q,$J20,'자가소비(B)'!$C:$C,$L$1),
    SUMIFS('PPA 사업(C)'!$I:$I,'PPA 사업(C)'!$G:$G,Q$2,'PPA 사업(C)'!$Q:$Q,$J20,'PPA 사업(C)'!$C:$C,$L$1),
    SUMIFS('리스사업(D)'!$I:$I,'리스사업(D)'!$G:$G,Q$2,'리스사업(D)'!$Q:$Q,$J20,'리스사업(D)'!$C:$C,$L$1),
    SUMIFS('임대사업(E)'!$I:$I,'임대사업(E)'!$G:$G,Q$2,'임대사업(E)'!$Q:$Q,$J20,'임대사업(E)'!$C:$C,$L$1),
    SUMIFS('환경부사업(F)'!$I:$I,'환경부사업(F)'!$G:$G,Q$2,'환경부사업(F)'!$Q:$Q,$J20,'환경부사업(F)'!$C:$C,$L$1),
    SUMIFS('프로젝트(G)'!$I:$I,'프로젝트(G)'!$G:$G,Q$2,'프로젝트(G)'!$Q:$Q,$J20,'프로젝트(G)'!$C:$C,$L$1),
    SUMIFS('협력사 EPC(H)'!$I:$I,'협력사 EPC(H)'!$G:$G,Q$2,'협력사 EPC(H)'!$Q:$Q,$J20,'협력사 EPC(H)'!$C:$C,$L$1),
    SUMIFS('기타(Z)'!$I:$I,'기타(Z)'!$G:$G,Q$2,'기타(Z)'!$Q:$Q,$J20,'기타(Z)'!$C:$C,$L$1)
  )=0,
  "",
  SUM(
    SUMIFS('발전사업(A)'!$I:$I,'발전사업(A)'!$G:$G,Q$2,'발전사업(A)'!$Q:$Q,$J20,'발전사업(A)'!$C:$C,$L$1),
    SUMIFS('자가소비(B)'!$I:$I,'자가소비(B)'!$G:$G,Q$2,'자가소비(B)'!$Q:$Q,$J20,'자가소비(B)'!$C:$C,$L$1),
    SUMIFS('PPA 사업(C)'!$I:$I,'PPA 사업(C)'!$G:$G,Q$2,'PPA 사업(C)'!$Q:$Q,$J20,'PPA 사업(C)'!$C:$C,$L$1),
    SUMIFS('리스사업(D)'!$I:$I,'리스사업(D)'!$G:$G,Q$2,'리스사업(D)'!$Q:$Q,$J20,'리스사업(D)'!$C:$C,$L$1),
    SUMIFS('임대사업(E)'!$I:$I,'임대사업(E)'!$G:$G,Q$2,'임대사업(E)'!$Q:$Q,$J20,'임대사업(E)'!$C:$C,$L$1),
    SUMIFS('환경부사업(F)'!$I:$I,'환경부사업(F)'!$G:$G,Q$2,'환경부사업(F)'!$Q:$Q,$J20,'환경부사업(F)'!$C:$C,$L$1),
    SUMIFS('프로젝트(G)'!$I:$I,'프로젝트(G)'!$G:$G,Q$2,'프로젝트(G)'!$Q:$Q,$J20,'프로젝트(G)'!$C:$C,$L$1),
    SUMIFS('협력사 EPC(H)'!$I:$I,'협력사 EPC(H)'!$G:$G,Q$2,'협력사 EPC(H)'!$Q:$Q,$J20,'협력사 EPC(H)'!$C:$C,$L$1),
    SUMIFS('기타(Z)'!$I:$I,'기타(Z)'!$G:$G,Q$2,'기타(Z)'!$Q:$Q,$J20,'기타(Z)'!$C:$C,$L$1)
  )
)</f>
        <v/>
      </c>
      <c r="R20" s="367" t="str">
        <f>IF(
  SUM(
    COUNTIFS('발전사업(A)'!$G:$G, Q$2, '발전사업(A)'!$Q:$Q, $J20, '발전사업(A)'!$C:$C, $L$1),
    COUNTIFS('자가소비(B)'!$G:$G, Q$2, '자가소비(B)'!$Q:$Q, $J20, '자가소비(B)'!$C:$C, $L$1),
    COUNTIFS('PPA 사업(C)'!$G:$G, Q$2, 'PPA 사업(C)'!$Q:$Q, $J20, 'PPA 사업(C)'!$C:$C, $L$1),
    COUNTIFS('리스사업(D)'!$G:$G, Q$2, '리스사업(D)'!$Q:$Q, $J20, '리스사업(D)'!$C:$C, $L$1),
    COUNTIFS('임대사업(E)'!$G:$G, Q$2, '임대사업(E)'!$Q:$Q, $J20, '임대사업(E)'!$C:$C, $L$1),
    COUNTIFS('환경부사업(F)'!$G:$G, Q$2, '환경부사업(F)'!$Q:$Q, $J20, '환경부사업(F)'!$C:$C, $L$1),
    COUNTIFS('프로젝트(G)'!$G:$G, Q$2, '프로젝트(G)'!$Q:$Q, $J20, '프로젝트(G)'!$C:$C, $L$1),
    COUNTIFS('협력사 EPC(H)'!$G:$G, Q$2, '협력사 EPC(H)'!$Q:$Q, $J20, '협력사 EPC(H)'!$C:$C, $L$1),
    COUNTIFS('기타(Z)'!$G:$G, Q$2, '기타(Z)'!$Q:$Q, $J20, '기타(Z)'!$C:$C, $L$1)
  ) = 0,
  "",
  COUNTIFS('발전사업(A)'!$G:$G, Q$2, '발전사업(A)'!$Q:$Q, $J20, '발전사업(A)'!$C:$C, $L$1)
  + COUNTIFS('자가소비(B)'!$G:$G, Q$2, '자가소비(B)'!$Q:$Q, $J20, '자가소비(B)'!$C:$C, $L$1)
  + COUNTIFS('PPA 사업(C)'!$G:$G, Q$2, 'PPA 사업(C)'!$Q:$Q, $J20, 'PPA 사업(C)'!$C:$C, $L$1)
  + COUNTIFS('리스사업(D)'!$G:$G, Q$2, '리스사업(D)'!$Q:$Q, $J20, '리스사업(D)'!$C:$C, $L$1)
  + COUNTIFS('임대사업(E)'!$G:$G, Q$2, '임대사업(E)'!$Q:$Q, $J20, '임대사업(E)'!$C:$C, $L$1)
  + COUNTIFS('환경부사업(F)'!$G:$G, Q$2, '환경부사업(F)'!$Q:$Q, $J20, '환경부사업(F)'!$C:$C, $L$1)
  + COUNTIFS('프로젝트(G)'!$G:$G, Q$2, '프로젝트(G)'!$Q:$Q, $J20, '프로젝트(G)'!$C:$C, $L$1)
  + COUNTIFS('협력사 EPC(H)'!$G:$G, Q$2, '협력사 EPC(H)'!$Q:$Q, $J20, '협력사 EPC(H)'!$C:$C, $L$1)
  + COUNTIFS('기타(Z)'!$G:$G, Q$2, '기타(Z)'!$Q:$Q, $J20, '기타(Z)'!$C:$C, $L$1)
)</f>
        <v/>
      </c>
      <c r="S20" s="366" t="str">
        <f>IF(
  SUM(
    SUMIFS('발전사업(A)'!$I:$I,'발전사업(A)'!$G:$G,S$2,'발전사업(A)'!$Q:$Q,$J20,'발전사업(A)'!$C:$C,$L$1),
    SUMIFS('자가소비(B)'!$I:$I,'자가소비(B)'!$G:$G,S$2,'자가소비(B)'!$Q:$Q,$J20,'자가소비(B)'!$C:$C,$L$1),
    SUMIFS('PPA 사업(C)'!$I:$I,'PPA 사업(C)'!$G:$G,S$2,'PPA 사업(C)'!$Q:$Q,$J20,'PPA 사업(C)'!$C:$C,$L$1),
    SUMIFS('리스사업(D)'!$I:$I,'리스사업(D)'!$G:$G,S$2,'리스사업(D)'!$Q:$Q,$J20,'리스사업(D)'!$C:$C,$L$1),
    SUMIFS('임대사업(E)'!$I:$I,'임대사업(E)'!$G:$G,S$2,'임대사업(E)'!$Q:$Q,$J20,'임대사업(E)'!$C:$C,$L$1),
    SUMIFS('환경부사업(F)'!$I:$I,'환경부사업(F)'!$G:$G,S$2,'환경부사업(F)'!$Q:$Q,$J20,'환경부사업(F)'!$C:$C,$L$1),
    SUMIFS('프로젝트(G)'!$I:$I,'프로젝트(G)'!$G:$G,S$2,'프로젝트(G)'!$Q:$Q,$J20,'프로젝트(G)'!$C:$C,$L$1),
    SUMIFS('협력사 EPC(H)'!$I:$I,'협력사 EPC(H)'!$G:$G,S$2,'협력사 EPC(H)'!$Q:$Q,$J20,'협력사 EPC(H)'!$C:$C,$L$1),
    SUMIFS('기타(Z)'!$I:$I,'기타(Z)'!$G:$G,S$2,'기타(Z)'!$Q:$Q,$J20,'기타(Z)'!$C:$C,$L$1)
  )=0,
  "",
  SUM(
    SUMIFS('발전사업(A)'!$I:$I,'발전사업(A)'!$G:$G,S$2,'발전사업(A)'!$Q:$Q,$J20,'발전사업(A)'!$C:$C,$L$1),
    SUMIFS('자가소비(B)'!$I:$I,'자가소비(B)'!$G:$G,S$2,'자가소비(B)'!$Q:$Q,$J20,'자가소비(B)'!$C:$C,$L$1),
    SUMIFS('PPA 사업(C)'!$I:$I,'PPA 사업(C)'!$G:$G,S$2,'PPA 사업(C)'!$Q:$Q,$J20,'PPA 사업(C)'!$C:$C,$L$1),
    SUMIFS('리스사업(D)'!$I:$I,'리스사업(D)'!$G:$G,S$2,'리스사업(D)'!$Q:$Q,$J20,'리스사업(D)'!$C:$C,$L$1),
    SUMIFS('임대사업(E)'!$I:$I,'임대사업(E)'!$G:$G,S$2,'임대사업(E)'!$Q:$Q,$J20,'임대사업(E)'!$C:$C,$L$1),
    SUMIFS('환경부사업(F)'!$I:$I,'환경부사업(F)'!$G:$G,S$2,'환경부사업(F)'!$Q:$Q,$J20,'환경부사업(F)'!$C:$C,$L$1),
    SUMIFS('프로젝트(G)'!$I:$I,'프로젝트(G)'!$G:$G,S$2,'프로젝트(G)'!$Q:$Q,$J20,'프로젝트(G)'!$C:$C,$L$1),
    SUMIFS('협력사 EPC(H)'!$I:$I,'협력사 EPC(H)'!$G:$G,S$2,'협력사 EPC(H)'!$Q:$Q,$J20,'협력사 EPC(H)'!$C:$C,$L$1),
    SUMIFS('기타(Z)'!$I:$I,'기타(Z)'!$G:$G,S$2,'기타(Z)'!$Q:$Q,$J20,'기타(Z)'!$C:$C,$L$1)
  )
)</f>
        <v/>
      </c>
      <c r="T20" s="367" t="str">
        <f>IF(
  SUM(
    COUNTIFS('발전사업(A)'!$G:$G, S$2, '발전사업(A)'!$Q:$Q, $J20, '발전사업(A)'!$C:$C, $L$1),
    COUNTIFS('자가소비(B)'!$G:$G, S$2, '자가소비(B)'!$Q:$Q, $J20, '자가소비(B)'!$C:$C, $L$1),
    COUNTIFS('PPA 사업(C)'!$G:$G, S$2, 'PPA 사업(C)'!$Q:$Q, $J20, 'PPA 사업(C)'!$C:$C, $L$1),
    COUNTIFS('리스사업(D)'!$G:$G, S$2, '리스사업(D)'!$Q:$Q, $J20, '리스사업(D)'!$C:$C, $L$1),
    COUNTIFS('임대사업(E)'!$G:$G, S$2, '임대사업(E)'!$Q:$Q, $J20, '임대사업(E)'!$C:$C, $L$1),
    COUNTIFS('환경부사업(F)'!$G:$G, S$2, '환경부사업(F)'!$Q:$Q, $J20, '환경부사업(F)'!$C:$C, $L$1),
    COUNTIFS('프로젝트(G)'!$G:$G, S$2, '프로젝트(G)'!$Q:$Q, $J20, '프로젝트(G)'!$C:$C, $L$1),
    COUNTIFS('협력사 EPC(H)'!$G:$G, S$2, '협력사 EPC(H)'!$Q:$Q, $J20, '협력사 EPC(H)'!$C:$C, $L$1),
    COUNTIFS('기타(Z)'!$G:$G, S$2, '기타(Z)'!$Q:$Q, $J20, '기타(Z)'!$C:$C, $L$1)
  ) = 0,
  "",
  COUNTIFS('발전사업(A)'!$G:$G, S$2, '발전사업(A)'!$Q:$Q, $J20, '발전사업(A)'!$C:$C, $L$1)
  + COUNTIFS('자가소비(B)'!$G:$G, S$2, '자가소비(B)'!$Q:$Q, $J20, '자가소비(B)'!$C:$C, $L$1)
  + COUNTIFS('PPA 사업(C)'!$G:$G, S$2, 'PPA 사업(C)'!$Q:$Q, $J20, 'PPA 사업(C)'!$C:$C, $L$1)
  + COUNTIFS('리스사업(D)'!$G:$G, S$2, '리스사업(D)'!$Q:$Q, $J20, '리스사업(D)'!$C:$C, $L$1)
  + COUNTIFS('임대사업(E)'!$G:$G, S$2, '임대사업(E)'!$Q:$Q, $J20, '임대사업(E)'!$C:$C, $L$1)
  + COUNTIFS('환경부사업(F)'!$G:$G, S$2, '환경부사업(F)'!$Q:$Q, $J20, '환경부사업(F)'!$C:$C, $L$1)
  + COUNTIFS('프로젝트(G)'!$G:$G, S$2, '프로젝트(G)'!$Q:$Q, $J20, '프로젝트(G)'!$C:$C, $L$1)
  + COUNTIFS('협력사 EPC(H)'!$G:$G, S$2, '협력사 EPC(H)'!$Q:$Q, $J20, '협력사 EPC(H)'!$C:$C, $L$1)
  + COUNTIFS('기타(Z)'!$G:$G, S$2, '기타(Z)'!$Q:$Q, $J20, '기타(Z)'!$C:$C, $L$1)
)</f>
        <v/>
      </c>
      <c r="U20" s="366" t="str">
        <f>IF(
  SUM(
    SUMIFS('발전사업(A)'!$I:$I,'발전사업(A)'!$G:$G,U$2,'발전사업(A)'!$Q:$Q,$J20,'발전사업(A)'!$C:$C,$L$1),
    SUMIFS('자가소비(B)'!$I:$I,'자가소비(B)'!$G:$G,U$2,'자가소비(B)'!$Q:$Q,$J20,'자가소비(B)'!$C:$C,$L$1),
    SUMIFS('PPA 사업(C)'!$I:$I,'PPA 사업(C)'!$G:$G,U$2,'PPA 사업(C)'!$Q:$Q,$J20,'PPA 사업(C)'!$C:$C,$L$1),
    SUMIFS('리스사업(D)'!$I:$I,'리스사업(D)'!$G:$G,U$2,'리스사업(D)'!$Q:$Q,$J20,'리스사업(D)'!$C:$C,$L$1),
    SUMIFS('임대사업(E)'!$I:$I,'임대사업(E)'!$G:$G,U$2,'임대사업(E)'!$Q:$Q,$J20,'임대사업(E)'!$C:$C,$L$1),
    SUMIFS('환경부사업(F)'!$I:$I,'환경부사업(F)'!$G:$G,U$2,'환경부사업(F)'!$Q:$Q,$J20,'환경부사업(F)'!$C:$C,$L$1),
    SUMIFS('프로젝트(G)'!$I:$I,'프로젝트(G)'!$G:$G,U$2,'프로젝트(G)'!$Q:$Q,$J20,'프로젝트(G)'!$C:$C,$L$1),
    SUMIFS('협력사 EPC(H)'!$I:$I,'협력사 EPC(H)'!$G:$G,U$2,'협력사 EPC(H)'!$Q:$Q,$J20,'협력사 EPC(H)'!$C:$C,$L$1),
    SUMIFS('기타(Z)'!$I:$I,'기타(Z)'!$G:$G,U$2,'기타(Z)'!$Q:$Q,$J20,'기타(Z)'!$C:$C,$L$1)
  )=0,
  "",
  SUM(
    SUMIFS('발전사업(A)'!$I:$I,'발전사업(A)'!$G:$G,U$2,'발전사업(A)'!$Q:$Q,$J20,'발전사업(A)'!$C:$C,$L$1),
    SUMIFS('자가소비(B)'!$I:$I,'자가소비(B)'!$G:$G,U$2,'자가소비(B)'!$Q:$Q,$J20,'자가소비(B)'!$C:$C,$L$1),
    SUMIFS('PPA 사업(C)'!$I:$I,'PPA 사업(C)'!$G:$G,U$2,'PPA 사업(C)'!$Q:$Q,$J20,'PPA 사업(C)'!$C:$C,$L$1),
    SUMIFS('리스사업(D)'!$I:$I,'리스사업(D)'!$G:$G,U$2,'리스사업(D)'!$Q:$Q,$J20,'리스사업(D)'!$C:$C,$L$1),
    SUMIFS('임대사업(E)'!$I:$I,'임대사업(E)'!$G:$G,U$2,'임대사업(E)'!$Q:$Q,$J20,'임대사업(E)'!$C:$C,$L$1),
    SUMIFS('환경부사업(F)'!$I:$I,'환경부사업(F)'!$G:$G,U$2,'환경부사업(F)'!$Q:$Q,$J20,'환경부사업(F)'!$C:$C,$L$1),
    SUMIFS('프로젝트(G)'!$I:$I,'프로젝트(G)'!$G:$G,U$2,'프로젝트(G)'!$Q:$Q,$J20,'프로젝트(G)'!$C:$C,$L$1),
    SUMIFS('협력사 EPC(H)'!$I:$I,'협력사 EPC(H)'!$G:$G,U$2,'협력사 EPC(H)'!$Q:$Q,$J20,'협력사 EPC(H)'!$C:$C,$L$1),
    SUMIFS('기타(Z)'!$I:$I,'기타(Z)'!$G:$G,U$2,'기타(Z)'!$Q:$Q,$J20,'기타(Z)'!$C:$C,$L$1)
  )
)</f>
        <v/>
      </c>
      <c r="V20" s="367" t="str">
        <f>IF(
  SUM(
    COUNTIFS('발전사업(A)'!$G:$G, U$2, '발전사업(A)'!$Q:$Q, $J20, '발전사업(A)'!$C:$C, $L$1),
    COUNTIFS('자가소비(B)'!$G:$G, U$2, '자가소비(B)'!$Q:$Q, $J20, '자가소비(B)'!$C:$C, $L$1),
    COUNTIFS('PPA 사업(C)'!$G:$G, U$2, 'PPA 사업(C)'!$Q:$Q, $J20, 'PPA 사업(C)'!$C:$C, $L$1),
    COUNTIFS('리스사업(D)'!$G:$G, U$2, '리스사업(D)'!$Q:$Q, $J20, '리스사업(D)'!$C:$C, $L$1),
    COUNTIFS('임대사업(E)'!$G:$G, U$2, '임대사업(E)'!$Q:$Q, $J20, '임대사업(E)'!$C:$C, $L$1),
    COUNTIFS('환경부사업(F)'!$G:$G, U$2, '환경부사업(F)'!$Q:$Q, $J20, '환경부사업(F)'!$C:$C, $L$1),
    COUNTIFS('프로젝트(G)'!$G:$G, U$2, '프로젝트(G)'!$Q:$Q, $J20, '프로젝트(G)'!$C:$C, $L$1),
    COUNTIFS('협력사 EPC(H)'!$G:$G, U$2, '협력사 EPC(H)'!$Q:$Q, $J20, '협력사 EPC(H)'!$C:$C, $L$1),
    COUNTIFS('기타(Z)'!$G:$G, U$2, '기타(Z)'!$Q:$Q, $J20, '기타(Z)'!$C:$C, $L$1)
  ) = 0,
  "",
  COUNTIFS('발전사업(A)'!$G:$G, U$2, '발전사업(A)'!$Q:$Q, $J20, '발전사업(A)'!$C:$C, $L$1)
  + COUNTIFS('자가소비(B)'!$G:$G, U$2, '자가소비(B)'!$Q:$Q, $J20, '자가소비(B)'!$C:$C, $L$1)
  + COUNTIFS('PPA 사업(C)'!$G:$G, U$2, 'PPA 사업(C)'!$Q:$Q, $J20, 'PPA 사업(C)'!$C:$C, $L$1)
  + COUNTIFS('리스사업(D)'!$G:$G, U$2, '리스사업(D)'!$Q:$Q, $J20, '리스사업(D)'!$C:$C, $L$1)
  + COUNTIFS('임대사업(E)'!$G:$G, U$2, '임대사업(E)'!$Q:$Q, $J20, '임대사업(E)'!$C:$C, $L$1)
  + COUNTIFS('환경부사업(F)'!$G:$G, U$2, '환경부사업(F)'!$Q:$Q, $J20, '환경부사업(F)'!$C:$C, $L$1)
  + COUNTIFS('프로젝트(G)'!$G:$G, U$2, '프로젝트(G)'!$Q:$Q, $J20, '프로젝트(G)'!$C:$C, $L$1)
  + COUNTIFS('협력사 EPC(H)'!$G:$G, U$2, '협력사 EPC(H)'!$Q:$Q, $J20, '협력사 EPC(H)'!$C:$C, $L$1)
  + COUNTIFS('기타(Z)'!$G:$G, U$2, '기타(Z)'!$Q:$Q, $J20, '기타(Z)'!$C:$C, $L$1)
)</f>
        <v/>
      </c>
      <c r="W20" s="366" t="str">
        <f>IF(
  SUM(
    SUMIFS('발전사업(A)'!$I:$I,'발전사업(A)'!$G:$G,W$2,'발전사업(A)'!$Q:$Q,$J20,'발전사업(A)'!$C:$C,$L$1),
    SUMIFS('자가소비(B)'!$I:$I,'자가소비(B)'!$G:$G,W$2,'자가소비(B)'!$Q:$Q,$J20,'자가소비(B)'!$C:$C,$L$1),
    SUMIFS('PPA 사업(C)'!$I:$I,'PPA 사업(C)'!$G:$G,W$2,'PPA 사업(C)'!$Q:$Q,$J20,'PPA 사업(C)'!$C:$C,$L$1),
    SUMIFS('리스사업(D)'!$I:$I,'리스사업(D)'!$G:$G,W$2,'리스사업(D)'!$Q:$Q,$J20,'리스사업(D)'!$C:$C,$L$1),
    SUMIFS('임대사업(E)'!$I:$I,'임대사업(E)'!$G:$G,W$2,'임대사업(E)'!$Q:$Q,$J20,'임대사업(E)'!$C:$C,$L$1),
    SUMIFS('환경부사업(F)'!$I:$I,'환경부사업(F)'!$G:$G,W$2,'환경부사업(F)'!$Q:$Q,$J20,'환경부사업(F)'!$C:$C,$L$1),
    SUMIFS('프로젝트(G)'!$I:$I,'프로젝트(G)'!$G:$G,W$2,'프로젝트(G)'!$Q:$Q,$J20,'프로젝트(G)'!$C:$C,$L$1),
    SUMIFS('협력사 EPC(H)'!$I:$I,'협력사 EPC(H)'!$G:$G,W$2,'협력사 EPC(H)'!$Q:$Q,$J20,'협력사 EPC(H)'!$C:$C,$L$1),
    SUMIFS('기타(Z)'!$I:$I,'기타(Z)'!$G:$G,W$2,'기타(Z)'!$Q:$Q,$J20,'기타(Z)'!$C:$C,$L$1)
  )=0,
  "",
  SUM(
    SUMIFS('발전사업(A)'!$I:$I,'발전사업(A)'!$G:$G,W$2,'발전사업(A)'!$Q:$Q,$J20,'발전사업(A)'!$C:$C,$L$1),
    SUMIFS('자가소비(B)'!$I:$I,'자가소비(B)'!$G:$G,W$2,'자가소비(B)'!$Q:$Q,$J20,'자가소비(B)'!$C:$C,$L$1),
    SUMIFS('PPA 사업(C)'!$I:$I,'PPA 사업(C)'!$G:$G,W$2,'PPA 사업(C)'!$Q:$Q,$J20,'PPA 사업(C)'!$C:$C,$L$1),
    SUMIFS('리스사업(D)'!$I:$I,'리스사업(D)'!$G:$G,W$2,'리스사업(D)'!$Q:$Q,$J20,'리스사업(D)'!$C:$C,$L$1),
    SUMIFS('임대사업(E)'!$I:$I,'임대사업(E)'!$G:$G,W$2,'임대사업(E)'!$Q:$Q,$J20,'임대사업(E)'!$C:$C,$L$1),
    SUMIFS('환경부사업(F)'!$I:$I,'환경부사업(F)'!$G:$G,W$2,'환경부사업(F)'!$Q:$Q,$J20,'환경부사업(F)'!$C:$C,$L$1),
    SUMIFS('프로젝트(G)'!$I:$I,'프로젝트(G)'!$G:$G,W$2,'프로젝트(G)'!$Q:$Q,$J20,'프로젝트(G)'!$C:$C,$L$1),
    SUMIFS('협력사 EPC(H)'!$I:$I,'협력사 EPC(H)'!$G:$G,W$2,'협력사 EPC(H)'!$Q:$Q,$J20,'협력사 EPC(H)'!$C:$C,$L$1),
    SUMIFS('기타(Z)'!$I:$I,'기타(Z)'!$G:$G,W$2,'기타(Z)'!$Q:$Q,$J20,'기타(Z)'!$C:$C,$L$1)
  )
)</f>
        <v/>
      </c>
      <c r="X20" s="367" t="str">
        <f>IF(
  SUM(
    COUNTIFS('발전사업(A)'!$G:$G, W$2, '발전사업(A)'!$Q:$Q, $J20, '발전사업(A)'!$C:$C, $L$1),
    COUNTIFS('자가소비(B)'!$G:$G, W$2, '자가소비(B)'!$Q:$Q, $J20, '자가소비(B)'!$C:$C, $L$1),
    COUNTIFS('PPA 사업(C)'!$G:$G, W$2, 'PPA 사업(C)'!$Q:$Q, $J20, 'PPA 사업(C)'!$C:$C, $L$1),
    COUNTIFS('리스사업(D)'!$G:$G, W$2, '리스사업(D)'!$Q:$Q, $J20, '리스사업(D)'!$C:$C, $L$1),
    COUNTIFS('임대사업(E)'!$G:$G, W$2, '임대사업(E)'!$Q:$Q, $J20, '임대사업(E)'!$C:$C, $L$1),
    COUNTIFS('환경부사업(F)'!$G:$G, W$2, '환경부사업(F)'!$Q:$Q, $J20, '환경부사업(F)'!$C:$C, $L$1),
    COUNTIFS('프로젝트(G)'!$G:$G, W$2, '프로젝트(G)'!$Q:$Q, $J20, '프로젝트(G)'!$C:$C, $L$1),
    COUNTIFS('협력사 EPC(H)'!$G:$G, W$2, '협력사 EPC(H)'!$Q:$Q, $J20, '협력사 EPC(H)'!$C:$C, $L$1),
    COUNTIFS('기타(Z)'!$G:$G, W$2, '기타(Z)'!$Q:$Q, $J20, '기타(Z)'!$C:$C, $L$1)
  ) = 0,
  "",
  COUNTIFS('발전사업(A)'!$G:$G, W$2, '발전사업(A)'!$Q:$Q, $J20, '발전사업(A)'!$C:$C, $L$1)
  + COUNTIFS('자가소비(B)'!$G:$G, W$2, '자가소비(B)'!$Q:$Q, $J20, '자가소비(B)'!$C:$C, $L$1)
  + COUNTIFS('PPA 사업(C)'!$G:$G, W$2, 'PPA 사업(C)'!$Q:$Q, $J20, 'PPA 사업(C)'!$C:$C, $L$1)
  + COUNTIFS('리스사업(D)'!$G:$G, W$2, '리스사업(D)'!$Q:$Q, $J20, '리스사업(D)'!$C:$C, $L$1)
  + COUNTIFS('임대사업(E)'!$G:$G, W$2, '임대사업(E)'!$Q:$Q, $J20, '임대사업(E)'!$C:$C, $L$1)
  + COUNTIFS('환경부사업(F)'!$G:$G, W$2, '환경부사업(F)'!$Q:$Q, $J20, '환경부사업(F)'!$C:$C, $L$1)
  + COUNTIFS('프로젝트(G)'!$G:$G, W$2, '프로젝트(G)'!$Q:$Q, $J20, '프로젝트(G)'!$C:$C, $L$1)
  + COUNTIFS('협력사 EPC(H)'!$G:$G, W$2, '협력사 EPC(H)'!$Q:$Q, $J20, '협력사 EPC(H)'!$C:$C, $L$1)
  + COUNTIFS('기타(Z)'!$G:$G, W$2, '기타(Z)'!$Q:$Q, $J20, '기타(Z)'!$C:$C, $L$1)
)</f>
        <v/>
      </c>
      <c r="Y20" s="366" t="str">
        <f>IF(
  SUM(
    SUMIFS('발전사업(A)'!$I:$I,'발전사업(A)'!$G:$G,Y$2,'발전사업(A)'!$Q:$Q,$J20,'발전사업(A)'!$C:$C,$L$1),
    SUMIFS('자가소비(B)'!$I:$I,'자가소비(B)'!$G:$G,Y$2,'자가소비(B)'!$Q:$Q,$J20,'자가소비(B)'!$C:$C,$L$1),
    SUMIFS('PPA 사업(C)'!$I:$I,'PPA 사업(C)'!$G:$G,Y$2,'PPA 사업(C)'!$Q:$Q,$J20,'PPA 사업(C)'!$C:$C,$L$1),
    SUMIFS('리스사업(D)'!$I:$I,'리스사업(D)'!$G:$G,Y$2,'리스사업(D)'!$Q:$Q,$J20,'리스사업(D)'!$C:$C,$L$1),
    SUMIFS('임대사업(E)'!$I:$I,'임대사업(E)'!$G:$G,Y$2,'임대사업(E)'!$Q:$Q,$J20,'임대사업(E)'!$C:$C,$L$1),
    SUMIFS('환경부사업(F)'!$I:$I,'환경부사업(F)'!$G:$G,Y$2,'환경부사업(F)'!$Q:$Q,$J20,'환경부사업(F)'!$C:$C,$L$1),
    SUMIFS('프로젝트(G)'!$I:$I,'프로젝트(G)'!$G:$G,Y$2,'프로젝트(G)'!$Q:$Q,$J20,'프로젝트(G)'!$C:$C,$L$1),
    SUMIFS('협력사 EPC(H)'!$I:$I,'협력사 EPC(H)'!$G:$G,Y$2,'협력사 EPC(H)'!$Q:$Q,$J20,'협력사 EPC(H)'!$C:$C,$L$1),
    SUMIFS('기타(Z)'!$I:$I,'기타(Z)'!$G:$G,Y$2,'기타(Z)'!$Q:$Q,$J20,'기타(Z)'!$C:$C,$L$1)
  )=0,
  "",
  SUM(
    SUMIFS('발전사업(A)'!$I:$I,'발전사업(A)'!$G:$G,Y$2,'발전사업(A)'!$Q:$Q,$J20,'발전사업(A)'!$C:$C,$L$1),
    SUMIFS('자가소비(B)'!$I:$I,'자가소비(B)'!$G:$G,Y$2,'자가소비(B)'!$Q:$Q,$J20,'자가소비(B)'!$C:$C,$L$1),
    SUMIFS('PPA 사업(C)'!$I:$I,'PPA 사업(C)'!$G:$G,Y$2,'PPA 사업(C)'!$Q:$Q,$J20,'PPA 사업(C)'!$C:$C,$L$1),
    SUMIFS('리스사업(D)'!$I:$I,'리스사업(D)'!$G:$G,Y$2,'리스사업(D)'!$Q:$Q,$J20,'리스사업(D)'!$C:$C,$L$1),
    SUMIFS('임대사업(E)'!$I:$I,'임대사업(E)'!$G:$G,Y$2,'임대사업(E)'!$Q:$Q,$J20,'임대사업(E)'!$C:$C,$L$1),
    SUMIFS('환경부사업(F)'!$I:$I,'환경부사업(F)'!$G:$G,Y$2,'환경부사업(F)'!$Q:$Q,$J20,'환경부사업(F)'!$C:$C,$L$1),
    SUMIFS('프로젝트(G)'!$I:$I,'프로젝트(G)'!$G:$G,Y$2,'프로젝트(G)'!$Q:$Q,$J20,'프로젝트(G)'!$C:$C,$L$1),
    SUMIFS('협력사 EPC(H)'!$I:$I,'협력사 EPC(H)'!$G:$G,Y$2,'협력사 EPC(H)'!$Q:$Q,$J20,'협력사 EPC(H)'!$C:$C,$L$1),
    SUMIFS('기타(Z)'!$I:$I,'기타(Z)'!$G:$G,Y$2,'기타(Z)'!$Q:$Q,$J20,'기타(Z)'!$C:$C,$L$1)
  )
)</f>
        <v/>
      </c>
      <c r="Z20" s="367" t="str">
        <f>IF(
  SUM(
    COUNTIFS('발전사업(A)'!$G:$G, Y$2, '발전사업(A)'!$Q:$Q, $J20, '발전사업(A)'!$C:$C, $L$1),
    COUNTIFS('자가소비(B)'!$G:$G, Y$2, '자가소비(B)'!$Q:$Q, $J20, '자가소비(B)'!$C:$C, $L$1),
    COUNTIFS('PPA 사업(C)'!$G:$G, Y$2, 'PPA 사업(C)'!$Q:$Q, $J20, 'PPA 사업(C)'!$C:$C, $L$1),
    COUNTIFS('리스사업(D)'!$G:$G, Y$2, '리스사업(D)'!$Q:$Q, $J20, '리스사업(D)'!$C:$C, $L$1),
    COUNTIFS('임대사업(E)'!$G:$G, Y$2, '임대사업(E)'!$Q:$Q, $J20, '임대사업(E)'!$C:$C, $L$1),
    COUNTIFS('환경부사업(F)'!$G:$G, Y$2, '환경부사업(F)'!$Q:$Q, $J20, '환경부사업(F)'!$C:$C, $L$1),
    COUNTIFS('프로젝트(G)'!$G:$G, Y$2, '프로젝트(G)'!$Q:$Q, $J20, '프로젝트(G)'!$C:$C, $L$1),
    COUNTIFS('협력사 EPC(H)'!$G:$G, Y$2, '협력사 EPC(H)'!$Q:$Q, $J20, '협력사 EPC(H)'!$C:$C, $L$1),
    COUNTIFS('기타(Z)'!$G:$G, Y$2, '기타(Z)'!$Q:$Q, $J20, '기타(Z)'!$C:$C, $L$1)
  ) = 0,
  "",
  COUNTIFS('발전사업(A)'!$G:$G, Y$2, '발전사업(A)'!$Q:$Q, $J20, '발전사업(A)'!$C:$C, $L$1)
  + COUNTIFS('자가소비(B)'!$G:$G, Y$2, '자가소비(B)'!$Q:$Q, $J20, '자가소비(B)'!$C:$C, $L$1)
  + COUNTIFS('PPA 사업(C)'!$G:$G, Y$2, 'PPA 사업(C)'!$Q:$Q, $J20, 'PPA 사업(C)'!$C:$C, $L$1)
  + COUNTIFS('리스사업(D)'!$G:$G, Y$2, '리스사업(D)'!$Q:$Q, $J20, '리스사업(D)'!$C:$C, $L$1)
  + COUNTIFS('임대사업(E)'!$G:$G, Y$2, '임대사업(E)'!$Q:$Q, $J20, '임대사업(E)'!$C:$C, $L$1)
  + COUNTIFS('환경부사업(F)'!$G:$G, Y$2, '환경부사업(F)'!$Q:$Q, $J20, '환경부사업(F)'!$C:$C, $L$1)
  + COUNTIFS('프로젝트(G)'!$G:$G, Y$2, '프로젝트(G)'!$Q:$Q, $J20, '프로젝트(G)'!$C:$C, $L$1)
  + COUNTIFS('협력사 EPC(H)'!$G:$G, Y$2, '협력사 EPC(H)'!$Q:$Q, $J20, '협력사 EPC(H)'!$C:$C, $L$1)
  + COUNTIFS('기타(Z)'!$G:$G, Y$2, '기타(Z)'!$Q:$Q, $J20, '기타(Z)'!$C:$C, $L$1)
)</f>
        <v/>
      </c>
      <c r="AA20" s="366" t="str">
        <f>IF(
  SUM(
    SUMIFS('발전사업(A)'!$I:$I,'발전사업(A)'!$G:$G,AA$2,'발전사업(A)'!$Q:$Q,$J20,'발전사업(A)'!$C:$C,$L$1),
    SUMIFS('자가소비(B)'!$I:$I,'자가소비(B)'!$G:$G,AA$2,'자가소비(B)'!$Q:$Q,$J20,'자가소비(B)'!$C:$C,$L$1),
    SUMIFS('PPA 사업(C)'!$I:$I,'PPA 사업(C)'!$G:$G,AA$2,'PPA 사업(C)'!$Q:$Q,$J20,'PPA 사업(C)'!$C:$C,$L$1),
    SUMIFS('리스사업(D)'!$I:$I,'리스사업(D)'!$G:$G,AA$2,'리스사업(D)'!$Q:$Q,$J20,'리스사업(D)'!$C:$C,$L$1),
    SUMIFS('임대사업(E)'!$I:$I,'임대사업(E)'!$G:$G,AA$2,'임대사업(E)'!$Q:$Q,$J20,'임대사업(E)'!$C:$C,$L$1),
    SUMIFS('환경부사업(F)'!$I:$I,'환경부사업(F)'!$G:$G,AA$2,'환경부사업(F)'!$Q:$Q,$J20,'환경부사업(F)'!$C:$C,$L$1),
    SUMIFS('프로젝트(G)'!$I:$I,'프로젝트(G)'!$G:$G,AA$2,'프로젝트(G)'!$Q:$Q,$J20,'프로젝트(G)'!$C:$C,$L$1),
    SUMIFS('협력사 EPC(H)'!$I:$I,'협력사 EPC(H)'!$G:$G,AA$2,'협력사 EPC(H)'!$Q:$Q,$J20,'협력사 EPC(H)'!$C:$C,$L$1),
    SUMIFS('기타(Z)'!$I:$I,'기타(Z)'!$G:$G,AA$2,'기타(Z)'!$Q:$Q,$J20,'기타(Z)'!$C:$C,$L$1)
  )=0,
  "",
  SUM(
    SUMIFS('발전사업(A)'!$I:$I,'발전사업(A)'!$G:$G,AA$2,'발전사업(A)'!$Q:$Q,$J20,'발전사업(A)'!$C:$C,$L$1),
    SUMIFS('자가소비(B)'!$I:$I,'자가소비(B)'!$G:$G,AA$2,'자가소비(B)'!$Q:$Q,$J20,'자가소비(B)'!$C:$C,$L$1),
    SUMIFS('PPA 사업(C)'!$I:$I,'PPA 사업(C)'!$G:$G,AA$2,'PPA 사업(C)'!$Q:$Q,$J20,'PPA 사업(C)'!$C:$C,$L$1),
    SUMIFS('리스사업(D)'!$I:$I,'리스사업(D)'!$G:$G,AA$2,'리스사업(D)'!$Q:$Q,$J20,'리스사업(D)'!$C:$C,$L$1),
    SUMIFS('임대사업(E)'!$I:$I,'임대사업(E)'!$G:$G,AA$2,'임대사업(E)'!$Q:$Q,$J20,'임대사업(E)'!$C:$C,$L$1),
    SUMIFS('환경부사업(F)'!$I:$I,'환경부사업(F)'!$G:$G,AA$2,'환경부사업(F)'!$Q:$Q,$J20,'환경부사업(F)'!$C:$C,$L$1),
    SUMIFS('프로젝트(G)'!$I:$I,'프로젝트(G)'!$G:$G,AA$2,'프로젝트(G)'!$Q:$Q,$J20,'프로젝트(G)'!$C:$C,$L$1),
    SUMIFS('협력사 EPC(H)'!$I:$I,'협력사 EPC(H)'!$G:$G,AA$2,'협력사 EPC(H)'!$Q:$Q,$J20,'협력사 EPC(H)'!$C:$C,$L$1),
    SUMIFS('기타(Z)'!$I:$I,'기타(Z)'!$G:$G,AA$2,'기타(Z)'!$Q:$Q,$J20,'기타(Z)'!$C:$C,$L$1)
  )
)</f>
        <v/>
      </c>
      <c r="AB20" s="367" t="str">
        <f>IF(
  SUM(
    COUNTIFS('발전사업(A)'!$G:$G, AA$2, '발전사업(A)'!$Q:$Q, $J20, '발전사업(A)'!$C:$C, $L$1),
    COUNTIFS('자가소비(B)'!$G:$G, AA$2, '자가소비(B)'!$Q:$Q, $J20, '자가소비(B)'!$C:$C, $L$1),
    COUNTIFS('PPA 사업(C)'!$G:$G, AA$2, 'PPA 사업(C)'!$Q:$Q, $J20, 'PPA 사업(C)'!$C:$C, $L$1),
    COUNTIFS('리스사업(D)'!$G:$G, AA$2, '리스사업(D)'!$Q:$Q, $J20, '리스사업(D)'!$C:$C, $L$1),
    COUNTIFS('임대사업(E)'!$G:$G, AA$2, '임대사업(E)'!$Q:$Q, $J20, '임대사업(E)'!$C:$C, $L$1),
    COUNTIFS('환경부사업(F)'!$G:$G, AA$2, '환경부사업(F)'!$Q:$Q, $J20, '환경부사업(F)'!$C:$C, $L$1),
    COUNTIFS('프로젝트(G)'!$G:$G, AA$2, '프로젝트(G)'!$Q:$Q, $J20, '프로젝트(G)'!$C:$C, $L$1),
    COUNTIFS('협력사 EPC(H)'!$G:$G, AA$2, '협력사 EPC(H)'!$Q:$Q, $J20, '협력사 EPC(H)'!$C:$C, $L$1),
    COUNTIFS('기타(Z)'!$G:$G, AA$2, '기타(Z)'!$Q:$Q, $J20, '기타(Z)'!$C:$C, $L$1)
  ) = 0,
  "",
  COUNTIFS('발전사업(A)'!$G:$G, AA$2, '발전사업(A)'!$Q:$Q, $J20, '발전사업(A)'!$C:$C, $L$1)
  + COUNTIFS('자가소비(B)'!$G:$G, AA$2, '자가소비(B)'!$Q:$Q, $J20, '자가소비(B)'!$C:$C, $L$1)
  + COUNTIFS('PPA 사업(C)'!$G:$G, AA$2, 'PPA 사업(C)'!$Q:$Q, $J20, 'PPA 사업(C)'!$C:$C, $L$1)
  + COUNTIFS('리스사업(D)'!$G:$G, AA$2, '리스사업(D)'!$Q:$Q, $J20, '리스사업(D)'!$C:$C, $L$1)
  + COUNTIFS('임대사업(E)'!$G:$G, AA$2, '임대사업(E)'!$Q:$Q, $J20, '임대사업(E)'!$C:$C, $L$1)
  + COUNTIFS('환경부사업(F)'!$G:$G, AA$2, '환경부사업(F)'!$Q:$Q, $J20, '환경부사업(F)'!$C:$C, $L$1)
  + COUNTIFS('프로젝트(G)'!$G:$G, AA$2, '프로젝트(G)'!$Q:$Q, $J20, '프로젝트(G)'!$C:$C, $L$1)
  + COUNTIFS('협력사 EPC(H)'!$G:$G, AA$2, '협력사 EPC(H)'!$Q:$Q, $J20, '협력사 EPC(H)'!$C:$C, $L$1)
  + COUNTIFS('기타(Z)'!$G:$G, AA$2, '기타(Z)'!$Q:$Q, $J20, '기타(Z)'!$C:$C, $L$1)
)</f>
        <v/>
      </c>
      <c r="AC20" s="366" t="str">
        <f>IF(
  SUM(
    SUMIFS('발전사업(A)'!$I:$I,'발전사업(A)'!$G:$G,AC$2,'발전사업(A)'!$Q:$Q,$J20,'발전사업(A)'!$C:$C,$L$1),
    SUMIFS('자가소비(B)'!$I:$I,'자가소비(B)'!$G:$G,AC$2,'자가소비(B)'!$Q:$Q,$J20,'자가소비(B)'!$C:$C,$L$1),
    SUMIFS('PPA 사업(C)'!$I:$I,'PPA 사업(C)'!$G:$G,AC$2,'PPA 사업(C)'!$Q:$Q,$J20,'PPA 사업(C)'!$C:$C,$L$1),
    SUMIFS('리스사업(D)'!$I:$I,'리스사업(D)'!$G:$G,AC$2,'리스사업(D)'!$Q:$Q,$J20,'리스사업(D)'!$C:$C,$L$1),
    SUMIFS('임대사업(E)'!$I:$I,'임대사업(E)'!$G:$G,AC$2,'임대사업(E)'!$Q:$Q,$J20,'임대사업(E)'!$C:$C,$L$1),
    SUMIFS('환경부사업(F)'!$I:$I,'환경부사업(F)'!$G:$G,AC$2,'환경부사업(F)'!$Q:$Q,$J20,'환경부사업(F)'!$C:$C,$L$1),
    SUMIFS('프로젝트(G)'!$I:$I,'프로젝트(G)'!$G:$G,AC$2,'프로젝트(G)'!$Q:$Q,$J20,'프로젝트(G)'!$C:$C,$L$1),
    SUMIFS('협력사 EPC(H)'!$I:$I,'협력사 EPC(H)'!$G:$G,AC$2,'협력사 EPC(H)'!$Q:$Q,$J20,'협력사 EPC(H)'!$C:$C,$L$1),
    SUMIFS('기타(Z)'!$I:$I,'기타(Z)'!$G:$G,AC$2,'기타(Z)'!$Q:$Q,$J20,'기타(Z)'!$C:$C,$L$1)
  )=0,
  "",
  SUM(
    SUMIFS('발전사업(A)'!$I:$I,'발전사업(A)'!$G:$G,AC$2,'발전사업(A)'!$Q:$Q,$J20,'발전사업(A)'!$C:$C,$L$1),
    SUMIFS('자가소비(B)'!$I:$I,'자가소비(B)'!$G:$G,AC$2,'자가소비(B)'!$Q:$Q,$J20,'자가소비(B)'!$C:$C,$L$1),
    SUMIFS('PPA 사업(C)'!$I:$I,'PPA 사업(C)'!$G:$G,AC$2,'PPA 사업(C)'!$Q:$Q,$J20,'PPA 사업(C)'!$C:$C,$L$1),
    SUMIFS('리스사업(D)'!$I:$I,'리스사업(D)'!$G:$G,AC$2,'리스사업(D)'!$Q:$Q,$J20,'리스사업(D)'!$C:$C,$L$1),
    SUMIFS('임대사업(E)'!$I:$I,'임대사업(E)'!$G:$G,AC$2,'임대사업(E)'!$Q:$Q,$J20,'임대사업(E)'!$C:$C,$L$1),
    SUMIFS('환경부사업(F)'!$I:$I,'환경부사업(F)'!$G:$G,AC$2,'환경부사업(F)'!$Q:$Q,$J20,'환경부사업(F)'!$C:$C,$L$1),
    SUMIFS('프로젝트(G)'!$I:$I,'프로젝트(G)'!$G:$G,AC$2,'프로젝트(G)'!$Q:$Q,$J20,'프로젝트(G)'!$C:$C,$L$1),
    SUMIFS('협력사 EPC(H)'!$I:$I,'협력사 EPC(H)'!$G:$G,AC$2,'협력사 EPC(H)'!$Q:$Q,$J20,'협력사 EPC(H)'!$C:$C,$L$1),
    SUMIFS('기타(Z)'!$I:$I,'기타(Z)'!$G:$G,AC$2,'기타(Z)'!$Q:$Q,$J20,'기타(Z)'!$C:$C,$L$1)
  )
)</f>
        <v/>
      </c>
      <c r="AD20" s="367" t="str">
        <f>IF(
  SUM(
    COUNTIFS('발전사업(A)'!$G:$G, AC$2, '발전사업(A)'!$Q:$Q, $J20, '발전사업(A)'!$C:$C, $L$1),
    COUNTIFS('자가소비(B)'!$G:$G, AC$2, '자가소비(B)'!$Q:$Q, $J20, '자가소비(B)'!$C:$C, $L$1),
    COUNTIFS('PPA 사업(C)'!$G:$G, AC$2, 'PPA 사업(C)'!$Q:$Q, $J20, 'PPA 사업(C)'!$C:$C, $L$1),
    COUNTIFS('리스사업(D)'!$G:$G, AC$2, '리스사업(D)'!$Q:$Q, $J20, '리스사업(D)'!$C:$C, $L$1),
    COUNTIFS('임대사업(E)'!$G:$G, AC$2, '임대사업(E)'!$Q:$Q, $J20, '임대사업(E)'!$C:$C, $L$1),
    COUNTIFS('환경부사업(F)'!$G:$G, AC$2, '환경부사업(F)'!$Q:$Q, $J20, '환경부사업(F)'!$C:$C, $L$1),
    COUNTIFS('프로젝트(G)'!$G:$G, AC$2, '프로젝트(G)'!$Q:$Q, $J20, '프로젝트(G)'!$C:$C, $L$1),
    COUNTIFS('협력사 EPC(H)'!$G:$G, AC$2, '협력사 EPC(H)'!$Q:$Q, $J20, '협력사 EPC(H)'!$C:$C, $L$1),
    COUNTIFS('기타(Z)'!$G:$G, AC$2, '기타(Z)'!$Q:$Q, $J20, '기타(Z)'!$C:$C, $L$1)
  ) = 0,
  "",
  COUNTIFS('발전사업(A)'!$G:$G, AC$2, '발전사업(A)'!$Q:$Q, $J20, '발전사업(A)'!$C:$C, $L$1)
  + COUNTIFS('자가소비(B)'!$G:$G, AC$2, '자가소비(B)'!$Q:$Q, $J20, '자가소비(B)'!$C:$C, $L$1)
  + COUNTIFS('PPA 사업(C)'!$G:$G, AC$2, 'PPA 사업(C)'!$Q:$Q, $J20, 'PPA 사업(C)'!$C:$C, $L$1)
  + COUNTIFS('리스사업(D)'!$G:$G, AC$2, '리스사업(D)'!$Q:$Q, $J20, '리스사업(D)'!$C:$C, $L$1)
  + COUNTIFS('임대사업(E)'!$G:$G, AC$2, '임대사업(E)'!$Q:$Q, $J20, '임대사업(E)'!$C:$C, $L$1)
  + COUNTIFS('환경부사업(F)'!$G:$G, AC$2, '환경부사업(F)'!$Q:$Q, $J20, '환경부사업(F)'!$C:$C, $L$1)
  + COUNTIFS('프로젝트(G)'!$G:$G, AC$2, '프로젝트(G)'!$Q:$Q, $J20, '프로젝트(G)'!$C:$C, $L$1)
  + COUNTIFS('협력사 EPC(H)'!$G:$G, AC$2, '협력사 EPC(H)'!$Q:$Q, $J20, '협력사 EPC(H)'!$C:$C, $L$1)
  + COUNTIFS('기타(Z)'!$G:$G, AC$2, '기타(Z)'!$Q:$Q, $J20, '기타(Z)'!$C:$C, $L$1)
)</f>
        <v/>
      </c>
      <c r="AE20" s="366" t="str">
        <f>IF(
  SUM(
    SUMIFS('발전사업(A)'!$I:$I,'발전사업(A)'!$G:$G,AE$2,'발전사업(A)'!$Q:$Q,$J20,'발전사업(A)'!$C:$C,$L$1),
    SUMIFS('자가소비(B)'!$I:$I,'자가소비(B)'!$G:$G,AE$2,'자가소비(B)'!$Q:$Q,$J20,'자가소비(B)'!$C:$C,$L$1),
    SUMIFS('PPA 사업(C)'!$I:$I,'PPA 사업(C)'!$G:$G,AE$2,'PPA 사업(C)'!$Q:$Q,$J20,'PPA 사업(C)'!$C:$C,$L$1),
    SUMIFS('리스사업(D)'!$I:$I,'리스사업(D)'!$G:$G,AE$2,'리스사업(D)'!$Q:$Q,$J20,'리스사업(D)'!$C:$C,$L$1),
    SUMIFS('임대사업(E)'!$I:$I,'임대사업(E)'!$G:$G,AE$2,'임대사업(E)'!$Q:$Q,$J20,'임대사업(E)'!$C:$C,$L$1),
    SUMIFS('환경부사업(F)'!$I:$I,'환경부사업(F)'!$G:$G,AE$2,'환경부사업(F)'!$Q:$Q,$J20,'환경부사업(F)'!$C:$C,$L$1),
    SUMIFS('프로젝트(G)'!$I:$I,'프로젝트(G)'!$G:$G,AE$2,'프로젝트(G)'!$Q:$Q,$J20,'프로젝트(G)'!$C:$C,$L$1),
    SUMIFS('협력사 EPC(H)'!$I:$I,'협력사 EPC(H)'!$G:$G,AE$2,'협력사 EPC(H)'!$Q:$Q,$J20,'협력사 EPC(H)'!$C:$C,$L$1),
    SUMIFS('기타(Z)'!$I:$I,'기타(Z)'!$G:$G,AE$2,'기타(Z)'!$Q:$Q,$J20,'기타(Z)'!$C:$C,$L$1)
  )=0,
  "",
  SUM(
    SUMIFS('발전사업(A)'!$I:$I,'발전사업(A)'!$G:$G,AE$2,'발전사업(A)'!$Q:$Q,$J20,'발전사업(A)'!$C:$C,$L$1),
    SUMIFS('자가소비(B)'!$I:$I,'자가소비(B)'!$G:$G,AE$2,'자가소비(B)'!$Q:$Q,$J20,'자가소비(B)'!$C:$C,$L$1),
    SUMIFS('PPA 사업(C)'!$I:$I,'PPA 사업(C)'!$G:$G,AE$2,'PPA 사업(C)'!$Q:$Q,$J20,'PPA 사업(C)'!$C:$C,$L$1),
    SUMIFS('리스사업(D)'!$I:$I,'리스사업(D)'!$G:$G,AE$2,'리스사업(D)'!$Q:$Q,$J20,'리스사업(D)'!$C:$C,$L$1),
    SUMIFS('임대사업(E)'!$I:$I,'임대사업(E)'!$G:$G,AE$2,'임대사업(E)'!$Q:$Q,$J20,'임대사업(E)'!$C:$C,$L$1),
    SUMIFS('환경부사업(F)'!$I:$I,'환경부사업(F)'!$G:$G,AE$2,'환경부사업(F)'!$Q:$Q,$J20,'환경부사업(F)'!$C:$C,$L$1),
    SUMIFS('프로젝트(G)'!$I:$I,'프로젝트(G)'!$G:$G,AE$2,'프로젝트(G)'!$Q:$Q,$J20,'프로젝트(G)'!$C:$C,$L$1),
    SUMIFS('협력사 EPC(H)'!$I:$I,'협력사 EPC(H)'!$G:$G,AE$2,'협력사 EPC(H)'!$Q:$Q,$J20,'협력사 EPC(H)'!$C:$C,$L$1),
    SUMIFS('기타(Z)'!$I:$I,'기타(Z)'!$G:$G,AE$2,'기타(Z)'!$Q:$Q,$J20,'기타(Z)'!$C:$C,$L$1)
  )
)</f>
        <v/>
      </c>
      <c r="AF20" s="367" t="str">
        <f>IF(
  SUM(
    COUNTIFS('발전사업(A)'!$G:$G, AE$2, '발전사업(A)'!$Q:$Q, $J20, '발전사업(A)'!$C:$C, $L$1),
    COUNTIFS('자가소비(B)'!$G:$G, AE$2, '자가소비(B)'!$Q:$Q, $J20, '자가소비(B)'!$C:$C, $L$1),
    COUNTIFS('PPA 사업(C)'!$G:$G, AE$2, 'PPA 사업(C)'!$Q:$Q, $J20, 'PPA 사업(C)'!$C:$C, $L$1),
    COUNTIFS('리스사업(D)'!$G:$G, AE$2, '리스사업(D)'!$Q:$Q, $J20, '리스사업(D)'!$C:$C, $L$1),
    COUNTIFS('임대사업(E)'!$G:$G, AE$2, '임대사업(E)'!$Q:$Q, $J20, '임대사업(E)'!$C:$C, $L$1),
    COUNTIFS('환경부사업(F)'!$G:$G, AE$2, '환경부사업(F)'!$Q:$Q, $J20, '환경부사업(F)'!$C:$C, $L$1),
    COUNTIFS('프로젝트(G)'!$G:$G, AE$2, '프로젝트(G)'!$Q:$Q, $J20, '프로젝트(G)'!$C:$C, $L$1),
    COUNTIFS('협력사 EPC(H)'!$G:$G, AE$2, '협력사 EPC(H)'!$Q:$Q, $J20, '협력사 EPC(H)'!$C:$C, $L$1),
    COUNTIFS('기타(Z)'!$G:$G, AE$2, '기타(Z)'!$Q:$Q, $J20, '기타(Z)'!$C:$C, $L$1)
  ) = 0,
  "",
  COUNTIFS('발전사업(A)'!$G:$G, AE$2, '발전사업(A)'!$Q:$Q, $J20, '발전사업(A)'!$C:$C, $L$1)
  + COUNTIFS('자가소비(B)'!$G:$G, AE$2, '자가소비(B)'!$Q:$Q, $J20, '자가소비(B)'!$C:$C, $L$1)
  + COUNTIFS('PPA 사업(C)'!$G:$G, AE$2, 'PPA 사업(C)'!$Q:$Q, $J20, 'PPA 사업(C)'!$C:$C, $L$1)
  + COUNTIFS('리스사업(D)'!$G:$G, AE$2, '리스사업(D)'!$Q:$Q, $J20, '리스사업(D)'!$C:$C, $L$1)
  + COUNTIFS('임대사업(E)'!$G:$G, AE$2, '임대사업(E)'!$Q:$Q, $J20, '임대사업(E)'!$C:$C, $L$1)
  + COUNTIFS('환경부사업(F)'!$G:$G, AE$2, '환경부사업(F)'!$Q:$Q, $J20, '환경부사업(F)'!$C:$C, $L$1)
  + COUNTIFS('프로젝트(G)'!$G:$G, AE$2, '프로젝트(G)'!$Q:$Q, $J20, '프로젝트(G)'!$C:$C, $L$1)
  + COUNTIFS('협력사 EPC(H)'!$G:$G, AE$2, '협력사 EPC(H)'!$Q:$Q, $J20, '협력사 EPC(H)'!$C:$C, $L$1)
  + COUNTIFS('기타(Z)'!$G:$G, AE$2, '기타(Z)'!$Q:$Q, $J20, '기타(Z)'!$C:$C, $L$1)
)</f>
        <v/>
      </c>
      <c r="AG20" s="366" t="str">
        <f>IF(
  SUM(
    SUMIFS('발전사업(A)'!$I:$I,'발전사업(A)'!$G:$G,AG$2,'발전사업(A)'!$Q:$Q,$J20,'발전사업(A)'!$C:$C,$L$1),
    SUMIFS('자가소비(B)'!$I:$I,'자가소비(B)'!$G:$G,AG$2,'자가소비(B)'!$Q:$Q,$J20,'자가소비(B)'!$C:$C,$L$1),
    SUMIFS('PPA 사업(C)'!$I:$I,'PPA 사업(C)'!$G:$G,AG$2,'PPA 사업(C)'!$Q:$Q,$J20,'PPA 사업(C)'!$C:$C,$L$1),
    SUMIFS('리스사업(D)'!$I:$I,'리스사업(D)'!$G:$G,AG$2,'리스사업(D)'!$Q:$Q,$J20,'리스사업(D)'!$C:$C,$L$1),
    SUMIFS('임대사업(E)'!$I:$I,'임대사업(E)'!$G:$G,AG$2,'임대사업(E)'!$Q:$Q,$J20,'임대사업(E)'!$C:$C,$L$1),
    SUMIFS('환경부사업(F)'!$I:$I,'환경부사업(F)'!$G:$G,AG$2,'환경부사업(F)'!$Q:$Q,$J20,'환경부사업(F)'!$C:$C,$L$1),
    SUMIFS('프로젝트(G)'!$I:$I,'프로젝트(G)'!$G:$G,AG$2,'프로젝트(G)'!$Q:$Q,$J20,'프로젝트(G)'!$C:$C,$L$1),
    SUMIFS('협력사 EPC(H)'!$I:$I,'협력사 EPC(H)'!$G:$G,AG$2,'협력사 EPC(H)'!$Q:$Q,$J20,'협력사 EPC(H)'!$C:$C,$L$1),
    SUMIFS('기타(Z)'!$I:$I,'기타(Z)'!$G:$G,AG$2,'기타(Z)'!$Q:$Q,$J20,'기타(Z)'!$C:$C,$L$1)
  )=0,
  "",
  SUM(
    SUMIFS('발전사업(A)'!$I:$I,'발전사업(A)'!$G:$G,AG$2,'발전사업(A)'!$Q:$Q,$J20,'발전사업(A)'!$C:$C,$L$1),
    SUMIFS('자가소비(B)'!$I:$I,'자가소비(B)'!$G:$G,AG$2,'자가소비(B)'!$Q:$Q,$J20,'자가소비(B)'!$C:$C,$L$1),
    SUMIFS('PPA 사업(C)'!$I:$I,'PPA 사업(C)'!$G:$G,AG$2,'PPA 사업(C)'!$Q:$Q,$J20,'PPA 사업(C)'!$C:$C,$L$1),
    SUMIFS('리스사업(D)'!$I:$I,'리스사업(D)'!$G:$G,AG$2,'리스사업(D)'!$Q:$Q,$J20,'리스사업(D)'!$C:$C,$L$1),
    SUMIFS('임대사업(E)'!$I:$I,'임대사업(E)'!$G:$G,AG$2,'임대사업(E)'!$Q:$Q,$J20,'임대사업(E)'!$C:$C,$L$1),
    SUMIFS('환경부사업(F)'!$I:$I,'환경부사업(F)'!$G:$G,AG$2,'환경부사업(F)'!$Q:$Q,$J20,'환경부사업(F)'!$C:$C,$L$1),
    SUMIFS('프로젝트(G)'!$I:$I,'프로젝트(G)'!$G:$G,AG$2,'프로젝트(G)'!$Q:$Q,$J20,'프로젝트(G)'!$C:$C,$L$1),
    SUMIFS('협력사 EPC(H)'!$I:$I,'협력사 EPC(H)'!$G:$G,AG$2,'협력사 EPC(H)'!$Q:$Q,$J20,'협력사 EPC(H)'!$C:$C,$L$1),
    SUMIFS('기타(Z)'!$I:$I,'기타(Z)'!$G:$G,AG$2,'기타(Z)'!$Q:$Q,$J20,'기타(Z)'!$C:$C,$L$1)
  )
)</f>
        <v/>
      </c>
      <c r="AH20" s="367" t="str">
        <f>IF(
  SUM(
    COUNTIFS('발전사업(A)'!$G:$G, AG$2, '발전사업(A)'!$Q:$Q, $J20, '발전사업(A)'!$C:$C, $L$1),
    COUNTIFS('자가소비(B)'!$G:$G, AG$2, '자가소비(B)'!$Q:$Q, $J20, '자가소비(B)'!$C:$C, $L$1),
    COUNTIFS('PPA 사업(C)'!$G:$G, AG$2, 'PPA 사업(C)'!$Q:$Q, $J20, 'PPA 사업(C)'!$C:$C, $L$1),
    COUNTIFS('리스사업(D)'!$G:$G, AG$2, '리스사업(D)'!$Q:$Q, $J20, '리스사업(D)'!$C:$C, $L$1),
    COUNTIFS('임대사업(E)'!$G:$G, AG$2, '임대사업(E)'!$Q:$Q, $J20, '임대사업(E)'!$C:$C, $L$1),
    COUNTIFS('환경부사업(F)'!$G:$G, AG$2, '환경부사업(F)'!$Q:$Q, $J20, '환경부사업(F)'!$C:$C, $L$1),
    COUNTIFS('프로젝트(G)'!$G:$G, AG$2, '프로젝트(G)'!$Q:$Q, $J20, '프로젝트(G)'!$C:$C, $L$1),
    COUNTIFS('협력사 EPC(H)'!$G:$G, AG$2, '협력사 EPC(H)'!$Q:$Q, $J20, '협력사 EPC(H)'!$C:$C, $L$1),
    COUNTIFS('기타(Z)'!$G:$G, AG$2, '기타(Z)'!$Q:$Q, $J20, '기타(Z)'!$C:$C, $L$1)
  ) = 0,
  "",
  COUNTIFS('발전사업(A)'!$G:$G, AG$2, '발전사업(A)'!$Q:$Q, $J20, '발전사업(A)'!$C:$C, $L$1)
  + COUNTIFS('자가소비(B)'!$G:$G, AG$2, '자가소비(B)'!$Q:$Q, $J20, '자가소비(B)'!$C:$C, $L$1)
  + COUNTIFS('PPA 사업(C)'!$G:$G, AG$2, 'PPA 사업(C)'!$Q:$Q, $J20, 'PPA 사업(C)'!$C:$C, $L$1)
  + COUNTIFS('리스사업(D)'!$G:$G, AG$2, '리스사업(D)'!$Q:$Q, $J20, '리스사업(D)'!$C:$C, $L$1)
  + COUNTIFS('임대사업(E)'!$G:$G, AG$2, '임대사업(E)'!$Q:$Q, $J20, '임대사업(E)'!$C:$C, $L$1)
  + COUNTIFS('환경부사업(F)'!$G:$G, AG$2, '환경부사업(F)'!$Q:$Q, $J20, '환경부사업(F)'!$C:$C, $L$1)
  + COUNTIFS('프로젝트(G)'!$G:$G, AG$2, '프로젝트(G)'!$Q:$Q, $J20, '프로젝트(G)'!$C:$C, $L$1)
  + COUNTIFS('협력사 EPC(H)'!$G:$G, AG$2, '협력사 EPC(H)'!$Q:$Q, $J20, '협력사 EPC(H)'!$C:$C, $L$1)
  + COUNTIFS('기타(Z)'!$G:$G, AG$2, '기타(Z)'!$Q:$Q, $J20, '기타(Z)'!$C:$C, $L$1)
)</f>
        <v/>
      </c>
      <c r="AI20" s="366" t="str">
        <f>IF(
  SUM(
    SUMIFS('발전사업(A)'!$I:$I,'발전사업(A)'!$G:$G,AI$2,'발전사업(A)'!$Q:$Q,$J20,'발전사업(A)'!$C:$C,$L$1),
    SUMIFS('자가소비(B)'!$I:$I,'자가소비(B)'!$G:$G,AI$2,'자가소비(B)'!$Q:$Q,$J20,'자가소비(B)'!$C:$C,$L$1),
    SUMIFS('PPA 사업(C)'!$I:$I,'PPA 사업(C)'!$G:$G,AI$2,'PPA 사업(C)'!$Q:$Q,$J20,'PPA 사업(C)'!$C:$C,$L$1),
    SUMIFS('리스사업(D)'!$I:$I,'리스사업(D)'!$G:$G,AI$2,'리스사업(D)'!$Q:$Q,$J20,'리스사업(D)'!$C:$C,$L$1),
    SUMIFS('임대사업(E)'!$I:$I,'임대사업(E)'!$G:$G,AI$2,'임대사업(E)'!$Q:$Q,$J20,'임대사업(E)'!$C:$C,$L$1),
    SUMIFS('환경부사업(F)'!$I:$I,'환경부사업(F)'!$G:$G,AI$2,'환경부사업(F)'!$Q:$Q,$J20,'환경부사업(F)'!$C:$C,$L$1),
    SUMIFS('프로젝트(G)'!$I:$I,'프로젝트(G)'!$G:$G,AI$2,'프로젝트(G)'!$Q:$Q,$J20,'프로젝트(G)'!$C:$C,$L$1),
    SUMIFS('협력사 EPC(H)'!$I:$I,'협력사 EPC(H)'!$G:$G,AI$2,'협력사 EPC(H)'!$Q:$Q,$J20,'협력사 EPC(H)'!$C:$C,$L$1),
    SUMIFS('기타(Z)'!$I:$I,'기타(Z)'!$G:$G,AI$2,'기타(Z)'!$Q:$Q,$J20,'기타(Z)'!$C:$C,$L$1)
  )=0,
  "",
  SUM(
    SUMIFS('발전사업(A)'!$I:$I,'발전사업(A)'!$G:$G,AI$2,'발전사업(A)'!$Q:$Q,$J20,'발전사업(A)'!$C:$C,$L$1),
    SUMIFS('자가소비(B)'!$I:$I,'자가소비(B)'!$G:$G,AI$2,'자가소비(B)'!$Q:$Q,$J20,'자가소비(B)'!$C:$C,$L$1),
    SUMIFS('PPA 사업(C)'!$I:$I,'PPA 사업(C)'!$G:$G,AI$2,'PPA 사업(C)'!$Q:$Q,$J20,'PPA 사업(C)'!$C:$C,$L$1),
    SUMIFS('리스사업(D)'!$I:$I,'리스사업(D)'!$G:$G,AI$2,'리스사업(D)'!$Q:$Q,$J20,'리스사업(D)'!$C:$C,$L$1),
    SUMIFS('임대사업(E)'!$I:$I,'임대사업(E)'!$G:$G,AI$2,'임대사업(E)'!$Q:$Q,$J20,'임대사업(E)'!$C:$C,$L$1),
    SUMIFS('환경부사업(F)'!$I:$I,'환경부사업(F)'!$G:$G,AI$2,'환경부사업(F)'!$Q:$Q,$J20,'환경부사업(F)'!$C:$C,$L$1),
    SUMIFS('프로젝트(G)'!$I:$I,'프로젝트(G)'!$G:$G,AI$2,'프로젝트(G)'!$Q:$Q,$J20,'프로젝트(G)'!$C:$C,$L$1),
    SUMIFS('협력사 EPC(H)'!$I:$I,'협력사 EPC(H)'!$G:$G,AI$2,'협력사 EPC(H)'!$Q:$Q,$J20,'협력사 EPC(H)'!$C:$C,$L$1),
    SUMIFS('기타(Z)'!$I:$I,'기타(Z)'!$G:$G,AI$2,'기타(Z)'!$Q:$Q,$J20,'기타(Z)'!$C:$C,$L$1)
  )
)</f>
        <v/>
      </c>
      <c r="AJ20" s="365" t="str">
        <f>IF(
  SUM(
    COUNTIFS('발전사업(A)'!$G:$G, AI$2, '발전사업(A)'!$Q:$Q, $J20, '발전사업(A)'!$C:$C, $L$1),
    COUNTIFS('자가소비(B)'!$G:$G, AI$2, '자가소비(B)'!$Q:$Q, $J20, '자가소비(B)'!$C:$C, $L$1),
    COUNTIFS('PPA 사업(C)'!$G:$G, AI$2, 'PPA 사업(C)'!$Q:$Q, $J20, 'PPA 사업(C)'!$C:$C, $L$1),
    COUNTIFS('리스사업(D)'!$G:$G, AI$2, '리스사업(D)'!$Q:$Q, $J20, '리스사업(D)'!$C:$C, $L$1),
    COUNTIFS('임대사업(E)'!$G:$G, AI$2, '임대사업(E)'!$Q:$Q, $J20, '임대사업(E)'!$C:$C, $L$1),
    COUNTIFS('환경부사업(F)'!$G:$G, AI$2, '환경부사업(F)'!$Q:$Q, $J20, '환경부사업(F)'!$C:$C, $L$1),
    COUNTIFS('프로젝트(G)'!$G:$G, AI$2, '프로젝트(G)'!$Q:$Q, $J20, '프로젝트(G)'!$C:$C, $L$1),
    COUNTIFS('협력사 EPC(H)'!$G:$G, AI$2, '협력사 EPC(H)'!$Q:$Q, $J20, '협력사 EPC(H)'!$C:$C, $L$1),
    COUNTIFS('기타(Z)'!$G:$G, AI$2, '기타(Z)'!$Q:$Q, $J20, '기타(Z)'!$C:$C, $L$1)
  ) = 0,
  "",
  COUNTIFS('발전사업(A)'!$G:$G, AI$2, '발전사업(A)'!$Q:$Q, $J20, '발전사업(A)'!$C:$C, $L$1)
  + COUNTIFS('자가소비(B)'!$G:$G, AI$2, '자가소비(B)'!$Q:$Q, $J20, '자가소비(B)'!$C:$C, $L$1)
  + COUNTIFS('PPA 사업(C)'!$G:$G, AI$2, 'PPA 사업(C)'!$Q:$Q, $J20, 'PPA 사업(C)'!$C:$C, $L$1)
  + COUNTIFS('리스사업(D)'!$G:$G, AI$2, '리스사업(D)'!$Q:$Q, $J20, '리스사업(D)'!$C:$C, $L$1)
  + COUNTIFS('임대사업(E)'!$G:$G, AI$2, '임대사업(E)'!$Q:$Q, $J20, '임대사업(E)'!$C:$C, $L$1)
  + COUNTIFS('환경부사업(F)'!$G:$G, AI$2, '환경부사업(F)'!$Q:$Q, $J20, '환경부사업(F)'!$C:$C, $L$1)
  + COUNTIFS('프로젝트(G)'!$G:$G, AI$2, '프로젝트(G)'!$Q:$Q, $J20, '프로젝트(G)'!$C:$C, $L$1)
  + COUNTIFS('협력사 EPC(H)'!$G:$G, AI$2, '협력사 EPC(H)'!$Q:$Q, $J20, '협력사 EPC(H)'!$C:$C, $L$1)
  + COUNTIFS('기타(Z)'!$G:$G, AI$2, '기타(Z)'!$Q:$Q, $J20, '기타(Z)'!$C:$C, $L$1)
)</f>
        <v/>
      </c>
    </row>
    <row r="21" spans="2:36" ht="15" x14ac:dyDescent="0.25">
      <c r="B21" s="195" t="s">
        <v>156</v>
      </c>
      <c r="C21" s="262">
        <f>IF(
  SUM(
    SUMIFS('발전사업(A)'!I:I, '발전사업(A)'!C:C, $E$1, '발전사업(A)'!G:G, B15, '발전사업(A)'!X:X, B21),
    SUMIFS('자가소비(B)'!I:I, '자가소비(B)'!C:C, $E$1, '자가소비(B)'!G:G, B15, '자가소비(B)'!X:X, B21),
    SUMIFS('PPA 사업(C)'!I:I, 'PPA 사업(C)'!C:C, $E$1, 'PPA 사업(C)'!G:G, B15, 'PPA 사업(C)'!X:X, B21),
    SUMIFS('리스사업(D)'!I:I, '리스사업(D)'!C:C, $E$1, '리스사업(D)'!G:G, B15, '리스사업(D)'!X:X, B21),
    SUMIFS('임대사업(E)'!I:I, '임대사업(E)'!C:C, $E$1, '임대사업(E)'!G:G, B15, '임대사업(E)'!X:X, B21),
    SUMIFS('환경부사업(F)'!I:I, '환경부사업(F)'!C:C, $E$1, '환경부사업(F)'!G:G, B15, '환경부사업(F)'!X:X, B21),
    SUMIFS('프로젝트(G)'!I:I, '프로젝트(G)'!C:C, $E$1, '프로젝트(G)'!G:G, B15, '프로젝트(G)'!X:X, B21),
    SUMIFS('협력사 EPC(H)'!I:I, '협력사 EPC(H)'!C:C, $E$1, '협력사 EPC(H)'!G:G, B15, '협력사 EPC(H)'!X:X, B21),
    SUMIFS('기타(Z)'!I:I, '기타(Z)'!C:C, $E$1, '기타(Z)'!G:G, B15, '기타(Z)'!X:X, B21)
  ) = 0,
  "",
  SUMIFS('발전사업(A)'!I:I, '발전사업(A)'!C:C, $E$1, '발전사업(A)'!G:G, B15, '발전사업(A)'!X:X, B21)
  + SUMIFS('자가소비(B)'!I:I, '자가소비(B)'!C:C, $E$1, '자가소비(B)'!G:G, B15, '자가소비(B)'!X:X, B21)
  + SUMIFS('PPA 사업(C)'!I:I, 'PPA 사업(C)'!C:C, $E$1, 'PPA 사업(C)'!G:G, B15, 'PPA 사업(C)'!X:X, B21)
  + SUMIFS('리스사업(D)'!I:I, '리스사업(D)'!C:C, $E$1, '리스사업(D)'!G:G, B15, '리스사업(D)'!X:X, B21)
  + SUMIFS('임대사업(E)'!I:I, '임대사업(E)'!C:C, $E$1, '임대사업(E)'!G:G, B15, '임대사업(E)'!X:X, B21)
  + SUMIFS('환경부사업(F)'!I:I, '환경부사업(F)'!C:C, $E$1, '환경부사업(F)'!G:G, B15, '환경부사업(F)'!X:X, B21)
  + SUMIFS('프로젝트(G)'!I:I, '프로젝트(G)'!C:C, $E$1, '프로젝트(G)'!G:G, B15, '프로젝트(G)'!X:X, B21)
  + SUMIFS('협력사 EPC(H)'!I:I, '협력사 EPC(H)'!C:C, $E$1, '협력사 EPC(H)'!G:G, B15, '협력사 EPC(H)'!X:X, B21)
  + SUMIFS('기타(Z)'!I:I, '기타(Z)'!C:C, $E$1, '기타(Z)'!G:G, B15, '기타(Z)'!X:X, B21)
)</f>
        <v>366.36</v>
      </c>
      <c r="D21" s="263">
        <f>IF(
  COUNTIFS('발전사업(A)'!C:C, $E$1, '발전사업(A)'!G:G, B15, '발전사업(A)'!X:X, B21)
  + COUNTIFS('자가소비(B)'!C:C, $E$1, '자가소비(B)'!G:G, B15, '자가소비(B)'!X:X, B21)
  + COUNTIFS('PPA 사업(C)'!C:C, $E$1, 'PPA 사업(C)'!G:G, B15, 'PPA 사업(C)'!X:X, B21)
  + COUNTIFS('리스사업(D)'!C:C, $E$1, '리스사업(D)'!G:G, B15, '리스사업(D)'!X:X, B21)
  + COUNTIFS('임대사업(E)'!C:C, $E$1, '임대사업(E)'!G:G, B15, '임대사업(E)'!X:X, B21)
  + COUNTIFS('환경부사업(F)'!C:C, $E$1, '환경부사업(F)'!G:G, B15, '환경부사업(F)'!X:X, B21)
  + COUNTIFS('프로젝트(G)'!C:C, $E$1, '프로젝트(G)'!G:G, B15, '프로젝트(G)'!X:X, B21)
  + COUNTIFS('협력사 EPC(H)'!C:C, $E$1, '협력사 EPC(H)'!G:G, B15, '협력사 EPC(H)'!X:X, B21)
  + COUNTIFS('기타(Z)'!C:C, $E$1, '기타(Z)'!G:G, B15, '기타(Z)'!X:X, B21)
  = 0,
  "",
  COUNTIFS('발전사업(A)'!C:C, $E$1, '발전사업(A)'!G:G, B15, '발전사업(A)'!X:X, B21)
  + COUNTIFS('자가소비(B)'!C:C, $E$1, '자가소비(B)'!G:G, B15, '자가소비(B)'!X:X, B21)
  + COUNTIFS('PPA 사업(C)'!C:C, $E$1, 'PPA 사업(C)'!G:G, B15, 'PPA 사업(C)'!X:X, B21)
  + COUNTIFS('리스사업(D)'!C:C, $E$1, '리스사업(D)'!G:G, B15, '리스사업(D)'!X:X, B21)
  + COUNTIFS('임대사업(E)'!C:C, $E$1, '임대사업(E)'!G:G, B15, '임대사업(E)'!X:X, B21)
  + COUNTIFS('환경부사업(F)'!C:C, $E$1, '환경부사업(F)'!G:G, B15, '환경부사업(F)'!X:X, B21)
  + COUNTIFS('프로젝트(G)'!C:C, $E$1, '프로젝트(G)'!G:G, B15, '프로젝트(G)'!X:X, B21)
  + COUNTIFS('협력사 EPC(H)'!C:C, $E$1, '협력사 EPC(H)'!G:G, B15, '협력사 EPC(H)'!X:X, B21)
  + COUNTIFS('기타(Z)'!C:C, $E$1, '기타(Z)'!G:G, B15, '기타(Z)'!X:X, B21)
)</f>
        <v>2</v>
      </c>
      <c r="E21" s="262">
        <f>IF(
  SUM(
    SUMIFS('발전사업(A)'!I:I, '발전사업(A)'!C:C, $E$1, '발전사업(A)'!G:G, B15, '발전사업(A)'!X:X, B21, '발전사업(A)'!U:U, $C$1),
    SUMIFS('자가소비(B)'!I:I, '자가소비(B)'!C:C, $E$1, '자가소비(B)'!G:G, B15, '자가소비(B)'!X:X, B21, '자가소비(B)'!U:U, $C$1),
    SUMIFS('PPA 사업(C)'!I:I, 'PPA 사업(C)'!C:C, $E$1, 'PPA 사업(C)'!G:G, B15, 'PPA 사업(C)'!X:X, B21, 'PPA 사업(C)'!U:U, $C$1),
    SUMIFS('리스사업(D)'!I:I, '리스사업(D)'!C:C, $E$1, '리스사업(D)'!G:G, B15, '리스사업(D)'!X:X, B21, '리스사업(D)'!U:U, $C$1),
    SUMIFS('임대사업(E)'!I:I, '임대사업(E)'!C:C, $E$1, '임대사업(E)'!G:G, B15, '임대사업(E)'!X:X, B21, '임대사업(E)'!U:U, $C$1),
    SUMIFS('환경부사업(F)'!I:I, '환경부사업(F)'!C:C, $E$1, '환경부사업(F)'!G:G, B15, '환경부사업(F)'!X:X, B21, '환경부사업(F)'!U:U, $C$1),
    SUMIFS('프로젝트(G)'!I:I, '프로젝트(G)'!C:C, $E$1, '프로젝트(G)'!G:G, B15, '프로젝트(G)'!X:X, B21, '프로젝트(G)'!U:U, $C$1),
    SUMIFS('협력사 EPC(H)'!I:I, '협력사 EPC(H)'!C:C, $E$1, '협력사 EPC(H)'!G:G, B15, '협력사 EPC(H)'!X:X, B21, '협력사 EPC(H)'!U:U, $C$1),
    SUMIFS('기타(Z)'!I:I, '기타(Z)'!C:C, $E$1, '기타(Z)'!G:G, B15, '기타(Z)'!X:X, B21, '기타(Z)'!U:U, $C$1)
  ) = 0,
  "",
  SUM(
    SUMIFS('발전사업(A)'!I:I, '발전사업(A)'!C:C, $E$1, '발전사업(A)'!G:G, B15, '발전사업(A)'!X:X, B21, '발전사업(A)'!U:U, $C$1),
    SUMIFS('자가소비(B)'!I:I, '자가소비(B)'!C:C, $E$1, '자가소비(B)'!G:G, B15, '자가소비(B)'!X:X, B21, '자가소비(B)'!U:U, $C$1),
    SUMIFS('PPA 사업(C)'!I:I, 'PPA 사업(C)'!C:C, $E$1, 'PPA 사업(C)'!G:G, B15, 'PPA 사업(C)'!X:X, B21, 'PPA 사업(C)'!U:U, $C$1),
    SUMIFS('리스사업(D)'!I:I, '리스사업(D)'!C:C, $E$1, '리스사업(D)'!G:G, B15, '리스사업(D)'!X:X, B21, '리스사업(D)'!U:U, $C$1),
    SUMIFS('임대사업(E)'!I:I, '임대사업(E)'!C:C, $E$1, '임대사업(E)'!G:G, B15, '임대사업(E)'!X:X, B21, '임대사업(E)'!U:U, $C$1),
    SUMIFS('환경부사업(F)'!I:I, '환경부사업(F)'!C:C, $E$1, '환경부사업(F)'!G:G, B15, '환경부사업(F)'!X:X, B21, '환경부사업(F)'!U:U, $C$1),
    SUMIFS('프로젝트(G)'!I:I, '프로젝트(G)'!C:C, $E$1, '프로젝트(G)'!G:G, B15, '프로젝트(G)'!X:X, B21, '프로젝트(G)'!U:U, $C$1),
    SUMIFS('협력사 EPC(H)'!I:I, '협력사 EPC(H)'!C:C, $E$1, '협력사 EPC(H)'!G:G, B15, '협력사 EPC(H)'!X:X, B21, '협력사 EPC(H)'!U:U, $C$1),
    SUMIFS('기타(Z)'!I:I, '기타(Z)'!C:C, $E$1, '기타(Z)'!G:G, B15, '기타(Z)'!X:X, B21, '기타(Z)'!U:U, $C$1)
  )
)</f>
        <v>366.36</v>
      </c>
      <c r="F21" s="263">
        <f>IF(
  SUM(
    COUNTIFS('발전사업(A)'!C:C, $E$1, '발전사업(A)'!G:G, B15, '발전사업(A)'!X:X, B21, '발전사업(A)'!U:U, $C$1),
    COUNTIFS('자가소비(B)'!C:C, $E$1, '자가소비(B)'!G:G, B15, '자가소비(B)'!X:X, B21, '자가소비(B)'!U:U, $C$1),
    COUNTIFS('PPA 사업(C)'!C:C, $E$1, 'PPA 사업(C)'!G:G, B15, 'PPA 사업(C)'!X:X, B21, 'PPA 사업(C)'!U:U, $C$1),
    COUNTIFS('리스사업(D)'!C:C, $E$1, '리스사업(D)'!G:G, B15, '리스사업(D)'!X:X, B21, '리스사업(D)'!U:U, $C$1),
    COUNTIFS('임대사업(E)'!C:C, $E$1, '임대사업(E)'!G:G, B15, '임대사업(E)'!X:X, B21, '임대사업(E)'!U:U, $C$1),
    COUNTIFS('환경부사업(F)'!C:C, $E$1, '환경부사업(F)'!G:G, B15, '환경부사업(F)'!X:X, B21, '환경부사업(F)'!U:U, $C$1),
    COUNTIFS('프로젝트(G)'!C:C, $E$1, '프로젝트(G)'!G:G, B15, '프로젝트(G)'!X:X, B21, '프로젝트(G)'!U:U, $C$1),
    COUNTIFS('협력사 EPC(H)'!C:C, $E$1, '협력사 EPC(H)'!G:G, B15, '협력사 EPC(H)'!X:X, B21, '협력사 EPC(H)'!U:U, $C$1),
    COUNTIFS('기타(Z)'!C:C, $E$1, '기타(Z)'!G:G, B15, '기타(Z)'!X:X, B21, '기타(Z)'!U:U, $C$1)
  ) = 0,
  "",
  SUM(
    COUNTIFS('발전사업(A)'!C:C, $E$1, '발전사업(A)'!G:G, B15, '발전사업(A)'!X:X, B21, '발전사업(A)'!U:U, $C$1),
    COUNTIFS('자가소비(B)'!C:C, $E$1, '자가소비(B)'!G:G, B15, '자가소비(B)'!X:X, B21, '자가소비(B)'!U:U, $C$1),
    COUNTIFS('PPA 사업(C)'!C:C, $E$1, 'PPA 사업(C)'!G:G, B15, 'PPA 사업(C)'!X:X, B21, 'PPA 사업(C)'!U:U, $C$1),
    COUNTIFS('리스사업(D)'!C:C, $E$1, '리스사업(D)'!G:G, B15, '리스사업(D)'!X:X, B21, '리스사업(D)'!U:U, $C$1),
    COUNTIFS('임대사업(E)'!C:C, $E$1, '임대사업(E)'!G:G, B15, '임대사업(E)'!X:X, B21, '임대사업(E)'!U:U, $C$1),
    COUNTIFS('환경부사업(F)'!C:C, $E$1, '환경부사업(F)'!G:G, B15, '환경부사업(F)'!X:X, B21, '환경부사업(F)'!U:U, $C$1),
    COUNTIFS('프로젝트(G)'!C:C, $E$1, '프로젝트(G)'!G:G, B15, '프로젝트(G)'!X:X, B21, '프로젝트(G)'!U:U, $C$1),
    COUNTIFS('협력사 EPC(H)'!C:C, $E$1, '협력사 EPC(H)'!G:G, B15, '협력사 EPC(H)'!X:X, B21, '협력사 EPC(H)'!U:U, $C$1),
    COUNTIFS('기타(Z)'!C:C, $E$1, '기타(Z)'!G:G, B15, '기타(Z)'!X:X, B21, '기타(Z)'!U:U, $C$1)
  )
)</f>
        <v>2</v>
      </c>
      <c r="G21" s="262" t="str">
        <f>IF(
  SUM(
    SUMIFS('발전사업(A)'!I:I, '발전사업(A)'!C:C, $E$1, '발전사업(A)'!G:G, B15, '발전사업(A)'!X:X, B21, '발전사업(A)'!U:U, $D$1),
    SUMIFS('자가소비(B)'!I:I, '자가소비(B)'!C:C, $E$1, '자가소비(B)'!G:G, B15, '자가소비(B)'!X:X, B21, '자가소비(B)'!U:U, $D$1),
    SUMIFS('PPA 사업(C)'!I:I, 'PPA 사업(C)'!C:C, $E$1, 'PPA 사업(C)'!G:G, B15, 'PPA 사업(C)'!X:X, B21, 'PPA 사업(C)'!U:U, $D$1),
    SUMIFS('리스사업(D)'!I:I, '리스사업(D)'!C:C, $E$1, '리스사업(D)'!G:G, B15, '리스사업(D)'!X:X, B21, '리스사업(D)'!U:U, $D$1),
    SUMIFS('임대사업(E)'!I:I, '임대사업(E)'!C:C, $E$1, '임대사업(E)'!G:G, B15, '임대사업(E)'!X:X, B21, '임대사업(E)'!U:U, $D$1),
    SUMIFS('환경부사업(F)'!I:I, '환경부사업(F)'!C:C, $E$1, '환경부사업(F)'!G:G, B15, '환경부사업(F)'!X:X, B21, '환경부사업(F)'!U:U, $D$1),
    SUMIFS('프로젝트(G)'!I:I, '프로젝트(G)'!C:C, $E$1, '프로젝트(G)'!G:G, B15, '프로젝트(G)'!X:X, B21, '프로젝트(G)'!U:U, $D$1),
    SUMIFS('협력사 EPC(H)'!I:I, '협력사 EPC(H)'!C:C, $E$1, '협력사 EPC(H)'!G:G, B15, '협력사 EPC(H)'!X:X, B21, '협력사 EPC(H)'!U:U, $D$1),
    SUMIFS('기타(Z)'!I:I, '기타(Z)'!C:C, $E$1, '기타(Z)'!G:G, B15, '기타(Z)'!X:X, B21, '기타(Z)'!U:U, $D$1)
  ) = 0,
  "",
  SUM(
    SUMIFS('발전사업(A)'!I:I, '발전사업(A)'!C:C, $E$1, '발전사업(A)'!G:G, B15, '발전사업(A)'!X:X, B21, '발전사업(A)'!U:U, $D$1),
    SUMIFS('자가소비(B)'!I:I, '자가소비(B)'!C:C, $E$1, '자가소비(B)'!G:G, B15, '자가소비(B)'!X:X, B21, '자가소비(B)'!U:U, $D$1),
    SUMIFS('PPA 사업(C)'!I:I, 'PPA 사업(C)'!C:C, $E$1, 'PPA 사업(C)'!G:G, B15, 'PPA 사업(C)'!X:X, B21, 'PPA 사업(C)'!U:U, $D$1),
    SUMIFS('리스사업(D)'!I:I, '리스사업(D)'!C:C, $E$1, '리스사업(D)'!G:G, B15, '리스사업(D)'!X:X, B21, '리스사업(D)'!U:U, $D$1),
    SUMIFS('임대사업(E)'!I:I, '임대사업(E)'!C:C, $E$1, '임대사업(E)'!G:G, B15, '임대사업(E)'!X:X, B21, '임대사업(E)'!U:U, $D$1),
    SUMIFS('환경부사업(F)'!I:I, '환경부사업(F)'!C:C, $E$1, '환경부사업(F)'!G:G, B15, '환경부사업(F)'!X:X, B21, '환경부사업(F)'!U:U, $D$1),
    SUMIFS('프로젝트(G)'!I:I, '프로젝트(G)'!C:C, $E$1, '프로젝트(G)'!G:G, B15, '프로젝트(G)'!X:X, B21, '프로젝트(G)'!U:U, $D$1),
    SUMIFS('협력사 EPC(H)'!I:I, '협력사 EPC(H)'!C:C, $E$1, '협력사 EPC(H)'!G:G, B15, '협력사 EPC(H)'!X:X, B21, '협력사 EPC(H)'!U:U, $D$1),
    SUMIFS('기타(Z)'!I:I, '기타(Z)'!C:C, $E$1, '기타(Z)'!G:G, B15, '기타(Z)'!X:X, B21, '기타(Z)'!U:U, $D$1)
  )
)</f>
        <v/>
      </c>
      <c r="H21" s="263" t="str">
        <f>IF(
  (
    COUNTIFS('발전사업(A)'!C:C, $E$1, '발전사업(A)'!G:G, B15, '발전사업(A)'!X:X, B21, '발전사업(A)'!U:U, $D$1)
    + COUNTIFS('자가소비(B)'!C:C, $E$1, '자가소비(B)'!G:G, B15, '자가소비(B)'!X:X, B21, '자가소비(B)'!U:U, $D$1)
    + COUNTIFS('PPA 사업(C)'!C:C, $E$1, 'PPA 사업(C)'!G:G, B15, 'PPA 사업(C)'!X:X, B21, 'PPA 사업(C)'!U:U, $D$1)
    + COUNTIFS('리스사업(D)'!C:C, $E$1, '리스사업(D)'!G:G, B15, '리스사업(D)'!X:X, B21, '리스사업(D)'!U:U, $D$1)
    + COUNTIFS('임대사업(E)'!C:C, $E$1, '임대사업(E)'!G:G, B15, '임대사업(E)'!X:X, B21, '임대사업(E)'!U:U, $D$1)
    + COUNTIFS('환경부사업(F)'!C:C, $E$1, '환경부사업(F)'!G:G, B15, '환경부사업(F)'!X:X, B21, '환경부사업(F)'!U:U, $D$1)
    + COUNTIFS('프로젝트(G)'!C:C, $E$1, '프로젝트(G)'!G:G, B15, '프로젝트(G)'!X:X, B21, '프로젝트(G)'!U:U, $D$1)
    + COUNTIFS('협력사 EPC(H)'!C:C, $E$1, '협력사 EPC(H)'!G:G, B15, '협력사 EPC(H)'!X:X, B21, '협력사 EPC(H)'!U:U, $D$1)
    + COUNTIFS('기타(Z)'!C:C, $E$1, '기타(Z)'!G:G, B15, '기타(Z)'!X:X, B21, '기타(Z)'!U:U, $D$1)
  ) = 0,
  "",
  COUNTIFS('발전사업(A)'!C:C, $E$1, '발전사업(A)'!G:G, B15, '발전사업(A)'!X:X, B21, '발전사업(A)'!U:U, $D$1)
  + COUNTIFS('자가소비(B)'!C:C, $E$1, '자가소비(B)'!G:G, B15, '자가소비(B)'!X:X, B21, '자가소비(B)'!U:U, $D$1)
  + COUNTIFS('PPA 사업(C)'!C:C, $E$1, 'PPA 사업(C)'!G:G, B15, 'PPA 사업(C)'!X:X, B21, 'PPA 사업(C)'!U:U, $D$1)
  + COUNTIFS('리스사업(D)'!C:C, $E$1, '리스사업(D)'!G:G, B15, '리스사업(D)'!X:X, B21, '리스사업(D)'!U:U, $D$1)
  + COUNTIFS('임대사업(E)'!C:C, $E$1, '임대사업(E)'!G:G, B15, '임대사업(E)'!X:X, B21, '임대사업(E)'!U:U, $D$1)
  + COUNTIFS('환경부사업(F)'!C:C, $E$1, '환경부사업(F)'!G:G, B15, '환경부사업(F)'!X:X, B21, '환경부사업(F)'!U:U, $D$1)
  + COUNTIFS('프로젝트(G)'!C:C, $E$1, '프로젝트(G)'!G:G, B15, '프로젝트(G)'!X:X, B21, '프로젝트(G)'!U:U, $D$1)
  + COUNTIFS('협력사 EPC(H)'!C:C, $E$1, '협력사 EPC(H)'!G:G, B15, '협력사 EPC(H)'!X:X, B21, '협력사 EPC(H)'!U:U, $D$1)
  + COUNTIFS('기타(Z)'!C:C, $E$1, '기타(Z)'!G:G, B15, '기타(Z)'!X:X, B21, '기타(Z)'!U:U, $D$1)
)</f>
        <v/>
      </c>
      <c r="J21" s="371" t="s">
        <v>194</v>
      </c>
      <c r="K21" s="354" t="str">
        <f t="shared" si="5"/>
        <v/>
      </c>
      <c r="L21" s="348" t="str">
        <f t="shared" si="6"/>
        <v/>
      </c>
      <c r="M21" s="366" t="str">
        <f>IF(
  SUM(
    SUMIFS('발전사업(A)'!$I:$I,'발전사업(A)'!$G:$G,M$2,'발전사업(A)'!$Q:$Q,$J21,'발전사업(A)'!$C:$C,$L$1),
    SUMIFS('자가소비(B)'!$I:$I,'자가소비(B)'!$G:$G,M$2,'자가소비(B)'!$Q:$Q,$J21,'자가소비(B)'!$C:$C,$L$1),
    SUMIFS('PPA 사업(C)'!$I:$I,'PPA 사업(C)'!$G:$G,M$2,'PPA 사업(C)'!$Q:$Q,$J21,'PPA 사업(C)'!$C:$C,$L$1),
    SUMIFS('리스사업(D)'!$I:$I,'리스사업(D)'!$G:$G,M$2,'리스사업(D)'!$Q:$Q,$J21,'리스사업(D)'!$C:$C,$L$1),
    SUMIFS('임대사업(E)'!$I:$I,'임대사업(E)'!$G:$G,M$2,'임대사업(E)'!$Q:$Q,$J21,'임대사업(E)'!$C:$C,$L$1),
    SUMIFS('환경부사업(F)'!$I:$I,'환경부사업(F)'!$G:$G,M$2,'환경부사업(F)'!$Q:$Q,$J21,'환경부사업(F)'!$C:$C,$L$1),
    SUMIFS('프로젝트(G)'!$I:$I,'프로젝트(G)'!$G:$G,M$2,'프로젝트(G)'!$Q:$Q,$J21,'프로젝트(G)'!$C:$C,$L$1),
    SUMIFS('협력사 EPC(H)'!$I:$I,'협력사 EPC(H)'!$G:$G,M$2,'협력사 EPC(H)'!$Q:$Q,$J21,'협력사 EPC(H)'!$C:$C,$L$1),
    SUMIFS('기타(Z)'!$I:$I,'기타(Z)'!$G:$G,M$2,'기타(Z)'!$Q:$Q,$J21,'기타(Z)'!$C:$C,$L$1)
  )=0,
  "",
  SUM(
    SUMIFS('발전사업(A)'!$I:$I,'발전사업(A)'!$G:$G,M$2,'발전사업(A)'!$Q:$Q,$J21,'발전사업(A)'!$C:$C,$L$1),
    SUMIFS('자가소비(B)'!$I:$I,'자가소비(B)'!$G:$G,M$2,'자가소비(B)'!$Q:$Q,$J21,'자가소비(B)'!$C:$C,$L$1),
    SUMIFS('PPA 사업(C)'!$I:$I,'PPA 사업(C)'!$G:$G,M$2,'PPA 사업(C)'!$Q:$Q,$J21,'PPA 사업(C)'!$C:$C,$L$1),
    SUMIFS('리스사업(D)'!$I:$I,'리스사업(D)'!$G:$G,M$2,'리스사업(D)'!$Q:$Q,$J21,'리스사업(D)'!$C:$C,$L$1),
    SUMIFS('임대사업(E)'!$I:$I,'임대사업(E)'!$G:$G,M$2,'임대사업(E)'!$Q:$Q,$J21,'임대사업(E)'!$C:$C,$L$1),
    SUMIFS('환경부사업(F)'!$I:$I,'환경부사업(F)'!$G:$G,M$2,'환경부사업(F)'!$Q:$Q,$J21,'환경부사업(F)'!$C:$C,$L$1),
    SUMIFS('프로젝트(G)'!$I:$I,'프로젝트(G)'!$G:$G,M$2,'프로젝트(G)'!$Q:$Q,$J21,'프로젝트(G)'!$C:$C,$L$1),
    SUMIFS('협력사 EPC(H)'!$I:$I,'협력사 EPC(H)'!$G:$G,M$2,'협력사 EPC(H)'!$Q:$Q,$J21,'협력사 EPC(H)'!$C:$C,$L$1),
    SUMIFS('기타(Z)'!$I:$I,'기타(Z)'!$G:$G,M$2,'기타(Z)'!$Q:$Q,$J21,'기타(Z)'!$C:$C,$L$1)
  )
)</f>
        <v/>
      </c>
      <c r="N21" s="367" t="str">
        <f>IF(
  SUM(
    COUNTIFS('발전사업(A)'!$G:$G, M$2, '발전사업(A)'!$Q:$Q, $J21, '발전사업(A)'!$C:$C, $L$1),
    COUNTIFS('자가소비(B)'!$G:$G, M$2, '자가소비(B)'!$Q:$Q, $J21, '자가소비(B)'!$C:$C, $L$1),
    COUNTIFS('PPA 사업(C)'!$G:$G, M$2, 'PPA 사업(C)'!$Q:$Q, $J21, 'PPA 사업(C)'!$C:$C, $L$1),
    COUNTIFS('리스사업(D)'!$G:$G, M$2, '리스사업(D)'!$Q:$Q, $J21, '리스사업(D)'!$C:$C, $L$1),
    COUNTIFS('임대사업(E)'!$G:$G, M$2, '임대사업(E)'!$Q:$Q, $J21, '임대사업(E)'!$C:$C, $L$1),
    COUNTIFS('환경부사업(F)'!$G:$G, M$2, '환경부사업(F)'!$Q:$Q, $J21, '환경부사업(F)'!$C:$C, $L$1),
    COUNTIFS('프로젝트(G)'!$G:$G, M$2, '프로젝트(G)'!$Q:$Q, $J21, '프로젝트(G)'!$C:$C, $L$1),
    COUNTIFS('협력사 EPC(H)'!$G:$G, M$2, '협력사 EPC(H)'!$Q:$Q, $J21, '협력사 EPC(H)'!$C:$C, $L$1),
    COUNTIFS('기타(Z)'!$G:$G, M$2, '기타(Z)'!$Q:$Q, $J21, '기타(Z)'!$C:$C, $L$1)
  ) = 0,
  "",
  COUNTIFS('발전사업(A)'!$G:$G, M$2, '발전사업(A)'!$Q:$Q, $J21, '발전사업(A)'!$C:$C, $L$1)
  + COUNTIFS('자가소비(B)'!$G:$G, M$2, '자가소비(B)'!$Q:$Q, $J21, '자가소비(B)'!$C:$C, $L$1)
  + COUNTIFS('PPA 사업(C)'!$G:$G, M$2, 'PPA 사업(C)'!$Q:$Q, $J21, 'PPA 사업(C)'!$C:$C, $L$1)
  + COUNTIFS('리스사업(D)'!$G:$G, M$2, '리스사업(D)'!$Q:$Q, $J21, '리스사업(D)'!$C:$C, $L$1)
  + COUNTIFS('임대사업(E)'!$G:$G, M$2, '임대사업(E)'!$Q:$Q, $J21, '임대사업(E)'!$C:$C, $L$1)
  + COUNTIFS('환경부사업(F)'!$G:$G, M$2, '환경부사업(F)'!$Q:$Q, $J21, '환경부사업(F)'!$C:$C, $L$1)
  + COUNTIFS('프로젝트(G)'!$G:$G, M$2, '프로젝트(G)'!$Q:$Q, $J21, '프로젝트(G)'!$C:$C, $L$1)
  + COUNTIFS('협력사 EPC(H)'!$G:$G, M$2, '협력사 EPC(H)'!$Q:$Q, $J21, '협력사 EPC(H)'!$C:$C, $L$1)
  + COUNTIFS('기타(Z)'!$G:$G, M$2, '기타(Z)'!$Q:$Q, $J21, '기타(Z)'!$C:$C, $L$1)
)</f>
        <v/>
      </c>
      <c r="O21" s="366" t="str">
        <f>IF(
  SUM(
    SUMIFS('발전사업(A)'!$I:$I,'발전사업(A)'!$G:$G,O$2,'발전사업(A)'!$Q:$Q,$J21,'발전사업(A)'!$C:$C,$L$1),
    SUMIFS('자가소비(B)'!$I:$I,'자가소비(B)'!$G:$G,O$2,'자가소비(B)'!$Q:$Q,$J21,'자가소비(B)'!$C:$C,$L$1),
    SUMIFS('PPA 사업(C)'!$I:$I,'PPA 사업(C)'!$G:$G,O$2,'PPA 사업(C)'!$Q:$Q,$J21,'PPA 사업(C)'!$C:$C,$L$1),
    SUMIFS('리스사업(D)'!$I:$I,'리스사업(D)'!$G:$G,O$2,'리스사업(D)'!$Q:$Q,$J21,'리스사업(D)'!$C:$C,$L$1),
    SUMIFS('임대사업(E)'!$I:$I,'임대사업(E)'!$G:$G,O$2,'임대사업(E)'!$Q:$Q,$J21,'임대사업(E)'!$C:$C,$L$1),
    SUMIFS('환경부사업(F)'!$I:$I,'환경부사업(F)'!$G:$G,O$2,'환경부사업(F)'!$Q:$Q,$J21,'환경부사업(F)'!$C:$C,$L$1),
    SUMIFS('프로젝트(G)'!$I:$I,'프로젝트(G)'!$G:$G,O$2,'프로젝트(G)'!$Q:$Q,$J21,'프로젝트(G)'!$C:$C,$L$1),
    SUMIFS('협력사 EPC(H)'!$I:$I,'협력사 EPC(H)'!$G:$G,O$2,'협력사 EPC(H)'!$Q:$Q,$J21,'협력사 EPC(H)'!$C:$C,$L$1),
    SUMIFS('기타(Z)'!$I:$I,'기타(Z)'!$G:$G,O$2,'기타(Z)'!$Q:$Q,$J21,'기타(Z)'!$C:$C,$L$1)
  )=0,
  "",
  SUM(
    SUMIFS('발전사업(A)'!$I:$I,'발전사업(A)'!$G:$G,O$2,'발전사업(A)'!$Q:$Q,$J21,'발전사업(A)'!$C:$C,$L$1),
    SUMIFS('자가소비(B)'!$I:$I,'자가소비(B)'!$G:$G,O$2,'자가소비(B)'!$Q:$Q,$J21,'자가소비(B)'!$C:$C,$L$1),
    SUMIFS('PPA 사업(C)'!$I:$I,'PPA 사업(C)'!$G:$G,O$2,'PPA 사업(C)'!$Q:$Q,$J21,'PPA 사업(C)'!$C:$C,$L$1),
    SUMIFS('리스사업(D)'!$I:$I,'리스사업(D)'!$G:$G,O$2,'리스사업(D)'!$Q:$Q,$J21,'리스사업(D)'!$C:$C,$L$1),
    SUMIFS('임대사업(E)'!$I:$I,'임대사업(E)'!$G:$G,O$2,'임대사업(E)'!$Q:$Q,$J21,'임대사업(E)'!$C:$C,$L$1),
    SUMIFS('환경부사업(F)'!$I:$I,'환경부사업(F)'!$G:$G,O$2,'환경부사업(F)'!$Q:$Q,$J21,'환경부사업(F)'!$C:$C,$L$1),
    SUMIFS('프로젝트(G)'!$I:$I,'프로젝트(G)'!$G:$G,O$2,'프로젝트(G)'!$Q:$Q,$J21,'프로젝트(G)'!$C:$C,$L$1),
    SUMIFS('협력사 EPC(H)'!$I:$I,'협력사 EPC(H)'!$G:$G,O$2,'협력사 EPC(H)'!$Q:$Q,$J21,'협력사 EPC(H)'!$C:$C,$L$1),
    SUMIFS('기타(Z)'!$I:$I,'기타(Z)'!$G:$G,O$2,'기타(Z)'!$Q:$Q,$J21,'기타(Z)'!$C:$C,$L$1)
  )
)</f>
        <v/>
      </c>
      <c r="P21" s="367" t="str">
        <f>IF(
  SUM(
    COUNTIFS('발전사업(A)'!$G:$G, O$2, '발전사업(A)'!$Q:$Q, $J21, '발전사업(A)'!$C:$C, $L$1),
    COUNTIFS('자가소비(B)'!$G:$G, O$2, '자가소비(B)'!$Q:$Q, $J21, '자가소비(B)'!$C:$C, $L$1),
    COUNTIFS('PPA 사업(C)'!$G:$G, O$2, 'PPA 사업(C)'!$Q:$Q, $J21, 'PPA 사업(C)'!$C:$C, $L$1),
    COUNTIFS('리스사업(D)'!$G:$G, O$2, '리스사업(D)'!$Q:$Q, $J21, '리스사업(D)'!$C:$C, $L$1),
    COUNTIFS('임대사업(E)'!$G:$G, O$2, '임대사업(E)'!$Q:$Q, $J21, '임대사업(E)'!$C:$C, $L$1),
    COUNTIFS('환경부사업(F)'!$G:$G, O$2, '환경부사업(F)'!$Q:$Q, $J21, '환경부사업(F)'!$C:$C, $L$1),
    COUNTIFS('프로젝트(G)'!$G:$G, O$2, '프로젝트(G)'!$Q:$Q, $J21, '프로젝트(G)'!$C:$C, $L$1),
    COUNTIFS('협력사 EPC(H)'!$G:$G, O$2, '협력사 EPC(H)'!$Q:$Q, $J21, '협력사 EPC(H)'!$C:$C, $L$1),
    COUNTIFS('기타(Z)'!$G:$G, O$2, '기타(Z)'!$Q:$Q, $J21, '기타(Z)'!$C:$C, $L$1)
  ) = 0,
  "",
  COUNTIFS('발전사업(A)'!$G:$G, O$2, '발전사업(A)'!$Q:$Q, $J21, '발전사업(A)'!$C:$C, $L$1)
  + COUNTIFS('자가소비(B)'!$G:$G, O$2, '자가소비(B)'!$Q:$Q, $J21, '자가소비(B)'!$C:$C, $L$1)
  + COUNTIFS('PPA 사업(C)'!$G:$G, O$2, 'PPA 사업(C)'!$Q:$Q, $J21, 'PPA 사업(C)'!$C:$C, $L$1)
  + COUNTIFS('리스사업(D)'!$G:$G, O$2, '리스사업(D)'!$Q:$Q, $J21, '리스사업(D)'!$C:$C, $L$1)
  + COUNTIFS('임대사업(E)'!$G:$G, O$2, '임대사업(E)'!$Q:$Q, $J21, '임대사업(E)'!$C:$C, $L$1)
  + COUNTIFS('환경부사업(F)'!$G:$G, O$2, '환경부사업(F)'!$Q:$Q, $J21, '환경부사업(F)'!$C:$C, $L$1)
  + COUNTIFS('프로젝트(G)'!$G:$G, O$2, '프로젝트(G)'!$Q:$Q, $J21, '프로젝트(G)'!$C:$C, $L$1)
  + COUNTIFS('협력사 EPC(H)'!$G:$G, O$2, '협력사 EPC(H)'!$Q:$Q, $J21, '협력사 EPC(H)'!$C:$C, $L$1)
  + COUNTIFS('기타(Z)'!$G:$G, O$2, '기타(Z)'!$Q:$Q, $J21, '기타(Z)'!$C:$C, $L$1)
)</f>
        <v/>
      </c>
      <c r="Q21" s="366" t="str">
        <f>IF(
  SUM(
    SUMIFS('발전사업(A)'!$I:$I,'발전사업(A)'!$G:$G,Q$2,'발전사업(A)'!$Q:$Q,$J21,'발전사업(A)'!$C:$C,$L$1),
    SUMIFS('자가소비(B)'!$I:$I,'자가소비(B)'!$G:$G,Q$2,'자가소비(B)'!$Q:$Q,$J21,'자가소비(B)'!$C:$C,$L$1),
    SUMIFS('PPA 사업(C)'!$I:$I,'PPA 사업(C)'!$G:$G,Q$2,'PPA 사업(C)'!$Q:$Q,$J21,'PPA 사업(C)'!$C:$C,$L$1),
    SUMIFS('리스사업(D)'!$I:$I,'리스사업(D)'!$G:$G,Q$2,'리스사업(D)'!$Q:$Q,$J21,'리스사업(D)'!$C:$C,$L$1),
    SUMIFS('임대사업(E)'!$I:$I,'임대사업(E)'!$G:$G,Q$2,'임대사업(E)'!$Q:$Q,$J21,'임대사업(E)'!$C:$C,$L$1),
    SUMIFS('환경부사업(F)'!$I:$I,'환경부사업(F)'!$G:$G,Q$2,'환경부사업(F)'!$Q:$Q,$J21,'환경부사업(F)'!$C:$C,$L$1),
    SUMIFS('프로젝트(G)'!$I:$I,'프로젝트(G)'!$G:$G,Q$2,'프로젝트(G)'!$Q:$Q,$J21,'프로젝트(G)'!$C:$C,$L$1),
    SUMIFS('협력사 EPC(H)'!$I:$I,'협력사 EPC(H)'!$G:$G,Q$2,'협력사 EPC(H)'!$Q:$Q,$J21,'협력사 EPC(H)'!$C:$C,$L$1),
    SUMIFS('기타(Z)'!$I:$I,'기타(Z)'!$G:$G,Q$2,'기타(Z)'!$Q:$Q,$J21,'기타(Z)'!$C:$C,$L$1)
  )=0,
  "",
  SUM(
    SUMIFS('발전사업(A)'!$I:$I,'발전사업(A)'!$G:$G,Q$2,'발전사업(A)'!$Q:$Q,$J21,'발전사업(A)'!$C:$C,$L$1),
    SUMIFS('자가소비(B)'!$I:$I,'자가소비(B)'!$G:$G,Q$2,'자가소비(B)'!$Q:$Q,$J21,'자가소비(B)'!$C:$C,$L$1),
    SUMIFS('PPA 사업(C)'!$I:$I,'PPA 사업(C)'!$G:$G,Q$2,'PPA 사업(C)'!$Q:$Q,$J21,'PPA 사업(C)'!$C:$C,$L$1),
    SUMIFS('리스사업(D)'!$I:$I,'리스사업(D)'!$G:$G,Q$2,'리스사업(D)'!$Q:$Q,$J21,'리스사업(D)'!$C:$C,$L$1),
    SUMIFS('임대사업(E)'!$I:$I,'임대사업(E)'!$G:$G,Q$2,'임대사업(E)'!$Q:$Q,$J21,'임대사업(E)'!$C:$C,$L$1),
    SUMIFS('환경부사업(F)'!$I:$I,'환경부사업(F)'!$G:$G,Q$2,'환경부사업(F)'!$Q:$Q,$J21,'환경부사업(F)'!$C:$C,$L$1),
    SUMIFS('프로젝트(G)'!$I:$I,'프로젝트(G)'!$G:$G,Q$2,'프로젝트(G)'!$Q:$Q,$J21,'프로젝트(G)'!$C:$C,$L$1),
    SUMIFS('협력사 EPC(H)'!$I:$I,'협력사 EPC(H)'!$G:$G,Q$2,'협력사 EPC(H)'!$Q:$Q,$J21,'협력사 EPC(H)'!$C:$C,$L$1),
    SUMIFS('기타(Z)'!$I:$I,'기타(Z)'!$G:$G,Q$2,'기타(Z)'!$Q:$Q,$J21,'기타(Z)'!$C:$C,$L$1)
  )
)</f>
        <v/>
      </c>
      <c r="R21" s="367" t="str">
        <f>IF(
  SUM(
    COUNTIFS('발전사업(A)'!$G:$G, Q$2, '발전사업(A)'!$Q:$Q, $J21, '발전사업(A)'!$C:$C, $L$1),
    COUNTIFS('자가소비(B)'!$G:$G, Q$2, '자가소비(B)'!$Q:$Q, $J21, '자가소비(B)'!$C:$C, $L$1),
    COUNTIFS('PPA 사업(C)'!$G:$G, Q$2, 'PPA 사업(C)'!$Q:$Q, $J21, 'PPA 사업(C)'!$C:$C, $L$1),
    COUNTIFS('리스사업(D)'!$G:$G, Q$2, '리스사업(D)'!$Q:$Q, $J21, '리스사업(D)'!$C:$C, $L$1),
    COUNTIFS('임대사업(E)'!$G:$G, Q$2, '임대사업(E)'!$Q:$Q, $J21, '임대사업(E)'!$C:$C, $L$1),
    COUNTIFS('환경부사업(F)'!$G:$G, Q$2, '환경부사업(F)'!$Q:$Q, $J21, '환경부사업(F)'!$C:$C, $L$1),
    COUNTIFS('프로젝트(G)'!$G:$G, Q$2, '프로젝트(G)'!$Q:$Q, $J21, '프로젝트(G)'!$C:$C, $L$1),
    COUNTIFS('협력사 EPC(H)'!$G:$G, Q$2, '협력사 EPC(H)'!$Q:$Q, $J21, '협력사 EPC(H)'!$C:$C, $L$1),
    COUNTIFS('기타(Z)'!$G:$G, Q$2, '기타(Z)'!$Q:$Q, $J21, '기타(Z)'!$C:$C, $L$1)
  ) = 0,
  "",
  COUNTIFS('발전사업(A)'!$G:$G, Q$2, '발전사업(A)'!$Q:$Q, $J21, '발전사업(A)'!$C:$C, $L$1)
  + COUNTIFS('자가소비(B)'!$G:$G, Q$2, '자가소비(B)'!$Q:$Q, $J21, '자가소비(B)'!$C:$C, $L$1)
  + COUNTIFS('PPA 사업(C)'!$G:$G, Q$2, 'PPA 사업(C)'!$Q:$Q, $J21, 'PPA 사업(C)'!$C:$C, $L$1)
  + COUNTIFS('리스사업(D)'!$G:$G, Q$2, '리스사업(D)'!$Q:$Q, $J21, '리스사업(D)'!$C:$C, $L$1)
  + COUNTIFS('임대사업(E)'!$G:$G, Q$2, '임대사업(E)'!$Q:$Q, $J21, '임대사업(E)'!$C:$C, $L$1)
  + COUNTIFS('환경부사업(F)'!$G:$G, Q$2, '환경부사업(F)'!$Q:$Q, $J21, '환경부사업(F)'!$C:$C, $L$1)
  + COUNTIFS('프로젝트(G)'!$G:$G, Q$2, '프로젝트(G)'!$Q:$Q, $J21, '프로젝트(G)'!$C:$C, $L$1)
  + COUNTIFS('협력사 EPC(H)'!$G:$G, Q$2, '협력사 EPC(H)'!$Q:$Q, $J21, '협력사 EPC(H)'!$C:$C, $L$1)
  + COUNTIFS('기타(Z)'!$G:$G, Q$2, '기타(Z)'!$Q:$Q, $J21, '기타(Z)'!$C:$C, $L$1)
)</f>
        <v/>
      </c>
      <c r="S21" s="366" t="str">
        <f>IF(
  SUM(
    SUMIFS('발전사업(A)'!$I:$I,'발전사업(A)'!$G:$G,S$2,'발전사업(A)'!$Q:$Q,$J21,'발전사업(A)'!$C:$C,$L$1),
    SUMIFS('자가소비(B)'!$I:$I,'자가소비(B)'!$G:$G,S$2,'자가소비(B)'!$Q:$Q,$J21,'자가소비(B)'!$C:$C,$L$1),
    SUMIFS('PPA 사업(C)'!$I:$I,'PPA 사업(C)'!$G:$G,S$2,'PPA 사업(C)'!$Q:$Q,$J21,'PPA 사업(C)'!$C:$C,$L$1),
    SUMIFS('리스사업(D)'!$I:$I,'리스사업(D)'!$G:$G,S$2,'리스사업(D)'!$Q:$Q,$J21,'리스사업(D)'!$C:$C,$L$1),
    SUMIFS('임대사업(E)'!$I:$I,'임대사업(E)'!$G:$G,S$2,'임대사업(E)'!$Q:$Q,$J21,'임대사업(E)'!$C:$C,$L$1),
    SUMIFS('환경부사업(F)'!$I:$I,'환경부사업(F)'!$G:$G,S$2,'환경부사업(F)'!$Q:$Q,$J21,'환경부사업(F)'!$C:$C,$L$1),
    SUMIFS('프로젝트(G)'!$I:$I,'프로젝트(G)'!$G:$G,S$2,'프로젝트(G)'!$Q:$Q,$J21,'프로젝트(G)'!$C:$C,$L$1),
    SUMIFS('협력사 EPC(H)'!$I:$I,'협력사 EPC(H)'!$G:$G,S$2,'협력사 EPC(H)'!$Q:$Q,$J21,'협력사 EPC(H)'!$C:$C,$L$1),
    SUMIFS('기타(Z)'!$I:$I,'기타(Z)'!$G:$G,S$2,'기타(Z)'!$Q:$Q,$J21,'기타(Z)'!$C:$C,$L$1)
  )=0,
  "",
  SUM(
    SUMIFS('발전사업(A)'!$I:$I,'발전사업(A)'!$G:$G,S$2,'발전사업(A)'!$Q:$Q,$J21,'발전사업(A)'!$C:$C,$L$1),
    SUMIFS('자가소비(B)'!$I:$I,'자가소비(B)'!$G:$G,S$2,'자가소비(B)'!$Q:$Q,$J21,'자가소비(B)'!$C:$C,$L$1),
    SUMIFS('PPA 사업(C)'!$I:$I,'PPA 사업(C)'!$G:$G,S$2,'PPA 사업(C)'!$Q:$Q,$J21,'PPA 사업(C)'!$C:$C,$L$1),
    SUMIFS('리스사업(D)'!$I:$I,'리스사업(D)'!$G:$G,S$2,'리스사업(D)'!$Q:$Q,$J21,'리스사업(D)'!$C:$C,$L$1),
    SUMIFS('임대사업(E)'!$I:$I,'임대사업(E)'!$G:$G,S$2,'임대사업(E)'!$Q:$Q,$J21,'임대사업(E)'!$C:$C,$L$1),
    SUMIFS('환경부사업(F)'!$I:$I,'환경부사업(F)'!$G:$G,S$2,'환경부사업(F)'!$Q:$Q,$J21,'환경부사업(F)'!$C:$C,$L$1),
    SUMIFS('프로젝트(G)'!$I:$I,'프로젝트(G)'!$G:$G,S$2,'프로젝트(G)'!$Q:$Q,$J21,'프로젝트(G)'!$C:$C,$L$1),
    SUMIFS('협력사 EPC(H)'!$I:$I,'협력사 EPC(H)'!$G:$G,S$2,'협력사 EPC(H)'!$Q:$Q,$J21,'협력사 EPC(H)'!$C:$C,$L$1),
    SUMIFS('기타(Z)'!$I:$I,'기타(Z)'!$G:$G,S$2,'기타(Z)'!$Q:$Q,$J21,'기타(Z)'!$C:$C,$L$1)
  )
)</f>
        <v/>
      </c>
      <c r="T21" s="367" t="str">
        <f>IF(
  SUM(
    COUNTIFS('발전사업(A)'!$G:$G, S$2, '발전사업(A)'!$Q:$Q, $J21, '발전사업(A)'!$C:$C, $L$1),
    COUNTIFS('자가소비(B)'!$G:$G, S$2, '자가소비(B)'!$Q:$Q, $J21, '자가소비(B)'!$C:$C, $L$1),
    COUNTIFS('PPA 사업(C)'!$G:$G, S$2, 'PPA 사업(C)'!$Q:$Q, $J21, 'PPA 사업(C)'!$C:$C, $L$1),
    COUNTIFS('리스사업(D)'!$G:$G, S$2, '리스사업(D)'!$Q:$Q, $J21, '리스사업(D)'!$C:$C, $L$1),
    COUNTIFS('임대사업(E)'!$G:$G, S$2, '임대사업(E)'!$Q:$Q, $J21, '임대사업(E)'!$C:$C, $L$1),
    COUNTIFS('환경부사업(F)'!$G:$G, S$2, '환경부사업(F)'!$Q:$Q, $J21, '환경부사업(F)'!$C:$C, $L$1),
    COUNTIFS('프로젝트(G)'!$G:$G, S$2, '프로젝트(G)'!$Q:$Q, $J21, '프로젝트(G)'!$C:$C, $L$1),
    COUNTIFS('협력사 EPC(H)'!$G:$G, S$2, '협력사 EPC(H)'!$Q:$Q, $J21, '협력사 EPC(H)'!$C:$C, $L$1),
    COUNTIFS('기타(Z)'!$G:$G, S$2, '기타(Z)'!$Q:$Q, $J21, '기타(Z)'!$C:$C, $L$1)
  ) = 0,
  "",
  COUNTIFS('발전사업(A)'!$G:$G, S$2, '발전사업(A)'!$Q:$Q, $J21, '발전사업(A)'!$C:$C, $L$1)
  + COUNTIFS('자가소비(B)'!$G:$G, S$2, '자가소비(B)'!$Q:$Q, $J21, '자가소비(B)'!$C:$C, $L$1)
  + COUNTIFS('PPA 사업(C)'!$G:$G, S$2, 'PPA 사업(C)'!$Q:$Q, $J21, 'PPA 사업(C)'!$C:$C, $L$1)
  + COUNTIFS('리스사업(D)'!$G:$G, S$2, '리스사업(D)'!$Q:$Q, $J21, '리스사업(D)'!$C:$C, $L$1)
  + COUNTIFS('임대사업(E)'!$G:$G, S$2, '임대사업(E)'!$Q:$Q, $J21, '임대사업(E)'!$C:$C, $L$1)
  + COUNTIFS('환경부사업(F)'!$G:$G, S$2, '환경부사업(F)'!$Q:$Q, $J21, '환경부사업(F)'!$C:$C, $L$1)
  + COUNTIFS('프로젝트(G)'!$G:$G, S$2, '프로젝트(G)'!$Q:$Q, $J21, '프로젝트(G)'!$C:$C, $L$1)
  + COUNTIFS('협력사 EPC(H)'!$G:$G, S$2, '협력사 EPC(H)'!$Q:$Q, $J21, '협력사 EPC(H)'!$C:$C, $L$1)
  + COUNTIFS('기타(Z)'!$G:$G, S$2, '기타(Z)'!$Q:$Q, $J21, '기타(Z)'!$C:$C, $L$1)
)</f>
        <v/>
      </c>
      <c r="U21" s="366" t="str">
        <f>IF(
  SUM(
    SUMIFS('발전사업(A)'!$I:$I,'발전사업(A)'!$G:$G,U$2,'발전사업(A)'!$Q:$Q,$J21,'발전사업(A)'!$C:$C,$L$1),
    SUMIFS('자가소비(B)'!$I:$I,'자가소비(B)'!$G:$G,U$2,'자가소비(B)'!$Q:$Q,$J21,'자가소비(B)'!$C:$C,$L$1),
    SUMIFS('PPA 사업(C)'!$I:$I,'PPA 사업(C)'!$G:$G,U$2,'PPA 사업(C)'!$Q:$Q,$J21,'PPA 사업(C)'!$C:$C,$L$1),
    SUMIFS('리스사업(D)'!$I:$I,'리스사업(D)'!$G:$G,U$2,'리스사업(D)'!$Q:$Q,$J21,'리스사업(D)'!$C:$C,$L$1),
    SUMIFS('임대사업(E)'!$I:$I,'임대사업(E)'!$G:$G,U$2,'임대사업(E)'!$Q:$Q,$J21,'임대사업(E)'!$C:$C,$L$1),
    SUMIFS('환경부사업(F)'!$I:$I,'환경부사업(F)'!$G:$G,U$2,'환경부사업(F)'!$Q:$Q,$J21,'환경부사업(F)'!$C:$C,$L$1),
    SUMIFS('프로젝트(G)'!$I:$I,'프로젝트(G)'!$G:$G,U$2,'프로젝트(G)'!$Q:$Q,$J21,'프로젝트(G)'!$C:$C,$L$1),
    SUMIFS('협력사 EPC(H)'!$I:$I,'협력사 EPC(H)'!$G:$G,U$2,'협력사 EPC(H)'!$Q:$Q,$J21,'협력사 EPC(H)'!$C:$C,$L$1),
    SUMIFS('기타(Z)'!$I:$I,'기타(Z)'!$G:$G,U$2,'기타(Z)'!$Q:$Q,$J21,'기타(Z)'!$C:$C,$L$1)
  )=0,
  "",
  SUM(
    SUMIFS('발전사업(A)'!$I:$I,'발전사업(A)'!$G:$G,U$2,'발전사업(A)'!$Q:$Q,$J21,'발전사업(A)'!$C:$C,$L$1),
    SUMIFS('자가소비(B)'!$I:$I,'자가소비(B)'!$G:$G,U$2,'자가소비(B)'!$Q:$Q,$J21,'자가소비(B)'!$C:$C,$L$1),
    SUMIFS('PPA 사업(C)'!$I:$I,'PPA 사업(C)'!$G:$G,U$2,'PPA 사업(C)'!$Q:$Q,$J21,'PPA 사업(C)'!$C:$C,$L$1),
    SUMIFS('리스사업(D)'!$I:$I,'리스사업(D)'!$G:$G,U$2,'리스사업(D)'!$Q:$Q,$J21,'리스사업(D)'!$C:$C,$L$1),
    SUMIFS('임대사업(E)'!$I:$I,'임대사업(E)'!$G:$G,U$2,'임대사업(E)'!$Q:$Q,$J21,'임대사업(E)'!$C:$C,$L$1),
    SUMIFS('환경부사업(F)'!$I:$I,'환경부사업(F)'!$G:$G,U$2,'환경부사업(F)'!$Q:$Q,$J21,'환경부사업(F)'!$C:$C,$L$1),
    SUMIFS('프로젝트(G)'!$I:$I,'프로젝트(G)'!$G:$G,U$2,'프로젝트(G)'!$Q:$Q,$J21,'프로젝트(G)'!$C:$C,$L$1),
    SUMIFS('협력사 EPC(H)'!$I:$I,'협력사 EPC(H)'!$G:$G,U$2,'협력사 EPC(H)'!$Q:$Q,$J21,'협력사 EPC(H)'!$C:$C,$L$1),
    SUMIFS('기타(Z)'!$I:$I,'기타(Z)'!$G:$G,U$2,'기타(Z)'!$Q:$Q,$J21,'기타(Z)'!$C:$C,$L$1)
  )
)</f>
        <v/>
      </c>
      <c r="V21" s="367" t="str">
        <f>IF(
  SUM(
    COUNTIFS('발전사업(A)'!$G:$G, U$2, '발전사업(A)'!$Q:$Q, $J21, '발전사업(A)'!$C:$C, $L$1),
    COUNTIFS('자가소비(B)'!$G:$G, U$2, '자가소비(B)'!$Q:$Q, $J21, '자가소비(B)'!$C:$C, $L$1),
    COUNTIFS('PPA 사업(C)'!$G:$G, U$2, 'PPA 사업(C)'!$Q:$Q, $J21, 'PPA 사업(C)'!$C:$C, $L$1),
    COUNTIFS('리스사업(D)'!$G:$G, U$2, '리스사업(D)'!$Q:$Q, $J21, '리스사업(D)'!$C:$C, $L$1),
    COUNTIFS('임대사업(E)'!$G:$G, U$2, '임대사업(E)'!$Q:$Q, $J21, '임대사업(E)'!$C:$C, $L$1),
    COUNTIFS('환경부사업(F)'!$G:$G, U$2, '환경부사업(F)'!$Q:$Q, $J21, '환경부사업(F)'!$C:$C, $L$1),
    COUNTIFS('프로젝트(G)'!$G:$G, U$2, '프로젝트(G)'!$Q:$Q, $J21, '프로젝트(G)'!$C:$C, $L$1),
    COUNTIFS('협력사 EPC(H)'!$G:$G, U$2, '협력사 EPC(H)'!$Q:$Q, $J21, '협력사 EPC(H)'!$C:$C, $L$1),
    COUNTIFS('기타(Z)'!$G:$G, U$2, '기타(Z)'!$Q:$Q, $J21, '기타(Z)'!$C:$C, $L$1)
  ) = 0,
  "",
  COUNTIFS('발전사업(A)'!$G:$G, U$2, '발전사업(A)'!$Q:$Q, $J21, '발전사업(A)'!$C:$C, $L$1)
  + COUNTIFS('자가소비(B)'!$G:$G, U$2, '자가소비(B)'!$Q:$Q, $J21, '자가소비(B)'!$C:$C, $L$1)
  + COUNTIFS('PPA 사업(C)'!$G:$G, U$2, 'PPA 사업(C)'!$Q:$Q, $J21, 'PPA 사업(C)'!$C:$C, $L$1)
  + COUNTIFS('리스사업(D)'!$G:$G, U$2, '리스사업(D)'!$Q:$Q, $J21, '리스사업(D)'!$C:$C, $L$1)
  + COUNTIFS('임대사업(E)'!$G:$G, U$2, '임대사업(E)'!$Q:$Q, $J21, '임대사업(E)'!$C:$C, $L$1)
  + COUNTIFS('환경부사업(F)'!$G:$G, U$2, '환경부사업(F)'!$Q:$Q, $J21, '환경부사업(F)'!$C:$C, $L$1)
  + COUNTIFS('프로젝트(G)'!$G:$G, U$2, '프로젝트(G)'!$Q:$Q, $J21, '프로젝트(G)'!$C:$C, $L$1)
  + COUNTIFS('협력사 EPC(H)'!$G:$G, U$2, '협력사 EPC(H)'!$Q:$Q, $J21, '협력사 EPC(H)'!$C:$C, $L$1)
  + COUNTIFS('기타(Z)'!$G:$G, U$2, '기타(Z)'!$Q:$Q, $J21, '기타(Z)'!$C:$C, $L$1)
)</f>
        <v/>
      </c>
      <c r="W21" s="366" t="str">
        <f>IF(
  SUM(
    SUMIFS('발전사업(A)'!$I:$I,'발전사업(A)'!$G:$G,W$2,'발전사업(A)'!$Q:$Q,$J21,'발전사업(A)'!$C:$C,$L$1),
    SUMIFS('자가소비(B)'!$I:$I,'자가소비(B)'!$G:$G,W$2,'자가소비(B)'!$Q:$Q,$J21,'자가소비(B)'!$C:$C,$L$1),
    SUMIFS('PPA 사업(C)'!$I:$I,'PPA 사업(C)'!$G:$G,W$2,'PPA 사업(C)'!$Q:$Q,$J21,'PPA 사업(C)'!$C:$C,$L$1),
    SUMIFS('리스사업(D)'!$I:$I,'리스사업(D)'!$G:$G,W$2,'리스사업(D)'!$Q:$Q,$J21,'리스사업(D)'!$C:$C,$L$1),
    SUMIFS('임대사업(E)'!$I:$I,'임대사업(E)'!$G:$G,W$2,'임대사업(E)'!$Q:$Q,$J21,'임대사업(E)'!$C:$C,$L$1),
    SUMIFS('환경부사업(F)'!$I:$I,'환경부사업(F)'!$G:$G,W$2,'환경부사업(F)'!$Q:$Q,$J21,'환경부사업(F)'!$C:$C,$L$1),
    SUMIFS('프로젝트(G)'!$I:$I,'프로젝트(G)'!$G:$G,W$2,'프로젝트(G)'!$Q:$Q,$J21,'프로젝트(G)'!$C:$C,$L$1),
    SUMIFS('협력사 EPC(H)'!$I:$I,'협력사 EPC(H)'!$G:$G,W$2,'협력사 EPC(H)'!$Q:$Q,$J21,'협력사 EPC(H)'!$C:$C,$L$1),
    SUMIFS('기타(Z)'!$I:$I,'기타(Z)'!$G:$G,W$2,'기타(Z)'!$Q:$Q,$J21,'기타(Z)'!$C:$C,$L$1)
  )=0,
  "",
  SUM(
    SUMIFS('발전사업(A)'!$I:$I,'발전사업(A)'!$G:$G,W$2,'발전사업(A)'!$Q:$Q,$J21,'발전사업(A)'!$C:$C,$L$1),
    SUMIFS('자가소비(B)'!$I:$I,'자가소비(B)'!$G:$G,W$2,'자가소비(B)'!$Q:$Q,$J21,'자가소비(B)'!$C:$C,$L$1),
    SUMIFS('PPA 사업(C)'!$I:$I,'PPA 사업(C)'!$G:$G,W$2,'PPA 사업(C)'!$Q:$Q,$J21,'PPA 사업(C)'!$C:$C,$L$1),
    SUMIFS('리스사업(D)'!$I:$I,'리스사업(D)'!$G:$G,W$2,'리스사업(D)'!$Q:$Q,$J21,'리스사업(D)'!$C:$C,$L$1),
    SUMIFS('임대사업(E)'!$I:$I,'임대사업(E)'!$G:$G,W$2,'임대사업(E)'!$Q:$Q,$J21,'임대사업(E)'!$C:$C,$L$1),
    SUMIFS('환경부사업(F)'!$I:$I,'환경부사업(F)'!$G:$G,W$2,'환경부사업(F)'!$Q:$Q,$J21,'환경부사업(F)'!$C:$C,$L$1),
    SUMIFS('프로젝트(G)'!$I:$I,'프로젝트(G)'!$G:$G,W$2,'프로젝트(G)'!$Q:$Q,$J21,'프로젝트(G)'!$C:$C,$L$1),
    SUMIFS('협력사 EPC(H)'!$I:$I,'협력사 EPC(H)'!$G:$G,W$2,'협력사 EPC(H)'!$Q:$Q,$J21,'협력사 EPC(H)'!$C:$C,$L$1),
    SUMIFS('기타(Z)'!$I:$I,'기타(Z)'!$G:$G,W$2,'기타(Z)'!$Q:$Q,$J21,'기타(Z)'!$C:$C,$L$1)
  )
)</f>
        <v/>
      </c>
      <c r="X21" s="367" t="str">
        <f>IF(
  SUM(
    COUNTIFS('발전사업(A)'!$G:$G, W$2, '발전사업(A)'!$Q:$Q, $J21, '발전사업(A)'!$C:$C, $L$1),
    COUNTIFS('자가소비(B)'!$G:$G, W$2, '자가소비(B)'!$Q:$Q, $J21, '자가소비(B)'!$C:$C, $L$1),
    COUNTIFS('PPA 사업(C)'!$G:$G, W$2, 'PPA 사업(C)'!$Q:$Q, $J21, 'PPA 사업(C)'!$C:$C, $L$1),
    COUNTIFS('리스사업(D)'!$G:$G, W$2, '리스사업(D)'!$Q:$Q, $J21, '리스사업(D)'!$C:$C, $L$1),
    COUNTIFS('임대사업(E)'!$G:$G, W$2, '임대사업(E)'!$Q:$Q, $J21, '임대사업(E)'!$C:$C, $L$1),
    COUNTIFS('환경부사업(F)'!$G:$G, W$2, '환경부사업(F)'!$Q:$Q, $J21, '환경부사업(F)'!$C:$C, $L$1),
    COUNTIFS('프로젝트(G)'!$G:$G, W$2, '프로젝트(G)'!$Q:$Q, $J21, '프로젝트(G)'!$C:$C, $L$1),
    COUNTIFS('협력사 EPC(H)'!$G:$G, W$2, '협력사 EPC(H)'!$Q:$Q, $J21, '협력사 EPC(H)'!$C:$C, $L$1),
    COUNTIFS('기타(Z)'!$G:$G, W$2, '기타(Z)'!$Q:$Q, $J21, '기타(Z)'!$C:$C, $L$1)
  ) = 0,
  "",
  COUNTIFS('발전사업(A)'!$G:$G, W$2, '발전사업(A)'!$Q:$Q, $J21, '발전사업(A)'!$C:$C, $L$1)
  + COUNTIFS('자가소비(B)'!$G:$G, W$2, '자가소비(B)'!$Q:$Q, $J21, '자가소비(B)'!$C:$C, $L$1)
  + COUNTIFS('PPA 사업(C)'!$G:$G, W$2, 'PPA 사업(C)'!$Q:$Q, $J21, 'PPA 사업(C)'!$C:$C, $L$1)
  + COUNTIFS('리스사업(D)'!$G:$G, W$2, '리스사업(D)'!$Q:$Q, $J21, '리스사업(D)'!$C:$C, $L$1)
  + COUNTIFS('임대사업(E)'!$G:$G, W$2, '임대사업(E)'!$Q:$Q, $J21, '임대사업(E)'!$C:$C, $L$1)
  + COUNTIFS('환경부사업(F)'!$G:$G, W$2, '환경부사업(F)'!$Q:$Q, $J21, '환경부사업(F)'!$C:$C, $L$1)
  + COUNTIFS('프로젝트(G)'!$G:$G, W$2, '프로젝트(G)'!$Q:$Q, $J21, '프로젝트(G)'!$C:$C, $L$1)
  + COUNTIFS('협력사 EPC(H)'!$G:$G, W$2, '협력사 EPC(H)'!$Q:$Q, $J21, '협력사 EPC(H)'!$C:$C, $L$1)
  + COUNTIFS('기타(Z)'!$G:$G, W$2, '기타(Z)'!$Q:$Q, $J21, '기타(Z)'!$C:$C, $L$1)
)</f>
        <v/>
      </c>
      <c r="Y21" s="366" t="str">
        <f>IF(
  SUM(
    SUMIFS('발전사업(A)'!$I:$I,'발전사업(A)'!$G:$G,Y$2,'발전사업(A)'!$Q:$Q,$J21,'발전사업(A)'!$C:$C,$L$1),
    SUMIFS('자가소비(B)'!$I:$I,'자가소비(B)'!$G:$G,Y$2,'자가소비(B)'!$Q:$Q,$J21,'자가소비(B)'!$C:$C,$L$1),
    SUMIFS('PPA 사업(C)'!$I:$I,'PPA 사업(C)'!$G:$G,Y$2,'PPA 사업(C)'!$Q:$Q,$J21,'PPA 사업(C)'!$C:$C,$L$1),
    SUMIFS('리스사업(D)'!$I:$I,'리스사업(D)'!$G:$G,Y$2,'리스사업(D)'!$Q:$Q,$J21,'리스사업(D)'!$C:$C,$L$1),
    SUMIFS('임대사업(E)'!$I:$I,'임대사업(E)'!$G:$G,Y$2,'임대사업(E)'!$Q:$Q,$J21,'임대사업(E)'!$C:$C,$L$1),
    SUMIFS('환경부사업(F)'!$I:$I,'환경부사업(F)'!$G:$G,Y$2,'환경부사업(F)'!$Q:$Q,$J21,'환경부사업(F)'!$C:$C,$L$1),
    SUMIFS('프로젝트(G)'!$I:$I,'프로젝트(G)'!$G:$G,Y$2,'프로젝트(G)'!$Q:$Q,$J21,'프로젝트(G)'!$C:$C,$L$1),
    SUMIFS('협력사 EPC(H)'!$I:$I,'협력사 EPC(H)'!$G:$G,Y$2,'협력사 EPC(H)'!$Q:$Q,$J21,'협력사 EPC(H)'!$C:$C,$L$1),
    SUMIFS('기타(Z)'!$I:$I,'기타(Z)'!$G:$G,Y$2,'기타(Z)'!$Q:$Q,$J21,'기타(Z)'!$C:$C,$L$1)
  )=0,
  "",
  SUM(
    SUMIFS('발전사업(A)'!$I:$I,'발전사업(A)'!$G:$G,Y$2,'발전사업(A)'!$Q:$Q,$J21,'발전사업(A)'!$C:$C,$L$1),
    SUMIFS('자가소비(B)'!$I:$I,'자가소비(B)'!$G:$G,Y$2,'자가소비(B)'!$Q:$Q,$J21,'자가소비(B)'!$C:$C,$L$1),
    SUMIFS('PPA 사업(C)'!$I:$I,'PPA 사업(C)'!$G:$G,Y$2,'PPA 사업(C)'!$Q:$Q,$J21,'PPA 사업(C)'!$C:$C,$L$1),
    SUMIFS('리스사업(D)'!$I:$I,'리스사업(D)'!$G:$G,Y$2,'리스사업(D)'!$Q:$Q,$J21,'리스사업(D)'!$C:$C,$L$1),
    SUMIFS('임대사업(E)'!$I:$I,'임대사업(E)'!$G:$G,Y$2,'임대사업(E)'!$Q:$Q,$J21,'임대사업(E)'!$C:$C,$L$1),
    SUMIFS('환경부사업(F)'!$I:$I,'환경부사업(F)'!$G:$G,Y$2,'환경부사업(F)'!$Q:$Q,$J21,'환경부사업(F)'!$C:$C,$L$1),
    SUMIFS('프로젝트(G)'!$I:$I,'프로젝트(G)'!$G:$G,Y$2,'프로젝트(G)'!$Q:$Q,$J21,'프로젝트(G)'!$C:$C,$L$1),
    SUMIFS('협력사 EPC(H)'!$I:$I,'협력사 EPC(H)'!$G:$G,Y$2,'협력사 EPC(H)'!$Q:$Q,$J21,'협력사 EPC(H)'!$C:$C,$L$1),
    SUMIFS('기타(Z)'!$I:$I,'기타(Z)'!$G:$G,Y$2,'기타(Z)'!$Q:$Q,$J21,'기타(Z)'!$C:$C,$L$1)
  )
)</f>
        <v/>
      </c>
      <c r="Z21" s="367" t="str">
        <f>IF(
  SUM(
    COUNTIFS('발전사업(A)'!$G:$G, Y$2, '발전사업(A)'!$Q:$Q, $J21, '발전사업(A)'!$C:$C, $L$1),
    COUNTIFS('자가소비(B)'!$G:$G, Y$2, '자가소비(B)'!$Q:$Q, $J21, '자가소비(B)'!$C:$C, $L$1),
    COUNTIFS('PPA 사업(C)'!$G:$G, Y$2, 'PPA 사업(C)'!$Q:$Q, $J21, 'PPA 사업(C)'!$C:$C, $L$1),
    COUNTIFS('리스사업(D)'!$G:$G, Y$2, '리스사업(D)'!$Q:$Q, $J21, '리스사업(D)'!$C:$C, $L$1),
    COUNTIFS('임대사업(E)'!$G:$G, Y$2, '임대사업(E)'!$Q:$Q, $J21, '임대사업(E)'!$C:$C, $L$1),
    COUNTIFS('환경부사업(F)'!$G:$G, Y$2, '환경부사업(F)'!$Q:$Q, $J21, '환경부사업(F)'!$C:$C, $L$1),
    COUNTIFS('프로젝트(G)'!$G:$G, Y$2, '프로젝트(G)'!$Q:$Q, $J21, '프로젝트(G)'!$C:$C, $L$1),
    COUNTIFS('협력사 EPC(H)'!$G:$G, Y$2, '협력사 EPC(H)'!$Q:$Q, $J21, '협력사 EPC(H)'!$C:$C, $L$1),
    COUNTIFS('기타(Z)'!$G:$G, Y$2, '기타(Z)'!$Q:$Q, $J21, '기타(Z)'!$C:$C, $L$1)
  ) = 0,
  "",
  COUNTIFS('발전사업(A)'!$G:$G, Y$2, '발전사업(A)'!$Q:$Q, $J21, '발전사업(A)'!$C:$C, $L$1)
  + COUNTIFS('자가소비(B)'!$G:$G, Y$2, '자가소비(B)'!$Q:$Q, $J21, '자가소비(B)'!$C:$C, $L$1)
  + COUNTIFS('PPA 사업(C)'!$G:$G, Y$2, 'PPA 사업(C)'!$Q:$Q, $J21, 'PPA 사업(C)'!$C:$C, $L$1)
  + COUNTIFS('리스사업(D)'!$G:$G, Y$2, '리스사업(D)'!$Q:$Q, $J21, '리스사업(D)'!$C:$C, $L$1)
  + COUNTIFS('임대사업(E)'!$G:$G, Y$2, '임대사업(E)'!$Q:$Q, $J21, '임대사업(E)'!$C:$C, $L$1)
  + COUNTIFS('환경부사업(F)'!$G:$G, Y$2, '환경부사업(F)'!$Q:$Q, $J21, '환경부사업(F)'!$C:$C, $L$1)
  + COUNTIFS('프로젝트(G)'!$G:$G, Y$2, '프로젝트(G)'!$Q:$Q, $J21, '프로젝트(G)'!$C:$C, $L$1)
  + COUNTIFS('협력사 EPC(H)'!$G:$G, Y$2, '협력사 EPC(H)'!$Q:$Q, $J21, '협력사 EPC(H)'!$C:$C, $L$1)
  + COUNTIFS('기타(Z)'!$G:$G, Y$2, '기타(Z)'!$Q:$Q, $J21, '기타(Z)'!$C:$C, $L$1)
)</f>
        <v/>
      </c>
      <c r="AA21" s="366" t="str">
        <f>IF(
  SUM(
    SUMIFS('발전사업(A)'!$I:$I,'발전사업(A)'!$G:$G,AA$2,'발전사업(A)'!$Q:$Q,$J21,'발전사업(A)'!$C:$C,$L$1),
    SUMIFS('자가소비(B)'!$I:$I,'자가소비(B)'!$G:$G,AA$2,'자가소비(B)'!$Q:$Q,$J21,'자가소비(B)'!$C:$C,$L$1),
    SUMIFS('PPA 사업(C)'!$I:$I,'PPA 사업(C)'!$G:$G,AA$2,'PPA 사업(C)'!$Q:$Q,$J21,'PPA 사업(C)'!$C:$C,$L$1),
    SUMIFS('리스사업(D)'!$I:$I,'리스사업(D)'!$G:$G,AA$2,'리스사업(D)'!$Q:$Q,$J21,'리스사업(D)'!$C:$C,$L$1),
    SUMIFS('임대사업(E)'!$I:$I,'임대사업(E)'!$G:$G,AA$2,'임대사업(E)'!$Q:$Q,$J21,'임대사업(E)'!$C:$C,$L$1),
    SUMIFS('환경부사업(F)'!$I:$I,'환경부사업(F)'!$G:$G,AA$2,'환경부사업(F)'!$Q:$Q,$J21,'환경부사업(F)'!$C:$C,$L$1),
    SUMIFS('프로젝트(G)'!$I:$I,'프로젝트(G)'!$G:$G,AA$2,'프로젝트(G)'!$Q:$Q,$J21,'프로젝트(G)'!$C:$C,$L$1),
    SUMIFS('협력사 EPC(H)'!$I:$I,'협력사 EPC(H)'!$G:$G,AA$2,'협력사 EPC(H)'!$Q:$Q,$J21,'협력사 EPC(H)'!$C:$C,$L$1),
    SUMIFS('기타(Z)'!$I:$I,'기타(Z)'!$G:$G,AA$2,'기타(Z)'!$Q:$Q,$J21,'기타(Z)'!$C:$C,$L$1)
  )=0,
  "",
  SUM(
    SUMIFS('발전사업(A)'!$I:$I,'발전사업(A)'!$G:$G,AA$2,'발전사업(A)'!$Q:$Q,$J21,'발전사업(A)'!$C:$C,$L$1),
    SUMIFS('자가소비(B)'!$I:$I,'자가소비(B)'!$G:$G,AA$2,'자가소비(B)'!$Q:$Q,$J21,'자가소비(B)'!$C:$C,$L$1),
    SUMIFS('PPA 사업(C)'!$I:$I,'PPA 사업(C)'!$G:$G,AA$2,'PPA 사업(C)'!$Q:$Q,$J21,'PPA 사업(C)'!$C:$C,$L$1),
    SUMIFS('리스사업(D)'!$I:$I,'리스사업(D)'!$G:$G,AA$2,'리스사업(D)'!$Q:$Q,$J21,'리스사업(D)'!$C:$C,$L$1),
    SUMIFS('임대사업(E)'!$I:$I,'임대사업(E)'!$G:$G,AA$2,'임대사업(E)'!$Q:$Q,$J21,'임대사업(E)'!$C:$C,$L$1),
    SUMIFS('환경부사업(F)'!$I:$I,'환경부사업(F)'!$G:$G,AA$2,'환경부사업(F)'!$Q:$Q,$J21,'환경부사업(F)'!$C:$C,$L$1),
    SUMIFS('프로젝트(G)'!$I:$I,'프로젝트(G)'!$G:$G,AA$2,'프로젝트(G)'!$Q:$Q,$J21,'프로젝트(G)'!$C:$C,$L$1),
    SUMIFS('협력사 EPC(H)'!$I:$I,'협력사 EPC(H)'!$G:$G,AA$2,'협력사 EPC(H)'!$Q:$Q,$J21,'협력사 EPC(H)'!$C:$C,$L$1),
    SUMIFS('기타(Z)'!$I:$I,'기타(Z)'!$G:$G,AA$2,'기타(Z)'!$Q:$Q,$J21,'기타(Z)'!$C:$C,$L$1)
  )
)</f>
        <v/>
      </c>
      <c r="AB21" s="367" t="str">
        <f>IF(
  SUM(
    COUNTIFS('발전사업(A)'!$G:$G, AA$2, '발전사업(A)'!$Q:$Q, $J21, '발전사업(A)'!$C:$C, $L$1),
    COUNTIFS('자가소비(B)'!$G:$G, AA$2, '자가소비(B)'!$Q:$Q, $J21, '자가소비(B)'!$C:$C, $L$1),
    COUNTIFS('PPA 사업(C)'!$G:$G, AA$2, 'PPA 사업(C)'!$Q:$Q, $J21, 'PPA 사업(C)'!$C:$C, $L$1),
    COUNTIFS('리스사업(D)'!$G:$G, AA$2, '리스사업(D)'!$Q:$Q, $J21, '리스사업(D)'!$C:$C, $L$1),
    COUNTIFS('임대사업(E)'!$G:$G, AA$2, '임대사업(E)'!$Q:$Q, $J21, '임대사업(E)'!$C:$C, $L$1),
    COUNTIFS('환경부사업(F)'!$G:$G, AA$2, '환경부사업(F)'!$Q:$Q, $J21, '환경부사업(F)'!$C:$C, $L$1),
    COUNTIFS('프로젝트(G)'!$G:$G, AA$2, '프로젝트(G)'!$Q:$Q, $J21, '프로젝트(G)'!$C:$C, $L$1),
    COUNTIFS('협력사 EPC(H)'!$G:$G, AA$2, '협력사 EPC(H)'!$Q:$Q, $J21, '협력사 EPC(H)'!$C:$C, $L$1),
    COUNTIFS('기타(Z)'!$G:$G, AA$2, '기타(Z)'!$Q:$Q, $J21, '기타(Z)'!$C:$C, $L$1)
  ) = 0,
  "",
  COUNTIFS('발전사업(A)'!$G:$G, AA$2, '발전사업(A)'!$Q:$Q, $J21, '발전사업(A)'!$C:$C, $L$1)
  + COUNTIFS('자가소비(B)'!$G:$G, AA$2, '자가소비(B)'!$Q:$Q, $J21, '자가소비(B)'!$C:$C, $L$1)
  + COUNTIFS('PPA 사업(C)'!$G:$G, AA$2, 'PPA 사업(C)'!$Q:$Q, $J21, 'PPA 사업(C)'!$C:$C, $L$1)
  + COUNTIFS('리스사업(D)'!$G:$G, AA$2, '리스사업(D)'!$Q:$Q, $J21, '리스사업(D)'!$C:$C, $L$1)
  + COUNTIFS('임대사업(E)'!$G:$G, AA$2, '임대사업(E)'!$Q:$Q, $J21, '임대사업(E)'!$C:$C, $L$1)
  + COUNTIFS('환경부사업(F)'!$G:$G, AA$2, '환경부사업(F)'!$Q:$Q, $J21, '환경부사업(F)'!$C:$C, $L$1)
  + COUNTIFS('프로젝트(G)'!$G:$G, AA$2, '프로젝트(G)'!$Q:$Q, $J21, '프로젝트(G)'!$C:$C, $L$1)
  + COUNTIFS('협력사 EPC(H)'!$G:$G, AA$2, '협력사 EPC(H)'!$Q:$Q, $J21, '협력사 EPC(H)'!$C:$C, $L$1)
  + COUNTIFS('기타(Z)'!$G:$G, AA$2, '기타(Z)'!$Q:$Q, $J21, '기타(Z)'!$C:$C, $L$1)
)</f>
        <v/>
      </c>
      <c r="AC21" s="366" t="str">
        <f>IF(
  SUM(
    SUMIFS('발전사업(A)'!$I:$I,'발전사업(A)'!$G:$G,AC$2,'발전사업(A)'!$Q:$Q,$J21,'발전사업(A)'!$C:$C,$L$1),
    SUMIFS('자가소비(B)'!$I:$I,'자가소비(B)'!$G:$G,AC$2,'자가소비(B)'!$Q:$Q,$J21,'자가소비(B)'!$C:$C,$L$1),
    SUMIFS('PPA 사업(C)'!$I:$I,'PPA 사업(C)'!$G:$G,AC$2,'PPA 사업(C)'!$Q:$Q,$J21,'PPA 사업(C)'!$C:$C,$L$1),
    SUMIFS('리스사업(D)'!$I:$I,'리스사업(D)'!$G:$G,AC$2,'리스사업(D)'!$Q:$Q,$J21,'리스사업(D)'!$C:$C,$L$1),
    SUMIFS('임대사업(E)'!$I:$I,'임대사업(E)'!$G:$G,AC$2,'임대사업(E)'!$Q:$Q,$J21,'임대사업(E)'!$C:$C,$L$1),
    SUMIFS('환경부사업(F)'!$I:$I,'환경부사업(F)'!$G:$G,AC$2,'환경부사업(F)'!$Q:$Q,$J21,'환경부사업(F)'!$C:$C,$L$1),
    SUMIFS('프로젝트(G)'!$I:$I,'프로젝트(G)'!$G:$G,AC$2,'프로젝트(G)'!$Q:$Q,$J21,'프로젝트(G)'!$C:$C,$L$1),
    SUMIFS('협력사 EPC(H)'!$I:$I,'협력사 EPC(H)'!$G:$G,AC$2,'협력사 EPC(H)'!$Q:$Q,$J21,'협력사 EPC(H)'!$C:$C,$L$1),
    SUMIFS('기타(Z)'!$I:$I,'기타(Z)'!$G:$G,AC$2,'기타(Z)'!$Q:$Q,$J21,'기타(Z)'!$C:$C,$L$1)
  )=0,
  "",
  SUM(
    SUMIFS('발전사업(A)'!$I:$I,'발전사업(A)'!$G:$G,AC$2,'발전사업(A)'!$Q:$Q,$J21,'발전사업(A)'!$C:$C,$L$1),
    SUMIFS('자가소비(B)'!$I:$I,'자가소비(B)'!$G:$G,AC$2,'자가소비(B)'!$Q:$Q,$J21,'자가소비(B)'!$C:$C,$L$1),
    SUMIFS('PPA 사업(C)'!$I:$I,'PPA 사업(C)'!$G:$G,AC$2,'PPA 사업(C)'!$Q:$Q,$J21,'PPA 사업(C)'!$C:$C,$L$1),
    SUMIFS('리스사업(D)'!$I:$I,'리스사업(D)'!$G:$G,AC$2,'리스사업(D)'!$Q:$Q,$J21,'리스사업(D)'!$C:$C,$L$1),
    SUMIFS('임대사업(E)'!$I:$I,'임대사업(E)'!$G:$G,AC$2,'임대사업(E)'!$Q:$Q,$J21,'임대사업(E)'!$C:$C,$L$1),
    SUMIFS('환경부사업(F)'!$I:$I,'환경부사업(F)'!$G:$G,AC$2,'환경부사업(F)'!$Q:$Q,$J21,'환경부사업(F)'!$C:$C,$L$1),
    SUMIFS('프로젝트(G)'!$I:$I,'프로젝트(G)'!$G:$G,AC$2,'프로젝트(G)'!$Q:$Q,$J21,'프로젝트(G)'!$C:$C,$L$1),
    SUMIFS('협력사 EPC(H)'!$I:$I,'협력사 EPC(H)'!$G:$G,AC$2,'협력사 EPC(H)'!$Q:$Q,$J21,'협력사 EPC(H)'!$C:$C,$L$1),
    SUMIFS('기타(Z)'!$I:$I,'기타(Z)'!$G:$G,AC$2,'기타(Z)'!$Q:$Q,$J21,'기타(Z)'!$C:$C,$L$1)
  )
)</f>
        <v/>
      </c>
      <c r="AD21" s="367" t="str">
        <f>IF(
  SUM(
    COUNTIFS('발전사업(A)'!$G:$G, AC$2, '발전사업(A)'!$Q:$Q, $J21, '발전사업(A)'!$C:$C, $L$1),
    COUNTIFS('자가소비(B)'!$G:$G, AC$2, '자가소비(B)'!$Q:$Q, $J21, '자가소비(B)'!$C:$C, $L$1),
    COUNTIFS('PPA 사업(C)'!$G:$G, AC$2, 'PPA 사업(C)'!$Q:$Q, $J21, 'PPA 사업(C)'!$C:$C, $L$1),
    COUNTIFS('리스사업(D)'!$G:$G, AC$2, '리스사업(D)'!$Q:$Q, $J21, '리스사업(D)'!$C:$C, $L$1),
    COUNTIFS('임대사업(E)'!$G:$G, AC$2, '임대사업(E)'!$Q:$Q, $J21, '임대사업(E)'!$C:$C, $L$1),
    COUNTIFS('환경부사업(F)'!$G:$G, AC$2, '환경부사업(F)'!$Q:$Q, $J21, '환경부사업(F)'!$C:$C, $L$1),
    COUNTIFS('프로젝트(G)'!$G:$G, AC$2, '프로젝트(G)'!$Q:$Q, $J21, '프로젝트(G)'!$C:$C, $L$1),
    COUNTIFS('협력사 EPC(H)'!$G:$G, AC$2, '협력사 EPC(H)'!$Q:$Q, $J21, '협력사 EPC(H)'!$C:$C, $L$1),
    COUNTIFS('기타(Z)'!$G:$G, AC$2, '기타(Z)'!$Q:$Q, $J21, '기타(Z)'!$C:$C, $L$1)
  ) = 0,
  "",
  COUNTIFS('발전사업(A)'!$G:$G, AC$2, '발전사업(A)'!$Q:$Q, $J21, '발전사업(A)'!$C:$C, $L$1)
  + COUNTIFS('자가소비(B)'!$G:$G, AC$2, '자가소비(B)'!$Q:$Q, $J21, '자가소비(B)'!$C:$C, $L$1)
  + COUNTIFS('PPA 사업(C)'!$G:$G, AC$2, 'PPA 사업(C)'!$Q:$Q, $J21, 'PPA 사업(C)'!$C:$C, $L$1)
  + COUNTIFS('리스사업(D)'!$G:$G, AC$2, '리스사업(D)'!$Q:$Q, $J21, '리스사업(D)'!$C:$C, $L$1)
  + COUNTIFS('임대사업(E)'!$G:$G, AC$2, '임대사업(E)'!$Q:$Q, $J21, '임대사업(E)'!$C:$C, $L$1)
  + COUNTIFS('환경부사업(F)'!$G:$G, AC$2, '환경부사업(F)'!$Q:$Q, $J21, '환경부사업(F)'!$C:$C, $L$1)
  + COUNTIFS('프로젝트(G)'!$G:$G, AC$2, '프로젝트(G)'!$Q:$Q, $J21, '프로젝트(G)'!$C:$C, $L$1)
  + COUNTIFS('협력사 EPC(H)'!$G:$G, AC$2, '협력사 EPC(H)'!$Q:$Q, $J21, '협력사 EPC(H)'!$C:$C, $L$1)
  + COUNTIFS('기타(Z)'!$G:$G, AC$2, '기타(Z)'!$Q:$Q, $J21, '기타(Z)'!$C:$C, $L$1)
)</f>
        <v/>
      </c>
      <c r="AE21" s="366" t="str">
        <f>IF(
  SUM(
    SUMIFS('발전사업(A)'!$I:$I,'발전사업(A)'!$G:$G,AE$2,'발전사업(A)'!$Q:$Q,$J21,'발전사업(A)'!$C:$C,$L$1),
    SUMIFS('자가소비(B)'!$I:$I,'자가소비(B)'!$G:$G,AE$2,'자가소비(B)'!$Q:$Q,$J21,'자가소비(B)'!$C:$C,$L$1),
    SUMIFS('PPA 사업(C)'!$I:$I,'PPA 사업(C)'!$G:$G,AE$2,'PPA 사업(C)'!$Q:$Q,$J21,'PPA 사업(C)'!$C:$C,$L$1),
    SUMIFS('리스사업(D)'!$I:$I,'리스사업(D)'!$G:$G,AE$2,'리스사업(D)'!$Q:$Q,$J21,'리스사업(D)'!$C:$C,$L$1),
    SUMIFS('임대사업(E)'!$I:$I,'임대사업(E)'!$G:$G,AE$2,'임대사업(E)'!$Q:$Q,$J21,'임대사업(E)'!$C:$C,$L$1),
    SUMIFS('환경부사업(F)'!$I:$I,'환경부사업(F)'!$G:$G,AE$2,'환경부사업(F)'!$Q:$Q,$J21,'환경부사업(F)'!$C:$C,$L$1),
    SUMIFS('프로젝트(G)'!$I:$I,'프로젝트(G)'!$G:$G,AE$2,'프로젝트(G)'!$Q:$Q,$J21,'프로젝트(G)'!$C:$C,$L$1),
    SUMIFS('협력사 EPC(H)'!$I:$I,'협력사 EPC(H)'!$G:$G,AE$2,'협력사 EPC(H)'!$Q:$Q,$J21,'협력사 EPC(H)'!$C:$C,$L$1),
    SUMIFS('기타(Z)'!$I:$I,'기타(Z)'!$G:$G,AE$2,'기타(Z)'!$Q:$Q,$J21,'기타(Z)'!$C:$C,$L$1)
  )=0,
  "",
  SUM(
    SUMIFS('발전사업(A)'!$I:$I,'발전사업(A)'!$G:$G,AE$2,'발전사업(A)'!$Q:$Q,$J21,'발전사업(A)'!$C:$C,$L$1),
    SUMIFS('자가소비(B)'!$I:$I,'자가소비(B)'!$G:$G,AE$2,'자가소비(B)'!$Q:$Q,$J21,'자가소비(B)'!$C:$C,$L$1),
    SUMIFS('PPA 사업(C)'!$I:$I,'PPA 사업(C)'!$G:$G,AE$2,'PPA 사업(C)'!$Q:$Q,$J21,'PPA 사업(C)'!$C:$C,$L$1),
    SUMIFS('리스사업(D)'!$I:$I,'리스사업(D)'!$G:$G,AE$2,'리스사업(D)'!$Q:$Q,$J21,'리스사업(D)'!$C:$C,$L$1),
    SUMIFS('임대사업(E)'!$I:$I,'임대사업(E)'!$G:$G,AE$2,'임대사업(E)'!$Q:$Q,$J21,'임대사업(E)'!$C:$C,$L$1),
    SUMIFS('환경부사업(F)'!$I:$I,'환경부사업(F)'!$G:$G,AE$2,'환경부사업(F)'!$Q:$Q,$J21,'환경부사업(F)'!$C:$C,$L$1),
    SUMIFS('프로젝트(G)'!$I:$I,'프로젝트(G)'!$G:$G,AE$2,'프로젝트(G)'!$Q:$Q,$J21,'프로젝트(G)'!$C:$C,$L$1),
    SUMIFS('협력사 EPC(H)'!$I:$I,'협력사 EPC(H)'!$G:$G,AE$2,'협력사 EPC(H)'!$Q:$Q,$J21,'협력사 EPC(H)'!$C:$C,$L$1),
    SUMIFS('기타(Z)'!$I:$I,'기타(Z)'!$G:$G,AE$2,'기타(Z)'!$Q:$Q,$J21,'기타(Z)'!$C:$C,$L$1)
  )
)</f>
        <v/>
      </c>
      <c r="AF21" s="367" t="str">
        <f>IF(
  SUM(
    COUNTIFS('발전사업(A)'!$G:$G, AE$2, '발전사업(A)'!$Q:$Q, $J21, '발전사업(A)'!$C:$C, $L$1),
    COUNTIFS('자가소비(B)'!$G:$G, AE$2, '자가소비(B)'!$Q:$Q, $J21, '자가소비(B)'!$C:$C, $L$1),
    COUNTIFS('PPA 사업(C)'!$G:$G, AE$2, 'PPA 사업(C)'!$Q:$Q, $J21, 'PPA 사업(C)'!$C:$C, $L$1),
    COUNTIFS('리스사업(D)'!$G:$G, AE$2, '리스사업(D)'!$Q:$Q, $J21, '리스사업(D)'!$C:$C, $L$1),
    COUNTIFS('임대사업(E)'!$G:$G, AE$2, '임대사업(E)'!$Q:$Q, $J21, '임대사업(E)'!$C:$C, $L$1),
    COUNTIFS('환경부사업(F)'!$G:$G, AE$2, '환경부사업(F)'!$Q:$Q, $J21, '환경부사업(F)'!$C:$C, $L$1),
    COUNTIFS('프로젝트(G)'!$G:$G, AE$2, '프로젝트(G)'!$Q:$Q, $J21, '프로젝트(G)'!$C:$C, $L$1),
    COUNTIFS('협력사 EPC(H)'!$G:$G, AE$2, '협력사 EPC(H)'!$Q:$Q, $J21, '협력사 EPC(H)'!$C:$C, $L$1),
    COUNTIFS('기타(Z)'!$G:$G, AE$2, '기타(Z)'!$Q:$Q, $J21, '기타(Z)'!$C:$C, $L$1)
  ) = 0,
  "",
  COUNTIFS('발전사업(A)'!$G:$G, AE$2, '발전사업(A)'!$Q:$Q, $J21, '발전사업(A)'!$C:$C, $L$1)
  + COUNTIFS('자가소비(B)'!$G:$G, AE$2, '자가소비(B)'!$Q:$Q, $J21, '자가소비(B)'!$C:$C, $L$1)
  + COUNTIFS('PPA 사업(C)'!$G:$G, AE$2, 'PPA 사업(C)'!$Q:$Q, $J21, 'PPA 사업(C)'!$C:$C, $L$1)
  + COUNTIFS('리스사업(D)'!$G:$G, AE$2, '리스사업(D)'!$Q:$Q, $J21, '리스사업(D)'!$C:$C, $L$1)
  + COUNTIFS('임대사업(E)'!$G:$G, AE$2, '임대사업(E)'!$Q:$Q, $J21, '임대사업(E)'!$C:$C, $L$1)
  + COUNTIFS('환경부사업(F)'!$G:$G, AE$2, '환경부사업(F)'!$Q:$Q, $J21, '환경부사업(F)'!$C:$C, $L$1)
  + COUNTIFS('프로젝트(G)'!$G:$G, AE$2, '프로젝트(G)'!$Q:$Q, $J21, '프로젝트(G)'!$C:$C, $L$1)
  + COUNTIFS('협력사 EPC(H)'!$G:$G, AE$2, '협력사 EPC(H)'!$Q:$Q, $J21, '협력사 EPC(H)'!$C:$C, $L$1)
  + COUNTIFS('기타(Z)'!$G:$G, AE$2, '기타(Z)'!$Q:$Q, $J21, '기타(Z)'!$C:$C, $L$1)
)</f>
        <v/>
      </c>
      <c r="AG21" s="366" t="str">
        <f>IF(
  SUM(
    SUMIFS('발전사업(A)'!$I:$I,'발전사업(A)'!$G:$G,AG$2,'발전사업(A)'!$Q:$Q,$J21,'발전사업(A)'!$C:$C,$L$1),
    SUMIFS('자가소비(B)'!$I:$I,'자가소비(B)'!$G:$G,AG$2,'자가소비(B)'!$Q:$Q,$J21,'자가소비(B)'!$C:$C,$L$1),
    SUMIFS('PPA 사업(C)'!$I:$I,'PPA 사업(C)'!$G:$G,AG$2,'PPA 사업(C)'!$Q:$Q,$J21,'PPA 사업(C)'!$C:$C,$L$1),
    SUMIFS('리스사업(D)'!$I:$I,'리스사업(D)'!$G:$G,AG$2,'리스사업(D)'!$Q:$Q,$J21,'리스사업(D)'!$C:$C,$L$1),
    SUMIFS('임대사업(E)'!$I:$I,'임대사업(E)'!$G:$G,AG$2,'임대사업(E)'!$Q:$Q,$J21,'임대사업(E)'!$C:$C,$L$1),
    SUMIFS('환경부사업(F)'!$I:$I,'환경부사업(F)'!$G:$G,AG$2,'환경부사업(F)'!$Q:$Q,$J21,'환경부사업(F)'!$C:$C,$L$1),
    SUMIFS('프로젝트(G)'!$I:$I,'프로젝트(G)'!$G:$G,AG$2,'프로젝트(G)'!$Q:$Q,$J21,'프로젝트(G)'!$C:$C,$L$1),
    SUMIFS('협력사 EPC(H)'!$I:$I,'협력사 EPC(H)'!$G:$G,AG$2,'협력사 EPC(H)'!$Q:$Q,$J21,'협력사 EPC(H)'!$C:$C,$L$1),
    SUMIFS('기타(Z)'!$I:$I,'기타(Z)'!$G:$G,AG$2,'기타(Z)'!$Q:$Q,$J21,'기타(Z)'!$C:$C,$L$1)
  )=0,
  "",
  SUM(
    SUMIFS('발전사업(A)'!$I:$I,'발전사업(A)'!$G:$G,AG$2,'발전사업(A)'!$Q:$Q,$J21,'발전사업(A)'!$C:$C,$L$1),
    SUMIFS('자가소비(B)'!$I:$I,'자가소비(B)'!$G:$G,AG$2,'자가소비(B)'!$Q:$Q,$J21,'자가소비(B)'!$C:$C,$L$1),
    SUMIFS('PPA 사업(C)'!$I:$I,'PPA 사업(C)'!$G:$G,AG$2,'PPA 사업(C)'!$Q:$Q,$J21,'PPA 사업(C)'!$C:$C,$L$1),
    SUMIFS('리스사업(D)'!$I:$I,'리스사업(D)'!$G:$G,AG$2,'리스사업(D)'!$Q:$Q,$J21,'리스사업(D)'!$C:$C,$L$1),
    SUMIFS('임대사업(E)'!$I:$I,'임대사업(E)'!$G:$G,AG$2,'임대사업(E)'!$Q:$Q,$J21,'임대사업(E)'!$C:$C,$L$1),
    SUMIFS('환경부사업(F)'!$I:$I,'환경부사업(F)'!$G:$G,AG$2,'환경부사업(F)'!$Q:$Q,$J21,'환경부사업(F)'!$C:$C,$L$1),
    SUMIFS('프로젝트(G)'!$I:$I,'프로젝트(G)'!$G:$G,AG$2,'프로젝트(G)'!$Q:$Q,$J21,'프로젝트(G)'!$C:$C,$L$1),
    SUMIFS('협력사 EPC(H)'!$I:$I,'협력사 EPC(H)'!$G:$G,AG$2,'협력사 EPC(H)'!$Q:$Q,$J21,'협력사 EPC(H)'!$C:$C,$L$1),
    SUMIFS('기타(Z)'!$I:$I,'기타(Z)'!$G:$G,AG$2,'기타(Z)'!$Q:$Q,$J21,'기타(Z)'!$C:$C,$L$1)
  )
)</f>
        <v/>
      </c>
      <c r="AH21" s="367" t="str">
        <f>IF(
  SUM(
    COUNTIFS('발전사업(A)'!$G:$G, AG$2, '발전사업(A)'!$Q:$Q, $J21, '발전사업(A)'!$C:$C, $L$1),
    COUNTIFS('자가소비(B)'!$G:$G, AG$2, '자가소비(B)'!$Q:$Q, $J21, '자가소비(B)'!$C:$C, $L$1),
    COUNTIFS('PPA 사업(C)'!$G:$G, AG$2, 'PPA 사업(C)'!$Q:$Q, $J21, 'PPA 사업(C)'!$C:$C, $L$1),
    COUNTIFS('리스사업(D)'!$G:$G, AG$2, '리스사업(D)'!$Q:$Q, $J21, '리스사업(D)'!$C:$C, $L$1),
    COUNTIFS('임대사업(E)'!$G:$G, AG$2, '임대사업(E)'!$Q:$Q, $J21, '임대사업(E)'!$C:$C, $L$1),
    COUNTIFS('환경부사업(F)'!$G:$G, AG$2, '환경부사업(F)'!$Q:$Q, $J21, '환경부사업(F)'!$C:$C, $L$1),
    COUNTIFS('프로젝트(G)'!$G:$G, AG$2, '프로젝트(G)'!$Q:$Q, $J21, '프로젝트(G)'!$C:$C, $L$1),
    COUNTIFS('협력사 EPC(H)'!$G:$G, AG$2, '협력사 EPC(H)'!$Q:$Q, $J21, '협력사 EPC(H)'!$C:$C, $L$1),
    COUNTIFS('기타(Z)'!$G:$G, AG$2, '기타(Z)'!$Q:$Q, $J21, '기타(Z)'!$C:$C, $L$1)
  ) = 0,
  "",
  COUNTIFS('발전사업(A)'!$G:$G, AG$2, '발전사업(A)'!$Q:$Q, $J21, '발전사업(A)'!$C:$C, $L$1)
  + COUNTIFS('자가소비(B)'!$G:$G, AG$2, '자가소비(B)'!$Q:$Q, $J21, '자가소비(B)'!$C:$C, $L$1)
  + COUNTIFS('PPA 사업(C)'!$G:$G, AG$2, 'PPA 사업(C)'!$Q:$Q, $J21, 'PPA 사업(C)'!$C:$C, $L$1)
  + COUNTIFS('리스사업(D)'!$G:$G, AG$2, '리스사업(D)'!$Q:$Q, $J21, '리스사업(D)'!$C:$C, $L$1)
  + COUNTIFS('임대사업(E)'!$G:$G, AG$2, '임대사업(E)'!$Q:$Q, $J21, '임대사업(E)'!$C:$C, $L$1)
  + COUNTIFS('환경부사업(F)'!$G:$G, AG$2, '환경부사업(F)'!$Q:$Q, $J21, '환경부사업(F)'!$C:$C, $L$1)
  + COUNTIFS('프로젝트(G)'!$G:$G, AG$2, '프로젝트(G)'!$Q:$Q, $J21, '프로젝트(G)'!$C:$C, $L$1)
  + COUNTIFS('협력사 EPC(H)'!$G:$G, AG$2, '협력사 EPC(H)'!$Q:$Q, $J21, '협력사 EPC(H)'!$C:$C, $L$1)
  + COUNTIFS('기타(Z)'!$G:$G, AG$2, '기타(Z)'!$Q:$Q, $J21, '기타(Z)'!$C:$C, $L$1)
)</f>
        <v/>
      </c>
      <c r="AI21" s="366" t="str">
        <f>IF(
  SUM(
    SUMIFS('발전사업(A)'!$I:$I,'발전사업(A)'!$G:$G,AI$2,'발전사업(A)'!$Q:$Q,$J21,'발전사업(A)'!$C:$C,$L$1),
    SUMIFS('자가소비(B)'!$I:$I,'자가소비(B)'!$G:$G,AI$2,'자가소비(B)'!$Q:$Q,$J21,'자가소비(B)'!$C:$C,$L$1),
    SUMIFS('PPA 사업(C)'!$I:$I,'PPA 사업(C)'!$G:$G,AI$2,'PPA 사업(C)'!$Q:$Q,$J21,'PPA 사업(C)'!$C:$C,$L$1),
    SUMIFS('리스사업(D)'!$I:$I,'리스사업(D)'!$G:$G,AI$2,'리스사업(D)'!$Q:$Q,$J21,'리스사업(D)'!$C:$C,$L$1),
    SUMIFS('임대사업(E)'!$I:$I,'임대사업(E)'!$G:$G,AI$2,'임대사업(E)'!$Q:$Q,$J21,'임대사업(E)'!$C:$C,$L$1),
    SUMIFS('환경부사업(F)'!$I:$I,'환경부사업(F)'!$G:$G,AI$2,'환경부사업(F)'!$Q:$Q,$J21,'환경부사업(F)'!$C:$C,$L$1),
    SUMIFS('프로젝트(G)'!$I:$I,'프로젝트(G)'!$G:$G,AI$2,'프로젝트(G)'!$Q:$Q,$J21,'프로젝트(G)'!$C:$C,$L$1),
    SUMIFS('협력사 EPC(H)'!$I:$I,'협력사 EPC(H)'!$G:$G,AI$2,'협력사 EPC(H)'!$Q:$Q,$J21,'협력사 EPC(H)'!$C:$C,$L$1),
    SUMIFS('기타(Z)'!$I:$I,'기타(Z)'!$G:$G,AI$2,'기타(Z)'!$Q:$Q,$J21,'기타(Z)'!$C:$C,$L$1)
  )=0,
  "",
  SUM(
    SUMIFS('발전사업(A)'!$I:$I,'발전사업(A)'!$G:$G,AI$2,'발전사업(A)'!$Q:$Q,$J21,'발전사업(A)'!$C:$C,$L$1),
    SUMIFS('자가소비(B)'!$I:$I,'자가소비(B)'!$G:$G,AI$2,'자가소비(B)'!$Q:$Q,$J21,'자가소비(B)'!$C:$C,$L$1),
    SUMIFS('PPA 사업(C)'!$I:$I,'PPA 사업(C)'!$G:$G,AI$2,'PPA 사업(C)'!$Q:$Q,$J21,'PPA 사업(C)'!$C:$C,$L$1),
    SUMIFS('리스사업(D)'!$I:$I,'리스사업(D)'!$G:$G,AI$2,'리스사업(D)'!$Q:$Q,$J21,'리스사업(D)'!$C:$C,$L$1),
    SUMIFS('임대사업(E)'!$I:$I,'임대사업(E)'!$G:$G,AI$2,'임대사업(E)'!$Q:$Q,$J21,'임대사업(E)'!$C:$C,$L$1),
    SUMIFS('환경부사업(F)'!$I:$I,'환경부사업(F)'!$G:$G,AI$2,'환경부사업(F)'!$Q:$Q,$J21,'환경부사업(F)'!$C:$C,$L$1),
    SUMIFS('프로젝트(G)'!$I:$I,'프로젝트(G)'!$G:$G,AI$2,'프로젝트(G)'!$Q:$Q,$J21,'프로젝트(G)'!$C:$C,$L$1),
    SUMIFS('협력사 EPC(H)'!$I:$I,'협력사 EPC(H)'!$G:$G,AI$2,'협력사 EPC(H)'!$Q:$Q,$J21,'협력사 EPC(H)'!$C:$C,$L$1),
    SUMIFS('기타(Z)'!$I:$I,'기타(Z)'!$G:$G,AI$2,'기타(Z)'!$Q:$Q,$J21,'기타(Z)'!$C:$C,$L$1)
  )
)</f>
        <v/>
      </c>
      <c r="AJ21" s="365" t="str">
        <f>IF(
  SUM(
    COUNTIFS('발전사업(A)'!$G:$G, AI$2, '발전사업(A)'!$Q:$Q, $J21, '발전사업(A)'!$C:$C, $L$1),
    COUNTIFS('자가소비(B)'!$G:$G, AI$2, '자가소비(B)'!$Q:$Q, $J21, '자가소비(B)'!$C:$C, $L$1),
    COUNTIFS('PPA 사업(C)'!$G:$G, AI$2, 'PPA 사업(C)'!$Q:$Q, $J21, 'PPA 사업(C)'!$C:$C, $L$1),
    COUNTIFS('리스사업(D)'!$G:$G, AI$2, '리스사업(D)'!$Q:$Q, $J21, '리스사업(D)'!$C:$C, $L$1),
    COUNTIFS('임대사업(E)'!$G:$G, AI$2, '임대사업(E)'!$Q:$Q, $J21, '임대사업(E)'!$C:$C, $L$1),
    COUNTIFS('환경부사업(F)'!$G:$G, AI$2, '환경부사업(F)'!$Q:$Q, $J21, '환경부사업(F)'!$C:$C, $L$1),
    COUNTIFS('프로젝트(G)'!$G:$G, AI$2, '프로젝트(G)'!$Q:$Q, $J21, '프로젝트(G)'!$C:$C, $L$1),
    COUNTIFS('협력사 EPC(H)'!$G:$G, AI$2, '협력사 EPC(H)'!$Q:$Q, $J21, '협력사 EPC(H)'!$C:$C, $L$1),
    COUNTIFS('기타(Z)'!$G:$G, AI$2, '기타(Z)'!$Q:$Q, $J21, '기타(Z)'!$C:$C, $L$1)
  ) = 0,
  "",
  COUNTIFS('발전사업(A)'!$G:$G, AI$2, '발전사업(A)'!$Q:$Q, $J21, '발전사업(A)'!$C:$C, $L$1)
  + COUNTIFS('자가소비(B)'!$G:$G, AI$2, '자가소비(B)'!$Q:$Q, $J21, '자가소비(B)'!$C:$C, $L$1)
  + COUNTIFS('PPA 사업(C)'!$G:$G, AI$2, 'PPA 사업(C)'!$Q:$Q, $J21, 'PPA 사업(C)'!$C:$C, $L$1)
  + COUNTIFS('리스사업(D)'!$G:$G, AI$2, '리스사업(D)'!$Q:$Q, $J21, '리스사업(D)'!$C:$C, $L$1)
  + COUNTIFS('임대사업(E)'!$G:$G, AI$2, '임대사업(E)'!$Q:$Q, $J21, '임대사업(E)'!$C:$C, $L$1)
  + COUNTIFS('환경부사업(F)'!$G:$G, AI$2, '환경부사업(F)'!$Q:$Q, $J21, '환경부사업(F)'!$C:$C, $L$1)
  + COUNTIFS('프로젝트(G)'!$G:$G, AI$2, '프로젝트(G)'!$Q:$Q, $J21, '프로젝트(G)'!$C:$C, $L$1)
  + COUNTIFS('협력사 EPC(H)'!$G:$G, AI$2, '협력사 EPC(H)'!$Q:$Q, $J21, '협력사 EPC(H)'!$C:$C, $L$1)
  + COUNTIFS('기타(Z)'!$G:$G, AI$2, '기타(Z)'!$Q:$Q, $J21, '기타(Z)'!$C:$C, $L$1)
)</f>
        <v/>
      </c>
    </row>
    <row r="22" spans="2:36" ht="17.25" thickBot="1" x14ac:dyDescent="0.3">
      <c r="B22" s="195" t="s">
        <v>157</v>
      </c>
      <c r="C22" s="262" t="str">
        <f>IF(
  SUM(
    SUMIFS('발전사업(A)'!I:I, '발전사업(A)'!C:C, $E$1, '발전사업(A)'!G:G, B15, '발전사업(A)'!X:X, B22),
    SUMIFS('자가소비(B)'!I:I, '자가소비(B)'!C:C, $E$1, '자가소비(B)'!G:G, B15, '자가소비(B)'!X:X, B22),
    SUMIFS('PPA 사업(C)'!I:I, 'PPA 사업(C)'!C:C, $E$1, 'PPA 사업(C)'!G:G, B15, 'PPA 사업(C)'!X:X, B22),
    SUMIFS('리스사업(D)'!I:I, '리스사업(D)'!C:C, $E$1, '리스사업(D)'!G:G, B15, '리스사업(D)'!X:X, B22),
    SUMIFS('임대사업(E)'!I:I, '임대사업(E)'!C:C, $E$1, '임대사업(E)'!G:G, B15, '임대사업(E)'!X:X, B22),
    SUMIFS('환경부사업(F)'!I:I, '환경부사업(F)'!C:C, $E$1, '환경부사업(F)'!G:G, B15, '환경부사업(F)'!X:X, B22),
    SUMIFS('프로젝트(G)'!I:I, '프로젝트(G)'!C:C, $E$1, '프로젝트(G)'!G:G, B15, '프로젝트(G)'!X:X, B22),
    SUMIFS('협력사 EPC(H)'!I:I, '협력사 EPC(H)'!C:C, $E$1, '협력사 EPC(H)'!G:G, B15, '협력사 EPC(H)'!X:X, B22),
    SUMIFS('기타(Z)'!I:I, '기타(Z)'!C:C, $E$1, '기타(Z)'!G:G, B15, '기타(Z)'!X:X, B22)
  ) = 0,
  "",
  SUMIFS('발전사업(A)'!I:I, '발전사업(A)'!C:C, $E$1, '발전사업(A)'!G:G, B15, '발전사업(A)'!X:X, B22)
  + SUMIFS('자가소비(B)'!I:I, '자가소비(B)'!C:C, $E$1, '자가소비(B)'!G:G, B15, '자가소비(B)'!X:X, B22)
  + SUMIFS('PPA 사업(C)'!I:I, 'PPA 사업(C)'!C:C, $E$1, 'PPA 사업(C)'!G:G, B15, 'PPA 사업(C)'!X:X, B22)
  + SUMIFS('리스사업(D)'!I:I, '리스사업(D)'!C:C, $E$1, '리스사업(D)'!G:G, B15, '리스사업(D)'!X:X, B22)
  + SUMIFS('임대사업(E)'!I:I, '임대사업(E)'!C:C, $E$1, '임대사업(E)'!G:G, B15, '임대사업(E)'!X:X, B22)
  + SUMIFS('환경부사업(F)'!I:I, '환경부사업(F)'!C:C, $E$1, '환경부사업(F)'!G:G, B15, '환경부사업(F)'!X:X, B22)
  + SUMIFS('프로젝트(G)'!I:I, '프로젝트(G)'!C:C, $E$1, '프로젝트(G)'!G:G, B15, '프로젝트(G)'!X:X, B22)
  + SUMIFS('협력사 EPC(H)'!I:I, '협력사 EPC(H)'!C:C, $E$1, '협력사 EPC(H)'!G:G, B15, '협력사 EPC(H)'!X:X, B22)
  + SUMIFS('기타(Z)'!I:I, '기타(Z)'!C:C, $E$1, '기타(Z)'!G:G, B15, '기타(Z)'!X:X, B22)
)</f>
        <v/>
      </c>
      <c r="D22" s="263" t="str">
        <f>IF(
  COUNTIFS('발전사업(A)'!C:C, $E$1, '발전사업(A)'!G:G, B15, '발전사업(A)'!X:X, B22)
  + COUNTIFS('자가소비(B)'!C:C, $E$1, '자가소비(B)'!G:G, B15, '자가소비(B)'!X:X, B22)
  + COUNTIFS('PPA 사업(C)'!C:C, $E$1, 'PPA 사업(C)'!G:G, B15, 'PPA 사업(C)'!X:X, B22)
  + COUNTIFS('리스사업(D)'!C:C, $E$1, '리스사업(D)'!G:G, B15, '리스사업(D)'!X:X, B22)
  + COUNTIFS('임대사업(E)'!C:C, $E$1, '임대사업(E)'!G:G, B15, '임대사업(E)'!X:X, B22)
  + COUNTIFS('환경부사업(F)'!C:C, $E$1, '환경부사업(F)'!G:G, B15, '환경부사업(F)'!X:X, B22)
  + COUNTIFS('프로젝트(G)'!C:C, $E$1, '프로젝트(G)'!G:G, B15, '프로젝트(G)'!X:X, B22)
  + COUNTIFS('협력사 EPC(H)'!C:C, $E$1, '협력사 EPC(H)'!G:G, B15, '협력사 EPC(H)'!X:X, B22)
  + COUNTIFS('기타(Z)'!C:C, $E$1, '기타(Z)'!G:G, B15, '기타(Z)'!X:X, B22)
  = 0,
  "",
  COUNTIFS('발전사업(A)'!C:C, $E$1, '발전사업(A)'!G:G, B15, '발전사업(A)'!X:X, B22)
  + COUNTIFS('자가소비(B)'!C:C, $E$1, '자가소비(B)'!G:G, B15, '자가소비(B)'!X:X, B22)
  + COUNTIFS('PPA 사업(C)'!C:C, $E$1, 'PPA 사업(C)'!G:G, B15, 'PPA 사업(C)'!X:X, B22)
  + COUNTIFS('리스사업(D)'!C:C, $E$1, '리스사업(D)'!G:G, B15, '리스사업(D)'!X:X, B22)
  + COUNTIFS('임대사업(E)'!C:C, $E$1, '임대사업(E)'!G:G, B15, '임대사업(E)'!X:X, B22)
  + COUNTIFS('환경부사업(F)'!C:C, $E$1, '환경부사업(F)'!G:G, B15, '환경부사업(F)'!X:X, B22)
  + COUNTIFS('프로젝트(G)'!C:C, $E$1, '프로젝트(G)'!G:G, B15, '프로젝트(G)'!X:X, B22)
  + COUNTIFS('협력사 EPC(H)'!C:C, $E$1, '협력사 EPC(H)'!G:G, B15, '협력사 EPC(H)'!X:X, B22)
  + COUNTIFS('기타(Z)'!C:C, $E$1, '기타(Z)'!G:G, B15, '기타(Z)'!X:X, B22)
)</f>
        <v/>
      </c>
      <c r="E22" s="262" t="str">
        <f>IF(
  SUM(
    SUMIFS('발전사업(A)'!I:I, '발전사업(A)'!C:C, $E$1, '발전사업(A)'!G:G, B15, '발전사업(A)'!X:X, B22, '발전사업(A)'!U:U, $C$1),
    SUMIFS('자가소비(B)'!I:I, '자가소비(B)'!C:C, $E$1, '자가소비(B)'!G:G, B15, '자가소비(B)'!X:X, B22, '자가소비(B)'!U:U, $C$1),
    SUMIFS('PPA 사업(C)'!I:I, 'PPA 사업(C)'!C:C, $E$1, 'PPA 사업(C)'!G:G, B15, 'PPA 사업(C)'!X:X, B22, 'PPA 사업(C)'!U:U, $C$1),
    SUMIFS('리스사업(D)'!I:I, '리스사업(D)'!C:C, $E$1, '리스사업(D)'!G:G, B15, '리스사업(D)'!X:X, B22, '리스사업(D)'!U:U, $C$1),
    SUMIFS('임대사업(E)'!I:I, '임대사업(E)'!C:C, $E$1, '임대사업(E)'!G:G, B15, '임대사업(E)'!X:X, B22, '임대사업(E)'!U:U, $C$1),
    SUMIFS('환경부사업(F)'!I:I, '환경부사업(F)'!C:C, $E$1, '환경부사업(F)'!G:G, B15, '환경부사업(F)'!X:X, B22, '환경부사업(F)'!U:U, $C$1),
    SUMIFS('프로젝트(G)'!I:I, '프로젝트(G)'!C:C, $E$1, '프로젝트(G)'!G:G, B15, '프로젝트(G)'!X:X, B22, '프로젝트(G)'!U:U, $C$1),
    SUMIFS('협력사 EPC(H)'!I:I, '협력사 EPC(H)'!C:C, $E$1, '협력사 EPC(H)'!G:G, B15, '협력사 EPC(H)'!X:X, B22, '협력사 EPC(H)'!U:U, $C$1),
    SUMIFS('기타(Z)'!I:I, '기타(Z)'!C:C, $E$1, '기타(Z)'!G:G, B15, '기타(Z)'!X:X, B22, '기타(Z)'!U:U, $C$1)
  ) = 0,
  "",
  SUM(
    SUMIFS('발전사업(A)'!I:I, '발전사업(A)'!C:C, $E$1, '발전사업(A)'!G:G, B15, '발전사업(A)'!X:X, B22, '발전사업(A)'!U:U, $C$1),
    SUMIFS('자가소비(B)'!I:I, '자가소비(B)'!C:C, $E$1, '자가소비(B)'!G:G, B15, '자가소비(B)'!X:X, B22, '자가소비(B)'!U:U, $C$1),
    SUMIFS('PPA 사업(C)'!I:I, 'PPA 사업(C)'!C:C, $E$1, 'PPA 사업(C)'!G:G, B15, 'PPA 사업(C)'!X:X, B22, 'PPA 사업(C)'!U:U, $C$1),
    SUMIFS('리스사업(D)'!I:I, '리스사업(D)'!C:C, $E$1, '리스사업(D)'!G:G, B15, '리스사업(D)'!X:X, B22, '리스사업(D)'!U:U, $C$1),
    SUMIFS('임대사업(E)'!I:I, '임대사업(E)'!C:C, $E$1, '임대사업(E)'!G:G, B15, '임대사업(E)'!X:X, B22, '임대사업(E)'!U:U, $C$1),
    SUMIFS('환경부사업(F)'!I:I, '환경부사업(F)'!C:C, $E$1, '환경부사업(F)'!G:G, B15, '환경부사업(F)'!X:X, B22, '환경부사업(F)'!U:U, $C$1),
    SUMIFS('프로젝트(G)'!I:I, '프로젝트(G)'!C:C, $E$1, '프로젝트(G)'!G:G, B15, '프로젝트(G)'!X:X, B22, '프로젝트(G)'!U:U, $C$1),
    SUMIFS('협력사 EPC(H)'!I:I, '협력사 EPC(H)'!C:C, $E$1, '협력사 EPC(H)'!G:G, B15, '협력사 EPC(H)'!X:X, B22, '협력사 EPC(H)'!U:U, $C$1),
    SUMIFS('기타(Z)'!I:I, '기타(Z)'!C:C, $E$1, '기타(Z)'!G:G, B15, '기타(Z)'!X:X, B22, '기타(Z)'!U:U, $C$1)
  )
)</f>
        <v/>
      </c>
      <c r="F22" s="263" t="str">
        <f>IF(
  SUM(
    COUNTIFS('발전사업(A)'!C:C, $E$1, '발전사업(A)'!G:G, B15, '발전사업(A)'!X:X, B22, '발전사업(A)'!U:U, $C$1),
    COUNTIFS('자가소비(B)'!C:C, $E$1, '자가소비(B)'!G:G, B15, '자가소비(B)'!X:X, B22, '자가소비(B)'!U:U, $C$1),
    COUNTIFS('PPA 사업(C)'!C:C, $E$1, 'PPA 사업(C)'!G:G, B15, 'PPA 사업(C)'!X:X, B22, 'PPA 사업(C)'!U:U, $C$1),
    COUNTIFS('리스사업(D)'!C:C, $E$1, '리스사업(D)'!G:G, B15, '리스사업(D)'!X:X, B22, '리스사업(D)'!U:U, $C$1),
    COUNTIFS('임대사업(E)'!C:C, $E$1, '임대사업(E)'!G:G, B15, '임대사업(E)'!X:X, B22, '임대사업(E)'!U:U, $C$1),
    COUNTIFS('환경부사업(F)'!C:C, $E$1, '환경부사업(F)'!G:G, B15, '환경부사업(F)'!X:X, B22, '환경부사업(F)'!U:U, $C$1),
    COUNTIFS('프로젝트(G)'!C:C, $E$1, '프로젝트(G)'!G:G, B15, '프로젝트(G)'!X:X, B22, '프로젝트(G)'!U:U, $C$1),
    COUNTIFS('협력사 EPC(H)'!C:C, $E$1, '협력사 EPC(H)'!G:G, B15, '협력사 EPC(H)'!X:X, B22, '협력사 EPC(H)'!U:U, $C$1),
    COUNTIFS('기타(Z)'!C:C, $E$1, '기타(Z)'!G:G, B15, '기타(Z)'!X:X, B22, '기타(Z)'!U:U, $C$1)
  ) = 0,
  "",
  SUM(
    COUNTIFS('발전사업(A)'!C:C, $E$1, '발전사업(A)'!G:G, B15, '발전사업(A)'!X:X, B22, '발전사업(A)'!U:U, $C$1),
    COUNTIFS('자가소비(B)'!C:C, $E$1, '자가소비(B)'!G:G, B15, '자가소비(B)'!X:X, B22, '자가소비(B)'!U:U, $C$1),
    COUNTIFS('PPA 사업(C)'!C:C, $E$1, 'PPA 사업(C)'!G:G, B15, 'PPA 사업(C)'!X:X, B22, 'PPA 사업(C)'!U:U, $C$1),
    COUNTIFS('리스사업(D)'!C:C, $E$1, '리스사업(D)'!G:G, B15, '리스사업(D)'!X:X, B22, '리스사업(D)'!U:U, $C$1),
    COUNTIFS('임대사업(E)'!C:C, $E$1, '임대사업(E)'!G:G, B15, '임대사업(E)'!X:X, B22, '임대사업(E)'!U:U, $C$1),
    COUNTIFS('환경부사업(F)'!C:C, $E$1, '환경부사업(F)'!G:G, B15, '환경부사업(F)'!X:X, B22, '환경부사업(F)'!U:U, $C$1),
    COUNTIFS('프로젝트(G)'!C:C, $E$1, '프로젝트(G)'!G:G, B15, '프로젝트(G)'!X:X, B22, '프로젝트(G)'!U:U, $C$1),
    COUNTIFS('협력사 EPC(H)'!C:C, $E$1, '협력사 EPC(H)'!G:G, B15, '협력사 EPC(H)'!X:X, B22, '협력사 EPC(H)'!U:U, $C$1),
    COUNTIFS('기타(Z)'!C:C, $E$1, '기타(Z)'!G:G, B15, '기타(Z)'!X:X, B22, '기타(Z)'!U:U, $C$1)
  )
)</f>
        <v/>
      </c>
      <c r="G22" s="262" t="str">
        <f>IF(
  SUM(
    SUMIFS('발전사업(A)'!I:I, '발전사업(A)'!C:C, $E$1, '발전사업(A)'!G:G, B15, '발전사업(A)'!X:X, B22, '발전사업(A)'!U:U, $D$1),
    SUMIFS('자가소비(B)'!I:I, '자가소비(B)'!C:C, $E$1, '자가소비(B)'!G:G, B15, '자가소비(B)'!X:X, B22, '자가소비(B)'!U:U, $D$1),
    SUMIFS('PPA 사업(C)'!I:I, 'PPA 사업(C)'!C:C, $E$1, 'PPA 사업(C)'!G:G, B15, 'PPA 사업(C)'!X:X, B22, 'PPA 사업(C)'!U:U, $D$1),
    SUMIFS('리스사업(D)'!I:I, '리스사업(D)'!C:C, $E$1, '리스사업(D)'!G:G, B15, '리스사업(D)'!X:X, B22, '리스사업(D)'!U:U, $D$1),
    SUMIFS('임대사업(E)'!I:I, '임대사업(E)'!C:C, $E$1, '임대사업(E)'!G:G, B15, '임대사업(E)'!X:X, B22, '임대사업(E)'!U:U, $D$1),
    SUMIFS('환경부사업(F)'!I:I, '환경부사업(F)'!C:C, $E$1, '환경부사업(F)'!G:G, B15, '환경부사업(F)'!X:X, B22, '환경부사업(F)'!U:U, $D$1),
    SUMIFS('프로젝트(G)'!I:I, '프로젝트(G)'!C:C, $E$1, '프로젝트(G)'!G:G, B15, '프로젝트(G)'!X:X, B22, '프로젝트(G)'!U:U, $D$1),
    SUMIFS('협력사 EPC(H)'!I:I, '협력사 EPC(H)'!C:C, $E$1, '협력사 EPC(H)'!G:G, B15, '협력사 EPC(H)'!X:X, B22, '협력사 EPC(H)'!U:U, $D$1),
    SUMIFS('기타(Z)'!I:I, '기타(Z)'!C:C, $E$1, '기타(Z)'!G:G, B15, '기타(Z)'!X:X, B22, '기타(Z)'!U:U, $D$1)
  ) = 0,
  "",
  SUM(
    SUMIFS('발전사업(A)'!I:I, '발전사업(A)'!C:C, $E$1, '발전사업(A)'!G:G, B15, '발전사업(A)'!X:X, B22, '발전사업(A)'!U:U, $D$1),
    SUMIFS('자가소비(B)'!I:I, '자가소비(B)'!C:C, $E$1, '자가소비(B)'!G:G, B15, '자가소비(B)'!X:X, B22, '자가소비(B)'!U:U, $D$1),
    SUMIFS('PPA 사업(C)'!I:I, 'PPA 사업(C)'!C:C, $E$1, 'PPA 사업(C)'!G:G, B15, 'PPA 사업(C)'!X:X, B22, 'PPA 사업(C)'!U:U, $D$1),
    SUMIFS('리스사업(D)'!I:I, '리스사업(D)'!C:C, $E$1, '리스사업(D)'!G:G, B15, '리스사업(D)'!X:X, B22, '리스사업(D)'!U:U, $D$1),
    SUMIFS('임대사업(E)'!I:I, '임대사업(E)'!C:C, $E$1, '임대사업(E)'!G:G, B15, '임대사업(E)'!X:X, B22, '임대사업(E)'!U:U, $D$1),
    SUMIFS('환경부사업(F)'!I:I, '환경부사업(F)'!C:C, $E$1, '환경부사업(F)'!G:G, B15, '환경부사업(F)'!X:X, B22, '환경부사업(F)'!U:U, $D$1),
    SUMIFS('프로젝트(G)'!I:I, '프로젝트(G)'!C:C, $E$1, '프로젝트(G)'!G:G, B15, '프로젝트(G)'!X:X, B22, '프로젝트(G)'!U:U, $D$1),
    SUMIFS('협력사 EPC(H)'!I:I, '협력사 EPC(H)'!C:C, $E$1, '협력사 EPC(H)'!G:G, B15, '협력사 EPC(H)'!X:X, B22, '협력사 EPC(H)'!U:U, $D$1),
    SUMIFS('기타(Z)'!I:I, '기타(Z)'!C:C, $E$1, '기타(Z)'!G:G, B15, '기타(Z)'!X:X, B22, '기타(Z)'!U:U, $D$1)
  )
)</f>
        <v/>
      </c>
      <c r="H22" s="263" t="str">
        <f>IF(
  (
    COUNTIFS('발전사업(A)'!C:C, $E$1, '발전사업(A)'!G:G, B15, '발전사업(A)'!X:X, B22, '발전사업(A)'!U:U, $D$1)
    + COUNTIFS('자가소비(B)'!C:C, $E$1, '자가소비(B)'!G:G, B15, '자가소비(B)'!X:X, B22, '자가소비(B)'!U:U, $D$1)
    + COUNTIFS('PPA 사업(C)'!C:C, $E$1, 'PPA 사업(C)'!G:G, B15, 'PPA 사업(C)'!X:X, B22, 'PPA 사업(C)'!U:U, $D$1)
    + COUNTIFS('리스사업(D)'!C:C, $E$1, '리스사업(D)'!G:G, B15, '리스사업(D)'!X:X, B22, '리스사업(D)'!U:U, $D$1)
    + COUNTIFS('임대사업(E)'!C:C, $E$1, '임대사업(E)'!G:G, B15, '임대사업(E)'!X:X, B22, '임대사업(E)'!U:U, $D$1)
    + COUNTIFS('환경부사업(F)'!C:C, $E$1, '환경부사업(F)'!G:G, B15, '환경부사업(F)'!X:X, B22, '환경부사업(F)'!U:U, $D$1)
    + COUNTIFS('프로젝트(G)'!C:C, $E$1, '프로젝트(G)'!G:G, B15, '프로젝트(G)'!X:X, B22, '프로젝트(G)'!U:U, $D$1)
    + COUNTIFS('협력사 EPC(H)'!C:C, $E$1, '협력사 EPC(H)'!G:G, B15, '협력사 EPC(H)'!X:X, B22, '협력사 EPC(H)'!U:U, $D$1)
    + COUNTIFS('기타(Z)'!C:C, $E$1, '기타(Z)'!G:G, $B15, '기타(Z)'!X:X, B22, '기타(Z)'!U:U, $D$1)
  ) = 0,
  "",
  COUNTIFS('발전사업(A)'!C:C, $E$1, '발전사업(A)'!G:G, B15, '발전사업(A)'!X:X, B22, '발전사업(A)'!U:U, $D$1)
  + COUNTIFS('자가소비(B)'!C:C, $E$1, '자가소비(B)'!G:G, B15, '자가소비(B)'!X:X, B22, '자가소비(B)'!U:U, $D$1)
  + COUNTIFS('PPA 사업(C)'!C:C, $E$1, 'PPA 사업(C)'!G:G, B15, 'PPA 사업(C)'!X:X, B22, 'PPA 사업(C)'!U:U, $D$1)
  + COUNTIFS('리스사업(D)'!C:C, $E$1, '리스사업(D)'!G:G, B15, '리스사업(D)'!X:X, B22, '리스사업(D)'!U:U, $D$1)
  + COUNTIFS('임대사업(E)'!C:C, $E$1, '임대사업(E)'!G:G, B15, '임대사업(E)'!X:X, B22, '임대사업(E)'!U:U, $D$1)
  + COUNTIFS('환경부사업(F)'!C:C, $E$1, '환경부사업(F)'!G:G, B15, '환경부사업(F)'!X:X, B22, '환경부사업(F)'!U:U, $D$1)
  + COUNTIFS('프로젝트(G)'!C:C, $E$1, '프로젝트(G)'!G:G, B15, '프로젝트(G)'!X:X, B22, '프로젝트(G)'!U:U, $D$1)
  + COUNTIFS('협력사 EPC(H)'!C:C, $E$1, '협력사 EPC(H)'!G:G, B15, '협력사 EPC(H)'!X:X, B22, '협력사 EPC(H)'!U:U, $D$1)
  + COUNTIFS('기타(Z)'!C:C, $E$1, '기타(Z)'!G:G, B15, '기타(Z)'!X:X, B22, '기타(Z)'!U:U, $D$1)
)</f>
        <v/>
      </c>
      <c r="J22" s="358" t="s">
        <v>204</v>
      </c>
      <c r="K22" s="355">
        <f t="shared" ref="K22:AJ22" si="7">IF(SUM(K13:K21)=0, "", SUM(K13:K21))</f>
        <v>30342.415000000005</v>
      </c>
      <c r="L22" s="351">
        <f t="shared" si="7"/>
        <v>88</v>
      </c>
      <c r="M22" s="353">
        <f t="shared" si="7"/>
        <v>4374.6750000000002</v>
      </c>
      <c r="N22" s="350">
        <f t="shared" si="7"/>
        <v>11</v>
      </c>
      <c r="O22" s="349">
        <f t="shared" si="7"/>
        <v>3510.7349999999997</v>
      </c>
      <c r="P22" s="350">
        <f t="shared" si="7"/>
        <v>13</v>
      </c>
      <c r="Q22" s="349">
        <f t="shared" si="7"/>
        <v>7247.2200000000012</v>
      </c>
      <c r="R22" s="350">
        <f t="shared" si="7"/>
        <v>15</v>
      </c>
      <c r="S22" s="349">
        <f t="shared" si="7"/>
        <v>3548.1449999999995</v>
      </c>
      <c r="T22" s="350">
        <f t="shared" si="7"/>
        <v>11</v>
      </c>
      <c r="U22" s="349">
        <f t="shared" si="7"/>
        <v>1375.14</v>
      </c>
      <c r="V22" s="350">
        <f t="shared" si="7"/>
        <v>5</v>
      </c>
      <c r="W22" s="349">
        <f t="shared" si="7"/>
        <v>2712.87</v>
      </c>
      <c r="X22" s="350">
        <f t="shared" si="7"/>
        <v>9</v>
      </c>
      <c r="Y22" s="349">
        <f t="shared" si="7"/>
        <v>3732.6550000000002</v>
      </c>
      <c r="Z22" s="350">
        <f t="shared" si="7"/>
        <v>10</v>
      </c>
      <c r="AA22" s="349">
        <f t="shared" si="7"/>
        <v>3283.05</v>
      </c>
      <c r="AB22" s="350">
        <f t="shared" si="7"/>
        <v>9</v>
      </c>
      <c r="AC22" s="349">
        <f t="shared" si="7"/>
        <v>557.92499999999995</v>
      </c>
      <c r="AD22" s="350">
        <f t="shared" si="7"/>
        <v>5</v>
      </c>
      <c r="AE22" s="349" t="str">
        <f t="shared" si="7"/>
        <v/>
      </c>
      <c r="AF22" s="350" t="str">
        <f t="shared" si="7"/>
        <v/>
      </c>
      <c r="AG22" s="349" t="str">
        <f t="shared" si="7"/>
        <v/>
      </c>
      <c r="AH22" s="350" t="str">
        <f t="shared" si="7"/>
        <v/>
      </c>
      <c r="AI22" s="349" t="str">
        <f t="shared" si="7"/>
        <v/>
      </c>
      <c r="AJ22" s="351" t="str">
        <f t="shared" si="7"/>
        <v/>
      </c>
    </row>
    <row r="23" spans="2:36" ht="14.25" thickBot="1" x14ac:dyDescent="0.3">
      <c r="B23" s="195" t="s">
        <v>158</v>
      </c>
      <c r="C23" s="262">
        <f>IF(
  SUM(
    SUMIFS('발전사업(A)'!I:I, '발전사업(A)'!C:C, $E$1, '발전사업(A)'!G:G, B15, '발전사업(A)'!X:X, B23),
    SUMIFS('자가소비(B)'!I:I, '자가소비(B)'!C:C, $E$1, '자가소비(B)'!G:G, B15, '자가소비(B)'!X:X, B23),
    SUMIFS('PPA 사업(C)'!I:I, 'PPA 사업(C)'!C:C, $E$1, 'PPA 사업(C)'!G:G, B15, 'PPA 사업(C)'!X:X, B23),
    SUMIFS('리스사업(D)'!I:I, '리스사업(D)'!C:C, $E$1, '리스사업(D)'!G:G, B15, '리스사업(D)'!X:X, B23),
    SUMIFS('임대사업(E)'!I:I, '임대사업(E)'!C:C, $E$1, '임대사업(E)'!G:G, B15, '임대사업(E)'!X:X, B23),
    SUMIFS('환경부사업(F)'!I:I, '환경부사업(F)'!C:C, $E$1, '환경부사업(F)'!G:G, B15, '환경부사업(F)'!X:X, B23),
    SUMIFS('프로젝트(G)'!I:I, '프로젝트(G)'!C:C, $E$1, '프로젝트(G)'!G:G, B15, '프로젝트(G)'!X:X, B23),
    SUMIFS('협력사 EPC(H)'!I:I, '협력사 EPC(H)'!C:C, $E$1, '협력사 EPC(H)'!G:G, B15, '협력사 EPC(H)'!X:X, B23),
    SUMIFS('기타(Z)'!I:I, '기타(Z)'!C:C, $E$1, '기타(Z)'!G:G, B15, '기타(Z)'!X:X, B23)
  ) = 0,
  "",
  SUMIFS('발전사업(A)'!I:I, '발전사업(A)'!C:C, $E$1, '발전사업(A)'!G:G, B15, '발전사업(A)'!X:X, B23)
  + SUMIFS('자가소비(B)'!I:I, '자가소비(B)'!C:C, $E$1, '자가소비(B)'!G:G, B15, '자가소비(B)'!X:X, B23)
  + SUMIFS('PPA 사업(C)'!I:I, 'PPA 사업(C)'!C:C, $E$1, 'PPA 사업(C)'!G:G, B15, 'PPA 사업(C)'!X:X, B23)
  + SUMIFS('리스사업(D)'!I:I, '리스사업(D)'!C:C, $E$1, '리스사업(D)'!G:G, B15, '리스사업(D)'!X:X, B23)
  + SUMIFS('임대사업(E)'!I:I, '임대사업(E)'!C:C, $E$1, '임대사업(E)'!G:G, B15, '임대사업(E)'!X:X, B23)
  + SUMIFS('환경부사업(F)'!I:I, '환경부사업(F)'!C:C, $E$1, '환경부사업(F)'!G:G, B15, '환경부사업(F)'!X:X, B23)
  + SUMIFS('프로젝트(G)'!I:I, '프로젝트(G)'!C:C, $E$1, '프로젝트(G)'!G:G, B15, '프로젝트(G)'!X:X, B23)
  + SUMIFS('협력사 EPC(H)'!I:I, '협력사 EPC(H)'!C:C, $E$1, '협력사 EPC(H)'!G:G, B15, '협력사 EPC(H)'!X:X, B23)
  + SUMIFS('기타(Z)'!I:I, '기타(Z)'!C:C, $E$1, '기타(Z)'!G:G, B15, '기타(Z)'!X:X, B23)
)</f>
        <v>47.73</v>
      </c>
      <c r="D23" s="263">
        <f>IF(
  COUNTIFS('발전사업(A)'!C:C, $E$1, '발전사업(A)'!G:G, B15, '발전사업(A)'!X:X, B23)
  + COUNTIFS('자가소비(B)'!C:C, $E$1, '자가소비(B)'!G:G, B15, '자가소비(B)'!X:X, B23)
  + COUNTIFS('PPA 사업(C)'!C:C, $E$1, 'PPA 사업(C)'!G:G, B15, 'PPA 사업(C)'!X:X, B23)
  + COUNTIFS('리스사업(D)'!C:C, $E$1, '리스사업(D)'!G:G, B15, '리스사업(D)'!X:X, B23)
  + COUNTIFS('임대사업(E)'!C:C, $E$1, '임대사업(E)'!G:G, B15, '임대사업(E)'!X:X, B23)
  + COUNTIFS('환경부사업(F)'!C:C, $E$1, '환경부사업(F)'!G:G, B15, '환경부사업(F)'!X:X, B23)
  + COUNTIFS('프로젝트(G)'!C:C, $E$1, '프로젝트(G)'!G:G, B15, '프로젝트(G)'!X:X, B23)
  + COUNTIFS('협력사 EPC(H)'!C:C, $E$1, '협력사 EPC(H)'!G:G, B15, '협력사 EPC(H)'!X:X, B23)
  + COUNTIFS('기타(Z)'!C:C, $E$1, '기타(Z)'!G:G, B15, '기타(Z)'!X:X, B23)
  = 0,
  "",
  COUNTIFS('발전사업(A)'!C:C, $E$1, '발전사업(A)'!G:G, B15, '발전사업(A)'!X:X, B23)
  + COUNTIFS('자가소비(B)'!C:C, $E$1, '자가소비(B)'!G:G, B15, '자가소비(B)'!X:X, B23)
  + COUNTIFS('PPA 사업(C)'!C:C, $E$1, 'PPA 사업(C)'!G:G, B15, 'PPA 사업(C)'!X:X, B23)
  + COUNTIFS('리스사업(D)'!C:C, $E$1, '리스사업(D)'!G:G, B15, '리스사업(D)'!X:X, B23)
  + COUNTIFS('임대사업(E)'!C:C, $E$1, '임대사업(E)'!G:G, B15, '임대사업(E)'!X:X, B23)
  + COUNTIFS('환경부사업(F)'!C:C, $E$1, '환경부사업(F)'!G:G, B15, '환경부사업(F)'!X:X, B23)
  + COUNTIFS('프로젝트(G)'!C:C, $E$1, '프로젝트(G)'!G:G, B15, '프로젝트(G)'!X:X, B23)
  + COUNTIFS('협력사 EPC(H)'!C:C, $E$1, '협력사 EPC(H)'!G:G, B15, '협력사 EPC(H)'!X:X, B23)
  + COUNTIFS('기타(Z)'!C:C, $E$1, '기타(Z)'!G:G, B15, '기타(Z)'!X:X, B23)
)</f>
        <v>1</v>
      </c>
      <c r="E23" s="262" t="str">
        <f>IF(
  SUM(
    SUMIFS('발전사업(A)'!I:I, '발전사업(A)'!C:C, $E$1, '발전사업(A)'!G:G, B15, '발전사업(A)'!X:X, B23, '발전사업(A)'!U:U, $C$1),
    SUMIFS('자가소비(B)'!I:I, '자가소비(B)'!C:C, $E$1, '자가소비(B)'!G:G, B15, '자가소비(B)'!X:X, B23, '자가소비(B)'!U:U, $C$1),
    SUMIFS('PPA 사업(C)'!I:I, 'PPA 사업(C)'!C:C, $E$1, 'PPA 사업(C)'!G:G, B15, 'PPA 사업(C)'!X:X, B23, 'PPA 사업(C)'!U:U, $C$1),
    SUMIFS('리스사업(D)'!I:I, '리스사업(D)'!C:C, $E$1, '리스사업(D)'!G:G, B15, '리스사업(D)'!X:X, B23, '리스사업(D)'!U:U, $C$1),
    SUMIFS('임대사업(E)'!I:I, '임대사업(E)'!C:C, $E$1, '임대사업(E)'!G:G, B15, '임대사업(E)'!X:X, B23, '임대사업(E)'!U:U, $C$1),
    SUMIFS('환경부사업(F)'!I:I, '환경부사업(F)'!C:C, $E$1, '환경부사업(F)'!G:G, B15, '환경부사업(F)'!X:X, B23, '환경부사업(F)'!U:U, $C$1),
    SUMIFS('프로젝트(G)'!I:I, '프로젝트(G)'!C:C, $E$1, '프로젝트(G)'!G:G, B15, '프로젝트(G)'!X:X, B23, '프로젝트(G)'!U:U, $C$1),
    SUMIFS('협력사 EPC(H)'!I:I, '협력사 EPC(H)'!C:C, $E$1, '협력사 EPC(H)'!G:G, B15, '협력사 EPC(H)'!X:X, B23, '협력사 EPC(H)'!U:U, $C$1),
    SUMIFS('기타(Z)'!I:I, '기타(Z)'!C:C, $E$1, '기타(Z)'!G:G, B15, '기타(Z)'!X:X, B23, '기타(Z)'!U:U, $C$1)
  ) = 0,
  "",
  SUM(
    SUMIFS('발전사업(A)'!I:I, '발전사업(A)'!C:C, $E$1, '발전사업(A)'!G:G, B15, '발전사업(A)'!X:X, B23, '발전사업(A)'!U:U, $C$1),
    SUMIFS('자가소비(B)'!I:I, '자가소비(B)'!C:C, $E$1, '자가소비(B)'!G:G, B15, '자가소비(B)'!X:X, B23, '자가소비(B)'!U:U, $C$1),
    SUMIFS('PPA 사업(C)'!I:I, 'PPA 사업(C)'!C:C, $E$1, 'PPA 사업(C)'!G:G, B15, 'PPA 사업(C)'!X:X, B23, 'PPA 사업(C)'!U:U, $C$1),
    SUMIFS('리스사업(D)'!I:I, '리스사업(D)'!C:C, $E$1, '리스사업(D)'!G:G, B15, '리스사업(D)'!X:X, B23, '리스사업(D)'!U:U, $C$1),
    SUMIFS('임대사업(E)'!I:I, '임대사업(E)'!C:C, $E$1, '임대사업(E)'!G:G, B15, '임대사업(E)'!X:X, B23, '임대사업(E)'!U:U, $C$1),
    SUMIFS('환경부사업(F)'!I:I, '환경부사업(F)'!C:C, $E$1, '환경부사업(F)'!G:G, B15, '환경부사업(F)'!X:X, B23, '환경부사업(F)'!U:U, $C$1),
    SUMIFS('프로젝트(G)'!I:I, '프로젝트(G)'!C:C, $E$1, '프로젝트(G)'!G:G, B15, '프로젝트(G)'!X:X, B23, '프로젝트(G)'!U:U, $C$1),
    SUMIFS('협력사 EPC(H)'!I:I, '협력사 EPC(H)'!C:C, $E$1, '협력사 EPC(H)'!G:G, B15, '협력사 EPC(H)'!X:X, B23, '협력사 EPC(H)'!U:U, $C$1),
    SUMIFS('기타(Z)'!I:I, '기타(Z)'!C:C, $E$1, '기타(Z)'!G:G, B15, '기타(Z)'!X:X, B23, '기타(Z)'!U:U, $C$1)
  )
)</f>
        <v/>
      </c>
      <c r="F23" s="263" t="str">
        <f>IF(
  SUM(
    COUNTIFS('발전사업(A)'!C:C, $E$1, '발전사업(A)'!G:G, B15, '발전사업(A)'!X:X, B23, '발전사업(A)'!U:U, $C$1),
    COUNTIFS('자가소비(B)'!C:C, $E$1, '자가소비(B)'!G:G, B15, '자가소비(B)'!X:X, B23, '자가소비(B)'!U:U, $C$1),
    COUNTIFS('PPA 사업(C)'!C:C, $E$1, 'PPA 사업(C)'!G:G, B15, 'PPA 사업(C)'!X:X, B23, 'PPA 사업(C)'!U:U, $C$1),
    COUNTIFS('리스사업(D)'!C:C, $E$1, '리스사업(D)'!G:G, B15, '리스사업(D)'!X:X, B23, '리스사업(D)'!U:U, $C$1),
    COUNTIFS('임대사업(E)'!C:C, $E$1, '임대사업(E)'!G:G, B15, '임대사업(E)'!X:X, B23, '임대사업(E)'!U:U, $C$1),
    COUNTIFS('환경부사업(F)'!C:C, $E$1, '환경부사업(F)'!G:G, B15, '환경부사업(F)'!X:X, B23, '환경부사업(F)'!U:U, $C$1),
    COUNTIFS('프로젝트(G)'!C:C, $E$1, '프로젝트(G)'!G:G, B15, '프로젝트(G)'!X:X, B23, '프로젝트(G)'!U:U, $C$1),
    COUNTIFS('협력사 EPC(H)'!C:C, $E$1, '협력사 EPC(H)'!G:G, B15, '협력사 EPC(H)'!X:X, B23, '협력사 EPC(H)'!U:U, $C$1),
    COUNTIFS('기타(Z)'!C:C, $E$1, '기타(Z)'!G:G, B15, '기타(Z)'!X:X, B23, '기타(Z)'!U:U, $C$1)
  ) = 0,
  "",
  SUM(
    COUNTIFS('발전사업(A)'!C:C, $E$1, '발전사업(A)'!G:G, B15, '발전사업(A)'!X:X, B23, '발전사업(A)'!U:U, $C$1),
    COUNTIFS('자가소비(B)'!C:C, $E$1, '자가소비(B)'!G:G, B15, '자가소비(B)'!X:X, B23, '자가소비(B)'!U:U, $C$1),
    COUNTIFS('PPA 사업(C)'!C:C, $E$1, 'PPA 사업(C)'!G:G, B15, 'PPA 사업(C)'!X:X, B23, 'PPA 사업(C)'!U:U, $C$1),
    COUNTIFS('리스사업(D)'!C:C, $E$1, '리스사업(D)'!G:G, B15, '리스사업(D)'!X:X, B23, '리스사업(D)'!U:U, $C$1),
    COUNTIFS('임대사업(E)'!C:C, $E$1, '임대사업(E)'!G:G, B15, '임대사업(E)'!X:X, B23, '임대사업(E)'!U:U, $C$1),
    COUNTIFS('환경부사업(F)'!C:C, $E$1, '환경부사업(F)'!G:G, B15, '환경부사업(F)'!X:X, B23, '환경부사업(F)'!U:U, $C$1),
    COUNTIFS('프로젝트(G)'!C:C, $E$1, '프로젝트(G)'!G:G, B15, '프로젝트(G)'!X:X, B23, '프로젝트(G)'!U:U, $C$1),
    COUNTIFS('협력사 EPC(H)'!C:C, $E$1, '협력사 EPC(H)'!G:G, B15, '협력사 EPC(H)'!X:X, B23, '협력사 EPC(H)'!U:U, $C$1),
    COUNTIFS('기타(Z)'!C:C, $E$1, '기타(Z)'!G:G, B15, '기타(Z)'!X:X, B23, '기타(Z)'!U:U, $C$1)
  )
)</f>
        <v/>
      </c>
      <c r="G23" s="262">
        <f>IF(
  SUM(
    SUMIFS('발전사업(A)'!I:I, '발전사업(A)'!C:C, $E$1, '발전사업(A)'!G:G, B15, '발전사업(A)'!X:X, B23, '발전사업(A)'!U:U, $D$1),
    SUMIFS('자가소비(B)'!I:I, '자가소비(B)'!C:C, $E$1, '자가소비(B)'!G:G, B15, '자가소비(B)'!X:X, B23, '자가소비(B)'!U:U, $D$1),
    SUMIFS('PPA 사업(C)'!I:I, 'PPA 사업(C)'!C:C, $E$1, 'PPA 사업(C)'!G:G, B15, 'PPA 사업(C)'!X:X, B23, 'PPA 사업(C)'!U:U, $D$1),
    SUMIFS('리스사업(D)'!I:I, '리스사업(D)'!C:C, $E$1, '리스사업(D)'!G:G, B15, '리스사업(D)'!X:X, B23, '리스사업(D)'!U:U, $D$1),
    SUMIFS('임대사업(E)'!I:I, '임대사업(E)'!C:C, $E$1, '임대사업(E)'!G:G, B15, '임대사업(E)'!X:X, B23, '임대사업(E)'!U:U, $D$1),
    SUMIFS('환경부사업(F)'!I:I, '환경부사업(F)'!C:C, $E$1, '환경부사업(F)'!G:G, B15, '환경부사업(F)'!X:X, B23, '환경부사업(F)'!U:U, $D$1),
    SUMIFS('프로젝트(G)'!I:I, '프로젝트(G)'!C:C, $E$1, '프로젝트(G)'!G:G, B15, '프로젝트(G)'!X:X, B23, '프로젝트(G)'!U:U, $D$1),
    SUMIFS('협력사 EPC(H)'!I:I, '협력사 EPC(H)'!C:C, $E$1, '협력사 EPC(H)'!G:G, B15, '협력사 EPC(H)'!X:X, B23, '협력사 EPC(H)'!U:U, $D$1),
    SUMIFS('기타(Z)'!I:I, '기타(Z)'!C:C, $E$1, '기타(Z)'!G:G, B15, '기타(Z)'!X:X, B23, '기타(Z)'!U:U, $D$1)
  ) = 0,
  "",
  SUM(
    SUMIFS('발전사업(A)'!I:I, '발전사업(A)'!C:C, $E$1, '발전사업(A)'!G:G, B15, '발전사업(A)'!X:X, B23, '발전사업(A)'!U:U, $D$1),
    SUMIFS('자가소비(B)'!I:I, '자가소비(B)'!C:C, $E$1, '자가소비(B)'!G:G, B15, '자가소비(B)'!X:X, B23, '자가소비(B)'!U:U, $D$1),
    SUMIFS('PPA 사업(C)'!I:I, 'PPA 사업(C)'!C:C, $E$1, 'PPA 사업(C)'!G:G, B15, 'PPA 사업(C)'!X:X, B23, 'PPA 사업(C)'!U:U, $D$1),
    SUMIFS('리스사업(D)'!I:I, '리스사업(D)'!C:C, $E$1, '리스사업(D)'!G:G, B15, '리스사업(D)'!X:X, B23, '리스사업(D)'!U:U, $D$1),
    SUMIFS('임대사업(E)'!I:I, '임대사업(E)'!C:C, $E$1, '임대사업(E)'!G:G, B15, '임대사업(E)'!X:X, B23, '임대사업(E)'!U:U, $D$1),
    SUMIFS('환경부사업(F)'!I:I, '환경부사업(F)'!C:C, $E$1, '환경부사업(F)'!G:G, B15, '환경부사업(F)'!X:X, B23, '환경부사업(F)'!U:U, $D$1),
    SUMIFS('프로젝트(G)'!I:I, '프로젝트(G)'!C:C, $E$1, '프로젝트(G)'!G:G, B15, '프로젝트(G)'!X:X, B23, '프로젝트(G)'!U:U, $D$1),
    SUMIFS('협력사 EPC(H)'!I:I, '협력사 EPC(H)'!C:C, $E$1, '협력사 EPC(H)'!G:G, B15, '협력사 EPC(H)'!X:X, B23, '협력사 EPC(H)'!U:U, $D$1),
    SUMIFS('기타(Z)'!I:I, '기타(Z)'!C:C, $E$1, '기타(Z)'!G:G, B15, '기타(Z)'!X:X, B23, '기타(Z)'!U:U, $D$1)
  )
)</f>
        <v>47.73</v>
      </c>
      <c r="H23" s="263">
        <f>IF(
  (
    COUNTIFS('발전사업(A)'!C:C, $E$1, '발전사업(A)'!G:G, B15, '발전사업(A)'!X:X, B23, '발전사업(A)'!U:U, $D$1)
    + COUNTIFS('자가소비(B)'!C:C, $E$1, '자가소비(B)'!G:G, B15, '자가소비(B)'!X:X, B23, '자가소비(B)'!U:U, $D$1)
    + COUNTIFS('PPA 사업(C)'!C:C, $E$1, 'PPA 사업(C)'!G:G, B15, 'PPA 사업(C)'!X:X, B23, 'PPA 사업(C)'!U:U, $D$1)
    + COUNTIFS('리스사업(D)'!C:C, $E$1, '리스사업(D)'!G:G, B15, '리스사업(D)'!X:X, B23, '리스사업(D)'!U:U, $D$1)
    + COUNTIFS('임대사업(E)'!C:C, $E$1, '임대사업(E)'!G:G, B15, '임대사업(E)'!X:X, B23, '임대사업(E)'!U:U, $D$1)
    + COUNTIFS('환경부사업(F)'!C:C, $E$1, '환경부사업(F)'!G:G, B15, '환경부사업(F)'!X:X, B23, '환경부사업(F)'!U:U, $D$1)
    + COUNTIFS('프로젝트(G)'!C:C, $E$1, '프로젝트(G)'!G:G, B15, '프로젝트(G)'!X:X, B23, '프로젝트(G)'!U:U, $D$1)
    + COUNTIFS('협력사 EPC(H)'!C:C, $E$1, '협력사 EPC(H)'!G:G, B15, '협력사 EPC(H)'!X:X, B23, '협력사 EPC(H)'!U:U, $D$1)
    + COUNTIFS('기타(Z)'!C:C, $E$1, '기타(Z)'!G:G, B15, '기타(Z)'!X:X, B23, '기타(Z)'!U:U, $D$1)
  ) = 0,
  "",
  COUNTIFS('발전사업(A)'!C:C, $E$1, '발전사업(A)'!G:G, B15, '발전사업(A)'!X:X, B23, '발전사업(A)'!U:U, $D$1)
  + COUNTIFS('자가소비(B)'!C:C, $E$1, '자가소비(B)'!G:G, B15, '자가소비(B)'!X:X, B23, '자가소비(B)'!U:U, $D$1)
  + COUNTIFS('PPA 사업(C)'!C:C, $E$1, 'PPA 사업(C)'!G:G, B15, 'PPA 사업(C)'!X:X, B23, 'PPA 사업(C)'!U:U, $D$1)
  + COUNTIFS('리스사업(D)'!C:C, $E$1, '리스사업(D)'!G:G, B15, '리스사업(D)'!X:X, B23, '리스사업(D)'!U:U, $D$1)
  + COUNTIFS('임대사업(E)'!C:C, $E$1, '임대사업(E)'!G:G, B15, '임대사업(E)'!X:X, B23, '임대사업(E)'!U:U, $D$1)
  + COUNTIFS('환경부사업(F)'!C:C, $E$1, '환경부사업(F)'!G:G, B15, '환경부사업(F)'!X:X, B23, '환경부사업(F)'!U:U, $D$1)
  + COUNTIFS('프로젝트(G)'!C:C, $E$1, '프로젝트(G)'!G:G, B15, '프로젝트(G)'!X:X, B23, '프로젝트(G)'!U:U, $D$1)
  + COUNTIFS('협력사 EPC(H)'!C:C, $E$1, '협력사 EPC(H)'!G:G, B15, '협력사 EPC(H)'!X:X, B23, '협력사 EPC(H)'!U:U, $D$1)
  + COUNTIFS('기타(Z)'!C:C, $E$1, '기타(Z)'!G:G, B15, '기타(Z)'!X:X, B23, '기타(Z)'!U:U, $D$1)
)</f>
        <v>1</v>
      </c>
    </row>
    <row r="24" spans="2:36" ht="17.25" thickBot="1" x14ac:dyDescent="0.3">
      <c r="B24" s="274" t="s">
        <v>174</v>
      </c>
      <c r="C24" s="268">
        <f t="shared" ref="C24:H24" si="8">SUM(C16:C23)</f>
        <v>6484.83</v>
      </c>
      <c r="D24" s="269">
        <f t="shared" si="8"/>
        <v>21</v>
      </c>
      <c r="E24" s="270">
        <f t="shared" si="8"/>
        <v>4208.3500000000004</v>
      </c>
      <c r="F24" s="271">
        <f t="shared" si="8"/>
        <v>15</v>
      </c>
      <c r="G24" s="272">
        <f t="shared" si="8"/>
        <v>2276.48</v>
      </c>
      <c r="H24" s="273">
        <f t="shared" si="8"/>
        <v>6</v>
      </c>
      <c r="J24" s="361" t="s">
        <v>205</v>
      </c>
      <c r="K24" s="362">
        <f>IF(K11+K22=0, "", K11+K22)</f>
        <v>54324.530000000006</v>
      </c>
      <c r="L24" s="363">
        <f>IF(SUM(L11,L22)=0, "", L11+L22)</f>
        <v>175</v>
      </c>
    </row>
    <row r="27" spans="2:36" ht="17.25" x14ac:dyDescent="0.25">
      <c r="B27" s="264">
        <v>2</v>
      </c>
      <c r="C27" s="265" t="s">
        <v>176</v>
      </c>
      <c r="D27" s="265" t="s">
        <v>175</v>
      </c>
      <c r="E27" s="266" t="s">
        <v>177</v>
      </c>
      <c r="F27" s="266" t="s">
        <v>178</v>
      </c>
      <c r="G27" s="267" t="s">
        <v>179</v>
      </c>
      <c r="H27" s="267" t="s">
        <v>180</v>
      </c>
    </row>
    <row r="28" spans="2:36" x14ac:dyDescent="0.25">
      <c r="B28" s="195" t="s">
        <v>160</v>
      </c>
      <c r="C28" s="262">
        <f>IF(
  SUM(
    SUMIFS('발전사업(A)'!I:I, '발전사업(A)'!C:C, $E$1, '발전사업(A)'!G:G, B27, '발전사업(A)'!X:X, B28),
    SUMIFS('자가소비(B)'!I:I, '자가소비(B)'!C:C, $E$1, '자가소비(B)'!G:G, B27, '자가소비(B)'!X:X, B28),
    SUMIFS('PPA 사업(C)'!I:I, 'PPA 사업(C)'!C:C, $E$1, 'PPA 사업(C)'!G:G, B27, 'PPA 사업(C)'!X:X, B28),
    SUMIFS('리스사업(D)'!I:I, '리스사업(D)'!C:C, $E$1, '리스사업(D)'!G:G, B27, '리스사업(D)'!X:X, B28),
    SUMIFS('임대사업(E)'!I:I, '임대사업(E)'!C:C, $E$1, '임대사업(E)'!G:G, B27, '임대사업(E)'!X:X, B28),
    SUMIFS('환경부사업(F)'!I:I, '환경부사업(F)'!C:C, $E$1, '환경부사업(F)'!G:G, B27, '환경부사업(F)'!X:X, B28),
    SUMIFS('프로젝트(G)'!I:I, '프로젝트(G)'!C:C, $E$1, '프로젝트(G)'!G:G, B27, '프로젝트(G)'!X:X, B28),
    SUMIFS('협력사 EPC(H)'!I:I, '협력사 EPC(H)'!C:C, $E$1, '협력사 EPC(H)'!G:G, B27, '협력사 EPC(H)'!X:X, B28),
    SUMIFS('기타(Z)'!I:I, '기타(Z)'!C:C, $E$1, '기타(Z)'!G:G, B27, '기타(Z)'!X:X, B28)
  ) = 0,
  "",
  SUMIFS('발전사업(A)'!I:I, '발전사업(A)'!C:C, $E$1, '발전사업(A)'!G:G, B27, '발전사업(A)'!X:X, B28)
  + SUMIFS('자가소비(B)'!I:I, '자가소비(B)'!C:C, $E$1, '자가소비(B)'!G:G, B27, '자가소비(B)'!X:X, B28)
  + SUMIFS('PPA 사업(C)'!I:I, 'PPA 사업(C)'!C:C, $E$1, 'PPA 사업(C)'!G:G, B27, 'PPA 사업(C)'!X:X, B28)
  + SUMIFS('리스사업(D)'!I:I, '리스사업(D)'!C:C, $E$1, '리스사업(D)'!G:G, B27, '리스사업(D)'!X:X, B28)
  + SUMIFS('임대사업(E)'!I:I, '임대사업(E)'!C:C, $E$1, '임대사업(E)'!G:G, B27, '임대사업(E)'!X:X, B28)
  + SUMIFS('환경부사업(F)'!I:I, '환경부사업(F)'!C:C, $E$1, '환경부사업(F)'!G:G, B27, '환경부사업(F)'!X:X, B28)
  + SUMIFS('프로젝트(G)'!I:I, '프로젝트(G)'!C:C, $E$1, '프로젝트(G)'!G:G, B27, '프로젝트(G)'!X:X, B28)
  + SUMIFS('협력사 EPC(H)'!I:I, '협력사 EPC(H)'!C:C, $E$1, '협력사 EPC(H)'!G:G, B27, '협력사 EPC(H)'!X:X, B28)
  + SUMIFS('기타(Z)'!I:I, '기타(Z)'!C:C, $E$1, '기타(Z)'!G:G, B27, '기타(Z)'!X:X, B28)
)</f>
        <v>1486.0800000000002</v>
      </c>
      <c r="D28" s="263">
        <f>IF(
  COUNTIFS('발전사업(A)'!C:C, $E$1, '발전사업(A)'!G:G, B27, '발전사업(A)'!X:X, B28)
  + COUNTIFS('자가소비(B)'!C:C, $E$1, '자가소비(B)'!G:G, B27, '자가소비(B)'!X:X, B28)
  + COUNTIFS('PPA 사업(C)'!C:C, $E$1, 'PPA 사업(C)'!G:G, B27, 'PPA 사업(C)'!X:X, B28)
  + COUNTIFS('리스사업(D)'!C:C, $E$1, '리스사업(D)'!G:G, B27, '리스사업(D)'!X:X, B28)
  + COUNTIFS('임대사업(E)'!C:C, $E$1, '임대사업(E)'!G:G, B27, '임대사업(E)'!X:X, B28)
  + COUNTIFS('환경부사업(F)'!C:C, $E$1, '환경부사업(F)'!G:G, B27, '환경부사업(F)'!X:X, B28)
  + COUNTIFS('프로젝트(G)'!C:C, $E$1, '프로젝트(G)'!G:G, B27, '프로젝트(G)'!X:X, B28)
  + COUNTIFS('협력사 EPC(H)'!C:C, $E$1, '협력사 EPC(H)'!G:G, B27, '협력사 EPC(H)'!X:X, B28)
  + COUNTIFS('기타(Z)'!C:C, $E$1, '기타(Z)'!G:G, B27, '기타(Z)'!X:X, B28)
  = 0,
  "",
  COUNTIFS('발전사업(A)'!C:C, $E$1, '발전사업(A)'!G:G, B27, '발전사업(A)'!X:X, B28)
  + COUNTIFS('자가소비(B)'!C:C, $E$1, '자가소비(B)'!G:G, B27, '자가소비(B)'!X:X, B28)
  + COUNTIFS('PPA 사업(C)'!C:C, $E$1, 'PPA 사업(C)'!G:G, B27, 'PPA 사업(C)'!X:X, B28)
  + COUNTIFS('리스사업(D)'!C:C, $E$1, '리스사업(D)'!G:G, B27, '리스사업(D)'!X:X, B28)
  + COUNTIFS('임대사업(E)'!C:C, $E$1, '임대사업(E)'!G:G, B27, '임대사업(E)'!X:X, B28)
  + COUNTIFS('환경부사업(F)'!C:C, $E$1, '환경부사업(F)'!G:G, B27, '환경부사업(F)'!X:X, B28)
  + COUNTIFS('프로젝트(G)'!C:C, $E$1, '프로젝트(G)'!G:G, B27, '프로젝트(G)'!X:X, B28)
  + COUNTIFS('협력사 EPC(H)'!C:C, $E$1, '협력사 EPC(H)'!G:G, B27, '협력사 EPC(H)'!X:X, B28)
  + COUNTIFS('기타(Z)'!C:C, $E$1, '기타(Z)'!G:G, B27, '기타(Z)'!X:X, B28)
)</f>
        <v>6</v>
      </c>
      <c r="E28" s="262">
        <f>IF(
  SUM(
    SUMIFS('발전사업(A)'!I:I, '발전사업(A)'!C:C, $E$1, '발전사업(A)'!G:G, B27, '발전사업(A)'!X:X, B28, '발전사업(A)'!U:U, $C$1),
    SUMIFS('자가소비(B)'!I:I, '자가소비(B)'!C:C, $E$1, '자가소비(B)'!G:G, B27, '자가소비(B)'!X:X, B28, '자가소비(B)'!U:U, $C$1),
    SUMIFS('PPA 사업(C)'!I:I, 'PPA 사업(C)'!C:C, $E$1, 'PPA 사업(C)'!G:G, B27, 'PPA 사업(C)'!X:X, B28, 'PPA 사업(C)'!U:U, $C$1),
    SUMIFS('리스사업(D)'!I:I, '리스사업(D)'!C:C, $E$1, '리스사업(D)'!G:G, B27, '리스사업(D)'!X:X, B28, '리스사업(D)'!U:U, $C$1),
    SUMIFS('임대사업(E)'!I:I, '임대사업(E)'!C:C, $E$1, '임대사업(E)'!G:G, B27, '임대사업(E)'!X:X, B28, '임대사업(E)'!U:U, $C$1),
    SUMIFS('환경부사업(F)'!I:I, '환경부사업(F)'!C:C, $E$1, '환경부사업(F)'!G:G, B27, '환경부사업(F)'!X:X, B28, '환경부사업(F)'!U:U, $C$1),
    SUMIFS('프로젝트(G)'!I:I, '프로젝트(G)'!C:C, $E$1, '프로젝트(G)'!G:G, B27, '프로젝트(G)'!X:X, B28, '프로젝트(G)'!U:U, $C$1),
    SUMIFS('협력사 EPC(H)'!I:I, '협력사 EPC(H)'!C:C, $E$1, '협력사 EPC(H)'!G:G, B27, '협력사 EPC(H)'!X:X, B28, '협력사 EPC(H)'!U:U, $C$1),
    SUMIFS('기타(Z)'!I:I, '기타(Z)'!C:C, $E$1, '기타(Z)'!G:G, B27, '기타(Z)'!X:X, B28, '기타(Z)'!U:U, $C$1)
  ) = 0,
  "",
  SUM(
    SUMIFS('발전사업(A)'!I:I, '발전사업(A)'!C:C, $E$1, '발전사업(A)'!G:G, B27, '발전사업(A)'!X:X, B28, '발전사업(A)'!U:U, $C$1),
    SUMIFS('자가소비(B)'!I:I, '자가소비(B)'!C:C, $E$1, '자가소비(B)'!G:G, B27, '자가소비(B)'!X:X, B28, '자가소비(B)'!U:U, $C$1),
    SUMIFS('PPA 사업(C)'!I:I, 'PPA 사업(C)'!C:C, $E$1, 'PPA 사업(C)'!G:G, B27, 'PPA 사업(C)'!X:X, B28, 'PPA 사업(C)'!U:U, $C$1),
    SUMIFS('리스사업(D)'!I:I, '리스사업(D)'!C:C, $E$1, '리스사업(D)'!G:G, B27, '리스사업(D)'!X:X, B28, '리스사업(D)'!U:U, $C$1),
    SUMIFS('임대사업(E)'!I:I, '임대사업(E)'!C:C, $E$1, '임대사업(E)'!G:G, B27, '임대사업(E)'!X:X, B28, '임대사업(E)'!U:U, $C$1),
    SUMIFS('환경부사업(F)'!I:I, '환경부사업(F)'!C:C, $E$1, '환경부사업(F)'!G:G, B27, '환경부사업(F)'!X:X, B28, '환경부사업(F)'!U:U, $C$1),
    SUMIFS('프로젝트(G)'!I:I, '프로젝트(G)'!C:C, $E$1, '프로젝트(G)'!G:G, B27, '프로젝트(G)'!X:X, B28, '프로젝트(G)'!U:U, $C$1),
    SUMIFS('협력사 EPC(H)'!I:I, '협력사 EPC(H)'!C:C, $E$1, '협력사 EPC(H)'!G:G, B27, '협력사 EPC(H)'!X:X, B28, '협력사 EPC(H)'!U:U, $C$1),
    SUMIFS('기타(Z)'!I:I, '기타(Z)'!C:C, $E$1, '기타(Z)'!G:G, B27, '기타(Z)'!X:X, B28, '기타(Z)'!U:U, $C$1)
  )
)</f>
        <v>691.44</v>
      </c>
      <c r="F28" s="263">
        <f>IF(
  SUM(
    COUNTIFS('발전사업(A)'!C:C, $E$1, '발전사업(A)'!G:G, B27, '발전사업(A)'!X:X, B28, '발전사업(A)'!U:U, $C$1),
    COUNTIFS('자가소비(B)'!C:C, $E$1, '자가소비(B)'!G:G, B27, '자가소비(B)'!X:X, B28, '자가소비(B)'!U:U, $C$1),
    COUNTIFS('PPA 사업(C)'!C:C, $E$1, 'PPA 사업(C)'!G:G, B27, 'PPA 사업(C)'!X:X, B28, 'PPA 사업(C)'!U:U, $C$1),
    COUNTIFS('리스사업(D)'!C:C, $E$1, '리스사업(D)'!G:G, B27, '리스사업(D)'!X:X, B28, '리스사업(D)'!U:U, $C$1),
    COUNTIFS('임대사업(E)'!C:C, $E$1, '임대사업(E)'!G:G, B27, '임대사업(E)'!X:X, B28, '임대사업(E)'!U:U, $C$1),
    COUNTIFS('환경부사업(F)'!C:C, $E$1, '환경부사업(F)'!G:G, B27, '환경부사업(F)'!X:X, B28, '환경부사업(F)'!U:U, $C$1),
    COUNTIFS('프로젝트(G)'!C:C, $E$1, '프로젝트(G)'!G:G, B27, '프로젝트(G)'!X:X, B28, '프로젝트(G)'!U:U, $C$1),
    COUNTIFS('협력사 EPC(H)'!C:C, $E$1, '협력사 EPC(H)'!G:G, B27, '협력사 EPC(H)'!X:X, B28, '협력사 EPC(H)'!U:U, $C$1),
    COUNTIFS('기타(Z)'!C:C, $E$1, '기타(Z)'!G:G, B27, '기타(Z)'!X:X, B28, '기타(Z)'!U:U, $C$1)
  ) = 0,
  "",
  SUM(
    COUNTIFS('발전사업(A)'!C:C, $E$1, '발전사업(A)'!G:G, B27, '발전사업(A)'!X:X, B28, '발전사업(A)'!U:U, $C$1),
    COUNTIFS('자가소비(B)'!C:C, $E$1, '자가소비(B)'!G:G, B27, '자가소비(B)'!X:X, B28, '자가소비(B)'!U:U, $C$1),
    COUNTIFS('PPA 사업(C)'!C:C, $E$1, 'PPA 사업(C)'!G:G, B27, 'PPA 사업(C)'!X:X, B28, 'PPA 사업(C)'!U:U, $C$1),
    COUNTIFS('리스사업(D)'!C:C, $E$1, '리스사업(D)'!G:G, B27, '리스사업(D)'!X:X, B28, '리스사업(D)'!U:U, $C$1),
    COUNTIFS('임대사업(E)'!C:C, $E$1, '임대사업(E)'!G:G, B27, '임대사업(E)'!X:X, B28, '임대사업(E)'!U:U, $C$1),
    COUNTIFS('환경부사업(F)'!C:C, $E$1, '환경부사업(F)'!G:G, B27, '환경부사업(F)'!X:X, B28, '환경부사업(F)'!U:U, $C$1),
    COUNTIFS('프로젝트(G)'!C:C, $E$1, '프로젝트(G)'!G:G, B27, '프로젝트(G)'!X:X, B28, '프로젝트(G)'!U:U, $C$1),
    COUNTIFS('협력사 EPC(H)'!C:C, $E$1, '협력사 EPC(H)'!G:G, B27, '협력사 EPC(H)'!X:X, B28, '협력사 EPC(H)'!U:U, $C$1),
    COUNTIFS('기타(Z)'!C:C, $E$1, '기타(Z)'!G:G, B27, '기타(Z)'!X:X, B28, '기타(Z)'!U:U, $C$1)
  )
)</f>
        <v>1</v>
      </c>
      <c r="G28" s="262">
        <f>IF(
  SUM(
    SUMIFS('발전사업(A)'!I:I, '발전사업(A)'!C:C, $E$1, '발전사업(A)'!G:G, B27, '발전사업(A)'!X:X, B28, '발전사업(A)'!U:U, $D$1),
    SUMIFS('자가소비(B)'!I:I, '자가소비(B)'!C:C, $E$1, '자가소비(B)'!G:G, B27, '자가소비(B)'!X:X, B28, '자가소비(B)'!U:U, $D$1),
    SUMIFS('PPA 사업(C)'!I:I, 'PPA 사업(C)'!C:C, $E$1, 'PPA 사업(C)'!G:G, B27, 'PPA 사업(C)'!X:X, B28, 'PPA 사업(C)'!U:U, $D$1),
    SUMIFS('리스사업(D)'!I:I, '리스사업(D)'!C:C, $E$1, '리스사업(D)'!G:G, B27, '리스사업(D)'!X:X, B28, '리스사업(D)'!U:U, $D$1),
    SUMIFS('임대사업(E)'!I:I, '임대사업(E)'!C:C, $E$1, '임대사업(E)'!G:G, B27, '임대사업(E)'!X:X, B28, '임대사업(E)'!U:U, $D$1),
    SUMIFS('환경부사업(F)'!I:I, '환경부사업(F)'!C:C, $E$1, '환경부사업(F)'!G:G, B27, '환경부사업(F)'!X:X, B28, '환경부사업(F)'!U:U, $D$1),
    SUMIFS('프로젝트(G)'!I:I, '프로젝트(G)'!C:C, $E$1, '프로젝트(G)'!G:G, B27, '프로젝트(G)'!X:X, B28, '프로젝트(G)'!U:U, $D$1),
    SUMIFS('협력사 EPC(H)'!I:I, '협력사 EPC(H)'!C:C, $E$1, '협력사 EPC(H)'!G:G, B27, '협력사 EPC(H)'!X:X, B28, '협력사 EPC(H)'!U:U, $D$1),
    SUMIFS('기타(Z)'!I:I, '기타(Z)'!C:C, $E$1, '기타(Z)'!G:G, B27, '기타(Z)'!X:X, B28, '기타(Z)'!U:U, $D$1)
  ) = 0,
  "",
  SUM(
    SUMIFS('발전사업(A)'!I:I, '발전사업(A)'!C:C, $E$1, '발전사업(A)'!G:G, B27, '발전사업(A)'!X:X, B28, '발전사업(A)'!U:U, $D$1),
    SUMIFS('자가소비(B)'!I:I, '자가소비(B)'!C:C, $E$1, '자가소비(B)'!G:G, B27, '자가소비(B)'!X:X, B28, '자가소비(B)'!U:U, $D$1),
    SUMIFS('PPA 사업(C)'!I:I, 'PPA 사업(C)'!C:C, $E$1, 'PPA 사업(C)'!G:G, B27, 'PPA 사업(C)'!X:X, B28, 'PPA 사업(C)'!U:U, $D$1),
    SUMIFS('리스사업(D)'!I:I, '리스사업(D)'!C:C, $E$1, '리스사업(D)'!G:G, B27, '리스사업(D)'!X:X, B28, '리스사업(D)'!U:U, $D$1),
    SUMIFS('임대사업(E)'!I:I, '임대사업(E)'!C:C, $E$1, '임대사업(E)'!G:G, B27, '임대사업(E)'!X:X, B28, '임대사업(E)'!U:U, $D$1),
    SUMIFS('환경부사업(F)'!I:I, '환경부사업(F)'!C:C, $E$1, '환경부사업(F)'!G:G, B27, '환경부사업(F)'!X:X, B28, '환경부사업(F)'!U:U, $D$1),
    SUMIFS('프로젝트(G)'!I:I, '프로젝트(G)'!C:C, $E$1, '프로젝트(G)'!G:G, B27, '프로젝트(G)'!X:X, B28, '프로젝트(G)'!U:U, $D$1),
    SUMIFS('협력사 EPC(H)'!I:I, '협력사 EPC(H)'!C:C, $E$1, '협력사 EPC(H)'!G:G, B27, '협력사 EPC(H)'!X:X, B28, '협력사 EPC(H)'!U:U, $D$1),
    SUMIFS('기타(Z)'!I:I, '기타(Z)'!C:C, $E$1, '기타(Z)'!G:G, B27, '기타(Z)'!X:X, B28, '기타(Z)'!U:U, $D$1)
  )
)</f>
        <v>794.6400000000001</v>
      </c>
      <c r="H28" s="263">
        <f>IF(
  (
    COUNTIFS('발전사업(A)'!C:C, $E$1, '발전사업(A)'!G:G, B27, '발전사업(A)'!X:X, B28, '발전사업(A)'!U:U, $D$1)
    + COUNTIFS('자가소비(B)'!C:C, $E$1, '자가소비(B)'!G:G, B27, '자가소비(B)'!X:X, B28, '자가소비(B)'!U:U, $D$1)
    + COUNTIFS('PPA 사업(C)'!C:C, $E$1, 'PPA 사업(C)'!G:G, B27, 'PPA 사업(C)'!X:X, B28, 'PPA 사업(C)'!U:U, $D$1)
    + COUNTIFS('리스사업(D)'!C:C, $E$1, '리스사업(D)'!G:G, B27, '리스사업(D)'!X:X, B28, '리스사업(D)'!U:U, $D$1)
    + COUNTIFS('임대사업(E)'!C:C, $E$1, '임대사업(E)'!G:G, B27, '임대사업(E)'!X:X, B28, '임대사업(E)'!U:U, $D$1)
    + COUNTIFS('환경부사업(F)'!C:C, $E$1, '환경부사업(F)'!G:G, B27, '환경부사업(F)'!X:X, B28, '환경부사업(F)'!U:U, $D$1)
    + COUNTIFS('프로젝트(G)'!C:C, $E$1, '프로젝트(G)'!G:G, B27, '프로젝트(G)'!X:X, B28, '프로젝트(G)'!U:U, $D$1)
    + COUNTIFS('협력사 EPC(H)'!C:C, $E$1, '협력사 EPC(H)'!G:G, B27, '협력사 EPC(H)'!X:X, B28, '협력사 EPC(H)'!U:U, $D$1)
    + COUNTIFS('기타(Z)'!C:C, $E$1, '기타(Z)'!G:G, B27, '기타(Z)'!X:X, B28, '기타(Z)'!U:U, $D$1)
  ) = 0,
  "",
  COUNTIFS('발전사업(A)'!C:C, $E$1, '발전사업(A)'!G:G, B27, '발전사업(A)'!X:X, B28, '발전사업(A)'!U:U, $D$1)
  + COUNTIFS('자가소비(B)'!C:C, $E$1, '자가소비(B)'!G:G, B27, '자가소비(B)'!X:X, B28, '자가소비(B)'!U:U, $D$1)
  + COUNTIFS('PPA 사업(C)'!C:C, $E$1, 'PPA 사업(C)'!G:G, B27, 'PPA 사업(C)'!X:X, B28, 'PPA 사업(C)'!U:U, $D$1)
  + COUNTIFS('리스사업(D)'!C:C, $E$1, '리스사업(D)'!G:G, B27, '리스사업(D)'!X:X, B28, '리스사업(D)'!U:U, $D$1)
  + COUNTIFS('임대사업(E)'!C:C, $E$1, '임대사업(E)'!G:G, B27, '임대사업(E)'!X:X, B28, '임대사업(E)'!U:U, $D$1)
  + COUNTIFS('환경부사업(F)'!C:C, $E$1, '환경부사업(F)'!G:G, B27, '환경부사업(F)'!X:X, B28, '환경부사업(F)'!U:U, $D$1)
  + COUNTIFS('프로젝트(G)'!C:C, $E$1, '프로젝트(G)'!G:G, B27, '프로젝트(G)'!X:X, B28, '프로젝트(G)'!U:U, $D$1)
  + COUNTIFS('협력사 EPC(H)'!C:C, $E$1, '협력사 EPC(H)'!G:G, B27, '협력사 EPC(H)'!X:X, B28, '협력사 EPC(H)'!U:U, $D$1)
  + COUNTIFS('기타(Z)'!C:C, $E$1, '기타(Z)'!G:G, B27, '기타(Z)'!X:X, B28, '기타(Z)'!U:U, $D$1)
)</f>
        <v>5</v>
      </c>
    </row>
    <row r="29" spans="2:36" x14ac:dyDescent="0.25">
      <c r="B29" s="195" t="s">
        <v>152</v>
      </c>
      <c r="C29" s="262">
        <f>IF(
  SUM(
    SUMIFS('발전사업(A)'!I:I, '발전사업(A)'!C:C, $E$1, '발전사업(A)'!G:G, B27, '발전사업(A)'!X:X, B29),
    SUMIFS('자가소비(B)'!I:I, '자가소비(B)'!C:C, $E$1, '자가소비(B)'!G:G, B27, '자가소비(B)'!X:X, B29),
    SUMIFS('PPA 사업(C)'!I:I, 'PPA 사업(C)'!C:C, $E$1, 'PPA 사업(C)'!G:G, B27, 'PPA 사업(C)'!X:X, B29),
    SUMIFS('리스사업(D)'!I:I, '리스사업(D)'!C:C, $E$1, '리스사업(D)'!G:G, B27, '리스사업(D)'!X:X, B29),
    SUMIFS('임대사업(E)'!I:I, '임대사업(E)'!C:C, $E$1, '임대사업(E)'!G:G, B27, '임대사업(E)'!X:X, B29),
    SUMIFS('환경부사업(F)'!I:I, '환경부사업(F)'!C:C, $E$1, '환경부사업(F)'!G:G, B27, '환경부사업(F)'!X:X, B29),
    SUMIFS('프로젝트(G)'!I:I, '프로젝트(G)'!C:C, $E$1, '프로젝트(G)'!G:G, B27, '프로젝트(G)'!X:X, B29),
    SUMIFS('협력사 EPC(H)'!I:I, '협력사 EPC(H)'!C:C, $E$1, '협력사 EPC(H)'!G:G, B27, '협력사 EPC(H)'!X:X, B29),
    SUMIFS('기타(Z)'!I:I, '기타(Z)'!C:C, $E$1, '기타(Z)'!G:G, B27, '기타(Z)'!X:X, B29)
  ) = 0,
  "",
  SUMIFS('발전사업(A)'!I:I, '발전사업(A)'!C:C, $E$1, '발전사업(A)'!G:G, B27, '발전사업(A)'!X:X, B29)
  + SUMIFS('자가소비(B)'!I:I, '자가소비(B)'!C:C, $E$1, '자가소비(B)'!G:G, B27, '자가소비(B)'!X:X, B29)
  + SUMIFS('PPA 사업(C)'!I:I, 'PPA 사업(C)'!C:C, $E$1, 'PPA 사업(C)'!G:G, B27, 'PPA 사업(C)'!X:X, B29)
  + SUMIFS('리스사업(D)'!I:I, '리스사업(D)'!C:C, $E$1, '리스사업(D)'!G:G, B27, '리스사업(D)'!X:X, B29)
  + SUMIFS('임대사업(E)'!I:I, '임대사업(E)'!C:C, $E$1, '임대사업(E)'!G:G, B27, '임대사업(E)'!X:X, B29)
  + SUMIFS('환경부사업(F)'!I:I, '환경부사업(F)'!C:C, $E$1, '환경부사업(F)'!G:G, B27, '환경부사업(F)'!X:X, B29)
  + SUMIFS('프로젝트(G)'!I:I, '프로젝트(G)'!C:C, $E$1, '프로젝트(G)'!G:G, B27, '프로젝트(G)'!X:X, B29)
  + SUMIFS('협력사 EPC(H)'!I:I, '협력사 EPC(H)'!C:C, $E$1, '협력사 EPC(H)'!G:G, B27, '협력사 EPC(H)'!X:X, B29)
  + SUMIFS('기타(Z)'!I:I, '기타(Z)'!C:C, $E$1, '기타(Z)'!G:G, B27, '기타(Z)'!X:X, B29)
)</f>
        <v>5183.58</v>
      </c>
      <c r="D29" s="263">
        <f>IF(
  COUNTIFS('발전사업(A)'!C:C, $E$1, '발전사업(A)'!G:G, B27, '발전사업(A)'!X:X, B29)
  + COUNTIFS('자가소비(B)'!C:C, $E$1, '자가소비(B)'!G:G, B27, '자가소비(B)'!X:X, B29)
  + COUNTIFS('PPA 사업(C)'!C:C, $E$1, 'PPA 사업(C)'!G:G, B27, 'PPA 사업(C)'!X:X, B29)
  + COUNTIFS('리스사업(D)'!C:C, $E$1, '리스사업(D)'!G:G, B27, '리스사업(D)'!X:X, B29)
  + COUNTIFS('임대사업(E)'!C:C, $E$1, '임대사업(E)'!G:G, B27, '임대사업(E)'!X:X, B29)
  + COUNTIFS('환경부사업(F)'!C:C, $E$1, '환경부사업(F)'!G:G, B27, '환경부사업(F)'!X:X, B29)
  + COUNTIFS('프로젝트(G)'!C:C, $E$1, '프로젝트(G)'!G:G, B27, '프로젝트(G)'!X:X, B29)
  + COUNTIFS('협력사 EPC(H)'!C:C, $E$1, '협력사 EPC(H)'!G:G, B27, '협력사 EPC(H)'!X:X, B29)
  + COUNTIFS('기타(Z)'!C:C, $E$1, '기타(Z)'!G:G, B27, '기타(Z)'!X:X, B29)
  = 0,
  "",
  COUNTIFS('발전사업(A)'!C:C, $E$1, '발전사업(A)'!G:G, B27, '발전사업(A)'!X:X, B29)
  + COUNTIFS('자가소비(B)'!C:C, $E$1, '자가소비(B)'!G:G, B27, '자가소비(B)'!X:X, B29)
  + COUNTIFS('PPA 사업(C)'!C:C, $E$1, 'PPA 사업(C)'!G:G, B27, 'PPA 사업(C)'!X:X, B29)
  + COUNTIFS('리스사업(D)'!C:C, $E$1, '리스사업(D)'!G:G, B27, '리스사업(D)'!X:X, B29)
  + COUNTIFS('임대사업(E)'!C:C, $E$1, '임대사업(E)'!G:G, B27, '임대사업(E)'!X:X, B29)
  + COUNTIFS('환경부사업(F)'!C:C, $E$1, '환경부사업(F)'!G:G, B27, '환경부사업(F)'!X:X, B29)
  + COUNTIFS('프로젝트(G)'!C:C, $E$1, '프로젝트(G)'!G:G, B27, '프로젝트(G)'!X:X, B29)
  + COUNTIFS('협력사 EPC(H)'!C:C, $E$1, '협력사 EPC(H)'!G:G, B27, '협력사 EPC(H)'!X:X, B29)
  + COUNTIFS('기타(Z)'!C:C, $E$1, '기타(Z)'!G:G, B27, '기타(Z)'!X:X, B29)
)</f>
        <v>13</v>
      </c>
      <c r="E29" s="262">
        <f>IF(
  SUM(
    SUMIFS('발전사업(A)'!I:I, '발전사업(A)'!C:C, $E$1, '발전사업(A)'!G:G, B27, '발전사업(A)'!X:X, B29, '발전사업(A)'!U:U, $C$1),
    SUMIFS('자가소비(B)'!I:I, '자가소비(B)'!C:C, $E$1, '자가소비(B)'!G:G, B27, '자가소비(B)'!X:X, B29, '자가소비(B)'!U:U, $C$1),
    SUMIFS('PPA 사업(C)'!I:I, 'PPA 사업(C)'!C:C, $E$1, 'PPA 사업(C)'!G:G, B27, 'PPA 사업(C)'!X:X, B29, 'PPA 사업(C)'!U:U, $C$1),
    SUMIFS('리스사업(D)'!I:I, '리스사업(D)'!C:C, $E$1, '리스사업(D)'!G:G, B27, '리스사업(D)'!X:X, B29, '리스사업(D)'!U:U, $C$1),
    SUMIFS('임대사업(E)'!I:I, '임대사업(E)'!C:C, $E$1, '임대사업(E)'!G:G, B27, '임대사업(E)'!X:X, B29, '임대사업(E)'!U:U, $C$1),
    SUMIFS('환경부사업(F)'!I:I, '환경부사업(F)'!C:C, $E$1, '환경부사업(F)'!G:G, B27, '환경부사업(F)'!X:X, B29, '환경부사업(F)'!U:U, $C$1),
    SUMIFS('프로젝트(G)'!I:I, '프로젝트(G)'!C:C, $E$1, '프로젝트(G)'!G:G, B27, '프로젝트(G)'!X:X, B29, '프로젝트(G)'!U:U, $C$1),
    SUMIFS('협력사 EPC(H)'!I:I, '협력사 EPC(H)'!C:C, $E$1, '협력사 EPC(H)'!G:G, B27, '협력사 EPC(H)'!X:X, B29, '협력사 EPC(H)'!U:U, $C$1),
    SUMIFS('기타(Z)'!I:I, '기타(Z)'!C:C, $E$1, '기타(Z)'!G:G, B27, '기타(Z)'!X:X, B29, '기타(Z)'!U:U, $C$1)
  ) = 0,
  "",
  SUM(
    SUMIFS('발전사업(A)'!I:I, '발전사업(A)'!C:C, $E$1, '발전사업(A)'!G:G, B27, '발전사업(A)'!X:X, B29, '발전사업(A)'!U:U, $C$1),
    SUMIFS('자가소비(B)'!I:I, '자가소비(B)'!C:C, $E$1, '자가소비(B)'!G:G, B27, '자가소비(B)'!X:X, B29, '자가소비(B)'!U:U, $C$1),
    SUMIFS('PPA 사업(C)'!I:I, 'PPA 사업(C)'!C:C, $E$1, 'PPA 사업(C)'!G:G, B27, 'PPA 사업(C)'!X:X, B29, 'PPA 사업(C)'!U:U, $C$1),
    SUMIFS('리스사업(D)'!I:I, '리스사업(D)'!C:C, $E$1, '리스사업(D)'!G:G, B27, '리스사업(D)'!X:X, B29, '리스사업(D)'!U:U, $C$1),
    SUMIFS('임대사업(E)'!I:I, '임대사업(E)'!C:C, $E$1, '임대사업(E)'!G:G, B27, '임대사업(E)'!X:X, B29, '임대사업(E)'!U:U, $C$1),
    SUMIFS('환경부사업(F)'!I:I, '환경부사업(F)'!C:C, $E$1, '환경부사업(F)'!G:G, B27, '환경부사업(F)'!X:X, B29, '환경부사업(F)'!U:U, $C$1),
    SUMIFS('프로젝트(G)'!I:I, '프로젝트(G)'!C:C, $E$1, '프로젝트(G)'!G:G, B27, '프로젝트(G)'!X:X, B29, '프로젝트(G)'!U:U, $C$1),
    SUMIFS('협력사 EPC(H)'!I:I, '협력사 EPC(H)'!C:C, $E$1, '협력사 EPC(H)'!G:G, B27, '협력사 EPC(H)'!X:X, B29, '협력사 EPC(H)'!U:U, $C$1),
    SUMIFS('기타(Z)'!I:I, '기타(Z)'!C:C, $E$1, '기타(Z)'!G:G, B27, '기타(Z)'!X:X, B29, '기타(Z)'!U:U, $C$1)
  )
)</f>
        <v>3053.145</v>
      </c>
      <c r="F29" s="263">
        <f>IF(
  SUM(
    COUNTIFS('발전사업(A)'!C:C, $E$1, '발전사업(A)'!G:G, B27, '발전사업(A)'!X:X, B29, '발전사업(A)'!U:U, $C$1),
    COUNTIFS('자가소비(B)'!C:C, $E$1, '자가소비(B)'!G:G, B27, '자가소비(B)'!X:X, B29, '자가소비(B)'!U:U, $C$1),
    COUNTIFS('PPA 사업(C)'!C:C, $E$1, 'PPA 사업(C)'!G:G, B27, 'PPA 사업(C)'!X:X, B29, 'PPA 사업(C)'!U:U, $C$1),
    COUNTIFS('리스사업(D)'!C:C, $E$1, '리스사업(D)'!G:G, B27, '리스사업(D)'!X:X, B29, '리스사업(D)'!U:U, $C$1),
    COUNTIFS('임대사업(E)'!C:C, $E$1, '임대사업(E)'!G:G, B27, '임대사업(E)'!X:X, B29, '임대사업(E)'!U:U, $C$1),
    COUNTIFS('환경부사업(F)'!C:C, $E$1, '환경부사업(F)'!G:G, B27, '환경부사업(F)'!X:X, B29, '환경부사업(F)'!U:U, $C$1),
    COUNTIFS('프로젝트(G)'!C:C, $E$1, '프로젝트(G)'!G:G, B27, '프로젝트(G)'!X:X, B29, '프로젝트(G)'!U:U, $C$1),
    COUNTIFS('협력사 EPC(H)'!C:C, $E$1, '협력사 EPC(H)'!G:G, B27, '협력사 EPC(H)'!X:X, B29, '협력사 EPC(H)'!U:U, $C$1),
    COUNTIFS('기타(Z)'!C:C, $E$1, '기타(Z)'!G:G, B27, '기타(Z)'!X:X, B29, '기타(Z)'!U:U, $C$1)
  ) = 0,
  "",
  SUM(
    COUNTIFS('발전사업(A)'!C:C, $E$1, '발전사업(A)'!G:G, B27, '발전사업(A)'!X:X, B29, '발전사업(A)'!U:U, $C$1),
    COUNTIFS('자가소비(B)'!C:C, $E$1, '자가소비(B)'!G:G, B27, '자가소비(B)'!X:X, B29, '자가소비(B)'!U:U, $C$1),
    COUNTIFS('PPA 사업(C)'!C:C, $E$1, 'PPA 사업(C)'!G:G, B27, 'PPA 사업(C)'!X:X, B29, 'PPA 사업(C)'!U:U, $C$1),
    COUNTIFS('리스사업(D)'!C:C, $E$1, '리스사업(D)'!G:G, B27, '리스사업(D)'!X:X, B29, '리스사업(D)'!U:U, $C$1),
    COUNTIFS('임대사업(E)'!C:C, $E$1, '임대사업(E)'!G:G, B27, '임대사업(E)'!X:X, B29, '임대사업(E)'!U:U, $C$1),
    COUNTIFS('환경부사업(F)'!C:C, $E$1, '환경부사업(F)'!G:G, B27, '환경부사업(F)'!X:X, B29, '환경부사업(F)'!U:U, $C$1),
    COUNTIFS('프로젝트(G)'!C:C, $E$1, '프로젝트(G)'!G:G, B27, '프로젝트(G)'!X:X, B29, '프로젝트(G)'!U:U, $C$1),
    COUNTIFS('협력사 EPC(H)'!C:C, $E$1, '협력사 EPC(H)'!G:G, B27, '협력사 EPC(H)'!X:X, B29, '협력사 EPC(H)'!U:U, $C$1),
    COUNTIFS('기타(Z)'!C:C, $E$1, '기타(Z)'!G:G, B27, '기타(Z)'!X:X, B29, '기타(Z)'!U:U, $C$1)
  )
)</f>
        <v>9</v>
      </c>
      <c r="G29" s="262">
        <f>IF(
  SUM(
    SUMIFS('발전사업(A)'!I:I, '발전사업(A)'!C:C, $E$1, '발전사업(A)'!G:G, B27, '발전사업(A)'!X:X, B29, '발전사업(A)'!U:U, $D$1),
    SUMIFS('자가소비(B)'!I:I, '자가소비(B)'!C:C, $E$1, '자가소비(B)'!G:G, B27, '자가소비(B)'!X:X, B29, '자가소비(B)'!U:U, $D$1),
    SUMIFS('PPA 사업(C)'!I:I, 'PPA 사업(C)'!C:C, $E$1, 'PPA 사업(C)'!G:G, B27, 'PPA 사업(C)'!X:X, B29, 'PPA 사업(C)'!U:U, $D$1),
    SUMIFS('리스사업(D)'!I:I, '리스사업(D)'!C:C, $E$1, '리스사업(D)'!G:G, B27, '리스사업(D)'!X:X, B29, '리스사업(D)'!U:U, $D$1),
    SUMIFS('임대사업(E)'!I:I, '임대사업(E)'!C:C, $E$1, '임대사업(E)'!G:G, B27, '임대사업(E)'!X:X, B29, '임대사업(E)'!U:U, $D$1),
    SUMIFS('환경부사업(F)'!I:I, '환경부사업(F)'!C:C, $E$1, '환경부사업(F)'!G:G, B27, '환경부사업(F)'!X:X, B29, '환경부사업(F)'!U:U, $D$1),
    SUMIFS('프로젝트(G)'!I:I, '프로젝트(G)'!C:C, $E$1, '프로젝트(G)'!G:G, B27, '프로젝트(G)'!X:X, B29, '프로젝트(G)'!U:U, $D$1),
    SUMIFS('협력사 EPC(H)'!I:I, '협력사 EPC(H)'!C:C, $E$1, '협력사 EPC(H)'!G:G, B27, '협력사 EPC(H)'!X:X, B29, '협력사 EPC(H)'!U:U, $D$1),
    SUMIFS('기타(Z)'!I:I, '기타(Z)'!C:C, $E$1, '기타(Z)'!G:G, B27, '기타(Z)'!X:X, B29, '기타(Z)'!U:U, $D$1)
  ) = 0,
  "",
  SUM(
    SUMIFS('발전사업(A)'!I:I, '발전사업(A)'!C:C, $E$1, '발전사업(A)'!G:G, B27, '발전사업(A)'!X:X, B29, '발전사업(A)'!U:U, $D$1),
    SUMIFS('자가소비(B)'!I:I, '자가소비(B)'!C:C, $E$1, '자가소비(B)'!G:G, B27, '자가소비(B)'!X:X, B29, '자가소비(B)'!U:U, $D$1),
    SUMIFS('PPA 사업(C)'!I:I, 'PPA 사업(C)'!C:C, $E$1, 'PPA 사업(C)'!G:G, B27, 'PPA 사업(C)'!X:X, B29, 'PPA 사업(C)'!U:U, $D$1),
    SUMIFS('리스사업(D)'!I:I, '리스사업(D)'!C:C, $E$1, '리스사업(D)'!G:G, B27, '리스사업(D)'!X:X, B29, '리스사업(D)'!U:U, $D$1),
    SUMIFS('임대사업(E)'!I:I, '임대사업(E)'!C:C, $E$1, '임대사업(E)'!G:G, B27, '임대사업(E)'!X:X, B29, '임대사업(E)'!U:U, $D$1),
    SUMIFS('환경부사업(F)'!I:I, '환경부사업(F)'!C:C, $E$1, '환경부사업(F)'!G:G, B27, '환경부사업(F)'!X:X, B29, '환경부사업(F)'!U:U, $D$1),
    SUMIFS('프로젝트(G)'!I:I, '프로젝트(G)'!C:C, $E$1, '프로젝트(G)'!G:G, B27, '프로젝트(G)'!X:X, B29, '프로젝트(G)'!U:U, $D$1),
    SUMIFS('협력사 EPC(H)'!I:I, '협력사 EPC(H)'!C:C, $E$1, '협력사 EPC(H)'!G:G, B27, '협력사 EPC(H)'!X:X, B29, '협력사 EPC(H)'!U:U, $D$1),
    SUMIFS('기타(Z)'!I:I, '기타(Z)'!C:C, $E$1, '기타(Z)'!G:G, B27, '기타(Z)'!X:X, B29, '기타(Z)'!U:U, $D$1)
  )
)</f>
        <v>2130.4349999999999</v>
      </c>
      <c r="H29" s="263">
        <f>IF(
  (
    COUNTIFS('발전사업(A)'!C:C, $E$1, '발전사업(A)'!G:G, B27, '발전사업(A)'!X:X, B29, '발전사업(A)'!U:U, $D$1)
    + COUNTIFS('자가소비(B)'!C:C, $E$1, '자가소비(B)'!G:G, B27, '자가소비(B)'!X:X, B29, '자가소비(B)'!U:U, $D$1)
    + COUNTIFS('PPA 사업(C)'!C:C, $E$1, 'PPA 사업(C)'!G:G, B27, 'PPA 사업(C)'!X:X, B29, 'PPA 사업(C)'!U:U, $D$1)
    + COUNTIFS('리스사업(D)'!C:C, $E$1, '리스사업(D)'!G:G, B27, '리스사업(D)'!X:X, B29, '리스사업(D)'!U:U, $D$1)
    + COUNTIFS('임대사업(E)'!C:C, $E$1, '임대사업(E)'!G:G, B27, '임대사업(E)'!X:X, B29, '임대사업(E)'!U:U, $D$1)
    + COUNTIFS('환경부사업(F)'!C:C, $E$1, '환경부사업(F)'!G:G, B27, '환경부사업(F)'!X:X, B29, '환경부사업(F)'!U:U, $D$1)
    + COUNTIFS('프로젝트(G)'!C:C, $E$1, '프로젝트(G)'!G:G, B27, '프로젝트(G)'!X:X, B29, '프로젝트(G)'!U:U, $D$1)
    + COUNTIFS('협력사 EPC(H)'!C:C, $E$1, '협력사 EPC(H)'!G:G, B27, '협력사 EPC(H)'!X:X, B29, '협력사 EPC(H)'!U:U, $D$1)
    + COUNTIFS('기타(Z)'!C:C, $E$1, '기타(Z)'!G:G, B27, '기타(Z)'!X:X, B29, '기타(Z)'!U:U, $D$1)
  ) = 0,
  "",
  COUNTIFS('발전사업(A)'!C:C, $E$1, '발전사업(A)'!G:G, B27, '발전사업(A)'!X:X, B29, '발전사업(A)'!U:U, $D$1)
  + COUNTIFS('자가소비(B)'!C:C, $E$1, '자가소비(B)'!G:G, B27, '자가소비(B)'!X:X, B29, '자가소비(B)'!U:U, $D$1)
  + COUNTIFS('PPA 사업(C)'!C:C, $E$1, 'PPA 사업(C)'!G:G, B27, 'PPA 사업(C)'!X:X, B29, 'PPA 사업(C)'!U:U, $D$1)
  + COUNTIFS('리스사업(D)'!C:C, $E$1, '리스사업(D)'!G:G, B27, '리스사업(D)'!X:X, B29, '리스사업(D)'!U:U, $D$1)
  + COUNTIFS('임대사업(E)'!C:C, $E$1, '임대사업(E)'!G:G, B27, '임대사업(E)'!X:X, B29, '임대사업(E)'!U:U, $D$1)
  + COUNTIFS('환경부사업(F)'!C:C, $E$1, '환경부사업(F)'!G:G, B27, '환경부사업(F)'!X:X, B29, '환경부사업(F)'!U:U, $D$1)
  + COUNTIFS('프로젝트(G)'!C:C, $E$1, '프로젝트(G)'!G:G, B27, '프로젝트(G)'!X:X, B29, '프로젝트(G)'!U:U, $D$1)
  + COUNTIFS('협력사 EPC(H)'!C:C, $E$1, '협력사 EPC(H)'!G:G, B27, '협력사 EPC(H)'!X:X, B29, '협력사 EPC(H)'!U:U, $D$1)
  + COUNTIFS('기타(Z)'!C:C, $E$1, '기타(Z)'!G:G, B27, '기타(Z)'!X:X, B29, '기타(Z)'!U:U, $D$1)
)</f>
        <v>4</v>
      </c>
    </row>
    <row r="30" spans="2:36" x14ac:dyDescent="0.25">
      <c r="B30" s="195" t="s">
        <v>153</v>
      </c>
      <c r="C30" s="262">
        <f>IF(
  SUM(
    SUMIFS('발전사업(A)'!I:I, '발전사업(A)'!C:C, $E$1, '발전사업(A)'!G:G, B27, '발전사업(A)'!X:X, B30),
    SUMIFS('자가소비(B)'!I:I, '자가소비(B)'!C:C, $E$1, '자가소비(B)'!G:G, B27, '자가소비(B)'!X:X, B30),
    SUMIFS('PPA 사업(C)'!I:I, 'PPA 사업(C)'!C:C, $E$1, 'PPA 사업(C)'!G:G, B27, 'PPA 사업(C)'!X:X, B30),
    SUMIFS('리스사업(D)'!I:I, '리스사업(D)'!C:C, $E$1, '리스사업(D)'!G:G, B27, '리스사업(D)'!X:X, B30),
    SUMIFS('임대사업(E)'!I:I, '임대사업(E)'!C:C, $E$1, '임대사업(E)'!G:G, B27, '임대사업(E)'!X:X, B30),
    SUMIFS('환경부사업(F)'!I:I, '환경부사업(F)'!C:C, $E$1, '환경부사업(F)'!G:G, B27, '환경부사업(F)'!X:X, B30),
    SUMIFS('프로젝트(G)'!I:I, '프로젝트(G)'!C:C, $E$1, '프로젝트(G)'!G:G, B27, '프로젝트(G)'!X:X, B30),
    SUMIFS('협력사 EPC(H)'!I:I, '협력사 EPC(H)'!C:C, $E$1, '협력사 EPC(H)'!G:G, B27, '협력사 EPC(H)'!X:X, B30),
    SUMIFS('기타(Z)'!I:I, '기타(Z)'!C:C, $E$1, '기타(Z)'!G:G, B27, '기타(Z)'!X:X, B30)
  ) = 0,
  "",
  SUMIFS('발전사업(A)'!I:I, '발전사업(A)'!C:C, $E$1, '발전사업(A)'!G:G, B27, '발전사업(A)'!X:X, B30)
  + SUMIFS('자가소비(B)'!I:I, '자가소비(B)'!C:C, $E$1, '자가소비(B)'!G:G, B27, '자가소비(B)'!X:X, B30)
  + SUMIFS('PPA 사업(C)'!I:I, 'PPA 사업(C)'!C:C, $E$1, 'PPA 사업(C)'!G:G, B27, 'PPA 사업(C)'!X:X, B30)
  + SUMIFS('리스사업(D)'!I:I, '리스사업(D)'!C:C, $E$1, '리스사업(D)'!G:G, B27, '리스사업(D)'!X:X, B30)
  + SUMIFS('임대사업(E)'!I:I, '임대사업(E)'!C:C, $E$1, '임대사업(E)'!G:G, B27, '임대사업(E)'!X:X, B30)
  + SUMIFS('환경부사업(F)'!I:I, '환경부사업(F)'!C:C, $E$1, '환경부사업(F)'!G:G, B27, '환경부사업(F)'!X:X, B30)
  + SUMIFS('프로젝트(G)'!I:I, '프로젝트(G)'!C:C, $E$1, '프로젝트(G)'!G:G, B27, '프로젝트(G)'!X:X, B30)
  + SUMIFS('협력사 EPC(H)'!I:I, '협력사 EPC(H)'!C:C, $E$1, '협력사 EPC(H)'!G:G, B27, '협력사 EPC(H)'!X:X, B30)
  + SUMIFS('기타(Z)'!I:I, '기타(Z)'!C:C, $E$1, '기타(Z)'!G:G, B27, '기타(Z)'!X:X, B30)
)</f>
        <v>85.14</v>
      </c>
      <c r="D30" s="263">
        <f>IF(
  COUNTIFS('발전사업(A)'!C:C, $E$1, '발전사업(A)'!G:G, B27, '발전사업(A)'!X:X, B30)
  + COUNTIFS('자가소비(B)'!C:C, $E$1, '자가소비(B)'!G:G, B27, '자가소비(B)'!X:X, B30)
  + COUNTIFS('PPA 사업(C)'!C:C, $E$1, 'PPA 사업(C)'!G:G, B27, 'PPA 사업(C)'!X:X, B30)
  + COUNTIFS('리스사업(D)'!C:C, $E$1, '리스사업(D)'!G:G, B27, '리스사업(D)'!X:X, B30)
  + COUNTIFS('임대사업(E)'!C:C, $E$1, '임대사업(E)'!G:G, B27, '임대사업(E)'!X:X, B30)
  + COUNTIFS('환경부사업(F)'!C:C, $E$1, '환경부사업(F)'!G:G, B27, '환경부사업(F)'!X:X, B30)
  + COUNTIFS('프로젝트(G)'!C:C, $E$1, '프로젝트(G)'!G:G, B27, '프로젝트(G)'!X:X, B30)
  + COUNTIFS('협력사 EPC(H)'!C:C, $E$1, '협력사 EPC(H)'!G:G, B27, '협력사 EPC(H)'!X:X, B30)
  + COUNTIFS('기타(Z)'!C:C, $E$1, '기타(Z)'!G:G, B27, '기타(Z)'!X:X, B30)
  = 0,
  "",
  COUNTIFS('발전사업(A)'!C:C, $E$1, '발전사업(A)'!G:G, B27, '발전사업(A)'!X:X, B30)
  + COUNTIFS('자가소비(B)'!C:C, $E$1, '자가소비(B)'!G:G, B27, '자가소비(B)'!X:X, B30)
  + COUNTIFS('PPA 사업(C)'!C:C, $E$1, 'PPA 사업(C)'!G:G, B27, 'PPA 사업(C)'!X:X, B30)
  + COUNTIFS('리스사업(D)'!C:C, $E$1, '리스사업(D)'!G:G, B27, '리스사업(D)'!X:X, B30)
  + COUNTIFS('임대사업(E)'!C:C, $E$1, '임대사업(E)'!G:G, B27, '임대사업(E)'!X:X, B30)
  + COUNTIFS('환경부사업(F)'!C:C, $E$1, '환경부사업(F)'!G:G, B27, '환경부사업(F)'!X:X, B30)
  + COUNTIFS('프로젝트(G)'!C:C, $E$1, '프로젝트(G)'!G:G, B27, '프로젝트(G)'!X:X, B30)
  + COUNTIFS('협력사 EPC(H)'!C:C, $E$1, '협력사 EPC(H)'!G:G, B27, '협력사 EPC(H)'!X:X, B30)
  + COUNTIFS('기타(Z)'!C:C, $E$1, '기타(Z)'!G:G, B27, '기타(Z)'!X:X, B30)
)</f>
        <v>1</v>
      </c>
      <c r="E30" s="262">
        <f>IF(
  SUM(
    SUMIFS('발전사업(A)'!I:I, '발전사업(A)'!C:C, $E$1, '발전사업(A)'!G:G, B27, '발전사업(A)'!X:X, B30, '발전사업(A)'!U:U, $C$1),
    SUMIFS('자가소비(B)'!I:I, '자가소비(B)'!C:C, $E$1, '자가소비(B)'!G:G, B27, '자가소비(B)'!X:X, B30, '자가소비(B)'!U:U, $C$1),
    SUMIFS('PPA 사업(C)'!I:I, 'PPA 사업(C)'!C:C, $E$1, 'PPA 사업(C)'!G:G, B27, 'PPA 사업(C)'!X:X, B30, 'PPA 사업(C)'!U:U, $C$1),
    SUMIFS('리스사업(D)'!I:I, '리스사업(D)'!C:C, $E$1, '리스사업(D)'!G:G, B27, '리스사업(D)'!X:X, B30, '리스사업(D)'!U:U, $C$1),
    SUMIFS('임대사업(E)'!I:I, '임대사업(E)'!C:C, $E$1, '임대사업(E)'!G:G, B27, '임대사업(E)'!X:X, B30, '임대사업(E)'!U:U, $C$1),
    SUMIFS('환경부사업(F)'!I:I, '환경부사업(F)'!C:C, $E$1, '환경부사업(F)'!G:G, B27, '환경부사업(F)'!X:X, B30, '환경부사업(F)'!U:U, $C$1),
    SUMIFS('프로젝트(G)'!I:I, '프로젝트(G)'!C:C, $E$1, '프로젝트(G)'!G:G, B27, '프로젝트(G)'!X:X, B30, '프로젝트(G)'!U:U, $C$1),
    SUMIFS('협력사 EPC(H)'!I:I, '협력사 EPC(H)'!C:C, $E$1, '협력사 EPC(H)'!G:G, B27, '협력사 EPC(H)'!X:X, B30, '협력사 EPC(H)'!U:U, $C$1),
    SUMIFS('기타(Z)'!I:I, '기타(Z)'!C:C, $E$1, '기타(Z)'!G:G, B27, '기타(Z)'!X:X, B30, '기타(Z)'!U:U, $C$1)
  ) = 0,
  "",
  SUM(
    SUMIFS('발전사업(A)'!I:I, '발전사업(A)'!C:C, $E$1, '발전사업(A)'!G:G, B27, '발전사업(A)'!X:X, B30, '발전사업(A)'!U:U, $C$1),
    SUMIFS('자가소비(B)'!I:I, '자가소비(B)'!C:C, $E$1, '자가소비(B)'!G:G, B27, '자가소비(B)'!X:X, B30, '자가소비(B)'!U:U, $C$1),
    SUMIFS('PPA 사업(C)'!I:I, 'PPA 사업(C)'!C:C, $E$1, 'PPA 사업(C)'!G:G, B27, 'PPA 사업(C)'!X:X, B30, 'PPA 사업(C)'!U:U, $C$1),
    SUMIFS('리스사업(D)'!I:I, '리스사업(D)'!C:C, $E$1, '리스사업(D)'!G:G, B27, '리스사업(D)'!X:X, B30, '리스사업(D)'!U:U, $C$1),
    SUMIFS('임대사업(E)'!I:I, '임대사업(E)'!C:C, $E$1, '임대사업(E)'!G:G, B27, '임대사업(E)'!X:X, B30, '임대사업(E)'!U:U, $C$1),
    SUMIFS('환경부사업(F)'!I:I, '환경부사업(F)'!C:C, $E$1, '환경부사업(F)'!G:G, B27, '환경부사업(F)'!X:X, B30, '환경부사업(F)'!U:U, $C$1),
    SUMIFS('프로젝트(G)'!I:I, '프로젝트(G)'!C:C, $E$1, '프로젝트(G)'!G:G, B27, '프로젝트(G)'!X:X, B30, '프로젝트(G)'!U:U, $C$1),
    SUMIFS('협력사 EPC(H)'!I:I, '협력사 EPC(H)'!C:C, $E$1, '협력사 EPC(H)'!G:G, B27, '협력사 EPC(H)'!X:X, B30, '협력사 EPC(H)'!U:U, $C$1),
    SUMIFS('기타(Z)'!I:I, '기타(Z)'!C:C, $E$1, '기타(Z)'!G:G, B27, '기타(Z)'!X:X, B30, '기타(Z)'!U:U, $C$1)
  )
)</f>
        <v>85.14</v>
      </c>
      <c r="F30" s="263">
        <f>IF(
  SUM(
    COUNTIFS('발전사업(A)'!C:C, $E$1, '발전사업(A)'!G:G, B27, '발전사업(A)'!X:X, B30, '발전사업(A)'!U:U, $C$1),
    COUNTIFS('자가소비(B)'!C:C, $E$1, '자가소비(B)'!G:G, B27, '자가소비(B)'!X:X, B30, '자가소비(B)'!U:U, $C$1),
    COUNTIFS('PPA 사업(C)'!C:C, $E$1, 'PPA 사업(C)'!G:G, B27, 'PPA 사업(C)'!X:X, B30, 'PPA 사업(C)'!U:U, $C$1),
    COUNTIFS('리스사업(D)'!C:C, $E$1, '리스사업(D)'!G:G, B27, '리스사업(D)'!X:X, B30, '리스사업(D)'!U:U, $C$1),
    COUNTIFS('임대사업(E)'!C:C, $E$1, '임대사업(E)'!G:G, B27, '임대사업(E)'!X:X, B30, '임대사업(E)'!U:U, $C$1),
    COUNTIFS('환경부사업(F)'!C:C, $E$1, '환경부사업(F)'!G:G, B27, '환경부사업(F)'!X:X, B30, '환경부사업(F)'!U:U, $C$1),
    COUNTIFS('프로젝트(G)'!C:C, $E$1, '프로젝트(G)'!G:G, B27, '프로젝트(G)'!X:X, B30, '프로젝트(G)'!U:U, $C$1),
    COUNTIFS('협력사 EPC(H)'!C:C, $E$1, '협력사 EPC(H)'!G:G, B27, '협력사 EPC(H)'!X:X, B30, '협력사 EPC(H)'!U:U, $C$1),
    COUNTIFS('기타(Z)'!C:C, $E$1, '기타(Z)'!G:G, B27, '기타(Z)'!X:X, B30, '기타(Z)'!U:U, $C$1)
  ) = 0,
  "",
  SUM(
    COUNTIFS('발전사업(A)'!C:C, $E$1, '발전사업(A)'!G:G, B27, '발전사업(A)'!X:X, B30, '발전사업(A)'!U:U, $C$1),
    COUNTIFS('자가소비(B)'!C:C, $E$1, '자가소비(B)'!G:G, B27, '자가소비(B)'!X:X, B30, '자가소비(B)'!U:U, $C$1),
    COUNTIFS('PPA 사업(C)'!C:C, $E$1, 'PPA 사업(C)'!G:G, B27, 'PPA 사업(C)'!X:X, B30, 'PPA 사업(C)'!U:U, $C$1),
    COUNTIFS('리스사업(D)'!C:C, $E$1, '리스사업(D)'!G:G, B27, '리스사업(D)'!X:X, B30, '리스사업(D)'!U:U, $C$1),
    COUNTIFS('임대사업(E)'!C:C, $E$1, '임대사업(E)'!G:G, B27, '임대사업(E)'!X:X, B30, '임대사업(E)'!U:U, $C$1),
    COUNTIFS('환경부사업(F)'!C:C, $E$1, '환경부사업(F)'!G:G, B27, '환경부사업(F)'!X:X, B30, '환경부사업(F)'!U:U, $C$1),
    COUNTIFS('프로젝트(G)'!C:C, $E$1, '프로젝트(G)'!G:G, B27, '프로젝트(G)'!X:X, B30, '프로젝트(G)'!U:U, $C$1),
    COUNTIFS('협력사 EPC(H)'!C:C, $E$1, '협력사 EPC(H)'!G:G, B27, '협력사 EPC(H)'!X:X, B30, '협력사 EPC(H)'!U:U, $C$1),
    COUNTIFS('기타(Z)'!C:C, $E$1, '기타(Z)'!G:G, B27, '기타(Z)'!X:X, B30, '기타(Z)'!U:U, $C$1)
  )
)</f>
        <v>1</v>
      </c>
      <c r="G30" s="262" t="str">
        <f>IF(
  SUM(
    SUMIFS('발전사업(A)'!I:I, '발전사업(A)'!C:C, $E$1, '발전사업(A)'!G:G, B27, '발전사업(A)'!X:X, B30, '발전사업(A)'!U:U, $D$1),
    SUMIFS('자가소비(B)'!I:I, '자가소비(B)'!C:C, $E$1, '자가소비(B)'!G:G, B27, '자가소비(B)'!X:X, B30, '자가소비(B)'!U:U, $D$1),
    SUMIFS('PPA 사업(C)'!I:I, 'PPA 사업(C)'!C:C, $E$1, 'PPA 사업(C)'!G:G, B27, 'PPA 사업(C)'!X:X, B30, 'PPA 사업(C)'!U:U, $D$1),
    SUMIFS('리스사업(D)'!I:I, '리스사업(D)'!C:C, $E$1, '리스사업(D)'!G:G, B27, '리스사업(D)'!X:X, B30, '리스사업(D)'!U:U, $D$1),
    SUMIFS('임대사업(E)'!I:I, '임대사업(E)'!C:C, $E$1, '임대사업(E)'!G:G, B27, '임대사업(E)'!X:X, B30, '임대사업(E)'!U:U, $D$1),
    SUMIFS('환경부사업(F)'!I:I, '환경부사업(F)'!C:C, $E$1, '환경부사업(F)'!G:G, B27, '환경부사업(F)'!X:X, B30, '환경부사업(F)'!U:U, $D$1),
    SUMIFS('프로젝트(G)'!I:I, '프로젝트(G)'!C:C, $E$1, '프로젝트(G)'!G:G, B27, '프로젝트(G)'!X:X, B30, '프로젝트(G)'!U:U, $D$1),
    SUMIFS('협력사 EPC(H)'!I:I, '협력사 EPC(H)'!C:C, $E$1, '협력사 EPC(H)'!G:G, B27, '협력사 EPC(H)'!X:X, B30, '협력사 EPC(H)'!U:U, $D$1),
    SUMIFS('기타(Z)'!I:I, '기타(Z)'!C:C, $E$1, '기타(Z)'!G:G, B27, '기타(Z)'!X:X, B30, '기타(Z)'!U:U, $D$1)
  ) = 0,
  "",
  SUM(
    SUMIFS('발전사업(A)'!I:I, '발전사업(A)'!C:C, $E$1, '발전사업(A)'!G:G, B27, '발전사업(A)'!X:X, B30, '발전사업(A)'!U:U, $D$1),
    SUMIFS('자가소비(B)'!I:I, '자가소비(B)'!C:C, $E$1, '자가소비(B)'!G:G, B27, '자가소비(B)'!X:X, B30, '자가소비(B)'!U:U, $D$1),
    SUMIFS('PPA 사업(C)'!I:I, 'PPA 사업(C)'!C:C, $E$1, 'PPA 사업(C)'!G:G, B27, 'PPA 사업(C)'!X:X, B30, 'PPA 사업(C)'!U:U, $D$1),
    SUMIFS('리스사업(D)'!I:I, '리스사업(D)'!C:C, $E$1, '리스사업(D)'!G:G, B27, '리스사업(D)'!X:X, B30, '리스사업(D)'!U:U, $D$1),
    SUMIFS('임대사업(E)'!I:I, '임대사업(E)'!C:C, $E$1, '임대사업(E)'!G:G, B27, '임대사업(E)'!X:X, B30, '임대사업(E)'!U:U, $D$1),
    SUMIFS('환경부사업(F)'!I:I, '환경부사업(F)'!C:C, $E$1, '환경부사업(F)'!G:G, B27, '환경부사업(F)'!X:X, B30, '환경부사업(F)'!U:U, $D$1),
    SUMIFS('프로젝트(G)'!I:I, '프로젝트(G)'!C:C, $E$1, '프로젝트(G)'!G:G, B27, '프로젝트(G)'!X:X, B30, '프로젝트(G)'!U:U, $D$1),
    SUMIFS('협력사 EPC(H)'!I:I, '협력사 EPC(H)'!C:C, $E$1, '협력사 EPC(H)'!G:G, B27, '협력사 EPC(H)'!X:X, B30, '협력사 EPC(H)'!U:U, $D$1),
    SUMIFS('기타(Z)'!I:I, '기타(Z)'!C:C, $E$1, '기타(Z)'!G:G, B27, '기타(Z)'!X:X, B30, '기타(Z)'!U:U, $D$1)
  )
)</f>
        <v/>
      </c>
      <c r="H30" s="263" t="str">
        <f>IF(
  (
    COUNTIFS('발전사업(A)'!C:C, $E$1, '발전사업(A)'!G:G, B27, '발전사업(A)'!X:X, B30, '발전사업(A)'!U:U, $D$1)
    + COUNTIFS('자가소비(B)'!C:C, $E$1, '자가소비(B)'!G:G, B27, '자가소비(B)'!X:X, B30, '자가소비(B)'!U:U, $D$1)
    + COUNTIFS('PPA 사업(C)'!C:C, $E$1, 'PPA 사업(C)'!G:G, B27, 'PPA 사업(C)'!X:X, B30, 'PPA 사업(C)'!U:U, $D$1)
    + COUNTIFS('리스사업(D)'!C:C, $E$1, '리스사업(D)'!G:G, B27, '리스사업(D)'!X:X, B30, '리스사업(D)'!U:U, $D$1)
    + COUNTIFS('임대사업(E)'!C:C, $E$1, '임대사업(E)'!G:G, B27, '임대사업(E)'!X:X, B30, '임대사업(E)'!U:U, $D$1)
    + COUNTIFS('환경부사업(F)'!C:C, $E$1, '환경부사업(F)'!G:G, B27, '환경부사업(F)'!X:X, B30, '환경부사업(F)'!U:U, $D$1)
    + COUNTIFS('프로젝트(G)'!C:C, $E$1, '프로젝트(G)'!G:G, B27, '프로젝트(G)'!X:X, B30, '프로젝트(G)'!U:U, $D$1)
    + COUNTIFS('협력사 EPC(H)'!C:C, $E$1, '협력사 EPC(H)'!G:G, B27, '협력사 EPC(H)'!X:X, B30, '협력사 EPC(H)'!U:U, $D$1)
    + COUNTIFS('기타(Z)'!C:C, $E$1, '기타(Z)'!G:G, B27, '기타(Z)'!X:X, B30, '기타(Z)'!U:U, $D$1)
  ) = 0,
  "",
  COUNTIFS('발전사업(A)'!C:C, $E$1, '발전사업(A)'!G:G, B27, '발전사업(A)'!X:X, B30, '발전사업(A)'!U:U, $D$1)
  + COUNTIFS('자가소비(B)'!C:C, $E$1, '자가소비(B)'!G:G, B27, '자가소비(B)'!X:X, B30, '자가소비(B)'!U:U, $D$1)
  + COUNTIFS('PPA 사업(C)'!C:C, $E$1, 'PPA 사업(C)'!G:G, B27, 'PPA 사업(C)'!X:X, B30, 'PPA 사업(C)'!U:U, $D$1)
  + COUNTIFS('리스사업(D)'!C:C, $E$1, '리스사업(D)'!G:G, B27, '리스사업(D)'!X:X, B30, '리스사업(D)'!U:U, $D$1)
  + COUNTIFS('임대사업(E)'!C:C, $E$1, '임대사업(E)'!G:G, B27, '임대사업(E)'!X:X, B30, '임대사업(E)'!U:U, $D$1)
  + COUNTIFS('환경부사업(F)'!C:C, $E$1, '환경부사업(F)'!G:G, B27, '환경부사업(F)'!X:X, B30, '환경부사업(F)'!U:U, $D$1)
  + COUNTIFS('프로젝트(G)'!C:C, $E$1, '프로젝트(G)'!G:G, B27, '프로젝트(G)'!X:X, B30, '프로젝트(G)'!U:U, $D$1)
  + COUNTIFS('협력사 EPC(H)'!C:C, $E$1, '협력사 EPC(H)'!G:G, B27, '협력사 EPC(H)'!X:X, B30, '협력사 EPC(H)'!U:U, $D$1)
  + COUNTIFS('기타(Z)'!C:C, $E$1, '기타(Z)'!G:G, B27, '기타(Z)'!X:X, B30, '기타(Z)'!U:U, $D$1)
)</f>
        <v/>
      </c>
    </row>
    <row r="31" spans="2:36" x14ac:dyDescent="0.25">
      <c r="B31" s="195" t="s">
        <v>154</v>
      </c>
      <c r="C31" s="262" t="str">
        <f>IF(
  SUM(
    SUMIFS('발전사업(A)'!I:I, '발전사업(A)'!C:C, $E$1, '발전사업(A)'!G:G, B27, '발전사업(A)'!X:X, B31),
    SUMIFS('자가소비(B)'!I:I, '자가소비(B)'!C:C, $E$1, '자가소비(B)'!G:G, B27, '자가소비(B)'!X:X, B31),
    SUMIFS('PPA 사업(C)'!I:I, 'PPA 사업(C)'!C:C, $E$1, 'PPA 사업(C)'!G:G, B27, 'PPA 사업(C)'!X:X, B31),
    SUMIFS('리스사업(D)'!I:I, '리스사업(D)'!C:C, $E$1, '리스사업(D)'!G:G, B27, '리스사업(D)'!X:X, B31),
    SUMIFS('임대사업(E)'!I:I, '임대사업(E)'!C:C, $E$1, '임대사업(E)'!G:G, B27, '임대사업(E)'!X:X, B31),
    SUMIFS('환경부사업(F)'!I:I, '환경부사업(F)'!C:C, $E$1, '환경부사업(F)'!G:G, B27, '환경부사업(F)'!X:X, B31),
    SUMIFS('프로젝트(G)'!I:I, '프로젝트(G)'!C:C, $E$1, '프로젝트(G)'!G:G, B27, '프로젝트(G)'!X:X, B31),
    SUMIFS('협력사 EPC(H)'!I:I, '협력사 EPC(H)'!C:C, $E$1, '협력사 EPC(H)'!G:G, B27, '협력사 EPC(H)'!X:X, B31),
    SUMIFS('기타(Z)'!I:I, '기타(Z)'!C:C, $E$1, '기타(Z)'!G:G, B27, '기타(Z)'!X:X, B31)
  ) = 0,
  "",
  SUMIFS('발전사업(A)'!I:I, '발전사업(A)'!C:C, $E$1, '발전사업(A)'!G:G, B27, '발전사업(A)'!X:X, B31)
  + SUMIFS('자가소비(B)'!I:I, '자가소비(B)'!C:C, $E$1, '자가소비(B)'!G:G, B27, '자가소비(B)'!X:X, B31)
  + SUMIFS('PPA 사업(C)'!I:I, 'PPA 사업(C)'!C:C, $E$1, 'PPA 사업(C)'!G:G, B27, 'PPA 사업(C)'!X:X, B31)
  + SUMIFS('리스사업(D)'!I:I, '리스사업(D)'!C:C, $E$1, '리스사업(D)'!G:G, B27, '리스사업(D)'!X:X, B31)
  + SUMIFS('임대사업(E)'!I:I, '임대사업(E)'!C:C, $E$1, '임대사업(E)'!G:G, B27, '임대사업(E)'!X:X, B31)
  + SUMIFS('환경부사업(F)'!I:I, '환경부사업(F)'!C:C, $E$1, '환경부사업(F)'!G:G, B27, '환경부사업(F)'!X:X, B31)
  + SUMIFS('프로젝트(G)'!I:I, '프로젝트(G)'!C:C, $E$1, '프로젝트(G)'!G:G, B27, '프로젝트(G)'!X:X, B31)
  + SUMIFS('협력사 EPC(H)'!I:I, '협력사 EPC(H)'!C:C, $E$1, '협력사 EPC(H)'!G:G, B27, '협력사 EPC(H)'!X:X, B31)
  + SUMIFS('기타(Z)'!I:I, '기타(Z)'!C:C, $E$1, '기타(Z)'!G:G, B27, '기타(Z)'!X:X, B31)
)</f>
        <v/>
      </c>
      <c r="D31" s="263" t="str">
        <f>IF(
  COUNTIFS('발전사업(A)'!C:C, $E$1, '발전사업(A)'!G:G, B27, '발전사업(A)'!X:X, B31)
  + COUNTIFS('자가소비(B)'!C:C, $E$1, '자가소비(B)'!G:G, B27, '자가소비(B)'!X:X, B31)
  + COUNTIFS('PPA 사업(C)'!C:C, $E$1, 'PPA 사업(C)'!G:G, B27, 'PPA 사업(C)'!X:X, B31)
  + COUNTIFS('리스사업(D)'!C:C, $E$1, '리스사업(D)'!G:G, B27, '리스사업(D)'!X:X, B31)
  + COUNTIFS('임대사업(E)'!C:C, $E$1, '임대사업(E)'!G:G, B27, '임대사업(E)'!X:X, B31)
  + COUNTIFS('환경부사업(F)'!C:C, $E$1, '환경부사업(F)'!G:G, B27, '환경부사업(F)'!X:X, B31)
  + COUNTIFS('프로젝트(G)'!C:C, $E$1, '프로젝트(G)'!G:G, B27, '프로젝트(G)'!X:X, B31)
  + COUNTIFS('협력사 EPC(H)'!C:C, $E$1, '협력사 EPC(H)'!G:G, B27, '협력사 EPC(H)'!X:X, B31)
  + COUNTIFS('기타(Z)'!C:C, $E$1, '기타(Z)'!G:G, B27, '기타(Z)'!X:X, B31)
  = 0,
  "",
  COUNTIFS('발전사업(A)'!C:C, $E$1, '발전사업(A)'!G:G, B27, '발전사업(A)'!X:X, B31)
  + COUNTIFS('자가소비(B)'!C:C, $E$1, '자가소비(B)'!G:G, B27, '자가소비(B)'!X:X, B31)
  + COUNTIFS('PPA 사업(C)'!C:C, $E$1, 'PPA 사업(C)'!G:G, B27, 'PPA 사업(C)'!X:X, B31)
  + COUNTIFS('리스사업(D)'!C:C, $E$1, '리스사업(D)'!G:G, B27, '리스사업(D)'!X:X, B31)
  + COUNTIFS('임대사업(E)'!C:C, $E$1, '임대사업(E)'!G:G, B27, '임대사업(E)'!X:X, B31)
  + COUNTIFS('환경부사업(F)'!C:C, $E$1, '환경부사업(F)'!G:G, B27, '환경부사업(F)'!X:X, B31)
  + COUNTIFS('프로젝트(G)'!C:C, $E$1, '프로젝트(G)'!G:G, B27, '프로젝트(G)'!X:X, B31)
  + COUNTIFS('협력사 EPC(H)'!C:C, $E$1, '협력사 EPC(H)'!G:G, B27, '협력사 EPC(H)'!X:X, B31)
  + COUNTIFS('기타(Z)'!C:C, $E$1, '기타(Z)'!G:G, B27, '기타(Z)'!X:X, B31)
)</f>
        <v/>
      </c>
      <c r="E31" s="262" t="str">
        <f>IF(
  SUM(
    SUMIFS('발전사업(A)'!I:I, '발전사업(A)'!C:C, $E$1, '발전사업(A)'!G:G, B27, '발전사업(A)'!X:X, B31, '발전사업(A)'!U:U, $C$1),
    SUMIFS('자가소비(B)'!I:I, '자가소비(B)'!C:C, $E$1, '자가소비(B)'!G:G, B27, '자가소비(B)'!X:X, B31, '자가소비(B)'!U:U, $C$1),
    SUMIFS('PPA 사업(C)'!I:I, 'PPA 사업(C)'!C:C, $E$1, 'PPA 사업(C)'!G:G, B27, 'PPA 사업(C)'!X:X, B31, 'PPA 사업(C)'!U:U, $C$1),
    SUMIFS('리스사업(D)'!I:I, '리스사업(D)'!C:C, $E$1, '리스사업(D)'!G:G, B27, '리스사업(D)'!X:X, B31, '리스사업(D)'!U:U, $C$1),
    SUMIFS('임대사업(E)'!I:I, '임대사업(E)'!C:C, $E$1, '임대사업(E)'!G:G, B27, '임대사업(E)'!X:X, B31, '임대사업(E)'!U:U, $C$1),
    SUMIFS('환경부사업(F)'!I:I, '환경부사업(F)'!C:C, $E$1, '환경부사업(F)'!G:G, B27, '환경부사업(F)'!X:X, B31, '환경부사업(F)'!U:U, $C$1),
    SUMIFS('프로젝트(G)'!I:I, '프로젝트(G)'!C:C, $E$1, '프로젝트(G)'!G:G, B27, '프로젝트(G)'!X:X, B31, '프로젝트(G)'!U:U, $C$1),
    SUMIFS('협력사 EPC(H)'!I:I, '협력사 EPC(H)'!C:C, $E$1, '협력사 EPC(H)'!G:G, B27, '협력사 EPC(H)'!X:X, B31, '협력사 EPC(H)'!U:U, $C$1),
    SUMIFS('기타(Z)'!I:I, '기타(Z)'!C:C, $E$1, '기타(Z)'!G:G, B27, '기타(Z)'!X:X, B31, '기타(Z)'!U:U, $C$1)
  ) = 0,
  "",
  SUM(
    SUMIFS('발전사업(A)'!I:I, '발전사업(A)'!C:C, $E$1, '발전사업(A)'!G:G, B27, '발전사업(A)'!X:X, B31, '발전사업(A)'!U:U, $C$1),
    SUMIFS('자가소비(B)'!I:I, '자가소비(B)'!C:C, $E$1, '자가소비(B)'!G:G, B27, '자가소비(B)'!X:X, B31, '자가소비(B)'!U:U, $C$1),
    SUMIFS('PPA 사업(C)'!I:I, 'PPA 사업(C)'!C:C, $E$1, 'PPA 사업(C)'!G:G, B27, 'PPA 사업(C)'!X:X, B31, 'PPA 사업(C)'!U:U, $C$1),
    SUMIFS('리스사업(D)'!I:I, '리스사업(D)'!C:C, $E$1, '리스사업(D)'!G:G, B27, '리스사업(D)'!X:X, B31, '리스사업(D)'!U:U, $C$1),
    SUMIFS('임대사업(E)'!I:I, '임대사업(E)'!C:C, $E$1, '임대사업(E)'!G:G, B27, '임대사업(E)'!X:X, B31, '임대사업(E)'!U:U, $C$1),
    SUMIFS('환경부사업(F)'!I:I, '환경부사업(F)'!C:C, $E$1, '환경부사업(F)'!G:G, B27, '환경부사업(F)'!X:X, B31, '환경부사업(F)'!U:U, $C$1),
    SUMIFS('프로젝트(G)'!I:I, '프로젝트(G)'!C:C, $E$1, '프로젝트(G)'!G:G, B27, '프로젝트(G)'!X:X, B31, '프로젝트(G)'!U:U, $C$1),
    SUMIFS('협력사 EPC(H)'!I:I, '협력사 EPC(H)'!C:C, $E$1, '협력사 EPC(H)'!G:G, B27, '협력사 EPC(H)'!X:X, B31, '협력사 EPC(H)'!U:U, $C$1),
    SUMIFS('기타(Z)'!I:I, '기타(Z)'!C:C, $E$1, '기타(Z)'!G:G, B27, '기타(Z)'!X:X, B31, '기타(Z)'!U:U, $C$1)
  )
)</f>
        <v/>
      </c>
      <c r="F31" s="263" t="str">
        <f>IF(
  SUM(
    COUNTIFS('발전사업(A)'!C:C, $E$1, '발전사업(A)'!G:G, B27, '발전사업(A)'!X:X, B31, '발전사업(A)'!U:U, $C$1),
    COUNTIFS('자가소비(B)'!C:C, $E$1, '자가소비(B)'!G:G, B27, '자가소비(B)'!X:X, B31, '자가소비(B)'!U:U, $C$1),
    COUNTIFS('PPA 사업(C)'!C:C, $E$1, 'PPA 사업(C)'!G:G, B27, 'PPA 사업(C)'!X:X, B31, 'PPA 사업(C)'!U:U, $C$1),
    COUNTIFS('리스사업(D)'!C:C, $E$1, '리스사업(D)'!G:G, B27, '리스사업(D)'!X:X, B31, '리스사업(D)'!U:U, $C$1),
    COUNTIFS('임대사업(E)'!C:C, $E$1, '임대사업(E)'!G:G, B27, '임대사업(E)'!X:X, B31, '임대사업(E)'!U:U, $C$1),
    COUNTIFS('환경부사업(F)'!C:C, $E$1, '환경부사업(F)'!G:G, B27, '환경부사업(F)'!X:X, B31, '환경부사업(F)'!U:U, $C$1),
    COUNTIFS('프로젝트(G)'!C:C, $E$1, '프로젝트(G)'!G:G, B27, '프로젝트(G)'!X:X, B31, '프로젝트(G)'!U:U, $C$1),
    COUNTIFS('협력사 EPC(H)'!C:C, $E$1, '협력사 EPC(H)'!G:G, B27, '협력사 EPC(H)'!X:X, B31, '협력사 EPC(H)'!U:U, $C$1),
    COUNTIFS('기타(Z)'!C:C, $E$1, '기타(Z)'!G:G, B27, '기타(Z)'!X:X, B31, '기타(Z)'!U:U, $C$1)
  ) = 0,
  "",
  SUM(
    COUNTIFS('발전사업(A)'!C:C, $E$1, '발전사업(A)'!G:G, B27, '발전사업(A)'!X:X, B31, '발전사업(A)'!U:U, $C$1),
    COUNTIFS('자가소비(B)'!C:C, $E$1, '자가소비(B)'!G:G, B27, '자가소비(B)'!X:X, B31, '자가소비(B)'!U:U, $C$1),
    COUNTIFS('PPA 사업(C)'!C:C, $E$1, 'PPA 사업(C)'!G:G, B27, 'PPA 사업(C)'!X:X, B31, 'PPA 사업(C)'!U:U, $C$1),
    COUNTIFS('리스사업(D)'!C:C, $E$1, '리스사업(D)'!G:G, B27, '리스사업(D)'!X:X, B31, '리스사업(D)'!U:U, $C$1),
    COUNTIFS('임대사업(E)'!C:C, $E$1, '임대사업(E)'!G:G, B27, '임대사업(E)'!X:X, B31, '임대사업(E)'!U:U, $C$1),
    COUNTIFS('환경부사업(F)'!C:C, $E$1, '환경부사업(F)'!G:G, B27, '환경부사업(F)'!X:X, B31, '환경부사업(F)'!U:U, $C$1),
    COUNTIFS('프로젝트(G)'!C:C, $E$1, '프로젝트(G)'!G:G, B27, '프로젝트(G)'!X:X, B31, '프로젝트(G)'!U:U, $C$1),
    COUNTIFS('협력사 EPC(H)'!C:C, $E$1, '협력사 EPC(H)'!G:G, B27, '협력사 EPC(H)'!X:X, B31, '협력사 EPC(H)'!U:U, $C$1),
    COUNTIFS('기타(Z)'!C:C, $E$1, '기타(Z)'!G:G, B27, '기타(Z)'!X:X, B31, '기타(Z)'!U:U, $C$1)
  )
)</f>
        <v/>
      </c>
      <c r="G31" s="262" t="str">
        <f>IF(
  SUM(
    SUMIFS('발전사업(A)'!I:I, '발전사업(A)'!C:C, $E$1, '발전사업(A)'!G:G, B27, '발전사업(A)'!X:X, B31, '발전사업(A)'!U:U, $D$1),
    SUMIFS('자가소비(B)'!I:I, '자가소비(B)'!C:C, $E$1, '자가소비(B)'!G:G, B27, '자가소비(B)'!X:X, B31, '자가소비(B)'!U:U, $D$1),
    SUMIFS('PPA 사업(C)'!I:I, 'PPA 사업(C)'!C:C, $E$1, 'PPA 사업(C)'!G:G, B27, 'PPA 사업(C)'!X:X, B31, 'PPA 사업(C)'!U:U, $D$1),
    SUMIFS('리스사업(D)'!I:I, '리스사업(D)'!C:C, $E$1, '리스사업(D)'!G:G, B27, '리스사업(D)'!X:X, B31, '리스사업(D)'!U:U, $D$1),
    SUMIFS('임대사업(E)'!I:I, '임대사업(E)'!C:C, $E$1, '임대사업(E)'!G:G, B27, '임대사업(E)'!X:X, B31, '임대사업(E)'!U:U, $D$1),
    SUMIFS('환경부사업(F)'!I:I, '환경부사업(F)'!C:C, $E$1, '환경부사업(F)'!G:G, B27, '환경부사업(F)'!X:X, B31, '환경부사업(F)'!U:U, $D$1),
    SUMIFS('프로젝트(G)'!I:I, '프로젝트(G)'!C:C, $E$1, '프로젝트(G)'!G:G, B27, '프로젝트(G)'!X:X, B31, '프로젝트(G)'!U:U, $D$1),
    SUMIFS('협력사 EPC(H)'!I:I, '협력사 EPC(H)'!C:C, $E$1, '협력사 EPC(H)'!G:G, B27, '협력사 EPC(H)'!X:X, B31, '협력사 EPC(H)'!U:U, $D$1),
    SUMIFS('기타(Z)'!I:I, '기타(Z)'!C:C, $E$1, '기타(Z)'!G:G, B27, '기타(Z)'!X:X, B31, '기타(Z)'!U:U, $D$1)
  ) = 0,
  "",
  SUM(
    SUMIFS('발전사업(A)'!I:I, '발전사업(A)'!C:C, $E$1, '발전사업(A)'!G:G, B27, '발전사업(A)'!X:X, B31, '발전사업(A)'!U:U, $D$1),
    SUMIFS('자가소비(B)'!I:I, '자가소비(B)'!C:C, $E$1, '자가소비(B)'!G:G, B27, '자가소비(B)'!X:X, B31, '자가소비(B)'!U:U, $D$1),
    SUMIFS('PPA 사업(C)'!I:I, 'PPA 사업(C)'!C:C, $E$1, 'PPA 사업(C)'!G:G, B27, 'PPA 사업(C)'!X:X, B31, 'PPA 사업(C)'!U:U, $D$1),
    SUMIFS('리스사업(D)'!I:I, '리스사업(D)'!C:C, $E$1, '리스사업(D)'!G:G, B27, '리스사업(D)'!X:X, B31, '리스사업(D)'!U:U, $D$1),
    SUMIFS('임대사업(E)'!I:I, '임대사업(E)'!C:C, $E$1, '임대사업(E)'!G:G, B27, '임대사업(E)'!X:X, B31, '임대사업(E)'!U:U, $D$1),
    SUMIFS('환경부사업(F)'!I:I, '환경부사업(F)'!C:C, $E$1, '환경부사업(F)'!G:G, B27, '환경부사업(F)'!X:X, B31, '환경부사업(F)'!U:U, $D$1),
    SUMIFS('프로젝트(G)'!I:I, '프로젝트(G)'!C:C, $E$1, '프로젝트(G)'!G:G, B27, '프로젝트(G)'!X:X, B31, '프로젝트(G)'!U:U, $D$1),
    SUMIFS('협력사 EPC(H)'!I:I, '협력사 EPC(H)'!C:C, $E$1, '협력사 EPC(H)'!G:G, B27, '협력사 EPC(H)'!X:X, B31, '협력사 EPC(H)'!U:U, $D$1),
    SUMIFS('기타(Z)'!I:I, '기타(Z)'!C:C, $E$1, '기타(Z)'!G:G, B27, '기타(Z)'!X:X, B31, '기타(Z)'!U:U, $D$1)
  )
)</f>
        <v/>
      </c>
      <c r="H31" s="263" t="str">
        <f>IF(
  (
    COUNTIFS('발전사업(A)'!C:C, $E$1, '발전사업(A)'!G:G, B27, '발전사업(A)'!X:X, B31, '발전사업(A)'!U:U, $D$1)
    + COUNTIFS('자가소비(B)'!C:C, $E$1, '자가소비(B)'!G:G, B27, '자가소비(B)'!X:X, B31, '자가소비(B)'!U:U, $D$1)
    + COUNTIFS('PPA 사업(C)'!C:C, $E$1, 'PPA 사업(C)'!G:G, B27, 'PPA 사업(C)'!X:X, B31, 'PPA 사업(C)'!U:U, $D$1)
    + COUNTIFS('리스사업(D)'!C:C, $E$1, '리스사업(D)'!G:G, B27, '리스사업(D)'!X:X, B31, '리스사업(D)'!U:U, $D$1)
    + COUNTIFS('임대사업(E)'!C:C, $E$1, '임대사업(E)'!G:G, B27, '임대사업(E)'!X:X, B31, '임대사업(E)'!U:U, $D$1)
    + COUNTIFS('환경부사업(F)'!C:C, $E$1, '환경부사업(F)'!G:G, B27, '환경부사업(F)'!X:X, B31, '환경부사업(F)'!U:U, $D$1)
    + COUNTIFS('프로젝트(G)'!C:C, $E$1, '프로젝트(G)'!G:G, B27, '프로젝트(G)'!X:X, B31, '프로젝트(G)'!U:U, $D$1)
    + COUNTIFS('협력사 EPC(H)'!C:C, $E$1, '협력사 EPC(H)'!G:G, B27, '협력사 EPC(H)'!X:X, B31, '협력사 EPC(H)'!U:U, $D$1)
    + COUNTIFS('기타(Z)'!C:C, $E$1, '기타(Z)'!G:G, B27, '기타(Z)'!X:X, B31, '기타(Z)'!U:U, $D$1)
  ) = 0,
  "",
  COUNTIFS('발전사업(A)'!C:C, $E$1, '발전사업(A)'!G:G, B27, '발전사업(A)'!X:X, B31, '발전사업(A)'!U:U, $D$1)
  + COUNTIFS('자가소비(B)'!C:C, $E$1, '자가소비(B)'!G:G, B27, '자가소비(B)'!X:X, B31, '자가소비(B)'!U:U, $D$1)
  + COUNTIFS('PPA 사업(C)'!C:C, $E$1, 'PPA 사업(C)'!G:G, B27, 'PPA 사업(C)'!X:X, B31, 'PPA 사업(C)'!U:U, $D$1)
  + COUNTIFS('리스사업(D)'!C:C, $E$1, '리스사업(D)'!G:G, B27, '리스사업(D)'!X:X, B31, '리스사업(D)'!U:U, $D$1)
  + COUNTIFS('임대사업(E)'!C:C, $E$1, '임대사업(E)'!G:G, B27, '임대사업(E)'!X:X, B31, '임대사업(E)'!U:U, $D$1)
  + COUNTIFS('환경부사업(F)'!C:C, $E$1, '환경부사업(F)'!G:G, B27, '환경부사업(F)'!X:X, B31, '환경부사업(F)'!U:U, $D$1)
  + COUNTIFS('프로젝트(G)'!C:C, $E$1, '프로젝트(G)'!G:G, B27, '프로젝트(G)'!X:X, B31, '프로젝트(G)'!U:U, $D$1)
  + COUNTIFS('협력사 EPC(H)'!C:C, $E$1, '협력사 EPC(H)'!G:G, B27, '협력사 EPC(H)'!X:X, B31, '협력사 EPC(H)'!U:U, $D$1)
  + COUNTIFS('기타(Z)'!C:C, $E$1, '기타(Z)'!G:G, B27, '기타(Z)'!X:X, B31, '기타(Z)'!U:U, $D$1)
)</f>
        <v/>
      </c>
    </row>
    <row r="32" spans="2:36" x14ac:dyDescent="0.25">
      <c r="B32" s="195" t="s">
        <v>155</v>
      </c>
      <c r="C32" s="262">
        <f>IF(
  SUM(
    SUMIFS('발전사업(A)'!I:I, '발전사업(A)'!C:C, $E$1, '발전사업(A)'!G:G, B27, '발전사업(A)'!X:X, B32),
    SUMIFS('자가소비(B)'!I:I, '자가소비(B)'!C:C, $E$1, '자가소비(B)'!G:G, B27, '자가소비(B)'!X:X, B32),
    SUMIFS('PPA 사업(C)'!I:I, 'PPA 사업(C)'!C:C, $E$1, 'PPA 사업(C)'!G:G, B27, 'PPA 사업(C)'!X:X, B32),
    SUMIFS('리스사업(D)'!I:I, '리스사업(D)'!C:C, $E$1, '리스사업(D)'!G:G, B27, '리스사업(D)'!X:X, B32),
    SUMIFS('임대사업(E)'!I:I, '임대사업(E)'!C:C, $E$1, '임대사업(E)'!G:G, B27, '임대사업(E)'!X:X, B32),
    SUMIFS('환경부사업(F)'!I:I, '환경부사업(F)'!C:C, $E$1, '환경부사업(F)'!G:G, B27, '환경부사업(F)'!X:X, B32),
    SUMIFS('프로젝트(G)'!I:I, '프로젝트(G)'!C:C, $E$1, '프로젝트(G)'!G:G, B27, '프로젝트(G)'!X:X, B32),
    SUMIFS('협력사 EPC(H)'!I:I, '협력사 EPC(H)'!C:C, $E$1, '협력사 EPC(H)'!G:G, B27, '협력사 EPC(H)'!X:X, B32),
    SUMIFS('기타(Z)'!I:I, '기타(Z)'!C:C, $E$1, '기타(Z)'!G:G, B27, '기타(Z)'!X:X, B32)
  ) = 0,
  "",
  SUMIFS('발전사업(A)'!I:I, '발전사업(A)'!C:C, $E$1, '발전사업(A)'!G:G, B27, '발전사업(A)'!X:X, B32)
  + SUMIFS('자가소비(B)'!I:I, '자가소비(B)'!C:C, $E$1, '자가소비(B)'!G:G, B27, '자가소비(B)'!X:X, B32)
  + SUMIFS('PPA 사업(C)'!I:I, 'PPA 사업(C)'!C:C, $E$1, 'PPA 사업(C)'!G:G, B27, 'PPA 사업(C)'!X:X, B32)
  + SUMIFS('리스사업(D)'!I:I, '리스사업(D)'!C:C, $E$1, '리스사업(D)'!G:G, B27, '리스사업(D)'!X:X, B32)
  + SUMIFS('임대사업(E)'!I:I, '임대사업(E)'!C:C, $E$1, '임대사업(E)'!G:G, B27, '임대사업(E)'!X:X, B32)
  + SUMIFS('환경부사업(F)'!I:I, '환경부사업(F)'!C:C, $E$1, '환경부사업(F)'!G:G, B27, '환경부사업(F)'!X:X, B32)
  + SUMIFS('프로젝트(G)'!I:I, '프로젝트(G)'!C:C, $E$1, '프로젝트(G)'!G:G, B27, '프로젝트(G)'!X:X, B32)
  + SUMIFS('협력사 EPC(H)'!I:I, '협력사 EPC(H)'!C:C, $E$1, '협력사 EPC(H)'!G:G, B27, '협력사 EPC(H)'!X:X, B32)
  + SUMIFS('기타(Z)'!I:I, '기타(Z)'!C:C, $E$1, '기타(Z)'!G:G, B27, '기타(Z)'!X:X, B32)
)</f>
        <v>628.005</v>
      </c>
      <c r="D32" s="263">
        <f>IF(
  COUNTIFS('발전사업(A)'!C:C, $E$1, '발전사업(A)'!G:G, B27, '발전사업(A)'!X:X, B32)
  + COUNTIFS('자가소비(B)'!C:C, $E$1, '자가소비(B)'!G:G, B27, '자가소비(B)'!X:X, B32)
  + COUNTIFS('PPA 사업(C)'!C:C, $E$1, 'PPA 사업(C)'!G:G, B27, 'PPA 사업(C)'!X:X, B32)
  + COUNTIFS('리스사업(D)'!C:C, $E$1, '리스사업(D)'!G:G, B27, '리스사업(D)'!X:X, B32)
  + COUNTIFS('임대사업(E)'!C:C, $E$1, '임대사업(E)'!G:G, B27, '임대사업(E)'!X:X, B32)
  + COUNTIFS('환경부사업(F)'!C:C, $E$1, '환경부사업(F)'!G:G, B27, '환경부사업(F)'!X:X, B32)
  + COUNTIFS('프로젝트(G)'!C:C, $E$1, '프로젝트(G)'!G:G, B27, '프로젝트(G)'!X:X, B32)
  + COUNTIFS('협력사 EPC(H)'!C:C, $E$1, '협력사 EPC(H)'!G:G, B27, '협력사 EPC(H)'!X:X, B32)
  + COUNTIFS('기타(Z)'!C:C, $E$1, '기타(Z)'!G:G, B27, '기타(Z)'!X:X, B32)
  = 0,
  "",
  COUNTIFS('발전사업(A)'!C:C, $E$1, '발전사업(A)'!G:G, B27, '발전사업(A)'!X:X, B32)
  + COUNTIFS('자가소비(B)'!C:C, $E$1, '자가소비(B)'!G:G, B27, '자가소비(B)'!X:X, B32)
  + COUNTIFS('PPA 사업(C)'!C:C, $E$1, 'PPA 사업(C)'!G:G, B27, 'PPA 사업(C)'!X:X, B32)
  + COUNTIFS('리스사업(D)'!C:C, $E$1, '리스사업(D)'!G:G, B27, '리스사업(D)'!X:X, B32)
  + COUNTIFS('임대사업(E)'!C:C, $E$1, '임대사업(E)'!G:G, B27, '임대사업(E)'!X:X, B32)
  + COUNTIFS('환경부사업(F)'!C:C, $E$1, '환경부사업(F)'!G:G, B27, '환경부사업(F)'!X:X, B32)
  + COUNTIFS('프로젝트(G)'!C:C, $E$1, '프로젝트(G)'!G:G, B27, '프로젝트(G)'!X:X, B32)
  + COUNTIFS('협력사 EPC(H)'!C:C, $E$1, '협력사 EPC(H)'!G:G, B27, '협력사 EPC(H)'!X:X, B32)
  + COUNTIFS('기타(Z)'!C:C, $E$1, '기타(Z)'!G:G, B27, '기타(Z)'!X:X, B32)
)</f>
        <v>7</v>
      </c>
      <c r="E32" s="262">
        <f>IF(
  SUM(
    SUMIFS('발전사업(A)'!I:I, '발전사업(A)'!C:C, $E$1, '발전사업(A)'!G:G, B27, '발전사업(A)'!X:X, B32, '발전사업(A)'!U:U, $C$1),
    SUMIFS('자가소비(B)'!I:I, '자가소비(B)'!C:C, $E$1, '자가소비(B)'!G:G, B27, '자가소비(B)'!X:X, B32, '자가소비(B)'!U:U, $C$1),
    SUMIFS('PPA 사업(C)'!I:I, 'PPA 사업(C)'!C:C, $E$1, 'PPA 사업(C)'!G:G, B27, 'PPA 사업(C)'!X:X, B32, 'PPA 사업(C)'!U:U, $C$1),
    SUMIFS('리스사업(D)'!I:I, '리스사업(D)'!C:C, $E$1, '리스사업(D)'!G:G, B27, '리스사업(D)'!X:X, B32, '리스사업(D)'!U:U, $C$1),
    SUMIFS('임대사업(E)'!I:I, '임대사업(E)'!C:C, $E$1, '임대사업(E)'!G:G, B27, '임대사업(E)'!X:X, B32, '임대사업(E)'!U:U, $C$1),
    SUMIFS('환경부사업(F)'!I:I, '환경부사업(F)'!C:C, $E$1, '환경부사업(F)'!G:G, B27, '환경부사업(F)'!X:X, B32, '환경부사업(F)'!U:U, $C$1),
    SUMIFS('프로젝트(G)'!I:I, '프로젝트(G)'!C:C, $E$1, '프로젝트(G)'!G:G, B27, '프로젝트(G)'!X:X, B32, '프로젝트(G)'!U:U, $C$1),
    SUMIFS('협력사 EPC(H)'!I:I, '협력사 EPC(H)'!C:C, $E$1, '협력사 EPC(H)'!G:G, B27, '협력사 EPC(H)'!X:X, B32, '협력사 EPC(H)'!U:U, $C$1),
    SUMIFS('기타(Z)'!I:I, '기타(Z)'!C:C, $E$1, '기타(Z)'!G:G, B27, '기타(Z)'!X:X, B32, '기타(Z)'!U:U, $C$1)
  ) = 0,
  "",
  SUM(
    SUMIFS('발전사업(A)'!I:I, '발전사업(A)'!C:C, $E$1, '발전사업(A)'!G:G, B27, '발전사업(A)'!X:X, B32, '발전사업(A)'!U:U, $C$1),
    SUMIFS('자가소비(B)'!I:I, '자가소비(B)'!C:C, $E$1, '자가소비(B)'!G:G, B27, '자가소비(B)'!X:X, B32, '자가소비(B)'!U:U, $C$1),
    SUMIFS('PPA 사업(C)'!I:I, 'PPA 사업(C)'!C:C, $E$1, 'PPA 사업(C)'!G:G, B27, 'PPA 사업(C)'!X:X, B32, 'PPA 사업(C)'!U:U, $C$1),
    SUMIFS('리스사업(D)'!I:I, '리스사업(D)'!C:C, $E$1, '리스사업(D)'!G:G, B27, '리스사업(D)'!X:X, B32, '리스사업(D)'!U:U, $C$1),
    SUMIFS('임대사업(E)'!I:I, '임대사업(E)'!C:C, $E$1, '임대사업(E)'!G:G, B27, '임대사업(E)'!X:X, B32, '임대사업(E)'!U:U, $C$1),
    SUMIFS('환경부사업(F)'!I:I, '환경부사업(F)'!C:C, $E$1, '환경부사업(F)'!G:G, B27, '환경부사업(F)'!X:X, B32, '환경부사업(F)'!U:U, $C$1),
    SUMIFS('프로젝트(G)'!I:I, '프로젝트(G)'!C:C, $E$1, '프로젝트(G)'!G:G, B27, '프로젝트(G)'!X:X, B32, '프로젝트(G)'!U:U, $C$1),
    SUMIFS('협력사 EPC(H)'!I:I, '협력사 EPC(H)'!C:C, $E$1, '협력사 EPC(H)'!G:G, B27, '협력사 EPC(H)'!X:X, B32, '협력사 EPC(H)'!U:U, $C$1),
    SUMIFS('기타(Z)'!I:I, '기타(Z)'!C:C, $E$1, '기타(Z)'!G:G, B27, '기타(Z)'!X:X, B32, '기타(Z)'!U:U, $C$1)
  )
)</f>
        <v>408.93</v>
      </c>
      <c r="F32" s="263">
        <f>IF(
  SUM(
    COUNTIFS('발전사업(A)'!C:C, $E$1, '발전사업(A)'!G:G, B27, '발전사업(A)'!X:X, B32, '발전사업(A)'!U:U, $C$1),
    COUNTIFS('자가소비(B)'!C:C, $E$1, '자가소비(B)'!G:G, B27, '자가소비(B)'!X:X, B32, '자가소비(B)'!U:U, $C$1),
    COUNTIFS('PPA 사업(C)'!C:C, $E$1, 'PPA 사업(C)'!G:G, B27, 'PPA 사업(C)'!X:X, B32, 'PPA 사업(C)'!U:U, $C$1),
    COUNTIFS('리스사업(D)'!C:C, $E$1, '리스사업(D)'!G:G, B27, '리스사업(D)'!X:X, B32, '리스사업(D)'!U:U, $C$1),
    COUNTIFS('임대사업(E)'!C:C, $E$1, '임대사업(E)'!G:G, B27, '임대사업(E)'!X:X, B32, '임대사업(E)'!U:U, $C$1),
    COUNTIFS('환경부사업(F)'!C:C, $E$1, '환경부사업(F)'!G:G, B27, '환경부사업(F)'!X:X, B32, '환경부사업(F)'!U:U, $C$1),
    COUNTIFS('프로젝트(G)'!C:C, $E$1, '프로젝트(G)'!G:G, B27, '프로젝트(G)'!X:X, B32, '프로젝트(G)'!U:U, $C$1),
    COUNTIFS('협력사 EPC(H)'!C:C, $E$1, '협력사 EPC(H)'!G:G, B27, '협력사 EPC(H)'!X:X, B32, '협력사 EPC(H)'!U:U, $C$1),
    COUNTIFS('기타(Z)'!C:C, $E$1, '기타(Z)'!G:G, B27, '기타(Z)'!X:X, B32, '기타(Z)'!U:U, $C$1)
  ) = 0,
  "",
  SUM(
    COUNTIFS('발전사업(A)'!C:C, $E$1, '발전사업(A)'!G:G, B27, '발전사업(A)'!X:X, B32, '발전사업(A)'!U:U, $C$1),
    COUNTIFS('자가소비(B)'!C:C, $E$1, '자가소비(B)'!G:G, B27, '자가소비(B)'!X:X, B32, '자가소비(B)'!U:U, $C$1),
    COUNTIFS('PPA 사업(C)'!C:C, $E$1, 'PPA 사업(C)'!G:G, B27, 'PPA 사업(C)'!X:X, B32, 'PPA 사업(C)'!U:U, $C$1),
    COUNTIFS('리스사업(D)'!C:C, $E$1, '리스사업(D)'!G:G, B27, '리스사업(D)'!X:X, B32, '리스사업(D)'!U:U, $C$1),
    COUNTIFS('임대사업(E)'!C:C, $E$1, '임대사업(E)'!G:G, B27, '임대사업(E)'!X:X, B32, '임대사업(E)'!U:U, $C$1),
    COUNTIFS('환경부사업(F)'!C:C, $E$1, '환경부사업(F)'!G:G, B27, '환경부사업(F)'!X:X, B32, '환경부사업(F)'!U:U, $C$1),
    COUNTIFS('프로젝트(G)'!C:C, $E$1, '프로젝트(G)'!G:G, B27, '프로젝트(G)'!X:X, B32, '프로젝트(G)'!U:U, $C$1),
    COUNTIFS('협력사 EPC(H)'!C:C, $E$1, '협력사 EPC(H)'!G:G, B27, '협력사 EPC(H)'!X:X, B32, '협력사 EPC(H)'!U:U, $C$1),
    COUNTIFS('기타(Z)'!C:C, $E$1, '기타(Z)'!G:G, B27, '기타(Z)'!X:X, B32, '기타(Z)'!U:U, $C$1)
  )
)</f>
        <v>4</v>
      </c>
      <c r="G32" s="262">
        <f>IF(
  SUM(
    SUMIFS('발전사업(A)'!I:I, '발전사업(A)'!C:C, $E$1, '발전사업(A)'!G:G, B27, '발전사업(A)'!X:X, B32, '발전사업(A)'!U:U, $D$1),
    SUMIFS('자가소비(B)'!I:I, '자가소비(B)'!C:C, $E$1, '자가소비(B)'!G:G, B27, '자가소비(B)'!X:X, B32, '자가소비(B)'!U:U, $D$1),
    SUMIFS('PPA 사업(C)'!I:I, 'PPA 사업(C)'!C:C, $E$1, 'PPA 사업(C)'!G:G, B27, 'PPA 사업(C)'!X:X, B32, 'PPA 사업(C)'!U:U, $D$1),
    SUMIFS('리스사업(D)'!I:I, '리스사업(D)'!C:C, $E$1, '리스사업(D)'!G:G, B27, '리스사업(D)'!X:X, B32, '리스사업(D)'!U:U, $D$1),
    SUMIFS('임대사업(E)'!I:I, '임대사업(E)'!C:C, $E$1, '임대사업(E)'!G:G, B27, '임대사업(E)'!X:X, B32, '임대사업(E)'!U:U, $D$1),
    SUMIFS('환경부사업(F)'!I:I, '환경부사업(F)'!C:C, $E$1, '환경부사업(F)'!G:G, B27, '환경부사업(F)'!X:X, B32, '환경부사업(F)'!U:U, $D$1),
    SUMIFS('프로젝트(G)'!I:I, '프로젝트(G)'!C:C, $E$1, '프로젝트(G)'!G:G, B27, '프로젝트(G)'!X:X, B32, '프로젝트(G)'!U:U, $D$1),
    SUMIFS('협력사 EPC(H)'!I:I, '협력사 EPC(H)'!C:C, $E$1, '협력사 EPC(H)'!G:G, B27, '협력사 EPC(H)'!X:X, B32, '협력사 EPC(H)'!U:U, $D$1),
    SUMIFS('기타(Z)'!I:I, '기타(Z)'!C:C, $E$1, '기타(Z)'!G:G, B27, '기타(Z)'!X:X, B32, '기타(Z)'!U:U, $D$1)
  ) = 0,
  "",
  SUM(
    SUMIFS('발전사업(A)'!I:I, '발전사업(A)'!C:C, $E$1, '발전사업(A)'!G:G, B27, '발전사업(A)'!X:X, B32, '발전사업(A)'!U:U, $D$1),
    SUMIFS('자가소비(B)'!I:I, '자가소비(B)'!C:C, $E$1, '자가소비(B)'!G:G, B27, '자가소비(B)'!X:X, B32, '자가소비(B)'!U:U, $D$1),
    SUMIFS('PPA 사업(C)'!I:I, 'PPA 사업(C)'!C:C, $E$1, 'PPA 사업(C)'!G:G, B27, 'PPA 사업(C)'!X:X, B32, 'PPA 사업(C)'!U:U, $D$1),
    SUMIFS('리스사업(D)'!I:I, '리스사업(D)'!C:C, $E$1, '리스사업(D)'!G:G, B27, '리스사업(D)'!X:X, B32, '리스사업(D)'!U:U, $D$1),
    SUMIFS('임대사업(E)'!I:I, '임대사업(E)'!C:C, $E$1, '임대사업(E)'!G:G, B27, '임대사업(E)'!X:X, B32, '임대사업(E)'!U:U, $D$1),
    SUMIFS('환경부사업(F)'!I:I, '환경부사업(F)'!C:C, $E$1, '환경부사업(F)'!G:G, B27, '환경부사업(F)'!X:X, B32, '환경부사업(F)'!U:U, $D$1),
    SUMIFS('프로젝트(G)'!I:I, '프로젝트(G)'!C:C, $E$1, '프로젝트(G)'!G:G, B27, '프로젝트(G)'!X:X, B32, '프로젝트(G)'!U:U, $D$1),
    SUMIFS('협력사 EPC(H)'!I:I, '협력사 EPC(H)'!C:C, $E$1, '협력사 EPC(H)'!G:G, B27, '협력사 EPC(H)'!X:X, B32, '협력사 EPC(H)'!U:U, $D$1),
    SUMIFS('기타(Z)'!I:I, '기타(Z)'!C:C, $E$1, '기타(Z)'!G:G, B27, '기타(Z)'!X:X, B32, '기타(Z)'!U:U, $D$1)
  )
)</f>
        <v>219.07499999999999</v>
      </c>
      <c r="H32" s="263">
        <f>IF(
  (
    COUNTIFS('발전사업(A)'!C:C, $E$1, '발전사업(A)'!G:G, B27, '발전사업(A)'!X:X, B32, '발전사업(A)'!U:U, $D$1)
    + COUNTIFS('자가소비(B)'!C:C, $E$1, '자가소비(B)'!G:G, B27, '자가소비(B)'!X:X, B32, '자가소비(B)'!U:U, $D$1)
    + COUNTIFS('PPA 사업(C)'!C:C, $E$1, 'PPA 사업(C)'!G:G, B27, 'PPA 사업(C)'!X:X, B32, 'PPA 사업(C)'!U:U, $D$1)
    + COUNTIFS('리스사업(D)'!C:C, $E$1, '리스사업(D)'!G:G, B27, '리스사업(D)'!X:X, B32, '리스사업(D)'!U:U, $D$1)
    + COUNTIFS('임대사업(E)'!C:C, $E$1, '임대사업(E)'!G:G, B27, '임대사업(E)'!X:X, B32, '임대사업(E)'!U:U, $D$1)
    + COUNTIFS('환경부사업(F)'!C:C, $E$1, '환경부사업(F)'!G:G, B27, '환경부사업(F)'!X:X, B32, '환경부사업(F)'!U:U, $D$1)
    + COUNTIFS('프로젝트(G)'!C:C, $E$1, '프로젝트(G)'!G:G, B27, '프로젝트(G)'!X:X, B32, '프로젝트(G)'!U:U, $D$1)
    + COUNTIFS('협력사 EPC(H)'!C:C, $E$1, '협력사 EPC(H)'!G:G, B27, '협력사 EPC(H)'!X:X, B32, '협력사 EPC(H)'!U:U, $D$1)
    + COUNTIFS('기타(Z)'!C:C, $E$1, '기타(Z)'!G:G, B27, '기타(Z)'!X:X, B32, '기타(Z)'!U:U, $D$1)
  ) = 0,
  "",
  COUNTIFS('발전사업(A)'!C:C, $E$1, '발전사업(A)'!G:G, B27, '발전사업(A)'!X:X, B32, '발전사업(A)'!U:U, $D$1)
  + COUNTIFS('자가소비(B)'!C:C, $E$1, '자가소비(B)'!G:G, B27, '자가소비(B)'!X:X, B32, '자가소비(B)'!U:U, $D$1)
  + COUNTIFS('PPA 사업(C)'!C:C, $E$1, 'PPA 사업(C)'!G:G, B27, 'PPA 사업(C)'!X:X, B32, 'PPA 사업(C)'!U:U, $D$1)
  + COUNTIFS('리스사업(D)'!C:C, $E$1, '리스사업(D)'!G:G, B27, '리스사업(D)'!X:X, B32, '리스사업(D)'!U:U, $D$1)
  + COUNTIFS('임대사업(E)'!C:C, $E$1, '임대사업(E)'!G:G, B27, '임대사업(E)'!X:X, B32, '임대사업(E)'!U:U, $D$1)
  + COUNTIFS('환경부사업(F)'!C:C, $E$1, '환경부사업(F)'!G:G, B27, '환경부사업(F)'!X:X, B32, '환경부사업(F)'!U:U, $D$1)
  + COUNTIFS('프로젝트(G)'!C:C, $E$1, '프로젝트(G)'!G:G, B27, '프로젝트(G)'!X:X, B32, '프로젝트(G)'!U:U, $D$1)
  + COUNTIFS('협력사 EPC(H)'!C:C, $E$1, '협력사 EPC(H)'!G:G, B27, '협력사 EPC(H)'!X:X, B32, '협력사 EPC(H)'!U:U, $D$1)
  + COUNTIFS('기타(Z)'!C:C, $E$1, '기타(Z)'!G:G, B27, '기타(Z)'!X:X, B32, '기타(Z)'!U:U, $D$1)
)</f>
        <v>3</v>
      </c>
    </row>
    <row r="33" spans="2:8" x14ac:dyDescent="0.25">
      <c r="B33" s="195" t="s">
        <v>156</v>
      </c>
      <c r="C33" s="262" t="str">
        <f>IF(
  SUM(
    SUMIFS('발전사업(A)'!I:I, '발전사업(A)'!C:C, $E$1, '발전사업(A)'!G:G, B27, '발전사업(A)'!X:X, B33),
    SUMIFS('자가소비(B)'!I:I, '자가소비(B)'!C:C, $E$1, '자가소비(B)'!G:G, B27, '자가소비(B)'!X:X, B33),
    SUMIFS('PPA 사업(C)'!I:I, 'PPA 사업(C)'!C:C, $E$1, 'PPA 사업(C)'!G:G, B27, 'PPA 사업(C)'!X:X, B33),
    SUMIFS('리스사업(D)'!I:I, '리스사업(D)'!C:C, $E$1, '리스사업(D)'!G:G, B27, '리스사업(D)'!X:X, B33),
    SUMIFS('임대사업(E)'!I:I, '임대사업(E)'!C:C, $E$1, '임대사업(E)'!G:G, B27, '임대사업(E)'!X:X, B33),
    SUMIFS('환경부사업(F)'!I:I, '환경부사업(F)'!C:C, $E$1, '환경부사업(F)'!G:G, B27, '환경부사업(F)'!X:X, B33),
    SUMIFS('프로젝트(G)'!I:I, '프로젝트(G)'!C:C, $E$1, '프로젝트(G)'!G:G, B27, '프로젝트(G)'!X:X, B33),
    SUMIFS('협력사 EPC(H)'!I:I, '협력사 EPC(H)'!C:C, $E$1, '협력사 EPC(H)'!G:G, B27, '협력사 EPC(H)'!X:X, B33),
    SUMIFS('기타(Z)'!I:I, '기타(Z)'!C:C, $E$1, '기타(Z)'!G:G, B27, '기타(Z)'!X:X, B33)
  ) = 0,
  "",
  SUMIFS('발전사업(A)'!I:I, '발전사업(A)'!C:C, $E$1, '발전사업(A)'!G:G, B27, '발전사업(A)'!X:X, B33)
  + SUMIFS('자가소비(B)'!I:I, '자가소비(B)'!C:C, $E$1, '자가소비(B)'!G:G, B27, '자가소비(B)'!X:X, B33)
  + SUMIFS('PPA 사업(C)'!I:I, 'PPA 사업(C)'!C:C, $E$1, 'PPA 사업(C)'!G:G, B27, 'PPA 사업(C)'!X:X, B33)
  + SUMIFS('리스사업(D)'!I:I, '리스사업(D)'!C:C, $E$1, '리스사업(D)'!G:G, B27, '리스사업(D)'!X:X, B33)
  + SUMIFS('임대사업(E)'!I:I, '임대사업(E)'!C:C, $E$1, '임대사업(E)'!G:G, B27, '임대사업(E)'!X:X, B33)
  + SUMIFS('환경부사업(F)'!I:I, '환경부사업(F)'!C:C, $E$1, '환경부사업(F)'!G:G, B27, '환경부사업(F)'!X:X, B33)
  + SUMIFS('프로젝트(G)'!I:I, '프로젝트(G)'!C:C, $E$1, '프로젝트(G)'!G:G, B27, '프로젝트(G)'!X:X, B33)
  + SUMIFS('협력사 EPC(H)'!I:I, '협력사 EPC(H)'!C:C, $E$1, '협력사 EPC(H)'!G:G, B27, '협력사 EPC(H)'!X:X, B33)
  + SUMIFS('기타(Z)'!I:I, '기타(Z)'!C:C, $E$1, '기타(Z)'!G:G, B27, '기타(Z)'!X:X, B33)
)</f>
        <v/>
      </c>
      <c r="D33" s="263" t="str">
        <f>IF(
  COUNTIFS('발전사업(A)'!C:C, $E$1, '발전사업(A)'!G:G, B27, '발전사업(A)'!X:X, B33)
  + COUNTIFS('자가소비(B)'!C:C, $E$1, '자가소비(B)'!G:G, B27, '자가소비(B)'!X:X, B33)
  + COUNTIFS('PPA 사업(C)'!C:C, $E$1, 'PPA 사업(C)'!G:G, B27, 'PPA 사업(C)'!X:X, B33)
  + COUNTIFS('리스사업(D)'!C:C, $E$1, '리스사업(D)'!G:G, B27, '리스사업(D)'!X:X, B33)
  + COUNTIFS('임대사업(E)'!C:C, $E$1, '임대사업(E)'!G:G, B27, '임대사업(E)'!X:X, B33)
  + COUNTIFS('환경부사업(F)'!C:C, $E$1, '환경부사업(F)'!G:G, B27, '환경부사업(F)'!X:X, B33)
  + COUNTIFS('프로젝트(G)'!C:C, $E$1, '프로젝트(G)'!G:G, B27, '프로젝트(G)'!X:X, B33)
  + COUNTIFS('협력사 EPC(H)'!C:C, $E$1, '협력사 EPC(H)'!G:G, B27, '협력사 EPC(H)'!X:X, B33)
  + COUNTIFS('기타(Z)'!C:C, $E$1, '기타(Z)'!G:G, B27, '기타(Z)'!X:X, B33)
  = 0,
  "",
  COUNTIFS('발전사업(A)'!C:C, $E$1, '발전사업(A)'!G:G, B27, '발전사업(A)'!X:X, B33)
  + COUNTIFS('자가소비(B)'!C:C, $E$1, '자가소비(B)'!G:G, B27, '자가소비(B)'!X:X, B33)
  + COUNTIFS('PPA 사업(C)'!C:C, $E$1, 'PPA 사업(C)'!G:G, B27, 'PPA 사업(C)'!X:X, B33)
  + COUNTIFS('리스사업(D)'!C:C, $E$1, '리스사업(D)'!G:G, B27, '리스사업(D)'!X:X, B33)
  + COUNTIFS('임대사업(E)'!C:C, $E$1, '임대사업(E)'!G:G, B27, '임대사업(E)'!X:X, B33)
  + COUNTIFS('환경부사업(F)'!C:C, $E$1, '환경부사업(F)'!G:G, B27, '환경부사업(F)'!X:X, B33)
  + COUNTIFS('프로젝트(G)'!C:C, $E$1, '프로젝트(G)'!G:G, B27, '프로젝트(G)'!X:X, B33)
  + COUNTIFS('협력사 EPC(H)'!C:C, $E$1, '협력사 EPC(H)'!G:G, B27, '협력사 EPC(H)'!X:X, B33)
  + COUNTIFS('기타(Z)'!C:C, $E$1, '기타(Z)'!G:G, B27, '기타(Z)'!X:X, B33)
)</f>
        <v/>
      </c>
      <c r="E33" s="262" t="str">
        <f>IF(
  SUM(
    SUMIFS('발전사업(A)'!I:I, '발전사업(A)'!C:C, $E$1, '발전사업(A)'!G:G, B27, '발전사업(A)'!X:X, B33, '발전사업(A)'!U:U, $C$1),
    SUMIFS('자가소비(B)'!I:I, '자가소비(B)'!C:C, $E$1, '자가소비(B)'!G:G, B27, '자가소비(B)'!X:X, B33, '자가소비(B)'!U:U, $C$1),
    SUMIFS('PPA 사업(C)'!I:I, 'PPA 사업(C)'!C:C, $E$1, 'PPA 사업(C)'!G:G, B27, 'PPA 사업(C)'!X:X, B33, 'PPA 사업(C)'!U:U, $C$1),
    SUMIFS('리스사업(D)'!I:I, '리스사업(D)'!C:C, $E$1, '리스사업(D)'!G:G, B27, '리스사업(D)'!X:X, B33, '리스사업(D)'!U:U, $C$1),
    SUMIFS('임대사업(E)'!I:I, '임대사업(E)'!C:C, $E$1, '임대사업(E)'!G:G, B27, '임대사업(E)'!X:X, B33, '임대사업(E)'!U:U, $C$1),
    SUMIFS('환경부사업(F)'!I:I, '환경부사업(F)'!C:C, $E$1, '환경부사업(F)'!G:G, B27, '환경부사업(F)'!X:X, B33, '환경부사업(F)'!U:U, $C$1),
    SUMIFS('프로젝트(G)'!I:I, '프로젝트(G)'!C:C, $E$1, '프로젝트(G)'!G:G, B27, '프로젝트(G)'!X:X, B33, '프로젝트(G)'!U:U, $C$1),
    SUMIFS('협력사 EPC(H)'!I:I, '협력사 EPC(H)'!C:C, $E$1, '협력사 EPC(H)'!G:G, B27, '협력사 EPC(H)'!X:X, B33, '협력사 EPC(H)'!U:U, $C$1),
    SUMIFS('기타(Z)'!I:I, '기타(Z)'!C:C, $E$1, '기타(Z)'!G:G, B27, '기타(Z)'!X:X, B33, '기타(Z)'!U:U, $C$1)
  ) = 0,
  "",
  SUM(
    SUMIFS('발전사업(A)'!I:I, '발전사업(A)'!C:C, $E$1, '발전사업(A)'!G:G, B27, '발전사업(A)'!X:X, B33, '발전사업(A)'!U:U, $C$1),
    SUMIFS('자가소비(B)'!I:I, '자가소비(B)'!C:C, $E$1, '자가소비(B)'!G:G, B27, '자가소비(B)'!X:X, B33, '자가소비(B)'!U:U, $C$1),
    SUMIFS('PPA 사업(C)'!I:I, 'PPA 사업(C)'!C:C, $E$1, 'PPA 사업(C)'!G:G, B27, 'PPA 사업(C)'!X:X, B33, 'PPA 사업(C)'!U:U, $C$1),
    SUMIFS('리스사업(D)'!I:I, '리스사업(D)'!C:C, $E$1, '리스사업(D)'!G:G, B27, '리스사업(D)'!X:X, B33, '리스사업(D)'!U:U, $C$1),
    SUMIFS('임대사업(E)'!I:I, '임대사업(E)'!C:C, $E$1, '임대사업(E)'!G:G, B27, '임대사업(E)'!X:X, B33, '임대사업(E)'!U:U, $C$1),
    SUMIFS('환경부사업(F)'!I:I, '환경부사업(F)'!C:C, $E$1, '환경부사업(F)'!G:G, B27, '환경부사업(F)'!X:X, B33, '환경부사업(F)'!U:U, $C$1),
    SUMIFS('프로젝트(G)'!I:I, '프로젝트(G)'!C:C, $E$1, '프로젝트(G)'!G:G, B27, '프로젝트(G)'!X:X, B33, '프로젝트(G)'!U:U, $C$1),
    SUMIFS('협력사 EPC(H)'!I:I, '협력사 EPC(H)'!C:C, $E$1, '협력사 EPC(H)'!G:G, B27, '협력사 EPC(H)'!X:X, B33, '협력사 EPC(H)'!U:U, $C$1),
    SUMIFS('기타(Z)'!I:I, '기타(Z)'!C:C, $E$1, '기타(Z)'!G:G, B27, '기타(Z)'!X:X, B33, '기타(Z)'!U:U, $C$1)
  )
)</f>
        <v/>
      </c>
      <c r="F33" s="263" t="str">
        <f>IF(
  SUM(
    COUNTIFS('발전사업(A)'!C:C, $E$1, '발전사업(A)'!G:G, B27, '발전사업(A)'!X:X, B33, '발전사업(A)'!U:U, $C$1),
    COUNTIFS('자가소비(B)'!C:C, $E$1, '자가소비(B)'!G:G, B27, '자가소비(B)'!X:X, B33, '자가소비(B)'!U:U, $C$1),
    COUNTIFS('PPA 사업(C)'!C:C, $E$1, 'PPA 사업(C)'!G:G, B27, 'PPA 사업(C)'!X:X, B33, 'PPA 사업(C)'!U:U, $C$1),
    COUNTIFS('리스사업(D)'!C:C, $E$1, '리스사업(D)'!G:G, B27, '리스사업(D)'!X:X, B33, '리스사업(D)'!U:U, $C$1),
    COUNTIFS('임대사업(E)'!C:C, $E$1, '임대사업(E)'!G:G, B27, '임대사업(E)'!X:X, B33, '임대사업(E)'!U:U, $C$1),
    COUNTIFS('환경부사업(F)'!C:C, $E$1, '환경부사업(F)'!G:G, B27, '환경부사업(F)'!X:X, B33, '환경부사업(F)'!U:U, $C$1),
    COUNTIFS('프로젝트(G)'!C:C, $E$1, '프로젝트(G)'!G:G, B27, '프로젝트(G)'!X:X, B33, '프로젝트(G)'!U:U, $C$1),
    COUNTIFS('협력사 EPC(H)'!C:C, $E$1, '협력사 EPC(H)'!G:G, B27, '협력사 EPC(H)'!X:X, B33, '협력사 EPC(H)'!U:U, $C$1),
    COUNTIFS('기타(Z)'!C:C, $E$1, '기타(Z)'!G:G, B27, '기타(Z)'!X:X, B33, '기타(Z)'!U:U, $C$1)
  ) = 0,
  "",
  SUM(
    COUNTIFS('발전사업(A)'!C:C, $E$1, '발전사업(A)'!G:G, B27, '발전사업(A)'!X:X, B33, '발전사업(A)'!U:U, $C$1),
    COUNTIFS('자가소비(B)'!C:C, $E$1, '자가소비(B)'!G:G, B27, '자가소비(B)'!X:X, B33, '자가소비(B)'!U:U, $C$1),
    COUNTIFS('PPA 사업(C)'!C:C, $E$1, 'PPA 사업(C)'!G:G, B27, 'PPA 사업(C)'!X:X, B33, 'PPA 사업(C)'!U:U, $C$1),
    COUNTIFS('리스사업(D)'!C:C, $E$1, '리스사업(D)'!G:G, B27, '리스사업(D)'!X:X, B33, '리스사업(D)'!U:U, $C$1),
    COUNTIFS('임대사업(E)'!C:C, $E$1, '임대사업(E)'!G:G, B27, '임대사업(E)'!X:X, B33, '임대사업(E)'!U:U, $C$1),
    COUNTIFS('환경부사업(F)'!C:C, $E$1, '환경부사업(F)'!G:G, B27, '환경부사업(F)'!X:X, B33, '환경부사업(F)'!U:U, $C$1),
    COUNTIFS('프로젝트(G)'!C:C, $E$1, '프로젝트(G)'!G:G, B27, '프로젝트(G)'!X:X, B33, '프로젝트(G)'!U:U, $C$1),
    COUNTIFS('협력사 EPC(H)'!C:C, $E$1, '협력사 EPC(H)'!G:G, B27, '협력사 EPC(H)'!X:X, B33, '협력사 EPC(H)'!U:U, $C$1),
    COUNTIFS('기타(Z)'!C:C, $E$1, '기타(Z)'!G:G, B27, '기타(Z)'!X:X, B33, '기타(Z)'!U:U, $C$1)
  )
)</f>
        <v/>
      </c>
      <c r="G33" s="262" t="str">
        <f>IF(
  SUM(
    SUMIFS('발전사업(A)'!I:I, '발전사업(A)'!C:C, $E$1, '발전사업(A)'!G:G, B27, '발전사업(A)'!X:X, B33, '발전사업(A)'!U:U, $D$1),
    SUMIFS('자가소비(B)'!I:I, '자가소비(B)'!C:C, $E$1, '자가소비(B)'!G:G, B27, '자가소비(B)'!X:X, B33, '자가소비(B)'!U:U, $D$1),
    SUMIFS('PPA 사업(C)'!I:I, 'PPA 사업(C)'!C:C, $E$1, 'PPA 사업(C)'!G:G, B27, 'PPA 사업(C)'!X:X, B33, 'PPA 사업(C)'!U:U, $D$1),
    SUMIFS('리스사업(D)'!I:I, '리스사업(D)'!C:C, $E$1, '리스사업(D)'!G:G, B27, '리스사업(D)'!X:X, B33, '리스사업(D)'!U:U, $D$1),
    SUMIFS('임대사업(E)'!I:I, '임대사업(E)'!C:C, $E$1, '임대사업(E)'!G:G, B27, '임대사업(E)'!X:X, B33, '임대사업(E)'!U:U, $D$1),
    SUMIFS('환경부사업(F)'!I:I, '환경부사업(F)'!C:C, $E$1, '환경부사업(F)'!G:G, B27, '환경부사업(F)'!X:X, B33, '환경부사업(F)'!U:U, $D$1),
    SUMIFS('프로젝트(G)'!I:I, '프로젝트(G)'!C:C, $E$1, '프로젝트(G)'!G:G, B27, '프로젝트(G)'!X:X, B33, '프로젝트(G)'!U:U, $D$1),
    SUMIFS('협력사 EPC(H)'!I:I, '협력사 EPC(H)'!C:C, $E$1, '협력사 EPC(H)'!G:G, B27, '협력사 EPC(H)'!X:X, B33, '협력사 EPC(H)'!U:U, $D$1),
    SUMIFS('기타(Z)'!I:I, '기타(Z)'!C:C, $E$1, '기타(Z)'!G:G, B27, '기타(Z)'!X:X, B33, '기타(Z)'!U:U, $D$1)
  ) = 0,
  "",
  SUM(
    SUMIFS('발전사업(A)'!I:I, '발전사업(A)'!C:C, $E$1, '발전사업(A)'!G:G, B27, '발전사업(A)'!X:X, B33, '발전사업(A)'!U:U, $D$1),
    SUMIFS('자가소비(B)'!I:I, '자가소비(B)'!C:C, $E$1, '자가소비(B)'!G:G, B27, '자가소비(B)'!X:X, B33, '자가소비(B)'!U:U, $D$1),
    SUMIFS('PPA 사업(C)'!I:I, 'PPA 사업(C)'!C:C, $E$1, 'PPA 사업(C)'!G:G, B27, 'PPA 사업(C)'!X:X, B33, 'PPA 사업(C)'!U:U, $D$1),
    SUMIFS('리스사업(D)'!I:I, '리스사업(D)'!C:C, $E$1, '리스사업(D)'!G:G, B27, '리스사업(D)'!X:X, B33, '리스사업(D)'!U:U, $D$1),
    SUMIFS('임대사업(E)'!I:I, '임대사업(E)'!C:C, $E$1, '임대사업(E)'!G:G, B27, '임대사업(E)'!X:X, B33, '임대사업(E)'!U:U, $D$1),
    SUMIFS('환경부사업(F)'!I:I, '환경부사업(F)'!C:C, $E$1, '환경부사업(F)'!G:G, B27, '환경부사업(F)'!X:X, B33, '환경부사업(F)'!U:U, $D$1),
    SUMIFS('프로젝트(G)'!I:I, '프로젝트(G)'!C:C, $E$1, '프로젝트(G)'!G:G, B27, '프로젝트(G)'!X:X, B33, '프로젝트(G)'!U:U, $D$1),
    SUMIFS('협력사 EPC(H)'!I:I, '협력사 EPC(H)'!C:C, $E$1, '협력사 EPC(H)'!G:G, B27, '협력사 EPC(H)'!X:X, B33, '협력사 EPC(H)'!U:U, $D$1),
    SUMIFS('기타(Z)'!I:I, '기타(Z)'!C:C, $E$1, '기타(Z)'!G:G, B27, '기타(Z)'!X:X, B33, '기타(Z)'!U:U, $D$1)
  )
)</f>
        <v/>
      </c>
      <c r="H33" s="263" t="str">
        <f>IF(
  (
    COUNTIFS('발전사업(A)'!C:C, $E$1, '발전사업(A)'!G:G, B27, '발전사업(A)'!X:X, B33, '발전사업(A)'!U:U, $D$1)
    + COUNTIFS('자가소비(B)'!C:C, $E$1, '자가소비(B)'!G:G, B27, '자가소비(B)'!X:X, B33, '자가소비(B)'!U:U, $D$1)
    + COUNTIFS('PPA 사업(C)'!C:C, $E$1, 'PPA 사업(C)'!G:G, B27, 'PPA 사업(C)'!X:X, B33, 'PPA 사업(C)'!U:U, $D$1)
    + COUNTIFS('리스사업(D)'!C:C, $E$1, '리스사업(D)'!G:G, B27, '리스사업(D)'!X:X, B33, '리스사업(D)'!U:U, $D$1)
    + COUNTIFS('임대사업(E)'!C:C, $E$1, '임대사업(E)'!G:G, B27, '임대사업(E)'!X:X, B33, '임대사업(E)'!U:U, $D$1)
    + COUNTIFS('환경부사업(F)'!C:C, $E$1, '환경부사업(F)'!G:G, B27, '환경부사업(F)'!X:X, B33, '환경부사업(F)'!U:U, $D$1)
    + COUNTIFS('프로젝트(G)'!C:C, $E$1, '프로젝트(G)'!G:G, B27, '프로젝트(G)'!X:X, B33, '프로젝트(G)'!U:U, $D$1)
    + COUNTIFS('협력사 EPC(H)'!C:C, $E$1, '협력사 EPC(H)'!G:G, B27, '협력사 EPC(H)'!X:X, B33, '협력사 EPC(H)'!U:U, $D$1)
    + COUNTIFS('기타(Z)'!C:C, $E$1, '기타(Z)'!G:G, B27, '기타(Z)'!X:X, B33, '기타(Z)'!U:U, $D$1)
  ) = 0,
  "",
  COUNTIFS('발전사업(A)'!C:C, $E$1, '발전사업(A)'!G:G, B27, '발전사업(A)'!X:X, B33, '발전사업(A)'!U:U, $D$1)
  + COUNTIFS('자가소비(B)'!C:C, $E$1, '자가소비(B)'!G:G, B27, '자가소비(B)'!X:X, B33, '자가소비(B)'!U:U, $D$1)
  + COUNTIFS('PPA 사업(C)'!C:C, $E$1, 'PPA 사업(C)'!G:G, B27, 'PPA 사업(C)'!X:X, B33, 'PPA 사업(C)'!U:U, $D$1)
  + COUNTIFS('리스사업(D)'!C:C, $E$1, '리스사업(D)'!G:G, B27, '리스사업(D)'!X:X, B33, '리스사업(D)'!U:U, $D$1)
  + COUNTIFS('임대사업(E)'!C:C, $E$1, '임대사업(E)'!G:G, B27, '임대사업(E)'!X:X, B33, '임대사업(E)'!U:U, $D$1)
  + COUNTIFS('환경부사업(F)'!C:C, $E$1, '환경부사업(F)'!G:G, B27, '환경부사업(F)'!X:X, B33, '환경부사업(F)'!U:U, $D$1)
  + COUNTIFS('프로젝트(G)'!C:C, $E$1, '프로젝트(G)'!G:G, B27, '프로젝트(G)'!X:X, B33, '프로젝트(G)'!U:U, $D$1)
  + COUNTIFS('협력사 EPC(H)'!C:C, $E$1, '협력사 EPC(H)'!G:G, B27, '협력사 EPC(H)'!X:X, B33, '협력사 EPC(H)'!U:U, $D$1)
  + COUNTIFS('기타(Z)'!C:C, $E$1, '기타(Z)'!G:G, B27, '기타(Z)'!X:X, B33, '기타(Z)'!U:U, $D$1)
)</f>
        <v/>
      </c>
    </row>
    <row r="34" spans="2:8" x14ac:dyDescent="0.25">
      <c r="B34" s="195" t="s">
        <v>157</v>
      </c>
      <c r="C34" s="262" t="str">
        <f>IF(
  SUM(
    SUMIFS('발전사업(A)'!I:I, '발전사업(A)'!C:C, $E$1, '발전사업(A)'!G:G, B27, '발전사업(A)'!X:X, B34),
    SUMIFS('자가소비(B)'!I:I, '자가소비(B)'!C:C, $E$1, '자가소비(B)'!G:G, B27, '자가소비(B)'!X:X, B34),
    SUMIFS('PPA 사업(C)'!I:I, 'PPA 사업(C)'!C:C, $E$1, 'PPA 사업(C)'!G:G, B27, 'PPA 사업(C)'!X:X, B34),
    SUMIFS('리스사업(D)'!I:I, '리스사업(D)'!C:C, $E$1, '리스사업(D)'!G:G, B27, '리스사업(D)'!X:X, B34),
    SUMIFS('임대사업(E)'!I:I, '임대사업(E)'!C:C, $E$1, '임대사업(E)'!G:G, B27, '임대사업(E)'!X:X, B34),
    SUMIFS('환경부사업(F)'!I:I, '환경부사업(F)'!C:C, $E$1, '환경부사업(F)'!G:G, B27, '환경부사업(F)'!X:X, B34),
    SUMIFS('프로젝트(G)'!I:I, '프로젝트(G)'!C:C, $E$1, '프로젝트(G)'!G:G, B27, '프로젝트(G)'!X:X, B34),
    SUMIFS('협력사 EPC(H)'!I:I, '협력사 EPC(H)'!C:C, $E$1, '협력사 EPC(H)'!G:G, B27, '협력사 EPC(H)'!X:X, B34),
    SUMIFS('기타(Z)'!I:I, '기타(Z)'!C:C, $E$1, '기타(Z)'!G:G, B27, '기타(Z)'!X:X, B34)
  ) = 0,
  "",
  SUMIFS('발전사업(A)'!I:I, '발전사업(A)'!C:C, $E$1, '발전사업(A)'!G:G, B27, '발전사업(A)'!X:X, B34)
  + SUMIFS('자가소비(B)'!I:I, '자가소비(B)'!C:C, $E$1, '자가소비(B)'!G:G, B27, '자가소비(B)'!X:X, B34)
  + SUMIFS('PPA 사업(C)'!I:I, 'PPA 사업(C)'!C:C, $E$1, 'PPA 사업(C)'!G:G, B27, 'PPA 사업(C)'!X:X, B34)
  + SUMIFS('리스사업(D)'!I:I, '리스사업(D)'!C:C, $E$1, '리스사업(D)'!G:G, B27, '리스사업(D)'!X:X, B34)
  + SUMIFS('임대사업(E)'!I:I, '임대사업(E)'!C:C, $E$1, '임대사업(E)'!G:G, B27, '임대사업(E)'!X:X, B34)
  + SUMIFS('환경부사업(F)'!I:I, '환경부사업(F)'!C:C, $E$1, '환경부사업(F)'!G:G, B27, '환경부사업(F)'!X:X, B34)
  + SUMIFS('프로젝트(G)'!I:I, '프로젝트(G)'!C:C, $E$1, '프로젝트(G)'!G:G, B27, '프로젝트(G)'!X:X, B34)
  + SUMIFS('협력사 EPC(H)'!I:I, '협력사 EPC(H)'!C:C, $E$1, '협력사 EPC(H)'!G:G, B27, '협력사 EPC(H)'!X:X, B34)
  + SUMIFS('기타(Z)'!I:I, '기타(Z)'!C:C, $E$1, '기타(Z)'!G:G, B27, '기타(Z)'!X:X, B34)
)</f>
        <v/>
      </c>
      <c r="D34" s="263" t="str">
        <f>IF(
  COUNTIFS('발전사업(A)'!C:C, $E$1, '발전사업(A)'!G:G, B27, '발전사업(A)'!X:X, B34)
  + COUNTIFS('자가소비(B)'!C:C, $E$1, '자가소비(B)'!G:G, B27, '자가소비(B)'!X:X, B34)
  + COUNTIFS('PPA 사업(C)'!C:C, $E$1, 'PPA 사업(C)'!G:G, B27, 'PPA 사업(C)'!X:X, B34)
  + COUNTIFS('리스사업(D)'!C:C, $E$1, '리스사업(D)'!G:G, B27, '리스사업(D)'!X:X, B34)
  + COUNTIFS('임대사업(E)'!C:C, $E$1, '임대사업(E)'!G:G, B27, '임대사업(E)'!X:X, B34)
  + COUNTIFS('환경부사업(F)'!C:C, $E$1, '환경부사업(F)'!G:G, B27, '환경부사업(F)'!X:X, B34)
  + COUNTIFS('프로젝트(G)'!C:C, $E$1, '프로젝트(G)'!G:G, B27, '프로젝트(G)'!X:X, B34)
  + COUNTIFS('협력사 EPC(H)'!C:C, $E$1, '협력사 EPC(H)'!G:G, B27, '협력사 EPC(H)'!X:X, B34)
  + COUNTIFS('기타(Z)'!C:C, $E$1, '기타(Z)'!G:G, B27, '기타(Z)'!X:X, B34)
  = 0,
  "",
  COUNTIFS('발전사업(A)'!C:C, $E$1, '발전사업(A)'!G:G, B27, '발전사업(A)'!X:X, B34)
  + COUNTIFS('자가소비(B)'!C:C, $E$1, '자가소비(B)'!G:G, B27, '자가소비(B)'!X:X, B34)
  + COUNTIFS('PPA 사업(C)'!C:C, $E$1, 'PPA 사업(C)'!G:G, B27, 'PPA 사업(C)'!X:X, B34)
  + COUNTIFS('리스사업(D)'!C:C, $E$1, '리스사업(D)'!G:G, B27, '리스사업(D)'!X:X, B34)
  + COUNTIFS('임대사업(E)'!C:C, $E$1, '임대사업(E)'!G:G, B27, '임대사업(E)'!X:X, B34)
  + COUNTIFS('환경부사업(F)'!C:C, $E$1, '환경부사업(F)'!G:G, B27, '환경부사업(F)'!X:X, B34)
  + COUNTIFS('프로젝트(G)'!C:C, $E$1, '프로젝트(G)'!G:G, B27, '프로젝트(G)'!X:X, B34)
  + COUNTIFS('협력사 EPC(H)'!C:C, $E$1, '협력사 EPC(H)'!G:G, B27, '협력사 EPC(H)'!X:X, B34)
  + COUNTIFS('기타(Z)'!C:C, $E$1, '기타(Z)'!G:G, B27, '기타(Z)'!X:X, B34)
)</f>
        <v/>
      </c>
      <c r="E34" s="262" t="str">
        <f>IF(
  SUM(
    SUMIFS('발전사업(A)'!I:I, '발전사업(A)'!C:C, $E$1, '발전사업(A)'!G:G, B27, '발전사업(A)'!X:X, B34, '발전사업(A)'!U:U, $C$1),
    SUMIFS('자가소비(B)'!I:I, '자가소비(B)'!C:C, $E$1, '자가소비(B)'!G:G, B27, '자가소비(B)'!X:X, B34, '자가소비(B)'!U:U, $C$1),
    SUMIFS('PPA 사업(C)'!I:I, 'PPA 사업(C)'!C:C, $E$1, 'PPA 사업(C)'!G:G, B27, 'PPA 사업(C)'!X:X, B34, 'PPA 사업(C)'!U:U, $C$1),
    SUMIFS('리스사업(D)'!I:I, '리스사업(D)'!C:C, $E$1, '리스사업(D)'!G:G, B27, '리스사업(D)'!X:X, B34, '리스사업(D)'!U:U, $C$1),
    SUMIFS('임대사업(E)'!I:I, '임대사업(E)'!C:C, $E$1, '임대사업(E)'!G:G, B27, '임대사업(E)'!X:X, B34, '임대사업(E)'!U:U, $C$1),
    SUMIFS('환경부사업(F)'!I:I, '환경부사업(F)'!C:C, $E$1, '환경부사업(F)'!G:G, B27, '환경부사업(F)'!X:X, B34, '환경부사업(F)'!U:U, $C$1),
    SUMIFS('프로젝트(G)'!I:I, '프로젝트(G)'!C:C, $E$1, '프로젝트(G)'!G:G, B27, '프로젝트(G)'!X:X, B34, '프로젝트(G)'!U:U, $C$1),
    SUMIFS('협력사 EPC(H)'!I:I, '협력사 EPC(H)'!C:C, $E$1, '협력사 EPC(H)'!G:G, B27, '협력사 EPC(H)'!X:X, B34, '협력사 EPC(H)'!U:U, $C$1),
    SUMIFS('기타(Z)'!I:I, '기타(Z)'!C:C, $E$1, '기타(Z)'!G:G, B27, '기타(Z)'!X:X, B34, '기타(Z)'!U:U, $C$1)
  ) = 0,
  "",
  SUM(
    SUMIFS('발전사업(A)'!I:I, '발전사업(A)'!C:C, $E$1, '발전사업(A)'!G:G, B27, '발전사업(A)'!X:X, B34, '발전사업(A)'!U:U, $C$1),
    SUMIFS('자가소비(B)'!I:I, '자가소비(B)'!C:C, $E$1, '자가소비(B)'!G:G, B27, '자가소비(B)'!X:X, B34, '자가소비(B)'!U:U, $C$1),
    SUMIFS('PPA 사업(C)'!I:I, 'PPA 사업(C)'!C:C, $E$1, 'PPA 사업(C)'!G:G, B27, 'PPA 사업(C)'!X:X, B34, 'PPA 사업(C)'!U:U, $C$1),
    SUMIFS('리스사업(D)'!I:I, '리스사업(D)'!C:C, $E$1, '리스사업(D)'!G:G, B27, '리스사업(D)'!X:X, B34, '리스사업(D)'!U:U, $C$1),
    SUMIFS('임대사업(E)'!I:I, '임대사업(E)'!C:C, $E$1, '임대사업(E)'!G:G, B27, '임대사업(E)'!X:X, B34, '임대사업(E)'!U:U, $C$1),
    SUMIFS('환경부사업(F)'!I:I, '환경부사업(F)'!C:C, $E$1, '환경부사업(F)'!G:G, B27, '환경부사업(F)'!X:X, B34, '환경부사업(F)'!U:U, $C$1),
    SUMIFS('프로젝트(G)'!I:I, '프로젝트(G)'!C:C, $E$1, '프로젝트(G)'!G:G, B27, '프로젝트(G)'!X:X, B34, '프로젝트(G)'!U:U, $C$1),
    SUMIFS('협력사 EPC(H)'!I:I, '협력사 EPC(H)'!C:C, $E$1, '협력사 EPC(H)'!G:G, B27, '협력사 EPC(H)'!X:X, B34, '협력사 EPC(H)'!U:U, $C$1),
    SUMIFS('기타(Z)'!I:I, '기타(Z)'!C:C, $E$1, '기타(Z)'!G:G, B27, '기타(Z)'!X:X, B34, '기타(Z)'!U:U, $C$1)
  )
)</f>
        <v/>
      </c>
      <c r="F34" s="263" t="str">
        <f>IF(
  SUM(
    COUNTIFS('발전사업(A)'!C:C, $E$1, '발전사업(A)'!G:G, B27, '발전사업(A)'!X:X, B34, '발전사업(A)'!U:U, $C$1),
    COUNTIFS('자가소비(B)'!C:C, $E$1, '자가소비(B)'!G:G, B27, '자가소비(B)'!X:X, B34, '자가소비(B)'!U:U, $C$1),
    COUNTIFS('PPA 사업(C)'!C:C, $E$1, 'PPA 사업(C)'!G:G, B27, 'PPA 사업(C)'!X:X, B34, 'PPA 사업(C)'!U:U, $C$1),
    COUNTIFS('리스사업(D)'!C:C, $E$1, '리스사업(D)'!G:G, B27, '리스사업(D)'!X:X, B34, '리스사업(D)'!U:U, $C$1),
    COUNTIFS('임대사업(E)'!C:C, $E$1, '임대사업(E)'!G:G, B27, '임대사업(E)'!X:X, B34, '임대사업(E)'!U:U, $C$1),
    COUNTIFS('환경부사업(F)'!C:C, $E$1, '환경부사업(F)'!G:G, B27, '환경부사업(F)'!X:X, B34, '환경부사업(F)'!U:U, $C$1),
    COUNTIFS('프로젝트(G)'!C:C, $E$1, '프로젝트(G)'!G:G, B27, '프로젝트(G)'!X:X, B34, '프로젝트(G)'!U:U, $C$1),
    COUNTIFS('협력사 EPC(H)'!C:C, $E$1, '협력사 EPC(H)'!G:G, B27, '협력사 EPC(H)'!X:X, B34, '협력사 EPC(H)'!U:U, $C$1),
    COUNTIFS('기타(Z)'!C:C, $E$1, '기타(Z)'!G:G, B27, '기타(Z)'!X:X, B34, '기타(Z)'!U:U, $C$1)
  ) = 0,
  "",
  SUM(
    COUNTIFS('발전사업(A)'!C:C, $E$1, '발전사업(A)'!G:G, B27, '발전사업(A)'!X:X, B34, '발전사업(A)'!U:U, $C$1),
    COUNTIFS('자가소비(B)'!C:C, $E$1, '자가소비(B)'!G:G, B27, '자가소비(B)'!X:X, B34, '자가소비(B)'!U:U, $C$1),
    COUNTIFS('PPA 사업(C)'!C:C, $E$1, 'PPA 사업(C)'!G:G, B27, 'PPA 사업(C)'!X:X, B34, 'PPA 사업(C)'!U:U, $C$1),
    COUNTIFS('리스사업(D)'!C:C, $E$1, '리스사업(D)'!G:G, B27, '리스사업(D)'!X:X, B34, '리스사업(D)'!U:U, $C$1),
    COUNTIFS('임대사업(E)'!C:C, $E$1, '임대사업(E)'!G:G, B27, '임대사업(E)'!X:X, B34, '임대사업(E)'!U:U, $C$1),
    COUNTIFS('환경부사업(F)'!C:C, $E$1, '환경부사업(F)'!G:G, B27, '환경부사업(F)'!X:X, B34, '환경부사업(F)'!U:U, $C$1),
    COUNTIFS('프로젝트(G)'!C:C, $E$1, '프로젝트(G)'!G:G, B27, '프로젝트(G)'!X:X, B34, '프로젝트(G)'!U:U, $C$1),
    COUNTIFS('협력사 EPC(H)'!C:C, $E$1, '협력사 EPC(H)'!G:G, B27, '협력사 EPC(H)'!X:X, B34, '협력사 EPC(H)'!U:U, $C$1),
    COUNTIFS('기타(Z)'!C:C, $E$1, '기타(Z)'!G:G, B27, '기타(Z)'!X:X, B34, '기타(Z)'!U:U, $C$1)
  )
)</f>
        <v/>
      </c>
      <c r="G34" s="262" t="str">
        <f>IF(
  SUM(
    SUMIFS('발전사업(A)'!I:I, '발전사업(A)'!C:C, $E$1, '발전사업(A)'!G:G, B27, '발전사업(A)'!X:X, B34, '발전사업(A)'!U:U, $D$1),
    SUMIFS('자가소비(B)'!I:I, '자가소비(B)'!C:C, $E$1, '자가소비(B)'!G:G, B27, '자가소비(B)'!X:X, B34, '자가소비(B)'!U:U, $D$1),
    SUMIFS('PPA 사업(C)'!I:I, 'PPA 사업(C)'!C:C, $E$1, 'PPA 사업(C)'!G:G, B27, 'PPA 사업(C)'!X:X, B34, 'PPA 사업(C)'!U:U, $D$1),
    SUMIFS('리스사업(D)'!I:I, '리스사업(D)'!C:C, $E$1, '리스사업(D)'!G:G, B27, '리스사업(D)'!X:X, B34, '리스사업(D)'!U:U, $D$1),
    SUMIFS('임대사업(E)'!I:I, '임대사업(E)'!C:C, $E$1, '임대사업(E)'!G:G, B27, '임대사업(E)'!X:X, B34, '임대사업(E)'!U:U, $D$1),
    SUMIFS('환경부사업(F)'!I:I, '환경부사업(F)'!C:C, $E$1, '환경부사업(F)'!G:G, B27, '환경부사업(F)'!X:X, B34, '환경부사업(F)'!U:U, $D$1),
    SUMIFS('프로젝트(G)'!I:I, '프로젝트(G)'!C:C, $E$1, '프로젝트(G)'!G:G, B27, '프로젝트(G)'!X:X, B34, '프로젝트(G)'!U:U, $D$1),
    SUMIFS('협력사 EPC(H)'!I:I, '협력사 EPC(H)'!C:C, $E$1, '협력사 EPC(H)'!G:G, B27, '협력사 EPC(H)'!X:X, B34, '협력사 EPC(H)'!U:U, $D$1),
    SUMIFS('기타(Z)'!I:I, '기타(Z)'!C:C, $E$1, '기타(Z)'!G:G, B27, '기타(Z)'!X:X, B34, '기타(Z)'!U:U, $D$1)
  ) = 0,
  "",
  SUM(
    SUMIFS('발전사업(A)'!I:I, '발전사업(A)'!C:C, $E$1, '발전사업(A)'!G:G, B27, '발전사업(A)'!X:X, B34, '발전사업(A)'!U:U, $D$1),
    SUMIFS('자가소비(B)'!I:I, '자가소비(B)'!C:C, $E$1, '자가소비(B)'!G:G, B27, '자가소비(B)'!X:X, B34, '자가소비(B)'!U:U, $D$1),
    SUMIFS('PPA 사업(C)'!I:I, 'PPA 사업(C)'!C:C, $E$1, 'PPA 사업(C)'!G:G, B27, 'PPA 사업(C)'!X:X, B34, 'PPA 사업(C)'!U:U, $D$1),
    SUMIFS('리스사업(D)'!I:I, '리스사업(D)'!C:C, $E$1, '리스사업(D)'!G:G, B27, '리스사업(D)'!X:X, B34, '리스사업(D)'!U:U, $D$1),
    SUMIFS('임대사업(E)'!I:I, '임대사업(E)'!C:C, $E$1, '임대사업(E)'!G:G, B27, '임대사업(E)'!X:X, B34, '임대사업(E)'!U:U, $D$1),
    SUMIFS('환경부사업(F)'!I:I, '환경부사업(F)'!C:C, $E$1, '환경부사업(F)'!G:G, B27, '환경부사업(F)'!X:X, B34, '환경부사업(F)'!U:U, $D$1),
    SUMIFS('프로젝트(G)'!I:I, '프로젝트(G)'!C:C, $E$1, '프로젝트(G)'!G:G, B27, '프로젝트(G)'!X:X, B34, '프로젝트(G)'!U:U, $D$1),
    SUMIFS('협력사 EPC(H)'!I:I, '협력사 EPC(H)'!C:C, $E$1, '협력사 EPC(H)'!G:G, B27, '협력사 EPC(H)'!X:X, B34, '협력사 EPC(H)'!U:U, $D$1),
    SUMIFS('기타(Z)'!I:I, '기타(Z)'!C:C, $E$1, '기타(Z)'!G:G, B27, '기타(Z)'!X:X, B34, '기타(Z)'!U:U, $D$1)
  )
)</f>
        <v/>
      </c>
      <c r="H34" s="263" t="str">
        <f>IF(
  (
    COUNTIFS('발전사업(A)'!C:C, $E$1, '발전사업(A)'!G:G, B27, '발전사업(A)'!X:X, B34, '발전사업(A)'!U:U, $D$1)
    + COUNTIFS('자가소비(B)'!C:C, $E$1, '자가소비(B)'!G:G, B27, '자가소비(B)'!X:X, B34, '자가소비(B)'!U:U, $D$1)
    + COUNTIFS('PPA 사업(C)'!C:C, $E$1, 'PPA 사업(C)'!G:G, B27, 'PPA 사업(C)'!X:X, B34, 'PPA 사업(C)'!U:U, $D$1)
    + COUNTIFS('리스사업(D)'!C:C, $E$1, '리스사업(D)'!G:G, B27, '리스사업(D)'!X:X, B34, '리스사업(D)'!U:U, $D$1)
    + COUNTIFS('임대사업(E)'!C:C, $E$1, '임대사업(E)'!G:G, B27, '임대사업(E)'!X:X, B34, '임대사업(E)'!U:U, $D$1)
    + COUNTIFS('환경부사업(F)'!C:C, $E$1, '환경부사업(F)'!G:G, B27, '환경부사업(F)'!X:X, B34, '환경부사업(F)'!U:U, $D$1)
    + COUNTIFS('프로젝트(G)'!C:C, $E$1, '프로젝트(G)'!G:G, B27, '프로젝트(G)'!X:X, B34, '프로젝트(G)'!U:U, $D$1)
    + COUNTIFS('협력사 EPC(H)'!C:C, $E$1, '협력사 EPC(H)'!G:G, B27, '협력사 EPC(H)'!X:X, B34, '협력사 EPC(H)'!U:U, $D$1)
    + COUNTIFS('기타(Z)'!C:C, $E$1, '기타(Z)'!G:G, $B27, '기타(Z)'!X:X, B34, '기타(Z)'!U:U, $D$1)
  ) = 0,
  "",
  COUNTIFS('발전사업(A)'!C:C, $E$1, '발전사업(A)'!G:G, B27, '발전사업(A)'!X:X, B34, '발전사업(A)'!U:U, $D$1)
  + COUNTIFS('자가소비(B)'!C:C, $E$1, '자가소비(B)'!G:G, B27, '자가소비(B)'!X:X, B34, '자가소비(B)'!U:U, $D$1)
  + COUNTIFS('PPA 사업(C)'!C:C, $E$1, 'PPA 사업(C)'!G:G, B27, 'PPA 사업(C)'!X:X, B34, 'PPA 사업(C)'!U:U, $D$1)
  + COUNTIFS('리스사업(D)'!C:C, $E$1, '리스사업(D)'!G:G, B27, '리스사업(D)'!X:X, B34, '리스사업(D)'!U:U, $D$1)
  + COUNTIFS('임대사업(E)'!C:C, $E$1, '임대사업(E)'!G:G, B27, '임대사업(E)'!X:X, B34, '임대사업(E)'!U:U, $D$1)
  + COUNTIFS('환경부사업(F)'!C:C, $E$1, '환경부사업(F)'!G:G, B27, '환경부사업(F)'!X:X, B34, '환경부사업(F)'!U:U, $D$1)
  + COUNTIFS('프로젝트(G)'!C:C, $E$1, '프로젝트(G)'!G:G, B27, '프로젝트(G)'!X:X, B34, '프로젝트(G)'!U:U, $D$1)
  + COUNTIFS('협력사 EPC(H)'!C:C, $E$1, '협력사 EPC(H)'!G:G, B27, '협력사 EPC(H)'!X:X, B34, '협력사 EPC(H)'!U:U, $D$1)
  + COUNTIFS('기타(Z)'!C:C, $E$1, '기타(Z)'!G:G, B27, '기타(Z)'!X:X, B34, '기타(Z)'!U:U, $D$1)
)</f>
        <v/>
      </c>
    </row>
    <row r="35" spans="2:8" x14ac:dyDescent="0.25">
      <c r="B35" s="195" t="s">
        <v>158</v>
      </c>
      <c r="C35" s="262" t="str">
        <f>IF(
  SUM(
    SUMIFS('발전사업(A)'!I:I, '발전사업(A)'!C:C, $E$1, '발전사업(A)'!G:G, B27, '발전사업(A)'!X:X, B35),
    SUMIFS('자가소비(B)'!I:I, '자가소비(B)'!C:C, $E$1, '자가소비(B)'!G:G, B27, '자가소비(B)'!X:X, B35),
    SUMIFS('PPA 사업(C)'!I:I, 'PPA 사업(C)'!C:C, $E$1, 'PPA 사업(C)'!G:G, B27, 'PPA 사업(C)'!X:X, B35),
    SUMIFS('리스사업(D)'!I:I, '리스사업(D)'!C:C, $E$1, '리스사업(D)'!G:G, B27, '리스사업(D)'!X:X, B35),
    SUMIFS('임대사업(E)'!I:I, '임대사업(E)'!C:C, $E$1, '임대사업(E)'!G:G, B27, '임대사업(E)'!X:X, B35),
    SUMIFS('환경부사업(F)'!I:I, '환경부사업(F)'!C:C, $E$1, '환경부사업(F)'!G:G, B27, '환경부사업(F)'!X:X, B35),
    SUMIFS('프로젝트(G)'!I:I, '프로젝트(G)'!C:C, $E$1, '프로젝트(G)'!G:G, B27, '프로젝트(G)'!X:X, B35),
    SUMIFS('협력사 EPC(H)'!I:I, '협력사 EPC(H)'!C:C, $E$1, '협력사 EPC(H)'!G:G, B27, '협력사 EPC(H)'!X:X, B35),
    SUMIFS('기타(Z)'!I:I, '기타(Z)'!C:C, $E$1, '기타(Z)'!G:G, B27, '기타(Z)'!X:X, B35)
  ) = 0,
  "",
  SUMIFS('발전사업(A)'!I:I, '발전사업(A)'!C:C, $E$1, '발전사업(A)'!G:G, B27, '발전사업(A)'!X:X, B35)
  + SUMIFS('자가소비(B)'!I:I, '자가소비(B)'!C:C, $E$1, '자가소비(B)'!G:G, B27, '자가소비(B)'!X:X, B35)
  + SUMIFS('PPA 사업(C)'!I:I, 'PPA 사업(C)'!C:C, $E$1, 'PPA 사업(C)'!G:G, B27, 'PPA 사업(C)'!X:X, B35)
  + SUMIFS('리스사업(D)'!I:I, '리스사업(D)'!C:C, $E$1, '리스사업(D)'!G:G, B27, '리스사업(D)'!X:X, B35)
  + SUMIFS('임대사업(E)'!I:I, '임대사업(E)'!C:C, $E$1, '임대사업(E)'!G:G, B27, '임대사업(E)'!X:X, B35)
  + SUMIFS('환경부사업(F)'!I:I, '환경부사업(F)'!C:C, $E$1, '환경부사업(F)'!G:G, B27, '환경부사업(F)'!X:X, B35)
  + SUMIFS('프로젝트(G)'!I:I, '프로젝트(G)'!C:C, $E$1, '프로젝트(G)'!G:G, B27, '프로젝트(G)'!X:X, B35)
  + SUMIFS('협력사 EPC(H)'!I:I, '협력사 EPC(H)'!C:C, $E$1, '협력사 EPC(H)'!G:G, B27, '협력사 EPC(H)'!X:X, B35)
  + SUMIFS('기타(Z)'!I:I, '기타(Z)'!C:C, $E$1, '기타(Z)'!G:G, B27, '기타(Z)'!X:X, B35)
)</f>
        <v/>
      </c>
      <c r="D35" s="263" t="str">
        <f>IF(
  COUNTIFS('발전사업(A)'!C:C, $E$1, '발전사업(A)'!G:G, B27, '발전사업(A)'!X:X, B35)
  + COUNTIFS('자가소비(B)'!C:C, $E$1, '자가소비(B)'!G:G, B27, '자가소비(B)'!X:X, B35)
  + COUNTIFS('PPA 사업(C)'!C:C, $E$1, 'PPA 사업(C)'!G:G, B27, 'PPA 사업(C)'!X:X, B35)
  + COUNTIFS('리스사업(D)'!C:C, $E$1, '리스사업(D)'!G:G, B27, '리스사업(D)'!X:X, B35)
  + COUNTIFS('임대사업(E)'!C:C, $E$1, '임대사업(E)'!G:G, B27, '임대사업(E)'!X:X, B35)
  + COUNTIFS('환경부사업(F)'!C:C, $E$1, '환경부사업(F)'!G:G, B27, '환경부사업(F)'!X:X, B35)
  + COUNTIFS('프로젝트(G)'!C:C, $E$1, '프로젝트(G)'!G:G, B27, '프로젝트(G)'!X:X, B35)
  + COUNTIFS('협력사 EPC(H)'!C:C, $E$1, '협력사 EPC(H)'!G:G, B27, '협력사 EPC(H)'!X:X, B35)
  + COUNTIFS('기타(Z)'!C:C, $E$1, '기타(Z)'!G:G, B27, '기타(Z)'!X:X, B35)
  = 0,
  "",
  COUNTIFS('발전사업(A)'!C:C, $E$1, '발전사업(A)'!G:G, B27, '발전사업(A)'!X:X, B35)
  + COUNTIFS('자가소비(B)'!C:C, $E$1, '자가소비(B)'!G:G, B27, '자가소비(B)'!X:X, B35)
  + COUNTIFS('PPA 사업(C)'!C:C, $E$1, 'PPA 사업(C)'!G:G, B27, 'PPA 사업(C)'!X:X, B35)
  + COUNTIFS('리스사업(D)'!C:C, $E$1, '리스사업(D)'!G:G, B27, '리스사업(D)'!X:X, B35)
  + COUNTIFS('임대사업(E)'!C:C, $E$1, '임대사업(E)'!G:G, B27, '임대사업(E)'!X:X, B35)
  + COUNTIFS('환경부사업(F)'!C:C, $E$1, '환경부사업(F)'!G:G, B27, '환경부사업(F)'!X:X, B35)
  + COUNTIFS('프로젝트(G)'!C:C, $E$1, '프로젝트(G)'!G:G, B27, '프로젝트(G)'!X:X, B35)
  + COUNTIFS('협력사 EPC(H)'!C:C, $E$1, '협력사 EPC(H)'!G:G, B27, '협력사 EPC(H)'!X:X, B35)
  + COUNTIFS('기타(Z)'!C:C, $E$1, '기타(Z)'!G:G, B27, '기타(Z)'!X:X, B35)
)</f>
        <v/>
      </c>
      <c r="E35" s="262" t="str">
        <f>IF(
  SUM(
    SUMIFS('발전사업(A)'!I:I, '발전사업(A)'!C:C, $E$1, '발전사업(A)'!G:G, B27, '발전사업(A)'!X:X, B35, '발전사업(A)'!U:U, $C$1),
    SUMIFS('자가소비(B)'!I:I, '자가소비(B)'!C:C, $E$1, '자가소비(B)'!G:G, B27, '자가소비(B)'!X:X, B35, '자가소비(B)'!U:U, $C$1),
    SUMIFS('PPA 사업(C)'!I:I, 'PPA 사업(C)'!C:C, $E$1, 'PPA 사업(C)'!G:G, B27, 'PPA 사업(C)'!X:X, B35, 'PPA 사업(C)'!U:U, $C$1),
    SUMIFS('리스사업(D)'!I:I, '리스사업(D)'!C:C, $E$1, '리스사업(D)'!G:G, B27, '리스사업(D)'!X:X, B35, '리스사업(D)'!U:U, $C$1),
    SUMIFS('임대사업(E)'!I:I, '임대사업(E)'!C:C, $E$1, '임대사업(E)'!G:G, B27, '임대사업(E)'!X:X, B35, '임대사업(E)'!U:U, $C$1),
    SUMIFS('환경부사업(F)'!I:I, '환경부사업(F)'!C:C, $E$1, '환경부사업(F)'!G:G, B27, '환경부사업(F)'!X:X, B35, '환경부사업(F)'!U:U, $C$1),
    SUMIFS('프로젝트(G)'!I:I, '프로젝트(G)'!C:C, $E$1, '프로젝트(G)'!G:G, B27, '프로젝트(G)'!X:X, B35, '프로젝트(G)'!U:U, $C$1),
    SUMIFS('협력사 EPC(H)'!I:I, '협력사 EPC(H)'!C:C, $E$1, '협력사 EPC(H)'!G:G, B27, '협력사 EPC(H)'!X:X, B35, '협력사 EPC(H)'!U:U, $C$1),
    SUMIFS('기타(Z)'!I:I, '기타(Z)'!C:C, $E$1, '기타(Z)'!G:G, B27, '기타(Z)'!X:X, B35, '기타(Z)'!U:U, $C$1)
  ) = 0,
  "",
  SUM(
    SUMIFS('발전사업(A)'!I:I, '발전사업(A)'!C:C, $E$1, '발전사업(A)'!G:G, B27, '발전사업(A)'!X:X, B35, '발전사업(A)'!U:U, $C$1),
    SUMIFS('자가소비(B)'!I:I, '자가소비(B)'!C:C, $E$1, '자가소비(B)'!G:G, B27, '자가소비(B)'!X:X, B35, '자가소비(B)'!U:U, $C$1),
    SUMIFS('PPA 사업(C)'!I:I, 'PPA 사업(C)'!C:C, $E$1, 'PPA 사업(C)'!G:G, B27, 'PPA 사업(C)'!X:X, B35, 'PPA 사업(C)'!U:U, $C$1),
    SUMIFS('리스사업(D)'!I:I, '리스사업(D)'!C:C, $E$1, '리스사업(D)'!G:G, B27, '리스사업(D)'!X:X, B35, '리스사업(D)'!U:U, $C$1),
    SUMIFS('임대사업(E)'!I:I, '임대사업(E)'!C:C, $E$1, '임대사업(E)'!G:G, B27, '임대사업(E)'!X:X, B35, '임대사업(E)'!U:U, $C$1),
    SUMIFS('환경부사업(F)'!I:I, '환경부사업(F)'!C:C, $E$1, '환경부사업(F)'!G:G, B27, '환경부사업(F)'!X:X, B35, '환경부사업(F)'!U:U, $C$1),
    SUMIFS('프로젝트(G)'!I:I, '프로젝트(G)'!C:C, $E$1, '프로젝트(G)'!G:G, B27, '프로젝트(G)'!X:X, B35, '프로젝트(G)'!U:U, $C$1),
    SUMIFS('협력사 EPC(H)'!I:I, '협력사 EPC(H)'!C:C, $E$1, '협력사 EPC(H)'!G:G, B27, '협력사 EPC(H)'!X:X, B35, '협력사 EPC(H)'!U:U, $C$1),
    SUMIFS('기타(Z)'!I:I, '기타(Z)'!C:C, $E$1, '기타(Z)'!G:G, B27, '기타(Z)'!X:X, B35, '기타(Z)'!U:U, $C$1)
  )
)</f>
        <v/>
      </c>
      <c r="F35" s="263" t="str">
        <f>IF(
  SUM(
    COUNTIFS('발전사업(A)'!C:C, $E$1, '발전사업(A)'!G:G, B27, '발전사업(A)'!X:X, B35, '발전사업(A)'!U:U, $C$1),
    COUNTIFS('자가소비(B)'!C:C, $E$1, '자가소비(B)'!G:G, B27, '자가소비(B)'!X:X, B35, '자가소비(B)'!U:U, $C$1),
    COUNTIFS('PPA 사업(C)'!C:C, $E$1, 'PPA 사업(C)'!G:G, B27, 'PPA 사업(C)'!X:X, B35, 'PPA 사업(C)'!U:U, $C$1),
    COUNTIFS('리스사업(D)'!C:C, $E$1, '리스사업(D)'!G:G, B27, '리스사업(D)'!X:X, B35, '리스사업(D)'!U:U, $C$1),
    COUNTIFS('임대사업(E)'!C:C, $E$1, '임대사업(E)'!G:G, B27, '임대사업(E)'!X:X, B35, '임대사업(E)'!U:U, $C$1),
    COUNTIFS('환경부사업(F)'!C:C, $E$1, '환경부사업(F)'!G:G, B27, '환경부사업(F)'!X:X, B35, '환경부사업(F)'!U:U, $C$1),
    COUNTIFS('프로젝트(G)'!C:C, $E$1, '프로젝트(G)'!G:G, B27, '프로젝트(G)'!X:X, B35, '프로젝트(G)'!U:U, $C$1),
    COUNTIFS('협력사 EPC(H)'!C:C, $E$1, '협력사 EPC(H)'!G:G, B27, '협력사 EPC(H)'!X:X, B35, '협력사 EPC(H)'!U:U, $C$1),
    COUNTIFS('기타(Z)'!C:C, $E$1, '기타(Z)'!G:G, B27, '기타(Z)'!X:X, B35, '기타(Z)'!U:U, $C$1)
  ) = 0,
  "",
  SUM(
    COUNTIFS('발전사업(A)'!C:C, $E$1, '발전사업(A)'!G:G, B27, '발전사업(A)'!X:X, B35, '발전사업(A)'!U:U, $C$1),
    COUNTIFS('자가소비(B)'!C:C, $E$1, '자가소비(B)'!G:G, B27, '자가소비(B)'!X:X, B35, '자가소비(B)'!U:U, $C$1),
    COUNTIFS('PPA 사업(C)'!C:C, $E$1, 'PPA 사업(C)'!G:G, B27, 'PPA 사업(C)'!X:X, B35, 'PPA 사업(C)'!U:U, $C$1),
    COUNTIFS('리스사업(D)'!C:C, $E$1, '리스사업(D)'!G:G, B27, '리스사업(D)'!X:X, B35, '리스사업(D)'!U:U, $C$1),
    COUNTIFS('임대사업(E)'!C:C, $E$1, '임대사업(E)'!G:G, B27, '임대사업(E)'!X:X, B35, '임대사업(E)'!U:U, $C$1),
    COUNTIFS('환경부사업(F)'!C:C, $E$1, '환경부사업(F)'!G:G, B27, '환경부사업(F)'!X:X, B35, '환경부사업(F)'!U:U, $C$1),
    COUNTIFS('프로젝트(G)'!C:C, $E$1, '프로젝트(G)'!G:G, B27, '프로젝트(G)'!X:X, B35, '프로젝트(G)'!U:U, $C$1),
    COUNTIFS('협력사 EPC(H)'!C:C, $E$1, '협력사 EPC(H)'!G:G, B27, '협력사 EPC(H)'!X:X, B35, '협력사 EPC(H)'!U:U, $C$1),
    COUNTIFS('기타(Z)'!C:C, $E$1, '기타(Z)'!G:G, B27, '기타(Z)'!X:X, B35, '기타(Z)'!U:U, $C$1)
  )
)</f>
        <v/>
      </c>
      <c r="G35" s="262" t="str">
        <f>IF(
  SUM(
    SUMIFS('발전사업(A)'!I:I, '발전사업(A)'!C:C, $E$1, '발전사업(A)'!G:G, B27, '발전사업(A)'!X:X, B35, '발전사업(A)'!U:U, $D$1),
    SUMIFS('자가소비(B)'!I:I, '자가소비(B)'!C:C, $E$1, '자가소비(B)'!G:G, B27, '자가소비(B)'!X:X, B35, '자가소비(B)'!U:U, $D$1),
    SUMIFS('PPA 사업(C)'!I:I, 'PPA 사업(C)'!C:C, $E$1, 'PPA 사업(C)'!G:G, B27, 'PPA 사업(C)'!X:X, B35, 'PPA 사업(C)'!U:U, $D$1),
    SUMIFS('리스사업(D)'!I:I, '리스사업(D)'!C:C, $E$1, '리스사업(D)'!G:G, B27, '리스사업(D)'!X:X, B35, '리스사업(D)'!U:U, $D$1),
    SUMIFS('임대사업(E)'!I:I, '임대사업(E)'!C:C, $E$1, '임대사업(E)'!G:G, B27, '임대사업(E)'!X:X, B35, '임대사업(E)'!U:U, $D$1),
    SUMIFS('환경부사업(F)'!I:I, '환경부사업(F)'!C:C, $E$1, '환경부사업(F)'!G:G, B27, '환경부사업(F)'!X:X, B35, '환경부사업(F)'!U:U, $D$1),
    SUMIFS('프로젝트(G)'!I:I, '프로젝트(G)'!C:C, $E$1, '프로젝트(G)'!G:G, B27, '프로젝트(G)'!X:X, B35, '프로젝트(G)'!U:U, $D$1),
    SUMIFS('협력사 EPC(H)'!I:I, '협력사 EPC(H)'!C:C, $E$1, '협력사 EPC(H)'!G:G, B27, '협력사 EPC(H)'!X:X, B35, '협력사 EPC(H)'!U:U, $D$1),
    SUMIFS('기타(Z)'!I:I, '기타(Z)'!C:C, $E$1, '기타(Z)'!G:G, B27, '기타(Z)'!X:X, B35, '기타(Z)'!U:U, $D$1)
  ) = 0,
  "",
  SUM(
    SUMIFS('발전사업(A)'!I:I, '발전사업(A)'!C:C, $E$1, '발전사업(A)'!G:G, B27, '발전사업(A)'!X:X, B35, '발전사업(A)'!U:U, $D$1),
    SUMIFS('자가소비(B)'!I:I, '자가소비(B)'!C:C, $E$1, '자가소비(B)'!G:G, B27, '자가소비(B)'!X:X, B35, '자가소비(B)'!U:U, $D$1),
    SUMIFS('PPA 사업(C)'!I:I, 'PPA 사업(C)'!C:C, $E$1, 'PPA 사업(C)'!G:G, B27, 'PPA 사업(C)'!X:X, B35, 'PPA 사업(C)'!U:U, $D$1),
    SUMIFS('리스사업(D)'!I:I, '리스사업(D)'!C:C, $E$1, '리스사업(D)'!G:G, B27, '리스사업(D)'!X:X, B35, '리스사업(D)'!U:U, $D$1),
    SUMIFS('임대사업(E)'!I:I, '임대사업(E)'!C:C, $E$1, '임대사업(E)'!G:G, B27, '임대사업(E)'!X:X, B35, '임대사업(E)'!U:U, $D$1),
    SUMIFS('환경부사업(F)'!I:I, '환경부사업(F)'!C:C, $E$1, '환경부사업(F)'!G:G, B27, '환경부사업(F)'!X:X, B35, '환경부사업(F)'!U:U, $D$1),
    SUMIFS('프로젝트(G)'!I:I, '프로젝트(G)'!C:C, $E$1, '프로젝트(G)'!G:G, B27, '프로젝트(G)'!X:X, B35, '프로젝트(G)'!U:U, $D$1),
    SUMIFS('협력사 EPC(H)'!I:I, '협력사 EPC(H)'!C:C, $E$1, '협력사 EPC(H)'!G:G, B27, '협력사 EPC(H)'!X:X, B35, '협력사 EPC(H)'!U:U, $D$1),
    SUMIFS('기타(Z)'!I:I, '기타(Z)'!C:C, $E$1, '기타(Z)'!G:G, B27, '기타(Z)'!X:X, B35, '기타(Z)'!U:U, $D$1)
  )
)</f>
        <v/>
      </c>
      <c r="H35" s="263" t="str">
        <f>IF(
  (
    COUNTIFS('발전사업(A)'!C:C, $E$1, '발전사업(A)'!G:G, B27, '발전사업(A)'!X:X, B35, '발전사업(A)'!U:U, $D$1)
    + COUNTIFS('자가소비(B)'!C:C, $E$1, '자가소비(B)'!G:G, B27, '자가소비(B)'!X:X, B35, '자가소비(B)'!U:U, $D$1)
    + COUNTIFS('PPA 사업(C)'!C:C, $E$1, 'PPA 사업(C)'!G:G, B27, 'PPA 사업(C)'!X:X, B35, 'PPA 사업(C)'!U:U, $D$1)
    + COUNTIFS('리스사업(D)'!C:C, $E$1, '리스사업(D)'!G:G, B27, '리스사업(D)'!X:X, B35, '리스사업(D)'!U:U, $D$1)
    + COUNTIFS('임대사업(E)'!C:C, $E$1, '임대사업(E)'!G:G, B27, '임대사업(E)'!X:X, B35, '임대사업(E)'!U:U, $D$1)
    + COUNTIFS('환경부사업(F)'!C:C, $E$1, '환경부사업(F)'!G:G, B27, '환경부사업(F)'!X:X, B35, '환경부사업(F)'!U:U, $D$1)
    + COUNTIFS('프로젝트(G)'!C:C, $E$1, '프로젝트(G)'!G:G, B27, '프로젝트(G)'!X:X, B35, '프로젝트(G)'!U:U, $D$1)
    + COUNTIFS('협력사 EPC(H)'!C:C, $E$1, '협력사 EPC(H)'!G:G, B27, '협력사 EPC(H)'!X:X, B35, '협력사 EPC(H)'!U:U, $D$1)
    + COUNTIFS('기타(Z)'!C:C, $E$1, '기타(Z)'!G:G, B27, '기타(Z)'!X:X, B35, '기타(Z)'!U:U, $D$1)
  ) = 0,
  "",
  COUNTIFS('발전사업(A)'!C:C, $E$1, '발전사업(A)'!G:G, B27, '발전사업(A)'!X:X, B35, '발전사업(A)'!U:U, $D$1)
  + COUNTIFS('자가소비(B)'!C:C, $E$1, '자가소비(B)'!G:G, B27, '자가소비(B)'!X:X, B35, '자가소비(B)'!U:U, $D$1)
  + COUNTIFS('PPA 사업(C)'!C:C, $E$1, 'PPA 사업(C)'!G:G, B27, 'PPA 사업(C)'!X:X, B35, 'PPA 사업(C)'!U:U, $D$1)
  + COUNTIFS('리스사업(D)'!C:C, $E$1, '리스사업(D)'!G:G, B27, '리스사업(D)'!X:X, B35, '리스사업(D)'!U:U, $D$1)
  + COUNTIFS('임대사업(E)'!C:C, $E$1, '임대사업(E)'!G:G, B27, '임대사업(E)'!X:X, B35, '임대사업(E)'!U:U, $D$1)
  + COUNTIFS('환경부사업(F)'!C:C, $E$1, '환경부사업(F)'!G:G, B27, '환경부사업(F)'!X:X, B35, '환경부사업(F)'!U:U, $D$1)
  + COUNTIFS('프로젝트(G)'!C:C, $E$1, '프로젝트(G)'!G:G, B27, '프로젝트(G)'!X:X, B35, '프로젝트(G)'!U:U, $D$1)
  + COUNTIFS('협력사 EPC(H)'!C:C, $E$1, '협력사 EPC(H)'!G:G, B27, '협력사 EPC(H)'!X:X, B35, '협력사 EPC(H)'!U:U, $D$1)
  + COUNTIFS('기타(Z)'!C:C, $E$1, '기타(Z)'!G:G, B27, '기타(Z)'!X:X, B35, '기타(Z)'!U:U, $D$1)
)</f>
        <v/>
      </c>
    </row>
    <row r="36" spans="2:8" ht="16.5" x14ac:dyDescent="0.25">
      <c r="B36" s="274" t="s">
        <v>174</v>
      </c>
      <c r="C36" s="268">
        <f t="shared" ref="C36:H36" si="9">SUM(C28:C35)</f>
        <v>7382.8050000000003</v>
      </c>
      <c r="D36" s="269">
        <f t="shared" si="9"/>
        <v>27</v>
      </c>
      <c r="E36" s="270">
        <f t="shared" si="9"/>
        <v>4238.6549999999997</v>
      </c>
      <c r="F36" s="271">
        <f t="shared" si="9"/>
        <v>15</v>
      </c>
      <c r="G36" s="272">
        <f t="shared" si="9"/>
        <v>3144.1499999999996</v>
      </c>
      <c r="H36" s="273">
        <f t="shared" si="9"/>
        <v>12</v>
      </c>
    </row>
    <row r="39" spans="2:8" ht="17.25" x14ac:dyDescent="0.25">
      <c r="B39" s="264">
        <v>3</v>
      </c>
      <c r="C39" s="265" t="s">
        <v>176</v>
      </c>
      <c r="D39" s="265" t="s">
        <v>175</v>
      </c>
      <c r="E39" s="266" t="s">
        <v>177</v>
      </c>
      <c r="F39" s="266" t="s">
        <v>178</v>
      </c>
      <c r="G39" s="267" t="s">
        <v>179</v>
      </c>
      <c r="H39" s="267" t="s">
        <v>180</v>
      </c>
    </row>
    <row r="40" spans="2:8" x14ac:dyDescent="0.25">
      <c r="B40" s="195" t="s">
        <v>160</v>
      </c>
      <c r="C40" s="262">
        <f>IF(
  SUM(
    SUMIFS('발전사업(A)'!I:I, '발전사업(A)'!C:C, $E$1, '발전사업(A)'!G:G, B39, '발전사업(A)'!X:X, B40),
    SUMIFS('자가소비(B)'!I:I, '자가소비(B)'!C:C, $E$1, '자가소비(B)'!G:G, B39, '자가소비(B)'!X:X, B40),
    SUMIFS('PPA 사업(C)'!I:I, 'PPA 사업(C)'!C:C, $E$1, 'PPA 사업(C)'!G:G, B39, 'PPA 사업(C)'!X:X, B40),
    SUMIFS('리스사업(D)'!I:I, '리스사업(D)'!C:C, $E$1, '리스사업(D)'!G:G, B39, '리스사업(D)'!X:X, B40),
    SUMIFS('임대사업(E)'!I:I, '임대사업(E)'!C:C, $E$1, '임대사업(E)'!G:G, B39, '임대사업(E)'!X:X, B40),
    SUMIFS('환경부사업(F)'!I:I, '환경부사업(F)'!C:C, $E$1, '환경부사업(F)'!G:G, B39, '환경부사업(F)'!X:X, B40),
    SUMIFS('프로젝트(G)'!I:I, '프로젝트(G)'!C:C, $E$1, '프로젝트(G)'!G:G, B39, '프로젝트(G)'!X:X, B40),
    SUMIFS('협력사 EPC(H)'!I:I, '협력사 EPC(H)'!C:C, $E$1, '협력사 EPC(H)'!G:G, B39, '협력사 EPC(H)'!X:X, B40),
    SUMIFS('기타(Z)'!I:I, '기타(Z)'!C:C, $E$1, '기타(Z)'!G:G, B39, '기타(Z)'!X:X, B40)
  ) = 0,
  "",
  SUMIFS('발전사업(A)'!I:I, '발전사업(A)'!C:C, $E$1, '발전사업(A)'!G:G, B39, '발전사업(A)'!X:X, B40)
  + SUMIFS('자가소비(B)'!I:I, '자가소비(B)'!C:C, $E$1, '자가소비(B)'!G:G, B39, '자가소비(B)'!X:X, B40)
  + SUMIFS('PPA 사업(C)'!I:I, 'PPA 사업(C)'!C:C, $E$1, 'PPA 사업(C)'!G:G, B39, 'PPA 사업(C)'!X:X, B40)
  + SUMIFS('리스사업(D)'!I:I, '리스사업(D)'!C:C, $E$1, '리스사업(D)'!G:G, B39, '리스사업(D)'!X:X, B40)
  + SUMIFS('임대사업(E)'!I:I, '임대사업(E)'!C:C, $E$1, '임대사업(E)'!G:G, B39, '임대사업(E)'!X:X, B40)
  + SUMIFS('환경부사업(F)'!I:I, '환경부사업(F)'!C:C, $E$1, '환경부사업(F)'!G:G, B39, '환경부사업(F)'!X:X, B40)
  + SUMIFS('프로젝트(G)'!I:I, '프로젝트(G)'!C:C, $E$1, '프로젝트(G)'!G:G, B39, '프로젝트(G)'!X:X, B40)
  + SUMIFS('협력사 EPC(H)'!I:I, '협력사 EPC(H)'!C:C, $E$1, '협력사 EPC(H)'!G:G, B39, '협력사 EPC(H)'!X:X, B40)
  + SUMIFS('기타(Z)'!I:I, '기타(Z)'!C:C, $E$1, '기타(Z)'!G:G, B39, '기타(Z)'!X:X, B40)
)</f>
        <v>4394.76</v>
      </c>
      <c r="D40" s="263">
        <f>IF(
  COUNTIFS('발전사업(A)'!C:C, $E$1, '발전사업(A)'!G:G, B39, '발전사업(A)'!X:X, B40)
  + COUNTIFS('자가소비(B)'!C:C, $E$1, '자가소비(B)'!G:G, B39, '자가소비(B)'!X:X, B40)
  + COUNTIFS('PPA 사업(C)'!C:C, $E$1, 'PPA 사업(C)'!G:G, B39, 'PPA 사업(C)'!X:X, B40)
  + COUNTIFS('리스사업(D)'!C:C, $E$1, '리스사업(D)'!G:G, B39, '리스사업(D)'!X:X, B40)
  + COUNTIFS('임대사업(E)'!C:C, $E$1, '임대사업(E)'!G:G, B39, '임대사업(E)'!X:X, B40)
  + COUNTIFS('환경부사업(F)'!C:C, $E$1, '환경부사업(F)'!G:G, B39, '환경부사업(F)'!X:X, B40)
  + COUNTIFS('프로젝트(G)'!C:C, $E$1, '프로젝트(G)'!G:G, B39, '프로젝트(G)'!X:X, B40)
  + COUNTIFS('협력사 EPC(H)'!C:C, $E$1, '협력사 EPC(H)'!G:G, B39, '협력사 EPC(H)'!X:X, B40)
  + COUNTIFS('기타(Z)'!C:C, $E$1, '기타(Z)'!G:G, B39, '기타(Z)'!X:X, B40)
  = 0,
  "",
  COUNTIFS('발전사업(A)'!C:C, $E$1, '발전사업(A)'!G:G, B39, '발전사업(A)'!X:X, B40)
  + COUNTIFS('자가소비(B)'!C:C, $E$1, '자가소비(B)'!G:G, B39, '자가소비(B)'!X:X, B40)
  + COUNTIFS('PPA 사업(C)'!C:C, $E$1, 'PPA 사업(C)'!G:G, B39, 'PPA 사업(C)'!X:X, B40)
  + COUNTIFS('리스사업(D)'!C:C, $E$1, '리스사업(D)'!G:G, B39, '리스사업(D)'!X:X, B40)
  + COUNTIFS('임대사업(E)'!C:C, $E$1, '임대사업(E)'!G:G, B39, '임대사업(E)'!X:X, B40)
  + COUNTIFS('환경부사업(F)'!C:C, $E$1, '환경부사업(F)'!G:G, B39, '환경부사업(F)'!X:X, B40)
  + COUNTIFS('프로젝트(G)'!C:C, $E$1, '프로젝트(G)'!G:G, B39, '프로젝트(G)'!X:X, B40)
  + COUNTIFS('협력사 EPC(H)'!C:C, $E$1, '협력사 EPC(H)'!G:G, B39, '협력사 EPC(H)'!X:X, B40)
  + COUNTIFS('기타(Z)'!C:C, $E$1, '기타(Z)'!G:G, B39, '기타(Z)'!X:X, B40)
)</f>
        <v>12</v>
      </c>
      <c r="E40" s="262">
        <f>IF(
  SUM(
    SUMIFS('발전사업(A)'!I:I, '발전사업(A)'!C:C, $E$1, '발전사업(A)'!G:G, B39, '발전사업(A)'!X:X, B40, '발전사업(A)'!U:U, $C$1),
    SUMIFS('자가소비(B)'!I:I, '자가소비(B)'!C:C, $E$1, '자가소비(B)'!G:G, B39, '자가소비(B)'!X:X, B40, '자가소비(B)'!U:U, $C$1),
    SUMIFS('PPA 사업(C)'!I:I, 'PPA 사업(C)'!C:C, $E$1, 'PPA 사업(C)'!G:G, B39, 'PPA 사업(C)'!X:X, B40, 'PPA 사업(C)'!U:U, $C$1),
    SUMIFS('리스사업(D)'!I:I, '리스사업(D)'!C:C, $E$1, '리스사업(D)'!G:G, B39, '리스사업(D)'!X:X, B40, '리스사업(D)'!U:U, $C$1),
    SUMIFS('임대사업(E)'!I:I, '임대사업(E)'!C:C, $E$1, '임대사업(E)'!G:G, B39, '임대사업(E)'!X:X, B40, '임대사업(E)'!U:U, $C$1),
    SUMIFS('환경부사업(F)'!I:I, '환경부사업(F)'!C:C, $E$1, '환경부사업(F)'!G:G, B39, '환경부사업(F)'!X:X, B40, '환경부사업(F)'!U:U, $C$1),
    SUMIFS('프로젝트(G)'!I:I, '프로젝트(G)'!C:C, $E$1, '프로젝트(G)'!G:G, B39, '프로젝트(G)'!X:X, B40, '프로젝트(G)'!U:U, $C$1),
    SUMIFS('협력사 EPC(H)'!I:I, '협력사 EPC(H)'!C:C, $E$1, '협력사 EPC(H)'!G:G, B39, '협력사 EPC(H)'!X:X, B40, '협력사 EPC(H)'!U:U, $C$1),
    SUMIFS('기타(Z)'!I:I, '기타(Z)'!C:C, $E$1, '기타(Z)'!G:G, B39, '기타(Z)'!X:X, B40, '기타(Z)'!U:U, $C$1)
  ) = 0,
  "",
  SUM(
    SUMIFS('발전사업(A)'!I:I, '발전사업(A)'!C:C, $E$1, '발전사업(A)'!G:G, B39, '발전사업(A)'!X:X, B40, '발전사업(A)'!U:U, $C$1),
    SUMIFS('자가소비(B)'!I:I, '자가소비(B)'!C:C, $E$1, '자가소비(B)'!G:G, B39, '자가소비(B)'!X:X, B40, '자가소비(B)'!U:U, $C$1),
    SUMIFS('PPA 사업(C)'!I:I, 'PPA 사업(C)'!C:C, $E$1, 'PPA 사업(C)'!G:G, B39, 'PPA 사업(C)'!X:X, B40, 'PPA 사업(C)'!U:U, $C$1),
    SUMIFS('리스사업(D)'!I:I, '리스사업(D)'!C:C, $E$1, '리스사업(D)'!G:G, B39, '리스사업(D)'!X:X, B40, '리스사업(D)'!U:U, $C$1),
    SUMIFS('임대사업(E)'!I:I, '임대사업(E)'!C:C, $E$1, '임대사업(E)'!G:G, B39, '임대사업(E)'!X:X, B40, '임대사업(E)'!U:U, $C$1),
    SUMIFS('환경부사업(F)'!I:I, '환경부사업(F)'!C:C, $E$1, '환경부사업(F)'!G:G, B39, '환경부사업(F)'!X:X, B40, '환경부사업(F)'!U:U, $C$1),
    SUMIFS('프로젝트(G)'!I:I, '프로젝트(G)'!C:C, $E$1, '프로젝트(G)'!G:G, B39, '프로젝트(G)'!X:X, B40, '프로젝트(G)'!U:U, $C$1),
    SUMIFS('협력사 EPC(H)'!I:I, '협력사 EPC(H)'!C:C, $E$1, '협력사 EPC(H)'!G:G, B39, '협력사 EPC(H)'!X:X, B40, '협력사 EPC(H)'!U:U, $C$1),
    SUMIFS('기타(Z)'!I:I, '기타(Z)'!C:C, $E$1, '기타(Z)'!G:G, B39, '기타(Z)'!X:X, B40, '기타(Z)'!U:U, $C$1)
  )
)</f>
        <v>3567.87</v>
      </c>
      <c r="F40" s="263">
        <f>IF(
  SUM(
    COUNTIFS('발전사업(A)'!C:C, $E$1, '발전사업(A)'!G:G, B39, '발전사업(A)'!X:X, B40, '발전사업(A)'!U:U, $C$1),
    COUNTIFS('자가소비(B)'!C:C, $E$1, '자가소비(B)'!G:G, B39, '자가소비(B)'!X:X, B40, '자가소비(B)'!U:U, $C$1),
    COUNTIFS('PPA 사업(C)'!C:C, $E$1, 'PPA 사업(C)'!G:G, B39, 'PPA 사업(C)'!X:X, B40, 'PPA 사업(C)'!U:U, $C$1),
    COUNTIFS('리스사업(D)'!C:C, $E$1, '리스사업(D)'!G:G, B39, '리스사업(D)'!X:X, B40, '리스사업(D)'!U:U, $C$1),
    COUNTIFS('임대사업(E)'!C:C, $E$1, '임대사업(E)'!G:G, B39, '임대사업(E)'!X:X, B40, '임대사업(E)'!U:U, $C$1),
    COUNTIFS('환경부사업(F)'!C:C, $E$1, '환경부사업(F)'!G:G, B39, '환경부사업(F)'!X:X, B40, '환경부사업(F)'!U:U, $C$1),
    COUNTIFS('프로젝트(G)'!C:C, $E$1, '프로젝트(G)'!G:G, B39, '프로젝트(G)'!X:X, B40, '프로젝트(G)'!U:U, $C$1),
    COUNTIFS('협력사 EPC(H)'!C:C, $E$1, '협력사 EPC(H)'!G:G, B39, '협력사 EPC(H)'!X:X, B40, '협력사 EPC(H)'!U:U, $C$1),
    COUNTIFS('기타(Z)'!C:C, $E$1, '기타(Z)'!G:G, B39, '기타(Z)'!X:X, B40, '기타(Z)'!U:U, $C$1)
  ) = 0,
  "",
  SUM(
    COUNTIFS('발전사업(A)'!C:C, $E$1, '발전사업(A)'!G:G, B39, '발전사업(A)'!X:X, B40, '발전사업(A)'!U:U, $C$1),
    COUNTIFS('자가소비(B)'!C:C, $E$1, '자가소비(B)'!G:G, B39, '자가소비(B)'!X:X, B40, '자가소비(B)'!U:U, $C$1),
    COUNTIFS('PPA 사업(C)'!C:C, $E$1, 'PPA 사업(C)'!G:G, B39, 'PPA 사업(C)'!X:X, B40, 'PPA 사업(C)'!U:U, $C$1),
    COUNTIFS('리스사업(D)'!C:C, $E$1, '리스사업(D)'!G:G, B39, '리스사업(D)'!X:X, B40, '리스사업(D)'!U:U, $C$1),
    COUNTIFS('임대사업(E)'!C:C, $E$1, '임대사업(E)'!G:G, B39, '임대사업(E)'!X:X, B40, '임대사업(E)'!U:U, $C$1),
    COUNTIFS('환경부사업(F)'!C:C, $E$1, '환경부사업(F)'!G:G, B39, '환경부사업(F)'!X:X, B40, '환경부사업(F)'!U:U, $C$1),
    COUNTIFS('프로젝트(G)'!C:C, $E$1, '프로젝트(G)'!G:G, B39, '프로젝트(G)'!X:X, B40, '프로젝트(G)'!U:U, $C$1),
    COUNTIFS('협력사 EPC(H)'!C:C, $E$1, '협력사 EPC(H)'!G:G, B39, '협력사 EPC(H)'!X:X, B40, '협력사 EPC(H)'!U:U, $C$1),
    COUNTIFS('기타(Z)'!C:C, $E$1, '기타(Z)'!G:G, B39, '기타(Z)'!X:X, B40, '기타(Z)'!U:U, $C$1)
  )
)</f>
        <v>9</v>
      </c>
      <c r="G40" s="262">
        <f>IF(
  SUM(
    SUMIFS('발전사업(A)'!I:I, '발전사업(A)'!C:C, $E$1, '발전사업(A)'!G:G, B39, '발전사업(A)'!X:X, B40, '발전사업(A)'!U:U, $D$1),
    SUMIFS('자가소비(B)'!I:I, '자가소비(B)'!C:C, $E$1, '자가소비(B)'!G:G, B39, '자가소비(B)'!X:X, B40, '자가소비(B)'!U:U, $D$1),
    SUMIFS('PPA 사업(C)'!I:I, 'PPA 사업(C)'!C:C, $E$1, 'PPA 사업(C)'!G:G, B39, 'PPA 사업(C)'!X:X, B40, 'PPA 사업(C)'!U:U, $D$1),
    SUMIFS('리스사업(D)'!I:I, '리스사업(D)'!C:C, $E$1, '리스사업(D)'!G:G, B39, '리스사업(D)'!X:X, B40, '리스사업(D)'!U:U, $D$1),
    SUMIFS('임대사업(E)'!I:I, '임대사업(E)'!C:C, $E$1, '임대사업(E)'!G:G, B39, '임대사업(E)'!X:X, B40, '임대사업(E)'!U:U, $D$1),
    SUMIFS('환경부사업(F)'!I:I, '환경부사업(F)'!C:C, $E$1, '환경부사업(F)'!G:G, B39, '환경부사업(F)'!X:X, B40, '환경부사업(F)'!U:U, $D$1),
    SUMIFS('프로젝트(G)'!I:I, '프로젝트(G)'!C:C, $E$1, '프로젝트(G)'!G:G, B39, '프로젝트(G)'!X:X, B40, '프로젝트(G)'!U:U, $D$1),
    SUMIFS('협력사 EPC(H)'!I:I, '협력사 EPC(H)'!C:C, $E$1, '협력사 EPC(H)'!G:G, B39, '협력사 EPC(H)'!X:X, B40, '협력사 EPC(H)'!U:U, $D$1),
    SUMIFS('기타(Z)'!I:I, '기타(Z)'!C:C, $E$1, '기타(Z)'!G:G, B39, '기타(Z)'!X:X, B40, '기타(Z)'!U:U, $D$1)
  ) = 0,
  "",
  SUM(
    SUMIFS('발전사업(A)'!I:I, '발전사업(A)'!C:C, $E$1, '발전사업(A)'!G:G, B39, '발전사업(A)'!X:X, B40, '발전사업(A)'!U:U, $D$1),
    SUMIFS('자가소비(B)'!I:I, '자가소비(B)'!C:C, $E$1, '자가소비(B)'!G:G, B39, '자가소비(B)'!X:X, B40, '자가소비(B)'!U:U, $D$1),
    SUMIFS('PPA 사업(C)'!I:I, 'PPA 사업(C)'!C:C, $E$1, 'PPA 사업(C)'!G:G, B39, 'PPA 사업(C)'!X:X, B40, 'PPA 사업(C)'!U:U, $D$1),
    SUMIFS('리스사업(D)'!I:I, '리스사업(D)'!C:C, $E$1, '리스사업(D)'!G:G, B39, '리스사업(D)'!X:X, B40, '리스사업(D)'!U:U, $D$1),
    SUMIFS('임대사업(E)'!I:I, '임대사업(E)'!C:C, $E$1, '임대사업(E)'!G:G, B39, '임대사업(E)'!X:X, B40, '임대사업(E)'!U:U, $D$1),
    SUMIFS('환경부사업(F)'!I:I, '환경부사업(F)'!C:C, $E$1, '환경부사업(F)'!G:G, B39, '환경부사업(F)'!X:X, B40, '환경부사업(F)'!U:U, $D$1),
    SUMIFS('프로젝트(G)'!I:I, '프로젝트(G)'!C:C, $E$1, '프로젝트(G)'!G:G, B39, '프로젝트(G)'!X:X, B40, '프로젝트(G)'!U:U, $D$1),
    SUMIFS('협력사 EPC(H)'!I:I, '협력사 EPC(H)'!C:C, $E$1, '협력사 EPC(H)'!G:G, B39, '협력사 EPC(H)'!X:X, B40, '협력사 EPC(H)'!U:U, $D$1),
    SUMIFS('기타(Z)'!I:I, '기타(Z)'!C:C, $E$1, '기타(Z)'!G:G, B39, '기타(Z)'!X:X, B40, '기타(Z)'!U:U, $D$1)
  )
)</f>
        <v>826.8900000000001</v>
      </c>
      <c r="H40" s="263">
        <f>IF(
  (
    COUNTIFS('발전사업(A)'!C:C, $E$1, '발전사업(A)'!G:G, B39, '발전사업(A)'!X:X, B40, '발전사업(A)'!U:U, $D$1)
    + COUNTIFS('자가소비(B)'!C:C, $E$1, '자가소비(B)'!G:G, B39, '자가소비(B)'!X:X, B40, '자가소비(B)'!U:U, $D$1)
    + COUNTIFS('PPA 사업(C)'!C:C, $E$1, 'PPA 사업(C)'!G:G, B39, 'PPA 사업(C)'!X:X, B40, 'PPA 사업(C)'!U:U, $D$1)
    + COUNTIFS('리스사업(D)'!C:C, $E$1, '리스사업(D)'!G:G, B39, '리스사업(D)'!X:X, B40, '리스사업(D)'!U:U, $D$1)
    + COUNTIFS('임대사업(E)'!C:C, $E$1, '임대사업(E)'!G:G, B39, '임대사업(E)'!X:X, B40, '임대사업(E)'!U:U, $D$1)
    + COUNTIFS('환경부사업(F)'!C:C, $E$1, '환경부사업(F)'!G:G, B39, '환경부사업(F)'!X:X, B40, '환경부사업(F)'!U:U, $D$1)
    + COUNTIFS('프로젝트(G)'!C:C, $E$1, '프로젝트(G)'!G:G, B39, '프로젝트(G)'!X:X, B40, '프로젝트(G)'!U:U, $D$1)
    + COUNTIFS('협력사 EPC(H)'!C:C, $E$1, '협력사 EPC(H)'!G:G, B39, '협력사 EPC(H)'!X:X, B40, '협력사 EPC(H)'!U:U, $D$1)
    + COUNTIFS('기타(Z)'!C:C, $E$1, '기타(Z)'!G:G, B39, '기타(Z)'!X:X, B40, '기타(Z)'!U:U, $D$1)
  ) = 0,
  "",
  COUNTIFS('발전사업(A)'!C:C, $E$1, '발전사업(A)'!G:G, B39, '발전사업(A)'!X:X, B40, '발전사업(A)'!U:U, $D$1)
  + COUNTIFS('자가소비(B)'!C:C, $E$1, '자가소비(B)'!G:G, B39, '자가소비(B)'!X:X, B40, '자가소비(B)'!U:U, $D$1)
  + COUNTIFS('PPA 사업(C)'!C:C, $E$1, 'PPA 사업(C)'!G:G, B39, 'PPA 사업(C)'!X:X, B40, 'PPA 사업(C)'!U:U, $D$1)
  + COUNTIFS('리스사업(D)'!C:C, $E$1, '리스사업(D)'!G:G, B39, '리스사업(D)'!X:X, B40, '리스사업(D)'!U:U, $D$1)
  + COUNTIFS('임대사업(E)'!C:C, $E$1, '임대사업(E)'!G:G, B39, '임대사업(E)'!X:X, B40, '임대사업(E)'!U:U, $D$1)
  + COUNTIFS('환경부사업(F)'!C:C, $E$1, '환경부사업(F)'!G:G, B39, '환경부사업(F)'!X:X, B40, '환경부사업(F)'!U:U, $D$1)
  + COUNTIFS('프로젝트(G)'!C:C, $E$1, '프로젝트(G)'!G:G, B39, '프로젝트(G)'!X:X, B40, '프로젝트(G)'!U:U, $D$1)
  + COUNTIFS('협력사 EPC(H)'!C:C, $E$1, '협력사 EPC(H)'!G:G, B39, '협력사 EPC(H)'!X:X, B40, '협력사 EPC(H)'!U:U, $D$1)
  + COUNTIFS('기타(Z)'!C:C, $E$1, '기타(Z)'!G:G, B39, '기타(Z)'!X:X, B40, '기타(Z)'!U:U, $D$1)
)</f>
        <v>3</v>
      </c>
    </row>
    <row r="41" spans="2:8" x14ac:dyDescent="0.25">
      <c r="B41" s="195" t="s">
        <v>152</v>
      </c>
      <c r="C41" s="262">
        <f>IF(
  SUM(
    SUMIFS('발전사업(A)'!I:I, '발전사업(A)'!C:C, $E$1, '발전사업(A)'!G:G, B39, '발전사업(A)'!X:X, B41),
    SUMIFS('자가소비(B)'!I:I, '자가소비(B)'!C:C, $E$1, '자가소비(B)'!G:G, B39, '자가소비(B)'!X:X, B41),
    SUMIFS('PPA 사업(C)'!I:I, 'PPA 사업(C)'!C:C, $E$1, 'PPA 사업(C)'!G:G, B39, 'PPA 사업(C)'!X:X, B41),
    SUMIFS('리스사업(D)'!I:I, '리스사업(D)'!C:C, $E$1, '리스사업(D)'!G:G, B39, '리스사업(D)'!X:X, B41),
    SUMIFS('임대사업(E)'!I:I, '임대사업(E)'!C:C, $E$1, '임대사업(E)'!G:G, B39, '임대사업(E)'!X:X, B41),
    SUMIFS('환경부사업(F)'!I:I, '환경부사업(F)'!C:C, $E$1, '환경부사업(F)'!G:G, B39, '환경부사업(F)'!X:X, B41),
    SUMIFS('프로젝트(G)'!I:I, '프로젝트(G)'!C:C, $E$1, '프로젝트(G)'!G:G, B39, '프로젝트(G)'!X:X, B41),
    SUMIFS('협력사 EPC(H)'!I:I, '협력사 EPC(H)'!C:C, $E$1, '협력사 EPC(H)'!G:G, B39, '협력사 EPC(H)'!X:X, B41),
    SUMIFS('기타(Z)'!I:I, '기타(Z)'!C:C, $E$1, '기타(Z)'!G:G, B39, '기타(Z)'!X:X, B41)
  ) = 0,
  "",
  SUMIFS('발전사업(A)'!I:I, '발전사업(A)'!C:C, $E$1, '발전사업(A)'!G:G, B39, '발전사업(A)'!X:X, B41)
  + SUMIFS('자가소비(B)'!I:I, '자가소비(B)'!C:C, $E$1, '자가소비(B)'!G:G, B39, '자가소비(B)'!X:X, B41)
  + SUMIFS('PPA 사업(C)'!I:I, 'PPA 사업(C)'!C:C, $E$1, 'PPA 사업(C)'!G:G, B39, 'PPA 사업(C)'!X:X, B41)
  + SUMIFS('리스사업(D)'!I:I, '리스사업(D)'!C:C, $E$1, '리스사업(D)'!G:G, B39, '리스사업(D)'!X:X, B41)
  + SUMIFS('임대사업(E)'!I:I, '임대사업(E)'!C:C, $E$1, '임대사업(E)'!G:G, B39, '임대사업(E)'!X:X, B41)
  + SUMIFS('환경부사업(F)'!I:I, '환경부사업(F)'!C:C, $E$1, '환경부사업(F)'!G:G, B39, '환경부사업(F)'!X:X, B41)
  + SUMIFS('프로젝트(G)'!I:I, '프로젝트(G)'!C:C, $E$1, '프로젝트(G)'!G:G, B39, '프로젝트(G)'!X:X, B41)
  + SUMIFS('협력사 EPC(H)'!I:I, '협력사 EPC(H)'!C:C, $E$1, '협력사 EPC(H)'!G:G, B39, '협력사 EPC(H)'!X:X, B41)
  + SUMIFS('기타(Z)'!I:I, '기타(Z)'!C:C, $E$1, '기타(Z)'!G:G, B39, '기타(Z)'!X:X, B41)
)</f>
        <v>4438.8900000000003</v>
      </c>
      <c r="D41" s="263">
        <f>IF(
  COUNTIFS('발전사업(A)'!C:C, $E$1, '발전사업(A)'!G:G, B39, '발전사업(A)'!X:X, B41)
  + COUNTIFS('자가소비(B)'!C:C, $E$1, '자가소비(B)'!G:G, B39, '자가소비(B)'!X:X, B41)
  + COUNTIFS('PPA 사업(C)'!C:C, $E$1, 'PPA 사업(C)'!G:G, B39, 'PPA 사업(C)'!X:X, B41)
  + COUNTIFS('리스사업(D)'!C:C, $E$1, '리스사업(D)'!G:G, B39, '리스사업(D)'!X:X, B41)
  + COUNTIFS('임대사업(E)'!C:C, $E$1, '임대사업(E)'!G:G, B39, '임대사업(E)'!X:X, B41)
  + COUNTIFS('환경부사업(F)'!C:C, $E$1, '환경부사업(F)'!G:G, B39, '환경부사업(F)'!X:X, B41)
  + COUNTIFS('프로젝트(G)'!C:C, $E$1, '프로젝트(G)'!G:G, B39, '프로젝트(G)'!X:X, B41)
  + COUNTIFS('협력사 EPC(H)'!C:C, $E$1, '협력사 EPC(H)'!G:G, B39, '협력사 EPC(H)'!X:X, B41)
  + COUNTIFS('기타(Z)'!C:C, $E$1, '기타(Z)'!G:G, B39, '기타(Z)'!X:X, B41)
  = 0,
  "",
  COUNTIFS('발전사업(A)'!C:C, $E$1, '발전사업(A)'!G:G, B39, '발전사업(A)'!X:X, B41)
  + COUNTIFS('자가소비(B)'!C:C, $E$1, '자가소비(B)'!G:G, B39, '자가소비(B)'!X:X, B41)
  + COUNTIFS('PPA 사업(C)'!C:C, $E$1, 'PPA 사업(C)'!G:G, B39, 'PPA 사업(C)'!X:X, B41)
  + COUNTIFS('리스사업(D)'!C:C, $E$1, '리스사업(D)'!G:G, B39, '리스사업(D)'!X:X, B41)
  + COUNTIFS('임대사업(E)'!C:C, $E$1, '임대사업(E)'!G:G, B39, '임대사업(E)'!X:X, B41)
  + COUNTIFS('환경부사업(F)'!C:C, $E$1, '환경부사업(F)'!G:G, B39, '환경부사업(F)'!X:X, B41)
  + COUNTIFS('프로젝트(G)'!C:C, $E$1, '프로젝트(G)'!G:G, B39, '프로젝트(G)'!X:X, B41)
  + COUNTIFS('협력사 EPC(H)'!C:C, $E$1, '협력사 EPC(H)'!G:G, B39, '협력사 EPC(H)'!X:X, B41)
  + COUNTIFS('기타(Z)'!C:C, $E$1, '기타(Z)'!G:G, B39, '기타(Z)'!X:X, B41)
)</f>
        <v>12</v>
      </c>
      <c r="E41" s="262">
        <f>IF(
  SUM(
    SUMIFS('발전사업(A)'!I:I, '발전사업(A)'!C:C, $E$1, '발전사업(A)'!G:G, B39, '발전사업(A)'!X:X, B41, '발전사업(A)'!U:U, $C$1),
    SUMIFS('자가소비(B)'!I:I, '자가소비(B)'!C:C, $E$1, '자가소비(B)'!G:G, B39, '자가소비(B)'!X:X, B41, '자가소비(B)'!U:U, $C$1),
    SUMIFS('PPA 사업(C)'!I:I, 'PPA 사업(C)'!C:C, $E$1, 'PPA 사업(C)'!G:G, B39, 'PPA 사업(C)'!X:X, B41, 'PPA 사업(C)'!U:U, $C$1),
    SUMIFS('리스사업(D)'!I:I, '리스사업(D)'!C:C, $E$1, '리스사업(D)'!G:G, B39, '리스사업(D)'!X:X, B41, '리스사업(D)'!U:U, $C$1),
    SUMIFS('임대사업(E)'!I:I, '임대사업(E)'!C:C, $E$1, '임대사업(E)'!G:G, B39, '임대사업(E)'!X:X, B41, '임대사업(E)'!U:U, $C$1),
    SUMIFS('환경부사업(F)'!I:I, '환경부사업(F)'!C:C, $E$1, '환경부사업(F)'!G:G, B39, '환경부사업(F)'!X:X, B41, '환경부사업(F)'!U:U, $C$1),
    SUMIFS('프로젝트(G)'!I:I, '프로젝트(G)'!C:C, $E$1, '프로젝트(G)'!G:G, B39, '프로젝트(G)'!X:X, B41, '프로젝트(G)'!U:U, $C$1),
    SUMIFS('협력사 EPC(H)'!I:I, '협력사 EPC(H)'!C:C, $E$1, '협력사 EPC(H)'!G:G, B39, '협력사 EPC(H)'!X:X, B41, '협력사 EPC(H)'!U:U, $C$1),
    SUMIFS('기타(Z)'!I:I, '기타(Z)'!C:C, $E$1, '기타(Z)'!G:G, B39, '기타(Z)'!X:X, B41, '기타(Z)'!U:U, $C$1)
  ) = 0,
  "",
  SUM(
    SUMIFS('발전사업(A)'!I:I, '발전사업(A)'!C:C, $E$1, '발전사업(A)'!G:G, B39, '발전사업(A)'!X:X, B41, '발전사업(A)'!U:U, $C$1),
    SUMIFS('자가소비(B)'!I:I, '자가소비(B)'!C:C, $E$1, '자가소비(B)'!G:G, B39, '자가소비(B)'!X:X, B41, '자가소비(B)'!U:U, $C$1),
    SUMIFS('PPA 사업(C)'!I:I, 'PPA 사업(C)'!C:C, $E$1, 'PPA 사업(C)'!G:G, B39, 'PPA 사업(C)'!X:X, B41, 'PPA 사업(C)'!U:U, $C$1),
    SUMIFS('리스사업(D)'!I:I, '리스사업(D)'!C:C, $E$1, '리스사업(D)'!G:G, B39, '리스사업(D)'!X:X, B41, '리스사업(D)'!U:U, $C$1),
    SUMIFS('임대사업(E)'!I:I, '임대사업(E)'!C:C, $E$1, '임대사업(E)'!G:G, B39, '임대사업(E)'!X:X, B41, '임대사업(E)'!U:U, $C$1),
    SUMIFS('환경부사업(F)'!I:I, '환경부사업(F)'!C:C, $E$1, '환경부사업(F)'!G:G, B39, '환경부사업(F)'!X:X, B41, '환경부사업(F)'!U:U, $C$1),
    SUMIFS('프로젝트(G)'!I:I, '프로젝트(G)'!C:C, $E$1, '프로젝트(G)'!G:G, B39, '프로젝트(G)'!X:X, B41, '프로젝트(G)'!U:U, $C$1),
    SUMIFS('협력사 EPC(H)'!I:I, '협력사 EPC(H)'!C:C, $E$1, '협력사 EPC(H)'!G:G, B39, '협력사 EPC(H)'!X:X, B41, '협력사 EPC(H)'!U:U, $C$1),
    SUMIFS('기타(Z)'!I:I, '기타(Z)'!C:C, $E$1, '기타(Z)'!G:G, B39, '기타(Z)'!X:X, B41, '기타(Z)'!U:U, $C$1)
  )
)</f>
        <v>1884.0449999999998</v>
      </c>
      <c r="F41" s="263">
        <f>IF(
  SUM(
    COUNTIFS('발전사업(A)'!C:C, $E$1, '발전사업(A)'!G:G, B39, '발전사업(A)'!X:X, B41, '발전사업(A)'!U:U, $C$1),
    COUNTIFS('자가소비(B)'!C:C, $E$1, '자가소비(B)'!G:G, B39, '자가소비(B)'!X:X, B41, '자가소비(B)'!U:U, $C$1),
    COUNTIFS('PPA 사업(C)'!C:C, $E$1, 'PPA 사업(C)'!G:G, B39, 'PPA 사업(C)'!X:X, B41, 'PPA 사업(C)'!U:U, $C$1),
    COUNTIFS('리스사업(D)'!C:C, $E$1, '리스사업(D)'!G:G, B39, '리스사업(D)'!X:X, B41, '리스사업(D)'!U:U, $C$1),
    COUNTIFS('임대사업(E)'!C:C, $E$1, '임대사업(E)'!G:G, B39, '임대사업(E)'!X:X, B41, '임대사업(E)'!U:U, $C$1),
    COUNTIFS('환경부사업(F)'!C:C, $E$1, '환경부사업(F)'!G:G, B39, '환경부사업(F)'!X:X, B41, '환경부사업(F)'!U:U, $C$1),
    COUNTIFS('프로젝트(G)'!C:C, $E$1, '프로젝트(G)'!G:G, B39, '프로젝트(G)'!X:X, B41, '프로젝트(G)'!U:U, $C$1),
    COUNTIFS('협력사 EPC(H)'!C:C, $E$1, '협력사 EPC(H)'!G:G, B39, '협력사 EPC(H)'!X:X, B41, '협력사 EPC(H)'!U:U, $C$1),
    COUNTIFS('기타(Z)'!C:C, $E$1, '기타(Z)'!G:G, B39, '기타(Z)'!X:X, B41, '기타(Z)'!U:U, $C$1)
  ) = 0,
  "",
  SUM(
    COUNTIFS('발전사업(A)'!C:C, $E$1, '발전사업(A)'!G:G, B39, '발전사업(A)'!X:X, B41, '발전사업(A)'!U:U, $C$1),
    COUNTIFS('자가소비(B)'!C:C, $E$1, '자가소비(B)'!G:G, B39, '자가소비(B)'!X:X, B41, '자가소비(B)'!U:U, $C$1),
    COUNTIFS('PPA 사업(C)'!C:C, $E$1, 'PPA 사업(C)'!G:G, B39, 'PPA 사업(C)'!X:X, B41, 'PPA 사업(C)'!U:U, $C$1),
    COUNTIFS('리스사업(D)'!C:C, $E$1, '리스사업(D)'!G:G, B39, '리스사업(D)'!X:X, B41, '리스사업(D)'!U:U, $C$1),
    COUNTIFS('임대사업(E)'!C:C, $E$1, '임대사업(E)'!G:G, B39, '임대사업(E)'!X:X, B41, '임대사업(E)'!U:U, $C$1),
    COUNTIFS('환경부사업(F)'!C:C, $E$1, '환경부사업(F)'!G:G, B39, '환경부사업(F)'!X:X, B41, '환경부사업(F)'!U:U, $C$1),
    COUNTIFS('프로젝트(G)'!C:C, $E$1, '프로젝트(G)'!G:G, B39, '프로젝트(G)'!X:X, B41, '프로젝트(G)'!U:U, $C$1),
    COUNTIFS('협력사 EPC(H)'!C:C, $E$1, '협력사 EPC(H)'!G:G, B39, '협력사 EPC(H)'!X:X, B41, '협력사 EPC(H)'!U:U, $C$1),
    COUNTIFS('기타(Z)'!C:C, $E$1, '기타(Z)'!G:G, B39, '기타(Z)'!X:X, B41, '기타(Z)'!U:U, $C$1)
  )
)</f>
        <v>9</v>
      </c>
      <c r="G41" s="262">
        <f>IF(
  SUM(
    SUMIFS('발전사업(A)'!I:I, '발전사업(A)'!C:C, $E$1, '발전사업(A)'!G:G, B39, '발전사업(A)'!X:X, B41, '발전사업(A)'!U:U, $D$1),
    SUMIFS('자가소비(B)'!I:I, '자가소비(B)'!C:C, $E$1, '자가소비(B)'!G:G, B39, '자가소비(B)'!X:X, B41, '자가소비(B)'!U:U, $D$1),
    SUMIFS('PPA 사업(C)'!I:I, 'PPA 사업(C)'!C:C, $E$1, 'PPA 사업(C)'!G:G, B39, 'PPA 사업(C)'!X:X, B41, 'PPA 사업(C)'!U:U, $D$1),
    SUMIFS('리스사업(D)'!I:I, '리스사업(D)'!C:C, $E$1, '리스사업(D)'!G:G, B39, '리스사업(D)'!X:X, B41, '리스사업(D)'!U:U, $D$1),
    SUMIFS('임대사업(E)'!I:I, '임대사업(E)'!C:C, $E$1, '임대사업(E)'!G:G, B39, '임대사업(E)'!X:X, B41, '임대사업(E)'!U:U, $D$1),
    SUMIFS('환경부사업(F)'!I:I, '환경부사업(F)'!C:C, $E$1, '환경부사업(F)'!G:G, B39, '환경부사업(F)'!X:X, B41, '환경부사업(F)'!U:U, $D$1),
    SUMIFS('프로젝트(G)'!I:I, '프로젝트(G)'!C:C, $E$1, '프로젝트(G)'!G:G, B39, '프로젝트(G)'!X:X, B41, '프로젝트(G)'!U:U, $D$1),
    SUMIFS('협력사 EPC(H)'!I:I, '협력사 EPC(H)'!C:C, $E$1, '협력사 EPC(H)'!G:G, B39, '협력사 EPC(H)'!X:X, B41, '협력사 EPC(H)'!U:U, $D$1),
    SUMIFS('기타(Z)'!I:I, '기타(Z)'!C:C, $E$1, '기타(Z)'!G:G, B39, '기타(Z)'!X:X, B41, '기타(Z)'!U:U, $D$1)
  ) = 0,
  "",
  SUM(
    SUMIFS('발전사업(A)'!I:I, '발전사업(A)'!C:C, $E$1, '발전사업(A)'!G:G, B39, '발전사업(A)'!X:X, B41, '발전사업(A)'!U:U, $D$1),
    SUMIFS('자가소비(B)'!I:I, '자가소비(B)'!C:C, $E$1, '자가소비(B)'!G:G, B39, '자가소비(B)'!X:X, B41, '자가소비(B)'!U:U, $D$1),
    SUMIFS('PPA 사업(C)'!I:I, 'PPA 사업(C)'!C:C, $E$1, 'PPA 사업(C)'!G:G, B39, 'PPA 사업(C)'!X:X, B41, 'PPA 사업(C)'!U:U, $D$1),
    SUMIFS('리스사업(D)'!I:I, '리스사업(D)'!C:C, $E$1, '리스사업(D)'!G:G, B39, '리스사업(D)'!X:X, B41, '리스사업(D)'!U:U, $D$1),
    SUMIFS('임대사업(E)'!I:I, '임대사업(E)'!C:C, $E$1, '임대사업(E)'!G:G, B39, '임대사업(E)'!X:X, B41, '임대사업(E)'!U:U, $D$1),
    SUMIFS('환경부사업(F)'!I:I, '환경부사업(F)'!C:C, $E$1, '환경부사업(F)'!G:G, B39, '환경부사업(F)'!X:X, B41, '환경부사업(F)'!U:U, $D$1),
    SUMIFS('프로젝트(G)'!I:I, '프로젝트(G)'!C:C, $E$1, '프로젝트(G)'!G:G, B39, '프로젝트(G)'!X:X, B41, '프로젝트(G)'!U:U, $D$1),
    SUMIFS('협력사 EPC(H)'!I:I, '협력사 EPC(H)'!C:C, $E$1, '협력사 EPC(H)'!G:G, B39, '협력사 EPC(H)'!X:X, B41, '협력사 EPC(H)'!U:U, $D$1),
    SUMIFS('기타(Z)'!I:I, '기타(Z)'!C:C, $E$1, '기타(Z)'!G:G, B39, '기타(Z)'!X:X, B41, '기타(Z)'!U:U, $D$1)
  )
)</f>
        <v>2554.8450000000003</v>
      </c>
      <c r="H41" s="263">
        <f>IF(
  (
    COUNTIFS('발전사업(A)'!C:C, $E$1, '발전사업(A)'!G:G, B39, '발전사업(A)'!X:X, B41, '발전사업(A)'!U:U, $D$1)
    + COUNTIFS('자가소비(B)'!C:C, $E$1, '자가소비(B)'!G:G, B39, '자가소비(B)'!X:X, B41, '자가소비(B)'!U:U, $D$1)
    + COUNTIFS('PPA 사업(C)'!C:C, $E$1, 'PPA 사업(C)'!G:G, B39, 'PPA 사업(C)'!X:X, B41, 'PPA 사업(C)'!U:U, $D$1)
    + COUNTIFS('리스사업(D)'!C:C, $E$1, '리스사업(D)'!G:G, B39, '리스사업(D)'!X:X, B41, '리스사업(D)'!U:U, $D$1)
    + COUNTIFS('임대사업(E)'!C:C, $E$1, '임대사업(E)'!G:G, B39, '임대사업(E)'!X:X, B41, '임대사업(E)'!U:U, $D$1)
    + COUNTIFS('환경부사업(F)'!C:C, $E$1, '환경부사업(F)'!G:G, B39, '환경부사업(F)'!X:X, B41, '환경부사업(F)'!U:U, $D$1)
    + COUNTIFS('프로젝트(G)'!C:C, $E$1, '프로젝트(G)'!G:G, B39, '프로젝트(G)'!X:X, B41, '프로젝트(G)'!U:U, $D$1)
    + COUNTIFS('협력사 EPC(H)'!C:C, $E$1, '협력사 EPC(H)'!G:G, B39, '협력사 EPC(H)'!X:X, B41, '협력사 EPC(H)'!U:U, $D$1)
    + COUNTIFS('기타(Z)'!C:C, $E$1, '기타(Z)'!G:G, B39, '기타(Z)'!X:X, B41, '기타(Z)'!U:U, $D$1)
  ) = 0,
  "",
  COUNTIFS('발전사업(A)'!C:C, $E$1, '발전사업(A)'!G:G, B39, '발전사업(A)'!X:X, B41, '발전사업(A)'!U:U, $D$1)
  + COUNTIFS('자가소비(B)'!C:C, $E$1, '자가소비(B)'!G:G, B39, '자가소비(B)'!X:X, B41, '자가소비(B)'!U:U, $D$1)
  + COUNTIFS('PPA 사업(C)'!C:C, $E$1, 'PPA 사업(C)'!G:G, B39, 'PPA 사업(C)'!X:X, B41, 'PPA 사업(C)'!U:U, $D$1)
  + COUNTIFS('리스사업(D)'!C:C, $E$1, '리스사업(D)'!G:G, B39, '리스사업(D)'!X:X, B41, '리스사업(D)'!U:U, $D$1)
  + COUNTIFS('임대사업(E)'!C:C, $E$1, '임대사업(E)'!G:G, B39, '임대사업(E)'!X:X, B41, '임대사업(E)'!U:U, $D$1)
  + COUNTIFS('환경부사업(F)'!C:C, $E$1, '환경부사업(F)'!G:G, B39, '환경부사업(F)'!X:X, B41, '환경부사업(F)'!U:U, $D$1)
  + COUNTIFS('프로젝트(G)'!C:C, $E$1, '프로젝트(G)'!G:G, B39, '프로젝트(G)'!X:X, B41, '프로젝트(G)'!U:U, $D$1)
  + COUNTIFS('협력사 EPC(H)'!C:C, $E$1, '협력사 EPC(H)'!G:G, B39, '협력사 EPC(H)'!X:X, B41, '협력사 EPC(H)'!U:U, $D$1)
  + COUNTIFS('기타(Z)'!C:C, $E$1, '기타(Z)'!G:G, B39, '기타(Z)'!X:X, B41, '기타(Z)'!U:U, $D$1)
)</f>
        <v>3</v>
      </c>
    </row>
    <row r="42" spans="2:8" x14ac:dyDescent="0.25">
      <c r="B42" s="195" t="s">
        <v>153</v>
      </c>
      <c r="C42" s="262">
        <f>IF(
  SUM(
    SUMIFS('발전사업(A)'!I:I, '발전사업(A)'!C:C, $E$1, '발전사업(A)'!G:G, B39, '발전사업(A)'!X:X, B42),
    SUMIFS('자가소비(B)'!I:I, '자가소비(B)'!C:C, $E$1, '자가소비(B)'!G:G, B39, '자가소비(B)'!X:X, B42),
    SUMIFS('PPA 사업(C)'!I:I, 'PPA 사업(C)'!C:C, $E$1, 'PPA 사업(C)'!G:G, B39, 'PPA 사업(C)'!X:X, B42),
    SUMIFS('리스사업(D)'!I:I, '리스사업(D)'!C:C, $E$1, '리스사업(D)'!G:G, B39, '리스사업(D)'!X:X, B42),
    SUMIFS('임대사업(E)'!I:I, '임대사업(E)'!C:C, $E$1, '임대사업(E)'!G:G, B39, '임대사업(E)'!X:X, B42),
    SUMIFS('환경부사업(F)'!I:I, '환경부사업(F)'!C:C, $E$1, '환경부사업(F)'!G:G, B39, '환경부사업(F)'!X:X, B42),
    SUMIFS('프로젝트(G)'!I:I, '프로젝트(G)'!C:C, $E$1, '프로젝트(G)'!G:G, B39, '프로젝트(G)'!X:X, B42),
    SUMIFS('협력사 EPC(H)'!I:I, '협력사 EPC(H)'!C:C, $E$1, '협력사 EPC(H)'!G:G, B39, '협력사 EPC(H)'!X:X, B42),
    SUMIFS('기타(Z)'!I:I, '기타(Z)'!C:C, $E$1, '기타(Z)'!G:G, B39, '기타(Z)'!X:X, B42)
  ) = 0,
  "",
  SUMIFS('발전사업(A)'!I:I, '발전사업(A)'!C:C, $E$1, '발전사업(A)'!G:G, B39, '발전사업(A)'!X:X, B42)
  + SUMIFS('자가소비(B)'!I:I, '자가소비(B)'!C:C, $E$1, '자가소비(B)'!G:G, B39, '자가소비(B)'!X:X, B42)
  + SUMIFS('PPA 사업(C)'!I:I, 'PPA 사업(C)'!C:C, $E$1, 'PPA 사업(C)'!G:G, B39, 'PPA 사업(C)'!X:X, B42)
  + SUMIFS('리스사업(D)'!I:I, '리스사업(D)'!C:C, $E$1, '리스사업(D)'!G:G, B39, '리스사업(D)'!X:X, B42)
  + SUMIFS('임대사업(E)'!I:I, '임대사업(E)'!C:C, $E$1, '임대사업(E)'!G:G, B39, '임대사업(E)'!X:X, B42)
  + SUMIFS('환경부사업(F)'!I:I, '환경부사업(F)'!C:C, $E$1, '환경부사업(F)'!G:G, B39, '환경부사업(F)'!X:X, B42)
  + SUMIFS('프로젝트(G)'!I:I, '프로젝트(G)'!C:C, $E$1, '프로젝트(G)'!G:G, B39, '프로젝트(G)'!X:X, B42)
  + SUMIFS('협력사 EPC(H)'!I:I, '협력사 EPC(H)'!C:C, $E$1, '협력사 EPC(H)'!G:G, B39, '협력사 EPC(H)'!X:X, B42)
  + SUMIFS('기타(Z)'!I:I, '기타(Z)'!C:C, $E$1, '기타(Z)'!G:G, B39, '기타(Z)'!X:X, B42)
)</f>
        <v>352.17</v>
      </c>
      <c r="D42" s="263">
        <f>IF(
  COUNTIFS('발전사업(A)'!C:C, $E$1, '발전사업(A)'!G:G, B39, '발전사업(A)'!X:X, B42)
  + COUNTIFS('자가소비(B)'!C:C, $E$1, '자가소비(B)'!G:G, B39, '자가소비(B)'!X:X, B42)
  + COUNTIFS('PPA 사업(C)'!C:C, $E$1, 'PPA 사업(C)'!G:G, B39, 'PPA 사업(C)'!X:X, B42)
  + COUNTIFS('리스사업(D)'!C:C, $E$1, '리스사업(D)'!G:G, B39, '리스사업(D)'!X:X, B42)
  + COUNTIFS('임대사업(E)'!C:C, $E$1, '임대사업(E)'!G:G, B39, '임대사업(E)'!X:X, B42)
  + COUNTIFS('환경부사업(F)'!C:C, $E$1, '환경부사업(F)'!G:G, B39, '환경부사업(F)'!X:X, B42)
  + COUNTIFS('프로젝트(G)'!C:C, $E$1, '프로젝트(G)'!G:G, B39, '프로젝트(G)'!X:X, B42)
  + COUNTIFS('협력사 EPC(H)'!C:C, $E$1, '협력사 EPC(H)'!G:G, B39, '협력사 EPC(H)'!X:X, B42)
  + COUNTIFS('기타(Z)'!C:C, $E$1, '기타(Z)'!G:G, B39, '기타(Z)'!X:X, B42)
  = 0,
  "",
  COUNTIFS('발전사업(A)'!C:C, $E$1, '발전사업(A)'!G:G, B39, '발전사업(A)'!X:X, B42)
  + COUNTIFS('자가소비(B)'!C:C, $E$1, '자가소비(B)'!G:G, B39, '자가소비(B)'!X:X, B42)
  + COUNTIFS('PPA 사업(C)'!C:C, $E$1, 'PPA 사업(C)'!G:G, B39, 'PPA 사업(C)'!X:X, B42)
  + COUNTIFS('리스사업(D)'!C:C, $E$1, '리스사업(D)'!G:G, B39, '리스사업(D)'!X:X, B42)
  + COUNTIFS('임대사업(E)'!C:C, $E$1, '임대사업(E)'!G:G, B39, '임대사업(E)'!X:X, B42)
  + COUNTIFS('환경부사업(F)'!C:C, $E$1, '환경부사업(F)'!G:G, B39, '환경부사업(F)'!X:X, B42)
  + COUNTIFS('프로젝트(G)'!C:C, $E$1, '프로젝트(G)'!G:G, B39, '프로젝트(G)'!X:X, B42)
  + COUNTIFS('협력사 EPC(H)'!C:C, $E$1, '협력사 EPC(H)'!G:G, B39, '협력사 EPC(H)'!X:X, B42)
  + COUNTIFS('기타(Z)'!C:C, $E$1, '기타(Z)'!G:G, B39, '기타(Z)'!X:X, B42)
)</f>
        <v>1</v>
      </c>
      <c r="E42" s="262">
        <f>IF(
  SUM(
    SUMIFS('발전사업(A)'!I:I, '발전사업(A)'!C:C, $E$1, '발전사업(A)'!G:G, B39, '발전사업(A)'!X:X, B42, '발전사업(A)'!U:U, $C$1),
    SUMIFS('자가소비(B)'!I:I, '자가소비(B)'!C:C, $E$1, '자가소비(B)'!G:G, B39, '자가소비(B)'!X:X, B42, '자가소비(B)'!U:U, $C$1),
    SUMIFS('PPA 사업(C)'!I:I, 'PPA 사업(C)'!C:C, $E$1, 'PPA 사업(C)'!G:G, B39, 'PPA 사업(C)'!X:X, B42, 'PPA 사업(C)'!U:U, $C$1),
    SUMIFS('리스사업(D)'!I:I, '리스사업(D)'!C:C, $E$1, '리스사업(D)'!G:G, B39, '리스사업(D)'!X:X, B42, '리스사업(D)'!U:U, $C$1),
    SUMIFS('임대사업(E)'!I:I, '임대사업(E)'!C:C, $E$1, '임대사업(E)'!G:G, B39, '임대사업(E)'!X:X, B42, '임대사업(E)'!U:U, $C$1),
    SUMIFS('환경부사업(F)'!I:I, '환경부사업(F)'!C:C, $E$1, '환경부사업(F)'!G:G, B39, '환경부사업(F)'!X:X, B42, '환경부사업(F)'!U:U, $C$1),
    SUMIFS('프로젝트(G)'!I:I, '프로젝트(G)'!C:C, $E$1, '프로젝트(G)'!G:G, B39, '프로젝트(G)'!X:X, B42, '프로젝트(G)'!U:U, $C$1),
    SUMIFS('협력사 EPC(H)'!I:I, '협력사 EPC(H)'!C:C, $E$1, '협력사 EPC(H)'!G:G, B39, '협력사 EPC(H)'!X:X, B42, '협력사 EPC(H)'!U:U, $C$1),
    SUMIFS('기타(Z)'!I:I, '기타(Z)'!C:C, $E$1, '기타(Z)'!G:G, B39, '기타(Z)'!X:X, B42, '기타(Z)'!U:U, $C$1)
  ) = 0,
  "",
  SUM(
    SUMIFS('발전사업(A)'!I:I, '발전사업(A)'!C:C, $E$1, '발전사업(A)'!G:G, B39, '발전사업(A)'!X:X, B42, '발전사업(A)'!U:U, $C$1),
    SUMIFS('자가소비(B)'!I:I, '자가소비(B)'!C:C, $E$1, '자가소비(B)'!G:G, B39, '자가소비(B)'!X:X, B42, '자가소비(B)'!U:U, $C$1),
    SUMIFS('PPA 사업(C)'!I:I, 'PPA 사업(C)'!C:C, $E$1, 'PPA 사업(C)'!G:G, B39, 'PPA 사업(C)'!X:X, B42, 'PPA 사업(C)'!U:U, $C$1),
    SUMIFS('리스사업(D)'!I:I, '리스사업(D)'!C:C, $E$1, '리스사업(D)'!G:G, B39, '리스사업(D)'!X:X, B42, '리스사업(D)'!U:U, $C$1),
    SUMIFS('임대사업(E)'!I:I, '임대사업(E)'!C:C, $E$1, '임대사업(E)'!G:G, B39, '임대사업(E)'!X:X, B42, '임대사업(E)'!U:U, $C$1),
    SUMIFS('환경부사업(F)'!I:I, '환경부사업(F)'!C:C, $E$1, '환경부사업(F)'!G:G, B39, '환경부사업(F)'!X:X, B42, '환경부사업(F)'!U:U, $C$1),
    SUMIFS('프로젝트(G)'!I:I, '프로젝트(G)'!C:C, $E$1, '프로젝트(G)'!G:G, B39, '프로젝트(G)'!X:X, B42, '프로젝트(G)'!U:U, $C$1),
    SUMIFS('협력사 EPC(H)'!I:I, '협력사 EPC(H)'!C:C, $E$1, '협력사 EPC(H)'!G:G, B39, '협력사 EPC(H)'!X:X, B42, '협력사 EPC(H)'!U:U, $C$1),
    SUMIFS('기타(Z)'!I:I, '기타(Z)'!C:C, $E$1, '기타(Z)'!G:G, B39, '기타(Z)'!X:X, B42, '기타(Z)'!U:U, $C$1)
  )
)</f>
        <v>352.17</v>
      </c>
      <c r="F42" s="263">
        <f>IF(
  SUM(
    COUNTIFS('발전사업(A)'!C:C, $E$1, '발전사업(A)'!G:G, B39, '발전사업(A)'!X:X, B42, '발전사업(A)'!U:U, $C$1),
    COUNTIFS('자가소비(B)'!C:C, $E$1, '자가소비(B)'!G:G, B39, '자가소비(B)'!X:X, B42, '자가소비(B)'!U:U, $C$1),
    COUNTIFS('PPA 사업(C)'!C:C, $E$1, 'PPA 사업(C)'!G:G, B39, 'PPA 사업(C)'!X:X, B42, 'PPA 사업(C)'!U:U, $C$1),
    COUNTIFS('리스사업(D)'!C:C, $E$1, '리스사업(D)'!G:G, B39, '리스사업(D)'!X:X, B42, '리스사업(D)'!U:U, $C$1),
    COUNTIFS('임대사업(E)'!C:C, $E$1, '임대사업(E)'!G:G, B39, '임대사업(E)'!X:X, B42, '임대사업(E)'!U:U, $C$1),
    COUNTIFS('환경부사업(F)'!C:C, $E$1, '환경부사업(F)'!G:G, B39, '환경부사업(F)'!X:X, B42, '환경부사업(F)'!U:U, $C$1),
    COUNTIFS('프로젝트(G)'!C:C, $E$1, '프로젝트(G)'!G:G, B39, '프로젝트(G)'!X:X, B42, '프로젝트(G)'!U:U, $C$1),
    COUNTIFS('협력사 EPC(H)'!C:C, $E$1, '협력사 EPC(H)'!G:G, B39, '협력사 EPC(H)'!X:X, B42, '협력사 EPC(H)'!U:U, $C$1),
    COUNTIFS('기타(Z)'!C:C, $E$1, '기타(Z)'!G:G, B39, '기타(Z)'!X:X, B42, '기타(Z)'!U:U, $C$1)
  ) = 0,
  "",
  SUM(
    COUNTIFS('발전사업(A)'!C:C, $E$1, '발전사업(A)'!G:G, B39, '발전사업(A)'!X:X, B42, '발전사업(A)'!U:U, $C$1),
    COUNTIFS('자가소비(B)'!C:C, $E$1, '자가소비(B)'!G:G, B39, '자가소비(B)'!X:X, B42, '자가소비(B)'!U:U, $C$1),
    COUNTIFS('PPA 사업(C)'!C:C, $E$1, 'PPA 사업(C)'!G:G, B39, 'PPA 사업(C)'!X:X, B42, 'PPA 사업(C)'!U:U, $C$1),
    COUNTIFS('리스사업(D)'!C:C, $E$1, '리스사업(D)'!G:G, B39, '리스사업(D)'!X:X, B42, '리스사업(D)'!U:U, $C$1),
    COUNTIFS('임대사업(E)'!C:C, $E$1, '임대사업(E)'!G:G, B39, '임대사업(E)'!X:X, B42, '임대사업(E)'!U:U, $C$1),
    COUNTIFS('환경부사업(F)'!C:C, $E$1, '환경부사업(F)'!G:G, B39, '환경부사업(F)'!X:X, B42, '환경부사업(F)'!U:U, $C$1),
    COUNTIFS('프로젝트(G)'!C:C, $E$1, '프로젝트(G)'!G:G, B39, '프로젝트(G)'!X:X, B42, '프로젝트(G)'!U:U, $C$1),
    COUNTIFS('협력사 EPC(H)'!C:C, $E$1, '협력사 EPC(H)'!G:G, B39, '협력사 EPC(H)'!X:X, B42, '협력사 EPC(H)'!U:U, $C$1),
    COUNTIFS('기타(Z)'!C:C, $E$1, '기타(Z)'!G:G, B39, '기타(Z)'!X:X, B42, '기타(Z)'!U:U, $C$1)
  )
)</f>
        <v>1</v>
      </c>
      <c r="G42" s="262" t="str">
        <f>IF(
  SUM(
    SUMIFS('발전사업(A)'!I:I, '발전사업(A)'!C:C, $E$1, '발전사업(A)'!G:G, B39, '발전사업(A)'!X:X, B42, '발전사업(A)'!U:U, $D$1),
    SUMIFS('자가소비(B)'!I:I, '자가소비(B)'!C:C, $E$1, '자가소비(B)'!G:G, B39, '자가소비(B)'!X:X, B42, '자가소비(B)'!U:U, $D$1),
    SUMIFS('PPA 사업(C)'!I:I, 'PPA 사업(C)'!C:C, $E$1, 'PPA 사업(C)'!G:G, B39, 'PPA 사업(C)'!X:X, B42, 'PPA 사업(C)'!U:U, $D$1),
    SUMIFS('리스사업(D)'!I:I, '리스사업(D)'!C:C, $E$1, '리스사업(D)'!G:G, B39, '리스사업(D)'!X:X, B42, '리스사업(D)'!U:U, $D$1),
    SUMIFS('임대사업(E)'!I:I, '임대사업(E)'!C:C, $E$1, '임대사업(E)'!G:G, B39, '임대사업(E)'!X:X, B42, '임대사업(E)'!U:U, $D$1),
    SUMIFS('환경부사업(F)'!I:I, '환경부사업(F)'!C:C, $E$1, '환경부사업(F)'!G:G, B39, '환경부사업(F)'!X:X, B42, '환경부사업(F)'!U:U, $D$1),
    SUMIFS('프로젝트(G)'!I:I, '프로젝트(G)'!C:C, $E$1, '프로젝트(G)'!G:G, B39, '프로젝트(G)'!X:X, B42, '프로젝트(G)'!U:U, $D$1),
    SUMIFS('협력사 EPC(H)'!I:I, '협력사 EPC(H)'!C:C, $E$1, '협력사 EPC(H)'!G:G, B39, '협력사 EPC(H)'!X:X, B42, '협력사 EPC(H)'!U:U, $D$1),
    SUMIFS('기타(Z)'!I:I, '기타(Z)'!C:C, $E$1, '기타(Z)'!G:G, B39, '기타(Z)'!X:X, B42, '기타(Z)'!U:U, $D$1)
  ) = 0,
  "",
  SUM(
    SUMIFS('발전사업(A)'!I:I, '발전사업(A)'!C:C, $E$1, '발전사업(A)'!G:G, B39, '발전사업(A)'!X:X, B42, '발전사업(A)'!U:U, $D$1),
    SUMIFS('자가소비(B)'!I:I, '자가소비(B)'!C:C, $E$1, '자가소비(B)'!G:G, B39, '자가소비(B)'!X:X, B42, '자가소비(B)'!U:U, $D$1),
    SUMIFS('PPA 사업(C)'!I:I, 'PPA 사업(C)'!C:C, $E$1, 'PPA 사업(C)'!G:G, B39, 'PPA 사업(C)'!X:X, B42, 'PPA 사업(C)'!U:U, $D$1),
    SUMIFS('리스사업(D)'!I:I, '리스사업(D)'!C:C, $E$1, '리스사업(D)'!G:G, B39, '리스사업(D)'!X:X, B42, '리스사업(D)'!U:U, $D$1),
    SUMIFS('임대사업(E)'!I:I, '임대사업(E)'!C:C, $E$1, '임대사업(E)'!G:G, B39, '임대사업(E)'!X:X, B42, '임대사업(E)'!U:U, $D$1),
    SUMIFS('환경부사업(F)'!I:I, '환경부사업(F)'!C:C, $E$1, '환경부사업(F)'!G:G, B39, '환경부사업(F)'!X:X, B42, '환경부사업(F)'!U:U, $D$1),
    SUMIFS('프로젝트(G)'!I:I, '프로젝트(G)'!C:C, $E$1, '프로젝트(G)'!G:G, B39, '프로젝트(G)'!X:X, B42, '프로젝트(G)'!U:U, $D$1),
    SUMIFS('협력사 EPC(H)'!I:I, '협력사 EPC(H)'!C:C, $E$1, '협력사 EPC(H)'!G:G, B39, '협력사 EPC(H)'!X:X, B42, '협력사 EPC(H)'!U:U, $D$1),
    SUMIFS('기타(Z)'!I:I, '기타(Z)'!C:C, $E$1, '기타(Z)'!G:G, B39, '기타(Z)'!X:X, B42, '기타(Z)'!U:U, $D$1)
  )
)</f>
        <v/>
      </c>
      <c r="H42" s="263" t="str">
        <f>IF(
  (
    COUNTIFS('발전사업(A)'!C:C, $E$1, '발전사업(A)'!G:G, B39, '발전사업(A)'!X:X, B42, '발전사업(A)'!U:U, $D$1)
    + COUNTIFS('자가소비(B)'!C:C, $E$1, '자가소비(B)'!G:G, B39, '자가소비(B)'!X:X, B42, '자가소비(B)'!U:U, $D$1)
    + COUNTIFS('PPA 사업(C)'!C:C, $E$1, 'PPA 사업(C)'!G:G, B39, 'PPA 사업(C)'!X:X, B42, 'PPA 사업(C)'!U:U, $D$1)
    + COUNTIFS('리스사업(D)'!C:C, $E$1, '리스사업(D)'!G:G, B39, '리스사업(D)'!X:X, B42, '리스사업(D)'!U:U, $D$1)
    + COUNTIFS('임대사업(E)'!C:C, $E$1, '임대사업(E)'!G:G, B39, '임대사업(E)'!X:X, B42, '임대사업(E)'!U:U, $D$1)
    + COUNTIFS('환경부사업(F)'!C:C, $E$1, '환경부사업(F)'!G:G, B39, '환경부사업(F)'!X:X, B42, '환경부사업(F)'!U:U, $D$1)
    + COUNTIFS('프로젝트(G)'!C:C, $E$1, '프로젝트(G)'!G:G, B39, '프로젝트(G)'!X:X, B42, '프로젝트(G)'!U:U, $D$1)
    + COUNTIFS('협력사 EPC(H)'!C:C, $E$1, '협력사 EPC(H)'!G:G, B39, '협력사 EPC(H)'!X:X, B42, '협력사 EPC(H)'!U:U, $D$1)
    + COUNTIFS('기타(Z)'!C:C, $E$1, '기타(Z)'!G:G, B39, '기타(Z)'!X:X, B42, '기타(Z)'!U:U, $D$1)
  ) = 0,
  "",
  COUNTIFS('발전사업(A)'!C:C, $E$1, '발전사업(A)'!G:G, B39, '발전사업(A)'!X:X, B42, '발전사업(A)'!U:U, $D$1)
  + COUNTIFS('자가소비(B)'!C:C, $E$1, '자가소비(B)'!G:G, B39, '자가소비(B)'!X:X, B42, '자가소비(B)'!U:U, $D$1)
  + COUNTIFS('PPA 사업(C)'!C:C, $E$1, 'PPA 사업(C)'!G:G, B39, 'PPA 사업(C)'!X:X, B42, 'PPA 사업(C)'!U:U, $D$1)
  + COUNTIFS('리스사업(D)'!C:C, $E$1, '리스사업(D)'!G:G, B39, '리스사업(D)'!X:X, B42, '리스사업(D)'!U:U, $D$1)
  + COUNTIFS('임대사업(E)'!C:C, $E$1, '임대사업(E)'!G:G, B39, '임대사업(E)'!X:X, B42, '임대사업(E)'!U:U, $D$1)
  + COUNTIFS('환경부사업(F)'!C:C, $E$1, '환경부사업(F)'!G:G, B39, '환경부사업(F)'!X:X, B42, '환경부사업(F)'!U:U, $D$1)
  + COUNTIFS('프로젝트(G)'!C:C, $E$1, '프로젝트(G)'!G:G, B39, '프로젝트(G)'!X:X, B42, '프로젝트(G)'!U:U, $D$1)
  + COUNTIFS('협력사 EPC(H)'!C:C, $E$1, '협력사 EPC(H)'!G:G, B39, '협력사 EPC(H)'!X:X, B42, '협력사 EPC(H)'!U:U, $D$1)
  + COUNTIFS('기타(Z)'!C:C, $E$1, '기타(Z)'!G:G, B39, '기타(Z)'!X:X, B42, '기타(Z)'!U:U, $D$1)
)</f>
        <v/>
      </c>
    </row>
    <row r="43" spans="2:8" x14ac:dyDescent="0.25">
      <c r="B43" s="195" t="s">
        <v>154</v>
      </c>
      <c r="C43" s="262">
        <f>IF(
  SUM(
    SUMIFS('발전사업(A)'!I:I, '발전사업(A)'!C:C, $E$1, '발전사업(A)'!G:G, B39, '발전사업(A)'!X:X, B43),
    SUMIFS('자가소비(B)'!I:I, '자가소비(B)'!C:C, $E$1, '자가소비(B)'!G:G, B39, '자가소비(B)'!X:X, B43),
    SUMIFS('PPA 사업(C)'!I:I, 'PPA 사업(C)'!C:C, $E$1, 'PPA 사업(C)'!G:G, B39, 'PPA 사업(C)'!X:X, B43),
    SUMIFS('리스사업(D)'!I:I, '리스사업(D)'!C:C, $E$1, '리스사업(D)'!G:G, B39, '리스사업(D)'!X:X, B43),
    SUMIFS('임대사업(E)'!I:I, '임대사업(E)'!C:C, $E$1, '임대사업(E)'!G:G, B39, '임대사업(E)'!X:X, B43),
    SUMIFS('환경부사업(F)'!I:I, '환경부사업(F)'!C:C, $E$1, '환경부사업(F)'!G:G, B39, '환경부사업(F)'!X:X, B43),
    SUMIFS('프로젝트(G)'!I:I, '프로젝트(G)'!C:C, $E$1, '프로젝트(G)'!G:G, B39, '프로젝트(G)'!X:X, B43),
    SUMIFS('협력사 EPC(H)'!I:I, '협력사 EPC(H)'!C:C, $E$1, '협력사 EPC(H)'!G:G, B39, '협력사 EPC(H)'!X:X, B43),
    SUMIFS('기타(Z)'!I:I, '기타(Z)'!C:C, $E$1, '기타(Z)'!G:G, B39, '기타(Z)'!X:X, B43)
  ) = 0,
  "",
  SUMIFS('발전사업(A)'!I:I, '발전사업(A)'!C:C, $E$1, '발전사업(A)'!G:G, B39, '발전사업(A)'!X:X, B43)
  + SUMIFS('자가소비(B)'!I:I, '자가소비(B)'!C:C, $E$1, '자가소비(B)'!G:G, B39, '자가소비(B)'!X:X, B43)
  + SUMIFS('PPA 사업(C)'!I:I, 'PPA 사업(C)'!C:C, $E$1, 'PPA 사업(C)'!G:G, B39, 'PPA 사업(C)'!X:X, B43)
  + SUMIFS('리스사업(D)'!I:I, '리스사업(D)'!C:C, $E$1, '리스사업(D)'!G:G, B39, '리스사업(D)'!X:X, B43)
  + SUMIFS('임대사업(E)'!I:I, '임대사업(E)'!C:C, $E$1, '임대사업(E)'!G:G, B39, '임대사업(E)'!X:X, B43)
  + SUMIFS('환경부사업(F)'!I:I, '환경부사업(F)'!C:C, $E$1, '환경부사업(F)'!G:G, B39, '환경부사업(F)'!X:X, B43)
  + SUMIFS('프로젝트(G)'!I:I, '프로젝트(G)'!C:C, $E$1, '프로젝트(G)'!G:G, B39, '프로젝트(G)'!X:X, B43)
  + SUMIFS('협력사 EPC(H)'!I:I, '협력사 EPC(H)'!C:C, $E$1, '협력사 EPC(H)'!G:G, B39, '협력사 EPC(H)'!X:X, B43)
  + SUMIFS('기타(Z)'!I:I, '기타(Z)'!C:C, $E$1, '기타(Z)'!G:G, B39, '기타(Z)'!X:X, B43)
)</f>
        <v>207.04499999999999</v>
      </c>
      <c r="D43" s="263">
        <f>IF(
  COUNTIFS('발전사업(A)'!C:C, $E$1, '발전사업(A)'!G:G, B39, '발전사업(A)'!X:X, B43)
  + COUNTIFS('자가소비(B)'!C:C, $E$1, '자가소비(B)'!G:G, B39, '자가소비(B)'!X:X, B43)
  + COUNTIFS('PPA 사업(C)'!C:C, $E$1, 'PPA 사업(C)'!G:G, B39, 'PPA 사업(C)'!X:X, B43)
  + COUNTIFS('리스사업(D)'!C:C, $E$1, '리스사업(D)'!G:G, B39, '리스사업(D)'!X:X, B43)
  + COUNTIFS('임대사업(E)'!C:C, $E$1, '임대사업(E)'!G:G, B39, '임대사업(E)'!X:X, B43)
  + COUNTIFS('환경부사업(F)'!C:C, $E$1, '환경부사업(F)'!G:G, B39, '환경부사업(F)'!X:X, B43)
  + COUNTIFS('프로젝트(G)'!C:C, $E$1, '프로젝트(G)'!G:G, B39, '프로젝트(G)'!X:X, B43)
  + COUNTIFS('협력사 EPC(H)'!C:C, $E$1, '협력사 EPC(H)'!G:G, B39, '협력사 EPC(H)'!X:X, B43)
  + COUNTIFS('기타(Z)'!C:C, $E$1, '기타(Z)'!G:G, B39, '기타(Z)'!X:X, B43)
  = 0,
  "",
  COUNTIFS('발전사업(A)'!C:C, $E$1, '발전사업(A)'!G:G, B39, '발전사업(A)'!X:X, B43)
  + COUNTIFS('자가소비(B)'!C:C, $E$1, '자가소비(B)'!G:G, B39, '자가소비(B)'!X:X, B43)
  + COUNTIFS('PPA 사업(C)'!C:C, $E$1, 'PPA 사업(C)'!G:G, B39, 'PPA 사업(C)'!X:X, B43)
  + COUNTIFS('리스사업(D)'!C:C, $E$1, '리스사업(D)'!G:G, B39, '리스사업(D)'!X:X, B43)
  + COUNTIFS('임대사업(E)'!C:C, $E$1, '임대사업(E)'!G:G, B39, '임대사업(E)'!X:X, B43)
  + COUNTIFS('환경부사업(F)'!C:C, $E$1, '환경부사업(F)'!G:G, B39, '환경부사업(F)'!X:X, B43)
  + COUNTIFS('프로젝트(G)'!C:C, $E$1, '프로젝트(G)'!G:G, B39, '프로젝트(G)'!X:X, B43)
  + COUNTIFS('협력사 EPC(H)'!C:C, $E$1, '협력사 EPC(H)'!G:G, B39, '협력사 EPC(H)'!X:X, B43)
  + COUNTIFS('기타(Z)'!C:C, $E$1, '기타(Z)'!G:G, B39, '기타(Z)'!X:X, B43)
)</f>
        <v>1</v>
      </c>
      <c r="E43" s="262" t="str">
        <f>IF(
  SUM(
    SUMIFS('발전사업(A)'!I:I, '발전사업(A)'!C:C, $E$1, '발전사업(A)'!G:G, B39, '발전사업(A)'!X:X, B43, '발전사업(A)'!U:U, $C$1),
    SUMIFS('자가소비(B)'!I:I, '자가소비(B)'!C:C, $E$1, '자가소비(B)'!G:G, B39, '자가소비(B)'!X:X, B43, '자가소비(B)'!U:U, $C$1),
    SUMIFS('PPA 사업(C)'!I:I, 'PPA 사업(C)'!C:C, $E$1, 'PPA 사업(C)'!G:G, B39, 'PPA 사업(C)'!X:X, B43, 'PPA 사업(C)'!U:U, $C$1),
    SUMIFS('리스사업(D)'!I:I, '리스사업(D)'!C:C, $E$1, '리스사업(D)'!G:G, B39, '리스사업(D)'!X:X, B43, '리스사업(D)'!U:U, $C$1),
    SUMIFS('임대사업(E)'!I:I, '임대사업(E)'!C:C, $E$1, '임대사업(E)'!G:G, B39, '임대사업(E)'!X:X, B43, '임대사업(E)'!U:U, $C$1),
    SUMIFS('환경부사업(F)'!I:I, '환경부사업(F)'!C:C, $E$1, '환경부사업(F)'!G:G, B39, '환경부사업(F)'!X:X, B43, '환경부사업(F)'!U:U, $C$1),
    SUMIFS('프로젝트(G)'!I:I, '프로젝트(G)'!C:C, $E$1, '프로젝트(G)'!G:G, B39, '프로젝트(G)'!X:X, B43, '프로젝트(G)'!U:U, $C$1),
    SUMIFS('협력사 EPC(H)'!I:I, '협력사 EPC(H)'!C:C, $E$1, '협력사 EPC(H)'!G:G, B39, '협력사 EPC(H)'!X:X, B43, '협력사 EPC(H)'!U:U, $C$1),
    SUMIFS('기타(Z)'!I:I, '기타(Z)'!C:C, $E$1, '기타(Z)'!G:G, B39, '기타(Z)'!X:X, B43, '기타(Z)'!U:U, $C$1)
  ) = 0,
  "",
  SUM(
    SUMIFS('발전사업(A)'!I:I, '발전사업(A)'!C:C, $E$1, '발전사업(A)'!G:G, B39, '발전사업(A)'!X:X, B43, '발전사업(A)'!U:U, $C$1),
    SUMIFS('자가소비(B)'!I:I, '자가소비(B)'!C:C, $E$1, '자가소비(B)'!G:G, B39, '자가소비(B)'!X:X, B43, '자가소비(B)'!U:U, $C$1),
    SUMIFS('PPA 사업(C)'!I:I, 'PPA 사업(C)'!C:C, $E$1, 'PPA 사업(C)'!G:G, B39, 'PPA 사업(C)'!X:X, B43, 'PPA 사업(C)'!U:U, $C$1),
    SUMIFS('리스사업(D)'!I:I, '리스사업(D)'!C:C, $E$1, '리스사업(D)'!G:G, B39, '리스사업(D)'!X:X, B43, '리스사업(D)'!U:U, $C$1),
    SUMIFS('임대사업(E)'!I:I, '임대사업(E)'!C:C, $E$1, '임대사업(E)'!G:G, B39, '임대사업(E)'!X:X, B43, '임대사업(E)'!U:U, $C$1),
    SUMIFS('환경부사업(F)'!I:I, '환경부사업(F)'!C:C, $E$1, '환경부사업(F)'!G:G, B39, '환경부사업(F)'!X:X, B43, '환경부사업(F)'!U:U, $C$1),
    SUMIFS('프로젝트(G)'!I:I, '프로젝트(G)'!C:C, $E$1, '프로젝트(G)'!G:G, B39, '프로젝트(G)'!X:X, B43, '프로젝트(G)'!U:U, $C$1),
    SUMIFS('협력사 EPC(H)'!I:I, '협력사 EPC(H)'!C:C, $E$1, '협력사 EPC(H)'!G:G, B39, '협력사 EPC(H)'!X:X, B43, '협력사 EPC(H)'!U:U, $C$1),
    SUMIFS('기타(Z)'!I:I, '기타(Z)'!C:C, $E$1, '기타(Z)'!G:G, B39, '기타(Z)'!X:X, B43, '기타(Z)'!U:U, $C$1)
  )
)</f>
        <v/>
      </c>
      <c r="F43" s="263" t="str">
        <f>IF(
  SUM(
    COUNTIFS('발전사업(A)'!C:C, $E$1, '발전사업(A)'!G:G, B39, '발전사업(A)'!X:X, B43, '발전사업(A)'!U:U, $C$1),
    COUNTIFS('자가소비(B)'!C:C, $E$1, '자가소비(B)'!G:G, B39, '자가소비(B)'!X:X, B43, '자가소비(B)'!U:U, $C$1),
    COUNTIFS('PPA 사업(C)'!C:C, $E$1, 'PPA 사업(C)'!G:G, B39, 'PPA 사업(C)'!X:X, B43, 'PPA 사업(C)'!U:U, $C$1),
    COUNTIFS('리스사업(D)'!C:C, $E$1, '리스사업(D)'!G:G, B39, '리스사업(D)'!X:X, B43, '리스사업(D)'!U:U, $C$1),
    COUNTIFS('임대사업(E)'!C:C, $E$1, '임대사업(E)'!G:G, B39, '임대사업(E)'!X:X, B43, '임대사업(E)'!U:U, $C$1),
    COUNTIFS('환경부사업(F)'!C:C, $E$1, '환경부사업(F)'!G:G, B39, '환경부사업(F)'!X:X, B43, '환경부사업(F)'!U:U, $C$1),
    COUNTIFS('프로젝트(G)'!C:C, $E$1, '프로젝트(G)'!G:G, B39, '프로젝트(G)'!X:X, B43, '프로젝트(G)'!U:U, $C$1),
    COUNTIFS('협력사 EPC(H)'!C:C, $E$1, '협력사 EPC(H)'!G:G, B39, '협력사 EPC(H)'!X:X, B43, '협력사 EPC(H)'!U:U, $C$1),
    COUNTIFS('기타(Z)'!C:C, $E$1, '기타(Z)'!G:G, B39, '기타(Z)'!X:X, B43, '기타(Z)'!U:U, $C$1)
  ) = 0,
  "",
  SUM(
    COUNTIFS('발전사업(A)'!C:C, $E$1, '발전사업(A)'!G:G, B39, '발전사업(A)'!X:X, B43, '발전사업(A)'!U:U, $C$1),
    COUNTIFS('자가소비(B)'!C:C, $E$1, '자가소비(B)'!G:G, B39, '자가소비(B)'!X:X, B43, '자가소비(B)'!U:U, $C$1),
    COUNTIFS('PPA 사업(C)'!C:C, $E$1, 'PPA 사업(C)'!G:G, B39, 'PPA 사업(C)'!X:X, B43, 'PPA 사업(C)'!U:U, $C$1),
    COUNTIFS('리스사업(D)'!C:C, $E$1, '리스사업(D)'!G:G, B39, '리스사업(D)'!X:X, B43, '리스사업(D)'!U:U, $C$1),
    COUNTIFS('임대사업(E)'!C:C, $E$1, '임대사업(E)'!G:G, B39, '임대사업(E)'!X:X, B43, '임대사업(E)'!U:U, $C$1),
    COUNTIFS('환경부사업(F)'!C:C, $E$1, '환경부사업(F)'!G:G, B39, '환경부사업(F)'!X:X, B43, '환경부사업(F)'!U:U, $C$1),
    COUNTIFS('프로젝트(G)'!C:C, $E$1, '프로젝트(G)'!G:G, B39, '프로젝트(G)'!X:X, B43, '프로젝트(G)'!U:U, $C$1),
    COUNTIFS('협력사 EPC(H)'!C:C, $E$1, '협력사 EPC(H)'!G:G, B39, '협력사 EPC(H)'!X:X, B43, '협력사 EPC(H)'!U:U, $C$1),
    COUNTIFS('기타(Z)'!C:C, $E$1, '기타(Z)'!G:G, B39, '기타(Z)'!X:X, B43, '기타(Z)'!U:U, $C$1)
  )
)</f>
        <v/>
      </c>
      <c r="G43" s="262">
        <f>IF(
  SUM(
    SUMIFS('발전사업(A)'!I:I, '발전사업(A)'!C:C, $E$1, '발전사업(A)'!G:G, B39, '발전사업(A)'!X:X, B43, '발전사업(A)'!U:U, $D$1),
    SUMIFS('자가소비(B)'!I:I, '자가소비(B)'!C:C, $E$1, '자가소비(B)'!G:G, B39, '자가소비(B)'!X:X, B43, '자가소비(B)'!U:U, $D$1),
    SUMIFS('PPA 사업(C)'!I:I, 'PPA 사업(C)'!C:C, $E$1, 'PPA 사업(C)'!G:G, B39, 'PPA 사업(C)'!X:X, B43, 'PPA 사업(C)'!U:U, $D$1),
    SUMIFS('리스사업(D)'!I:I, '리스사업(D)'!C:C, $E$1, '리스사업(D)'!G:G, B39, '리스사업(D)'!X:X, B43, '리스사업(D)'!U:U, $D$1),
    SUMIFS('임대사업(E)'!I:I, '임대사업(E)'!C:C, $E$1, '임대사업(E)'!G:G, B39, '임대사업(E)'!X:X, B43, '임대사업(E)'!U:U, $D$1),
    SUMIFS('환경부사업(F)'!I:I, '환경부사업(F)'!C:C, $E$1, '환경부사업(F)'!G:G, B39, '환경부사업(F)'!X:X, B43, '환경부사업(F)'!U:U, $D$1),
    SUMIFS('프로젝트(G)'!I:I, '프로젝트(G)'!C:C, $E$1, '프로젝트(G)'!G:G, B39, '프로젝트(G)'!X:X, B43, '프로젝트(G)'!U:U, $D$1),
    SUMIFS('협력사 EPC(H)'!I:I, '협력사 EPC(H)'!C:C, $E$1, '협력사 EPC(H)'!G:G, B39, '협력사 EPC(H)'!X:X, B43, '협력사 EPC(H)'!U:U, $D$1),
    SUMIFS('기타(Z)'!I:I, '기타(Z)'!C:C, $E$1, '기타(Z)'!G:G, B39, '기타(Z)'!X:X, B43, '기타(Z)'!U:U, $D$1)
  ) = 0,
  "",
  SUM(
    SUMIFS('발전사업(A)'!I:I, '발전사업(A)'!C:C, $E$1, '발전사업(A)'!G:G, B39, '발전사업(A)'!X:X, B43, '발전사업(A)'!U:U, $D$1),
    SUMIFS('자가소비(B)'!I:I, '자가소비(B)'!C:C, $E$1, '자가소비(B)'!G:G, B39, '자가소비(B)'!X:X, B43, '자가소비(B)'!U:U, $D$1),
    SUMIFS('PPA 사업(C)'!I:I, 'PPA 사업(C)'!C:C, $E$1, 'PPA 사업(C)'!G:G, B39, 'PPA 사업(C)'!X:X, B43, 'PPA 사업(C)'!U:U, $D$1),
    SUMIFS('리스사업(D)'!I:I, '리스사업(D)'!C:C, $E$1, '리스사업(D)'!G:G, B39, '리스사업(D)'!X:X, B43, '리스사업(D)'!U:U, $D$1),
    SUMIFS('임대사업(E)'!I:I, '임대사업(E)'!C:C, $E$1, '임대사업(E)'!G:G, B39, '임대사업(E)'!X:X, B43, '임대사업(E)'!U:U, $D$1),
    SUMIFS('환경부사업(F)'!I:I, '환경부사업(F)'!C:C, $E$1, '환경부사업(F)'!G:G, B39, '환경부사업(F)'!X:X, B43, '환경부사업(F)'!U:U, $D$1),
    SUMIFS('프로젝트(G)'!I:I, '프로젝트(G)'!C:C, $E$1, '프로젝트(G)'!G:G, B39, '프로젝트(G)'!X:X, B43, '프로젝트(G)'!U:U, $D$1),
    SUMIFS('협력사 EPC(H)'!I:I, '협력사 EPC(H)'!C:C, $E$1, '협력사 EPC(H)'!G:G, B39, '협력사 EPC(H)'!X:X, B43, '협력사 EPC(H)'!U:U, $D$1),
    SUMIFS('기타(Z)'!I:I, '기타(Z)'!C:C, $E$1, '기타(Z)'!G:G, B39, '기타(Z)'!X:X, B43, '기타(Z)'!U:U, $D$1)
  )
)</f>
        <v>207.04499999999999</v>
      </c>
      <c r="H43" s="263">
        <f>IF(
  (
    COUNTIFS('발전사업(A)'!C:C, $E$1, '발전사업(A)'!G:G, B39, '발전사업(A)'!X:X, B43, '발전사업(A)'!U:U, $D$1)
    + COUNTIFS('자가소비(B)'!C:C, $E$1, '자가소비(B)'!G:G, B39, '자가소비(B)'!X:X, B43, '자가소비(B)'!U:U, $D$1)
    + COUNTIFS('PPA 사업(C)'!C:C, $E$1, 'PPA 사업(C)'!G:G, B39, 'PPA 사업(C)'!X:X, B43, 'PPA 사업(C)'!U:U, $D$1)
    + COUNTIFS('리스사업(D)'!C:C, $E$1, '리스사업(D)'!G:G, B39, '리스사업(D)'!X:X, B43, '리스사업(D)'!U:U, $D$1)
    + COUNTIFS('임대사업(E)'!C:C, $E$1, '임대사업(E)'!G:G, B39, '임대사업(E)'!X:X, B43, '임대사업(E)'!U:U, $D$1)
    + COUNTIFS('환경부사업(F)'!C:C, $E$1, '환경부사업(F)'!G:G, B39, '환경부사업(F)'!X:X, B43, '환경부사업(F)'!U:U, $D$1)
    + COUNTIFS('프로젝트(G)'!C:C, $E$1, '프로젝트(G)'!G:G, B39, '프로젝트(G)'!X:X, B43, '프로젝트(G)'!U:U, $D$1)
    + COUNTIFS('협력사 EPC(H)'!C:C, $E$1, '협력사 EPC(H)'!G:G, B39, '협력사 EPC(H)'!X:X, B43, '협력사 EPC(H)'!U:U, $D$1)
    + COUNTIFS('기타(Z)'!C:C, $E$1, '기타(Z)'!G:G, B39, '기타(Z)'!X:X, B43, '기타(Z)'!U:U, $D$1)
  ) = 0,
  "",
  COUNTIFS('발전사업(A)'!C:C, $E$1, '발전사업(A)'!G:G, B39, '발전사업(A)'!X:X, B43, '발전사업(A)'!U:U, $D$1)
  + COUNTIFS('자가소비(B)'!C:C, $E$1, '자가소비(B)'!G:G, B39, '자가소비(B)'!X:X, B43, '자가소비(B)'!U:U, $D$1)
  + COUNTIFS('PPA 사업(C)'!C:C, $E$1, 'PPA 사업(C)'!G:G, B39, 'PPA 사업(C)'!X:X, B43, 'PPA 사업(C)'!U:U, $D$1)
  + COUNTIFS('리스사업(D)'!C:C, $E$1, '리스사업(D)'!G:G, B39, '리스사업(D)'!X:X, B43, '리스사업(D)'!U:U, $D$1)
  + COUNTIFS('임대사업(E)'!C:C, $E$1, '임대사업(E)'!G:G, B39, '임대사업(E)'!X:X, B43, '임대사업(E)'!U:U, $D$1)
  + COUNTIFS('환경부사업(F)'!C:C, $E$1, '환경부사업(F)'!G:G, B39, '환경부사업(F)'!X:X, B43, '환경부사업(F)'!U:U, $D$1)
  + COUNTIFS('프로젝트(G)'!C:C, $E$1, '프로젝트(G)'!G:G, B39, '프로젝트(G)'!X:X, B43, '프로젝트(G)'!U:U, $D$1)
  + COUNTIFS('협력사 EPC(H)'!C:C, $E$1, '협력사 EPC(H)'!G:G, B39, '협력사 EPC(H)'!X:X, B43, '협력사 EPC(H)'!U:U, $D$1)
  + COUNTIFS('기타(Z)'!C:C, $E$1, '기타(Z)'!G:G, B39, '기타(Z)'!X:X, B43, '기타(Z)'!U:U, $D$1)
)</f>
        <v>1</v>
      </c>
    </row>
    <row r="44" spans="2:8" x14ac:dyDescent="0.25">
      <c r="B44" s="195" t="s">
        <v>155</v>
      </c>
      <c r="C44" s="262">
        <f>IF(
  SUM(
    SUMIFS('발전사업(A)'!I:I, '발전사업(A)'!C:C, $E$1, '발전사업(A)'!G:G, B39, '발전사업(A)'!X:X, B44),
    SUMIFS('자가소비(B)'!I:I, '자가소비(B)'!C:C, $E$1, '자가소비(B)'!G:G, B39, '자가소비(B)'!X:X, B44),
    SUMIFS('PPA 사업(C)'!I:I, 'PPA 사업(C)'!C:C, $E$1, 'PPA 사업(C)'!G:G, B39, 'PPA 사업(C)'!X:X, B44),
    SUMIFS('리스사업(D)'!I:I, '리스사업(D)'!C:C, $E$1, '리스사업(D)'!G:G, B39, '리스사업(D)'!X:X, B44),
    SUMIFS('임대사업(E)'!I:I, '임대사업(E)'!C:C, $E$1, '임대사업(E)'!G:G, B39, '임대사업(E)'!X:X, B44),
    SUMIFS('환경부사업(F)'!I:I, '환경부사업(F)'!C:C, $E$1, '환경부사업(F)'!G:G, B39, '환경부사업(F)'!X:X, B44),
    SUMIFS('프로젝트(G)'!I:I, '프로젝트(G)'!C:C, $E$1, '프로젝트(G)'!G:G, B39, '프로젝트(G)'!X:X, B44),
    SUMIFS('협력사 EPC(H)'!I:I, '협력사 EPC(H)'!C:C, $E$1, '협력사 EPC(H)'!G:G, B39, '협력사 EPC(H)'!X:X, B44),
    SUMIFS('기타(Z)'!I:I, '기타(Z)'!C:C, $E$1, '기타(Z)'!G:G, B39, '기타(Z)'!X:X, B44)
  ) = 0,
  "",
  SUMIFS('발전사업(A)'!I:I, '발전사업(A)'!C:C, $E$1, '발전사업(A)'!G:G, B39, '발전사업(A)'!X:X, B44)
  + SUMIFS('자가소비(B)'!I:I, '자가소비(B)'!C:C, $E$1, '자가소비(B)'!G:G, B39, '자가소비(B)'!X:X, B44)
  + SUMIFS('PPA 사업(C)'!I:I, 'PPA 사업(C)'!C:C, $E$1, 'PPA 사업(C)'!G:G, B39, 'PPA 사업(C)'!X:X, B44)
  + SUMIFS('리스사업(D)'!I:I, '리스사업(D)'!C:C, $E$1, '리스사업(D)'!G:G, B39, '리스사업(D)'!X:X, B44)
  + SUMIFS('임대사업(E)'!I:I, '임대사업(E)'!C:C, $E$1, '임대사업(E)'!G:G, B39, '임대사업(E)'!X:X, B44)
  + SUMIFS('환경부사업(F)'!I:I, '환경부사업(F)'!C:C, $E$1, '환경부사업(F)'!G:G, B39, '환경부사업(F)'!X:X, B44)
  + SUMIFS('프로젝트(G)'!I:I, '프로젝트(G)'!C:C, $E$1, '프로젝트(G)'!G:G, B39, '프로젝트(G)'!X:X, B44)
  + SUMIFS('협력사 EPC(H)'!I:I, '협력사 EPC(H)'!C:C, $E$1, '협력사 EPC(H)'!G:G, B39, '협력사 EPC(H)'!X:X, B44)
  + SUMIFS('기타(Z)'!I:I, '기타(Z)'!C:C, $E$1, '기타(Z)'!G:G, B39, '기타(Z)'!X:X, B44)
)</f>
        <v>259.28999999999996</v>
      </c>
      <c r="D44" s="263">
        <f>IF(
  COUNTIFS('발전사업(A)'!C:C, $E$1, '발전사업(A)'!G:G, B39, '발전사업(A)'!X:X, B44)
  + COUNTIFS('자가소비(B)'!C:C, $E$1, '자가소비(B)'!G:G, B39, '자가소비(B)'!X:X, B44)
  + COUNTIFS('PPA 사업(C)'!C:C, $E$1, 'PPA 사업(C)'!G:G, B39, 'PPA 사업(C)'!X:X, B44)
  + COUNTIFS('리스사업(D)'!C:C, $E$1, '리스사업(D)'!G:G, B39, '리스사업(D)'!X:X, B44)
  + COUNTIFS('임대사업(E)'!C:C, $E$1, '임대사업(E)'!G:G, B39, '임대사업(E)'!X:X, B44)
  + COUNTIFS('환경부사업(F)'!C:C, $E$1, '환경부사업(F)'!G:G, B39, '환경부사업(F)'!X:X, B44)
  + COUNTIFS('프로젝트(G)'!C:C, $E$1, '프로젝트(G)'!G:G, B39, '프로젝트(G)'!X:X, B44)
  + COUNTIFS('협력사 EPC(H)'!C:C, $E$1, '협력사 EPC(H)'!G:G, B39, '협력사 EPC(H)'!X:X, B44)
  + COUNTIFS('기타(Z)'!C:C, $E$1, '기타(Z)'!G:G, B39, '기타(Z)'!X:X, B44)
  = 0,
  "",
  COUNTIFS('발전사업(A)'!C:C, $E$1, '발전사업(A)'!G:G, B39, '발전사업(A)'!X:X, B44)
  + COUNTIFS('자가소비(B)'!C:C, $E$1, '자가소비(B)'!G:G, B39, '자가소비(B)'!X:X, B44)
  + COUNTIFS('PPA 사업(C)'!C:C, $E$1, 'PPA 사업(C)'!G:G, B39, 'PPA 사업(C)'!X:X, B44)
  + COUNTIFS('리스사업(D)'!C:C, $E$1, '리스사업(D)'!G:G, B39, '리스사업(D)'!X:X, B44)
  + COUNTIFS('임대사업(E)'!C:C, $E$1, '임대사업(E)'!G:G, B39, '임대사업(E)'!X:X, B44)
  + COUNTIFS('환경부사업(F)'!C:C, $E$1, '환경부사업(F)'!G:G, B39, '환경부사업(F)'!X:X, B44)
  + COUNTIFS('프로젝트(G)'!C:C, $E$1, '프로젝트(G)'!G:G, B39, '프로젝트(G)'!X:X, B44)
  + COUNTIFS('협력사 EPC(H)'!C:C, $E$1, '협력사 EPC(H)'!G:G, B39, '협력사 EPC(H)'!X:X, B44)
  + COUNTIFS('기타(Z)'!C:C, $E$1, '기타(Z)'!G:G, B39, '기타(Z)'!X:X, B44)
)</f>
        <v>2</v>
      </c>
      <c r="E44" s="262">
        <f>IF(
  SUM(
    SUMIFS('발전사업(A)'!I:I, '발전사업(A)'!C:C, $E$1, '발전사업(A)'!G:G, B39, '발전사업(A)'!X:X, B44, '발전사업(A)'!U:U, $C$1),
    SUMIFS('자가소비(B)'!I:I, '자가소비(B)'!C:C, $E$1, '자가소비(B)'!G:G, B39, '자가소비(B)'!X:X, B44, '자가소비(B)'!U:U, $C$1),
    SUMIFS('PPA 사업(C)'!I:I, 'PPA 사업(C)'!C:C, $E$1, 'PPA 사업(C)'!G:G, B39, 'PPA 사업(C)'!X:X, B44, 'PPA 사업(C)'!U:U, $C$1),
    SUMIFS('리스사업(D)'!I:I, '리스사업(D)'!C:C, $E$1, '리스사업(D)'!G:G, B39, '리스사업(D)'!X:X, B44, '리스사업(D)'!U:U, $C$1),
    SUMIFS('임대사업(E)'!I:I, '임대사업(E)'!C:C, $E$1, '임대사업(E)'!G:G, B39, '임대사업(E)'!X:X, B44, '임대사업(E)'!U:U, $C$1),
    SUMIFS('환경부사업(F)'!I:I, '환경부사업(F)'!C:C, $E$1, '환경부사업(F)'!G:G, B39, '환경부사업(F)'!X:X, B44, '환경부사업(F)'!U:U, $C$1),
    SUMIFS('프로젝트(G)'!I:I, '프로젝트(G)'!C:C, $E$1, '프로젝트(G)'!G:G, B39, '프로젝트(G)'!X:X, B44, '프로젝트(G)'!U:U, $C$1),
    SUMIFS('협력사 EPC(H)'!I:I, '협력사 EPC(H)'!C:C, $E$1, '협력사 EPC(H)'!G:G, B39, '협력사 EPC(H)'!X:X, B44, '협력사 EPC(H)'!U:U, $C$1),
    SUMIFS('기타(Z)'!I:I, '기타(Z)'!C:C, $E$1, '기타(Z)'!G:G, B39, '기타(Z)'!X:X, B44, '기타(Z)'!U:U, $C$1)
  ) = 0,
  "",
  SUM(
    SUMIFS('발전사업(A)'!I:I, '발전사업(A)'!C:C, $E$1, '발전사업(A)'!G:G, B39, '발전사업(A)'!X:X, B44, '발전사업(A)'!U:U, $C$1),
    SUMIFS('자가소비(B)'!I:I, '자가소비(B)'!C:C, $E$1, '자가소비(B)'!G:G, B39, '자가소비(B)'!X:X, B44, '자가소비(B)'!U:U, $C$1),
    SUMIFS('PPA 사업(C)'!I:I, 'PPA 사업(C)'!C:C, $E$1, 'PPA 사업(C)'!G:G, B39, 'PPA 사업(C)'!X:X, B44, 'PPA 사업(C)'!U:U, $C$1),
    SUMIFS('리스사업(D)'!I:I, '리스사업(D)'!C:C, $E$1, '리스사업(D)'!G:G, B39, '리스사업(D)'!X:X, B44, '리스사업(D)'!U:U, $C$1),
    SUMIFS('임대사업(E)'!I:I, '임대사업(E)'!C:C, $E$1, '임대사업(E)'!G:G, B39, '임대사업(E)'!X:X, B44, '임대사업(E)'!U:U, $C$1),
    SUMIFS('환경부사업(F)'!I:I, '환경부사업(F)'!C:C, $E$1, '환경부사업(F)'!G:G, B39, '환경부사업(F)'!X:X, B44, '환경부사업(F)'!U:U, $C$1),
    SUMIFS('프로젝트(G)'!I:I, '프로젝트(G)'!C:C, $E$1, '프로젝트(G)'!G:G, B39, '프로젝트(G)'!X:X, B44, '프로젝트(G)'!U:U, $C$1),
    SUMIFS('협력사 EPC(H)'!I:I, '협력사 EPC(H)'!C:C, $E$1, '협력사 EPC(H)'!G:G, B39, '협력사 EPC(H)'!X:X, B44, '협력사 EPC(H)'!U:U, $C$1),
    SUMIFS('기타(Z)'!I:I, '기타(Z)'!C:C, $E$1, '기타(Z)'!G:G, B39, '기타(Z)'!X:X, B44, '기타(Z)'!U:U, $C$1)
  )
)</f>
        <v>259.28999999999996</v>
      </c>
      <c r="F44" s="263">
        <f>IF(
  SUM(
    COUNTIFS('발전사업(A)'!C:C, $E$1, '발전사업(A)'!G:G, B39, '발전사업(A)'!X:X, B44, '발전사업(A)'!U:U, $C$1),
    COUNTIFS('자가소비(B)'!C:C, $E$1, '자가소비(B)'!G:G, B39, '자가소비(B)'!X:X, B44, '자가소비(B)'!U:U, $C$1),
    COUNTIFS('PPA 사업(C)'!C:C, $E$1, 'PPA 사업(C)'!G:G, B39, 'PPA 사업(C)'!X:X, B44, 'PPA 사업(C)'!U:U, $C$1),
    COUNTIFS('리스사업(D)'!C:C, $E$1, '리스사업(D)'!G:G, B39, '리스사업(D)'!X:X, B44, '리스사업(D)'!U:U, $C$1),
    COUNTIFS('임대사업(E)'!C:C, $E$1, '임대사업(E)'!G:G, B39, '임대사업(E)'!X:X, B44, '임대사업(E)'!U:U, $C$1),
    COUNTIFS('환경부사업(F)'!C:C, $E$1, '환경부사업(F)'!G:G, B39, '환경부사업(F)'!X:X, B44, '환경부사업(F)'!U:U, $C$1),
    COUNTIFS('프로젝트(G)'!C:C, $E$1, '프로젝트(G)'!G:G, B39, '프로젝트(G)'!X:X, B44, '프로젝트(G)'!U:U, $C$1),
    COUNTIFS('협력사 EPC(H)'!C:C, $E$1, '협력사 EPC(H)'!G:G, B39, '협력사 EPC(H)'!X:X, B44, '협력사 EPC(H)'!U:U, $C$1),
    COUNTIFS('기타(Z)'!C:C, $E$1, '기타(Z)'!G:G, B39, '기타(Z)'!X:X, B44, '기타(Z)'!U:U, $C$1)
  ) = 0,
  "",
  SUM(
    COUNTIFS('발전사업(A)'!C:C, $E$1, '발전사업(A)'!G:G, B39, '발전사업(A)'!X:X, B44, '발전사업(A)'!U:U, $C$1),
    COUNTIFS('자가소비(B)'!C:C, $E$1, '자가소비(B)'!G:G, B39, '자가소비(B)'!X:X, B44, '자가소비(B)'!U:U, $C$1),
    COUNTIFS('PPA 사업(C)'!C:C, $E$1, 'PPA 사업(C)'!G:G, B39, 'PPA 사업(C)'!X:X, B44, 'PPA 사업(C)'!U:U, $C$1),
    COUNTIFS('리스사업(D)'!C:C, $E$1, '리스사업(D)'!G:G, B39, '리스사업(D)'!X:X, B44, '리스사업(D)'!U:U, $C$1),
    COUNTIFS('임대사업(E)'!C:C, $E$1, '임대사업(E)'!G:G, B39, '임대사업(E)'!X:X, B44, '임대사업(E)'!U:U, $C$1),
    COUNTIFS('환경부사업(F)'!C:C, $E$1, '환경부사업(F)'!G:G, B39, '환경부사업(F)'!X:X, B44, '환경부사업(F)'!U:U, $C$1),
    COUNTIFS('프로젝트(G)'!C:C, $E$1, '프로젝트(G)'!G:G, B39, '프로젝트(G)'!X:X, B44, '프로젝트(G)'!U:U, $C$1),
    COUNTIFS('협력사 EPC(H)'!C:C, $E$1, '협력사 EPC(H)'!G:G, B39, '협력사 EPC(H)'!X:X, B44, '협력사 EPC(H)'!U:U, $C$1),
    COUNTIFS('기타(Z)'!C:C, $E$1, '기타(Z)'!G:G, B39, '기타(Z)'!X:X, B44, '기타(Z)'!U:U, $C$1)
  )
)</f>
        <v>2</v>
      </c>
      <c r="G44" s="262" t="str">
        <f>IF(
  SUM(
    SUMIFS('발전사업(A)'!I:I, '발전사업(A)'!C:C, $E$1, '발전사업(A)'!G:G, B39, '발전사업(A)'!X:X, B44, '발전사업(A)'!U:U, $D$1),
    SUMIFS('자가소비(B)'!I:I, '자가소비(B)'!C:C, $E$1, '자가소비(B)'!G:G, B39, '자가소비(B)'!X:X, B44, '자가소비(B)'!U:U, $D$1),
    SUMIFS('PPA 사업(C)'!I:I, 'PPA 사업(C)'!C:C, $E$1, 'PPA 사업(C)'!G:G, B39, 'PPA 사업(C)'!X:X, B44, 'PPA 사업(C)'!U:U, $D$1),
    SUMIFS('리스사업(D)'!I:I, '리스사업(D)'!C:C, $E$1, '리스사업(D)'!G:G, B39, '리스사업(D)'!X:X, B44, '리스사업(D)'!U:U, $D$1),
    SUMIFS('임대사업(E)'!I:I, '임대사업(E)'!C:C, $E$1, '임대사업(E)'!G:G, B39, '임대사업(E)'!X:X, B44, '임대사업(E)'!U:U, $D$1),
    SUMIFS('환경부사업(F)'!I:I, '환경부사업(F)'!C:C, $E$1, '환경부사업(F)'!G:G, B39, '환경부사업(F)'!X:X, B44, '환경부사업(F)'!U:U, $D$1),
    SUMIFS('프로젝트(G)'!I:I, '프로젝트(G)'!C:C, $E$1, '프로젝트(G)'!G:G, B39, '프로젝트(G)'!X:X, B44, '프로젝트(G)'!U:U, $D$1),
    SUMIFS('협력사 EPC(H)'!I:I, '협력사 EPC(H)'!C:C, $E$1, '협력사 EPC(H)'!G:G, B39, '협력사 EPC(H)'!X:X, B44, '협력사 EPC(H)'!U:U, $D$1),
    SUMIFS('기타(Z)'!I:I, '기타(Z)'!C:C, $E$1, '기타(Z)'!G:G, B39, '기타(Z)'!X:X, B44, '기타(Z)'!U:U, $D$1)
  ) = 0,
  "",
  SUM(
    SUMIFS('발전사업(A)'!I:I, '발전사업(A)'!C:C, $E$1, '발전사업(A)'!G:G, B39, '발전사업(A)'!X:X, B44, '발전사업(A)'!U:U, $D$1),
    SUMIFS('자가소비(B)'!I:I, '자가소비(B)'!C:C, $E$1, '자가소비(B)'!G:G, B39, '자가소비(B)'!X:X, B44, '자가소비(B)'!U:U, $D$1),
    SUMIFS('PPA 사업(C)'!I:I, 'PPA 사업(C)'!C:C, $E$1, 'PPA 사업(C)'!G:G, B39, 'PPA 사업(C)'!X:X, B44, 'PPA 사업(C)'!U:U, $D$1),
    SUMIFS('리스사업(D)'!I:I, '리스사업(D)'!C:C, $E$1, '리스사업(D)'!G:G, B39, '리스사업(D)'!X:X, B44, '리스사업(D)'!U:U, $D$1),
    SUMIFS('임대사업(E)'!I:I, '임대사업(E)'!C:C, $E$1, '임대사업(E)'!G:G, B39, '임대사업(E)'!X:X, B44, '임대사업(E)'!U:U, $D$1),
    SUMIFS('환경부사업(F)'!I:I, '환경부사업(F)'!C:C, $E$1, '환경부사업(F)'!G:G, B39, '환경부사업(F)'!X:X, B44, '환경부사업(F)'!U:U, $D$1),
    SUMIFS('프로젝트(G)'!I:I, '프로젝트(G)'!C:C, $E$1, '프로젝트(G)'!G:G, B39, '프로젝트(G)'!X:X, B44, '프로젝트(G)'!U:U, $D$1),
    SUMIFS('협력사 EPC(H)'!I:I, '협력사 EPC(H)'!C:C, $E$1, '협력사 EPC(H)'!G:G, B39, '협력사 EPC(H)'!X:X, B44, '협력사 EPC(H)'!U:U, $D$1),
    SUMIFS('기타(Z)'!I:I, '기타(Z)'!C:C, $E$1, '기타(Z)'!G:G, B39, '기타(Z)'!X:X, B44, '기타(Z)'!U:U, $D$1)
  )
)</f>
        <v/>
      </c>
      <c r="H44" s="263" t="str">
        <f>IF(
  (
    COUNTIFS('발전사업(A)'!C:C, $E$1, '발전사업(A)'!G:G, B39, '발전사업(A)'!X:X, B44, '발전사업(A)'!U:U, $D$1)
    + COUNTIFS('자가소비(B)'!C:C, $E$1, '자가소비(B)'!G:G, B39, '자가소비(B)'!X:X, B44, '자가소비(B)'!U:U, $D$1)
    + COUNTIFS('PPA 사업(C)'!C:C, $E$1, 'PPA 사업(C)'!G:G, B39, 'PPA 사업(C)'!X:X, B44, 'PPA 사업(C)'!U:U, $D$1)
    + COUNTIFS('리스사업(D)'!C:C, $E$1, '리스사업(D)'!G:G, B39, '리스사업(D)'!X:X, B44, '리스사업(D)'!U:U, $D$1)
    + COUNTIFS('임대사업(E)'!C:C, $E$1, '임대사업(E)'!G:G, B39, '임대사업(E)'!X:X, B44, '임대사업(E)'!U:U, $D$1)
    + COUNTIFS('환경부사업(F)'!C:C, $E$1, '환경부사업(F)'!G:G, B39, '환경부사업(F)'!X:X, B44, '환경부사업(F)'!U:U, $D$1)
    + COUNTIFS('프로젝트(G)'!C:C, $E$1, '프로젝트(G)'!G:G, B39, '프로젝트(G)'!X:X, B44, '프로젝트(G)'!U:U, $D$1)
    + COUNTIFS('협력사 EPC(H)'!C:C, $E$1, '협력사 EPC(H)'!G:G, B39, '협력사 EPC(H)'!X:X, B44, '협력사 EPC(H)'!U:U, $D$1)
    + COUNTIFS('기타(Z)'!C:C, $E$1, '기타(Z)'!G:G, B39, '기타(Z)'!X:X, B44, '기타(Z)'!U:U, $D$1)
  ) = 0,
  "",
  COUNTIFS('발전사업(A)'!C:C, $E$1, '발전사업(A)'!G:G, B39, '발전사업(A)'!X:X, B44, '발전사업(A)'!U:U, $D$1)
  + COUNTIFS('자가소비(B)'!C:C, $E$1, '자가소비(B)'!G:G, B39, '자가소비(B)'!X:X, B44, '자가소비(B)'!U:U, $D$1)
  + COUNTIFS('PPA 사업(C)'!C:C, $E$1, 'PPA 사업(C)'!G:G, B39, 'PPA 사업(C)'!X:X, B44, 'PPA 사업(C)'!U:U, $D$1)
  + COUNTIFS('리스사업(D)'!C:C, $E$1, '리스사업(D)'!G:G, B39, '리스사업(D)'!X:X, B44, '리스사업(D)'!U:U, $D$1)
  + COUNTIFS('임대사업(E)'!C:C, $E$1, '임대사업(E)'!G:G, B39, '임대사업(E)'!X:X, B44, '임대사업(E)'!U:U, $D$1)
  + COUNTIFS('환경부사업(F)'!C:C, $E$1, '환경부사업(F)'!G:G, B39, '환경부사업(F)'!X:X, B44, '환경부사업(F)'!U:U, $D$1)
  + COUNTIFS('프로젝트(G)'!C:C, $E$1, '프로젝트(G)'!G:G, B39, '프로젝트(G)'!X:X, B44, '프로젝트(G)'!U:U, $D$1)
  + COUNTIFS('협력사 EPC(H)'!C:C, $E$1, '협력사 EPC(H)'!G:G, B39, '협력사 EPC(H)'!X:X, B44, '협력사 EPC(H)'!U:U, $D$1)
  + COUNTIFS('기타(Z)'!C:C, $E$1, '기타(Z)'!G:G, B39, '기타(Z)'!X:X, B44, '기타(Z)'!U:U, $D$1)
)</f>
        <v/>
      </c>
    </row>
    <row r="45" spans="2:8" x14ac:dyDescent="0.25">
      <c r="B45" s="195" t="s">
        <v>156</v>
      </c>
      <c r="C45" s="262" t="str">
        <f>IF(
  SUM(
    SUMIFS('발전사업(A)'!I:I, '발전사업(A)'!C:C, $E$1, '발전사업(A)'!G:G, B39, '발전사업(A)'!X:X, B45),
    SUMIFS('자가소비(B)'!I:I, '자가소비(B)'!C:C, $E$1, '자가소비(B)'!G:G, B39, '자가소비(B)'!X:X, B45),
    SUMIFS('PPA 사업(C)'!I:I, 'PPA 사업(C)'!C:C, $E$1, 'PPA 사업(C)'!G:G, B39, 'PPA 사업(C)'!X:X, B45),
    SUMIFS('리스사업(D)'!I:I, '리스사업(D)'!C:C, $E$1, '리스사업(D)'!G:G, B39, '리스사업(D)'!X:X, B45),
    SUMIFS('임대사업(E)'!I:I, '임대사업(E)'!C:C, $E$1, '임대사업(E)'!G:G, B39, '임대사업(E)'!X:X, B45),
    SUMIFS('환경부사업(F)'!I:I, '환경부사업(F)'!C:C, $E$1, '환경부사업(F)'!G:G, B39, '환경부사업(F)'!X:X, B45),
    SUMIFS('프로젝트(G)'!I:I, '프로젝트(G)'!C:C, $E$1, '프로젝트(G)'!G:G, B39, '프로젝트(G)'!X:X, B45),
    SUMIFS('협력사 EPC(H)'!I:I, '협력사 EPC(H)'!C:C, $E$1, '협력사 EPC(H)'!G:G, B39, '협력사 EPC(H)'!X:X, B45),
    SUMIFS('기타(Z)'!I:I, '기타(Z)'!C:C, $E$1, '기타(Z)'!G:G, B39, '기타(Z)'!X:X, B45)
  ) = 0,
  "",
  SUMIFS('발전사업(A)'!I:I, '발전사업(A)'!C:C, $E$1, '발전사업(A)'!G:G, B39, '발전사업(A)'!X:X, B45)
  + SUMIFS('자가소비(B)'!I:I, '자가소비(B)'!C:C, $E$1, '자가소비(B)'!G:G, B39, '자가소비(B)'!X:X, B45)
  + SUMIFS('PPA 사업(C)'!I:I, 'PPA 사업(C)'!C:C, $E$1, 'PPA 사업(C)'!G:G, B39, 'PPA 사업(C)'!X:X, B45)
  + SUMIFS('리스사업(D)'!I:I, '리스사업(D)'!C:C, $E$1, '리스사업(D)'!G:G, B39, '리스사업(D)'!X:X, B45)
  + SUMIFS('임대사업(E)'!I:I, '임대사업(E)'!C:C, $E$1, '임대사업(E)'!G:G, B39, '임대사업(E)'!X:X, B45)
  + SUMIFS('환경부사업(F)'!I:I, '환경부사업(F)'!C:C, $E$1, '환경부사업(F)'!G:G, B39, '환경부사업(F)'!X:X, B45)
  + SUMIFS('프로젝트(G)'!I:I, '프로젝트(G)'!C:C, $E$1, '프로젝트(G)'!G:G, B39, '프로젝트(G)'!X:X, B45)
  + SUMIFS('협력사 EPC(H)'!I:I, '협력사 EPC(H)'!C:C, $E$1, '협력사 EPC(H)'!G:G, B39, '협력사 EPC(H)'!X:X, B45)
  + SUMIFS('기타(Z)'!I:I, '기타(Z)'!C:C, $E$1, '기타(Z)'!G:G, B39, '기타(Z)'!X:X, B45)
)</f>
        <v/>
      </c>
      <c r="D45" s="263" t="str">
        <f>IF(
  COUNTIFS('발전사업(A)'!C:C, $E$1, '발전사업(A)'!G:G, B39, '발전사업(A)'!X:X, B45)
  + COUNTIFS('자가소비(B)'!C:C, $E$1, '자가소비(B)'!G:G, B39, '자가소비(B)'!X:X, B45)
  + COUNTIFS('PPA 사업(C)'!C:C, $E$1, 'PPA 사업(C)'!G:G, B39, 'PPA 사업(C)'!X:X, B45)
  + COUNTIFS('리스사업(D)'!C:C, $E$1, '리스사업(D)'!G:G, B39, '리스사업(D)'!X:X, B45)
  + COUNTIFS('임대사업(E)'!C:C, $E$1, '임대사업(E)'!G:G, B39, '임대사업(E)'!X:X, B45)
  + COUNTIFS('환경부사업(F)'!C:C, $E$1, '환경부사업(F)'!G:G, B39, '환경부사업(F)'!X:X, B45)
  + COUNTIFS('프로젝트(G)'!C:C, $E$1, '프로젝트(G)'!G:G, B39, '프로젝트(G)'!X:X, B45)
  + COUNTIFS('협력사 EPC(H)'!C:C, $E$1, '협력사 EPC(H)'!G:G, B39, '협력사 EPC(H)'!X:X, B45)
  + COUNTIFS('기타(Z)'!C:C, $E$1, '기타(Z)'!G:G, B39, '기타(Z)'!X:X, B45)
  = 0,
  "",
  COUNTIFS('발전사업(A)'!C:C, $E$1, '발전사업(A)'!G:G, B39, '발전사업(A)'!X:X, B45)
  + COUNTIFS('자가소비(B)'!C:C, $E$1, '자가소비(B)'!G:G, B39, '자가소비(B)'!X:X, B45)
  + COUNTIFS('PPA 사업(C)'!C:C, $E$1, 'PPA 사업(C)'!G:G, B39, 'PPA 사업(C)'!X:X, B45)
  + COUNTIFS('리스사업(D)'!C:C, $E$1, '리스사업(D)'!G:G, B39, '리스사업(D)'!X:X, B45)
  + COUNTIFS('임대사업(E)'!C:C, $E$1, '임대사업(E)'!G:G, B39, '임대사업(E)'!X:X, B45)
  + COUNTIFS('환경부사업(F)'!C:C, $E$1, '환경부사업(F)'!G:G, B39, '환경부사업(F)'!X:X, B45)
  + COUNTIFS('프로젝트(G)'!C:C, $E$1, '프로젝트(G)'!G:G, B39, '프로젝트(G)'!X:X, B45)
  + COUNTIFS('협력사 EPC(H)'!C:C, $E$1, '협력사 EPC(H)'!G:G, B39, '협력사 EPC(H)'!X:X, B45)
  + COUNTIFS('기타(Z)'!C:C, $E$1, '기타(Z)'!G:G, B39, '기타(Z)'!X:X, B45)
)</f>
        <v/>
      </c>
      <c r="E45" s="262" t="str">
        <f>IF(
  SUM(
    SUMIFS('발전사업(A)'!I:I, '발전사업(A)'!C:C, $E$1, '발전사업(A)'!G:G, B39, '발전사업(A)'!X:X, B45, '발전사업(A)'!U:U, $C$1),
    SUMIFS('자가소비(B)'!I:I, '자가소비(B)'!C:C, $E$1, '자가소비(B)'!G:G, B39, '자가소비(B)'!X:X, B45, '자가소비(B)'!U:U, $C$1),
    SUMIFS('PPA 사업(C)'!I:I, 'PPA 사업(C)'!C:C, $E$1, 'PPA 사업(C)'!G:G, B39, 'PPA 사업(C)'!X:X, B45, 'PPA 사업(C)'!U:U, $C$1),
    SUMIFS('리스사업(D)'!I:I, '리스사업(D)'!C:C, $E$1, '리스사업(D)'!G:G, B39, '리스사업(D)'!X:X, B45, '리스사업(D)'!U:U, $C$1),
    SUMIFS('임대사업(E)'!I:I, '임대사업(E)'!C:C, $E$1, '임대사업(E)'!G:G, B39, '임대사업(E)'!X:X, B45, '임대사업(E)'!U:U, $C$1),
    SUMIFS('환경부사업(F)'!I:I, '환경부사업(F)'!C:C, $E$1, '환경부사업(F)'!G:G, B39, '환경부사업(F)'!X:X, B45, '환경부사업(F)'!U:U, $C$1),
    SUMIFS('프로젝트(G)'!I:I, '프로젝트(G)'!C:C, $E$1, '프로젝트(G)'!G:G, B39, '프로젝트(G)'!X:X, B45, '프로젝트(G)'!U:U, $C$1),
    SUMIFS('협력사 EPC(H)'!I:I, '협력사 EPC(H)'!C:C, $E$1, '협력사 EPC(H)'!G:G, B39, '협력사 EPC(H)'!X:X, B45, '협력사 EPC(H)'!U:U, $C$1),
    SUMIFS('기타(Z)'!I:I, '기타(Z)'!C:C, $E$1, '기타(Z)'!G:G, B39, '기타(Z)'!X:X, B45, '기타(Z)'!U:U, $C$1)
  ) = 0,
  "",
  SUM(
    SUMIFS('발전사업(A)'!I:I, '발전사업(A)'!C:C, $E$1, '발전사업(A)'!G:G, B39, '발전사업(A)'!X:X, B45, '발전사업(A)'!U:U, $C$1),
    SUMIFS('자가소비(B)'!I:I, '자가소비(B)'!C:C, $E$1, '자가소비(B)'!G:G, B39, '자가소비(B)'!X:X, B45, '자가소비(B)'!U:U, $C$1),
    SUMIFS('PPA 사업(C)'!I:I, 'PPA 사업(C)'!C:C, $E$1, 'PPA 사업(C)'!G:G, B39, 'PPA 사업(C)'!X:X, B45, 'PPA 사업(C)'!U:U, $C$1),
    SUMIFS('리스사업(D)'!I:I, '리스사업(D)'!C:C, $E$1, '리스사업(D)'!G:G, B39, '리스사업(D)'!X:X, B45, '리스사업(D)'!U:U, $C$1),
    SUMIFS('임대사업(E)'!I:I, '임대사업(E)'!C:C, $E$1, '임대사업(E)'!G:G, B39, '임대사업(E)'!X:X, B45, '임대사업(E)'!U:U, $C$1),
    SUMIFS('환경부사업(F)'!I:I, '환경부사업(F)'!C:C, $E$1, '환경부사업(F)'!G:G, B39, '환경부사업(F)'!X:X, B45, '환경부사업(F)'!U:U, $C$1),
    SUMIFS('프로젝트(G)'!I:I, '프로젝트(G)'!C:C, $E$1, '프로젝트(G)'!G:G, B39, '프로젝트(G)'!X:X, B45, '프로젝트(G)'!U:U, $C$1),
    SUMIFS('협력사 EPC(H)'!I:I, '협력사 EPC(H)'!C:C, $E$1, '협력사 EPC(H)'!G:G, B39, '협력사 EPC(H)'!X:X, B45, '협력사 EPC(H)'!U:U, $C$1),
    SUMIFS('기타(Z)'!I:I, '기타(Z)'!C:C, $E$1, '기타(Z)'!G:G, B39, '기타(Z)'!X:X, B45, '기타(Z)'!U:U, $C$1)
  )
)</f>
        <v/>
      </c>
      <c r="F45" s="263" t="str">
        <f>IF(
  SUM(
    COUNTIFS('발전사업(A)'!C:C, $E$1, '발전사업(A)'!G:G, B39, '발전사업(A)'!X:X, B45, '발전사업(A)'!U:U, $C$1),
    COUNTIFS('자가소비(B)'!C:C, $E$1, '자가소비(B)'!G:G, B39, '자가소비(B)'!X:X, B45, '자가소비(B)'!U:U, $C$1),
    COUNTIFS('PPA 사업(C)'!C:C, $E$1, 'PPA 사업(C)'!G:G, B39, 'PPA 사업(C)'!X:X, B45, 'PPA 사업(C)'!U:U, $C$1),
    COUNTIFS('리스사업(D)'!C:C, $E$1, '리스사업(D)'!G:G, B39, '리스사업(D)'!X:X, B45, '리스사업(D)'!U:U, $C$1),
    COUNTIFS('임대사업(E)'!C:C, $E$1, '임대사업(E)'!G:G, B39, '임대사업(E)'!X:X, B45, '임대사업(E)'!U:U, $C$1),
    COUNTIFS('환경부사업(F)'!C:C, $E$1, '환경부사업(F)'!G:G, B39, '환경부사업(F)'!X:X, B45, '환경부사업(F)'!U:U, $C$1),
    COUNTIFS('프로젝트(G)'!C:C, $E$1, '프로젝트(G)'!G:G, B39, '프로젝트(G)'!X:X, B45, '프로젝트(G)'!U:U, $C$1),
    COUNTIFS('협력사 EPC(H)'!C:C, $E$1, '협력사 EPC(H)'!G:G, B39, '협력사 EPC(H)'!X:X, B45, '협력사 EPC(H)'!U:U, $C$1),
    COUNTIFS('기타(Z)'!C:C, $E$1, '기타(Z)'!G:G, B39, '기타(Z)'!X:X, B45, '기타(Z)'!U:U, $C$1)
  ) = 0,
  "",
  SUM(
    COUNTIFS('발전사업(A)'!C:C, $E$1, '발전사업(A)'!G:G, B39, '발전사업(A)'!X:X, B45, '발전사업(A)'!U:U, $C$1),
    COUNTIFS('자가소비(B)'!C:C, $E$1, '자가소비(B)'!G:G, B39, '자가소비(B)'!X:X, B45, '자가소비(B)'!U:U, $C$1),
    COUNTIFS('PPA 사업(C)'!C:C, $E$1, 'PPA 사업(C)'!G:G, B39, 'PPA 사업(C)'!X:X, B45, 'PPA 사업(C)'!U:U, $C$1),
    COUNTIFS('리스사업(D)'!C:C, $E$1, '리스사업(D)'!G:G, B39, '리스사업(D)'!X:X, B45, '리스사업(D)'!U:U, $C$1),
    COUNTIFS('임대사업(E)'!C:C, $E$1, '임대사업(E)'!G:G, B39, '임대사업(E)'!X:X, B45, '임대사업(E)'!U:U, $C$1),
    COUNTIFS('환경부사업(F)'!C:C, $E$1, '환경부사업(F)'!G:G, B39, '환경부사업(F)'!X:X, B45, '환경부사업(F)'!U:U, $C$1),
    COUNTIFS('프로젝트(G)'!C:C, $E$1, '프로젝트(G)'!G:G, B39, '프로젝트(G)'!X:X, B45, '프로젝트(G)'!U:U, $C$1),
    COUNTIFS('협력사 EPC(H)'!C:C, $E$1, '협력사 EPC(H)'!G:G, B39, '협력사 EPC(H)'!X:X, B45, '협력사 EPC(H)'!U:U, $C$1),
    COUNTIFS('기타(Z)'!C:C, $E$1, '기타(Z)'!G:G, B39, '기타(Z)'!X:X, B45, '기타(Z)'!U:U, $C$1)
  )
)</f>
        <v/>
      </c>
      <c r="G45" s="262" t="str">
        <f>IF(
  SUM(
    SUMIFS('발전사업(A)'!I:I, '발전사업(A)'!C:C, $E$1, '발전사업(A)'!G:G, B39, '발전사업(A)'!X:X, B45, '발전사업(A)'!U:U, $D$1),
    SUMIFS('자가소비(B)'!I:I, '자가소비(B)'!C:C, $E$1, '자가소비(B)'!G:G, B39, '자가소비(B)'!X:X, B45, '자가소비(B)'!U:U, $D$1),
    SUMIFS('PPA 사업(C)'!I:I, 'PPA 사업(C)'!C:C, $E$1, 'PPA 사업(C)'!G:G, B39, 'PPA 사업(C)'!X:X, B45, 'PPA 사업(C)'!U:U, $D$1),
    SUMIFS('리스사업(D)'!I:I, '리스사업(D)'!C:C, $E$1, '리스사업(D)'!G:G, B39, '리스사업(D)'!X:X, B45, '리스사업(D)'!U:U, $D$1),
    SUMIFS('임대사업(E)'!I:I, '임대사업(E)'!C:C, $E$1, '임대사업(E)'!G:G, B39, '임대사업(E)'!X:X, B45, '임대사업(E)'!U:U, $D$1),
    SUMIFS('환경부사업(F)'!I:I, '환경부사업(F)'!C:C, $E$1, '환경부사업(F)'!G:G, B39, '환경부사업(F)'!X:X, B45, '환경부사업(F)'!U:U, $D$1),
    SUMIFS('프로젝트(G)'!I:I, '프로젝트(G)'!C:C, $E$1, '프로젝트(G)'!G:G, B39, '프로젝트(G)'!X:X, B45, '프로젝트(G)'!U:U, $D$1),
    SUMIFS('협력사 EPC(H)'!I:I, '협력사 EPC(H)'!C:C, $E$1, '협력사 EPC(H)'!G:G, B39, '협력사 EPC(H)'!X:X, B45, '협력사 EPC(H)'!U:U, $D$1),
    SUMIFS('기타(Z)'!I:I, '기타(Z)'!C:C, $E$1, '기타(Z)'!G:G, B39, '기타(Z)'!X:X, B45, '기타(Z)'!U:U, $D$1)
  ) = 0,
  "",
  SUM(
    SUMIFS('발전사업(A)'!I:I, '발전사업(A)'!C:C, $E$1, '발전사업(A)'!G:G, B39, '발전사업(A)'!X:X, B45, '발전사업(A)'!U:U, $D$1),
    SUMIFS('자가소비(B)'!I:I, '자가소비(B)'!C:C, $E$1, '자가소비(B)'!G:G, B39, '자가소비(B)'!X:X, B45, '자가소비(B)'!U:U, $D$1),
    SUMIFS('PPA 사업(C)'!I:I, 'PPA 사업(C)'!C:C, $E$1, 'PPA 사업(C)'!G:G, B39, 'PPA 사업(C)'!X:X, B45, 'PPA 사업(C)'!U:U, $D$1),
    SUMIFS('리스사업(D)'!I:I, '리스사업(D)'!C:C, $E$1, '리스사업(D)'!G:G, B39, '리스사업(D)'!X:X, B45, '리스사업(D)'!U:U, $D$1),
    SUMIFS('임대사업(E)'!I:I, '임대사업(E)'!C:C, $E$1, '임대사업(E)'!G:G, B39, '임대사업(E)'!X:X, B45, '임대사업(E)'!U:U, $D$1),
    SUMIFS('환경부사업(F)'!I:I, '환경부사업(F)'!C:C, $E$1, '환경부사업(F)'!G:G, B39, '환경부사업(F)'!X:X, B45, '환경부사업(F)'!U:U, $D$1),
    SUMIFS('프로젝트(G)'!I:I, '프로젝트(G)'!C:C, $E$1, '프로젝트(G)'!G:G, B39, '프로젝트(G)'!X:X, B45, '프로젝트(G)'!U:U, $D$1),
    SUMIFS('협력사 EPC(H)'!I:I, '협력사 EPC(H)'!C:C, $E$1, '협력사 EPC(H)'!G:G, B39, '협력사 EPC(H)'!X:X, B45, '협력사 EPC(H)'!U:U, $D$1),
    SUMIFS('기타(Z)'!I:I, '기타(Z)'!C:C, $E$1, '기타(Z)'!G:G, B39, '기타(Z)'!X:X, B45, '기타(Z)'!U:U, $D$1)
  )
)</f>
        <v/>
      </c>
      <c r="H45" s="263" t="str">
        <f>IF(
  (
    COUNTIFS('발전사업(A)'!C:C, $E$1, '발전사업(A)'!G:G, B39, '발전사업(A)'!X:X, B45, '발전사업(A)'!U:U, $D$1)
    + COUNTIFS('자가소비(B)'!C:C, $E$1, '자가소비(B)'!G:G, B39, '자가소비(B)'!X:X, B45, '자가소비(B)'!U:U, $D$1)
    + COUNTIFS('PPA 사업(C)'!C:C, $E$1, 'PPA 사업(C)'!G:G, B39, 'PPA 사업(C)'!X:X, B45, 'PPA 사업(C)'!U:U, $D$1)
    + COUNTIFS('리스사업(D)'!C:C, $E$1, '리스사업(D)'!G:G, B39, '리스사업(D)'!X:X, B45, '리스사업(D)'!U:U, $D$1)
    + COUNTIFS('임대사업(E)'!C:C, $E$1, '임대사업(E)'!G:G, B39, '임대사업(E)'!X:X, B45, '임대사업(E)'!U:U, $D$1)
    + COUNTIFS('환경부사업(F)'!C:C, $E$1, '환경부사업(F)'!G:G, B39, '환경부사업(F)'!X:X, B45, '환경부사업(F)'!U:U, $D$1)
    + COUNTIFS('프로젝트(G)'!C:C, $E$1, '프로젝트(G)'!G:G, B39, '프로젝트(G)'!X:X, B45, '프로젝트(G)'!U:U, $D$1)
    + COUNTIFS('협력사 EPC(H)'!C:C, $E$1, '협력사 EPC(H)'!G:G, B39, '협력사 EPC(H)'!X:X, B45, '협력사 EPC(H)'!U:U, $D$1)
    + COUNTIFS('기타(Z)'!C:C, $E$1, '기타(Z)'!G:G, B39, '기타(Z)'!X:X, B45, '기타(Z)'!U:U, $D$1)
  ) = 0,
  "",
  COUNTIFS('발전사업(A)'!C:C, $E$1, '발전사업(A)'!G:G, B39, '발전사업(A)'!X:X, B45, '발전사업(A)'!U:U, $D$1)
  + COUNTIFS('자가소비(B)'!C:C, $E$1, '자가소비(B)'!G:G, B39, '자가소비(B)'!X:X, B45, '자가소비(B)'!U:U, $D$1)
  + COUNTIFS('PPA 사업(C)'!C:C, $E$1, 'PPA 사업(C)'!G:G, B39, 'PPA 사업(C)'!X:X, B45, 'PPA 사업(C)'!U:U, $D$1)
  + COUNTIFS('리스사업(D)'!C:C, $E$1, '리스사업(D)'!G:G, B39, '리스사업(D)'!X:X, B45, '리스사업(D)'!U:U, $D$1)
  + COUNTIFS('임대사업(E)'!C:C, $E$1, '임대사업(E)'!G:G, B39, '임대사업(E)'!X:X, B45, '임대사업(E)'!U:U, $D$1)
  + COUNTIFS('환경부사업(F)'!C:C, $E$1, '환경부사업(F)'!G:G, B39, '환경부사업(F)'!X:X, B45, '환경부사업(F)'!U:U, $D$1)
  + COUNTIFS('프로젝트(G)'!C:C, $E$1, '프로젝트(G)'!G:G, B39, '프로젝트(G)'!X:X, B45, '프로젝트(G)'!U:U, $D$1)
  + COUNTIFS('협력사 EPC(H)'!C:C, $E$1, '협력사 EPC(H)'!G:G, B39, '협력사 EPC(H)'!X:X, B45, '협력사 EPC(H)'!U:U, $D$1)
  + COUNTIFS('기타(Z)'!C:C, $E$1, '기타(Z)'!G:G, B39, '기타(Z)'!X:X, B45, '기타(Z)'!U:U, $D$1)
)</f>
        <v/>
      </c>
    </row>
    <row r="46" spans="2:8" x14ac:dyDescent="0.25">
      <c r="B46" s="195" t="s">
        <v>157</v>
      </c>
      <c r="C46" s="262" t="str">
        <f>IF(
  SUM(
    SUMIFS('발전사업(A)'!I:I, '발전사업(A)'!C:C, $E$1, '발전사업(A)'!G:G, B39, '발전사업(A)'!X:X, B46),
    SUMIFS('자가소비(B)'!I:I, '자가소비(B)'!C:C, $E$1, '자가소비(B)'!G:G, B39, '자가소비(B)'!X:X, B46),
    SUMIFS('PPA 사업(C)'!I:I, 'PPA 사업(C)'!C:C, $E$1, 'PPA 사업(C)'!G:G, B39, 'PPA 사업(C)'!X:X, B46),
    SUMIFS('리스사업(D)'!I:I, '리스사업(D)'!C:C, $E$1, '리스사업(D)'!G:G, B39, '리스사업(D)'!X:X, B46),
    SUMIFS('임대사업(E)'!I:I, '임대사업(E)'!C:C, $E$1, '임대사업(E)'!G:G, B39, '임대사업(E)'!X:X, B46),
    SUMIFS('환경부사업(F)'!I:I, '환경부사업(F)'!C:C, $E$1, '환경부사업(F)'!G:G, B39, '환경부사업(F)'!X:X, B46),
    SUMIFS('프로젝트(G)'!I:I, '프로젝트(G)'!C:C, $E$1, '프로젝트(G)'!G:G, B39, '프로젝트(G)'!X:X, B46),
    SUMIFS('협력사 EPC(H)'!I:I, '협력사 EPC(H)'!C:C, $E$1, '협력사 EPC(H)'!G:G, B39, '협력사 EPC(H)'!X:X, B46),
    SUMIFS('기타(Z)'!I:I, '기타(Z)'!C:C, $E$1, '기타(Z)'!G:G, B39, '기타(Z)'!X:X, B46)
  ) = 0,
  "",
  SUMIFS('발전사업(A)'!I:I, '발전사업(A)'!C:C, $E$1, '발전사업(A)'!G:G, B39, '발전사업(A)'!X:X, B46)
  + SUMIFS('자가소비(B)'!I:I, '자가소비(B)'!C:C, $E$1, '자가소비(B)'!G:G, B39, '자가소비(B)'!X:X, B46)
  + SUMIFS('PPA 사업(C)'!I:I, 'PPA 사업(C)'!C:C, $E$1, 'PPA 사업(C)'!G:G, B39, 'PPA 사업(C)'!X:X, B46)
  + SUMIFS('리스사업(D)'!I:I, '리스사업(D)'!C:C, $E$1, '리스사업(D)'!G:G, B39, '리스사업(D)'!X:X, B46)
  + SUMIFS('임대사업(E)'!I:I, '임대사업(E)'!C:C, $E$1, '임대사업(E)'!G:G, B39, '임대사업(E)'!X:X, B46)
  + SUMIFS('환경부사업(F)'!I:I, '환경부사업(F)'!C:C, $E$1, '환경부사업(F)'!G:G, B39, '환경부사업(F)'!X:X, B46)
  + SUMIFS('프로젝트(G)'!I:I, '프로젝트(G)'!C:C, $E$1, '프로젝트(G)'!G:G, B39, '프로젝트(G)'!X:X, B46)
  + SUMIFS('협력사 EPC(H)'!I:I, '협력사 EPC(H)'!C:C, $E$1, '협력사 EPC(H)'!G:G, B39, '협력사 EPC(H)'!X:X, B46)
  + SUMIFS('기타(Z)'!I:I, '기타(Z)'!C:C, $E$1, '기타(Z)'!G:G, B39, '기타(Z)'!X:X, B46)
)</f>
        <v/>
      </c>
      <c r="D46" s="263" t="str">
        <f>IF(
  COUNTIFS('발전사업(A)'!C:C, $E$1, '발전사업(A)'!G:G, B39, '발전사업(A)'!X:X, B46)
  + COUNTIFS('자가소비(B)'!C:C, $E$1, '자가소비(B)'!G:G, B39, '자가소비(B)'!X:X, B46)
  + COUNTIFS('PPA 사업(C)'!C:C, $E$1, 'PPA 사업(C)'!G:G, B39, 'PPA 사업(C)'!X:X, B46)
  + COUNTIFS('리스사업(D)'!C:C, $E$1, '리스사업(D)'!G:G, B39, '리스사업(D)'!X:X, B46)
  + COUNTIFS('임대사업(E)'!C:C, $E$1, '임대사업(E)'!G:G, B39, '임대사업(E)'!X:X, B46)
  + COUNTIFS('환경부사업(F)'!C:C, $E$1, '환경부사업(F)'!G:G, B39, '환경부사업(F)'!X:X, B46)
  + COUNTIFS('프로젝트(G)'!C:C, $E$1, '프로젝트(G)'!G:G, B39, '프로젝트(G)'!X:X, B46)
  + COUNTIFS('협력사 EPC(H)'!C:C, $E$1, '협력사 EPC(H)'!G:G, B39, '협력사 EPC(H)'!X:X, B46)
  + COUNTIFS('기타(Z)'!C:C, $E$1, '기타(Z)'!G:G, B39, '기타(Z)'!X:X, B46)
  = 0,
  "",
  COUNTIFS('발전사업(A)'!C:C, $E$1, '발전사업(A)'!G:G, B39, '발전사업(A)'!X:X, B46)
  + COUNTIFS('자가소비(B)'!C:C, $E$1, '자가소비(B)'!G:G, B39, '자가소비(B)'!X:X, B46)
  + COUNTIFS('PPA 사업(C)'!C:C, $E$1, 'PPA 사업(C)'!G:G, B39, 'PPA 사업(C)'!X:X, B46)
  + COUNTIFS('리스사업(D)'!C:C, $E$1, '리스사업(D)'!G:G, B39, '리스사업(D)'!X:X, B46)
  + COUNTIFS('임대사업(E)'!C:C, $E$1, '임대사업(E)'!G:G, B39, '임대사업(E)'!X:X, B46)
  + COUNTIFS('환경부사업(F)'!C:C, $E$1, '환경부사업(F)'!G:G, B39, '환경부사업(F)'!X:X, B46)
  + COUNTIFS('프로젝트(G)'!C:C, $E$1, '프로젝트(G)'!G:G, B39, '프로젝트(G)'!X:X, B46)
  + COUNTIFS('협력사 EPC(H)'!C:C, $E$1, '협력사 EPC(H)'!G:G, B39, '협력사 EPC(H)'!X:X, B46)
  + COUNTIFS('기타(Z)'!C:C, $E$1, '기타(Z)'!G:G, B39, '기타(Z)'!X:X, B46)
)</f>
        <v/>
      </c>
      <c r="E46" s="262" t="str">
        <f>IF(
  SUM(
    SUMIFS('발전사업(A)'!I:I, '발전사업(A)'!C:C, $E$1, '발전사업(A)'!G:G, B39, '발전사업(A)'!X:X, B46, '발전사업(A)'!U:U, $C$1),
    SUMIFS('자가소비(B)'!I:I, '자가소비(B)'!C:C, $E$1, '자가소비(B)'!G:G, B39, '자가소비(B)'!X:X, B46, '자가소비(B)'!U:U, $C$1),
    SUMIFS('PPA 사업(C)'!I:I, 'PPA 사업(C)'!C:C, $E$1, 'PPA 사업(C)'!G:G, B39, 'PPA 사업(C)'!X:X, B46, 'PPA 사업(C)'!U:U, $C$1),
    SUMIFS('리스사업(D)'!I:I, '리스사업(D)'!C:C, $E$1, '리스사업(D)'!G:G, B39, '리스사업(D)'!X:X, B46, '리스사업(D)'!U:U, $C$1),
    SUMIFS('임대사업(E)'!I:I, '임대사업(E)'!C:C, $E$1, '임대사업(E)'!G:G, B39, '임대사업(E)'!X:X, B46, '임대사업(E)'!U:U, $C$1),
    SUMIFS('환경부사업(F)'!I:I, '환경부사업(F)'!C:C, $E$1, '환경부사업(F)'!G:G, B39, '환경부사업(F)'!X:X, B46, '환경부사업(F)'!U:U, $C$1),
    SUMIFS('프로젝트(G)'!I:I, '프로젝트(G)'!C:C, $E$1, '프로젝트(G)'!G:G, B39, '프로젝트(G)'!X:X, B46, '프로젝트(G)'!U:U, $C$1),
    SUMIFS('협력사 EPC(H)'!I:I, '협력사 EPC(H)'!C:C, $E$1, '협력사 EPC(H)'!G:G, B39, '협력사 EPC(H)'!X:X, B46, '협력사 EPC(H)'!U:U, $C$1),
    SUMIFS('기타(Z)'!I:I, '기타(Z)'!C:C, $E$1, '기타(Z)'!G:G, B39, '기타(Z)'!X:X, B46, '기타(Z)'!U:U, $C$1)
  ) = 0,
  "",
  SUM(
    SUMIFS('발전사업(A)'!I:I, '발전사업(A)'!C:C, $E$1, '발전사업(A)'!G:G, B39, '발전사업(A)'!X:X, B46, '발전사업(A)'!U:U, $C$1),
    SUMIFS('자가소비(B)'!I:I, '자가소비(B)'!C:C, $E$1, '자가소비(B)'!G:G, B39, '자가소비(B)'!X:X, B46, '자가소비(B)'!U:U, $C$1),
    SUMIFS('PPA 사업(C)'!I:I, 'PPA 사업(C)'!C:C, $E$1, 'PPA 사업(C)'!G:G, B39, 'PPA 사업(C)'!X:X, B46, 'PPA 사업(C)'!U:U, $C$1),
    SUMIFS('리스사업(D)'!I:I, '리스사업(D)'!C:C, $E$1, '리스사업(D)'!G:G, B39, '리스사업(D)'!X:X, B46, '리스사업(D)'!U:U, $C$1),
    SUMIFS('임대사업(E)'!I:I, '임대사업(E)'!C:C, $E$1, '임대사업(E)'!G:G, B39, '임대사업(E)'!X:X, B46, '임대사업(E)'!U:U, $C$1),
    SUMIFS('환경부사업(F)'!I:I, '환경부사업(F)'!C:C, $E$1, '환경부사업(F)'!G:G, B39, '환경부사업(F)'!X:X, B46, '환경부사업(F)'!U:U, $C$1),
    SUMIFS('프로젝트(G)'!I:I, '프로젝트(G)'!C:C, $E$1, '프로젝트(G)'!G:G, B39, '프로젝트(G)'!X:X, B46, '프로젝트(G)'!U:U, $C$1),
    SUMIFS('협력사 EPC(H)'!I:I, '협력사 EPC(H)'!C:C, $E$1, '협력사 EPC(H)'!G:G, B39, '협력사 EPC(H)'!X:X, B46, '협력사 EPC(H)'!U:U, $C$1),
    SUMIFS('기타(Z)'!I:I, '기타(Z)'!C:C, $E$1, '기타(Z)'!G:G, B39, '기타(Z)'!X:X, B46, '기타(Z)'!U:U, $C$1)
  )
)</f>
        <v/>
      </c>
      <c r="F46" s="263" t="str">
        <f>IF(
  SUM(
    COUNTIFS('발전사업(A)'!C:C, $E$1, '발전사업(A)'!G:G, B39, '발전사업(A)'!X:X, B46, '발전사업(A)'!U:U, $C$1),
    COUNTIFS('자가소비(B)'!C:C, $E$1, '자가소비(B)'!G:G, B39, '자가소비(B)'!X:X, B46, '자가소비(B)'!U:U, $C$1),
    COUNTIFS('PPA 사업(C)'!C:C, $E$1, 'PPA 사업(C)'!G:G, B39, 'PPA 사업(C)'!X:X, B46, 'PPA 사업(C)'!U:U, $C$1),
    COUNTIFS('리스사업(D)'!C:C, $E$1, '리스사업(D)'!G:G, B39, '리스사업(D)'!X:X, B46, '리스사업(D)'!U:U, $C$1),
    COUNTIFS('임대사업(E)'!C:C, $E$1, '임대사업(E)'!G:G, B39, '임대사업(E)'!X:X, B46, '임대사업(E)'!U:U, $C$1),
    COUNTIFS('환경부사업(F)'!C:C, $E$1, '환경부사업(F)'!G:G, B39, '환경부사업(F)'!X:X, B46, '환경부사업(F)'!U:U, $C$1),
    COUNTIFS('프로젝트(G)'!C:C, $E$1, '프로젝트(G)'!G:G, B39, '프로젝트(G)'!X:X, B46, '프로젝트(G)'!U:U, $C$1),
    COUNTIFS('협력사 EPC(H)'!C:C, $E$1, '협력사 EPC(H)'!G:G, B39, '협력사 EPC(H)'!X:X, B46, '협력사 EPC(H)'!U:U, $C$1),
    COUNTIFS('기타(Z)'!C:C, $E$1, '기타(Z)'!G:G, B39, '기타(Z)'!X:X, B46, '기타(Z)'!U:U, $C$1)
  ) = 0,
  "",
  SUM(
    COUNTIFS('발전사업(A)'!C:C, $E$1, '발전사업(A)'!G:G, B39, '발전사업(A)'!X:X, B46, '발전사업(A)'!U:U, $C$1),
    COUNTIFS('자가소비(B)'!C:C, $E$1, '자가소비(B)'!G:G, B39, '자가소비(B)'!X:X, B46, '자가소비(B)'!U:U, $C$1),
    COUNTIFS('PPA 사업(C)'!C:C, $E$1, 'PPA 사업(C)'!G:G, B39, 'PPA 사업(C)'!X:X, B46, 'PPA 사업(C)'!U:U, $C$1),
    COUNTIFS('리스사업(D)'!C:C, $E$1, '리스사업(D)'!G:G, B39, '리스사업(D)'!X:X, B46, '리스사업(D)'!U:U, $C$1),
    COUNTIFS('임대사업(E)'!C:C, $E$1, '임대사업(E)'!G:G, B39, '임대사업(E)'!X:X, B46, '임대사업(E)'!U:U, $C$1),
    COUNTIFS('환경부사업(F)'!C:C, $E$1, '환경부사업(F)'!G:G, B39, '환경부사업(F)'!X:X, B46, '환경부사업(F)'!U:U, $C$1),
    COUNTIFS('프로젝트(G)'!C:C, $E$1, '프로젝트(G)'!G:G, B39, '프로젝트(G)'!X:X, B46, '프로젝트(G)'!U:U, $C$1),
    COUNTIFS('협력사 EPC(H)'!C:C, $E$1, '협력사 EPC(H)'!G:G, B39, '협력사 EPC(H)'!X:X, B46, '협력사 EPC(H)'!U:U, $C$1),
    COUNTIFS('기타(Z)'!C:C, $E$1, '기타(Z)'!G:G, B39, '기타(Z)'!X:X, B46, '기타(Z)'!U:U, $C$1)
  )
)</f>
        <v/>
      </c>
      <c r="G46" s="262" t="str">
        <f>IF(
  SUM(
    SUMIFS('발전사업(A)'!I:I, '발전사업(A)'!C:C, $E$1, '발전사업(A)'!G:G, B39, '발전사업(A)'!X:X, B46, '발전사업(A)'!U:U, $D$1),
    SUMIFS('자가소비(B)'!I:I, '자가소비(B)'!C:C, $E$1, '자가소비(B)'!G:G, B39, '자가소비(B)'!X:X, B46, '자가소비(B)'!U:U, $D$1),
    SUMIFS('PPA 사업(C)'!I:I, 'PPA 사업(C)'!C:C, $E$1, 'PPA 사업(C)'!G:G, B39, 'PPA 사업(C)'!X:X, B46, 'PPA 사업(C)'!U:U, $D$1),
    SUMIFS('리스사업(D)'!I:I, '리스사업(D)'!C:C, $E$1, '리스사업(D)'!G:G, B39, '리스사업(D)'!X:X, B46, '리스사업(D)'!U:U, $D$1),
    SUMIFS('임대사업(E)'!I:I, '임대사업(E)'!C:C, $E$1, '임대사업(E)'!G:G, B39, '임대사업(E)'!X:X, B46, '임대사업(E)'!U:U, $D$1),
    SUMIFS('환경부사업(F)'!I:I, '환경부사업(F)'!C:C, $E$1, '환경부사업(F)'!G:G, B39, '환경부사업(F)'!X:X, B46, '환경부사업(F)'!U:U, $D$1),
    SUMIFS('프로젝트(G)'!I:I, '프로젝트(G)'!C:C, $E$1, '프로젝트(G)'!G:G, B39, '프로젝트(G)'!X:X, B46, '프로젝트(G)'!U:U, $D$1),
    SUMIFS('협력사 EPC(H)'!I:I, '협력사 EPC(H)'!C:C, $E$1, '협력사 EPC(H)'!G:G, B39, '협력사 EPC(H)'!X:X, B46, '협력사 EPC(H)'!U:U, $D$1),
    SUMIFS('기타(Z)'!I:I, '기타(Z)'!C:C, $E$1, '기타(Z)'!G:G, B39, '기타(Z)'!X:X, B46, '기타(Z)'!U:U, $D$1)
  ) = 0,
  "",
  SUM(
    SUMIFS('발전사업(A)'!I:I, '발전사업(A)'!C:C, $E$1, '발전사업(A)'!G:G, B39, '발전사업(A)'!X:X, B46, '발전사업(A)'!U:U, $D$1),
    SUMIFS('자가소비(B)'!I:I, '자가소비(B)'!C:C, $E$1, '자가소비(B)'!G:G, B39, '자가소비(B)'!X:X, B46, '자가소비(B)'!U:U, $D$1),
    SUMIFS('PPA 사업(C)'!I:I, 'PPA 사업(C)'!C:C, $E$1, 'PPA 사업(C)'!G:G, B39, 'PPA 사업(C)'!X:X, B46, 'PPA 사업(C)'!U:U, $D$1),
    SUMIFS('리스사업(D)'!I:I, '리스사업(D)'!C:C, $E$1, '리스사업(D)'!G:G, B39, '리스사업(D)'!X:X, B46, '리스사업(D)'!U:U, $D$1),
    SUMIFS('임대사업(E)'!I:I, '임대사업(E)'!C:C, $E$1, '임대사업(E)'!G:G, B39, '임대사업(E)'!X:X, B46, '임대사업(E)'!U:U, $D$1),
    SUMIFS('환경부사업(F)'!I:I, '환경부사업(F)'!C:C, $E$1, '환경부사업(F)'!G:G, B39, '환경부사업(F)'!X:X, B46, '환경부사업(F)'!U:U, $D$1),
    SUMIFS('프로젝트(G)'!I:I, '프로젝트(G)'!C:C, $E$1, '프로젝트(G)'!G:G, B39, '프로젝트(G)'!X:X, B46, '프로젝트(G)'!U:U, $D$1),
    SUMIFS('협력사 EPC(H)'!I:I, '협력사 EPC(H)'!C:C, $E$1, '협력사 EPC(H)'!G:G, B39, '협력사 EPC(H)'!X:X, B46, '협력사 EPC(H)'!U:U, $D$1),
    SUMIFS('기타(Z)'!I:I, '기타(Z)'!C:C, $E$1, '기타(Z)'!G:G, B39, '기타(Z)'!X:X, B46, '기타(Z)'!U:U, $D$1)
  )
)</f>
        <v/>
      </c>
      <c r="H46" s="263" t="str">
        <f>IF(
  (
    COUNTIFS('발전사업(A)'!C:C, $E$1, '발전사업(A)'!G:G, B39, '발전사업(A)'!X:X, B46, '발전사업(A)'!U:U, $D$1)
    + COUNTIFS('자가소비(B)'!C:C, $E$1, '자가소비(B)'!G:G, B39, '자가소비(B)'!X:X, B46, '자가소비(B)'!U:U, $D$1)
    + COUNTIFS('PPA 사업(C)'!C:C, $E$1, 'PPA 사업(C)'!G:G, B39, 'PPA 사업(C)'!X:X, B46, 'PPA 사업(C)'!U:U, $D$1)
    + COUNTIFS('리스사업(D)'!C:C, $E$1, '리스사업(D)'!G:G, B39, '리스사업(D)'!X:X, B46, '리스사업(D)'!U:U, $D$1)
    + COUNTIFS('임대사업(E)'!C:C, $E$1, '임대사업(E)'!G:G, B39, '임대사업(E)'!X:X, B46, '임대사업(E)'!U:U, $D$1)
    + COUNTIFS('환경부사업(F)'!C:C, $E$1, '환경부사업(F)'!G:G, B39, '환경부사업(F)'!X:X, B46, '환경부사업(F)'!U:U, $D$1)
    + COUNTIFS('프로젝트(G)'!C:C, $E$1, '프로젝트(G)'!G:G, B39, '프로젝트(G)'!X:X, B46, '프로젝트(G)'!U:U, $D$1)
    + COUNTIFS('협력사 EPC(H)'!C:C, $E$1, '협력사 EPC(H)'!G:G, B39, '협력사 EPC(H)'!X:X, B46, '협력사 EPC(H)'!U:U, $D$1)
    + COUNTIFS('기타(Z)'!C:C, $E$1, '기타(Z)'!G:G, $B39, '기타(Z)'!X:X, B46, '기타(Z)'!U:U, $D$1)
  ) = 0,
  "",
  COUNTIFS('발전사업(A)'!C:C, $E$1, '발전사업(A)'!G:G, B39, '발전사업(A)'!X:X, B46, '발전사업(A)'!U:U, $D$1)
  + COUNTIFS('자가소비(B)'!C:C, $E$1, '자가소비(B)'!G:G, B39, '자가소비(B)'!X:X, B46, '자가소비(B)'!U:U, $D$1)
  + COUNTIFS('PPA 사업(C)'!C:C, $E$1, 'PPA 사업(C)'!G:G, B39, 'PPA 사업(C)'!X:X, B46, 'PPA 사업(C)'!U:U, $D$1)
  + COUNTIFS('리스사업(D)'!C:C, $E$1, '리스사업(D)'!G:G, B39, '리스사업(D)'!X:X, B46, '리스사업(D)'!U:U, $D$1)
  + COUNTIFS('임대사업(E)'!C:C, $E$1, '임대사업(E)'!G:G, B39, '임대사업(E)'!X:X, B46, '임대사업(E)'!U:U, $D$1)
  + COUNTIFS('환경부사업(F)'!C:C, $E$1, '환경부사업(F)'!G:G, B39, '환경부사업(F)'!X:X, B46, '환경부사업(F)'!U:U, $D$1)
  + COUNTIFS('프로젝트(G)'!C:C, $E$1, '프로젝트(G)'!G:G, B39, '프로젝트(G)'!X:X, B46, '프로젝트(G)'!U:U, $D$1)
  + COUNTIFS('협력사 EPC(H)'!C:C, $E$1, '협력사 EPC(H)'!G:G, B39, '협력사 EPC(H)'!X:X, B46, '협력사 EPC(H)'!U:U, $D$1)
  + COUNTIFS('기타(Z)'!C:C, $E$1, '기타(Z)'!G:G, B39, '기타(Z)'!X:X, B46, '기타(Z)'!U:U, $D$1)
)</f>
        <v/>
      </c>
    </row>
    <row r="47" spans="2:8" x14ac:dyDescent="0.25">
      <c r="B47" s="195" t="s">
        <v>158</v>
      </c>
      <c r="C47" s="262" t="str">
        <f>IF(
  SUM(
    SUMIFS('발전사업(A)'!I:I, '발전사업(A)'!C:C, $E$1, '발전사업(A)'!G:G, B39, '발전사업(A)'!X:X, B47),
    SUMIFS('자가소비(B)'!I:I, '자가소비(B)'!C:C, $E$1, '자가소비(B)'!G:G, B39, '자가소비(B)'!X:X, B47),
    SUMIFS('PPA 사업(C)'!I:I, 'PPA 사업(C)'!C:C, $E$1, 'PPA 사업(C)'!G:G, B39, 'PPA 사업(C)'!X:X, B47),
    SUMIFS('리스사업(D)'!I:I, '리스사업(D)'!C:C, $E$1, '리스사업(D)'!G:G, B39, '리스사업(D)'!X:X, B47),
    SUMIFS('임대사업(E)'!I:I, '임대사업(E)'!C:C, $E$1, '임대사업(E)'!G:G, B39, '임대사업(E)'!X:X, B47),
    SUMIFS('환경부사업(F)'!I:I, '환경부사업(F)'!C:C, $E$1, '환경부사업(F)'!G:G, B39, '환경부사업(F)'!X:X, B47),
    SUMIFS('프로젝트(G)'!I:I, '프로젝트(G)'!C:C, $E$1, '프로젝트(G)'!G:G, B39, '프로젝트(G)'!X:X, B47),
    SUMIFS('협력사 EPC(H)'!I:I, '협력사 EPC(H)'!C:C, $E$1, '협력사 EPC(H)'!G:G, B39, '협력사 EPC(H)'!X:X, B47),
    SUMIFS('기타(Z)'!I:I, '기타(Z)'!C:C, $E$1, '기타(Z)'!G:G, B39, '기타(Z)'!X:X, B47)
  ) = 0,
  "",
  SUMIFS('발전사업(A)'!I:I, '발전사업(A)'!C:C, $E$1, '발전사업(A)'!G:G, B39, '발전사업(A)'!X:X, B47)
  + SUMIFS('자가소비(B)'!I:I, '자가소비(B)'!C:C, $E$1, '자가소비(B)'!G:G, B39, '자가소비(B)'!X:X, B47)
  + SUMIFS('PPA 사업(C)'!I:I, 'PPA 사업(C)'!C:C, $E$1, 'PPA 사업(C)'!G:G, B39, 'PPA 사업(C)'!X:X, B47)
  + SUMIFS('리스사업(D)'!I:I, '리스사업(D)'!C:C, $E$1, '리스사업(D)'!G:G, B39, '리스사업(D)'!X:X, B47)
  + SUMIFS('임대사업(E)'!I:I, '임대사업(E)'!C:C, $E$1, '임대사업(E)'!G:G, B39, '임대사업(E)'!X:X, B47)
  + SUMIFS('환경부사업(F)'!I:I, '환경부사업(F)'!C:C, $E$1, '환경부사업(F)'!G:G, B39, '환경부사업(F)'!X:X, B47)
  + SUMIFS('프로젝트(G)'!I:I, '프로젝트(G)'!C:C, $E$1, '프로젝트(G)'!G:G, B39, '프로젝트(G)'!X:X, B47)
  + SUMIFS('협력사 EPC(H)'!I:I, '협력사 EPC(H)'!C:C, $E$1, '협력사 EPC(H)'!G:G, B39, '협력사 EPC(H)'!X:X, B47)
  + SUMIFS('기타(Z)'!I:I, '기타(Z)'!C:C, $E$1, '기타(Z)'!G:G, B39, '기타(Z)'!X:X, B47)
)</f>
        <v/>
      </c>
      <c r="D47" s="263" t="str">
        <f>IF(
  COUNTIFS('발전사업(A)'!C:C, $E$1, '발전사업(A)'!G:G, B39, '발전사업(A)'!X:X, B47)
  + COUNTIFS('자가소비(B)'!C:C, $E$1, '자가소비(B)'!G:G, B39, '자가소비(B)'!X:X, B47)
  + COUNTIFS('PPA 사업(C)'!C:C, $E$1, 'PPA 사업(C)'!G:G, B39, 'PPA 사업(C)'!X:X, B47)
  + COUNTIFS('리스사업(D)'!C:C, $E$1, '리스사업(D)'!G:G, B39, '리스사업(D)'!X:X, B47)
  + COUNTIFS('임대사업(E)'!C:C, $E$1, '임대사업(E)'!G:G, B39, '임대사업(E)'!X:X, B47)
  + COUNTIFS('환경부사업(F)'!C:C, $E$1, '환경부사업(F)'!G:G, B39, '환경부사업(F)'!X:X, B47)
  + COUNTIFS('프로젝트(G)'!C:C, $E$1, '프로젝트(G)'!G:G, B39, '프로젝트(G)'!X:X, B47)
  + COUNTIFS('협력사 EPC(H)'!C:C, $E$1, '협력사 EPC(H)'!G:G, B39, '협력사 EPC(H)'!X:X, B47)
  + COUNTIFS('기타(Z)'!C:C, $E$1, '기타(Z)'!G:G, B39, '기타(Z)'!X:X, B47)
  = 0,
  "",
  COUNTIFS('발전사업(A)'!C:C, $E$1, '발전사업(A)'!G:G, B39, '발전사업(A)'!X:X, B47)
  + COUNTIFS('자가소비(B)'!C:C, $E$1, '자가소비(B)'!G:G, B39, '자가소비(B)'!X:X, B47)
  + COUNTIFS('PPA 사업(C)'!C:C, $E$1, 'PPA 사업(C)'!G:G, B39, 'PPA 사업(C)'!X:X, B47)
  + COUNTIFS('리스사업(D)'!C:C, $E$1, '리스사업(D)'!G:G, B39, '리스사업(D)'!X:X, B47)
  + COUNTIFS('임대사업(E)'!C:C, $E$1, '임대사업(E)'!G:G, B39, '임대사업(E)'!X:X, B47)
  + COUNTIFS('환경부사업(F)'!C:C, $E$1, '환경부사업(F)'!G:G, B39, '환경부사업(F)'!X:X, B47)
  + COUNTIFS('프로젝트(G)'!C:C, $E$1, '프로젝트(G)'!G:G, B39, '프로젝트(G)'!X:X, B47)
  + COUNTIFS('협력사 EPC(H)'!C:C, $E$1, '협력사 EPC(H)'!G:G, B39, '협력사 EPC(H)'!X:X, B47)
  + COUNTIFS('기타(Z)'!C:C, $E$1, '기타(Z)'!G:G, B39, '기타(Z)'!X:X, B47)
)</f>
        <v/>
      </c>
      <c r="E47" s="262" t="str">
        <f>IF(
  SUM(
    SUMIFS('발전사업(A)'!I:I, '발전사업(A)'!C:C, $E$1, '발전사업(A)'!G:G, B39, '발전사업(A)'!X:X, B47, '발전사업(A)'!U:U, $C$1),
    SUMIFS('자가소비(B)'!I:I, '자가소비(B)'!C:C, $E$1, '자가소비(B)'!G:G, B39, '자가소비(B)'!X:X, B47, '자가소비(B)'!U:U, $C$1),
    SUMIFS('PPA 사업(C)'!I:I, 'PPA 사업(C)'!C:C, $E$1, 'PPA 사업(C)'!G:G, B39, 'PPA 사업(C)'!X:X, B47, 'PPA 사업(C)'!U:U, $C$1),
    SUMIFS('리스사업(D)'!I:I, '리스사업(D)'!C:C, $E$1, '리스사업(D)'!G:G, B39, '리스사업(D)'!X:X, B47, '리스사업(D)'!U:U, $C$1),
    SUMIFS('임대사업(E)'!I:I, '임대사업(E)'!C:C, $E$1, '임대사업(E)'!G:G, B39, '임대사업(E)'!X:X, B47, '임대사업(E)'!U:U, $C$1),
    SUMIFS('환경부사업(F)'!I:I, '환경부사업(F)'!C:C, $E$1, '환경부사업(F)'!G:G, B39, '환경부사업(F)'!X:X, B47, '환경부사업(F)'!U:U, $C$1),
    SUMIFS('프로젝트(G)'!I:I, '프로젝트(G)'!C:C, $E$1, '프로젝트(G)'!G:G, B39, '프로젝트(G)'!X:X, B47, '프로젝트(G)'!U:U, $C$1),
    SUMIFS('협력사 EPC(H)'!I:I, '협력사 EPC(H)'!C:C, $E$1, '협력사 EPC(H)'!G:G, B39, '협력사 EPC(H)'!X:X, B47, '협력사 EPC(H)'!U:U, $C$1),
    SUMIFS('기타(Z)'!I:I, '기타(Z)'!C:C, $E$1, '기타(Z)'!G:G, B39, '기타(Z)'!X:X, B47, '기타(Z)'!U:U, $C$1)
  ) = 0,
  "",
  SUM(
    SUMIFS('발전사업(A)'!I:I, '발전사업(A)'!C:C, $E$1, '발전사업(A)'!G:G, B39, '발전사업(A)'!X:X, B47, '발전사업(A)'!U:U, $C$1),
    SUMIFS('자가소비(B)'!I:I, '자가소비(B)'!C:C, $E$1, '자가소비(B)'!G:G, B39, '자가소비(B)'!X:X, B47, '자가소비(B)'!U:U, $C$1),
    SUMIFS('PPA 사업(C)'!I:I, 'PPA 사업(C)'!C:C, $E$1, 'PPA 사업(C)'!G:G, B39, 'PPA 사업(C)'!X:X, B47, 'PPA 사업(C)'!U:U, $C$1),
    SUMIFS('리스사업(D)'!I:I, '리스사업(D)'!C:C, $E$1, '리스사업(D)'!G:G, B39, '리스사업(D)'!X:X, B47, '리스사업(D)'!U:U, $C$1),
    SUMIFS('임대사업(E)'!I:I, '임대사업(E)'!C:C, $E$1, '임대사업(E)'!G:G, B39, '임대사업(E)'!X:X, B47, '임대사업(E)'!U:U, $C$1),
    SUMIFS('환경부사업(F)'!I:I, '환경부사업(F)'!C:C, $E$1, '환경부사업(F)'!G:G, B39, '환경부사업(F)'!X:X, B47, '환경부사업(F)'!U:U, $C$1),
    SUMIFS('프로젝트(G)'!I:I, '프로젝트(G)'!C:C, $E$1, '프로젝트(G)'!G:G, B39, '프로젝트(G)'!X:X, B47, '프로젝트(G)'!U:U, $C$1),
    SUMIFS('협력사 EPC(H)'!I:I, '협력사 EPC(H)'!C:C, $E$1, '협력사 EPC(H)'!G:G, B39, '협력사 EPC(H)'!X:X, B47, '협력사 EPC(H)'!U:U, $C$1),
    SUMIFS('기타(Z)'!I:I, '기타(Z)'!C:C, $E$1, '기타(Z)'!G:G, B39, '기타(Z)'!X:X, B47, '기타(Z)'!U:U, $C$1)
  )
)</f>
        <v/>
      </c>
      <c r="F47" s="263" t="str">
        <f>IF(
  SUM(
    COUNTIFS('발전사업(A)'!C:C, $E$1, '발전사업(A)'!G:G, B39, '발전사업(A)'!X:X, B47, '발전사업(A)'!U:U, $C$1),
    COUNTIFS('자가소비(B)'!C:C, $E$1, '자가소비(B)'!G:G, B39, '자가소비(B)'!X:X, B47, '자가소비(B)'!U:U, $C$1),
    COUNTIFS('PPA 사업(C)'!C:C, $E$1, 'PPA 사업(C)'!G:G, B39, 'PPA 사업(C)'!X:X, B47, 'PPA 사업(C)'!U:U, $C$1),
    COUNTIFS('리스사업(D)'!C:C, $E$1, '리스사업(D)'!G:G, B39, '리스사업(D)'!X:X, B47, '리스사업(D)'!U:U, $C$1),
    COUNTIFS('임대사업(E)'!C:C, $E$1, '임대사업(E)'!G:G, B39, '임대사업(E)'!X:X, B47, '임대사업(E)'!U:U, $C$1),
    COUNTIFS('환경부사업(F)'!C:C, $E$1, '환경부사업(F)'!G:G, B39, '환경부사업(F)'!X:X, B47, '환경부사업(F)'!U:U, $C$1),
    COUNTIFS('프로젝트(G)'!C:C, $E$1, '프로젝트(G)'!G:G, B39, '프로젝트(G)'!X:X, B47, '프로젝트(G)'!U:U, $C$1),
    COUNTIFS('협력사 EPC(H)'!C:C, $E$1, '협력사 EPC(H)'!G:G, B39, '협력사 EPC(H)'!X:X, B47, '협력사 EPC(H)'!U:U, $C$1),
    COUNTIFS('기타(Z)'!C:C, $E$1, '기타(Z)'!G:G, B39, '기타(Z)'!X:X, B47, '기타(Z)'!U:U, $C$1)
  ) = 0,
  "",
  SUM(
    COUNTIFS('발전사업(A)'!C:C, $E$1, '발전사업(A)'!G:G, B39, '발전사업(A)'!X:X, B47, '발전사업(A)'!U:U, $C$1),
    COUNTIFS('자가소비(B)'!C:C, $E$1, '자가소비(B)'!G:G, B39, '자가소비(B)'!X:X, B47, '자가소비(B)'!U:U, $C$1),
    COUNTIFS('PPA 사업(C)'!C:C, $E$1, 'PPA 사업(C)'!G:G, B39, 'PPA 사업(C)'!X:X, B47, 'PPA 사업(C)'!U:U, $C$1),
    COUNTIFS('리스사업(D)'!C:C, $E$1, '리스사업(D)'!G:G, B39, '리스사업(D)'!X:X, B47, '리스사업(D)'!U:U, $C$1),
    COUNTIFS('임대사업(E)'!C:C, $E$1, '임대사업(E)'!G:G, B39, '임대사업(E)'!X:X, B47, '임대사업(E)'!U:U, $C$1),
    COUNTIFS('환경부사업(F)'!C:C, $E$1, '환경부사업(F)'!G:G, B39, '환경부사업(F)'!X:X, B47, '환경부사업(F)'!U:U, $C$1),
    COUNTIFS('프로젝트(G)'!C:C, $E$1, '프로젝트(G)'!G:G, B39, '프로젝트(G)'!X:X, B47, '프로젝트(G)'!U:U, $C$1),
    COUNTIFS('협력사 EPC(H)'!C:C, $E$1, '협력사 EPC(H)'!G:G, B39, '협력사 EPC(H)'!X:X, B47, '협력사 EPC(H)'!U:U, $C$1),
    COUNTIFS('기타(Z)'!C:C, $E$1, '기타(Z)'!G:G, B39, '기타(Z)'!X:X, B47, '기타(Z)'!U:U, $C$1)
  )
)</f>
        <v/>
      </c>
      <c r="G47" s="262" t="str">
        <f>IF(
  SUM(
    SUMIFS('발전사업(A)'!I:I, '발전사업(A)'!C:C, $E$1, '발전사업(A)'!G:G, B39, '발전사업(A)'!X:X, B47, '발전사업(A)'!U:U, $D$1),
    SUMIFS('자가소비(B)'!I:I, '자가소비(B)'!C:C, $E$1, '자가소비(B)'!G:G, B39, '자가소비(B)'!X:X, B47, '자가소비(B)'!U:U, $D$1),
    SUMIFS('PPA 사업(C)'!I:I, 'PPA 사업(C)'!C:C, $E$1, 'PPA 사업(C)'!G:G, B39, 'PPA 사업(C)'!X:X, B47, 'PPA 사업(C)'!U:U, $D$1),
    SUMIFS('리스사업(D)'!I:I, '리스사업(D)'!C:C, $E$1, '리스사업(D)'!G:G, B39, '리스사업(D)'!X:X, B47, '리스사업(D)'!U:U, $D$1),
    SUMIFS('임대사업(E)'!I:I, '임대사업(E)'!C:C, $E$1, '임대사업(E)'!G:G, B39, '임대사업(E)'!X:X, B47, '임대사업(E)'!U:U, $D$1),
    SUMIFS('환경부사업(F)'!I:I, '환경부사업(F)'!C:C, $E$1, '환경부사업(F)'!G:G, B39, '환경부사업(F)'!X:X, B47, '환경부사업(F)'!U:U, $D$1),
    SUMIFS('프로젝트(G)'!I:I, '프로젝트(G)'!C:C, $E$1, '프로젝트(G)'!G:G, B39, '프로젝트(G)'!X:X, B47, '프로젝트(G)'!U:U, $D$1),
    SUMIFS('협력사 EPC(H)'!I:I, '협력사 EPC(H)'!C:C, $E$1, '협력사 EPC(H)'!G:G, B39, '협력사 EPC(H)'!X:X, B47, '협력사 EPC(H)'!U:U, $D$1),
    SUMIFS('기타(Z)'!I:I, '기타(Z)'!C:C, $E$1, '기타(Z)'!G:G, B39, '기타(Z)'!X:X, B47, '기타(Z)'!U:U, $D$1)
  ) = 0,
  "",
  SUM(
    SUMIFS('발전사업(A)'!I:I, '발전사업(A)'!C:C, $E$1, '발전사업(A)'!G:G, B39, '발전사업(A)'!X:X, B47, '발전사업(A)'!U:U, $D$1),
    SUMIFS('자가소비(B)'!I:I, '자가소비(B)'!C:C, $E$1, '자가소비(B)'!G:G, B39, '자가소비(B)'!X:X, B47, '자가소비(B)'!U:U, $D$1),
    SUMIFS('PPA 사업(C)'!I:I, 'PPA 사업(C)'!C:C, $E$1, 'PPA 사업(C)'!G:G, B39, 'PPA 사업(C)'!X:X, B47, 'PPA 사업(C)'!U:U, $D$1),
    SUMIFS('리스사업(D)'!I:I, '리스사업(D)'!C:C, $E$1, '리스사업(D)'!G:G, B39, '리스사업(D)'!X:X, B47, '리스사업(D)'!U:U, $D$1),
    SUMIFS('임대사업(E)'!I:I, '임대사업(E)'!C:C, $E$1, '임대사업(E)'!G:G, B39, '임대사업(E)'!X:X, B47, '임대사업(E)'!U:U, $D$1),
    SUMIFS('환경부사업(F)'!I:I, '환경부사업(F)'!C:C, $E$1, '환경부사업(F)'!G:G, B39, '환경부사업(F)'!X:X, B47, '환경부사업(F)'!U:U, $D$1),
    SUMIFS('프로젝트(G)'!I:I, '프로젝트(G)'!C:C, $E$1, '프로젝트(G)'!G:G, B39, '프로젝트(G)'!X:X, B47, '프로젝트(G)'!U:U, $D$1),
    SUMIFS('협력사 EPC(H)'!I:I, '협력사 EPC(H)'!C:C, $E$1, '협력사 EPC(H)'!G:G, B39, '협력사 EPC(H)'!X:X, B47, '협력사 EPC(H)'!U:U, $D$1),
    SUMIFS('기타(Z)'!I:I, '기타(Z)'!C:C, $E$1, '기타(Z)'!G:G, B39, '기타(Z)'!X:X, B47, '기타(Z)'!U:U, $D$1)
  )
)</f>
        <v/>
      </c>
      <c r="H47" s="263" t="str">
        <f>IF(
  (
    COUNTIFS('발전사업(A)'!C:C, $E$1, '발전사업(A)'!G:G, B39, '발전사업(A)'!X:X, B47, '발전사업(A)'!U:U, $D$1)
    + COUNTIFS('자가소비(B)'!C:C, $E$1, '자가소비(B)'!G:G, B39, '자가소비(B)'!X:X, B47, '자가소비(B)'!U:U, $D$1)
    + COUNTIFS('PPA 사업(C)'!C:C, $E$1, 'PPA 사업(C)'!G:G, B39, 'PPA 사업(C)'!X:X, B47, 'PPA 사업(C)'!U:U, $D$1)
    + COUNTIFS('리스사업(D)'!C:C, $E$1, '리스사업(D)'!G:G, B39, '리스사업(D)'!X:X, B47, '리스사업(D)'!U:U, $D$1)
    + COUNTIFS('임대사업(E)'!C:C, $E$1, '임대사업(E)'!G:G, B39, '임대사업(E)'!X:X, B47, '임대사업(E)'!U:U, $D$1)
    + COUNTIFS('환경부사업(F)'!C:C, $E$1, '환경부사업(F)'!G:G, B39, '환경부사업(F)'!X:X, B47, '환경부사업(F)'!U:U, $D$1)
    + COUNTIFS('프로젝트(G)'!C:C, $E$1, '프로젝트(G)'!G:G, B39, '프로젝트(G)'!X:X, B47, '프로젝트(G)'!U:U, $D$1)
    + COUNTIFS('협력사 EPC(H)'!C:C, $E$1, '협력사 EPC(H)'!G:G, B39, '협력사 EPC(H)'!X:X, B47, '협력사 EPC(H)'!U:U, $D$1)
    + COUNTIFS('기타(Z)'!C:C, $E$1, '기타(Z)'!G:G, B39, '기타(Z)'!X:X, B47, '기타(Z)'!U:U, $D$1)
  ) = 0,
  "",
  COUNTIFS('발전사업(A)'!C:C, $E$1, '발전사업(A)'!G:G, B39, '발전사업(A)'!X:X, B47, '발전사업(A)'!U:U, $D$1)
  + COUNTIFS('자가소비(B)'!C:C, $E$1, '자가소비(B)'!G:G, B39, '자가소비(B)'!X:X, B47, '자가소비(B)'!U:U, $D$1)
  + COUNTIFS('PPA 사업(C)'!C:C, $E$1, 'PPA 사업(C)'!G:G, B39, 'PPA 사업(C)'!X:X, B47, 'PPA 사업(C)'!U:U, $D$1)
  + COUNTIFS('리스사업(D)'!C:C, $E$1, '리스사업(D)'!G:G, B39, '리스사업(D)'!X:X, B47, '리스사업(D)'!U:U, $D$1)
  + COUNTIFS('임대사업(E)'!C:C, $E$1, '임대사업(E)'!G:G, B39, '임대사업(E)'!X:X, B47, '임대사업(E)'!U:U, $D$1)
  + COUNTIFS('환경부사업(F)'!C:C, $E$1, '환경부사업(F)'!G:G, B39, '환경부사업(F)'!X:X, B47, '환경부사업(F)'!U:U, $D$1)
  + COUNTIFS('프로젝트(G)'!C:C, $E$1, '프로젝트(G)'!G:G, B39, '프로젝트(G)'!X:X, B47, '프로젝트(G)'!U:U, $D$1)
  + COUNTIFS('협력사 EPC(H)'!C:C, $E$1, '협력사 EPC(H)'!G:G, B39, '협력사 EPC(H)'!X:X, B47, '협력사 EPC(H)'!U:U, $D$1)
  + COUNTIFS('기타(Z)'!C:C, $E$1, '기타(Z)'!G:G, B39, '기타(Z)'!X:X, B47, '기타(Z)'!U:U, $D$1)
)</f>
        <v/>
      </c>
    </row>
    <row r="48" spans="2:8" ht="16.5" x14ac:dyDescent="0.25">
      <c r="B48" s="274" t="s">
        <v>174</v>
      </c>
      <c r="C48" s="268">
        <f t="shared" ref="C48:H48" si="10">SUM(C40:C47)</f>
        <v>9652.1550000000025</v>
      </c>
      <c r="D48" s="269">
        <f t="shared" si="10"/>
        <v>28</v>
      </c>
      <c r="E48" s="270">
        <f t="shared" si="10"/>
        <v>6063.375</v>
      </c>
      <c r="F48" s="271">
        <f t="shared" si="10"/>
        <v>21</v>
      </c>
      <c r="G48" s="272">
        <f t="shared" si="10"/>
        <v>3588.7800000000007</v>
      </c>
      <c r="H48" s="273">
        <f t="shared" si="10"/>
        <v>7</v>
      </c>
    </row>
    <row r="51" spans="2:8" ht="17.25" x14ac:dyDescent="0.25">
      <c r="B51" s="264">
        <v>4</v>
      </c>
      <c r="C51" s="265" t="s">
        <v>176</v>
      </c>
      <c r="D51" s="265" t="s">
        <v>175</v>
      </c>
      <c r="E51" s="266" t="s">
        <v>177</v>
      </c>
      <c r="F51" s="266" t="s">
        <v>178</v>
      </c>
      <c r="G51" s="267" t="s">
        <v>179</v>
      </c>
      <c r="H51" s="267" t="s">
        <v>180</v>
      </c>
    </row>
    <row r="52" spans="2:8" x14ac:dyDescent="0.25">
      <c r="B52" s="195" t="s">
        <v>160</v>
      </c>
      <c r="C52" s="262">
        <f>IF(
  SUM(
    SUMIFS('발전사업(A)'!I:I, '발전사업(A)'!C:C, $E$1, '발전사업(A)'!G:G, B51, '발전사업(A)'!X:X, B52),
    SUMIFS('자가소비(B)'!I:I, '자가소비(B)'!C:C, $E$1, '자가소비(B)'!G:G, B51, '자가소비(B)'!X:X, B52),
    SUMIFS('PPA 사업(C)'!I:I, 'PPA 사업(C)'!C:C, $E$1, 'PPA 사업(C)'!G:G, B51, 'PPA 사업(C)'!X:X, B52),
    SUMIFS('리스사업(D)'!I:I, '리스사업(D)'!C:C, $E$1, '리스사업(D)'!G:G, B51, '리스사업(D)'!X:X, B52),
    SUMIFS('임대사업(E)'!I:I, '임대사업(E)'!C:C, $E$1, '임대사업(E)'!G:G, B51, '임대사업(E)'!X:X, B52),
    SUMIFS('환경부사업(F)'!I:I, '환경부사업(F)'!C:C, $E$1, '환경부사업(F)'!G:G, B51, '환경부사업(F)'!X:X, B52),
    SUMIFS('프로젝트(G)'!I:I, '프로젝트(G)'!C:C, $E$1, '프로젝트(G)'!G:G, B51, '프로젝트(G)'!X:X, B52),
    SUMIFS('협력사 EPC(H)'!I:I, '협력사 EPC(H)'!C:C, $E$1, '협력사 EPC(H)'!G:G, B51, '협력사 EPC(H)'!X:X, B52),
    SUMIFS('기타(Z)'!I:I, '기타(Z)'!C:C, $E$1, '기타(Z)'!G:G, B51, '기타(Z)'!X:X, B52)
  ) = 0,
  "",
  SUMIFS('발전사업(A)'!I:I, '발전사업(A)'!C:C, $E$1, '발전사업(A)'!G:G, B51, '발전사업(A)'!X:X, B52)
  + SUMIFS('자가소비(B)'!I:I, '자가소비(B)'!C:C, $E$1, '자가소비(B)'!G:G, B51, '자가소비(B)'!X:X, B52)
  + SUMIFS('PPA 사업(C)'!I:I, 'PPA 사업(C)'!C:C, $E$1, 'PPA 사업(C)'!G:G, B51, 'PPA 사업(C)'!X:X, B52)
  + SUMIFS('리스사업(D)'!I:I, '리스사업(D)'!C:C, $E$1, '리스사업(D)'!G:G, B51, '리스사업(D)'!X:X, B52)
  + SUMIFS('임대사업(E)'!I:I, '임대사업(E)'!C:C, $E$1, '임대사업(E)'!G:G, B51, '임대사업(E)'!X:X, B52)
  + SUMIFS('환경부사업(F)'!I:I, '환경부사업(F)'!C:C, $E$1, '환경부사업(F)'!G:G, B51, '환경부사업(F)'!X:X, B52)
  + SUMIFS('프로젝트(G)'!I:I, '프로젝트(G)'!C:C, $E$1, '프로젝트(G)'!G:G, B51, '프로젝트(G)'!X:X, B52)
  + SUMIFS('협력사 EPC(H)'!I:I, '협력사 EPC(H)'!C:C, $E$1, '협력사 EPC(H)'!G:G, B51, '협력사 EPC(H)'!X:X, B52)
  + SUMIFS('기타(Z)'!I:I, '기타(Z)'!C:C, $E$1, '기타(Z)'!G:G, B51, '기타(Z)'!X:X, B52)
)</f>
        <v>1800.1949999999999</v>
      </c>
      <c r="D52" s="263">
        <f>IF(
  COUNTIFS('발전사업(A)'!C:C, $E$1, '발전사업(A)'!G:G, B51, '발전사업(A)'!X:X, B52)
  + COUNTIFS('자가소비(B)'!C:C, $E$1, '자가소비(B)'!G:G, B51, '자가소비(B)'!X:X, B52)
  + COUNTIFS('PPA 사업(C)'!C:C, $E$1, 'PPA 사업(C)'!G:G, B51, 'PPA 사업(C)'!X:X, B52)
  + COUNTIFS('리스사업(D)'!C:C, $E$1, '리스사업(D)'!G:G, B51, '리스사업(D)'!X:X, B52)
  + COUNTIFS('임대사업(E)'!C:C, $E$1, '임대사업(E)'!G:G, B51, '임대사업(E)'!X:X, B52)
  + COUNTIFS('환경부사업(F)'!C:C, $E$1, '환경부사업(F)'!G:G, B51, '환경부사업(F)'!X:X, B52)
  + COUNTIFS('프로젝트(G)'!C:C, $E$1, '프로젝트(G)'!G:G, B51, '프로젝트(G)'!X:X, B52)
  + COUNTIFS('협력사 EPC(H)'!C:C, $E$1, '협력사 EPC(H)'!G:G, B51, '협력사 EPC(H)'!X:X, B52)
  + COUNTIFS('기타(Z)'!C:C, $E$1, '기타(Z)'!G:G, B51, '기타(Z)'!X:X, B52)
  = 0,
  "",
  COUNTIFS('발전사업(A)'!C:C, $E$1, '발전사업(A)'!G:G, B51, '발전사업(A)'!X:X, B52)
  + COUNTIFS('자가소비(B)'!C:C, $E$1, '자가소비(B)'!G:G, B51, '자가소비(B)'!X:X, B52)
  + COUNTIFS('PPA 사업(C)'!C:C, $E$1, 'PPA 사업(C)'!G:G, B51, 'PPA 사업(C)'!X:X, B52)
  + COUNTIFS('리스사업(D)'!C:C, $E$1, '리스사업(D)'!G:G, B51, '리스사업(D)'!X:X, B52)
  + COUNTIFS('임대사업(E)'!C:C, $E$1, '임대사업(E)'!G:G, B51, '임대사업(E)'!X:X, B52)
  + COUNTIFS('환경부사업(F)'!C:C, $E$1, '환경부사업(F)'!G:G, B51, '환경부사업(F)'!X:X, B52)
  + COUNTIFS('프로젝트(G)'!C:C, $E$1, '프로젝트(G)'!G:G, B51, '프로젝트(G)'!X:X, B52)
  + COUNTIFS('협력사 EPC(H)'!C:C, $E$1, '협력사 EPC(H)'!G:G, B51, '협력사 EPC(H)'!X:X, B52)
  + COUNTIFS('기타(Z)'!C:C, $E$1, '기타(Z)'!G:G, B51, '기타(Z)'!X:X, B52)
)</f>
        <v>3</v>
      </c>
      <c r="E52" s="262">
        <f>IF(
  SUM(
    SUMIFS('발전사업(A)'!I:I, '발전사업(A)'!C:C, $E$1, '발전사업(A)'!G:G, B51, '발전사업(A)'!X:X, B52, '발전사업(A)'!U:U, $C$1),
    SUMIFS('자가소비(B)'!I:I, '자가소비(B)'!C:C, $E$1, '자가소비(B)'!G:G, B51, '자가소비(B)'!X:X, B52, '자가소비(B)'!U:U, $C$1),
    SUMIFS('PPA 사업(C)'!I:I, 'PPA 사업(C)'!C:C, $E$1, 'PPA 사업(C)'!G:G, B51, 'PPA 사업(C)'!X:X, B52, 'PPA 사업(C)'!U:U, $C$1),
    SUMIFS('리스사업(D)'!I:I, '리스사업(D)'!C:C, $E$1, '리스사업(D)'!G:G, B51, '리스사업(D)'!X:X, B52, '리스사업(D)'!U:U, $C$1),
    SUMIFS('임대사업(E)'!I:I, '임대사업(E)'!C:C, $E$1, '임대사업(E)'!G:G, B51, '임대사업(E)'!X:X, B52, '임대사업(E)'!U:U, $C$1),
    SUMIFS('환경부사업(F)'!I:I, '환경부사업(F)'!C:C, $E$1, '환경부사업(F)'!G:G, B51, '환경부사업(F)'!X:X, B52, '환경부사업(F)'!U:U, $C$1),
    SUMIFS('프로젝트(G)'!I:I, '프로젝트(G)'!C:C, $E$1, '프로젝트(G)'!G:G, B51, '프로젝트(G)'!X:X, B52, '프로젝트(G)'!U:U, $C$1),
    SUMIFS('협력사 EPC(H)'!I:I, '협력사 EPC(H)'!C:C, $E$1, '협력사 EPC(H)'!G:G, B51, '협력사 EPC(H)'!X:X, B52, '협력사 EPC(H)'!U:U, $C$1),
    SUMIFS('기타(Z)'!I:I, '기타(Z)'!C:C, $E$1, '기타(Z)'!G:G, B51, '기타(Z)'!X:X, B52, '기타(Z)'!U:U, $C$1)
  ) = 0,
  "",
  SUM(
    SUMIFS('발전사업(A)'!I:I, '발전사업(A)'!C:C, $E$1, '발전사업(A)'!G:G, B51, '발전사업(A)'!X:X, B52, '발전사업(A)'!U:U, $C$1),
    SUMIFS('자가소비(B)'!I:I, '자가소비(B)'!C:C, $E$1, '자가소비(B)'!G:G, B51, '자가소비(B)'!X:X, B52, '자가소비(B)'!U:U, $C$1),
    SUMIFS('PPA 사업(C)'!I:I, 'PPA 사업(C)'!C:C, $E$1, 'PPA 사업(C)'!G:G, B51, 'PPA 사업(C)'!X:X, B52, 'PPA 사업(C)'!U:U, $C$1),
    SUMIFS('리스사업(D)'!I:I, '리스사업(D)'!C:C, $E$1, '리스사업(D)'!G:G, B51, '리스사업(D)'!X:X, B52, '리스사업(D)'!U:U, $C$1),
    SUMIFS('임대사업(E)'!I:I, '임대사업(E)'!C:C, $E$1, '임대사업(E)'!G:G, B51, '임대사업(E)'!X:X, B52, '임대사업(E)'!U:U, $C$1),
    SUMIFS('환경부사업(F)'!I:I, '환경부사업(F)'!C:C, $E$1, '환경부사업(F)'!G:G, B51, '환경부사업(F)'!X:X, B52, '환경부사업(F)'!U:U, $C$1),
    SUMIFS('프로젝트(G)'!I:I, '프로젝트(G)'!C:C, $E$1, '프로젝트(G)'!G:G, B51, '프로젝트(G)'!X:X, B52, '프로젝트(G)'!U:U, $C$1),
    SUMIFS('협력사 EPC(H)'!I:I, '협력사 EPC(H)'!C:C, $E$1, '협력사 EPC(H)'!G:G, B51, '협력사 EPC(H)'!X:X, B52, '협력사 EPC(H)'!U:U, $C$1),
    SUMIFS('기타(Z)'!I:I, '기타(Z)'!C:C, $E$1, '기타(Z)'!G:G, B51, '기타(Z)'!X:X, B52, '기타(Z)'!U:U, $C$1)
  )
)</f>
        <v>1337.73</v>
      </c>
      <c r="F52" s="263">
        <f>IF(
  SUM(
    COUNTIFS('발전사업(A)'!C:C, $E$1, '발전사업(A)'!G:G, B51, '발전사업(A)'!X:X, B52, '발전사업(A)'!U:U, $C$1),
    COUNTIFS('자가소비(B)'!C:C, $E$1, '자가소비(B)'!G:G, B51, '자가소비(B)'!X:X, B52, '자가소비(B)'!U:U, $C$1),
    COUNTIFS('PPA 사업(C)'!C:C, $E$1, 'PPA 사업(C)'!G:G, B51, 'PPA 사업(C)'!X:X, B52, 'PPA 사업(C)'!U:U, $C$1),
    COUNTIFS('리스사업(D)'!C:C, $E$1, '리스사업(D)'!G:G, B51, '리스사업(D)'!X:X, B52, '리스사업(D)'!U:U, $C$1),
    COUNTIFS('임대사업(E)'!C:C, $E$1, '임대사업(E)'!G:G, B51, '임대사업(E)'!X:X, B52, '임대사업(E)'!U:U, $C$1),
    COUNTIFS('환경부사업(F)'!C:C, $E$1, '환경부사업(F)'!G:G, B51, '환경부사업(F)'!X:X, B52, '환경부사업(F)'!U:U, $C$1),
    COUNTIFS('프로젝트(G)'!C:C, $E$1, '프로젝트(G)'!G:G, B51, '프로젝트(G)'!X:X, B52, '프로젝트(G)'!U:U, $C$1),
    COUNTIFS('협력사 EPC(H)'!C:C, $E$1, '협력사 EPC(H)'!G:G, B51, '협력사 EPC(H)'!X:X, B52, '협력사 EPC(H)'!U:U, $C$1),
    COUNTIFS('기타(Z)'!C:C, $E$1, '기타(Z)'!G:G, B51, '기타(Z)'!X:X, B52, '기타(Z)'!U:U, $C$1)
  ) = 0,
  "",
  SUM(
    COUNTIFS('발전사업(A)'!C:C, $E$1, '발전사업(A)'!G:G, B51, '발전사업(A)'!X:X, B52, '발전사업(A)'!U:U, $C$1),
    COUNTIFS('자가소비(B)'!C:C, $E$1, '자가소비(B)'!G:G, B51, '자가소비(B)'!X:X, B52, '자가소비(B)'!U:U, $C$1),
    COUNTIFS('PPA 사업(C)'!C:C, $E$1, 'PPA 사업(C)'!G:G, B51, 'PPA 사업(C)'!X:X, B52, 'PPA 사업(C)'!U:U, $C$1),
    COUNTIFS('리스사업(D)'!C:C, $E$1, '리스사업(D)'!G:G, B51, '리스사업(D)'!X:X, B52, '리스사업(D)'!U:U, $C$1),
    COUNTIFS('임대사업(E)'!C:C, $E$1, '임대사업(E)'!G:G, B51, '임대사업(E)'!X:X, B52, '임대사업(E)'!U:U, $C$1),
    COUNTIFS('환경부사업(F)'!C:C, $E$1, '환경부사업(F)'!G:G, B51, '환경부사업(F)'!X:X, B52, '환경부사업(F)'!U:U, $C$1),
    COUNTIFS('프로젝트(G)'!C:C, $E$1, '프로젝트(G)'!G:G, B51, '프로젝트(G)'!X:X, B52, '프로젝트(G)'!U:U, $C$1),
    COUNTIFS('협력사 EPC(H)'!C:C, $E$1, '협력사 EPC(H)'!G:G, B51, '협력사 EPC(H)'!X:X, B52, '협력사 EPC(H)'!U:U, $C$1),
    COUNTIFS('기타(Z)'!C:C, $E$1, '기타(Z)'!G:G, B51, '기타(Z)'!X:X, B52, '기타(Z)'!U:U, $C$1)
  )
)</f>
        <v>2</v>
      </c>
      <c r="G52" s="262">
        <f>IF(
  SUM(
    SUMIFS('발전사업(A)'!I:I, '발전사업(A)'!C:C, $E$1, '발전사업(A)'!G:G, B51, '발전사업(A)'!X:X, B52, '발전사업(A)'!U:U, $D$1),
    SUMIFS('자가소비(B)'!I:I, '자가소비(B)'!C:C, $E$1, '자가소비(B)'!G:G, B51, '자가소비(B)'!X:X, B52, '자가소비(B)'!U:U, $D$1),
    SUMIFS('PPA 사업(C)'!I:I, 'PPA 사업(C)'!C:C, $E$1, 'PPA 사업(C)'!G:G, B51, 'PPA 사업(C)'!X:X, B52, 'PPA 사업(C)'!U:U, $D$1),
    SUMIFS('리스사업(D)'!I:I, '리스사업(D)'!C:C, $E$1, '리스사업(D)'!G:G, B51, '리스사업(D)'!X:X, B52, '리스사업(D)'!U:U, $D$1),
    SUMIFS('임대사업(E)'!I:I, '임대사업(E)'!C:C, $E$1, '임대사업(E)'!G:G, B51, '임대사업(E)'!X:X, B52, '임대사업(E)'!U:U, $D$1),
    SUMIFS('환경부사업(F)'!I:I, '환경부사업(F)'!C:C, $E$1, '환경부사업(F)'!G:G, B51, '환경부사업(F)'!X:X, B52, '환경부사업(F)'!U:U, $D$1),
    SUMIFS('프로젝트(G)'!I:I, '프로젝트(G)'!C:C, $E$1, '프로젝트(G)'!G:G, B51, '프로젝트(G)'!X:X, B52, '프로젝트(G)'!U:U, $D$1),
    SUMIFS('협력사 EPC(H)'!I:I, '협력사 EPC(H)'!C:C, $E$1, '협력사 EPC(H)'!G:G, B51, '협력사 EPC(H)'!X:X, B52, '협력사 EPC(H)'!U:U, $D$1),
    SUMIFS('기타(Z)'!I:I, '기타(Z)'!C:C, $E$1, '기타(Z)'!G:G, B51, '기타(Z)'!X:X, B52, '기타(Z)'!U:U, $D$1)
  ) = 0,
  "",
  SUM(
    SUMIFS('발전사업(A)'!I:I, '발전사업(A)'!C:C, $E$1, '발전사업(A)'!G:G, B51, '발전사업(A)'!X:X, B52, '발전사업(A)'!U:U, $D$1),
    SUMIFS('자가소비(B)'!I:I, '자가소비(B)'!C:C, $E$1, '자가소비(B)'!G:G, B51, '자가소비(B)'!X:X, B52, '자가소비(B)'!U:U, $D$1),
    SUMIFS('PPA 사업(C)'!I:I, 'PPA 사업(C)'!C:C, $E$1, 'PPA 사업(C)'!G:G, B51, 'PPA 사업(C)'!X:X, B52, 'PPA 사업(C)'!U:U, $D$1),
    SUMIFS('리스사업(D)'!I:I, '리스사업(D)'!C:C, $E$1, '리스사업(D)'!G:G, B51, '리스사업(D)'!X:X, B52, '리스사업(D)'!U:U, $D$1),
    SUMIFS('임대사업(E)'!I:I, '임대사업(E)'!C:C, $E$1, '임대사업(E)'!G:G, B51, '임대사업(E)'!X:X, B52, '임대사업(E)'!U:U, $D$1),
    SUMIFS('환경부사업(F)'!I:I, '환경부사업(F)'!C:C, $E$1, '환경부사업(F)'!G:G, B51, '환경부사업(F)'!X:X, B52, '환경부사업(F)'!U:U, $D$1),
    SUMIFS('프로젝트(G)'!I:I, '프로젝트(G)'!C:C, $E$1, '프로젝트(G)'!G:G, B51, '프로젝트(G)'!X:X, B52, '프로젝트(G)'!U:U, $D$1),
    SUMIFS('협력사 EPC(H)'!I:I, '협력사 EPC(H)'!C:C, $E$1, '협력사 EPC(H)'!G:G, B51, '협력사 EPC(H)'!X:X, B52, '협력사 EPC(H)'!U:U, $D$1),
    SUMIFS('기타(Z)'!I:I, '기타(Z)'!C:C, $E$1, '기타(Z)'!G:G, B51, '기타(Z)'!X:X, B52, '기타(Z)'!U:U, $D$1)
  )
)</f>
        <v>462.46499999999997</v>
      </c>
      <c r="H52" s="263">
        <f>IF(
  (
    COUNTIFS('발전사업(A)'!C:C, $E$1, '발전사업(A)'!G:G, B51, '발전사업(A)'!X:X, B52, '발전사업(A)'!U:U, $D$1)
    + COUNTIFS('자가소비(B)'!C:C, $E$1, '자가소비(B)'!G:G, B51, '자가소비(B)'!X:X, B52, '자가소비(B)'!U:U, $D$1)
    + COUNTIFS('PPA 사업(C)'!C:C, $E$1, 'PPA 사업(C)'!G:G, B51, 'PPA 사업(C)'!X:X, B52, 'PPA 사업(C)'!U:U, $D$1)
    + COUNTIFS('리스사업(D)'!C:C, $E$1, '리스사업(D)'!G:G, B51, '리스사업(D)'!X:X, B52, '리스사업(D)'!U:U, $D$1)
    + COUNTIFS('임대사업(E)'!C:C, $E$1, '임대사업(E)'!G:G, B51, '임대사업(E)'!X:X, B52, '임대사업(E)'!U:U, $D$1)
    + COUNTIFS('환경부사업(F)'!C:C, $E$1, '환경부사업(F)'!G:G, B51, '환경부사업(F)'!X:X, B52, '환경부사업(F)'!U:U, $D$1)
    + COUNTIFS('프로젝트(G)'!C:C, $E$1, '프로젝트(G)'!G:G, B51, '프로젝트(G)'!X:X, B52, '프로젝트(G)'!U:U, $D$1)
    + COUNTIFS('협력사 EPC(H)'!C:C, $E$1, '협력사 EPC(H)'!G:G, B51, '협력사 EPC(H)'!X:X, B52, '협력사 EPC(H)'!U:U, $D$1)
    + COUNTIFS('기타(Z)'!C:C, $E$1, '기타(Z)'!G:G, B51, '기타(Z)'!X:X, B52, '기타(Z)'!U:U, $D$1)
  ) = 0,
  "",
  COUNTIFS('발전사업(A)'!C:C, $E$1, '발전사업(A)'!G:G, B51, '발전사업(A)'!X:X, B52, '발전사업(A)'!U:U, $D$1)
  + COUNTIFS('자가소비(B)'!C:C, $E$1, '자가소비(B)'!G:G, B51, '자가소비(B)'!X:X, B52, '자가소비(B)'!U:U, $D$1)
  + COUNTIFS('PPA 사업(C)'!C:C, $E$1, 'PPA 사업(C)'!G:G, B51, 'PPA 사업(C)'!X:X, B52, 'PPA 사업(C)'!U:U, $D$1)
  + COUNTIFS('리스사업(D)'!C:C, $E$1, '리스사업(D)'!G:G, B51, '리스사업(D)'!X:X, B52, '리스사업(D)'!U:U, $D$1)
  + COUNTIFS('임대사업(E)'!C:C, $E$1, '임대사업(E)'!G:G, B51, '임대사업(E)'!X:X, B52, '임대사업(E)'!U:U, $D$1)
  + COUNTIFS('환경부사업(F)'!C:C, $E$1, '환경부사업(F)'!G:G, B51, '환경부사업(F)'!X:X, B52, '환경부사업(F)'!U:U, $D$1)
  + COUNTIFS('프로젝트(G)'!C:C, $E$1, '프로젝트(G)'!G:G, B51, '프로젝트(G)'!X:X, B52, '프로젝트(G)'!U:U, $D$1)
  + COUNTIFS('협력사 EPC(H)'!C:C, $E$1, '협력사 EPC(H)'!G:G, B51, '협력사 EPC(H)'!X:X, B52, '협력사 EPC(H)'!U:U, $D$1)
  + COUNTIFS('기타(Z)'!C:C, $E$1, '기타(Z)'!G:G, B51, '기타(Z)'!X:X, B52, '기타(Z)'!U:U, $D$1)
)</f>
        <v>1</v>
      </c>
    </row>
    <row r="53" spans="2:8" x14ac:dyDescent="0.25">
      <c r="B53" s="195" t="s">
        <v>152</v>
      </c>
      <c r="C53" s="262">
        <f>IF(
  SUM(
    SUMIFS('발전사업(A)'!I:I, '발전사업(A)'!C:C, $E$1, '발전사업(A)'!G:G, B51, '발전사업(A)'!X:X, B53),
    SUMIFS('자가소비(B)'!I:I, '자가소비(B)'!C:C, $E$1, '자가소비(B)'!G:G, B51, '자가소비(B)'!X:X, B53),
    SUMIFS('PPA 사업(C)'!I:I, 'PPA 사업(C)'!C:C, $E$1, 'PPA 사업(C)'!G:G, B51, 'PPA 사업(C)'!X:X, B53),
    SUMIFS('리스사업(D)'!I:I, '리스사업(D)'!C:C, $E$1, '리스사업(D)'!G:G, B51, '리스사업(D)'!X:X, B53),
    SUMIFS('임대사업(E)'!I:I, '임대사업(E)'!C:C, $E$1, '임대사업(E)'!G:G, B51, '임대사업(E)'!X:X, B53),
    SUMIFS('환경부사업(F)'!I:I, '환경부사업(F)'!C:C, $E$1, '환경부사업(F)'!G:G, B51, '환경부사업(F)'!X:X, B53),
    SUMIFS('프로젝트(G)'!I:I, '프로젝트(G)'!C:C, $E$1, '프로젝트(G)'!G:G, B51, '프로젝트(G)'!X:X, B53),
    SUMIFS('협력사 EPC(H)'!I:I, '협력사 EPC(H)'!C:C, $E$1, '협력사 EPC(H)'!G:G, B51, '협력사 EPC(H)'!X:X, B53),
    SUMIFS('기타(Z)'!I:I, '기타(Z)'!C:C, $E$1, '기타(Z)'!G:G, B51, '기타(Z)'!X:X, B53)
  ) = 0,
  "",
  SUMIFS('발전사업(A)'!I:I, '발전사업(A)'!C:C, $E$1, '발전사업(A)'!G:G, B51, '발전사업(A)'!X:X, B53)
  + SUMIFS('자가소비(B)'!I:I, '자가소비(B)'!C:C, $E$1, '자가소비(B)'!G:G, B51, '자가소비(B)'!X:X, B53)
  + SUMIFS('PPA 사업(C)'!I:I, 'PPA 사업(C)'!C:C, $E$1, 'PPA 사업(C)'!G:G, B51, 'PPA 사업(C)'!X:X, B53)
  + SUMIFS('리스사업(D)'!I:I, '리스사업(D)'!C:C, $E$1, '리스사업(D)'!G:G, B51, '리스사업(D)'!X:X, B53)
  + SUMIFS('임대사업(E)'!I:I, '임대사업(E)'!C:C, $E$1, '임대사업(E)'!G:G, B51, '임대사업(E)'!X:X, B53)
  + SUMIFS('환경부사업(F)'!I:I, '환경부사업(F)'!C:C, $E$1, '환경부사업(F)'!G:G, B51, '환경부사업(F)'!X:X, B53)
  + SUMIFS('프로젝트(G)'!I:I, '프로젝트(G)'!C:C, $E$1, '프로젝트(G)'!G:G, B51, '프로젝트(G)'!X:X, B53)
  + SUMIFS('협력사 EPC(H)'!I:I, '협력사 EPC(H)'!C:C, $E$1, '협력사 EPC(H)'!G:G, B51, '협력사 EPC(H)'!X:X, B53)
  + SUMIFS('기타(Z)'!I:I, '기타(Z)'!C:C, $E$1, '기타(Z)'!G:G, B51, '기타(Z)'!X:X, B53)
)</f>
        <v>3803.5650000000005</v>
      </c>
      <c r="D53" s="263">
        <f>IF(
  COUNTIFS('발전사업(A)'!C:C, $E$1, '발전사업(A)'!G:G, B51, '발전사업(A)'!X:X, B53)
  + COUNTIFS('자가소비(B)'!C:C, $E$1, '자가소비(B)'!G:G, B51, '자가소비(B)'!X:X, B53)
  + COUNTIFS('PPA 사업(C)'!C:C, $E$1, 'PPA 사업(C)'!G:G, B51, 'PPA 사업(C)'!X:X, B53)
  + COUNTIFS('리스사업(D)'!C:C, $E$1, '리스사업(D)'!G:G, B51, '리스사업(D)'!X:X, B53)
  + COUNTIFS('임대사업(E)'!C:C, $E$1, '임대사업(E)'!G:G, B51, '임대사업(E)'!X:X, B53)
  + COUNTIFS('환경부사업(F)'!C:C, $E$1, '환경부사업(F)'!G:G, B51, '환경부사업(F)'!X:X, B53)
  + COUNTIFS('프로젝트(G)'!C:C, $E$1, '프로젝트(G)'!G:G, B51, '프로젝트(G)'!X:X, B53)
  + COUNTIFS('협력사 EPC(H)'!C:C, $E$1, '협력사 EPC(H)'!G:G, B51, '협력사 EPC(H)'!X:X, B53)
  + COUNTIFS('기타(Z)'!C:C, $E$1, '기타(Z)'!G:G, B51, '기타(Z)'!X:X, B53)
  = 0,
  "",
  COUNTIFS('발전사업(A)'!C:C, $E$1, '발전사업(A)'!G:G, B51, '발전사업(A)'!X:X, B53)
  + COUNTIFS('자가소비(B)'!C:C, $E$1, '자가소비(B)'!G:G, B51, '자가소비(B)'!X:X, B53)
  + COUNTIFS('PPA 사업(C)'!C:C, $E$1, 'PPA 사업(C)'!G:G, B51, 'PPA 사업(C)'!X:X, B53)
  + COUNTIFS('리스사업(D)'!C:C, $E$1, '리스사업(D)'!G:G, B51, '리스사업(D)'!X:X, B53)
  + COUNTIFS('임대사업(E)'!C:C, $E$1, '임대사업(E)'!G:G, B51, '임대사업(E)'!X:X, B53)
  + COUNTIFS('환경부사업(F)'!C:C, $E$1, '환경부사업(F)'!G:G, B51, '환경부사업(F)'!X:X, B53)
  + COUNTIFS('프로젝트(G)'!C:C, $E$1, '프로젝트(G)'!G:G, B51, '프로젝트(G)'!X:X, B53)
  + COUNTIFS('협력사 EPC(H)'!C:C, $E$1, '협력사 EPC(H)'!G:G, B51, '협력사 EPC(H)'!X:X, B53)
  + COUNTIFS('기타(Z)'!C:C, $E$1, '기타(Z)'!G:G, B51, '기타(Z)'!X:X, B53)
)</f>
        <v>15</v>
      </c>
      <c r="E53" s="262">
        <f>IF(
  SUM(
    SUMIFS('발전사업(A)'!I:I, '발전사업(A)'!C:C, $E$1, '발전사업(A)'!G:G, B51, '발전사업(A)'!X:X, B53, '발전사업(A)'!U:U, $C$1),
    SUMIFS('자가소비(B)'!I:I, '자가소비(B)'!C:C, $E$1, '자가소비(B)'!G:G, B51, '자가소비(B)'!X:X, B53, '자가소비(B)'!U:U, $C$1),
    SUMIFS('PPA 사업(C)'!I:I, 'PPA 사업(C)'!C:C, $E$1, 'PPA 사업(C)'!G:G, B51, 'PPA 사업(C)'!X:X, B53, 'PPA 사업(C)'!U:U, $C$1),
    SUMIFS('리스사업(D)'!I:I, '리스사업(D)'!C:C, $E$1, '리스사업(D)'!G:G, B51, '리스사업(D)'!X:X, B53, '리스사업(D)'!U:U, $C$1),
    SUMIFS('임대사업(E)'!I:I, '임대사업(E)'!C:C, $E$1, '임대사업(E)'!G:G, B51, '임대사업(E)'!X:X, B53, '임대사업(E)'!U:U, $C$1),
    SUMIFS('환경부사업(F)'!I:I, '환경부사업(F)'!C:C, $E$1, '환경부사업(F)'!G:G, B51, '환경부사업(F)'!X:X, B53, '환경부사업(F)'!U:U, $C$1),
    SUMIFS('프로젝트(G)'!I:I, '프로젝트(G)'!C:C, $E$1, '프로젝트(G)'!G:G, B51, '프로젝트(G)'!X:X, B53, '프로젝트(G)'!U:U, $C$1),
    SUMIFS('협력사 EPC(H)'!I:I, '협력사 EPC(H)'!C:C, $E$1, '협력사 EPC(H)'!G:G, B51, '협력사 EPC(H)'!X:X, B53, '협력사 EPC(H)'!U:U, $C$1),
    SUMIFS('기타(Z)'!I:I, '기타(Z)'!C:C, $E$1, '기타(Z)'!G:G, B51, '기타(Z)'!X:X, B53, '기타(Z)'!U:U, $C$1)
  ) = 0,
  "",
  SUM(
    SUMIFS('발전사업(A)'!I:I, '발전사업(A)'!C:C, $E$1, '발전사업(A)'!G:G, B51, '발전사업(A)'!X:X, B53, '발전사업(A)'!U:U, $C$1),
    SUMIFS('자가소비(B)'!I:I, '자가소비(B)'!C:C, $E$1, '자가소비(B)'!G:G, B51, '자가소비(B)'!X:X, B53, '자가소비(B)'!U:U, $C$1),
    SUMIFS('PPA 사업(C)'!I:I, 'PPA 사업(C)'!C:C, $E$1, 'PPA 사업(C)'!G:G, B51, 'PPA 사업(C)'!X:X, B53, 'PPA 사업(C)'!U:U, $C$1),
    SUMIFS('리스사업(D)'!I:I, '리스사업(D)'!C:C, $E$1, '리스사업(D)'!G:G, B51, '리스사업(D)'!X:X, B53, '리스사업(D)'!U:U, $C$1),
    SUMIFS('임대사업(E)'!I:I, '임대사업(E)'!C:C, $E$1, '임대사업(E)'!G:G, B51, '임대사업(E)'!X:X, B53, '임대사업(E)'!U:U, $C$1),
    SUMIFS('환경부사업(F)'!I:I, '환경부사업(F)'!C:C, $E$1, '환경부사업(F)'!G:G, B51, '환경부사업(F)'!X:X, B53, '환경부사업(F)'!U:U, $C$1),
    SUMIFS('프로젝트(G)'!I:I, '프로젝트(G)'!C:C, $E$1, '프로젝트(G)'!G:G, B51, '프로젝트(G)'!X:X, B53, '프로젝트(G)'!U:U, $C$1),
    SUMIFS('협력사 EPC(H)'!I:I, '협력사 EPC(H)'!C:C, $E$1, '협력사 EPC(H)'!G:G, B51, '협력사 EPC(H)'!X:X, B53, '협력사 EPC(H)'!U:U, $C$1),
    SUMIFS('기타(Z)'!I:I, '기타(Z)'!C:C, $E$1, '기타(Z)'!G:G, B51, '기타(Z)'!X:X, B53, '기타(Z)'!U:U, $C$1)
  )
)</f>
        <v>3442.3649999999998</v>
      </c>
      <c r="F53" s="263">
        <f>IF(
  SUM(
    COUNTIFS('발전사업(A)'!C:C, $E$1, '발전사업(A)'!G:G, B51, '발전사업(A)'!X:X, B53, '발전사업(A)'!U:U, $C$1),
    COUNTIFS('자가소비(B)'!C:C, $E$1, '자가소비(B)'!G:G, B51, '자가소비(B)'!X:X, B53, '자가소비(B)'!U:U, $C$1),
    COUNTIFS('PPA 사업(C)'!C:C, $E$1, 'PPA 사업(C)'!G:G, B51, 'PPA 사업(C)'!X:X, B53, 'PPA 사업(C)'!U:U, $C$1),
    COUNTIFS('리스사업(D)'!C:C, $E$1, '리스사업(D)'!G:G, B51, '리스사업(D)'!X:X, B53, '리스사업(D)'!U:U, $C$1),
    COUNTIFS('임대사업(E)'!C:C, $E$1, '임대사업(E)'!G:G, B51, '임대사업(E)'!X:X, B53, '임대사업(E)'!U:U, $C$1),
    COUNTIFS('환경부사업(F)'!C:C, $E$1, '환경부사업(F)'!G:G, B51, '환경부사업(F)'!X:X, B53, '환경부사업(F)'!U:U, $C$1),
    COUNTIFS('프로젝트(G)'!C:C, $E$1, '프로젝트(G)'!G:G, B51, '프로젝트(G)'!X:X, B53, '프로젝트(G)'!U:U, $C$1),
    COUNTIFS('협력사 EPC(H)'!C:C, $E$1, '협력사 EPC(H)'!G:G, B51, '협력사 EPC(H)'!X:X, B53, '협력사 EPC(H)'!U:U, $C$1),
    COUNTIFS('기타(Z)'!C:C, $E$1, '기타(Z)'!G:G, B51, '기타(Z)'!X:X, B53, '기타(Z)'!U:U, $C$1)
  ) = 0,
  "",
  SUM(
    COUNTIFS('발전사업(A)'!C:C, $E$1, '발전사업(A)'!G:G, B51, '발전사업(A)'!X:X, B53, '발전사업(A)'!U:U, $C$1),
    COUNTIFS('자가소비(B)'!C:C, $E$1, '자가소비(B)'!G:G, B51, '자가소비(B)'!X:X, B53, '자가소비(B)'!U:U, $C$1),
    COUNTIFS('PPA 사업(C)'!C:C, $E$1, 'PPA 사업(C)'!G:G, B51, 'PPA 사업(C)'!X:X, B53, 'PPA 사업(C)'!U:U, $C$1),
    COUNTIFS('리스사업(D)'!C:C, $E$1, '리스사업(D)'!G:G, B51, '리스사업(D)'!X:X, B53, '리스사업(D)'!U:U, $C$1),
    COUNTIFS('임대사업(E)'!C:C, $E$1, '임대사업(E)'!G:G, B51, '임대사업(E)'!X:X, B53, '임대사업(E)'!U:U, $C$1),
    COUNTIFS('환경부사업(F)'!C:C, $E$1, '환경부사업(F)'!G:G, B51, '환경부사업(F)'!X:X, B53, '환경부사업(F)'!U:U, $C$1),
    COUNTIFS('프로젝트(G)'!C:C, $E$1, '프로젝트(G)'!G:G, B51, '프로젝트(G)'!X:X, B53, '프로젝트(G)'!U:U, $C$1),
    COUNTIFS('협력사 EPC(H)'!C:C, $E$1, '협력사 EPC(H)'!G:G, B51, '협력사 EPC(H)'!X:X, B53, '협력사 EPC(H)'!U:U, $C$1),
    COUNTIFS('기타(Z)'!C:C, $E$1, '기타(Z)'!G:G, B51, '기타(Z)'!X:X, B53, '기타(Z)'!U:U, $C$1)
  )
)</f>
        <v>13</v>
      </c>
      <c r="G53" s="262">
        <f>IF(
  SUM(
    SUMIFS('발전사업(A)'!I:I, '발전사업(A)'!C:C, $E$1, '발전사업(A)'!G:G, B51, '발전사업(A)'!X:X, B53, '발전사업(A)'!U:U, $D$1),
    SUMIFS('자가소비(B)'!I:I, '자가소비(B)'!C:C, $E$1, '자가소비(B)'!G:G, B51, '자가소비(B)'!X:X, B53, '자가소비(B)'!U:U, $D$1),
    SUMIFS('PPA 사업(C)'!I:I, 'PPA 사업(C)'!C:C, $E$1, 'PPA 사업(C)'!G:G, B51, 'PPA 사업(C)'!X:X, B53, 'PPA 사업(C)'!U:U, $D$1),
    SUMIFS('리스사업(D)'!I:I, '리스사업(D)'!C:C, $E$1, '리스사업(D)'!G:G, B51, '리스사업(D)'!X:X, B53, '리스사업(D)'!U:U, $D$1),
    SUMIFS('임대사업(E)'!I:I, '임대사업(E)'!C:C, $E$1, '임대사업(E)'!G:G, B51, '임대사업(E)'!X:X, B53, '임대사업(E)'!U:U, $D$1),
    SUMIFS('환경부사업(F)'!I:I, '환경부사업(F)'!C:C, $E$1, '환경부사업(F)'!G:G, B51, '환경부사업(F)'!X:X, B53, '환경부사업(F)'!U:U, $D$1),
    SUMIFS('프로젝트(G)'!I:I, '프로젝트(G)'!C:C, $E$1, '프로젝트(G)'!G:G, B51, '프로젝트(G)'!X:X, B53, '프로젝트(G)'!U:U, $D$1),
    SUMIFS('협력사 EPC(H)'!I:I, '협력사 EPC(H)'!C:C, $E$1, '협력사 EPC(H)'!G:G, B51, '협력사 EPC(H)'!X:X, B53, '협력사 EPC(H)'!U:U, $D$1),
    SUMIFS('기타(Z)'!I:I, '기타(Z)'!C:C, $E$1, '기타(Z)'!G:G, B51, '기타(Z)'!X:X, B53, '기타(Z)'!U:U, $D$1)
  ) = 0,
  "",
  SUM(
    SUMIFS('발전사업(A)'!I:I, '발전사업(A)'!C:C, $E$1, '발전사업(A)'!G:G, B51, '발전사업(A)'!X:X, B53, '발전사업(A)'!U:U, $D$1),
    SUMIFS('자가소비(B)'!I:I, '자가소비(B)'!C:C, $E$1, '자가소비(B)'!G:G, B51, '자가소비(B)'!X:X, B53, '자가소비(B)'!U:U, $D$1),
    SUMIFS('PPA 사업(C)'!I:I, 'PPA 사업(C)'!C:C, $E$1, 'PPA 사업(C)'!G:G, B51, 'PPA 사업(C)'!X:X, B53, 'PPA 사업(C)'!U:U, $D$1),
    SUMIFS('리스사업(D)'!I:I, '리스사업(D)'!C:C, $E$1, '리스사업(D)'!G:G, B51, '리스사업(D)'!X:X, B53, '리스사업(D)'!U:U, $D$1),
    SUMIFS('임대사업(E)'!I:I, '임대사업(E)'!C:C, $E$1, '임대사업(E)'!G:G, B51, '임대사업(E)'!X:X, B53, '임대사업(E)'!U:U, $D$1),
    SUMIFS('환경부사업(F)'!I:I, '환경부사업(F)'!C:C, $E$1, '환경부사업(F)'!G:G, B51, '환경부사업(F)'!X:X, B53, '환경부사업(F)'!U:U, $D$1),
    SUMIFS('프로젝트(G)'!I:I, '프로젝트(G)'!C:C, $E$1, '프로젝트(G)'!G:G, B51, '프로젝트(G)'!X:X, B53, '프로젝트(G)'!U:U, $D$1),
    SUMIFS('협력사 EPC(H)'!I:I, '협력사 EPC(H)'!C:C, $E$1, '협력사 EPC(H)'!G:G, B51, '협력사 EPC(H)'!X:X, B53, '협력사 EPC(H)'!U:U, $D$1),
    SUMIFS('기타(Z)'!I:I, '기타(Z)'!C:C, $E$1, '기타(Z)'!G:G, B51, '기타(Z)'!X:X, B53, '기타(Z)'!U:U, $D$1)
  )
)</f>
        <v>361.2</v>
      </c>
      <c r="H53" s="263">
        <f>IF(
  (
    COUNTIFS('발전사업(A)'!C:C, $E$1, '발전사업(A)'!G:G, B51, '발전사업(A)'!X:X, B53, '발전사업(A)'!U:U, $D$1)
    + COUNTIFS('자가소비(B)'!C:C, $E$1, '자가소비(B)'!G:G, B51, '자가소비(B)'!X:X, B53, '자가소비(B)'!U:U, $D$1)
    + COUNTIFS('PPA 사업(C)'!C:C, $E$1, 'PPA 사업(C)'!G:G, B51, 'PPA 사업(C)'!X:X, B53, 'PPA 사업(C)'!U:U, $D$1)
    + COUNTIFS('리스사업(D)'!C:C, $E$1, '리스사업(D)'!G:G, B51, '리스사업(D)'!X:X, B53, '리스사업(D)'!U:U, $D$1)
    + COUNTIFS('임대사업(E)'!C:C, $E$1, '임대사업(E)'!G:G, B51, '임대사업(E)'!X:X, B53, '임대사업(E)'!U:U, $D$1)
    + COUNTIFS('환경부사업(F)'!C:C, $E$1, '환경부사업(F)'!G:G, B51, '환경부사업(F)'!X:X, B53, '환경부사업(F)'!U:U, $D$1)
    + COUNTIFS('프로젝트(G)'!C:C, $E$1, '프로젝트(G)'!G:G, B51, '프로젝트(G)'!X:X, B53, '프로젝트(G)'!U:U, $D$1)
    + COUNTIFS('협력사 EPC(H)'!C:C, $E$1, '협력사 EPC(H)'!G:G, B51, '협력사 EPC(H)'!X:X, B53, '협력사 EPC(H)'!U:U, $D$1)
    + COUNTIFS('기타(Z)'!C:C, $E$1, '기타(Z)'!G:G, B51, '기타(Z)'!X:X, B53, '기타(Z)'!U:U, $D$1)
  ) = 0,
  "",
  COUNTIFS('발전사업(A)'!C:C, $E$1, '발전사업(A)'!G:G, B51, '발전사업(A)'!X:X, B53, '발전사업(A)'!U:U, $D$1)
  + COUNTIFS('자가소비(B)'!C:C, $E$1, '자가소비(B)'!G:G, B51, '자가소비(B)'!X:X, B53, '자가소비(B)'!U:U, $D$1)
  + COUNTIFS('PPA 사업(C)'!C:C, $E$1, 'PPA 사업(C)'!G:G, B51, 'PPA 사업(C)'!X:X, B53, 'PPA 사업(C)'!U:U, $D$1)
  + COUNTIFS('리스사업(D)'!C:C, $E$1, '리스사업(D)'!G:G, B51, '리스사업(D)'!X:X, B53, '리스사업(D)'!U:U, $D$1)
  + COUNTIFS('임대사업(E)'!C:C, $E$1, '임대사업(E)'!G:G, B51, '임대사업(E)'!X:X, B53, '임대사업(E)'!U:U, $D$1)
  + COUNTIFS('환경부사업(F)'!C:C, $E$1, '환경부사업(F)'!G:G, B51, '환경부사업(F)'!X:X, B53, '환경부사업(F)'!U:U, $D$1)
  + COUNTIFS('프로젝트(G)'!C:C, $E$1, '프로젝트(G)'!G:G, B51, '프로젝트(G)'!X:X, B53, '프로젝트(G)'!U:U, $D$1)
  + COUNTIFS('협력사 EPC(H)'!C:C, $E$1, '협력사 EPC(H)'!G:G, B51, '협력사 EPC(H)'!X:X, B53, '협력사 EPC(H)'!U:U, $D$1)
  + COUNTIFS('기타(Z)'!C:C, $E$1, '기타(Z)'!G:G, B51, '기타(Z)'!X:X, B53, '기타(Z)'!U:U, $D$1)
)</f>
        <v>2</v>
      </c>
    </row>
    <row r="54" spans="2:8" x14ac:dyDescent="0.25">
      <c r="B54" s="195" t="s">
        <v>153</v>
      </c>
      <c r="C54" s="262">
        <f>IF(
  SUM(
    SUMIFS('발전사업(A)'!I:I, '발전사업(A)'!C:C, $E$1, '발전사업(A)'!G:G, B51, '발전사업(A)'!X:X, B54),
    SUMIFS('자가소비(B)'!I:I, '자가소비(B)'!C:C, $E$1, '자가소비(B)'!G:G, B51, '자가소비(B)'!X:X, B54),
    SUMIFS('PPA 사업(C)'!I:I, 'PPA 사업(C)'!C:C, $E$1, 'PPA 사업(C)'!G:G, B51, 'PPA 사업(C)'!X:X, B54),
    SUMIFS('리스사업(D)'!I:I, '리스사업(D)'!C:C, $E$1, '리스사업(D)'!G:G, B51, '리스사업(D)'!X:X, B54),
    SUMIFS('임대사업(E)'!I:I, '임대사업(E)'!C:C, $E$1, '임대사업(E)'!G:G, B51, '임대사업(E)'!X:X, B54),
    SUMIFS('환경부사업(F)'!I:I, '환경부사업(F)'!C:C, $E$1, '환경부사업(F)'!G:G, B51, '환경부사업(F)'!X:X, B54),
    SUMIFS('프로젝트(G)'!I:I, '프로젝트(G)'!C:C, $E$1, '프로젝트(G)'!G:G, B51, '프로젝트(G)'!X:X, B54),
    SUMIFS('협력사 EPC(H)'!I:I, '협력사 EPC(H)'!C:C, $E$1, '협력사 EPC(H)'!G:G, B51, '협력사 EPC(H)'!X:X, B54),
    SUMIFS('기타(Z)'!I:I, '기타(Z)'!C:C, $E$1, '기타(Z)'!G:G, B51, '기타(Z)'!X:X, B54)
  ) = 0,
  "",
  SUMIFS('발전사업(A)'!I:I, '발전사업(A)'!C:C, $E$1, '발전사업(A)'!G:G, B51, '발전사업(A)'!X:X, B54)
  + SUMIFS('자가소비(B)'!I:I, '자가소비(B)'!C:C, $E$1, '자가소비(B)'!G:G, B51, '자가소비(B)'!X:X, B54)
  + SUMIFS('PPA 사업(C)'!I:I, 'PPA 사업(C)'!C:C, $E$1, 'PPA 사업(C)'!G:G, B51, 'PPA 사업(C)'!X:X, B54)
  + SUMIFS('리스사업(D)'!I:I, '리스사업(D)'!C:C, $E$1, '리스사업(D)'!G:G, B51, '리스사업(D)'!X:X, B54)
  + SUMIFS('임대사업(E)'!I:I, '임대사업(E)'!C:C, $E$1, '임대사업(E)'!G:G, B51, '임대사업(E)'!X:X, B54)
  + SUMIFS('환경부사업(F)'!I:I, '환경부사업(F)'!C:C, $E$1, '환경부사업(F)'!G:G, B51, '환경부사업(F)'!X:X, B54)
  + SUMIFS('프로젝트(G)'!I:I, '프로젝트(G)'!C:C, $E$1, '프로젝트(G)'!G:G, B51, '프로젝트(G)'!X:X, B54)
  + SUMIFS('협력사 EPC(H)'!I:I, '협력사 EPC(H)'!C:C, $E$1, '협력사 EPC(H)'!G:G, B51, '협력사 EPC(H)'!X:X, B54)
  + SUMIFS('기타(Z)'!I:I, '기타(Z)'!C:C, $E$1, '기타(Z)'!G:G, B51, '기타(Z)'!X:X, B54)
)</f>
        <v>104.49</v>
      </c>
      <c r="D54" s="263">
        <f>IF(
  COUNTIFS('발전사업(A)'!C:C, $E$1, '발전사업(A)'!G:G, B51, '발전사업(A)'!X:X, B54)
  + COUNTIFS('자가소비(B)'!C:C, $E$1, '자가소비(B)'!G:G, B51, '자가소비(B)'!X:X, B54)
  + COUNTIFS('PPA 사업(C)'!C:C, $E$1, 'PPA 사업(C)'!G:G, B51, 'PPA 사업(C)'!X:X, B54)
  + COUNTIFS('리스사업(D)'!C:C, $E$1, '리스사업(D)'!G:G, B51, '리스사업(D)'!X:X, B54)
  + COUNTIFS('임대사업(E)'!C:C, $E$1, '임대사업(E)'!G:G, B51, '임대사업(E)'!X:X, B54)
  + COUNTIFS('환경부사업(F)'!C:C, $E$1, '환경부사업(F)'!G:G, B51, '환경부사업(F)'!X:X, B54)
  + COUNTIFS('프로젝트(G)'!C:C, $E$1, '프로젝트(G)'!G:G, B51, '프로젝트(G)'!X:X, B54)
  + COUNTIFS('협력사 EPC(H)'!C:C, $E$1, '협력사 EPC(H)'!G:G, B51, '협력사 EPC(H)'!X:X, B54)
  + COUNTIFS('기타(Z)'!C:C, $E$1, '기타(Z)'!G:G, B51, '기타(Z)'!X:X, B54)
  = 0,
  "",
  COUNTIFS('발전사업(A)'!C:C, $E$1, '발전사업(A)'!G:G, B51, '발전사업(A)'!X:X, B54)
  + COUNTIFS('자가소비(B)'!C:C, $E$1, '자가소비(B)'!G:G, B51, '자가소비(B)'!X:X, B54)
  + COUNTIFS('PPA 사업(C)'!C:C, $E$1, 'PPA 사업(C)'!G:G, B51, 'PPA 사업(C)'!X:X, B54)
  + COUNTIFS('리스사업(D)'!C:C, $E$1, '리스사업(D)'!G:G, B51, '리스사업(D)'!X:X, B54)
  + COUNTIFS('임대사업(E)'!C:C, $E$1, '임대사업(E)'!G:G, B51, '임대사업(E)'!X:X, B54)
  + COUNTIFS('환경부사업(F)'!C:C, $E$1, '환경부사업(F)'!G:G, B51, '환경부사업(F)'!X:X, B54)
  + COUNTIFS('프로젝트(G)'!C:C, $E$1, '프로젝트(G)'!G:G, B51, '프로젝트(G)'!X:X, B54)
  + COUNTIFS('협력사 EPC(H)'!C:C, $E$1, '협력사 EPC(H)'!G:G, B51, '협력사 EPC(H)'!X:X, B54)
  + COUNTIFS('기타(Z)'!C:C, $E$1, '기타(Z)'!G:G, B51, '기타(Z)'!X:X, B54)
)</f>
        <v>1</v>
      </c>
      <c r="E54" s="262">
        <f>IF(
  SUM(
    SUMIFS('발전사업(A)'!I:I, '발전사업(A)'!C:C, $E$1, '발전사업(A)'!G:G, B51, '발전사업(A)'!X:X, B54, '발전사업(A)'!U:U, $C$1),
    SUMIFS('자가소비(B)'!I:I, '자가소비(B)'!C:C, $E$1, '자가소비(B)'!G:G, B51, '자가소비(B)'!X:X, B54, '자가소비(B)'!U:U, $C$1),
    SUMIFS('PPA 사업(C)'!I:I, 'PPA 사업(C)'!C:C, $E$1, 'PPA 사업(C)'!G:G, B51, 'PPA 사업(C)'!X:X, B54, 'PPA 사업(C)'!U:U, $C$1),
    SUMIFS('리스사업(D)'!I:I, '리스사업(D)'!C:C, $E$1, '리스사업(D)'!G:G, B51, '리스사업(D)'!X:X, B54, '리스사업(D)'!U:U, $C$1),
    SUMIFS('임대사업(E)'!I:I, '임대사업(E)'!C:C, $E$1, '임대사업(E)'!G:G, B51, '임대사업(E)'!X:X, B54, '임대사업(E)'!U:U, $C$1),
    SUMIFS('환경부사업(F)'!I:I, '환경부사업(F)'!C:C, $E$1, '환경부사업(F)'!G:G, B51, '환경부사업(F)'!X:X, B54, '환경부사업(F)'!U:U, $C$1),
    SUMIFS('프로젝트(G)'!I:I, '프로젝트(G)'!C:C, $E$1, '프로젝트(G)'!G:G, B51, '프로젝트(G)'!X:X, B54, '프로젝트(G)'!U:U, $C$1),
    SUMIFS('협력사 EPC(H)'!I:I, '협력사 EPC(H)'!C:C, $E$1, '협력사 EPC(H)'!G:G, B51, '협력사 EPC(H)'!X:X, B54, '협력사 EPC(H)'!U:U, $C$1),
    SUMIFS('기타(Z)'!I:I, '기타(Z)'!C:C, $E$1, '기타(Z)'!G:G, B51, '기타(Z)'!X:X, B54, '기타(Z)'!U:U, $C$1)
  ) = 0,
  "",
  SUM(
    SUMIFS('발전사업(A)'!I:I, '발전사업(A)'!C:C, $E$1, '발전사업(A)'!G:G, B51, '발전사업(A)'!X:X, B54, '발전사업(A)'!U:U, $C$1),
    SUMIFS('자가소비(B)'!I:I, '자가소비(B)'!C:C, $E$1, '자가소비(B)'!G:G, B51, '자가소비(B)'!X:X, B54, '자가소비(B)'!U:U, $C$1),
    SUMIFS('PPA 사업(C)'!I:I, 'PPA 사업(C)'!C:C, $E$1, 'PPA 사업(C)'!G:G, B51, 'PPA 사업(C)'!X:X, B54, 'PPA 사업(C)'!U:U, $C$1),
    SUMIFS('리스사업(D)'!I:I, '리스사업(D)'!C:C, $E$1, '리스사업(D)'!G:G, B51, '리스사업(D)'!X:X, B54, '리스사업(D)'!U:U, $C$1),
    SUMIFS('임대사업(E)'!I:I, '임대사업(E)'!C:C, $E$1, '임대사업(E)'!G:G, B51, '임대사업(E)'!X:X, B54, '임대사업(E)'!U:U, $C$1),
    SUMIFS('환경부사업(F)'!I:I, '환경부사업(F)'!C:C, $E$1, '환경부사업(F)'!G:G, B51, '환경부사업(F)'!X:X, B54, '환경부사업(F)'!U:U, $C$1),
    SUMIFS('프로젝트(G)'!I:I, '프로젝트(G)'!C:C, $E$1, '프로젝트(G)'!G:G, B51, '프로젝트(G)'!X:X, B54, '프로젝트(G)'!U:U, $C$1),
    SUMIFS('협력사 EPC(H)'!I:I, '협력사 EPC(H)'!C:C, $E$1, '협력사 EPC(H)'!G:G, B51, '협력사 EPC(H)'!X:X, B54, '협력사 EPC(H)'!U:U, $C$1),
    SUMIFS('기타(Z)'!I:I, '기타(Z)'!C:C, $E$1, '기타(Z)'!G:G, B51, '기타(Z)'!X:X, B54, '기타(Z)'!U:U, $C$1)
  )
)</f>
        <v>104.49</v>
      </c>
      <c r="F54" s="263">
        <f>IF(
  SUM(
    COUNTIFS('발전사업(A)'!C:C, $E$1, '발전사업(A)'!G:G, B51, '발전사업(A)'!X:X, B54, '발전사업(A)'!U:U, $C$1),
    COUNTIFS('자가소비(B)'!C:C, $E$1, '자가소비(B)'!G:G, B51, '자가소비(B)'!X:X, B54, '자가소비(B)'!U:U, $C$1),
    COUNTIFS('PPA 사업(C)'!C:C, $E$1, 'PPA 사업(C)'!G:G, B51, 'PPA 사업(C)'!X:X, B54, 'PPA 사업(C)'!U:U, $C$1),
    COUNTIFS('리스사업(D)'!C:C, $E$1, '리스사업(D)'!G:G, B51, '리스사업(D)'!X:X, B54, '리스사업(D)'!U:U, $C$1),
    COUNTIFS('임대사업(E)'!C:C, $E$1, '임대사업(E)'!G:G, B51, '임대사업(E)'!X:X, B54, '임대사업(E)'!U:U, $C$1),
    COUNTIFS('환경부사업(F)'!C:C, $E$1, '환경부사업(F)'!G:G, B51, '환경부사업(F)'!X:X, B54, '환경부사업(F)'!U:U, $C$1),
    COUNTIFS('프로젝트(G)'!C:C, $E$1, '프로젝트(G)'!G:G, B51, '프로젝트(G)'!X:X, B54, '프로젝트(G)'!U:U, $C$1),
    COUNTIFS('협력사 EPC(H)'!C:C, $E$1, '협력사 EPC(H)'!G:G, B51, '협력사 EPC(H)'!X:X, B54, '협력사 EPC(H)'!U:U, $C$1),
    COUNTIFS('기타(Z)'!C:C, $E$1, '기타(Z)'!G:G, B51, '기타(Z)'!X:X, B54, '기타(Z)'!U:U, $C$1)
  ) = 0,
  "",
  SUM(
    COUNTIFS('발전사업(A)'!C:C, $E$1, '발전사업(A)'!G:G, B51, '발전사업(A)'!X:X, B54, '발전사업(A)'!U:U, $C$1),
    COUNTIFS('자가소비(B)'!C:C, $E$1, '자가소비(B)'!G:G, B51, '자가소비(B)'!X:X, B54, '자가소비(B)'!U:U, $C$1),
    COUNTIFS('PPA 사업(C)'!C:C, $E$1, 'PPA 사업(C)'!G:G, B51, 'PPA 사업(C)'!X:X, B54, 'PPA 사업(C)'!U:U, $C$1),
    COUNTIFS('리스사업(D)'!C:C, $E$1, '리스사업(D)'!G:G, B51, '리스사업(D)'!X:X, B54, '리스사업(D)'!U:U, $C$1),
    COUNTIFS('임대사업(E)'!C:C, $E$1, '임대사업(E)'!G:G, B51, '임대사업(E)'!X:X, B54, '임대사업(E)'!U:U, $C$1),
    COUNTIFS('환경부사업(F)'!C:C, $E$1, '환경부사업(F)'!G:G, B51, '환경부사업(F)'!X:X, B54, '환경부사업(F)'!U:U, $C$1),
    COUNTIFS('프로젝트(G)'!C:C, $E$1, '프로젝트(G)'!G:G, B51, '프로젝트(G)'!X:X, B54, '프로젝트(G)'!U:U, $C$1),
    COUNTIFS('협력사 EPC(H)'!C:C, $E$1, '협력사 EPC(H)'!G:G, B51, '협력사 EPC(H)'!X:X, B54, '협력사 EPC(H)'!U:U, $C$1),
    COUNTIFS('기타(Z)'!C:C, $E$1, '기타(Z)'!G:G, B51, '기타(Z)'!X:X, B54, '기타(Z)'!U:U, $C$1)
  )
)</f>
        <v>1</v>
      </c>
      <c r="G54" s="262" t="str">
        <f>IF(
  SUM(
    SUMIFS('발전사업(A)'!I:I, '발전사업(A)'!C:C, $E$1, '발전사업(A)'!G:G, B51, '발전사업(A)'!X:X, B54, '발전사업(A)'!U:U, $D$1),
    SUMIFS('자가소비(B)'!I:I, '자가소비(B)'!C:C, $E$1, '자가소비(B)'!G:G, B51, '자가소비(B)'!X:X, B54, '자가소비(B)'!U:U, $D$1),
    SUMIFS('PPA 사업(C)'!I:I, 'PPA 사업(C)'!C:C, $E$1, 'PPA 사업(C)'!G:G, B51, 'PPA 사업(C)'!X:X, B54, 'PPA 사업(C)'!U:U, $D$1),
    SUMIFS('리스사업(D)'!I:I, '리스사업(D)'!C:C, $E$1, '리스사업(D)'!G:G, B51, '리스사업(D)'!X:X, B54, '리스사업(D)'!U:U, $D$1),
    SUMIFS('임대사업(E)'!I:I, '임대사업(E)'!C:C, $E$1, '임대사업(E)'!G:G, B51, '임대사업(E)'!X:X, B54, '임대사업(E)'!U:U, $D$1),
    SUMIFS('환경부사업(F)'!I:I, '환경부사업(F)'!C:C, $E$1, '환경부사업(F)'!G:G, B51, '환경부사업(F)'!X:X, B54, '환경부사업(F)'!U:U, $D$1),
    SUMIFS('프로젝트(G)'!I:I, '프로젝트(G)'!C:C, $E$1, '프로젝트(G)'!G:G, B51, '프로젝트(G)'!X:X, B54, '프로젝트(G)'!U:U, $D$1),
    SUMIFS('협력사 EPC(H)'!I:I, '협력사 EPC(H)'!C:C, $E$1, '협력사 EPC(H)'!G:G, B51, '협력사 EPC(H)'!X:X, B54, '협력사 EPC(H)'!U:U, $D$1),
    SUMIFS('기타(Z)'!I:I, '기타(Z)'!C:C, $E$1, '기타(Z)'!G:G, B51, '기타(Z)'!X:X, B54, '기타(Z)'!U:U, $D$1)
  ) = 0,
  "",
  SUM(
    SUMIFS('발전사업(A)'!I:I, '발전사업(A)'!C:C, $E$1, '발전사업(A)'!G:G, B51, '발전사업(A)'!X:X, B54, '발전사업(A)'!U:U, $D$1),
    SUMIFS('자가소비(B)'!I:I, '자가소비(B)'!C:C, $E$1, '자가소비(B)'!G:G, B51, '자가소비(B)'!X:X, B54, '자가소비(B)'!U:U, $D$1),
    SUMIFS('PPA 사업(C)'!I:I, 'PPA 사업(C)'!C:C, $E$1, 'PPA 사업(C)'!G:G, B51, 'PPA 사업(C)'!X:X, B54, 'PPA 사업(C)'!U:U, $D$1),
    SUMIFS('리스사업(D)'!I:I, '리스사업(D)'!C:C, $E$1, '리스사업(D)'!G:G, B51, '리스사업(D)'!X:X, B54, '리스사업(D)'!U:U, $D$1),
    SUMIFS('임대사업(E)'!I:I, '임대사업(E)'!C:C, $E$1, '임대사업(E)'!G:G, B51, '임대사업(E)'!X:X, B54, '임대사업(E)'!U:U, $D$1),
    SUMIFS('환경부사업(F)'!I:I, '환경부사업(F)'!C:C, $E$1, '환경부사업(F)'!G:G, B51, '환경부사업(F)'!X:X, B54, '환경부사업(F)'!U:U, $D$1),
    SUMIFS('프로젝트(G)'!I:I, '프로젝트(G)'!C:C, $E$1, '프로젝트(G)'!G:G, B51, '프로젝트(G)'!X:X, B54, '프로젝트(G)'!U:U, $D$1),
    SUMIFS('협력사 EPC(H)'!I:I, '협력사 EPC(H)'!C:C, $E$1, '협력사 EPC(H)'!G:G, B51, '협력사 EPC(H)'!X:X, B54, '협력사 EPC(H)'!U:U, $D$1),
    SUMIFS('기타(Z)'!I:I, '기타(Z)'!C:C, $E$1, '기타(Z)'!G:G, B51, '기타(Z)'!X:X, B54, '기타(Z)'!U:U, $D$1)
  )
)</f>
        <v/>
      </c>
      <c r="H54" s="263" t="str">
        <f>IF(
  (
    COUNTIFS('발전사업(A)'!C:C, $E$1, '발전사업(A)'!G:G, B51, '발전사업(A)'!X:X, B54, '발전사업(A)'!U:U, $D$1)
    + COUNTIFS('자가소비(B)'!C:C, $E$1, '자가소비(B)'!G:G, B51, '자가소비(B)'!X:X, B54, '자가소비(B)'!U:U, $D$1)
    + COUNTIFS('PPA 사업(C)'!C:C, $E$1, 'PPA 사업(C)'!G:G, B51, 'PPA 사업(C)'!X:X, B54, 'PPA 사업(C)'!U:U, $D$1)
    + COUNTIFS('리스사업(D)'!C:C, $E$1, '리스사업(D)'!G:G, B51, '리스사업(D)'!X:X, B54, '리스사업(D)'!U:U, $D$1)
    + COUNTIFS('임대사업(E)'!C:C, $E$1, '임대사업(E)'!G:G, B51, '임대사업(E)'!X:X, B54, '임대사업(E)'!U:U, $D$1)
    + COUNTIFS('환경부사업(F)'!C:C, $E$1, '환경부사업(F)'!G:G, B51, '환경부사업(F)'!X:X, B54, '환경부사업(F)'!U:U, $D$1)
    + COUNTIFS('프로젝트(G)'!C:C, $E$1, '프로젝트(G)'!G:G, B51, '프로젝트(G)'!X:X, B54, '프로젝트(G)'!U:U, $D$1)
    + COUNTIFS('협력사 EPC(H)'!C:C, $E$1, '협력사 EPC(H)'!G:G, B51, '협력사 EPC(H)'!X:X, B54, '협력사 EPC(H)'!U:U, $D$1)
    + COUNTIFS('기타(Z)'!C:C, $E$1, '기타(Z)'!G:G, B51, '기타(Z)'!X:X, B54, '기타(Z)'!U:U, $D$1)
  ) = 0,
  "",
  COUNTIFS('발전사업(A)'!C:C, $E$1, '발전사업(A)'!G:G, B51, '발전사업(A)'!X:X, B54, '발전사업(A)'!U:U, $D$1)
  + COUNTIFS('자가소비(B)'!C:C, $E$1, '자가소비(B)'!G:G, B51, '자가소비(B)'!X:X, B54, '자가소비(B)'!U:U, $D$1)
  + COUNTIFS('PPA 사업(C)'!C:C, $E$1, 'PPA 사업(C)'!G:G, B51, 'PPA 사업(C)'!X:X, B54, 'PPA 사업(C)'!U:U, $D$1)
  + COUNTIFS('리스사업(D)'!C:C, $E$1, '리스사업(D)'!G:G, B51, '리스사업(D)'!X:X, B54, '리스사업(D)'!U:U, $D$1)
  + COUNTIFS('임대사업(E)'!C:C, $E$1, '임대사업(E)'!G:G, B51, '임대사업(E)'!X:X, B54, '임대사업(E)'!U:U, $D$1)
  + COUNTIFS('환경부사업(F)'!C:C, $E$1, '환경부사업(F)'!G:G, B51, '환경부사업(F)'!X:X, B54, '환경부사업(F)'!U:U, $D$1)
  + COUNTIFS('프로젝트(G)'!C:C, $E$1, '프로젝트(G)'!G:G, B51, '프로젝트(G)'!X:X, B54, '프로젝트(G)'!U:U, $D$1)
  + COUNTIFS('협력사 EPC(H)'!C:C, $E$1, '협력사 EPC(H)'!G:G, B51, '협력사 EPC(H)'!X:X, B54, '협력사 EPC(H)'!U:U, $D$1)
  + COUNTIFS('기타(Z)'!C:C, $E$1, '기타(Z)'!G:G, B51, '기타(Z)'!X:X, B54, '기타(Z)'!U:U, $D$1)
)</f>
        <v/>
      </c>
    </row>
    <row r="55" spans="2:8" x14ac:dyDescent="0.25">
      <c r="B55" s="195" t="s">
        <v>154</v>
      </c>
      <c r="C55" s="262">
        <f>IF(
  SUM(
    SUMIFS('발전사업(A)'!I:I, '발전사업(A)'!C:C, $E$1, '발전사업(A)'!G:G, B51, '발전사업(A)'!X:X, B55),
    SUMIFS('자가소비(B)'!I:I, '자가소비(B)'!C:C, $E$1, '자가소비(B)'!G:G, B51, '자가소비(B)'!X:X, B55),
    SUMIFS('PPA 사업(C)'!I:I, 'PPA 사업(C)'!C:C, $E$1, 'PPA 사업(C)'!G:G, B51, 'PPA 사업(C)'!X:X, B55),
    SUMIFS('리스사업(D)'!I:I, '리스사업(D)'!C:C, $E$1, '리스사업(D)'!G:G, B51, '리스사업(D)'!X:X, B55),
    SUMIFS('임대사업(E)'!I:I, '임대사업(E)'!C:C, $E$1, '임대사업(E)'!G:G, B51, '임대사업(E)'!X:X, B55),
    SUMIFS('환경부사업(F)'!I:I, '환경부사업(F)'!C:C, $E$1, '환경부사업(F)'!G:G, B51, '환경부사업(F)'!X:X, B55),
    SUMIFS('프로젝트(G)'!I:I, '프로젝트(G)'!C:C, $E$1, '프로젝트(G)'!G:G, B51, '프로젝트(G)'!X:X, B55),
    SUMIFS('협력사 EPC(H)'!I:I, '협력사 EPC(H)'!C:C, $E$1, '협력사 EPC(H)'!G:G, B51, '협력사 EPC(H)'!X:X, B55),
    SUMIFS('기타(Z)'!I:I, '기타(Z)'!C:C, $E$1, '기타(Z)'!G:G, B51, '기타(Z)'!X:X, B55)
  ) = 0,
  "",
  SUMIFS('발전사업(A)'!I:I, '발전사업(A)'!C:C, $E$1, '발전사업(A)'!G:G, B51, '발전사업(A)'!X:X, B55)
  + SUMIFS('자가소비(B)'!I:I, '자가소비(B)'!C:C, $E$1, '자가소비(B)'!G:G, B51, '자가소비(B)'!X:X, B55)
  + SUMIFS('PPA 사업(C)'!I:I, 'PPA 사업(C)'!C:C, $E$1, 'PPA 사업(C)'!G:G, B51, 'PPA 사업(C)'!X:X, B55)
  + SUMIFS('리스사업(D)'!I:I, '리스사업(D)'!C:C, $E$1, '리스사업(D)'!G:G, B51, '리스사업(D)'!X:X, B55)
  + SUMIFS('임대사업(E)'!I:I, '임대사업(E)'!C:C, $E$1, '임대사업(E)'!G:G, B51, '임대사업(E)'!X:X, B55)
  + SUMIFS('환경부사업(F)'!I:I, '환경부사업(F)'!C:C, $E$1, '환경부사업(F)'!G:G, B51, '환경부사업(F)'!X:X, B55)
  + SUMIFS('프로젝트(G)'!I:I, '프로젝트(G)'!C:C, $E$1, '프로젝트(G)'!G:G, B51, '프로젝트(G)'!X:X, B55)
  + SUMIFS('협력사 EPC(H)'!I:I, '협력사 EPC(H)'!C:C, $E$1, '협력사 EPC(H)'!G:G, B51, '협력사 EPC(H)'!X:X, B55)
  + SUMIFS('기타(Z)'!I:I, '기타(Z)'!C:C, $E$1, '기타(Z)'!G:G, B51, '기타(Z)'!X:X, B55)
)</f>
        <v>1052.6400000000001</v>
      </c>
      <c r="D55" s="263">
        <f>IF(
  COUNTIFS('발전사업(A)'!C:C, $E$1, '발전사업(A)'!G:G, B51, '발전사업(A)'!X:X, B55)
  + COUNTIFS('자가소비(B)'!C:C, $E$1, '자가소비(B)'!G:G, B51, '자가소비(B)'!X:X, B55)
  + COUNTIFS('PPA 사업(C)'!C:C, $E$1, 'PPA 사업(C)'!G:G, B51, 'PPA 사업(C)'!X:X, B55)
  + COUNTIFS('리스사업(D)'!C:C, $E$1, '리스사업(D)'!G:G, B51, '리스사업(D)'!X:X, B55)
  + COUNTIFS('임대사업(E)'!C:C, $E$1, '임대사업(E)'!G:G, B51, '임대사업(E)'!X:X, B55)
  + COUNTIFS('환경부사업(F)'!C:C, $E$1, '환경부사업(F)'!G:G, B51, '환경부사업(F)'!X:X, B55)
  + COUNTIFS('프로젝트(G)'!C:C, $E$1, '프로젝트(G)'!G:G, B51, '프로젝트(G)'!X:X, B55)
  + COUNTIFS('협력사 EPC(H)'!C:C, $E$1, '협력사 EPC(H)'!G:G, B51, '협력사 EPC(H)'!X:X, B55)
  + COUNTIFS('기타(Z)'!C:C, $E$1, '기타(Z)'!G:G, B51, '기타(Z)'!X:X, B55)
  = 0,
  "",
  COUNTIFS('발전사업(A)'!C:C, $E$1, '발전사업(A)'!G:G, B51, '발전사업(A)'!X:X, B55)
  + COUNTIFS('자가소비(B)'!C:C, $E$1, '자가소비(B)'!G:G, B51, '자가소비(B)'!X:X, B55)
  + COUNTIFS('PPA 사업(C)'!C:C, $E$1, 'PPA 사업(C)'!G:G, B51, 'PPA 사업(C)'!X:X, B55)
  + COUNTIFS('리스사업(D)'!C:C, $E$1, '리스사업(D)'!G:G, B51, '리스사업(D)'!X:X, B55)
  + COUNTIFS('임대사업(E)'!C:C, $E$1, '임대사업(E)'!G:G, B51, '임대사업(E)'!X:X, B55)
  + COUNTIFS('환경부사업(F)'!C:C, $E$1, '환경부사업(F)'!G:G, B51, '환경부사업(F)'!X:X, B55)
  + COUNTIFS('프로젝트(G)'!C:C, $E$1, '프로젝트(G)'!G:G, B51, '프로젝트(G)'!X:X, B55)
  + COUNTIFS('협력사 EPC(H)'!C:C, $E$1, '협력사 EPC(H)'!G:G, B51, '협력사 EPC(H)'!X:X, B55)
  + COUNTIFS('기타(Z)'!C:C, $E$1, '기타(Z)'!G:G, B51, '기타(Z)'!X:X, B55)
)</f>
        <v>4</v>
      </c>
      <c r="E55" s="262" t="str">
        <f>IF(
  SUM(
    SUMIFS('발전사업(A)'!I:I, '발전사업(A)'!C:C, $E$1, '발전사업(A)'!G:G, B51, '발전사업(A)'!X:X, B55, '발전사업(A)'!U:U, $C$1),
    SUMIFS('자가소비(B)'!I:I, '자가소비(B)'!C:C, $E$1, '자가소비(B)'!G:G, B51, '자가소비(B)'!X:X, B55, '자가소비(B)'!U:U, $C$1),
    SUMIFS('PPA 사업(C)'!I:I, 'PPA 사업(C)'!C:C, $E$1, 'PPA 사업(C)'!G:G, B51, 'PPA 사업(C)'!X:X, B55, 'PPA 사업(C)'!U:U, $C$1),
    SUMIFS('리스사업(D)'!I:I, '리스사업(D)'!C:C, $E$1, '리스사업(D)'!G:G, B51, '리스사업(D)'!X:X, B55, '리스사업(D)'!U:U, $C$1),
    SUMIFS('임대사업(E)'!I:I, '임대사업(E)'!C:C, $E$1, '임대사업(E)'!G:G, B51, '임대사업(E)'!X:X, B55, '임대사업(E)'!U:U, $C$1),
    SUMIFS('환경부사업(F)'!I:I, '환경부사업(F)'!C:C, $E$1, '환경부사업(F)'!G:G, B51, '환경부사업(F)'!X:X, B55, '환경부사업(F)'!U:U, $C$1),
    SUMIFS('프로젝트(G)'!I:I, '프로젝트(G)'!C:C, $E$1, '프로젝트(G)'!G:G, B51, '프로젝트(G)'!X:X, B55, '프로젝트(G)'!U:U, $C$1),
    SUMIFS('협력사 EPC(H)'!I:I, '협력사 EPC(H)'!C:C, $E$1, '협력사 EPC(H)'!G:G, B51, '협력사 EPC(H)'!X:X, B55, '협력사 EPC(H)'!U:U, $C$1),
    SUMIFS('기타(Z)'!I:I, '기타(Z)'!C:C, $E$1, '기타(Z)'!G:G, B51, '기타(Z)'!X:X, B55, '기타(Z)'!U:U, $C$1)
  ) = 0,
  "",
  SUM(
    SUMIFS('발전사업(A)'!I:I, '발전사업(A)'!C:C, $E$1, '발전사업(A)'!G:G, B51, '발전사업(A)'!X:X, B55, '발전사업(A)'!U:U, $C$1),
    SUMIFS('자가소비(B)'!I:I, '자가소비(B)'!C:C, $E$1, '자가소비(B)'!G:G, B51, '자가소비(B)'!X:X, B55, '자가소비(B)'!U:U, $C$1),
    SUMIFS('PPA 사업(C)'!I:I, 'PPA 사업(C)'!C:C, $E$1, 'PPA 사업(C)'!G:G, B51, 'PPA 사업(C)'!X:X, B55, 'PPA 사업(C)'!U:U, $C$1),
    SUMIFS('리스사업(D)'!I:I, '리스사업(D)'!C:C, $E$1, '리스사업(D)'!G:G, B51, '리스사업(D)'!X:X, B55, '리스사업(D)'!U:U, $C$1),
    SUMIFS('임대사업(E)'!I:I, '임대사업(E)'!C:C, $E$1, '임대사업(E)'!G:G, B51, '임대사업(E)'!X:X, B55, '임대사업(E)'!U:U, $C$1),
    SUMIFS('환경부사업(F)'!I:I, '환경부사업(F)'!C:C, $E$1, '환경부사업(F)'!G:G, B51, '환경부사업(F)'!X:X, B55, '환경부사업(F)'!U:U, $C$1),
    SUMIFS('프로젝트(G)'!I:I, '프로젝트(G)'!C:C, $E$1, '프로젝트(G)'!G:G, B51, '프로젝트(G)'!X:X, B55, '프로젝트(G)'!U:U, $C$1),
    SUMIFS('협력사 EPC(H)'!I:I, '협력사 EPC(H)'!C:C, $E$1, '협력사 EPC(H)'!G:G, B51, '협력사 EPC(H)'!X:X, B55, '협력사 EPC(H)'!U:U, $C$1),
    SUMIFS('기타(Z)'!I:I, '기타(Z)'!C:C, $E$1, '기타(Z)'!G:G, B51, '기타(Z)'!X:X, B55, '기타(Z)'!U:U, $C$1)
  )
)</f>
        <v/>
      </c>
      <c r="F55" s="263" t="str">
        <f>IF(
  SUM(
    COUNTIFS('발전사업(A)'!C:C, $E$1, '발전사업(A)'!G:G, B51, '발전사업(A)'!X:X, B55, '발전사업(A)'!U:U, $C$1),
    COUNTIFS('자가소비(B)'!C:C, $E$1, '자가소비(B)'!G:G, B51, '자가소비(B)'!X:X, B55, '자가소비(B)'!U:U, $C$1),
    COUNTIFS('PPA 사업(C)'!C:C, $E$1, 'PPA 사업(C)'!G:G, B51, 'PPA 사업(C)'!X:X, B55, 'PPA 사업(C)'!U:U, $C$1),
    COUNTIFS('리스사업(D)'!C:C, $E$1, '리스사업(D)'!G:G, B51, '리스사업(D)'!X:X, B55, '리스사업(D)'!U:U, $C$1),
    COUNTIFS('임대사업(E)'!C:C, $E$1, '임대사업(E)'!G:G, B51, '임대사업(E)'!X:X, B55, '임대사업(E)'!U:U, $C$1),
    COUNTIFS('환경부사업(F)'!C:C, $E$1, '환경부사업(F)'!G:G, B51, '환경부사업(F)'!X:X, B55, '환경부사업(F)'!U:U, $C$1),
    COUNTIFS('프로젝트(G)'!C:C, $E$1, '프로젝트(G)'!G:G, B51, '프로젝트(G)'!X:X, B55, '프로젝트(G)'!U:U, $C$1),
    COUNTIFS('협력사 EPC(H)'!C:C, $E$1, '협력사 EPC(H)'!G:G, B51, '협력사 EPC(H)'!X:X, B55, '협력사 EPC(H)'!U:U, $C$1),
    COUNTIFS('기타(Z)'!C:C, $E$1, '기타(Z)'!G:G, B51, '기타(Z)'!X:X, B55, '기타(Z)'!U:U, $C$1)
  ) = 0,
  "",
  SUM(
    COUNTIFS('발전사업(A)'!C:C, $E$1, '발전사업(A)'!G:G, B51, '발전사업(A)'!X:X, B55, '발전사업(A)'!U:U, $C$1),
    COUNTIFS('자가소비(B)'!C:C, $E$1, '자가소비(B)'!G:G, B51, '자가소비(B)'!X:X, B55, '자가소비(B)'!U:U, $C$1),
    COUNTIFS('PPA 사업(C)'!C:C, $E$1, 'PPA 사업(C)'!G:G, B51, 'PPA 사업(C)'!X:X, B55, 'PPA 사업(C)'!U:U, $C$1),
    COUNTIFS('리스사업(D)'!C:C, $E$1, '리스사업(D)'!G:G, B51, '리스사업(D)'!X:X, B55, '리스사업(D)'!U:U, $C$1),
    COUNTIFS('임대사업(E)'!C:C, $E$1, '임대사업(E)'!G:G, B51, '임대사업(E)'!X:X, B55, '임대사업(E)'!U:U, $C$1),
    COUNTIFS('환경부사업(F)'!C:C, $E$1, '환경부사업(F)'!G:G, B51, '환경부사업(F)'!X:X, B55, '환경부사업(F)'!U:U, $C$1),
    COUNTIFS('프로젝트(G)'!C:C, $E$1, '프로젝트(G)'!G:G, B51, '프로젝트(G)'!X:X, B55, '프로젝트(G)'!U:U, $C$1),
    COUNTIFS('협력사 EPC(H)'!C:C, $E$1, '협력사 EPC(H)'!G:G, B51, '협력사 EPC(H)'!X:X, B55, '협력사 EPC(H)'!U:U, $C$1),
    COUNTIFS('기타(Z)'!C:C, $E$1, '기타(Z)'!G:G, B51, '기타(Z)'!X:X, B55, '기타(Z)'!U:U, $C$1)
  )
)</f>
        <v/>
      </c>
      <c r="G55" s="262">
        <f>IF(
  SUM(
    SUMIFS('발전사업(A)'!I:I, '발전사업(A)'!C:C, $E$1, '발전사업(A)'!G:G, B51, '발전사업(A)'!X:X, B55, '발전사업(A)'!U:U, $D$1),
    SUMIFS('자가소비(B)'!I:I, '자가소비(B)'!C:C, $E$1, '자가소비(B)'!G:G, B51, '자가소비(B)'!X:X, B55, '자가소비(B)'!U:U, $D$1),
    SUMIFS('PPA 사업(C)'!I:I, 'PPA 사업(C)'!C:C, $E$1, 'PPA 사업(C)'!G:G, B51, 'PPA 사업(C)'!X:X, B55, 'PPA 사업(C)'!U:U, $D$1),
    SUMIFS('리스사업(D)'!I:I, '리스사업(D)'!C:C, $E$1, '리스사업(D)'!G:G, B51, '리스사업(D)'!X:X, B55, '리스사업(D)'!U:U, $D$1),
    SUMIFS('임대사업(E)'!I:I, '임대사업(E)'!C:C, $E$1, '임대사업(E)'!G:G, B51, '임대사업(E)'!X:X, B55, '임대사업(E)'!U:U, $D$1),
    SUMIFS('환경부사업(F)'!I:I, '환경부사업(F)'!C:C, $E$1, '환경부사업(F)'!G:G, B51, '환경부사업(F)'!X:X, B55, '환경부사업(F)'!U:U, $D$1),
    SUMIFS('프로젝트(G)'!I:I, '프로젝트(G)'!C:C, $E$1, '프로젝트(G)'!G:G, B51, '프로젝트(G)'!X:X, B55, '프로젝트(G)'!U:U, $D$1),
    SUMIFS('협력사 EPC(H)'!I:I, '협력사 EPC(H)'!C:C, $E$1, '협력사 EPC(H)'!G:G, B51, '협력사 EPC(H)'!X:X, B55, '협력사 EPC(H)'!U:U, $D$1),
    SUMIFS('기타(Z)'!I:I, '기타(Z)'!C:C, $E$1, '기타(Z)'!G:G, B51, '기타(Z)'!X:X, B55, '기타(Z)'!U:U, $D$1)
  ) = 0,
  "",
  SUM(
    SUMIFS('발전사업(A)'!I:I, '발전사업(A)'!C:C, $E$1, '발전사업(A)'!G:G, B51, '발전사업(A)'!X:X, B55, '발전사업(A)'!U:U, $D$1),
    SUMIFS('자가소비(B)'!I:I, '자가소비(B)'!C:C, $E$1, '자가소비(B)'!G:G, B51, '자가소비(B)'!X:X, B55, '자가소비(B)'!U:U, $D$1),
    SUMIFS('PPA 사업(C)'!I:I, 'PPA 사업(C)'!C:C, $E$1, 'PPA 사업(C)'!G:G, B51, 'PPA 사업(C)'!X:X, B55, 'PPA 사업(C)'!U:U, $D$1),
    SUMIFS('리스사업(D)'!I:I, '리스사업(D)'!C:C, $E$1, '리스사업(D)'!G:G, B51, '리스사업(D)'!X:X, B55, '리스사업(D)'!U:U, $D$1),
    SUMIFS('임대사업(E)'!I:I, '임대사업(E)'!C:C, $E$1, '임대사업(E)'!G:G, B51, '임대사업(E)'!X:X, B55, '임대사업(E)'!U:U, $D$1),
    SUMIFS('환경부사업(F)'!I:I, '환경부사업(F)'!C:C, $E$1, '환경부사업(F)'!G:G, B51, '환경부사업(F)'!X:X, B55, '환경부사업(F)'!U:U, $D$1),
    SUMIFS('프로젝트(G)'!I:I, '프로젝트(G)'!C:C, $E$1, '프로젝트(G)'!G:G, B51, '프로젝트(G)'!X:X, B55, '프로젝트(G)'!U:U, $D$1),
    SUMIFS('협력사 EPC(H)'!I:I, '협력사 EPC(H)'!C:C, $E$1, '협력사 EPC(H)'!G:G, B51, '협력사 EPC(H)'!X:X, B55, '협력사 EPC(H)'!U:U, $D$1),
    SUMIFS('기타(Z)'!I:I, '기타(Z)'!C:C, $E$1, '기타(Z)'!G:G, B51, '기타(Z)'!X:X, B55, '기타(Z)'!U:U, $D$1)
  )
)</f>
        <v>1052.6400000000001</v>
      </c>
      <c r="H55" s="263">
        <f>IF(
  (
    COUNTIFS('발전사업(A)'!C:C, $E$1, '발전사업(A)'!G:G, B51, '발전사업(A)'!X:X, B55, '발전사업(A)'!U:U, $D$1)
    + COUNTIFS('자가소비(B)'!C:C, $E$1, '자가소비(B)'!G:G, B51, '자가소비(B)'!X:X, B55, '자가소비(B)'!U:U, $D$1)
    + COUNTIFS('PPA 사업(C)'!C:C, $E$1, 'PPA 사업(C)'!G:G, B51, 'PPA 사업(C)'!X:X, B55, 'PPA 사업(C)'!U:U, $D$1)
    + COUNTIFS('리스사업(D)'!C:C, $E$1, '리스사업(D)'!G:G, B51, '리스사업(D)'!X:X, B55, '리스사업(D)'!U:U, $D$1)
    + COUNTIFS('임대사업(E)'!C:C, $E$1, '임대사업(E)'!G:G, B51, '임대사업(E)'!X:X, B55, '임대사업(E)'!U:U, $D$1)
    + COUNTIFS('환경부사업(F)'!C:C, $E$1, '환경부사업(F)'!G:G, B51, '환경부사업(F)'!X:X, B55, '환경부사업(F)'!U:U, $D$1)
    + COUNTIFS('프로젝트(G)'!C:C, $E$1, '프로젝트(G)'!G:G, B51, '프로젝트(G)'!X:X, B55, '프로젝트(G)'!U:U, $D$1)
    + COUNTIFS('협력사 EPC(H)'!C:C, $E$1, '협력사 EPC(H)'!G:G, B51, '협력사 EPC(H)'!X:X, B55, '협력사 EPC(H)'!U:U, $D$1)
    + COUNTIFS('기타(Z)'!C:C, $E$1, '기타(Z)'!G:G, B51, '기타(Z)'!X:X, B55, '기타(Z)'!U:U, $D$1)
  ) = 0,
  "",
  COUNTIFS('발전사업(A)'!C:C, $E$1, '발전사업(A)'!G:G, B51, '발전사업(A)'!X:X, B55, '발전사업(A)'!U:U, $D$1)
  + COUNTIFS('자가소비(B)'!C:C, $E$1, '자가소비(B)'!G:G, B51, '자가소비(B)'!X:X, B55, '자가소비(B)'!U:U, $D$1)
  + COUNTIFS('PPA 사업(C)'!C:C, $E$1, 'PPA 사업(C)'!G:G, B51, 'PPA 사업(C)'!X:X, B55, 'PPA 사업(C)'!U:U, $D$1)
  + COUNTIFS('리스사업(D)'!C:C, $E$1, '리스사업(D)'!G:G, B51, '리스사업(D)'!X:X, B55, '리스사업(D)'!U:U, $D$1)
  + COUNTIFS('임대사업(E)'!C:C, $E$1, '임대사업(E)'!G:G, B51, '임대사업(E)'!X:X, B55, '임대사업(E)'!U:U, $D$1)
  + COUNTIFS('환경부사업(F)'!C:C, $E$1, '환경부사업(F)'!G:G, B51, '환경부사업(F)'!X:X, B55, '환경부사업(F)'!U:U, $D$1)
  + COUNTIFS('프로젝트(G)'!C:C, $E$1, '프로젝트(G)'!G:G, B51, '프로젝트(G)'!X:X, B55, '프로젝트(G)'!U:U, $D$1)
  + COUNTIFS('협력사 EPC(H)'!C:C, $E$1, '협력사 EPC(H)'!G:G, B51, '협력사 EPC(H)'!X:X, B55, '협력사 EPC(H)'!U:U, $D$1)
  + COUNTIFS('기타(Z)'!C:C, $E$1, '기타(Z)'!G:G, B51, '기타(Z)'!X:X, B55, '기타(Z)'!U:U, $D$1)
)</f>
        <v>4</v>
      </c>
    </row>
    <row r="56" spans="2:8" x14ac:dyDescent="0.25">
      <c r="B56" s="195" t="s">
        <v>155</v>
      </c>
      <c r="C56" s="262">
        <f>IF(
  SUM(
    SUMIFS('발전사업(A)'!I:I, '발전사업(A)'!C:C, $E$1, '발전사업(A)'!G:G, B51, '발전사업(A)'!X:X, B56),
    SUMIFS('자가소비(B)'!I:I, '자가소비(B)'!C:C, $E$1, '자가소비(B)'!G:G, B51, '자가소비(B)'!X:X, B56),
    SUMIFS('PPA 사업(C)'!I:I, 'PPA 사업(C)'!C:C, $E$1, 'PPA 사업(C)'!G:G, B51, 'PPA 사업(C)'!X:X, B56),
    SUMIFS('리스사업(D)'!I:I, '리스사업(D)'!C:C, $E$1, '리스사업(D)'!G:G, B51, '리스사업(D)'!X:X, B56),
    SUMIFS('임대사업(E)'!I:I, '임대사업(E)'!C:C, $E$1, '임대사업(E)'!G:G, B51, '임대사업(E)'!X:X, B56),
    SUMIFS('환경부사업(F)'!I:I, '환경부사업(F)'!C:C, $E$1, '환경부사업(F)'!G:G, B51, '환경부사업(F)'!X:X, B56),
    SUMIFS('프로젝트(G)'!I:I, '프로젝트(G)'!C:C, $E$1, '프로젝트(G)'!G:G, B51, '프로젝트(G)'!X:X, B56),
    SUMIFS('협력사 EPC(H)'!I:I, '협력사 EPC(H)'!C:C, $E$1, '협력사 EPC(H)'!G:G, B51, '협력사 EPC(H)'!X:X, B56),
    SUMIFS('기타(Z)'!I:I, '기타(Z)'!C:C, $E$1, '기타(Z)'!G:G, B51, '기타(Z)'!X:X, B56)
  ) = 0,
  "",
  SUMIFS('발전사업(A)'!I:I, '발전사업(A)'!C:C, $E$1, '발전사업(A)'!G:G, B51, '발전사업(A)'!X:X, B56)
  + SUMIFS('자가소비(B)'!I:I, '자가소비(B)'!C:C, $E$1, '자가소비(B)'!G:G, B51, '자가소비(B)'!X:X, B56)
  + SUMIFS('PPA 사업(C)'!I:I, 'PPA 사업(C)'!C:C, $E$1, 'PPA 사업(C)'!G:G, B51, 'PPA 사업(C)'!X:X, B56)
  + SUMIFS('리스사업(D)'!I:I, '리스사업(D)'!C:C, $E$1, '리스사업(D)'!G:G, B51, '리스사업(D)'!X:X, B56)
  + SUMIFS('임대사업(E)'!I:I, '임대사업(E)'!C:C, $E$1, '임대사업(E)'!G:G, B51, '임대사업(E)'!X:X, B56)
  + SUMIFS('환경부사업(F)'!I:I, '환경부사업(F)'!C:C, $E$1, '환경부사업(F)'!G:G, B51, '환경부사업(F)'!X:X, B56)
  + SUMIFS('프로젝트(G)'!I:I, '프로젝트(G)'!C:C, $E$1, '프로젝트(G)'!G:G, B51, '프로젝트(G)'!X:X, B56)
  + SUMIFS('협력사 EPC(H)'!I:I, '협력사 EPC(H)'!C:C, $E$1, '협력사 EPC(H)'!G:G, B51, '협력사 EPC(H)'!X:X, B56)
  + SUMIFS('기타(Z)'!I:I, '기타(Z)'!C:C, $E$1, '기타(Z)'!G:G, B51, '기타(Z)'!X:X, B56)
)</f>
        <v>211.56</v>
      </c>
      <c r="D56" s="263">
        <f>IF(
  COUNTIFS('발전사업(A)'!C:C, $E$1, '발전사업(A)'!G:G, B51, '발전사업(A)'!X:X, B56)
  + COUNTIFS('자가소비(B)'!C:C, $E$1, '자가소비(B)'!G:G, B51, '자가소비(B)'!X:X, B56)
  + COUNTIFS('PPA 사업(C)'!C:C, $E$1, 'PPA 사업(C)'!G:G, B51, 'PPA 사업(C)'!X:X, B56)
  + COUNTIFS('리스사업(D)'!C:C, $E$1, '리스사업(D)'!G:G, B51, '리스사업(D)'!X:X, B56)
  + COUNTIFS('임대사업(E)'!C:C, $E$1, '임대사업(E)'!G:G, B51, '임대사업(E)'!X:X, B56)
  + COUNTIFS('환경부사업(F)'!C:C, $E$1, '환경부사업(F)'!G:G, B51, '환경부사업(F)'!X:X, B56)
  + COUNTIFS('프로젝트(G)'!C:C, $E$1, '프로젝트(G)'!G:G, B51, '프로젝트(G)'!X:X, B56)
  + COUNTIFS('협력사 EPC(H)'!C:C, $E$1, '협력사 EPC(H)'!G:G, B51, '협력사 EPC(H)'!X:X, B56)
  + COUNTIFS('기타(Z)'!C:C, $E$1, '기타(Z)'!G:G, B51, '기타(Z)'!X:X, B56)
  = 0,
  "",
  COUNTIFS('발전사업(A)'!C:C, $E$1, '발전사업(A)'!G:G, B51, '발전사업(A)'!X:X, B56)
  + COUNTIFS('자가소비(B)'!C:C, $E$1, '자가소비(B)'!G:G, B51, '자가소비(B)'!X:X, B56)
  + COUNTIFS('PPA 사업(C)'!C:C, $E$1, 'PPA 사업(C)'!G:G, B51, 'PPA 사업(C)'!X:X, B56)
  + COUNTIFS('리스사업(D)'!C:C, $E$1, '리스사업(D)'!G:G, B51, '리스사업(D)'!X:X, B56)
  + COUNTIFS('임대사업(E)'!C:C, $E$1, '임대사업(E)'!G:G, B51, '임대사업(E)'!X:X, B56)
  + COUNTIFS('환경부사업(F)'!C:C, $E$1, '환경부사업(F)'!G:G, B51, '환경부사업(F)'!X:X, B56)
  + COUNTIFS('프로젝트(G)'!C:C, $E$1, '프로젝트(G)'!G:G, B51, '프로젝트(G)'!X:X, B56)
  + COUNTIFS('협력사 EPC(H)'!C:C, $E$1, '협력사 EPC(H)'!G:G, B51, '협력사 EPC(H)'!X:X, B56)
  + COUNTIFS('기타(Z)'!C:C, $E$1, '기타(Z)'!G:G, B51, '기타(Z)'!X:X, B56)
)</f>
        <v>3</v>
      </c>
      <c r="E56" s="262">
        <f>IF(
  SUM(
    SUMIFS('발전사업(A)'!I:I, '발전사업(A)'!C:C, $E$1, '발전사업(A)'!G:G, B51, '발전사업(A)'!X:X, B56, '발전사업(A)'!U:U, $C$1),
    SUMIFS('자가소비(B)'!I:I, '자가소비(B)'!C:C, $E$1, '자가소비(B)'!G:G, B51, '자가소비(B)'!X:X, B56, '자가소비(B)'!U:U, $C$1),
    SUMIFS('PPA 사업(C)'!I:I, 'PPA 사업(C)'!C:C, $E$1, 'PPA 사업(C)'!G:G, B51, 'PPA 사업(C)'!X:X, B56, 'PPA 사업(C)'!U:U, $C$1),
    SUMIFS('리스사업(D)'!I:I, '리스사업(D)'!C:C, $E$1, '리스사업(D)'!G:G, B51, '리스사업(D)'!X:X, B56, '리스사업(D)'!U:U, $C$1),
    SUMIFS('임대사업(E)'!I:I, '임대사업(E)'!C:C, $E$1, '임대사업(E)'!G:G, B51, '임대사업(E)'!X:X, B56, '임대사업(E)'!U:U, $C$1),
    SUMIFS('환경부사업(F)'!I:I, '환경부사업(F)'!C:C, $E$1, '환경부사업(F)'!G:G, B51, '환경부사업(F)'!X:X, B56, '환경부사업(F)'!U:U, $C$1),
    SUMIFS('프로젝트(G)'!I:I, '프로젝트(G)'!C:C, $E$1, '프로젝트(G)'!G:G, B51, '프로젝트(G)'!X:X, B56, '프로젝트(G)'!U:U, $C$1),
    SUMIFS('협력사 EPC(H)'!I:I, '협력사 EPC(H)'!C:C, $E$1, '협력사 EPC(H)'!G:G, B51, '협력사 EPC(H)'!X:X, B56, '협력사 EPC(H)'!U:U, $C$1),
    SUMIFS('기타(Z)'!I:I, '기타(Z)'!C:C, $E$1, '기타(Z)'!G:G, B51, '기타(Z)'!X:X, B56, '기타(Z)'!U:U, $C$1)
  ) = 0,
  "",
  SUM(
    SUMIFS('발전사업(A)'!I:I, '발전사업(A)'!C:C, $E$1, '발전사업(A)'!G:G, B51, '발전사업(A)'!X:X, B56, '발전사업(A)'!U:U, $C$1),
    SUMIFS('자가소비(B)'!I:I, '자가소비(B)'!C:C, $E$1, '자가소비(B)'!G:G, B51, '자가소비(B)'!X:X, B56, '자가소비(B)'!U:U, $C$1),
    SUMIFS('PPA 사업(C)'!I:I, 'PPA 사업(C)'!C:C, $E$1, 'PPA 사업(C)'!G:G, B51, 'PPA 사업(C)'!X:X, B56, 'PPA 사업(C)'!U:U, $C$1),
    SUMIFS('리스사업(D)'!I:I, '리스사업(D)'!C:C, $E$1, '리스사업(D)'!G:G, B51, '리스사업(D)'!X:X, B56, '리스사업(D)'!U:U, $C$1),
    SUMIFS('임대사업(E)'!I:I, '임대사업(E)'!C:C, $E$1, '임대사업(E)'!G:G, B51, '임대사업(E)'!X:X, B56, '임대사업(E)'!U:U, $C$1),
    SUMIFS('환경부사업(F)'!I:I, '환경부사업(F)'!C:C, $E$1, '환경부사업(F)'!G:G, B51, '환경부사업(F)'!X:X, B56, '환경부사업(F)'!U:U, $C$1),
    SUMIFS('프로젝트(G)'!I:I, '프로젝트(G)'!C:C, $E$1, '프로젝트(G)'!G:G, B51, '프로젝트(G)'!X:X, B56, '프로젝트(G)'!U:U, $C$1),
    SUMIFS('협력사 EPC(H)'!I:I, '협력사 EPC(H)'!C:C, $E$1, '협력사 EPC(H)'!G:G, B51, '협력사 EPC(H)'!X:X, B56, '협력사 EPC(H)'!U:U, $C$1),
    SUMIFS('기타(Z)'!I:I, '기타(Z)'!C:C, $E$1, '기타(Z)'!G:G, B51, '기타(Z)'!X:X, B56, '기타(Z)'!U:U, $C$1)
  )
)</f>
        <v>171.57</v>
      </c>
      <c r="F56" s="263">
        <f>IF(
  SUM(
    COUNTIFS('발전사업(A)'!C:C, $E$1, '발전사업(A)'!G:G, B51, '발전사업(A)'!X:X, B56, '발전사업(A)'!U:U, $C$1),
    COUNTIFS('자가소비(B)'!C:C, $E$1, '자가소비(B)'!G:G, B51, '자가소비(B)'!X:X, B56, '자가소비(B)'!U:U, $C$1),
    COUNTIFS('PPA 사업(C)'!C:C, $E$1, 'PPA 사업(C)'!G:G, B51, 'PPA 사업(C)'!X:X, B56, 'PPA 사업(C)'!U:U, $C$1),
    COUNTIFS('리스사업(D)'!C:C, $E$1, '리스사업(D)'!G:G, B51, '리스사업(D)'!X:X, B56, '리스사업(D)'!U:U, $C$1),
    COUNTIFS('임대사업(E)'!C:C, $E$1, '임대사업(E)'!G:G, B51, '임대사업(E)'!X:X, B56, '임대사업(E)'!U:U, $C$1),
    COUNTIFS('환경부사업(F)'!C:C, $E$1, '환경부사업(F)'!G:G, B51, '환경부사업(F)'!X:X, B56, '환경부사업(F)'!U:U, $C$1),
    COUNTIFS('프로젝트(G)'!C:C, $E$1, '프로젝트(G)'!G:G, B51, '프로젝트(G)'!X:X, B56, '프로젝트(G)'!U:U, $C$1),
    COUNTIFS('협력사 EPC(H)'!C:C, $E$1, '협력사 EPC(H)'!G:G, B51, '협력사 EPC(H)'!X:X, B56, '협력사 EPC(H)'!U:U, $C$1),
    COUNTIFS('기타(Z)'!C:C, $E$1, '기타(Z)'!G:G, B51, '기타(Z)'!X:X, B56, '기타(Z)'!U:U, $C$1)
  ) = 0,
  "",
  SUM(
    COUNTIFS('발전사업(A)'!C:C, $E$1, '발전사업(A)'!G:G, B51, '발전사업(A)'!X:X, B56, '발전사업(A)'!U:U, $C$1),
    COUNTIFS('자가소비(B)'!C:C, $E$1, '자가소비(B)'!G:G, B51, '자가소비(B)'!X:X, B56, '자가소비(B)'!U:U, $C$1),
    COUNTIFS('PPA 사업(C)'!C:C, $E$1, 'PPA 사업(C)'!G:G, B51, 'PPA 사업(C)'!X:X, B56, 'PPA 사업(C)'!U:U, $C$1),
    COUNTIFS('리스사업(D)'!C:C, $E$1, '리스사업(D)'!G:G, B51, '리스사업(D)'!X:X, B56, '리스사업(D)'!U:U, $C$1),
    COUNTIFS('임대사업(E)'!C:C, $E$1, '임대사업(E)'!G:G, B51, '임대사업(E)'!X:X, B56, '임대사업(E)'!U:U, $C$1),
    COUNTIFS('환경부사업(F)'!C:C, $E$1, '환경부사업(F)'!G:G, B51, '환경부사업(F)'!X:X, B56, '환경부사업(F)'!U:U, $C$1),
    COUNTIFS('프로젝트(G)'!C:C, $E$1, '프로젝트(G)'!G:G, B51, '프로젝트(G)'!X:X, B56, '프로젝트(G)'!U:U, $C$1),
    COUNTIFS('협력사 EPC(H)'!C:C, $E$1, '협력사 EPC(H)'!G:G, B51, '협력사 EPC(H)'!X:X, B56, '협력사 EPC(H)'!U:U, $C$1),
    COUNTIFS('기타(Z)'!C:C, $E$1, '기타(Z)'!G:G, B51, '기타(Z)'!X:X, B56, '기타(Z)'!U:U, $C$1)
  )
)</f>
        <v>2</v>
      </c>
      <c r="G56" s="262">
        <f>IF(
  SUM(
    SUMIFS('발전사업(A)'!I:I, '발전사업(A)'!C:C, $E$1, '발전사업(A)'!G:G, B51, '발전사업(A)'!X:X, B56, '발전사업(A)'!U:U, $D$1),
    SUMIFS('자가소비(B)'!I:I, '자가소비(B)'!C:C, $E$1, '자가소비(B)'!G:G, B51, '자가소비(B)'!X:X, B56, '자가소비(B)'!U:U, $D$1),
    SUMIFS('PPA 사업(C)'!I:I, 'PPA 사업(C)'!C:C, $E$1, 'PPA 사업(C)'!G:G, B51, 'PPA 사업(C)'!X:X, B56, 'PPA 사업(C)'!U:U, $D$1),
    SUMIFS('리스사업(D)'!I:I, '리스사업(D)'!C:C, $E$1, '리스사업(D)'!G:G, B51, '리스사업(D)'!X:X, B56, '리스사업(D)'!U:U, $D$1),
    SUMIFS('임대사업(E)'!I:I, '임대사업(E)'!C:C, $E$1, '임대사업(E)'!G:G, B51, '임대사업(E)'!X:X, B56, '임대사업(E)'!U:U, $D$1),
    SUMIFS('환경부사업(F)'!I:I, '환경부사업(F)'!C:C, $E$1, '환경부사업(F)'!G:G, B51, '환경부사업(F)'!X:X, B56, '환경부사업(F)'!U:U, $D$1),
    SUMIFS('프로젝트(G)'!I:I, '프로젝트(G)'!C:C, $E$1, '프로젝트(G)'!G:G, B51, '프로젝트(G)'!X:X, B56, '프로젝트(G)'!U:U, $D$1),
    SUMIFS('협력사 EPC(H)'!I:I, '협력사 EPC(H)'!C:C, $E$1, '협력사 EPC(H)'!G:G, B51, '협력사 EPC(H)'!X:X, B56, '협력사 EPC(H)'!U:U, $D$1),
    SUMIFS('기타(Z)'!I:I, '기타(Z)'!C:C, $E$1, '기타(Z)'!G:G, B51, '기타(Z)'!X:X, B56, '기타(Z)'!U:U, $D$1)
  ) = 0,
  "",
  SUM(
    SUMIFS('발전사업(A)'!I:I, '발전사업(A)'!C:C, $E$1, '발전사업(A)'!G:G, B51, '발전사업(A)'!X:X, B56, '발전사업(A)'!U:U, $D$1),
    SUMIFS('자가소비(B)'!I:I, '자가소비(B)'!C:C, $E$1, '자가소비(B)'!G:G, B51, '자가소비(B)'!X:X, B56, '자가소비(B)'!U:U, $D$1),
    SUMIFS('PPA 사업(C)'!I:I, 'PPA 사업(C)'!C:C, $E$1, 'PPA 사업(C)'!G:G, B51, 'PPA 사업(C)'!X:X, B56, 'PPA 사업(C)'!U:U, $D$1),
    SUMIFS('리스사업(D)'!I:I, '리스사업(D)'!C:C, $E$1, '리스사업(D)'!G:G, B51, '리스사업(D)'!X:X, B56, '리스사업(D)'!U:U, $D$1),
    SUMIFS('임대사업(E)'!I:I, '임대사업(E)'!C:C, $E$1, '임대사업(E)'!G:G, B51, '임대사업(E)'!X:X, B56, '임대사업(E)'!U:U, $D$1),
    SUMIFS('환경부사업(F)'!I:I, '환경부사업(F)'!C:C, $E$1, '환경부사업(F)'!G:G, B51, '환경부사업(F)'!X:X, B56, '환경부사업(F)'!U:U, $D$1),
    SUMIFS('프로젝트(G)'!I:I, '프로젝트(G)'!C:C, $E$1, '프로젝트(G)'!G:G, B51, '프로젝트(G)'!X:X, B56, '프로젝트(G)'!U:U, $D$1),
    SUMIFS('협력사 EPC(H)'!I:I, '협력사 EPC(H)'!C:C, $E$1, '협력사 EPC(H)'!G:G, B51, '협력사 EPC(H)'!X:X, B56, '협력사 EPC(H)'!U:U, $D$1),
    SUMIFS('기타(Z)'!I:I, '기타(Z)'!C:C, $E$1, '기타(Z)'!G:G, B51, '기타(Z)'!X:X, B56, '기타(Z)'!U:U, $D$1)
  )
)</f>
        <v>39.99</v>
      </c>
      <c r="H56" s="263">
        <f>IF(
  (
    COUNTIFS('발전사업(A)'!C:C, $E$1, '발전사업(A)'!G:G, B51, '발전사업(A)'!X:X, B56, '발전사업(A)'!U:U, $D$1)
    + COUNTIFS('자가소비(B)'!C:C, $E$1, '자가소비(B)'!G:G, B51, '자가소비(B)'!X:X, B56, '자가소비(B)'!U:U, $D$1)
    + COUNTIFS('PPA 사업(C)'!C:C, $E$1, 'PPA 사업(C)'!G:G, B51, 'PPA 사업(C)'!X:X, B56, 'PPA 사업(C)'!U:U, $D$1)
    + COUNTIFS('리스사업(D)'!C:C, $E$1, '리스사업(D)'!G:G, B51, '리스사업(D)'!X:X, B56, '리스사업(D)'!U:U, $D$1)
    + COUNTIFS('임대사업(E)'!C:C, $E$1, '임대사업(E)'!G:G, B51, '임대사업(E)'!X:X, B56, '임대사업(E)'!U:U, $D$1)
    + COUNTIFS('환경부사업(F)'!C:C, $E$1, '환경부사업(F)'!G:G, B51, '환경부사업(F)'!X:X, B56, '환경부사업(F)'!U:U, $D$1)
    + COUNTIFS('프로젝트(G)'!C:C, $E$1, '프로젝트(G)'!G:G, B51, '프로젝트(G)'!X:X, B56, '프로젝트(G)'!U:U, $D$1)
    + COUNTIFS('협력사 EPC(H)'!C:C, $E$1, '협력사 EPC(H)'!G:G, B51, '협력사 EPC(H)'!X:X, B56, '협력사 EPC(H)'!U:U, $D$1)
    + COUNTIFS('기타(Z)'!C:C, $E$1, '기타(Z)'!G:G, B51, '기타(Z)'!X:X, B56, '기타(Z)'!U:U, $D$1)
  ) = 0,
  "",
  COUNTIFS('발전사업(A)'!C:C, $E$1, '발전사업(A)'!G:G, B51, '발전사업(A)'!X:X, B56, '발전사업(A)'!U:U, $D$1)
  + COUNTIFS('자가소비(B)'!C:C, $E$1, '자가소비(B)'!G:G, B51, '자가소비(B)'!X:X, B56, '자가소비(B)'!U:U, $D$1)
  + COUNTIFS('PPA 사업(C)'!C:C, $E$1, 'PPA 사업(C)'!G:G, B51, 'PPA 사업(C)'!X:X, B56, 'PPA 사업(C)'!U:U, $D$1)
  + COUNTIFS('리스사업(D)'!C:C, $E$1, '리스사업(D)'!G:G, B51, '리스사업(D)'!X:X, B56, '리스사업(D)'!U:U, $D$1)
  + COUNTIFS('임대사업(E)'!C:C, $E$1, '임대사업(E)'!G:G, B51, '임대사업(E)'!X:X, B56, '임대사업(E)'!U:U, $D$1)
  + COUNTIFS('환경부사업(F)'!C:C, $E$1, '환경부사업(F)'!G:G, B51, '환경부사업(F)'!X:X, B56, '환경부사업(F)'!U:U, $D$1)
  + COUNTIFS('프로젝트(G)'!C:C, $E$1, '프로젝트(G)'!G:G, B51, '프로젝트(G)'!X:X, B56, '프로젝트(G)'!U:U, $D$1)
  + COUNTIFS('협력사 EPC(H)'!C:C, $E$1, '협력사 EPC(H)'!G:G, B51, '협력사 EPC(H)'!X:X, B56, '협력사 EPC(H)'!U:U, $D$1)
  + COUNTIFS('기타(Z)'!C:C, $E$1, '기타(Z)'!G:G, B51, '기타(Z)'!X:X, B56, '기타(Z)'!U:U, $D$1)
)</f>
        <v>1</v>
      </c>
    </row>
    <row r="57" spans="2:8" x14ac:dyDescent="0.25">
      <c r="B57" s="195" t="s">
        <v>156</v>
      </c>
      <c r="C57" s="262" t="str">
        <f>IF(
  SUM(
    SUMIFS('발전사업(A)'!I:I, '발전사업(A)'!C:C, $E$1, '발전사업(A)'!G:G, B51, '발전사업(A)'!X:X, B57),
    SUMIFS('자가소비(B)'!I:I, '자가소비(B)'!C:C, $E$1, '자가소비(B)'!G:G, B51, '자가소비(B)'!X:X, B57),
    SUMIFS('PPA 사업(C)'!I:I, 'PPA 사업(C)'!C:C, $E$1, 'PPA 사업(C)'!G:G, B51, 'PPA 사업(C)'!X:X, B57),
    SUMIFS('리스사업(D)'!I:I, '리스사업(D)'!C:C, $E$1, '리스사업(D)'!G:G, B51, '리스사업(D)'!X:X, B57),
    SUMIFS('임대사업(E)'!I:I, '임대사업(E)'!C:C, $E$1, '임대사업(E)'!G:G, B51, '임대사업(E)'!X:X, B57),
    SUMIFS('환경부사업(F)'!I:I, '환경부사업(F)'!C:C, $E$1, '환경부사업(F)'!G:G, B51, '환경부사업(F)'!X:X, B57),
    SUMIFS('프로젝트(G)'!I:I, '프로젝트(G)'!C:C, $E$1, '프로젝트(G)'!G:G, B51, '프로젝트(G)'!X:X, B57),
    SUMIFS('협력사 EPC(H)'!I:I, '협력사 EPC(H)'!C:C, $E$1, '협력사 EPC(H)'!G:G, B51, '협력사 EPC(H)'!X:X, B57),
    SUMIFS('기타(Z)'!I:I, '기타(Z)'!C:C, $E$1, '기타(Z)'!G:G, B51, '기타(Z)'!X:X, B57)
  ) = 0,
  "",
  SUMIFS('발전사업(A)'!I:I, '발전사업(A)'!C:C, $E$1, '발전사업(A)'!G:G, B51, '발전사업(A)'!X:X, B57)
  + SUMIFS('자가소비(B)'!I:I, '자가소비(B)'!C:C, $E$1, '자가소비(B)'!G:G, B51, '자가소비(B)'!X:X, B57)
  + SUMIFS('PPA 사업(C)'!I:I, 'PPA 사업(C)'!C:C, $E$1, 'PPA 사업(C)'!G:G, B51, 'PPA 사업(C)'!X:X, B57)
  + SUMIFS('리스사업(D)'!I:I, '리스사업(D)'!C:C, $E$1, '리스사업(D)'!G:G, B51, '리스사업(D)'!X:X, B57)
  + SUMIFS('임대사업(E)'!I:I, '임대사업(E)'!C:C, $E$1, '임대사업(E)'!G:G, B51, '임대사업(E)'!X:X, B57)
  + SUMIFS('환경부사업(F)'!I:I, '환경부사업(F)'!C:C, $E$1, '환경부사업(F)'!G:G, B51, '환경부사업(F)'!X:X, B57)
  + SUMIFS('프로젝트(G)'!I:I, '프로젝트(G)'!C:C, $E$1, '프로젝트(G)'!G:G, B51, '프로젝트(G)'!X:X, B57)
  + SUMIFS('협력사 EPC(H)'!I:I, '협력사 EPC(H)'!C:C, $E$1, '협력사 EPC(H)'!G:G, B51, '협력사 EPC(H)'!X:X, B57)
  + SUMIFS('기타(Z)'!I:I, '기타(Z)'!C:C, $E$1, '기타(Z)'!G:G, B51, '기타(Z)'!X:X, B57)
)</f>
        <v/>
      </c>
      <c r="D57" s="263" t="str">
        <f>IF(
  COUNTIFS('발전사업(A)'!C:C, $E$1, '발전사업(A)'!G:G, B51, '발전사업(A)'!X:X, B57)
  + COUNTIFS('자가소비(B)'!C:C, $E$1, '자가소비(B)'!G:G, B51, '자가소비(B)'!X:X, B57)
  + COUNTIFS('PPA 사업(C)'!C:C, $E$1, 'PPA 사업(C)'!G:G, B51, 'PPA 사업(C)'!X:X, B57)
  + COUNTIFS('리스사업(D)'!C:C, $E$1, '리스사업(D)'!G:G, B51, '리스사업(D)'!X:X, B57)
  + COUNTIFS('임대사업(E)'!C:C, $E$1, '임대사업(E)'!G:G, B51, '임대사업(E)'!X:X, B57)
  + COUNTIFS('환경부사업(F)'!C:C, $E$1, '환경부사업(F)'!G:G, B51, '환경부사업(F)'!X:X, B57)
  + COUNTIFS('프로젝트(G)'!C:C, $E$1, '프로젝트(G)'!G:G, B51, '프로젝트(G)'!X:X, B57)
  + COUNTIFS('협력사 EPC(H)'!C:C, $E$1, '협력사 EPC(H)'!G:G, B51, '협력사 EPC(H)'!X:X, B57)
  + COUNTIFS('기타(Z)'!C:C, $E$1, '기타(Z)'!G:G, B51, '기타(Z)'!X:X, B57)
  = 0,
  "",
  COUNTIFS('발전사업(A)'!C:C, $E$1, '발전사업(A)'!G:G, B51, '발전사업(A)'!X:X, B57)
  + COUNTIFS('자가소비(B)'!C:C, $E$1, '자가소비(B)'!G:G, B51, '자가소비(B)'!X:X, B57)
  + COUNTIFS('PPA 사업(C)'!C:C, $E$1, 'PPA 사업(C)'!G:G, B51, 'PPA 사업(C)'!X:X, B57)
  + COUNTIFS('리스사업(D)'!C:C, $E$1, '리스사업(D)'!G:G, B51, '리스사업(D)'!X:X, B57)
  + COUNTIFS('임대사업(E)'!C:C, $E$1, '임대사업(E)'!G:G, B51, '임대사업(E)'!X:X, B57)
  + COUNTIFS('환경부사업(F)'!C:C, $E$1, '환경부사업(F)'!G:G, B51, '환경부사업(F)'!X:X, B57)
  + COUNTIFS('프로젝트(G)'!C:C, $E$1, '프로젝트(G)'!G:G, B51, '프로젝트(G)'!X:X, B57)
  + COUNTIFS('협력사 EPC(H)'!C:C, $E$1, '협력사 EPC(H)'!G:G, B51, '협력사 EPC(H)'!X:X, B57)
  + COUNTIFS('기타(Z)'!C:C, $E$1, '기타(Z)'!G:G, B51, '기타(Z)'!X:X, B57)
)</f>
        <v/>
      </c>
      <c r="E57" s="262" t="str">
        <f>IF(
  SUM(
    SUMIFS('발전사업(A)'!I:I, '발전사업(A)'!C:C, $E$1, '발전사업(A)'!G:G, B51, '발전사업(A)'!X:X, B57, '발전사업(A)'!U:U, $C$1),
    SUMIFS('자가소비(B)'!I:I, '자가소비(B)'!C:C, $E$1, '자가소비(B)'!G:G, B51, '자가소비(B)'!X:X, B57, '자가소비(B)'!U:U, $C$1),
    SUMIFS('PPA 사업(C)'!I:I, 'PPA 사업(C)'!C:C, $E$1, 'PPA 사업(C)'!G:G, B51, 'PPA 사업(C)'!X:X, B57, 'PPA 사업(C)'!U:U, $C$1),
    SUMIFS('리스사업(D)'!I:I, '리스사업(D)'!C:C, $E$1, '리스사업(D)'!G:G, B51, '리스사업(D)'!X:X, B57, '리스사업(D)'!U:U, $C$1),
    SUMIFS('임대사업(E)'!I:I, '임대사업(E)'!C:C, $E$1, '임대사업(E)'!G:G, B51, '임대사업(E)'!X:X, B57, '임대사업(E)'!U:U, $C$1),
    SUMIFS('환경부사업(F)'!I:I, '환경부사업(F)'!C:C, $E$1, '환경부사업(F)'!G:G, B51, '환경부사업(F)'!X:X, B57, '환경부사업(F)'!U:U, $C$1),
    SUMIFS('프로젝트(G)'!I:I, '프로젝트(G)'!C:C, $E$1, '프로젝트(G)'!G:G, B51, '프로젝트(G)'!X:X, B57, '프로젝트(G)'!U:U, $C$1),
    SUMIFS('협력사 EPC(H)'!I:I, '협력사 EPC(H)'!C:C, $E$1, '협력사 EPC(H)'!G:G, B51, '협력사 EPC(H)'!X:X, B57, '협력사 EPC(H)'!U:U, $C$1),
    SUMIFS('기타(Z)'!I:I, '기타(Z)'!C:C, $E$1, '기타(Z)'!G:G, B51, '기타(Z)'!X:X, B57, '기타(Z)'!U:U, $C$1)
  ) = 0,
  "",
  SUM(
    SUMIFS('발전사업(A)'!I:I, '발전사업(A)'!C:C, $E$1, '발전사업(A)'!G:G, B51, '발전사업(A)'!X:X, B57, '발전사업(A)'!U:U, $C$1),
    SUMIFS('자가소비(B)'!I:I, '자가소비(B)'!C:C, $E$1, '자가소비(B)'!G:G, B51, '자가소비(B)'!X:X, B57, '자가소비(B)'!U:U, $C$1),
    SUMIFS('PPA 사업(C)'!I:I, 'PPA 사업(C)'!C:C, $E$1, 'PPA 사업(C)'!G:G, B51, 'PPA 사업(C)'!X:X, B57, 'PPA 사업(C)'!U:U, $C$1),
    SUMIFS('리스사업(D)'!I:I, '리스사업(D)'!C:C, $E$1, '리스사업(D)'!G:G, B51, '리스사업(D)'!X:X, B57, '리스사업(D)'!U:U, $C$1),
    SUMIFS('임대사업(E)'!I:I, '임대사업(E)'!C:C, $E$1, '임대사업(E)'!G:G, B51, '임대사업(E)'!X:X, B57, '임대사업(E)'!U:U, $C$1),
    SUMIFS('환경부사업(F)'!I:I, '환경부사업(F)'!C:C, $E$1, '환경부사업(F)'!G:G, B51, '환경부사업(F)'!X:X, B57, '환경부사업(F)'!U:U, $C$1),
    SUMIFS('프로젝트(G)'!I:I, '프로젝트(G)'!C:C, $E$1, '프로젝트(G)'!G:G, B51, '프로젝트(G)'!X:X, B57, '프로젝트(G)'!U:U, $C$1),
    SUMIFS('협력사 EPC(H)'!I:I, '협력사 EPC(H)'!C:C, $E$1, '협력사 EPC(H)'!G:G, B51, '협력사 EPC(H)'!X:X, B57, '협력사 EPC(H)'!U:U, $C$1),
    SUMIFS('기타(Z)'!I:I, '기타(Z)'!C:C, $E$1, '기타(Z)'!G:G, B51, '기타(Z)'!X:X, B57, '기타(Z)'!U:U, $C$1)
  )
)</f>
        <v/>
      </c>
      <c r="F57" s="263" t="str">
        <f>IF(
  SUM(
    COUNTIFS('발전사업(A)'!C:C, $E$1, '발전사업(A)'!G:G, B51, '발전사업(A)'!X:X, B57, '발전사업(A)'!U:U, $C$1),
    COUNTIFS('자가소비(B)'!C:C, $E$1, '자가소비(B)'!G:G, B51, '자가소비(B)'!X:X, B57, '자가소비(B)'!U:U, $C$1),
    COUNTIFS('PPA 사업(C)'!C:C, $E$1, 'PPA 사업(C)'!G:G, B51, 'PPA 사업(C)'!X:X, B57, 'PPA 사업(C)'!U:U, $C$1),
    COUNTIFS('리스사업(D)'!C:C, $E$1, '리스사업(D)'!G:G, B51, '리스사업(D)'!X:X, B57, '리스사업(D)'!U:U, $C$1),
    COUNTIFS('임대사업(E)'!C:C, $E$1, '임대사업(E)'!G:G, B51, '임대사업(E)'!X:X, B57, '임대사업(E)'!U:U, $C$1),
    COUNTIFS('환경부사업(F)'!C:C, $E$1, '환경부사업(F)'!G:G, B51, '환경부사업(F)'!X:X, B57, '환경부사업(F)'!U:U, $C$1),
    COUNTIFS('프로젝트(G)'!C:C, $E$1, '프로젝트(G)'!G:G, B51, '프로젝트(G)'!X:X, B57, '프로젝트(G)'!U:U, $C$1),
    COUNTIFS('협력사 EPC(H)'!C:C, $E$1, '협력사 EPC(H)'!G:G, B51, '협력사 EPC(H)'!X:X, B57, '협력사 EPC(H)'!U:U, $C$1),
    COUNTIFS('기타(Z)'!C:C, $E$1, '기타(Z)'!G:G, B51, '기타(Z)'!X:X, B57, '기타(Z)'!U:U, $C$1)
  ) = 0,
  "",
  SUM(
    COUNTIFS('발전사업(A)'!C:C, $E$1, '발전사업(A)'!G:G, B51, '발전사업(A)'!X:X, B57, '발전사업(A)'!U:U, $C$1),
    COUNTIFS('자가소비(B)'!C:C, $E$1, '자가소비(B)'!G:G, B51, '자가소비(B)'!X:X, B57, '자가소비(B)'!U:U, $C$1),
    COUNTIFS('PPA 사업(C)'!C:C, $E$1, 'PPA 사업(C)'!G:G, B51, 'PPA 사업(C)'!X:X, B57, 'PPA 사업(C)'!U:U, $C$1),
    COUNTIFS('리스사업(D)'!C:C, $E$1, '리스사업(D)'!G:G, B51, '리스사업(D)'!X:X, B57, '리스사업(D)'!U:U, $C$1),
    COUNTIFS('임대사업(E)'!C:C, $E$1, '임대사업(E)'!G:G, B51, '임대사업(E)'!X:X, B57, '임대사업(E)'!U:U, $C$1),
    COUNTIFS('환경부사업(F)'!C:C, $E$1, '환경부사업(F)'!G:G, B51, '환경부사업(F)'!X:X, B57, '환경부사업(F)'!U:U, $C$1),
    COUNTIFS('프로젝트(G)'!C:C, $E$1, '프로젝트(G)'!G:G, B51, '프로젝트(G)'!X:X, B57, '프로젝트(G)'!U:U, $C$1),
    COUNTIFS('협력사 EPC(H)'!C:C, $E$1, '협력사 EPC(H)'!G:G, B51, '협력사 EPC(H)'!X:X, B57, '협력사 EPC(H)'!U:U, $C$1),
    COUNTIFS('기타(Z)'!C:C, $E$1, '기타(Z)'!G:G, B51, '기타(Z)'!X:X, B57, '기타(Z)'!U:U, $C$1)
  )
)</f>
        <v/>
      </c>
      <c r="G57" s="262" t="str">
        <f>IF(
  SUM(
    SUMIFS('발전사업(A)'!I:I, '발전사업(A)'!C:C, $E$1, '발전사업(A)'!G:G, B51, '발전사업(A)'!X:X, B57, '발전사업(A)'!U:U, $D$1),
    SUMIFS('자가소비(B)'!I:I, '자가소비(B)'!C:C, $E$1, '자가소비(B)'!G:G, B51, '자가소비(B)'!X:X, B57, '자가소비(B)'!U:U, $D$1),
    SUMIFS('PPA 사업(C)'!I:I, 'PPA 사업(C)'!C:C, $E$1, 'PPA 사업(C)'!G:G, B51, 'PPA 사업(C)'!X:X, B57, 'PPA 사업(C)'!U:U, $D$1),
    SUMIFS('리스사업(D)'!I:I, '리스사업(D)'!C:C, $E$1, '리스사업(D)'!G:G, B51, '리스사업(D)'!X:X, B57, '리스사업(D)'!U:U, $D$1),
    SUMIFS('임대사업(E)'!I:I, '임대사업(E)'!C:C, $E$1, '임대사업(E)'!G:G, B51, '임대사업(E)'!X:X, B57, '임대사업(E)'!U:U, $D$1),
    SUMIFS('환경부사업(F)'!I:I, '환경부사업(F)'!C:C, $E$1, '환경부사업(F)'!G:G, B51, '환경부사업(F)'!X:X, B57, '환경부사업(F)'!U:U, $D$1),
    SUMIFS('프로젝트(G)'!I:I, '프로젝트(G)'!C:C, $E$1, '프로젝트(G)'!G:G, B51, '프로젝트(G)'!X:X, B57, '프로젝트(G)'!U:U, $D$1),
    SUMIFS('협력사 EPC(H)'!I:I, '협력사 EPC(H)'!C:C, $E$1, '협력사 EPC(H)'!G:G, B51, '협력사 EPC(H)'!X:X, B57, '협력사 EPC(H)'!U:U, $D$1),
    SUMIFS('기타(Z)'!I:I, '기타(Z)'!C:C, $E$1, '기타(Z)'!G:G, B51, '기타(Z)'!X:X, B57, '기타(Z)'!U:U, $D$1)
  ) = 0,
  "",
  SUM(
    SUMIFS('발전사업(A)'!I:I, '발전사업(A)'!C:C, $E$1, '발전사업(A)'!G:G, B51, '발전사업(A)'!X:X, B57, '발전사업(A)'!U:U, $D$1),
    SUMIFS('자가소비(B)'!I:I, '자가소비(B)'!C:C, $E$1, '자가소비(B)'!G:G, B51, '자가소비(B)'!X:X, B57, '자가소비(B)'!U:U, $D$1),
    SUMIFS('PPA 사업(C)'!I:I, 'PPA 사업(C)'!C:C, $E$1, 'PPA 사업(C)'!G:G, B51, 'PPA 사업(C)'!X:X, B57, 'PPA 사업(C)'!U:U, $D$1),
    SUMIFS('리스사업(D)'!I:I, '리스사업(D)'!C:C, $E$1, '리스사업(D)'!G:G, B51, '리스사업(D)'!X:X, B57, '리스사업(D)'!U:U, $D$1),
    SUMIFS('임대사업(E)'!I:I, '임대사업(E)'!C:C, $E$1, '임대사업(E)'!G:G, B51, '임대사업(E)'!X:X, B57, '임대사업(E)'!U:U, $D$1),
    SUMIFS('환경부사업(F)'!I:I, '환경부사업(F)'!C:C, $E$1, '환경부사업(F)'!G:G, B51, '환경부사업(F)'!X:X, B57, '환경부사업(F)'!U:U, $D$1),
    SUMIFS('프로젝트(G)'!I:I, '프로젝트(G)'!C:C, $E$1, '프로젝트(G)'!G:G, B51, '프로젝트(G)'!X:X, B57, '프로젝트(G)'!U:U, $D$1),
    SUMIFS('협력사 EPC(H)'!I:I, '협력사 EPC(H)'!C:C, $E$1, '협력사 EPC(H)'!G:G, B51, '협력사 EPC(H)'!X:X, B57, '협력사 EPC(H)'!U:U, $D$1),
    SUMIFS('기타(Z)'!I:I, '기타(Z)'!C:C, $E$1, '기타(Z)'!G:G, B51, '기타(Z)'!X:X, B57, '기타(Z)'!U:U, $D$1)
  )
)</f>
        <v/>
      </c>
      <c r="H57" s="263" t="str">
        <f>IF(
  (
    COUNTIFS('발전사업(A)'!C:C, $E$1, '발전사업(A)'!G:G, B51, '발전사업(A)'!X:X, B57, '발전사업(A)'!U:U, $D$1)
    + COUNTIFS('자가소비(B)'!C:C, $E$1, '자가소비(B)'!G:G, B51, '자가소비(B)'!X:X, B57, '자가소비(B)'!U:U, $D$1)
    + COUNTIFS('PPA 사업(C)'!C:C, $E$1, 'PPA 사업(C)'!G:G, B51, 'PPA 사업(C)'!X:X, B57, 'PPA 사업(C)'!U:U, $D$1)
    + COUNTIFS('리스사업(D)'!C:C, $E$1, '리스사업(D)'!G:G, B51, '리스사업(D)'!X:X, B57, '리스사업(D)'!U:U, $D$1)
    + COUNTIFS('임대사업(E)'!C:C, $E$1, '임대사업(E)'!G:G, B51, '임대사업(E)'!X:X, B57, '임대사업(E)'!U:U, $D$1)
    + COUNTIFS('환경부사업(F)'!C:C, $E$1, '환경부사업(F)'!G:G, B51, '환경부사업(F)'!X:X, B57, '환경부사업(F)'!U:U, $D$1)
    + COUNTIFS('프로젝트(G)'!C:C, $E$1, '프로젝트(G)'!G:G, B51, '프로젝트(G)'!X:X, B57, '프로젝트(G)'!U:U, $D$1)
    + COUNTIFS('협력사 EPC(H)'!C:C, $E$1, '협력사 EPC(H)'!G:G, B51, '협력사 EPC(H)'!X:X, B57, '협력사 EPC(H)'!U:U, $D$1)
    + COUNTIFS('기타(Z)'!C:C, $E$1, '기타(Z)'!G:G, B51, '기타(Z)'!X:X, B57, '기타(Z)'!U:U, $D$1)
  ) = 0,
  "",
  COUNTIFS('발전사업(A)'!C:C, $E$1, '발전사업(A)'!G:G, B51, '발전사업(A)'!X:X, B57, '발전사업(A)'!U:U, $D$1)
  + COUNTIFS('자가소비(B)'!C:C, $E$1, '자가소비(B)'!G:G, B51, '자가소비(B)'!X:X, B57, '자가소비(B)'!U:U, $D$1)
  + COUNTIFS('PPA 사업(C)'!C:C, $E$1, 'PPA 사업(C)'!G:G, B51, 'PPA 사업(C)'!X:X, B57, 'PPA 사업(C)'!U:U, $D$1)
  + COUNTIFS('리스사업(D)'!C:C, $E$1, '리스사업(D)'!G:G, B51, '리스사업(D)'!X:X, B57, '리스사업(D)'!U:U, $D$1)
  + COUNTIFS('임대사업(E)'!C:C, $E$1, '임대사업(E)'!G:G, B51, '임대사업(E)'!X:X, B57, '임대사업(E)'!U:U, $D$1)
  + COUNTIFS('환경부사업(F)'!C:C, $E$1, '환경부사업(F)'!G:G, B51, '환경부사업(F)'!X:X, B57, '환경부사업(F)'!U:U, $D$1)
  + COUNTIFS('프로젝트(G)'!C:C, $E$1, '프로젝트(G)'!G:G, B51, '프로젝트(G)'!X:X, B57, '프로젝트(G)'!U:U, $D$1)
  + COUNTIFS('협력사 EPC(H)'!C:C, $E$1, '협력사 EPC(H)'!G:G, B51, '협력사 EPC(H)'!X:X, B57, '협력사 EPC(H)'!U:U, $D$1)
  + COUNTIFS('기타(Z)'!C:C, $E$1, '기타(Z)'!G:G, B51, '기타(Z)'!X:X, B57, '기타(Z)'!U:U, $D$1)
)</f>
        <v/>
      </c>
    </row>
    <row r="58" spans="2:8" x14ac:dyDescent="0.25">
      <c r="B58" s="195" t="s">
        <v>157</v>
      </c>
      <c r="C58" s="262" t="str">
        <f>IF(
  SUM(
    SUMIFS('발전사업(A)'!I:I, '발전사업(A)'!C:C, $E$1, '발전사업(A)'!G:G, B51, '발전사업(A)'!X:X, B58),
    SUMIFS('자가소비(B)'!I:I, '자가소비(B)'!C:C, $E$1, '자가소비(B)'!G:G, B51, '자가소비(B)'!X:X, B58),
    SUMIFS('PPA 사업(C)'!I:I, 'PPA 사업(C)'!C:C, $E$1, 'PPA 사업(C)'!G:G, B51, 'PPA 사업(C)'!X:X, B58),
    SUMIFS('리스사업(D)'!I:I, '리스사업(D)'!C:C, $E$1, '리스사업(D)'!G:G, B51, '리스사업(D)'!X:X, B58),
    SUMIFS('임대사업(E)'!I:I, '임대사업(E)'!C:C, $E$1, '임대사업(E)'!G:G, B51, '임대사업(E)'!X:X, B58),
    SUMIFS('환경부사업(F)'!I:I, '환경부사업(F)'!C:C, $E$1, '환경부사업(F)'!G:G, B51, '환경부사업(F)'!X:X, B58),
    SUMIFS('프로젝트(G)'!I:I, '프로젝트(G)'!C:C, $E$1, '프로젝트(G)'!G:G, B51, '프로젝트(G)'!X:X, B58),
    SUMIFS('협력사 EPC(H)'!I:I, '협력사 EPC(H)'!C:C, $E$1, '협력사 EPC(H)'!G:G, B51, '협력사 EPC(H)'!X:X, B58),
    SUMIFS('기타(Z)'!I:I, '기타(Z)'!C:C, $E$1, '기타(Z)'!G:G, B51, '기타(Z)'!X:X, B58)
  ) = 0,
  "",
  SUMIFS('발전사업(A)'!I:I, '발전사업(A)'!C:C, $E$1, '발전사업(A)'!G:G, B51, '발전사업(A)'!X:X, B58)
  + SUMIFS('자가소비(B)'!I:I, '자가소비(B)'!C:C, $E$1, '자가소비(B)'!G:G, B51, '자가소비(B)'!X:X, B58)
  + SUMIFS('PPA 사업(C)'!I:I, 'PPA 사업(C)'!C:C, $E$1, 'PPA 사업(C)'!G:G, B51, 'PPA 사업(C)'!X:X, B58)
  + SUMIFS('리스사업(D)'!I:I, '리스사업(D)'!C:C, $E$1, '리스사업(D)'!G:G, B51, '리스사업(D)'!X:X, B58)
  + SUMIFS('임대사업(E)'!I:I, '임대사업(E)'!C:C, $E$1, '임대사업(E)'!G:G, B51, '임대사업(E)'!X:X, B58)
  + SUMIFS('환경부사업(F)'!I:I, '환경부사업(F)'!C:C, $E$1, '환경부사업(F)'!G:G, B51, '환경부사업(F)'!X:X, B58)
  + SUMIFS('프로젝트(G)'!I:I, '프로젝트(G)'!C:C, $E$1, '프로젝트(G)'!G:G, B51, '프로젝트(G)'!X:X, B58)
  + SUMIFS('협력사 EPC(H)'!I:I, '협력사 EPC(H)'!C:C, $E$1, '협력사 EPC(H)'!G:G, B51, '협력사 EPC(H)'!X:X, B58)
  + SUMIFS('기타(Z)'!I:I, '기타(Z)'!C:C, $E$1, '기타(Z)'!G:G, B51, '기타(Z)'!X:X, B58)
)</f>
        <v/>
      </c>
      <c r="D58" s="263" t="str">
        <f>IF(
  COUNTIFS('발전사업(A)'!C:C, $E$1, '발전사업(A)'!G:G, B51, '발전사업(A)'!X:X, B58)
  + COUNTIFS('자가소비(B)'!C:C, $E$1, '자가소비(B)'!G:G, B51, '자가소비(B)'!X:X, B58)
  + COUNTIFS('PPA 사업(C)'!C:C, $E$1, 'PPA 사업(C)'!G:G, B51, 'PPA 사업(C)'!X:X, B58)
  + COUNTIFS('리스사업(D)'!C:C, $E$1, '리스사업(D)'!G:G, B51, '리스사업(D)'!X:X, B58)
  + COUNTIFS('임대사업(E)'!C:C, $E$1, '임대사업(E)'!G:G, B51, '임대사업(E)'!X:X, B58)
  + COUNTIFS('환경부사업(F)'!C:C, $E$1, '환경부사업(F)'!G:G, B51, '환경부사업(F)'!X:X, B58)
  + COUNTIFS('프로젝트(G)'!C:C, $E$1, '프로젝트(G)'!G:G, B51, '프로젝트(G)'!X:X, B58)
  + COUNTIFS('협력사 EPC(H)'!C:C, $E$1, '협력사 EPC(H)'!G:G, B51, '협력사 EPC(H)'!X:X, B58)
  + COUNTIFS('기타(Z)'!C:C, $E$1, '기타(Z)'!G:G, B51, '기타(Z)'!X:X, B58)
  = 0,
  "",
  COUNTIFS('발전사업(A)'!C:C, $E$1, '발전사업(A)'!G:G, B51, '발전사업(A)'!X:X, B58)
  + COUNTIFS('자가소비(B)'!C:C, $E$1, '자가소비(B)'!G:G, B51, '자가소비(B)'!X:X, B58)
  + COUNTIFS('PPA 사업(C)'!C:C, $E$1, 'PPA 사업(C)'!G:G, B51, 'PPA 사업(C)'!X:X, B58)
  + COUNTIFS('리스사업(D)'!C:C, $E$1, '리스사업(D)'!G:G, B51, '리스사업(D)'!X:X, B58)
  + COUNTIFS('임대사업(E)'!C:C, $E$1, '임대사업(E)'!G:G, B51, '임대사업(E)'!X:X, B58)
  + COUNTIFS('환경부사업(F)'!C:C, $E$1, '환경부사업(F)'!G:G, B51, '환경부사업(F)'!X:X, B58)
  + COUNTIFS('프로젝트(G)'!C:C, $E$1, '프로젝트(G)'!G:G, B51, '프로젝트(G)'!X:X, B58)
  + COUNTIFS('협력사 EPC(H)'!C:C, $E$1, '협력사 EPC(H)'!G:G, B51, '협력사 EPC(H)'!X:X, B58)
  + COUNTIFS('기타(Z)'!C:C, $E$1, '기타(Z)'!G:G, B51, '기타(Z)'!X:X, B58)
)</f>
        <v/>
      </c>
      <c r="E58" s="262" t="str">
        <f>IF(
  SUM(
    SUMIFS('발전사업(A)'!I:I, '발전사업(A)'!C:C, $E$1, '발전사업(A)'!G:G, B51, '발전사업(A)'!X:X, B58, '발전사업(A)'!U:U, $C$1),
    SUMIFS('자가소비(B)'!I:I, '자가소비(B)'!C:C, $E$1, '자가소비(B)'!G:G, B51, '자가소비(B)'!X:X, B58, '자가소비(B)'!U:U, $C$1),
    SUMIFS('PPA 사업(C)'!I:I, 'PPA 사업(C)'!C:C, $E$1, 'PPA 사업(C)'!G:G, B51, 'PPA 사업(C)'!X:X, B58, 'PPA 사업(C)'!U:U, $C$1),
    SUMIFS('리스사업(D)'!I:I, '리스사업(D)'!C:C, $E$1, '리스사업(D)'!G:G, B51, '리스사업(D)'!X:X, B58, '리스사업(D)'!U:U, $C$1),
    SUMIFS('임대사업(E)'!I:I, '임대사업(E)'!C:C, $E$1, '임대사업(E)'!G:G, B51, '임대사업(E)'!X:X, B58, '임대사업(E)'!U:U, $C$1),
    SUMIFS('환경부사업(F)'!I:I, '환경부사업(F)'!C:C, $E$1, '환경부사업(F)'!G:G, B51, '환경부사업(F)'!X:X, B58, '환경부사업(F)'!U:U, $C$1),
    SUMIFS('프로젝트(G)'!I:I, '프로젝트(G)'!C:C, $E$1, '프로젝트(G)'!G:G, B51, '프로젝트(G)'!X:X, B58, '프로젝트(G)'!U:U, $C$1),
    SUMIFS('협력사 EPC(H)'!I:I, '협력사 EPC(H)'!C:C, $E$1, '협력사 EPC(H)'!G:G, B51, '협력사 EPC(H)'!X:X, B58, '협력사 EPC(H)'!U:U, $C$1),
    SUMIFS('기타(Z)'!I:I, '기타(Z)'!C:C, $E$1, '기타(Z)'!G:G, B51, '기타(Z)'!X:X, B58, '기타(Z)'!U:U, $C$1)
  ) = 0,
  "",
  SUM(
    SUMIFS('발전사업(A)'!I:I, '발전사업(A)'!C:C, $E$1, '발전사업(A)'!G:G, B51, '발전사업(A)'!X:X, B58, '발전사업(A)'!U:U, $C$1),
    SUMIFS('자가소비(B)'!I:I, '자가소비(B)'!C:C, $E$1, '자가소비(B)'!G:G, B51, '자가소비(B)'!X:X, B58, '자가소비(B)'!U:U, $C$1),
    SUMIFS('PPA 사업(C)'!I:I, 'PPA 사업(C)'!C:C, $E$1, 'PPA 사업(C)'!G:G, B51, 'PPA 사업(C)'!X:X, B58, 'PPA 사업(C)'!U:U, $C$1),
    SUMIFS('리스사업(D)'!I:I, '리스사업(D)'!C:C, $E$1, '리스사업(D)'!G:G, B51, '리스사업(D)'!X:X, B58, '리스사업(D)'!U:U, $C$1),
    SUMIFS('임대사업(E)'!I:I, '임대사업(E)'!C:C, $E$1, '임대사업(E)'!G:G, B51, '임대사업(E)'!X:X, B58, '임대사업(E)'!U:U, $C$1),
    SUMIFS('환경부사업(F)'!I:I, '환경부사업(F)'!C:C, $E$1, '환경부사업(F)'!G:G, B51, '환경부사업(F)'!X:X, B58, '환경부사업(F)'!U:U, $C$1),
    SUMIFS('프로젝트(G)'!I:I, '프로젝트(G)'!C:C, $E$1, '프로젝트(G)'!G:G, B51, '프로젝트(G)'!X:X, B58, '프로젝트(G)'!U:U, $C$1),
    SUMIFS('협력사 EPC(H)'!I:I, '협력사 EPC(H)'!C:C, $E$1, '협력사 EPC(H)'!G:G, B51, '협력사 EPC(H)'!X:X, B58, '협력사 EPC(H)'!U:U, $C$1),
    SUMIFS('기타(Z)'!I:I, '기타(Z)'!C:C, $E$1, '기타(Z)'!G:G, B51, '기타(Z)'!X:X, B58, '기타(Z)'!U:U, $C$1)
  )
)</f>
        <v/>
      </c>
      <c r="F58" s="263" t="str">
        <f>IF(
  SUM(
    COUNTIFS('발전사업(A)'!C:C, $E$1, '발전사업(A)'!G:G, B51, '발전사업(A)'!X:X, B58, '발전사업(A)'!U:U, $C$1),
    COUNTIFS('자가소비(B)'!C:C, $E$1, '자가소비(B)'!G:G, B51, '자가소비(B)'!X:X, B58, '자가소비(B)'!U:U, $C$1),
    COUNTIFS('PPA 사업(C)'!C:C, $E$1, 'PPA 사업(C)'!G:G, B51, 'PPA 사업(C)'!X:X, B58, 'PPA 사업(C)'!U:U, $C$1),
    COUNTIFS('리스사업(D)'!C:C, $E$1, '리스사업(D)'!G:G, B51, '리스사업(D)'!X:X, B58, '리스사업(D)'!U:U, $C$1),
    COUNTIFS('임대사업(E)'!C:C, $E$1, '임대사업(E)'!G:G, B51, '임대사업(E)'!X:X, B58, '임대사업(E)'!U:U, $C$1),
    COUNTIFS('환경부사업(F)'!C:C, $E$1, '환경부사업(F)'!G:G, B51, '환경부사업(F)'!X:X, B58, '환경부사업(F)'!U:U, $C$1),
    COUNTIFS('프로젝트(G)'!C:C, $E$1, '프로젝트(G)'!G:G, B51, '프로젝트(G)'!X:X, B58, '프로젝트(G)'!U:U, $C$1),
    COUNTIFS('협력사 EPC(H)'!C:C, $E$1, '협력사 EPC(H)'!G:G, B51, '협력사 EPC(H)'!X:X, B58, '협력사 EPC(H)'!U:U, $C$1),
    COUNTIFS('기타(Z)'!C:C, $E$1, '기타(Z)'!G:G, B51, '기타(Z)'!X:X, B58, '기타(Z)'!U:U, $C$1)
  ) = 0,
  "",
  SUM(
    COUNTIFS('발전사업(A)'!C:C, $E$1, '발전사업(A)'!G:G, B51, '발전사업(A)'!X:X, B58, '발전사업(A)'!U:U, $C$1),
    COUNTIFS('자가소비(B)'!C:C, $E$1, '자가소비(B)'!G:G, B51, '자가소비(B)'!X:X, B58, '자가소비(B)'!U:U, $C$1),
    COUNTIFS('PPA 사업(C)'!C:C, $E$1, 'PPA 사업(C)'!G:G, B51, 'PPA 사업(C)'!X:X, B58, 'PPA 사업(C)'!U:U, $C$1),
    COUNTIFS('리스사업(D)'!C:C, $E$1, '리스사업(D)'!G:G, B51, '리스사업(D)'!X:X, B58, '리스사업(D)'!U:U, $C$1),
    COUNTIFS('임대사업(E)'!C:C, $E$1, '임대사업(E)'!G:G, B51, '임대사업(E)'!X:X, B58, '임대사업(E)'!U:U, $C$1),
    COUNTIFS('환경부사업(F)'!C:C, $E$1, '환경부사업(F)'!G:G, B51, '환경부사업(F)'!X:X, B58, '환경부사업(F)'!U:U, $C$1),
    COUNTIFS('프로젝트(G)'!C:C, $E$1, '프로젝트(G)'!G:G, B51, '프로젝트(G)'!X:X, B58, '프로젝트(G)'!U:U, $C$1),
    COUNTIFS('협력사 EPC(H)'!C:C, $E$1, '협력사 EPC(H)'!G:G, B51, '협력사 EPC(H)'!X:X, B58, '협력사 EPC(H)'!U:U, $C$1),
    COUNTIFS('기타(Z)'!C:C, $E$1, '기타(Z)'!G:G, B51, '기타(Z)'!X:X, B58, '기타(Z)'!U:U, $C$1)
  )
)</f>
        <v/>
      </c>
      <c r="G58" s="262" t="str">
        <f>IF(
  SUM(
    SUMIFS('발전사업(A)'!I:I, '발전사업(A)'!C:C, $E$1, '발전사업(A)'!G:G, B51, '발전사업(A)'!X:X, B58, '발전사업(A)'!U:U, $D$1),
    SUMIFS('자가소비(B)'!I:I, '자가소비(B)'!C:C, $E$1, '자가소비(B)'!G:G, B51, '자가소비(B)'!X:X, B58, '자가소비(B)'!U:U, $D$1),
    SUMIFS('PPA 사업(C)'!I:I, 'PPA 사업(C)'!C:C, $E$1, 'PPA 사업(C)'!G:G, B51, 'PPA 사업(C)'!X:X, B58, 'PPA 사업(C)'!U:U, $D$1),
    SUMIFS('리스사업(D)'!I:I, '리스사업(D)'!C:C, $E$1, '리스사업(D)'!G:G, B51, '리스사업(D)'!X:X, B58, '리스사업(D)'!U:U, $D$1),
    SUMIFS('임대사업(E)'!I:I, '임대사업(E)'!C:C, $E$1, '임대사업(E)'!G:G, B51, '임대사업(E)'!X:X, B58, '임대사업(E)'!U:U, $D$1),
    SUMIFS('환경부사업(F)'!I:I, '환경부사업(F)'!C:C, $E$1, '환경부사업(F)'!G:G, B51, '환경부사업(F)'!X:X, B58, '환경부사업(F)'!U:U, $D$1),
    SUMIFS('프로젝트(G)'!I:I, '프로젝트(G)'!C:C, $E$1, '프로젝트(G)'!G:G, B51, '프로젝트(G)'!X:X, B58, '프로젝트(G)'!U:U, $D$1),
    SUMIFS('협력사 EPC(H)'!I:I, '협력사 EPC(H)'!C:C, $E$1, '협력사 EPC(H)'!G:G, B51, '협력사 EPC(H)'!X:X, B58, '협력사 EPC(H)'!U:U, $D$1),
    SUMIFS('기타(Z)'!I:I, '기타(Z)'!C:C, $E$1, '기타(Z)'!G:G, B51, '기타(Z)'!X:X, B58, '기타(Z)'!U:U, $D$1)
  ) = 0,
  "",
  SUM(
    SUMIFS('발전사업(A)'!I:I, '발전사업(A)'!C:C, $E$1, '발전사업(A)'!G:G, B51, '발전사업(A)'!X:X, B58, '발전사업(A)'!U:U, $D$1),
    SUMIFS('자가소비(B)'!I:I, '자가소비(B)'!C:C, $E$1, '자가소비(B)'!G:G, B51, '자가소비(B)'!X:X, B58, '자가소비(B)'!U:U, $D$1),
    SUMIFS('PPA 사업(C)'!I:I, 'PPA 사업(C)'!C:C, $E$1, 'PPA 사업(C)'!G:G, B51, 'PPA 사업(C)'!X:X, B58, 'PPA 사업(C)'!U:U, $D$1),
    SUMIFS('리스사업(D)'!I:I, '리스사업(D)'!C:C, $E$1, '리스사업(D)'!G:G, B51, '리스사업(D)'!X:X, B58, '리스사업(D)'!U:U, $D$1),
    SUMIFS('임대사업(E)'!I:I, '임대사업(E)'!C:C, $E$1, '임대사업(E)'!G:G, B51, '임대사업(E)'!X:X, B58, '임대사업(E)'!U:U, $D$1),
    SUMIFS('환경부사업(F)'!I:I, '환경부사업(F)'!C:C, $E$1, '환경부사업(F)'!G:G, B51, '환경부사업(F)'!X:X, B58, '환경부사업(F)'!U:U, $D$1),
    SUMIFS('프로젝트(G)'!I:I, '프로젝트(G)'!C:C, $E$1, '프로젝트(G)'!G:G, B51, '프로젝트(G)'!X:X, B58, '프로젝트(G)'!U:U, $D$1),
    SUMIFS('협력사 EPC(H)'!I:I, '협력사 EPC(H)'!C:C, $E$1, '협력사 EPC(H)'!G:G, B51, '협력사 EPC(H)'!X:X, B58, '협력사 EPC(H)'!U:U, $D$1),
    SUMIFS('기타(Z)'!I:I, '기타(Z)'!C:C, $E$1, '기타(Z)'!G:G, B51, '기타(Z)'!X:X, B58, '기타(Z)'!U:U, $D$1)
  )
)</f>
        <v/>
      </c>
      <c r="H58" s="263" t="str">
        <f>IF(
  (
    COUNTIFS('발전사업(A)'!C:C, $E$1, '발전사업(A)'!G:G, B51, '발전사업(A)'!X:X, B58, '발전사업(A)'!U:U, $D$1)
    + COUNTIFS('자가소비(B)'!C:C, $E$1, '자가소비(B)'!G:G, B51, '자가소비(B)'!X:X, B58, '자가소비(B)'!U:U, $D$1)
    + COUNTIFS('PPA 사업(C)'!C:C, $E$1, 'PPA 사업(C)'!G:G, B51, 'PPA 사업(C)'!X:X, B58, 'PPA 사업(C)'!U:U, $D$1)
    + COUNTIFS('리스사업(D)'!C:C, $E$1, '리스사업(D)'!G:G, B51, '리스사업(D)'!X:X, B58, '리스사업(D)'!U:U, $D$1)
    + COUNTIFS('임대사업(E)'!C:C, $E$1, '임대사업(E)'!G:G, B51, '임대사업(E)'!X:X, B58, '임대사업(E)'!U:U, $D$1)
    + COUNTIFS('환경부사업(F)'!C:C, $E$1, '환경부사업(F)'!G:G, B51, '환경부사업(F)'!X:X, B58, '환경부사업(F)'!U:U, $D$1)
    + COUNTIFS('프로젝트(G)'!C:C, $E$1, '프로젝트(G)'!G:G, B51, '프로젝트(G)'!X:X, B58, '프로젝트(G)'!U:U, $D$1)
    + COUNTIFS('협력사 EPC(H)'!C:C, $E$1, '협력사 EPC(H)'!G:G, B51, '협력사 EPC(H)'!X:X, B58, '협력사 EPC(H)'!U:U, $D$1)
    + COUNTIFS('기타(Z)'!C:C, $E$1, '기타(Z)'!G:G, $B51, '기타(Z)'!X:X, B58, '기타(Z)'!U:U, $D$1)
  ) = 0,
  "",
  COUNTIFS('발전사업(A)'!C:C, $E$1, '발전사업(A)'!G:G, B51, '발전사업(A)'!X:X, B58, '발전사업(A)'!U:U, $D$1)
  + COUNTIFS('자가소비(B)'!C:C, $E$1, '자가소비(B)'!G:G, B51, '자가소비(B)'!X:X, B58, '자가소비(B)'!U:U, $D$1)
  + COUNTIFS('PPA 사업(C)'!C:C, $E$1, 'PPA 사업(C)'!G:G, B51, 'PPA 사업(C)'!X:X, B58, 'PPA 사업(C)'!U:U, $D$1)
  + COUNTIFS('리스사업(D)'!C:C, $E$1, '리스사업(D)'!G:G, B51, '리스사업(D)'!X:X, B58, '리스사업(D)'!U:U, $D$1)
  + COUNTIFS('임대사업(E)'!C:C, $E$1, '임대사업(E)'!G:G, B51, '임대사업(E)'!X:X, B58, '임대사업(E)'!U:U, $D$1)
  + COUNTIFS('환경부사업(F)'!C:C, $E$1, '환경부사업(F)'!G:G, B51, '환경부사업(F)'!X:X, B58, '환경부사업(F)'!U:U, $D$1)
  + COUNTIFS('프로젝트(G)'!C:C, $E$1, '프로젝트(G)'!G:G, B51, '프로젝트(G)'!X:X, B58, '프로젝트(G)'!U:U, $D$1)
  + COUNTIFS('협력사 EPC(H)'!C:C, $E$1, '협력사 EPC(H)'!G:G, B51, '협력사 EPC(H)'!X:X, B58, '협력사 EPC(H)'!U:U, $D$1)
  + COUNTIFS('기타(Z)'!C:C, $E$1, '기타(Z)'!G:G, B51, '기타(Z)'!X:X, B58, '기타(Z)'!U:U, $D$1)
)</f>
        <v/>
      </c>
    </row>
    <row r="59" spans="2:8" x14ac:dyDescent="0.25">
      <c r="B59" s="195" t="s">
        <v>158</v>
      </c>
      <c r="C59" s="262" t="str">
        <f>IF(
  SUM(
    SUMIFS('발전사업(A)'!I:I, '발전사업(A)'!C:C, $E$1, '발전사업(A)'!G:G, B51, '발전사업(A)'!X:X, B59),
    SUMIFS('자가소비(B)'!I:I, '자가소비(B)'!C:C, $E$1, '자가소비(B)'!G:G, B51, '자가소비(B)'!X:X, B59),
    SUMIFS('PPA 사업(C)'!I:I, 'PPA 사업(C)'!C:C, $E$1, 'PPA 사업(C)'!G:G, B51, 'PPA 사업(C)'!X:X, B59),
    SUMIFS('리스사업(D)'!I:I, '리스사업(D)'!C:C, $E$1, '리스사업(D)'!G:G, B51, '리스사업(D)'!X:X, B59),
    SUMIFS('임대사업(E)'!I:I, '임대사업(E)'!C:C, $E$1, '임대사업(E)'!G:G, B51, '임대사업(E)'!X:X, B59),
    SUMIFS('환경부사업(F)'!I:I, '환경부사업(F)'!C:C, $E$1, '환경부사업(F)'!G:G, B51, '환경부사업(F)'!X:X, B59),
    SUMIFS('프로젝트(G)'!I:I, '프로젝트(G)'!C:C, $E$1, '프로젝트(G)'!G:G, B51, '프로젝트(G)'!X:X, B59),
    SUMIFS('협력사 EPC(H)'!I:I, '협력사 EPC(H)'!C:C, $E$1, '협력사 EPC(H)'!G:G, B51, '협력사 EPC(H)'!X:X, B59),
    SUMIFS('기타(Z)'!I:I, '기타(Z)'!C:C, $E$1, '기타(Z)'!G:G, B51, '기타(Z)'!X:X, B59)
  ) = 0,
  "",
  SUMIFS('발전사업(A)'!I:I, '발전사업(A)'!C:C, $E$1, '발전사업(A)'!G:G, B51, '발전사업(A)'!X:X, B59)
  + SUMIFS('자가소비(B)'!I:I, '자가소비(B)'!C:C, $E$1, '자가소비(B)'!G:G, B51, '자가소비(B)'!X:X, B59)
  + SUMIFS('PPA 사업(C)'!I:I, 'PPA 사업(C)'!C:C, $E$1, 'PPA 사업(C)'!G:G, B51, 'PPA 사업(C)'!X:X, B59)
  + SUMIFS('리스사업(D)'!I:I, '리스사업(D)'!C:C, $E$1, '리스사업(D)'!G:G, B51, '리스사업(D)'!X:X, B59)
  + SUMIFS('임대사업(E)'!I:I, '임대사업(E)'!C:C, $E$1, '임대사업(E)'!G:G, B51, '임대사업(E)'!X:X, B59)
  + SUMIFS('환경부사업(F)'!I:I, '환경부사업(F)'!C:C, $E$1, '환경부사업(F)'!G:G, B51, '환경부사업(F)'!X:X, B59)
  + SUMIFS('프로젝트(G)'!I:I, '프로젝트(G)'!C:C, $E$1, '프로젝트(G)'!G:G, B51, '프로젝트(G)'!X:X, B59)
  + SUMIFS('협력사 EPC(H)'!I:I, '협력사 EPC(H)'!C:C, $E$1, '협력사 EPC(H)'!G:G, B51, '협력사 EPC(H)'!X:X, B59)
  + SUMIFS('기타(Z)'!I:I, '기타(Z)'!C:C, $E$1, '기타(Z)'!G:G, B51, '기타(Z)'!X:X, B59)
)</f>
        <v/>
      </c>
      <c r="D59" s="263" t="str">
        <f>IF(
  COUNTIFS('발전사업(A)'!C:C, $E$1, '발전사업(A)'!G:G, B51, '발전사업(A)'!X:X, B59)
  + COUNTIFS('자가소비(B)'!C:C, $E$1, '자가소비(B)'!G:G, B51, '자가소비(B)'!X:X, B59)
  + COUNTIFS('PPA 사업(C)'!C:C, $E$1, 'PPA 사업(C)'!G:G, B51, 'PPA 사업(C)'!X:X, B59)
  + COUNTIFS('리스사업(D)'!C:C, $E$1, '리스사업(D)'!G:G, B51, '리스사업(D)'!X:X, B59)
  + COUNTIFS('임대사업(E)'!C:C, $E$1, '임대사업(E)'!G:G, B51, '임대사업(E)'!X:X, B59)
  + COUNTIFS('환경부사업(F)'!C:C, $E$1, '환경부사업(F)'!G:G, B51, '환경부사업(F)'!X:X, B59)
  + COUNTIFS('프로젝트(G)'!C:C, $E$1, '프로젝트(G)'!G:G, B51, '프로젝트(G)'!X:X, B59)
  + COUNTIFS('협력사 EPC(H)'!C:C, $E$1, '협력사 EPC(H)'!G:G, B51, '협력사 EPC(H)'!X:X, B59)
  + COUNTIFS('기타(Z)'!C:C, $E$1, '기타(Z)'!G:G, B51, '기타(Z)'!X:X, B59)
  = 0,
  "",
  COUNTIFS('발전사업(A)'!C:C, $E$1, '발전사업(A)'!G:G, B51, '발전사업(A)'!X:X, B59)
  + COUNTIFS('자가소비(B)'!C:C, $E$1, '자가소비(B)'!G:G, B51, '자가소비(B)'!X:X, B59)
  + COUNTIFS('PPA 사업(C)'!C:C, $E$1, 'PPA 사업(C)'!G:G, B51, 'PPA 사업(C)'!X:X, B59)
  + COUNTIFS('리스사업(D)'!C:C, $E$1, '리스사업(D)'!G:G, B51, '리스사업(D)'!X:X, B59)
  + COUNTIFS('임대사업(E)'!C:C, $E$1, '임대사업(E)'!G:G, B51, '임대사업(E)'!X:X, B59)
  + COUNTIFS('환경부사업(F)'!C:C, $E$1, '환경부사업(F)'!G:G, B51, '환경부사업(F)'!X:X, B59)
  + COUNTIFS('프로젝트(G)'!C:C, $E$1, '프로젝트(G)'!G:G, B51, '프로젝트(G)'!X:X, B59)
  + COUNTIFS('협력사 EPC(H)'!C:C, $E$1, '협력사 EPC(H)'!G:G, B51, '협력사 EPC(H)'!X:X, B59)
  + COUNTIFS('기타(Z)'!C:C, $E$1, '기타(Z)'!G:G, B51, '기타(Z)'!X:X, B59)
)</f>
        <v/>
      </c>
      <c r="E59" s="262" t="str">
        <f>IF(
  SUM(
    SUMIFS('발전사업(A)'!I:I, '발전사업(A)'!C:C, $E$1, '발전사업(A)'!G:G, B51, '발전사업(A)'!X:X, B59, '발전사업(A)'!U:U, $C$1),
    SUMIFS('자가소비(B)'!I:I, '자가소비(B)'!C:C, $E$1, '자가소비(B)'!G:G, B51, '자가소비(B)'!X:X, B59, '자가소비(B)'!U:U, $C$1),
    SUMIFS('PPA 사업(C)'!I:I, 'PPA 사업(C)'!C:C, $E$1, 'PPA 사업(C)'!G:G, B51, 'PPA 사업(C)'!X:X, B59, 'PPA 사업(C)'!U:U, $C$1),
    SUMIFS('리스사업(D)'!I:I, '리스사업(D)'!C:C, $E$1, '리스사업(D)'!G:G, B51, '리스사업(D)'!X:X, B59, '리스사업(D)'!U:U, $C$1),
    SUMIFS('임대사업(E)'!I:I, '임대사업(E)'!C:C, $E$1, '임대사업(E)'!G:G, B51, '임대사업(E)'!X:X, B59, '임대사업(E)'!U:U, $C$1),
    SUMIFS('환경부사업(F)'!I:I, '환경부사업(F)'!C:C, $E$1, '환경부사업(F)'!G:G, B51, '환경부사업(F)'!X:X, B59, '환경부사업(F)'!U:U, $C$1),
    SUMIFS('프로젝트(G)'!I:I, '프로젝트(G)'!C:C, $E$1, '프로젝트(G)'!G:G, B51, '프로젝트(G)'!X:X, B59, '프로젝트(G)'!U:U, $C$1),
    SUMIFS('협력사 EPC(H)'!I:I, '협력사 EPC(H)'!C:C, $E$1, '협력사 EPC(H)'!G:G, B51, '협력사 EPC(H)'!X:X, B59, '협력사 EPC(H)'!U:U, $C$1),
    SUMIFS('기타(Z)'!I:I, '기타(Z)'!C:C, $E$1, '기타(Z)'!G:G, B51, '기타(Z)'!X:X, B59, '기타(Z)'!U:U, $C$1)
  ) = 0,
  "",
  SUM(
    SUMIFS('발전사업(A)'!I:I, '발전사업(A)'!C:C, $E$1, '발전사업(A)'!G:G, B51, '발전사업(A)'!X:X, B59, '발전사업(A)'!U:U, $C$1),
    SUMIFS('자가소비(B)'!I:I, '자가소비(B)'!C:C, $E$1, '자가소비(B)'!G:G, B51, '자가소비(B)'!X:X, B59, '자가소비(B)'!U:U, $C$1),
    SUMIFS('PPA 사업(C)'!I:I, 'PPA 사업(C)'!C:C, $E$1, 'PPA 사업(C)'!G:G, B51, 'PPA 사업(C)'!X:X, B59, 'PPA 사업(C)'!U:U, $C$1),
    SUMIFS('리스사업(D)'!I:I, '리스사업(D)'!C:C, $E$1, '리스사업(D)'!G:G, B51, '리스사업(D)'!X:X, B59, '리스사업(D)'!U:U, $C$1),
    SUMIFS('임대사업(E)'!I:I, '임대사업(E)'!C:C, $E$1, '임대사업(E)'!G:G, B51, '임대사업(E)'!X:X, B59, '임대사업(E)'!U:U, $C$1),
    SUMIFS('환경부사업(F)'!I:I, '환경부사업(F)'!C:C, $E$1, '환경부사업(F)'!G:G, B51, '환경부사업(F)'!X:X, B59, '환경부사업(F)'!U:U, $C$1),
    SUMIFS('프로젝트(G)'!I:I, '프로젝트(G)'!C:C, $E$1, '프로젝트(G)'!G:G, B51, '프로젝트(G)'!X:X, B59, '프로젝트(G)'!U:U, $C$1),
    SUMIFS('협력사 EPC(H)'!I:I, '협력사 EPC(H)'!C:C, $E$1, '협력사 EPC(H)'!G:G, B51, '협력사 EPC(H)'!X:X, B59, '협력사 EPC(H)'!U:U, $C$1),
    SUMIFS('기타(Z)'!I:I, '기타(Z)'!C:C, $E$1, '기타(Z)'!G:G, B51, '기타(Z)'!X:X, B59, '기타(Z)'!U:U, $C$1)
  )
)</f>
        <v/>
      </c>
      <c r="F59" s="263" t="str">
        <f>IF(
  SUM(
    COUNTIFS('발전사업(A)'!C:C, $E$1, '발전사업(A)'!G:G, B51, '발전사업(A)'!X:X, B59, '발전사업(A)'!U:U, $C$1),
    COUNTIFS('자가소비(B)'!C:C, $E$1, '자가소비(B)'!G:G, B51, '자가소비(B)'!X:X, B59, '자가소비(B)'!U:U, $C$1),
    COUNTIFS('PPA 사업(C)'!C:C, $E$1, 'PPA 사업(C)'!G:G, B51, 'PPA 사업(C)'!X:X, B59, 'PPA 사업(C)'!U:U, $C$1),
    COUNTIFS('리스사업(D)'!C:C, $E$1, '리스사업(D)'!G:G, B51, '리스사업(D)'!X:X, B59, '리스사업(D)'!U:U, $C$1),
    COUNTIFS('임대사업(E)'!C:C, $E$1, '임대사업(E)'!G:G, B51, '임대사업(E)'!X:X, B59, '임대사업(E)'!U:U, $C$1),
    COUNTIFS('환경부사업(F)'!C:C, $E$1, '환경부사업(F)'!G:G, B51, '환경부사업(F)'!X:X, B59, '환경부사업(F)'!U:U, $C$1),
    COUNTIFS('프로젝트(G)'!C:C, $E$1, '프로젝트(G)'!G:G, B51, '프로젝트(G)'!X:X, B59, '프로젝트(G)'!U:U, $C$1),
    COUNTIFS('협력사 EPC(H)'!C:C, $E$1, '협력사 EPC(H)'!G:G, B51, '협력사 EPC(H)'!X:X, B59, '협력사 EPC(H)'!U:U, $C$1),
    COUNTIFS('기타(Z)'!C:C, $E$1, '기타(Z)'!G:G, B51, '기타(Z)'!X:X, B59, '기타(Z)'!U:U, $C$1)
  ) = 0,
  "",
  SUM(
    COUNTIFS('발전사업(A)'!C:C, $E$1, '발전사업(A)'!G:G, B51, '발전사업(A)'!X:X, B59, '발전사업(A)'!U:U, $C$1),
    COUNTIFS('자가소비(B)'!C:C, $E$1, '자가소비(B)'!G:G, B51, '자가소비(B)'!X:X, B59, '자가소비(B)'!U:U, $C$1),
    COUNTIFS('PPA 사업(C)'!C:C, $E$1, 'PPA 사업(C)'!G:G, B51, 'PPA 사업(C)'!X:X, B59, 'PPA 사업(C)'!U:U, $C$1),
    COUNTIFS('리스사업(D)'!C:C, $E$1, '리스사업(D)'!G:G, B51, '리스사업(D)'!X:X, B59, '리스사업(D)'!U:U, $C$1),
    COUNTIFS('임대사업(E)'!C:C, $E$1, '임대사업(E)'!G:G, B51, '임대사업(E)'!X:X, B59, '임대사업(E)'!U:U, $C$1),
    COUNTIFS('환경부사업(F)'!C:C, $E$1, '환경부사업(F)'!G:G, B51, '환경부사업(F)'!X:X, B59, '환경부사업(F)'!U:U, $C$1),
    COUNTIFS('프로젝트(G)'!C:C, $E$1, '프로젝트(G)'!G:G, B51, '프로젝트(G)'!X:X, B59, '프로젝트(G)'!U:U, $C$1),
    COUNTIFS('협력사 EPC(H)'!C:C, $E$1, '협력사 EPC(H)'!G:G, B51, '협력사 EPC(H)'!X:X, B59, '협력사 EPC(H)'!U:U, $C$1),
    COUNTIFS('기타(Z)'!C:C, $E$1, '기타(Z)'!G:G, B51, '기타(Z)'!X:X, B59, '기타(Z)'!U:U, $C$1)
  )
)</f>
        <v/>
      </c>
      <c r="G59" s="262" t="str">
        <f>IF(
  SUM(
    SUMIFS('발전사업(A)'!I:I, '발전사업(A)'!C:C, $E$1, '발전사업(A)'!G:G, B51, '발전사업(A)'!X:X, B59, '발전사업(A)'!U:U, $D$1),
    SUMIFS('자가소비(B)'!I:I, '자가소비(B)'!C:C, $E$1, '자가소비(B)'!G:G, B51, '자가소비(B)'!X:X, B59, '자가소비(B)'!U:U, $D$1),
    SUMIFS('PPA 사업(C)'!I:I, 'PPA 사업(C)'!C:C, $E$1, 'PPA 사업(C)'!G:G, B51, 'PPA 사업(C)'!X:X, B59, 'PPA 사업(C)'!U:U, $D$1),
    SUMIFS('리스사업(D)'!I:I, '리스사업(D)'!C:C, $E$1, '리스사업(D)'!G:G, B51, '리스사업(D)'!X:X, B59, '리스사업(D)'!U:U, $D$1),
    SUMIFS('임대사업(E)'!I:I, '임대사업(E)'!C:C, $E$1, '임대사업(E)'!G:G, B51, '임대사업(E)'!X:X, B59, '임대사업(E)'!U:U, $D$1),
    SUMIFS('환경부사업(F)'!I:I, '환경부사업(F)'!C:C, $E$1, '환경부사업(F)'!G:G, B51, '환경부사업(F)'!X:X, B59, '환경부사업(F)'!U:U, $D$1),
    SUMIFS('프로젝트(G)'!I:I, '프로젝트(G)'!C:C, $E$1, '프로젝트(G)'!G:G, B51, '프로젝트(G)'!X:X, B59, '프로젝트(G)'!U:U, $D$1),
    SUMIFS('협력사 EPC(H)'!I:I, '협력사 EPC(H)'!C:C, $E$1, '협력사 EPC(H)'!G:G, B51, '협력사 EPC(H)'!X:X, B59, '협력사 EPC(H)'!U:U, $D$1),
    SUMIFS('기타(Z)'!I:I, '기타(Z)'!C:C, $E$1, '기타(Z)'!G:G, B51, '기타(Z)'!X:X, B59, '기타(Z)'!U:U, $D$1)
  ) = 0,
  "",
  SUM(
    SUMIFS('발전사업(A)'!I:I, '발전사업(A)'!C:C, $E$1, '발전사업(A)'!G:G, B51, '발전사업(A)'!X:X, B59, '발전사업(A)'!U:U, $D$1),
    SUMIFS('자가소비(B)'!I:I, '자가소비(B)'!C:C, $E$1, '자가소비(B)'!G:G, B51, '자가소비(B)'!X:X, B59, '자가소비(B)'!U:U, $D$1),
    SUMIFS('PPA 사업(C)'!I:I, 'PPA 사업(C)'!C:C, $E$1, 'PPA 사업(C)'!G:G, B51, 'PPA 사업(C)'!X:X, B59, 'PPA 사업(C)'!U:U, $D$1),
    SUMIFS('리스사업(D)'!I:I, '리스사업(D)'!C:C, $E$1, '리스사업(D)'!G:G, B51, '리스사업(D)'!X:X, B59, '리스사업(D)'!U:U, $D$1),
    SUMIFS('임대사업(E)'!I:I, '임대사업(E)'!C:C, $E$1, '임대사업(E)'!G:G, B51, '임대사업(E)'!X:X, B59, '임대사업(E)'!U:U, $D$1),
    SUMIFS('환경부사업(F)'!I:I, '환경부사업(F)'!C:C, $E$1, '환경부사업(F)'!G:G, B51, '환경부사업(F)'!X:X, B59, '환경부사업(F)'!U:U, $D$1),
    SUMIFS('프로젝트(G)'!I:I, '프로젝트(G)'!C:C, $E$1, '프로젝트(G)'!G:G, B51, '프로젝트(G)'!X:X, B59, '프로젝트(G)'!U:U, $D$1),
    SUMIFS('협력사 EPC(H)'!I:I, '협력사 EPC(H)'!C:C, $E$1, '협력사 EPC(H)'!G:G, B51, '협력사 EPC(H)'!X:X, B59, '협력사 EPC(H)'!U:U, $D$1),
    SUMIFS('기타(Z)'!I:I, '기타(Z)'!C:C, $E$1, '기타(Z)'!G:G, B51, '기타(Z)'!X:X, B59, '기타(Z)'!U:U, $D$1)
  )
)</f>
        <v/>
      </c>
      <c r="H59" s="263" t="str">
        <f>IF(
  (
    COUNTIFS('발전사업(A)'!C:C, $E$1, '발전사업(A)'!G:G, B51, '발전사업(A)'!X:X, B59, '발전사업(A)'!U:U, $D$1)
    + COUNTIFS('자가소비(B)'!C:C, $E$1, '자가소비(B)'!G:G, B51, '자가소비(B)'!X:X, B59, '자가소비(B)'!U:U, $D$1)
    + COUNTIFS('PPA 사업(C)'!C:C, $E$1, 'PPA 사업(C)'!G:G, B51, 'PPA 사업(C)'!X:X, B59, 'PPA 사업(C)'!U:U, $D$1)
    + COUNTIFS('리스사업(D)'!C:C, $E$1, '리스사업(D)'!G:G, B51, '리스사업(D)'!X:X, B59, '리스사업(D)'!U:U, $D$1)
    + COUNTIFS('임대사업(E)'!C:C, $E$1, '임대사업(E)'!G:G, B51, '임대사업(E)'!X:X, B59, '임대사업(E)'!U:U, $D$1)
    + COUNTIFS('환경부사업(F)'!C:C, $E$1, '환경부사업(F)'!G:G, B51, '환경부사업(F)'!X:X, B59, '환경부사업(F)'!U:U, $D$1)
    + COUNTIFS('프로젝트(G)'!C:C, $E$1, '프로젝트(G)'!G:G, B51, '프로젝트(G)'!X:X, B59, '프로젝트(G)'!U:U, $D$1)
    + COUNTIFS('협력사 EPC(H)'!C:C, $E$1, '협력사 EPC(H)'!G:G, B51, '협력사 EPC(H)'!X:X, B59, '협력사 EPC(H)'!U:U, $D$1)
    + COUNTIFS('기타(Z)'!C:C, $E$1, '기타(Z)'!G:G, B51, '기타(Z)'!X:X, B59, '기타(Z)'!U:U, $D$1)
  ) = 0,
  "",
  COUNTIFS('발전사업(A)'!C:C, $E$1, '발전사업(A)'!G:G, B51, '발전사업(A)'!X:X, B59, '발전사업(A)'!U:U, $D$1)
  + COUNTIFS('자가소비(B)'!C:C, $E$1, '자가소비(B)'!G:G, B51, '자가소비(B)'!X:X, B59, '자가소비(B)'!U:U, $D$1)
  + COUNTIFS('PPA 사업(C)'!C:C, $E$1, 'PPA 사업(C)'!G:G, B51, 'PPA 사업(C)'!X:X, B59, 'PPA 사업(C)'!U:U, $D$1)
  + COUNTIFS('리스사업(D)'!C:C, $E$1, '리스사업(D)'!G:G, B51, '리스사업(D)'!X:X, B59, '리스사업(D)'!U:U, $D$1)
  + COUNTIFS('임대사업(E)'!C:C, $E$1, '임대사업(E)'!G:G, B51, '임대사업(E)'!X:X, B59, '임대사업(E)'!U:U, $D$1)
  + COUNTIFS('환경부사업(F)'!C:C, $E$1, '환경부사업(F)'!G:G, B51, '환경부사업(F)'!X:X, B59, '환경부사업(F)'!U:U, $D$1)
  + COUNTIFS('프로젝트(G)'!C:C, $E$1, '프로젝트(G)'!G:G, B51, '프로젝트(G)'!X:X, B59, '프로젝트(G)'!U:U, $D$1)
  + COUNTIFS('협력사 EPC(H)'!C:C, $E$1, '협력사 EPC(H)'!G:G, B51, '협력사 EPC(H)'!X:X, B59, '협력사 EPC(H)'!U:U, $D$1)
  + COUNTIFS('기타(Z)'!C:C, $E$1, '기타(Z)'!G:G, B51, '기타(Z)'!X:X, B59, '기타(Z)'!U:U, $D$1)
)</f>
        <v/>
      </c>
    </row>
    <row r="60" spans="2:8" ht="16.5" x14ac:dyDescent="0.25">
      <c r="B60" s="274" t="s">
        <v>174</v>
      </c>
      <c r="C60" s="268">
        <f t="shared" ref="C60:H60" si="11">SUM(C52:C59)</f>
        <v>6972.4500000000007</v>
      </c>
      <c r="D60" s="269">
        <f t="shared" si="11"/>
        <v>26</v>
      </c>
      <c r="E60" s="270">
        <f t="shared" si="11"/>
        <v>5056.1549999999988</v>
      </c>
      <c r="F60" s="271">
        <f t="shared" si="11"/>
        <v>18</v>
      </c>
      <c r="G60" s="272">
        <f t="shared" si="11"/>
        <v>1916.2950000000001</v>
      </c>
      <c r="H60" s="273">
        <f t="shared" si="11"/>
        <v>8</v>
      </c>
    </row>
    <row r="63" spans="2:8" ht="17.25" x14ac:dyDescent="0.25">
      <c r="B63" s="264">
        <v>5</v>
      </c>
      <c r="C63" s="265" t="s">
        <v>176</v>
      </c>
      <c r="D63" s="265" t="s">
        <v>175</v>
      </c>
      <c r="E63" s="266" t="s">
        <v>177</v>
      </c>
      <c r="F63" s="266" t="s">
        <v>178</v>
      </c>
      <c r="G63" s="267" t="s">
        <v>179</v>
      </c>
      <c r="H63" s="267" t="s">
        <v>180</v>
      </c>
    </row>
    <row r="64" spans="2:8" x14ac:dyDescent="0.25">
      <c r="B64" s="195" t="s">
        <v>160</v>
      </c>
      <c r="C64" s="262">
        <f>IF(
  SUM(
    SUMIFS('발전사업(A)'!I:I, '발전사업(A)'!C:C, $E$1, '발전사업(A)'!G:G, B63, '발전사업(A)'!X:X, B64),
    SUMIFS('자가소비(B)'!I:I, '자가소비(B)'!C:C, $E$1, '자가소비(B)'!G:G, B63, '자가소비(B)'!X:X, B64),
    SUMIFS('PPA 사업(C)'!I:I, 'PPA 사업(C)'!C:C, $E$1, 'PPA 사업(C)'!G:G, B63, 'PPA 사업(C)'!X:X, B64),
    SUMIFS('리스사업(D)'!I:I, '리스사업(D)'!C:C, $E$1, '리스사업(D)'!G:G, B63, '리스사업(D)'!X:X, B64),
    SUMIFS('임대사업(E)'!I:I, '임대사업(E)'!C:C, $E$1, '임대사업(E)'!G:G, B63, '임대사업(E)'!X:X, B64),
    SUMIFS('환경부사업(F)'!I:I, '환경부사업(F)'!C:C, $E$1, '환경부사업(F)'!G:G, B63, '환경부사업(F)'!X:X, B64),
    SUMIFS('프로젝트(G)'!I:I, '프로젝트(G)'!C:C, $E$1, '프로젝트(G)'!G:G, B63, '프로젝트(G)'!X:X, B64),
    SUMIFS('협력사 EPC(H)'!I:I, '협력사 EPC(H)'!C:C, $E$1, '협력사 EPC(H)'!G:G, B63, '협력사 EPC(H)'!X:X, B64),
    SUMIFS('기타(Z)'!I:I, '기타(Z)'!C:C, $E$1, '기타(Z)'!G:G, B63, '기타(Z)'!X:X, B64)
  ) = 0,
  "",
  SUMIFS('발전사업(A)'!I:I, '발전사업(A)'!C:C, $E$1, '발전사업(A)'!G:G, B63, '발전사업(A)'!X:X, B64)
  + SUMIFS('자가소비(B)'!I:I, '자가소비(B)'!C:C, $E$1, '자가소비(B)'!G:G, B63, '자가소비(B)'!X:X, B64)
  + SUMIFS('PPA 사업(C)'!I:I, 'PPA 사업(C)'!C:C, $E$1, 'PPA 사업(C)'!G:G, B63, 'PPA 사업(C)'!X:X, B64)
  + SUMIFS('리스사업(D)'!I:I, '리스사업(D)'!C:C, $E$1, '리스사업(D)'!G:G, B63, '리스사업(D)'!X:X, B64)
  + SUMIFS('임대사업(E)'!I:I, '임대사업(E)'!C:C, $E$1, '임대사업(E)'!G:G, B63, '임대사업(E)'!X:X, B64)
  + SUMIFS('환경부사업(F)'!I:I, '환경부사업(F)'!C:C, $E$1, '환경부사업(F)'!G:G, B63, '환경부사업(F)'!X:X, B64)
  + SUMIFS('프로젝트(G)'!I:I, '프로젝트(G)'!C:C, $E$1, '프로젝트(G)'!G:G, B63, '프로젝트(G)'!X:X, B64)
  + SUMIFS('협력사 EPC(H)'!I:I, '협력사 EPC(H)'!C:C, $E$1, '협력사 EPC(H)'!G:G, B63, '협력사 EPC(H)'!X:X, B64)
  + SUMIFS('기타(Z)'!I:I, '기타(Z)'!C:C, $E$1, '기타(Z)'!G:G, B63, '기타(Z)'!X:X, B64)
)</f>
        <v>620.49</v>
      </c>
      <c r="D64" s="263">
        <f>IF(
  COUNTIFS('발전사업(A)'!C:C, $E$1, '발전사업(A)'!G:G, B63, '발전사업(A)'!X:X, B64)
  + COUNTIFS('자가소비(B)'!C:C, $E$1, '자가소비(B)'!G:G, B63, '자가소비(B)'!X:X, B64)
  + COUNTIFS('PPA 사업(C)'!C:C, $E$1, 'PPA 사업(C)'!G:G, B63, 'PPA 사업(C)'!X:X, B64)
  + COUNTIFS('리스사업(D)'!C:C, $E$1, '리스사업(D)'!G:G, B63, '리스사업(D)'!X:X, B64)
  + COUNTIFS('임대사업(E)'!C:C, $E$1, '임대사업(E)'!G:G, B63, '임대사업(E)'!X:X, B64)
  + COUNTIFS('환경부사업(F)'!C:C, $E$1, '환경부사업(F)'!G:G, B63, '환경부사업(F)'!X:X, B64)
  + COUNTIFS('프로젝트(G)'!C:C, $E$1, '프로젝트(G)'!G:G, B63, '프로젝트(G)'!X:X, B64)
  + COUNTIFS('협력사 EPC(H)'!C:C, $E$1, '협력사 EPC(H)'!G:G, B63, '협력사 EPC(H)'!X:X, B64)
  + COUNTIFS('기타(Z)'!C:C, $E$1, '기타(Z)'!G:G, B63, '기타(Z)'!X:X, B64)
  = 0,
  "",
  COUNTIFS('발전사업(A)'!C:C, $E$1, '발전사업(A)'!G:G, B63, '발전사업(A)'!X:X, B64)
  + COUNTIFS('자가소비(B)'!C:C, $E$1, '자가소비(B)'!G:G, B63, '자가소비(B)'!X:X, B64)
  + COUNTIFS('PPA 사업(C)'!C:C, $E$1, 'PPA 사업(C)'!G:G, B63, 'PPA 사업(C)'!X:X, B64)
  + COUNTIFS('리스사업(D)'!C:C, $E$1, '리스사업(D)'!G:G, B63, '리스사업(D)'!X:X, B64)
  + COUNTIFS('임대사업(E)'!C:C, $E$1, '임대사업(E)'!G:G, B63, '임대사업(E)'!X:X, B64)
  + COUNTIFS('환경부사업(F)'!C:C, $E$1, '환경부사업(F)'!G:G, B63, '환경부사업(F)'!X:X, B64)
  + COUNTIFS('프로젝트(G)'!C:C, $E$1, '프로젝트(G)'!G:G, B63, '프로젝트(G)'!X:X, B64)
  + COUNTIFS('협력사 EPC(H)'!C:C, $E$1, '협력사 EPC(H)'!G:G, B63, '협력사 EPC(H)'!X:X, B64)
  + COUNTIFS('기타(Z)'!C:C, $E$1, '기타(Z)'!G:G, B63, '기타(Z)'!X:X, B64)
)</f>
        <v>2</v>
      </c>
      <c r="E64" s="262" t="str">
        <f>IF(
  SUM(
    SUMIFS('발전사업(A)'!I:I, '발전사업(A)'!C:C, $E$1, '발전사업(A)'!G:G, B63, '발전사업(A)'!X:X, B64, '발전사업(A)'!U:U, $C$1),
    SUMIFS('자가소비(B)'!I:I, '자가소비(B)'!C:C, $E$1, '자가소비(B)'!G:G, B63, '자가소비(B)'!X:X, B64, '자가소비(B)'!U:U, $C$1),
    SUMIFS('PPA 사업(C)'!I:I, 'PPA 사업(C)'!C:C, $E$1, 'PPA 사업(C)'!G:G, B63, 'PPA 사업(C)'!X:X, B64, 'PPA 사업(C)'!U:U, $C$1),
    SUMIFS('리스사업(D)'!I:I, '리스사업(D)'!C:C, $E$1, '리스사업(D)'!G:G, B63, '리스사업(D)'!X:X, B64, '리스사업(D)'!U:U, $C$1),
    SUMIFS('임대사업(E)'!I:I, '임대사업(E)'!C:C, $E$1, '임대사업(E)'!G:G, B63, '임대사업(E)'!X:X, B64, '임대사업(E)'!U:U, $C$1),
    SUMIFS('환경부사업(F)'!I:I, '환경부사업(F)'!C:C, $E$1, '환경부사업(F)'!G:G, B63, '환경부사업(F)'!X:X, B64, '환경부사업(F)'!U:U, $C$1),
    SUMIFS('프로젝트(G)'!I:I, '프로젝트(G)'!C:C, $E$1, '프로젝트(G)'!G:G, B63, '프로젝트(G)'!X:X, B64, '프로젝트(G)'!U:U, $C$1),
    SUMIFS('협력사 EPC(H)'!I:I, '협력사 EPC(H)'!C:C, $E$1, '협력사 EPC(H)'!G:G, B63, '협력사 EPC(H)'!X:X, B64, '협력사 EPC(H)'!U:U, $C$1),
    SUMIFS('기타(Z)'!I:I, '기타(Z)'!C:C, $E$1, '기타(Z)'!G:G, B63, '기타(Z)'!X:X, B64, '기타(Z)'!U:U, $C$1)
  ) = 0,
  "",
  SUM(
    SUMIFS('발전사업(A)'!I:I, '발전사업(A)'!C:C, $E$1, '발전사업(A)'!G:G, B63, '발전사업(A)'!X:X, B64, '발전사업(A)'!U:U, $C$1),
    SUMIFS('자가소비(B)'!I:I, '자가소비(B)'!C:C, $E$1, '자가소비(B)'!G:G, B63, '자가소비(B)'!X:X, B64, '자가소비(B)'!U:U, $C$1),
    SUMIFS('PPA 사업(C)'!I:I, 'PPA 사업(C)'!C:C, $E$1, 'PPA 사업(C)'!G:G, B63, 'PPA 사업(C)'!X:X, B64, 'PPA 사업(C)'!U:U, $C$1),
    SUMIFS('리스사업(D)'!I:I, '리스사업(D)'!C:C, $E$1, '리스사업(D)'!G:G, B63, '리스사업(D)'!X:X, B64, '리스사업(D)'!U:U, $C$1),
    SUMIFS('임대사업(E)'!I:I, '임대사업(E)'!C:C, $E$1, '임대사업(E)'!G:G, B63, '임대사업(E)'!X:X, B64, '임대사업(E)'!U:U, $C$1),
    SUMIFS('환경부사업(F)'!I:I, '환경부사업(F)'!C:C, $E$1, '환경부사업(F)'!G:G, B63, '환경부사업(F)'!X:X, B64, '환경부사업(F)'!U:U, $C$1),
    SUMIFS('프로젝트(G)'!I:I, '프로젝트(G)'!C:C, $E$1, '프로젝트(G)'!G:G, B63, '프로젝트(G)'!X:X, B64, '프로젝트(G)'!U:U, $C$1),
    SUMIFS('협력사 EPC(H)'!I:I, '협력사 EPC(H)'!C:C, $E$1, '협력사 EPC(H)'!G:G, B63, '협력사 EPC(H)'!X:X, B64, '협력사 EPC(H)'!U:U, $C$1),
    SUMIFS('기타(Z)'!I:I, '기타(Z)'!C:C, $E$1, '기타(Z)'!G:G, B63, '기타(Z)'!X:X, B64, '기타(Z)'!U:U, $C$1)
  )
)</f>
        <v/>
      </c>
      <c r="F64" s="263" t="str">
        <f>IF(
  SUM(
    COUNTIFS('발전사업(A)'!C:C, $E$1, '발전사업(A)'!G:G, B63, '발전사업(A)'!X:X, B64, '발전사업(A)'!U:U, $C$1),
    COUNTIFS('자가소비(B)'!C:C, $E$1, '자가소비(B)'!G:G, B63, '자가소비(B)'!X:X, B64, '자가소비(B)'!U:U, $C$1),
    COUNTIFS('PPA 사업(C)'!C:C, $E$1, 'PPA 사업(C)'!G:G, B63, 'PPA 사업(C)'!X:X, B64, 'PPA 사업(C)'!U:U, $C$1),
    COUNTIFS('리스사업(D)'!C:C, $E$1, '리스사업(D)'!G:G, B63, '리스사업(D)'!X:X, B64, '리스사업(D)'!U:U, $C$1),
    COUNTIFS('임대사업(E)'!C:C, $E$1, '임대사업(E)'!G:G, B63, '임대사업(E)'!X:X, B64, '임대사업(E)'!U:U, $C$1),
    COUNTIFS('환경부사업(F)'!C:C, $E$1, '환경부사업(F)'!G:G, B63, '환경부사업(F)'!X:X, B64, '환경부사업(F)'!U:U, $C$1),
    COUNTIFS('프로젝트(G)'!C:C, $E$1, '프로젝트(G)'!G:G, B63, '프로젝트(G)'!X:X, B64, '프로젝트(G)'!U:U, $C$1),
    COUNTIFS('협력사 EPC(H)'!C:C, $E$1, '협력사 EPC(H)'!G:G, B63, '협력사 EPC(H)'!X:X, B64, '협력사 EPC(H)'!U:U, $C$1),
    COUNTIFS('기타(Z)'!C:C, $E$1, '기타(Z)'!G:G, B63, '기타(Z)'!X:X, B64, '기타(Z)'!U:U, $C$1)
  ) = 0,
  "",
  SUM(
    COUNTIFS('발전사업(A)'!C:C, $E$1, '발전사업(A)'!G:G, B63, '발전사업(A)'!X:X, B64, '발전사업(A)'!U:U, $C$1),
    COUNTIFS('자가소비(B)'!C:C, $E$1, '자가소비(B)'!G:G, B63, '자가소비(B)'!X:X, B64, '자가소비(B)'!U:U, $C$1),
    COUNTIFS('PPA 사업(C)'!C:C, $E$1, 'PPA 사업(C)'!G:G, B63, 'PPA 사업(C)'!X:X, B64, 'PPA 사업(C)'!U:U, $C$1),
    COUNTIFS('리스사업(D)'!C:C, $E$1, '리스사업(D)'!G:G, B63, '리스사업(D)'!X:X, B64, '리스사업(D)'!U:U, $C$1),
    COUNTIFS('임대사업(E)'!C:C, $E$1, '임대사업(E)'!G:G, B63, '임대사업(E)'!X:X, B64, '임대사업(E)'!U:U, $C$1),
    COUNTIFS('환경부사업(F)'!C:C, $E$1, '환경부사업(F)'!G:G, B63, '환경부사업(F)'!X:X, B64, '환경부사업(F)'!U:U, $C$1),
    COUNTIFS('프로젝트(G)'!C:C, $E$1, '프로젝트(G)'!G:G, B63, '프로젝트(G)'!X:X, B64, '프로젝트(G)'!U:U, $C$1),
    COUNTIFS('협력사 EPC(H)'!C:C, $E$1, '협력사 EPC(H)'!G:G, B63, '협력사 EPC(H)'!X:X, B64, '협력사 EPC(H)'!U:U, $C$1),
    COUNTIFS('기타(Z)'!C:C, $E$1, '기타(Z)'!G:G, B63, '기타(Z)'!X:X, B64, '기타(Z)'!U:U, $C$1)
  )
)</f>
        <v/>
      </c>
      <c r="G64" s="262">
        <f>IF(
  SUM(
    SUMIFS('발전사업(A)'!I:I, '발전사업(A)'!C:C, $E$1, '발전사업(A)'!G:G, B63, '발전사업(A)'!X:X, B64, '발전사업(A)'!U:U, $D$1),
    SUMIFS('자가소비(B)'!I:I, '자가소비(B)'!C:C, $E$1, '자가소비(B)'!G:G, B63, '자가소비(B)'!X:X, B64, '자가소비(B)'!U:U, $D$1),
    SUMIFS('PPA 사업(C)'!I:I, 'PPA 사업(C)'!C:C, $E$1, 'PPA 사업(C)'!G:G, B63, 'PPA 사업(C)'!X:X, B64, 'PPA 사업(C)'!U:U, $D$1),
    SUMIFS('리스사업(D)'!I:I, '리스사업(D)'!C:C, $E$1, '리스사업(D)'!G:G, B63, '리스사업(D)'!X:X, B64, '리스사업(D)'!U:U, $D$1),
    SUMIFS('임대사업(E)'!I:I, '임대사업(E)'!C:C, $E$1, '임대사업(E)'!G:G, B63, '임대사업(E)'!X:X, B64, '임대사업(E)'!U:U, $D$1),
    SUMIFS('환경부사업(F)'!I:I, '환경부사업(F)'!C:C, $E$1, '환경부사업(F)'!G:G, B63, '환경부사업(F)'!X:X, B64, '환경부사업(F)'!U:U, $D$1),
    SUMIFS('프로젝트(G)'!I:I, '프로젝트(G)'!C:C, $E$1, '프로젝트(G)'!G:G, B63, '프로젝트(G)'!X:X, B64, '프로젝트(G)'!U:U, $D$1),
    SUMIFS('협력사 EPC(H)'!I:I, '협력사 EPC(H)'!C:C, $E$1, '협력사 EPC(H)'!G:G, B63, '협력사 EPC(H)'!X:X, B64, '협력사 EPC(H)'!U:U, $D$1),
    SUMIFS('기타(Z)'!I:I, '기타(Z)'!C:C, $E$1, '기타(Z)'!G:G, B63, '기타(Z)'!X:X, B64, '기타(Z)'!U:U, $D$1)
  ) = 0,
  "",
  SUM(
    SUMIFS('발전사업(A)'!I:I, '발전사업(A)'!C:C, $E$1, '발전사업(A)'!G:G, B63, '발전사업(A)'!X:X, B64, '발전사업(A)'!U:U, $D$1),
    SUMIFS('자가소비(B)'!I:I, '자가소비(B)'!C:C, $E$1, '자가소비(B)'!G:G, B63, '자가소비(B)'!X:X, B64, '자가소비(B)'!U:U, $D$1),
    SUMIFS('PPA 사업(C)'!I:I, 'PPA 사업(C)'!C:C, $E$1, 'PPA 사업(C)'!G:G, B63, 'PPA 사업(C)'!X:X, B64, 'PPA 사업(C)'!U:U, $D$1),
    SUMIFS('리스사업(D)'!I:I, '리스사업(D)'!C:C, $E$1, '리스사업(D)'!G:G, B63, '리스사업(D)'!X:X, B64, '리스사업(D)'!U:U, $D$1),
    SUMIFS('임대사업(E)'!I:I, '임대사업(E)'!C:C, $E$1, '임대사업(E)'!G:G, B63, '임대사업(E)'!X:X, B64, '임대사업(E)'!U:U, $D$1),
    SUMIFS('환경부사업(F)'!I:I, '환경부사업(F)'!C:C, $E$1, '환경부사업(F)'!G:G, B63, '환경부사업(F)'!X:X, B64, '환경부사업(F)'!U:U, $D$1),
    SUMIFS('프로젝트(G)'!I:I, '프로젝트(G)'!C:C, $E$1, '프로젝트(G)'!G:G, B63, '프로젝트(G)'!X:X, B64, '프로젝트(G)'!U:U, $D$1),
    SUMIFS('협력사 EPC(H)'!I:I, '협력사 EPC(H)'!C:C, $E$1, '협력사 EPC(H)'!G:G, B63, '협력사 EPC(H)'!X:X, B64, '협력사 EPC(H)'!U:U, $D$1),
    SUMIFS('기타(Z)'!I:I, '기타(Z)'!C:C, $E$1, '기타(Z)'!G:G, B63, '기타(Z)'!X:X, B64, '기타(Z)'!U:U, $D$1)
  )
)</f>
        <v>620.49</v>
      </c>
      <c r="H64" s="263">
        <f>IF(
  (
    COUNTIFS('발전사업(A)'!C:C, $E$1, '발전사업(A)'!G:G, B63, '발전사업(A)'!X:X, B64, '발전사업(A)'!U:U, $D$1)
    + COUNTIFS('자가소비(B)'!C:C, $E$1, '자가소비(B)'!G:G, B63, '자가소비(B)'!X:X, B64, '자가소비(B)'!U:U, $D$1)
    + COUNTIFS('PPA 사업(C)'!C:C, $E$1, 'PPA 사업(C)'!G:G, B63, 'PPA 사업(C)'!X:X, B64, 'PPA 사업(C)'!U:U, $D$1)
    + COUNTIFS('리스사업(D)'!C:C, $E$1, '리스사업(D)'!G:G, B63, '리스사업(D)'!X:X, B64, '리스사업(D)'!U:U, $D$1)
    + COUNTIFS('임대사업(E)'!C:C, $E$1, '임대사업(E)'!G:G, B63, '임대사업(E)'!X:X, B64, '임대사업(E)'!U:U, $D$1)
    + COUNTIFS('환경부사업(F)'!C:C, $E$1, '환경부사업(F)'!G:G, B63, '환경부사업(F)'!X:X, B64, '환경부사업(F)'!U:U, $D$1)
    + COUNTIFS('프로젝트(G)'!C:C, $E$1, '프로젝트(G)'!G:G, B63, '프로젝트(G)'!X:X, B64, '프로젝트(G)'!U:U, $D$1)
    + COUNTIFS('협력사 EPC(H)'!C:C, $E$1, '협력사 EPC(H)'!G:G, B63, '협력사 EPC(H)'!X:X, B64, '협력사 EPC(H)'!U:U, $D$1)
    + COUNTIFS('기타(Z)'!C:C, $E$1, '기타(Z)'!G:G, B63, '기타(Z)'!X:X, B64, '기타(Z)'!U:U, $D$1)
  ) = 0,
  "",
  COUNTIFS('발전사업(A)'!C:C, $E$1, '발전사업(A)'!G:G, B63, '발전사업(A)'!X:X, B64, '발전사업(A)'!U:U, $D$1)
  + COUNTIFS('자가소비(B)'!C:C, $E$1, '자가소비(B)'!G:G, B63, '자가소비(B)'!X:X, B64, '자가소비(B)'!U:U, $D$1)
  + COUNTIFS('PPA 사업(C)'!C:C, $E$1, 'PPA 사업(C)'!G:G, B63, 'PPA 사업(C)'!X:X, B64, 'PPA 사업(C)'!U:U, $D$1)
  + COUNTIFS('리스사업(D)'!C:C, $E$1, '리스사업(D)'!G:G, B63, '리스사업(D)'!X:X, B64, '리스사업(D)'!U:U, $D$1)
  + COUNTIFS('임대사업(E)'!C:C, $E$1, '임대사업(E)'!G:G, B63, '임대사업(E)'!X:X, B64, '임대사업(E)'!U:U, $D$1)
  + COUNTIFS('환경부사업(F)'!C:C, $E$1, '환경부사업(F)'!G:G, B63, '환경부사업(F)'!X:X, B64, '환경부사업(F)'!U:U, $D$1)
  + COUNTIFS('프로젝트(G)'!C:C, $E$1, '프로젝트(G)'!G:G, B63, '프로젝트(G)'!X:X, B64, '프로젝트(G)'!U:U, $D$1)
  + COUNTIFS('협력사 EPC(H)'!C:C, $E$1, '협력사 EPC(H)'!G:G, B63, '협력사 EPC(H)'!X:X, B64, '협력사 EPC(H)'!U:U, $D$1)
  + COUNTIFS('기타(Z)'!C:C, $E$1, '기타(Z)'!G:G, B63, '기타(Z)'!X:X, B64, '기타(Z)'!U:U, $D$1)
)</f>
        <v>2</v>
      </c>
    </row>
    <row r="65" spans="2:8" x14ac:dyDescent="0.25">
      <c r="B65" s="195" t="s">
        <v>152</v>
      </c>
      <c r="C65" s="262">
        <f>IF(
  SUM(
    SUMIFS('발전사업(A)'!I:I, '발전사업(A)'!C:C, $E$1, '발전사업(A)'!G:G, B63, '발전사업(A)'!X:X, B65),
    SUMIFS('자가소비(B)'!I:I, '자가소비(B)'!C:C, $E$1, '자가소비(B)'!G:G, B63, '자가소비(B)'!X:X, B65),
    SUMIFS('PPA 사업(C)'!I:I, 'PPA 사업(C)'!C:C, $E$1, 'PPA 사업(C)'!G:G, B63, 'PPA 사업(C)'!X:X, B65),
    SUMIFS('리스사업(D)'!I:I, '리스사업(D)'!C:C, $E$1, '리스사업(D)'!G:G, B63, '리스사업(D)'!X:X, B65),
    SUMIFS('임대사업(E)'!I:I, '임대사업(E)'!C:C, $E$1, '임대사업(E)'!G:G, B63, '임대사업(E)'!X:X, B65),
    SUMIFS('환경부사업(F)'!I:I, '환경부사업(F)'!C:C, $E$1, '환경부사업(F)'!G:G, B63, '환경부사업(F)'!X:X, B65),
    SUMIFS('프로젝트(G)'!I:I, '프로젝트(G)'!C:C, $E$1, '프로젝트(G)'!G:G, B63, '프로젝트(G)'!X:X, B65),
    SUMIFS('협력사 EPC(H)'!I:I, '협력사 EPC(H)'!C:C, $E$1, '협력사 EPC(H)'!G:G, B63, '협력사 EPC(H)'!X:X, B65),
    SUMIFS('기타(Z)'!I:I, '기타(Z)'!C:C, $E$1, '기타(Z)'!G:G, B63, '기타(Z)'!X:X, B65)
  ) = 0,
  "",
  SUMIFS('발전사업(A)'!I:I, '발전사업(A)'!C:C, $E$1, '발전사업(A)'!G:G, B63, '발전사업(A)'!X:X, B65)
  + SUMIFS('자가소비(B)'!I:I, '자가소비(B)'!C:C, $E$1, '자가소비(B)'!G:G, B63, '자가소비(B)'!X:X, B65)
  + SUMIFS('PPA 사업(C)'!I:I, 'PPA 사업(C)'!C:C, $E$1, 'PPA 사업(C)'!G:G, B63, 'PPA 사업(C)'!X:X, B65)
  + SUMIFS('리스사업(D)'!I:I, '리스사업(D)'!C:C, $E$1, '리스사업(D)'!G:G, B63, '리스사업(D)'!X:X, B65)
  + SUMIFS('임대사업(E)'!I:I, '임대사업(E)'!C:C, $E$1, '임대사업(E)'!G:G, B63, '임대사업(E)'!X:X, B65)
  + SUMIFS('환경부사업(F)'!I:I, '환경부사업(F)'!C:C, $E$1, '환경부사업(F)'!G:G, B63, '환경부사업(F)'!X:X, B65)
  + SUMIFS('프로젝트(G)'!I:I, '프로젝트(G)'!C:C, $E$1, '프로젝트(G)'!G:G, B63, '프로젝트(G)'!X:X, B65)
  + SUMIFS('협력사 EPC(H)'!I:I, '협력사 EPC(H)'!C:C, $E$1, '협력사 EPC(H)'!G:G, B63, '협력사 EPC(H)'!X:X, B65)
  + SUMIFS('기타(Z)'!I:I, '기타(Z)'!C:C, $E$1, '기타(Z)'!G:G, B63, '기타(Z)'!X:X, B65)
)</f>
        <v>1885.9800000000002</v>
      </c>
      <c r="D65" s="263">
        <f>IF(
  COUNTIFS('발전사업(A)'!C:C, $E$1, '발전사업(A)'!G:G, B63, '발전사업(A)'!X:X, B65)
  + COUNTIFS('자가소비(B)'!C:C, $E$1, '자가소비(B)'!G:G, B63, '자가소비(B)'!X:X, B65)
  + COUNTIFS('PPA 사업(C)'!C:C, $E$1, 'PPA 사업(C)'!G:G, B63, 'PPA 사업(C)'!X:X, B65)
  + COUNTIFS('리스사업(D)'!C:C, $E$1, '리스사업(D)'!G:G, B63, '리스사업(D)'!X:X, B65)
  + COUNTIFS('임대사업(E)'!C:C, $E$1, '임대사업(E)'!G:G, B63, '임대사업(E)'!X:X, B65)
  + COUNTIFS('환경부사업(F)'!C:C, $E$1, '환경부사업(F)'!G:G, B63, '환경부사업(F)'!X:X, B65)
  + COUNTIFS('프로젝트(G)'!C:C, $E$1, '프로젝트(G)'!G:G, B63, '프로젝트(G)'!X:X, B65)
  + COUNTIFS('협력사 EPC(H)'!C:C, $E$1, '협력사 EPC(H)'!G:G, B63, '협력사 EPC(H)'!X:X, B65)
  + COUNTIFS('기타(Z)'!C:C, $E$1, '기타(Z)'!G:G, B63, '기타(Z)'!X:X, B65)
  = 0,
  "",
  COUNTIFS('발전사업(A)'!C:C, $E$1, '발전사업(A)'!G:G, B63, '발전사업(A)'!X:X, B65)
  + COUNTIFS('자가소비(B)'!C:C, $E$1, '자가소비(B)'!G:G, B63, '자가소비(B)'!X:X, B65)
  + COUNTIFS('PPA 사업(C)'!C:C, $E$1, 'PPA 사업(C)'!G:G, B63, 'PPA 사업(C)'!X:X, B65)
  + COUNTIFS('리스사업(D)'!C:C, $E$1, '리스사업(D)'!G:G, B63, '리스사업(D)'!X:X, B65)
  + COUNTIFS('임대사업(E)'!C:C, $E$1, '임대사업(E)'!G:G, B63, '임대사업(E)'!X:X, B65)
  + COUNTIFS('환경부사업(F)'!C:C, $E$1, '환경부사업(F)'!G:G, B63, '환경부사업(F)'!X:X, B65)
  + COUNTIFS('프로젝트(G)'!C:C, $E$1, '프로젝트(G)'!G:G, B63, '프로젝트(G)'!X:X, B65)
  + COUNTIFS('협력사 EPC(H)'!C:C, $E$1, '협력사 EPC(H)'!G:G, B63, '협력사 EPC(H)'!X:X, B65)
  + COUNTIFS('기타(Z)'!C:C, $E$1, '기타(Z)'!G:G, B63, '기타(Z)'!X:X, B65)
)</f>
        <v>5</v>
      </c>
      <c r="E65" s="262">
        <f>IF(
  SUM(
    SUMIFS('발전사업(A)'!I:I, '발전사업(A)'!C:C, $E$1, '발전사업(A)'!G:G, B63, '발전사업(A)'!X:X, B65, '발전사업(A)'!U:U, $C$1),
    SUMIFS('자가소비(B)'!I:I, '자가소비(B)'!C:C, $E$1, '자가소비(B)'!G:G, B63, '자가소비(B)'!X:X, B65, '자가소비(B)'!U:U, $C$1),
    SUMIFS('PPA 사업(C)'!I:I, 'PPA 사업(C)'!C:C, $E$1, 'PPA 사업(C)'!G:G, B63, 'PPA 사업(C)'!X:X, B65, 'PPA 사업(C)'!U:U, $C$1),
    SUMIFS('리스사업(D)'!I:I, '리스사업(D)'!C:C, $E$1, '리스사업(D)'!G:G, B63, '리스사업(D)'!X:X, B65, '리스사업(D)'!U:U, $C$1),
    SUMIFS('임대사업(E)'!I:I, '임대사업(E)'!C:C, $E$1, '임대사업(E)'!G:G, B63, '임대사업(E)'!X:X, B65, '임대사업(E)'!U:U, $C$1),
    SUMIFS('환경부사업(F)'!I:I, '환경부사업(F)'!C:C, $E$1, '환경부사업(F)'!G:G, B63, '환경부사업(F)'!X:X, B65, '환경부사업(F)'!U:U, $C$1),
    SUMIFS('프로젝트(G)'!I:I, '프로젝트(G)'!C:C, $E$1, '프로젝트(G)'!G:G, B63, '프로젝트(G)'!X:X, B65, '프로젝트(G)'!U:U, $C$1),
    SUMIFS('협력사 EPC(H)'!I:I, '협력사 EPC(H)'!C:C, $E$1, '협력사 EPC(H)'!G:G, B63, '협력사 EPC(H)'!X:X, B65, '협력사 EPC(H)'!U:U, $C$1),
    SUMIFS('기타(Z)'!I:I, '기타(Z)'!C:C, $E$1, '기타(Z)'!G:G, B63, '기타(Z)'!X:X, B65, '기타(Z)'!U:U, $C$1)
  ) = 0,
  "",
  SUM(
    SUMIFS('발전사업(A)'!I:I, '발전사업(A)'!C:C, $E$1, '발전사업(A)'!G:G, B63, '발전사업(A)'!X:X, B65, '발전사업(A)'!U:U, $C$1),
    SUMIFS('자가소비(B)'!I:I, '자가소비(B)'!C:C, $E$1, '자가소비(B)'!G:G, B63, '자가소비(B)'!X:X, B65, '자가소비(B)'!U:U, $C$1),
    SUMIFS('PPA 사업(C)'!I:I, 'PPA 사업(C)'!C:C, $E$1, 'PPA 사업(C)'!G:G, B63, 'PPA 사업(C)'!X:X, B65, 'PPA 사업(C)'!U:U, $C$1),
    SUMIFS('리스사업(D)'!I:I, '리스사업(D)'!C:C, $E$1, '리스사업(D)'!G:G, B63, '리스사업(D)'!X:X, B65, '리스사업(D)'!U:U, $C$1),
    SUMIFS('임대사업(E)'!I:I, '임대사업(E)'!C:C, $E$1, '임대사업(E)'!G:G, B63, '임대사업(E)'!X:X, B65, '임대사업(E)'!U:U, $C$1),
    SUMIFS('환경부사업(F)'!I:I, '환경부사업(F)'!C:C, $E$1, '환경부사업(F)'!G:G, B63, '환경부사업(F)'!X:X, B65, '환경부사업(F)'!U:U, $C$1),
    SUMIFS('프로젝트(G)'!I:I, '프로젝트(G)'!C:C, $E$1, '프로젝트(G)'!G:G, B63, '프로젝트(G)'!X:X, B65, '프로젝트(G)'!U:U, $C$1),
    SUMIFS('협력사 EPC(H)'!I:I, '협력사 EPC(H)'!C:C, $E$1, '협력사 EPC(H)'!G:G, B63, '협력사 EPC(H)'!X:X, B65, '협력사 EPC(H)'!U:U, $C$1),
    SUMIFS('기타(Z)'!I:I, '기타(Z)'!C:C, $E$1, '기타(Z)'!G:G, B63, '기타(Z)'!X:X, B65, '기타(Z)'!U:U, $C$1)
  )
)</f>
        <v>754.65</v>
      </c>
      <c r="F65" s="263">
        <f>IF(
  SUM(
    COUNTIFS('발전사업(A)'!C:C, $E$1, '발전사업(A)'!G:G, B63, '발전사업(A)'!X:X, B65, '발전사업(A)'!U:U, $C$1),
    COUNTIFS('자가소비(B)'!C:C, $E$1, '자가소비(B)'!G:G, B63, '자가소비(B)'!X:X, B65, '자가소비(B)'!U:U, $C$1),
    COUNTIFS('PPA 사업(C)'!C:C, $E$1, 'PPA 사업(C)'!G:G, B63, 'PPA 사업(C)'!X:X, B65, 'PPA 사업(C)'!U:U, $C$1),
    COUNTIFS('리스사업(D)'!C:C, $E$1, '리스사업(D)'!G:G, B63, '리스사업(D)'!X:X, B65, '리스사업(D)'!U:U, $C$1),
    COUNTIFS('임대사업(E)'!C:C, $E$1, '임대사업(E)'!G:G, B63, '임대사업(E)'!X:X, B65, '임대사업(E)'!U:U, $C$1),
    COUNTIFS('환경부사업(F)'!C:C, $E$1, '환경부사업(F)'!G:G, B63, '환경부사업(F)'!X:X, B65, '환경부사업(F)'!U:U, $C$1),
    COUNTIFS('프로젝트(G)'!C:C, $E$1, '프로젝트(G)'!G:G, B63, '프로젝트(G)'!X:X, B65, '프로젝트(G)'!U:U, $C$1),
    COUNTIFS('협력사 EPC(H)'!C:C, $E$1, '협력사 EPC(H)'!G:G, B63, '협력사 EPC(H)'!X:X, B65, '협력사 EPC(H)'!U:U, $C$1),
    COUNTIFS('기타(Z)'!C:C, $E$1, '기타(Z)'!G:G, B63, '기타(Z)'!X:X, B65, '기타(Z)'!U:U, $C$1)
  ) = 0,
  "",
  SUM(
    COUNTIFS('발전사업(A)'!C:C, $E$1, '발전사업(A)'!G:G, B63, '발전사업(A)'!X:X, B65, '발전사업(A)'!U:U, $C$1),
    COUNTIFS('자가소비(B)'!C:C, $E$1, '자가소비(B)'!G:G, B63, '자가소비(B)'!X:X, B65, '자가소비(B)'!U:U, $C$1),
    COUNTIFS('PPA 사업(C)'!C:C, $E$1, 'PPA 사업(C)'!G:G, B63, 'PPA 사업(C)'!X:X, B65, 'PPA 사업(C)'!U:U, $C$1),
    COUNTIFS('리스사업(D)'!C:C, $E$1, '리스사업(D)'!G:G, B63, '리스사업(D)'!X:X, B65, '리스사업(D)'!U:U, $C$1),
    COUNTIFS('임대사업(E)'!C:C, $E$1, '임대사업(E)'!G:G, B63, '임대사업(E)'!X:X, B65, '임대사업(E)'!U:U, $C$1),
    COUNTIFS('환경부사업(F)'!C:C, $E$1, '환경부사업(F)'!G:G, B63, '환경부사업(F)'!X:X, B65, '환경부사업(F)'!U:U, $C$1),
    COUNTIFS('프로젝트(G)'!C:C, $E$1, '프로젝트(G)'!G:G, B63, '프로젝트(G)'!X:X, B65, '프로젝트(G)'!U:U, $C$1),
    COUNTIFS('협력사 EPC(H)'!C:C, $E$1, '협력사 EPC(H)'!G:G, B63, '협력사 EPC(H)'!X:X, B65, '협력사 EPC(H)'!U:U, $C$1),
    COUNTIFS('기타(Z)'!C:C, $E$1, '기타(Z)'!G:G, B63, '기타(Z)'!X:X, B65, '기타(Z)'!U:U, $C$1)
  )
)</f>
        <v>3</v>
      </c>
      <c r="G65" s="262">
        <f>IF(
  SUM(
    SUMIFS('발전사업(A)'!I:I, '발전사업(A)'!C:C, $E$1, '발전사업(A)'!G:G, B63, '발전사업(A)'!X:X, B65, '발전사업(A)'!U:U, $D$1),
    SUMIFS('자가소비(B)'!I:I, '자가소비(B)'!C:C, $E$1, '자가소비(B)'!G:G, B63, '자가소비(B)'!X:X, B65, '자가소비(B)'!U:U, $D$1),
    SUMIFS('PPA 사업(C)'!I:I, 'PPA 사업(C)'!C:C, $E$1, 'PPA 사업(C)'!G:G, B63, 'PPA 사업(C)'!X:X, B65, 'PPA 사업(C)'!U:U, $D$1),
    SUMIFS('리스사업(D)'!I:I, '리스사업(D)'!C:C, $E$1, '리스사업(D)'!G:G, B63, '리스사업(D)'!X:X, B65, '리스사업(D)'!U:U, $D$1),
    SUMIFS('임대사업(E)'!I:I, '임대사업(E)'!C:C, $E$1, '임대사업(E)'!G:G, B63, '임대사업(E)'!X:X, B65, '임대사업(E)'!U:U, $D$1),
    SUMIFS('환경부사업(F)'!I:I, '환경부사업(F)'!C:C, $E$1, '환경부사업(F)'!G:G, B63, '환경부사업(F)'!X:X, B65, '환경부사업(F)'!U:U, $D$1),
    SUMIFS('프로젝트(G)'!I:I, '프로젝트(G)'!C:C, $E$1, '프로젝트(G)'!G:G, B63, '프로젝트(G)'!X:X, B65, '프로젝트(G)'!U:U, $D$1),
    SUMIFS('협력사 EPC(H)'!I:I, '협력사 EPC(H)'!C:C, $E$1, '협력사 EPC(H)'!G:G, B63, '협력사 EPC(H)'!X:X, B65, '협력사 EPC(H)'!U:U, $D$1),
    SUMIFS('기타(Z)'!I:I, '기타(Z)'!C:C, $E$1, '기타(Z)'!G:G, B63, '기타(Z)'!X:X, B65, '기타(Z)'!U:U, $D$1)
  ) = 0,
  "",
  SUM(
    SUMIFS('발전사업(A)'!I:I, '발전사업(A)'!C:C, $E$1, '발전사업(A)'!G:G, B63, '발전사업(A)'!X:X, B65, '발전사업(A)'!U:U, $D$1),
    SUMIFS('자가소비(B)'!I:I, '자가소비(B)'!C:C, $E$1, '자가소비(B)'!G:G, B63, '자가소비(B)'!X:X, B65, '자가소비(B)'!U:U, $D$1),
    SUMIFS('PPA 사업(C)'!I:I, 'PPA 사업(C)'!C:C, $E$1, 'PPA 사업(C)'!G:G, B63, 'PPA 사업(C)'!X:X, B65, 'PPA 사업(C)'!U:U, $D$1),
    SUMIFS('리스사업(D)'!I:I, '리스사업(D)'!C:C, $E$1, '리스사업(D)'!G:G, B63, '리스사업(D)'!X:X, B65, '리스사업(D)'!U:U, $D$1),
    SUMIFS('임대사업(E)'!I:I, '임대사업(E)'!C:C, $E$1, '임대사업(E)'!G:G, B63, '임대사업(E)'!X:X, B65, '임대사업(E)'!U:U, $D$1),
    SUMIFS('환경부사업(F)'!I:I, '환경부사업(F)'!C:C, $E$1, '환경부사업(F)'!G:G, B63, '환경부사업(F)'!X:X, B65, '환경부사업(F)'!U:U, $D$1),
    SUMIFS('프로젝트(G)'!I:I, '프로젝트(G)'!C:C, $E$1, '프로젝트(G)'!G:G, B63, '프로젝트(G)'!X:X, B65, '프로젝트(G)'!U:U, $D$1),
    SUMIFS('협력사 EPC(H)'!I:I, '협력사 EPC(H)'!C:C, $E$1, '협력사 EPC(H)'!G:G, B63, '협력사 EPC(H)'!X:X, B65, '협력사 EPC(H)'!U:U, $D$1),
    SUMIFS('기타(Z)'!I:I, '기타(Z)'!C:C, $E$1, '기타(Z)'!G:G, B63, '기타(Z)'!X:X, B65, '기타(Z)'!U:U, $D$1)
  )
)</f>
        <v>1131.33</v>
      </c>
      <c r="H65" s="263">
        <f>IF(
  (
    COUNTIFS('발전사업(A)'!C:C, $E$1, '발전사업(A)'!G:G, B63, '발전사업(A)'!X:X, B65, '발전사업(A)'!U:U, $D$1)
    + COUNTIFS('자가소비(B)'!C:C, $E$1, '자가소비(B)'!G:G, B63, '자가소비(B)'!X:X, B65, '자가소비(B)'!U:U, $D$1)
    + COUNTIFS('PPA 사업(C)'!C:C, $E$1, 'PPA 사업(C)'!G:G, B63, 'PPA 사업(C)'!X:X, B65, 'PPA 사업(C)'!U:U, $D$1)
    + COUNTIFS('리스사업(D)'!C:C, $E$1, '리스사업(D)'!G:G, B63, '리스사업(D)'!X:X, B65, '리스사업(D)'!U:U, $D$1)
    + COUNTIFS('임대사업(E)'!C:C, $E$1, '임대사업(E)'!G:G, B63, '임대사업(E)'!X:X, B65, '임대사업(E)'!U:U, $D$1)
    + COUNTIFS('환경부사업(F)'!C:C, $E$1, '환경부사업(F)'!G:G, B63, '환경부사업(F)'!X:X, B65, '환경부사업(F)'!U:U, $D$1)
    + COUNTIFS('프로젝트(G)'!C:C, $E$1, '프로젝트(G)'!G:G, B63, '프로젝트(G)'!X:X, B65, '프로젝트(G)'!U:U, $D$1)
    + COUNTIFS('협력사 EPC(H)'!C:C, $E$1, '협력사 EPC(H)'!G:G, B63, '협력사 EPC(H)'!X:X, B65, '협력사 EPC(H)'!U:U, $D$1)
    + COUNTIFS('기타(Z)'!C:C, $E$1, '기타(Z)'!G:G, B63, '기타(Z)'!X:X, B65, '기타(Z)'!U:U, $D$1)
  ) = 0,
  "",
  COUNTIFS('발전사업(A)'!C:C, $E$1, '발전사업(A)'!G:G, B63, '발전사업(A)'!X:X, B65, '발전사업(A)'!U:U, $D$1)
  + COUNTIFS('자가소비(B)'!C:C, $E$1, '자가소비(B)'!G:G, B63, '자가소비(B)'!X:X, B65, '자가소비(B)'!U:U, $D$1)
  + COUNTIFS('PPA 사업(C)'!C:C, $E$1, 'PPA 사업(C)'!G:G, B63, 'PPA 사업(C)'!X:X, B65, 'PPA 사업(C)'!U:U, $D$1)
  + COUNTIFS('리스사업(D)'!C:C, $E$1, '리스사업(D)'!G:G, B63, '리스사업(D)'!X:X, B65, '리스사업(D)'!U:U, $D$1)
  + COUNTIFS('임대사업(E)'!C:C, $E$1, '임대사업(E)'!G:G, B63, '임대사업(E)'!X:X, B65, '임대사업(E)'!U:U, $D$1)
  + COUNTIFS('환경부사업(F)'!C:C, $E$1, '환경부사업(F)'!G:G, B63, '환경부사업(F)'!X:X, B65, '환경부사업(F)'!U:U, $D$1)
  + COUNTIFS('프로젝트(G)'!C:C, $E$1, '프로젝트(G)'!G:G, B63, '프로젝트(G)'!X:X, B65, '프로젝트(G)'!U:U, $D$1)
  + COUNTIFS('협력사 EPC(H)'!C:C, $E$1, '협력사 EPC(H)'!G:G, B63, '협력사 EPC(H)'!X:X, B65, '협력사 EPC(H)'!U:U, $D$1)
  + COUNTIFS('기타(Z)'!C:C, $E$1, '기타(Z)'!G:G, B63, '기타(Z)'!X:X, B65, '기타(Z)'!U:U, $D$1)
)</f>
        <v>2</v>
      </c>
    </row>
    <row r="66" spans="2:8" x14ac:dyDescent="0.25">
      <c r="B66" s="195" t="s">
        <v>153</v>
      </c>
      <c r="C66" s="262" t="str">
        <f>IF(
  SUM(
    SUMIFS('발전사업(A)'!I:I, '발전사업(A)'!C:C, $E$1, '발전사업(A)'!G:G, B63, '발전사업(A)'!X:X, B66),
    SUMIFS('자가소비(B)'!I:I, '자가소비(B)'!C:C, $E$1, '자가소비(B)'!G:G, B63, '자가소비(B)'!X:X, B66),
    SUMIFS('PPA 사업(C)'!I:I, 'PPA 사업(C)'!C:C, $E$1, 'PPA 사업(C)'!G:G, B63, 'PPA 사업(C)'!X:X, B66),
    SUMIFS('리스사업(D)'!I:I, '리스사업(D)'!C:C, $E$1, '리스사업(D)'!G:G, B63, '리스사업(D)'!X:X, B66),
    SUMIFS('임대사업(E)'!I:I, '임대사업(E)'!C:C, $E$1, '임대사업(E)'!G:G, B63, '임대사업(E)'!X:X, B66),
    SUMIFS('환경부사업(F)'!I:I, '환경부사업(F)'!C:C, $E$1, '환경부사업(F)'!G:G, B63, '환경부사업(F)'!X:X, B66),
    SUMIFS('프로젝트(G)'!I:I, '프로젝트(G)'!C:C, $E$1, '프로젝트(G)'!G:G, B63, '프로젝트(G)'!X:X, B66),
    SUMIFS('협력사 EPC(H)'!I:I, '협력사 EPC(H)'!C:C, $E$1, '협력사 EPC(H)'!G:G, B63, '협력사 EPC(H)'!X:X, B66),
    SUMIFS('기타(Z)'!I:I, '기타(Z)'!C:C, $E$1, '기타(Z)'!G:G, B63, '기타(Z)'!X:X, B66)
  ) = 0,
  "",
  SUMIFS('발전사업(A)'!I:I, '발전사업(A)'!C:C, $E$1, '발전사업(A)'!G:G, B63, '발전사업(A)'!X:X, B66)
  + SUMIFS('자가소비(B)'!I:I, '자가소비(B)'!C:C, $E$1, '자가소비(B)'!G:G, B63, '자가소비(B)'!X:X, B66)
  + SUMIFS('PPA 사업(C)'!I:I, 'PPA 사업(C)'!C:C, $E$1, 'PPA 사업(C)'!G:G, B63, 'PPA 사업(C)'!X:X, B66)
  + SUMIFS('리스사업(D)'!I:I, '리스사업(D)'!C:C, $E$1, '리스사업(D)'!G:G, B63, '리스사업(D)'!X:X, B66)
  + SUMIFS('임대사업(E)'!I:I, '임대사업(E)'!C:C, $E$1, '임대사업(E)'!G:G, B63, '임대사업(E)'!X:X, B66)
  + SUMIFS('환경부사업(F)'!I:I, '환경부사업(F)'!C:C, $E$1, '환경부사업(F)'!G:G, B63, '환경부사업(F)'!X:X, B66)
  + SUMIFS('프로젝트(G)'!I:I, '프로젝트(G)'!C:C, $E$1, '프로젝트(G)'!G:G, B63, '프로젝트(G)'!X:X, B66)
  + SUMIFS('협력사 EPC(H)'!I:I, '협력사 EPC(H)'!C:C, $E$1, '협력사 EPC(H)'!G:G, B63, '협력사 EPC(H)'!X:X, B66)
  + SUMIFS('기타(Z)'!I:I, '기타(Z)'!C:C, $E$1, '기타(Z)'!G:G, B63, '기타(Z)'!X:X, B66)
)</f>
        <v/>
      </c>
      <c r="D66" s="263" t="str">
        <f>IF(
  COUNTIFS('발전사업(A)'!C:C, $E$1, '발전사업(A)'!G:G, B63, '발전사업(A)'!X:X, B66)
  + COUNTIFS('자가소비(B)'!C:C, $E$1, '자가소비(B)'!G:G, B63, '자가소비(B)'!X:X, B66)
  + COUNTIFS('PPA 사업(C)'!C:C, $E$1, 'PPA 사업(C)'!G:G, B63, 'PPA 사업(C)'!X:X, B66)
  + COUNTIFS('리스사업(D)'!C:C, $E$1, '리스사업(D)'!G:G, B63, '리스사업(D)'!X:X, B66)
  + COUNTIFS('임대사업(E)'!C:C, $E$1, '임대사업(E)'!G:G, B63, '임대사업(E)'!X:X, B66)
  + COUNTIFS('환경부사업(F)'!C:C, $E$1, '환경부사업(F)'!G:G, B63, '환경부사업(F)'!X:X, B66)
  + COUNTIFS('프로젝트(G)'!C:C, $E$1, '프로젝트(G)'!G:G, B63, '프로젝트(G)'!X:X, B66)
  + COUNTIFS('협력사 EPC(H)'!C:C, $E$1, '협력사 EPC(H)'!G:G, B63, '협력사 EPC(H)'!X:X, B66)
  + COUNTIFS('기타(Z)'!C:C, $E$1, '기타(Z)'!G:G, B63, '기타(Z)'!X:X, B66)
  = 0,
  "",
  COUNTIFS('발전사업(A)'!C:C, $E$1, '발전사업(A)'!G:G, B63, '발전사업(A)'!X:X, B66)
  + COUNTIFS('자가소비(B)'!C:C, $E$1, '자가소비(B)'!G:G, B63, '자가소비(B)'!X:X, B66)
  + COUNTIFS('PPA 사업(C)'!C:C, $E$1, 'PPA 사업(C)'!G:G, B63, 'PPA 사업(C)'!X:X, B66)
  + COUNTIFS('리스사업(D)'!C:C, $E$1, '리스사업(D)'!G:G, B63, '리스사업(D)'!X:X, B66)
  + COUNTIFS('임대사업(E)'!C:C, $E$1, '임대사업(E)'!G:G, B63, '임대사업(E)'!X:X, B66)
  + COUNTIFS('환경부사업(F)'!C:C, $E$1, '환경부사업(F)'!G:G, B63, '환경부사업(F)'!X:X, B66)
  + COUNTIFS('프로젝트(G)'!C:C, $E$1, '프로젝트(G)'!G:G, B63, '프로젝트(G)'!X:X, B66)
  + COUNTIFS('협력사 EPC(H)'!C:C, $E$1, '협력사 EPC(H)'!G:G, B63, '협력사 EPC(H)'!X:X, B66)
  + COUNTIFS('기타(Z)'!C:C, $E$1, '기타(Z)'!G:G, B63, '기타(Z)'!X:X, B66)
)</f>
        <v/>
      </c>
      <c r="E66" s="262" t="str">
        <f>IF(
  SUM(
    SUMIFS('발전사업(A)'!I:I, '발전사업(A)'!C:C, $E$1, '발전사업(A)'!G:G, B63, '발전사업(A)'!X:X, B66, '발전사업(A)'!U:U, $C$1),
    SUMIFS('자가소비(B)'!I:I, '자가소비(B)'!C:C, $E$1, '자가소비(B)'!G:G, B63, '자가소비(B)'!X:X, B66, '자가소비(B)'!U:U, $C$1),
    SUMIFS('PPA 사업(C)'!I:I, 'PPA 사업(C)'!C:C, $E$1, 'PPA 사업(C)'!G:G, B63, 'PPA 사업(C)'!X:X, B66, 'PPA 사업(C)'!U:U, $C$1),
    SUMIFS('리스사업(D)'!I:I, '리스사업(D)'!C:C, $E$1, '리스사업(D)'!G:G, B63, '리스사업(D)'!X:X, B66, '리스사업(D)'!U:U, $C$1),
    SUMIFS('임대사업(E)'!I:I, '임대사업(E)'!C:C, $E$1, '임대사업(E)'!G:G, B63, '임대사업(E)'!X:X, B66, '임대사업(E)'!U:U, $C$1),
    SUMIFS('환경부사업(F)'!I:I, '환경부사업(F)'!C:C, $E$1, '환경부사업(F)'!G:G, B63, '환경부사업(F)'!X:X, B66, '환경부사업(F)'!U:U, $C$1),
    SUMIFS('프로젝트(G)'!I:I, '프로젝트(G)'!C:C, $E$1, '프로젝트(G)'!G:G, B63, '프로젝트(G)'!X:X, B66, '프로젝트(G)'!U:U, $C$1),
    SUMIFS('협력사 EPC(H)'!I:I, '협력사 EPC(H)'!C:C, $E$1, '협력사 EPC(H)'!G:G, B63, '협력사 EPC(H)'!X:X, B66, '협력사 EPC(H)'!U:U, $C$1),
    SUMIFS('기타(Z)'!I:I, '기타(Z)'!C:C, $E$1, '기타(Z)'!G:G, B63, '기타(Z)'!X:X, B66, '기타(Z)'!U:U, $C$1)
  ) = 0,
  "",
  SUM(
    SUMIFS('발전사업(A)'!I:I, '발전사업(A)'!C:C, $E$1, '발전사업(A)'!G:G, B63, '발전사업(A)'!X:X, B66, '발전사업(A)'!U:U, $C$1),
    SUMIFS('자가소비(B)'!I:I, '자가소비(B)'!C:C, $E$1, '자가소비(B)'!G:G, B63, '자가소비(B)'!X:X, B66, '자가소비(B)'!U:U, $C$1),
    SUMIFS('PPA 사업(C)'!I:I, 'PPA 사업(C)'!C:C, $E$1, 'PPA 사업(C)'!G:G, B63, 'PPA 사업(C)'!X:X, B66, 'PPA 사업(C)'!U:U, $C$1),
    SUMIFS('리스사업(D)'!I:I, '리스사업(D)'!C:C, $E$1, '리스사업(D)'!G:G, B63, '리스사업(D)'!X:X, B66, '리스사업(D)'!U:U, $C$1),
    SUMIFS('임대사업(E)'!I:I, '임대사업(E)'!C:C, $E$1, '임대사업(E)'!G:G, B63, '임대사업(E)'!X:X, B66, '임대사업(E)'!U:U, $C$1),
    SUMIFS('환경부사업(F)'!I:I, '환경부사업(F)'!C:C, $E$1, '환경부사업(F)'!G:G, B63, '환경부사업(F)'!X:X, B66, '환경부사업(F)'!U:U, $C$1),
    SUMIFS('프로젝트(G)'!I:I, '프로젝트(G)'!C:C, $E$1, '프로젝트(G)'!G:G, B63, '프로젝트(G)'!X:X, B66, '프로젝트(G)'!U:U, $C$1),
    SUMIFS('협력사 EPC(H)'!I:I, '협력사 EPC(H)'!C:C, $E$1, '협력사 EPC(H)'!G:G, B63, '협력사 EPC(H)'!X:X, B66, '협력사 EPC(H)'!U:U, $C$1),
    SUMIFS('기타(Z)'!I:I, '기타(Z)'!C:C, $E$1, '기타(Z)'!G:G, B63, '기타(Z)'!X:X, B66, '기타(Z)'!U:U, $C$1)
  )
)</f>
        <v/>
      </c>
      <c r="F66" s="263" t="str">
        <f>IF(
  SUM(
    COUNTIFS('발전사업(A)'!C:C, $E$1, '발전사업(A)'!G:G, B63, '발전사업(A)'!X:X, B66, '발전사업(A)'!U:U, $C$1),
    COUNTIFS('자가소비(B)'!C:C, $E$1, '자가소비(B)'!G:G, B63, '자가소비(B)'!X:X, B66, '자가소비(B)'!U:U, $C$1),
    COUNTIFS('PPA 사업(C)'!C:C, $E$1, 'PPA 사업(C)'!G:G, B63, 'PPA 사업(C)'!X:X, B66, 'PPA 사업(C)'!U:U, $C$1),
    COUNTIFS('리스사업(D)'!C:C, $E$1, '리스사업(D)'!G:G, B63, '리스사업(D)'!X:X, B66, '리스사업(D)'!U:U, $C$1),
    COUNTIFS('임대사업(E)'!C:C, $E$1, '임대사업(E)'!G:G, B63, '임대사업(E)'!X:X, B66, '임대사업(E)'!U:U, $C$1),
    COUNTIFS('환경부사업(F)'!C:C, $E$1, '환경부사업(F)'!G:G, B63, '환경부사업(F)'!X:X, B66, '환경부사업(F)'!U:U, $C$1),
    COUNTIFS('프로젝트(G)'!C:C, $E$1, '프로젝트(G)'!G:G, B63, '프로젝트(G)'!X:X, B66, '프로젝트(G)'!U:U, $C$1),
    COUNTIFS('협력사 EPC(H)'!C:C, $E$1, '협력사 EPC(H)'!G:G, B63, '협력사 EPC(H)'!X:X, B66, '협력사 EPC(H)'!U:U, $C$1),
    COUNTIFS('기타(Z)'!C:C, $E$1, '기타(Z)'!G:G, B63, '기타(Z)'!X:X, B66, '기타(Z)'!U:U, $C$1)
  ) = 0,
  "",
  SUM(
    COUNTIFS('발전사업(A)'!C:C, $E$1, '발전사업(A)'!G:G, B63, '발전사업(A)'!X:X, B66, '발전사업(A)'!U:U, $C$1),
    COUNTIFS('자가소비(B)'!C:C, $E$1, '자가소비(B)'!G:G, B63, '자가소비(B)'!X:X, B66, '자가소비(B)'!U:U, $C$1),
    COUNTIFS('PPA 사업(C)'!C:C, $E$1, 'PPA 사업(C)'!G:G, B63, 'PPA 사업(C)'!X:X, B66, 'PPA 사업(C)'!U:U, $C$1),
    COUNTIFS('리스사업(D)'!C:C, $E$1, '리스사업(D)'!G:G, B63, '리스사업(D)'!X:X, B66, '리스사업(D)'!U:U, $C$1),
    COUNTIFS('임대사업(E)'!C:C, $E$1, '임대사업(E)'!G:G, B63, '임대사업(E)'!X:X, B66, '임대사업(E)'!U:U, $C$1),
    COUNTIFS('환경부사업(F)'!C:C, $E$1, '환경부사업(F)'!G:G, B63, '환경부사업(F)'!X:X, B66, '환경부사업(F)'!U:U, $C$1),
    COUNTIFS('프로젝트(G)'!C:C, $E$1, '프로젝트(G)'!G:G, B63, '프로젝트(G)'!X:X, B66, '프로젝트(G)'!U:U, $C$1),
    COUNTIFS('협력사 EPC(H)'!C:C, $E$1, '협력사 EPC(H)'!G:G, B63, '협력사 EPC(H)'!X:X, B66, '협력사 EPC(H)'!U:U, $C$1),
    COUNTIFS('기타(Z)'!C:C, $E$1, '기타(Z)'!G:G, B63, '기타(Z)'!X:X, B66, '기타(Z)'!U:U, $C$1)
  )
)</f>
        <v/>
      </c>
      <c r="G66" s="262" t="str">
        <f>IF(
  SUM(
    SUMIFS('발전사업(A)'!I:I, '발전사업(A)'!C:C, $E$1, '발전사업(A)'!G:G, B63, '발전사업(A)'!X:X, B66, '발전사업(A)'!U:U, $D$1),
    SUMIFS('자가소비(B)'!I:I, '자가소비(B)'!C:C, $E$1, '자가소비(B)'!G:G, B63, '자가소비(B)'!X:X, B66, '자가소비(B)'!U:U, $D$1),
    SUMIFS('PPA 사업(C)'!I:I, 'PPA 사업(C)'!C:C, $E$1, 'PPA 사업(C)'!G:G, B63, 'PPA 사업(C)'!X:X, B66, 'PPA 사업(C)'!U:U, $D$1),
    SUMIFS('리스사업(D)'!I:I, '리스사업(D)'!C:C, $E$1, '리스사업(D)'!G:G, B63, '리스사업(D)'!X:X, B66, '리스사업(D)'!U:U, $D$1),
    SUMIFS('임대사업(E)'!I:I, '임대사업(E)'!C:C, $E$1, '임대사업(E)'!G:G, B63, '임대사업(E)'!X:X, B66, '임대사업(E)'!U:U, $D$1),
    SUMIFS('환경부사업(F)'!I:I, '환경부사업(F)'!C:C, $E$1, '환경부사업(F)'!G:G, B63, '환경부사업(F)'!X:X, B66, '환경부사업(F)'!U:U, $D$1),
    SUMIFS('프로젝트(G)'!I:I, '프로젝트(G)'!C:C, $E$1, '프로젝트(G)'!G:G, B63, '프로젝트(G)'!X:X, B66, '프로젝트(G)'!U:U, $D$1),
    SUMIFS('협력사 EPC(H)'!I:I, '협력사 EPC(H)'!C:C, $E$1, '협력사 EPC(H)'!G:G, B63, '협력사 EPC(H)'!X:X, B66, '협력사 EPC(H)'!U:U, $D$1),
    SUMIFS('기타(Z)'!I:I, '기타(Z)'!C:C, $E$1, '기타(Z)'!G:G, B63, '기타(Z)'!X:X, B66, '기타(Z)'!U:U, $D$1)
  ) = 0,
  "",
  SUM(
    SUMIFS('발전사업(A)'!I:I, '발전사업(A)'!C:C, $E$1, '발전사업(A)'!G:G, B63, '발전사업(A)'!X:X, B66, '발전사업(A)'!U:U, $D$1),
    SUMIFS('자가소비(B)'!I:I, '자가소비(B)'!C:C, $E$1, '자가소비(B)'!G:G, B63, '자가소비(B)'!X:X, B66, '자가소비(B)'!U:U, $D$1),
    SUMIFS('PPA 사업(C)'!I:I, 'PPA 사업(C)'!C:C, $E$1, 'PPA 사업(C)'!G:G, B63, 'PPA 사업(C)'!X:X, B66, 'PPA 사업(C)'!U:U, $D$1),
    SUMIFS('리스사업(D)'!I:I, '리스사업(D)'!C:C, $E$1, '리스사업(D)'!G:G, B63, '리스사업(D)'!X:X, B66, '리스사업(D)'!U:U, $D$1),
    SUMIFS('임대사업(E)'!I:I, '임대사업(E)'!C:C, $E$1, '임대사업(E)'!G:G, B63, '임대사업(E)'!X:X, B66, '임대사업(E)'!U:U, $D$1),
    SUMIFS('환경부사업(F)'!I:I, '환경부사업(F)'!C:C, $E$1, '환경부사업(F)'!G:G, B63, '환경부사업(F)'!X:X, B66, '환경부사업(F)'!U:U, $D$1),
    SUMIFS('프로젝트(G)'!I:I, '프로젝트(G)'!C:C, $E$1, '프로젝트(G)'!G:G, B63, '프로젝트(G)'!X:X, B66, '프로젝트(G)'!U:U, $D$1),
    SUMIFS('협력사 EPC(H)'!I:I, '협력사 EPC(H)'!C:C, $E$1, '협력사 EPC(H)'!G:G, B63, '협력사 EPC(H)'!X:X, B66, '협력사 EPC(H)'!U:U, $D$1),
    SUMIFS('기타(Z)'!I:I, '기타(Z)'!C:C, $E$1, '기타(Z)'!G:G, B63, '기타(Z)'!X:X, B66, '기타(Z)'!U:U, $D$1)
  )
)</f>
        <v/>
      </c>
      <c r="H66" s="263" t="str">
        <f>IF(
  (
    COUNTIFS('발전사업(A)'!C:C, $E$1, '발전사업(A)'!G:G, B63, '발전사업(A)'!X:X, B66, '발전사업(A)'!U:U, $D$1)
    + COUNTIFS('자가소비(B)'!C:C, $E$1, '자가소비(B)'!G:G, B63, '자가소비(B)'!X:X, B66, '자가소비(B)'!U:U, $D$1)
    + COUNTIFS('PPA 사업(C)'!C:C, $E$1, 'PPA 사업(C)'!G:G, B63, 'PPA 사업(C)'!X:X, B66, 'PPA 사업(C)'!U:U, $D$1)
    + COUNTIFS('리스사업(D)'!C:C, $E$1, '리스사업(D)'!G:G, B63, '리스사업(D)'!X:X, B66, '리스사업(D)'!U:U, $D$1)
    + COUNTIFS('임대사업(E)'!C:C, $E$1, '임대사업(E)'!G:G, B63, '임대사업(E)'!X:X, B66, '임대사업(E)'!U:U, $D$1)
    + COUNTIFS('환경부사업(F)'!C:C, $E$1, '환경부사업(F)'!G:G, B63, '환경부사업(F)'!X:X, B66, '환경부사업(F)'!U:U, $D$1)
    + COUNTIFS('프로젝트(G)'!C:C, $E$1, '프로젝트(G)'!G:G, B63, '프로젝트(G)'!X:X, B66, '프로젝트(G)'!U:U, $D$1)
    + COUNTIFS('협력사 EPC(H)'!C:C, $E$1, '협력사 EPC(H)'!G:G, B63, '협력사 EPC(H)'!X:X, B66, '협력사 EPC(H)'!U:U, $D$1)
    + COUNTIFS('기타(Z)'!C:C, $E$1, '기타(Z)'!G:G, B63, '기타(Z)'!X:X, B66, '기타(Z)'!U:U, $D$1)
  ) = 0,
  "",
  COUNTIFS('발전사업(A)'!C:C, $E$1, '발전사업(A)'!G:G, B63, '발전사업(A)'!X:X, B66, '발전사업(A)'!U:U, $D$1)
  + COUNTIFS('자가소비(B)'!C:C, $E$1, '자가소비(B)'!G:G, B63, '자가소비(B)'!X:X, B66, '자가소비(B)'!U:U, $D$1)
  + COUNTIFS('PPA 사업(C)'!C:C, $E$1, 'PPA 사업(C)'!G:G, B63, 'PPA 사업(C)'!X:X, B66, 'PPA 사업(C)'!U:U, $D$1)
  + COUNTIFS('리스사업(D)'!C:C, $E$1, '리스사업(D)'!G:G, B63, '리스사업(D)'!X:X, B66, '리스사업(D)'!U:U, $D$1)
  + COUNTIFS('임대사업(E)'!C:C, $E$1, '임대사업(E)'!G:G, B63, '임대사업(E)'!X:X, B66, '임대사업(E)'!U:U, $D$1)
  + COUNTIFS('환경부사업(F)'!C:C, $E$1, '환경부사업(F)'!G:G, B63, '환경부사업(F)'!X:X, B66, '환경부사업(F)'!U:U, $D$1)
  + COUNTIFS('프로젝트(G)'!C:C, $E$1, '프로젝트(G)'!G:G, B63, '프로젝트(G)'!X:X, B66, '프로젝트(G)'!U:U, $D$1)
  + COUNTIFS('협력사 EPC(H)'!C:C, $E$1, '협력사 EPC(H)'!G:G, B63, '협력사 EPC(H)'!X:X, B66, '협력사 EPC(H)'!U:U, $D$1)
  + COUNTIFS('기타(Z)'!C:C, $E$1, '기타(Z)'!G:G, B63, '기타(Z)'!X:X, B66, '기타(Z)'!U:U, $D$1)
)</f>
        <v/>
      </c>
    </row>
    <row r="67" spans="2:8" x14ac:dyDescent="0.25">
      <c r="B67" s="195" t="s">
        <v>154</v>
      </c>
      <c r="C67" s="262" t="str">
        <f>IF(
  SUM(
    SUMIFS('발전사업(A)'!I:I, '발전사업(A)'!C:C, $E$1, '발전사업(A)'!G:G, B63, '발전사업(A)'!X:X, B67),
    SUMIFS('자가소비(B)'!I:I, '자가소비(B)'!C:C, $E$1, '자가소비(B)'!G:G, B63, '자가소비(B)'!X:X, B67),
    SUMIFS('PPA 사업(C)'!I:I, 'PPA 사업(C)'!C:C, $E$1, 'PPA 사업(C)'!G:G, B63, 'PPA 사업(C)'!X:X, B67),
    SUMIFS('리스사업(D)'!I:I, '리스사업(D)'!C:C, $E$1, '리스사업(D)'!G:G, B63, '리스사업(D)'!X:X, B67),
    SUMIFS('임대사업(E)'!I:I, '임대사업(E)'!C:C, $E$1, '임대사업(E)'!G:G, B63, '임대사업(E)'!X:X, B67),
    SUMIFS('환경부사업(F)'!I:I, '환경부사업(F)'!C:C, $E$1, '환경부사업(F)'!G:G, B63, '환경부사업(F)'!X:X, B67),
    SUMIFS('프로젝트(G)'!I:I, '프로젝트(G)'!C:C, $E$1, '프로젝트(G)'!G:G, B63, '프로젝트(G)'!X:X, B67),
    SUMIFS('협력사 EPC(H)'!I:I, '협력사 EPC(H)'!C:C, $E$1, '협력사 EPC(H)'!G:G, B63, '협력사 EPC(H)'!X:X, B67),
    SUMIFS('기타(Z)'!I:I, '기타(Z)'!C:C, $E$1, '기타(Z)'!G:G, B63, '기타(Z)'!X:X, B67)
  ) = 0,
  "",
  SUMIFS('발전사업(A)'!I:I, '발전사업(A)'!C:C, $E$1, '발전사업(A)'!G:G, B63, '발전사업(A)'!X:X, B67)
  + SUMIFS('자가소비(B)'!I:I, '자가소비(B)'!C:C, $E$1, '자가소비(B)'!G:G, B63, '자가소비(B)'!X:X, B67)
  + SUMIFS('PPA 사업(C)'!I:I, 'PPA 사업(C)'!C:C, $E$1, 'PPA 사업(C)'!G:G, B63, 'PPA 사업(C)'!X:X, B67)
  + SUMIFS('리스사업(D)'!I:I, '리스사업(D)'!C:C, $E$1, '리스사업(D)'!G:G, B63, '리스사업(D)'!X:X, B67)
  + SUMIFS('임대사업(E)'!I:I, '임대사업(E)'!C:C, $E$1, '임대사업(E)'!G:G, B63, '임대사업(E)'!X:X, B67)
  + SUMIFS('환경부사업(F)'!I:I, '환경부사업(F)'!C:C, $E$1, '환경부사업(F)'!G:G, B63, '환경부사업(F)'!X:X, B67)
  + SUMIFS('프로젝트(G)'!I:I, '프로젝트(G)'!C:C, $E$1, '프로젝트(G)'!G:G, B63, '프로젝트(G)'!X:X, B67)
  + SUMIFS('협력사 EPC(H)'!I:I, '협력사 EPC(H)'!C:C, $E$1, '협력사 EPC(H)'!G:G, B63, '협력사 EPC(H)'!X:X, B67)
  + SUMIFS('기타(Z)'!I:I, '기타(Z)'!C:C, $E$1, '기타(Z)'!G:G, B63, '기타(Z)'!X:X, B67)
)</f>
        <v/>
      </c>
      <c r="D67" s="263" t="str">
        <f>IF(
  COUNTIFS('발전사업(A)'!C:C, $E$1, '발전사업(A)'!G:G, B63, '발전사업(A)'!X:X, B67)
  + COUNTIFS('자가소비(B)'!C:C, $E$1, '자가소비(B)'!G:G, B63, '자가소비(B)'!X:X, B67)
  + COUNTIFS('PPA 사업(C)'!C:C, $E$1, 'PPA 사업(C)'!G:G, B63, 'PPA 사업(C)'!X:X, B67)
  + COUNTIFS('리스사업(D)'!C:C, $E$1, '리스사업(D)'!G:G, B63, '리스사업(D)'!X:X, B67)
  + COUNTIFS('임대사업(E)'!C:C, $E$1, '임대사업(E)'!G:G, B63, '임대사업(E)'!X:X, B67)
  + COUNTIFS('환경부사업(F)'!C:C, $E$1, '환경부사업(F)'!G:G, B63, '환경부사업(F)'!X:X, B67)
  + COUNTIFS('프로젝트(G)'!C:C, $E$1, '프로젝트(G)'!G:G, B63, '프로젝트(G)'!X:X, B67)
  + COUNTIFS('협력사 EPC(H)'!C:C, $E$1, '협력사 EPC(H)'!G:G, B63, '협력사 EPC(H)'!X:X, B67)
  + COUNTIFS('기타(Z)'!C:C, $E$1, '기타(Z)'!G:G, B63, '기타(Z)'!X:X, B67)
  = 0,
  "",
  COUNTIFS('발전사업(A)'!C:C, $E$1, '발전사업(A)'!G:G, B63, '발전사업(A)'!X:X, B67)
  + COUNTIFS('자가소비(B)'!C:C, $E$1, '자가소비(B)'!G:G, B63, '자가소비(B)'!X:X, B67)
  + COUNTIFS('PPA 사업(C)'!C:C, $E$1, 'PPA 사업(C)'!G:G, B63, 'PPA 사업(C)'!X:X, B67)
  + COUNTIFS('리스사업(D)'!C:C, $E$1, '리스사업(D)'!G:G, B63, '리스사업(D)'!X:X, B67)
  + COUNTIFS('임대사업(E)'!C:C, $E$1, '임대사업(E)'!G:G, B63, '임대사업(E)'!X:X, B67)
  + COUNTIFS('환경부사업(F)'!C:C, $E$1, '환경부사업(F)'!G:G, B63, '환경부사업(F)'!X:X, B67)
  + COUNTIFS('프로젝트(G)'!C:C, $E$1, '프로젝트(G)'!G:G, B63, '프로젝트(G)'!X:X, B67)
  + COUNTIFS('협력사 EPC(H)'!C:C, $E$1, '협력사 EPC(H)'!G:G, B63, '협력사 EPC(H)'!X:X, B67)
  + COUNTIFS('기타(Z)'!C:C, $E$1, '기타(Z)'!G:G, B63, '기타(Z)'!X:X, B67)
)</f>
        <v/>
      </c>
      <c r="E67" s="262" t="str">
        <f>IF(
  SUM(
    SUMIFS('발전사업(A)'!I:I, '발전사업(A)'!C:C, $E$1, '발전사업(A)'!G:G, B63, '발전사업(A)'!X:X, B67, '발전사업(A)'!U:U, $C$1),
    SUMIFS('자가소비(B)'!I:I, '자가소비(B)'!C:C, $E$1, '자가소비(B)'!G:G, B63, '자가소비(B)'!X:X, B67, '자가소비(B)'!U:U, $C$1),
    SUMIFS('PPA 사업(C)'!I:I, 'PPA 사업(C)'!C:C, $E$1, 'PPA 사업(C)'!G:G, B63, 'PPA 사업(C)'!X:X, B67, 'PPA 사업(C)'!U:U, $C$1),
    SUMIFS('리스사업(D)'!I:I, '리스사업(D)'!C:C, $E$1, '리스사업(D)'!G:G, B63, '리스사업(D)'!X:X, B67, '리스사업(D)'!U:U, $C$1),
    SUMIFS('임대사업(E)'!I:I, '임대사업(E)'!C:C, $E$1, '임대사업(E)'!G:G, B63, '임대사업(E)'!X:X, B67, '임대사업(E)'!U:U, $C$1),
    SUMIFS('환경부사업(F)'!I:I, '환경부사업(F)'!C:C, $E$1, '환경부사업(F)'!G:G, B63, '환경부사업(F)'!X:X, B67, '환경부사업(F)'!U:U, $C$1),
    SUMIFS('프로젝트(G)'!I:I, '프로젝트(G)'!C:C, $E$1, '프로젝트(G)'!G:G, B63, '프로젝트(G)'!X:X, B67, '프로젝트(G)'!U:U, $C$1),
    SUMIFS('협력사 EPC(H)'!I:I, '협력사 EPC(H)'!C:C, $E$1, '협력사 EPC(H)'!G:G, B63, '협력사 EPC(H)'!X:X, B67, '협력사 EPC(H)'!U:U, $C$1),
    SUMIFS('기타(Z)'!I:I, '기타(Z)'!C:C, $E$1, '기타(Z)'!G:G, B63, '기타(Z)'!X:X, B67, '기타(Z)'!U:U, $C$1)
  ) = 0,
  "",
  SUM(
    SUMIFS('발전사업(A)'!I:I, '발전사업(A)'!C:C, $E$1, '발전사업(A)'!G:G, B63, '발전사업(A)'!X:X, B67, '발전사업(A)'!U:U, $C$1),
    SUMIFS('자가소비(B)'!I:I, '자가소비(B)'!C:C, $E$1, '자가소비(B)'!G:G, B63, '자가소비(B)'!X:X, B67, '자가소비(B)'!U:U, $C$1),
    SUMIFS('PPA 사업(C)'!I:I, 'PPA 사업(C)'!C:C, $E$1, 'PPA 사업(C)'!G:G, B63, 'PPA 사업(C)'!X:X, B67, 'PPA 사업(C)'!U:U, $C$1),
    SUMIFS('리스사업(D)'!I:I, '리스사업(D)'!C:C, $E$1, '리스사업(D)'!G:G, B63, '리스사업(D)'!X:X, B67, '리스사업(D)'!U:U, $C$1),
    SUMIFS('임대사업(E)'!I:I, '임대사업(E)'!C:C, $E$1, '임대사업(E)'!G:G, B63, '임대사업(E)'!X:X, B67, '임대사업(E)'!U:U, $C$1),
    SUMIFS('환경부사업(F)'!I:I, '환경부사업(F)'!C:C, $E$1, '환경부사업(F)'!G:G, B63, '환경부사업(F)'!X:X, B67, '환경부사업(F)'!U:U, $C$1),
    SUMIFS('프로젝트(G)'!I:I, '프로젝트(G)'!C:C, $E$1, '프로젝트(G)'!G:G, B63, '프로젝트(G)'!X:X, B67, '프로젝트(G)'!U:U, $C$1),
    SUMIFS('협력사 EPC(H)'!I:I, '협력사 EPC(H)'!C:C, $E$1, '협력사 EPC(H)'!G:G, B63, '협력사 EPC(H)'!X:X, B67, '협력사 EPC(H)'!U:U, $C$1),
    SUMIFS('기타(Z)'!I:I, '기타(Z)'!C:C, $E$1, '기타(Z)'!G:G, B63, '기타(Z)'!X:X, B67, '기타(Z)'!U:U, $C$1)
  )
)</f>
        <v/>
      </c>
      <c r="F67" s="263" t="str">
        <f>IF(
  SUM(
    COUNTIFS('발전사업(A)'!C:C, $E$1, '발전사업(A)'!G:G, B63, '발전사업(A)'!X:X, B67, '발전사업(A)'!U:U, $C$1),
    COUNTIFS('자가소비(B)'!C:C, $E$1, '자가소비(B)'!G:G, B63, '자가소비(B)'!X:X, B67, '자가소비(B)'!U:U, $C$1),
    COUNTIFS('PPA 사업(C)'!C:C, $E$1, 'PPA 사업(C)'!G:G, B63, 'PPA 사업(C)'!X:X, B67, 'PPA 사업(C)'!U:U, $C$1),
    COUNTIFS('리스사업(D)'!C:C, $E$1, '리스사업(D)'!G:G, B63, '리스사업(D)'!X:X, B67, '리스사업(D)'!U:U, $C$1),
    COUNTIFS('임대사업(E)'!C:C, $E$1, '임대사업(E)'!G:G, B63, '임대사업(E)'!X:X, B67, '임대사업(E)'!U:U, $C$1),
    COUNTIFS('환경부사업(F)'!C:C, $E$1, '환경부사업(F)'!G:G, B63, '환경부사업(F)'!X:X, B67, '환경부사업(F)'!U:U, $C$1),
    COUNTIFS('프로젝트(G)'!C:C, $E$1, '프로젝트(G)'!G:G, B63, '프로젝트(G)'!X:X, B67, '프로젝트(G)'!U:U, $C$1),
    COUNTIFS('협력사 EPC(H)'!C:C, $E$1, '협력사 EPC(H)'!G:G, B63, '협력사 EPC(H)'!X:X, B67, '협력사 EPC(H)'!U:U, $C$1),
    COUNTIFS('기타(Z)'!C:C, $E$1, '기타(Z)'!G:G, B63, '기타(Z)'!X:X, B67, '기타(Z)'!U:U, $C$1)
  ) = 0,
  "",
  SUM(
    COUNTIFS('발전사업(A)'!C:C, $E$1, '발전사업(A)'!G:G, B63, '발전사업(A)'!X:X, B67, '발전사업(A)'!U:U, $C$1),
    COUNTIFS('자가소비(B)'!C:C, $E$1, '자가소비(B)'!G:G, B63, '자가소비(B)'!X:X, B67, '자가소비(B)'!U:U, $C$1),
    COUNTIFS('PPA 사업(C)'!C:C, $E$1, 'PPA 사업(C)'!G:G, B63, 'PPA 사업(C)'!X:X, B67, 'PPA 사업(C)'!U:U, $C$1),
    COUNTIFS('리스사업(D)'!C:C, $E$1, '리스사업(D)'!G:G, B63, '리스사업(D)'!X:X, B67, '리스사업(D)'!U:U, $C$1),
    COUNTIFS('임대사업(E)'!C:C, $E$1, '임대사업(E)'!G:G, B63, '임대사업(E)'!X:X, B67, '임대사업(E)'!U:U, $C$1),
    COUNTIFS('환경부사업(F)'!C:C, $E$1, '환경부사업(F)'!G:G, B63, '환경부사업(F)'!X:X, B67, '환경부사업(F)'!U:U, $C$1),
    COUNTIFS('프로젝트(G)'!C:C, $E$1, '프로젝트(G)'!G:G, B63, '프로젝트(G)'!X:X, B67, '프로젝트(G)'!U:U, $C$1),
    COUNTIFS('협력사 EPC(H)'!C:C, $E$1, '협력사 EPC(H)'!G:G, B63, '협력사 EPC(H)'!X:X, B67, '협력사 EPC(H)'!U:U, $C$1),
    COUNTIFS('기타(Z)'!C:C, $E$1, '기타(Z)'!G:G, B63, '기타(Z)'!X:X, B67, '기타(Z)'!U:U, $C$1)
  )
)</f>
        <v/>
      </c>
      <c r="G67" s="262" t="str">
        <f>IF(
  SUM(
    SUMIFS('발전사업(A)'!I:I, '발전사업(A)'!C:C, $E$1, '발전사업(A)'!G:G, B63, '발전사업(A)'!X:X, B67, '발전사업(A)'!U:U, $D$1),
    SUMIFS('자가소비(B)'!I:I, '자가소비(B)'!C:C, $E$1, '자가소비(B)'!G:G, B63, '자가소비(B)'!X:X, B67, '자가소비(B)'!U:U, $D$1),
    SUMIFS('PPA 사업(C)'!I:I, 'PPA 사업(C)'!C:C, $E$1, 'PPA 사업(C)'!G:G, B63, 'PPA 사업(C)'!X:X, B67, 'PPA 사업(C)'!U:U, $D$1),
    SUMIFS('리스사업(D)'!I:I, '리스사업(D)'!C:C, $E$1, '리스사업(D)'!G:G, B63, '리스사업(D)'!X:X, B67, '리스사업(D)'!U:U, $D$1),
    SUMIFS('임대사업(E)'!I:I, '임대사업(E)'!C:C, $E$1, '임대사업(E)'!G:G, B63, '임대사업(E)'!X:X, B67, '임대사업(E)'!U:U, $D$1),
    SUMIFS('환경부사업(F)'!I:I, '환경부사업(F)'!C:C, $E$1, '환경부사업(F)'!G:G, B63, '환경부사업(F)'!X:X, B67, '환경부사업(F)'!U:U, $D$1),
    SUMIFS('프로젝트(G)'!I:I, '프로젝트(G)'!C:C, $E$1, '프로젝트(G)'!G:G, B63, '프로젝트(G)'!X:X, B67, '프로젝트(G)'!U:U, $D$1),
    SUMIFS('협력사 EPC(H)'!I:I, '협력사 EPC(H)'!C:C, $E$1, '협력사 EPC(H)'!G:G, B63, '협력사 EPC(H)'!X:X, B67, '협력사 EPC(H)'!U:U, $D$1),
    SUMIFS('기타(Z)'!I:I, '기타(Z)'!C:C, $E$1, '기타(Z)'!G:G, B63, '기타(Z)'!X:X, B67, '기타(Z)'!U:U, $D$1)
  ) = 0,
  "",
  SUM(
    SUMIFS('발전사업(A)'!I:I, '발전사업(A)'!C:C, $E$1, '발전사업(A)'!G:G, B63, '발전사업(A)'!X:X, B67, '발전사업(A)'!U:U, $D$1),
    SUMIFS('자가소비(B)'!I:I, '자가소비(B)'!C:C, $E$1, '자가소비(B)'!G:G, B63, '자가소비(B)'!X:X, B67, '자가소비(B)'!U:U, $D$1),
    SUMIFS('PPA 사업(C)'!I:I, 'PPA 사업(C)'!C:C, $E$1, 'PPA 사업(C)'!G:G, B63, 'PPA 사업(C)'!X:X, B67, 'PPA 사업(C)'!U:U, $D$1),
    SUMIFS('리스사업(D)'!I:I, '리스사업(D)'!C:C, $E$1, '리스사업(D)'!G:G, B63, '리스사업(D)'!X:X, B67, '리스사업(D)'!U:U, $D$1),
    SUMIFS('임대사업(E)'!I:I, '임대사업(E)'!C:C, $E$1, '임대사업(E)'!G:G, B63, '임대사업(E)'!X:X, B67, '임대사업(E)'!U:U, $D$1),
    SUMIFS('환경부사업(F)'!I:I, '환경부사업(F)'!C:C, $E$1, '환경부사업(F)'!G:G, B63, '환경부사업(F)'!X:X, B67, '환경부사업(F)'!U:U, $D$1),
    SUMIFS('프로젝트(G)'!I:I, '프로젝트(G)'!C:C, $E$1, '프로젝트(G)'!G:G, B63, '프로젝트(G)'!X:X, B67, '프로젝트(G)'!U:U, $D$1),
    SUMIFS('협력사 EPC(H)'!I:I, '협력사 EPC(H)'!C:C, $E$1, '협력사 EPC(H)'!G:G, B63, '협력사 EPC(H)'!X:X, B67, '협력사 EPC(H)'!U:U, $D$1),
    SUMIFS('기타(Z)'!I:I, '기타(Z)'!C:C, $E$1, '기타(Z)'!G:G, B63, '기타(Z)'!X:X, B67, '기타(Z)'!U:U, $D$1)
  )
)</f>
        <v/>
      </c>
      <c r="H67" s="263" t="str">
        <f>IF(
  (
    COUNTIFS('발전사업(A)'!C:C, $E$1, '발전사업(A)'!G:G, B63, '발전사업(A)'!X:X, B67, '발전사업(A)'!U:U, $D$1)
    + COUNTIFS('자가소비(B)'!C:C, $E$1, '자가소비(B)'!G:G, B63, '자가소비(B)'!X:X, B67, '자가소비(B)'!U:U, $D$1)
    + COUNTIFS('PPA 사업(C)'!C:C, $E$1, 'PPA 사업(C)'!G:G, B63, 'PPA 사업(C)'!X:X, B67, 'PPA 사업(C)'!U:U, $D$1)
    + COUNTIFS('리스사업(D)'!C:C, $E$1, '리스사업(D)'!G:G, B63, '리스사업(D)'!X:X, B67, '리스사업(D)'!U:U, $D$1)
    + COUNTIFS('임대사업(E)'!C:C, $E$1, '임대사업(E)'!G:G, B63, '임대사업(E)'!X:X, B67, '임대사업(E)'!U:U, $D$1)
    + COUNTIFS('환경부사업(F)'!C:C, $E$1, '환경부사업(F)'!G:G, B63, '환경부사업(F)'!X:X, B67, '환경부사업(F)'!U:U, $D$1)
    + COUNTIFS('프로젝트(G)'!C:C, $E$1, '프로젝트(G)'!G:G, B63, '프로젝트(G)'!X:X, B67, '프로젝트(G)'!U:U, $D$1)
    + COUNTIFS('협력사 EPC(H)'!C:C, $E$1, '협력사 EPC(H)'!G:G, B63, '협력사 EPC(H)'!X:X, B67, '협력사 EPC(H)'!U:U, $D$1)
    + COUNTIFS('기타(Z)'!C:C, $E$1, '기타(Z)'!G:G, B63, '기타(Z)'!X:X, B67, '기타(Z)'!U:U, $D$1)
  ) = 0,
  "",
  COUNTIFS('발전사업(A)'!C:C, $E$1, '발전사업(A)'!G:G, B63, '발전사업(A)'!X:X, B67, '발전사업(A)'!U:U, $D$1)
  + COUNTIFS('자가소비(B)'!C:C, $E$1, '자가소비(B)'!G:G, B63, '자가소비(B)'!X:X, B67, '자가소비(B)'!U:U, $D$1)
  + COUNTIFS('PPA 사업(C)'!C:C, $E$1, 'PPA 사업(C)'!G:G, B63, 'PPA 사업(C)'!X:X, B67, 'PPA 사업(C)'!U:U, $D$1)
  + COUNTIFS('리스사업(D)'!C:C, $E$1, '리스사업(D)'!G:G, B63, '리스사업(D)'!X:X, B67, '리스사업(D)'!U:U, $D$1)
  + COUNTIFS('임대사업(E)'!C:C, $E$1, '임대사업(E)'!G:G, B63, '임대사업(E)'!X:X, B67, '임대사업(E)'!U:U, $D$1)
  + COUNTIFS('환경부사업(F)'!C:C, $E$1, '환경부사업(F)'!G:G, B63, '환경부사업(F)'!X:X, B67, '환경부사업(F)'!U:U, $D$1)
  + COUNTIFS('프로젝트(G)'!C:C, $E$1, '프로젝트(G)'!G:G, B63, '프로젝트(G)'!X:X, B67, '프로젝트(G)'!U:U, $D$1)
  + COUNTIFS('협력사 EPC(H)'!C:C, $E$1, '협력사 EPC(H)'!G:G, B63, '협력사 EPC(H)'!X:X, B67, '협력사 EPC(H)'!U:U, $D$1)
  + COUNTIFS('기타(Z)'!C:C, $E$1, '기타(Z)'!G:G, B63, '기타(Z)'!X:X, B67, '기타(Z)'!U:U, $D$1)
)</f>
        <v/>
      </c>
    </row>
    <row r="68" spans="2:8" x14ac:dyDescent="0.25">
      <c r="B68" s="195" t="s">
        <v>155</v>
      </c>
      <c r="C68" s="262">
        <f>IF(
  SUM(
    SUMIFS('발전사업(A)'!I:I, '발전사업(A)'!C:C, $E$1, '발전사업(A)'!G:G, B63, '발전사업(A)'!X:X, B68),
    SUMIFS('자가소비(B)'!I:I, '자가소비(B)'!C:C, $E$1, '자가소비(B)'!G:G, B63, '자가소비(B)'!X:X, B68),
    SUMIFS('PPA 사업(C)'!I:I, 'PPA 사업(C)'!C:C, $E$1, 'PPA 사업(C)'!G:G, B63, 'PPA 사업(C)'!X:X, B68),
    SUMIFS('리스사업(D)'!I:I, '리스사업(D)'!C:C, $E$1, '리스사업(D)'!G:G, B63, '리스사업(D)'!X:X, B68),
    SUMIFS('임대사업(E)'!I:I, '임대사업(E)'!C:C, $E$1, '임대사업(E)'!G:G, B63, '임대사업(E)'!X:X, B68),
    SUMIFS('환경부사업(F)'!I:I, '환경부사업(F)'!C:C, $E$1, '환경부사업(F)'!G:G, B63, '환경부사업(F)'!X:X, B68),
    SUMIFS('프로젝트(G)'!I:I, '프로젝트(G)'!C:C, $E$1, '프로젝트(G)'!G:G, B63, '프로젝트(G)'!X:X, B68),
    SUMIFS('협력사 EPC(H)'!I:I, '협력사 EPC(H)'!C:C, $E$1, '협력사 EPC(H)'!G:G, B63, '협력사 EPC(H)'!X:X, B68),
    SUMIFS('기타(Z)'!I:I, '기타(Z)'!C:C, $E$1, '기타(Z)'!G:G, B63, '기타(Z)'!X:X, B68)
  ) = 0,
  "",
  SUMIFS('발전사업(A)'!I:I, '발전사업(A)'!C:C, $E$1, '발전사업(A)'!G:G, B63, '발전사업(A)'!X:X, B68)
  + SUMIFS('자가소비(B)'!I:I, '자가소비(B)'!C:C, $E$1, '자가소비(B)'!G:G, B63, '자가소비(B)'!X:X, B68)
  + SUMIFS('PPA 사업(C)'!I:I, 'PPA 사업(C)'!C:C, $E$1, 'PPA 사업(C)'!G:G, B63, 'PPA 사업(C)'!X:X, B68)
  + SUMIFS('리스사업(D)'!I:I, '리스사업(D)'!C:C, $E$1, '리스사업(D)'!G:G, B63, '리스사업(D)'!X:X, B68)
  + SUMIFS('임대사업(E)'!I:I, '임대사업(E)'!C:C, $E$1, '임대사업(E)'!G:G, B63, '임대사업(E)'!X:X, B68)
  + SUMIFS('환경부사업(F)'!I:I, '환경부사업(F)'!C:C, $E$1, '환경부사업(F)'!G:G, B63, '환경부사업(F)'!X:X, B68)
  + SUMIFS('프로젝트(G)'!I:I, '프로젝트(G)'!C:C, $E$1, '프로젝트(G)'!G:G, B63, '프로젝트(G)'!X:X, B68)
  + SUMIFS('협력사 EPC(H)'!I:I, '협력사 EPC(H)'!C:C, $E$1, '협력사 EPC(H)'!G:G, B63, '협력사 EPC(H)'!X:X, B68)
  + SUMIFS('기타(Z)'!I:I, '기타(Z)'!C:C, $E$1, '기타(Z)'!G:G, B63, '기타(Z)'!X:X, B68)
)</f>
        <v>49.664999999999999</v>
      </c>
      <c r="D68" s="263">
        <f>IF(
  COUNTIFS('발전사업(A)'!C:C, $E$1, '발전사업(A)'!G:G, B63, '발전사업(A)'!X:X, B68)
  + COUNTIFS('자가소비(B)'!C:C, $E$1, '자가소비(B)'!G:G, B63, '자가소비(B)'!X:X, B68)
  + COUNTIFS('PPA 사업(C)'!C:C, $E$1, 'PPA 사업(C)'!G:G, B63, 'PPA 사업(C)'!X:X, B68)
  + COUNTIFS('리스사업(D)'!C:C, $E$1, '리스사업(D)'!G:G, B63, '리스사업(D)'!X:X, B68)
  + COUNTIFS('임대사업(E)'!C:C, $E$1, '임대사업(E)'!G:G, B63, '임대사업(E)'!X:X, B68)
  + COUNTIFS('환경부사업(F)'!C:C, $E$1, '환경부사업(F)'!G:G, B63, '환경부사업(F)'!X:X, B68)
  + COUNTIFS('프로젝트(G)'!C:C, $E$1, '프로젝트(G)'!G:G, B63, '프로젝트(G)'!X:X, B68)
  + COUNTIFS('협력사 EPC(H)'!C:C, $E$1, '협력사 EPC(H)'!G:G, B63, '협력사 EPC(H)'!X:X, B68)
  + COUNTIFS('기타(Z)'!C:C, $E$1, '기타(Z)'!G:G, B63, '기타(Z)'!X:X, B68)
  = 0,
  "",
  COUNTIFS('발전사업(A)'!C:C, $E$1, '발전사업(A)'!G:G, B63, '발전사업(A)'!X:X, B68)
  + COUNTIFS('자가소비(B)'!C:C, $E$1, '자가소비(B)'!G:G, B63, '자가소비(B)'!X:X, B68)
  + COUNTIFS('PPA 사업(C)'!C:C, $E$1, 'PPA 사업(C)'!G:G, B63, 'PPA 사업(C)'!X:X, B68)
  + COUNTIFS('리스사업(D)'!C:C, $E$1, '리스사업(D)'!G:G, B63, '리스사업(D)'!X:X, B68)
  + COUNTIFS('임대사업(E)'!C:C, $E$1, '임대사업(E)'!G:G, B63, '임대사업(E)'!X:X, B68)
  + COUNTIFS('환경부사업(F)'!C:C, $E$1, '환경부사업(F)'!G:G, B63, '환경부사업(F)'!X:X, B68)
  + COUNTIFS('프로젝트(G)'!C:C, $E$1, '프로젝트(G)'!G:G, B63, '프로젝트(G)'!X:X, B68)
  + COUNTIFS('협력사 EPC(H)'!C:C, $E$1, '협력사 EPC(H)'!G:G, B63, '협력사 EPC(H)'!X:X, B68)
  + COUNTIFS('기타(Z)'!C:C, $E$1, '기타(Z)'!G:G, B63, '기타(Z)'!X:X, B68)
)</f>
        <v>1</v>
      </c>
      <c r="E68" s="262">
        <f>IF(
  SUM(
    SUMIFS('발전사업(A)'!I:I, '발전사업(A)'!C:C, $E$1, '발전사업(A)'!G:G, B63, '발전사업(A)'!X:X, B68, '발전사업(A)'!U:U, $C$1),
    SUMIFS('자가소비(B)'!I:I, '자가소비(B)'!C:C, $E$1, '자가소비(B)'!G:G, B63, '자가소비(B)'!X:X, B68, '자가소비(B)'!U:U, $C$1),
    SUMIFS('PPA 사업(C)'!I:I, 'PPA 사업(C)'!C:C, $E$1, 'PPA 사업(C)'!G:G, B63, 'PPA 사업(C)'!X:X, B68, 'PPA 사업(C)'!U:U, $C$1),
    SUMIFS('리스사업(D)'!I:I, '리스사업(D)'!C:C, $E$1, '리스사업(D)'!G:G, B63, '리스사업(D)'!X:X, B68, '리스사업(D)'!U:U, $C$1),
    SUMIFS('임대사업(E)'!I:I, '임대사업(E)'!C:C, $E$1, '임대사업(E)'!G:G, B63, '임대사업(E)'!X:X, B68, '임대사업(E)'!U:U, $C$1),
    SUMIFS('환경부사업(F)'!I:I, '환경부사업(F)'!C:C, $E$1, '환경부사업(F)'!G:G, B63, '환경부사업(F)'!X:X, B68, '환경부사업(F)'!U:U, $C$1),
    SUMIFS('프로젝트(G)'!I:I, '프로젝트(G)'!C:C, $E$1, '프로젝트(G)'!G:G, B63, '프로젝트(G)'!X:X, B68, '프로젝트(G)'!U:U, $C$1),
    SUMIFS('협력사 EPC(H)'!I:I, '협력사 EPC(H)'!C:C, $E$1, '협력사 EPC(H)'!G:G, B63, '협력사 EPC(H)'!X:X, B68, '협력사 EPC(H)'!U:U, $C$1),
    SUMIFS('기타(Z)'!I:I, '기타(Z)'!C:C, $E$1, '기타(Z)'!G:G, B63, '기타(Z)'!X:X, B68, '기타(Z)'!U:U, $C$1)
  ) = 0,
  "",
  SUM(
    SUMIFS('발전사업(A)'!I:I, '발전사업(A)'!C:C, $E$1, '발전사업(A)'!G:G, B63, '발전사업(A)'!X:X, B68, '발전사업(A)'!U:U, $C$1),
    SUMIFS('자가소비(B)'!I:I, '자가소비(B)'!C:C, $E$1, '자가소비(B)'!G:G, B63, '자가소비(B)'!X:X, B68, '자가소비(B)'!U:U, $C$1),
    SUMIFS('PPA 사업(C)'!I:I, 'PPA 사업(C)'!C:C, $E$1, 'PPA 사업(C)'!G:G, B63, 'PPA 사업(C)'!X:X, B68, 'PPA 사업(C)'!U:U, $C$1),
    SUMIFS('리스사업(D)'!I:I, '리스사업(D)'!C:C, $E$1, '리스사업(D)'!G:G, B63, '리스사업(D)'!X:X, B68, '리스사업(D)'!U:U, $C$1),
    SUMIFS('임대사업(E)'!I:I, '임대사업(E)'!C:C, $E$1, '임대사업(E)'!G:G, B63, '임대사업(E)'!X:X, B68, '임대사업(E)'!U:U, $C$1),
    SUMIFS('환경부사업(F)'!I:I, '환경부사업(F)'!C:C, $E$1, '환경부사업(F)'!G:G, B63, '환경부사업(F)'!X:X, B68, '환경부사업(F)'!U:U, $C$1),
    SUMIFS('프로젝트(G)'!I:I, '프로젝트(G)'!C:C, $E$1, '프로젝트(G)'!G:G, B63, '프로젝트(G)'!X:X, B68, '프로젝트(G)'!U:U, $C$1),
    SUMIFS('협력사 EPC(H)'!I:I, '협력사 EPC(H)'!C:C, $E$1, '협력사 EPC(H)'!G:G, B63, '협력사 EPC(H)'!X:X, B68, '협력사 EPC(H)'!U:U, $C$1),
    SUMIFS('기타(Z)'!I:I, '기타(Z)'!C:C, $E$1, '기타(Z)'!G:G, B63, '기타(Z)'!X:X, B68, '기타(Z)'!U:U, $C$1)
  )
)</f>
        <v>49.664999999999999</v>
      </c>
      <c r="F68" s="263">
        <f>IF(
  SUM(
    COUNTIFS('발전사업(A)'!C:C, $E$1, '발전사업(A)'!G:G, B63, '발전사업(A)'!X:X, B68, '발전사업(A)'!U:U, $C$1),
    COUNTIFS('자가소비(B)'!C:C, $E$1, '자가소비(B)'!G:G, B63, '자가소비(B)'!X:X, B68, '자가소비(B)'!U:U, $C$1),
    COUNTIFS('PPA 사업(C)'!C:C, $E$1, 'PPA 사업(C)'!G:G, B63, 'PPA 사업(C)'!X:X, B68, 'PPA 사업(C)'!U:U, $C$1),
    COUNTIFS('리스사업(D)'!C:C, $E$1, '리스사업(D)'!G:G, B63, '리스사업(D)'!X:X, B68, '리스사업(D)'!U:U, $C$1),
    COUNTIFS('임대사업(E)'!C:C, $E$1, '임대사업(E)'!G:G, B63, '임대사업(E)'!X:X, B68, '임대사업(E)'!U:U, $C$1),
    COUNTIFS('환경부사업(F)'!C:C, $E$1, '환경부사업(F)'!G:G, B63, '환경부사업(F)'!X:X, B68, '환경부사업(F)'!U:U, $C$1),
    COUNTIFS('프로젝트(G)'!C:C, $E$1, '프로젝트(G)'!G:G, B63, '프로젝트(G)'!X:X, B68, '프로젝트(G)'!U:U, $C$1),
    COUNTIFS('협력사 EPC(H)'!C:C, $E$1, '협력사 EPC(H)'!G:G, B63, '협력사 EPC(H)'!X:X, B68, '협력사 EPC(H)'!U:U, $C$1),
    COUNTIFS('기타(Z)'!C:C, $E$1, '기타(Z)'!G:G, B63, '기타(Z)'!X:X, B68, '기타(Z)'!U:U, $C$1)
  ) = 0,
  "",
  SUM(
    COUNTIFS('발전사업(A)'!C:C, $E$1, '발전사업(A)'!G:G, B63, '발전사업(A)'!X:X, B68, '발전사업(A)'!U:U, $C$1),
    COUNTIFS('자가소비(B)'!C:C, $E$1, '자가소비(B)'!G:G, B63, '자가소비(B)'!X:X, B68, '자가소비(B)'!U:U, $C$1),
    COUNTIFS('PPA 사업(C)'!C:C, $E$1, 'PPA 사업(C)'!G:G, B63, 'PPA 사업(C)'!X:X, B68, 'PPA 사업(C)'!U:U, $C$1),
    COUNTIFS('리스사업(D)'!C:C, $E$1, '리스사업(D)'!G:G, B63, '리스사업(D)'!X:X, B68, '리스사업(D)'!U:U, $C$1),
    COUNTIFS('임대사업(E)'!C:C, $E$1, '임대사업(E)'!G:G, B63, '임대사업(E)'!X:X, B68, '임대사업(E)'!U:U, $C$1),
    COUNTIFS('환경부사업(F)'!C:C, $E$1, '환경부사업(F)'!G:G, B63, '환경부사업(F)'!X:X, B68, '환경부사업(F)'!U:U, $C$1),
    COUNTIFS('프로젝트(G)'!C:C, $E$1, '프로젝트(G)'!G:G, B63, '프로젝트(G)'!X:X, B68, '프로젝트(G)'!U:U, $C$1),
    COUNTIFS('협력사 EPC(H)'!C:C, $E$1, '협력사 EPC(H)'!G:G, B63, '협력사 EPC(H)'!X:X, B68, '협력사 EPC(H)'!U:U, $C$1),
    COUNTIFS('기타(Z)'!C:C, $E$1, '기타(Z)'!G:G, B63, '기타(Z)'!X:X, B68, '기타(Z)'!U:U, $C$1)
  )
)</f>
        <v>1</v>
      </c>
      <c r="G68" s="262" t="str">
        <f>IF(
  SUM(
    SUMIFS('발전사업(A)'!I:I, '발전사업(A)'!C:C, $E$1, '발전사업(A)'!G:G, B63, '발전사업(A)'!X:X, B68, '발전사업(A)'!U:U, $D$1),
    SUMIFS('자가소비(B)'!I:I, '자가소비(B)'!C:C, $E$1, '자가소비(B)'!G:G, B63, '자가소비(B)'!X:X, B68, '자가소비(B)'!U:U, $D$1),
    SUMIFS('PPA 사업(C)'!I:I, 'PPA 사업(C)'!C:C, $E$1, 'PPA 사업(C)'!G:G, B63, 'PPA 사업(C)'!X:X, B68, 'PPA 사업(C)'!U:U, $D$1),
    SUMIFS('리스사업(D)'!I:I, '리스사업(D)'!C:C, $E$1, '리스사업(D)'!G:G, B63, '리스사업(D)'!X:X, B68, '리스사업(D)'!U:U, $D$1),
    SUMIFS('임대사업(E)'!I:I, '임대사업(E)'!C:C, $E$1, '임대사업(E)'!G:G, B63, '임대사업(E)'!X:X, B68, '임대사업(E)'!U:U, $D$1),
    SUMIFS('환경부사업(F)'!I:I, '환경부사업(F)'!C:C, $E$1, '환경부사업(F)'!G:G, B63, '환경부사업(F)'!X:X, B68, '환경부사업(F)'!U:U, $D$1),
    SUMIFS('프로젝트(G)'!I:I, '프로젝트(G)'!C:C, $E$1, '프로젝트(G)'!G:G, B63, '프로젝트(G)'!X:X, B68, '프로젝트(G)'!U:U, $D$1),
    SUMIFS('협력사 EPC(H)'!I:I, '협력사 EPC(H)'!C:C, $E$1, '협력사 EPC(H)'!G:G, B63, '협력사 EPC(H)'!X:X, B68, '협력사 EPC(H)'!U:U, $D$1),
    SUMIFS('기타(Z)'!I:I, '기타(Z)'!C:C, $E$1, '기타(Z)'!G:G, B63, '기타(Z)'!X:X, B68, '기타(Z)'!U:U, $D$1)
  ) = 0,
  "",
  SUM(
    SUMIFS('발전사업(A)'!I:I, '발전사업(A)'!C:C, $E$1, '발전사업(A)'!G:G, B63, '발전사업(A)'!X:X, B68, '발전사업(A)'!U:U, $D$1),
    SUMIFS('자가소비(B)'!I:I, '자가소비(B)'!C:C, $E$1, '자가소비(B)'!G:G, B63, '자가소비(B)'!X:X, B68, '자가소비(B)'!U:U, $D$1),
    SUMIFS('PPA 사업(C)'!I:I, 'PPA 사업(C)'!C:C, $E$1, 'PPA 사업(C)'!G:G, B63, 'PPA 사업(C)'!X:X, B68, 'PPA 사업(C)'!U:U, $D$1),
    SUMIFS('리스사업(D)'!I:I, '리스사업(D)'!C:C, $E$1, '리스사업(D)'!G:G, B63, '리스사업(D)'!X:X, B68, '리스사업(D)'!U:U, $D$1),
    SUMIFS('임대사업(E)'!I:I, '임대사업(E)'!C:C, $E$1, '임대사업(E)'!G:G, B63, '임대사업(E)'!X:X, B68, '임대사업(E)'!U:U, $D$1),
    SUMIFS('환경부사업(F)'!I:I, '환경부사업(F)'!C:C, $E$1, '환경부사업(F)'!G:G, B63, '환경부사업(F)'!X:X, B68, '환경부사업(F)'!U:U, $D$1),
    SUMIFS('프로젝트(G)'!I:I, '프로젝트(G)'!C:C, $E$1, '프로젝트(G)'!G:G, B63, '프로젝트(G)'!X:X, B68, '프로젝트(G)'!U:U, $D$1),
    SUMIFS('협력사 EPC(H)'!I:I, '협력사 EPC(H)'!C:C, $E$1, '협력사 EPC(H)'!G:G, B63, '협력사 EPC(H)'!X:X, B68, '협력사 EPC(H)'!U:U, $D$1),
    SUMIFS('기타(Z)'!I:I, '기타(Z)'!C:C, $E$1, '기타(Z)'!G:G, B63, '기타(Z)'!X:X, B68, '기타(Z)'!U:U, $D$1)
  )
)</f>
        <v/>
      </c>
      <c r="H68" s="263" t="str">
        <f>IF(
  (
    COUNTIFS('발전사업(A)'!C:C, $E$1, '발전사업(A)'!G:G, B63, '발전사업(A)'!X:X, B68, '발전사업(A)'!U:U, $D$1)
    + COUNTIFS('자가소비(B)'!C:C, $E$1, '자가소비(B)'!G:G, B63, '자가소비(B)'!X:X, B68, '자가소비(B)'!U:U, $D$1)
    + COUNTIFS('PPA 사업(C)'!C:C, $E$1, 'PPA 사업(C)'!G:G, B63, 'PPA 사업(C)'!X:X, B68, 'PPA 사업(C)'!U:U, $D$1)
    + COUNTIFS('리스사업(D)'!C:C, $E$1, '리스사업(D)'!G:G, B63, '리스사업(D)'!X:X, B68, '리스사업(D)'!U:U, $D$1)
    + COUNTIFS('임대사업(E)'!C:C, $E$1, '임대사업(E)'!G:G, B63, '임대사업(E)'!X:X, B68, '임대사업(E)'!U:U, $D$1)
    + COUNTIFS('환경부사업(F)'!C:C, $E$1, '환경부사업(F)'!G:G, B63, '환경부사업(F)'!X:X, B68, '환경부사업(F)'!U:U, $D$1)
    + COUNTIFS('프로젝트(G)'!C:C, $E$1, '프로젝트(G)'!G:G, B63, '프로젝트(G)'!X:X, B68, '프로젝트(G)'!U:U, $D$1)
    + COUNTIFS('협력사 EPC(H)'!C:C, $E$1, '협력사 EPC(H)'!G:G, B63, '협력사 EPC(H)'!X:X, B68, '협력사 EPC(H)'!U:U, $D$1)
    + COUNTIFS('기타(Z)'!C:C, $E$1, '기타(Z)'!G:G, B63, '기타(Z)'!X:X, B68, '기타(Z)'!U:U, $D$1)
  ) = 0,
  "",
  COUNTIFS('발전사업(A)'!C:C, $E$1, '발전사업(A)'!G:G, B63, '발전사업(A)'!X:X, B68, '발전사업(A)'!U:U, $D$1)
  + COUNTIFS('자가소비(B)'!C:C, $E$1, '자가소비(B)'!G:G, B63, '자가소비(B)'!X:X, B68, '자가소비(B)'!U:U, $D$1)
  + COUNTIFS('PPA 사업(C)'!C:C, $E$1, 'PPA 사업(C)'!G:G, B63, 'PPA 사업(C)'!X:X, B68, 'PPA 사업(C)'!U:U, $D$1)
  + COUNTIFS('리스사업(D)'!C:C, $E$1, '리스사업(D)'!G:G, B63, '리스사업(D)'!X:X, B68, '리스사업(D)'!U:U, $D$1)
  + COUNTIFS('임대사업(E)'!C:C, $E$1, '임대사업(E)'!G:G, B63, '임대사업(E)'!X:X, B68, '임대사업(E)'!U:U, $D$1)
  + COUNTIFS('환경부사업(F)'!C:C, $E$1, '환경부사업(F)'!G:G, B63, '환경부사업(F)'!X:X, B68, '환경부사업(F)'!U:U, $D$1)
  + COUNTIFS('프로젝트(G)'!C:C, $E$1, '프로젝트(G)'!G:G, B63, '프로젝트(G)'!X:X, B68, '프로젝트(G)'!U:U, $D$1)
  + COUNTIFS('협력사 EPC(H)'!C:C, $E$1, '협력사 EPC(H)'!G:G, B63, '협력사 EPC(H)'!X:X, B68, '협력사 EPC(H)'!U:U, $D$1)
  + COUNTIFS('기타(Z)'!C:C, $E$1, '기타(Z)'!G:G, B63, '기타(Z)'!X:X, B68, '기타(Z)'!U:U, $D$1)
)</f>
        <v/>
      </c>
    </row>
    <row r="69" spans="2:8" x14ac:dyDescent="0.25">
      <c r="B69" s="195" t="s">
        <v>156</v>
      </c>
      <c r="C69" s="262" t="str">
        <f>IF(
  SUM(
    SUMIFS('발전사업(A)'!I:I, '발전사업(A)'!C:C, $E$1, '발전사업(A)'!G:G, B63, '발전사업(A)'!X:X, B69),
    SUMIFS('자가소비(B)'!I:I, '자가소비(B)'!C:C, $E$1, '자가소비(B)'!G:G, B63, '자가소비(B)'!X:X, B69),
    SUMIFS('PPA 사업(C)'!I:I, 'PPA 사업(C)'!C:C, $E$1, 'PPA 사업(C)'!G:G, B63, 'PPA 사업(C)'!X:X, B69),
    SUMIFS('리스사업(D)'!I:I, '리스사업(D)'!C:C, $E$1, '리스사업(D)'!G:G, B63, '리스사업(D)'!X:X, B69),
    SUMIFS('임대사업(E)'!I:I, '임대사업(E)'!C:C, $E$1, '임대사업(E)'!G:G, B63, '임대사업(E)'!X:X, B69),
    SUMIFS('환경부사업(F)'!I:I, '환경부사업(F)'!C:C, $E$1, '환경부사업(F)'!G:G, B63, '환경부사업(F)'!X:X, B69),
    SUMIFS('프로젝트(G)'!I:I, '프로젝트(G)'!C:C, $E$1, '프로젝트(G)'!G:G, B63, '프로젝트(G)'!X:X, B69),
    SUMIFS('협력사 EPC(H)'!I:I, '협력사 EPC(H)'!C:C, $E$1, '협력사 EPC(H)'!G:G, B63, '협력사 EPC(H)'!X:X, B69),
    SUMIFS('기타(Z)'!I:I, '기타(Z)'!C:C, $E$1, '기타(Z)'!G:G, B63, '기타(Z)'!X:X, B69)
  ) = 0,
  "",
  SUMIFS('발전사업(A)'!I:I, '발전사업(A)'!C:C, $E$1, '발전사업(A)'!G:G, B63, '발전사업(A)'!X:X, B69)
  + SUMIFS('자가소비(B)'!I:I, '자가소비(B)'!C:C, $E$1, '자가소비(B)'!G:G, B63, '자가소비(B)'!X:X, B69)
  + SUMIFS('PPA 사업(C)'!I:I, 'PPA 사업(C)'!C:C, $E$1, 'PPA 사업(C)'!G:G, B63, 'PPA 사업(C)'!X:X, B69)
  + SUMIFS('리스사업(D)'!I:I, '리스사업(D)'!C:C, $E$1, '리스사업(D)'!G:G, B63, '리스사업(D)'!X:X, B69)
  + SUMIFS('임대사업(E)'!I:I, '임대사업(E)'!C:C, $E$1, '임대사업(E)'!G:G, B63, '임대사업(E)'!X:X, B69)
  + SUMIFS('환경부사업(F)'!I:I, '환경부사업(F)'!C:C, $E$1, '환경부사업(F)'!G:G, B63, '환경부사업(F)'!X:X, B69)
  + SUMIFS('프로젝트(G)'!I:I, '프로젝트(G)'!C:C, $E$1, '프로젝트(G)'!G:G, B63, '프로젝트(G)'!X:X, B69)
  + SUMIFS('협력사 EPC(H)'!I:I, '협력사 EPC(H)'!C:C, $E$1, '협력사 EPC(H)'!G:G, B63, '협력사 EPC(H)'!X:X, B69)
  + SUMIFS('기타(Z)'!I:I, '기타(Z)'!C:C, $E$1, '기타(Z)'!G:G, B63, '기타(Z)'!X:X, B69)
)</f>
        <v/>
      </c>
      <c r="D69" s="263" t="str">
        <f>IF(
  COUNTIFS('발전사업(A)'!C:C, $E$1, '발전사업(A)'!G:G, B63, '발전사업(A)'!X:X, B69)
  + COUNTIFS('자가소비(B)'!C:C, $E$1, '자가소비(B)'!G:G, B63, '자가소비(B)'!X:X, B69)
  + COUNTIFS('PPA 사업(C)'!C:C, $E$1, 'PPA 사업(C)'!G:G, B63, 'PPA 사업(C)'!X:X, B69)
  + COUNTIFS('리스사업(D)'!C:C, $E$1, '리스사업(D)'!G:G, B63, '리스사업(D)'!X:X, B69)
  + COUNTIFS('임대사업(E)'!C:C, $E$1, '임대사업(E)'!G:G, B63, '임대사업(E)'!X:X, B69)
  + COUNTIFS('환경부사업(F)'!C:C, $E$1, '환경부사업(F)'!G:G, B63, '환경부사업(F)'!X:X, B69)
  + COUNTIFS('프로젝트(G)'!C:C, $E$1, '프로젝트(G)'!G:G, B63, '프로젝트(G)'!X:X, B69)
  + COUNTIFS('협력사 EPC(H)'!C:C, $E$1, '협력사 EPC(H)'!G:G, B63, '협력사 EPC(H)'!X:X, B69)
  + COUNTIFS('기타(Z)'!C:C, $E$1, '기타(Z)'!G:G, B63, '기타(Z)'!X:X, B69)
  = 0,
  "",
  COUNTIFS('발전사업(A)'!C:C, $E$1, '발전사업(A)'!G:G, B63, '발전사업(A)'!X:X, B69)
  + COUNTIFS('자가소비(B)'!C:C, $E$1, '자가소비(B)'!G:G, B63, '자가소비(B)'!X:X, B69)
  + COUNTIFS('PPA 사업(C)'!C:C, $E$1, 'PPA 사업(C)'!G:G, B63, 'PPA 사업(C)'!X:X, B69)
  + COUNTIFS('리스사업(D)'!C:C, $E$1, '리스사업(D)'!G:G, B63, '리스사업(D)'!X:X, B69)
  + COUNTIFS('임대사업(E)'!C:C, $E$1, '임대사업(E)'!G:G, B63, '임대사업(E)'!X:X, B69)
  + COUNTIFS('환경부사업(F)'!C:C, $E$1, '환경부사업(F)'!G:G, B63, '환경부사업(F)'!X:X, B69)
  + COUNTIFS('프로젝트(G)'!C:C, $E$1, '프로젝트(G)'!G:G, B63, '프로젝트(G)'!X:X, B69)
  + COUNTIFS('협력사 EPC(H)'!C:C, $E$1, '협력사 EPC(H)'!G:G, B63, '협력사 EPC(H)'!X:X, B69)
  + COUNTIFS('기타(Z)'!C:C, $E$1, '기타(Z)'!G:G, B63, '기타(Z)'!X:X, B69)
)</f>
        <v/>
      </c>
      <c r="E69" s="262" t="str">
        <f>IF(
  SUM(
    SUMIFS('발전사업(A)'!I:I, '발전사업(A)'!C:C, $E$1, '발전사업(A)'!G:G, B63, '발전사업(A)'!X:X, B69, '발전사업(A)'!U:U, $C$1),
    SUMIFS('자가소비(B)'!I:I, '자가소비(B)'!C:C, $E$1, '자가소비(B)'!G:G, B63, '자가소비(B)'!X:X, B69, '자가소비(B)'!U:U, $C$1),
    SUMIFS('PPA 사업(C)'!I:I, 'PPA 사업(C)'!C:C, $E$1, 'PPA 사업(C)'!G:G, B63, 'PPA 사업(C)'!X:X, B69, 'PPA 사업(C)'!U:U, $C$1),
    SUMIFS('리스사업(D)'!I:I, '리스사업(D)'!C:C, $E$1, '리스사업(D)'!G:G, B63, '리스사업(D)'!X:X, B69, '리스사업(D)'!U:U, $C$1),
    SUMIFS('임대사업(E)'!I:I, '임대사업(E)'!C:C, $E$1, '임대사업(E)'!G:G, B63, '임대사업(E)'!X:X, B69, '임대사업(E)'!U:U, $C$1),
    SUMIFS('환경부사업(F)'!I:I, '환경부사업(F)'!C:C, $E$1, '환경부사업(F)'!G:G, B63, '환경부사업(F)'!X:X, B69, '환경부사업(F)'!U:U, $C$1),
    SUMIFS('프로젝트(G)'!I:I, '프로젝트(G)'!C:C, $E$1, '프로젝트(G)'!G:G, B63, '프로젝트(G)'!X:X, B69, '프로젝트(G)'!U:U, $C$1),
    SUMIFS('협력사 EPC(H)'!I:I, '협력사 EPC(H)'!C:C, $E$1, '협력사 EPC(H)'!G:G, B63, '협력사 EPC(H)'!X:X, B69, '협력사 EPC(H)'!U:U, $C$1),
    SUMIFS('기타(Z)'!I:I, '기타(Z)'!C:C, $E$1, '기타(Z)'!G:G, B63, '기타(Z)'!X:X, B69, '기타(Z)'!U:U, $C$1)
  ) = 0,
  "",
  SUM(
    SUMIFS('발전사업(A)'!I:I, '발전사업(A)'!C:C, $E$1, '발전사업(A)'!G:G, B63, '발전사업(A)'!X:X, B69, '발전사업(A)'!U:U, $C$1),
    SUMIFS('자가소비(B)'!I:I, '자가소비(B)'!C:C, $E$1, '자가소비(B)'!G:G, B63, '자가소비(B)'!X:X, B69, '자가소비(B)'!U:U, $C$1),
    SUMIFS('PPA 사업(C)'!I:I, 'PPA 사업(C)'!C:C, $E$1, 'PPA 사업(C)'!G:G, B63, 'PPA 사업(C)'!X:X, B69, 'PPA 사업(C)'!U:U, $C$1),
    SUMIFS('리스사업(D)'!I:I, '리스사업(D)'!C:C, $E$1, '리스사업(D)'!G:G, B63, '리스사업(D)'!X:X, B69, '리스사업(D)'!U:U, $C$1),
    SUMIFS('임대사업(E)'!I:I, '임대사업(E)'!C:C, $E$1, '임대사업(E)'!G:G, B63, '임대사업(E)'!X:X, B69, '임대사업(E)'!U:U, $C$1),
    SUMIFS('환경부사업(F)'!I:I, '환경부사업(F)'!C:C, $E$1, '환경부사업(F)'!G:G, B63, '환경부사업(F)'!X:X, B69, '환경부사업(F)'!U:U, $C$1),
    SUMIFS('프로젝트(G)'!I:I, '프로젝트(G)'!C:C, $E$1, '프로젝트(G)'!G:G, B63, '프로젝트(G)'!X:X, B69, '프로젝트(G)'!U:U, $C$1),
    SUMIFS('협력사 EPC(H)'!I:I, '협력사 EPC(H)'!C:C, $E$1, '협력사 EPC(H)'!G:G, B63, '협력사 EPC(H)'!X:X, B69, '협력사 EPC(H)'!U:U, $C$1),
    SUMIFS('기타(Z)'!I:I, '기타(Z)'!C:C, $E$1, '기타(Z)'!G:G, B63, '기타(Z)'!X:X, B69, '기타(Z)'!U:U, $C$1)
  )
)</f>
        <v/>
      </c>
      <c r="F69" s="263" t="str">
        <f>IF(
  SUM(
    COUNTIFS('발전사업(A)'!C:C, $E$1, '발전사업(A)'!G:G, B63, '발전사업(A)'!X:X, B69, '발전사업(A)'!U:U, $C$1),
    COUNTIFS('자가소비(B)'!C:C, $E$1, '자가소비(B)'!G:G, B63, '자가소비(B)'!X:X, B69, '자가소비(B)'!U:U, $C$1),
    COUNTIFS('PPA 사업(C)'!C:C, $E$1, 'PPA 사업(C)'!G:G, B63, 'PPA 사업(C)'!X:X, B69, 'PPA 사업(C)'!U:U, $C$1),
    COUNTIFS('리스사업(D)'!C:C, $E$1, '리스사업(D)'!G:G, B63, '리스사업(D)'!X:X, B69, '리스사업(D)'!U:U, $C$1),
    COUNTIFS('임대사업(E)'!C:C, $E$1, '임대사업(E)'!G:G, B63, '임대사업(E)'!X:X, B69, '임대사업(E)'!U:U, $C$1),
    COUNTIFS('환경부사업(F)'!C:C, $E$1, '환경부사업(F)'!G:G, B63, '환경부사업(F)'!X:X, B69, '환경부사업(F)'!U:U, $C$1),
    COUNTIFS('프로젝트(G)'!C:C, $E$1, '프로젝트(G)'!G:G, B63, '프로젝트(G)'!X:X, B69, '프로젝트(G)'!U:U, $C$1),
    COUNTIFS('협력사 EPC(H)'!C:C, $E$1, '협력사 EPC(H)'!G:G, B63, '협력사 EPC(H)'!X:X, B69, '협력사 EPC(H)'!U:U, $C$1),
    COUNTIFS('기타(Z)'!C:C, $E$1, '기타(Z)'!G:G, B63, '기타(Z)'!X:X, B69, '기타(Z)'!U:U, $C$1)
  ) = 0,
  "",
  SUM(
    COUNTIFS('발전사업(A)'!C:C, $E$1, '발전사업(A)'!G:G, B63, '발전사업(A)'!X:X, B69, '발전사업(A)'!U:U, $C$1),
    COUNTIFS('자가소비(B)'!C:C, $E$1, '자가소비(B)'!G:G, B63, '자가소비(B)'!X:X, B69, '자가소비(B)'!U:U, $C$1),
    COUNTIFS('PPA 사업(C)'!C:C, $E$1, 'PPA 사업(C)'!G:G, B63, 'PPA 사업(C)'!X:X, B69, 'PPA 사업(C)'!U:U, $C$1),
    COUNTIFS('리스사업(D)'!C:C, $E$1, '리스사업(D)'!G:G, B63, '리스사업(D)'!X:X, B69, '리스사업(D)'!U:U, $C$1),
    COUNTIFS('임대사업(E)'!C:C, $E$1, '임대사업(E)'!G:G, B63, '임대사업(E)'!X:X, B69, '임대사업(E)'!U:U, $C$1),
    COUNTIFS('환경부사업(F)'!C:C, $E$1, '환경부사업(F)'!G:G, B63, '환경부사업(F)'!X:X, B69, '환경부사업(F)'!U:U, $C$1),
    COUNTIFS('프로젝트(G)'!C:C, $E$1, '프로젝트(G)'!G:G, B63, '프로젝트(G)'!X:X, B69, '프로젝트(G)'!U:U, $C$1),
    COUNTIFS('협력사 EPC(H)'!C:C, $E$1, '협력사 EPC(H)'!G:G, B63, '협력사 EPC(H)'!X:X, B69, '협력사 EPC(H)'!U:U, $C$1),
    COUNTIFS('기타(Z)'!C:C, $E$1, '기타(Z)'!G:G, B63, '기타(Z)'!X:X, B69, '기타(Z)'!U:U, $C$1)
  )
)</f>
        <v/>
      </c>
      <c r="G69" s="262" t="str">
        <f>IF(
  SUM(
    SUMIFS('발전사업(A)'!I:I, '발전사업(A)'!C:C, $E$1, '발전사업(A)'!G:G, B63, '발전사업(A)'!X:X, B69, '발전사업(A)'!U:U, $D$1),
    SUMIFS('자가소비(B)'!I:I, '자가소비(B)'!C:C, $E$1, '자가소비(B)'!G:G, B63, '자가소비(B)'!X:X, B69, '자가소비(B)'!U:U, $D$1),
    SUMIFS('PPA 사업(C)'!I:I, 'PPA 사업(C)'!C:C, $E$1, 'PPA 사업(C)'!G:G, B63, 'PPA 사업(C)'!X:X, B69, 'PPA 사업(C)'!U:U, $D$1),
    SUMIFS('리스사업(D)'!I:I, '리스사업(D)'!C:C, $E$1, '리스사업(D)'!G:G, B63, '리스사업(D)'!X:X, B69, '리스사업(D)'!U:U, $D$1),
    SUMIFS('임대사업(E)'!I:I, '임대사업(E)'!C:C, $E$1, '임대사업(E)'!G:G, B63, '임대사업(E)'!X:X, B69, '임대사업(E)'!U:U, $D$1),
    SUMIFS('환경부사업(F)'!I:I, '환경부사업(F)'!C:C, $E$1, '환경부사업(F)'!G:G, B63, '환경부사업(F)'!X:X, B69, '환경부사업(F)'!U:U, $D$1),
    SUMIFS('프로젝트(G)'!I:I, '프로젝트(G)'!C:C, $E$1, '프로젝트(G)'!G:G, B63, '프로젝트(G)'!X:X, B69, '프로젝트(G)'!U:U, $D$1),
    SUMIFS('협력사 EPC(H)'!I:I, '협력사 EPC(H)'!C:C, $E$1, '협력사 EPC(H)'!G:G, B63, '협력사 EPC(H)'!X:X, B69, '협력사 EPC(H)'!U:U, $D$1),
    SUMIFS('기타(Z)'!I:I, '기타(Z)'!C:C, $E$1, '기타(Z)'!G:G, B63, '기타(Z)'!X:X, B69, '기타(Z)'!U:U, $D$1)
  ) = 0,
  "",
  SUM(
    SUMIFS('발전사업(A)'!I:I, '발전사업(A)'!C:C, $E$1, '발전사업(A)'!G:G, B63, '발전사업(A)'!X:X, B69, '발전사업(A)'!U:U, $D$1),
    SUMIFS('자가소비(B)'!I:I, '자가소비(B)'!C:C, $E$1, '자가소비(B)'!G:G, B63, '자가소비(B)'!X:X, B69, '자가소비(B)'!U:U, $D$1),
    SUMIFS('PPA 사업(C)'!I:I, 'PPA 사업(C)'!C:C, $E$1, 'PPA 사업(C)'!G:G, B63, 'PPA 사업(C)'!X:X, B69, 'PPA 사업(C)'!U:U, $D$1),
    SUMIFS('리스사업(D)'!I:I, '리스사업(D)'!C:C, $E$1, '리스사업(D)'!G:G, B63, '리스사업(D)'!X:X, B69, '리스사업(D)'!U:U, $D$1),
    SUMIFS('임대사업(E)'!I:I, '임대사업(E)'!C:C, $E$1, '임대사업(E)'!G:G, B63, '임대사업(E)'!X:X, B69, '임대사업(E)'!U:U, $D$1),
    SUMIFS('환경부사업(F)'!I:I, '환경부사업(F)'!C:C, $E$1, '환경부사업(F)'!G:G, B63, '환경부사업(F)'!X:X, B69, '환경부사업(F)'!U:U, $D$1),
    SUMIFS('프로젝트(G)'!I:I, '프로젝트(G)'!C:C, $E$1, '프로젝트(G)'!G:G, B63, '프로젝트(G)'!X:X, B69, '프로젝트(G)'!U:U, $D$1),
    SUMIFS('협력사 EPC(H)'!I:I, '협력사 EPC(H)'!C:C, $E$1, '협력사 EPC(H)'!G:G, B63, '협력사 EPC(H)'!X:X, B69, '협력사 EPC(H)'!U:U, $D$1),
    SUMIFS('기타(Z)'!I:I, '기타(Z)'!C:C, $E$1, '기타(Z)'!G:G, B63, '기타(Z)'!X:X, B69, '기타(Z)'!U:U, $D$1)
  )
)</f>
        <v/>
      </c>
      <c r="H69" s="263" t="str">
        <f>IF(
  (
    COUNTIFS('발전사업(A)'!C:C, $E$1, '발전사업(A)'!G:G, B63, '발전사업(A)'!X:X, B69, '발전사업(A)'!U:U, $D$1)
    + COUNTIFS('자가소비(B)'!C:C, $E$1, '자가소비(B)'!G:G, B63, '자가소비(B)'!X:X, B69, '자가소비(B)'!U:U, $D$1)
    + COUNTIFS('PPA 사업(C)'!C:C, $E$1, 'PPA 사업(C)'!G:G, B63, 'PPA 사업(C)'!X:X, B69, 'PPA 사업(C)'!U:U, $D$1)
    + COUNTIFS('리스사업(D)'!C:C, $E$1, '리스사업(D)'!G:G, B63, '리스사업(D)'!X:X, B69, '리스사업(D)'!U:U, $D$1)
    + COUNTIFS('임대사업(E)'!C:C, $E$1, '임대사업(E)'!G:G, B63, '임대사업(E)'!X:X, B69, '임대사업(E)'!U:U, $D$1)
    + COUNTIFS('환경부사업(F)'!C:C, $E$1, '환경부사업(F)'!G:G, B63, '환경부사업(F)'!X:X, B69, '환경부사업(F)'!U:U, $D$1)
    + COUNTIFS('프로젝트(G)'!C:C, $E$1, '프로젝트(G)'!G:G, B63, '프로젝트(G)'!X:X, B69, '프로젝트(G)'!U:U, $D$1)
    + COUNTIFS('협력사 EPC(H)'!C:C, $E$1, '협력사 EPC(H)'!G:G, B63, '협력사 EPC(H)'!X:X, B69, '협력사 EPC(H)'!U:U, $D$1)
    + COUNTIFS('기타(Z)'!C:C, $E$1, '기타(Z)'!G:G, B63, '기타(Z)'!X:X, B69, '기타(Z)'!U:U, $D$1)
  ) = 0,
  "",
  COUNTIFS('발전사업(A)'!C:C, $E$1, '발전사업(A)'!G:G, B63, '발전사업(A)'!X:X, B69, '발전사업(A)'!U:U, $D$1)
  + COUNTIFS('자가소비(B)'!C:C, $E$1, '자가소비(B)'!G:G, B63, '자가소비(B)'!X:X, B69, '자가소비(B)'!U:U, $D$1)
  + COUNTIFS('PPA 사업(C)'!C:C, $E$1, 'PPA 사업(C)'!G:G, B63, 'PPA 사업(C)'!X:X, B69, 'PPA 사업(C)'!U:U, $D$1)
  + COUNTIFS('리스사업(D)'!C:C, $E$1, '리스사업(D)'!G:G, B63, '리스사업(D)'!X:X, B69, '리스사업(D)'!U:U, $D$1)
  + COUNTIFS('임대사업(E)'!C:C, $E$1, '임대사업(E)'!G:G, B63, '임대사업(E)'!X:X, B69, '임대사업(E)'!U:U, $D$1)
  + COUNTIFS('환경부사업(F)'!C:C, $E$1, '환경부사업(F)'!G:G, B63, '환경부사업(F)'!X:X, B69, '환경부사업(F)'!U:U, $D$1)
  + COUNTIFS('프로젝트(G)'!C:C, $E$1, '프로젝트(G)'!G:G, B63, '프로젝트(G)'!X:X, B69, '프로젝트(G)'!U:U, $D$1)
  + COUNTIFS('협력사 EPC(H)'!C:C, $E$1, '협력사 EPC(H)'!G:G, B63, '협력사 EPC(H)'!X:X, B69, '협력사 EPC(H)'!U:U, $D$1)
  + COUNTIFS('기타(Z)'!C:C, $E$1, '기타(Z)'!G:G, B63, '기타(Z)'!X:X, B69, '기타(Z)'!U:U, $D$1)
)</f>
        <v/>
      </c>
    </row>
    <row r="70" spans="2:8" x14ac:dyDescent="0.25">
      <c r="B70" s="195" t="s">
        <v>157</v>
      </c>
      <c r="C70" s="262" t="str">
        <f>IF(
  SUM(
    SUMIFS('발전사업(A)'!I:I, '발전사업(A)'!C:C, $E$1, '발전사업(A)'!G:G, B63, '발전사업(A)'!X:X, B70),
    SUMIFS('자가소비(B)'!I:I, '자가소비(B)'!C:C, $E$1, '자가소비(B)'!G:G, B63, '자가소비(B)'!X:X, B70),
    SUMIFS('PPA 사업(C)'!I:I, 'PPA 사업(C)'!C:C, $E$1, 'PPA 사업(C)'!G:G, B63, 'PPA 사업(C)'!X:X, B70),
    SUMIFS('리스사업(D)'!I:I, '리스사업(D)'!C:C, $E$1, '리스사업(D)'!G:G, B63, '리스사업(D)'!X:X, B70),
    SUMIFS('임대사업(E)'!I:I, '임대사업(E)'!C:C, $E$1, '임대사업(E)'!G:G, B63, '임대사업(E)'!X:X, B70),
    SUMIFS('환경부사업(F)'!I:I, '환경부사업(F)'!C:C, $E$1, '환경부사업(F)'!G:G, B63, '환경부사업(F)'!X:X, B70),
    SUMIFS('프로젝트(G)'!I:I, '프로젝트(G)'!C:C, $E$1, '프로젝트(G)'!G:G, B63, '프로젝트(G)'!X:X, B70),
    SUMIFS('협력사 EPC(H)'!I:I, '협력사 EPC(H)'!C:C, $E$1, '협력사 EPC(H)'!G:G, B63, '협력사 EPC(H)'!X:X, B70),
    SUMIFS('기타(Z)'!I:I, '기타(Z)'!C:C, $E$1, '기타(Z)'!G:G, B63, '기타(Z)'!X:X, B70)
  ) = 0,
  "",
  SUMIFS('발전사업(A)'!I:I, '발전사업(A)'!C:C, $E$1, '발전사업(A)'!G:G, B63, '발전사업(A)'!X:X, B70)
  + SUMIFS('자가소비(B)'!I:I, '자가소비(B)'!C:C, $E$1, '자가소비(B)'!G:G, B63, '자가소비(B)'!X:X, B70)
  + SUMIFS('PPA 사업(C)'!I:I, 'PPA 사업(C)'!C:C, $E$1, 'PPA 사업(C)'!G:G, B63, 'PPA 사업(C)'!X:X, B70)
  + SUMIFS('리스사업(D)'!I:I, '리스사업(D)'!C:C, $E$1, '리스사업(D)'!G:G, B63, '리스사업(D)'!X:X, B70)
  + SUMIFS('임대사업(E)'!I:I, '임대사업(E)'!C:C, $E$1, '임대사업(E)'!G:G, B63, '임대사업(E)'!X:X, B70)
  + SUMIFS('환경부사업(F)'!I:I, '환경부사업(F)'!C:C, $E$1, '환경부사업(F)'!G:G, B63, '환경부사업(F)'!X:X, B70)
  + SUMIFS('프로젝트(G)'!I:I, '프로젝트(G)'!C:C, $E$1, '프로젝트(G)'!G:G, B63, '프로젝트(G)'!X:X, B70)
  + SUMIFS('협력사 EPC(H)'!I:I, '협력사 EPC(H)'!C:C, $E$1, '협력사 EPC(H)'!G:G, B63, '협력사 EPC(H)'!X:X, B70)
  + SUMIFS('기타(Z)'!I:I, '기타(Z)'!C:C, $E$1, '기타(Z)'!G:G, B63, '기타(Z)'!X:X, B70)
)</f>
        <v/>
      </c>
      <c r="D70" s="263" t="str">
        <f>IF(
  COUNTIFS('발전사업(A)'!C:C, $E$1, '발전사업(A)'!G:G, B63, '발전사업(A)'!X:X, B70)
  + COUNTIFS('자가소비(B)'!C:C, $E$1, '자가소비(B)'!G:G, B63, '자가소비(B)'!X:X, B70)
  + COUNTIFS('PPA 사업(C)'!C:C, $E$1, 'PPA 사업(C)'!G:G, B63, 'PPA 사업(C)'!X:X, B70)
  + COUNTIFS('리스사업(D)'!C:C, $E$1, '리스사업(D)'!G:G, B63, '리스사업(D)'!X:X, B70)
  + COUNTIFS('임대사업(E)'!C:C, $E$1, '임대사업(E)'!G:G, B63, '임대사업(E)'!X:X, B70)
  + COUNTIFS('환경부사업(F)'!C:C, $E$1, '환경부사업(F)'!G:G, B63, '환경부사업(F)'!X:X, B70)
  + COUNTIFS('프로젝트(G)'!C:C, $E$1, '프로젝트(G)'!G:G, B63, '프로젝트(G)'!X:X, B70)
  + COUNTIFS('협력사 EPC(H)'!C:C, $E$1, '협력사 EPC(H)'!G:G, B63, '협력사 EPC(H)'!X:X, B70)
  + COUNTIFS('기타(Z)'!C:C, $E$1, '기타(Z)'!G:G, B63, '기타(Z)'!X:X, B70)
  = 0,
  "",
  COUNTIFS('발전사업(A)'!C:C, $E$1, '발전사업(A)'!G:G, B63, '발전사업(A)'!X:X, B70)
  + COUNTIFS('자가소비(B)'!C:C, $E$1, '자가소비(B)'!G:G, B63, '자가소비(B)'!X:X, B70)
  + COUNTIFS('PPA 사업(C)'!C:C, $E$1, 'PPA 사업(C)'!G:G, B63, 'PPA 사업(C)'!X:X, B70)
  + COUNTIFS('리스사업(D)'!C:C, $E$1, '리스사업(D)'!G:G, B63, '리스사업(D)'!X:X, B70)
  + COUNTIFS('임대사업(E)'!C:C, $E$1, '임대사업(E)'!G:G, B63, '임대사업(E)'!X:X, B70)
  + COUNTIFS('환경부사업(F)'!C:C, $E$1, '환경부사업(F)'!G:G, B63, '환경부사업(F)'!X:X, B70)
  + COUNTIFS('프로젝트(G)'!C:C, $E$1, '프로젝트(G)'!G:G, B63, '프로젝트(G)'!X:X, B70)
  + COUNTIFS('협력사 EPC(H)'!C:C, $E$1, '협력사 EPC(H)'!G:G, B63, '협력사 EPC(H)'!X:X, B70)
  + COUNTIFS('기타(Z)'!C:C, $E$1, '기타(Z)'!G:G, B63, '기타(Z)'!X:X, B70)
)</f>
        <v/>
      </c>
      <c r="E70" s="262" t="str">
        <f>IF(
  SUM(
    SUMIFS('발전사업(A)'!I:I, '발전사업(A)'!C:C, $E$1, '발전사업(A)'!G:G, B63, '발전사업(A)'!X:X, B70, '발전사업(A)'!U:U, $C$1),
    SUMIFS('자가소비(B)'!I:I, '자가소비(B)'!C:C, $E$1, '자가소비(B)'!G:G, B63, '자가소비(B)'!X:X, B70, '자가소비(B)'!U:U, $C$1),
    SUMIFS('PPA 사업(C)'!I:I, 'PPA 사업(C)'!C:C, $E$1, 'PPA 사업(C)'!G:G, B63, 'PPA 사업(C)'!X:X, B70, 'PPA 사업(C)'!U:U, $C$1),
    SUMIFS('리스사업(D)'!I:I, '리스사업(D)'!C:C, $E$1, '리스사업(D)'!G:G, B63, '리스사업(D)'!X:X, B70, '리스사업(D)'!U:U, $C$1),
    SUMIFS('임대사업(E)'!I:I, '임대사업(E)'!C:C, $E$1, '임대사업(E)'!G:G, B63, '임대사업(E)'!X:X, B70, '임대사업(E)'!U:U, $C$1),
    SUMIFS('환경부사업(F)'!I:I, '환경부사업(F)'!C:C, $E$1, '환경부사업(F)'!G:G, B63, '환경부사업(F)'!X:X, B70, '환경부사업(F)'!U:U, $C$1),
    SUMIFS('프로젝트(G)'!I:I, '프로젝트(G)'!C:C, $E$1, '프로젝트(G)'!G:G, B63, '프로젝트(G)'!X:X, B70, '프로젝트(G)'!U:U, $C$1),
    SUMIFS('협력사 EPC(H)'!I:I, '협력사 EPC(H)'!C:C, $E$1, '협력사 EPC(H)'!G:G, B63, '협력사 EPC(H)'!X:X, B70, '협력사 EPC(H)'!U:U, $C$1),
    SUMIFS('기타(Z)'!I:I, '기타(Z)'!C:C, $E$1, '기타(Z)'!G:G, B63, '기타(Z)'!X:X, B70, '기타(Z)'!U:U, $C$1)
  ) = 0,
  "",
  SUM(
    SUMIFS('발전사업(A)'!I:I, '발전사업(A)'!C:C, $E$1, '발전사업(A)'!G:G, B63, '발전사업(A)'!X:X, B70, '발전사업(A)'!U:U, $C$1),
    SUMIFS('자가소비(B)'!I:I, '자가소비(B)'!C:C, $E$1, '자가소비(B)'!G:G, B63, '자가소비(B)'!X:X, B70, '자가소비(B)'!U:U, $C$1),
    SUMIFS('PPA 사업(C)'!I:I, 'PPA 사업(C)'!C:C, $E$1, 'PPA 사업(C)'!G:G, B63, 'PPA 사업(C)'!X:X, B70, 'PPA 사업(C)'!U:U, $C$1),
    SUMIFS('리스사업(D)'!I:I, '리스사업(D)'!C:C, $E$1, '리스사업(D)'!G:G, B63, '리스사업(D)'!X:X, B70, '리스사업(D)'!U:U, $C$1),
    SUMIFS('임대사업(E)'!I:I, '임대사업(E)'!C:C, $E$1, '임대사업(E)'!G:G, B63, '임대사업(E)'!X:X, B70, '임대사업(E)'!U:U, $C$1),
    SUMIFS('환경부사업(F)'!I:I, '환경부사업(F)'!C:C, $E$1, '환경부사업(F)'!G:G, B63, '환경부사업(F)'!X:X, B70, '환경부사업(F)'!U:U, $C$1),
    SUMIFS('프로젝트(G)'!I:I, '프로젝트(G)'!C:C, $E$1, '프로젝트(G)'!G:G, B63, '프로젝트(G)'!X:X, B70, '프로젝트(G)'!U:U, $C$1),
    SUMIFS('협력사 EPC(H)'!I:I, '협력사 EPC(H)'!C:C, $E$1, '협력사 EPC(H)'!G:G, B63, '협력사 EPC(H)'!X:X, B70, '협력사 EPC(H)'!U:U, $C$1),
    SUMIFS('기타(Z)'!I:I, '기타(Z)'!C:C, $E$1, '기타(Z)'!G:G, B63, '기타(Z)'!X:X, B70, '기타(Z)'!U:U, $C$1)
  )
)</f>
        <v/>
      </c>
      <c r="F70" s="263" t="str">
        <f>IF(
  SUM(
    COUNTIFS('발전사업(A)'!C:C, $E$1, '발전사업(A)'!G:G, B63, '발전사업(A)'!X:X, B70, '발전사업(A)'!U:U, $C$1),
    COUNTIFS('자가소비(B)'!C:C, $E$1, '자가소비(B)'!G:G, B63, '자가소비(B)'!X:X, B70, '자가소비(B)'!U:U, $C$1),
    COUNTIFS('PPA 사업(C)'!C:C, $E$1, 'PPA 사업(C)'!G:G, B63, 'PPA 사업(C)'!X:X, B70, 'PPA 사업(C)'!U:U, $C$1),
    COUNTIFS('리스사업(D)'!C:C, $E$1, '리스사업(D)'!G:G, B63, '리스사업(D)'!X:X, B70, '리스사업(D)'!U:U, $C$1),
    COUNTIFS('임대사업(E)'!C:C, $E$1, '임대사업(E)'!G:G, B63, '임대사업(E)'!X:X, B70, '임대사업(E)'!U:U, $C$1),
    COUNTIFS('환경부사업(F)'!C:C, $E$1, '환경부사업(F)'!G:G, B63, '환경부사업(F)'!X:X, B70, '환경부사업(F)'!U:U, $C$1),
    COUNTIFS('프로젝트(G)'!C:C, $E$1, '프로젝트(G)'!G:G, B63, '프로젝트(G)'!X:X, B70, '프로젝트(G)'!U:U, $C$1),
    COUNTIFS('협력사 EPC(H)'!C:C, $E$1, '협력사 EPC(H)'!G:G, B63, '협력사 EPC(H)'!X:X, B70, '협력사 EPC(H)'!U:U, $C$1),
    COUNTIFS('기타(Z)'!C:C, $E$1, '기타(Z)'!G:G, B63, '기타(Z)'!X:X, B70, '기타(Z)'!U:U, $C$1)
  ) = 0,
  "",
  SUM(
    COUNTIFS('발전사업(A)'!C:C, $E$1, '발전사업(A)'!G:G, B63, '발전사업(A)'!X:X, B70, '발전사업(A)'!U:U, $C$1),
    COUNTIFS('자가소비(B)'!C:C, $E$1, '자가소비(B)'!G:G, B63, '자가소비(B)'!X:X, B70, '자가소비(B)'!U:U, $C$1),
    COUNTIFS('PPA 사업(C)'!C:C, $E$1, 'PPA 사업(C)'!G:G, B63, 'PPA 사업(C)'!X:X, B70, 'PPA 사업(C)'!U:U, $C$1),
    COUNTIFS('리스사업(D)'!C:C, $E$1, '리스사업(D)'!G:G, B63, '리스사업(D)'!X:X, B70, '리스사업(D)'!U:U, $C$1),
    COUNTIFS('임대사업(E)'!C:C, $E$1, '임대사업(E)'!G:G, B63, '임대사업(E)'!X:X, B70, '임대사업(E)'!U:U, $C$1),
    COUNTIFS('환경부사업(F)'!C:C, $E$1, '환경부사업(F)'!G:G, B63, '환경부사업(F)'!X:X, B70, '환경부사업(F)'!U:U, $C$1),
    COUNTIFS('프로젝트(G)'!C:C, $E$1, '프로젝트(G)'!G:G, B63, '프로젝트(G)'!X:X, B70, '프로젝트(G)'!U:U, $C$1),
    COUNTIFS('협력사 EPC(H)'!C:C, $E$1, '협력사 EPC(H)'!G:G, B63, '협력사 EPC(H)'!X:X, B70, '협력사 EPC(H)'!U:U, $C$1),
    COUNTIFS('기타(Z)'!C:C, $E$1, '기타(Z)'!G:G, B63, '기타(Z)'!X:X, B70, '기타(Z)'!U:U, $C$1)
  )
)</f>
        <v/>
      </c>
      <c r="G70" s="262" t="str">
        <f>IF(
  SUM(
    SUMIFS('발전사업(A)'!I:I, '발전사업(A)'!C:C, $E$1, '발전사업(A)'!G:G, B63, '발전사업(A)'!X:X, B70, '발전사업(A)'!U:U, $D$1),
    SUMIFS('자가소비(B)'!I:I, '자가소비(B)'!C:C, $E$1, '자가소비(B)'!G:G, B63, '자가소비(B)'!X:X, B70, '자가소비(B)'!U:U, $D$1),
    SUMIFS('PPA 사업(C)'!I:I, 'PPA 사업(C)'!C:C, $E$1, 'PPA 사업(C)'!G:G, B63, 'PPA 사업(C)'!X:X, B70, 'PPA 사업(C)'!U:U, $D$1),
    SUMIFS('리스사업(D)'!I:I, '리스사업(D)'!C:C, $E$1, '리스사업(D)'!G:G, B63, '리스사업(D)'!X:X, B70, '리스사업(D)'!U:U, $D$1),
    SUMIFS('임대사업(E)'!I:I, '임대사업(E)'!C:C, $E$1, '임대사업(E)'!G:G, B63, '임대사업(E)'!X:X, B70, '임대사업(E)'!U:U, $D$1),
    SUMIFS('환경부사업(F)'!I:I, '환경부사업(F)'!C:C, $E$1, '환경부사업(F)'!G:G, B63, '환경부사업(F)'!X:X, B70, '환경부사업(F)'!U:U, $D$1),
    SUMIFS('프로젝트(G)'!I:I, '프로젝트(G)'!C:C, $E$1, '프로젝트(G)'!G:G, B63, '프로젝트(G)'!X:X, B70, '프로젝트(G)'!U:U, $D$1),
    SUMIFS('협력사 EPC(H)'!I:I, '협력사 EPC(H)'!C:C, $E$1, '협력사 EPC(H)'!G:G, B63, '협력사 EPC(H)'!X:X, B70, '협력사 EPC(H)'!U:U, $D$1),
    SUMIFS('기타(Z)'!I:I, '기타(Z)'!C:C, $E$1, '기타(Z)'!G:G, B63, '기타(Z)'!X:X, B70, '기타(Z)'!U:U, $D$1)
  ) = 0,
  "",
  SUM(
    SUMIFS('발전사업(A)'!I:I, '발전사업(A)'!C:C, $E$1, '발전사업(A)'!G:G, B63, '발전사업(A)'!X:X, B70, '발전사업(A)'!U:U, $D$1),
    SUMIFS('자가소비(B)'!I:I, '자가소비(B)'!C:C, $E$1, '자가소비(B)'!G:G, B63, '자가소비(B)'!X:X, B70, '자가소비(B)'!U:U, $D$1),
    SUMIFS('PPA 사업(C)'!I:I, 'PPA 사업(C)'!C:C, $E$1, 'PPA 사업(C)'!G:G, B63, 'PPA 사업(C)'!X:X, B70, 'PPA 사업(C)'!U:U, $D$1),
    SUMIFS('리스사업(D)'!I:I, '리스사업(D)'!C:C, $E$1, '리스사업(D)'!G:G, B63, '리스사업(D)'!X:X, B70, '리스사업(D)'!U:U, $D$1),
    SUMIFS('임대사업(E)'!I:I, '임대사업(E)'!C:C, $E$1, '임대사업(E)'!G:G, B63, '임대사업(E)'!X:X, B70, '임대사업(E)'!U:U, $D$1),
    SUMIFS('환경부사업(F)'!I:I, '환경부사업(F)'!C:C, $E$1, '환경부사업(F)'!G:G, B63, '환경부사업(F)'!X:X, B70, '환경부사업(F)'!U:U, $D$1),
    SUMIFS('프로젝트(G)'!I:I, '프로젝트(G)'!C:C, $E$1, '프로젝트(G)'!G:G, B63, '프로젝트(G)'!X:X, B70, '프로젝트(G)'!U:U, $D$1),
    SUMIFS('협력사 EPC(H)'!I:I, '협력사 EPC(H)'!C:C, $E$1, '협력사 EPC(H)'!G:G, B63, '협력사 EPC(H)'!X:X, B70, '협력사 EPC(H)'!U:U, $D$1),
    SUMIFS('기타(Z)'!I:I, '기타(Z)'!C:C, $E$1, '기타(Z)'!G:G, B63, '기타(Z)'!X:X, B70, '기타(Z)'!U:U, $D$1)
  )
)</f>
        <v/>
      </c>
      <c r="H70" s="263" t="str">
        <f>IF(
  (
    COUNTIFS('발전사업(A)'!C:C, $E$1, '발전사업(A)'!G:G, B63, '발전사업(A)'!X:X, B70, '발전사업(A)'!U:U, $D$1)
    + COUNTIFS('자가소비(B)'!C:C, $E$1, '자가소비(B)'!G:G, B63, '자가소비(B)'!X:X, B70, '자가소비(B)'!U:U, $D$1)
    + COUNTIFS('PPA 사업(C)'!C:C, $E$1, 'PPA 사업(C)'!G:G, B63, 'PPA 사업(C)'!X:X, B70, 'PPA 사업(C)'!U:U, $D$1)
    + COUNTIFS('리스사업(D)'!C:C, $E$1, '리스사업(D)'!G:G, B63, '리스사업(D)'!X:X, B70, '리스사업(D)'!U:U, $D$1)
    + COUNTIFS('임대사업(E)'!C:C, $E$1, '임대사업(E)'!G:G, B63, '임대사업(E)'!X:X, B70, '임대사업(E)'!U:U, $D$1)
    + COUNTIFS('환경부사업(F)'!C:C, $E$1, '환경부사업(F)'!G:G, B63, '환경부사업(F)'!X:X, B70, '환경부사업(F)'!U:U, $D$1)
    + COUNTIFS('프로젝트(G)'!C:C, $E$1, '프로젝트(G)'!G:G, B63, '프로젝트(G)'!X:X, B70, '프로젝트(G)'!U:U, $D$1)
    + COUNTIFS('협력사 EPC(H)'!C:C, $E$1, '협력사 EPC(H)'!G:G, B63, '협력사 EPC(H)'!X:X, B70, '협력사 EPC(H)'!U:U, $D$1)
    + COUNTIFS('기타(Z)'!C:C, $E$1, '기타(Z)'!G:G, $B63, '기타(Z)'!X:X, B70, '기타(Z)'!U:U, $D$1)
  ) = 0,
  "",
  COUNTIFS('발전사업(A)'!C:C, $E$1, '발전사업(A)'!G:G, B63, '발전사업(A)'!X:X, B70, '발전사업(A)'!U:U, $D$1)
  + COUNTIFS('자가소비(B)'!C:C, $E$1, '자가소비(B)'!G:G, B63, '자가소비(B)'!X:X, B70, '자가소비(B)'!U:U, $D$1)
  + COUNTIFS('PPA 사업(C)'!C:C, $E$1, 'PPA 사업(C)'!G:G, B63, 'PPA 사업(C)'!X:X, B70, 'PPA 사업(C)'!U:U, $D$1)
  + COUNTIFS('리스사업(D)'!C:C, $E$1, '리스사업(D)'!G:G, B63, '리스사업(D)'!X:X, B70, '리스사업(D)'!U:U, $D$1)
  + COUNTIFS('임대사업(E)'!C:C, $E$1, '임대사업(E)'!G:G, B63, '임대사업(E)'!X:X, B70, '임대사업(E)'!U:U, $D$1)
  + COUNTIFS('환경부사업(F)'!C:C, $E$1, '환경부사업(F)'!G:G, B63, '환경부사업(F)'!X:X, B70, '환경부사업(F)'!U:U, $D$1)
  + COUNTIFS('프로젝트(G)'!C:C, $E$1, '프로젝트(G)'!G:G, B63, '프로젝트(G)'!X:X, B70, '프로젝트(G)'!U:U, $D$1)
  + COUNTIFS('협력사 EPC(H)'!C:C, $E$1, '협력사 EPC(H)'!G:G, B63, '협력사 EPC(H)'!X:X, B70, '협력사 EPC(H)'!U:U, $D$1)
  + COUNTIFS('기타(Z)'!C:C, $E$1, '기타(Z)'!G:G, B63, '기타(Z)'!X:X, B70, '기타(Z)'!U:U, $D$1)
)</f>
        <v/>
      </c>
    </row>
    <row r="71" spans="2:8" x14ac:dyDescent="0.25">
      <c r="B71" s="195" t="s">
        <v>158</v>
      </c>
      <c r="C71" s="262" t="str">
        <f>IF(
  SUM(
    SUMIFS('발전사업(A)'!I:I, '발전사업(A)'!C:C, $E$1, '발전사업(A)'!G:G, B63, '발전사업(A)'!X:X, B71),
    SUMIFS('자가소비(B)'!I:I, '자가소비(B)'!C:C, $E$1, '자가소비(B)'!G:G, B63, '자가소비(B)'!X:X, B71),
    SUMIFS('PPA 사업(C)'!I:I, 'PPA 사업(C)'!C:C, $E$1, 'PPA 사업(C)'!G:G, B63, 'PPA 사업(C)'!X:X, B71),
    SUMIFS('리스사업(D)'!I:I, '리스사업(D)'!C:C, $E$1, '리스사업(D)'!G:G, B63, '리스사업(D)'!X:X, B71),
    SUMIFS('임대사업(E)'!I:I, '임대사업(E)'!C:C, $E$1, '임대사업(E)'!G:G, B63, '임대사업(E)'!X:X, B71),
    SUMIFS('환경부사업(F)'!I:I, '환경부사업(F)'!C:C, $E$1, '환경부사업(F)'!G:G, B63, '환경부사업(F)'!X:X, B71),
    SUMIFS('프로젝트(G)'!I:I, '프로젝트(G)'!C:C, $E$1, '프로젝트(G)'!G:G, B63, '프로젝트(G)'!X:X, B71),
    SUMIFS('협력사 EPC(H)'!I:I, '협력사 EPC(H)'!C:C, $E$1, '협력사 EPC(H)'!G:G, B63, '협력사 EPC(H)'!X:X, B71),
    SUMIFS('기타(Z)'!I:I, '기타(Z)'!C:C, $E$1, '기타(Z)'!G:G, B63, '기타(Z)'!X:X, B71)
  ) = 0,
  "",
  SUMIFS('발전사업(A)'!I:I, '발전사업(A)'!C:C, $E$1, '발전사업(A)'!G:G, B63, '발전사업(A)'!X:X, B71)
  + SUMIFS('자가소비(B)'!I:I, '자가소비(B)'!C:C, $E$1, '자가소비(B)'!G:G, B63, '자가소비(B)'!X:X, B71)
  + SUMIFS('PPA 사업(C)'!I:I, 'PPA 사업(C)'!C:C, $E$1, 'PPA 사업(C)'!G:G, B63, 'PPA 사업(C)'!X:X, B71)
  + SUMIFS('리스사업(D)'!I:I, '리스사업(D)'!C:C, $E$1, '리스사업(D)'!G:G, B63, '리스사업(D)'!X:X, B71)
  + SUMIFS('임대사업(E)'!I:I, '임대사업(E)'!C:C, $E$1, '임대사업(E)'!G:G, B63, '임대사업(E)'!X:X, B71)
  + SUMIFS('환경부사업(F)'!I:I, '환경부사업(F)'!C:C, $E$1, '환경부사업(F)'!G:G, B63, '환경부사업(F)'!X:X, B71)
  + SUMIFS('프로젝트(G)'!I:I, '프로젝트(G)'!C:C, $E$1, '프로젝트(G)'!G:G, B63, '프로젝트(G)'!X:X, B71)
  + SUMIFS('협력사 EPC(H)'!I:I, '협력사 EPC(H)'!C:C, $E$1, '협력사 EPC(H)'!G:G, B63, '협력사 EPC(H)'!X:X, B71)
  + SUMIFS('기타(Z)'!I:I, '기타(Z)'!C:C, $E$1, '기타(Z)'!G:G, B63, '기타(Z)'!X:X, B71)
)</f>
        <v/>
      </c>
      <c r="D71" s="263" t="str">
        <f>IF(
  COUNTIFS('발전사업(A)'!C:C, $E$1, '발전사업(A)'!G:G, B63, '발전사업(A)'!X:X, B71)
  + COUNTIFS('자가소비(B)'!C:C, $E$1, '자가소비(B)'!G:G, B63, '자가소비(B)'!X:X, B71)
  + COUNTIFS('PPA 사업(C)'!C:C, $E$1, 'PPA 사업(C)'!G:G, B63, 'PPA 사업(C)'!X:X, B71)
  + COUNTIFS('리스사업(D)'!C:C, $E$1, '리스사업(D)'!G:G, B63, '리스사업(D)'!X:X, B71)
  + COUNTIFS('임대사업(E)'!C:C, $E$1, '임대사업(E)'!G:G, B63, '임대사업(E)'!X:X, B71)
  + COUNTIFS('환경부사업(F)'!C:C, $E$1, '환경부사업(F)'!G:G, B63, '환경부사업(F)'!X:X, B71)
  + COUNTIFS('프로젝트(G)'!C:C, $E$1, '프로젝트(G)'!G:G, B63, '프로젝트(G)'!X:X, B71)
  + COUNTIFS('협력사 EPC(H)'!C:C, $E$1, '협력사 EPC(H)'!G:G, B63, '협력사 EPC(H)'!X:X, B71)
  + COUNTIFS('기타(Z)'!C:C, $E$1, '기타(Z)'!G:G, B63, '기타(Z)'!X:X, B71)
  = 0,
  "",
  COUNTIFS('발전사업(A)'!C:C, $E$1, '발전사업(A)'!G:G, B63, '발전사업(A)'!X:X, B71)
  + COUNTIFS('자가소비(B)'!C:C, $E$1, '자가소비(B)'!G:G, B63, '자가소비(B)'!X:X, B71)
  + COUNTIFS('PPA 사업(C)'!C:C, $E$1, 'PPA 사업(C)'!G:G, B63, 'PPA 사업(C)'!X:X, B71)
  + COUNTIFS('리스사업(D)'!C:C, $E$1, '리스사업(D)'!G:G, B63, '리스사업(D)'!X:X, B71)
  + COUNTIFS('임대사업(E)'!C:C, $E$1, '임대사업(E)'!G:G, B63, '임대사업(E)'!X:X, B71)
  + COUNTIFS('환경부사업(F)'!C:C, $E$1, '환경부사업(F)'!G:G, B63, '환경부사업(F)'!X:X, B71)
  + COUNTIFS('프로젝트(G)'!C:C, $E$1, '프로젝트(G)'!G:G, B63, '프로젝트(G)'!X:X, B71)
  + COUNTIFS('협력사 EPC(H)'!C:C, $E$1, '협력사 EPC(H)'!G:G, B63, '협력사 EPC(H)'!X:X, B71)
  + COUNTIFS('기타(Z)'!C:C, $E$1, '기타(Z)'!G:G, B63, '기타(Z)'!X:X, B71)
)</f>
        <v/>
      </c>
      <c r="E71" s="262" t="str">
        <f>IF(
  SUM(
    SUMIFS('발전사업(A)'!I:I, '발전사업(A)'!C:C, $E$1, '발전사업(A)'!G:G, B63, '발전사업(A)'!X:X, B71, '발전사업(A)'!U:U, $C$1),
    SUMIFS('자가소비(B)'!I:I, '자가소비(B)'!C:C, $E$1, '자가소비(B)'!G:G, B63, '자가소비(B)'!X:X, B71, '자가소비(B)'!U:U, $C$1),
    SUMIFS('PPA 사업(C)'!I:I, 'PPA 사업(C)'!C:C, $E$1, 'PPA 사업(C)'!G:G, B63, 'PPA 사업(C)'!X:X, B71, 'PPA 사업(C)'!U:U, $C$1),
    SUMIFS('리스사업(D)'!I:I, '리스사업(D)'!C:C, $E$1, '리스사업(D)'!G:G, B63, '리스사업(D)'!X:X, B71, '리스사업(D)'!U:U, $C$1),
    SUMIFS('임대사업(E)'!I:I, '임대사업(E)'!C:C, $E$1, '임대사업(E)'!G:G, B63, '임대사업(E)'!X:X, B71, '임대사업(E)'!U:U, $C$1),
    SUMIFS('환경부사업(F)'!I:I, '환경부사업(F)'!C:C, $E$1, '환경부사업(F)'!G:G, B63, '환경부사업(F)'!X:X, B71, '환경부사업(F)'!U:U, $C$1),
    SUMIFS('프로젝트(G)'!I:I, '프로젝트(G)'!C:C, $E$1, '프로젝트(G)'!G:G, B63, '프로젝트(G)'!X:X, B71, '프로젝트(G)'!U:U, $C$1),
    SUMIFS('협력사 EPC(H)'!I:I, '협력사 EPC(H)'!C:C, $E$1, '협력사 EPC(H)'!G:G, B63, '협력사 EPC(H)'!X:X, B71, '협력사 EPC(H)'!U:U, $C$1),
    SUMIFS('기타(Z)'!I:I, '기타(Z)'!C:C, $E$1, '기타(Z)'!G:G, B63, '기타(Z)'!X:X, B71, '기타(Z)'!U:U, $C$1)
  ) = 0,
  "",
  SUM(
    SUMIFS('발전사업(A)'!I:I, '발전사업(A)'!C:C, $E$1, '발전사업(A)'!G:G, B63, '발전사업(A)'!X:X, B71, '발전사업(A)'!U:U, $C$1),
    SUMIFS('자가소비(B)'!I:I, '자가소비(B)'!C:C, $E$1, '자가소비(B)'!G:G, B63, '자가소비(B)'!X:X, B71, '자가소비(B)'!U:U, $C$1),
    SUMIFS('PPA 사업(C)'!I:I, 'PPA 사업(C)'!C:C, $E$1, 'PPA 사업(C)'!G:G, B63, 'PPA 사업(C)'!X:X, B71, 'PPA 사업(C)'!U:U, $C$1),
    SUMIFS('리스사업(D)'!I:I, '리스사업(D)'!C:C, $E$1, '리스사업(D)'!G:G, B63, '리스사업(D)'!X:X, B71, '리스사업(D)'!U:U, $C$1),
    SUMIFS('임대사업(E)'!I:I, '임대사업(E)'!C:C, $E$1, '임대사업(E)'!G:G, B63, '임대사업(E)'!X:X, B71, '임대사업(E)'!U:U, $C$1),
    SUMIFS('환경부사업(F)'!I:I, '환경부사업(F)'!C:C, $E$1, '환경부사업(F)'!G:G, B63, '환경부사업(F)'!X:X, B71, '환경부사업(F)'!U:U, $C$1),
    SUMIFS('프로젝트(G)'!I:I, '프로젝트(G)'!C:C, $E$1, '프로젝트(G)'!G:G, B63, '프로젝트(G)'!X:X, B71, '프로젝트(G)'!U:U, $C$1),
    SUMIFS('협력사 EPC(H)'!I:I, '협력사 EPC(H)'!C:C, $E$1, '협력사 EPC(H)'!G:G, B63, '협력사 EPC(H)'!X:X, B71, '협력사 EPC(H)'!U:U, $C$1),
    SUMIFS('기타(Z)'!I:I, '기타(Z)'!C:C, $E$1, '기타(Z)'!G:G, B63, '기타(Z)'!X:X, B71, '기타(Z)'!U:U, $C$1)
  )
)</f>
        <v/>
      </c>
      <c r="F71" s="263" t="str">
        <f>IF(
  SUM(
    COUNTIFS('발전사업(A)'!C:C, $E$1, '발전사업(A)'!G:G, B63, '발전사업(A)'!X:X, B71, '발전사업(A)'!U:U, $C$1),
    COUNTIFS('자가소비(B)'!C:C, $E$1, '자가소비(B)'!G:G, B63, '자가소비(B)'!X:X, B71, '자가소비(B)'!U:U, $C$1),
    COUNTIFS('PPA 사업(C)'!C:C, $E$1, 'PPA 사업(C)'!G:G, B63, 'PPA 사업(C)'!X:X, B71, 'PPA 사업(C)'!U:U, $C$1),
    COUNTIFS('리스사업(D)'!C:C, $E$1, '리스사업(D)'!G:G, B63, '리스사업(D)'!X:X, B71, '리스사업(D)'!U:U, $C$1),
    COUNTIFS('임대사업(E)'!C:C, $E$1, '임대사업(E)'!G:G, B63, '임대사업(E)'!X:X, B71, '임대사업(E)'!U:U, $C$1),
    COUNTIFS('환경부사업(F)'!C:C, $E$1, '환경부사업(F)'!G:G, B63, '환경부사업(F)'!X:X, B71, '환경부사업(F)'!U:U, $C$1),
    COUNTIFS('프로젝트(G)'!C:C, $E$1, '프로젝트(G)'!G:G, B63, '프로젝트(G)'!X:X, B71, '프로젝트(G)'!U:U, $C$1),
    COUNTIFS('협력사 EPC(H)'!C:C, $E$1, '협력사 EPC(H)'!G:G, B63, '협력사 EPC(H)'!X:X, B71, '협력사 EPC(H)'!U:U, $C$1),
    COUNTIFS('기타(Z)'!C:C, $E$1, '기타(Z)'!G:G, B63, '기타(Z)'!X:X, B71, '기타(Z)'!U:U, $C$1)
  ) = 0,
  "",
  SUM(
    COUNTIFS('발전사업(A)'!C:C, $E$1, '발전사업(A)'!G:G, B63, '발전사업(A)'!X:X, B71, '발전사업(A)'!U:U, $C$1),
    COUNTIFS('자가소비(B)'!C:C, $E$1, '자가소비(B)'!G:G, B63, '자가소비(B)'!X:X, B71, '자가소비(B)'!U:U, $C$1),
    COUNTIFS('PPA 사업(C)'!C:C, $E$1, 'PPA 사업(C)'!G:G, B63, 'PPA 사업(C)'!X:X, B71, 'PPA 사업(C)'!U:U, $C$1),
    COUNTIFS('리스사업(D)'!C:C, $E$1, '리스사업(D)'!G:G, B63, '리스사업(D)'!X:X, B71, '리스사업(D)'!U:U, $C$1),
    COUNTIFS('임대사업(E)'!C:C, $E$1, '임대사업(E)'!G:G, B63, '임대사업(E)'!X:X, B71, '임대사업(E)'!U:U, $C$1),
    COUNTIFS('환경부사업(F)'!C:C, $E$1, '환경부사업(F)'!G:G, B63, '환경부사업(F)'!X:X, B71, '환경부사업(F)'!U:U, $C$1),
    COUNTIFS('프로젝트(G)'!C:C, $E$1, '프로젝트(G)'!G:G, B63, '프로젝트(G)'!X:X, B71, '프로젝트(G)'!U:U, $C$1),
    COUNTIFS('협력사 EPC(H)'!C:C, $E$1, '협력사 EPC(H)'!G:G, B63, '협력사 EPC(H)'!X:X, B71, '협력사 EPC(H)'!U:U, $C$1),
    COUNTIFS('기타(Z)'!C:C, $E$1, '기타(Z)'!G:G, B63, '기타(Z)'!X:X, B71, '기타(Z)'!U:U, $C$1)
  )
)</f>
        <v/>
      </c>
      <c r="G71" s="262" t="str">
        <f>IF(
  SUM(
    SUMIFS('발전사업(A)'!I:I, '발전사업(A)'!C:C, $E$1, '발전사업(A)'!G:G, B63, '발전사업(A)'!X:X, B71, '발전사업(A)'!U:U, $D$1),
    SUMIFS('자가소비(B)'!I:I, '자가소비(B)'!C:C, $E$1, '자가소비(B)'!G:G, B63, '자가소비(B)'!X:X, B71, '자가소비(B)'!U:U, $D$1),
    SUMIFS('PPA 사업(C)'!I:I, 'PPA 사업(C)'!C:C, $E$1, 'PPA 사업(C)'!G:G, B63, 'PPA 사업(C)'!X:X, B71, 'PPA 사업(C)'!U:U, $D$1),
    SUMIFS('리스사업(D)'!I:I, '리스사업(D)'!C:C, $E$1, '리스사업(D)'!G:G, B63, '리스사업(D)'!X:X, B71, '리스사업(D)'!U:U, $D$1),
    SUMIFS('임대사업(E)'!I:I, '임대사업(E)'!C:C, $E$1, '임대사업(E)'!G:G, B63, '임대사업(E)'!X:X, B71, '임대사업(E)'!U:U, $D$1),
    SUMIFS('환경부사업(F)'!I:I, '환경부사업(F)'!C:C, $E$1, '환경부사업(F)'!G:G, B63, '환경부사업(F)'!X:X, B71, '환경부사업(F)'!U:U, $D$1),
    SUMIFS('프로젝트(G)'!I:I, '프로젝트(G)'!C:C, $E$1, '프로젝트(G)'!G:G, B63, '프로젝트(G)'!X:X, B71, '프로젝트(G)'!U:U, $D$1),
    SUMIFS('협력사 EPC(H)'!I:I, '협력사 EPC(H)'!C:C, $E$1, '협력사 EPC(H)'!G:G, B63, '협력사 EPC(H)'!X:X, B71, '협력사 EPC(H)'!U:U, $D$1),
    SUMIFS('기타(Z)'!I:I, '기타(Z)'!C:C, $E$1, '기타(Z)'!G:G, B63, '기타(Z)'!X:X, B71, '기타(Z)'!U:U, $D$1)
  ) = 0,
  "",
  SUM(
    SUMIFS('발전사업(A)'!I:I, '발전사업(A)'!C:C, $E$1, '발전사업(A)'!G:G, B63, '발전사업(A)'!X:X, B71, '발전사업(A)'!U:U, $D$1),
    SUMIFS('자가소비(B)'!I:I, '자가소비(B)'!C:C, $E$1, '자가소비(B)'!G:G, B63, '자가소비(B)'!X:X, B71, '자가소비(B)'!U:U, $D$1),
    SUMIFS('PPA 사업(C)'!I:I, 'PPA 사업(C)'!C:C, $E$1, 'PPA 사업(C)'!G:G, B63, 'PPA 사업(C)'!X:X, B71, 'PPA 사업(C)'!U:U, $D$1),
    SUMIFS('리스사업(D)'!I:I, '리스사업(D)'!C:C, $E$1, '리스사업(D)'!G:G, B63, '리스사업(D)'!X:X, B71, '리스사업(D)'!U:U, $D$1),
    SUMIFS('임대사업(E)'!I:I, '임대사업(E)'!C:C, $E$1, '임대사업(E)'!G:G, B63, '임대사업(E)'!X:X, B71, '임대사업(E)'!U:U, $D$1),
    SUMIFS('환경부사업(F)'!I:I, '환경부사업(F)'!C:C, $E$1, '환경부사업(F)'!G:G, B63, '환경부사업(F)'!X:X, B71, '환경부사업(F)'!U:U, $D$1),
    SUMIFS('프로젝트(G)'!I:I, '프로젝트(G)'!C:C, $E$1, '프로젝트(G)'!G:G, B63, '프로젝트(G)'!X:X, B71, '프로젝트(G)'!U:U, $D$1),
    SUMIFS('협력사 EPC(H)'!I:I, '협력사 EPC(H)'!C:C, $E$1, '협력사 EPC(H)'!G:G, B63, '협력사 EPC(H)'!X:X, B71, '협력사 EPC(H)'!U:U, $D$1),
    SUMIFS('기타(Z)'!I:I, '기타(Z)'!C:C, $E$1, '기타(Z)'!G:G, B63, '기타(Z)'!X:X, B71, '기타(Z)'!U:U, $D$1)
  )
)</f>
        <v/>
      </c>
      <c r="H71" s="263" t="str">
        <f>IF(
  (
    COUNTIFS('발전사업(A)'!C:C, $E$1, '발전사업(A)'!G:G, B63, '발전사업(A)'!X:X, B71, '발전사업(A)'!U:U, $D$1)
    + COUNTIFS('자가소비(B)'!C:C, $E$1, '자가소비(B)'!G:G, B63, '자가소비(B)'!X:X, B71, '자가소비(B)'!U:U, $D$1)
    + COUNTIFS('PPA 사업(C)'!C:C, $E$1, 'PPA 사업(C)'!G:G, B63, 'PPA 사업(C)'!X:X, B71, 'PPA 사업(C)'!U:U, $D$1)
    + COUNTIFS('리스사업(D)'!C:C, $E$1, '리스사업(D)'!G:G, B63, '리스사업(D)'!X:X, B71, '리스사업(D)'!U:U, $D$1)
    + COUNTIFS('임대사업(E)'!C:C, $E$1, '임대사업(E)'!G:G, B63, '임대사업(E)'!X:X, B71, '임대사업(E)'!U:U, $D$1)
    + COUNTIFS('환경부사업(F)'!C:C, $E$1, '환경부사업(F)'!G:G, B63, '환경부사업(F)'!X:X, B71, '환경부사업(F)'!U:U, $D$1)
    + COUNTIFS('프로젝트(G)'!C:C, $E$1, '프로젝트(G)'!G:G, B63, '프로젝트(G)'!X:X, B71, '프로젝트(G)'!U:U, $D$1)
    + COUNTIFS('협력사 EPC(H)'!C:C, $E$1, '협력사 EPC(H)'!G:G, B63, '협력사 EPC(H)'!X:X, B71, '협력사 EPC(H)'!U:U, $D$1)
    + COUNTIFS('기타(Z)'!C:C, $E$1, '기타(Z)'!G:G, B63, '기타(Z)'!X:X, B71, '기타(Z)'!U:U, $D$1)
  ) = 0,
  "",
  COUNTIFS('발전사업(A)'!C:C, $E$1, '발전사업(A)'!G:G, B63, '발전사업(A)'!X:X, B71, '발전사업(A)'!U:U, $D$1)
  + COUNTIFS('자가소비(B)'!C:C, $E$1, '자가소비(B)'!G:G, B63, '자가소비(B)'!X:X, B71, '자가소비(B)'!U:U, $D$1)
  + COUNTIFS('PPA 사업(C)'!C:C, $E$1, 'PPA 사업(C)'!G:G, B63, 'PPA 사업(C)'!X:X, B71, 'PPA 사업(C)'!U:U, $D$1)
  + COUNTIFS('리스사업(D)'!C:C, $E$1, '리스사업(D)'!G:G, B63, '리스사업(D)'!X:X, B71, '리스사업(D)'!U:U, $D$1)
  + COUNTIFS('임대사업(E)'!C:C, $E$1, '임대사업(E)'!G:G, B63, '임대사업(E)'!X:X, B71, '임대사업(E)'!U:U, $D$1)
  + COUNTIFS('환경부사업(F)'!C:C, $E$1, '환경부사업(F)'!G:G, B63, '환경부사업(F)'!X:X, B71, '환경부사업(F)'!U:U, $D$1)
  + COUNTIFS('프로젝트(G)'!C:C, $E$1, '프로젝트(G)'!G:G, B63, '프로젝트(G)'!X:X, B71, '프로젝트(G)'!U:U, $D$1)
  + COUNTIFS('협력사 EPC(H)'!C:C, $E$1, '협력사 EPC(H)'!G:G, B63, '협력사 EPC(H)'!X:X, B71, '협력사 EPC(H)'!U:U, $D$1)
  + COUNTIFS('기타(Z)'!C:C, $E$1, '기타(Z)'!G:G, B63, '기타(Z)'!X:X, B71, '기타(Z)'!U:U, $D$1)
)</f>
        <v/>
      </c>
    </row>
    <row r="72" spans="2:8" ht="16.5" x14ac:dyDescent="0.25">
      <c r="B72" s="274" t="s">
        <v>174</v>
      </c>
      <c r="C72" s="268">
        <f t="shared" ref="C72:H72" si="12">SUM(C64:C71)</f>
        <v>2556.1350000000002</v>
      </c>
      <c r="D72" s="269">
        <f t="shared" si="12"/>
        <v>8</v>
      </c>
      <c r="E72" s="270">
        <f t="shared" si="12"/>
        <v>804.31499999999994</v>
      </c>
      <c r="F72" s="271">
        <f t="shared" si="12"/>
        <v>4</v>
      </c>
      <c r="G72" s="272">
        <f t="shared" si="12"/>
        <v>1751.82</v>
      </c>
      <c r="H72" s="273">
        <f t="shared" si="12"/>
        <v>4</v>
      </c>
    </row>
    <row r="75" spans="2:8" ht="17.25" x14ac:dyDescent="0.25">
      <c r="B75" s="264">
        <v>6</v>
      </c>
      <c r="C75" s="265" t="s">
        <v>176</v>
      </c>
      <c r="D75" s="265" t="s">
        <v>175</v>
      </c>
      <c r="E75" s="266" t="s">
        <v>177</v>
      </c>
      <c r="F75" s="266" t="s">
        <v>178</v>
      </c>
      <c r="G75" s="267" t="s">
        <v>179</v>
      </c>
      <c r="H75" s="267" t="s">
        <v>180</v>
      </c>
    </row>
    <row r="76" spans="2:8" x14ac:dyDescent="0.25">
      <c r="B76" s="195" t="s">
        <v>160</v>
      </c>
      <c r="C76" s="262">
        <f>IF(
  SUM(
    SUMIFS('발전사업(A)'!I:I, '발전사업(A)'!C:C, $E$1, '발전사업(A)'!G:G, B75, '발전사업(A)'!X:X, B76),
    SUMIFS('자가소비(B)'!I:I, '자가소비(B)'!C:C, $E$1, '자가소비(B)'!G:G, B75, '자가소비(B)'!X:X, B76),
    SUMIFS('PPA 사업(C)'!I:I, 'PPA 사업(C)'!C:C, $E$1, 'PPA 사업(C)'!G:G, B75, 'PPA 사업(C)'!X:X, B76),
    SUMIFS('리스사업(D)'!I:I, '리스사업(D)'!C:C, $E$1, '리스사업(D)'!G:G, B75, '리스사업(D)'!X:X, B76),
    SUMIFS('임대사업(E)'!I:I, '임대사업(E)'!C:C, $E$1, '임대사업(E)'!G:G, B75, '임대사업(E)'!X:X, B76),
    SUMIFS('환경부사업(F)'!I:I, '환경부사업(F)'!C:C, $E$1, '환경부사업(F)'!G:G, B75, '환경부사업(F)'!X:X, B76),
    SUMIFS('프로젝트(G)'!I:I, '프로젝트(G)'!C:C, $E$1, '프로젝트(G)'!G:G, B75, '프로젝트(G)'!X:X, B76),
    SUMIFS('협력사 EPC(H)'!I:I, '협력사 EPC(H)'!C:C, $E$1, '협력사 EPC(H)'!G:G, B75, '협력사 EPC(H)'!X:X, B76),
    SUMIFS('기타(Z)'!I:I, '기타(Z)'!C:C, $E$1, '기타(Z)'!G:G, B75, '기타(Z)'!X:X, B76)
  ) = 0,
  "",
  SUMIFS('발전사업(A)'!I:I, '발전사업(A)'!C:C, $E$1, '발전사업(A)'!G:G, B75, '발전사업(A)'!X:X, B76)
  + SUMIFS('자가소비(B)'!I:I, '자가소비(B)'!C:C, $E$1, '자가소비(B)'!G:G, B75, '자가소비(B)'!X:X, B76)
  + SUMIFS('PPA 사업(C)'!I:I, 'PPA 사업(C)'!C:C, $E$1, 'PPA 사업(C)'!G:G, B75, 'PPA 사업(C)'!X:X, B76)
  + SUMIFS('리스사업(D)'!I:I, '리스사업(D)'!C:C, $E$1, '리스사업(D)'!G:G, B75, '리스사업(D)'!X:X, B76)
  + SUMIFS('임대사업(E)'!I:I, '임대사업(E)'!C:C, $E$1, '임대사업(E)'!G:G, B75, '임대사업(E)'!X:X, B76)
  + SUMIFS('환경부사업(F)'!I:I, '환경부사업(F)'!C:C, $E$1, '환경부사업(F)'!G:G, B75, '환경부사업(F)'!X:X, B76)
  + SUMIFS('프로젝트(G)'!I:I, '프로젝트(G)'!C:C, $E$1, '프로젝트(G)'!G:G, B75, '프로젝트(G)'!X:X, B76)
  + SUMIFS('협력사 EPC(H)'!I:I, '협력사 EPC(H)'!C:C, $E$1, '협력사 EPC(H)'!G:G, B75, '협력사 EPC(H)'!X:X, B76)
  + SUMIFS('기타(Z)'!I:I, '기타(Z)'!C:C, $E$1, '기타(Z)'!G:G, B75, '기타(Z)'!X:X, B76)
)</f>
        <v>714.0150000000001</v>
      </c>
      <c r="D76" s="263">
        <f>IF(
  COUNTIFS('발전사업(A)'!C:C, $E$1, '발전사업(A)'!G:G, B75, '발전사업(A)'!X:X, B76)
  + COUNTIFS('자가소비(B)'!C:C, $E$1, '자가소비(B)'!G:G, B75, '자가소비(B)'!X:X, B76)
  + COUNTIFS('PPA 사업(C)'!C:C, $E$1, 'PPA 사업(C)'!G:G, B75, 'PPA 사업(C)'!X:X, B76)
  + COUNTIFS('리스사업(D)'!C:C, $E$1, '리스사업(D)'!G:G, B75, '리스사업(D)'!X:X, B76)
  + COUNTIFS('임대사업(E)'!C:C, $E$1, '임대사업(E)'!G:G, B75, '임대사업(E)'!X:X, B76)
  + COUNTIFS('환경부사업(F)'!C:C, $E$1, '환경부사업(F)'!G:G, B75, '환경부사업(F)'!X:X, B76)
  + COUNTIFS('프로젝트(G)'!C:C, $E$1, '프로젝트(G)'!G:G, B75, '프로젝트(G)'!X:X, B76)
  + COUNTIFS('협력사 EPC(H)'!C:C, $E$1, '협력사 EPC(H)'!G:G, B75, '협력사 EPC(H)'!X:X, B76)
  + COUNTIFS('기타(Z)'!C:C, $E$1, '기타(Z)'!G:G, B75, '기타(Z)'!X:X, B76)
  = 0,
  "",
  COUNTIFS('발전사업(A)'!C:C, $E$1, '발전사업(A)'!G:G, B75, '발전사업(A)'!X:X, B76)
  + COUNTIFS('자가소비(B)'!C:C, $E$1, '자가소비(B)'!G:G, B75, '자가소비(B)'!X:X, B76)
  + COUNTIFS('PPA 사업(C)'!C:C, $E$1, 'PPA 사업(C)'!G:G, B75, 'PPA 사업(C)'!X:X, B76)
  + COUNTIFS('리스사업(D)'!C:C, $E$1, '리스사업(D)'!G:G, B75, '리스사업(D)'!X:X, B76)
  + COUNTIFS('임대사업(E)'!C:C, $E$1, '임대사업(E)'!G:G, B75, '임대사업(E)'!X:X, B76)
  + COUNTIFS('환경부사업(F)'!C:C, $E$1, '환경부사업(F)'!G:G, B75, '환경부사업(F)'!X:X, B76)
  + COUNTIFS('프로젝트(G)'!C:C, $E$1, '프로젝트(G)'!G:G, B75, '프로젝트(G)'!X:X, B76)
  + COUNTIFS('협력사 EPC(H)'!C:C, $E$1, '협력사 EPC(H)'!G:G, B75, '협력사 EPC(H)'!X:X, B76)
  + COUNTIFS('기타(Z)'!C:C, $E$1, '기타(Z)'!G:G, B75, '기타(Z)'!X:X, B76)
)</f>
        <v>2</v>
      </c>
      <c r="E76" s="262">
        <f>IF(
  SUM(
    SUMIFS('발전사업(A)'!I:I, '발전사업(A)'!C:C, $E$1, '발전사업(A)'!G:G, B75, '발전사업(A)'!X:X, B76, '발전사업(A)'!U:U, $C$1),
    SUMIFS('자가소비(B)'!I:I, '자가소비(B)'!C:C, $E$1, '자가소비(B)'!G:G, B75, '자가소비(B)'!X:X, B76, '자가소비(B)'!U:U, $C$1),
    SUMIFS('PPA 사업(C)'!I:I, 'PPA 사업(C)'!C:C, $E$1, 'PPA 사업(C)'!G:G, B75, 'PPA 사업(C)'!X:X, B76, 'PPA 사업(C)'!U:U, $C$1),
    SUMIFS('리스사업(D)'!I:I, '리스사업(D)'!C:C, $E$1, '리스사업(D)'!G:G, B75, '리스사업(D)'!X:X, B76, '리스사업(D)'!U:U, $C$1),
    SUMIFS('임대사업(E)'!I:I, '임대사업(E)'!C:C, $E$1, '임대사업(E)'!G:G, B75, '임대사업(E)'!X:X, B76, '임대사업(E)'!U:U, $C$1),
    SUMIFS('환경부사업(F)'!I:I, '환경부사업(F)'!C:C, $E$1, '환경부사업(F)'!G:G, B75, '환경부사업(F)'!X:X, B76, '환경부사업(F)'!U:U, $C$1),
    SUMIFS('프로젝트(G)'!I:I, '프로젝트(G)'!C:C, $E$1, '프로젝트(G)'!G:G, B75, '프로젝트(G)'!X:X, B76, '프로젝트(G)'!U:U, $C$1),
    SUMIFS('협력사 EPC(H)'!I:I, '협력사 EPC(H)'!C:C, $E$1, '협력사 EPC(H)'!G:G, B75, '협력사 EPC(H)'!X:X, B76, '협력사 EPC(H)'!U:U, $C$1),
    SUMIFS('기타(Z)'!I:I, '기타(Z)'!C:C, $E$1, '기타(Z)'!G:G, B75, '기타(Z)'!X:X, B76, '기타(Z)'!U:U, $C$1)
  ) = 0,
  "",
  SUM(
    SUMIFS('발전사업(A)'!I:I, '발전사업(A)'!C:C, $E$1, '발전사업(A)'!G:G, B75, '발전사업(A)'!X:X, B76, '발전사업(A)'!U:U, $C$1),
    SUMIFS('자가소비(B)'!I:I, '자가소비(B)'!C:C, $E$1, '자가소비(B)'!G:G, B75, '자가소비(B)'!X:X, B76, '자가소비(B)'!U:U, $C$1),
    SUMIFS('PPA 사업(C)'!I:I, 'PPA 사업(C)'!C:C, $E$1, 'PPA 사업(C)'!G:G, B75, 'PPA 사업(C)'!X:X, B76, 'PPA 사업(C)'!U:U, $C$1),
    SUMIFS('리스사업(D)'!I:I, '리스사업(D)'!C:C, $E$1, '리스사업(D)'!G:G, B75, '리스사업(D)'!X:X, B76, '리스사업(D)'!U:U, $C$1),
    SUMIFS('임대사업(E)'!I:I, '임대사업(E)'!C:C, $E$1, '임대사업(E)'!G:G, B75, '임대사업(E)'!X:X, B76, '임대사업(E)'!U:U, $C$1),
    SUMIFS('환경부사업(F)'!I:I, '환경부사업(F)'!C:C, $E$1, '환경부사업(F)'!G:G, B75, '환경부사업(F)'!X:X, B76, '환경부사업(F)'!U:U, $C$1),
    SUMIFS('프로젝트(G)'!I:I, '프로젝트(G)'!C:C, $E$1, '프로젝트(G)'!G:G, B75, '프로젝트(G)'!X:X, B76, '프로젝트(G)'!U:U, $C$1),
    SUMIFS('협력사 EPC(H)'!I:I, '협력사 EPC(H)'!C:C, $E$1, '협력사 EPC(H)'!G:G, B75, '협력사 EPC(H)'!X:X, B76, '협력사 EPC(H)'!U:U, $C$1),
    SUMIFS('기타(Z)'!I:I, '기타(Z)'!C:C, $E$1, '기타(Z)'!G:G, B75, '기타(Z)'!X:X, B76, '기타(Z)'!U:U, $C$1)
  )
)</f>
        <v>309.60000000000002</v>
      </c>
      <c r="F76" s="263">
        <f>IF(
  SUM(
    COUNTIFS('발전사업(A)'!C:C, $E$1, '발전사업(A)'!G:G, B75, '발전사업(A)'!X:X, B76, '발전사업(A)'!U:U, $C$1),
    COUNTIFS('자가소비(B)'!C:C, $E$1, '자가소비(B)'!G:G, B75, '자가소비(B)'!X:X, B76, '자가소비(B)'!U:U, $C$1),
    COUNTIFS('PPA 사업(C)'!C:C, $E$1, 'PPA 사업(C)'!G:G, B75, 'PPA 사업(C)'!X:X, B76, 'PPA 사업(C)'!U:U, $C$1),
    COUNTIFS('리스사업(D)'!C:C, $E$1, '리스사업(D)'!G:G, B75, '리스사업(D)'!X:X, B76, '리스사업(D)'!U:U, $C$1),
    COUNTIFS('임대사업(E)'!C:C, $E$1, '임대사업(E)'!G:G, B75, '임대사업(E)'!X:X, B76, '임대사업(E)'!U:U, $C$1),
    COUNTIFS('환경부사업(F)'!C:C, $E$1, '환경부사업(F)'!G:G, B75, '환경부사업(F)'!X:X, B76, '환경부사업(F)'!U:U, $C$1),
    COUNTIFS('프로젝트(G)'!C:C, $E$1, '프로젝트(G)'!G:G, B75, '프로젝트(G)'!X:X, B76, '프로젝트(G)'!U:U, $C$1),
    COUNTIFS('협력사 EPC(H)'!C:C, $E$1, '협력사 EPC(H)'!G:G, B75, '협력사 EPC(H)'!X:X, B76, '협력사 EPC(H)'!U:U, $C$1),
    COUNTIFS('기타(Z)'!C:C, $E$1, '기타(Z)'!G:G, B75, '기타(Z)'!X:X, B76, '기타(Z)'!U:U, $C$1)
  ) = 0,
  "",
  SUM(
    COUNTIFS('발전사업(A)'!C:C, $E$1, '발전사업(A)'!G:G, B75, '발전사업(A)'!X:X, B76, '발전사업(A)'!U:U, $C$1),
    COUNTIFS('자가소비(B)'!C:C, $E$1, '자가소비(B)'!G:G, B75, '자가소비(B)'!X:X, B76, '자가소비(B)'!U:U, $C$1),
    COUNTIFS('PPA 사업(C)'!C:C, $E$1, 'PPA 사업(C)'!G:G, B75, 'PPA 사업(C)'!X:X, B76, 'PPA 사업(C)'!U:U, $C$1),
    COUNTIFS('리스사업(D)'!C:C, $E$1, '리스사업(D)'!G:G, B75, '리스사업(D)'!X:X, B76, '리스사업(D)'!U:U, $C$1),
    COUNTIFS('임대사업(E)'!C:C, $E$1, '임대사업(E)'!G:G, B75, '임대사업(E)'!X:X, B76, '임대사업(E)'!U:U, $C$1),
    COUNTIFS('환경부사업(F)'!C:C, $E$1, '환경부사업(F)'!G:G, B75, '환경부사업(F)'!X:X, B76, '환경부사업(F)'!U:U, $C$1),
    COUNTIFS('프로젝트(G)'!C:C, $E$1, '프로젝트(G)'!G:G, B75, '프로젝트(G)'!X:X, B76, '프로젝트(G)'!U:U, $C$1),
    COUNTIFS('협력사 EPC(H)'!C:C, $E$1, '협력사 EPC(H)'!G:G, B75, '협력사 EPC(H)'!X:X, B76, '협력사 EPC(H)'!U:U, $C$1),
    COUNTIFS('기타(Z)'!C:C, $E$1, '기타(Z)'!G:G, B75, '기타(Z)'!X:X, B76, '기타(Z)'!U:U, $C$1)
  )
)</f>
        <v>1</v>
      </c>
      <c r="G76" s="262">
        <f>IF(
  SUM(
    SUMIFS('발전사업(A)'!I:I, '발전사업(A)'!C:C, $E$1, '발전사업(A)'!G:G, B75, '발전사업(A)'!X:X, B76, '발전사업(A)'!U:U, $D$1),
    SUMIFS('자가소비(B)'!I:I, '자가소비(B)'!C:C, $E$1, '자가소비(B)'!G:G, B75, '자가소비(B)'!X:X, B76, '자가소비(B)'!U:U, $D$1),
    SUMIFS('PPA 사업(C)'!I:I, 'PPA 사업(C)'!C:C, $E$1, 'PPA 사업(C)'!G:G, B75, 'PPA 사업(C)'!X:X, B76, 'PPA 사업(C)'!U:U, $D$1),
    SUMIFS('리스사업(D)'!I:I, '리스사업(D)'!C:C, $E$1, '리스사업(D)'!G:G, B75, '리스사업(D)'!X:X, B76, '리스사업(D)'!U:U, $D$1),
    SUMIFS('임대사업(E)'!I:I, '임대사업(E)'!C:C, $E$1, '임대사업(E)'!G:G, B75, '임대사업(E)'!X:X, B76, '임대사업(E)'!U:U, $D$1),
    SUMIFS('환경부사업(F)'!I:I, '환경부사업(F)'!C:C, $E$1, '환경부사업(F)'!G:G, B75, '환경부사업(F)'!X:X, B76, '환경부사업(F)'!U:U, $D$1),
    SUMIFS('프로젝트(G)'!I:I, '프로젝트(G)'!C:C, $E$1, '프로젝트(G)'!G:G, B75, '프로젝트(G)'!X:X, B76, '프로젝트(G)'!U:U, $D$1),
    SUMIFS('협력사 EPC(H)'!I:I, '협력사 EPC(H)'!C:C, $E$1, '협력사 EPC(H)'!G:G, B75, '협력사 EPC(H)'!X:X, B76, '협력사 EPC(H)'!U:U, $D$1),
    SUMIFS('기타(Z)'!I:I, '기타(Z)'!C:C, $E$1, '기타(Z)'!G:G, B75, '기타(Z)'!X:X, B76, '기타(Z)'!U:U, $D$1)
  ) = 0,
  "",
  SUM(
    SUMIFS('발전사업(A)'!I:I, '발전사업(A)'!C:C, $E$1, '발전사업(A)'!G:G, B75, '발전사업(A)'!X:X, B76, '발전사업(A)'!U:U, $D$1),
    SUMIFS('자가소비(B)'!I:I, '자가소비(B)'!C:C, $E$1, '자가소비(B)'!G:G, B75, '자가소비(B)'!X:X, B76, '자가소비(B)'!U:U, $D$1),
    SUMIFS('PPA 사업(C)'!I:I, 'PPA 사업(C)'!C:C, $E$1, 'PPA 사업(C)'!G:G, B75, 'PPA 사업(C)'!X:X, B76, 'PPA 사업(C)'!U:U, $D$1),
    SUMIFS('리스사업(D)'!I:I, '리스사업(D)'!C:C, $E$1, '리스사업(D)'!G:G, B75, '리스사업(D)'!X:X, B76, '리스사업(D)'!U:U, $D$1),
    SUMIFS('임대사업(E)'!I:I, '임대사업(E)'!C:C, $E$1, '임대사업(E)'!G:G, B75, '임대사업(E)'!X:X, B76, '임대사업(E)'!U:U, $D$1),
    SUMIFS('환경부사업(F)'!I:I, '환경부사업(F)'!C:C, $E$1, '환경부사업(F)'!G:G, B75, '환경부사업(F)'!X:X, B76, '환경부사업(F)'!U:U, $D$1),
    SUMIFS('프로젝트(G)'!I:I, '프로젝트(G)'!C:C, $E$1, '프로젝트(G)'!G:G, B75, '프로젝트(G)'!X:X, B76, '프로젝트(G)'!U:U, $D$1),
    SUMIFS('협력사 EPC(H)'!I:I, '협력사 EPC(H)'!C:C, $E$1, '협력사 EPC(H)'!G:G, B75, '협력사 EPC(H)'!X:X, B76, '협력사 EPC(H)'!U:U, $D$1),
    SUMIFS('기타(Z)'!I:I, '기타(Z)'!C:C, $E$1, '기타(Z)'!G:G, B75, '기타(Z)'!X:X, B76, '기타(Z)'!U:U, $D$1)
  )
)</f>
        <v>404.41500000000002</v>
      </c>
      <c r="H76" s="263">
        <f>IF(
  (
    COUNTIFS('발전사업(A)'!C:C, $E$1, '발전사업(A)'!G:G, B75, '발전사업(A)'!X:X, B76, '발전사업(A)'!U:U, $D$1)
    + COUNTIFS('자가소비(B)'!C:C, $E$1, '자가소비(B)'!G:G, B75, '자가소비(B)'!X:X, B76, '자가소비(B)'!U:U, $D$1)
    + COUNTIFS('PPA 사업(C)'!C:C, $E$1, 'PPA 사업(C)'!G:G, B75, 'PPA 사업(C)'!X:X, B76, 'PPA 사업(C)'!U:U, $D$1)
    + COUNTIFS('리스사업(D)'!C:C, $E$1, '리스사업(D)'!G:G, B75, '리스사업(D)'!X:X, B76, '리스사업(D)'!U:U, $D$1)
    + COUNTIFS('임대사업(E)'!C:C, $E$1, '임대사업(E)'!G:G, B75, '임대사업(E)'!X:X, B76, '임대사업(E)'!U:U, $D$1)
    + COUNTIFS('환경부사업(F)'!C:C, $E$1, '환경부사업(F)'!G:G, B75, '환경부사업(F)'!X:X, B76, '환경부사업(F)'!U:U, $D$1)
    + COUNTIFS('프로젝트(G)'!C:C, $E$1, '프로젝트(G)'!G:G, B75, '프로젝트(G)'!X:X, B76, '프로젝트(G)'!U:U, $D$1)
    + COUNTIFS('협력사 EPC(H)'!C:C, $E$1, '협력사 EPC(H)'!G:G, B75, '협력사 EPC(H)'!X:X, B76, '협력사 EPC(H)'!U:U, $D$1)
    + COUNTIFS('기타(Z)'!C:C, $E$1, '기타(Z)'!G:G, B75, '기타(Z)'!X:X, B76, '기타(Z)'!U:U, $D$1)
  ) = 0,
  "",
  COUNTIFS('발전사업(A)'!C:C, $E$1, '발전사업(A)'!G:G, B75, '발전사업(A)'!X:X, B76, '발전사업(A)'!U:U, $D$1)
  + COUNTIFS('자가소비(B)'!C:C, $E$1, '자가소비(B)'!G:G, B75, '자가소비(B)'!X:X, B76, '자가소비(B)'!U:U, $D$1)
  + COUNTIFS('PPA 사업(C)'!C:C, $E$1, 'PPA 사업(C)'!G:G, B75, 'PPA 사업(C)'!X:X, B76, 'PPA 사업(C)'!U:U, $D$1)
  + COUNTIFS('리스사업(D)'!C:C, $E$1, '리스사업(D)'!G:G, B75, '리스사업(D)'!X:X, B76, '리스사업(D)'!U:U, $D$1)
  + COUNTIFS('임대사업(E)'!C:C, $E$1, '임대사업(E)'!G:G, B75, '임대사업(E)'!X:X, B76, '임대사업(E)'!U:U, $D$1)
  + COUNTIFS('환경부사업(F)'!C:C, $E$1, '환경부사업(F)'!G:G, B75, '환경부사업(F)'!X:X, B76, '환경부사업(F)'!U:U, $D$1)
  + COUNTIFS('프로젝트(G)'!C:C, $E$1, '프로젝트(G)'!G:G, B75, '프로젝트(G)'!X:X, B76, '프로젝트(G)'!U:U, $D$1)
  + COUNTIFS('협력사 EPC(H)'!C:C, $E$1, '협력사 EPC(H)'!G:G, B75, '협력사 EPC(H)'!X:X, B76, '협력사 EPC(H)'!U:U, $D$1)
  + COUNTIFS('기타(Z)'!C:C, $E$1, '기타(Z)'!G:G, B75, '기타(Z)'!X:X, B76, '기타(Z)'!U:U, $D$1)
)</f>
        <v>1</v>
      </c>
    </row>
    <row r="77" spans="2:8" x14ac:dyDescent="0.25">
      <c r="B77" s="195" t="s">
        <v>152</v>
      </c>
      <c r="C77" s="262">
        <f>IF(
  SUM(
    SUMIFS('발전사업(A)'!I:I, '발전사업(A)'!C:C, $E$1, '발전사업(A)'!G:G, B75, '발전사업(A)'!X:X, B77),
    SUMIFS('자가소비(B)'!I:I, '자가소비(B)'!C:C, $E$1, '자가소비(B)'!G:G, B75, '자가소비(B)'!X:X, B77),
    SUMIFS('PPA 사업(C)'!I:I, 'PPA 사업(C)'!C:C, $E$1, 'PPA 사업(C)'!G:G, B75, 'PPA 사업(C)'!X:X, B77),
    SUMIFS('리스사업(D)'!I:I, '리스사업(D)'!C:C, $E$1, '리스사업(D)'!G:G, B75, '리스사업(D)'!X:X, B77),
    SUMIFS('임대사업(E)'!I:I, '임대사업(E)'!C:C, $E$1, '임대사업(E)'!G:G, B75, '임대사업(E)'!X:X, B77),
    SUMIFS('환경부사업(F)'!I:I, '환경부사업(F)'!C:C, $E$1, '환경부사업(F)'!G:G, B75, '환경부사업(F)'!X:X, B77),
    SUMIFS('프로젝트(G)'!I:I, '프로젝트(G)'!C:C, $E$1, '프로젝트(G)'!G:G, B75, '프로젝트(G)'!X:X, B77),
    SUMIFS('협력사 EPC(H)'!I:I, '협력사 EPC(H)'!C:C, $E$1, '협력사 EPC(H)'!G:G, B75, '협력사 EPC(H)'!X:X, B77),
    SUMIFS('기타(Z)'!I:I, '기타(Z)'!C:C, $E$1, '기타(Z)'!G:G, B75, '기타(Z)'!X:X, B77)
  ) = 0,
  "",
  SUMIFS('발전사업(A)'!I:I, '발전사업(A)'!C:C, $E$1, '발전사업(A)'!G:G, B75, '발전사업(A)'!X:X, B77)
  + SUMIFS('자가소비(B)'!I:I, '자가소비(B)'!C:C, $E$1, '자가소비(B)'!G:G, B75, '자가소비(B)'!X:X, B77)
  + SUMIFS('PPA 사업(C)'!I:I, 'PPA 사업(C)'!C:C, $E$1, 'PPA 사업(C)'!G:G, B75, 'PPA 사업(C)'!X:X, B77)
  + SUMIFS('리스사업(D)'!I:I, '리스사업(D)'!C:C, $E$1, '리스사업(D)'!G:G, B75, '리스사업(D)'!X:X, B77)
  + SUMIFS('임대사업(E)'!I:I, '임대사업(E)'!C:C, $E$1, '임대사업(E)'!G:G, B75, '임대사업(E)'!X:X, B77)
  + SUMIFS('환경부사업(F)'!I:I, '환경부사업(F)'!C:C, $E$1, '환경부사업(F)'!G:G, B75, '환경부사업(F)'!X:X, B77)
  + SUMIFS('프로젝트(G)'!I:I, '프로젝트(G)'!C:C, $E$1, '프로젝트(G)'!G:G, B75, '프로젝트(G)'!X:X, B77)
  + SUMIFS('협력사 EPC(H)'!I:I, '협력사 EPC(H)'!C:C, $E$1, '협력사 EPC(H)'!G:G, B75, '협력사 EPC(H)'!X:X, B77)
  + SUMIFS('기타(Z)'!I:I, '기타(Z)'!C:C, $E$1, '기타(Z)'!G:G, B75, '기타(Z)'!X:X, B77)
)</f>
        <v>4160.25</v>
      </c>
      <c r="D77" s="263">
        <f>IF(
  COUNTIFS('발전사업(A)'!C:C, $E$1, '발전사업(A)'!G:G, B75, '발전사업(A)'!X:X, B77)
  + COUNTIFS('자가소비(B)'!C:C, $E$1, '자가소비(B)'!G:G, B75, '자가소비(B)'!X:X, B77)
  + COUNTIFS('PPA 사업(C)'!C:C, $E$1, 'PPA 사업(C)'!G:G, B75, 'PPA 사업(C)'!X:X, B77)
  + COUNTIFS('리스사업(D)'!C:C, $E$1, '리스사업(D)'!G:G, B75, '리스사업(D)'!X:X, B77)
  + COUNTIFS('임대사업(E)'!C:C, $E$1, '임대사업(E)'!G:G, B75, '임대사업(E)'!X:X, B77)
  + COUNTIFS('환경부사업(F)'!C:C, $E$1, '환경부사업(F)'!G:G, B75, '환경부사업(F)'!X:X, B77)
  + COUNTIFS('프로젝트(G)'!C:C, $E$1, '프로젝트(G)'!G:G, B75, '프로젝트(G)'!X:X, B77)
  + COUNTIFS('협력사 EPC(H)'!C:C, $E$1, '협력사 EPC(H)'!G:G, B75, '협력사 EPC(H)'!X:X, B77)
  + COUNTIFS('기타(Z)'!C:C, $E$1, '기타(Z)'!G:G, B75, '기타(Z)'!X:X, B77)
  = 0,
  "",
  COUNTIFS('발전사업(A)'!C:C, $E$1, '발전사업(A)'!G:G, B75, '발전사업(A)'!X:X, B77)
  + COUNTIFS('자가소비(B)'!C:C, $E$1, '자가소비(B)'!G:G, B75, '자가소비(B)'!X:X, B77)
  + COUNTIFS('PPA 사업(C)'!C:C, $E$1, 'PPA 사업(C)'!G:G, B75, 'PPA 사업(C)'!X:X, B77)
  + COUNTIFS('리스사업(D)'!C:C, $E$1, '리스사업(D)'!G:G, B75, '리스사업(D)'!X:X, B77)
  + COUNTIFS('임대사업(E)'!C:C, $E$1, '임대사업(E)'!G:G, B75, '임대사업(E)'!X:X, B77)
  + COUNTIFS('환경부사업(F)'!C:C, $E$1, '환경부사업(F)'!G:G, B75, '환경부사업(F)'!X:X, B77)
  + COUNTIFS('프로젝트(G)'!C:C, $E$1, '프로젝트(G)'!G:G, B75, '프로젝트(G)'!X:X, B77)
  + COUNTIFS('협력사 EPC(H)'!C:C, $E$1, '협력사 EPC(H)'!G:G, B75, '협력사 EPC(H)'!X:X, B77)
  + COUNTIFS('기타(Z)'!C:C, $E$1, '기타(Z)'!G:G, B75, '기타(Z)'!X:X, B77)
)</f>
        <v>15</v>
      </c>
      <c r="E77" s="262">
        <f>IF(
  SUM(
    SUMIFS('발전사업(A)'!I:I, '발전사업(A)'!C:C, $E$1, '발전사업(A)'!G:G, B75, '발전사업(A)'!X:X, B77, '발전사업(A)'!U:U, $C$1),
    SUMIFS('자가소비(B)'!I:I, '자가소비(B)'!C:C, $E$1, '자가소비(B)'!G:G, B75, '자가소비(B)'!X:X, B77, '자가소비(B)'!U:U, $C$1),
    SUMIFS('PPA 사업(C)'!I:I, 'PPA 사업(C)'!C:C, $E$1, 'PPA 사업(C)'!G:G, B75, 'PPA 사업(C)'!X:X, B77, 'PPA 사업(C)'!U:U, $C$1),
    SUMIFS('리스사업(D)'!I:I, '리스사업(D)'!C:C, $E$1, '리스사업(D)'!G:G, B75, '리스사업(D)'!X:X, B77, '리스사업(D)'!U:U, $C$1),
    SUMIFS('임대사업(E)'!I:I, '임대사업(E)'!C:C, $E$1, '임대사업(E)'!G:G, B75, '임대사업(E)'!X:X, B77, '임대사업(E)'!U:U, $C$1),
    SUMIFS('환경부사업(F)'!I:I, '환경부사업(F)'!C:C, $E$1, '환경부사업(F)'!G:G, B75, '환경부사업(F)'!X:X, B77, '환경부사업(F)'!U:U, $C$1),
    SUMIFS('프로젝트(G)'!I:I, '프로젝트(G)'!C:C, $E$1, '프로젝트(G)'!G:G, B75, '프로젝트(G)'!X:X, B77, '프로젝트(G)'!U:U, $C$1),
    SUMIFS('협력사 EPC(H)'!I:I, '협력사 EPC(H)'!C:C, $E$1, '협력사 EPC(H)'!G:G, B75, '협력사 EPC(H)'!X:X, B77, '협력사 EPC(H)'!U:U, $C$1),
    SUMIFS('기타(Z)'!I:I, '기타(Z)'!C:C, $E$1, '기타(Z)'!G:G, B75, '기타(Z)'!X:X, B77, '기타(Z)'!U:U, $C$1)
  ) = 0,
  "",
  SUM(
    SUMIFS('발전사업(A)'!I:I, '발전사업(A)'!C:C, $E$1, '발전사업(A)'!G:G, B75, '발전사업(A)'!X:X, B77, '발전사업(A)'!U:U, $C$1),
    SUMIFS('자가소비(B)'!I:I, '자가소비(B)'!C:C, $E$1, '자가소비(B)'!G:G, B75, '자가소비(B)'!X:X, B77, '자가소비(B)'!U:U, $C$1),
    SUMIFS('PPA 사업(C)'!I:I, 'PPA 사업(C)'!C:C, $E$1, 'PPA 사업(C)'!G:G, B75, 'PPA 사업(C)'!X:X, B77, 'PPA 사업(C)'!U:U, $C$1),
    SUMIFS('리스사업(D)'!I:I, '리스사업(D)'!C:C, $E$1, '리스사업(D)'!G:G, B75, '리스사업(D)'!X:X, B77, '리스사업(D)'!U:U, $C$1),
    SUMIFS('임대사업(E)'!I:I, '임대사업(E)'!C:C, $E$1, '임대사업(E)'!G:G, B75, '임대사업(E)'!X:X, B77, '임대사업(E)'!U:U, $C$1),
    SUMIFS('환경부사업(F)'!I:I, '환경부사업(F)'!C:C, $E$1, '환경부사업(F)'!G:G, B75, '환경부사업(F)'!X:X, B77, '환경부사업(F)'!U:U, $C$1),
    SUMIFS('프로젝트(G)'!I:I, '프로젝트(G)'!C:C, $E$1, '프로젝트(G)'!G:G, B75, '프로젝트(G)'!X:X, B77, '프로젝트(G)'!U:U, $C$1),
    SUMIFS('협력사 EPC(H)'!I:I, '협력사 EPC(H)'!C:C, $E$1, '협력사 EPC(H)'!G:G, B75, '협력사 EPC(H)'!X:X, B77, '협력사 EPC(H)'!U:U, $C$1),
    SUMIFS('기타(Z)'!I:I, '기타(Z)'!C:C, $E$1, '기타(Z)'!G:G, B75, '기타(Z)'!X:X, B77, '기타(Z)'!U:U, $C$1)
  )
)</f>
        <v>2809.6200000000003</v>
      </c>
      <c r="F77" s="263">
        <f>IF(
  SUM(
    COUNTIFS('발전사업(A)'!C:C, $E$1, '발전사업(A)'!G:G, B75, '발전사업(A)'!X:X, B77, '발전사업(A)'!U:U, $C$1),
    COUNTIFS('자가소비(B)'!C:C, $E$1, '자가소비(B)'!G:G, B75, '자가소비(B)'!X:X, B77, '자가소비(B)'!U:U, $C$1),
    COUNTIFS('PPA 사업(C)'!C:C, $E$1, 'PPA 사업(C)'!G:G, B75, 'PPA 사업(C)'!X:X, B77, 'PPA 사업(C)'!U:U, $C$1),
    COUNTIFS('리스사업(D)'!C:C, $E$1, '리스사업(D)'!G:G, B75, '리스사업(D)'!X:X, B77, '리스사업(D)'!U:U, $C$1),
    COUNTIFS('임대사업(E)'!C:C, $E$1, '임대사업(E)'!G:G, B75, '임대사업(E)'!X:X, B77, '임대사업(E)'!U:U, $C$1),
    COUNTIFS('환경부사업(F)'!C:C, $E$1, '환경부사업(F)'!G:G, B75, '환경부사업(F)'!X:X, B77, '환경부사업(F)'!U:U, $C$1),
    COUNTIFS('프로젝트(G)'!C:C, $E$1, '프로젝트(G)'!G:G, B75, '프로젝트(G)'!X:X, B77, '프로젝트(G)'!U:U, $C$1),
    COUNTIFS('협력사 EPC(H)'!C:C, $E$1, '협력사 EPC(H)'!G:G, B75, '협력사 EPC(H)'!X:X, B77, '협력사 EPC(H)'!U:U, $C$1),
    COUNTIFS('기타(Z)'!C:C, $E$1, '기타(Z)'!G:G, B75, '기타(Z)'!X:X, B77, '기타(Z)'!U:U, $C$1)
  ) = 0,
  "",
  SUM(
    COUNTIFS('발전사업(A)'!C:C, $E$1, '발전사업(A)'!G:G, B75, '발전사업(A)'!X:X, B77, '발전사업(A)'!U:U, $C$1),
    COUNTIFS('자가소비(B)'!C:C, $E$1, '자가소비(B)'!G:G, B75, '자가소비(B)'!X:X, B77, '자가소비(B)'!U:U, $C$1),
    COUNTIFS('PPA 사업(C)'!C:C, $E$1, 'PPA 사업(C)'!G:G, B75, 'PPA 사업(C)'!X:X, B77, 'PPA 사업(C)'!U:U, $C$1),
    COUNTIFS('리스사업(D)'!C:C, $E$1, '리스사업(D)'!G:G, B75, '리스사업(D)'!X:X, B77, '리스사업(D)'!U:U, $C$1),
    COUNTIFS('임대사업(E)'!C:C, $E$1, '임대사업(E)'!G:G, B75, '임대사업(E)'!X:X, B77, '임대사업(E)'!U:U, $C$1),
    COUNTIFS('환경부사업(F)'!C:C, $E$1, '환경부사업(F)'!G:G, B75, '환경부사업(F)'!X:X, B77, '환경부사업(F)'!U:U, $C$1),
    COUNTIFS('프로젝트(G)'!C:C, $E$1, '프로젝트(G)'!G:G, B75, '프로젝트(G)'!X:X, B77, '프로젝트(G)'!U:U, $C$1),
    COUNTIFS('협력사 EPC(H)'!C:C, $E$1, '협력사 EPC(H)'!G:G, B75, '협력사 EPC(H)'!X:X, B77, '협력사 EPC(H)'!U:U, $C$1),
    COUNTIFS('기타(Z)'!C:C, $E$1, '기타(Z)'!G:G, B75, '기타(Z)'!X:X, B77, '기타(Z)'!U:U, $C$1)
  )
)</f>
        <v>11</v>
      </c>
      <c r="G77" s="262">
        <f>IF(
  SUM(
    SUMIFS('발전사업(A)'!I:I, '발전사업(A)'!C:C, $E$1, '발전사업(A)'!G:G, B75, '발전사업(A)'!X:X, B77, '발전사업(A)'!U:U, $D$1),
    SUMIFS('자가소비(B)'!I:I, '자가소비(B)'!C:C, $E$1, '자가소비(B)'!G:G, B75, '자가소비(B)'!X:X, B77, '자가소비(B)'!U:U, $D$1),
    SUMIFS('PPA 사업(C)'!I:I, 'PPA 사업(C)'!C:C, $E$1, 'PPA 사업(C)'!G:G, B75, 'PPA 사업(C)'!X:X, B77, 'PPA 사업(C)'!U:U, $D$1),
    SUMIFS('리스사업(D)'!I:I, '리스사업(D)'!C:C, $E$1, '리스사업(D)'!G:G, B75, '리스사업(D)'!X:X, B77, '리스사업(D)'!U:U, $D$1),
    SUMIFS('임대사업(E)'!I:I, '임대사업(E)'!C:C, $E$1, '임대사업(E)'!G:G, B75, '임대사업(E)'!X:X, B77, '임대사업(E)'!U:U, $D$1),
    SUMIFS('환경부사업(F)'!I:I, '환경부사업(F)'!C:C, $E$1, '환경부사업(F)'!G:G, B75, '환경부사업(F)'!X:X, B77, '환경부사업(F)'!U:U, $D$1),
    SUMIFS('프로젝트(G)'!I:I, '프로젝트(G)'!C:C, $E$1, '프로젝트(G)'!G:G, B75, '프로젝트(G)'!X:X, B77, '프로젝트(G)'!U:U, $D$1),
    SUMIFS('협력사 EPC(H)'!I:I, '협력사 EPC(H)'!C:C, $E$1, '협력사 EPC(H)'!G:G, B75, '협력사 EPC(H)'!X:X, B77, '협력사 EPC(H)'!U:U, $D$1),
    SUMIFS('기타(Z)'!I:I, '기타(Z)'!C:C, $E$1, '기타(Z)'!G:G, B75, '기타(Z)'!X:X, B77, '기타(Z)'!U:U, $D$1)
  ) = 0,
  "",
  SUM(
    SUMIFS('발전사업(A)'!I:I, '발전사업(A)'!C:C, $E$1, '발전사업(A)'!G:G, B75, '발전사업(A)'!X:X, B77, '발전사업(A)'!U:U, $D$1),
    SUMIFS('자가소비(B)'!I:I, '자가소비(B)'!C:C, $E$1, '자가소비(B)'!G:G, B75, '자가소비(B)'!X:X, B77, '자가소비(B)'!U:U, $D$1),
    SUMIFS('PPA 사업(C)'!I:I, 'PPA 사업(C)'!C:C, $E$1, 'PPA 사업(C)'!G:G, B75, 'PPA 사업(C)'!X:X, B77, 'PPA 사업(C)'!U:U, $D$1),
    SUMIFS('리스사업(D)'!I:I, '리스사업(D)'!C:C, $E$1, '리스사업(D)'!G:G, B75, '리스사업(D)'!X:X, B77, '리스사업(D)'!U:U, $D$1),
    SUMIFS('임대사업(E)'!I:I, '임대사업(E)'!C:C, $E$1, '임대사업(E)'!G:G, B75, '임대사업(E)'!X:X, B77, '임대사업(E)'!U:U, $D$1),
    SUMIFS('환경부사업(F)'!I:I, '환경부사업(F)'!C:C, $E$1, '환경부사업(F)'!G:G, B75, '환경부사업(F)'!X:X, B77, '환경부사업(F)'!U:U, $D$1),
    SUMIFS('프로젝트(G)'!I:I, '프로젝트(G)'!C:C, $E$1, '프로젝트(G)'!G:G, B75, '프로젝트(G)'!X:X, B77, '프로젝트(G)'!U:U, $D$1),
    SUMIFS('협력사 EPC(H)'!I:I, '협력사 EPC(H)'!C:C, $E$1, '협력사 EPC(H)'!G:G, B75, '협력사 EPC(H)'!X:X, B77, '협력사 EPC(H)'!U:U, $D$1),
    SUMIFS('기타(Z)'!I:I, '기타(Z)'!C:C, $E$1, '기타(Z)'!G:G, B75, '기타(Z)'!X:X, B77, '기타(Z)'!U:U, $D$1)
  )
)</f>
        <v>1350.63</v>
      </c>
      <c r="H77" s="263">
        <f>IF(
  (
    COUNTIFS('발전사업(A)'!C:C, $E$1, '발전사업(A)'!G:G, B75, '발전사업(A)'!X:X, B77, '발전사업(A)'!U:U, $D$1)
    + COUNTIFS('자가소비(B)'!C:C, $E$1, '자가소비(B)'!G:G, B75, '자가소비(B)'!X:X, B77, '자가소비(B)'!U:U, $D$1)
    + COUNTIFS('PPA 사업(C)'!C:C, $E$1, 'PPA 사업(C)'!G:G, B75, 'PPA 사업(C)'!X:X, B77, 'PPA 사업(C)'!U:U, $D$1)
    + COUNTIFS('리스사업(D)'!C:C, $E$1, '리스사업(D)'!G:G, B75, '리스사업(D)'!X:X, B77, '리스사업(D)'!U:U, $D$1)
    + COUNTIFS('임대사업(E)'!C:C, $E$1, '임대사업(E)'!G:G, B75, '임대사업(E)'!X:X, B77, '임대사업(E)'!U:U, $D$1)
    + COUNTIFS('환경부사업(F)'!C:C, $E$1, '환경부사업(F)'!G:G, B75, '환경부사업(F)'!X:X, B77, '환경부사업(F)'!U:U, $D$1)
    + COUNTIFS('프로젝트(G)'!C:C, $E$1, '프로젝트(G)'!G:G, B75, '프로젝트(G)'!X:X, B77, '프로젝트(G)'!U:U, $D$1)
    + COUNTIFS('협력사 EPC(H)'!C:C, $E$1, '협력사 EPC(H)'!G:G, B75, '협력사 EPC(H)'!X:X, B77, '협력사 EPC(H)'!U:U, $D$1)
    + COUNTIFS('기타(Z)'!C:C, $E$1, '기타(Z)'!G:G, B75, '기타(Z)'!X:X, B77, '기타(Z)'!U:U, $D$1)
  ) = 0,
  "",
  COUNTIFS('발전사업(A)'!C:C, $E$1, '발전사업(A)'!G:G, B75, '발전사업(A)'!X:X, B77, '발전사업(A)'!U:U, $D$1)
  + COUNTIFS('자가소비(B)'!C:C, $E$1, '자가소비(B)'!G:G, B75, '자가소비(B)'!X:X, B77, '자가소비(B)'!U:U, $D$1)
  + COUNTIFS('PPA 사업(C)'!C:C, $E$1, 'PPA 사업(C)'!G:G, B75, 'PPA 사업(C)'!X:X, B77, 'PPA 사업(C)'!U:U, $D$1)
  + COUNTIFS('리스사업(D)'!C:C, $E$1, '리스사업(D)'!G:G, B75, '리스사업(D)'!X:X, B77, '리스사업(D)'!U:U, $D$1)
  + COUNTIFS('임대사업(E)'!C:C, $E$1, '임대사업(E)'!G:G, B75, '임대사업(E)'!X:X, B77, '임대사업(E)'!U:U, $D$1)
  + COUNTIFS('환경부사업(F)'!C:C, $E$1, '환경부사업(F)'!G:G, B75, '환경부사업(F)'!X:X, B77, '환경부사업(F)'!U:U, $D$1)
  + COUNTIFS('프로젝트(G)'!C:C, $E$1, '프로젝트(G)'!G:G, B75, '프로젝트(G)'!X:X, B77, '프로젝트(G)'!U:U, $D$1)
  + COUNTIFS('협력사 EPC(H)'!C:C, $E$1, '협력사 EPC(H)'!G:G, B75, '협력사 EPC(H)'!X:X, B77, '협력사 EPC(H)'!U:U, $D$1)
  + COUNTIFS('기타(Z)'!C:C, $E$1, '기타(Z)'!G:G, B75, '기타(Z)'!X:X, B77, '기타(Z)'!U:U, $D$1)
)</f>
        <v>4</v>
      </c>
    </row>
    <row r="78" spans="2:8" x14ac:dyDescent="0.25">
      <c r="B78" s="195" t="s">
        <v>153</v>
      </c>
      <c r="C78" s="262" t="str">
        <f>IF(
  SUM(
    SUMIFS('발전사업(A)'!I:I, '발전사업(A)'!C:C, $E$1, '발전사업(A)'!G:G, B75, '발전사업(A)'!X:X, B78),
    SUMIFS('자가소비(B)'!I:I, '자가소비(B)'!C:C, $E$1, '자가소비(B)'!G:G, B75, '자가소비(B)'!X:X, B78),
    SUMIFS('PPA 사업(C)'!I:I, 'PPA 사업(C)'!C:C, $E$1, 'PPA 사업(C)'!G:G, B75, 'PPA 사업(C)'!X:X, B78),
    SUMIFS('리스사업(D)'!I:I, '리스사업(D)'!C:C, $E$1, '리스사업(D)'!G:G, B75, '리스사업(D)'!X:X, B78),
    SUMIFS('임대사업(E)'!I:I, '임대사업(E)'!C:C, $E$1, '임대사업(E)'!G:G, B75, '임대사업(E)'!X:X, B78),
    SUMIFS('환경부사업(F)'!I:I, '환경부사업(F)'!C:C, $E$1, '환경부사업(F)'!G:G, B75, '환경부사업(F)'!X:X, B78),
    SUMIFS('프로젝트(G)'!I:I, '프로젝트(G)'!C:C, $E$1, '프로젝트(G)'!G:G, B75, '프로젝트(G)'!X:X, B78),
    SUMIFS('협력사 EPC(H)'!I:I, '협력사 EPC(H)'!C:C, $E$1, '협력사 EPC(H)'!G:G, B75, '협력사 EPC(H)'!X:X, B78),
    SUMIFS('기타(Z)'!I:I, '기타(Z)'!C:C, $E$1, '기타(Z)'!G:G, B75, '기타(Z)'!X:X, B78)
  ) = 0,
  "",
  SUMIFS('발전사업(A)'!I:I, '발전사업(A)'!C:C, $E$1, '발전사업(A)'!G:G, B75, '발전사업(A)'!X:X, B78)
  + SUMIFS('자가소비(B)'!I:I, '자가소비(B)'!C:C, $E$1, '자가소비(B)'!G:G, B75, '자가소비(B)'!X:X, B78)
  + SUMIFS('PPA 사업(C)'!I:I, 'PPA 사업(C)'!C:C, $E$1, 'PPA 사업(C)'!G:G, B75, 'PPA 사업(C)'!X:X, B78)
  + SUMIFS('리스사업(D)'!I:I, '리스사업(D)'!C:C, $E$1, '리스사업(D)'!G:G, B75, '리스사업(D)'!X:X, B78)
  + SUMIFS('임대사업(E)'!I:I, '임대사업(E)'!C:C, $E$1, '임대사업(E)'!G:G, B75, '임대사업(E)'!X:X, B78)
  + SUMIFS('환경부사업(F)'!I:I, '환경부사업(F)'!C:C, $E$1, '환경부사업(F)'!G:G, B75, '환경부사업(F)'!X:X, B78)
  + SUMIFS('프로젝트(G)'!I:I, '프로젝트(G)'!C:C, $E$1, '프로젝트(G)'!G:G, B75, '프로젝트(G)'!X:X, B78)
  + SUMIFS('협력사 EPC(H)'!I:I, '협력사 EPC(H)'!C:C, $E$1, '협력사 EPC(H)'!G:G, B75, '협력사 EPC(H)'!X:X, B78)
  + SUMIFS('기타(Z)'!I:I, '기타(Z)'!C:C, $E$1, '기타(Z)'!G:G, B75, '기타(Z)'!X:X, B78)
)</f>
        <v/>
      </c>
      <c r="D78" s="263" t="str">
        <f>IF(
  COUNTIFS('발전사업(A)'!C:C, $E$1, '발전사업(A)'!G:G, B75, '발전사업(A)'!X:X, B78)
  + COUNTIFS('자가소비(B)'!C:C, $E$1, '자가소비(B)'!G:G, B75, '자가소비(B)'!X:X, B78)
  + COUNTIFS('PPA 사업(C)'!C:C, $E$1, 'PPA 사업(C)'!G:G, B75, 'PPA 사업(C)'!X:X, B78)
  + COUNTIFS('리스사업(D)'!C:C, $E$1, '리스사업(D)'!G:G, B75, '리스사업(D)'!X:X, B78)
  + COUNTIFS('임대사업(E)'!C:C, $E$1, '임대사업(E)'!G:G, B75, '임대사업(E)'!X:X, B78)
  + COUNTIFS('환경부사업(F)'!C:C, $E$1, '환경부사업(F)'!G:G, B75, '환경부사업(F)'!X:X, B78)
  + COUNTIFS('프로젝트(G)'!C:C, $E$1, '프로젝트(G)'!G:G, B75, '프로젝트(G)'!X:X, B78)
  + COUNTIFS('협력사 EPC(H)'!C:C, $E$1, '협력사 EPC(H)'!G:G, B75, '협력사 EPC(H)'!X:X, B78)
  + COUNTIFS('기타(Z)'!C:C, $E$1, '기타(Z)'!G:G, B75, '기타(Z)'!X:X, B78)
  = 0,
  "",
  COUNTIFS('발전사업(A)'!C:C, $E$1, '발전사업(A)'!G:G, B75, '발전사업(A)'!X:X, B78)
  + COUNTIFS('자가소비(B)'!C:C, $E$1, '자가소비(B)'!G:G, B75, '자가소비(B)'!X:X, B78)
  + COUNTIFS('PPA 사업(C)'!C:C, $E$1, 'PPA 사업(C)'!G:G, B75, 'PPA 사업(C)'!X:X, B78)
  + COUNTIFS('리스사업(D)'!C:C, $E$1, '리스사업(D)'!G:G, B75, '리스사업(D)'!X:X, B78)
  + COUNTIFS('임대사업(E)'!C:C, $E$1, '임대사업(E)'!G:G, B75, '임대사업(E)'!X:X, B78)
  + COUNTIFS('환경부사업(F)'!C:C, $E$1, '환경부사업(F)'!G:G, B75, '환경부사업(F)'!X:X, B78)
  + COUNTIFS('프로젝트(G)'!C:C, $E$1, '프로젝트(G)'!G:G, B75, '프로젝트(G)'!X:X, B78)
  + COUNTIFS('협력사 EPC(H)'!C:C, $E$1, '협력사 EPC(H)'!G:G, B75, '협력사 EPC(H)'!X:X, B78)
  + COUNTIFS('기타(Z)'!C:C, $E$1, '기타(Z)'!G:G, B75, '기타(Z)'!X:X, B78)
)</f>
        <v/>
      </c>
      <c r="E78" s="262" t="str">
        <f>IF(
  SUM(
    SUMIFS('발전사업(A)'!I:I, '발전사업(A)'!C:C, $E$1, '발전사업(A)'!G:G, B75, '발전사업(A)'!X:X, B78, '발전사업(A)'!U:U, $C$1),
    SUMIFS('자가소비(B)'!I:I, '자가소비(B)'!C:C, $E$1, '자가소비(B)'!G:G, B75, '자가소비(B)'!X:X, B78, '자가소비(B)'!U:U, $C$1),
    SUMIFS('PPA 사업(C)'!I:I, 'PPA 사업(C)'!C:C, $E$1, 'PPA 사업(C)'!G:G, B75, 'PPA 사업(C)'!X:X, B78, 'PPA 사업(C)'!U:U, $C$1),
    SUMIFS('리스사업(D)'!I:I, '리스사업(D)'!C:C, $E$1, '리스사업(D)'!G:G, B75, '리스사업(D)'!X:X, B78, '리스사업(D)'!U:U, $C$1),
    SUMIFS('임대사업(E)'!I:I, '임대사업(E)'!C:C, $E$1, '임대사업(E)'!G:G, B75, '임대사업(E)'!X:X, B78, '임대사업(E)'!U:U, $C$1),
    SUMIFS('환경부사업(F)'!I:I, '환경부사업(F)'!C:C, $E$1, '환경부사업(F)'!G:G, B75, '환경부사업(F)'!X:X, B78, '환경부사업(F)'!U:U, $C$1),
    SUMIFS('프로젝트(G)'!I:I, '프로젝트(G)'!C:C, $E$1, '프로젝트(G)'!G:G, B75, '프로젝트(G)'!X:X, B78, '프로젝트(G)'!U:U, $C$1),
    SUMIFS('협력사 EPC(H)'!I:I, '협력사 EPC(H)'!C:C, $E$1, '협력사 EPC(H)'!G:G, B75, '협력사 EPC(H)'!X:X, B78, '협력사 EPC(H)'!U:U, $C$1),
    SUMIFS('기타(Z)'!I:I, '기타(Z)'!C:C, $E$1, '기타(Z)'!G:G, B75, '기타(Z)'!X:X, B78, '기타(Z)'!U:U, $C$1)
  ) = 0,
  "",
  SUM(
    SUMIFS('발전사업(A)'!I:I, '발전사업(A)'!C:C, $E$1, '발전사업(A)'!G:G, B75, '발전사업(A)'!X:X, B78, '발전사업(A)'!U:U, $C$1),
    SUMIFS('자가소비(B)'!I:I, '자가소비(B)'!C:C, $E$1, '자가소비(B)'!G:G, B75, '자가소비(B)'!X:X, B78, '자가소비(B)'!U:U, $C$1),
    SUMIFS('PPA 사업(C)'!I:I, 'PPA 사업(C)'!C:C, $E$1, 'PPA 사업(C)'!G:G, B75, 'PPA 사업(C)'!X:X, B78, 'PPA 사업(C)'!U:U, $C$1),
    SUMIFS('리스사업(D)'!I:I, '리스사업(D)'!C:C, $E$1, '리스사업(D)'!G:G, B75, '리스사업(D)'!X:X, B78, '리스사업(D)'!U:U, $C$1),
    SUMIFS('임대사업(E)'!I:I, '임대사업(E)'!C:C, $E$1, '임대사업(E)'!G:G, B75, '임대사업(E)'!X:X, B78, '임대사업(E)'!U:U, $C$1),
    SUMIFS('환경부사업(F)'!I:I, '환경부사업(F)'!C:C, $E$1, '환경부사업(F)'!G:G, B75, '환경부사업(F)'!X:X, B78, '환경부사업(F)'!U:U, $C$1),
    SUMIFS('프로젝트(G)'!I:I, '프로젝트(G)'!C:C, $E$1, '프로젝트(G)'!G:G, B75, '프로젝트(G)'!X:X, B78, '프로젝트(G)'!U:U, $C$1),
    SUMIFS('협력사 EPC(H)'!I:I, '협력사 EPC(H)'!C:C, $E$1, '협력사 EPC(H)'!G:G, B75, '협력사 EPC(H)'!X:X, B78, '협력사 EPC(H)'!U:U, $C$1),
    SUMIFS('기타(Z)'!I:I, '기타(Z)'!C:C, $E$1, '기타(Z)'!G:G, B75, '기타(Z)'!X:X, B78, '기타(Z)'!U:U, $C$1)
  )
)</f>
        <v/>
      </c>
      <c r="F78" s="263" t="str">
        <f>IF(
  SUM(
    COUNTIFS('발전사업(A)'!C:C, $E$1, '발전사업(A)'!G:G, B75, '발전사업(A)'!X:X, B78, '발전사업(A)'!U:U, $C$1),
    COUNTIFS('자가소비(B)'!C:C, $E$1, '자가소비(B)'!G:G, B75, '자가소비(B)'!X:X, B78, '자가소비(B)'!U:U, $C$1),
    COUNTIFS('PPA 사업(C)'!C:C, $E$1, 'PPA 사업(C)'!G:G, B75, 'PPA 사업(C)'!X:X, B78, 'PPA 사업(C)'!U:U, $C$1),
    COUNTIFS('리스사업(D)'!C:C, $E$1, '리스사업(D)'!G:G, B75, '리스사업(D)'!X:X, B78, '리스사업(D)'!U:U, $C$1),
    COUNTIFS('임대사업(E)'!C:C, $E$1, '임대사업(E)'!G:G, B75, '임대사업(E)'!X:X, B78, '임대사업(E)'!U:U, $C$1),
    COUNTIFS('환경부사업(F)'!C:C, $E$1, '환경부사업(F)'!G:G, B75, '환경부사업(F)'!X:X, B78, '환경부사업(F)'!U:U, $C$1),
    COUNTIFS('프로젝트(G)'!C:C, $E$1, '프로젝트(G)'!G:G, B75, '프로젝트(G)'!X:X, B78, '프로젝트(G)'!U:U, $C$1),
    COUNTIFS('협력사 EPC(H)'!C:C, $E$1, '협력사 EPC(H)'!G:G, B75, '협력사 EPC(H)'!X:X, B78, '협력사 EPC(H)'!U:U, $C$1),
    COUNTIFS('기타(Z)'!C:C, $E$1, '기타(Z)'!G:G, B75, '기타(Z)'!X:X, B78, '기타(Z)'!U:U, $C$1)
  ) = 0,
  "",
  SUM(
    COUNTIFS('발전사업(A)'!C:C, $E$1, '발전사업(A)'!G:G, B75, '발전사업(A)'!X:X, B78, '발전사업(A)'!U:U, $C$1),
    COUNTIFS('자가소비(B)'!C:C, $E$1, '자가소비(B)'!G:G, B75, '자가소비(B)'!X:X, B78, '자가소비(B)'!U:U, $C$1),
    COUNTIFS('PPA 사업(C)'!C:C, $E$1, 'PPA 사업(C)'!G:G, B75, 'PPA 사업(C)'!X:X, B78, 'PPA 사업(C)'!U:U, $C$1),
    COUNTIFS('리스사업(D)'!C:C, $E$1, '리스사업(D)'!G:G, B75, '리스사업(D)'!X:X, B78, '리스사업(D)'!U:U, $C$1),
    COUNTIFS('임대사업(E)'!C:C, $E$1, '임대사업(E)'!G:G, B75, '임대사업(E)'!X:X, B78, '임대사업(E)'!U:U, $C$1),
    COUNTIFS('환경부사업(F)'!C:C, $E$1, '환경부사업(F)'!G:G, B75, '환경부사업(F)'!X:X, B78, '환경부사업(F)'!U:U, $C$1),
    COUNTIFS('프로젝트(G)'!C:C, $E$1, '프로젝트(G)'!G:G, B75, '프로젝트(G)'!X:X, B78, '프로젝트(G)'!U:U, $C$1),
    COUNTIFS('협력사 EPC(H)'!C:C, $E$1, '협력사 EPC(H)'!G:G, B75, '협력사 EPC(H)'!X:X, B78, '협력사 EPC(H)'!U:U, $C$1),
    COUNTIFS('기타(Z)'!C:C, $E$1, '기타(Z)'!G:G, B75, '기타(Z)'!X:X, B78, '기타(Z)'!U:U, $C$1)
  )
)</f>
        <v/>
      </c>
      <c r="G78" s="262" t="str">
        <f>IF(
  SUM(
    SUMIFS('발전사업(A)'!I:I, '발전사업(A)'!C:C, $E$1, '발전사업(A)'!G:G, B75, '발전사업(A)'!X:X, B78, '발전사업(A)'!U:U, $D$1),
    SUMIFS('자가소비(B)'!I:I, '자가소비(B)'!C:C, $E$1, '자가소비(B)'!G:G, B75, '자가소비(B)'!X:X, B78, '자가소비(B)'!U:U, $D$1),
    SUMIFS('PPA 사업(C)'!I:I, 'PPA 사업(C)'!C:C, $E$1, 'PPA 사업(C)'!G:G, B75, 'PPA 사업(C)'!X:X, B78, 'PPA 사업(C)'!U:U, $D$1),
    SUMIFS('리스사업(D)'!I:I, '리스사업(D)'!C:C, $E$1, '리스사업(D)'!G:G, B75, '리스사업(D)'!X:X, B78, '리스사업(D)'!U:U, $D$1),
    SUMIFS('임대사업(E)'!I:I, '임대사업(E)'!C:C, $E$1, '임대사업(E)'!G:G, B75, '임대사업(E)'!X:X, B78, '임대사업(E)'!U:U, $D$1),
    SUMIFS('환경부사업(F)'!I:I, '환경부사업(F)'!C:C, $E$1, '환경부사업(F)'!G:G, B75, '환경부사업(F)'!X:X, B78, '환경부사업(F)'!U:U, $D$1),
    SUMIFS('프로젝트(G)'!I:I, '프로젝트(G)'!C:C, $E$1, '프로젝트(G)'!G:G, B75, '프로젝트(G)'!X:X, B78, '프로젝트(G)'!U:U, $D$1),
    SUMIFS('협력사 EPC(H)'!I:I, '협력사 EPC(H)'!C:C, $E$1, '협력사 EPC(H)'!G:G, B75, '협력사 EPC(H)'!X:X, B78, '협력사 EPC(H)'!U:U, $D$1),
    SUMIFS('기타(Z)'!I:I, '기타(Z)'!C:C, $E$1, '기타(Z)'!G:G, B75, '기타(Z)'!X:X, B78, '기타(Z)'!U:U, $D$1)
  ) = 0,
  "",
  SUM(
    SUMIFS('발전사업(A)'!I:I, '발전사업(A)'!C:C, $E$1, '발전사업(A)'!G:G, B75, '발전사업(A)'!X:X, B78, '발전사업(A)'!U:U, $D$1),
    SUMIFS('자가소비(B)'!I:I, '자가소비(B)'!C:C, $E$1, '자가소비(B)'!G:G, B75, '자가소비(B)'!X:X, B78, '자가소비(B)'!U:U, $D$1),
    SUMIFS('PPA 사업(C)'!I:I, 'PPA 사업(C)'!C:C, $E$1, 'PPA 사업(C)'!G:G, B75, 'PPA 사업(C)'!X:X, B78, 'PPA 사업(C)'!U:U, $D$1),
    SUMIFS('리스사업(D)'!I:I, '리스사업(D)'!C:C, $E$1, '리스사업(D)'!G:G, B75, '리스사업(D)'!X:X, B78, '리스사업(D)'!U:U, $D$1),
    SUMIFS('임대사업(E)'!I:I, '임대사업(E)'!C:C, $E$1, '임대사업(E)'!G:G, B75, '임대사업(E)'!X:X, B78, '임대사업(E)'!U:U, $D$1),
    SUMIFS('환경부사업(F)'!I:I, '환경부사업(F)'!C:C, $E$1, '환경부사업(F)'!G:G, B75, '환경부사업(F)'!X:X, B78, '환경부사업(F)'!U:U, $D$1),
    SUMIFS('프로젝트(G)'!I:I, '프로젝트(G)'!C:C, $E$1, '프로젝트(G)'!G:G, B75, '프로젝트(G)'!X:X, B78, '프로젝트(G)'!U:U, $D$1),
    SUMIFS('협력사 EPC(H)'!I:I, '협력사 EPC(H)'!C:C, $E$1, '협력사 EPC(H)'!G:G, B75, '협력사 EPC(H)'!X:X, B78, '협력사 EPC(H)'!U:U, $D$1),
    SUMIFS('기타(Z)'!I:I, '기타(Z)'!C:C, $E$1, '기타(Z)'!G:G, B75, '기타(Z)'!X:X, B78, '기타(Z)'!U:U, $D$1)
  )
)</f>
        <v/>
      </c>
      <c r="H78" s="263" t="str">
        <f>IF(
  (
    COUNTIFS('발전사업(A)'!C:C, $E$1, '발전사업(A)'!G:G, B75, '발전사업(A)'!X:X, B78, '발전사업(A)'!U:U, $D$1)
    + COUNTIFS('자가소비(B)'!C:C, $E$1, '자가소비(B)'!G:G, B75, '자가소비(B)'!X:X, B78, '자가소비(B)'!U:U, $D$1)
    + COUNTIFS('PPA 사업(C)'!C:C, $E$1, 'PPA 사업(C)'!G:G, B75, 'PPA 사업(C)'!X:X, B78, 'PPA 사업(C)'!U:U, $D$1)
    + COUNTIFS('리스사업(D)'!C:C, $E$1, '리스사업(D)'!G:G, B75, '리스사업(D)'!X:X, B78, '리스사업(D)'!U:U, $D$1)
    + COUNTIFS('임대사업(E)'!C:C, $E$1, '임대사업(E)'!G:G, B75, '임대사업(E)'!X:X, B78, '임대사업(E)'!U:U, $D$1)
    + COUNTIFS('환경부사업(F)'!C:C, $E$1, '환경부사업(F)'!G:G, B75, '환경부사업(F)'!X:X, B78, '환경부사업(F)'!U:U, $D$1)
    + COUNTIFS('프로젝트(G)'!C:C, $E$1, '프로젝트(G)'!G:G, B75, '프로젝트(G)'!X:X, B78, '프로젝트(G)'!U:U, $D$1)
    + COUNTIFS('협력사 EPC(H)'!C:C, $E$1, '협력사 EPC(H)'!G:G, B75, '협력사 EPC(H)'!X:X, B78, '협력사 EPC(H)'!U:U, $D$1)
    + COUNTIFS('기타(Z)'!C:C, $E$1, '기타(Z)'!G:G, B75, '기타(Z)'!X:X, B78, '기타(Z)'!U:U, $D$1)
  ) = 0,
  "",
  COUNTIFS('발전사업(A)'!C:C, $E$1, '발전사업(A)'!G:G, B75, '발전사업(A)'!X:X, B78, '발전사업(A)'!U:U, $D$1)
  + COUNTIFS('자가소비(B)'!C:C, $E$1, '자가소비(B)'!G:G, B75, '자가소비(B)'!X:X, B78, '자가소비(B)'!U:U, $D$1)
  + COUNTIFS('PPA 사업(C)'!C:C, $E$1, 'PPA 사업(C)'!G:G, B75, 'PPA 사업(C)'!X:X, B78, 'PPA 사업(C)'!U:U, $D$1)
  + COUNTIFS('리스사업(D)'!C:C, $E$1, '리스사업(D)'!G:G, B75, '리스사업(D)'!X:X, B78, '리스사업(D)'!U:U, $D$1)
  + COUNTIFS('임대사업(E)'!C:C, $E$1, '임대사업(E)'!G:G, B75, '임대사업(E)'!X:X, B78, '임대사업(E)'!U:U, $D$1)
  + COUNTIFS('환경부사업(F)'!C:C, $E$1, '환경부사업(F)'!G:G, B75, '환경부사업(F)'!X:X, B78, '환경부사업(F)'!U:U, $D$1)
  + COUNTIFS('프로젝트(G)'!C:C, $E$1, '프로젝트(G)'!G:G, B75, '프로젝트(G)'!X:X, B78, '프로젝트(G)'!U:U, $D$1)
  + COUNTIFS('협력사 EPC(H)'!C:C, $E$1, '협력사 EPC(H)'!G:G, B75, '협력사 EPC(H)'!X:X, B78, '협력사 EPC(H)'!U:U, $D$1)
  + COUNTIFS('기타(Z)'!C:C, $E$1, '기타(Z)'!G:G, B75, '기타(Z)'!X:X, B78, '기타(Z)'!U:U, $D$1)
)</f>
        <v/>
      </c>
    </row>
    <row r="79" spans="2:8" x14ac:dyDescent="0.25">
      <c r="B79" s="195" t="s">
        <v>154</v>
      </c>
      <c r="C79" s="262">
        <f>IF(
  SUM(
    SUMIFS('발전사업(A)'!I:I, '발전사업(A)'!C:C, $E$1, '발전사업(A)'!G:G, B75, '발전사업(A)'!X:X, B79),
    SUMIFS('자가소비(B)'!I:I, '자가소비(B)'!C:C, $E$1, '자가소비(B)'!G:G, B75, '자가소비(B)'!X:X, B79),
    SUMIFS('PPA 사업(C)'!I:I, 'PPA 사업(C)'!C:C, $E$1, 'PPA 사업(C)'!G:G, B75, 'PPA 사업(C)'!X:X, B79),
    SUMIFS('리스사업(D)'!I:I, '리스사업(D)'!C:C, $E$1, '리스사업(D)'!G:G, B75, '리스사업(D)'!X:X, B79),
    SUMIFS('임대사업(E)'!I:I, '임대사업(E)'!C:C, $E$1, '임대사업(E)'!G:G, B75, '임대사업(E)'!X:X, B79),
    SUMIFS('환경부사업(F)'!I:I, '환경부사업(F)'!C:C, $E$1, '환경부사업(F)'!G:G, B75, '환경부사업(F)'!X:X, B79),
    SUMIFS('프로젝트(G)'!I:I, '프로젝트(G)'!C:C, $E$1, '프로젝트(G)'!G:G, B75, '프로젝트(G)'!X:X, B79),
    SUMIFS('협력사 EPC(H)'!I:I, '협력사 EPC(H)'!C:C, $E$1, '협력사 EPC(H)'!G:G, B75, '협력사 EPC(H)'!X:X, B79),
    SUMIFS('기타(Z)'!I:I, '기타(Z)'!C:C, $E$1, '기타(Z)'!G:G, B75, '기타(Z)'!X:X, B79)
  ) = 0,
  "",
  SUMIFS('발전사업(A)'!I:I, '발전사업(A)'!C:C, $E$1, '발전사업(A)'!G:G, B75, '발전사업(A)'!X:X, B79)
  + SUMIFS('자가소비(B)'!I:I, '자가소비(B)'!C:C, $E$1, '자가소비(B)'!G:G, B75, '자가소비(B)'!X:X, B79)
  + SUMIFS('PPA 사업(C)'!I:I, 'PPA 사업(C)'!C:C, $E$1, 'PPA 사업(C)'!G:G, B75, 'PPA 사업(C)'!X:X, B79)
  + SUMIFS('리스사업(D)'!I:I, '리스사업(D)'!C:C, $E$1, '리스사업(D)'!G:G, B75, '리스사업(D)'!X:X, B79)
  + SUMIFS('임대사업(E)'!I:I, '임대사업(E)'!C:C, $E$1, '임대사업(E)'!G:G, B75, '임대사업(E)'!X:X, B79)
  + SUMIFS('환경부사업(F)'!I:I, '환경부사업(F)'!C:C, $E$1, '환경부사업(F)'!G:G, B75, '환경부사업(F)'!X:X, B79)
  + SUMIFS('프로젝트(G)'!I:I, '프로젝트(G)'!C:C, $E$1, '프로젝트(G)'!G:G, B75, '프로젝트(G)'!X:X, B79)
  + SUMIFS('협력사 EPC(H)'!I:I, '협력사 EPC(H)'!C:C, $E$1, '협력사 EPC(H)'!G:G, B75, '협력사 EPC(H)'!X:X, B79)
  + SUMIFS('기타(Z)'!I:I, '기타(Z)'!C:C, $E$1, '기타(Z)'!G:G, B75, '기타(Z)'!X:X, B79)
)</f>
        <v>218.655</v>
      </c>
      <c r="D79" s="263">
        <f>IF(
  COUNTIFS('발전사업(A)'!C:C, $E$1, '발전사업(A)'!G:G, B75, '발전사업(A)'!X:X, B79)
  + COUNTIFS('자가소비(B)'!C:C, $E$1, '자가소비(B)'!G:G, B75, '자가소비(B)'!X:X, B79)
  + COUNTIFS('PPA 사업(C)'!C:C, $E$1, 'PPA 사업(C)'!G:G, B75, 'PPA 사업(C)'!X:X, B79)
  + COUNTIFS('리스사업(D)'!C:C, $E$1, '리스사업(D)'!G:G, B75, '리스사업(D)'!X:X, B79)
  + COUNTIFS('임대사업(E)'!C:C, $E$1, '임대사업(E)'!G:G, B75, '임대사업(E)'!X:X, B79)
  + COUNTIFS('환경부사업(F)'!C:C, $E$1, '환경부사업(F)'!G:G, B75, '환경부사업(F)'!X:X, B79)
  + COUNTIFS('프로젝트(G)'!C:C, $E$1, '프로젝트(G)'!G:G, B75, '프로젝트(G)'!X:X, B79)
  + COUNTIFS('협력사 EPC(H)'!C:C, $E$1, '협력사 EPC(H)'!G:G, B75, '협력사 EPC(H)'!X:X, B79)
  + COUNTIFS('기타(Z)'!C:C, $E$1, '기타(Z)'!G:G, B75, '기타(Z)'!X:X, B79)
  = 0,
  "",
  COUNTIFS('발전사업(A)'!C:C, $E$1, '발전사업(A)'!G:G, B75, '발전사업(A)'!X:X, B79)
  + COUNTIFS('자가소비(B)'!C:C, $E$1, '자가소비(B)'!G:G, B75, '자가소비(B)'!X:X, B79)
  + COUNTIFS('PPA 사업(C)'!C:C, $E$1, 'PPA 사업(C)'!G:G, B75, 'PPA 사업(C)'!X:X, B79)
  + COUNTIFS('리스사업(D)'!C:C, $E$1, '리스사업(D)'!G:G, B75, '리스사업(D)'!X:X, B79)
  + COUNTIFS('임대사업(E)'!C:C, $E$1, '임대사업(E)'!G:G, B75, '임대사업(E)'!X:X, B79)
  + COUNTIFS('환경부사업(F)'!C:C, $E$1, '환경부사업(F)'!G:G, B75, '환경부사업(F)'!X:X, B79)
  + COUNTIFS('프로젝트(G)'!C:C, $E$1, '프로젝트(G)'!G:G, B75, '프로젝트(G)'!X:X, B79)
  + COUNTIFS('협력사 EPC(H)'!C:C, $E$1, '협력사 EPC(H)'!G:G, B75, '협력사 EPC(H)'!X:X, B79)
  + COUNTIFS('기타(Z)'!C:C, $E$1, '기타(Z)'!G:G, B75, '기타(Z)'!X:X, B79)
)</f>
        <v>1</v>
      </c>
      <c r="E79" s="262" t="str">
        <f>IF(
  SUM(
    SUMIFS('발전사업(A)'!I:I, '발전사업(A)'!C:C, $E$1, '발전사업(A)'!G:G, B75, '발전사업(A)'!X:X, B79, '발전사업(A)'!U:U, $C$1),
    SUMIFS('자가소비(B)'!I:I, '자가소비(B)'!C:C, $E$1, '자가소비(B)'!G:G, B75, '자가소비(B)'!X:X, B79, '자가소비(B)'!U:U, $C$1),
    SUMIFS('PPA 사업(C)'!I:I, 'PPA 사업(C)'!C:C, $E$1, 'PPA 사업(C)'!G:G, B75, 'PPA 사업(C)'!X:X, B79, 'PPA 사업(C)'!U:U, $C$1),
    SUMIFS('리스사업(D)'!I:I, '리스사업(D)'!C:C, $E$1, '리스사업(D)'!G:G, B75, '리스사업(D)'!X:X, B79, '리스사업(D)'!U:U, $C$1),
    SUMIFS('임대사업(E)'!I:I, '임대사업(E)'!C:C, $E$1, '임대사업(E)'!G:G, B75, '임대사업(E)'!X:X, B79, '임대사업(E)'!U:U, $C$1),
    SUMIFS('환경부사업(F)'!I:I, '환경부사업(F)'!C:C, $E$1, '환경부사업(F)'!G:G, B75, '환경부사업(F)'!X:X, B79, '환경부사업(F)'!U:U, $C$1),
    SUMIFS('프로젝트(G)'!I:I, '프로젝트(G)'!C:C, $E$1, '프로젝트(G)'!G:G, B75, '프로젝트(G)'!X:X, B79, '프로젝트(G)'!U:U, $C$1),
    SUMIFS('협력사 EPC(H)'!I:I, '협력사 EPC(H)'!C:C, $E$1, '협력사 EPC(H)'!G:G, B75, '협력사 EPC(H)'!X:X, B79, '협력사 EPC(H)'!U:U, $C$1),
    SUMIFS('기타(Z)'!I:I, '기타(Z)'!C:C, $E$1, '기타(Z)'!G:G, B75, '기타(Z)'!X:X, B79, '기타(Z)'!U:U, $C$1)
  ) = 0,
  "",
  SUM(
    SUMIFS('발전사업(A)'!I:I, '발전사업(A)'!C:C, $E$1, '발전사업(A)'!G:G, B75, '발전사업(A)'!X:X, B79, '발전사업(A)'!U:U, $C$1),
    SUMIFS('자가소비(B)'!I:I, '자가소비(B)'!C:C, $E$1, '자가소비(B)'!G:G, B75, '자가소비(B)'!X:X, B79, '자가소비(B)'!U:U, $C$1),
    SUMIFS('PPA 사업(C)'!I:I, 'PPA 사업(C)'!C:C, $E$1, 'PPA 사업(C)'!G:G, B75, 'PPA 사업(C)'!X:X, B79, 'PPA 사업(C)'!U:U, $C$1),
    SUMIFS('리스사업(D)'!I:I, '리스사업(D)'!C:C, $E$1, '리스사업(D)'!G:G, B75, '리스사업(D)'!X:X, B79, '리스사업(D)'!U:U, $C$1),
    SUMIFS('임대사업(E)'!I:I, '임대사업(E)'!C:C, $E$1, '임대사업(E)'!G:G, B75, '임대사업(E)'!X:X, B79, '임대사업(E)'!U:U, $C$1),
    SUMIFS('환경부사업(F)'!I:I, '환경부사업(F)'!C:C, $E$1, '환경부사업(F)'!G:G, B75, '환경부사업(F)'!X:X, B79, '환경부사업(F)'!U:U, $C$1),
    SUMIFS('프로젝트(G)'!I:I, '프로젝트(G)'!C:C, $E$1, '프로젝트(G)'!G:G, B75, '프로젝트(G)'!X:X, B79, '프로젝트(G)'!U:U, $C$1),
    SUMIFS('협력사 EPC(H)'!I:I, '협력사 EPC(H)'!C:C, $E$1, '협력사 EPC(H)'!G:G, B75, '협력사 EPC(H)'!X:X, B79, '협력사 EPC(H)'!U:U, $C$1),
    SUMIFS('기타(Z)'!I:I, '기타(Z)'!C:C, $E$1, '기타(Z)'!G:G, B75, '기타(Z)'!X:X, B79, '기타(Z)'!U:U, $C$1)
  )
)</f>
        <v/>
      </c>
      <c r="F79" s="263" t="str">
        <f>IF(
  SUM(
    COUNTIFS('발전사업(A)'!C:C, $E$1, '발전사업(A)'!G:G, B75, '발전사업(A)'!X:X, B79, '발전사업(A)'!U:U, $C$1),
    COUNTIFS('자가소비(B)'!C:C, $E$1, '자가소비(B)'!G:G, B75, '자가소비(B)'!X:X, B79, '자가소비(B)'!U:U, $C$1),
    COUNTIFS('PPA 사업(C)'!C:C, $E$1, 'PPA 사업(C)'!G:G, B75, 'PPA 사업(C)'!X:X, B79, 'PPA 사업(C)'!U:U, $C$1),
    COUNTIFS('리스사업(D)'!C:C, $E$1, '리스사업(D)'!G:G, B75, '리스사업(D)'!X:X, B79, '리스사업(D)'!U:U, $C$1),
    COUNTIFS('임대사업(E)'!C:C, $E$1, '임대사업(E)'!G:G, B75, '임대사업(E)'!X:X, B79, '임대사업(E)'!U:U, $C$1),
    COUNTIFS('환경부사업(F)'!C:C, $E$1, '환경부사업(F)'!G:G, B75, '환경부사업(F)'!X:X, B79, '환경부사업(F)'!U:U, $C$1),
    COUNTIFS('프로젝트(G)'!C:C, $E$1, '프로젝트(G)'!G:G, B75, '프로젝트(G)'!X:X, B79, '프로젝트(G)'!U:U, $C$1),
    COUNTIFS('협력사 EPC(H)'!C:C, $E$1, '협력사 EPC(H)'!G:G, B75, '협력사 EPC(H)'!X:X, B79, '협력사 EPC(H)'!U:U, $C$1),
    COUNTIFS('기타(Z)'!C:C, $E$1, '기타(Z)'!G:G, B75, '기타(Z)'!X:X, B79, '기타(Z)'!U:U, $C$1)
  ) = 0,
  "",
  SUM(
    COUNTIFS('발전사업(A)'!C:C, $E$1, '발전사업(A)'!G:G, B75, '발전사업(A)'!X:X, B79, '발전사업(A)'!U:U, $C$1),
    COUNTIFS('자가소비(B)'!C:C, $E$1, '자가소비(B)'!G:G, B75, '자가소비(B)'!X:X, B79, '자가소비(B)'!U:U, $C$1),
    COUNTIFS('PPA 사업(C)'!C:C, $E$1, 'PPA 사업(C)'!G:G, B75, 'PPA 사업(C)'!X:X, B79, 'PPA 사업(C)'!U:U, $C$1),
    COUNTIFS('리스사업(D)'!C:C, $E$1, '리스사업(D)'!G:G, B75, '리스사업(D)'!X:X, B79, '리스사업(D)'!U:U, $C$1),
    COUNTIFS('임대사업(E)'!C:C, $E$1, '임대사업(E)'!G:G, B75, '임대사업(E)'!X:X, B79, '임대사업(E)'!U:U, $C$1),
    COUNTIFS('환경부사업(F)'!C:C, $E$1, '환경부사업(F)'!G:G, B75, '환경부사업(F)'!X:X, B79, '환경부사업(F)'!U:U, $C$1),
    COUNTIFS('프로젝트(G)'!C:C, $E$1, '프로젝트(G)'!G:G, B75, '프로젝트(G)'!X:X, B79, '프로젝트(G)'!U:U, $C$1),
    COUNTIFS('협력사 EPC(H)'!C:C, $E$1, '협력사 EPC(H)'!G:G, B75, '협력사 EPC(H)'!X:X, B79, '협력사 EPC(H)'!U:U, $C$1),
    COUNTIFS('기타(Z)'!C:C, $E$1, '기타(Z)'!G:G, B75, '기타(Z)'!X:X, B79, '기타(Z)'!U:U, $C$1)
  )
)</f>
        <v/>
      </c>
      <c r="G79" s="262">
        <f>IF(
  SUM(
    SUMIFS('발전사업(A)'!I:I, '발전사업(A)'!C:C, $E$1, '발전사업(A)'!G:G, B75, '발전사업(A)'!X:X, B79, '발전사업(A)'!U:U, $D$1),
    SUMIFS('자가소비(B)'!I:I, '자가소비(B)'!C:C, $E$1, '자가소비(B)'!G:G, B75, '자가소비(B)'!X:X, B79, '자가소비(B)'!U:U, $D$1),
    SUMIFS('PPA 사업(C)'!I:I, 'PPA 사업(C)'!C:C, $E$1, 'PPA 사업(C)'!G:G, B75, 'PPA 사업(C)'!X:X, B79, 'PPA 사업(C)'!U:U, $D$1),
    SUMIFS('리스사업(D)'!I:I, '리스사업(D)'!C:C, $E$1, '리스사업(D)'!G:G, B75, '리스사업(D)'!X:X, B79, '리스사업(D)'!U:U, $D$1),
    SUMIFS('임대사업(E)'!I:I, '임대사업(E)'!C:C, $E$1, '임대사업(E)'!G:G, B75, '임대사업(E)'!X:X, B79, '임대사업(E)'!U:U, $D$1),
    SUMIFS('환경부사업(F)'!I:I, '환경부사업(F)'!C:C, $E$1, '환경부사업(F)'!G:G, B75, '환경부사업(F)'!X:X, B79, '환경부사업(F)'!U:U, $D$1),
    SUMIFS('프로젝트(G)'!I:I, '프로젝트(G)'!C:C, $E$1, '프로젝트(G)'!G:G, B75, '프로젝트(G)'!X:X, B79, '프로젝트(G)'!U:U, $D$1),
    SUMIFS('협력사 EPC(H)'!I:I, '협력사 EPC(H)'!C:C, $E$1, '협력사 EPC(H)'!G:G, B75, '협력사 EPC(H)'!X:X, B79, '협력사 EPC(H)'!U:U, $D$1),
    SUMIFS('기타(Z)'!I:I, '기타(Z)'!C:C, $E$1, '기타(Z)'!G:G, B75, '기타(Z)'!X:X, B79, '기타(Z)'!U:U, $D$1)
  ) = 0,
  "",
  SUM(
    SUMIFS('발전사업(A)'!I:I, '발전사업(A)'!C:C, $E$1, '발전사업(A)'!G:G, B75, '발전사업(A)'!X:X, B79, '발전사업(A)'!U:U, $D$1),
    SUMIFS('자가소비(B)'!I:I, '자가소비(B)'!C:C, $E$1, '자가소비(B)'!G:G, B75, '자가소비(B)'!X:X, B79, '자가소비(B)'!U:U, $D$1),
    SUMIFS('PPA 사업(C)'!I:I, 'PPA 사업(C)'!C:C, $E$1, 'PPA 사업(C)'!G:G, B75, 'PPA 사업(C)'!X:X, B79, 'PPA 사업(C)'!U:U, $D$1),
    SUMIFS('리스사업(D)'!I:I, '리스사업(D)'!C:C, $E$1, '리스사업(D)'!G:G, B75, '리스사업(D)'!X:X, B79, '리스사업(D)'!U:U, $D$1),
    SUMIFS('임대사업(E)'!I:I, '임대사업(E)'!C:C, $E$1, '임대사업(E)'!G:G, B75, '임대사업(E)'!X:X, B79, '임대사업(E)'!U:U, $D$1),
    SUMIFS('환경부사업(F)'!I:I, '환경부사업(F)'!C:C, $E$1, '환경부사업(F)'!G:G, B75, '환경부사업(F)'!X:X, B79, '환경부사업(F)'!U:U, $D$1),
    SUMIFS('프로젝트(G)'!I:I, '프로젝트(G)'!C:C, $E$1, '프로젝트(G)'!G:G, B75, '프로젝트(G)'!X:X, B79, '프로젝트(G)'!U:U, $D$1),
    SUMIFS('협력사 EPC(H)'!I:I, '협력사 EPC(H)'!C:C, $E$1, '협력사 EPC(H)'!G:G, B75, '협력사 EPC(H)'!X:X, B79, '협력사 EPC(H)'!U:U, $D$1),
    SUMIFS('기타(Z)'!I:I, '기타(Z)'!C:C, $E$1, '기타(Z)'!G:G, B75, '기타(Z)'!X:X, B79, '기타(Z)'!U:U, $D$1)
  )
)</f>
        <v>218.655</v>
      </c>
      <c r="H79" s="263">
        <f>IF(
  (
    COUNTIFS('발전사업(A)'!C:C, $E$1, '발전사업(A)'!G:G, B75, '발전사업(A)'!X:X, B79, '발전사업(A)'!U:U, $D$1)
    + COUNTIFS('자가소비(B)'!C:C, $E$1, '자가소비(B)'!G:G, B75, '자가소비(B)'!X:X, B79, '자가소비(B)'!U:U, $D$1)
    + COUNTIFS('PPA 사업(C)'!C:C, $E$1, 'PPA 사업(C)'!G:G, B75, 'PPA 사업(C)'!X:X, B79, 'PPA 사업(C)'!U:U, $D$1)
    + COUNTIFS('리스사업(D)'!C:C, $E$1, '리스사업(D)'!G:G, B75, '리스사업(D)'!X:X, B79, '리스사업(D)'!U:U, $D$1)
    + COUNTIFS('임대사업(E)'!C:C, $E$1, '임대사업(E)'!G:G, B75, '임대사업(E)'!X:X, B79, '임대사업(E)'!U:U, $D$1)
    + COUNTIFS('환경부사업(F)'!C:C, $E$1, '환경부사업(F)'!G:G, B75, '환경부사업(F)'!X:X, B79, '환경부사업(F)'!U:U, $D$1)
    + COUNTIFS('프로젝트(G)'!C:C, $E$1, '프로젝트(G)'!G:G, B75, '프로젝트(G)'!X:X, B79, '프로젝트(G)'!U:U, $D$1)
    + COUNTIFS('협력사 EPC(H)'!C:C, $E$1, '협력사 EPC(H)'!G:G, B75, '협력사 EPC(H)'!X:X, B79, '협력사 EPC(H)'!U:U, $D$1)
    + COUNTIFS('기타(Z)'!C:C, $E$1, '기타(Z)'!G:G, B75, '기타(Z)'!X:X, B79, '기타(Z)'!U:U, $D$1)
  ) = 0,
  "",
  COUNTIFS('발전사업(A)'!C:C, $E$1, '발전사업(A)'!G:G, B75, '발전사업(A)'!X:X, B79, '발전사업(A)'!U:U, $D$1)
  + COUNTIFS('자가소비(B)'!C:C, $E$1, '자가소비(B)'!G:G, B75, '자가소비(B)'!X:X, B79, '자가소비(B)'!U:U, $D$1)
  + COUNTIFS('PPA 사업(C)'!C:C, $E$1, 'PPA 사업(C)'!G:G, B75, 'PPA 사업(C)'!X:X, B79, 'PPA 사업(C)'!U:U, $D$1)
  + COUNTIFS('리스사업(D)'!C:C, $E$1, '리스사업(D)'!G:G, B75, '리스사업(D)'!X:X, B79, '리스사업(D)'!U:U, $D$1)
  + COUNTIFS('임대사업(E)'!C:C, $E$1, '임대사업(E)'!G:G, B75, '임대사업(E)'!X:X, B79, '임대사업(E)'!U:U, $D$1)
  + COUNTIFS('환경부사업(F)'!C:C, $E$1, '환경부사업(F)'!G:G, B75, '환경부사업(F)'!X:X, B79, '환경부사업(F)'!U:U, $D$1)
  + COUNTIFS('프로젝트(G)'!C:C, $E$1, '프로젝트(G)'!G:G, B75, '프로젝트(G)'!X:X, B79, '프로젝트(G)'!U:U, $D$1)
  + COUNTIFS('협력사 EPC(H)'!C:C, $E$1, '협력사 EPC(H)'!G:G, B75, '협력사 EPC(H)'!X:X, B79, '협력사 EPC(H)'!U:U, $D$1)
  + COUNTIFS('기타(Z)'!C:C, $E$1, '기타(Z)'!G:G, B75, '기타(Z)'!X:X, B79, '기타(Z)'!U:U, $D$1)
)</f>
        <v>1</v>
      </c>
    </row>
    <row r="80" spans="2:8" x14ac:dyDescent="0.25">
      <c r="B80" s="195" t="s">
        <v>155</v>
      </c>
      <c r="C80" s="262">
        <f>IF(
  SUM(
    SUMIFS('발전사업(A)'!I:I, '발전사업(A)'!C:C, $E$1, '발전사업(A)'!G:G, B75, '발전사업(A)'!X:X, B80),
    SUMIFS('자가소비(B)'!I:I, '자가소비(B)'!C:C, $E$1, '자가소비(B)'!G:G, B75, '자가소비(B)'!X:X, B80),
    SUMIFS('PPA 사업(C)'!I:I, 'PPA 사업(C)'!C:C, $E$1, 'PPA 사업(C)'!G:G, B75, 'PPA 사업(C)'!X:X, B80),
    SUMIFS('리스사업(D)'!I:I, '리스사업(D)'!C:C, $E$1, '리스사업(D)'!G:G, B75, '리스사업(D)'!X:X, B80),
    SUMIFS('임대사업(E)'!I:I, '임대사업(E)'!C:C, $E$1, '임대사업(E)'!G:G, B75, '임대사업(E)'!X:X, B80),
    SUMIFS('환경부사업(F)'!I:I, '환경부사업(F)'!C:C, $E$1, '환경부사업(F)'!G:G, B75, '환경부사업(F)'!X:X, B80),
    SUMIFS('프로젝트(G)'!I:I, '프로젝트(G)'!C:C, $E$1, '프로젝트(G)'!G:G, B75, '프로젝트(G)'!X:X, B80),
    SUMIFS('협력사 EPC(H)'!I:I, '협력사 EPC(H)'!C:C, $E$1, '협력사 EPC(H)'!G:G, B75, '협력사 EPC(H)'!X:X, B80),
    SUMIFS('기타(Z)'!I:I, '기타(Z)'!C:C, $E$1, '기타(Z)'!G:G, B75, '기타(Z)'!X:X, B80)
  ) = 0,
  "",
  SUMIFS('발전사업(A)'!I:I, '발전사업(A)'!C:C, $E$1, '발전사업(A)'!G:G, B75, '발전사업(A)'!X:X, B80)
  + SUMIFS('자가소비(B)'!I:I, '자가소비(B)'!C:C, $E$1, '자가소비(B)'!G:G, B75, '자가소비(B)'!X:X, B80)
  + SUMIFS('PPA 사업(C)'!I:I, 'PPA 사업(C)'!C:C, $E$1, 'PPA 사업(C)'!G:G, B75, 'PPA 사업(C)'!X:X, B80)
  + SUMIFS('리스사업(D)'!I:I, '리스사업(D)'!C:C, $E$1, '리스사업(D)'!G:G, B75, '리스사업(D)'!X:X, B80)
  + SUMIFS('임대사업(E)'!I:I, '임대사업(E)'!C:C, $E$1, '임대사업(E)'!G:G, B75, '임대사업(E)'!X:X, B80)
  + SUMIFS('환경부사업(F)'!I:I, '환경부사업(F)'!C:C, $E$1, '환경부사업(F)'!G:G, B75, '환경부사업(F)'!X:X, B80)
  + SUMIFS('프로젝트(G)'!I:I, '프로젝트(G)'!C:C, $E$1, '프로젝트(G)'!G:G, B75, '프로젝트(G)'!X:X, B80)
  + SUMIFS('협력사 EPC(H)'!I:I, '협력사 EPC(H)'!C:C, $E$1, '협력사 EPC(H)'!G:G, B75, '협력사 EPC(H)'!X:X, B80)
  + SUMIFS('기타(Z)'!I:I, '기타(Z)'!C:C, $E$1, '기타(Z)'!G:G, B75, '기타(Z)'!X:X, B80)
)</f>
        <v>92.88</v>
      </c>
      <c r="D80" s="263">
        <f>IF(
  COUNTIFS('발전사업(A)'!C:C, $E$1, '발전사업(A)'!G:G, B75, '발전사업(A)'!X:X, B80)
  + COUNTIFS('자가소비(B)'!C:C, $E$1, '자가소비(B)'!G:G, B75, '자가소비(B)'!X:X, B80)
  + COUNTIFS('PPA 사업(C)'!C:C, $E$1, 'PPA 사업(C)'!G:G, B75, 'PPA 사업(C)'!X:X, B80)
  + COUNTIFS('리스사업(D)'!C:C, $E$1, '리스사업(D)'!G:G, B75, '리스사업(D)'!X:X, B80)
  + COUNTIFS('임대사업(E)'!C:C, $E$1, '임대사업(E)'!G:G, B75, '임대사업(E)'!X:X, B80)
  + COUNTIFS('환경부사업(F)'!C:C, $E$1, '환경부사업(F)'!G:G, B75, '환경부사업(F)'!X:X, B80)
  + COUNTIFS('프로젝트(G)'!C:C, $E$1, '프로젝트(G)'!G:G, B75, '프로젝트(G)'!X:X, B80)
  + COUNTIFS('협력사 EPC(H)'!C:C, $E$1, '협력사 EPC(H)'!G:G, B75, '협력사 EPC(H)'!X:X, B80)
  + COUNTIFS('기타(Z)'!C:C, $E$1, '기타(Z)'!G:G, B75, '기타(Z)'!X:X, B80)
  = 0,
  "",
  COUNTIFS('발전사업(A)'!C:C, $E$1, '발전사업(A)'!G:G, B75, '발전사업(A)'!X:X, B80)
  + COUNTIFS('자가소비(B)'!C:C, $E$1, '자가소비(B)'!G:G, B75, '자가소비(B)'!X:X, B80)
  + COUNTIFS('PPA 사업(C)'!C:C, $E$1, 'PPA 사업(C)'!G:G, B75, 'PPA 사업(C)'!X:X, B80)
  + COUNTIFS('리스사업(D)'!C:C, $E$1, '리스사업(D)'!G:G, B75, '리스사업(D)'!X:X, B80)
  + COUNTIFS('임대사업(E)'!C:C, $E$1, '임대사업(E)'!G:G, B75, '임대사업(E)'!X:X, B80)
  + COUNTIFS('환경부사업(F)'!C:C, $E$1, '환경부사업(F)'!G:G, B75, '환경부사업(F)'!X:X, B80)
  + COUNTIFS('프로젝트(G)'!C:C, $E$1, '프로젝트(G)'!G:G, B75, '프로젝트(G)'!X:X, B80)
  + COUNTIFS('협력사 EPC(H)'!C:C, $E$1, '협력사 EPC(H)'!G:G, B75, '협력사 EPC(H)'!X:X, B80)
  + COUNTIFS('기타(Z)'!C:C, $E$1, '기타(Z)'!G:G, B75, '기타(Z)'!X:X, B80)
)</f>
        <v>2</v>
      </c>
      <c r="E80" s="262">
        <f>IF(
  SUM(
    SUMIFS('발전사업(A)'!I:I, '발전사업(A)'!C:C, $E$1, '발전사업(A)'!G:G, B75, '발전사업(A)'!X:X, B80, '발전사업(A)'!U:U, $C$1),
    SUMIFS('자가소비(B)'!I:I, '자가소비(B)'!C:C, $E$1, '자가소비(B)'!G:G, B75, '자가소비(B)'!X:X, B80, '자가소비(B)'!U:U, $C$1),
    SUMIFS('PPA 사업(C)'!I:I, 'PPA 사업(C)'!C:C, $E$1, 'PPA 사업(C)'!G:G, B75, 'PPA 사업(C)'!X:X, B80, 'PPA 사업(C)'!U:U, $C$1),
    SUMIFS('리스사업(D)'!I:I, '리스사업(D)'!C:C, $E$1, '리스사업(D)'!G:G, B75, '리스사업(D)'!X:X, B80, '리스사업(D)'!U:U, $C$1),
    SUMIFS('임대사업(E)'!I:I, '임대사업(E)'!C:C, $E$1, '임대사업(E)'!G:G, B75, '임대사업(E)'!X:X, B80, '임대사업(E)'!U:U, $C$1),
    SUMIFS('환경부사업(F)'!I:I, '환경부사업(F)'!C:C, $E$1, '환경부사업(F)'!G:G, B75, '환경부사업(F)'!X:X, B80, '환경부사업(F)'!U:U, $C$1),
    SUMIFS('프로젝트(G)'!I:I, '프로젝트(G)'!C:C, $E$1, '프로젝트(G)'!G:G, B75, '프로젝트(G)'!X:X, B80, '프로젝트(G)'!U:U, $C$1),
    SUMIFS('협력사 EPC(H)'!I:I, '협력사 EPC(H)'!C:C, $E$1, '협력사 EPC(H)'!G:G, B75, '협력사 EPC(H)'!X:X, B80, '협력사 EPC(H)'!U:U, $C$1),
    SUMIFS('기타(Z)'!I:I, '기타(Z)'!C:C, $E$1, '기타(Z)'!G:G, B75, '기타(Z)'!X:X, B80, '기타(Z)'!U:U, $C$1)
  ) = 0,
  "",
  SUM(
    SUMIFS('발전사업(A)'!I:I, '발전사업(A)'!C:C, $E$1, '발전사업(A)'!G:G, B75, '발전사업(A)'!X:X, B80, '발전사업(A)'!U:U, $C$1),
    SUMIFS('자가소비(B)'!I:I, '자가소비(B)'!C:C, $E$1, '자가소비(B)'!G:G, B75, '자가소비(B)'!X:X, B80, '자가소비(B)'!U:U, $C$1),
    SUMIFS('PPA 사업(C)'!I:I, 'PPA 사업(C)'!C:C, $E$1, 'PPA 사업(C)'!G:G, B75, 'PPA 사업(C)'!X:X, B80, 'PPA 사업(C)'!U:U, $C$1),
    SUMIFS('리스사업(D)'!I:I, '리스사업(D)'!C:C, $E$1, '리스사업(D)'!G:G, B75, '리스사업(D)'!X:X, B80, '리스사업(D)'!U:U, $C$1),
    SUMIFS('임대사업(E)'!I:I, '임대사업(E)'!C:C, $E$1, '임대사업(E)'!G:G, B75, '임대사업(E)'!X:X, B80, '임대사업(E)'!U:U, $C$1),
    SUMIFS('환경부사업(F)'!I:I, '환경부사업(F)'!C:C, $E$1, '환경부사업(F)'!G:G, B75, '환경부사업(F)'!X:X, B80, '환경부사업(F)'!U:U, $C$1),
    SUMIFS('프로젝트(G)'!I:I, '프로젝트(G)'!C:C, $E$1, '프로젝트(G)'!G:G, B75, '프로젝트(G)'!X:X, B80, '프로젝트(G)'!U:U, $C$1),
    SUMIFS('협력사 EPC(H)'!I:I, '협력사 EPC(H)'!C:C, $E$1, '협력사 EPC(H)'!G:G, B75, '협력사 EPC(H)'!X:X, B80, '협력사 EPC(H)'!U:U, $C$1),
    SUMIFS('기타(Z)'!I:I, '기타(Z)'!C:C, $E$1, '기타(Z)'!G:G, B75, '기타(Z)'!X:X, B80, '기타(Z)'!U:U, $C$1)
  )
)</f>
        <v>61.92</v>
      </c>
      <c r="F80" s="263">
        <f>IF(
  SUM(
    COUNTIFS('발전사업(A)'!C:C, $E$1, '발전사업(A)'!G:G, B75, '발전사업(A)'!X:X, B80, '발전사업(A)'!U:U, $C$1),
    COUNTIFS('자가소비(B)'!C:C, $E$1, '자가소비(B)'!G:G, B75, '자가소비(B)'!X:X, B80, '자가소비(B)'!U:U, $C$1),
    COUNTIFS('PPA 사업(C)'!C:C, $E$1, 'PPA 사업(C)'!G:G, B75, 'PPA 사업(C)'!X:X, B80, 'PPA 사업(C)'!U:U, $C$1),
    COUNTIFS('리스사업(D)'!C:C, $E$1, '리스사업(D)'!G:G, B75, '리스사업(D)'!X:X, B80, '리스사업(D)'!U:U, $C$1),
    COUNTIFS('임대사업(E)'!C:C, $E$1, '임대사업(E)'!G:G, B75, '임대사업(E)'!X:X, B80, '임대사업(E)'!U:U, $C$1),
    COUNTIFS('환경부사업(F)'!C:C, $E$1, '환경부사업(F)'!G:G, B75, '환경부사업(F)'!X:X, B80, '환경부사업(F)'!U:U, $C$1),
    COUNTIFS('프로젝트(G)'!C:C, $E$1, '프로젝트(G)'!G:G, B75, '프로젝트(G)'!X:X, B80, '프로젝트(G)'!U:U, $C$1),
    COUNTIFS('협력사 EPC(H)'!C:C, $E$1, '협력사 EPC(H)'!G:G, B75, '협력사 EPC(H)'!X:X, B80, '협력사 EPC(H)'!U:U, $C$1),
    COUNTIFS('기타(Z)'!C:C, $E$1, '기타(Z)'!G:G, B75, '기타(Z)'!X:X, B80, '기타(Z)'!U:U, $C$1)
  ) = 0,
  "",
  SUM(
    COUNTIFS('발전사업(A)'!C:C, $E$1, '발전사업(A)'!G:G, B75, '발전사업(A)'!X:X, B80, '발전사업(A)'!U:U, $C$1),
    COUNTIFS('자가소비(B)'!C:C, $E$1, '자가소비(B)'!G:G, B75, '자가소비(B)'!X:X, B80, '자가소비(B)'!U:U, $C$1),
    COUNTIFS('PPA 사업(C)'!C:C, $E$1, 'PPA 사업(C)'!G:G, B75, 'PPA 사업(C)'!X:X, B80, 'PPA 사업(C)'!U:U, $C$1),
    COUNTIFS('리스사업(D)'!C:C, $E$1, '리스사업(D)'!G:G, B75, '리스사업(D)'!X:X, B80, '리스사업(D)'!U:U, $C$1),
    COUNTIFS('임대사업(E)'!C:C, $E$1, '임대사업(E)'!G:G, B75, '임대사업(E)'!X:X, B80, '임대사업(E)'!U:U, $C$1),
    COUNTIFS('환경부사업(F)'!C:C, $E$1, '환경부사업(F)'!G:G, B75, '환경부사업(F)'!X:X, B80, '환경부사업(F)'!U:U, $C$1),
    COUNTIFS('프로젝트(G)'!C:C, $E$1, '프로젝트(G)'!G:G, B75, '프로젝트(G)'!X:X, B80, '프로젝트(G)'!U:U, $C$1),
    COUNTIFS('협력사 EPC(H)'!C:C, $E$1, '협력사 EPC(H)'!G:G, B75, '협력사 EPC(H)'!X:X, B80, '협력사 EPC(H)'!U:U, $C$1),
    COUNTIFS('기타(Z)'!C:C, $E$1, '기타(Z)'!G:G, B75, '기타(Z)'!X:X, B80, '기타(Z)'!U:U, $C$1)
  )
)</f>
        <v>1</v>
      </c>
      <c r="G80" s="262">
        <f>IF(
  SUM(
    SUMIFS('발전사업(A)'!I:I, '발전사업(A)'!C:C, $E$1, '발전사업(A)'!G:G, B75, '발전사업(A)'!X:X, B80, '발전사업(A)'!U:U, $D$1),
    SUMIFS('자가소비(B)'!I:I, '자가소비(B)'!C:C, $E$1, '자가소비(B)'!G:G, B75, '자가소비(B)'!X:X, B80, '자가소비(B)'!U:U, $D$1),
    SUMIFS('PPA 사업(C)'!I:I, 'PPA 사업(C)'!C:C, $E$1, 'PPA 사업(C)'!G:G, B75, 'PPA 사업(C)'!X:X, B80, 'PPA 사업(C)'!U:U, $D$1),
    SUMIFS('리스사업(D)'!I:I, '리스사업(D)'!C:C, $E$1, '리스사업(D)'!G:G, B75, '리스사업(D)'!X:X, B80, '리스사업(D)'!U:U, $D$1),
    SUMIFS('임대사업(E)'!I:I, '임대사업(E)'!C:C, $E$1, '임대사업(E)'!G:G, B75, '임대사업(E)'!X:X, B80, '임대사업(E)'!U:U, $D$1),
    SUMIFS('환경부사업(F)'!I:I, '환경부사업(F)'!C:C, $E$1, '환경부사업(F)'!G:G, B75, '환경부사업(F)'!X:X, B80, '환경부사업(F)'!U:U, $D$1),
    SUMIFS('프로젝트(G)'!I:I, '프로젝트(G)'!C:C, $E$1, '프로젝트(G)'!G:G, B75, '프로젝트(G)'!X:X, B80, '프로젝트(G)'!U:U, $D$1),
    SUMIFS('협력사 EPC(H)'!I:I, '협력사 EPC(H)'!C:C, $E$1, '협력사 EPC(H)'!G:G, B75, '협력사 EPC(H)'!X:X, B80, '협력사 EPC(H)'!U:U, $D$1),
    SUMIFS('기타(Z)'!I:I, '기타(Z)'!C:C, $E$1, '기타(Z)'!G:G, B75, '기타(Z)'!X:X, B80, '기타(Z)'!U:U, $D$1)
  ) = 0,
  "",
  SUM(
    SUMIFS('발전사업(A)'!I:I, '발전사업(A)'!C:C, $E$1, '발전사업(A)'!G:G, B75, '발전사업(A)'!X:X, B80, '발전사업(A)'!U:U, $D$1),
    SUMIFS('자가소비(B)'!I:I, '자가소비(B)'!C:C, $E$1, '자가소비(B)'!G:G, B75, '자가소비(B)'!X:X, B80, '자가소비(B)'!U:U, $D$1),
    SUMIFS('PPA 사업(C)'!I:I, 'PPA 사업(C)'!C:C, $E$1, 'PPA 사업(C)'!G:G, B75, 'PPA 사업(C)'!X:X, B80, 'PPA 사업(C)'!U:U, $D$1),
    SUMIFS('리스사업(D)'!I:I, '리스사업(D)'!C:C, $E$1, '리스사업(D)'!G:G, B75, '리스사업(D)'!X:X, B80, '리스사업(D)'!U:U, $D$1),
    SUMIFS('임대사업(E)'!I:I, '임대사업(E)'!C:C, $E$1, '임대사업(E)'!G:G, B75, '임대사업(E)'!X:X, B80, '임대사업(E)'!U:U, $D$1),
    SUMIFS('환경부사업(F)'!I:I, '환경부사업(F)'!C:C, $E$1, '환경부사업(F)'!G:G, B75, '환경부사업(F)'!X:X, B80, '환경부사업(F)'!U:U, $D$1),
    SUMIFS('프로젝트(G)'!I:I, '프로젝트(G)'!C:C, $E$1, '프로젝트(G)'!G:G, B75, '프로젝트(G)'!X:X, B80, '프로젝트(G)'!U:U, $D$1),
    SUMIFS('협력사 EPC(H)'!I:I, '협력사 EPC(H)'!C:C, $E$1, '협력사 EPC(H)'!G:G, B75, '협력사 EPC(H)'!X:X, B80, '협력사 EPC(H)'!U:U, $D$1),
    SUMIFS('기타(Z)'!I:I, '기타(Z)'!C:C, $E$1, '기타(Z)'!G:G, B75, '기타(Z)'!X:X, B80, '기타(Z)'!U:U, $D$1)
  )
)</f>
        <v>30.96</v>
      </c>
      <c r="H80" s="263">
        <f>IF(
  (
    COUNTIFS('발전사업(A)'!C:C, $E$1, '발전사업(A)'!G:G, B75, '발전사업(A)'!X:X, B80, '발전사업(A)'!U:U, $D$1)
    + COUNTIFS('자가소비(B)'!C:C, $E$1, '자가소비(B)'!G:G, B75, '자가소비(B)'!X:X, B80, '자가소비(B)'!U:U, $D$1)
    + COUNTIFS('PPA 사업(C)'!C:C, $E$1, 'PPA 사업(C)'!G:G, B75, 'PPA 사업(C)'!X:X, B80, 'PPA 사업(C)'!U:U, $D$1)
    + COUNTIFS('리스사업(D)'!C:C, $E$1, '리스사업(D)'!G:G, B75, '리스사업(D)'!X:X, B80, '리스사업(D)'!U:U, $D$1)
    + COUNTIFS('임대사업(E)'!C:C, $E$1, '임대사업(E)'!G:G, B75, '임대사업(E)'!X:X, B80, '임대사업(E)'!U:U, $D$1)
    + COUNTIFS('환경부사업(F)'!C:C, $E$1, '환경부사업(F)'!G:G, B75, '환경부사업(F)'!X:X, B80, '환경부사업(F)'!U:U, $D$1)
    + COUNTIFS('프로젝트(G)'!C:C, $E$1, '프로젝트(G)'!G:G, B75, '프로젝트(G)'!X:X, B80, '프로젝트(G)'!U:U, $D$1)
    + COUNTIFS('협력사 EPC(H)'!C:C, $E$1, '협력사 EPC(H)'!G:G, B75, '협력사 EPC(H)'!X:X, B80, '협력사 EPC(H)'!U:U, $D$1)
    + COUNTIFS('기타(Z)'!C:C, $E$1, '기타(Z)'!G:G, B75, '기타(Z)'!X:X, B80, '기타(Z)'!U:U, $D$1)
  ) = 0,
  "",
  COUNTIFS('발전사업(A)'!C:C, $E$1, '발전사업(A)'!G:G, B75, '발전사업(A)'!X:X, B80, '발전사업(A)'!U:U, $D$1)
  + COUNTIFS('자가소비(B)'!C:C, $E$1, '자가소비(B)'!G:G, B75, '자가소비(B)'!X:X, B80, '자가소비(B)'!U:U, $D$1)
  + COUNTIFS('PPA 사업(C)'!C:C, $E$1, 'PPA 사업(C)'!G:G, B75, 'PPA 사업(C)'!X:X, B80, 'PPA 사업(C)'!U:U, $D$1)
  + COUNTIFS('리스사업(D)'!C:C, $E$1, '리스사업(D)'!G:G, B75, '리스사업(D)'!X:X, B80, '리스사업(D)'!U:U, $D$1)
  + COUNTIFS('임대사업(E)'!C:C, $E$1, '임대사업(E)'!G:G, B75, '임대사업(E)'!X:X, B80, '임대사업(E)'!U:U, $D$1)
  + COUNTIFS('환경부사업(F)'!C:C, $E$1, '환경부사업(F)'!G:G, B75, '환경부사업(F)'!X:X, B80, '환경부사업(F)'!U:U, $D$1)
  + COUNTIFS('프로젝트(G)'!C:C, $E$1, '프로젝트(G)'!G:G, B75, '프로젝트(G)'!X:X, B80, '프로젝트(G)'!U:U, $D$1)
  + COUNTIFS('협력사 EPC(H)'!C:C, $E$1, '협력사 EPC(H)'!G:G, B75, '협력사 EPC(H)'!X:X, B80, '협력사 EPC(H)'!U:U, $D$1)
  + COUNTIFS('기타(Z)'!C:C, $E$1, '기타(Z)'!G:G, B75, '기타(Z)'!X:X, B80, '기타(Z)'!U:U, $D$1)
)</f>
        <v>1</v>
      </c>
    </row>
    <row r="81" spans="2:8" x14ac:dyDescent="0.25">
      <c r="B81" s="195" t="s">
        <v>156</v>
      </c>
      <c r="C81" s="262" t="str">
        <f>IF(
  SUM(
    SUMIFS('발전사업(A)'!I:I, '발전사업(A)'!C:C, $E$1, '발전사업(A)'!G:G, B75, '발전사업(A)'!X:X, B81),
    SUMIFS('자가소비(B)'!I:I, '자가소비(B)'!C:C, $E$1, '자가소비(B)'!G:G, B75, '자가소비(B)'!X:X, B81),
    SUMIFS('PPA 사업(C)'!I:I, 'PPA 사업(C)'!C:C, $E$1, 'PPA 사업(C)'!G:G, B75, 'PPA 사업(C)'!X:X, B81),
    SUMIFS('리스사업(D)'!I:I, '리스사업(D)'!C:C, $E$1, '리스사업(D)'!G:G, B75, '리스사업(D)'!X:X, B81),
    SUMIFS('임대사업(E)'!I:I, '임대사업(E)'!C:C, $E$1, '임대사업(E)'!G:G, B75, '임대사업(E)'!X:X, B81),
    SUMIFS('환경부사업(F)'!I:I, '환경부사업(F)'!C:C, $E$1, '환경부사업(F)'!G:G, B75, '환경부사업(F)'!X:X, B81),
    SUMIFS('프로젝트(G)'!I:I, '프로젝트(G)'!C:C, $E$1, '프로젝트(G)'!G:G, B75, '프로젝트(G)'!X:X, B81),
    SUMIFS('협력사 EPC(H)'!I:I, '협력사 EPC(H)'!C:C, $E$1, '협력사 EPC(H)'!G:G, B75, '협력사 EPC(H)'!X:X, B81),
    SUMIFS('기타(Z)'!I:I, '기타(Z)'!C:C, $E$1, '기타(Z)'!G:G, B75, '기타(Z)'!X:X, B81)
  ) = 0,
  "",
  SUMIFS('발전사업(A)'!I:I, '발전사업(A)'!C:C, $E$1, '발전사업(A)'!G:G, B75, '발전사업(A)'!X:X, B81)
  + SUMIFS('자가소비(B)'!I:I, '자가소비(B)'!C:C, $E$1, '자가소비(B)'!G:G, B75, '자가소비(B)'!X:X, B81)
  + SUMIFS('PPA 사업(C)'!I:I, 'PPA 사업(C)'!C:C, $E$1, 'PPA 사업(C)'!G:G, B75, 'PPA 사업(C)'!X:X, B81)
  + SUMIFS('리스사업(D)'!I:I, '리스사업(D)'!C:C, $E$1, '리스사업(D)'!G:G, B75, '리스사업(D)'!X:X, B81)
  + SUMIFS('임대사업(E)'!I:I, '임대사업(E)'!C:C, $E$1, '임대사업(E)'!G:G, B75, '임대사업(E)'!X:X, B81)
  + SUMIFS('환경부사업(F)'!I:I, '환경부사업(F)'!C:C, $E$1, '환경부사업(F)'!G:G, B75, '환경부사업(F)'!X:X, B81)
  + SUMIFS('프로젝트(G)'!I:I, '프로젝트(G)'!C:C, $E$1, '프로젝트(G)'!G:G, B75, '프로젝트(G)'!X:X, B81)
  + SUMIFS('협력사 EPC(H)'!I:I, '협력사 EPC(H)'!C:C, $E$1, '협력사 EPC(H)'!G:G, B75, '협력사 EPC(H)'!X:X, B81)
  + SUMIFS('기타(Z)'!I:I, '기타(Z)'!C:C, $E$1, '기타(Z)'!G:G, B75, '기타(Z)'!X:X, B81)
)</f>
        <v/>
      </c>
      <c r="D81" s="263" t="str">
        <f>IF(
  COUNTIFS('발전사업(A)'!C:C, $E$1, '발전사업(A)'!G:G, B75, '발전사업(A)'!X:X, B81)
  + COUNTIFS('자가소비(B)'!C:C, $E$1, '자가소비(B)'!G:G, B75, '자가소비(B)'!X:X, B81)
  + COUNTIFS('PPA 사업(C)'!C:C, $E$1, 'PPA 사업(C)'!G:G, B75, 'PPA 사업(C)'!X:X, B81)
  + COUNTIFS('리스사업(D)'!C:C, $E$1, '리스사업(D)'!G:G, B75, '리스사업(D)'!X:X, B81)
  + COUNTIFS('임대사업(E)'!C:C, $E$1, '임대사업(E)'!G:G, B75, '임대사업(E)'!X:X, B81)
  + COUNTIFS('환경부사업(F)'!C:C, $E$1, '환경부사업(F)'!G:G, B75, '환경부사업(F)'!X:X, B81)
  + COUNTIFS('프로젝트(G)'!C:C, $E$1, '프로젝트(G)'!G:G, B75, '프로젝트(G)'!X:X, B81)
  + COUNTIFS('협력사 EPC(H)'!C:C, $E$1, '협력사 EPC(H)'!G:G, B75, '협력사 EPC(H)'!X:X, B81)
  + COUNTIFS('기타(Z)'!C:C, $E$1, '기타(Z)'!G:G, B75, '기타(Z)'!X:X, B81)
  = 0,
  "",
  COUNTIFS('발전사업(A)'!C:C, $E$1, '발전사업(A)'!G:G, B75, '발전사업(A)'!X:X, B81)
  + COUNTIFS('자가소비(B)'!C:C, $E$1, '자가소비(B)'!G:G, B75, '자가소비(B)'!X:X, B81)
  + COUNTIFS('PPA 사업(C)'!C:C, $E$1, 'PPA 사업(C)'!G:G, B75, 'PPA 사업(C)'!X:X, B81)
  + COUNTIFS('리스사업(D)'!C:C, $E$1, '리스사업(D)'!G:G, B75, '리스사업(D)'!X:X, B81)
  + COUNTIFS('임대사업(E)'!C:C, $E$1, '임대사업(E)'!G:G, B75, '임대사업(E)'!X:X, B81)
  + COUNTIFS('환경부사업(F)'!C:C, $E$1, '환경부사업(F)'!G:G, B75, '환경부사업(F)'!X:X, B81)
  + COUNTIFS('프로젝트(G)'!C:C, $E$1, '프로젝트(G)'!G:G, B75, '프로젝트(G)'!X:X, B81)
  + COUNTIFS('협력사 EPC(H)'!C:C, $E$1, '협력사 EPC(H)'!G:G, B75, '협력사 EPC(H)'!X:X, B81)
  + COUNTIFS('기타(Z)'!C:C, $E$1, '기타(Z)'!G:G, B75, '기타(Z)'!X:X, B81)
)</f>
        <v/>
      </c>
      <c r="E81" s="262" t="str">
        <f>IF(
  SUM(
    SUMIFS('발전사업(A)'!I:I, '발전사업(A)'!C:C, $E$1, '발전사업(A)'!G:G, B75, '발전사업(A)'!X:X, B81, '발전사업(A)'!U:U, $C$1),
    SUMIFS('자가소비(B)'!I:I, '자가소비(B)'!C:C, $E$1, '자가소비(B)'!G:G, B75, '자가소비(B)'!X:X, B81, '자가소비(B)'!U:U, $C$1),
    SUMIFS('PPA 사업(C)'!I:I, 'PPA 사업(C)'!C:C, $E$1, 'PPA 사업(C)'!G:G, B75, 'PPA 사업(C)'!X:X, B81, 'PPA 사업(C)'!U:U, $C$1),
    SUMIFS('리스사업(D)'!I:I, '리스사업(D)'!C:C, $E$1, '리스사업(D)'!G:G, B75, '리스사업(D)'!X:X, B81, '리스사업(D)'!U:U, $C$1),
    SUMIFS('임대사업(E)'!I:I, '임대사업(E)'!C:C, $E$1, '임대사업(E)'!G:G, B75, '임대사업(E)'!X:X, B81, '임대사업(E)'!U:U, $C$1),
    SUMIFS('환경부사업(F)'!I:I, '환경부사업(F)'!C:C, $E$1, '환경부사업(F)'!G:G, B75, '환경부사업(F)'!X:X, B81, '환경부사업(F)'!U:U, $C$1),
    SUMIFS('프로젝트(G)'!I:I, '프로젝트(G)'!C:C, $E$1, '프로젝트(G)'!G:G, B75, '프로젝트(G)'!X:X, B81, '프로젝트(G)'!U:U, $C$1),
    SUMIFS('협력사 EPC(H)'!I:I, '협력사 EPC(H)'!C:C, $E$1, '협력사 EPC(H)'!G:G, B75, '협력사 EPC(H)'!X:X, B81, '협력사 EPC(H)'!U:U, $C$1),
    SUMIFS('기타(Z)'!I:I, '기타(Z)'!C:C, $E$1, '기타(Z)'!G:G, B75, '기타(Z)'!X:X, B81, '기타(Z)'!U:U, $C$1)
  ) = 0,
  "",
  SUM(
    SUMIFS('발전사업(A)'!I:I, '발전사업(A)'!C:C, $E$1, '발전사업(A)'!G:G, B75, '발전사업(A)'!X:X, B81, '발전사업(A)'!U:U, $C$1),
    SUMIFS('자가소비(B)'!I:I, '자가소비(B)'!C:C, $E$1, '자가소비(B)'!G:G, B75, '자가소비(B)'!X:X, B81, '자가소비(B)'!U:U, $C$1),
    SUMIFS('PPA 사업(C)'!I:I, 'PPA 사업(C)'!C:C, $E$1, 'PPA 사업(C)'!G:G, B75, 'PPA 사업(C)'!X:X, B81, 'PPA 사업(C)'!U:U, $C$1),
    SUMIFS('리스사업(D)'!I:I, '리스사업(D)'!C:C, $E$1, '리스사업(D)'!G:G, B75, '리스사업(D)'!X:X, B81, '리스사업(D)'!U:U, $C$1),
    SUMIFS('임대사업(E)'!I:I, '임대사업(E)'!C:C, $E$1, '임대사업(E)'!G:G, B75, '임대사업(E)'!X:X, B81, '임대사업(E)'!U:U, $C$1),
    SUMIFS('환경부사업(F)'!I:I, '환경부사업(F)'!C:C, $E$1, '환경부사업(F)'!G:G, B75, '환경부사업(F)'!X:X, B81, '환경부사업(F)'!U:U, $C$1),
    SUMIFS('프로젝트(G)'!I:I, '프로젝트(G)'!C:C, $E$1, '프로젝트(G)'!G:G, B75, '프로젝트(G)'!X:X, B81, '프로젝트(G)'!U:U, $C$1),
    SUMIFS('협력사 EPC(H)'!I:I, '협력사 EPC(H)'!C:C, $E$1, '협력사 EPC(H)'!G:G, B75, '협력사 EPC(H)'!X:X, B81, '협력사 EPC(H)'!U:U, $C$1),
    SUMIFS('기타(Z)'!I:I, '기타(Z)'!C:C, $E$1, '기타(Z)'!G:G, B75, '기타(Z)'!X:X, B81, '기타(Z)'!U:U, $C$1)
  )
)</f>
        <v/>
      </c>
      <c r="F81" s="263" t="str">
        <f>IF(
  SUM(
    COUNTIFS('발전사업(A)'!C:C, $E$1, '발전사업(A)'!G:G, B75, '발전사업(A)'!X:X, B81, '발전사업(A)'!U:U, $C$1),
    COUNTIFS('자가소비(B)'!C:C, $E$1, '자가소비(B)'!G:G, B75, '자가소비(B)'!X:X, B81, '자가소비(B)'!U:U, $C$1),
    COUNTIFS('PPA 사업(C)'!C:C, $E$1, 'PPA 사업(C)'!G:G, B75, 'PPA 사업(C)'!X:X, B81, 'PPA 사업(C)'!U:U, $C$1),
    COUNTIFS('리스사업(D)'!C:C, $E$1, '리스사업(D)'!G:G, B75, '리스사업(D)'!X:X, B81, '리스사업(D)'!U:U, $C$1),
    COUNTIFS('임대사업(E)'!C:C, $E$1, '임대사업(E)'!G:G, B75, '임대사업(E)'!X:X, B81, '임대사업(E)'!U:U, $C$1),
    COUNTIFS('환경부사업(F)'!C:C, $E$1, '환경부사업(F)'!G:G, B75, '환경부사업(F)'!X:X, B81, '환경부사업(F)'!U:U, $C$1),
    COUNTIFS('프로젝트(G)'!C:C, $E$1, '프로젝트(G)'!G:G, B75, '프로젝트(G)'!X:X, B81, '프로젝트(G)'!U:U, $C$1),
    COUNTIFS('협력사 EPC(H)'!C:C, $E$1, '협력사 EPC(H)'!G:G, B75, '협력사 EPC(H)'!X:X, B81, '협력사 EPC(H)'!U:U, $C$1),
    COUNTIFS('기타(Z)'!C:C, $E$1, '기타(Z)'!G:G, B75, '기타(Z)'!X:X, B81, '기타(Z)'!U:U, $C$1)
  ) = 0,
  "",
  SUM(
    COUNTIFS('발전사업(A)'!C:C, $E$1, '발전사업(A)'!G:G, B75, '발전사업(A)'!X:X, B81, '발전사업(A)'!U:U, $C$1),
    COUNTIFS('자가소비(B)'!C:C, $E$1, '자가소비(B)'!G:G, B75, '자가소비(B)'!X:X, B81, '자가소비(B)'!U:U, $C$1),
    COUNTIFS('PPA 사업(C)'!C:C, $E$1, 'PPA 사업(C)'!G:G, B75, 'PPA 사업(C)'!X:X, B81, 'PPA 사업(C)'!U:U, $C$1),
    COUNTIFS('리스사업(D)'!C:C, $E$1, '리스사업(D)'!G:G, B75, '리스사업(D)'!X:X, B81, '리스사업(D)'!U:U, $C$1),
    COUNTIFS('임대사업(E)'!C:C, $E$1, '임대사업(E)'!G:G, B75, '임대사업(E)'!X:X, B81, '임대사업(E)'!U:U, $C$1),
    COUNTIFS('환경부사업(F)'!C:C, $E$1, '환경부사업(F)'!G:G, B75, '환경부사업(F)'!X:X, B81, '환경부사업(F)'!U:U, $C$1),
    COUNTIFS('프로젝트(G)'!C:C, $E$1, '프로젝트(G)'!G:G, B75, '프로젝트(G)'!X:X, B81, '프로젝트(G)'!U:U, $C$1),
    COUNTIFS('협력사 EPC(H)'!C:C, $E$1, '협력사 EPC(H)'!G:G, B75, '협력사 EPC(H)'!X:X, B81, '협력사 EPC(H)'!U:U, $C$1),
    COUNTIFS('기타(Z)'!C:C, $E$1, '기타(Z)'!G:G, B75, '기타(Z)'!X:X, B81, '기타(Z)'!U:U, $C$1)
  )
)</f>
        <v/>
      </c>
      <c r="G81" s="262" t="str">
        <f>IF(
  SUM(
    SUMIFS('발전사업(A)'!I:I, '발전사업(A)'!C:C, $E$1, '발전사업(A)'!G:G, B75, '발전사업(A)'!X:X, B81, '발전사업(A)'!U:U, $D$1),
    SUMIFS('자가소비(B)'!I:I, '자가소비(B)'!C:C, $E$1, '자가소비(B)'!G:G, B75, '자가소비(B)'!X:X, B81, '자가소비(B)'!U:U, $D$1),
    SUMIFS('PPA 사업(C)'!I:I, 'PPA 사업(C)'!C:C, $E$1, 'PPA 사업(C)'!G:G, B75, 'PPA 사업(C)'!X:X, B81, 'PPA 사업(C)'!U:U, $D$1),
    SUMIFS('리스사업(D)'!I:I, '리스사업(D)'!C:C, $E$1, '리스사업(D)'!G:G, B75, '리스사업(D)'!X:X, B81, '리스사업(D)'!U:U, $D$1),
    SUMIFS('임대사업(E)'!I:I, '임대사업(E)'!C:C, $E$1, '임대사업(E)'!G:G, B75, '임대사업(E)'!X:X, B81, '임대사업(E)'!U:U, $D$1),
    SUMIFS('환경부사업(F)'!I:I, '환경부사업(F)'!C:C, $E$1, '환경부사업(F)'!G:G, B75, '환경부사업(F)'!X:X, B81, '환경부사업(F)'!U:U, $D$1),
    SUMIFS('프로젝트(G)'!I:I, '프로젝트(G)'!C:C, $E$1, '프로젝트(G)'!G:G, B75, '프로젝트(G)'!X:X, B81, '프로젝트(G)'!U:U, $D$1),
    SUMIFS('협력사 EPC(H)'!I:I, '협력사 EPC(H)'!C:C, $E$1, '협력사 EPC(H)'!G:G, B75, '협력사 EPC(H)'!X:X, B81, '협력사 EPC(H)'!U:U, $D$1),
    SUMIFS('기타(Z)'!I:I, '기타(Z)'!C:C, $E$1, '기타(Z)'!G:G, B75, '기타(Z)'!X:X, B81, '기타(Z)'!U:U, $D$1)
  ) = 0,
  "",
  SUM(
    SUMIFS('발전사업(A)'!I:I, '발전사업(A)'!C:C, $E$1, '발전사업(A)'!G:G, B75, '발전사업(A)'!X:X, B81, '발전사업(A)'!U:U, $D$1),
    SUMIFS('자가소비(B)'!I:I, '자가소비(B)'!C:C, $E$1, '자가소비(B)'!G:G, B75, '자가소비(B)'!X:X, B81, '자가소비(B)'!U:U, $D$1),
    SUMIFS('PPA 사업(C)'!I:I, 'PPA 사업(C)'!C:C, $E$1, 'PPA 사업(C)'!G:G, B75, 'PPA 사업(C)'!X:X, B81, 'PPA 사업(C)'!U:U, $D$1),
    SUMIFS('리스사업(D)'!I:I, '리스사업(D)'!C:C, $E$1, '리스사업(D)'!G:G, B75, '리스사업(D)'!X:X, B81, '리스사업(D)'!U:U, $D$1),
    SUMIFS('임대사업(E)'!I:I, '임대사업(E)'!C:C, $E$1, '임대사업(E)'!G:G, B75, '임대사업(E)'!X:X, B81, '임대사업(E)'!U:U, $D$1),
    SUMIFS('환경부사업(F)'!I:I, '환경부사업(F)'!C:C, $E$1, '환경부사업(F)'!G:G, B75, '환경부사업(F)'!X:X, B81, '환경부사업(F)'!U:U, $D$1),
    SUMIFS('프로젝트(G)'!I:I, '프로젝트(G)'!C:C, $E$1, '프로젝트(G)'!G:G, B75, '프로젝트(G)'!X:X, B81, '프로젝트(G)'!U:U, $D$1),
    SUMIFS('협력사 EPC(H)'!I:I, '협력사 EPC(H)'!C:C, $E$1, '협력사 EPC(H)'!G:G, B75, '협력사 EPC(H)'!X:X, B81, '협력사 EPC(H)'!U:U, $D$1),
    SUMIFS('기타(Z)'!I:I, '기타(Z)'!C:C, $E$1, '기타(Z)'!G:G, B75, '기타(Z)'!X:X, B81, '기타(Z)'!U:U, $D$1)
  )
)</f>
        <v/>
      </c>
      <c r="H81" s="263" t="str">
        <f>IF(
  (
    COUNTIFS('발전사업(A)'!C:C, $E$1, '발전사업(A)'!G:G, B75, '발전사업(A)'!X:X, B81, '발전사업(A)'!U:U, $D$1)
    + COUNTIFS('자가소비(B)'!C:C, $E$1, '자가소비(B)'!G:G, B75, '자가소비(B)'!X:X, B81, '자가소비(B)'!U:U, $D$1)
    + COUNTIFS('PPA 사업(C)'!C:C, $E$1, 'PPA 사업(C)'!G:G, B75, 'PPA 사업(C)'!X:X, B81, 'PPA 사업(C)'!U:U, $D$1)
    + COUNTIFS('리스사업(D)'!C:C, $E$1, '리스사업(D)'!G:G, B75, '리스사업(D)'!X:X, B81, '리스사업(D)'!U:U, $D$1)
    + COUNTIFS('임대사업(E)'!C:C, $E$1, '임대사업(E)'!G:G, B75, '임대사업(E)'!X:X, B81, '임대사업(E)'!U:U, $D$1)
    + COUNTIFS('환경부사업(F)'!C:C, $E$1, '환경부사업(F)'!G:G, B75, '환경부사업(F)'!X:X, B81, '환경부사업(F)'!U:U, $D$1)
    + COUNTIFS('프로젝트(G)'!C:C, $E$1, '프로젝트(G)'!G:G, B75, '프로젝트(G)'!X:X, B81, '프로젝트(G)'!U:U, $D$1)
    + COUNTIFS('협력사 EPC(H)'!C:C, $E$1, '협력사 EPC(H)'!G:G, B75, '협력사 EPC(H)'!X:X, B81, '협력사 EPC(H)'!U:U, $D$1)
    + COUNTIFS('기타(Z)'!C:C, $E$1, '기타(Z)'!G:G, B75, '기타(Z)'!X:X, B81, '기타(Z)'!U:U, $D$1)
  ) = 0,
  "",
  COUNTIFS('발전사업(A)'!C:C, $E$1, '발전사업(A)'!G:G, B75, '발전사업(A)'!X:X, B81, '발전사업(A)'!U:U, $D$1)
  + COUNTIFS('자가소비(B)'!C:C, $E$1, '자가소비(B)'!G:G, B75, '자가소비(B)'!X:X, B81, '자가소비(B)'!U:U, $D$1)
  + COUNTIFS('PPA 사업(C)'!C:C, $E$1, 'PPA 사업(C)'!G:G, B75, 'PPA 사업(C)'!X:X, B81, 'PPA 사업(C)'!U:U, $D$1)
  + COUNTIFS('리스사업(D)'!C:C, $E$1, '리스사업(D)'!G:G, B75, '리스사업(D)'!X:X, B81, '리스사업(D)'!U:U, $D$1)
  + COUNTIFS('임대사업(E)'!C:C, $E$1, '임대사업(E)'!G:G, B75, '임대사업(E)'!X:X, B81, '임대사업(E)'!U:U, $D$1)
  + COUNTIFS('환경부사업(F)'!C:C, $E$1, '환경부사업(F)'!G:G, B75, '환경부사업(F)'!X:X, B81, '환경부사업(F)'!U:U, $D$1)
  + COUNTIFS('프로젝트(G)'!C:C, $E$1, '프로젝트(G)'!G:G, B75, '프로젝트(G)'!X:X, B81, '프로젝트(G)'!U:U, $D$1)
  + COUNTIFS('협력사 EPC(H)'!C:C, $E$1, '협력사 EPC(H)'!G:G, B75, '협력사 EPC(H)'!X:X, B81, '협력사 EPC(H)'!U:U, $D$1)
  + COUNTIFS('기타(Z)'!C:C, $E$1, '기타(Z)'!G:G, B75, '기타(Z)'!X:X, B81, '기타(Z)'!U:U, $D$1)
)</f>
        <v/>
      </c>
    </row>
    <row r="82" spans="2:8" x14ac:dyDescent="0.25">
      <c r="B82" s="195" t="s">
        <v>157</v>
      </c>
      <c r="C82" s="262" t="str">
        <f>IF(
  SUM(
    SUMIFS('발전사업(A)'!I:I, '발전사업(A)'!C:C, $E$1, '발전사업(A)'!G:G, B75, '발전사업(A)'!X:X, B82),
    SUMIFS('자가소비(B)'!I:I, '자가소비(B)'!C:C, $E$1, '자가소비(B)'!G:G, B75, '자가소비(B)'!X:X, B82),
    SUMIFS('PPA 사업(C)'!I:I, 'PPA 사업(C)'!C:C, $E$1, 'PPA 사업(C)'!G:G, B75, 'PPA 사업(C)'!X:X, B82),
    SUMIFS('리스사업(D)'!I:I, '리스사업(D)'!C:C, $E$1, '리스사업(D)'!G:G, B75, '리스사업(D)'!X:X, B82),
    SUMIFS('임대사업(E)'!I:I, '임대사업(E)'!C:C, $E$1, '임대사업(E)'!G:G, B75, '임대사업(E)'!X:X, B82),
    SUMIFS('환경부사업(F)'!I:I, '환경부사업(F)'!C:C, $E$1, '환경부사업(F)'!G:G, B75, '환경부사업(F)'!X:X, B82),
    SUMIFS('프로젝트(G)'!I:I, '프로젝트(G)'!C:C, $E$1, '프로젝트(G)'!G:G, B75, '프로젝트(G)'!X:X, B82),
    SUMIFS('협력사 EPC(H)'!I:I, '협력사 EPC(H)'!C:C, $E$1, '협력사 EPC(H)'!G:G, B75, '협력사 EPC(H)'!X:X, B82),
    SUMIFS('기타(Z)'!I:I, '기타(Z)'!C:C, $E$1, '기타(Z)'!G:G, B75, '기타(Z)'!X:X, B82)
  ) = 0,
  "",
  SUMIFS('발전사업(A)'!I:I, '발전사업(A)'!C:C, $E$1, '발전사업(A)'!G:G, B75, '발전사업(A)'!X:X, B82)
  + SUMIFS('자가소비(B)'!I:I, '자가소비(B)'!C:C, $E$1, '자가소비(B)'!G:G, B75, '자가소비(B)'!X:X, B82)
  + SUMIFS('PPA 사업(C)'!I:I, 'PPA 사업(C)'!C:C, $E$1, 'PPA 사업(C)'!G:G, B75, 'PPA 사업(C)'!X:X, B82)
  + SUMIFS('리스사업(D)'!I:I, '리스사업(D)'!C:C, $E$1, '리스사업(D)'!G:G, B75, '리스사업(D)'!X:X, B82)
  + SUMIFS('임대사업(E)'!I:I, '임대사업(E)'!C:C, $E$1, '임대사업(E)'!G:G, B75, '임대사업(E)'!X:X, B82)
  + SUMIFS('환경부사업(F)'!I:I, '환경부사업(F)'!C:C, $E$1, '환경부사업(F)'!G:G, B75, '환경부사업(F)'!X:X, B82)
  + SUMIFS('프로젝트(G)'!I:I, '프로젝트(G)'!C:C, $E$1, '프로젝트(G)'!G:G, B75, '프로젝트(G)'!X:X, B82)
  + SUMIFS('협력사 EPC(H)'!I:I, '협력사 EPC(H)'!C:C, $E$1, '협력사 EPC(H)'!G:G, B75, '협력사 EPC(H)'!X:X, B82)
  + SUMIFS('기타(Z)'!I:I, '기타(Z)'!C:C, $E$1, '기타(Z)'!G:G, B75, '기타(Z)'!X:X, B82)
)</f>
        <v/>
      </c>
      <c r="D82" s="263" t="str">
        <f>IF(
  COUNTIFS('발전사업(A)'!C:C, $E$1, '발전사업(A)'!G:G, B75, '발전사업(A)'!X:X, B82)
  + COUNTIFS('자가소비(B)'!C:C, $E$1, '자가소비(B)'!G:G, B75, '자가소비(B)'!X:X, B82)
  + COUNTIFS('PPA 사업(C)'!C:C, $E$1, 'PPA 사업(C)'!G:G, B75, 'PPA 사업(C)'!X:X, B82)
  + COUNTIFS('리스사업(D)'!C:C, $E$1, '리스사업(D)'!G:G, B75, '리스사업(D)'!X:X, B82)
  + COUNTIFS('임대사업(E)'!C:C, $E$1, '임대사업(E)'!G:G, B75, '임대사업(E)'!X:X, B82)
  + COUNTIFS('환경부사업(F)'!C:C, $E$1, '환경부사업(F)'!G:G, B75, '환경부사업(F)'!X:X, B82)
  + COUNTIFS('프로젝트(G)'!C:C, $E$1, '프로젝트(G)'!G:G, B75, '프로젝트(G)'!X:X, B82)
  + COUNTIFS('협력사 EPC(H)'!C:C, $E$1, '협력사 EPC(H)'!G:G, B75, '협력사 EPC(H)'!X:X, B82)
  + COUNTIFS('기타(Z)'!C:C, $E$1, '기타(Z)'!G:G, B75, '기타(Z)'!X:X, B82)
  = 0,
  "",
  COUNTIFS('발전사업(A)'!C:C, $E$1, '발전사업(A)'!G:G, B75, '발전사업(A)'!X:X, B82)
  + COUNTIFS('자가소비(B)'!C:C, $E$1, '자가소비(B)'!G:G, B75, '자가소비(B)'!X:X, B82)
  + COUNTIFS('PPA 사업(C)'!C:C, $E$1, 'PPA 사업(C)'!G:G, B75, 'PPA 사업(C)'!X:X, B82)
  + COUNTIFS('리스사업(D)'!C:C, $E$1, '리스사업(D)'!G:G, B75, '리스사업(D)'!X:X, B82)
  + COUNTIFS('임대사업(E)'!C:C, $E$1, '임대사업(E)'!G:G, B75, '임대사업(E)'!X:X, B82)
  + COUNTIFS('환경부사업(F)'!C:C, $E$1, '환경부사업(F)'!G:G, B75, '환경부사업(F)'!X:X, B82)
  + COUNTIFS('프로젝트(G)'!C:C, $E$1, '프로젝트(G)'!G:G, B75, '프로젝트(G)'!X:X, B82)
  + COUNTIFS('협력사 EPC(H)'!C:C, $E$1, '협력사 EPC(H)'!G:G, B75, '협력사 EPC(H)'!X:X, B82)
  + COUNTIFS('기타(Z)'!C:C, $E$1, '기타(Z)'!G:G, B75, '기타(Z)'!X:X, B82)
)</f>
        <v/>
      </c>
      <c r="E82" s="262" t="str">
        <f>IF(
  SUM(
    SUMIFS('발전사업(A)'!I:I, '발전사업(A)'!C:C, $E$1, '발전사업(A)'!G:G, B75, '발전사업(A)'!X:X, B82, '발전사업(A)'!U:U, $C$1),
    SUMIFS('자가소비(B)'!I:I, '자가소비(B)'!C:C, $E$1, '자가소비(B)'!G:G, B75, '자가소비(B)'!X:X, B82, '자가소비(B)'!U:U, $C$1),
    SUMIFS('PPA 사업(C)'!I:I, 'PPA 사업(C)'!C:C, $E$1, 'PPA 사업(C)'!G:G, B75, 'PPA 사업(C)'!X:X, B82, 'PPA 사업(C)'!U:U, $C$1),
    SUMIFS('리스사업(D)'!I:I, '리스사업(D)'!C:C, $E$1, '리스사업(D)'!G:G, B75, '리스사업(D)'!X:X, B82, '리스사업(D)'!U:U, $C$1),
    SUMIFS('임대사업(E)'!I:I, '임대사업(E)'!C:C, $E$1, '임대사업(E)'!G:G, B75, '임대사업(E)'!X:X, B82, '임대사업(E)'!U:U, $C$1),
    SUMIFS('환경부사업(F)'!I:I, '환경부사업(F)'!C:C, $E$1, '환경부사업(F)'!G:G, B75, '환경부사업(F)'!X:X, B82, '환경부사업(F)'!U:U, $C$1),
    SUMIFS('프로젝트(G)'!I:I, '프로젝트(G)'!C:C, $E$1, '프로젝트(G)'!G:G, B75, '프로젝트(G)'!X:X, B82, '프로젝트(G)'!U:U, $C$1),
    SUMIFS('협력사 EPC(H)'!I:I, '협력사 EPC(H)'!C:C, $E$1, '협력사 EPC(H)'!G:G, B75, '협력사 EPC(H)'!X:X, B82, '협력사 EPC(H)'!U:U, $C$1),
    SUMIFS('기타(Z)'!I:I, '기타(Z)'!C:C, $E$1, '기타(Z)'!G:G, B75, '기타(Z)'!X:X, B82, '기타(Z)'!U:U, $C$1)
  ) = 0,
  "",
  SUM(
    SUMIFS('발전사업(A)'!I:I, '발전사업(A)'!C:C, $E$1, '발전사업(A)'!G:G, B75, '발전사업(A)'!X:X, B82, '발전사업(A)'!U:U, $C$1),
    SUMIFS('자가소비(B)'!I:I, '자가소비(B)'!C:C, $E$1, '자가소비(B)'!G:G, B75, '자가소비(B)'!X:X, B82, '자가소비(B)'!U:U, $C$1),
    SUMIFS('PPA 사업(C)'!I:I, 'PPA 사업(C)'!C:C, $E$1, 'PPA 사업(C)'!G:G, B75, 'PPA 사업(C)'!X:X, B82, 'PPA 사업(C)'!U:U, $C$1),
    SUMIFS('리스사업(D)'!I:I, '리스사업(D)'!C:C, $E$1, '리스사업(D)'!G:G, B75, '리스사업(D)'!X:X, B82, '리스사업(D)'!U:U, $C$1),
    SUMIFS('임대사업(E)'!I:I, '임대사업(E)'!C:C, $E$1, '임대사업(E)'!G:G, B75, '임대사업(E)'!X:X, B82, '임대사업(E)'!U:U, $C$1),
    SUMIFS('환경부사업(F)'!I:I, '환경부사업(F)'!C:C, $E$1, '환경부사업(F)'!G:G, B75, '환경부사업(F)'!X:X, B82, '환경부사업(F)'!U:U, $C$1),
    SUMIFS('프로젝트(G)'!I:I, '프로젝트(G)'!C:C, $E$1, '프로젝트(G)'!G:G, B75, '프로젝트(G)'!X:X, B82, '프로젝트(G)'!U:U, $C$1),
    SUMIFS('협력사 EPC(H)'!I:I, '협력사 EPC(H)'!C:C, $E$1, '협력사 EPC(H)'!G:G, B75, '협력사 EPC(H)'!X:X, B82, '협력사 EPC(H)'!U:U, $C$1),
    SUMIFS('기타(Z)'!I:I, '기타(Z)'!C:C, $E$1, '기타(Z)'!G:G, B75, '기타(Z)'!X:X, B82, '기타(Z)'!U:U, $C$1)
  )
)</f>
        <v/>
      </c>
      <c r="F82" s="263" t="str">
        <f>IF(
  SUM(
    COUNTIFS('발전사업(A)'!C:C, $E$1, '발전사업(A)'!G:G, B75, '발전사업(A)'!X:X, B82, '발전사업(A)'!U:U, $C$1),
    COUNTIFS('자가소비(B)'!C:C, $E$1, '자가소비(B)'!G:G, B75, '자가소비(B)'!X:X, B82, '자가소비(B)'!U:U, $C$1),
    COUNTIFS('PPA 사업(C)'!C:C, $E$1, 'PPA 사업(C)'!G:G, B75, 'PPA 사업(C)'!X:X, B82, 'PPA 사업(C)'!U:U, $C$1),
    COUNTIFS('리스사업(D)'!C:C, $E$1, '리스사업(D)'!G:G, B75, '리스사업(D)'!X:X, B82, '리스사업(D)'!U:U, $C$1),
    COUNTIFS('임대사업(E)'!C:C, $E$1, '임대사업(E)'!G:G, B75, '임대사업(E)'!X:X, B82, '임대사업(E)'!U:U, $C$1),
    COUNTIFS('환경부사업(F)'!C:C, $E$1, '환경부사업(F)'!G:G, B75, '환경부사업(F)'!X:X, B82, '환경부사업(F)'!U:U, $C$1),
    COUNTIFS('프로젝트(G)'!C:C, $E$1, '프로젝트(G)'!G:G, B75, '프로젝트(G)'!X:X, B82, '프로젝트(G)'!U:U, $C$1),
    COUNTIFS('협력사 EPC(H)'!C:C, $E$1, '협력사 EPC(H)'!G:G, B75, '협력사 EPC(H)'!X:X, B82, '협력사 EPC(H)'!U:U, $C$1),
    COUNTIFS('기타(Z)'!C:C, $E$1, '기타(Z)'!G:G, B75, '기타(Z)'!X:X, B82, '기타(Z)'!U:U, $C$1)
  ) = 0,
  "",
  SUM(
    COUNTIFS('발전사업(A)'!C:C, $E$1, '발전사업(A)'!G:G, B75, '발전사업(A)'!X:X, B82, '발전사업(A)'!U:U, $C$1),
    COUNTIFS('자가소비(B)'!C:C, $E$1, '자가소비(B)'!G:G, B75, '자가소비(B)'!X:X, B82, '자가소비(B)'!U:U, $C$1),
    COUNTIFS('PPA 사업(C)'!C:C, $E$1, 'PPA 사업(C)'!G:G, B75, 'PPA 사업(C)'!X:X, B82, 'PPA 사업(C)'!U:U, $C$1),
    COUNTIFS('리스사업(D)'!C:C, $E$1, '리스사업(D)'!G:G, B75, '리스사업(D)'!X:X, B82, '리스사업(D)'!U:U, $C$1),
    COUNTIFS('임대사업(E)'!C:C, $E$1, '임대사업(E)'!G:G, B75, '임대사업(E)'!X:X, B82, '임대사업(E)'!U:U, $C$1),
    COUNTIFS('환경부사업(F)'!C:C, $E$1, '환경부사업(F)'!G:G, B75, '환경부사업(F)'!X:X, B82, '환경부사업(F)'!U:U, $C$1),
    COUNTIFS('프로젝트(G)'!C:C, $E$1, '프로젝트(G)'!G:G, B75, '프로젝트(G)'!X:X, B82, '프로젝트(G)'!U:U, $C$1),
    COUNTIFS('협력사 EPC(H)'!C:C, $E$1, '협력사 EPC(H)'!G:G, B75, '협력사 EPC(H)'!X:X, B82, '협력사 EPC(H)'!U:U, $C$1),
    COUNTIFS('기타(Z)'!C:C, $E$1, '기타(Z)'!G:G, B75, '기타(Z)'!X:X, B82, '기타(Z)'!U:U, $C$1)
  )
)</f>
        <v/>
      </c>
      <c r="G82" s="262" t="str">
        <f>IF(
  SUM(
    SUMIFS('발전사업(A)'!I:I, '발전사업(A)'!C:C, $E$1, '발전사업(A)'!G:G, B75, '발전사업(A)'!X:X, B82, '발전사업(A)'!U:U, $D$1),
    SUMIFS('자가소비(B)'!I:I, '자가소비(B)'!C:C, $E$1, '자가소비(B)'!G:G, B75, '자가소비(B)'!X:X, B82, '자가소비(B)'!U:U, $D$1),
    SUMIFS('PPA 사업(C)'!I:I, 'PPA 사업(C)'!C:C, $E$1, 'PPA 사업(C)'!G:G, B75, 'PPA 사업(C)'!X:X, B82, 'PPA 사업(C)'!U:U, $D$1),
    SUMIFS('리스사업(D)'!I:I, '리스사업(D)'!C:C, $E$1, '리스사업(D)'!G:G, B75, '리스사업(D)'!X:X, B82, '리스사업(D)'!U:U, $D$1),
    SUMIFS('임대사업(E)'!I:I, '임대사업(E)'!C:C, $E$1, '임대사업(E)'!G:G, B75, '임대사업(E)'!X:X, B82, '임대사업(E)'!U:U, $D$1),
    SUMIFS('환경부사업(F)'!I:I, '환경부사업(F)'!C:C, $E$1, '환경부사업(F)'!G:G, B75, '환경부사업(F)'!X:X, B82, '환경부사업(F)'!U:U, $D$1),
    SUMIFS('프로젝트(G)'!I:I, '프로젝트(G)'!C:C, $E$1, '프로젝트(G)'!G:G, B75, '프로젝트(G)'!X:X, B82, '프로젝트(G)'!U:U, $D$1),
    SUMIFS('협력사 EPC(H)'!I:I, '협력사 EPC(H)'!C:C, $E$1, '협력사 EPC(H)'!G:G, B75, '협력사 EPC(H)'!X:X, B82, '협력사 EPC(H)'!U:U, $D$1),
    SUMIFS('기타(Z)'!I:I, '기타(Z)'!C:C, $E$1, '기타(Z)'!G:G, B75, '기타(Z)'!X:X, B82, '기타(Z)'!U:U, $D$1)
  ) = 0,
  "",
  SUM(
    SUMIFS('발전사업(A)'!I:I, '발전사업(A)'!C:C, $E$1, '발전사업(A)'!G:G, B75, '발전사업(A)'!X:X, B82, '발전사업(A)'!U:U, $D$1),
    SUMIFS('자가소비(B)'!I:I, '자가소비(B)'!C:C, $E$1, '자가소비(B)'!G:G, B75, '자가소비(B)'!X:X, B82, '자가소비(B)'!U:U, $D$1),
    SUMIFS('PPA 사업(C)'!I:I, 'PPA 사업(C)'!C:C, $E$1, 'PPA 사업(C)'!G:G, B75, 'PPA 사업(C)'!X:X, B82, 'PPA 사업(C)'!U:U, $D$1),
    SUMIFS('리스사업(D)'!I:I, '리스사업(D)'!C:C, $E$1, '리스사업(D)'!G:G, B75, '리스사업(D)'!X:X, B82, '리스사업(D)'!U:U, $D$1),
    SUMIFS('임대사업(E)'!I:I, '임대사업(E)'!C:C, $E$1, '임대사업(E)'!G:G, B75, '임대사업(E)'!X:X, B82, '임대사업(E)'!U:U, $D$1),
    SUMIFS('환경부사업(F)'!I:I, '환경부사업(F)'!C:C, $E$1, '환경부사업(F)'!G:G, B75, '환경부사업(F)'!X:X, B82, '환경부사업(F)'!U:U, $D$1),
    SUMIFS('프로젝트(G)'!I:I, '프로젝트(G)'!C:C, $E$1, '프로젝트(G)'!G:G, B75, '프로젝트(G)'!X:X, B82, '프로젝트(G)'!U:U, $D$1),
    SUMIFS('협력사 EPC(H)'!I:I, '협력사 EPC(H)'!C:C, $E$1, '협력사 EPC(H)'!G:G, B75, '협력사 EPC(H)'!X:X, B82, '협력사 EPC(H)'!U:U, $D$1),
    SUMIFS('기타(Z)'!I:I, '기타(Z)'!C:C, $E$1, '기타(Z)'!G:G, B75, '기타(Z)'!X:X, B82, '기타(Z)'!U:U, $D$1)
  )
)</f>
        <v/>
      </c>
      <c r="H82" s="263" t="str">
        <f>IF(
  (
    COUNTIFS('발전사업(A)'!C:C, $E$1, '발전사업(A)'!G:G, B75, '발전사업(A)'!X:X, B82, '발전사업(A)'!U:U, $D$1)
    + COUNTIFS('자가소비(B)'!C:C, $E$1, '자가소비(B)'!G:G, B75, '자가소비(B)'!X:X, B82, '자가소비(B)'!U:U, $D$1)
    + COUNTIFS('PPA 사업(C)'!C:C, $E$1, 'PPA 사업(C)'!G:G, B75, 'PPA 사업(C)'!X:X, B82, 'PPA 사업(C)'!U:U, $D$1)
    + COUNTIFS('리스사업(D)'!C:C, $E$1, '리스사업(D)'!G:G, B75, '리스사업(D)'!X:X, B82, '리스사업(D)'!U:U, $D$1)
    + COUNTIFS('임대사업(E)'!C:C, $E$1, '임대사업(E)'!G:G, B75, '임대사업(E)'!X:X, B82, '임대사업(E)'!U:U, $D$1)
    + COUNTIFS('환경부사업(F)'!C:C, $E$1, '환경부사업(F)'!G:G, B75, '환경부사업(F)'!X:X, B82, '환경부사업(F)'!U:U, $D$1)
    + COUNTIFS('프로젝트(G)'!C:C, $E$1, '프로젝트(G)'!G:G, B75, '프로젝트(G)'!X:X, B82, '프로젝트(G)'!U:U, $D$1)
    + COUNTIFS('협력사 EPC(H)'!C:C, $E$1, '협력사 EPC(H)'!G:G, B75, '협력사 EPC(H)'!X:X, B82, '협력사 EPC(H)'!U:U, $D$1)
    + COUNTIFS('기타(Z)'!C:C, $E$1, '기타(Z)'!G:G, $B75, '기타(Z)'!X:X, B82, '기타(Z)'!U:U, $D$1)
  ) = 0,
  "",
  COUNTIFS('발전사업(A)'!C:C, $E$1, '발전사업(A)'!G:G, B75, '발전사업(A)'!X:X, B82, '발전사업(A)'!U:U, $D$1)
  + COUNTIFS('자가소비(B)'!C:C, $E$1, '자가소비(B)'!G:G, B75, '자가소비(B)'!X:X, B82, '자가소비(B)'!U:U, $D$1)
  + COUNTIFS('PPA 사업(C)'!C:C, $E$1, 'PPA 사업(C)'!G:G, B75, 'PPA 사업(C)'!X:X, B82, 'PPA 사업(C)'!U:U, $D$1)
  + COUNTIFS('리스사업(D)'!C:C, $E$1, '리스사업(D)'!G:G, B75, '리스사업(D)'!X:X, B82, '리스사업(D)'!U:U, $D$1)
  + COUNTIFS('임대사업(E)'!C:C, $E$1, '임대사업(E)'!G:G, B75, '임대사업(E)'!X:X, B82, '임대사업(E)'!U:U, $D$1)
  + COUNTIFS('환경부사업(F)'!C:C, $E$1, '환경부사업(F)'!G:G, B75, '환경부사업(F)'!X:X, B82, '환경부사업(F)'!U:U, $D$1)
  + COUNTIFS('프로젝트(G)'!C:C, $E$1, '프로젝트(G)'!G:G, B75, '프로젝트(G)'!X:X, B82, '프로젝트(G)'!U:U, $D$1)
  + COUNTIFS('협력사 EPC(H)'!C:C, $E$1, '협력사 EPC(H)'!G:G, B75, '협력사 EPC(H)'!X:X, B82, '협력사 EPC(H)'!U:U, $D$1)
  + COUNTIFS('기타(Z)'!C:C, $E$1, '기타(Z)'!G:G, B75, '기타(Z)'!X:X, B82, '기타(Z)'!U:U, $D$1)
)</f>
        <v/>
      </c>
    </row>
    <row r="83" spans="2:8" x14ac:dyDescent="0.25">
      <c r="B83" s="195" t="s">
        <v>158</v>
      </c>
      <c r="C83" s="262" t="str">
        <f>IF(
  SUM(
    SUMIFS('발전사업(A)'!I:I, '발전사업(A)'!C:C, $E$1, '발전사업(A)'!G:G, B75, '발전사업(A)'!X:X, B83),
    SUMIFS('자가소비(B)'!I:I, '자가소비(B)'!C:C, $E$1, '자가소비(B)'!G:G, B75, '자가소비(B)'!X:X, B83),
    SUMIFS('PPA 사업(C)'!I:I, 'PPA 사업(C)'!C:C, $E$1, 'PPA 사업(C)'!G:G, B75, 'PPA 사업(C)'!X:X, B83),
    SUMIFS('리스사업(D)'!I:I, '리스사업(D)'!C:C, $E$1, '리스사업(D)'!G:G, B75, '리스사업(D)'!X:X, B83),
    SUMIFS('임대사업(E)'!I:I, '임대사업(E)'!C:C, $E$1, '임대사업(E)'!G:G, B75, '임대사업(E)'!X:X, B83),
    SUMIFS('환경부사업(F)'!I:I, '환경부사업(F)'!C:C, $E$1, '환경부사업(F)'!G:G, B75, '환경부사업(F)'!X:X, B83),
    SUMIFS('프로젝트(G)'!I:I, '프로젝트(G)'!C:C, $E$1, '프로젝트(G)'!G:G, B75, '프로젝트(G)'!X:X, B83),
    SUMIFS('협력사 EPC(H)'!I:I, '협력사 EPC(H)'!C:C, $E$1, '협력사 EPC(H)'!G:G, B75, '협력사 EPC(H)'!X:X, B83),
    SUMIFS('기타(Z)'!I:I, '기타(Z)'!C:C, $E$1, '기타(Z)'!G:G, B75, '기타(Z)'!X:X, B83)
  ) = 0,
  "",
  SUMIFS('발전사업(A)'!I:I, '발전사업(A)'!C:C, $E$1, '발전사업(A)'!G:G, B75, '발전사업(A)'!X:X, B83)
  + SUMIFS('자가소비(B)'!I:I, '자가소비(B)'!C:C, $E$1, '자가소비(B)'!G:G, B75, '자가소비(B)'!X:X, B83)
  + SUMIFS('PPA 사업(C)'!I:I, 'PPA 사업(C)'!C:C, $E$1, 'PPA 사업(C)'!G:G, B75, 'PPA 사업(C)'!X:X, B83)
  + SUMIFS('리스사업(D)'!I:I, '리스사업(D)'!C:C, $E$1, '리스사업(D)'!G:G, B75, '리스사업(D)'!X:X, B83)
  + SUMIFS('임대사업(E)'!I:I, '임대사업(E)'!C:C, $E$1, '임대사업(E)'!G:G, B75, '임대사업(E)'!X:X, B83)
  + SUMIFS('환경부사업(F)'!I:I, '환경부사업(F)'!C:C, $E$1, '환경부사업(F)'!G:G, B75, '환경부사업(F)'!X:X, B83)
  + SUMIFS('프로젝트(G)'!I:I, '프로젝트(G)'!C:C, $E$1, '프로젝트(G)'!G:G, B75, '프로젝트(G)'!X:X, B83)
  + SUMIFS('협력사 EPC(H)'!I:I, '협력사 EPC(H)'!C:C, $E$1, '협력사 EPC(H)'!G:G, B75, '협력사 EPC(H)'!X:X, B83)
  + SUMIFS('기타(Z)'!I:I, '기타(Z)'!C:C, $E$1, '기타(Z)'!G:G, B75, '기타(Z)'!X:X, B83)
)</f>
        <v/>
      </c>
      <c r="D83" s="263" t="str">
        <f>IF(
  COUNTIFS('발전사업(A)'!C:C, $E$1, '발전사업(A)'!G:G, B75, '발전사업(A)'!X:X, B83)
  + COUNTIFS('자가소비(B)'!C:C, $E$1, '자가소비(B)'!G:G, B75, '자가소비(B)'!X:X, B83)
  + COUNTIFS('PPA 사업(C)'!C:C, $E$1, 'PPA 사업(C)'!G:G, B75, 'PPA 사업(C)'!X:X, B83)
  + COUNTIFS('리스사업(D)'!C:C, $E$1, '리스사업(D)'!G:G, B75, '리스사업(D)'!X:X, B83)
  + COUNTIFS('임대사업(E)'!C:C, $E$1, '임대사업(E)'!G:G, B75, '임대사업(E)'!X:X, B83)
  + COUNTIFS('환경부사업(F)'!C:C, $E$1, '환경부사업(F)'!G:G, B75, '환경부사업(F)'!X:X, B83)
  + COUNTIFS('프로젝트(G)'!C:C, $E$1, '프로젝트(G)'!G:G, B75, '프로젝트(G)'!X:X, B83)
  + COUNTIFS('협력사 EPC(H)'!C:C, $E$1, '협력사 EPC(H)'!G:G, B75, '협력사 EPC(H)'!X:X, B83)
  + COUNTIFS('기타(Z)'!C:C, $E$1, '기타(Z)'!G:G, B75, '기타(Z)'!X:X, B83)
  = 0,
  "",
  COUNTIFS('발전사업(A)'!C:C, $E$1, '발전사업(A)'!G:G, B75, '발전사업(A)'!X:X, B83)
  + COUNTIFS('자가소비(B)'!C:C, $E$1, '자가소비(B)'!G:G, B75, '자가소비(B)'!X:X, B83)
  + COUNTIFS('PPA 사업(C)'!C:C, $E$1, 'PPA 사업(C)'!G:G, B75, 'PPA 사업(C)'!X:X, B83)
  + COUNTIFS('리스사업(D)'!C:C, $E$1, '리스사업(D)'!G:G, B75, '리스사업(D)'!X:X, B83)
  + COUNTIFS('임대사업(E)'!C:C, $E$1, '임대사업(E)'!G:G, B75, '임대사업(E)'!X:X, B83)
  + COUNTIFS('환경부사업(F)'!C:C, $E$1, '환경부사업(F)'!G:G, B75, '환경부사업(F)'!X:X, B83)
  + COUNTIFS('프로젝트(G)'!C:C, $E$1, '프로젝트(G)'!G:G, B75, '프로젝트(G)'!X:X, B83)
  + COUNTIFS('협력사 EPC(H)'!C:C, $E$1, '협력사 EPC(H)'!G:G, B75, '협력사 EPC(H)'!X:X, B83)
  + COUNTIFS('기타(Z)'!C:C, $E$1, '기타(Z)'!G:G, B75, '기타(Z)'!X:X, B83)
)</f>
        <v/>
      </c>
      <c r="E83" s="262" t="str">
        <f>IF(
  SUM(
    SUMIFS('발전사업(A)'!I:I, '발전사업(A)'!C:C, $E$1, '발전사업(A)'!G:G, B75, '발전사업(A)'!X:X, B83, '발전사업(A)'!U:U, $C$1),
    SUMIFS('자가소비(B)'!I:I, '자가소비(B)'!C:C, $E$1, '자가소비(B)'!G:G, B75, '자가소비(B)'!X:X, B83, '자가소비(B)'!U:U, $C$1),
    SUMIFS('PPA 사업(C)'!I:I, 'PPA 사업(C)'!C:C, $E$1, 'PPA 사업(C)'!G:G, B75, 'PPA 사업(C)'!X:X, B83, 'PPA 사업(C)'!U:U, $C$1),
    SUMIFS('리스사업(D)'!I:I, '리스사업(D)'!C:C, $E$1, '리스사업(D)'!G:G, B75, '리스사업(D)'!X:X, B83, '리스사업(D)'!U:U, $C$1),
    SUMIFS('임대사업(E)'!I:I, '임대사업(E)'!C:C, $E$1, '임대사업(E)'!G:G, B75, '임대사업(E)'!X:X, B83, '임대사업(E)'!U:U, $C$1),
    SUMIFS('환경부사업(F)'!I:I, '환경부사업(F)'!C:C, $E$1, '환경부사업(F)'!G:G, B75, '환경부사업(F)'!X:X, B83, '환경부사업(F)'!U:U, $C$1),
    SUMIFS('프로젝트(G)'!I:I, '프로젝트(G)'!C:C, $E$1, '프로젝트(G)'!G:G, B75, '프로젝트(G)'!X:X, B83, '프로젝트(G)'!U:U, $C$1),
    SUMIFS('협력사 EPC(H)'!I:I, '협력사 EPC(H)'!C:C, $E$1, '협력사 EPC(H)'!G:G, B75, '협력사 EPC(H)'!X:X, B83, '협력사 EPC(H)'!U:U, $C$1),
    SUMIFS('기타(Z)'!I:I, '기타(Z)'!C:C, $E$1, '기타(Z)'!G:G, B75, '기타(Z)'!X:X, B83, '기타(Z)'!U:U, $C$1)
  ) = 0,
  "",
  SUM(
    SUMIFS('발전사업(A)'!I:I, '발전사업(A)'!C:C, $E$1, '발전사업(A)'!G:G, B75, '발전사업(A)'!X:X, B83, '발전사업(A)'!U:U, $C$1),
    SUMIFS('자가소비(B)'!I:I, '자가소비(B)'!C:C, $E$1, '자가소비(B)'!G:G, B75, '자가소비(B)'!X:X, B83, '자가소비(B)'!U:U, $C$1),
    SUMIFS('PPA 사업(C)'!I:I, 'PPA 사업(C)'!C:C, $E$1, 'PPA 사업(C)'!G:G, B75, 'PPA 사업(C)'!X:X, B83, 'PPA 사업(C)'!U:U, $C$1),
    SUMIFS('리스사업(D)'!I:I, '리스사업(D)'!C:C, $E$1, '리스사업(D)'!G:G, B75, '리스사업(D)'!X:X, B83, '리스사업(D)'!U:U, $C$1),
    SUMIFS('임대사업(E)'!I:I, '임대사업(E)'!C:C, $E$1, '임대사업(E)'!G:G, B75, '임대사업(E)'!X:X, B83, '임대사업(E)'!U:U, $C$1),
    SUMIFS('환경부사업(F)'!I:I, '환경부사업(F)'!C:C, $E$1, '환경부사업(F)'!G:G, B75, '환경부사업(F)'!X:X, B83, '환경부사업(F)'!U:U, $C$1),
    SUMIFS('프로젝트(G)'!I:I, '프로젝트(G)'!C:C, $E$1, '프로젝트(G)'!G:G, B75, '프로젝트(G)'!X:X, B83, '프로젝트(G)'!U:U, $C$1),
    SUMIFS('협력사 EPC(H)'!I:I, '협력사 EPC(H)'!C:C, $E$1, '협력사 EPC(H)'!G:G, B75, '협력사 EPC(H)'!X:X, B83, '협력사 EPC(H)'!U:U, $C$1),
    SUMIFS('기타(Z)'!I:I, '기타(Z)'!C:C, $E$1, '기타(Z)'!G:G, B75, '기타(Z)'!X:X, B83, '기타(Z)'!U:U, $C$1)
  )
)</f>
        <v/>
      </c>
      <c r="F83" s="263" t="str">
        <f>IF(
  SUM(
    COUNTIFS('발전사업(A)'!C:C, $E$1, '발전사업(A)'!G:G, B75, '발전사업(A)'!X:X, B83, '발전사업(A)'!U:U, $C$1),
    COUNTIFS('자가소비(B)'!C:C, $E$1, '자가소비(B)'!G:G, B75, '자가소비(B)'!X:X, B83, '자가소비(B)'!U:U, $C$1),
    COUNTIFS('PPA 사업(C)'!C:C, $E$1, 'PPA 사업(C)'!G:G, B75, 'PPA 사업(C)'!X:X, B83, 'PPA 사업(C)'!U:U, $C$1),
    COUNTIFS('리스사업(D)'!C:C, $E$1, '리스사업(D)'!G:G, B75, '리스사업(D)'!X:X, B83, '리스사업(D)'!U:U, $C$1),
    COUNTIFS('임대사업(E)'!C:C, $E$1, '임대사업(E)'!G:G, B75, '임대사업(E)'!X:X, B83, '임대사업(E)'!U:U, $C$1),
    COUNTIFS('환경부사업(F)'!C:C, $E$1, '환경부사업(F)'!G:G, B75, '환경부사업(F)'!X:X, B83, '환경부사업(F)'!U:U, $C$1),
    COUNTIFS('프로젝트(G)'!C:C, $E$1, '프로젝트(G)'!G:G, B75, '프로젝트(G)'!X:X, B83, '프로젝트(G)'!U:U, $C$1),
    COUNTIFS('협력사 EPC(H)'!C:C, $E$1, '협력사 EPC(H)'!G:G, B75, '협력사 EPC(H)'!X:X, B83, '협력사 EPC(H)'!U:U, $C$1),
    COUNTIFS('기타(Z)'!C:C, $E$1, '기타(Z)'!G:G, B75, '기타(Z)'!X:X, B83, '기타(Z)'!U:U, $C$1)
  ) = 0,
  "",
  SUM(
    COUNTIFS('발전사업(A)'!C:C, $E$1, '발전사업(A)'!G:G, B75, '발전사업(A)'!X:X, B83, '발전사업(A)'!U:U, $C$1),
    COUNTIFS('자가소비(B)'!C:C, $E$1, '자가소비(B)'!G:G, B75, '자가소비(B)'!X:X, B83, '자가소비(B)'!U:U, $C$1),
    COUNTIFS('PPA 사업(C)'!C:C, $E$1, 'PPA 사업(C)'!G:G, B75, 'PPA 사업(C)'!X:X, B83, 'PPA 사업(C)'!U:U, $C$1),
    COUNTIFS('리스사업(D)'!C:C, $E$1, '리스사업(D)'!G:G, B75, '리스사업(D)'!X:X, B83, '리스사업(D)'!U:U, $C$1),
    COUNTIFS('임대사업(E)'!C:C, $E$1, '임대사업(E)'!G:G, B75, '임대사업(E)'!X:X, B83, '임대사업(E)'!U:U, $C$1),
    COUNTIFS('환경부사업(F)'!C:C, $E$1, '환경부사업(F)'!G:G, B75, '환경부사업(F)'!X:X, B83, '환경부사업(F)'!U:U, $C$1),
    COUNTIFS('프로젝트(G)'!C:C, $E$1, '프로젝트(G)'!G:G, B75, '프로젝트(G)'!X:X, B83, '프로젝트(G)'!U:U, $C$1),
    COUNTIFS('협력사 EPC(H)'!C:C, $E$1, '협력사 EPC(H)'!G:G, B75, '협력사 EPC(H)'!X:X, B83, '협력사 EPC(H)'!U:U, $C$1),
    COUNTIFS('기타(Z)'!C:C, $E$1, '기타(Z)'!G:G, B75, '기타(Z)'!X:X, B83, '기타(Z)'!U:U, $C$1)
  )
)</f>
        <v/>
      </c>
      <c r="G83" s="262" t="str">
        <f>IF(
  SUM(
    SUMIFS('발전사업(A)'!I:I, '발전사업(A)'!C:C, $E$1, '발전사업(A)'!G:G, B75, '발전사업(A)'!X:X, B83, '발전사업(A)'!U:U, $D$1),
    SUMIFS('자가소비(B)'!I:I, '자가소비(B)'!C:C, $E$1, '자가소비(B)'!G:G, B75, '자가소비(B)'!X:X, B83, '자가소비(B)'!U:U, $D$1),
    SUMIFS('PPA 사업(C)'!I:I, 'PPA 사업(C)'!C:C, $E$1, 'PPA 사업(C)'!G:G, B75, 'PPA 사업(C)'!X:X, B83, 'PPA 사업(C)'!U:U, $D$1),
    SUMIFS('리스사업(D)'!I:I, '리스사업(D)'!C:C, $E$1, '리스사업(D)'!G:G, B75, '리스사업(D)'!X:X, B83, '리스사업(D)'!U:U, $D$1),
    SUMIFS('임대사업(E)'!I:I, '임대사업(E)'!C:C, $E$1, '임대사업(E)'!G:G, B75, '임대사업(E)'!X:X, B83, '임대사업(E)'!U:U, $D$1),
    SUMIFS('환경부사업(F)'!I:I, '환경부사업(F)'!C:C, $E$1, '환경부사업(F)'!G:G, B75, '환경부사업(F)'!X:X, B83, '환경부사업(F)'!U:U, $D$1),
    SUMIFS('프로젝트(G)'!I:I, '프로젝트(G)'!C:C, $E$1, '프로젝트(G)'!G:G, B75, '프로젝트(G)'!X:X, B83, '프로젝트(G)'!U:U, $D$1),
    SUMIFS('협력사 EPC(H)'!I:I, '협력사 EPC(H)'!C:C, $E$1, '협력사 EPC(H)'!G:G, B75, '협력사 EPC(H)'!X:X, B83, '협력사 EPC(H)'!U:U, $D$1),
    SUMIFS('기타(Z)'!I:I, '기타(Z)'!C:C, $E$1, '기타(Z)'!G:G, B75, '기타(Z)'!X:X, B83, '기타(Z)'!U:U, $D$1)
  ) = 0,
  "",
  SUM(
    SUMIFS('발전사업(A)'!I:I, '발전사업(A)'!C:C, $E$1, '발전사업(A)'!G:G, B75, '발전사업(A)'!X:X, B83, '발전사업(A)'!U:U, $D$1),
    SUMIFS('자가소비(B)'!I:I, '자가소비(B)'!C:C, $E$1, '자가소비(B)'!G:G, B75, '자가소비(B)'!X:X, B83, '자가소비(B)'!U:U, $D$1),
    SUMIFS('PPA 사업(C)'!I:I, 'PPA 사업(C)'!C:C, $E$1, 'PPA 사업(C)'!G:G, B75, 'PPA 사업(C)'!X:X, B83, 'PPA 사업(C)'!U:U, $D$1),
    SUMIFS('리스사업(D)'!I:I, '리스사업(D)'!C:C, $E$1, '리스사업(D)'!G:G, B75, '리스사업(D)'!X:X, B83, '리스사업(D)'!U:U, $D$1),
    SUMIFS('임대사업(E)'!I:I, '임대사업(E)'!C:C, $E$1, '임대사업(E)'!G:G, B75, '임대사업(E)'!X:X, B83, '임대사업(E)'!U:U, $D$1),
    SUMIFS('환경부사업(F)'!I:I, '환경부사업(F)'!C:C, $E$1, '환경부사업(F)'!G:G, B75, '환경부사업(F)'!X:X, B83, '환경부사업(F)'!U:U, $D$1),
    SUMIFS('프로젝트(G)'!I:I, '프로젝트(G)'!C:C, $E$1, '프로젝트(G)'!G:G, B75, '프로젝트(G)'!X:X, B83, '프로젝트(G)'!U:U, $D$1),
    SUMIFS('협력사 EPC(H)'!I:I, '협력사 EPC(H)'!C:C, $E$1, '협력사 EPC(H)'!G:G, B75, '협력사 EPC(H)'!X:X, B83, '협력사 EPC(H)'!U:U, $D$1),
    SUMIFS('기타(Z)'!I:I, '기타(Z)'!C:C, $E$1, '기타(Z)'!G:G, B75, '기타(Z)'!X:X, B83, '기타(Z)'!U:U, $D$1)
  )
)</f>
        <v/>
      </c>
      <c r="H83" s="263" t="str">
        <f>IF(
  (
    COUNTIFS('발전사업(A)'!C:C, $E$1, '발전사업(A)'!G:G, B75, '발전사업(A)'!X:X, B83, '발전사업(A)'!U:U, $D$1)
    + COUNTIFS('자가소비(B)'!C:C, $E$1, '자가소비(B)'!G:G, B75, '자가소비(B)'!X:X, B83, '자가소비(B)'!U:U, $D$1)
    + COUNTIFS('PPA 사업(C)'!C:C, $E$1, 'PPA 사업(C)'!G:G, B75, 'PPA 사업(C)'!X:X, B83, 'PPA 사업(C)'!U:U, $D$1)
    + COUNTIFS('리스사업(D)'!C:C, $E$1, '리스사업(D)'!G:G, B75, '리스사업(D)'!X:X, B83, '리스사업(D)'!U:U, $D$1)
    + COUNTIFS('임대사업(E)'!C:C, $E$1, '임대사업(E)'!G:G, B75, '임대사업(E)'!X:X, B83, '임대사업(E)'!U:U, $D$1)
    + COUNTIFS('환경부사업(F)'!C:C, $E$1, '환경부사업(F)'!G:G, B75, '환경부사업(F)'!X:X, B83, '환경부사업(F)'!U:U, $D$1)
    + COUNTIFS('프로젝트(G)'!C:C, $E$1, '프로젝트(G)'!G:G, B75, '프로젝트(G)'!X:X, B83, '프로젝트(G)'!U:U, $D$1)
    + COUNTIFS('협력사 EPC(H)'!C:C, $E$1, '협력사 EPC(H)'!G:G, B75, '협력사 EPC(H)'!X:X, B83, '협력사 EPC(H)'!U:U, $D$1)
    + COUNTIFS('기타(Z)'!C:C, $E$1, '기타(Z)'!G:G, B75, '기타(Z)'!X:X, B83, '기타(Z)'!U:U, $D$1)
  ) = 0,
  "",
  COUNTIFS('발전사업(A)'!C:C, $E$1, '발전사업(A)'!G:G, B75, '발전사업(A)'!X:X, B83, '발전사업(A)'!U:U, $D$1)
  + COUNTIFS('자가소비(B)'!C:C, $E$1, '자가소비(B)'!G:G, B75, '자가소비(B)'!X:X, B83, '자가소비(B)'!U:U, $D$1)
  + COUNTIFS('PPA 사업(C)'!C:C, $E$1, 'PPA 사업(C)'!G:G, B75, 'PPA 사업(C)'!X:X, B83, 'PPA 사업(C)'!U:U, $D$1)
  + COUNTIFS('리스사업(D)'!C:C, $E$1, '리스사업(D)'!G:G, B75, '리스사업(D)'!X:X, B83, '리스사업(D)'!U:U, $D$1)
  + COUNTIFS('임대사업(E)'!C:C, $E$1, '임대사업(E)'!G:G, B75, '임대사업(E)'!X:X, B83, '임대사업(E)'!U:U, $D$1)
  + COUNTIFS('환경부사업(F)'!C:C, $E$1, '환경부사업(F)'!G:G, B75, '환경부사업(F)'!X:X, B83, '환경부사업(F)'!U:U, $D$1)
  + COUNTIFS('프로젝트(G)'!C:C, $E$1, '프로젝트(G)'!G:G, B75, '프로젝트(G)'!X:X, B83, '프로젝트(G)'!U:U, $D$1)
  + COUNTIFS('협력사 EPC(H)'!C:C, $E$1, '협력사 EPC(H)'!G:G, B75, '협력사 EPC(H)'!X:X, B83, '협력사 EPC(H)'!U:U, $D$1)
  + COUNTIFS('기타(Z)'!C:C, $E$1, '기타(Z)'!G:G, B75, '기타(Z)'!X:X, B83, '기타(Z)'!U:U, $D$1)
)</f>
        <v/>
      </c>
    </row>
    <row r="84" spans="2:8" ht="16.5" x14ac:dyDescent="0.25">
      <c r="B84" s="274" t="s">
        <v>174</v>
      </c>
      <c r="C84" s="268">
        <f t="shared" ref="C84:H84" si="13">SUM(C76:C83)</f>
        <v>5185.8</v>
      </c>
      <c r="D84" s="269">
        <f t="shared" si="13"/>
        <v>20</v>
      </c>
      <c r="E84" s="270">
        <f t="shared" si="13"/>
        <v>3181.1400000000003</v>
      </c>
      <c r="F84" s="271">
        <f t="shared" si="13"/>
        <v>13</v>
      </c>
      <c r="G84" s="272">
        <f t="shared" si="13"/>
        <v>2004.66</v>
      </c>
      <c r="H84" s="273">
        <f t="shared" si="13"/>
        <v>7</v>
      </c>
    </row>
    <row r="87" spans="2:8" ht="17.25" x14ac:dyDescent="0.25">
      <c r="B87" s="264">
        <v>7</v>
      </c>
      <c r="C87" s="265" t="s">
        <v>176</v>
      </c>
      <c r="D87" s="265" t="s">
        <v>175</v>
      </c>
      <c r="E87" s="266" t="s">
        <v>177</v>
      </c>
      <c r="F87" s="266" t="s">
        <v>178</v>
      </c>
      <c r="G87" s="267" t="s">
        <v>179</v>
      </c>
      <c r="H87" s="267" t="s">
        <v>180</v>
      </c>
    </row>
    <row r="88" spans="2:8" x14ac:dyDescent="0.25">
      <c r="B88" s="195" t="s">
        <v>160</v>
      </c>
      <c r="C88" s="262">
        <f>IF(
  SUM(
    SUMIFS('발전사업(A)'!I:I, '발전사업(A)'!C:C, $E$1, '발전사업(A)'!G:G, B87, '발전사업(A)'!X:X, B88),
    SUMIFS('자가소비(B)'!I:I, '자가소비(B)'!C:C, $E$1, '자가소비(B)'!G:G, B87, '자가소비(B)'!X:X, B88),
    SUMIFS('PPA 사업(C)'!I:I, 'PPA 사업(C)'!C:C, $E$1, 'PPA 사업(C)'!G:G, B87, 'PPA 사업(C)'!X:X, B88),
    SUMIFS('리스사업(D)'!I:I, '리스사업(D)'!C:C, $E$1, '리스사업(D)'!G:G, B87, '리스사업(D)'!X:X, B88),
    SUMIFS('임대사업(E)'!I:I, '임대사업(E)'!C:C, $E$1, '임대사업(E)'!G:G, B87, '임대사업(E)'!X:X, B88),
    SUMIFS('환경부사업(F)'!I:I, '환경부사업(F)'!C:C, $E$1, '환경부사업(F)'!G:G, B87, '환경부사업(F)'!X:X, B88),
    SUMIFS('프로젝트(G)'!I:I, '프로젝트(G)'!C:C, $E$1, '프로젝트(G)'!G:G, B87, '프로젝트(G)'!X:X, B88),
    SUMIFS('협력사 EPC(H)'!I:I, '협력사 EPC(H)'!C:C, $E$1, '협력사 EPC(H)'!G:G, B87, '협력사 EPC(H)'!X:X, B88),
    SUMIFS('기타(Z)'!I:I, '기타(Z)'!C:C, $E$1, '기타(Z)'!G:G, B87, '기타(Z)'!X:X, B88)
  ) = 0,
  "",
  SUMIFS('발전사업(A)'!I:I, '발전사업(A)'!C:C, $E$1, '발전사업(A)'!G:G, B87, '발전사업(A)'!X:X, B88)
  + SUMIFS('자가소비(B)'!I:I, '자가소비(B)'!C:C, $E$1, '자가소비(B)'!G:G, B87, '자가소비(B)'!X:X, B88)
  + SUMIFS('PPA 사업(C)'!I:I, 'PPA 사업(C)'!C:C, $E$1, 'PPA 사업(C)'!G:G, B87, 'PPA 사업(C)'!X:X, B88)
  + SUMIFS('리스사업(D)'!I:I, '리스사업(D)'!C:C, $E$1, '리스사업(D)'!G:G, B87, '리스사업(D)'!X:X, B88)
  + SUMIFS('임대사업(E)'!I:I, '임대사업(E)'!C:C, $E$1, '임대사업(E)'!G:G, B87, '임대사업(E)'!X:X, B88)
  + SUMIFS('환경부사업(F)'!I:I, '환경부사업(F)'!C:C, $E$1, '환경부사업(F)'!G:G, B87, '환경부사업(F)'!X:X, B88)
  + SUMIFS('프로젝트(G)'!I:I, '프로젝트(G)'!C:C, $E$1, '프로젝트(G)'!G:G, B87, '프로젝트(G)'!X:X, B88)
  + SUMIFS('협력사 EPC(H)'!I:I, '협력사 EPC(H)'!C:C, $E$1, '협력사 EPC(H)'!G:G, B87, '협력사 EPC(H)'!X:X, B88)
  + SUMIFS('기타(Z)'!I:I, '기타(Z)'!C:C, $E$1, '기타(Z)'!G:G, B87, '기타(Z)'!X:X, B88)
)</f>
        <v>830.11500000000001</v>
      </c>
      <c r="D88" s="263">
        <f>IF(
  COUNTIFS('발전사업(A)'!C:C, $E$1, '발전사업(A)'!G:G, B87, '발전사업(A)'!X:X, B88)
  + COUNTIFS('자가소비(B)'!C:C, $E$1, '자가소비(B)'!G:G, B87, '자가소비(B)'!X:X, B88)
  + COUNTIFS('PPA 사업(C)'!C:C, $E$1, 'PPA 사업(C)'!G:G, B87, 'PPA 사업(C)'!X:X, B88)
  + COUNTIFS('리스사업(D)'!C:C, $E$1, '리스사업(D)'!G:G, B87, '리스사업(D)'!X:X, B88)
  + COUNTIFS('임대사업(E)'!C:C, $E$1, '임대사업(E)'!G:G, B87, '임대사업(E)'!X:X, B88)
  + COUNTIFS('환경부사업(F)'!C:C, $E$1, '환경부사업(F)'!G:G, B87, '환경부사업(F)'!X:X, B88)
  + COUNTIFS('프로젝트(G)'!C:C, $E$1, '프로젝트(G)'!G:G, B87, '프로젝트(G)'!X:X, B88)
  + COUNTIFS('협력사 EPC(H)'!C:C, $E$1, '협력사 EPC(H)'!G:G, B87, '협력사 EPC(H)'!X:X, B88)
  + COUNTIFS('기타(Z)'!C:C, $E$1, '기타(Z)'!G:G, B87, '기타(Z)'!X:X, B88)
  = 0,
  "",
  COUNTIFS('발전사업(A)'!C:C, $E$1, '발전사업(A)'!G:G, B87, '발전사업(A)'!X:X, B88)
  + COUNTIFS('자가소비(B)'!C:C, $E$1, '자가소비(B)'!G:G, B87, '자가소비(B)'!X:X, B88)
  + COUNTIFS('PPA 사업(C)'!C:C, $E$1, 'PPA 사업(C)'!G:G, B87, 'PPA 사업(C)'!X:X, B88)
  + COUNTIFS('리스사업(D)'!C:C, $E$1, '리스사업(D)'!G:G, B87, '리스사업(D)'!X:X, B88)
  + COUNTIFS('임대사업(E)'!C:C, $E$1, '임대사업(E)'!G:G, B87, '임대사업(E)'!X:X, B88)
  + COUNTIFS('환경부사업(F)'!C:C, $E$1, '환경부사업(F)'!G:G, B87, '환경부사업(F)'!X:X, B88)
  + COUNTIFS('프로젝트(G)'!C:C, $E$1, '프로젝트(G)'!G:G, B87, '프로젝트(G)'!X:X, B88)
  + COUNTIFS('협력사 EPC(H)'!C:C, $E$1, '협력사 EPC(H)'!G:G, B87, '협력사 EPC(H)'!X:X, B88)
  + COUNTIFS('기타(Z)'!C:C, $E$1, '기타(Z)'!G:G, B87, '기타(Z)'!X:X, B88)
)</f>
        <v>3</v>
      </c>
      <c r="E88" s="262">
        <f>IF(
  SUM(
    SUMIFS('발전사업(A)'!I:I, '발전사업(A)'!C:C, $E$1, '발전사업(A)'!G:G, B87, '발전사업(A)'!X:X, B88, '발전사업(A)'!U:U, $C$1),
    SUMIFS('자가소비(B)'!I:I, '자가소비(B)'!C:C, $E$1, '자가소비(B)'!G:G, B87, '자가소비(B)'!X:X, B88, '자가소비(B)'!U:U, $C$1),
    SUMIFS('PPA 사업(C)'!I:I, 'PPA 사업(C)'!C:C, $E$1, 'PPA 사업(C)'!G:G, B87, 'PPA 사업(C)'!X:X, B88, 'PPA 사업(C)'!U:U, $C$1),
    SUMIFS('리스사업(D)'!I:I, '리스사업(D)'!C:C, $E$1, '리스사업(D)'!G:G, B87, '리스사업(D)'!X:X, B88, '리스사업(D)'!U:U, $C$1),
    SUMIFS('임대사업(E)'!I:I, '임대사업(E)'!C:C, $E$1, '임대사업(E)'!G:G, B87, '임대사업(E)'!X:X, B88, '임대사업(E)'!U:U, $C$1),
    SUMIFS('환경부사업(F)'!I:I, '환경부사업(F)'!C:C, $E$1, '환경부사업(F)'!G:G, B87, '환경부사업(F)'!X:X, B88, '환경부사업(F)'!U:U, $C$1),
    SUMIFS('프로젝트(G)'!I:I, '프로젝트(G)'!C:C, $E$1, '프로젝트(G)'!G:G, B87, '프로젝트(G)'!X:X, B88, '프로젝트(G)'!U:U, $C$1),
    SUMIFS('협력사 EPC(H)'!I:I, '협력사 EPC(H)'!C:C, $E$1, '협력사 EPC(H)'!G:G, B87, '협력사 EPC(H)'!X:X, B88, '협력사 EPC(H)'!U:U, $C$1),
    SUMIFS('기타(Z)'!I:I, '기타(Z)'!C:C, $E$1, '기타(Z)'!G:G, B87, '기타(Z)'!X:X, B88, '기타(Z)'!U:U, $C$1)
  ) = 0,
  "",
  SUM(
    SUMIFS('발전사업(A)'!I:I, '발전사업(A)'!C:C, $E$1, '발전사업(A)'!G:G, B87, '발전사업(A)'!X:X, B88, '발전사업(A)'!U:U, $C$1),
    SUMIFS('자가소비(B)'!I:I, '자가소비(B)'!C:C, $E$1, '자가소비(B)'!G:G, B87, '자가소비(B)'!X:X, B88, '자가소비(B)'!U:U, $C$1),
    SUMIFS('PPA 사업(C)'!I:I, 'PPA 사업(C)'!C:C, $E$1, 'PPA 사업(C)'!G:G, B87, 'PPA 사업(C)'!X:X, B88, 'PPA 사업(C)'!U:U, $C$1),
    SUMIFS('리스사업(D)'!I:I, '리스사업(D)'!C:C, $E$1, '리스사업(D)'!G:G, B87, '리스사업(D)'!X:X, B88, '리스사업(D)'!U:U, $C$1),
    SUMIFS('임대사업(E)'!I:I, '임대사업(E)'!C:C, $E$1, '임대사업(E)'!G:G, B87, '임대사업(E)'!X:X, B88, '임대사업(E)'!U:U, $C$1),
    SUMIFS('환경부사업(F)'!I:I, '환경부사업(F)'!C:C, $E$1, '환경부사업(F)'!G:G, B87, '환경부사업(F)'!X:X, B88, '환경부사업(F)'!U:U, $C$1),
    SUMIFS('프로젝트(G)'!I:I, '프로젝트(G)'!C:C, $E$1, '프로젝트(G)'!G:G, B87, '프로젝트(G)'!X:X, B88, '프로젝트(G)'!U:U, $C$1),
    SUMIFS('협력사 EPC(H)'!I:I, '협력사 EPC(H)'!C:C, $E$1, '협력사 EPC(H)'!G:G, B87, '협력사 EPC(H)'!X:X, B88, '협력사 EPC(H)'!U:U, $C$1),
    SUMIFS('기타(Z)'!I:I, '기타(Z)'!C:C, $E$1, '기타(Z)'!G:G, B87, '기타(Z)'!X:X, B88, '기타(Z)'!U:U, $C$1)
  )
)</f>
        <v>196.08</v>
      </c>
      <c r="F88" s="263">
        <f>IF(
  SUM(
    COUNTIFS('발전사업(A)'!C:C, $E$1, '발전사업(A)'!G:G, B87, '발전사업(A)'!X:X, B88, '발전사업(A)'!U:U, $C$1),
    COUNTIFS('자가소비(B)'!C:C, $E$1, '자가소비(B)'!G:G, B87, '자가소비(B)'!X:X, B88, '자가소비(B)'!U:U, $C$1),
    COUNTIFS('PPA 사업(C)'!C:C, $E$1, 'PPA 사업(C)'!G:G, B87, 'PPA 사업(C)'!X:X, B88, 'PPA 사업(C)'!U:U, $C$1),
    COUNTIFS('리스사업(D)'!C:C, $E$1, '리스사업(D)'!G:G, B87, '리스사업(D)'!X:X, B88, '리스사업(D)'!U:U, $C$1),
    COUNTIFS('임대사업(E)'!C:C, $E$1, '임대사업(E)'!G:G, B87, '임대사업(E)'!X:X, B88, '임대사업(E)'!U:U, $C$1),
    COUNTIFS('환경부사업(F)'!C:C, $E$1, '환경부사업(F)'!G:G, B87, '환경부사업(F)'!X:X, B88, '환경부사업(F)'!U:U, $C$1),
    COUNTIFS('프로젝트(G)'!C:C, $E$1, '프로젝트(G)'!G:G, B87, '프로젝트(G)'!X:X, B88, '프로젝트(G)'!U:U, $C$1),
    COUNTIFS('협력사 EPC(H)'!C:C, $E$1, '협력사 EPC(H)'!G:G, B87, '협력사 EPC(H)'!X:X, B88, '협력사 EPC(H)'!U:U, $C$1),
    COUNTIFS('기타(Z)'!C:C, $E$1, '기타(Z)'!G:G, B87, '기타(Z)'!X:X, B88, '기타(Z)'!U:U, $C$1)
  ) = 0,
  "",
  SUM(
    COUNTIFS('발전사업(A)'!C:C, $E$1, '발전사업(A)'!G:G, B87, '발전사업(A)'!X:X, B88, '발전사업(A)'!U:U, $C$1),
    COUNTIFS('자가소비(B)'!C:C, $E$1, '자가소비(B)'!G:G, B87, '자가소비(B)'!X:X, B88, '자가소비(B)'!U:U, $C$1),
    COUNTIFS('PPA 사업(C)'!C:C, $E$1, 'PPA 사업(C)'!G:G, B87, 'PPA 사업(C)'!X:X, B88, 'PPA 사업(C)'!U:U, $C$1),
    COUNTIFS('리스사업(D)'!C:C, $E$1, '리스사업(D)'!G:G, B87, '리스사업(D)'!X:X, B88, '리스사업(D)'!U:U, $C$1),
    COUNTIFS('임대사업(E)'!C:C, $E$1, '임대사업(E)'!G:G, B87, '임대사업(E)'!X:X, B88, '임대사업(E)'!U:U, $C$1),
    COUNTIFS('환경부사업(F)'!C:C, $E$1, '환경부사업(F)'!G:G, B87, '환경부사업(F)'!X:X, B88, '환경부사업(F)'!U:U, $C$1),
    COUNTIFS('프로젝트(G)'!C:C, $E$1, '프로젝트(G)'!G:G, B87, '프로젝트(G)'!X:X, B88, '프로젝트(G)'!U:U, $C$1),
    COUNTIFS('협력사 EPC(H)'!C:C, $E$1, '협력사 EPC(H)'!G:G, B87, '협력사 EPC(H)'!X:X, B88, '협력사 EPC(H)'!U:U, $C$1),
    COUNTIFS('기타(Z)'!C:C, $E$1, '기타(Z)'!G:G, B87, '기타(Z)'!X:X, B88, '기타(Z)'!U:U, $C$1)
  )
)</f>
        <v>1</v>
      </c>
      <c r="G88" s="262">
        <f>IF(
  SUM(
    SUMIFS('발전사업(A)'!I:I, '발전사업(A)'!C:C, $E$1, '발전사업(A)'!G:G, B87, '발전사업(A)'!X:X, B88, '발전사업(A)'!U:U, $D$1),
    SUMIFS('자가소비(B)'!I:I, '자가소비(B)'!C:C, $E$1, '자가소비(B)'!G:G, B87, '자가소비(B)'!X:X, B88, '자가소비(B)'!U:U, $D$1),
    SUMIFS('PPA 사업(C)'!I:I, 'PPA 사업(C)'!C:C, $E$1, 'PPA 사업(C)'!G:G, B87, 'PPA 사업(C)'!X:X, B88, 'PPA 사업(C)'!U:U, $D$1),
    SUMIFS('리스사업(D)'!I:I, '리스사업(D)'!C:C, $E$1, '리스사업(D)'!G:G, B87, '리스사업(D)'!X:X, B88, '리스사업(D)'!U:U, $D$1),
    SUMIFS('임대사업(E)'!I:I, '임대사업(E)'!C:C, $E$1, '임대사업(E)'!G:G, B87, '임대사업(E)'!X:X, B88, '임대사업(E)'!U:U, $D$1),
    SUMIFS('환경부사업(F)'!I:I, '환경부사업(F)'!C:C, $E$1, '환경부사업(F)'!G:G, B87, '환경부사업(F)'!X:X, B88, '환경부사업(F)'!U:U, $D$1),
    SUMIFS('프로젝트(G)'!I:I, '프로젝트(G)'!C:C, $E$1, '프로젝트(G)'!G:G, B87, '프로젝트(G)'!X:X, B88, '프로젝트(G)'!U:U, $D$1),
    SUMIFS('협력사 EPC(H)'!I:I, '협력사 EPC(H)'!C:C, $E$1, '협력사 EPC(H)'!G:G, B87, '협력사 EPC(H)'!X:X, B88, '협력사 EPC(H)'!U:U, $D$1),
    SUMIFS('기타(Z)'!I:I, '기타(Z)'!C:C, $E$1, '기타(Z)'!G:G, B87, '기타(Z)'!X:X, B88, '기타(Z)'!U:U, $D$1)
  ) = 0,
  "",
  SUM(
    SUMIFS('발전사업(A)'!I:I, '발전사업(A)'!C:C, $E$1, '발전사업(A)'!G:G, B87, '발전사업(A)'!X:X, B88, '발전사업(A)'!U:U, $D$1),
    SUMIFS('자가소비(B)'!I:I, '자가소비(B)'!C:C, $E$1, '자가소비(B)'!G:G, B87, '자가소비(B)'!X:X, B88, '자가소비(B)'!U:U, $D$1),
    SUMIFS('PPA 사업(C)'!I:I, 'PPA 사업(C)'!C:C, $E$1, 'PPA 사업(C)'!G:G, B87, 'PPA 사업(C)'!X:X, B88, 'PPA 사업(C)'!U:U, $D$1),
    SUMIFS('리스사업(D)'!I:I, '리스사업(D)'!C:C, $E$1, '리스사업(D)'!G:G, B87, '리스사업(D)'!X:X, B88, '리스사업(D)'!U:U, $D$1),
    SUMIFS('임대사업(E)'!I:I, '임대사업(E)'!C:C, $E$1, '임대사업(E)'!G:G, B87, '임대사업(E)'!X:X, B88, '임대사업(E)'!U:U, $D$1),
    SUMIFS('환경부사업(F)'!I:I, '환경부사업(F)'!C:C, $E$1, '환경부사업(F)'!G:G, B87, '환경부사업(F)'!X:X, B88, '환경부사업(F)'!U:U, $D$1),
    SUMIFS('프로젝트(G)'!I:I, '프로젝트(G)'!C:C, $E$1, '프로젝트(G)'!G:G, B87, '프로젝트(G)'!X:X, B88, '프로젝트(G)'!U:U, $D$1),
    SUMIFS('협력사 EPC(H)'!I:I, '협력사 EPC(H)'!C:C, $E$1, '협력사 EPC(H)'!G:G, B87, '협력사 EPC(H)'!X:X, B88, '협력사 EPC(H)'!U:U, $D$1),
    SUMIFS('기타(Z)'!I:I, '기타(Z)'!C:C, $E$1, '기타(Z)'!G:G, B87, '기타(Z)'!X:X, B88, '기타(Z)'!U:U, $D$1)
  )
)</f>
        <v>634.03499999999997</v>
      </c>
      <c r="H88" s="263">
        <f>IF(
  (
    COUNTIFS('발전사업(A)'!C:C, $E$1, '발전사업(A)'!G:G, B87, '발전사업(A)'!X:X, B88, '발전사업(A)'!U:U, $D$1)
    + COUNTIFS('자가소비(B)'!C:C, $E$1, '자가소비(B)'!G:G, B87, '자가소비(B)'!X:X, B88, '자가소비(B)'!U:U, $D$1)
    + COUNTIFS('PPA 사업(C)'!C:C, $E$1, 'PPA 사업(C)'!G:G, B87, 'PPA 사업(C)'!X:X, B88, 'PPA 사업(C)'!U:U, $D$1)
    + COUNTIFS('리스사업(D)'!C:C, $E$1, '리스사업(D)'!G:G, B87, '리스사업(D)'!X:X, B88, '리스사업(D)'!U:U, $D$1)
    + COUNTIFS('임대사업(E)'!C:C, $E$1, '임대사업(E)'!G:G, B87, '임대사업(E)'!X:X, B88, '임대사업(E)'!U:U, $D$1)
    + COUNTIFS('환경부사업(F)'!C:C, $E$1, '환경부사업(F)'!G:G, B87, '환경부사업(F)'!X:X, B88, '환경부사업(F)'!U:U, $D$1)
    + COUNTIFS('프로젝트(G)'!C:C, $E$1, '프로젝트(G)'!G:G, B87, '프로젝트(G)'!X:X, B88, '프로젝트(G)'!U:U, $D$1)
    + COUNTIFS('협력사 EPC(H)'!C:C, $E$1, '협력사 EPC(H)'!G:G, B87, '협력사 EPC(H)'!X:X, B88, '협력사 EPC(H)'!U:U, $D$1)
    + COUNTIFS('기타(Z)'!C:C, $E$1, '기타(Z)'!G:G, B87, '기타(Z)'!X:X, B88, '기타(Z)'!U:U, $D$1)
  ) = 0,
  "",
  COUNTIFS('발전사업(A)'!C:C, $E$1, '발전사업(A)'!G:G, B87, '발전사업(A)'!X:X, B88, '발전사업(A)'!U:U, $D$1)
  + COUNTIFS('자가소비(B)'!C:C, $E$1, '자가소비(B)'!G:G, B87, '자가소비(B)'!X:X, B88, '자가소비(B)'!U:U, $D$1)
  + COUNTIFS('PPA 사업(C)'!C:C, $E$1, 'PPA 사업(C)'!G:G, B87, 'PPA 사업(C)'!X:X, B88, 'PPA 사업(C)'!U:U, $D$1)
  + COUNTIFS('리스사업(D)'!C:C, $E$1, '리스사업(D)'!G:G, B87, '리스사업(D)'!X:X, B88, '리스사업(D)'!U:U, $D$1)
  + COUNTIFS('임대사업(E)'!C:C, $E$1, '임대사업(E)'!G:G, B87, '임대사업(E)'!X:X, B88, '임대사업(E)'!U:U, $D$1)
  + COUNTIFS('환경부사업(F)'!C:C, $E$1, '환경부사업(F)'!G:G, B87, '환경부사업(F)'!X:X, B88, '환경부사업(F)'!U:U, $D$1)
  + COUNTIFS('프로젝트(G)'!C:C, $E$1, '프로젝트(G)'!G:G, B87, '프로젝트(G)'!X:X, B88, '프로젝트(G)'!U:U, $D$1)
  + COUNTIFS('협력사 EPC(H)'!C:C, $E$1, '협력사 EPC(H)'!G:G, B87, '협력사 EPC(H)'!X:X, B88, '협력사 EPC(H)'!U:U, $D$1)
  + COUNTIFS('기타(Z)'!C:C, $E$1, '기타(Z)'!G:G, B87, '기타(Z)'!X:X, B88, '기타(Z)'!U:U, $D$1)
)</f>
        <v>2</v>
      </c>
    </row>
    <row r="89" spans="2:8" x14ac:dyDescent="0.25">
      <c r="B89" s="195" t="s">
        <v>152</v>
      </c>
      <c r="C89" s="262">
        <f>IF(
  SUM(
    SUMIFS('발전사업(A)'!I:I, '발전사업(A)'!C:C, $E$1, '발전사업(A)'!G:G, B87, '발전사업(A)'!X:X, B89),
    SUMIFS('자가소비(B)'!I:I, '자가소비(B)'!C:C, $E$1, '자가소비(B)'!G:G, B87, '자가소비(B)'!X:X, B89),
    SUMIFS('PPA 사업(C)'!I:I, 'PPA 사업(C)'!C:C, $E$1, 'PPA 사업(C)'!G:G, B87, 'PPA 사업(C)'!X:X, B89),
    SUMIFS('리스사업(D)'!I:I, '리스사업(D)'!C:C, $E$1, '리스사업(D)'!G:G, B87, '리스사업(D)'!X:X, B89),
    SUMIFS('임대사업(E)'!I:I, '임대사업(E)'!C:C, $E$1, '임대사업(E)'!G:G, B87, '임대사업(E)'!X:X, B89),
    SUMIFS('환경부사업(F)'!I:I, '환경부사업(F)'!C:C, $E$1, '환경부사업(F)'!G:G, B87, '환경부사업(F)'!X:X, B89),
    SUMIFS('프로젝트(G)'!I:I, '프로젝트(G)'!C:C, $E$1, '프로젝트(G)'!G:G, B87, '프로젝트(G)'!X:X, B89),
    SUMIFS('협력사 EPC(H)'!I:I, '협력사 EPC(H)'!C:C, $E$1, '협력사 EPC(H)'!G:G, B87, '협력사 EPC(H)'!X:X, B89),
    SUMIFS('기타(Z)'!I:I, '기타(Z)'!C:C, $E$1, '기타(Z)'!G:G, B87, '기타(Z)'!X:X, B89)
  ) = 0,
  "",
  SUMIFS('발전사업(A)'!I:I, '발전사업(A)'!C:C, $E$1, '발전사업(A)'!G:G, B87, '발전사업(A)'!X:X, B89)
  + SUMIFS('자가소비(B)'!I:I, '자가소비(B)'!C:C, $E$1, '자가소비(B)'!G:G, B87, '자가소비(B)'!X:X, B89)
  + SUMIFS('PPA 사업(C)'!I:I, 'PPA 사업(C)'!C:C, $E$1, 'PPA 사업(C)'!G:G, B87, 'PPA 사업(C)'!X:X, B89)
  + SUMIFS('리스사업(D)'!I:I, '리스사업(D)'!C:C, $E$1, '리스사업(D)'!G:G, B87, '리스사업(D)'!X:X, B89)
  + SUMIFS('임대사업(E)'!I:I, '임대사업(E)'!C:C, $E$1, '임대사업(E)'!G:G, B87, '임대사업(E)'!X:X, B89)
  + SUMIFS('환경부사업(F)'!I:I, '환경부사업(F)'!C:C, $E$1, '환경부사업(F)'!G:G, B87, '환경부사업(F)'!X:X, B89)
  + SUMIFS('프로젝트(G)'!I:I, '프로젝트(G)'!C:C, $E$1, '프로젝트(G)'!G:G, B87, '프로젝트(G)'!X:X, B89)
  + SUMIFS('협력사 EPC(H)'!I:I, '협력사 EPC(H)'!C:C, $E$1, '협력사 EPC(H)'!G:G, B87, '협력사 EPC(H)'!X:X, B89)
  + SUMIFS('기타(Z)'!I:I, '기타(Z)'!C:C, $E$1, '기타(Z)'!G:G, B87, '기타(Z)'!X:X, B89)
)</f>
        <v>5163.4599999999991</v>
      </c>
      <c r="D89" s="263">
        <f>IF(
  COUNTIFS('발전사업(A)'!C:C, $E$1, '발전사업(A)'!G:G, B87, '발전사업(A)'!X:X, B89)
  + COUNTIFS('자가소비(B)'!C:C, $E$1, '자가소비(B)'!G:G, B87, '자가소비(B)'!X:X, B89)
  + COUNTIFS('PPA 사업(C)'!C:C, $E$1, 'PPA 사업(C)'!G:G, B87, 'PPA 사업(C)'!X:X, B89)
  + COUNTIFS('리스사업(D)'!C:C, $E$1, '리스사업(D)'!G:G, B87, '리스사업(D)'!X:X, B89)
  + COUNTIFS('임대사업(E)'!C:C, $E$1, '임대사업(E)'!G:G, B87, '임대사업(E)'!X:X, B89)
  + COUNTIFS('환경부사업(F)'!C:C, $E$1, '환경부사업(F)'!G:G, B87, '환경부사업(F)'!X:X, B89)
  + COUNTIFS('프로젝트(G)'!C:C, $E$1, '프로젝트(G)'!G:G, B87, '프로젝트(G)'!X:X, B89)
  + COUNTIFS('협력사 EPC(H)'!C:C, $E$1, '협력사 EPC(H)'!G:G, B87, '협력사 EPC(H)'!X:X, B89)
  + COUNTIFS('기타(Z)'!C:C, $E$1, '기타(Z)'!G:G, B87, '기타(Z)'!X:X, B89)
  = 0,
  "",
  COUNTIFS('발전사업(A)'!C:C, $E$1, '발전사업(A)'!G:G, B87, '발전사업(A)'!X:X, B89)
  + COUNTIFS('자가소비(B)'!C:C, $E$1, '자가소비(B)'!G:G, B87, '자가소비(B)'!X:X, B89)
  + COUNTIFS('PPA 사업(C)'!C:C, $E$1, 'PPA 사업(C)'!G:G, B87, 'PPA 사업(C)'!X:X, B89)
  + COUNTIFS('리스사업(D)'!C:C, $E$1, '리스사업(D)'!G:G, B87, '리스사업(D)'!X:X, B89)
  + COUNTIFS('임대사업(E)'!C:C, $E$1, '임대사업(E)'!G:G, B87, '임대사업(E)'!X:X, B89)
  + COUNTIFS('환경부사업(F)'!C:C, $E$1, '환경부사업(F)'!G:G, B87, '환경부사업(F)'!X:X, B89)
  + COUNTIFS('프로젝트(G)'!C:C, $E$1, '프로젝트(G)'!G:G, B87, '프로젝트(G)'!X:X, B89)
  + COUNTIFS('협력사 EPC(H)'!C:C, $E$1, '협력사 EPC(H)'!G:G, B87, '협력사 EPC(H)'!X:X, B89)
  + COUNTIFS('기타(Z)'!C:C, $E$1, '기타(Z)'!G:G, B87, '기타(Z)'!X:X, B89)
)</f>
        <v>10</v>
      </c>
      <c r="E89" s="262">
        <f>IF(
  SUM(
    SUMIFS('발전사업(A)'!I:I, '발전사업(A)'!C:C, $E$1, '발전사업(A)'!G:G, B87, '발전사업(A)'!X:X, B89, '발전사업(A)'!U:U, $C$1),
    SUMIFS('자가소비(B)'!I:I, '자가소비(B)'!C:C, $E$1, '자가소비(B)'!G:G, B87, '자가소비(B)'!X:X, B89, '자가소비(B)'!U:U, $C$1),
    SUMIFS('PPA 사업(C)'!I:I, 'PPA 사업(C)'!C:C, $E$1, 'PPA 사업(C)'!G:G, B87, 'PPA 사업(C)'!X:X, B89, 'PPA 사업(C)'!U:U, $C$1),
    SUMIFS('리스사업(D)'!I:I, '리스사업(D)'!C:C, $E$1, '리스사업(D)'!G:G, B87, '리스사업(D)'!X:X, B89, '리스사업(D)'!U:U, $C$1),
    SUMIFS('임대사업(E)'!I:I, '임대사업(E)'!C:C, $E$1, '임대사업(E)'!G:G, B87, '임대사업(E)'!X:X, B89, '임대사업(E)'!U:U, $C$1),
    SUMIFS('환경부사업(F)'!I:I, '환경부사업(F)'!C:C, $E$1, '환경부사업(F)'!G:G, B87, '환경부사업(F)'!X:X, B89, '환경부사업(F)'!U:U, $C$1),
    SUMIFS('프로젝트(G)'!I:I, '프로젝트(G)'!C:C, $E$1, '프로젝트(G)'!G:G, B87, '프로젝트(G)'!X:X, B89, '프로젝트(G)'!U:U, $C$1),
    SUMIFS('협력사 EPC(H)'!I:I, '협력사 EPC(H)'!C:C, $E$1, '협력사 EPC(H)'!G:G, B87, '협력사 EPC(H)'!X:X, B89, '협력사 EPC(H)'!U:U, $C$1),
    SUMIFS('기타(Z)'!I:I, '기타(Z)'!C:C, $E$1, '기타(Z)'!G:G, B87, '기타(Z)'!X:X, B89, '기타(Z)'!U:U, $C$1)
  ) = 0,
  "",
  SUM(
    SUMIFS('발전사업(A)'!I:I, '발전사업(A)'!C:C, $E$1, '발전사업(A)'!G:G, B87, '발전사업(A)'!X:X, B89, '발전사업(A)'!U:U, $C$1),
    SUMIFS('자가소비(B)'!I:I, '자가소비(B)'!C:C, $E$1, '자가소비(B)'!G:G, B87, '자가소비(B)'!X:X, B89, '자가소비(B)'!U:U, $C$1),
    SUMIFS('PPA 사업(C)'!I:I, 'PPA 사업(C)'!C:C, $E$1, 'PPA 사업(C)'!G:G, B87, 'PPA 사업(C)'!X:X, B89, 'PPA 사업(C)'!U:U, $C$1),
    SUMIFS('리스사업(D)'!I:I, '리스사업(D)'!C:C, $E$1, '리스사업(D)'!G:G, B87, '리스사업(D)'!X:X, B89, '리스사업(D)'!U:U, $C$1),
    SUMIFS('임대사업(E)'!I:I, '임대사업(E)'!C:C, $E$1, '임대사업(E)'!G:G, B87, '임대사업(E)'!X:X, B89, '임대사업(E)'!U:U, $C$1),
    SUMIFS('환경부사업(F)'!I:I, '환경부사업(F)'!C:C, $E$1, '환경부사업(F)'!G:G, B87, '환경부사업(F)'!X:X, B89, '환경부사업(F)'!U:U, $C$1),
    SUMIFS('프로젝트(G)'!I:I, '프로젝트(G)'!C:C, $E$1, '프로젝트(G)'!G:G, B87, '프로젝트(G)'!X:X, B89, '프로젝트(G)'!U:U, $C$1),
    SUMIFS('협력사 EPC(H)'!I:I, '협력사 EPC(H)'!C:C, $E$1, '협력사 EPC(H)'!G:G, B87, '협력사 EPC(H)'!X:X, B89, '협력사 EPC(H)'!U:U, $C$1),
    SUMIFS('기타(Z)'!I:I, '기타(Z)'!C:C, $E$1, '기타(Z)'!G:G, B87, '기타(Z)'!X:X, B89, '기타(Z)'!U:U, $C$1)
  )
)</f>
        <v>3288.2250000000004</v>
      </c>
      <c r="F89" s="263">
        <f>IF(
  SUM(
    COUNTIFS('발전사업(A)'!C:C, $E$1, '발전사업(A)'!G:G, B87, '발전사업(A)'!X:X, B89, '발전사업(A)'!U:U, $C$1),
    COUNTIFS('자가소비(B)'!C:C, $E$1, '자가소비(B)'!G:G, B87, '자가소비(B)'!X:X, B89, '자가소비(B)'!U:U, $C$1),
    COUNTIFS('PPA 사업(C)'!C:C, $E$1, 'PPA 사업(C)'!G:G, B87, 'PPA 사업(C)'!X:X, B89, 'PPA 사업(C)'!U:U, $C$1),
    COUNTIFS('리스사업(D)'!C:C, $E$1, '리스사업(D)'!G:G, B87, '리스사업(D)'!X:X, B89, '리스사업(D)'!U:U, $C$1),
    COUNTIFS('임대사업(E)'!C:C, $E$1, '임대사업(E)'!G:G, B87, '임대사업(E)'!X:X, B89, '임대사업(E)'!U:U, $C$1),
    COUNTIFS('환경부사업(F)'!C:C, $E$1, '환경부사업(F)'!G:G, B87, '환경부사업(F)'!X:X, B89, '환경부사업(F)'!U:U, $C$1),
    COUNTIFS('프로젝트(G)'!C:C, $E$1, '프로젝트(G)'!G:G, B87, '프로젝트(G)'!X:X, B89, '프로젝트(G)'!U:U, $C$1),
    COUNTIFS('협력사 EPC(H)'!C:C, $E$1, '협력사 EPC(H)'!G:G, B87, '협력사 EPC(H)'!X:X, B89, '협력사 EPC(H)'!U:U, $C$1),
    COUNTIFS('기타(Z)'!C:C, $E$1, '기타(Z)'!G:G, B87, '기타(Z)'!X:X, B89, '기타(Z)'!U:U, $C$1)
  ) = 0,
  "",
  SUM(
    COUNTIFS('발전사업(A)'!C:C, $E$1, '발전사업(A)'!G:G, B87, '발전사업(A)'!X:X, B89, '발전사업(A)'!U:U, $C$1),
    COUNTIFS('자가소비(B)'!C:C, $E$1, '자가소비(B)'!G:G, B87, '자가소비(B)'!X:X, B89, '자가소비(B)'!U:U, $C$1),
    COUNTIFS('PPA 사업(C)'!C:C, $E$1, 'PPA 사업(C)'!G:G, B87, 'PPA 사업(C)'!X:X, B89, 'PPA 사업(C)'!U:U, $C$1),
    COUNTIFS('리스사업(D)'!C:C, $E$1, '리스사업(D)'!G:G, B87, '리스사업(D)'!X:X, B89, '리스사업(D)'!U:U, $C$1),
    COUNTIFS('임대사업(E)'!C:C, $E$1, '임대사업(E)'!G:G, B87, '임대사업(E)'!X:X, B89, '임대사업(E)'!U:U, $C$1),
    COUNTIFS('환경부사업(F)'!C:C, $E$1, '환경부사업(F)'!G:G, B87, '환경부사업(F)'!X:X, B89, '환경부사업(F)'!U:U, $C$1),
    COUNTIFS('프로젝트(G)'!C:C, $E$1, '프로젝트(G)'!G:G, B87, '프로젝트(G)'!X:X, B89, '프로젝트(G)'!U:U, $C$1),
    COUNTIFS('협력사 EPC(H)'!C:C, $E$1, '협력사 EPC(H)'!G:G, B87, '협력사 EPC(H)'!X:X, B89, '협력사 EPC(H)'!U:U, $C$1),
    COUNTIFS('기타(Z)'!C:C, $E$1, '기타(Z)'!G:G, B87, '기타(Z)'!X:X, B89, '기타(Z)'!U:U, $C$1)
  )
)</f>
        <v>6</v>
      </c>
      <c r="G89" s="262">
        <f>IF(
  SUM(
    SUMIFS('발전사업(A)'!I:I, '발전사업(A)'!C:C, $E$1, '발전사업(A)'!G:G, B87, '발전사업(A)'!X:X, B89, '발전사업(A)'!U:U, $D$1),
    SUMIFS('자가소비(B)'!I:I, '자가소비(B)'!C:C, $E$1, '자가소비(B)'!G:G, B87, '자가소비(B)'!X:X, B89, '자가소비(B)'!U:U, $D$1),
    SUMIFS('PPA 사업(C)'!I:I, 'PPA 사업(C)'!C:C, $E$1, 'PPA 사업(C)'!G:G, B87, 'PPA 사업(C)'!X:X, B89, 'PPA 사업(C)'!U:U, $D$1),
    SUMIFS('리스사업(D)'!I:I, '리스사업(D)'!C:C, $E$1, '리스사업(D)'!G:G, B87, '리스사업(D)'!X:X, B89, '리스사업(D)'!U:U, $D$1),
    SUMIFS('임대사업(E)'!I:I, '임대사업(E)'!C:C, $E$1, '임대사업(E)'!G:G, B87, '임대사업(E)'!X:X, B89, '임대사업(E)'!U:U, $D$1),
    SUMIFS('환경부사업(F)'!I:I, '환경부사업(F)'!C:C, $E$1, '환경부사업(F)'!G:G, B87, '환경부사업(F)'!X:X, B89, '환경부사업(F)'!U:U, $D$1),
    SUMIFS('프로젝트(G)'!I:I, '프로젝트(G)'!C:C, $E$1, '프로젝트(G)'!G:G, B87, '프로젝트(G)'!X:X, B89, '프로젝트(G)'!U:U, $D$1),
    SUMIFS('협력사 EPC(H)'!I:I, '협력사 EPC(H)'!C:C, $E$1, '협력사 EPC(H)'!G:G, B87, '협력사 EPC(H)'!X:X, B89, '협력사 EPC(H)'!U:U, $D$1),
    SUMIFS('기타(Z)'!I:I, '기타(Z)'!C:C, $E$1, '기타(Z)'!G:G, B87, '기타(Z)'!X:X, B89, '기타(Z)'!U:U, $D$1)
  ) = 0,
  "",
  SUM(
    SUMIFS('발전사업(A)'!I:I, '발전사업(A)'!C:C, $E$1, '발전사업(A)'!G:G, B87, '발전사업(A)'!X:X, B89, '발전사업(A)'!U:U, $D$1),
    SUMIFS('자가소비(B)'!I:I, '자가소비(B)'!C:C, $E$1, '자가소비(B)'!G:G, B87, '자가소비(B)'!X:X, B89, '자가소비(B)'!U:U, $D$1),
    SUMIFS('PPA 사업(C)'!I:I, 'PPA 사업(C)'!C:C, $E$1, 'PPA 사업(C)'!G:G, B87, 'PPA 사업(C)'!X:X, B89, 'PPA 사업(C)'!U:U, $D$1),
    SUMIFS('리스사업(D)'!I:I, '리스사업(D)'!C:C, $E$1, '리스사업(D)'!G:G, B87, '리스사업(D)'!X:X, B89, '리스사업(D)'!U:U, $D$1),
    SUMIFS('임대사업(E)'!I:I, '임대사업(E)'!C:C, $E$1, '임대사업(E)'!G:G, B87, '임대사업(E)'!X:X, B89, '임대사업(E)'!U:U, $D$1),
    SUMIFS('환경부사업(F)'!I:I, '환경부사업(F)'!C:C, $E$1, '환경부사업(F)'!G:G, B87, '환경부사업(F)'!X:X, B89, '환경부사업(F)'!U:U, $D$1),
    SUMIFS('프로젝트(G)'!I:I, '프로젝트(G)'!C:C, $E$1, '프로젝트(G)'!G:G, B87, '프로젝트(G)'!X:X, B89, '프로젝트(G)'!U:U, $D$1),
    SUMIFS('협력사 EPC(H)'!I:I, '협력사 EPC(H)'!C:C, $E$1, '협력사 EPC(H)'!G:G, B87, '협력사 EPC(H)'!X:X, B89, '협력사 EPC(H)'!U:U, $D$1),
    SUMIFS('기타(Z)'!I:I, '기타(Z)'!C:C, $E$1, '기타(Z)'!G:G, B87, '기타(Z)'!X:X, B89, '기타(Z)'!U:U, $D$1)
  )
)</f>
        <v>1875.2350000000001</v>
      </c>
      <c r="H89" s="263">
        <f>IF(
  (
    COUNTIFS('발전사업(A)'!C:C, $E$1, '발전사업(A)'!G:G, B87, '발전사업(A)'!X:X, B89, '발전사업(A)'!U:U, $D$1)
    + COUNTIFS('자가소비(B)'!C:C, $E$1, '자가소비(B)'!G:G, B87, '자가소비(B)'!X:X, B89, '자가소비(B)'!U:U, $D$1)
    + COUNTIFS('PPA 사업(C)'!C:C, $E$1, 'PPA 사업(C)'!G:G, B87, 'PPA 사업(C)'!X:X, B89, 'PPA 사업(C)'!U:U, $D$1)
    + COUNTIFS('리스사업(D)'!C:C, $E$1, '리스사업(D)'!G:G, B87, '리스사업(D)'!X:X, B89, '리스사업(D)'!U:U, $D$1)
    + COUNTIFS('임대사업(E)'!C:C, $E$1, '임대사업(E)'!G:G, B87, '임대사업(E)'!X:X, B89, '임대사업(E)'!U:U, $D$1)
    + COUNTIFS('환경부사업(F)'!C:C, $E$1, '환경부사업(F)'!G:G, B87, '환경부사업(F)'!X:X, B89, '환경부사업(F)'!U:U, $D$1)
    + COUNTIFS('프로젝트(G)'!C:C, $E$1, '프로젝트(G)'!G:G, B87, '프로젝트(G)'!X:X, B89, '프로젝트(G)'!U:U, $D$1)
    + COUNTIFS('협력사 EPC(H)'!C:C, $E$1, '협력사 EPC(H)'!G:G, B87, '협력사 EPC(H)'!X:X, B89, '협력사 EPC(H)'!U:U, $D$1)
    + COUNTIFS('기타(Z)'!C:C, $E$1, '기타(Z)'!G:G, B87, '기타(Z)'!X:X, B89, '기타(Z)'!U:U, $D$1)
  ) = 0,
  "",
  COUNTIFS('발전사업(A)'!C:C, $E$1, '발전사업(A)'!G:G, B87, '발전사업(A)'!X:X, B89, '발전사업(A)'!U:U, $D$1)
  + COUNTIFS('자가소비(B)'!C:C, $E$1, '자가소비(B)'!G:G, B87, '자가소비(B)'!X:X, B89, '자가소비(B)'!U:U, $D$1)
  + COUNTIFS('PPA 사업(C)'!C:C, $E$1, 'PPA 사업(C)'!G:G, B87, 'PPA 사업(C)'!X:X, B89, 'PPA 사업(C)'!U:U, $D$1)
  + COUNTIFS('리스사업(D)'!C:C, $E$1, '리스사업(D)'!G:G, B87, '리스사업(D)'!X:X, B89, '리스사업(D)'!U:U, $D$1)
  + COUNTIFS('임대사업(E)'!C:C, $E$1, '임대사업(E)'!G:G, B87, '임대사업(E)'!X:X, B89, '임대사업(E)'!U:U, $D$1)
  + COUNTIFS('환경부사업(F)'!C:C, $E$1, '환경부사업(F)'!G:G, B87, '환경부사업(F)'!X:X, B89, '환경부사업(F)'!U:U, $D$1)
  + COUNTIFS('프로젝트(G)'!C:C, $E$1, '프로젝트(G)'!G:G, B87, '프로젝트(G)'!X:X, B89, '프로젝트(G)'!U:U, $D$1)
  + COUNTIFS('협력사 EPC(H)'!C:C, $E$1, '협력사 EPC(H)'!G:G, B87, '협력사 EPC(H)'!X:X, B89, '협력사 EPC(H)'!U:U, $D$1)
  + COUNTIFS('기타(Z)'!C:C, $E$1, '기타(Z)'!G:G, B87, '기타(Z)'!X:X, B89, '기타(Z)'!U:U, $D$1)
)</f>
        <v>4</v>
      </c>
    </row>
    <row r="90" spans="2:8" x14ac:dyDescent="0.25">
      <c r="B90" s="195" t="s">
        <v>153</v>
      </c>
      <c r="C90" s="262" t="str">
        <f>IF(
  SUM(
    SUMIFS('발전사업(A)'!I:I, '발전사업(A)'!C:C, $E$1, '발전사업(A)'!G:G, B87, '발전사업(A)'!X:X, B90),
    SUMIFS('자가소비(B)'!I:I, '자가소비(B)'!C:C, $E$1, '자가소비(B)'!G:G, B87, '자가소비(B)'!X:X, B90),
    SUMIFS('PPA 사업(C)'!I:I, 'PPA 사업(C)'!C:C, $E$1, 'PPA 사업(C)'!G:G, B87, 'PPA 사업(C)'!X:X, B90),
    SUMIFS('리스사업(D)'!I:I, '리스사업(D)'!C:C, $E$1, '리스사업(D)'!G:G, B87, '리스사업(D)'!X:X, B90),
    SUMIFS('임대사업(E)'!I:I, '임대사업(E)'!C:C, $E$1, '임대사업(E)'!G:G, B87, '임대사업(E)'!X:X, B90),
    SUMIFS('환경부사업(F)'!I:I, '환경부사업(F)'!C:C, $E$1, '환경부사업(F)'!G:G, B87, '환경부사업(F)'!X:X, B90),
    SUMIFS('프로젝트(G)'!I:I, '프로젝트(G)'!C:C, $E$1, '프로젝트(G)'!G:G, B87, '프로젝트(G)'!X:X, B90),
    SUMIFS('협력사 EPC(H)'!I:I, '협력사 EPC(H)'!C:C, $E$1, '협력사 EPC(H)'!G:G, B87, '협력사 EPC(H)'!X:X, B90),
    SUMIFS('기타(Z)'!I:I, '기타(Z)'!C:C, $E$1, '기타(Z)'!G:G, B87, '기타(Z)'!X:X, B90)
  ) = 0,
  "",
  SUMIFS('발전사업(A)'!I:I, '발전사업(A)'!C:C, $E$1, '발전사업(A)'!G:G, B87, '발전사업(A)'!X:X, B90)
  + SUMIFS('자가소비(B)'!I:I, '자가소비(B)'!C:C, $E$1, '자가소비(B)'!G:G, B87, '자가소비(B)'!X:X, B90)
  + SUMIFS('PPA 사업(C)'!I:I, 'PPA 사업(C)'!C:C, $E$1, 'PPA 사업(C)'!G:G, B87, 'PPA 사업(C)'!X:X, B90)
  + SUMIFS('리스사업(D)'!I:I, '리스사업(D)'!C:C, $E$1, '리스사업(D)'!G:G, B87, '리스사업(D)'!X:X, B90)
  + SUMIFS('임대사업(E)'!I:I, '임대사업(E)'!C:C, $E$1, '임대사업(E)'!G:G, B87, '임대사업(E)'!X:X, B90)
  + SUMIFS('환경부사업(F)'!I:I, '환경부사업(F)'!C:C, $E$1, '환경부사업(F)'!G:G, B87, '환경부사업(F)'!X:X, B90)
  + SUMIFS('프로젝트(G)'!I:I, '프로젝트(G)'!C:C, $E$1, '프로젝트(G)'!G:G, B87, '프로젝트(G)'!X:X, B90)
  + SUMIFS('협력사 EPC(H)'!I:I, '협력사 EPC(H)'!C:C, $E$1, '협력사 EPC(H)'!G:G, B87, '협력사 EPC(H)'!X:X, B90)
  + SUMIFS('기타(Z)'!I:I, '기타(Z)'!C:C, $E$1, '기타(Z)'!G:G, B87, '기타(Z)'!X:X, B90)
)</f>
        <v/>
      </c>
      <c r="D90" s="263" t="str">
        <f>IF(
  COUNTIFS('발전사업(A)'!C:C, $E$1, '발전사업(A)'!G:G, B87, '발전사업(A)'!X:X, B90)
  + COUNTIFS('자가소비(B)'!C:C, $E$1, '자가소비(B)'!G:G, B87, '자가소비(B)'!X:X, B90)
  + COUNTIFS('PPA 사업(C)'!C:C, $E$1, 'PPA 사업(C)'!G:G, B87, 'PPA 사업(C)'!X:X, B90)
  + COUNTIFS('리스사업(D)'!C:C, $E$1, '리스사업(D)'!G:G, B87, '리스사업(D)'!X:X, B90)
  + COUNTIFS('임대사업(E)'!C:C, $E$1, '임대사업(E)'!G:G, B87, '임대사업(E)'!X:X, B90)
  + COUNTIFS('환경부사업(F)'!C:C, $E$1, '환경부사업(F)'!G:G, B87, '환경부사업(F)'!X:X, B90)
  + COUNTIFS('프로젝트(G)'!C:C, $E$1, '프로젝트(G)'!G:G, B87, '프로젝트(G)'!X:X, B90)
  + COUNTIFS('협력사 EPC(H)'!C:C, $E$1, '협력사 EPC(H)'!G:G, B87, '협력사 EPC(H)'!X:X, B90)
  + COUNTIFS('기타(Z)'!C:C, $E$1, '기타(Z)'!G:G, B87, '기타(Z)'!X:X, B90)
  = 0,
  "",
  COUNTIFS('발전사업(A)'!C:C, $E$1, '발전사업(A)'!G:G, B87, '발전사업(A)'!X:X, B90)
  + COUNTIFS('자가소비(B)'!C:C, $E$1, '자가소비(B)'!G:G, B87, '자가소비(B)'!X:X, B90)
  + COUNTIFS('PPA 사업(C)'!C:C, $E$1, 'PPA 사업(C)'!G:G, B87, 'PPA 사업(C)'!X:X, B90)
  + COUNTIFS('리스사업(D)'!C:C, $E$1, '리스사업(D)'!G:G, B87, '리스사업(D)'!X:X, B90)
  + COUNTIFS('임대사업(E)'!C:C, $E$1, '임대사업(E)'!G:G, B87, '임대사업(E)'!X:X, B90)
  + COUNTIFS('환경부사업(F)'!C:C, $E$1, '환경부사업(F)'!G:G, B87, '환경부사업(F)'!X:X, B90)
  + COUNTIFS('프로젝트(G)'!C:C, $E$1, '프로젝트(G)'!G:G, B87, '프로젝트(G)'!X:X, B90)
  + COUNTIFS('협력사 EPC(H)'!C:C, $E$1, '협력사 EPC(H)'!G:G, B87, '협력사 EPC(H)'!X:X, B90)
  + COUNTIFS('기타(Z)'!C:C, $E$1, '기타(Z)'!G:G, B87, '기타(Z)'!X:X, B90)
)</f>
        <v/>
      </c>
      <c r="E90" s="262" t="str">
        <f>IF(
  SUM(
    SUMIFS('발전사업(A)'!I:I, '발전사업(A)'!C:C, $E$1, '발전사업(A)'!G:G, B87, '발전사업(A)'!X:X, B90, '발전사업(A)'!U:U, $C$1),
    SUMIFS('자가소비(B)'!I:I, '자가소비(B)'!C:C, $E$1, '자가소비(B)'!G:G, B87, '자가소비(B)'!X:X, B90, '자가소비(B)'!U:U, $C$1),
    SUMIFS('PPA 사업(C)'!I:I, 'PPA 사업(C)'!C:C, $E$1, 'PPA 사업(C)'!G:G, B87, 'PPA 사업(C)'!X:X, B90, 'PPA 사업(C)'!U:U, $C$1),
    SUMIFS('리스사업(D)'!I:I, '리스사업(D)'!C:C, $E$1, '리스사업(D)'!G:G, B87, '리스사업(D)'!X:X, B90, '리스사업(D)'!U:U, $C$1),
    SUMIFS('임대사업(E)'!I:I, '임대사업(E)'!C:C, $E$1, '임대사업(E)'!G:G, B87, '임대사업(E)'!X:X, B90, '임대사업(E)'!U:U, $C$1),
    SUMIFS('환경부사업(F)'!I:I, '환경부사업(F)'!C:C, $E$1, '환경부사업(F)'!G:G, B87, '환경부사업(F)'!X:X, B90, '환경부사업(F)'!U:U, $C$1),
    SUMIFS('프로젝트(G)'!I:I, '프로젝트(G)'!C:C, $E$1, '프로젝트(G)'!G:G, B87, '프로젝트(G)'!X:X, B90, '프로젝트(G)'!U:U, $C$1),
    SUMIFS('협력사 EPC(H)'!I:I, '협력사 EPC(H)'!C:C, $E$1, '협력사 EPC(H)'!G:G, B87, '협력사 EPC(H)'!X:X, B90, '협력사 EPC(H)'!U:U, $C$1),
    SUMIFS('기타(Z)'!I:I, '기타(Z)'!C:C, $E$1, '기타(Z)'!G:G, B87, '기타(Z)'!X:X, B90, '기타(Z)'!U:U, $C$1)
  ) = 0,
  "",
  SUM(
    SUMIFS('발전사업(A)'!I:I, '발전사업(A)'!C:C, $E$1, '발전사업(A)'!G:G, B87, '발전사업(A)'!X:X, B90, '발전사업(A)'!U:U, $C$1),
    SUMIFS('자가소비(B)'!I:I, '자가소비(B)'!C:C, $E$1, '자가소비(B)'!G:G, B87, '자가소비(B)'!X:X, B90, '자가소비(B)'!U:U, $C$1),
    SUMIFS('PPA 사업(C)'!I:I, 'PPA 사업(C)'!C:C, $E$1, 'PPA 사업(C)'!G:G, B87, 'PPA 사업(C)'!X:X, B90, 'PPA 사업(C)'!U:U, $C$1),
    SUMIFS('리스사업(D)'!I:I, '리스사업(D)'!C:C, $E$1, '리스사업(D)'!G:G, B87, '리스사업(D)'!X:X, B90, '리스사업(D)'!U:U, $C$1),
    SUMIFS('임대사업(E)'!I:I, '임대사업(E)'!C:C, $E$1, '임대사업(E)'!G:G, B87, '임대사업(E)'!X:X, B90, '임대사업(E)'!U:U, $C$1),
    SUMIFS('환경부사업(F)'!I:I, '환경부사업(F)'!C:C, $E$1, '환경부사업(F)'!G:G, B87, '환경부사업(F)'!X:X, B90, '환경부사업(F)'!U:U, $C$1),
    SUMIFS('프로젝트(G)'!I:I, '프로젝트(G)'!C:C, $E$1, '프로젝트(G)'!G:G, B87, '프로젝트(G)'!X:X, B90, '프로젝트(G)'!U:U, $C$1),
    SUMIFS('협력사 EPC(H)'!I:I, '협력사 EPC(H)'!C:C, $E$1, '협력사 EPC(H)'!G:G, B87, '협력사 EPC(H)'!X:X, B90, '협력사 EPC(H)'!U:U, $C$1),
    SUMIFS('기타(Z)'!I:I, '기타(Z)'!C:C, $E$1, '기타(Z)'!G:G, B87, '기타(Z)'!X:X, B90, '기타(Z)'!U:U, $C$1)
  )
)</f>
        <v/>
      </c>
      <c r="F90" s="263" t="str">
        <f>IF(
  SUM(
    COUNTIFS('발전사업(A)'!C:C, $E$1, '발전사업(A)'!G:G, B87, '발전사업(A)'!X:X, B90, '발전사업(A)'!U:U, $C$1),
    COUNTIFS('자가소비(B)'!C:C, $E$1, '자가소비(B)'!G:G, B87, '자가소비(B)'!X:X, B90, '자가소비(B)'!U:U, $C$1),
    COUNTIFS('PPA 사업(C)'!C:C, $E$1, 'PPA 사업(C)'!G:G, B87, 'PPA 사업(C)'!X:X, B90, 'PPA 사업(C)'!U:U, $C$1),
    COUNTIFS('리스사업(D)'!C:C, $E$1, '리스사업(D)'!G:G, B87, '리스사업(D)'!X:X, B90, '리스사업(D)'!U:U, $C$1),
    COUNTIFS('임대사업(E)'!C:C, $E$1, '임대사업(E)'!G:G, B87, '임대사업(E)'!X:X, B90, '임대사업(E)'!U:U, $C$1),
    COUNTIFS('환경부사업(F)'!C:C, $E$1, '환경부사업(F)'!G:G, B87, '환경부사업(F)'!X:X, B90, '환경부사업(F)'!U:U, $C$1),
    COUNTIFS('프로젝트(G)'!C:C, $E$1, '프로젝트(G)'!G:G, B87, '프로젝트(G)'!X:X, B90, '프로젝트(G)'!U:U, $C$1),
    COUNTIFS('협력사 EPC(H)'!C:C, $E$1, '협력사 EPC(H)'!G:G, B87, '협력사 EPC(H)'!X:X, B90, '협력사 EPC(H)'!U:U, $C$1),
    COUNTIFS('기타(Z)'!C:C, $E$1, '기타(Z)'!G:G, B87, '기타(Z)'!X:X, B90, '기타(Z)'!U:U, $C$1)
  ) = 0,
  "",
  SUM(
    COUNTIFS('발전사업(A)'!C:C, $E$1, '발전사업(A)'!G:G, B87, '발전사업(A)'!X:X, B90, '발전사업(A)'!U:U, $C$1),
    COUNTIFS('자가소비(B)'!C:C, $E$1, '자가소비(B)'!G:G, B87, '자가소비(B)'!X:X, B90, '자가소비(B)'!U:U, $C$1),
    COUNTIFS('PPA 사업(C)'!C:C, $E$1, 'PPA 사업(C)'!G:G, B87, 'PPA 사업(C)'!X:X, B90, 'PPA 사업(C)'!U:U, $C$1),
    COUNTIFS('리스사업(D)'!C:C, $E$1, '리스사업(D)'!G:G, B87, '리스사업(D)'!X:X, B90, '리스사업(D)'!U:U, $C$1),
    COUNTIFS('임대사업(E)'!C:C, $E$1, '임대사업(E)'!G:G, B87, '임대사업(E)'!X:X, B90, '임대사업(E)'!U:U, $C$1),
    COUNTIFS('환경부사업(F)'!C:C, $E$1, '환경부사업(F)'!G:G, B87, '환경부사업(F)'!X:X, B90, '환경부사업(F)'!U:U, $C$1),
    COUNTIFS('프로젝트(G)'!C:C, $E$1, '프로젝트(G)'!G:G, B87, '프로젝트(G)'!X:X, B90, '프로젝트(G)'!U:U, $C$1),
    COUNTIFS('협력사 EPC(H)'!C:C, $E$1, '협력사 EPC(H)'!G:G, B87, '협력사 EPC(H)'!X:X, B90, '협력사 EPC(H)'!U:U, $C$1),
    COUNTIFS('기타(Z)'!C:C, $E$1, '기타(Z)'!G:G, B87, '기타(Z)'!X:X, B90, '기타(Z)'!U:U, $C$1)
  )
)</f>
        <v/>
      </c>
      <c r="G90" s="262" t="str">
        <f>IF(
  SUM(
    SUMIFS('발전사업(A)'!I:I, '발전사업(A)'!C:C, $E$1, '발전사업(A)'!G:G, B87, '발전사업(A)'!X:X, B90, '발전사업(A)'!U:U, $D$1),
    SUMIFS('자가소비(B)'!I:I, '자가소비(B)'!C:C, $E$1, '자가소비(B)'!G:G, B87, '자가소비(B)'!X:X, B90, '자가소비(B)'!U:U, $D$1),
    SUMIFS('PPA 사업(C)'!I:I, 'PPA 사업(C)'!C:C, $E$1, 'PPA 사업(C)'!G:G, B87, 'PPA 사업(C)'!X:X, B90, 'PPA 사업(C)'!U:U, $D$1),
    SUMIFS('리스사업(D)'!I:I, '리스사업(D)'!C:C, $E$1, '리스사업(D)'!G:G, B87, '리스사업(D)'!X:X, B90, '리스사업(D)'!U:U, $D$1),
    SUMIFS('임대사업(E)'!I:I, '임대사업(E)'!C:C, $E$1, '임대사업(E)'!G:G, B87, '임대사업(E)'!X:X, B90, '임대사업(E)'!U:U, $D$1),
    SUMIFS('환경부사업(F)'!I:I, '환경부사업(F)'!C:C, $E$1, '환경부사업(F)'!G:G, B87, '환경부사업(F)'!X:X, B90, '환경부사업(F)'!U:U, $D$1),
    SUMIFS('프로젝트(G)'!I:I, '프로젝트(G)'!C:C, $E$1, '프로젝트(G)'!G:G, B87, '프로젝트(G)'!X:X, B90, '프로젝트(G)'!U:U, $D$1),
    SUMIFS('협력사 EPC(H)'!I:I, '협력사 EPC(H)'!C:C, $E$1, '협력사 EPC(H)'!G:G, B87, '협력사 EPC(H)'!X:X, B90, '협력사 EPC(H)'!U:U, $D$1),
    SUMIFS('기타(Z)'!I:I, '기타(Z)'!C:C, $E$1, '기타(Z)'!G:G, B87, '기타(Z)'!X:X, B90, '기타(Z)'!U:U, $D$1)
  ) = 0,
  "",
  SUM(
    SUMIFS('발전사업(A)'!I:I, '발전사업(A)'!C:C, $E$1, '발전사업(A)'!G:G, B87, '발전사업(A)'!X:X, B90, '발전사업(A)'!U:U, $D$1),
    SUMIFS('자가소비(B)'!I:I, '자가소비(B)'!C:C, $E$1, '자가소비(B)'!G:G, B87, '자가소비(B)'!X:X, B90, '자가소비(B)'!U:U, $D$1),
    SUMIFS('PPA 사업(C)'!I:I, 'PPA 사업(C)'!C:C, $E$1, 'PPA 사업(C)'!G:G, B87, 'PPA 사업(C)'!X:X, B90, 'PPA 사업(C)'!U:U, $D$1),
    SUMIFS('리스사업(D)'!I:I, '리스사업(D)'!C:C, $E$1, '리스사업(D)'!G:G, B87, '리스사업(D)'!X:X, B90, '리스사업(D)'!U:U, $D$1),
    SUMIFS('임대사업(E)'!I:I, '임대사업(E)'!C:C, $E$1, '임대사업(E)'!G:G, B87, '임대사업(E)'!X:X, B90, '임대사업(E)'!U:U, $D$1),
    SUMIFS('환경부사업(F)'!I:I, '환경부사업(F)'!C:C, $E$1, '환경부사업(F)'!G:G, B87, '환경부사업(F)'!X:X, B90, '환경부사업(F)'!U:U, $D$1),
    SUMIFS('프로젝트(G)'!I:I, '프로젝트(G)'!C:C, $E$1, '프로젝트(G)'!G:G, B87, '프로젝트(G)'!X:X, B90, '프로젝트(G)'!U:U, $D$1),
    SUMIFS('협력사 EPC(H)'!I:I, '협력사 EPC(H)'!C:C, $E$1, '협력사 EPC(H)'!G:G, B87, '협력사 EPC(H)'!X:X, B90, '협력사 EPC(H)'!U:U, $D$1),
    SUMIFS('기타(Z)'!I:I, '기타(Z)'!C:C, $E$1, '기타(Z)'!G:G, B87, '기타(Z)'!X:X, B90, '기타(Z)'!U:U, $D$1)
  )
)</f>
        <v/>
      </c>
      <c r="H90" s="263" t="str">
        <f>IF(
  (
    COUNTIFS('발전사업(A)'!C:C, $E$1, '발전사업(A)'!G:G, B87, '발전사업(A)'!X:X, B90, '발전사업(A)'!U:U, $D$1)
    + COUNTIFS('자가소비(B)'!C:C, $E$1, '자가소비(B)'!G:G, B87, '자가소비(B)'!X:X, B90, '자가소비(B)'!U:U, $D$1)
    + COUNTIFS('PPA 사업(C)'!C:C, $E$1, 'PPA 사업(C)'!G:G, B87, 'PPA 사업(C)'!X:X, B90, 'PPA 사업(C)'!U:U, $D$1)
    + COUNTIFS('리스사업(D)'!C:C, $E$1, '리스사업(D)'!G:G, B87, '리스사업(D)'!X:X, B90, '리스사업(D)'!U:U, $D$1)
    + COUNTIFS('임대사업(E)'!C:C, $E$1, '임대사업(E)'!G:G, B87, '임대사업(E)'!X:X, B90, '임대사업(E)'!U:U, $D$1)
    + COUNTIFS('환경부사업(F)'!C:C, $E$1, '환경부사업(F)'!G:G, B87, '환경부사업(F)'!X:X, B90, '환경부사업(F)'!U:U, $D$1)
    + COUNTIFS('프로젝트(G)'!C:C, $E$1, '프로젝트(G)'!G:G, B87, '프로젝트(G)'!X:X, B90, '프로젝트(G)'!U:U, $D$1)
    + COUNTIFS('협력사 EPC(H)'!C:C, $E$1, '협력사 EPC(H)'!G:G, B87, '협력사 EPC(H)'!X:X, B90, '협력사 EPC(H)'!U:U, $D$1)
    + COUNTIFS('기타(Z)'!C:C, $E$1, '기타(Z)'!G:G, B87, '기타(Z)'!X:X, B90, '기타(Z)'!U:U, $D$1)
  ) = 0,
  "",
  COUNTIFS('발전사업(A)'!C:C, $E$1, '발전사업(A)'!G:G, B87, '발전사업(A)'!X:X, B90, '발전사업(A)'!U:U, $D$1)
  + COUNTIFS('자가소비(B)'!C:C, $E$1, '자가소비(B)'!G:G, B87, '자가소비(B)'!X:X, B90, '자가소비(B)'!U:U, $D$1)
  + COUNTIFS('PPA 사업(C)'!C:C, $E$1, 'PPA 사업(C)'!G:G, B87, 'PPA 사업(C)'!X:X, B90, 'PPA 사업(C)'!U:U, $D$1)
  + COUNTIFS('리스사업(D)'!C:C, $E$1, '리스사업(D)'!G:G, B87, '리스사업(D)'!X:X, B90, '리스사업(D)'!U:U, $D$1)
  + COUNTIFS('임대사업(E)'!C:C, $E$1, '임대사업(E)'!G:G, B87, '임대사업(E)'!X:X, B90, '임대사업(E)'!U:U, $D$1)
  + COUNTIFS('환경부사업(F)'!C:C, $E$1, '환경부사업(F)'!G:G, B87, '환경부사업(F)'!X:X, B90, '환경부사업(F)'!U:U, $D$1)
  + COUNTIFS('프로젝트(G)'!C:C, $E$1, '프로젝트(G)'!G:G, B87, '프로젝트(G)'!X:X, B90, '프로젝트(G)'!U:U, $D$1)
  + COUNTIFS('협력사 EPC(H)'!C:C, $E$1, '협력사 EPC(H)'!G:G, B87, '협력사 EPC(H)'!X:X, B90, '협력사 EPC(H)'!U:U, $D$1)
  + COUNTIFS('기타(Z)'!C:C, $E$1, '기타(Z)'!G:G, B87, '기타(Z)'!X:X, B90, '기타(Z)'!U:U, $D$1)
)</f>
        <v/>
      </c>
    </row>
    <row r="91" spans="2:8" x14ac:dyDescent="0.25">
      <c r="B91" s="195" t="s">
        <v>154</v>
      </c>
      <c r="C91" s="262" t="str">
        <f>IF(
  SUM(
    SUMIFS('발전사업(A)'!I:I, '발전사업(A)'!C:C, $E$1, '발전사업(A)'!G:G, B87, '발전사업(A)'!X:X, B91),
    SUMIFS('자가소비(B)'!I:I, '자가소비(B)'!C:C, $E$1, '자가소비(B)'!G:G, B87, '자가소비(B)'!X:X, B91),
    SUMIFS('PPA 사업(C)'!I:I, 'PPA 사업(C)'!C:C, $E$1, 'PPA 사업(C)'!G:G, B87, 'PPA 사업(C)'!X:X, B91),
    SUMIFS('리스사업(D)'!I:I, '리스사업(D)'!C:C, $E$1, '리스사업(D)'!G:G, B87, '리스사업(D)'!X:X, B91),
    SUMIFS('임대사업(E)'!I:I, '임대사업(E)'!C:C, $E$1, '임대사업(E)'!G:G, B87, '임대사업(E)'!X:X, B91),
    SUMIFS('환경부사업(F)'!I:I, '환경부사업(F)'!C:C, $E$1, '환경부사업(F)'!G:G, B87, '환경부사업(F)'!X:X, B91),
    SUMIFS('프로젝트(G)'!I:I, '프로젝트(G)'!C:C, $E$1, '프로젝트(G)'!G:G, B87, '프로젝트(G)'!X:X, B91),
    SUMIFS('협력사 EPC(H)'!I:I, '협력사 EPC(H)'!C:C, $E$1, '협력사 EPC(H)'!G:G, B87, '협력사 EPC(H)'!X:X, B91),
    SUMIFS('기타(Z)'!I:I, '기타(Z)'!C:C, $E$1, '기타(Z)'!G:G, B87, '기타(Z)'!X:X, B91)
  ) = 0,
  "",
  SUMIFS('발전사업(A)'!I:I, '발전사업(A)'!C:C, $E$1, '발전사업(A)'!G:G, B87, '발전사업(A)'!X:X, B91)
  + SUMIFS('자가소비(B)'!I:I, '자가소비(B)'!C:C, $E$1, '자가소비(B)'!G:G, B87, '자가소비(B)'!X:X, B91)
  + SUMIFS('PPA 사업(C)'!I:I, 'PPA 사업(C)'!C:C, $E$1, 'PPA 사업(C)'!G:G, B87, 'PPA 사업(C)'!X:X, B91)
  + SUMIFS('리스사업(D)'!I:I, '리스사업(D)'!C:C, $E$1, '리스사업(D)'!G:G, B87, '리스사업(D)'!X:X, B91)
  + SUMIFS('임대사업(E)'!I:I, '임대사업(E)'!C:C, $E$1, '임대사업(E)'!G:G, B87, '임대사업(E)'!X:X, B91)
  + SUMIFS('환경부사업(F)'!I:I, '환경부사업(F)'!C:C, $E$1, '환경부사업(F)'!G:G, B87, '환경부사업(F)'!X:X, B91)
  + SUMIFS('프로젝트(G)'!I:I, '프로젝트(G)'!C:C, $E$1, '프로젝트(G)'!G:G, B87, '프로젝트(G)'!X:X, B91)
  + SUMIFS('협력사 EPC(H)'!I:I, '협력사 EPC(H)'!C:C, $E$1, '협력사 EPC(H)'!G:G, B87, '협력사 EPC(H)'!X:X, B91)
  + SUMIFS('기타(Z)'!I:I, '기타(Z)'!C:C, $E$1, '기타(Z)'!G:G, B87, '기타(Z)'!X:X, B91)
)</f>
        <v/>
      </c>
      <c r="D91" s="263" t="str">
        <f>IF(
  COUNTIFS('발전사업(A)'!C:C, $E$1, '발전사업(A)'!G:G, B87, '발전사업(A)'!X:X, B91)
  + COUNTIFS('자가소비(B)'!C:C, $E$1, '자가소비(B)'!G:G, B87, '자가소비(B)'!X:X, B91)
  + COUNTIFS('PPA 사업(C)'!C:C, $E$1, 'PPA 사업(C)'!G:G, B87, 'PPA 사업(C)'!X:X, B91)
  + COUNTIFS('리스사업(D)'!C:C, $E$1, '리스사업(D)'!G:G, B87, '리스사업(D)'!X:X, B91)
  + COUNTIFS('임대사업(E)'!C:C, $E$1, '임대사업(E)'!G:G, B87, '임대사업(E)'!X:X, B91)
  + COUNTIFS('환경부사업(F)'!C:C, $E$1, '환경부사업(F)'!G:G, B87, '환경부사업(F)'!X:X, B91)
  + COUNTIFS('프로젝트(G)'!C:C, $E$1, '프로젝트(G)'!G:G, B87, '프로젝트(G)'!X:X, B91)
  + COUNTIFS('협력사 EPC(H)'!C:C, $E$1, '협력사 EPC(H)'!G:G, B87, '협력사 EPC(H)'!X:X, B91)
  + COUNTIFS('기타(Z)'!C:C, $E$1, '기타(Z)'!G:G, B87, '기타(Z)'!X:X, B91)
  = 0,
  "",
  COUNTIFS('발전사업(A)'!C:C, $E$1, '발전사업(A)'!G:G, B87, '발전사업(A)'!X:X, B91)
  + COUNTIFS('자가소비(B)'!C:C, $E$1, '자가소비(B)'!G:G, B87, '자가소비(B)'!X:X, B91)
  + COUNTIFS('PPA 사업(C)'!C:C, $E$1, 'PPA 사업(C)'!G:G, B87, 'PPA 사업(C)'!X:X, B91)
  + COUNTIFS('리스사업(D)'!C:C, $E$1, '리스사업(D)'!G:G, B87, '리스사업(D)'!X:X, B91)
  + COUNTIFS('임대사업(E)'!C:C, $E$1, '임대사업(E)'!G:G, B87, '임대사업(E)'!X:X, B91)
  + COUNTIFS('환경부사업(F)'!C:C, $E$1, '환경부사업(F)'!G:G, B87, '환경부사업(F)'!X:X, B91)
  + COUNTIFS('프로젝트(G)'!C:C, $E$1, '프로젝트(G)'!G:G, B87, '프로젝트(G)'!X:X, B91)
  + COUNTIFS('협력사 EPC(H)'!C:C, $E$1, '협력사 EPC(H)'!G:G, B87, '협력사 EPC(H)'!X:X, B91)
  + COUNTIFS('기타(Z)'!C:C, $E$1, '기타(Z)'!G:G, B87, '기타(Z)'!X:X, B91)
)</f>
        <v/>
      </c>
      <c r="E91" s="262" t="str">
        <f>IF(
  SUM(
    SUMIFS('발전사업(A)'!I:I, '발전사업(A)'!C:C, $E$1, '발전사업(A)'!G:G, B87, '발전사업(A)'!X:X, B91, '발전사업(A)'!U:U, $C$1),
    SUMIFS('자가소비(B)'!I:I, '자가소비(B)'!C:C, $E$1, '자가소비(B)'!G:G, B87, '자가소비(B)'!X:X, B91, '자가소비(B)'!U:U, $C$1),
    SUMIFS('PPA 사업(C)'!I:I, 'PPA 사업(C)'!C:C, $E$1, 'PPA 사업(C)'!G:G, B87, 'PPA 사업(C)'!X:X, B91, 'PPA 사업(C)'!U:U, $C$1),
    SUMIFS('리스사업(D)'!I:I, '리스사업(D)'!C:C, $E$1, '리스사업(D)'!G:G, B87, '리스사업(D)'!X:X, B91, '리스사업(D)'!U:U, $C$1),
    SUMIFS('임대사업(E)'!I:I, '임대사업(E)'!C:C, $E$1, '임대사업(E)'!G:G, B87, '임대사업(E)'!X:X, B91, '임대사업(E)'!U:U, $C$1),
    SUMIFS('환경부사업(F)'!I:I, '환경부사업(F)'!C:C, $E$1, '환경부사업(F)'!G:G, B87, '환경부사업(F)'!X:X, B91, '환경부사업(F)'!U:U, $C$1),
    SUMIFS('프로젝트(G)'!I:I, '프로젝트(G)'!C:C, $E$1, '프로젝트(G)'!G:G, B87, '프로젝트(G)'!X:X, B91, '프로젝트(G)'!U:U, $C$1),
    SUMIFS('협력사 EPC(H)'!I:I, '협력사 EPC(H)'!C:C, $E$1, '협력사 EPC(H)'!G:G, B87, '협력사 EPC(H)'!X:X, B91, '협력사 EPC(H)'!U:U, $C$1),
    SUMIFS('기타(Z)'!I:I, '기타(Z)'!C:C, $E$1, '기타(Z)'!G:G, B87, '기타(Z)'!X:X, B91, '기타(Z)'!U:U, $C$1)
  ) = 0,
  "",
  SUM(
    SUMIFS('발전사업(A)'!I:I, '발전사업(A)'!C:C, $E$1, '발전사업(A)'!G:G, B87, '발전사업(A)'!X:X, B91, '발전사업(A)'!U:U, $C$1),
    SUMIFS('자가소비(B)'!I:I, '자가소비(B)'!C:C, $E$1, '자가소비(B)'!G:G, B87, '자가소비(B)'!X:X, B91, '자가소비(B)'!U:U, $C$1),
    SUMIFS('PPA 사업(C)'!I:I, 'PPA 사업(C)'!C:C, $E$1, 'PPA 사업(C)'!G:G, B87, 'PPA 사업(C)'!X:X, B91, 'PPA 사업(C)'!U:U, $C$1),
    SUMIFS('리스사업(D)'!I:I, '리스사업(D)'!C:C, $E$1, '리스사업(D)'!G:G, B87, '리스사업(D)'!X:X, B91, '리스사업(D)'!U:U, $C$1),
    SUMIFS('임대사업(E)'!I:I, '임대사업(E)'!C:C, $E$1, '임대사업(E)'!G:G, B87, '임대사업(E)'!X:X, B91, '임대사업(E)'!U:U, $C$1),
    SUMIFS('환경부사업(F)'!I:I, '환경부사업(F)'!C:C, $E$1, '환경부사업(F)'!G:G, B87, '환경부사업(F)'!X:X, B91, '환경부사업(F)'!U:U, $C$1),
    SUMIFS('프로젝트(G)'!I:I, '프로젝트(G)'!C:C, $E$1, '프로젝트(G)'!G:G, B87, '프로젝트(G)'!X:X, B91, '프로젝트(G)'!U:U, $C$1),
    SUMIFS('협력사 EPC(H)'!I:I, '협력사 EPC(H)'!C:C, $E$1, '협력사 EPC(H)'!G:G, B87, '협력사 EPC(H)'!X:X, B91, '협력사 EPC(H)'!U:U, $C$1),
    SUMIFS('기타(Z)'!I:I, '기타(Z)'!C:C, $E$1, '기타(Z)'!G:G, B87, '기타(Z)'!X:X, B91, '기타(Z)'!U:U, $C$1)
  )
)</f>
        <v/>
      </c>
      <c r="F91" s="263" t="str">
        <f>IF(
  SUM(
    COUNTIFS('발전사업(A)'!C:C, $E$1, '발전사업(A)'!G:G, B87, '발전사업(A)'!X:X, B91, '발전사업(A)'!U:U, $C$1),
    COUNTIFS('자가소비(B)'!C:C, $E$1, '자가소비(B)'!G:G, B87, '자가소비(B)'!X:X, B91, '자가소비(B)'!U:U, $C$1),
    COUNTIFS('PPA 사업(C)'!C:C, $E$1, 'PPA 사업(C)'!G:G, B87, 'PPA 사업(C)'!X:X, B91, 'PPA 사업(C)'!U:U, $C$1),
    COUNTIFS('리스사업(D)'!C:C, $E$1, '리스사업(D)'!G:G, B87, '리스사업(D)'!X:X, B91, '리스사업(D)'!U:U, $C$1),
    COUNTIFS('임대사업(E)'!C:C, $E$1, '임대사업(E)'!G:G, B87, '임대사업(E)'!X:X, B91, '임대사업(E)'!U:U, $C$1),
    COUNTIFS('환경부사업(F)'!C:C, $E$1, '환경부사업(F)'!G:G, B87, '환경부사업(F)'!X:X, B91, '환경부사업(F)'!U:U, $C$1),
    COUNTIFS('프로젝트(G)'!C:C, $E$1, '프로젝트(G)'!G:G, B87, '프로젝트(G)'!X:X, B91, '프로젝트(G)'!U:U, $C$1),
    COUNTIFS('협력사 EPC(H)'!C:C, $E$1, '협력사 EPC(H)'!G:G, B87, '협력사 EPC(H)'!X:X, B91, '협력사 EPC(H)'!U:U, $C$1),
    COUNTIFS('기타(Z)'!C:C, $E$1, '기타(Z)'!G:G, B87, '기타(Z)'!X:X, B91, '기타(Z)'!U:U, $C$1)
  ) = 0,
  "",
  SUM(
    COUNTIFS('발전사업(A)'!C:C, $E$1, '발전사업(A)'!G:G, B87, '발전사업(A)'!X:X, B91, '발전사업(A)'!U:U, $C$1),
    COUNTIFS('자가소비(B)'!C:C, $E$1, '자가소비(B)'!G:G, B87, '자가소비(B)'!X:X, B91, '자가소비(B)'!U:U, $C$1),
    COUNTIFS('PPA 사업(C)'!C:C, $E$1, 'PPA 사업(C)'!G:G, B87, 'PPA 사업(C)'!X:X, B91, 'PPA 사업(C)'!U:U, $C$1),
    COUNTIFS('리스사업(D)'!C:C, $E$1, '리스사업(D)'!G:G, B87, '리스사업(D)'!X:X, B91, '리스사업(D)'!U:U, $C$1),
    COUNTIFS('임대사업(E)'!C:C, $E$1, '임대사업(E)'!G:G, B87, '임대사업(E)'!X:X, B91, '임대사업(E)'!U:U, $C$1),
    COUNTIFS('환경부사업(F)'!C:C, $E$1, '환경부사업(F)'!G:G, B87, '환경부사업(F)'!X:X, B91, '환경부사업(F)'!U:U, $C$1),
    COUNTIFS('프로젝트(G)'!C:C, $E$1, '프로젝트(G)'!G:G, B87, '프로젝트(G)'!X:X, B91, '프로젝트(G)'!U:U, $C$1),
    COUNTIFS('협력사 EPC(H)'!C:C, $E$1, '협력사 EPC(H)'!G:G, B87, '협력사 EPC(H)'!X:X, B91, '협력사 EPC(H)'!U:U, $C$1),
    COUNTIFS('기타(Z)'!C:C, $E$1, '기타(Z)'!G:G, B87, '기타(Z)'!X:X, B91, '기타(Z)'!U:U, $C$1)
  )
)</f>
        <v/>
      </c>
      <c r="G91" s="262" t="str">
        <f>IF(
  SUM(
    SUMIFS('발전사업(A)'!I:I, '발전사업(A)'!C:C, $E$1, '발전사업(A)'!G:G, B87, '발전사업(A)'!X:X, B91, '발전사업(A)'!U:U, $D$1),
    SUMIFS('자가소비(B)'!I:I, '자가소비(B)'!C:C, $E$1, '자가소비(B)'!G:G, B87, '자가소비(B)'!X:X, B91, '자가소비(B)'!U:U, $D$1),
    SUMIFS('PPA 사업(C)'!I:I, 'PPA 사업(C)'!C:C, $E$1, 'PPA 사업(C)'!G:G, B87, 'PPA 사업(C)'!X:X, B91, 'PPA 사업(C)'!U:U, $D$1),
    SUMIFS('리스사업(D)'!I:I, '리스사업(D)'!C:C, $E$1, '리스사업(D)'!G:G, B87, '리스사업(D)'!X:X, B91, '리스사업(D)'!U:U, $D$1),
    SUMIFS('임대사업(E)'!I:I, '임대사업(E)'!C:C, $E$1, '임대사업(E)'!G:G, B87, '임대사업(E)'!X:X, B91, '임대사업(E)'!U:U, $D$1),
    SUMIFS('환경부사업(F)'!I:I, '환경부사업(F)'!C:C, $E$1, '환경부사업(F)'!G:G, B87, '환경부사업(F)'!X:X, B91, '환경부사업(F)'!U:U, $D$1),
    SUMIFS('프로젝트(G)'!I:I, '프로젝트(G)'!C:C, $E$1, '프로젝트(G)'!G:G, B87, '프로젝트(G)'!X:X, B91, '프로젝트(G)'!U:U, $D$1),
    SUMIFS('협력사 EPC(H)'!I:I, '협력사 EPC(H)'!C:C, $E$1, '협력사 EPC(H)'!G:G, B87, '협력사 EPC(H)'!X:X, B91, '협력사 EPC(H)'!U:U, $D$1),
    SUMIFS('기타(Z)'!I:I, '기타(Z)'!C:C, $E$1, '기타(Z)'!G:G, B87, '기타(Z)'!X:X, B91, '기타(Z)'!U:U, $D$1)
  ) = 0,
  "",
  SUM(
    SUMIFS('발전사업(A)'!I:I, '발전사업(A)'!C:C, $E$1, '발전사업(A)'!G:G, B87, '발전사업(A)'!X:X, B91, '발전사업(A)'!U:U, $D$1),
    SUMIFS('자가소비(B)'!I:I, '자가소비(B)'!C:C, $E$1, '자가소비(B)'!G:G, B87, '자가소비(B)'!X:X, B91, '자가소비(B)'!U:U, $D$1),
    SUMIFS('PPA 사업(C)'!I:I, 'PPA 사업(C)'!C:C, $E$1, 'PPA 사업(C)'!G:G, B87, 'PPA 사업(C)'!X:X, B91, 'PPA 사업(C)'!U:U, $D$1),
    SUMIFS('리스사업(D)'!I:I, '리스사업(D)'!C:C, $E$1, '리스사업(D)'!G:G, B87, '리스사업(D)'!X:X, B91, '리스사업(D)'!U:U, $D$1),
    SUMIFS('임대사업(E)'!I:I, '임대사업(E)'!C:C, $E$1, '임대사업(E)'!G:G, B87, '임대사업(E)'!X:X, B91, '임대사업(E)'!U:U, $D$1),
    SUMIFS('환경부사업(F)'!I:I, '환경부사업(F)'!C:C, $E$1, '환경부사업(F)'!G:G, B87, '환경부사업(F)'!X:X, B91, '환경부사업(F)'!U:U, $D$1),
    SUMIFS('프로젝트(G)'!I:I, '프로젝트(G)'!C:C, $E$1, '프로젝트(G)'!G:G, B87, '프로젝트(G)'!X:X, B91, '프로젝트(G)'!U:U, $D$1),
    SUMIFS('협력사 EPC(H)'!I:I, '협력사 EPC(H)'!C:C, $E$1, '협력사 EPC(H)'!G:G, B87, '협력사 EPC(H)'!X:X, B91, '협력사 EPC(H)'!U:U, $D$1),
    SUMIFS('기타(Z)'!I:I, '기타(Z)'!C:C, $E$1, '기타(Z)'!G:G, B87, '기타(Z)'!X:X, B91, '기타(Z)'!U:U, $D$1)
  )
)</f>
        <v/>
      </c>
      <c r="H91" s="263" t="str">
        <f>IF(
  (
    COUNTIFS('발전사업(A)'!C:C, $E$1, '발전사업(A)'!G:G, B87, '발전사업(A)'!X:X, B91, '발전사업(A)'!U:U, $D$1)
    + COUNTIFS('자가소비(B)'!C:C, $E$1, '자가소비(B)'!G:G, B87, '자가소비(B)'!X:X, B91, '자가소비(B)'!U:U, $D$1)
    + COUNTIFS('PPA 사업(C)'!C:C, $E$1, 'PPA 사업(C)'!G:G, B87, 'PPA 사업(C)'!X:X, B91, 'PPA 사업(C)'!U:U, $D$1)
    + COUNTIFS('리스사업(D)'!C:C, $E$1, '리스사업(D)'!G:G, B87, '리스사업(D)'!X:X, B91, '리스사업(D)'!U:U, $D$1)
    + COUNTIFS('임대사업(E)'!C:C, $E$1, '임대사업(E)'!G:G, B87, '임대사업(E)'!X:X, B91, '임대사업(E)'!U:U, $D$1)
    + COUNTIFS('환경부사업(F)'!C:C, $E$1, '환경부사업(F)'!G:G, B87, '환경부사업(F)'!X:X, B91, '환경부사업(F)'!U:U, $D$1)
    + COUNTIFS('프로젝트(G)'!C:C, $E$1, '프로젝트(G)'!G:G, B87, '프로젝트(G)'!X:X, B91, '프로젝트(G)'!U:U, $D$1)
    + COUNTIFS('협력사 EPC(H)'!C:C, $E$1, '협력사 EPC(H)'!G:G, B87, '협력사 EPC(H)'!X:X, B91, '협력사 EPC(H)'!U:U, $D$1)
    + COUNTIFS('기타(Z)'!C:C, $E$1, '기타(Z)'!G:G, B87, '기타(Z)'!X:X, B91, '기타(Z)'!U:U, $D$1)
  ) = 0,
  "",
  COUNTIFS('발전사업(A)'!C:C, $E$1, '발전사업(A)'!G:G, B87, '발전사업(A)'!X:X, B91, '발전사업(A)'!U:U, $D$1)
  + COUNTIFS('자가소비(B)'!C:C, $E$1, '자가소비(B)'!G:G, B87, '자가소비(B)'!X:X, B91, '자가소비(B)'!U:U, $D$1)
  + COUNTIFS('PPA 사업(C)'!C:C, $E$1, 'PPA 사업(C)'!G:G, B87, 'PPA 사업(C)'!X:X, B91, 'PPA 사업(C)'!U:U, $D$1)
  + COUNTIFS('리스사업(D)'!C:C, $E$1, '리스사업(D)'!G:G, B87, '리스사업(D)'!X:X, B91, '리스사업(D)'!U:U, $D$1)
  + COUNTIFS('임대사업(E)'!C:C, $E$1, '임대사업(E)'!G:G, B87, '임대사업(E)'!X:X, B91, '임대사업(E)'!U:U, $D$1)
  + COUNTIFS('환경부사업(F)'!C:C, $E$1, '환경부사업(F)'!G:G, B87, '환경부사업(F)'!X:X, B91, '환경부사업(F)'!U:U, $D$1)
  + COUNTIFS('프로젝트(G)'!C:C, $E$1, '프로젝트(G)'!G:G, B87, '프로젝트(G)'!X:X, B91, '프로젝트(G)'!U:U, $D$1)
  + COUNTIFS('협력사 EPC(H)'!C:C, $E$1, '협력사 EPC(H)'!G:G, B87, '협력사 EPC(H)'!X:X, B91, '협력사 EPC(H)'!U:U, $D$1)
  + COUNTIFS('기타(Z)'!C:C, $E$1, '기타(Z)'!G:G, B87, '기타(Z)'!X:X, B91, '기타(Z)'!U:U, $D$1)
)</f>
        <v/>
      </c>
    </row>
    <row r="92" spans="2:8" x14ac:dyDescent="0.25">
      <c r="B92" s="195" t="s">
        <v>155</v>
      </c>
      <c r="C92" s="262">
        <f>IF(
  SUM(
    SUMIFS('발전사업(A)'!I:I, '발전사업(A)'!C:C, $E$1, '발전사업(A)'!G:G, B87, '발전사업(A)'!X:X, B92),
    SUMIFS('자가소비(B)'!I:I, '자가소비(B)'!C:C, $E$1, '자가소비(B)'!G:G, B87, '자가소비(B)'!X:X, B92),
    SUMIFS('PPA 사업(C)'!I:I, 'PPA 사업(C)'!C:C, $E$1, 'PPA 사업(C)'!G:G, B87, 'PPA 사업(C)'!X:X, B92),
    SUMIFS('리스사업(D)'!I:I, '리스사업(D)'!C:C, $E$1, '리스사업(D)'!G:G, B87, '리스사업(D)'!X:X, B92),
    SUMIFS('임대사업(E)'!I:I, '임대사업(E)'!C:C, $E$1, '임대사업(E)'!G:G, B87, '임대사업(E)'!X:X, B92),
    SUMIFS('환경부사업(F)'!I:I, '환경부사업(F)'!C:C, $E$1, '환경부사업(F)'!G:G, B87, '환경부사업(F)'!X:X, B92),
    SUMIFS('프로젝트(G)'!I:I, '프로젝트(G)'!C:C, $E$1, '프로젝트(G)'!G:G, B87, '프로젝트(G)'!X:X, B92),
    SUMIFS('협력사 EPC(H)'!I:I, '협력사 EPC(H)'!C:C, $E$1, '협력사 EPC(H)'!G:G, B87, '협력사 EPC(H)'!X:X, B92),
    SUMIFS('기타(Z)'!I:I, '기타(Z)'!C:C, $E$1, '기타(Z)'!G:G, B87, '기타(Z)'!X:X, B92)
  ) = 0,
  "",
  SUMIFS('발전사업(A)'!I:I, '발전사업(A)'!C:C, $E$1, '발전사업(A)'!G:G, B87, '발전사업(A)'!X:X, B92)
  + SUMIFS('자가소비(B)'!I:I, '자가소비(B)'!C:C, $E$1, '자가소비(B)'!G:G, B87, '자가소비(B)'!X:X, B92)
  + SUMIFS('PPA 사업(C)'!I:I, 'PPA 사업(C)'!C:C, $E$1, 'PPA 사업(C)'!G:G, B87, 'PPA 사업(C)'!X:X, B92)
  + SUMIFS('리스사업(D)'!I:I, '리스사업(D)'!C:C, $E$1, '리스사업(D)'!G:G, B87, '리스사업(D)'!X:X, B92)
  + SUMIFS('임대사업(E)'!I:I, '임대사업(E)'!C:C, $E$1, '임대사업(E)'!G:G, B87, '임대사업(E)'!X:X, B92)
  + SUMIFS('환경부사업(F)'!I:I, '환경부사업(F)'!C:C, $E$1, '환경부사업(F)'!G:G, B87, '환경부사업(F)'!X:X, B92)
  + SUMIFS('프로젝트(G)'!I:I, '프로젝트(G)'!C:C, $E$1, '프로젝트(G)'!G:G, B87, '프로젝트(G)'!X:X, B92)
  + SUMIFS('협력사 EPC(H)'!I:I, '협력사 EPC(H)'!C:C, $E$1, '협력사 EPC(H)'!G:G, B87, '협력사 EPC(H)'!X:X, B92)
  + SUMIFS('기타(Z)'!I:I, '기타(Z)'!C:C, $E$1, '기타(Z)'!G:G, B87, '기타(Z)'!X:X, B92)
)</f>
        <v>1274.3399999999999</v>
      </c>
      <c r="D92" s="263">
        <f>IF(
  COUNTIFS('발전사업(A)'!C:C, $E$1, '발전사업(A)'!G:G, B87, '발전사업(A)'!X:X, B92)
  + COUNTIFS('자가소비(B)'!C:C, $E$1, '자가소비(B)'!G:G, B87, '자가소비(B)'!X:X, B92)
  + COUNTIFS('PPA 사업(C)'!C:C, $E$1, 'PPA 사업(C)'!G:G, B87, 'PPA 사업(C)'!X:X, B92)
  + COUNTIFS('리스사업(D)'!C:C, $E$1, '리스사업(D)'!G:G, B87, '리스사업(D)'!X:X, B92)
  + COUNTIFS('임대사업(E)'!C:C, $E$1, '임대사업(E)'!G:G, B87, '임대사업(E)'!X:X, B92)
  + COUNTIFS('환경부사업(F)'!C:C, $E$1, '환경부사업(F)'!G:G, B87, '환경부사업(F)'!X:X, B92)
  + COUNTIFS('프로젝트(G)'!C:C, $E$1, '프로젝트(G)'!G:G, B87, '프로젝트(G)'!X:X, B92)
  + COUNTIFS('협력사 EPC(H)'!C:C, $E$1, '협력사 EPC(H)'!G:G, B87, '협력사 EPC(H)'!X:X, B92)
  + COUNTIFS('기타(Z)'!C:C, $E$1, '기타(Z)'!G:G, B87, '기타(Z)'!X:X, B92)
  = 0,
  "",
  COUNTIFS('발전사업(A)'!C:C, $E$1, '발전사업(A)'!G:G, B87, '발전사업(A)'!X:X, B92)
  + COUNTIFS('자가소비(B)'!C:C, $E$1, '자가소비(B)'!G:G, B87, '자가소비(B)'!X:X, B92)
  + COUNTIFS('PPA 사업(C)'!C:C, $E$1, 'PPA 사업(C)'!G:G, B87, 'PPA 사업(C)'!X:X, B92)
  + COUNTIFS('리스사업(D)'!C:C, $E$1, '리스사업(D)'!G:G, B87, '리스사업(D)'!X:X, B92)
  + COUNTIFS('임대사업(E)'!C:C, $E$1, '임대사업(E)'!G:G, B87, '임대사업(E)'!X:X, B92)
  + COUNTIFS('환경부사업(F)'!C:C, $E$1, '환경부사업(F)'!G:G, B87, '환경부사업(F)'!X:X, B92)
  + COUNTIFS('프로젝트(G)'!C:C, $E$1, '프로젝트(G)'!G:G, B87, '프로젝트(G)'!X:X, B92)
  + COUNTIFS('협력사 EPC(H)'!C:C, $E$1, '협력사 EPC(H)'!G:G, B87, '협력사 EPC(H)'!X:X, B92)
  + COUNTIFS('기타(Z)'!C:C, $E$1, '기타(Z)'!G:G, B87, '기타(Z)'!X:X, B92)
)</f>
        <v>8</v>
      </c>
      <c r="E92" s="262">
        <f>IF(
  SUM(
    SUMIFS('발전사업(A)'!I:I, '발전사업(A)'!C:C, $E$1, '발전사업(A)'!G:G, B87, '발전사업(A)'!X:X, B92, '발전사업(A)'!U:U, $C$1),
    SUMIFS('자가소비(B)'!I:I, '자가소비(B)'!C:C, $E$1, '자가소비(B)'!G:G, B87, '자가소비(B)'!X:X, B92, '자가소비(B)'!U:U, $C$1),
    SUMIFS('PPA 사업(C)'!I:I, 'PPA 사업(C)'!C:C, $E$1, 'PPA 사업(C)'!G:G, B87, 'PPA 사업(C)'!X:X, B92, 'PPA 사업(C)'!U:U, $C$1),
    SUMIFS('리스사업(D)'!I:I, '리스사업(D)'!C:C, $E$1, '리스사업(D)'!G:G, B87, '리스사업(D)'!X:X, B92, '리스사업(D)'!U:U, $C$1),
    SUMIFS('임대사업(E)'!I:I, '임대사업(E)'!C:C, $E$1, '임대사업(E)'!G:G, B87, '임대사업(E)'!X:X, B92, '임대사업(E)'!U:U, $C$1),
    SUMIFS('환경부사업(F)'!I:I, '환경부사업(F)'!C:C, $E$1, '환경부사업(F)'!G:G, B87, '환경부사업(F)'!X:X, B92, '환경부사업(F)'!U:U, $C$1),
    SUMIFS('프로젝트(G)'!I:I, '프로젝트(G)'!C:C, $E$1, '프로젝트(G)'!G:G, B87, '프로젝트(G)'!X:X, B92, '프로젝트(G)'!U:U, $C$1),
    SUMIFS('협력사 EPC(H)'!I:I, '협력사 EPC(H)'!C:C, $E$1, '협력사 EPC(H)'!G:G, B87, '협력사 EPC(H)'!X:X, B92, '협력사 EPC(H)'!U:U, $C$1),
    SUMIFS('기타(Z)'!I:I, '기타(Z)'!C:C, $E$1, '기타(Z)'!G:G, B87, '기타(Z)'!X:X, B92, '기타(Z)'!U:U, $C$1)
  ) = 0,
  "",
  SUM(
    SUMIFS('발전사업(A)'!I:I, '발전사업(A)'!C:C, $E$1, '발전사업(A)'!G:G, B87, '발전사업(A)'!X:X, B92, '발전사업(A)'!U:U, $C$1),
    SUMIFS('자가소비(B)'!I:I, '자가소비(B)'!C:C, $E$1, '자가소비(B)'!G:G, B87, '자가소비(B)'!X:X, B92, '자가소비(B)'!U:U, $C$1),
    SUMIFS('PPA 사업(C)'!I:I, 'PPA 사업(C)'!C:C, $E$1, 'PPA 사업(C)'!G:G, B87, 'PPA 사업(C)'!X:X, B92, 'PPA 사업(C)'!U:U, $C$1),
    SUMIFS('리스사업(D)'!I:I, '리스사업(D)'!C:C, $E$1, '리스사업(D)'!G:G, B87, '리스사업(D)'!X:X, B92, '리스사업(D)'!U:U, $C$1),
    SUMIFS('임대사업(E)'!I:I, '임대사업(E)'!C:C, $E$1, '임대사업(E)'!G:G, B87, '임대사업(E)'!X:X, B92, '임대사업(E)'!U:U, $C$1),
    SUMIFS('환경부사업(F)'!I:I, '환경부사업(F)'!C:C, $E$1, '환경부사업(F)'!G:G, B87, '환경부사업(F)'!X:X, B92, '환경부사업(F)'!U:U, $C$1),
    SUMIFS('프로젝트(G)'!I:I, '프로젝트(G)'!C:C, $E$1, '프로젝트(G)'!G:G, B87, '프로젝트(G)'!X:X, B92, '프로젝트(G)'!U:U, $C$1),
    SUMIFS('협력사 EPC(H)'!I:I, '협력사 EPC(H)'!C:C, $E$1, '협력사 EPC(H)'!G:G, B87, '협력사 EPC(H)'!X:X, B92, '협력사 EPC(H)'!U:U, $C$1),
    SUMIFS('기타(Z)'!I:I, '기타(Z)'!C:C, $E$1, '기타(Z)'!G:G, B87, '기타(Z)'!X:X, B92, '기타(Z)'!U:U, $C$1)
  )
)</f>
        <v>907.33500000000004</v>
      </c>
      <c r="F92" s="263">
        <f>IF(
  SUM(
    COUNTIFS('발전사업(A)'!C:C, $E$1, '발전사업(A)'!G:G, B87, '발전사업(A)'!X:X, B92, '발전사업(A)'!U:U, $C$1),
    COUNTIFS('자가소비(B)'!C:C, $E$1, '자가소비(B)'!G:G, B87, '자가소비(B)'!X:X, B92, '자가소비(B)'!U:U, $C$1),
    COUNTIFS('PPA 사업(C)'!C:C, $E$1, 'PPA 사업(C)'!G:G, B87, 'PPA 사업(C)'!X:X, B92, 'PPA 사업(C)'!U:U, $C$1),
    COUNTIFS('리스사업(D)'!C:C, $E$1, '리스사업(D)'!G:G, B87, '리스사업(D)'!X:X, B92, '리스사업(D)'!U:U, $C$1),
    COUNTIFS('임대사업(E)'!C:C, $E$1, '임대사업(E)'!G:G, B87, '임대사업(E)'!X:X, B92, '임대사업(E)'!U:U, $C$1),
    COUNTIFS('환경부사업(F)'!C:C, $E$1, '환경부사업(F)'!G:G, B87, '환경부사업(F)'!X:X, B92, '환경부사업(F)'!U:U, $C$1),
    COUNTIFS('프로젝트(G)'!C:C, $E$1, '프로젝트(G)'!G:G, B87, '프로젝트(G)'!X:X, B92, '프로젝트(G)'!U:U, $C$1),
    COUNTIFS('협력사 EPC(H)'!C:C, $E$1, '협력사 EPC(H)'!G:G, B87, '협력사 EPC(H)'!X:X, B92, '협력사 EPC(H)'!U:U, $C$1),
    COUNTIFS('기타(Z)'!C:C, $E$1, '기타(Z)'!G:G, B87, '기타(Z)'!X:X, B92, '기타(Z)'!U:U, $C$1)
  ) = 0,
  "",
  SUM(
    COUNTIFS('발전사업(A)'!C:C, $E$1, '발전사업(A)'!G:G, B87, '발전사업(A)'!X:X, B92, '발전사업(A)'!U:U, $C$1),
    COUNTIFS('자가소비(B)'!C:C, $E$1, '자가소비(B)'!G:G, B87, '자가소비(B)'!X:X, B92, '자가소비(B)'!U:U, $C$1),
    COUNTIFS('PPA 사업(C)'!C:C, $E$1, 'PPA 사업(C)'!G:G, B87, 'PPA 사업(C)'!X:X, B92, 'PPA 사업(C)'!U:U, $C$1),
    COUNTIFS('리스사업(D)'!C:C, $E$1, '리스사업(D)'!G:G, B87, '리스사업(D)'!X:X, B92, '리스사업(D)'!U:U, $C$1),
    COUNTIFS('임대사업(E)'!C:C, $E$1, '임대사업(E)'!G:G, B87, '임대사업(E)'!X:X, B92, '임대사업(E)'!U:U, $C$1),
    COUNTIFS('환경부사업(F)'!C:C, $E$1, '환경부사업(F)'!G:G, B87, '환경부사업(F)'!X:X, B92, '환경부사업(F)'!U:U, $C$1),
    COUNTIFS('프로젝트(G)'!C:C, $E$1, '프로젝트(G)'!G:G, B87, '프로젝트(G)'!X:X, B92, '프로젝트(G)'!U:U, $C$1),
    COUNTIFS('협력사 EPC(H)'!C:C, $E$1, '협력사 EPC(H)'!G:G, B87, '협력사 EPC(H)'!X:X, B92, '협력사 EPC(H)'!U:U, $C$1),
    COUNTIFS('기타(Z)'!C:C, $E$1, '기타(Z)'!G:G, B87, '기타(Z)'!X:X, B92, '기타(Z)'!U:U, $C$1)
  )
)</f>
        <v>6</v>
      </c>
      <c r="G92" s="262">
        <f>IF(
  SUM(
    SUMIFS('발전사업(A)'!I:I, '발전사업(A)'!C:C, $E$1, '발전사업(A)'!G:G, B87, '발전사업(A)'!X:X, B92, '발전사업(A)'!U:U, $D$1),
    SUMIFS('자가소비(B)'!I:I, '자가소비(B)'!C:C, $E$1, '자가소비(B)'!G:G, B87, '자가소비(B)'!X:X, B92, '자가소비(B)'!U:U, $D$1),
    SUMIFS('PPA 사업(C)'!I:I, 'PPA 사업(C)'!C:C, $E$1, 'PPA 사업(C)'!G:G, B87, 'PPA 사업(C)'!X:X, B92, 'PPA 사업(C)'!U:U, $D$1),
    SUMIFS('리스사업(D)'!I:I, '리스사업(D)'!C:C, $E$1, '리스사업(D)'!G:G, B87, '리스사업(D)'!X:X, B92, '리스사업(D)'!U:U, $D$1),
    SUMIFS('임대사업(E)'!I:I, '임대사업(E)'!C:C, $E$1, '임대사업(E)'!G:G, B87, '임대사업(E)'!X:X, B92, '임대사업(E)'!U:U, $D$1),
    SUMIFS('환경부사업(F)'!I:I, '환경부사업(F)'!C:C, $E$1, '환경부사업(F)'!G:G, B87, '환경부사업(F)'!X:X, B92, '환경부사업(F)'!U:U, $D$1),
    SUMIFS('프로젝트(G)'!I:I, '프로젝트(G)'!C:C, $E$1, '프로젝트(G)'!G:G, B87, '프로젝트(G)'!X:X, B92, '프로젝트(G)'!U:U, $D$1),
    SUMIFS('협력사 EPC(H)'!I:I, '협력사 EPC(H)'!C:C, $E$1, '협력사 EPC(H)'!G:G, B87, '협력사 EPC(H)'!X:X, B92, '협력사 EPC(H)'!U:U, $D$1),
    SUMIFS('기타(Z)'!I:I, '기타(Z)'!C:C, $E$1, '기타(Z)'!G:G, B87, '기타(Z)'!X:X, B92, '기타(Z)'!U:U, $D$1)
  ) = 0,
  "",
  SUM(
    SUMIFS('발전사업(A)'!I:I, '발전사업(A)'!C:C, $E$1, '발전사업(A)'!G:G, B87, '발전사업(A)'!X:X, B92, '발전사업(A)'!U:U, $D$1),
    SUMIFS('자가소비(B)'!I:I, '자가소비(B)'!C:C, $E$1, '자가소비(B)'!G:G, B87, '자가소비(B)'!X:X, B92, '자가소비(B)'!U:U, $D$1),
    SUMIFS('PPA 사업(C)'!I:I, 'PPA 사업(C)'!C:C, $E$1, 'PPA 사업(C)'!G:G, B87, 'PPA 사업(C)'!X:X, B92, 'PPA 사업(C)'!U:U, $D$1),
    SUMIFS('리스사업(D)'!I:I, '리스사업(D)'!C:C, $E$1, '리스사업(D)'!G:G, B87, '리스사업(D)'!X:X, B92, '리스사업(D)'!U:U, $D$1),
    SUMIFS('임대사업(E)'!I:I, '임대사업(E)'!C:C, $E$1, '임대사업(E)'!G:G, B87, '임대사업(E)'!X:X, B92, '임대사업(E)'!U:U, $D$1),
    SUMIFS('환경부사업(F)'!I:I, '환경부사업(F)'!C:C, $E$1, '환경부사업(F)'!G:G, B87, '환경부사업(F)'!X:X, B92, '환경부사업(F)'!U:U, $D$1),
    SUMIFS('프로젝트(G)'!I:I, '프로젝트(G)'!C:C, $E$1, '프로젝트(G)'!G:G, B87, '프로젝트(G)'!X:X, B92, '프로젝트(G)'!U:U, $D$1),
    SUMIFS('협력사 EPC(H)'!I:I, '협력사 EPC(H)'!C:C, $E$1, '협력사 EPC(H)'!G:G, B87, '협력사 EPC(H)'!X:X, B92, '협력사 EPC(H)'!U:U, $D$1),
    SUMIFS('기타(Z)'!I:I, '기타(Z)'!C:C, $E$1, '기타(Z)'!G:G, B87, '기타(Z)'!X:X, B92, '기타(Z)'!U:U, $D$1)
  )
)</f>
        <v>367.005</v>
      </c>
      <c r="H92" s="263">
        <f>IF(
  (
    COUNTIFS('발전사업(A)'!C:C, $E$1, '발전사업(A)'!G:G, B87, '발전사업(A)'!X:X, B92, '발전사업(A)'!U:U, $D$1)
    + COUNTIFS('자가소비(B)'!C:C, $E$1, '자가소비(B)'!G:G, B87, '자가소비(B)'!X:X, B92, '자가소비(B)'!U:U, $D$1)
    + COUNTIFS('PPA 사업(C)'!C:C, $E$1, 'PPA 사업(C)'!G:G, B87, 'PPA 사업(C)'!X:X, B92, 'PPA 사업(C)'!U:U, $D$1)
    + COUNTIFS('리스사업(D)'!C:C, $E$1, '리스사업(D)'!G:G, B87, '리스사업(D)'!X:X, B92, '리스사업(D)'!U:U, $D$1)
    + COUNTIFS('임대사업(E)'!C:C, $E$1, '임대사업(E)'!G:G, B87, '임대사업(E)'!X:X, B92, '임대사업(E)'!U:U, $D$1)
    + COUNTIFS('환경부사업(F)'!C:C, $E$1, '환경부사업(F)'!G:G, B87, '환경부사업(F)'!X:X, B92, '환경부사업(F)'!U:U, $D$1)
    + COUNTIFS('프로젝트(G)'!C:C, $E$1, '프로젝트(G)'!G:G, B87, '프로젝트(G)'!X:X, B92, '프로젝트(G)'!U:U, $D$1)
    + COUNTIFS('협력사 EPC(H)'!C:C, $E$1, '협력사 EPC(H)'!G:G, B87, '협력사 EPC(H)'!X:X, B92, '협력사 EPC(H)'!U:U, $D$1)
    + COUNTIFS('기타(Z)'!C:C, $E$1, '기타(Z)'!G:G, B87, '기타(Z)'!X:X, B92, '기타(Z)'!U:U, $D$1)
  ) = 0,
  "",
  COUNTIFS('발전사업(A)'!C:C, $E$1, '발전사업(A)'!G:G, B87, '발전사업(A)'!X:X, B92, '발전사업(A)'!U:U, $D$1)
  + COUNTIFS('자가소비(B)'!C:C, $E$1, '자가소비(B)'!G:G, B87, '자가소비(B)'!X:X, B92, '자가소비(B)'!U:U, $D$1)
  + COUNTIFS('PPA 사업(C)'!C:C, $E$1, 'PPA 사업(C)'!G:G, B87, 'PPA 사업(C)'!X:X, B92, 'PPA 사업(C)'!U:U, $D$1)
  + COUNTIFS('리스사업(D)'!C:C, $E$1, '리스사업(D)'!G:G, B87, '리스사업(D)'!X:X, B92, '리스사업(D)'!U:U, $D$1)
  + COUNTIFS('임대사업(E)'!C:C, $E$1, '임대사업(E)'!G:G, B87, '임대사업(E)'!X:X, B92, '임대사업(E)'!U:U, $D$1)
  + COUNTIFS('환경부사업(F)'!C:C, $E$1, '환경부사업(F)'!G:G, B87, '환경부사업(F)'!X:X, B92, '환경부사업(F)'!U:U, $D$1)
  + COUNTIFS('프로젝트(G)'!C:C, $E$1, '프로젝트(G)'!G:G, B87, '프로젝트(G)'!X:X, B92, '프로젝트(G)'!U:U, $D$1)
  + COUNTIFS('협력사 EPC(H)'!C:C, $E$1, '협력사 EPC(H)'!G:G, B87, '협력사 EPC(H)'!X:X, B92, '협력사 EPC(H)'!U:U, $D$1)
  + COUNTIFS('기타(Z)'!C:C, $E$1, '기타(Z)'!G:G, B87, '기타(Z)'!X:X, B92, '기타(Z)'!U:U, $D$1)
)</f>
        <v>2</v>
      </c>
    </row>
    <row r="93" spans="2:8" x14ac:dyDescent="0.25">
      <c r="B93" s="195" t="s">
        <v>156</v>
      </c>
      <c r="C93" s="262" t="str">
        <f>IF(
  SUM(
    SUMIFS('발전사업(A)'!I:I, '발전사업(A)'!C:C, $E$1, '발전사업(A)'!G:G, B87, '발전사업(A)'!X:X, B93),
    SUMIFS('자가소비(B)'!I:I, '자가소비(B)'!C:C, $E$1, '자가소비(B)'!G:G, B87, '자가소비(B)'!X:X, B93),
    SUMIFS('PPA 사업(C)'!I:I, 'PPA 사업(C)'!C:C, $E$1, 'PPA 사업(C)'!G:G, B87, 'PPA 사업(C)'!X:X, B93),
    SUMIFS('리스사업(D)'!I:I, '리스사업(D)'!C:C, $E$1, '리스사업(D)'!G:G, B87, '리스사업(D)'!X:X, B93),
    SUMIFS('임대사업(E)'!I:I, '임대사업(E)'!C:C, $E$1, '임대사업(E)'!G:G, B87, '임대사업(E)'!X:X, B93),
    SUMIFS('환경부사업(F)'!I:I, '환경부사업(F)'!C:C, $E$1, '환경부사업(F)'!G:G, B87, '환경부사업(F)'!X:X, B93),
    SUMIFS('프로젝트(G)'!I:I, '프로젝트(G)'!C:C, $E$1, '프로젝트(G)'!G:G, B87, '프로젝트(G)'!X:X, B93),
    SUMIFS('협력사 EPC(H)'!I:I, '협력사 EPC(H)'!C:C, $E$1, '협력사 EPC(H)'!G:G, B87, '협력사 EPC(H)'!X:X, B93),
    SUMIFS('기타(Z)'!I:I, '기타(Z)'!C:C, $E$1, '기타(Z)'!G:G, B87, '기타(Z)'!X:X, B93)
  ) = 0,
  "",
  SUMIFS('발전사업(A)'!I:I, '발전사업(A)'!C:C, $E$1, '발전사업(A)'!G:G, B87, '발전사업(A)'!X:X, B93)
  + SUMIFS('자가소비(B)'!I:I, '자가소비(B)'!C:C, $E$1, '자가소비(B)'!G:G, B87, '자가소비(B)'!X:X, B93)
  + SUMIFS('PPA 사업(C)'!I:I, 'PPA 사업(C)'!C:C, $E$1, 'PPA 사업(C)'!G:G, B87, 'PPA 사업(C)'!X:X, B93)
  + SUMIFS('리스사업(D)'!I:I, '리스사업(D)'!C:C, $E$1, '리스사업(D)'!G:G, B87, '리스사업(D)'!X:X, B93)
  + SUMIFS('임대사업(E)'!I:I, '임대사업(E)'!C:C, $E$1, '임대사업(E)'!G:G, B87, '임대사업(E)'!X:X, B93)
  + SUMIFS('환경부사업(F)'!I:I, '환경부사업(F)'!C:C, $E$1, '환경부사업(F)'!G:G, B87, '환경부사업(F)'!X:X, B93)
  + SUMIFS('프로젝트(G)'!I:I, '프로젝트(G)'!C:C, $E$1, '프로젝트(G)'!G:G, B87, '프로젝트(G)'!X:X, B93)
  + SUMIFS('협력사 EPC(H)'!I:I, '협력사 EPC(H)'!C:C, $E$1, '협력사 EPC(H)'!G:G, B87, '협력사 EPC(H)'!X:X, B93)
  + SUMIFS('기타(Z)'!I:I, '기타(Z)'!C:C, $E$1, '기타(Z)'!G:G, B87, '기타(Z)'!X:X, B93)
)</f>
        <v/>
      </c>
      <c r="D93" s="263" t="str">
        <f>IF(
  COUNTIFS('발전사업(A)'!C:C, $E$1, '발전사업(A)'!G:G, B87, '발전사업(A)'!X:X, B93)
  + COUNTIFS('자가소비(B)'!C:C, $E$1, '자가소비(B)'!G:G, B87, '자가소비(B)'!X:X, B93)
  + COUNTIFS('PPA 사업(C)'!C:C, $E$1, 'PPA 사업(C)'!G:G, B87, 'PPA 사업(C)'!X:X, B93)
  + COUNTIFS('리스사업(D)'!C:C, $E$1, '리스사업(D)'!G:G, B87, '리스사업(D)'!X:X, B93)
  + COUNTIFS('임대사업(E)'!C:C, $E$1, '임대사업(E)'!G:G, B87, '임대사업(E)'!X:X, B93)
  + COUNTIFS('환경부사업(F)'!C:C, $E$1, '환경부사업(F)'!G:G, B87, '환경부사업(F)'!X:X, B93)
  + COUNTIFS('프로젝트(G)'!C:C, $E$1, '프로젝트(G)'!G:G, B87, '프로젝트(G)'!X:X, B93)
  + COUNTIFS('협력사 EPC(H)'!C:C, $E$1, '협력사 EPC(H)'!G:G, B87, '협력사 EPC(H)'!X:X, B93)
  + COUNTIFS('기타(Z)'!C:C, $E$1, '기타(Z)'!G:G, B87, '기타(Z)'!X:X, B93)
  = 0,
  "",
  COUNTIFS('발전사업(A)'!C:C, $E$1, '발전사업(A)'!G:G, B87, '발전사업(A)'!X:X, B93)
  + COUNTIFS('자가소비(B)'!C:C, $E$1, '자가소비(B)'!G:G, B87, '자가소비(B)'!X:X, B93)
  + COUNTIFS('PPA 사업(C)'!C:C, $E$1, 'PPA 사업(C)'!G:G, B87, 'PPA 사업(C)'!X:X, B93)
  + COUNTIFS('리스사업(D)'!C:C, $E$1, '리스사업(D)'!G:G, B87, '리스사업(D)'!X:X, B93)
  + COUNTIFS('임대사업(E)'!C:C, $E$1, '임대사업(E)'!G:G, B87, '임대사업(E)'!X:X, B93)
  + COUNTIFS('환경부사업(F)'!C:C, $E$1, '환경부사업(F)'!G:G, B87, '환경부사업(F)'!X:X, B93)
  + COUNTIFS('프로젝트(G)'!C:C, $E$1, '프로젝트(G)'!G:G, B87, '프로젝트(G)'!X:X, B93)
  + COUNTIFS('협력사 EPC(H)'!C:C, $E$1, '협력사 EPC(H)'!G:G, B87, '협력사 EPC(H)'!X:X, B93)
  + COUNTIFS('기타(Z)'!C:C, $E$1, '기타(Z)'!G:G, B87, '기타(Z)'!X:X, B93)
)</f>
        <v/>
      </c>
      <c r="E93" s="262" t="str">
        <f>IF(
  SUM(
    SUMIFS('발전사업(A)'!I:I, '발전사업(A)'!C:C, $E$1, '발전사업(A)'!G:G, B87, '발전사업(A)'!X:X, B93, '발전사업(A)'!U:U, $C$1),
    SUMIFS('자가소비(B)'!I:I, '자가소비(B)'!C:C, $E$1, '자가소비(B)'!G:G, B87, '자가소비(B)'!X:X, B93, '자가소비(B)'!U:U, $C$1),
    SUMIFS('PPA 사업(C)'!I:I, 'PPA 사업(C)'!C:C, $E$1, 'PPA 사업(C)'!G:G, B87, 'PPA 사업(C)'!X:X, B93, 'PPA 사업(C)'!U:U, $C$1),
    SUMIFS('리스사업(D)'!I:I, '리스사업(D)'!C:C, $E$1, '리스사업(D)'!G:G, B87, '리스사업(D)'!X:X, B93, '리스사업(D)'!U:U, $C$1),
    SUMIFS('임대사업(E)'!I:I, '임대사업(E)'!C:C, $E$1, '임대사업(E)'!G:G, B87, '임대사업(E)'!X:X, B93, '임대사업(E)'!U:U, $C$1),
    SUMIFS('환경부사업(F)'!I:I, '환경부사업(F)'!C:C, $E$1, '환경부사업(F)'!G:G, B87, '환경부사업(F)'!X:X, B93, '환경부사업(F)'!U:U, $C$1),
    SUMIFS('프로젝트(G)'!I:I, '프로젝트(G)'!C:C, $E$1, '프로젝트(G)'!G:G, B87, '프로젝트(G)'!X:X, B93, '프로젝트(G)'!U:U, $C$1),
    SUMIFS('협력사 EPC(H)'!I:I, '협력사 EPC(H)'!C:C, $E$1, '협력사 EPC(H)'!G:G, B87, '협력사 EPC(H)'!X:X, B93, '협력사 EPC(H)'!U:U, $C$1),
    SUMIFS('기타(Z)'!I:I, '기타(Z)'!C:C, $E$1, '기타(Z)'!G:G, B87, '기타(Z)'!X:X, B93, '기타(Z)'!U:U, $C$1)
  ) = 0,
  "",
  SUM(
    SUMIFS('발전사업(A)'!I:I, '발전사업(A)'!C:C, $E$1, '발전사업(A)'!G:G, B87, '발전사업(A)'!X:X, B93, '발전사업(A)'!U:U, $C$1),
    SUMIFS('자가소비(B)'!I:I, '자가소비(B)'!C:C, $E$1, '자가소비(B)'!G:G, B87, '자가소비(B)'!X:X, B93, '자가소비(B)'!U:U, $C$1),
    SUMIFS('PPA 사업(C)'!I:I, 'PPA 사업(C)'!C:C, $E$1, 'PPA 사업(C)'!G:G, B87, 'PPA 사업(C)'!X:X, B93, 'PPA 사업(C)'!U:U, $C$1),
    SUMIFS('리스사업(D)'!I:I, '리스사업(D)'!C:C, $E$1, '리스사업(D)'!G:G, B87, '리스사업(D)'!X:X, B93, '리스사업(D)'!U:U, $C$1),
    SUMIFS('임대사업(E)'!I:I, '임대사업(E)'!C:C, $E$1, '임대사업(E)'!G:G, B87, '임대사업(E)'!X:X, B93, '임대사업(E)'!U:U, $C$1),
    SUMIFS('환경부사업(F)'!I:I, '환경부사업(F)'!C:C, $E$1, '환경부사업(F)'!G:G, B87, '환경부사업(F)'!X:X, B93, '환경부사업(F)'!U:U, $C$1),
    SUMIFS('프로젝트(G)'!I:I, '프로젝트(G)'!C:C, $E$1, '프로젝트(G)'!G:G, B87, '프로젝트(G)'!X:X, B93, '프로젝트(G)'!U:U, $C$1),
    SUMIFS('협력사 EPC(H)'!I:I, '협력사 EPC(H)'!C:C, $E$1, '협력사 EPC(H)'!G:G, B87, '협력사 EPC(H)'!X:X, B93, '협력사 EPC(H)'!U:U, $C$1),
    SUMIFS('기타(Z)'!I:I, '기타(Z)'!C:C, $E$1, '기타(Z)'!G:G, B87, '기타(Z)'!X:X, B93, '기타(Z)'!U:U, $C$1)
  )
)</f>
        <v/>
      </c>
      <c r="F93" s="263" t="str">
        <f>IF(
  SUM(
    COUNTIFS('발전사업(A)'!C:C, $E$1, '발전사업(A)'!G:G, B87, '발전사업(A)'!X:X, B93, '발전사업(A)'!U:U, $C$1),
    COUNTIFS('자가소비(B)'!C:C, $E$1, '자가소비(B)'!G:G, B87, '자가소비(B)'!X:X, B93, '자가소비(B)'!U:U, $C$1),
    COUNTIFS('PPA 사업(C)'!C:C, $E$1, 'PPA 사업(C)'!G:G, B87, 'PPA 사업(C)'!X:X, B93, 'PPA 사업(C)'!U:U, $C$1),
    COUNTIFS('리스사업(D)'!C:C, $E$1, '리스사업(D)'!G:G, B87, '리스사업(D)'!X:X, B93, '리스사업(D)'!U:U, $C$1),
    COUNTIFS('임대사업(E)'!C:C, $E$1, '임대사업(E)'!G:G, B87, '임대사업(E)'!X:X, B93, '임대사업(E)'!U:U, $C$1),
    COUNTIFS('환경부사업(F)'!C:C, $E$1, '환경부사업(F)'!G:G, B87, '환경부사업(F)'!X:X, B93, '환경부사업(F)'!U:U, $C$1),
    COUNTIFS('프로젝트(G)'!C:C, $E$1, '프로젝트(G)'!G:G, B87, '프로젝트(G)'!X:X, B93, '프로젝트(G)'!U:U, $C$1),
    COUNTIFS('협력사 EPC(H)'!C:C, $E$1, '협력사 EPC(H)'!G:G, B87, '협력사 EPC(H)'!X:X, B93, '협력사 EPC(H)'!U:U, $C$1),
    COUNTIFS('기타(Z)'!C:C, $E$1, '기타(Z)'!G:G, B87, '기타(Z)'!X:X, B93, '기타(Z)'!U:U, $C$1)
  ) = 0,
  "",
  SUM(
    COUNTIFS('발전사업(A)'!C:C, $E$1, '발전사업(A)'!G:G, B87, '발전사업(A)'!X:X, B93, '발전사업(A)'!U:U, $C$1),
    COUNTIFS('자가소비(B)'!C:C, $E$1, '자가소비(B)'!G:G, B87, '자가소비(B)'!X:X, B93, '자가소비(B)'!U:U, $C$1),
    COUNTIFS('PPA 사업(C)'!C:C, $E$1, 'PPA 사업(C)'!G:G, B87, 'PPA 사업(C)'!X:X, B93, 'PPA 사업(C)'!U:U, $C$1),
    COUNTIFS('리스사업(D)'!C:C, $E$1, '리스사업(D)'!G:G, B87, '리스사업(D)'!X:X, B93, '리스사업(D)'!U:U, $C$1),
    COUNTIFS('임대사업(E)'!C:C, $E$1, '임대사업(E)'!G:G, B87, '임대사업(E)'!X:X, B93, '임대사업(E)'!U:U, $C$1),
    COUNTIFS('환경부사업(F)'!C:C, $E$1, '환경부사업(F)'!G:G, B87, '환경부사업(F)'!X:X, B93, '환경부사업(F)'!U:U, $C$1),
    COUNTIFS('프로젝트(G)'!C:C, $E$1, '프로젝트(G)'!G:G, B87, '프로젝트(G)'!X:X, B93, '프로젝트(G)'!U:U, $C$1),
    COUNTIFS('협력사 EPC(H)'!C:C, $E$1, '협력사 EPC(H)'!G:G, B87, '협력사 EPC(H)'!X:X, B93, '협력사 EPC(H)'!U:U, $C$1),
    COUNTIFS('기타(Z)'!C:C, $E$1, '기타(Z)'!G:G, B87, '기타(Z)'!X:X, B93, '기타(Z)'!U:U, $C$1)
  )
)</f>
        <v/>
      </c>
      <c r="G93" s="262" t="str">
        <f>IF(
  SUM(
    SUMIFS('발전사업(A)'!I:I, '발전사업(A)'!C:C, $E$1, '발전사업(A)'!G:G, B87, '발전사업(A)'!X:X, B93, '발전사업(A)'!U:U, $D$1),
    SUMIFS('자가소비(B)'!I:I, '자가소비(B)'!C:C, $E$1, '자가소비(B)'!G:G, B87, '자가소비(B)'!X:X, B93, '자가소비(B)'!U:U, $D$1),
    SUMIFS('PPA 사업(C)'!I:I, 'PPA 사업(C)'!C:C, $E$1, 'PPA 사업(C)'!G:G, B87, 'PPA 사업(C)'!X:X, B93, 'PPA 사업(C)'!U:U, $D$1),
    SUMIFS('리스사업(D)'!I:I, '리스사업(D)'!C:C, $E$1, '리스사업(D)'!G:G, B87, '리스사업(D)'!X:X, B93, '리스사업(D)'!U:U, $D$1),
    SUMIFS('임대사업(E)'!I:I, '임대사업(E)'!C:C, $E$1, '임대사업(E)'!G:G, B87, '임대사업(E)'!X:X, B93, '임대사업(E)'!U:U, $D$1),
    SUMIFS('환경부사업(F)'!I:I, '환경부사업(F)'!C:C, $E$1, '환경부사업(F)'!G:G, B87, '환경부사업(F)'!X:X, B93, '환경부사업(F)'!U:U, $D$1),
    SUMIFS('프로젝트(G)'!I:I, '프로젝트(G)'!C:C, $E$1, '프로젝트(G)'!G:G, B87, '프로젝트(G)'!X:X, B93, '프로젝트(G)'!U:U, $D$1),
    SUMIFS('협력사 EPC(H)'!I:I, '협력사 EPC(H)'!C:C, $E$1, '협력사 EPC(H)'!G:G, B87, '협력사 EPC(H)'!X:X, B93, '협력사 EPC(H)'!U:U, $D$1),
    SUMIFS('기타(Z)'!I:I, '기타(Z)'!C:C, $E$1, '기타(Z)'!G:G, B87, '기타(Z)'!X:X, B93, '기타(Z)'!U:U, $D$1)
  ) = 0,
  "",
  SUM(
    SUMIFS('발전사업(A)'!I:I, '발전사업(A)'!C:C, $E$1, '발전사업(A)'!G:G, B87, '발전사업(A)'!X:X, B93, '발전사업(A)'!U:U, $D$1),
    SUMIFS('자가소비(B)'!I:I, '자가소비(B)'!C:C, $E$1, '자가소비(B)'!G:G, B87, '자가소비(B)'!X:X, B93, '자가소비(B)'!U:U, $D$1),
    SUMIFS('PPA 사업(C)'!I:I, 'PPA 사업(C)'!C:C, $E$1, 'PPA 사업(C)'!G:G, B87, 'PPA 사업(C)'!X:X, B93, 'PPA 사업(C)'!U:U, $D$1),
    SUMIFS('리스사업(D)'!I:I, '리스사업(D)'!C:C, $E$1, '리스사업(D)'!G:G, B87, '리스사업(D)'!X:X, B93, '리스사업(D)'!U:U, $D$1),
    SUMIFS('임대사업(E)'!I:I, '임대사업(E)'!C:C, $E$1, '임대사업(E)'!G:G, B87, '임대사업(E)'!X:X, B93, '임대사업(E)'!U:U, $D$1),
    SUMIFS('환경부사업(F)'!I:I, '환경부사업(F)'!C:C, $E$1, '환경부사업(F)'!G:G, B87, '환경부사업(F)'!X:X, B93, '환경부사업(F)'!U:U, $D$1),
    SUMIFS('프로젝트(G)'!I:I, '프로젝트(G)'!C:C, $E$1, '프로젝트(G)'!G:G, B87, '프로젝트(G)'!X:X, B93, '프로젝트(G)'!U:U, $D$1),
    SUMIFS('협력사 EPC(H)'!I:I, '협력사 EPC(H)'!C:C, $E$1, '협력사 EPC(H)'!G:G, B87, '협력사 EPC(H)'!X:X, B93, '협력사 EPC(H)'!U:U, $D$1),
    SUMIFS('기타(Z)'!I:I, '기타(Z)'!C:C, $E$1, '기타(Z)'!G:G, B87, '기타(Z)'!X:X, B93, '기타(Z)'!U:U, $D$1)
  )
)</f>
        <v/>
      </c>
      <c r="H93" s="263" t="str">
        <f>IF(
  (
    COUNTIFS('발전사업(A)'!C:C, $E$1, '발전사업(A)'!G:G, B87, '발전사업(A)'!X:X, B93, '발전사업(A)'!U:U, $D$1)
    + COUNTIFS('자가소비(B)'!C:C, $E$1, '자가소비(B)'!G:G, B87, '자가소비(B)'!X:X, B93, '자가소비(B)'!U:U, $D$1)
    + COUNTIFS('PPA 사업(C)'!C:C, $E$1, 'PPA 사업(C)'!G:G, B87, 'PPA 사업(C)'!X:X, B93, 'PPA 사업(C)'!U:U, $D$1)
    + COUNTIFS('리스사업(D)'!C:C, $E$1, '리스사업(D)'!G:G, B87, '리스사업(D)'!X:X, B93, '리스사업(D)'!U:U, $D$1)
    + COUNTIFS('임대사업(E)'!C:C, $E$1, '임대사업(E)'!G:G, B87, '임대사업(E)'!X:X, B93, '임대사업(E)'!U:U, $D$1)
    + COUNTIFS('환경부사업(F)'!C:C, $E$1, '환경부사업(F)'!G:G, B87, '환경부사업(F)'!X:X, B93, '환경부사업(F)'!U:U, $D$1)
    + COUNTIFS('프로젝트(G)'!C:C, $E$1, '프로젝트(G)'!G:G, B87, '프로젝트(G)'!X:X, B93, '프로젝트(G)'!U:U, $D$1)
    + COUNTIFS('협력사 EPC(H)'!C:C, $E$1, '협력사 EPC(H)'!G:G, B87, '협력사 EPC(H)'!X:X, B93, '협력사 EPC(H)'!U:U, $D$1)
    + COUNTIFS('기타(Z)'!C:C, $E$1, '기타(Z)'!G:G, B87, '기타(Z)'!X:X, B93, '기타(Z)'!U:U, $D$1)
  ) = 0,
  "",
  COUNTIFS('발전사업(A)'!C:C, $E$1, '발전사업(A)'!G:G, B87, '발전사업(A)'!X:X, B93, '발전사업(A)'!U:U, $D$1)
  + COUNTIFS('자가소비(B)'!C:C, $E$1, '자가소비(B)'!G:G, B87, '자가소비(B)'!X:X, B93, '자가소비(B)'!U:U, $D$1)
  + COUNTIFS('PPA 사업(C)'!C:C, $E$1, 'PPA 사업(C)'!G:G, B87, 'PPA 사업(C)'!X:X, B93, 'PPA 사업(C)'!U:U, $D$1)
  + COUNTIFS('리스사업(D)'!C:C, $E$1, '리스사업(D)'!G:G, B87, '리스사업(D)'!X:X, B93, '리스사업(D)'!U:U, $D$1)
  + COUNTIFS('임대사업(E)'!C:C, $E$1, '임대사업(E)'!G:G, B87, '임대사업(E)'!X:X, B93, '임대사업(E)'!U:U, $D$1)
  + COUNTIFS('환경부사업(F)'!C:C, $E$1, '환경부사업(F)'!G:G, B87, '환경부사업(F)'!X:X, B93, '환경부사업(F)'!U:U, $D$1)
  + COUNTIFS('프로젝트(G)'!C:C, $E$1, '프로젝트(G)'!G:G, B87, '프로젝트(G)'!X:X, B93, '프로젝트(G)'!U:U, $D$1)
  + COUNTIFS('협력사 EPC(H)'!C:C, $E$1, '협력사 EPC(H)'!G:G, B87, '협력사 EPC(H)'!X:X, B93, '협력사 EPC(H)'!U:U, $D$1)
  + COUNTIFS('기타(Z)'!C:C, $E$1, '기타(Z)'!G:G, B87, '기타(Z)'!X:X, B93, '기타(Z)'!U:U, $D$1)
)</f>
        <v/>
      </c>
    </row>
    <row r="94" spans="2:8" x14ac:dyDescent="0.25">
      <c r="B94" s="195" t="s">
        <v>157</v>
      </c>
      <c r="C94" s="262" t="str">
        <f>IF(
  SUM(
    SUMIFS('발전사업(A)'!I:I, '발전사업(A)'!C:C, $E$1, '발전사업(A)'!G:G, B87, '발전사업(A)'!X:X, B94),
    SUMIFS('자가소비(B)'!I:I, '자가소비(B)'!C:C, $E$1, '자가소비(B)'!G:G, B87, '자가소비(B)'!X:X, B94),
    SUMIFS('PPA 사업(C)'!I:I, 'PPA 사업(C)'!C:C, $E$1, 'PPA 사업(C)'!G:G, B87, 'PPA 사업(C)'!X:X, B94),
    SUMIFS('리스사업(D)'!I:I, '리스사업(D)'!C:C, $E$1, '리스사업(D)'!G:G, B87, '리스사업(D)'!X:X, B94),
    SUMIFS('임대사업(E)'!I:I, '임대사업(E)'!C:C, $E$1, '임대사업(E)'!G:G, B87, '임대사업(E)'!X:X, B94),
    SUMIFS('환경부사업(F)'!I:I, '환경부사업(F)'!C:C, $E$1, '환경부사업(F)'!G:G, B87, '환경부사업(F)'!X:X, B94),
    SUMIFS('프로젝트(G)'!I:I, '프로젝트(G)'!C:C, $E$1, '프로젝트(G)'!G:G, B87, '프로젝트(G)'!X:X, B94),
    SUMIFS('협력사 EPC(H)'!I:I, '협력사 EPC(H)'!C:C, $E$1, '협력사 EPC(H)'!G:G, B87, '협력사 EPC(H)'!X:X, B94),
    SUMIFS('기타(Z)'!I:I, '기타(Z)'!C:C, $E$1, '기타(Z)'!G:G, B87, '기타(Z)'!X:X, B94)
  ) = 0,
  "",
  SUMIFS('발전사업(A)'!I:I, '발전사업(A)'!C:C, $E$1, '발전사업(A)'!G:G, B87, '발전사업(A)'!X:X, B94)
  + SUMIFS('자가소비(B)'!I:I, '자가소비(B)'!C:C, $E$1, '자가소비(B)'!G:G, B87, '자가소비(B)'!X:X, B94)
  + SUMIFS('PPA 사업(C)'!I:I, 'PPA 사업(C)'!C:C, $E$1, 'PPA 사업(C)'!G:G, B87, 'PPA 사업(C)'!X:X, B94)
  + SUMIFS('리스사업(D)'!I:I, '리스사업(D)'!C:C, $E$1, '리스사업(D)'!G:G, B87, '리스사업(D)'!X:X, B94)
  + SUMIFS('임대사업(E)'!I:I, '임대사업(E)'!C:C, $E$1, '임대사업(E)'!G:G, B87, '임대사업(E)'!X:X, B94)
  + SUMIFS('환경부사업(F)'!I:I, '환경부사업(F)'!C:C, $E$1, '환경부사업(F)'!G:G, B87, '환경부사업(F)'!X:X, B94)
  + SUMIFS('프로젝트(G)'!I:I, '프로젝트(G)'!C:C, $E$1, '프로젝트(G)'!G:G, B87, '프로젝트(G)'!X:X, B94)
  + SUMIFS('협력사 EPC(H)'!I:I, '협력사 EPC(H)'!C:C, $E$1, '협력사 EPC(H)'!G:G, B87, '협력사 EPC(H)'!X:X, B94)
  + SUMIFS('기타(Z)'!I:I, '기타(Z)'!C:C, $E$1, '기타(Z)'!G:G, B87, '기타(Z)'!X:X, B94)
)</f>
        <v/>
      </c>
      <c r="D94" s="263" t="str">
        <f>IF(
  COUNTIFS('발전사업(A)'!C:C, $E$1, '발전사업(A)'!G:G, B87, '발전사업(A)'!X:X, B94)
  + COUNTIFS('자가소비(B)'!C:C, $E$1, '자가소비(B)'!G:G, B87, '자가소비(B)'!X:X, B94)
  + COUNTIFS('PPA 사업(C)'!C:C, $E$1, 'PPA 사업(C)'!G:G, B87, 'PPA 사업(C)'!X:X, B94)
  + COUNTIFS('리스사업(D)'!C:C, $E$1, '리스사업(D)'!G:G, B87, '리스사업(D)'!X:X, B94)
  + COUNTIFS('임대사업(E)'!C:C, $E$1, '임대사업(E)'!G:G, B87, '임대사업(E)'!X:X, B94)
  + COUNTIFS('환경부사업(F)'!C:C, $E$1, '환경부사업(F)'!G:G, B87, '환경부사업(F)'!X:X, B94)
  + COUNTIFS('프로젝트(G)'!C:C, $E$1, '프로젝트(G)'!G:G, B87, '프로젝트(G)'!X:X, B94)
  + COUNTIFS('협력사 EPC(H)'!C:C, $E$1, '협력사 EPC(H)'!G:G, B87, '협력사 EPC(H)'!X:X, B94)
  + COUNTIFS('기타(Z)'!C:C, $E$1, '기타(Z)'!G:G, B87, '기타(Z)'!X:X, B94)
  = 0,
  "",
  COUNTIFS('발전사업(A)'!C:C, $E$1, '발전사업(A)'!G:G, B87, '발전사업(A)'!X:X, B94)
  + COUNTIFS('자가소비(B)'!C:C, $E$1, '자가소비(B)'!G:G, B87, '자가소비(B)'!X:X, B94)
  + COUNTIFS('PPA 사업(C)'!C:C, $E$1, 'PPA 사업(C)'!G:G, B87, 'PPA 사업(C)'!X:X, B94)
  + COUNTIFS('리스사업(D)'!C:C, $E$1, '리스사업(D)'!G:G, B87, '리스사업(D)'!X:X, B94)
  + COUNTIFS('임대사업(E)'!C:C, $E$1, '임대사업(E)'!G:G, B87, '임대사업(E)'!X:X, B94)
  + COUNTIFS('환경부사업(F)'!C:C, $E$1, '환경부사업(F)'!G:G, B87, '환경부사업(F)'!X:X, B94)
  + COUNTIFS('프로젝트(G)'!C:C, $E$1, '프로젝트(G)'!G:G, B87, '프로젝트(G)'!X:X, B94)
  + COUNTIFS('협력사 EPC(H)'!C:C, $E$1, '협력사 EPC(H)'!G:G, B87, '협력사 EPC(H)'!X:X, B94)
  + COUNTIFS('기타(Z)'!C:C, $E$1, '기타(Z)'!G:G, B87, '기타(Z)'!X:X, B94)
)</f>
        <v/>
      </c>
      <c r="E94" s="262" t="str">
        <f>IF(
  SUM(
    SUMIFS('발전사업(A)'!I:I, '발전사업(A)'!C:C, $E$1, '발전사업(A)'!G:G, B87, '발전사업(A)'!X:X, B94, '발전사업(A)'!U:U, $C$1),
    SUMIFS('자가소비(B)'!I:I, '자가소비(B)'!C:C, $E$1, '자가소비(B)'!G:G, B87, '자가소비(B)'!X:X, B94, '자가소비(B)'!U:U, $C$1),
    SUMIFS('PPA 사업(C)'!I:I, 'PPA 사업(C)'!C:C, $E$1, 'PPA 사업(C)'!G:G, B87, 'PPA 사업(C)'!X:X, B94, 'PPA 사업(C)'!U:U, $C$1),
    SUMIFS('리스사업(D)'!I:I, '리스사업(D)'!C:C, $E$1, '리스사업(D)'!G:G, B87, '리스사업(D)'!X:X, B94, '리스사업(D)'!U:U, $C$1),
    SUMIFS('임대사업(E)'!I:I, '임대사업(E)'!C:C, $E$1, '임대사업(E)'!G:G, B87, '임대사업(E)'!X:X, B94, '임대사업(E)'!U:U, $C$1),
    SUMIFS('환경부사업(F)'!I:I, '환경부사업(F)'!C:C, $E$1, '환경부사업(F)'!G:G, B87, '환경부사업(F)'!X:X, B94, '환경부사업(F)'!U:U, $C$1),
    SUMIFS('프로젝트(G)'!I:I, '프로젝트(G)'!C:C, $E$1, '프로젝트(G)'!G:G, B87, '프로젝트(G)'!X:X, B94, '프로젝트(G)'!U:U, $C$1),
    SUMIFS('협력사 EPC(H)'!I:I, '협력사 EPC(H)'!C:C, $E$1, '협력사 EPC(H)'!G:G, B87, '협력사 EPC(H)'!X:X, B94, '협력사 EPC(H)'!U:U, $C$1),
    SUMIFS('기타(Z)'!I:I, '기타(Z)'!C:C, $E$1, '기타(Z)'!G:G, B87, '기타(Z)'!X:X, B94, '기타(Z)'!U:U, $C$1)
  ) = 0,
  "",
  SUM(
    SUMIFS('발전사업(A)'!I:I, '발전사업(A)'!C:C, $E$1, '발전사업(A)'!G:G, B87, '발전사업(A)'!X:X, B94, '발전사업(A)'!U:U, $C$1),
    SUMIFS('자가소비(B)'!I:I, '자가소비(B)'!C:C, $E$1, '자가소비(B)'!G:G, B87, '자가소비(B)'!X:X, B94, '자가소비(B)'!U:U, $C$1),
    SUMIFS('PPA 사업(C)'!I:I, 'PPA 사업(C)'!C:C, $E$1, 'PPA 사업(C)'!G:G, B87, 'PPA 사업(C)'!X:X, B94, 'PPA 사업(C)'!U:U, $C$1),
    SUMIFS('리스사업(D)'!I:I, '리스사업(D)'!C:C, $E$1, '리스사업(D)'!G:G, B87, '리스사업(D)'!X:X, B94, '리스사업(D)'!U:U, $C$1),
    SUMIFS('임대사업(E)'!I:I, '임대사업(E)'!C:C, $E$1, '임대사업(E)'!G:G, B87, '임대사업(E)'!X:X, B94, '임대사업(E)'!U:U, $C$1),
    SUMIFS('환경부사업(F)'!I:I, '환경부사업(F)'!C:C, $E$1, '환경부사업(F)'!G:G, B87, '환경부사업(F)'!X:X, B94, '환경부사업(F)'!U:U, $C$1),
    SUMIFS('프로젝트(G)'!I:I, '프로젝트(G)'!C:C, $E$1, '프로젝트(G)'!G:G, B87, '프로젝트(G)'!X:X, B94, '프로젝트(G)'!U:U, $C$1),
    SUMIFS('협력사 EPC(H)'!I:I, '협력사 EPC(H)'!C:C, $E$1, '협력사 EPC(H)'!G:G, B87, '협력사 EPC(H)'!X:X, B94, '협력사 EPC(H)'!U:U, $C$1),
    SUMIFS('기타(Z)'!I:I, '기타(Z)'!C:C, $E$1, '기타(Z)'!G:G, B87, '기타(Z)'!X:X, B94, '기타(Z)'!U:U, $C$1)
  )
)</f>
        <v/>
      </c>
      <c r="F94" s="263" t="str">
        <f>IF(
  SUM(
    COUNTIFS('발전사업(A)'!C:C, $E$1, '발전사업(A)'!G:G, B87, '발전사업(A)'!X:X, B94, '발전사업(A)'!U:U, $C$1),
    COUNTIFS('자가소비(B)'!C:C, $E$1, '자가소비(B)'!G:G, B87, '자가소비(B)'!X:X, B94, '자가소비(B)'!U:U, $C$1),
    COUNTIFS('PPA 사업(C)'!C:C, $E$1, 'PPA 사업(C)'!G:G, B87, 'PPA 사업(C)'!X:X, B94, 'PPA 사업(C)'!U:U, $C$1),
    COUNTIFS('리스사업(D)'!C:C, $E$1, '리스사업(D)'!G:G, B87, '리스사업(D)'!X:X, B94, '리스사업(D)'!U:U, $C$1),
    COUNTIFS('임대사업(E)'!C:C, $E$1, '임대사업(E)'!G:G, B87, '임대사업(E)'!X:X, B94, '임대사업(E)'!U:U, $C$1),
    COUNTIFS('환경부사업(F)'!C:C, $E$1, '환경부사업(F)'!G:G, B87, '환경부사업(F)'!X:X, B94, '환경부사업(F)'!U:U, $C$1),
    COUNTIFS('프로젝트(G)'!C:C, $E$1, '프로젝트(G)'!G:G, B87, '프로젝트(G)'!X:X, B94, '프로젝트(G)'!U:U, $C$1),
    COUNTIFS('협력사 EPC(H)'!C:C, $E$1, '협력사 EPC(H)'!G:G, B87, '협력사 EPC(H)'!X:X, B94, '협력사 EPC(H)'!U:U, $C$1),
    COUNTIFS('기타(Z)'!C:C, $E$1, '기타(Z)'!G:G, B87, '기타(Z)'!X:X, B94, '기타(Z)'!U:U, $C$1)
  ) = 0,
  "",
  SUM(
    COUNTIFS('발전사업(A)'!C:C, $E$1, '발전사업(A)'!G:G, B87, '발전사업(A)'!X:X, B94, '발전사업(A)'!U:U, $C$1),
    COUNTIFS('자가소비(B)'!C:C, $E$1, '자가소비(B)'!G:G, B87, '자가소비(B)'!X:X, B94, '자가소비(B)'!U:U, $C$1),
    COUNTIFS('PPA 사업(C)'!C:C, $E$1, 'PPA 사업(C)'!G:G, B87, 'PPA 사업(C)'!X:X, B94, 'PPA 사업(C)'!U:U, $C$1),
    COUNTIFS('리스사업(D)'!C:C, $E$1, '리스사업(D)'!G:G, B87, '리스사업(D)'!X:X, B94, '리스사업(D)'!U:U, $C$1),
    COUNTIFS('임대사업(E)'!C:C, $E$1, '임대사업(E)'!G:G, B87, '임대사업(E)'!X:X, B94, '임대사업(E)'!U:U, $C$1),
    COUNTIFS('환경부사업(F)'!C:C, $E$1, '환경부사업(F)'!G:G, B87, '환경부사업(F)'!X:X, B94, '환경부사업(F)'!U:U, $C$1),
    COUNTIFS('프로젝트(G)'!C:C, $E$1, '프로젝트(G)'!G:G, B87, '프로젝트(G)'!X:X, B94, '프로젝트(G)'!U:U, $C$1),
    COUNTIFS('협력사 EPC(H)'!C:C, $E$1, '협력사 EPC(H)'!G:G, B87, '협력사 EPC(H)'!X:X, B94, '협력사 EPC(H)'!U:U, $C$1),
    COUNTIFS('기타(Z)'!C:C, $E$1, '기타(Z)'!G:G, B87, '기타(Z)'!X:X, B94, '기타(Z)'!U:U, $C$1)
  )
)</f>
        <v/>
      </c>
      <c r="G94" s="262" t="str">
        <f>IF(
  SUM(
    SUMIFS('발전사업(A)'!I:I, '발전사업(A)'!C:C, $E$1, '발전사업(A)'!G:G, B87, '발전사업(A)'!X:X, B94, '발전사업(A)'!U:U, $D$1),
    SUMIFS('자가소비(B)'!I:I, '자가소비(B)'!C:C, $E$1, '자가소비(B)'!G:G, B87, '자가소비(B)'!X:X, B94, '자가소비(B)'!U:U, $D$1),
    SUMIFS('PPA 사업(C)'!I:I, 'PPA 사업(C)'!C:C, $E$1, 'PPA 사업(C)'!G:G, B87, 'PPA 사업(C)'!X:X, B94, 'PPA 사업(C)'!U:U, $D$1),
    SUMIFS('리스사업(D)'!I:I, '리스사업(D)'!C:C, $E$1, '리스사업(D)'!G:G, B87, '리스사업(D)'!X:X, B94, '리스사업(D)'!U:U, $D$1),
    SUMIFS('임대사업(E)'!I:I, '임대사업(E)'!C:C, $E$1, '임대사업(E)'!G:G, B87, '임대사업(E)'!X:X, B94, '임대사업(E)'!U:U, $D$1),
    SUMIFS('환경부사업(F)'!I:I, '환경부사업(F)'!C:C, $E$1, '환경부사업(F)'!G:G, B87, '환경부사업(F)'!X:X, B94, '환경부사업(F)'!U:U, $D$1),
    SUMIFS('프로젝트(G)'!I:I, '프로젝트(G)'!C:C, $E$1, '프로젝트(G)'!G:G, B87, '프로젝트(G)'!X:X, B94, '프로젝트(G)'!U:U, $D$1),
    SUMIFS('협력사 EPC(H)'!I:I, '협력사 EPC(H)'!C:C, $E$1, '협력사 EPC(H)'!G:G, B87, '협력사 EPC(H)'!X:X, B94, '협력사 EPC(H)'!U:U, $D$1),
    SUMIFS('기타(Z)'!I:I, '기타(Z)'!C:C, $E$1, '기타(Z)'!G:G, B87, '기타(Z)'!X:X, B94, '기타(Z)'!U:U, $D$1)
  ) = 0,
  "",
  SUM(
    SUMIFS('발전사업(A)'!I:I, '발전사업(A)'!C:C, $E$1, '발전사업(A)'!G:G, B87, '발전사업(A)'!X:X, B94, '발전사업(A)'!U:U, $D$1),
    SUMIFS('자가소비(B)'!I:I, '자가소비(B)'!C:C, $E$1, '자가소비(B)'!G:G, B87, '자가소비(B)'!X:X, B94, '자가소비(B)'!U:U, $D$1),
    SUMIFS('PPA 사업(C)'!I:I, 'PPA 사업(C)'!C:C, $E$1, 'PPA 사업(C)'!G:G, B87, 'PPA 사업(C)'!X:X, B94, 'PPA 사업(C)'!U:U, $D$1),
    SUMIFS('리스사업(D)'!I:I, '리스사업(D)'!C:C, $E$1, '리스사업(D)'!G:G, B87, '리스사업(D)'!X:X, B94, '리스사업(D)'!U:U, $D$1),
    SUMIFS('임대사업(E)'!I:I, '임대사업(E)'!C:C, $E$1, '임대사업(E)'!G:G, B87, '임대사업(E)'!X:X, B94, '임대사업(E)'!U:U, $D$1),
    SUMIFS('환경부사업(F)'!I:I, '환경부사업(F)'!C:C, $E$1, '환경부사업(F)'!G:G, B87, '환경부사업(F)'!X:X, B94, '환경부사업(F)'!U:U, $D$1),
    SUMIFS('프로젝트(G)'!I:I, '프로젝트(G)'!C:C, $E$1, '프로젝트(G)'!G:G, B87, '프로젝트(G)'!X:X, B94, '프로젝트(G)'!U:U, $D$1),
    SUMIFS('협력사 EPC(H)'!I:I, '협력사 EPC(H)'!C:C, $E$1, '협력사 EPC(H)'!G:G, B87, '협력사 EPC(H)'!X:X, B94, '협력사 EPC(H)'!U:U, $D$1),
    SUMIFS('기타(Z)'!I:I, '기타(Z)'!C:C, $E$1, '기타(Z)'!G:G, B87, '기타(Z)'!X:X, B94, '기타(Z)'!U:U, $D$1)
  )
)</f>
        <v/>
      </c>
      <c r="H94" s="263" t="str">
        <f>IF(
  (
    COUNTIFS('발전사업(A)'!C:C, $E$1, '발전사업(A)'!G:G, B87, '발전사업(A)'!X:X, B94, '발전사업(A)'!U:U, $D$1)
    + COUNTIFS('자가소비(B)'!C:C, $E$1, '자가소비(B)'!G:G, B87, '자가소비(B)'!X:X, B94, '자가소비(B)'!U:U, $D$1)
    + COUNTIFS('PPA 사업(C)'!C:C, $E$1, 'PPA 사업(C)'!G:G, B87, 'PPA 사업(C)'!X:X, B94, 'PPA 사업(C)'!U:U, $D$1)
    + COUNTIFS('리스사업(D)'!C:C, $E$1, '리스사업(D)'!G:G, B87, '리스사업(D)'!X:X, B94, '리스사업(D)'!U:U, $D$1)
    + COUNTIFS('임대사업(E)'!C:C, $E$1, '임대사업(E)'!G:G, B87, '임대사업(E)'!X:X, B94, '임대사업(E)'!U:U, $D$1)
    + COUNTIFS('환경부사업(F)'!C:C, $E$1, '환경부사업(F)'!G:G, B87, '환경부사업(F)'!X:X, B94, '환경부사업(F)'!U:U, $D$1)
    + COUNTIFS('프로젝트(G)'!C:C, $E$1, '프로젝트(G)'!G:G, B87, '프로젝트(G)'!X:X, B94, '프로젝트(G)'!U:U, $D$1)
    + COUNTIFS('협력사 EPC(H)'!C:C, $E$1, '협력사 EPC(H)'!G:G, B87, '협력사 EPC(H)'!X:X, B94, '협력사 EPC(H)'!U:U, $D$1)
    + COUNTIFS('기타(Z)'!C:C, $E$1, '기타(Z)'!G:G, $B87, '기타(Z)'!X:X, B94, '기타(Z)'!U:U, $D$1)
  ) = 0,
  "",
  COUNTIFS('발전사업(A)'!C:C, $E$1, '발전사업(A)'!G:G, B87, '발전사업(A)'!X:X, B94, '발전사업(A)'!U:U, $D$1)
  + COUNTIFS('자가소비(B)'!C:C, $E$1, '자가소비(B)'!G:G, B87, '자가소비(B)'!X:X, B94, '자가소비(B)'!U:U, $D$1)
  + COUNTIFS('PPA 사업(C)'!C:C, $E$1, 'PPA 사업(C)'!G:G, B87, 'PPA 사업(C)'!X:X, B94, 'PPA 사업(C)'!U:U, $D$1)
  + COUNTIFS('리스사업(D)'!C:C, $E$1, '리스사업(D)'!G:G, B87, '리스사업(D)'!X:X, B94, '리스사업(D)'!U:U, $D$1)
  + COUNTIFS('임대사업(E)'!C:C, $E$1, '임대사업(E)'!G:G, B87, '임대사업(E)'!X:X, B94, '임대사업(E)'!U:U, $D$1)
  + COUNTIFS('환경부사업(F)'!C:C, $E$1, '환경부사업(F)'!G:G, B87, '환경부사업(F)'!X:X, B94, '환경부사업(F)'!U:U, $D$1)
  + COUNTIFS('프로젝트(G)'!C:C, $E$1, '프로젝트(G)'!G:G, B87, '프로젝트(G)'!X:X, B94, '프로젝트(G)'!U:U, $D$1)
  + COUNTIFS('협력사 EPC(H)'!C:C, $E$1, '협력사 EPC(H)'!G:G, B87, '협력사 EPC(H)'!X:X, B94, '협력사 EPC(H)'!U:U, $D$1)
  + COUNTIFS('기타(Z)'!C:C, $E$1, '기타(Z)'!G:G, B87, '기타(Z)'!X:X, B94, '기타(Z)'!U:U, $D$1)
)</f>
        <v/>
      </c>
    </row>
    <row r="95" spans="2:8" x14ac:dyDescent="0.25">
      <c r="B95" s="195" t="s">
        <v>158</v>
      </c>
      <c r="C95" s="262" t="str">
        <f>IF(
  SUM(
    SUMIFS('발전사업(A)'!I:I, '발전사업(A)'!C:C, $E$1, '발전사업(A)'!G:G, B87, '발전사업(A)'!X:X, B95),
    SUMIFS('자가소비(B)'!I:I, '자가소비(B)'!C:C, $E$1, '자가소비(B)'!G:G, B87, '자가소비(B)'!X:X, B95),
    SUMIFS('PPA 사업(C)'!I:I, 'PPA 사업(C)'!C:C, $E$1, 'PPA 사업(C)'!G:G, B87, 'PPA 사업(C)'!X:X, B95),
    SUMIFS('리스사업(D)'!I:I, '리스사업(D)'!C:C, $E$1, '리스사업(D)'!G:G, B87, '리스사업(D)'!X:X, B95),
    SUMIFS('임대사업(E)'!I:I, '임대사업(E)'!C:C, $E$1, '임대사업(E)'!G:G, B87, '임대사업(E)'!X:X, B95),
    SUMIFS('환경부사업(F)'!I:I, '환경부사업(F)'!C:C, $E$1, '환경부사업(F)'!G:G, B87, '환경부사업(F)'!X:X, B95),
    SUMIFS('프로젝트(G)'!I:I, '프로젝트(G)'!C:C, $E$1, '프로젝트(G)'!G:G, B87, '프로젝트(G)'!X:X, B95),
    SUMIFS('협력사 EPC(H)'!I:I, '협력사 EPC(H)'!C:C, $E$1, '협력사 EPC(H)'!G:G, B87, '협력사 EPC(H)'!X:X, B95),
    SUMIFS('기타(Z)'!I:I, '기타(Z)'!C:C, $E$1, '기타(Z)'!G:G, B87, '기타(Z)'!X:X, B95)
  ) = 0,
  "",
  SUMIFS('발전사업(A)'!I:I, '발전사업(A)'!C:C, $E$1, '발전사업(A)'!G:G, B87, '발전사업(A)'!X:X, B95)
  + SUMIFS('자가소비(B)'!I:I, '자가소비(B)'!C:C, $E$1, '자가소비(B)'!G:G, B87, '자가소비(B)'!X:X, B95)
  + SUMIFS('PPA 사업(C)'!I:I, 'PPA 사업(C)'!C:C, $E$1, 'PPA 사업(C)'!G:G, B87, 'PPA 사업(C)'!X:X, B95)
  + SUMIFS('리스사업(D)'!I:I, '리스사업(D)'!C:C, $E$1, '리스사업(D)'!G:G, B87, '리스사업(D)'!X:X, B95)
  + SUMIFS('임대사업(E)'!I:I, '임대사업(E)'!C:C, $E$1, '임대사업(E)'!G:G, B87, '임대사업(E)'!X:X, B95)
  + SUMIFS('환경부사업(F)'!I:I, '환경부사업(F)'!C:C, $E$1, '환경부사업(F)'!G:G, B87, '환경부사업(F)'!X:X, B95)
  + SUMIFS('프로젝트(G)'!I:I, '프로젝트(G)'!C:C, $E$1, '프로젝트(G)'!G:G, B87, '프로젝트(G)'!X:X, B95)
  + SUMIFS('협력사 EPC(H)'!I:I, '협력사 EPC(H)'!C:C, $E$1, '협력사 EPC(H)'!G:G, B87, '협력사 EPC(H)'!X:X, B95)
  + SUMIFS('기타(Z)'!I:I, '기타(Z)'!C:C, $E$1, '기타(Z)'!G:G, B87, '기타(Z)'!X:X, B95)
)</f>
        <v/>
      </c>
      <c r="D95" s="263" t="str">
        <f>IF(
  COUNTIFS('발전사업(A)'!C:C, $E$1, '발전사업(A)'!G:G, B87, '발전사업(A)'!X:X, B95)
  + COUNTIFS('자가소비(B)'!C:C, $E$1, '자가소비(B)'!G:G, B87, '자가소비(B)'!X:X, B95)
  + COUNTIFS('PPA 사업(C)'!C:C, $E$1, 'PPA 사업(C)'!G:G, B87, 'PPA 사업(C)'!X:X, B95)
  + COUNTIFS('리스사업(D)'!C:C, $E$1, '리스사업(D)'!G:G, B87, '리스사업(D)'!X:X, B95)
  + COUNTIFS('임대사업(E)'!C:C, $E$1, '임대사업(E)'!G:G, B87, '임대사업(E)'!X:X, B95)
  + COUNTIFS('환경부사업(F)'!C:C, $E$1, '환경부사업(F)'!G:G, B87, '환경부사업(F)'!X:X, B95)
  + COUNTIFS('프로젝트(G)'!C:C, $E$1, '프로젝트(G)'!G:G, B87, '프로젝트(G)'!X:X, B95)
  + COUNTIFS('협력사 EPC(H)'!C:C, $E$1, '협력사 EPC(H)'!G:G, B87, '협력사 EPC(H)'!X:X, B95)
  + COUNTIFS('기타(Z)'!C:C, $E$1, '기타(Z)'!G:G, B87, '기타(Z)'!X:X, B95)
  = 0,
  "",
  COUNTIFS('발전사업(A)'!C:C, $E$1, '발전사업(A)'!G:G, B87, '발전사업(A)'!X:X, B95)
  + COUNTIFS('자가소비(B)'!C:C, $E$1, '자가소비(B)'!G:G, B87, '자가소비(B)'!X:X, B95)
  + COUNTIFS('PPA 사업(C)'!C:C, $E$1, 'PPA 사업(C)'!G:G, B87, 'PPA 사업(C)'!X:X, B95)
  + COUNTIFS('리스사업(D)'!C:C, $E$1, '리스사업(D)'!G:G, B87, '리스사업(D)'!X:X, B95)
  + COUNTIFS('임대사업(E)'!C:C, $E$1, '임대사업(E)'!G:G, B87, '임대사업(E)'!X:X, B95)
  + COUNTIFS('환경부사업(F)'!C:C, $E$1, '환경부사업(F)'!G:G, B87, '환경부사업(F)'!X:X, B95)
  + COUNTIFS('프로젝트(G)'!C:C, $E$1, '프로젝트(G)'!G:G, B87, '프로젝트(G)'!X:X, B95)
  + COUNTIFS('협력사 EPC(H)'!C:C, $E$1, '협력사 EPC(H)'!G:G, B87, '협력사 EPC(H)'!X:X, B95)
  + COUNTIFS('기타(Z)'!C:C, $E$1, '기타(Z)'!G:G, B87, '기타(Z)'!X:X, B95)
)</f>
        <v/>
      </c>
      <c r="E95" s="262" t="str">
        <f>IF(
  SUM(
    SUMIFS('발전사업(A)'!I:I, '발전사업(A)'!C:C, $E$1, '발전사업(A)'!G:G, B87, '발전사업(A)'!X:X, B95, '발전사업(A)'!U:U, $C$1),
    SUMIFS('자가소비(B)'!I:I, '자가소비(B)'!C:C, $E$1, '자가소비(B)'!G:G, B87, '자가소비(B)'!X:X, B95, '자가소비(B)'!U:U, $C$1),
    SUMIFS('PPA 사업(C)'!I:I, 'PPA 사업(C)'!C:C, $E$1, 'PPA 사업(C)'!G:G, B87, 'PPA 사업(C)'!X:X, B95, 'PPA 사업(C)'!U:U, $C$1),
    SUMIFS('리스사업(D)'!I:I, '리스사업(D)'!C:C, $E$1, '리스사업(D)'!G:G, B87, '리스사업(D)'!X:X, B95, '리스사업(D)'!U:U, $C$1),
    SUMIFS('임대사업(E)'!I:I, '임대사업(E)'!C:C, $E$1, '임대사업(E)'!G:G, B87, '임대사업(E)'!X:X, B95, '임대사업(E)'!U:U, $C$1),
    SUMIFS('환경부사업(F)'!I:I, '환경부사업(F)'!C:C, $E$1, '환경부사업(F)'!G:G, B87, '환경부사업(F)'!X:X, B95, '환경부사업(F)'!U:U, $C$1),
    SUMIFS('프로젝트(G)'!I:I, '프로젝트(G)'!C:C, $E$1, '프로젝트(G)'!G:G, B87, '프로젝트(G)'!X:X, B95, '프로젝트(G)'!U:U, $C$1),
    SUMIFS('협력사 EPC(H)'!I:I, '협력사 EPC(H)'!C:C, $E$1, '협력사 EPC(H)'!G:G, B87, '협력사 EPC(H)'!X:X, B95, '협력사 EPC(H)'!U:U, $C$1),
    SUMIFS('기타(Z)'!I:I, '기타(Z)'!C:C, $E$1, '기타(Z)'!G:G, B87, '기타(Z)'!X:X, B95, '기타(Z)'!U:U, $C$1)
  ) = 0,
  "",
  SUM(
    SUMIFS('발전사업(A)'!I:I, '발전사업(A)'!C:C, $E$1, '발전사업(A)'!G:G, B87, '발전사업(A)'!X:X, B95, '발전사업(A)'!U:U, $C$1),
    SUMIFS('자가소비(B)'!I:I, '자가소비(B)'!C:C, $E$1, '자가소비(B)'!G:G, B87, '자가소비(B)'!X:X, B95, '자가소비(B)'!U:U, $C$1),
    SUMIFS('PPA 사업(C)'!I:I, 'PPA 사업(C)'!C:C, $E$1, 'PPA 사업(C)'!G:G, B87, 'PPA 사업(C)'!X:X, B95, 'PPA 사업(C)'!U:U, $C$1),
    SUMIFS('리스사업(D)'!I:I, '리스사업(D)'!C:C, $E$1, '리스사업(D)'!G:G, B87, '리스사업(D)'!X:X, B95, '리스사업(D)'!U:U, $C$1),
    SUMIFS('임대사업(E)'!I:I, '임대사업(E)'!C:C, $E$1, '임대사업(E)'!G:G, B87, '임대사업(E)'!X:X, B95, '임대사업(E)'!U:U, $C$1),
    SUMIFS('환경부사업(F)'!I:I, '환경부사업(F)'!C:C, $E$1, '환경부사업(F)'!G:G, B87, '환경부사업(F)'!X:X, B95, '환경부사업(F)'!U:U, $C$1),
    SUMIFS('프로젝트(G)'!I:I, '프로젝트(G)'!C:C, $E$1, '프로젝트(G)'!G:G, B87, '프로젝트(G)'!X:X, B95, '프로젝트(G)'!U:U, $C$1),
    SUMIFS('협력사 EPC(H)'!I:I, '협력사 EPC(H)'!C:C, $E$1, '협력사 EPC(H)'!G:G, B87, '협력사 EPC(H)'!X:X, B95, '협력사 EPC(H)'!U:U, $C$1),
    SUMIFS('기타(Z)'!I:I, '기타(Z)'!C:C, $E$1, '기타(Z)'!G:G, B87, '기타(Z)'!X:X, B95, '기타(Z)'!U:U, $C$1)
  )
)</f>
        <v/>
      </c>
      <c r="F95" s="263" t="str">
        <f>IF(
  SUM(
    COUNTIFS('발전사업(A)'!C:C, $E$1, '발전사업(A)'!G:G, B87, '발전사업(A)'!X:X, B95, '발전사업(A)'!U:U, $C$1),
    COUNTIFS('자가소비(B)'!C:C, $E$1, '자가소비(B)'!G:G, B87, '자가소비(B)'!X:X, B95, '자가소비(B)'!U:U, $C$1),
    COUNTIFS('PPA 사업(C)'!C:C, $E$1, 'PPA 사업(C)'!G:G, B87, 'PPA 사업(C)'!X:X, B95, 'PPA 사업(C)'!U:U, $C$1),
    COUNTIFS('리스사업(D)'!C:C, $E$1, '리스사업(D)'!G:G, B87, '리스사업(D)'!X:X, B95, '리스사업(D)'!U:U, $C$1),
    COUNTIFS('임대사업(E)'!C:C, $E$1, '임대사업(E)'!G:G, B87, '임대사업(E)'!X:X, B95, '임대사업(E)'!U:U, $C$1),
    COUNTIFS('환경부사업(F)'!C:C, $E$1, '환경부사업(F)'!G:G, B87, '환경부사업(F)'!X:X, B95, '환경부사업(F)'!U:U, $C$1),
    COUNTIFS('프로젝트(G)'!C:C, $E$1, '프로젝트(G)'!G:G, B87, '프로젝트(G)'!X:X, B95, '프로젝트(G)'!U:U, $C$1),
    COUNTIFS('협력사 EPC(H)'!C:C, $E$1, '협력사 EPC(H)'!G:G, B87, '협력사 EPC(H)'!X:X, B95, '협력사 EPC(H)'!U:U, $C$1),
    COUNTIFS('기타(Z)'!C:C, $E$1, '기타(Z)'!G:G, B87, '기타(Z)'!X:X, B95, '기타(Z)'!U:U, $C$1)
  ) = 0,
  "",
  SUM(
    COUNTIFS('발전사업(A)'!C:C, $E$1, '발전사업(A)'!G:G, B87, '발전사업(A)'!X:X, B95, '발전사업(A)'!U:U, $C$1),
    COUNTIFS('자가소비(B)'!C:C, $E$1, '자가소비(B)'!G:G, B87, '자가소비(B)'!X:X, B95, '자가소비(B)'!U:U, $C$1),
    COUNTIFS('PPA 사업(C)'!C:C, $E$1, 'PPA 사업(C)'!G:G, B87, 'PPA 사업(C)'!X:X, B95, 'PPA 사업(C)'!U:U, $C$1),
    COUNTIFS('리스사업(D)'!C:C, $E$1, '리스사업(D)'!G:G, B87, '리스사업(D)'!X:X, B95, '리스사업(D)'!U:U, $C$1),
    COUNTIFS('임대사업(E)'!C:C, $E$1, '임대사업(E)'!G:G, B87, '임대사업(E)'!X:X, B95, '임대사업(E)'!U:U, $C$1),
    COUNTIFS('환경부사업(F)'!C:C, $E$1, '환경부사업(F)'!G:G, B87, '환경부사업(F)'!X:X, B95, '환경부사업(F)'!U:U, $C$1),
    COUNTIFS('프로젝트(G)'!C:C, $E$1, '프로젝트(G)'!G:G, B87, '프로젝트(G)'!X:X, B95, '프로젝트(G)'!U:U, $C$1),
    COUNTIFS('협력사 EPC(H)'!C:C, $E$1, '협력사 EPC(H)'!G:G, B87, '협력사 EPC(H)'!X:X, B95, '협력사 EPC(H)'!U:U, $C$1),
    COUNTIFS('기타(Z)'!C:C, $E$1, '기타(Z)'!G:G, B87, '기타(Z)'!X:X, B95, '기타(Z)'!U:U, $C$1)
  )
)</f>
        <v/>
      </c>
      <c r="G95" s="262" t="str">
        <f>IF(
  SUM(
    SUMIFS('발전사업(A)'!I:I, '발전사업(A)'!C:C, $E$1, '발전사업(A)'!G:G, B87, '발전사업(A)'!X:X, B95, '발전사업(A)'!U:U, $D$1),
    SUMIFS('자가소비(B)'!I:I, '자가소비(B)'!C:C, $E$1, '자가소비(B)'!G:G, B87, '자가소비(B)'!X:X, B95, '자가소비(B)'!U:U, $D$1),
    SUMIFS('PPA 사업(C)'!I:I, 'PPA 사업(C)'!C:C, $E$1, 'PPA 사업(C)'!G:G, B87, 'PPA 사업(C)'!X:X, B95, 'PPA 사업(C)'!U:U, $D$1),
    SUMIFS('리스사업(D)'!I:I, '리스사업(D)'!C:C, $E$1, '리스사업(D)'!G:G, B87, '리스사업(D)'!X:X, B95, '리스사업(D)'!U:U, $D$1),
    SUMIFS('임대사업(E)'!I:I, '임대사업(E)'!C:C, $E$1, '임대사업(E)'!G:G, B87, '임대사업(E)'!X:X, B95, '임대사업(E)'!U:U, $D$1),
    SUMIFS('환경부사업(F)'!I:I, '환경부사업(F)'!C:C, $E$1, '환경부사업(F)'!G:G, B87, '환경부사업(F)'!X:X, B95, '환경부사업(F)'!U:U, $D$1),
    SUMIFS('프로젝트(G)'!I:I, '프로젝트(G)'!C:C, $E$1, '프로젝트(G)'!G:G, B87, '프로젝트(G)'!X:X, B95, '프로젝트(G)'!U:U, $D$1),
    SUMIFS('협력사 EPC(H)'!I:I, '협력사 EPC(H)'!C:C, $E$1, '협력사 EPC(H)'!G:G, B87, '협력사 EPC(H)'!X:X, B95, '협력사 EPC(H)'!U:U, $D$1),
    SUMIFS('기타(Z)'!I:I, '기타(Z)'!C:C, $E$1, '기타(Z)'!G:G, B87, '기타(Z)'!X:X, B95, '기타(Z)'!U:U, $D$1)
  ) = 0,
  "",
  SUM(
    SUMIFS('발전사업(A)'!I:I, '발전사업(A)'!C:C, $E$1, '발전사업(A)'!G:G, B87, '발전사업(A)'!X:X, B95, '발전사업(A)'!U:U, $D$1),
    SUMIFS('자가소비(B)'!I:I, '자가소비(B)'!C:C, $E$1, '자가소비(B)'!G:G, B87, '자가소비(B)'!X:X, B95, '자가소비(B)'!U:U, $D$1),
    SUMIFS('PPA 사업(C)'!I:I, 'PPA 사업(C)'!C:C, $E$1, 'PPA 사업(C)'!G:G, B87, 'PPA 사업(C)'!X:X, B95, 'PPA 사업(C)'!U:U, $D$1),
    SUMIFS('리스사업(D)'!I:I, '리스사업(D)'!C:C, $E$1, '리스사업(D)'!G:G, B87, '리스사업(D)'!X:X, B95, '리스사업(D)'!U:U, $D$1),
    SUMIFS('임대사업(E)'!I:I, '임대사업(E)'!C:C, $E$1, '임대사업(E)'!G:G, B87, '임대사업(E)'!X:X, B95, '임대사업(E)'!U:U, $D$1),
    SUMIFS('환경부사업(F)'!I:I, '환경부사업(F)'!C:C, $E$1, '환경부사업(F)'!G:G, B87, '환경부사업(F)'!X:X, B95, '환경부사업(F)'!U:U, $D$1),
    SUMIFS('프로젝트(G)'!I:I, '프로젝트(G)'!C:C, $E$1, '프로젝트(G)'!G:G, B87, '프로젝트(G)'!X:X, B95, '프로젝트(G)'!U:U, $D$1),
    SUMIFS('협력사 EPC(H)'!I:I, '협력사 EPC(H)'!C:C, $E$1, '협력사 EPC(H)'!G:G, B87, '협력사 EPC(H)'!X:X, B95, '협력사 EPC(H)'!U:U, $D$1),
    SUMIFS('기타(Z)'!I:I, '기타(Z)'!C:C, $E$1, '기타(Z)'!G:G, B87, '기타(Z)'!X:X, B95, '기타(Z)'!U:U, $D$1)
  )
)</f>
        <v/>
      </c>
      <c r="H95" s="263" t="str">
        <f>IF(
  (
    COUNTIFS('발전사업(A)'!C:C, $E$1, '발전사업(A)'!G:G, B87, '발전사업(A)'!X:X, B95, '발전사업(A)'!U:U, $D$1)
    + COUNTIFS('자가소비(B)'!C:C, $E$1, '자가소비(B)'!G:G, B87, '자가소비(B)'!X:X, B95, '자가소비(B)'!U:U, $D$1)
    + COUNTIFS('PPA 사업(C)'!C:C, $E$1, 'PPA 사업(C)'!G:G, B87, 'PPA 사업(C)'!X:X, B95, 'PPA 사업(C)'!U:U, $D$1)
    + COUNTIFS('리스사업(D)'!C:C, $E$1, '리스사업(D)'!G:G, B87, '리스사업(D)'!X:X, B95, '리스사업(D)'!U:U, $D$1)
    + COUNTIFS('임대사업(E)'!C:C, $E$1, '임대사업(E)'!G:G, B87, '임대사업(E)'!X:X, B95, '임대사업(E)'!U:U, $D$1)
    + COUNTIFS('환경부사업(F)'!C:C, $E$1, '환경부사업(F)'!G:G, B87, '환경부사업(F)'!X:X, B95, '환경부사업(F)'!U:U, $D$1)
    + COUNTIFS('프로젝트(G)'!C:C, $E$1, '프로젝트(G)'!G:G, B87, '프로젝트(G)'!X:X, B95, '프로젝트(G)'!U:U, $D$1)
    + COUNTIFS('협력사 EPC(H)'!C:C, $E$1, '협력사 EPC(H)'!G:G, B87, '협력사 EPC(H)'!X:X, B95, '협력사 EPC(H)'!U:U, $D$1)
    + COUNTIFS('기타(Z)'!C:C, $E$1, '기타(Z)'!G:G, B87, '기타(Z)'!X:X, B95, '기타(Z)'!U:U, $D$1)
  ) = 0,
  "",
  COUNTIFS('발전사업(A)'!C:C, $E$1, '발전사업(A)'!G:G, B87, '발전사업(A)'!X:X, B95, '발전사업(A)'!U:U, $D$1)
  + COUNTIFS('자가소비(B)'!C:C, $E$1, '자가소비(B)'!G:G, B87, '자가소비(B)'!X:X, B95, '자가소비(B)'!U:U, $D$1)
  + COUNTIFS('PPA 사업(C)'!C:C, $E$1, 'PPA 사업(C)'!G:G, B87, 'PPA 사업(C)'!X:X, B95, 'PPA 사업(C)'!U:U, $D$1)
  + COUNTIFS('리스사업(D)'!C:C, $E$1, '리스사업(D)'!G:G, B87, '리스사업(D)'!X:X, B95, '리스사업(D)'!U:U, $D$1)
  + COUNTIFS('임대사업(E)'!C:C, $E$1, '임대사업(E)'!G:G, B87, '임대사업(E)'!X:X, B95, '임대사업(E)'!U:U, $D$1)
  + COUNTIFS('환경부사업(F)'!C:C, $E$1, '환경부사업(F)'!G:G, B87, '환경부사업(F)'!X:X, B95, '환경부사업(F)'!U:U, $D$1)
  + COUNTIFS('프로젝트(G)'!C:C, $E$1, '프로젝트(G)'!G:G, B87, '프로젝트(G)'!X:X, B95, '프로젝트(G)'!U:U, $D$1)
  + COUNTIFS('협력사 EPC(H)'!C:C, $E$1, '협력사 EPC(H)'!G:G, B87, '협력사 EPC(H)'!X:X, B95, '협력사 EPC(H)'!U:U, $D$1)
  + COUNTIFS('기타(Z)'!C:C, $E$1, '기타(Z)'!G:G, B87, '기타(Z)'!X:X, B95, '기타(Z)'!U:U, $D$1)
)</f>
        <v/>
      </c>
    </row>
    <row r="96" spans="2:8" ht="16.5" x14ac:dyDescent="0.25">
      <c r="B96" s="274" t="s">
        <v>174</v>
      </c>
      <c r="C96" s="268">
        <f t="shared" ref="C96:H96" si="14">SUM(C88:C95)</f>
        <v>7267.9149999999991</v>
      </c>
      <c r="D96" s="269">
        <f t="shared" si="14"/>
        <v>21</v>
      </c>
      <c r="E96" s="270">
        <f t="shared" si="14"/>
        <v>4391.6400000000003</v>
      </c>
      <c r="F96" s="271">
        <f t="shared" si="14"/>
        <v>13</v>
      </c>
      <c r="G96" s="272">
        <f t="shared" si="14"/>
        <v>2876.2750000000001</v>
      </c>
      <c r="H96" s="273">
        <f t="shared" si="14"/>
        <v>8</v>
      </c>
    </row>
    <row r="99" spans="2:8" ht="17.25" x14ac:dyDescent="0.25">
      <c r="B99" s="264">
        <v>8</v>
      </c>
      <c r="C99" s="265" t="s">
        <v>176</v>
      </c>
      <c r="D99" s="265" t="s">
        <v>175</v>
      </c>
      <c r="E99" s="266" t="s">
        <v>177</v>
      </c>
      <c r="F99" s="266" t="s">
        <v>178</v>
      </c>
      <c r="G99" s="267" t="s">
        <v>179</v>
      </c>
      <c r="H99" s="267" t="s">
        <v>180</v>
      </c>
    </row>
    <row r="100" spans="2:8" x14ac:dyDescent="0.25">
      <c r="B100" s="195" t="s">
        <v>160</v>
      </c>
      <c r="C100" s="262">
        <f>IF(
  SUM(
    SUMIFS('발전사업(A)'!I:I, '발전사업(A)'!C:C, $E$1, '발전사업(A)'!G:G, B99, '발전사업(A)'!X:X, B100),
    SUMIFS('자가소비(B)'!I:I, '자가소비(B)'!C:C, $E$1, '자가소비(B)'!G:G, B99, '자가소비(B)'!X:X, B100),
    SUMIFS('PPA 사업(C)'!I:I, 'PPA 사업(C)'!C:C, $E$1, 'PPA 사업(C)'!G:G, B99, 'PPA 사업(C)'!X:X, B100),
    SUMIFS('리스사업(D)'!I:I, '리스사업(D)'!C:C, $E$1, '리스사업(D)'!G:G, B99, '리스사업(D)'!X:X, B100),
    SUMIFS('임대사업(E)'!I:I, '임대사업(E)'!C:C, $E$1, '임대사업(E)'!G:G, B99, '임대사업(E)'!X:X, B100),
    SUMIFS('환경부사업(F)'!I:I, '환경부사업(F)'!C:C, $E$1, '환경부사업(F)'!G:G, B99, '환경부사업(F)'!X:X, B100),
    SUMIFS('프로젝트(G)'!I:I, '프로젝트(G)'!C:C, $E$1, '프로젝트(G)'!G:G, B99, '프로젝트(G)'!X:X, B100),
    SUMIFS('협력사 EPC(H)'!I:I, '협력사 EPC(H)'!C:C, $E$1, '협력사 EPC(H)'!G:G, B99, '협력사 EPC(H)'!X:X, B100),
    SUMIFS('기타(Z)'!I:I, '기타(Z)'!C:C, $E$1, '기타(Z)'!G:G, B99, '기타(Z)'!X:X, B100)
  ) = 0,
  "",
  SUMIFS('발전사업(A)'!I:I, '발전사업(A)'!C:C, $E$1, '발전사업(A)'!G:G, B99, '발전사업(A)'!X:X, B100)
  + SUMIFS('자가소비(B)'!I:I, '자가소비(B)'!C:C, $E$1, '자가소비(B)'!G:G, B99, '자가소비(B)'!X:X, B100)
  + SUMIFS('PPA 사업(C)'!I:I, 'PPA 사업(C)'!C:C, $E$1, 'PPA 사업(C)'!G:G, B99, 'PPA 사업(C)'!X:X, B100)
  + SUMIFS('리스사업(D)'!I:I, '리스사업(D)'!C:C, $E$1, '리스사업(D)'!G:G, B99, '리스사업(D)'!X:X, B100)
  + SUMIFS('임대사업(E)'!I:I, '임대사업(E)'!C:C, $E$1, '임대사업(E)'!G:G, B99, '임대사업(E)'!X:X, B100)
  + SUMIFS('환경부사업(F)'!I:I, '환경부사업(F)'!C:C, $E$1, '환경부사업(F)'!G:G, B99, '환경부사업(F)'!X:X, B100)
  + SUMIFS('프로젝트(G)'!I:I, '프로젝트(G)'!C:C, $E$1, '프로젝트(G)'!G:G, B99, '프로젝트(G)'!X:X, B100)
  + SUMIFS('협력사 EPC(H)'!I:I, '협력사 EPC(H)'!C:C, $E$1, '협력사 EPC(H)'!G:G, B99, '협력사 EPC(H)'!X:X, B100)
  + SUMIFS('기타(Z)'!I:I, '기타(Z)'!C:C, $E$1, '기타(Z)'!G:G, B99, '기타(Z)'!X:X, B100)
)</f>
        <v>2143.98</v>
      </c>
      <c r="D100" s="263">
        <f>IF(
  COUNTIFS('발전사업(A)'!C:C, $E$1, '발전사업(A)'!G:G, B99, '발전사업(A)'!X:X, B100)
  + COUNTIFS('자가소비(B)'!C:C, $E$1, '자가소비(B)'!G:G, B99, '자가소비(B)'!X:X, B100)
  + COUNTIFS('PPA 사업(C)'!C:C, $E$1, 'PPA 사업(C)'!G:G, B99, 'PPA 사업(C)'!X:X, B100)
  + COUNTIFS('리스사업(D)'!C:C, $E$1, '리스사업(D)'!G:G, B99, '리스사업(D)'!X:X, B100)
  + COUNTIFS('임대사업(E)'!C:C, $E$1, '임대사업(E)'!G:G, B99, '임대사업(E)'!X:X, B100)
  + COUNTIFS('환경부사업(F)'!C:C, $E$1, '환경부사업(F)'!G:G, B99, '환경부사업(F)'!X:X, B100)
  + COUNTIFS('프로젝트(G)'!C:C, $E$1, '프로젝트(G)'!G:G, B99, '프로젝트(G)'!X:X, B100)
  + COUNTIFS('협력사 EPC(H)'!C:C, $E$1, '협력사 EPC(H)'!G:G, B99, '협력사 EPC(H)'!X:X, B100)
  + COUNTIFS('기타(Z)'!C:C, $E$1, '기타(Z)'!G:G, B99, '기타(Z)'!X:X, B100)
  = 0,
  "",
  COUNTIFS('발전사업(A)'!C:C, $E$1, '발전사업(A)'!G:G, B99, '발전사업(A)'!X:X, B100)
  + COUNTIFS('자가소비(B)'!C:C, $E$1, '자가소비(B)'!G:G, B99, '자가소비(B)'!X:X, B100)
  + COUNTIFS('PPA 사업(C)'!C:C, $E$1, 'PPA 사업(C)'!G:G, B99, 'PPA 사업(C)'!X:X, B100)
  + COUNTIFS('리스사업(D)'!C:C, $E$1, '리스사업(D)'!G:G, B99, '리스사업(D)'!X:X, B100)
  + COUNTIFS('임대사업(E)'!C:C, $E$1, '임대사업(E)'!G:G, B99, '임대사업(E)'!X:X, B100)
  + COUNTIFS('환경부사업(F)'!C:C, $E$1, '환경부사업(F)'!G:G, B99, '환경부사업(F)'!X:X, B100)
  + COUNTIFS('프로젝트(G)'!C:C, $E$1, '프로젝트(G)'!G:G, B99, '프로젝트(G)'!X:X, B100)
  + COUNTIFS('협력사 EPC(H)'!C:C, $E$1, '협력사 EPC(H)'!G:G, B99, '협력사 EPC(H)'!X:X, B100)
  + COUNTIFS('기타(Z)'!C:C, $E$1, '기타(Z)'!G:G, B99, '기타(Z)'!X:X, B100)
)</f>
        <v>2</v>
      </c>
      <c r="E100" s="262">
        <f>IF(
  SUM(
    SUMIFS('발전사업(A)'!I:I, '발전사업(A)'!C:C, $E$1, '발전사업(A)'!G:G, B99, '발전사업(A)'!X:X, B100, '발전사업(A)'!U:U, $C$1),
    SUMIFS('자가소비(B)'!I:I, '자가소비(B)'!C:C, $E$1, '자가소비(B)'!G:G, B99, '자가소비(B)'!X:X, B100, '자가소비(B)'!U:U, $C$1),
    SUMIFS('PPA 사업(C)'!I:I, 'PPA 사업(C)'!C:C, $E$1, 'PPA 사업(C)'!G:G, B99, 'PPA 사업(C)'!X:X, B100, 'PPA 사업(C)'!U:U, $C$1),
    SUMIFS('리스사업(D)'!I:I, '리스사업(D)'!C:C, $E$1, '리스사업(D)'!G:G, B99, '리스사업(D)'!X:X, B100, '리스사업(D)'!U:U, $C$1),
    SUMIFS('임대사업(E)'!I:I, '임대사업(E)'!C:C, $E$1, '임대사업(E)'!G:G, B99, '임대사업(E)'!X:X, B100, '임대사업(E)'!U:U, $C$1),
    SUMIFS('환경부사업(F)'!I:I, '환경부사업(F)'!C:C, $E$1, '환경부사업(F)'!G:G, B99, '환경부사업(F)'!X:X, B100, '환경부사업(F)'!U:U, $C$1),
    SUMIFS('프로젝트(G)'!I:I, '프로젝트(G)'!C:C, $E$1, '프로젝트(G)'!G:G, B99, '프로젝트(G)'!X:X, B100, '프로젝트(G)'!U:U, $C$1),
    SUMIFS('협력사 EPC(H)'!I:I, '협력사 EPC(H)'!C:C, $E$1, '협력사 EPC(H)'!G:G, B99, '협력사 EPC(H)'!X:X, B100, '협력사 EPC(H)'!U:U, $C$1),
    SUMIFS('기타(Z)'!I:I, '기타(Z)'!C:C, $E$1, '기타(Z)'!G:G, B99, '기타(Z)'!X:X, B100, '기타(Z)'!U:U, $C$1)
  ) = 0,
  "",
  SUM(
    SUMIFS('발전사업(A)'!I:I, '발전사업(A)'!C:C, $E$1, '발전사업(A)'!G:G, B99, '발전사업(A)'!X:X, B100, '발전사업(A)'!U:U, $C$1),
    SUMIFS('자가소비(B)'!I:I, '자가소비(B)'!C:C, $E$1, '자가소비(B)'!G:G, B99, '자가소비(B)'!X:X, B100, '자가소비(B)'!U:U, $C$1),
    SUMIFS('PPA 사업(C)'!I:I, 'PPA 사업(C)'!C:C, $E$1, 'PPA 사업(C)'!G:G, B99, 'PPA 사업(C)'!X:X, B100, 'PPA 사업(C)'!U:U, $C$1),
    SUMIFS('리스사업(D)'!I:I, '리스사업(D)'!C:C, $E$1, '리스사업(D)'!G:G, B99, '리스사업(D)'!X:X, B100, '리스사업(D)'!U:U, $C$1),
    SUMIFS('임대사업(E)'!I:I, '임대사업(E)'!C:C, $E$1, '임대사업(E)'!G:G, B99, '임대사업(E)'!X:X, B100, '임대사업(E)'!U:U, $C$1),
    SUMIFS('환경부사업(F)'!I:I, '환경부사업(F)'!C:C, $E$1, '환경부사업(F)'!G:G, B99, '환경부사업(F)'!X:X, B100, '환경부사업(F)'!U:U, $C$1),
    SUMIFS('프로젝트(G)'!I:I, '프로젝트(G)'!C:C, $E$1, '프로젝트(G)'!G:G, B99, '프로젝트(G)'!X:X, B100, '프로젝트(G)'!U:U, $C$1),
    SUMIFS('협력사 EPC(H)'!I:I, '협력사 EPC(H)'!C:C, $E$1, '협력사 EPC(H)'!G:G, B99, '협력사 EPC(H)'!X:X, B100, '협력사 EPC(H)'!U:U, $C$1),
    SUMIFS('기타(Z)'!I:I, '기타(Z)'!C:C, $E$1, '기타(Z)'!G:G, B99, '기타(Z)'!X:X, B100, '기타(Z)'!U:U, $C$1)
  )
)</f>
        <v>344.43</v>
      </c>
      <c r="F100" s="263">
        <f>IF(
  SUM(
    COUNTIFS('발전사업(A)'!C:C, $E$1, '발전사업(A)'!G:G, B99, '발전사업(A)'!X:X, B100, '발전사업(A)'!U:U, $C$1),
    COUNTIFS('자가소비(B)'!C:C, $E$1, '자가소비(B)'!G:G, B99, '자가소비(B)'!X:X, B100, '자가소비(B)'!U:U, $C$1),
    COUNTIFS('PPA 사업(C)'!C:C, $E$1, 'PPA 사업(C)'!G:G, B99, 'PPA 사업(C)'!X:X, B100, 'PPA 사업(C)'!U:U, $C$1),
    COUNTIFS('리스사업(D)'!C:C, $E$1, '리스사업(D)'!G:G, B99, '리스사업(D)'!X:X, B100, '리스사업(D)'!U:U, $C$1),
    COUNTIFS('임대사업(E)'!C:C, $E$1, '임대사업(E)'!G:G, B99, '임대사업(E)'!X:X, B100, '임대사업(E)'!U:U, $C$1),
    COUNTIFS('환경부사업(F)'!C:C, $E$1, '환경부사업(F)'!G:G, B99, '환경부사업(F)'!X:X, B100, '환경부사업(F)'!U:U, $C$1),
    COUNTIFS('프로젝트(G)'!C:C, $E$1, '프로젝트(G)'!G:G, B99, '프로젝트(G)'!X:X, B100, '프로젝트(G)'!U:U, $C$1),
    COUNTIFS('협력사 EPC(H)'!C:C, $E$1, '협력사 EPC(H)'!G:G, B99, '협력사 EPC(H)'!X:X, B100, '협력사 EPC(H)'!U:U, $C$1),
    COUNTIFS('기타(Z)'!C:C, $E$1, '기타(Z)'!G:G, B99, '기타(Z)'!X:X, B100, '기타(Z)'!U:U, $C$1)
  ) = 0,
  "",
  SUM(
    COUNTIFS('발전사업(A)'!C:C, $E$1, '발전사업(A)'!G:G, B99, '발전사업(A)'!X:X, B100, '발전사업(A)'!U:U, $C$1),
    COUNTIFS('자가소비(B)'!C:C, $E$1, '자가소비(B)'!G:G, B99, '자가소비(B)'!X:X, B100, '자가소비(B)'!U:U, $C$1),
    COUNTIFS('PPA 사업(C)'!C:C, $E$1, 'PPA 사업(C)'!G:G, B99, 'PPA 사업(C)'!X:X, B100, 'PPA 사업(C)'!U:U, $C$1),
    COUNTIFS('리스사업(D)'!C:C, $E$1, '리스사업(D)'!G:G, B99, '리스사업(D)'!X:X, B100, '리스사업(D)'!U:U, $C$1),
    COUNTIFS('임대사업(E)'!C:C, $E$1, '임대사업(E)'!G:G, B99, '임대사업(E)'!X:X, B100, '임대사업(E)'!U:U, $C$1),
    COUNTIFS('환경부사업(F)'!C:C, $E$1, '환경부사업(F)'!G:G, B99, '환경부사업(F)'!X:X, B100, '환경부사업(F)'!U:U, $C$1),
    COUNTIFS('프로젝트(G)'!C:C, $E$1, '프로젝트(G)'!G:G, B99, '프로젝트(G)'!X:X, B100, '프로젝트(G)'!U:U, $C$1),
    COUNTIFS('협력사 EPC(H)'!C:C, $E$1, '협력사 EPC(H)'!G:G, B99, '협력사 EPC(H)'!X:X, B100, '협력사 EPC(H)'!U:U, $C$1),
    COUNTIFS('기타(Z)'!C:C, $E$1, '기타(Z)'!G:G, B99, '기타(Z)'!X:X, B100, '기타(Z)'!U:U, $C$1)
  )
)</f>
        <v>1</v>
      </c>
      <c r="G100" s="262">
        <f>IF(
  SUM(
    SUMIFS('발전사업(A)'!I:I, '발전사업(A)'!C:C, $E$1, '발전사업(A)'!G:G, B99, '발전사업(A)'!X:X, B100, '발전사업(A)'!U:U, $D$1),
    SUMIFS('자가소비(B)'!I:I, '자가소비(B)'!C:C, $E$1, '자가소비(B)'!G:G, B99, '자가소비(B)'!X:X, B100, '자가소비(B)'!U:U, $D$1),
    SUMIFS('PPA 사업(C)'!I:I, 'PPA 사업(C)'!C:C, $E$1, 'PPA 사업(C)'!G:G, B99, 'PPA 사업(C)'!X:X, B100, 'PPA 사업(C)'!U:U, $D$1),
    SUMIFS('리스사업(D)'!I:I, '리스사업(D)'!C:C, $E$1, '리스사업(D)'!G:G, B99, '리스사업(D)'!X:X, B100, '리스사업(D)'!U:U, $D$1),
    SUMIFS('임대사업(E)'!I:I, '임대사업(E)'!C:C, $E$1, '임대사업(E)'!G:G, B99, '임대사업(E)'!X:X, B100, '임대사업(E)'!U:U, $D$1),
    SUMIFS('환경부사업(F)'!I:I, '환경부사업(F)'!C:C, $E$1, '환경부사업(F)'!G:G, B99, '환경부사업(F)'!X:X, B100, '환경부사업(F)'!U:U, $D$1),
    SUMIFS('프로젝트(G)'!I:I, '프로젝트(G)'!C:C, $E$1, '프로젝트(G)'!G:G, B99, '프로젝트(G)'!X:X, B100, '프로젝트(G)'!U:U, $D$1),
    SUMIFS('협력사 EPC(H)'!I:I, '협력사 EPC(H)'!C:C, $E$1, '협력사 EPC(H)'!G:G, B99, '협력사 EPC(H)'!X:X, B100, '협력사 EPC(H)'!U:U, $D$1),
    SUMIFS('기타(Z)'!I:I, '기타(Z)'!C:C, $E$1, '기타(Z)'!G:G, B99, '기타(Z)'!X:X, B100, '기타(Z)'!U:U, $D$1)
  ) = 0,
  "",
  SUM(
    SUMIFS('발전사업(A)'!I:I, '발전사업(A)'!C:C, $E$1, '발전사업(A)'!G:G, B99, '발전사업(A)'!X:X, B100, '발전사업(A)'!U:U, $D$1),
    SUMIFS('자가소비(B)'!I:I, '자가소비(B)'!C:C, $E$1, '자가소비(B)'!G:G, B99, '자가소비(B)'!X:X, B100, '자가소비(B)'!U:U, $D$1),
    SUMIFS('PPA 사업(C)'!I:I, 'PPA 사업(C)'!C:C, $E$1, 'PPA 사업(C)'!G:G, B99, 'PPA 사업(C)'!X:X, B100, 'PPA 사업(C)'!U:U, $D$1),
    SUMIFS('리스사업(D)'!I:I, '리스사업(D)'!C:C, $E$1, '리스사업(D)'!G:G, B99, '리스사업(D)'!X:X, B100, '리스사업(D)'!U:U, $D$1),
    SUMIFS('임대사업(E)'!I:I, '임대사업(E)'!C:C, $E$1, '임대사업(E)'!G:G, B99, '임대사업(E)'!X:X, B100, '임대사업(E)'!U:U, $D$1),
    SUMIFS('환경부사업(F)'!I:I, '환경부사업(F)'!C:C, $E$1, '환경부사업(F)'!G:G, B99, '환경부사업(F)'!X:X, B100, '환경부사업(F)'!U:U, $D$1),
    SUMIFS('프로젝트(G)'!I:I, '프로젝트(G)'!C:C, $E$1, '프로젝트(G)'!G:G, B99, '프로젝트(G)'!X:X, B100, '프로젝트(G)'!U:U, $D$1),
    SUMIFS('협력사 EPC(H)'!I:I, '협력사 EPC(H)'!C:C, $E$1, '협력사 EPC(H)'!G:G, B99, '협력사 EPC(H)'!X:X, B100, '협력사 EPC(H)'!U:U, $D$1),
    SUMIFS('기타(Z)'!I:I, '기타(Z)'!C:C, $E$1, '기타(Z)'!G:G, B99, '기타(Z)'!X:X, B100, '기타(Z)'!U:U, $D$1)
  )
)</f>
        <v>1799.55</v>
      </c>
      <c r="H100" s="263">
        <f>IF(
  (
    COUNTIFS('발전사업(A)'!C:C, $E$1, '발전사업(A)'!G:G, B99, '발전사업(A)'!X:X, B100, '발전사업(A)'!U:U, $D$1)
    + COUNTIFS('자가소비(B)'!C:C, $E$1, '자가소비(B)'!G:G, B99, '자가소비(B)'!X:X, B100, '자가소비(B)'!U:U, $D$1)
    + COUNTIFS('PPA 사업(C)'!C:C, $E$1, 'PPA 사업(C)'!G:G, B99, 'PPA 사업(C)'!X:X, B100, 'PPA 사업(C)'!U:U, $D$1)
    + COUNTIFS('리스사업(D)'!C:C, $E$1, '리스사업(D)'!G:G, B99, '리스사업(D)'!X:X, B100, '리스사업(D)'!U:U, $D$1)
    + COUNTIFS('임대사업(E)'!C:C, $E$1, '임대사업(E)'!G:G, B99, '임대사업(E)'!X:X, B100, '임대사업(E)'!U:U, $D$1)
    + COUNTIFS('환경부사업(F)'!C:C, $E$1, '환경부사업(F)'!G:G, B99, '환경부사업(F)'!X:X, B100, '환경부사업(F)'!U:U, $D$1)
    + COUNTIFS('프로젝트(G)'!C:C, $E$1, '프로젝트(G)'!G:G, B99, '프로젝트(G)'!X:X, B100, '프로젝트(G)'!U:U, $D$1)
    + COUNTIFS('협력사 EPC(H)'!C:C, $E$1, '협력사 EPC(H)'!G:G, B99, '협력사 EPC(H)'!X:X, B100, '협력사 EPC(H)'!U:U, $D$1)
    + COUNTIFS('기타(Z)'!C:C, $E$1, '기타(Z)'!G:G, B99, '기타(Z)'!X:X, B100, '기타(Z)'!U:U, $D$1)
  ) = 0,
  "",
  COUNTIFS('발전사업(A)'!C:C, $E$1, '발전사업(A)'!G:G, B99, '발전사업(A)'!X:X, B100, '발전사업(A)'!U:U, $D$1)
  + COUNTIFS('자가소비(B)'!C:C, $E$1, '자가소비(B)'!G:G, B99, '자가소비(B)'!X:X, B100, '자가소비(B)'!U:U, $D$1)
  + COUNTIFS('PPA 사업(C)'!C:C, $E$1, 'PPA 사업(C)'!G:G, B99, 'PPA 사업(C)'!X:X, B100, 'PPA 사업(C)'!U:U, $D$1)
  + COUNTIFS('리스사업(D)'!C:C, $E$1, '리스사업(D)'!G:G, B99, '리스사업(D)'!X:X, B100, '리스사업(D)'!U:U, $D$1)
  + COUNTIFS('임대사업(E)'!C:C, $E$1, '임대사업(E)'!G:G, B99, '임대사업(E)'!X:X, B100, '임대사업(E)'!U:U, $D$1)
  + COUNTIFS('환경부사업(F)'!C:C, $E$1, '환경부사업(F)'!G:G, B99, '환경부사업(F)'!X:X, B100, '환경부사업(F)'!U:U, $D$1)
  + COUNTIFS('프로젝트(G)'!C:C, $E$1, '프로젝트(G)'!G:G, B99, '프로젝트(G)'!X:X, B100, '프로젝트(G)'!U:U, $D$1)
  + COUNTIFS('협력사 EPC(H)'!C:C, $E$1, '협력사 EPC(H)'!G:G, B99, '협력사 EPC(H)'!X:X, B100, '협력사 EPC(H)'!U:U, $D$1)
  + COUNTIFS('기타(Z)'!C:C, $E$1, '기타(Z)'!G:G, B99, '기타(Z)'!X:X, B100, '기타(Z)'!U:U, $D$1)
)</f>
        <v>1</v>
      </c>
    </row>
    <row r="101" spans="2:8" x14ac:dyDescent="0.25">
      <c r="B101" s="195" t="s">
        <v>152</v>
      </c>
      <c r="C101" s="262">
        <f>IF(
  SUM(
    SUMIFS('발전사업(A)'!I:I, '발전사업(A)'!C:C, $E$1, '발전사업(A)'!G:G, B99, '발전사업(A)'!X:X, B101),
    SUMIFS('자가소비(B)'!I:I, '자가소비(B)'!C:C, $E$1, '자가소비(B)'!G:G, B99, '자가소비(B)'!X:X, B101),
    SUMIFS('PPA 사업(C)'!I:I, 'PPA 사업(C)'!C:C, $E$1, 'PPA 사업(C)'!G:G, B99, 'PPA 사업(C)'!X:X, B101),
    SUMIFS('리스사업(D)'!I:I, '리스사업(D)'!C:C, $E$1, '리스사업(D)'!G:G, B99, '리스사업(D)'!X:X, B101),
    SUMIFS('임대사업(E)'!I:I, '임대사업(E)'!C:C, $E$1, '임대사업(E)'!G:G, B99, '임대사업(E)'!X:X, B101),
    SUMIFS('환경부사업(F)'!I:I, '환경부사업(F)'!C:C, $E$1, '환경부사업(F)'!G:G, B99, '환경부사업(F)'!X:X, B101),
    SUMIFS('프로젝트(G)'!I:I, '프로젝트(G)'!C:C, $E$1, '프로젝트(G)'!G:G, B99, '프로젝트(G)'!X:X, B101),
    SUMIFS('협력사 EPC(H)'!I:I, '협력사 EPC(H)'!C:C, $E$1, '협력사 EPC(H)'!G:G, B99, '협력사 EPC(H)'!X:X, B101),
    SUMIFS('기타(Z)'!I:I, '기타(Z)'!C:C, $E$1, '기타(Z)'!G:G, B99, '기타(Z)'!X:X, B101)
  ) = 0,
  "",
  SUMIFS('발전사업(A)'!I:I, '발전사업(A)'!C:C, $E$1, '발전사업(A)'!G:G, B99, '발전사업(A)'!X:X, B101)
  + SUMIFS('자가소비(B)'!I:I, '자가소비(B)'!C:C, $E$1, '자가소비(B)'!G:G, B99, '자가소비(B)'!X:X, B101)
  + SUMIFS('PPA 사업(C)'!I:I, 'PPA 사업(C)'!C:C, $E$1, 'PPA 사업(C)'!G:G, B99, 'PPA 사업(C)'!X:X, B101)
  + SUMIFS('리스사업(D)'!I:I, '리스사업(D)'!C:C, $E$1, '리스사업(D)'!G:G, B99, '리스사업(D)'!X:X, B101)
  + SUMIFS('임대사업(E)'!I:I, '임대사업(E)'!C:C, $E$1, '임대사업(E)'!G:G, B99, '임대사업(E)'!X:X, B101)
  + SUMIFS('환경부사업(F)'!I:I, '환경부사업(F)'!C:C, $E$1, '환경부사업(F)'!G:G, B99, '환경부사업(F)'!X:X, B101)
  + SUMIFS('프로젝트(G)'!I:I, '프로젝트(G)'!C:C, $E$1, '프로젝트(G)'!G:G, B99, '프로젝트(G)'!X:X, B101)
  + SUMIFS('협력사 EPC(H)'!I:I, '협력사 EPC(H)'!C:C, $E$1, '협력사 EPC(H)'!G:G, B99, '협력사 EPC(H)'!X:X, B101)
  + SUMIFS('기타(Z)'!I:I, '기타(Z)'!C:C, $E$1, '기타(Z)'!G:G, B99, '기타(Z)'!X:X, B101)
)</f>
        <v>393.45</v>
      </c>
      <c r="D101" s="263">
        <f>IF(
  COUNTIFS('발전사업(A)'!C:C, $E$1, '발전사업(A)'!G:G, B99, '발전사업(A)'!X:X, B101)
  + COUNTIFS('자가소비(B)'!C:C, $E$1, '자가소비(B)'!G:G, B99, '자가소비(B)'!X:X, B101)
  + COUNTIFS('PPA 사업(C)'!C:C, $E$1, 'PPA 사업(C)'!G:G, B99, 'PPA 사업(C)'!X:X, B101)
  + COUNTIFS('리스사업(D)'!C:C, $E$1, '리스사업(D)'!G:G, B99, '리스사업(D)'!X:X, B101)
  + COUNTIFS('임대사업(E)'!C:C, $E$1, '임대사업(E)'!G:G, B99, '임대사업(E)'!X:X, B101)
  + COUNTIFS('환경부사업(F)'!C:C, $E$1, '환경부사업(F)'!G:G, B99, '환경부사업(F)'!X:X, B101)
  + COUNTIFS('프로젝트(G)'!C:C, $E$1, '프로젝트(G)'!G:G, B99, '프로젝트(G)'!X:X, B101)
  + COUNTIFS('협력사 EPC(H)'!C:C, $E$1, '협력사 EPC(H)'!G:G, B99, '협력사 EPC(H)'!X:X, B101)
  + COUNTIFS('기타(Z)'!C:C, $E$1, '기타(Z)'!G:G, B99, '기타(Z)'!X:X, B101)
  = 0,
  "",
  COUNTIFS('발전사업(A)'!C:C, $E$1, '발전사업(A)'!G:G, B99, '발전사업(A)'!X:X, B101)
  + COUNTIFS('자가소비(B)'!C:C, $E$1, '자가소비(B)'!G:G, B99, '자가소비(B)'!X:X, B101)
  + COUNTIFS('PPA 사업(C)'!C:C, $E$1, 'PPA 사업(C)'!G:G, B99, 'PPA 사업(C)'!X:X, B101)
  + COUNTIFS('리스사업(D)'!C:C, $E$1, '리스사업(D)'!G:G, B99, '리스사업(D)'!X:X, B101)
  + COUNTIFS('임대사업(E)'!C:C, $E$1, '임대사업(E)'!G:G, B99, '임대사업(E)'!X:X, B101)
  + COUNTIFS('환경부사업(F)'!C:C, $E$1, '환경부사업(F)'!G:G, B99, '환경부사업(F)'!X:X, B101)
  + COUNTIFS('프로젝트(G)'!C:C, $E$1, '프로젝트(G)'!G:G, B99, '프로젝트(G)'!X:X, B101)
  + COUNTIFS('협력사 EPC(H)'!C:C, $E$1, '협력사 EPC(H)'!G:G, B99, '협력사 EPC(H)'!X:X, B101)
  + COUNTIFS('기타(Z)'!C:C, $E$1, '기타(Z)'!G:G, B99, '기타(Z)'!X:X, B101)
)</f>
        <v>4</v>
      </c>
      <c r="E101" s="262">
        <f>IF(
  SUM(
    SUMIFS('발전사업(A)'!I:I, '발전사업(A)'!C:C, $E$1, '발전사업(A)'!G:G, B99, '발전사업(A)'!X:X, B101, '발전사업(A)'!U:U, $C$1),
    SUMIFS('자가소비(B)'!I:I, '자가소비(B)'!C:C, $E$1, '자가소비(B)'!G:G, B99, '자가소비(B)'!X:X, B101, '자가소비(B)'!U:U, $C$1),
    SUMIFS('PPA 사업(C)'!I:I, 'PPA 사업(C)'!C:C, $E$1, 'PPA 사업(C)'!G:G, B99, 'PPA 사업(C)'!X:X, B101, 'PPA 사업(C)'!U:U, $C$1),
    SUMIFS('리스사업(D)'!I:I, '리스사업(D)'!C:C, $E$1, '리스사업(D)'!G:G, B99, '리스사업(D)'!X:X, B101, '리스사업(D)'!U:U, $C$1),
    SUMIFS('임대사업(E)'!I:I, '임대사업(E)'!C:C, $E$1, '임대사업(E)'!G:G, B99, '임대사업(E)'!X:X, B101, '임대사업(E)'!U:U, $C$1),
    SUMIFS('환경부사업(F)'!I:I, '환경부사업(F)'!C:C, $E$1, '환경부사업(F)'!G:G, B99, '환경부사업(F)'!X:X, B101, '환경부사업(F)'!U:U, $C$1),
    SUMIFS('프로젝트(G)'!I:I, '프로젝트(G)'!C:C, $E$1, '프로젝트(G)'!G:G, B99, '프로젝트(G)'!X:X, B101, '프로젝트(G)'!U:U, $C$1),
    SUMIFS('협력사 EPC(H)'!I:I, '협력사 EPC(H)'!C:C, $E$1, '협력사 EPC(H)'!G:G, B99, '협력사 EPC(H)'!X:X, B101, '협력사 EPC(H)'!U:U, $C$1),
    SUMIFS('기타(Z)'!I:I, '기타(Z)'!C:C, $E$1, '기타(Z)'!G:G, B99, '기타(Z)'!X:X, B101, '기타(Z)'!U:U, $C$1)
  ) = 0,
  "",
  SUM(
    SUMIFS('발전사업(A)'!I:I, '발전사업(A)'!C:C, $E$1, '발전사업(A)'!G:G, B99, '발전사업(A)'!X:X, B101, '발전사업(A)'!U:U, $C$1),
    SUMIFS('자가소비(B)'!I:I, '자가소비(B)'!C:C, $E$1, '자가소비(B)'!G:G, B99, '자가소비(B)'!X:X, B101, '자가소비(B)'!U:U, $C$1),
    SUMIFS('PPA 사업(C)'!I:I, 'PPA 사업(C)'!C:C, $E$1, 'PPA 사업(C)'!G:G, B99, 'PPA 사업(C)'!X:X, B101, 'PPA 사업(C)'!U:U, $C$1),
    SUMIFS('리스사업(D)'!I:I, '리스사업(D)'!C:C, $E$1, '리스사업(D)'!G:G, B99, '리스사업(D)'!X:X, B101, '리스사업(D)'!U:U, $C$1),
    SUMIFS('임대사업(E)'!I:I, '임대사업(E)'!C:C, $E$1, '임대사업(E)'!G:G, B99, '임대사업(E)'!X:X, B101, '임대사업(E)'!U:U, $C$1),
    SUMIFS('환경부사업(F)'!I:I, '환경부사업(F)'!C:C, $E$1, '환경부사업(F)'!G:G, B99, '환경부사업(F)'!X:X, B101, '환경부사업(F)'!U:U, $C$1),
    SUMIFS('프로젝트(G)'!I:I, '프로젝트(G)'!C:C, $E$1, '프로젝트(G)'!G:G, B99, '프로젝트(G)'!X:X, B101, '프로젝트(G)'!U:U, $C$1),
    SUMIFS('협력사 EPC(H)'!I:I, '협력사 EPC(H)'!C:C, $E$1, '협력사 EPC(H)'!G:G, B99, '협력사 EPC(H)'!X:X, B101, '협력사 EPC(H)'!U:U, $C$1),
    SUMIFS('기타(Z)'!I:I, '기타(Z)'!C:C, $E$1, '기타(Z)'!G:G, B99, '기타(Z)'!X:X, B101, '기타(Z)'!U:U, $C$1)
  )
)</f>
        <v>119.325</v>
      </c>
      <c r="F101" s="263">
        <f>IF(
  SUM(
    COUNTIFS('발전사업(A)'!C:C, $E$1, '발전사업(A)'!G:G, B99, '발전사업(A)'!X:X, B101, '발전사업(A)'!U:U, $C$1),
    COUNTIFS('자가소비(B)'!C:C, $E$1, '자가소비(B)'!G:G, B99, '자가소비(B)'!X:X, B101, '자가소비(B)'!U:U, $C$1),
    COUNTIFS('PPA 사업(C)'!C:C, $E$1, 'PPA 사업(C)'!G:G, B99, 'PPA 사업(C)'!X:X, B101, 'PPA 사업(C)'!U:U, $C$1),
    COUNTIFS('리스사업(D)'!C:C, $E$1, '리스사업(D)'!G:G, B99, '리스사업(D)'!X:X, B101, '리스사업(D)'!U:U, $C$1),
    COUNTIFS('임대사업(E)'!C:C, $E$1, '임대사업(E)'!G:G, B99, '임대사업(E)'!X:X, B101, '임대사업(E)'!U:U, $C$1),
    COUNTIFS('환경부사업(F)'!C:C, $E$1, '환경부사업(F)'!G:G, B99, '환경부사업(F)'!X:X, B101, '환경부사업(F)'!U:U, $C$1),
    COUNTIFS('프로젝트(G)'!C:C, $E$1, '프로젝트(G)'!G:G, B99, '프로젝트(G)'!X:X, B101, '프로젝트(G)'!U:U, $C$1),
    COUNTIFS('협력사 EPC(H)'!C:C, $E$1, '협력사 EPC(H)'!G:G, B99, '협력사 EPC(H)'!X:X, B101, '협력사 EPC(H)'!U:U, $C$1),
    COUNTIFS('기타(Z)'!C:C, $E$1, '기타(Z)'!G:G, B99, '기타(Z)'!X:X, B101, '기타(Z)'!U:U, $C$1)
  ) = 0,
  "",
  SUM(
    COUNTIFS('발전사업(A)'!C:C, $E$1, '발전사업(A)'!G:G, B99, '발전사업(A)'!X:X, B101, '발전사업(A)'!U:U, $C$1),
    COUNTIFS('자가소비(B)'!C:C, $E$1, '자가소비(B)'!G:G, B99, '자가소비(B)'!X:X, B101, '자가소비(B)'!U:U, $C$1),
    COUNTIFS('PPA 사업(C)'!C:C, $E$1, 'PPA 사업(C)'!G:G, B99, 'PPA 사업(C)'!X:X, B101, 'PPA 사업(C)'!U:U, $C$1),
    COUNTIFS('리스사업(D)'!C:C, $E$1, '리스사업(D)'!G:G, B99, '리스사업(D)'!X:X, B101, '리스사업(D)'!U:U, $C$1),
    COUNTIFS('임대사업(E)'!C:C, $E$1, '임대사업(E)'!G:G, B99, '임대사업(E)'!X:X, B101, '임대사업(E)'!U:U, $C$1),
    COUNTIFS('환경부사업(F)'!C:C, $E$1, '환경부사업(F)'!G:G, B99, '환경부사업(F)'!X:X, B101, '환경부사업(F)'!U:U, $C$1),
    COUNTIFS('프로젝트(G)'!C:C, $E$1, '프로젝트(G)'!G:G, B99, '프로젝트(G)'!X:X, B101, '프로젝트(G)'!U:U, $C$1),
    COUNTIFS('협력사 EPC(H)'!C:C, $E$1, '협력사 EPC(H)'!G:G, B99, '협력사 EPC(H)'!X:X, B101, '협력사 EPC(H)'!U:U, $C$1),
    COUNTIFS('기타(Z)'!C:C, $E$1, '기타(Z)'!G:G, B99, '기타(Z)'!X:X, B101, '기타(Z)'!U:U, $C$1)
  )
)</f>
        <v>1</v>
      </c>
      <c r="G101" s="262">
        <f>IF(
  SUM(
    SUMIFS('발전사업(A)'!I:I, '발전사업(A)'!C:C, $E$1, '발전사업(A)'!G:G, B99, '발전사업(A)'!X:X, B101, '발전사업(A)'!U:U, $D$1),
    SUMIFS('자가소비(B)'!I:I, '자가소비(B)'!C:C, $E$1, '자가소비(B)'!G:G, B99, '자가소비(B)'!X:X, B101, '자가소비(B)'!U:U, $D$1),
    SUMIFS('PPA 사업(C)'!I:I, 'PPA 사업(C)'!C:C, $E$1, 'PPA 사업(C)'!G:G, B99, 'PPA 사업(C)'!X:X, B101, 'PPA 사업(C)'!U:U, $D$1),
    SUMIFS('리스사업(D)'!I:I, '리스사업(D)'!C:C, $E$1, '리스사업(D)'!G:G, B99, '리스사업(D)'!X:X, B101, '리스사업(D)'!U:U, $D$1),
    SUMIFS('임대사업(E)'!I:I, '임대사업(E)'!C:C, $E$1, '임대사업(E)'!G:G, B99, '임대사업(E)'!X:X, B101, '임대사업(E)'!U:U, $D$1),
    SUMIFS('환경부사업(F)'!I:I, '환경부사업(F)'!C:C, $E$1, '환경부사업(F)'!G:G, B99, '환경부사업(F)'!X:X, B101, '환경부사업(F)'!U:U, $D$1),
    SUMIFS('프로젝트(G)'!I:I, '프로젝트(G)'!C:C, $E$1, '프로젝트(G)'!G:G, B99, '프로젝트(G)'!X:X, B101, '프로젝트(G)'!U:U, $D$1),
    SUMIFS('협력사 EPC(H)'!I:I, '협력사 EPC(H)'!C:C, $E$1, '협력사 EPC(H)'!G:G, B99, '협력사 EPC(H)'!X:X, B101, '협력사 EPC(H)'!U:U, $D$1),
    SUMIFS('기타(Z)'!I:I, '기타(Z)'!C:C, $E$1, '기타(Z)'!G:G, B99, '기타(Z)'!X:X, B101, '기타(Z)'!U:U, $D$1)
  ) = 0,
  "",
  SUM(
    SUMIFS('발전사업(A)'!I:I, '발전사업(A)'!C:C, $E$1, '발전사업(A)'!G:G, B99, '발전사업(A)'!X:X, B101, '발전사업(A)'!U:U, $D$1),
    SUMIFS('자가소비(B)'!I:I, '자가소비(B)'!C:C, $E$1, '자가소비(B)'!G:G, B99, '자가소비(B)'!X:X, B101, '자가소비(B)'!U:U, $D$1),
    SUMIFS('PPA 사업(C)'!I:I, 'PPA 사업(C)'!C:C, $E$1, 'PPA 사업(C)'!G:G, B99, 'PPA 사업(C)'!X:X, B101, 'PPA 사업(C)'!U:U, $D$1),
    SUMIFS('리스사업(D)'!I:I, '리스사업(D)'!C:C, $E$1, '리스사업(D)'!G:G, B99, '리스사업(D)'!X:X, B101, '리스사업(D)'!U:U, $D$1),
    SUMIFS('임대사업(E)'!I:I, '임대사업(E)'!C:C, $E$1, '임대사업(E)'!G:G, B99, '임대사업(E)'!X:X, B101, '임대사업(E)'!U:U, $D$1),
    SUMIFS('환경부사업(F)'!I:I, '환경부사업(F)'!C:C, $E$1, '환경부사업(F)'!G:G, B99, '환경부사업(F)'!X:X, B101, '환경부사업(F)'!U:U, $D$1),
    SUMIFS('프로젝트(G)'!I:I, '프로젝트(G)'!C:C, $E$1, '프로젝트(G)'!G:G, B99, '프로젝트(G)'!X:X, B101, '프로젝트(G)'!U:U, $D$1),
    SUMIFS('협력사 EPC(H)'!I:I, '협력사 EPC(H)'!C:C, $E$1, '협력사 EPC(H)'!G:G, B99, '협력사 EPC(H)'!X:X, B101, '협력사 EPC(H)'!U:U, $D$1),
    SUMIFS('기타(Z)'!I:I, '기타(Z)'!C:C, $E$1, '기타(Z)'!G:G, B99, '기타(Z)'!X:X, B101, '기타(Z)'!U:U, $D$1)
  )
)</f>
        <v>274.125</v>
      </c>
      <c r="H101" s="263">
        <f>IF(
  (
    COUNTIFS('발전사업(A)'!C:C, $E$1, '발전사업(A)'!G:G, B99, '발전사업(A)'!X:X, B101, '발전사업(A)'!U:U, $D$1)
    + COUNTIFS('자가소비(B)'!C:C, $E$1, '자가소비(B)'!G:G, B99, '자가소비(B)'!X:X, B101, '자가소비(B)'!U:U, $D$1)
    + COUNTIFS('PPA 사업(C)'!C:C, $E$1, 'PPA 사업(C)'!G:G, B99, 'PPA 사업(C)'!X:X, B101, 'PPA 사업(C)'!U:U, $D$1)
    + COUNTIFS('리스사업(D)'!C:C, $E$1, '리스사업(D)'!G:G, B99, '리스사업(D)'!X:X, B101, '리스사업(D)'!U:U, $D$1)
    + COUNTIFS('임대사업(E)'!C:C, $E$1, '임대사업(E)'!G:G, B99, '임대사업(E)'!X:X, B101, '임대사업(E)'!U:U, $D$1)
    + COUNTIFS('환경부사업(F)'!C:C, $E$1, '환경부사업(F)'!G:G, B99, '환경부사업(F)'!X:X, B101, '환경부사업(F)'!U:U, $D$1)
    + COUNTIFS('프로젝트(G)'!C:C, $E$1, '프로젝트(G)'!G:G, B99, '프로젝트(G)'!X:X, B101, '프로젝트(G)'!U:U, $D$1)
    + COUNTIFS('협력사 EPC(H)'!C:C, $E$1, '협력사 EPC(H)'!G:G, B99, '협력사 EPC(H)'!X:X, B101, '협력사 EPC(H)'!U:U, $D$1)
    + COUNTIFS('기타(Z)'!C:C, $E$1, '기타(Z)'!G:G, B99, '기타(Z)'!X:X, B101, '기타(Z)'!U:U, $D$1)
  ) = 0,
  "",
  COUNTIFS('발전사업(A)'!C:C, $E$1, '발전사업(A)'!G:G, B99, '발전사업(A)'!X:X, B101, '발전사업(A)'!U:U, $D$1)
  + COUNTIFS('자가소비(B)'!C:C, $E$1, '자가소비(B)'!G:G, B99, '자가소비(B)'!X:X, B101, '자가소비(B)'!U:U, $D$1)
  + COUNTIFS('PPA 사업(C)'!C:C, $E$1, 'PPA 사업(C)'!G:G, B99, 'PPA 사업(C)'!X:X, B101, 'PPA 사업(C)'!U:U, $D$1)
  + COUNTIFS('리스사업(D)'!C:C, $E$1, '리스사업(D)'!G:G, B99, '리스사업(D)'!X:X, B101, '리스사업(D)'!U:U, $D$1)
  + COUNTIFS('임대사업(E)'!C:C, $E$1, '임대사업(E)'!G:G, B99, '임대사업(E)'!X:X, B101, '임대사업(E)'!U:U, $D$1)
  + COUNTIFS('환경부사업(F)'!C:C, $E$1, '환경부사업(F)'!G:G, B99, '환경부사업(F)'!X:X, B101, '환경부사업(F)'!U:U, $D$1)
  + COUNTIFS('프로젝트(G)'!C:C, $E$1, '프로젝트(G)'!G:G, B99, '프로젝트(G)'!X:X, B101, '프로젝트(G)'!U:U, $D$1)
  + COUNTIFS('협력사 EPC(H)'!C:C, $E$1, '협력사 EPC(H)'!G:G, B99, '협력사 EPC(H)'!X:X, B101, '협력사 EPC(H)'!U:U, $D$1)
  + COUNTIFS('기타(Z)'!C:C, $E$1, '기타(Z)'!G:G, B99, '기타(Z)'!X:X, B101, '기타(Z)'!U:U, $D$1)
)</f>
        <v>3</v>
      </c>
    </row>
    <row r="102" spans="2:8" x14ac:dyDescent="0.25">
      <c r="B102" s="195" t="s">
        <v>153</v>
      </c>
      <c r="C102" s="262">
        <f>IF(
  SUM(
    SUMIFS('발전사업(A)'!I:I, '발전사업(A)'!C:C, $E$1, '발전사업(A)'!G:G, B99, '발전사업(A)'!X:X, B102),
    SUMIFS('자가소비(B)'!I:I, '자가소비(B)'!C:C, $E$1, '자가소비(B)'!G:G, B99, '자가소비(B)'!X:X, B102),
    SUMIFS('PPA 사업(C)'!I:I, 'PPA 사업(C)'!C:C, $E$1, 'PPA 사업(C)'!G:G, B99, 'PPA 사업(C)'!X:X, B102),
    SUMIFS('리스사업(D)'!I:I, '리스사업(D)'!C:C, $E$1, '리스사업(D)'!G:G, B99, '리스사업(D)'!X:X, B102),
    SUMIFS('임대사업(E)'!I:I, '임대사업(E)'!C:C, $E$1, '임대사업(E)'!G:G, B99, '임대사업(E)'!X:X, B102),
    SUMIFS('환경부사업(F)'!I:I, '환경부사업(F)'!C:C, $E$1, '환경부사업(F)'!G:G, B99, '환경부사업(F)'!X:X, B102),
    SUMIFS('프로젝트(G)'!I:I, '프로젝트(G)'!C:C, $E$1, '프로젝트(G)'!G:G, B99, '프로젝트(G)'!X:X, B102),
    SUMIFS('협력사 EPC(H)'!I:I, '협력사 EPC(H)'!C:C, $E$1, '협력사 EPC(H)'!G:G, B99, '협력사 EPC(H)'!X:X, B102),
    SUMIFS('기타(Z)'!I:I, '기타(Z)'!C:C, $E$1, '기타(Z)'!G:G, B99, '기타(Z)'!X:X, B102)
  ) = 0,
  "",
  SUMIFS('발전사업(A)'!I:I, '발전사업(A)'!C:C, $E$1, '발전사업(A)'!G:G, B99, '발전사업(A)'!X:X, B102)
  + SUMIFS('자가소비(B)'!I:I, '자가소비(B)'!C:C, $E$1, '자가소비(B)'!G:G, B99, '자가소비(B)'!X:X, B102)
  + SUMIFS('PPA 사업(C)'!I:I, 'PPA 사업(C)'!C:C, $E$1, 'PPA 사업(C)'!G:G, B99, 'PPA 사업(C)'!X:X, B102)
  + SUMIFS('리스사업(D)'!I:I, '리스사업(D)'!C:C, $E$1, '리스사업(D)'!G:G, B99, '리스사업(D)'!X:X, B102)
  + SUMIFS('임대사업(E)'!I:I, '임대사업(E)'!C:C, $E$1, '임대사업(E)'!G:G, B99, '임대사업(E)'!X:X, B102)
  + SUMIFS('환경부사업(F)'!I:I, '환경부사업(F)'!C:C, $E$1, '환경부사업(F)'!G:G, B99, '환경부사업(F)'!X:X, B102)
  + SUMIFS('프로젝트(G)'!I:I, '프로젝트(G)'!C:C, $E$1, '프로젝트(G)'!G:G, B99, '프로젝트(G)'!X:X, B102)
  + SUMIFS('협력사 EPC(H)'!I:I, '협력사 EPC(H)'!C:C, $E$1, '협력사 EPC(H)'!G:G, B99, '협력사 EPC(H)'!X:X, B102)
  + SUMIFS('기타(Z)'!I:I, '기타(Z)'!C:C, $E$1, '기타(Z)'!G:G, B99, '기타(Z)'!X:X, B102)
)</f>
        <v>301.86</v>
      </c>
      <c r="D102" s="263">
        <f>IF(
  COUNTIFS('발전사업(A)'!C:C, $E$1, '발전사업(A)'!G:G, B99, '발전사업(A)'!X:X, B102)
  + COUNTIFS('자가소비(B)'!C:C, $E$1, '자가소비(B)'!G:G, B99, '자가소비(B)'!X:X, B102)
  + COUNTIFS('PPA 사업(C)'!C:C, $E$1, 'PPA 사업(C)'!G:G, B99, 'PPA 사업(C)'!X:X, B102)
  + COUNTIFS('리스사업(D)'!C:C, $E$1, '리스사업(D)'!G:G, B99, '리스사업(D)'!X:X, B102)
  + COUNTIFS('임대사업(E)'!C:C, $E$1, '임대사업(E)'!G:G, B99, '임대사업(E)'!X:X, B102)
  + COUNTIFS('환경부사업(F)'!C:C, $E$1, '환경부사업(F)'!G:G, B99, '환경부사업(F)'!X:X, B102)
  + COUNTIFS('프로젝트(G)'!C:C, $E$1, '프로젝트(G)'!G:G, B99, '프로젝트(G)'!X:X, B102)
  + COUNTIFS('협력사 EPC(H)'!C:C, $E$1, '협력사 EPC(H)'!G:G, B99, '협력사 EPC(H)'!X:X, B102)
  + COUNTIFS('기타(Z)'!C:C, $E$1, '기타(Z)'!G:G, B99, '기타(Z)'!X:X, B102)
  = 0,
  "",
  COUNTIFS('발전사업(A)'!C:C, $E$1, '발전사업(A)'!G:G, B99, '발전사업(A)'!X:X, B102)
  + COUNTIFS('자가소비(B)'!C:C, $E$1, '자가소비(B)'!G:G, B99, '자가소비(B)'!X:X, B102)
  + COUNTIFS('PPA 사업(C)'!C:C, $E$1, 'PPA 사업(C)'!G:G, B99, 'PPA 사업(C)'!X:X, B102)
  + COUNTIFS('리스사업(D)'!C:C, $E$1, '리스사업(D)'!G:G, B99, '리스사업(D)'!X:X, B102)
  + COUNTIFS('임대사업(E)'!C:C, $E$1, '임대사업(E)'!G:G, B99, '임대사업(E)'!X:X, B102)
  + COUNTIFS('환경부사업(F)'!C:C, $E$1, '환경부사업(F)'!G:G, B99, '환경부사업(F)'!X:X, B102)
  + COUNTIFS('프로젝트(G)'!C:C, $E$1, '프로젝트(G)'!G:G, B99, '프로젝트(G)'!X:X, B102)
  + COUNTIFS('협력사 EPC(H)'!C:C, $E$1, '협력사 EPC(H)'!G:G, B99, '협력사 EPC(H)'!X:X, B102)
  + COUNTIFS('기타(Z)'!C:C, $E$1, '기타(Z)'!G:G, B99, '기타(Z)'!X:X, B102)
)</f>
        <v>1</v>
      </c>
      <c r="E102" s="262" t="str">
        <f>IF(
  SUM(
    SUMIFS('발전사업(A)'!I:I, '발전사업(A)'!C:C, $E$1, '발전사업(A)'!G:G, B99, '발전사업(A)'!X:X, B102, '발전사업(A)'!U:U, $C$1),
    SUMIFS('자가소비(B)'!I:I, '자가소비(B)'!C:C, $E$1, '자가소비(B)'!G:G, B99, '자가소비(B)'!X:X, B102, '자가소비(B)'!U:U, $C$1),
    SUMIFS('PPA 사업(C)'!I:I, 'PPA 사업(C)'!C:C, $E$1, 'PPA 사업(C)'!G:G, B99, 'PPA 사업(C)'!X:X, B102, 'PPA 사업(C)'!U:U, $C$1),
    SUMIFS('리스사업(D)'!I:I, '리스사업(D)'!C:C, $E$1, '리스사업(D)'!G:G, B99, '리스사업(D)'!X:X, B102, '리스사업(D)'!U:U, $C$1),
    SUMIFS('임대사업(E)'!I:I, '임대사업(E)'!C:C, $E$1, '임대사업(E)'!G:G, B99, '임대사업(E)'!X:X, B102, '임대사업(E)'!U:U, $C$1),
    SUMIFS('환경부사업(F)'!I:I, '환경부사업(F)'!C:C, $E$1, '환경부사업(F)'!G:G, B99, '환경부사업(F)'!X:X, B102, '환경부사업(F)'!U:U, $C$1),
    SUMIFS('프로젝트(G)'!I:I, '프로젝트(G)'!C:C, $E$1, '프로젝트(G)'!G:G, B99, '프로젝트(G)'!X:X, B102, '프로젝트(G)'!U:U, $C$1),
    SUMIFS('협력사 EPC(H)'!I:I, '협력사 EPC(H)'!C:C, $E$1, '협력사 EPC(H)'!G:G, B99, '협력사 EPC(H)'!X:X, B102, '협력사 EPC(H)'!U:U, $C$1),
    SUMIFS('기타(Z)'!I:I, '기타(Z)'!C:C, $E$1, '기타(Z)'!G:G, B99, '기타(Z)'!X:X, B102, '기타(Z)'!U:U, $C$1)
  ) = 0,
  "",
  SUM(
    SUMIFS('발전사업(A)'!I:I, '발전사업(A)'!C:C, $E$1, '발전사업(A)'!G:G, B99, '발전사업(A)'!X:X, B102, '발전사업(A)'!U:U, $C$1),
    SUMIFS('자가소비(B)'!I:I, '자가소비(B)'!C:C, $E$1, '자가소비(B)'!G:G, B99, '자가소비(B)'!X:X, B102, '자가소비(B)'!U:U, $C$1),
    SUMIFS('PPA 사업(C)'!I:I, 'PPA 사업(C)'!C:C, $E$1, 'PPA 사업(C)'!G:G, B99, 'PPA 사업(C)'!X:X, B102, 'PPA 사업(C)'!U:U, $C$1),
    SUMIFS('리스사업(D)'!I:I, '리스사업(D)'!C:C, $E$1, '리스사업(D)'!G:G, B99, '리스사업(D)'!X:X, B102, '리스사업(D)'!U:U, $C$1),
    SUMIFS('임대사업(E)'!I:I, '임대사업(E)'!C:C, $E$1, '임대사업(E)'!G:G, B99, '임대사업(E)'!X:X, B102, '임대사업(E)'!U:U, $C$1),
    SUMIFS('환경부사업(F)'!I:I, '환경부사업(F)'!C:C, $E$1, '환경부사업(F)'!G:G, B99, '환경부사업(F)'!X:X, B102, '환경부사업(F)'!U:U, $C$1),
    SUMIFS('프로젝트(G)'!I:I, '프로젝트(G)'!C:C, $E$1, '프로젝트(G)'!G:G, B99, '프로젝트(G)'!X:X, B102, '프로젝트(G)'!U:U, $C$1),
    SUMIFS('협력사 EPC(H)'!I:I, '협력사 EPC(H)'!C:C, $E$1, '협력사 EPC(H)'!G:G, B99, '협력사 EPC(H)'!X:X, B102, '협력사 EPC(H)'!U:U, $C$1),
    SUMIFS('기타(Z)'!I:I, '기타(Z)'!C:C, $E$1, '기타(Z)'!G:G, B99, '기타(Z)'!X:X, B102, '기타(Z)'!U:U, $C$1)
  )
)</f>
        <v/>
      </c>
      <c r="F102" s="263" t="str">
        <f>IF(
  SUM(
    COUNTIFS('발전사업(A)'!C:C, $E$1, '발전사업(A)'!G:G, B99, '발전사업(A)'!X:X, B102, '발전사업(A)'!U:U, $C$1),
    COUNTIFS('자가소비(B)'!C:C, $E$1, '자가소비(B)'!G:G, B99, '자가소비(B)'!X:X, B102, '자가소비(B)'!U:U, $C$1),
    COUNTIFS('PPA 사업(C)'!C:C, $E$1, 'PPA 사업(C)'!G:G, B99, 'PPA 사업(C)'!X:X, B102, 'PPA 사업(C)'!U:U, $C$1),
    COUNTIFS('리스사업(D)'!C:C, $E$1, '리스사업(D)'!G:G, B99, '리스사업(D)'!X:X, B102, '리스사업(D)'!U:U, $C$1),
    COUNTIFS('임대사업(E)'!C:C, $E$1, '임대사업(E)'!G:G, B99, '임대사업(E)'!X:X, B102, '임대사업(E)'!U:U, $C$1),
    COUNTIFS('환경부사업(F)'!C:C, $E$1, '환경부사업(F)'!G:G, B99, '환경부사업(F)'!X:X, B102, '환경부사업(F)'!U:U, $C$1),
    COUNTIFS('프로젝트(G)'!C:C, $E$1, '프로젝트(G)'!G:G, B99, '프로젝트(G)'!X:X, B102, '프로젝트(G)'!U:U, $C$1),
    COUNTIFS('협력사 EPC(H)'!C:C, $E$1, '협력사 EPC(H)'!G:G, B99, '협력사 EPC(H)'!X:X, B102, '협력사 EPC(H)'!U:U, $C$1),
    COUNTIFS('기타(Z)'!C:C, $E$1, '기타(Z)'!G:G, B99, '기타(Z)'!X:X, B102, '기타(Z)'!U:U, $C$1)
  ) = 0,
  "",
  SUM(
    COUNTIFS('발전사업(A)'!C:C, $E$1, '발전사업(A)'!G:G, B99, '발전사업(A)'!X:X, B102, '발전사업(A)'!U:U, $C$1),
    COUNTIFS('자가소비(B)'!C:C, $E$1, '자가소비(B)'!G:G, B99, '자가소비(B)'!X:X, B102, '자가소비(B)'!U:U, $C$1),
    COUNTIFS('PPA 사업(C)'!C:C, $E$1, 'PPA 사업(C)'!G:G, B99, 'PPA 사업(C)'!X:X, B102, 'PPA 사업(C)'!U:U, $C$1),
    COUNTIFS('리스사업(D)'!C:C, $E$1, '리스사업(D)'!G:G, B99, '리스사업(D)'!X:X, B102, '리스사업(D)'!U:U, $C$1),
    COUNTIFS('임대사업(E)'!C:C, $E$1, '임대사업(E)'!G:G, B99, '임대사업(E)'!X:X, B102, '임대사업(E)'!U:U, $C$1),
    COUNTIFS('환경부사업(F)'!C:C, $E$1, '환경부사업(F)'!G:G, B99, '환경부사업(F)'!X:X, B102, '환경부사업(F)'!U:U, $C$1),
    COUNTIFS('프로젝트(G)'!C:C, $E$1, '프로젝트(G)'!G:G, B99, '프로젝트(G)'!X:X, B102, '프로젝트(G)'!U:U, $C$1),
    COUNTIFS('협력사 EPC(H)'!C:C, $E$1, '협력사 EPC(H)'!G:G, B99, '협력사 EPC(H)'!X:X, B102, '협력사 EPC(H)'!U:U, $C$1),
    COUNTIFS('기타(Z)'!C:C, $E$1, '기타(Z)'!G:G, B99, '기타(Z)'!X:X, B102, '기타(Z)'!U:U, $C$1)
  )
)</f>
        <v/>
      </c>
      <c r="G102" s="262">
        <f>IF(
  SUM(
    SUMIFS('발전사업(A)'!I:I, '발전사업(A)'!C:C, $E$1, '발전사업(A)'!G:G, B99, '발전사업(A)'!X:X, B102, '발전사업(A)'!U:U, $D$1),
    SUMIFS('자가소비(B)'!I:I, '자가소비(B)'!C:C, $E$1, '자가소비(B)'!G:G, B99, '자가소비(B)'!X:X, B102, '자가소비(B)'!U:U, $D$1),
    SUMIFS('PPA 사업(C)'!I:I, 'PPA 사업(C)'!C:C, $E$1, 'PPA 사업(C)'!G:G, B99, 'PPA 사업(C)'!X:X, B102, 'PPA 사업(C)'!U:U, $D$1),
    SUMIFS('리스사업(D)'!I:I, '리스사업(D)'!C:C, $E$1, '리스사업(D)'!G:G, B99, '리스사업(D)'!X:X, B102, '리스사업(D)'!U:U, $D$1),
    SUMIFS('임대사업(E)'!I:I, '임대사업(E)'!C:C, $E$1, '임대사업(E)'!G:G, B99, '임대사업(E)'!X:X, B102, '임대사업(E)'!U:U, $D$1),
    SUMIFS('환경부사업(F)'!I:I, '환경부사업(F)'!C:C, $E$1, '환경부사업(F)'!G:G, B99, '환경부사업(F)'!X:X, B102, '환경부사업(F)'!U:U, $D$1),
    SUMIFS('프로젝트(G)'!I:I, '프로젝트(G)'!C:C, $E$1, '프로젝트(G)'!G:G, B99, '프로젝트(G)'!X:X, B102, '프로젝트(G)'!U:U, $D$1),
    SUMIFS('협력사 EPC(H)'!I:I, '협력사 EPC(H)'!C:C, $E$1, '협력사 EPC(H)'!G:G, B99, '협력사 EPC(H)'!X:X, B102, '협력사 EPC(H)'!U:U, $D$1),
    SUMIFS('기타(Z)'!I:I, '기타(Z)'!C:C, $E$1, '기타(Z)'!G:G, B99, '기타(Z)'!X:X, B102, '기타(Z)'!U:U, $D$1)
  ) = 0,
  "",
  SUM(
    SUMIFS('발전사업(A)'!I:I, '발전사업(A)'!C:C, $E$1, '발전사업(A)'!G:G, B99, '발전사업(A)'!X:X, B102, '발전사업(A)'!U:U, $D$1),
    SUMIFS('자가소비(B)'!I:I, '자가소비(B)'!C:C, $E$1, '자가소비(B)'!G:G, B99, '자가소비(B)'!X:X, B102, '자가소비(B)'!U:U, $D$1),
    SUMIFS('PPA 사업(C)'!I:I, 'PPA 사업(C)'!C:C, $E$1, 'PPA 사업(C)'!G:G, B99, 'PPA 사업(C)'!X:X, B102, 'PPA 사업(C)'!U:U, $D$1),
    SUMIFS('리스사업(D)'!I:I, '리스사업(D)'!C:C, $E$1, '리스사업(D)'!G:G, B99, '리스사업(D)'!X:X, B102, '리스사업(D)'!U:U, $D$1),
    SUMIFS('임대사업(E)'!I:I, '임대사업(E)'!C:C, $E$1, '임대사업(E)'!G:G, B99, '임대사업(E)'!X:X, B102, '임대사업(E)'!U:U, $D$1),
    SUMIFS('환경부사업(F)'!I:I, '환경부사업(F)'!C:C, $E$1, '환경부사업(F)'!G:G, B99, '환경부사업(F)'!X:X, B102, '환경부사업(F)'!U:U, $D$1),
    SUMIFS('프로젝트(G)'!I:I, '프로젝트(G)'!C:C, $E$1, '프로젝트(G)'!G:G, B99, '프로젝트(G)'!X:X, B102, '프로젝트(G)'!U:U, $D$1),
    SUMIFS('협력사 EPC(H)'!I:I, '협력사 EPC(H)'!C:C, $E$1, '협력사 EPC(H)'!G:G, B99, '협력사 EPC(H)'!X:X, B102, '협력사 EPC(H)'!U:U, $D$1),
    SUMIFS('기타(Z)'!I:I, '기타(Z)'!C:C, $E$1, '기타(Z)'!G:G, B99, '기타(Z)'!X:X, B102, '기타(Z)'!U:U, $D$1)
  )
)</f>
        <v>301.86</v>
      </c>
      <c r="H102" s="263">
        <f>IF(
  (
    COUNTIFS('발전사업(A)'!C:C, $E$1, '발전사업(A)'!G:G, B99, '발전사업(A)'!X:X, B102, '발전사업(A)'!U:U, $D$1)
    + COUNTIFS('자가소비(B)'!C:C, $E$1, '자가소비(B)'!G:G, B99, '자가소비(B)'!X:X, B102, '자가소비(B)'!U:U, $D$1)
    + COUNTIFS('PPA 사업(C)'!C:C, $E$1, 'PPA 사업(C)'!G:G, B99, 'PPA 사업(C)'!X:X, B102, 'PPA 사업(C)'!U:U, $D$1)
    + COUNTIFS('리스사업(D)'!C:C, $E$1, '리스사업(D)'!G:G, B99, '리스사업(D)'!X:X, B102, '리스사업(D)'!U:U, $D$1)
    + COUNTIFS('임대사업(E)'!C:C, $E$1, '임대사업(E)'!G:G, B99, '임대사업(E)'!X:X, B102, '임대사업(E)'!U:U, $D$1)
    + COUNTIFS('환경부사업(F)'!C:C, $E$1, '환경부사업(F)'!G:G, B99, '환경부사업(F)'!X:X, B102, '환경부사업(F)'!U:U, $D$1)
    + COUNTIFS('프로젝트(G)'!C:C, $E$1, '프로젝트(G)'!G:G, B99, '프로젝트(G)'!X:X, B102, '프로젝트(G)'!U:U, $D$1)
    + COUNTIFS('협력사 EPC(H)'!C:C, $E$1, '협력사 EPC(H)'!G:G, B99, '협력사 EPC(H)'!X:X, B102, '협력사 EPC(H)'!U:U, $D$1)
    + COUNTIFS('기타(Z)'!C:C, $E$1, '기타(Z)'!G:G, B99, '기타(Z)'!X:X, B102, '기타(Z)'!U:U, $D$1)
  ) = 0,
  "",
  COUNTIFS('발전사업(A)'!C:C, $E$1, '발전사업(A)'!G:G, B99, '발전사업(A)'!X:X, B102, '발전사업(A)'!U:U, $D$1)
  + COUNTIFS('자가소비(B)'!C:C, $E$1, '자가소비(B)'!G:G, B99, '자가소비(B)'!X:X, B102, '자가소비(B)'!U:U, $D$1)
  + COUNTIFS('PPA 사업(C)'!C:C, $E$1, 'PPA 사업(C)'!G:G, B99, 'PPA 사업(C)'!X:X, B102, 'PPA 사업(C)'!U:U, $D$1)
  + COUNTIFS('리스사업(D)'!C:C, $E$1, '리스사업(D)'!G:G, B99, '리스사업(D)'!X:X, B102, '리스사업(D)'!U:U, $D$1)
  + COUNTIFS('임대사업(E)'!C:C, $E$1, '임대사업(E)'!G:G, B99, '임대사업(E)'!X:X, B102, '임대사업(E)'!U:U, $D$1)
  + COUNTIFS('환경부사업(F)'!C:C, $E$1, '환경부사업(F)'!G:G, B99, '환경부사업(F)'!X:X, B102, '환경부사업(F)'!U:U, $D$1)
  + COUNTIFS('프로젝트(G)'!C:C, $E$1, '프로젝트(G)'!G:G, B99, '프로젝트(G)'!X:X, B102, '프로젝트(G)'!U:U, $D$1)
  + COUNTIFS('협력사 EPC(H)'!C:C, $E$1, '협력사 EPC(H)'!G:G, B99, '협력사 EPC(H)'!X:X, B102, '협력사 EPC(H)'!U:U, $D$1)
  + COUNTIFS('기타(Z)'!C:C, $E$1, '기타(Z)'!G:G, B99, '기타(Z)'!X:X, B102, '기타(Z)'!U:U, $D$1)
)</f>
        <v>1</v>
      </c>
    </row>
    <row r="103" spans="2:8" x14ac:dyDescent="0.25">
      <c r="B103" s="195" t="s">
        <v>154</v>
      </c>
      <c r="C103" s="262" t="str">
        <f>IF(
  SUM(
    SUMIFS('발전사업(A)'!I:I, '발전사업(A)'!C:C, $E$1, '발전사업(A)'!G:G, B99, '발전사업(A)'!X:X, B103),
    SUMIFS('자가소비(B)'!I:I, '자가소비(B)'!C:C, $E$1, '자가소비(B)'!G:G, B99, '자가소비(B)'!X:X, B103),
    SUMIFS('PPA 사업(C)'!I:I, 'PPA 사업(C)'!C:C, $E$1, 'PPA 사업(C)'!G:G, B99, 'PPA 사업(C)'!X:X, B103),
    SUMIFS('리스사업(D)'!I:I, '리스사업(D)'!C:C, $E$1, '리스사업(D)'!G:G, B99, '리스사업(D)'!X:X, B103),
    SUMIFS('임대사업(E)'!I:I, '임대사업(E)'!C:C, $E$1, '임대사업(E)'!G:G, B99, '임대사업(E)'!X:X, B103),
    SUMIFS('환경부사업(F)'!I:I, '환경부사업(F)'!C:C, $E$1, '환경부사업(F)'!G:G, B99, '환경부사업(F)'!X:X, B103),
    SUMIFS('프로젝트(G)'!I:I, '프로젝트(G)'!C:C, $E$1, '프로젝트(G)'!G:G, B99, '프로젝트(G)'!X:X, B103),
    SUMIFS('협력사 EPC(H)'!I:I, '협력사 EPC(H)'!C:C, $E$1, '협력사 EPC(H)'!G:G, B99, '협력사 EPC(H)'!X:X, B103),
    SUMIFS('기타(Z)'!I:I, '기타(Z)'!C:C, $E$1, '기타(Z)'!G:G, B99, '기타(Z)'!X:X, B103)
  ) = 0,
  "",
  SUMIFS('발전사업(A)'!I:I, '발전사업(A)'!C:C, $E$1, '발전사업(A)'!G:G, B99, '발전사업(A)'!X:X, B103)
  + SUMIFS('자가소비(B)'!I:I, '자가소비(B)'!C:C, $E$1, '자가소비(B)'!G:G, B99, '자가소비(B)'!X:X, B103)
  + SUMIFS('PPA 사업(C)'!I:I, 'PPA 사업(C)'!C:C, $E$1, 'PPA 사업(C)'!G:G, B99, 'PPA 사업(C)'!X:X, B103)
  + SUMIFS('리스사업(D)'!I:I, '리스사업(D)'!C:C, $E$1, '리스사업(D)'!G:G, B99, '리스사업(D)'!X:X, B103)
  + SUMIFS('임대사업(E)'!I:I, '임대사업(E)'!C:C, $E$1, '임대사업(E)'!G:G, B99, '임대사업(E)'!X:X, B103)
  + SUMIFS('환경부사업(F)'!I:I, '환경부사업(F)'!C:C, $E$1, '환경부사업(F)'!G:G, B99, '환경부사업(F)'!X:X, B103)
  + SUMIFS('프로젝트(G)'!I:I, '프로젝트(G)'!C:C, $E$1, '프로젝트(G)'!G:G, B99, '프로젝트(G)'!X:X, B103)
  + SUMIFS('협력사 EPC(H)'!I:I, '협력사 EPC(H)'!C:C, $E$1, '협력사 EPC(H)'!G:G, B99, '협력사 EPC(H)'!X:X, B103)
  + SUMIFS('기타(Z)'!I:I, '기타(Z)'!C:C, $E$1, '기타(Z)'!G:G, B99, '기타(Z)'!X:X, B103)
)</f>
        <v/>
      </c>
      <c r="D103" s="263" t="str">
        <f>IF(
  COUNTIFS('발전사업(A)'!C:C, $E$1, '발전사업(A)'!G:G, B99, '발전사업(A)'!X:X, B103)
  + COUNTIFS('자가소비(B)'!C:C, $E$1, '자가소비(B)'!G:G, B99, '자가소비(B)'!X:X, B103)
  + COUNTIFS('PPA 사업(C)'!C:C, $E$1, 'PPA 사업(C)'!G:G, B99, 'PPA 사업(C)'!X:X, B103)
  + COUNTIFS('리스사업(D)'!C:C, $E$1, '리스사업(D)'!G:G, B99, '리스사업(D)'!X:X, B103)
  + COUNTIFS('임대사업(E)'!C:C, $E$1, '임대사업(E)'!G:G, B99, '임대사업(E)'!X:X, B103)
  + COUNTIFS('환경부사업(F)'!C:C, $E$1, '환경부사업(F)'!G:G, B99, '환경부사업(F)'!X:X, B103)
  + COUNTIFS('프로젝트(G)'!C:C, $E$1, '프로젝트(G)'!G:G, B99, '프로젝트(G)'!X:X, B103)
  + COUNTIFS('협력사 EPC(H)'!C:C, $E$1, '협력사 EPC(H)'!G:G, B99, '협력사 EPC(H)'!X:X, B103)
  + COUNTIFS('기타(Z)'!C:C, $E$1, '기타(Z)'!G:G, B99, '기타(Z)'!X:X, B103)
  = 0,
  "",
  COUNTIFS('발전사업(A)'!C:C, $E$1, '발전사업(A)'!G:G, B99, '발전사업(A)'!X:X, B103)
  + COUNTIFS('자가소비(B)'!C:C, $E$1, '자가소비(B)'!G:G, B99, '자가소비(B)'!X:X, B103)
  + COUNTIFS('PPA 사업(C)'!C:C, $E$1, 'PPA 사업(C)'!G:G, B99, 'PPA 사업(C)'!X:X, B103)
  + COUNTIFS('리스사업(D)'!C:C, $E$1, '리스사업(D)'!G:G, B99, '리스사업(D)'!X:X, B103)
  + COUNTIFS('임대사업(E)'!C:C, $E$1, '임대사업(E)'!G:G, B99, '임대사업(E)'!X:X, B103)
  + COUNTIFS('환경부사업(F)'!C:C, $E$1, '환경부사업(F)'!G:G, B99, '환경부사업(F)'!X:X, B103)
  + COUNTIFS('프로젝트(G)'!C:C, $E$1, '프로젝트(G)'!G:G, B99, '프로젝트(G)'!X:X, B103)
  + COUNTIFS('협력사 EPC(H)'!C:C, $E$1, '협력사 EPC(H)'!G:G, B99, '협력사 EPC(H)'!X:X, B103)
  + COUNTIFS('기타(Z)'!C:C, $E$1, '기타(Z)'!G:G, B99, '기타(Z)'!X:X, B103)
)</f>
        <v/>
      </c>
      <c r="E103" s="262" t="str">
        <f>IF(
  SUM(
    SUMIFS('발전사업(A)'!I:I, '발전사업(A)'!C:C, $E$1, '발전사업(A)'!G:G, B99, '발전사업(A)'!X:X, B103, '발전사업(A)'!U:U, $C$1),
    SUMIFS('자가소비(B)'!I:I, '자가소비(B)'!C:C, $E$1, '자가소비(B)'!G:G, B99, '자가소비(B)'!X:X, B103, '자가소비(B)'!U:U, $C$1),
    SUMIFS('PPA 사업(C)'!I:I, 'PPA 사업(C)'!C:C, $E$1, 'PPA 사업(C)'!G:G, B99, 'PPA 사업(C)'!X:X, B103, 'PPA 사업(C)'!U:U, $C$1),
    SUMIFS('리스사업(D)'!I:I, '리스사업(D)'!C:C, $E$1, '리스사업(D)'!G:G, B99, '리스사업(D)'!X:X, B103, '리스사업(D)'!U:U, $C$1),
    SUMIFS('임대사업(E)'!I:I, '임대사업(E)'!C:C, $E$1, '임대사업(E)'!G:G, B99, '임대사업(E)'!X:X, B103, '임대사업(E)'!U:U, $C$1),
    SUMIFS('환경부사업(F)'!I:I, '환경부사업(F)'!C:C, $E$1, '환경부사업(F)'!G:G, B99, '환경부사업(F)'!X:X, B103, '환경부사업(F)'!U:U, $C$1),
    SUMIFS('프로젝트(G)'!I:I, '프로젝트(G)'!C:C, $E$1, '프로젝트(G)'!G:G, B99, '프로젝트(G)'!X:X, B103, '프로젝트(G)'!U:U, $C$1),
    SUMIFS('협력사 EPC(H)'!I:I, '협력사 EPC(H)'!C:C, $E$1, '협력사 EPC(H)'!G:G, B99, '협력사 EPC(H)'!X:X, B103, '협력사 EPC(H)'!U:U, $C$1),
    SUMIFS('기타(Z)'!I:I, '기타(Z)'!C:C, $E$1, '기타(Z)'!G:G, B99, '기타(Z)'!X:X, B103, '기타(Z)'!U:U, $C$1)
  ) = 0,
  "",
  SUM(
    SUMIFS('발전사업(A)'!I:I, '발전사업(A)'!C:C, $E$1, '발전사업(A)'!G:G, B99, '발전사업(A)'!X:X, B103, '발전사업(A)'!U:U, $C$1),
    SUMIFS('자가소비(B)'!I:I, '자가소비(B)'!C:C, $E$1, '자가소비(B)'!G:G, B99, '자가소비(B)'!X:X, B103, '자가소비(B)'!U:U, $C$1),
    SUMIFS('PPA 사업(C)'!I:I, 'PPA 사업(C)'!C:C, $E$1, 'PPA 사업(C)'!G:G, B99, 'PPA 사업(C)'!X:X, B103, 'PPA 사업(C)'!U:U, $C$1),
    SUMIFS('리스사업(D)'!I:I, '리스사업(D)'!C:C, $E$1, '리스사업(D)'!G:G, B99, '리스사업(D)'!X:X, B103, '리스사업(D)'!U:U, $C$1),
    SUMIFS('임대사업(E)'!I:I, '임대사업(E)'!C:C, $E$1, '임대사업(E)'!G:G, B99, '임대사업(E)'!X:X, B103, '임대사업(E)'!U:U, $C$1),
    SUMIFS('환경부사업(F)'!I:I, '환경부사업(F)'!C:C, $E$1, '환경부사업(F)'!G:G, B99, '환경부사업(F)'!X:X, B103, '환경부사업(F)'!U:U, $C$1),
    SUMIFS('프로젝트(G)'!I:I, '프로젝트(G)'!C:C, $E$1, '프로젝트(G)'!G:G, B99, '프로젝트(G)'!X:X, B103, '프로젝트(G)'!U:U, $C$1),
    SUMIFS('협력사 EPC(H)'!I:I, '협력사 EPC(H)'!C:C, $E$1, '협력사 EPC(H)'!G:G, B99, '협력사 EPC(H)'!X:X, B103, '협력사 EPC(H)'!U:U, $C$1),
    SUMIFS('기타(Z)'!I:I, '기타(Z)'!C:C, $E$1, '기타(Z)'!G:G, B99, '기타(Z)'!X:X, B103, '기타(Z)'!U:U, $C$1)
  )
)</f>
        <v/>
      </c>
      <c r="F103" s="263" t="str">
        <f>IF(
  SUM(
    COUNTIFS('발전사업(A)'!C:C, $E$1, '발전사업(A)'!G:G, B99, '발전사업(A)'!X:X, B103, '발전사업(A)'!U:U, $C$1),
    COUNTIFS('자가소비(B)'!C:C, $E$1, '자가소비(B)'!G:G, B99, '자가소비(B)'!X:X, B103, '자가소비(B)'!U:U, $C$1),
    COUNTIFS('PPA 사업(C)'!C:C, $E$1, 'PPA 사업(C)'!G:G, B99, 'PPA 사업(C)'!X:X, B103, 'PPA 사업(C)'!U:U, $C$1),
    COUNTIFS('리스사업(D)'!C:C, $E$1, '리스사업(D)'!G:G, B99, '리스사업(D)'!X:X, B103, '리스사업(D)'!U:U, $C$1),
    COUNTIFS('임대사업(E)'!C:C, $E$1, '임대사업(E)'!G:G, B99, '임대사업(E)'!X:X, B103, '임대사업(E)'!U:U, $C$1),
    COUNTIFS('환경부사업(F)'!C:C, $E$1, '환경부사업(F)'!G:G, B99, '환경부사업(F)'!X:X, B103, '환경부사업(F)'!U:U, $C$1),
    COUNTIFS('프로젝트(G)'!C:C, $E$1, '프로젝트(G)'!G:G, B99, '프로젝트(G)'!X:X, B103, '프로젝트(G)'!U:U, $C$1),
    COUNTIFS('협력사 EPC(H)'!C:C, $E$1, '협력사 EPC(H)'!G:G, B99, '협력사 EPC(H)'!X:X, B103, '협력사 EPC(H)'!U:U, $C$1),
    COUNTIFS('기타(Z)'!C:C, $E$1, '기타(Z)'!G:G, B99, '기타(Z)'!X:X, B103, '기타(Z)'!U:U, $C$1)
  ) = 0,
  "",
  SUM(
    COUNTIFS('발전사업(A)'!C:C, $E$1, '발전사업(A)'!G:G, B99, '발전사업(A)'!X:X, B103, '발전사업(A)'!U:U, $C$1),
    COUNTIFS('자가소비(B)'!C:C, $E$1, '자가소비(B)'!G:G, B99, '자가소비(B)'!X:X, B103, '자가소비(B)'!U:U, $C$1),
    COUNTIFS('PPA 사업(C)'!C:C, $E$1, 'PPA 사업(C)'!G:G, B99, 'PPA 사업(C)'!X:X, B103, 'PPA 사업(C)'!U:U, $C$1),
    COUNTIFS('리스사업(D)'!C:C, $E$1, '리스사업(D)'!G:G, B99, '리스사업(D)'!X:X, B103, '리스사업(D)'!U:U, $C$1),
    COUNTIFS('임대사업(E)'!C:C, $E$1, '임대사업(E)'!G:G, B99, '임대사업(E)'!X:X, B103, '임대사업(E)'!U:U, $C$1),
    COUNTIFS('환경부사업(F)'!C:C, $E$1, '환경부사업(F)'!G:G, B99, '환경부사업(F)'!X:X, B103, '환경부사업(F)'!U:U, $C$1),
    COUNTIFS('프로젝트(G)'!C:C, $E$1, '프로젝트(G)'!G:G, B99, '프로젝트(G)'!X:X, B103, '프로젝트(G)'!U:U, $C$1),
    COUNTIFS('협력사 EPC(H)'!C:C, $E$1, '협력사 EPC(H)'!G:G, B99, '협력사 EPC(H)'!X:X, B103, '협력사 EPC(H)'!U:U, $C$1),
    COUNTIFS('기타(Z)'!C:C, $E$1, '기타(Z)'!G:G, B99, '기타(Z)'!X:X, B103, '기타(Z)'!U:U, $C$1)
  )
)</f>
        <v/>
      </c>
      <c r="G103" s="262" t="str">
        <f>IF(
  SUM(
    SUMIFS('발전사업(A)'!I:I, '발전사업(A)'!C:C, $E$1, '발전사업(A)'!G:G, B99, '발전사업(A)'!X:X, B103, '발전사업(A)'!U:U, $D$1),
    SUMIFS('자가소비(B)'!I:I, '자가소비(B)'!C:C, $E$1, '자가소비(B)'!G:G, B99, '자가소비(B)'!X:X, B103, '자가소비(B)'!U:U, $D$1),
    SUMIFS('PPA 사업(C)'!I:I, 'PPA 사업(C)'!C:C, $E$1, 'PPA 사업(C)'!G:G, B99, 'PPA 사업(C)'!X:X, B103, 'PPA 사업(C)'!U:U, $D$1),
    SUMIFS('리스사업(D)'!I:I, '리스사업(D)'!C:C, $E$1, '리스사업(D)'!G:G, B99, '리스사업(D)'!X:X, B103, '리스사업(D)'!U:U, $D$1),
    SUMIFS('임대사업(E)'!I:I, '임대사업(E)'!C:C, $E$1, '임대사업(E)'!G:G, B99, '임대사업(E)'!X:X, B103, '임대사업(E)'!U:U, $D$1),
    SUMIFS('환경부사업(F)'!I:I, '환경부사업(F)'!C:C, $E$1, '환경부사업(F)'!G:G, B99, '환경부사업(F)'!X:X, B103, '환경부사업(F)'!U:U, $D$1),
    SUMIFS('프로젝트(G)'!I:I, '프로젝트(G)'!C:C, $E$1, '프로젝트(G)'!G:G, B99, '프로젝트(G)'!X:X, B103, '프로젝트(G)'!U:U, $D$1),
    SUMIFS('협력사 EPC(H)'!I:I, '협력사 EPC(H)'!C:C, $E$1, '협력사 EPC(H)'!G:G, B99, '협력사 EPC(H)'!X:X, B103, '협력사 EPC(H)'!U:U, $D$1),
    SUMIFS('기타(Z)'!I:I, '기타(Z)'!C:C, $E$1, '기타(Z)'!G:G, B99, '기타(Z)'!X:X, B103, '기타(Z)'!U:U, $D$1)
  ) = 0,
  "",
  SUM(
    SUMIFS('발전사업(A)'!I:I, '발전사업(A)'!C:C, $E$1, '발전사업(A)'!G:G, B99, '발전사업(A)'!X:X, B103, '발전사업(A)'!U:U, $D$1),
    SUMIFS('자가소비(B)'!I:I, '자가소비(B)'!C:C, $E$1, '자가소비(B)'!G:G, B99, '자가소비(B)'!X:X, B103, '자가소비(B)'!U:U, $D$1),
    SUMIFS('PPA 사업(C)'!I:I, 'PPA 사업(C)'!C:C, $E$1, 'PPA 사업(C)'!G:G, B99, 'PPA 사업(C)'!X:X, B103, 'PPA 사업(C)'!U:U, $D$1),
    SUMIFS('리스사업(D)'!I:I, '리스사업(D)'!C:C, $E$1, '리스사업(D)'!G:G, B99, '리스사업(D)'!X:X, B103, '리스사업(D)'!U:U, $D$1),
    SUMIFS('임대사업(E)'!I:I, '임대사업(E)'!C:C, $E$1, '임대사업(E)'!G:G, B99, '임대사업(E)'!X:X, B103, '임대사업(E)'!U:U, $D$1),
    SUMIFS('환경부사업(F)'!I:I, '환경부사업(F)'!C:C, $E$1, '환경부사업(F)'!G:G, B99, '환경부사업(F)'!X:X, B103, '환경부사업(F)'!U:U, $D$1),
    SUMIFS('프로젝트(G)'!I:I, '프로젝트(G)'!C:C, $E$1, '프로젝트(G)'!G:G, B99, '프로젝트(G)'!X:X, B103, '프로젝트(G)'!U:U, $D$1),
    SUMIFS('협력사 EPC(H)'!I:I, '협력사 EPC(H)'!C:C, $E$1, '협력사 EPC(H)'!G:G, B99, '협력사 EPC(H)'!X:X, B103, '협력사 EPC(H)'!U:U, $D$1),
    SUMIFS('기타(Z)'!I:I, '기타(Z)'!C:C, $E$1, '기타(Z)'!G:G, B99, '기타(Z)'!X:X, B103, '기타(Z)'!U:U, $D$1)
  )
)</f>
        <v/>
      </c>
      <c r="H103" s="263" t="str">
        <f>IF(
  (
    COUNTIFS('발전사업(A)'!C:C, $E$1, '발전사업(A)'!G:G, B99, '발전사업(A)'!X:X, B103, '발전사업(A)'!U:U, $D$1)
    + COUNTIFS('자가소비(B)'!C:C, $E$1, '자가소비(B)'!G:G, B99, '자가소비(B)'!X:X, B103, '자가소비(B)'!U:U, $D$1)
    + COUNTIFS('PPA 사업(C)'!C:C, $E$1, 'PPA 사업(C)'!G:G, B99, 'PPA 사업(C)'!X:X, B103, 'PPA 사업(C)'!U:U, $D$1)
    + COUNTIFS('리스사업(D)'!C:C, $E$1, '리스사업(D)'!G:G, B99, '리스사업(D)'!X:X, B103, '리스사업(D)'!U:U, $D$1)
    + COUNTIFS('임대사업(E)'!C:C, $E$1, '임대사업(E)'!G:G, B99, '임대사업(E)'!X:X, B103, '임대사업(E)'!U:U, $D$1)
    + COUNTIFS('환경부사업(F)'!C:C, $E$1, '환경부사업(F)'!G:G, B99, '환경부사업(F)'!X:X, B103, '환경부사업(F)'!U:U, $D$1)
    + COUNTIFS('프로젝트(G)'!C:C, $E$1, '프로젝트(G)'!G:G, B99, '프로젝트(G)'!X:X, B103, '프로젝트(G)'!U:U, $D$1)
    + COUNTIFS('협력사 EPC(H)'!C:C, $E$1, '협력사 EPC(H)'!G:G, B99, '협력사 EPC(H)'!X:X, B103, '협력사 EPC(H)'!U:U, $D$1)
    + COUNTIFS('기타(Z)'!C:C, $E$1, '기타(Z)'!G:G, B99, '기타(Z)'!X:X, B103, '기타(Z)'!U:U, $D$1)
  ) = 0,
  "",
  COUNTIFS('발전사업(A)'!C:C, $E$1, '발전사업(A)'!G:G, B99, '발전사업(A)'!X:X, B103, '발전사업(A)'!U:U, $D$1)
  + COUNTIFS('자가소비(B)'!C:C, $E$1, '자가소비(B)'!G:G, B99, '자가소비(B)'!X:X, B103, '자가소비(B)'!U:U, $D$1)
  + COUNTIFS('PPA 사업(C)'!C:C, $E$1, 'PPA 사업(C)'!G:G, B99, 'PPA 사업(C)'!X:X, B103, 'PPA 사업(C)'!U:U, $D$1)
  + COUNTIFS('리스사업(D)'!C:C, $E$1, '리스사업(D)'!G:G, B99, '리스사업(D)'!X:X, B103, '리스사업(D)'!U:U, $D$1)
  + COUNTIFS('임대사업(E)'!C:C, $E$1, '임대사업(E)'!G:G, B99, '임대사업(E)'!X:X, B103, '임대사업(E)'!U:U, $D$1)
  + COUNTIFS('환경부사업(F)'!C:C, $E$1, '환경부사업(F)'!G:G, B99, '환경부사업(F)'!X:X, B103, '환경부사업(F)'!U:U, $D$1)
  + COUNTIFS('프로젝트(G)'!C:C, $E$1, '프로젝트(G)'!G:G, B99, '프로젝트(G)'!X:X, B103, '프로젝트(G)'!U:U, $D$1)
  + COUNTIFS('협력사 EPC(H)'!C:C, $E$1, '협력사 EPC(H)'!G:G, B99, '협력사 EPC(H)'!X:X, B103, '협력사 EPC(H)'!U:U, $D$1)
  + COUNTIFS('기타(Z)'!C:C, $E$1, '기타(Z)'!G:G, B99, '기타(Z)'!X:X, B103, '기타(Z)'!U:U, $D$1)
)</f>
        <v/>
      </c>
    </row>
    <row r="104" spans="2:8" x14ac:dyDescent="0.25">
      <c r="B104" s="195" t="s">
        <v>155</v>
      </c>
      <c r="C104" s="262">
        <f>IF(
  SUM(
    SUMIFS('발전사업(A)'!I:I, '발전사업(A)'!C:C, $E$1, '발전사업(A)'!G:G, B99, '발전사업(A)'!X:X, B104),
    SUMIFS('자가소비(B)'!I:I, '자가소비(B)'!C:C, $E$1, '자가소비(B)'!G:G, B99, '자가소비(B)'!X:X, B104),
    SUMIFS('PPA 사업(C)'!I:I, 'PPA 사업(C)'!C:C, $E$1, 'PPA 사업(C)'!G:G, B99, 'PPA 사업(C)'!X:X, B104),
    SUMIFS('리스사업(D)'!I:I, '리스사업(D)'!C:C, $E$1, '리스사업(D)'!G:G, B99, '리스사업(D)'!X:X, B104),
    SUMIFS('임대사업(E)'!I:I, '임대사업(E)'!C:C, $E$1, '임대사업(E)'!G:G, B99, '임대사업(E)'!X:X, B104),
    SUMIFS('환경부사업(F)'!I:I, '환경부사업(F)'!C:C, $E$1, '환경부사업(F)'!G:G, B99, '환경부사업(F)'!X:X, B104),
    SUMIFS('프로젝트(G)'!I:I, '프로젝트(G)'!C:C, $E$1, '프로젝트(G)'!G:G, B99, '프로젝트(G)'!X:X, B104),
    SUMIFS('협력사 EPC(H)'!I:I, '협력사 EPC(H)'!C:C, $E$1, '협력사 EPC(H)'!G:G, B99, '협력사 EPC(H)'!X:X, B104),
    SUMIFS('기타(Z)'!I:I, '기타(Z)'!C:C, $E$1, '기타(Z)'!G:G, B99, '기타(Z)'!X:X, B104)
  ) = 0,
  "",
  SUMIFS('발전사업(A)'!I:I, '발전사업(A)'!C:C, $E$1, '발전사업(A)'!G:G, B99, '발전사업(A)'!X:X, B104)
  + SUMIFS('자가소비(B)'!I:I, '자가소비(B)'!C:C, $E$1, '자가소비(B)'!G:G, B99, '자가소비(B)'!X:X, B104)
  + SUMIFS('PPA 사업(C)'!I:I, 'PPA 사업(C)'!C:C, $E$1, 'PPA 사업(C)'!G:G, B99, 'PPA 사업(C)'!X:X, B104)
  + SUMIFS('리스사업(D)'!I:I, '리스사업(D)'!C:C, $E$1, '리스사업(D)'!G:G, B99, '리스사업(D)'!X:X, B104)
  + SUMIFS('임대사업(E)'!I:I, '임대사업(E)'!C:C, $E$1, '임대사업(E)'!G:G, B99, '임대사업(E)'!X:X, B104)
  + SUMIFS('환경부사업(F)'!I:I, '환경부사업(F)'!C:C, $E$1, '환경부사업(F)'!G:G, B99, '환경부사업(F)'!X:X, B104)
  + SUMIFS('프로젝트(G)'!I:I, '프로젝트(G)'!C:C, $E$1, '프로젝트(G)'!G:G, B99, '프로젝트(G)'!X:X, B104)
  + SUMIFS('협력사 EPC(H)'!I:I, '협력사 EPC(H)'!C:C, $E$1, '협력사 EPC(H)'!G:G, B99, '협력사 EPC(H)'!X:X, B104)
  + SUMIFS('기타(Z)'!I:I, '기타(Z)'!C:C, $E$1, '기타(Z)'!G:G, B99, '기타(Z)'!X:X, B104)
)</f>
        <v>565.02</v>
      </c>
      <c r="D104" s="263">
        <f>IF(
  COUNTIFS('발전사업(A)'!C:C, $E$1, '발전사업(A)'!G:G, B99, '발전사업(A)'!X:X, B104)
  + COUNTIFS('자가소비(B)'!C:C, $E$1, '자가소비(B)'!G:G, B99, '자가소비(B)'!X:X, B104)
  + COUNTIFS('PPA 사업(C)'!C:C, $E$1, 'PPA 사업(C)'!G:G, B99, 'PPA 사업(C)'!X:X, B104)
  + COUNTIFS('리스사업(D)'!C:C, $E$1, '리스사업(D)'!G:G, B99, '리스사업(D)'!X:X, B104)
  + COUNTIFS('임대사업(E)'!C:C, $E$1, '임대사업(E)'!G:G, B99, '임대사업(E)'!X:X, B104)
  + COUNTIFS('환경부사업(F)'!C:C, $E$1, '환경부사업(F)'!G:G, B99, '환경부사업(F)'!X:X, B104)
  + COUNTIFS('프로젝트(G)'!C:C, $E$1, '프로젝트(G)'!G:G, B99, '프로젝트(G)'!X:X, B104)
  + COUNTIFS('협력사 EPC(H)'!C:C, $E$1, '협력사 EPC(H)'!G:G, B99, '협력사 EPC(H)'!X:X, B104)
  + COUNTIFS('기타(Z)'!C:C, $E$1, '기타(Z)'!G:G, B99, '기타(Z)'!X:X, B104)
  = 0,
  "",
  COUNTIFS('발전사업(A)'!C:C, $E$1, '발전사업(A)'!G:G, B99, '발전사업(A)'!X:X, B104)
  + COUNTIFS('자가소비(B)'!C:C, $E$1, '자가소비(B)'!G:G, B99, '자가소비(B)'!X:X, B104)
  + COUNTIFS('PPA 사업(C)'!C:C, $E$1, 'PPA 사업(C)'!G:G, B99, 'PPA 사업(C)'!X:X, B104)
  + COUNTIFS('리스사업(D)'!C:C, $E$1, '리스사업(D)'!G:G, B99, '리스사업(D)'!X:X, B104)
  + COUNTIFS('임대사업(E)'!C:C, $E$1, '임대사업(E)'!G:G, B99, '임대사업(E)'!X:X, B104)
  + COUNTIFS('환경부사업(F)'!C:C, $E$1, '환경부사업(F)'!G:G, B99, '환경부사업(F)'!X:X, B104)
  + COUNTIFS('프로젝트(G)'!C:C, $E$1, '프로젝트(G)'!G:G, B99, '프로젝트(G)'!X:X, B104)
  + COUNTIFS('협력사 EPC(H)'!C:C, $E$1, '협력사 EPC(H)'!G:G, B99, '협력사 EPC(H)'!X:X, B104)
  + COUNTIFS('기타(Z)'!C:C, $E$1, '기타(Z)'!G:G, B99, '기타(Z)'!X:X, B104)
)</f>
        <v>6</v>
      </c>
      <c r="E104" s="262">
        <f>IF(
  SUM(
    SUMIFS('발전사업(A)'!I:I, '발전사업(A)'!C:C, $E$1, '발전사업(A)'!G:G, B99, '발전사업(A)'!X:X, B104, '발전사업(A)'!U:U, $C$1),
    SUMIFS('자가소비(B)'!I:I, '자가소비(B)'!C:C, $E$1, '자가소비(B)'!G:G, B99, '자가소비(B)'!X:X, B104, '자가소비(B)'!U:U, $C$1),
    SUMIFS('PPA 사업(C)'!I:I, 'PPA 사업(C)'!C:C, $E$1, 'PPA 사업(C)'!G:G, B99, 'PPA 사업(C)'!X:X, B104, 'PPA 사업(C)'!U:U, $C$1),
    SUMIFS('리스사업(D)'!I:I, '리스사업(D)'!C:C, $E$1, '리스사업(D)'!G:G, B99, '리스사업(D)'!X:X, B104, '리스사업(D)'!U:U, $C$1),
    SUMIFS('임대사업(E)'!I:I, '임대사업(E)'!C:C, $E$1, '임대사업(E)'!G:G, B99, '임대사업(E)'!X:X, B104, '임대사업(E)'!U:U, $C$1),
    SUMIFS('환경부사업(F)'!I:I, '환경부사업(F)'!C:C, $E$1, '환경부사업(F)'!G:G, B99, '환경부사업(F)'!X:X, B104, '환경부사업(F)'!U:U, $C$1),
    SUMIFS('프로젝트(G)'!I:I, '프로젝트(G)'!C:C, $E$1, '프로젝트(G)'!G:G, B99, '프로젝트(G)'!X:X, B104, '프로젝트(G)'!U:U, $C$1),
    SUMIFS('협력사 EPC(H)'!I:I, '협력사 EPC(H)'!C:C, $E$1, '협력사 EPC(H)'!G:G, B99, '협력사 EPC(H)'!X:X, B104, '협력사 EPC(H)'!U:U, $C$1),
    SUMIFS('기타(Z)'!I:I, '기타(Z)'!C:C, $E$1, '기타(Z)'!G:G, B99, '기타(Z)'!X:X, B104, '기타(Z)'!U:U, $C$1)
  ) = 0,
  "",
  SUM(
    SUMIFS('발전사업(A)'!I:I, '발전사업(A)'!C:C, $E$1, '발전사업(A)'!G:G, B99, '발전사업(A)'!X:X, B104, '발전사업(A)'!U:U, $C$1),
    SUMIFS('자가소비(B)'!I:I, '자가소비(B)'!C:C, $E$1, '자가소비(B)'!G:G, B99, '자가소비(B)'!X:X, B104, '자가소비(B)'!U:U, $C$1),
    SUMIFS('PPA 사업(C)'!I:I, 'PPA 사업(C)'!C:C, $E$1, 'PPA 사업(C)'!G:G, B99, 'PPA 사업(C)'!X:X, B104, 'PPA 사업(C)'!U:U, $C$1),
    SUMIFS('리스사업(D)'!I:I, '리스사업(D)'!C:C, $E$1, '리스사업(D)'!G:G, B99, '리스사업(D)'!X:X, B104, '리스사업(D)'!U:U, $C$1),
    SUMIFS('임대사업(E)'!I:I, '임대사업(E)'!C:C, $E$1, '임대사업(E)'!G:G, B99, '임대사업(E)'!X:X, B104, '임대사업(E)'!U:U, $C$1),
    SUMIFS('환경부사업(F)'!I:I, '환경부사업(F)'!C:C, $E$1, '환경부사업(F)'!G:G, B99, '환경부사업(F)'!X:X, B104, '환경부사업(F)'!U:U, $C$1),
    SUMIFS('프로젝트(G)'!I:I, '프로젝트(G)'!C:C, $E$1, '프로젝트(G)'!G:G, B99, '프로젝트(G)'!X:X, B104, '프로젝트(G)'!U:U, $C$1),
    SUMIFS('협력사 EPC(H)'!I:I, '협력사 EPC(H)'!C:C, $E$1, '협력사 EPC(H)'!G:G, B99, '협력사 EPC(H)'!X:X, B104, '협력사 EPC(H)'!U:U, $C$1),
    SUMIFS('기타(Z)'!I:I, '기타(Z)'!C:C, $E$1, '기타(Z)'!G:G, B99, '기타(Z)'!X:X, B104, '기타(Z)'!U:U, $C$1)
  )
)</f>
        <v>277.35000000000002</v>
      </c>
      <c r="F104" s="263">
        <f>IF(
  SUM(
    COUNTIFS('발전사업(A)'!C:C, $E$1, '발전사업(A)'!G:G, B99, '발전사업(A)'!X:X, B104, '발전사업(A)'!U:U, $C$1),
    COUNTIFS('자가소비(B)'!C:C, $E$1, '자가소비(B)'!G:G, B99, '자가소비(B)'!X:X, B104, '자가소비(B)'!U:U, $C$1),
    COUNTIFS('PPA 사업(C)'!C:C, $E$1, 'PPA 사업(C)'!G:G, B99, 'PPA 사업(C)'!X:X, B104, 'PPA 사업(C)'!U:U, $C$1),
    COUNTIFS('리스사업(D)'!C:C, $E$1, '리스사업(D)'!G:G, B99, '리스사업(D)'!X:X, B104, '리스사업(D)'!U:U, $C$1),
    COUNTIFS('임대사업(E)'!C:C, $E$1, '임대사업(E)'!G:G, B99, '임대사업(E)'!X:X, B104, '임대사업(E)'!U:U, $C$1),
    COUNTIFS('환경부사업(F)'!C:C, $E$1, '환경부사업(F)'!G:G, B99, '환경부사업(F)'!X:X, B104, '환경부사업(F)'!U:U, $C$1),
    COUNTIFS('프로젝트(G)'!C:C, $E$1, '프로젝트(G)'!G:G, B99, '프로젝트(G)'!X:X, B104, '프로젝트(G)'!U:U, $C$1),
    COUNTIFS('협력사 EPC(H)'!C:C, $E$1, '협력사 EPC(H)'!G:G, B99, '협력사 EPC(H)'!X:X, B104, '협력사 EPC(H)'!U:U, $C$1),
    COUNTIFS('기타(Z)'!C:C, $E$1, '기타(Z)'!G:G, B99, '기타(Z)'!X:X, B104, '기타(Z)'!U:U, $C$1)
  ) = 0,
  "",
  SUM(
    COUNTIFS('발전사업(A)'!C:C, $E$1, '발전사업(A)'!G:G, B99, '발전사업(A)'!X:X, B104, '발전사업(A)'!U:U, $C$1),
    COUNTIFS('자가소비(B)'!C:C, $E$1, '자가소비(B)'!G:G, B99, '자가소비(B)'!X:X, B104, '자가소비(B)'!U:U, $C$1),
    COUNTIFS('PPA 사업(C)'!C:C, $E$1, 'PPA 사업(C)'!G:G, B99, 'PPA 사업(C)'!X:X, B104, 'PPA 사업(C)'!U:U, $C$1),
    COUNTIFS('리스사업(D)'!C:C, $E$1, '리스사업(D)'!G:G, B99, '리스사업(D)'!X:X, B104, '리스사업(D)'!U:U, $C$1),
    COUNTIFS('임대사업(E)'!C:C, $E$1, '임대사업(E)'!G:G, B99, '임대사업(E)'!X:X, B104, '임대사업(E)'!U:U, $C$1),
    COUNTIFS('환경부사업(F)'!C:C, $E$1, '환경부사업(F)'!G:G, B99, '환경부사업(F)'!X:X, B104, '환경부사업(F)'!U:U, $C$1),
    COUNTIFS('프로젝트(G)'!C:C, $E$1, '프로젝트(G)'!G:G, B99, '프로젝트(G)'!X:X, B104, '프로젝트(G)'!U:U, $C$1),
    COUNTIFS('협력사 EPC(H)'!C:C, $E$1, '협력사 EPC(H)'!G:G, B99, '협력사 EPC(H)'!X:X, B104, '협력사 EPC(H)'!U:U, $C$1),
    COUNTIFS('기타(Z)'!C:C, $E$1, '기타(Z)'!G:G, B99, '기타(Z)'!X:X, B104, '기타(Z)'!U:U, $C$1)
  )
)</f>
        <v>3</v>
      </c>
      <c r="G104" s="262">
        <f>IF(
  SUM(
    SUMIFS('발전사업(A)'!I:I, '발전사업(A)'!C:C, $E$1, '발전사업(A)'!G:G, B99, '발전사업(A)'!X:X, B104, '발전사업(A)'!U:U, $D$1),
    SUMIFS('자가소비(B)'!I:I, '자가소비(B)'!C:C, $E$1, '자가소비(B)'!G:G, B99, '자가소비(B)'!X:X, B104, '자가소비(B)'!U:U, $D$1),
    SUMIFS('PPA 사업(C)'!I:I, 'PPA 사업(C)'!C:C, $E$1, 'PPA 사업(C)'!G:G, B99, 'PPA 사업(C)'!X:X, B104, 'PPA 사업(C)'!U:U, $D$1),
    SUMIFS('리스사업(D)'!I:I, '리스사업(D)'!C:C, $E$1, '리스사업(D)'!G:G, B99, '리스사업(D)'!X:X, B104, '리스사업(D)'!U:U, $D$1),
    SUMIFS('임대사업(E)'!I:I, '임대사업(E)'!C:C, $E$1, '임대사업(E)'!G:G, B99, '임대사업(E)'!X:X, B104, '임대사업(E)'!U:U, $D$1),
    SUMIFS('환경부사업(F)'!I:I, '환경부사업(F)'!C:C, $E$1, '환경부사업(F)'!G:G, B99, '환경부사업(F)'!X:X, B104, '환경부사업(F)'!U:U, $D$1),
    SUMIFS('프로젝트(G)'!I:I, '프로젝트(G)'!C:C, $E$1, '프로젝트(G)'!G:G, B99, '프로젝트(G)'!X:X, B104, '프로젝트(G)'!U:U, $D$1),
    SUMIFS('협력사 EPC(H)'!I:I, '협력사 EPC(H)'!C:C, $E$1, '협력사 EPC(H)'!G:G, B99, '협력사 EPC(H)'!X:X, B104, '협력사 EPC(H)'!U:U, $D$1),
    SUMIFS('기타(Z)'!I:I, '기타(Z)'!C:C, $E$1, '기타(Z)'!G:G, B99, '기타(Z)'!X:X, B104, '기타(Z)'!U:U, $D$1)
  ) = 0,
  "",
  SUM(
    SUMIFS('발전사업(A)'!I:I, '발전사업(A)'!C:C, $E$1, '발전사업(A)'!G:G, B99, '발전사업(A)'!X:X, B104, '발전사업(A)'!U:U, $D$1),
    SUMIFS('자가소비(B)'!I:I, '자가소비(B)'!C:C, $E$1, '자가소비(B)'!G:G, B99, '자가소비(B)'!X:X, B104, '자가소비(B)'!U:U, $D$1),
    SUMIFS('PPA 사업(C)'!I:I, 'PPA 사업(C)'!C:C, $E$1, 'PPA 사업(C)'!G:G, B99, 'PPA 사업(C)'!X:X, B104, 'PPA 사업(C)'!U:U, $D$1),
    SUMIFS('리스사업(D)'!I:I, '리스사업(D)'!C:C, $E$1, '리스사업(D)'!G:G, B99, '리스사업(D)'!X:X, B104, '리스사업(D)'!U:U, $D$1),
    SUMIFS('임대사업(E)'!I:I, '임대사업(E)'!C:C, $E$1, '임대사업(E)'!G:G, B99, '임대사업(E)'!X:X, B104, '임대사업(E)'!U:U, $D$1),
    SUMIFS('환경부사업(F)'!I:I, '환경부사업(F)'!C:C, $E$1, '환경부사업(F)'!G:G, B99, '환경부사업(F)'!X:X, B104, '환경부사업(F)'!U:U, $D$1),
    SUMIFS('프로젝트(G)'!I:I, '프로젝트(G)'!C:C, $E$1, '프로젝트(G)'!G:G, B99, '프로젝트(G)'!X:X, B104, '프로젝트(G)'!U:U, $D$1),
    SUMIFS('협력사 EPC(H)'!I:I, '협력사 EPC(H)'!C:C, $E$1, '협력사 EPC(H)'!G:G, B99, '협력사 EPC(H)'!X:X, B104, '협력사 EPC(H)'!U:U, $D$1),
    SUMIFS('기타(Z)'!I:I, '기타(Z)'!C:C, $E$1, '기타(Z)'!G:G, B99, '기타(Z)'!X:X, B104, '기타(Z)'!U:U, $D$1)
  )
)</f>
        <v>287.67</v>
      </c>
      <c r="H104" s="263">
        <f>IF(
  (
    COUNTIFS('발전사업(A)'!C:C, $E$1, '발전사업(A)'!G:G, B99, '발전사업(A)'!X:X, B104, '발전사업(A)'!U:U, $D$1)
    + COUNTIFS('자가소비(B)'!C:C, $E$1, '자가소비(B)'!G:G, B99, '자가소비(B)'!X:X, B104, '자가소비(B)'!U:U, $D$1)
    + COUNTIFS('PPA 사업(C)'!C:C, $E$1, 'PPA 사업(C)'!G:G, B99, 'PPA 사업(C)'!X:X, B104, 'PPA 사업(C)'!U:U, $D$1)
    + COUNTIFS('리스사업(D)'!C:C, $E$1, '리스사업(D)'!G:G, B99, '리스사업(D)'!X:X, B104, '리스사업(D)'!U:U, $D$1)
    + COUNTIFS('임대사업(E)'!C:C, $E$1, '임대사업(E)'!G:G, B99, '임대사업(E)'!X:X, B104, '임대사업(E)'!U:U, $D$1)
    + COUNTIFS('환경부사업(F)'!C:C, $E$1, '환경부사업(F)'!G:G, B99, '환경부사업(F)'!X:X, B104, '환경부사업(F)'!U:U, $D$1)
    + COUNTIFS('프로젝트(G)'!C:C, $E$1, '프로젝트(G)'!G:G, B99, '프로젝트(G)'!X:X, B104, '프로젝트(G)'!U:U, $D$1)
    + COUNTIFS('협력사 EPC(H)'!C:C, $E$1, '협력사 EPC(H)'!G:G, B99, '협력사 EPC(H)'!X:X, B104, '협력사 EPC(H)'!U:U, $D$1)
    + COUNTIFS('기타(Z)'!C:C, $E$1, '기타(Z)'!G:G, B99, '기타(Z)'!X:X, B104, '기타(Z)'!U:U, $D$1)
  ) = 0,
  "",
  COUNTIFS('발전사업(A)'!C:C, $E$1, '발전사업(A)'!G:G, B99, '발전사업(A)'!X:X, B104, '발전사업(A)'!U:U, $D$1)
  + COUNTIFS('자가소비(B)'!C:C, $E$1, '자가소비(B)'!G:G, B99, '자가소비(B)'!X:X, B104, '자가소비(B)'!U:U, $D$1)
  + COUNTIFS('PPA 사업(C)'!C:C, $E$1, 'PPA 사업(C)'!G:G, B99, 'PPA 사업(C)'!X:X, B104, 'PPA 사업(C)'!U:U, $D$1)
  + COUNTIFS('리스사업(D)'!C:C, $E$1, '리스사업(D)'!G:G, B99, '리스사업(D)'!X:X, B104, '리스사업(D)'!U:U, $D$1)
  + COUNTIFS('임대사업(E)'!C:C, $E$1, '임대사업(E)'!G:G, B99, '임대사업(E)'!X:X, B104, '임대사업(E)'!U:U, $D$1)
  + COUNTIFS('환경부사업(F)'!C:C, $E$1, '환경부사업(F)'!G:G, B99, '환경부사업(F)'!X:X, B104, '환경부사업(F)'!U:U, $D$1)
  + COUNTIFS('프로젝트(G)'!C:C, $E$1, '프로젝트(G)'!G:G, B99, '프로젝트(G)'!X:X, B104, '프로젝트(G)'!U:U, $D$1)
  + COUNTIFS('협력사 EPC(H)'!C:C, $E$1, '협력사 EPC(H)'!G:G, B99, '협력사 EPC(H)'!X:X, B104, '협력사 EPC(H)'!U:U, $D$1)
  + COUNTIFS('기타(Z)'!C:C, $E$1, '기타(Z)'!G:G, B99, '기타(Z)'!X:X, B104, '기타(Z)'!U:U, $D$1)
)</f>
        <v>3</v>
      </c>
    </row>
    <row r="105" spans="2:8" x14ac:dyDescent="0.25">
      <c r="B105" s="195" t="s">
        <v>156</v>
      </c>
      <c r="C105" s="262">
        <f>IF(
  SUM(
    SUMIFS('발전사업(A)'!I:I, '발전사업(A)'!C:C, $E$1, '발전사업(A)'!G:G, B99, '발전사업(A)'!X:X, B105),
    SUMIFS('자가소비(B)'!I:I, '자가소비(B)'!C:C, $E$1, '자가소비(B)'!G:G, B99, '자가소비(B)'!X:X, B105),
    SUMIFS('PPA 사업(C)'!I:I, 'PPA 사업(C)'!C:C, $E$1, 'PPA 사업(C)'!G:G, B99, 'PPA 사업(C)'!X:X, B105),
    SUMIFS('리스사업(D)'!I:I, '리스사업(D)'!C:C, $E$1, '리스사업(D)'!G:G, B99, '리스사업(D)'!X:X, B105),
    SUMIFS('임대사업(E)'!I:I, '임대사업(E)'!C:C, $E$1, '임대사업(E)'!G:G, B99, '임대사업(E)'!X:X, B105),
    SUMIFS('환경부사업(F)'!I:I, '환경부사업(F)'!C:C, $E$1, '환경부사업(F)'!G:G, B99, '환경부사업(F)'!X:X, B105),
    SUMIFS('프로젝트(G)'!I:I, '프로젝트(G)'!C:C, $E$1, '프로젝트(G)'!G:G, B99, '프로젝트(G)'!X:X, B105),
    SUMIFS('협력사 EPC(H)'!I:I, '협력사 EPC(H)'!C:C, $E$1, '협력사 EPC(H)'!G:G, B99, '협력사 EPC(H)'!X:X, B105),
    SUMIFS('기타(Z)'!I:I, '기타(Z)'!C:C, $E$1, '기타(Z)'!G:G, B99, '기타(Z)'!X:X, B105)
  ) = 0,
  "",
  SUMIFS('발전사업(A)'!I:I, '발전사업(A)'!C:C, $E$1, '발전사업(A)'!G:G, B99, '발전사업(A)'!X:X, B105)
  + SUMIFS('자가소비(B)'!I:I, '자가소비(B)'!C:C, $E$1, '자가소비(B)'!G:G, B99, '자가소비(B)'!X:X, B105)
  + SUMIFS('PPA 사업(C)'!I:I, 'PPA 사업(C)'!C:C, $E$1, 'PPA 사업(C)'!G:G, B99, 'PPA 사업(C)'!X:X, B105)
  + SUMIFS('리스사업(D)'!I:I, '리스사업(D)'!C:C, $E$1, '리스사업(D)'!G:G, B99, '리스사업(D)'!X:X, B105)
  + SUMIFS('임대사업(E)'!I:I, '임대사업(E)'!C:C, $E$1, '임대사업(E)'!G:G, B99, '임대사업(E)'!X:X, B105)
  + SUMIFS('환경부사업(F)'!I:I, '환경부사업(F)'!C:C, $E$1, '환경부사업(F)'!G:G, B99, '환경부사업(F)'!X:X, B105)
  + SUMIFS('프로젝트(G)'!I:I, '프로젝트(G)'!C:C, $E$1, '프로젝트(G)'!G:G, B99, '프로젝트(G)'!X:X, B105)
  + SUMIFS('협력사 EPC(H)'!I:I, '협력사 EPC(H)'!C:C, $E$1, '협력사 EPC(H)'!G:G, B99, '협력사 EPC(H)'!X:X, B105)
  + SUMIFS('기타(Z)'!I:I, '기타(Z)'!C:C, $E$1, '기타(Z)'!G:G, B99, '기타(Z)'!X:X, B105)
)</f>
        <v>624.36</v>
      </c>
      <c r="D105" s="263">
        <f>IF(
  COUNTIFS('발전사업(A)'!C:C, $E$1, '발전사업(A)'!G:G, B99, '발전사업(A)'!X:X, B105)
  + COUNTIFS('자가소비(B)'!C:C, $E$1, '자가소비(B)'!G:G, B99, '자가소비(B)'!X:X, B105)
  + COUNTIFS('PPA 사업(C)'!C:C, $E$1, 'PPA 사업(C)'!G:G, B99, 'PPA 사업(C)'!X:X, B105)
  + COUNTIFS('리스사업(D)'!C:C, $E$1, '리스사업(D)'!G:G, B99, '리스사업(D)'!X:X, B105)
  + COUNTIFS('임대사업(E)'!C:C, $E$1, '임대사업(E)'!G:G, B99, '임대사업(E)'!X:X, B105)
  + COUNTIFS('환경부사업(F)'!C:C, $E$1, '환경부사업(F)'!G:G, B99, '환경부사업(F)'!X:X, B105)
  + COUNTIFS('프로젝트(G)'!C:C, $E$1, '프로젝트(G)'!G:G, B99, '프로젝트(G)'!X:X, B105)
  + COUNTIFS('협력사 EPC(H)'!C:C, $E$1, '협력사 EPC(H)'!G:G, B99, '협력사 EPC(H)'!X:X, B105)
  + COUNTIFS('기타(Z)'!C:C, $E$1, '기타(Z)'!G:G, B99, '기타(Z)'!X:X, B105)
  = 0,
  "",
  COUNTIFS('발전사업(A)'!C:C, $E$1, '발전사업(A)'!G:G, B99, '발전사업(A)'!X:X, B105)
  + COUNTIFS('자가소비(B)'!C:C, $E$1, '자가소비(B)'!G:G, B99, '자가소비(B)'!X:X, B105)
  + COUNTIFS('PPA 사업(C)'!C:C, $E$1, 'PPA 사업(C)'!G:G, B99, 'PPA 사업(C)'!X:X, B105)
  + COUNTIFS('리스사업(D)'!C:C, $E$1, '리스사업(D)'!G:G, B99, '리스사업(D)'!X:X, B105)
  + COUNTIFS('임대사업(E)'!C:C, $E$1, '임대사업(E)'!G:G, B99, '임대사업(E)'!X:X, B105)
  + COUNTIFS('환경부사업(F)'!C:C, $E$1, '환경부사업(F)'!G:G, B99, '환경부사업(F)'!X:X, B105)
  + COUNTIFS('프로젝트(G)'!C:C, $E$1, '프로젝트(G)'!G:G, B99, '프로젝트(G)'!X:X, B105)
  + COUNTIFS('협력사 EPC(H)'!C:C, $E$1, '협력사 EPC(H)'!G:G, B99, '협력사 EPC(H)'!X:X, B105)
  + COUNTIFS('기타(Z)'!C:C, $E$1, '기타(Z)'!G:G, B99, '기타(Z)'!X:X, B105)
)</f>
        <v>1</v>
      </c>
      <c r="E105" s="262" t="str">
        <f>IF(
  SUM(
    SUMIFS('발전사업(A)'!I:I, '발전사업(A)'!C:C, $E$1, '발전사업(A)'!G:G, B99, '발전사업(A)'!X:X, B105, '발전사업(A)'!U:U, $C$1),
    SUMIFS('자가소비(B)'!I:I, '자가소비(B)'!C:C, $E$1, '자가소비(B)'!G:G, B99, '자가소비(B)'!X:X, B105, '자가소비(B)'!U:U, $C$1),
    SUMIFS('PPA 사업(C)'!I:I, 'PPA 사업(C)'!C:C, $E$1, 'PPA 사업(C)'!G:G, B99, 'PPA 사업(C)'!X:X, B105, 'PPA 사업(C)'!U:U, $C$1),
    SUMIFS('리스사업(D)'!I:I, '리스사업(D)'!C:C, $E$1, '리스사업(D)'!G:G, B99, '리스사업(D)'!X:X, B105, '리스사업(D)'!U:U, $C$1),
    SUMIFS('임대사업(E)'!I:I, '임대사업(E)'!C:C, $E$1, '임대사업(E)'!G:G, B99, '임대사업(E)'!X:X, B105, '임대사업(E)'!U:U, $C$1),
    SUMIFS('환경부사업(F)'!I:I, '환경부사업(F)'!C:C, $E$1, '환경부사업(F)'!G:G, B99, '환경부사업(F)'!X:X, B105, '환경부사업(F)'!U:U, $C$1),
    SUMIFS('프로젝트(G)'!I:I, '프로젝트(G)'!C:C, $E$1, '프로젝트(G)'!G:G, B99, '프로젝트(G)'!X:X, B105, '프로젝트(G)'!U:U, $C$1),
    SUMIFS('협력사 EPC(H)'!I:I, '협력사 EPC(H)'!C:C, $E$1, '협력사 EPC(H)'!G:G, B99, '협력사 EPC(H)'!X:X, B105, '협력사 EPC(H)'!U:U, $C$1),
    SUMIFS('기타(Z)'!I:I, '기타(Z)'!C:C, $E$1, '기타(Z)'!G:G, B99, '기타(Z)'!X:X, B105, '기타(Z)'!U:U, $C$1)
  ) = 0,
  "",
  SUM(
    SUMIFS('발전사업(A)'!I:I, '발전사업(A)'!C:C, $E$1, '발전사업(A)'!G:G, B99, '발전사업(A)'!X:X, B105, '발전사업(A)'!U:U, $C$1),
    SUMIFS('자가소비(B)'!I:I, '자가소비(B)'!C:C, $E$1, '자가소비(B)'!G:G, B99, '자가소비(B)'!X:X, B105, '자가소비(B)'!U:U, $C$1),
    SUMIFS('PPA 사업(C)'!I:I, 'PPA 사업(C)'!C:C, $E$1, 'PPA 사업(C)'!G:G, B99, 'PPA 사업(C)'!X:X, B105, 'PPA 사업(C)'!U:U, $C$1),
    SUMIFS('리스사업(D)'!I:I, '리스사업(D)'!C:C, $E$1, '리스사업(D)'!G:G, B99, '리스사업(D)'!X:X, B105, '리스사업(D)'!U:U, $C$1),
    SUMIFS('임대사업(E)'!I:I, '임대사업(E)'!C:C, $E$1, '임대사업(E)'!G:G, B99, '임대사업(E)'!X:X, B105, '임대사업(E)'!U:U, $C$1),
    SUMIFS('환경부사업(F)'!I:I, '환경부사업(F)'!C:C, $E$1, '환경부사업(F)'!G:G, B99, '환경부사업(F)'!X:X, B105, '환경부사업(F)'!U:U, $C$1),
    SUMIFS('프로젝트(G)'!I:I, '프로젝트(G)'!C:C, $E$1, '프로젝트(G)'!G:G, B99, '프로젝트(G)'!X:X, B105, '프로젝트(G)'!U:U, $C$1),
    SUMIFS('협력사 EPC(H)'!I:I, '협력사 EPC(H)'!C:C, $E$1, '협력사 EPC(H)'!G:G, B99, '협력사 EPC(H)'!X:X, B105, '협력사 EPC(H)'!U:U, $C$1),
    SUMIFS('기타(Z)'!I:I, '기타(Z)'!C:C, $E$1, '기타(Z)'!G:G, B99, '기타(Z)'!X:X, B105, '기타(Z)'!U:U, $C$1)
  )
)</f>
        <v/>
      </c>
      <c r="F105" s="263" t="str">
        <f>IF(
  SUM(
    COUNTIFS('발전사업(A)'!C:C, $E$1, '발전사업(A)'!G:G, B99, '발전사업(A)'!X:X, B105, '발전사업(A)'!U:U, $C$1),
    COUNTIFS('자가소비(B)'!C:C, $E$1, '자가소비(B)'!G:G, B99, '자가소비(B)'!X:X, B105, '자가소비(B)'!U:U, $C$1),
    COUNTIFS('PPA 사업(C)'!C:C, $E$1, 'PPA 사업(C)'!G:G, B99, 'PPA 사업(C)'!X:X, B105, 'PPA 사업(C)'!U:U, $C$1),
    COUNTIFS('리스사업(D)'!C:C, $E$1, '리스사업(D)'!G:G, B99, '리스사업(D)'!X:X, B105, '리스사업(D)'!U:U, $C$1),
    COUNTIFS('임대사업(E)'!C:C, $E$1, '임대사업(E)'!G:G, B99, '임대사업(E)'!X:X, B105, '임대사업(E)'!U:U, $C$1),
    COUNTIFS('환경부사업(F)'!C:C, $E$1, '환경부사업(F)'!G:G, B99, '환경부사업(F)'!X:X, B105, '환경부사업(F)'!U:U, $C$1),
    COUNTIFS('프로젝트(G)'!C:C, $E$1, '프로젝트(G)'!G:G, B99, '프로젝트(G)'!X:X, B105, '프로젝트(G)'!U:U, $C$1),
    COUNTIFS('협력사 EPC(H)'!C:C, $E$1, '협력사 EPC(H)'!G:G, B99, '협력사 EPC(H)'!X:X, B105, '협력사 EPC(H)'!U:U, $C$1),
    COUNTIFS('기타(Z)'!C:C, $E$1, '기타(Z)'!G:G, B99, '기타(Z)'!X:X, B105, '기타(Z)'!U:U, $C$1)
  ) = 0,
  "",
  SUM(
    COUNTIFS('발전사업(A)'!C:C, $E$1, '발전사업(A)'!G:G, B99, '발전사업(A)'!X:X, B105, '발전사업(A)'!U:U, $C$1),
    COUNTIFS('자가소비(B)'!C:C, $E$1, '자가소비(B)'!G:G, B99, '자가소비(B)'!X:X, B105, '자가소비(B)'!U:U, $C$1),
    COUNTIFS('PPA 사업(C)'!C:C, $E$1, 'PPA 사업(C)'!G:G, B99, 'PPA 사업(C)'!X:X, B105, 'PPA 사업(C)'!U:U, $C$1),
    COUNTIFS('리스사업(D)'!C:C, $E$1, '리스사업(D)'!G:G, B99, '리스사업(D)'!X:X, B105, '리스사업(D)'!U:U, $C$1),
    COUNTIFS('임대사업(E)'!C:C, $E$1, '임대사업(E)'!G:G, B99, '임대사업(E)'!X:X, B105, '임대사업(E)'!U:U, $C$1),
    COUNTIFS('환경부사업(F)'!C:C, $E$1, '환경부사업(F)'!G:G, B99, '환경부사업(F)'!X:X, B105, '환경부사업(F)'!U:U, $C$1),
    COUNTIFS('프로젝트(G)'!C:C, $E$1, '프로젝트(G)'!G:G, B99, '프로젝트(G)'!X:X, B105, '프로젝트(G)'!U:U, $C$1),
    COUNTIFS('협력사 EPC(H)'!C:C, $E$1, '협력사 EPC(H)'!G:G, B99, '협력사 EPC(H)'!X:X, B105, '협력사 EPC(H)'!U:U, $C$1),
    COUNTIFS('기타(Z)'!C:C, $E$1, '기타(Z)'!G:G, B99, '기타(Z)'!X:X, B105, '기타(Z)'!U:U, $C$1)
  )
)</f>
        <v/>
      </c>
      <c r="G105" s="262">
        <f>IF(
  SUM(
    SUMIFS('발전사업(A)'!I:I, '발전사업(A)'!C:C, $E$1, '발전사업(A)'!G:G, B99, '발전사업(A)'!X:X, B105, '발전사업(A)'!U:U, $D$1),
    SUMIFS('자가소비(B)'!I:I, '자가소비(B)'!C:C, $E$1, '자가소비(B)'!G:G, B99, '자가소비(B)'!X:X, B105, '자가소비(B)'!U:U, $D$1),
    SUMIFS('PPA 사업(C)'!I:I, 'PPA 사업(C)'!C:C, $E$1, 'PPA 사업(C)'!G:G, B99, 'PPA 사업(C)'!X:X, B105, 'PPA 사업(C)'!U:U, $D$1),
    SUMIFS('리스사업(D)'!I:I, '리스사업(D)'!C:C, $E$1, '리스사업(D)'!G:G, B99, '리스사업(D)'!X:X, B105, '리스사업(D)'!U:U, $D$1),
    SUMIFS('임대사업(E)'!I:I, '임대사업(E)'!C:C, $E$1, '임대사업(E)'!G:G, B99, '임대사업(E)'!X:X, B105, '임대사업(E)'!U:U, $D$1),
    SUMIFS('환경부사업(F)'!I:I, '환경부사업(F)'!C:C, $E$1, '환경부사업(F)'!G:G, B99, '환경부사업(F)'!X:X, B105, '환경부사업(F)'!U:U, $D$1),
    SUMIFS('프로젝트(G)'!I:I, '프로젝트(G)'!C:C, $E$1, '프로젝트(G)'!G:G, B99, '프로젝트(G)'!X:X, B105, '프로젝트(G)'!U:U, $D$1),
    SUMIFS('협력사 EPC(H)'!I:I, '협력사 EPC(H)'!C:C, $E$1, '협력사 EPC(H)'!G:G, B99, '협력사 EPC(H)'!X:X, B105, '협력사 EPC(H)'!U:U, $D$1),
    SUMIFS('기타(Z)'!I:I, '기타(Z)'!C:C, $E$1, '기타(Z)'!G:G, B99, '기타(Z)'!X:X, B105, '기타(Z)'!U:U, $D$1)
  ) = 0,
  "",
  SUM(
    SUMIFS('발전사업(A)'!I:I, '발전사업(A)'!C:C, $E$1, '발전사업(A)'!G:G, B99, '발전사업(A)'!X:X, B105, '발전사업(A)'!U:U, $D$1),
    SUMIFS('자가소비(B)'!I:I, '자가소비(B)'!C:C, $E$1, '자가소비(B)'!G:G, B99, '자가소비(B)'!X:X, B105, '자가소비(B)'!U:U, $D$1),
    SUMIFS('PPA 사업(C)'!I:I, 'PPA 사업(C)'!C:C, $E$1, 'PPA 사업(C)'!G:G, B99, 'PPA 사업(C)'!X:X, B105, 'PPA 사업(C)'!U:U, $D$1),
    SUMIFS('리스사업(D)'!I:I, '리스사업(D)'!C:C, $E$1, '리스사업(D)'!G:G, B99, '리스사업(D)'!X:X, B105, '리스사업(D)'!U:U, $D$1),
    SUMIFS('임대사업(E)'!I:I, '임대사업(E)'!C:C, $E$1, '임대사업(E)'!G:G, B99, '임대사업(E)'!X:X, B105, '임대사업(E)'!U:U, $D$1),
    SUMIFS('환경부사업(F)'!I:I, '환경부사업(F)'!C:C, $E$1, '환경부사업(F)'!G:G, B99, '환경부사업(F)'!X:X, B105, '환경부사업(F)'!U:U, $D$1),
    SUMIFS('프로젝트(G)'!I:I, '프로젝트(G)'!C:C, $E$1, '프로젝트(G)'!G:G, B99, '프로젝트(G)'!X:X, B105, '프로젝트(G)'!U:U, $D$1),
    SUMIFS('협력사 EPC(H)'!I:I, '협력사 EPC(H)'!C:C, $E$1, '협력사 EPC(H)'!G:G, B99, '협력사 EPC(H)'!X:X, B105, '협력사 EPC(H)'!U:U, $D$1),
    SUMIFS('기타(Z)'!I:I, '기타(Z)'!C:C, $E$1, '기타(Z)'!G:G, B99, '기타(Z)'!X:X, B105, '기타(Z)'!U:U, $D$1)
  )
)</f>
        <v>624.36</v>
      </c>
      <c r="H105" s="263">
        <f>IF(
  (
    COUNTIFS('발전사업(A)'!C:C, $E$1, '발전사업(A)'!G:G, B99, '발전사업(A)'!X:X, B105, '발전사업(A)'!U:U, $D$1)
    + COUNTIFS('자가소비(B)'!C:C, $E$1, '자가소비(B)'!G:G, B99, '자가소비(B)'!X:X, B105, '자가소비(B)'!U:U, $D$1)
    + COUNTIFS('PPA 사업(C)'!C:C, $E$1, 'PPA 사업(C)'!G:G, B99, 'PPA 사업(C)'!X:X, B105, 'PPA 사업(C)'!U:U, $D$1)
    + COUNTIFS('리스사업(D)'!C:C, $E$1, '리스사업(D)'!G:G, B99, '리스사업(D)'!X:X, B105, '리스사업(D)'!U:U, $D$1)
    + COUNTIFS('임대사업(E)'!C:C, $E$1, '임대사업(E)'!G:G, B99, '임대사업(E)'!X:X, B105, '임대사업(E)'!U:U, $D$1)
    + COUNTIFS('환경부사업(F)'!C:C, $E$1, '환경부사업(F)'!G:G, B99, '환경부사업(F)'!X:X, B105, '환경부사업(F)'!U:U, $D$1)
    + COUNTIFS('프로젝트(G)'!C:C, $E$1, '프로젝트(G)'!G:G, B99, '프로젝트(G)'!X:X, B105, '프로젝트(G)'!U:U, $D$1)
    + COUNTIFS('협력사 EPC(H)'!C:C, $E$1, '협력사 EPC(H)'!G:G, B99, '협력사 EPC(H)'!X:X, B105, '협력사 EPC(H)'!U:U, $D$1)
    + COUNTIFS('기타(Z)'!C:C, $E$1, '기타(Z)'!G:G, B99, '기타(Z)'!X:X, B105, '기타(Z)'!U:U, $D$1)
  ) = 0,
  "",
  COUNTIFS('발전사업(A)'!C:C, $E$1, '발전사업(A)'!G:G, B99, '발전사업(A)'!X:X, B105, '발전사업(A)'!U:U, $D$1)
  + COUNTIFS('자가소비(B)'!C:C, $E$1, '자가소비(B)'!G:G, B99, '자가소비(B)'!X:X, B105, '자가소비(B)'!U:U, $D$1)
  + COUNTIFS('PPA 사업(C)'!C:C, $E$1, 'PPA 사업(C)'!G:G, B99, 'PPA 사업(C)'!X:X, B105, 'PPA 사업(C)'!U:U, $D$1)
  + COUNTIFS('리스사업(D)'!C:C, $E$1, '리스사업(D)'!G:G, B99, '리스사업(D)'!X:X, B105, '리스사업(D)'!U:U, $D$1)
  + COUNTIFS('임대사업(E)'!C:C, $E$1, '임대사업(E)'!G:G, B99, '임대사업(E)'!X:X, B105, '임대사업(E)'!U:U, $D$1)
  + COUNTIFS('환경부사업(F)'!C:C, $E$1, '환경부사업(F)'!G:G, B99, '환경부사업(F)'!X:X, B105, '환경부사업(F)'!U:U, $D$1)
  + COUNTIFS('프로젝트(G)'!C:C, $E$1, '프로젝트(G)'!G:G, B99, '프로젝트(G)'!X:X, B105, '프로젝트(G)'!U:U, $D$1)
  + COUNTIFS('협력사 EPC(H)'!C:C, $E$1, '협력사 EPC(H)'!G:G, B99, '협력사 EPC(H)'!X:X, B105, '협력사 EPC(H)'!U:U, $D$1)
  + COUNTIFS('기타(Z)'!C:C, $E$1, '기타(Z)'!G:G, B99, '기타(Z)'!X:X, B105, '기타(Z)'!U:U, $D$1)
)</f>
        <v>1</v>
      </c>
    </row>
    <row r="106" spans="2:8" x14ac:dyDescent="0.25">
      <c r="B106" s="195" t="s">
        <v>157</v>
      </c>
      <c r="C106" s="262" t="str">
        <f>IF(
  SUM(
    SUMIFS('발전사업(A)'!I:I, '발전사업(A)'!C:C, $E$1, '발전사업(A)'!G:G, B99, '발전사업(A)'!X:X, B106),
    SUMIFS('자가소비(B)'!I:I, '자가소비(B)'!C:C, $E$1, '자가소비(B)'!G:G, B99, '자가소비(B)'!X:X, B106),
    SUMIFS('PPA 사업(C)'!I:I, 'PPA 사업(C)'!C:C, $E$1, 'PPA 사업(C)'!G:G, B99, 'PPA 사업(C)'!X:X, B106),
    SUMIFS('리스사업(D)'!I:I, '리스사업(D)'!C:C, $E$1, '리스사업(D)'!G:G, B99, '리스사업(D)'!X:X, B106),
    SUMIFS('임대사업(E)'!I:I, '임대사업(E)'!C:C, $E$1, '임대사업(E)'!G:G, B99, '임대사업(E)'!X:X, B106),
    SUMIFS('환경부사업(F)'!I:I, '환경부사업(F)'!C:C, $E$1, '환경부사업(F)'!G:G, B99, '환경부사업(F)'!X:X, B106),
    SUMIFS('프로젝트(G)'!I:I, '프로젝트(G)'!C:C, $E$1, '프로젝트(G)'!G:G, B99, '프로젝트(G)'!X:X, B106),
    SUMIFS('협력사 EPC(H)'!I:I, '협력사 EPC(H)'!C:C, $E$1, '협력사 EPC(H)'!G:G, B99, '협력사 EPC(H)'!X:X, B106),
    SUMIFS('기타(Z)'!I:I, '기타(Z)'!C:C, $E$1, '기타(Z)'!G:G, B99, '기타(Z)'!X:X, B106)
  ) = 0,
  "",
  SUMIFS('발전사업(A)'!I:I, '발전사업(A)'!C:C, $E$1, '발전사업(A)'!G:G, B99, '발전사업(A)'!X:X, B106)
  + SUMIFS('자가소비(B)'!I:I, '자가소비(B)'!C:C, $E$1, '자가소비(B)'!G:G, B99, '자가소비(B)'!X:X, B106)
  + SUMIFS('PPA 사업(C)'!I:I, 'PPA 사업(C)'!C:C, $E$1, 'PPA 사업(C)'!G:G, B99, 'PPA 사업(C)'!X:X, B106)
  + SUMIFS('리스사업(D)'!I:I, '리스사업(D)'!C:C, $E$1, '리스사업(D)'!G:G, B99, '리스사업(D)'!X:X, B106)
  + SUMIFS('임대사업(E)'!I:I, '임대사업(E)'!C:C, $E$1, '임대사업(E)'!G:G, B99, '임대사업(E)'!X:X, B106)
  + SUMIFS('환경부사업(F)'!I:I, '환경부사업(F)'!C:C, $E$1, '환경부사업(F)'!G:G, B99, '환경부사업(F)'!X:X, B106)
  + SUMIFS('프로젝트(G)'!I:I, '프로젝트(G)'!C:C, $E$1, '프로젝트(G)'!G:G, B99, '프로젝트(G)'!X:X, B106)
  + SUMIFS('협력사 EPC(H)'!I:I, '협력사 EPC(H)'!C:C, $E$1, '협력사 EPC(H)'!G:G, B99, '협력사 EPC(H)'!X:X, B106)
  + SUMIFS('기타(Z)'!I:I, '기타(Z)'!C:C, $E$1, '기타(Z)'!G:G, B99, '기타(Z)'!X:X, B106)
)</f>
        <v/>
      </c>
      <c r="D106" s="263" t="str">
        <f>IF(
  COUNTIFS('발전사업(A)'!C:C, $E$1, '발전사업(A)'!G:G, B99, '발전사업(A)'!X:X, B106)
  + COUNTIFS('자가소비(B)'!C:C, $E$1, '자가소비(B)'!G:G, B99, '자가소비(B)'!X:X, B106)
  + COUNTIFS('PPA 사업(C)'!C:C, $E$1, 'PPA 사업(C)'!G:G, B99, 'PPA 사업(C)'!X:X, B106)
  + COUNTIFS('리스사업(D)'!C:C, $E$1, '리스사업(D)'!G:G, B99, '리스사업(D)'!X:X, B106)
  + COUNTIFS('임대사업(E)'!C:C, $E$1, '임대사업(E)'!G:G, B99, '임대사업(E)'!X:X, B106)
  + COUNTIFS('환경부사업(F)'!C:C, $E$1, '환경부사업(F)'!G:G, B99, '환경부사업(F)'!X:X, B106)
  + COUNTIFS('프로젝트(G)'!C:C, $E$1, '프로젝트(G)'!G:G, B99, '프로젝트(G)'!X:X, B106)
  + COUNTIFS('협력사 EPC(H)'!C:C, $E$1, '협력사 EPC(H)'!G:G, B99, '협력사 EPC(H)'!X:X, B106)
  + COUNTIFS('기타(Z)'!C:C, $E$1, '기타(Z)'!G:G, B99, '기타(Z)'!X:X, B106)
  = 0,
  "",
  COUNTIFS('발전사업(A)'!C:C, $E$1, '발전사업(A)'!G:G, B99, '발전사업(A)'!X:X, B106)
  + COUNTIFS('자가소비(B)'!C:C, $E$1, '자가소비(B)'!G:G, B99, '자가소비(B)'!X:X, B106)
  + COUNTIFS('PPA 사업(C)'!C:C, $E$1, 'PPA 사업(C)'!G:G, B99, 'PPA 사업(C)'!X:X, B106)
  + COUNTIFS('리스사업(D)'!C:C, $E$1, '리스사업(D)'!G:G, B99, '리스사업(D)'!X:X, B106)
  + COUNTIFS('임대사업(E)'!C:C, $E$1, '임대사업(E)'!G:G, B99, '임대사업(E)'!X:X, B106)
  + COUNTIFS('환경부사업(F)'!C:C, $E$1, '환경부사업(F)'!G:G, B99, '환경부사업(F)'!X:X, B106)
  + COUNTIFS('프로젝트(G)'!C:C, $E$1, '프로젝트(G)'!G:G, B99, '프로젝트(G)'!X:X, B106)
  + COUNTIFS('협력사 EPC(H)'!C:C, $E$1, '협력사 EPC(H)'!G:G, B99, '협력사 EPC(H)'!X:X, B106)
  + COUNTIFS('기타(Z)'!C:C, $E$1, '기타(Z)'!G:G, B99, '기타(Z)'!X:X, B106)
)</f>
        <v/>
      </c>
      <c r="E106" s="262" t="str">
        <f>IF(
  SUM(
    SUMIFS('발전사업(A)'!I:I, '발전사업(A)'!C:C, $E$1, '발전사업(A)'!G:G, B99, '발전사업(A)'!X:X, B106, '발전사업(A)'!U:U, $C$1),
    SUMIFS('자가소비(B)'!I:I, '자가소비(B)'!C:C, $E$1, '자가소비(B)'!G:G, B99, '자가소비(B)'!X:X, B106, '자가소비(B)'!U:U, $C$1),
    SUMIFS('PPA 사업(C)'!I:I, 'PPA 사업(C)'!C:C, $E$1, 'PPA 사업(C)'!G:G, B99, 'PPA 사업(C)'!X:X, B106, 'PPA 사업(C)'!U:U, $C$1),
    SUMIFS('리스사업(D)'!I:I, '리스사업(D)'!C:C, $E$1, '리스사업(D)'!G:G, B99, '리스사업(D)'!X:X, B106, '리스사업(D)'!U:U, $C$1),
    SUMIFS('임대사업(E)'!I:I, '임대사업(E)'!C:C, $E$1, '임대사업(E)'!G:G, B99, '임대사업(E)'!X:X, B106, '임대사업(E)'!U:U, $C$1),
    SUMIFS('환경부사업(F)'!I:I, '환경부사업(F)'!C:C, $E$1, '환경부사업(F)'!G:G, B99, '환경부사업(F)'!X:X, B106, '환경부사업(F)'!U:U, $C$1),
    SUMIFS('프로젝트(G)'!I:I, '프로젝트(G)'!C:C, $E$1, '프로젝트(G)'!G:G, B99, '프로젝트(G)'!X:X, B106, '프로젝트(G)'!U:U, $C$1),
    SUMIFS('협력사 EPC(H)'!I:I, '협력사 EPC(H)'!C:C, $E$1, '협력사 EPC(H)'!G:G, B99, '협력사 EPC(H)'!X:X, B106, '협력사 EPC(H)'!U:U, $C$1),
    SUMIFS('기타(Z)'!I:I, '기타(Z)'!C:C, $E$1, '기타(Z)'!G:G, B99, '기타(Z)'!X:X, B106, '기타(Z)'!U:U, $C$1)
  ) = 0,
  "",
  SUM(
    SUMIFS('발전사업(A)'!I:I, '발전사업(A)'!C:C, $E$1, '발전사업(A)'!G:G, B99, '발전사업(A)'!X:X, B106, '발전사업(A)'!U:U, $C$1),
    SUMIFS('자가소비(B)'!I:I, '자가소비(B)'!C:C, $E$1, '자가소비(B)'!G:G, B99, '자가소비(B)'!X:X, B106, '자가소비(B)'!U:U, $C$1),
    SUMIFS('PPA 사업(C)'!I:I, 'PPA 사업(C)'!C:C, $E$1, 'PPA 사업(C)'!G:G, B99, 'PPA 사업(C)'!X:X, B106, 'PPA 사업(C)'!U:U, $C$1),
    SUMIFS('리스사업(D)'!I:I, '리스사업(D)'!C:C, $E$1, '리스사업(D)'!G:G, B99, '리스사업(D)'!X:X, B106, '리스사업(D)'!U:U, $C$1),
    SUMIFS('임대사업(E)'!I:I, '임대사업(E)'!C:C, $E$1, '임대사업(E)'!G:G, B99, '임대사업(E)'!X:X, B106, '임대사업(E)'!U:U, $C$1),
    SUMIFS('환경부사업(F)'!I:I, '환경부사업(F)'!C:C, $E$1, '환경부사업(F)'!G:G, B99, '환경부사업(F)'!X:X, B106, '환경부사업(F)'!U:U, $C$1),
    SUMIFS('프로젝트(G)'!I:I, '프로젝트(G)'!C:C, $E$1, '프로젝트(G)'!G:G, B99, '프로젝트(G)'!X:X, B106, '프로젝트(G)'!U:U, $C$1),
    SUMIFS('협력사 EPC(H)'!I:I, '협력사 EPC(H)'!C:C, $E$1, '협력사 EPC(H)'!G:G, B99, '협력사 EPC(H)'!X:X, B106, '협력사 EPC(H)'!U:U, $C$1),
    SUMIFS('기타(Z)'!I:I, '기타(Z)'!C:C, $E$1, '기타(Z)'!G:G, B99, '기타(Z)'!X:X, B106, '기타(Z)'!U:U, $C$1)
  )
)</f>
        <v/>
      </c>
      <c r="F106" s="263" t="str">
        <f>IF(
  SUM(
    COUNTIFS('발전사업(A)'!C:C, $E$1, '발전사업(A)'!G:G, B99, '발전사업(A)'!X:X, B106, '발전사업(A)'!U:U, $C$1),
    COUNTIFS('자가소비(B)'!C:C, $E$1, '자가소비(B)'!G:G, B99, '자가소비(B)'!X:X, B106, '자가소비(B)'!U:U, $C$1),
    COUNTIFS('PPA 사업(C)'!C:C, $E$1, 'PPA 사업(C)'!G:G, B99, 'PPA 사업(C)'!X:X, B106, 'PPA 사업(C)'!U:U, $C$1),
    COUNTIFS('리스사업(D)'!C:C, $E$1, '리스사업(D)'!G:G, B99, '리스사업(D)'!X:X, B106, '리스사업(D)'!U:U, $C$1),
    COUNTIFS('임대사업(E)'!C:C, $E$1, '임대사업(E)'!G:G, B99, '임대사업(E)'!X:X, B106, '임대사업(E)'!U:U, $C$1),
    COUNTIFS('환경부사업(F)'!C:C, $E$1, '환경부사업(F)'!G:G, B99, '환경부사업(F)'!X:X, B106, '환경부사업(F)'!U:U, $C$1),
    COUNTIFS('프로젝트(G)'!C:C, $E$1, '프로젝트(G)'!G:G, B99, '프로젝트(G)'!X:X, B106, '프로젝트(G)'!U:U, $C$1),
    COUNTIFS('협력사 EPC(H)'!C:C, $E$1, '협력사 EPC(H)'!G:G, B99, '협력사 EPC(H)'!X:X, B106, '협력사 EPC(H)'!U:U, $C$1),
    COUNTIFS('기타(Z)'!C:C, $E$1, '기타(Z)'!G:G, B99, '기타(Z)'!X:X, B106, '기타(Z)'!U:U, $C$1)
  ) = 0,
  "",
  SUM(
    COUNTIFS('발전사업(A)'!C:C, $E$1, '발전사업(A)'!G:G, B99, '발전사업(A)'!X:X, B106, '발전사업(A)'!U:U, $C$1),
    COUNTIFS('자가소비(B)'!C:C, $E$1, '자가소비(B)'!G:G, B99, '자가소비(B)'!X:X, B106, '자가소비(B)'!U:U, $C$1),
    COUNTIFS('PPA 사업(C)'!C:C, $E$1, 'PPA 사업(C)'!G:G, B99, 'PPA 사업(C)'!X:X, B106, 'PPA 사업(C)'!U:U, $C$1),
    COUNTIFS('리스사업(D)'!C:C, $E$1, '리스사업(D)'!G:G, B99, '리스사업(D)'!X:X, B106, '리스사업(D)'!U:U, $C$1),
    COUNTIFS('임대사업(E)'!C:C, $E$1, '임대사업(E)'!G:G, B99, '임대사업(E)'!X:X, B106, '임대사업(E)'!U:U, $C$1),
    COUNTIFS('환경부사업(F)'!C:C, $E$1, '환경부사업(F)'!G:G, B99, '환경부사업(F)'!X:X, B106, '환경부사업(F)'!U:U, $C$1),
    COUNTIFS('프로젝트(G)'!C:C, $E$1, '프로젝트(G)'!G:G, B99, '프로젝트(G)'!X:X, B106, '프로젝트(G)'!U:U, $C$1),
    COUNTIFS('협력사 EPC(H)'!C:C, $E$1, '협력사 EPC(H)'!G:G, B99, '협력사 EPC(H)'!X:X, B106, '협력사 EPC(H)'!U:U, $C$1),
    COUNTIFS('기타(Z)'!C:C, $E$1, '기타(Z)'!G:G, B99, '기타(Z)'!X:X, B106, '기타(Z)'!U:U, $C$1)
  )
)</f>
        <v/>
      </c>
      <c r="G106" s="262" t="str">
        <f>IF(
  SUM(
    SUMIFS('발전사업(A)'!I:I, '발전사업(A)'!C:C, $E$1, '발전사업(A)'!G:G, B99, '발전사업(A)'!X:X, B106, '발전사업(A)'!U:U, $D$1),
    SUMIFS('자가소비(B)'!I:I, '자가소비(B)'!C:C, $E$1, '자가소비(B)'!G:G, B99, '자가소비(B)'!X:X, B106, '자가소비(B)'!U:U, $D$1),
    SUMIFS('PPA 사업(C)'!I:I, 'PPA 사업(C)'!C:C, $E$1, 'PPA 사업(C)'!G:G, B99, 'PPA 사업(C)'!X:X, B106, 'PPA 사업(C)'!U:U, $D$1),
    SUMIFS('리스사업(D)'!I:I, '리스사업(D)'!C:C, $E$1, '리스사업(D)'!G:G, B99, '리스사업(D)'!X:X, B106, '리스사업(D)'!U:U, $D$1),
    SUMIFS('임대사업(E)'!I:I, '임대사업(E)'!C:C, $E$1, '임대사업(E)'!G:G, B99, '임대사업(E)'!X:X, B106, '임대사업(E)'!U:U, $D$1),
    SUMIFS('환경부사업(F)'!I:I, '환경부사업(F)'!C:C, $E$1, '환경부사업(F)'!G:G, B99, '환경부사업(F)'!X:X, B106, '환경부사업(F)'!U:U, $D$1),
    SUMIFS('프로젝트(G)'!I:I, '프로젝트(G)'!C:C, $E$1, '프로젝트(G)'!G:G, B99, '프로젝트(G)'!X:X, B106, '프로젝트(G)'!U:U, $D$1),
    SUMIFS('협력사 EPC(H)'!I:I, '협력사 EPC(H)'!C:C, $E$1, '협력사 EPC(H)'!G:G, B99, '협력사 EPC(H)'!X:X, B106, '협력사 EPC(H)'!U:U, $D$1),
    SUMIFS('기타(Z)'!I:I, '기타(Z)'!C:C, $E$1, '기타(Z)'!G:G, B99, '기타(Z)'!X:X, B106, '기타(Z)'!U:U, $D$1)
  ) = 0,
  "",
  SUM(
    SUMIFS('발전사업(A)'!I:I, '발전사업(A)'!C:C, $E$1, '발전사업(A)'!G:G, B99, '발전사업(A)'!X:X, B106, '발전사업(A)'!U:U, $D$1),
    SUMIFS('자가소비(B)'!I:I, '자가소비(B)'!C:C, $E$1, '자가소비(B)'!G:G, B99, '자가소비(B)'!X:X, B106, '자가소비(B)'!U:U, $D$1),
    SUMIFS('PPA 사업(C)'!I:I, 'PPA 사업(C)'!C:C, $E$1, 'PPA 사업(C)'!G:G, B99, 'PPA 사업(C)'!X:X, B106, 'PPA 사업(C)'!U:U, $D$1),
    SUMIFS('리스사업(D)'!I:I, '리스사업(D)'!C:C, $E$1, '리스사업(D)'!G:G, B99, '리스사업(D)'!X:X, B106, '리스사업(D)'!U:U, $D$1),
    SUMIFS('임대사업(E)'!I:I, '임대사업(E)'!C:C, $E$1, '임대사업(E)'!G:G, B99, '임대사업(E)'!X:X, B106, '임대사업(E)'!U:U, $D$1),
    SUMIFS('환경부사업(F)'!I:I, '환경부사업(F)'!C:C, $E$1, '환경부사업(F)'!G:G, B99, '환경부사업(F)'!X:X, B106, '환경부사업(F)'!U:U, $D$1),
    SUMIFS('프로젝트(G)'!I:I, '프로젝트(G)'!C:C, $E$1, '프로젝트(G)'!G:G, B99, '프로젝트(G)'!X:X, B106, '프로젝트(G)'!U:U, $D$1),
    SUMIFS('협력사 EPC(H)'!I:I, '협력사 EPC(H)'!C:C, $E$1, '협력사 EPC(H)'!G:G, B99, '협력사 EPC(H)'!X:X, B106, '협력사 EPC(H)'!U:U, $D$1),
    SUMIFS('기타(Z)'!I:I, '기타(Z)'!C:C, $E$1, '기타(Z)'!G:G, B99, '기타(Z)'!X:X, B106, '기타(Z)'!U:U, $D$1)
  )
)</f>
        <v/>
      </c>
      <c r="H106" s="263" t="str">
        <f>IF(
  (
    COUNTIFS('발전사업(A)'!C:C, $E$1, '발전사업(A)'!G:G, B99, '발전사업(A)'!X:X, B106, '발전사업(A)'!U:U, $D$1)
    + COUNTIFS('자가소비(B)'!C:C, $E$1, '자가소비(B)'!G:G, B99, '자가소비(B)'!X:X, B106, '자가소비(B)'!U:U, $D$1)
    + COUNTIFS('PPA 사업(C)'!C:C, $E$1, 'PPA 사업(C)'!G:G, B99, 'PPA 사업(C)'!X:X, B106, 'PPA 사업(C)'!U:U, $D$1)
    + COUNTIFS('리스사업(D)'!C:C, $E$1, '리스사업(D)'!G:G, B99, '리스사업(D)'!X:X, B106, '리스사업(D)'!U:U, $D$1)
    + COUNTIFS('임대사업(E)'!C:C, $E$1, '임대사업(E)'!G:G, B99, '임대사업(E)'!X:X, B106, '임대사업(E)'!U:U, $D$1)
    + COUNTIFS('환경부사업(F)'!C:C, $E$1, '환경부사업(F)'!G:G, B99, '환경부사업(F)'!X:X, B106, '환경부사업(F)'!U:U, $D$1)
    + COUNTIFS('프로젝트(G)'!C:C, $E$1, '프로젝트(G)'!G:G, B99, '프로젝트(G)'!X:X, B106, '프로젝트(G)'!U:U, $D$1)
    + COUNTIFS('협력사 EPC(H)'!C:C, $E$1, '협력사 EPC(H)'!G:G, B99, '협력사 EPC(H)'!X:X, B106, '협력사 EPC(H)'!U:U, $D$1)
    + COUNTIFS('기타(Z)'!C:C, $E$1, '기타(Z)'!G:G, $B99, '기타(Z)'!X:X, B106, '기타(Z)'!U:U, $D$1)
  ) = 0,
  "",
  COUNTIFS('발전사업(A)'!C:C, $E$1, '발전사업(A)'!G:G, B99, '발전사업(A)'!X:X, B106, '발전사업(A)'!U:U, $D$1)
  + COUNTIFS('자가소비(B)'!C:C, $E$1, '자가소비(B)'!G:G, B99, '자가소비(B)'!X:X, B106, '자가소비(B)'!U:U, $D$1)
  + COUNTIFS('PPA 사업(C)'!C:C, $E$1, 'PPA 사업(C)'!G:G, B99, 'PPA 사업(C)'!X:X, B106, 'PPA 사업(C)'!U:U, $D$1)
  + COUNTIFS('리스사업(D)'!C:C, $E$1, '리스사업(D)'!G:G, B99, '리스사업(D)'!X:X, B106, '리스사업(D)'!U:U, $D$1)
  + COUNTIFS('임대사업(E)'!C:C, $E$1, '임대사업(E)'!G:G, B99, '임대사업(E)'!X:X, B106, '임대사업(E)'!U:U, $D$1)
  + COUNTIFS('환경부사업(F)'!C:C, $E$1, '환경부사업(F)'!G:G, B99, '환경부사업(F)'!X:X, B106, '환경부사업(F)'!U:U, $D$1)
  + COUNTIFS('프로젝트(G)'!C:C, $E$1, '프로젝트(G)'!G:G, B99, '프로젝트(G)'!X:X, B106, '프로젝트(G)'!U:U, $D$1)
  + COUNTIFS('협력사 EPC(H)'!C:C, $E$1, '협력사 EPC(H)'!G:G, B99, '협력사 EPC(H)'!X:X, B106, '협력사 EPC(H)'!U:U, $D$1)
  + COUNTIFS('기타(Z)'!C:C, $E$1, '기타(Z)'!G:G, B99, '기타(Z)'!X:X, B106, '기타(Z)'!U:U, $D$1)
)</f>
        <v/>
      </c>
    </row>
    <row r="107" spans="2:8" x14ac:dyDescent="0.25">
      <c r="B107" s="195" t="s">
        <v>158</v>
      </c>
      <c r="C107" s="262" t="str">
        <f>IF(
  SUM(
    SUMIFS('발전사업(A)'!I:I, '발전사업(A)'!C:C, $E$1, '발전사업(A)'!G:G, B99, '발전사업(A)'!X:X, B107),
    SUMIFS('자가소비(B)'!I:I, '자가소비(B)'!C:C, $E$1, '자가소비(B)'!G:G, B99, '자가소비(B)'!X:X, B107),
    SUMIFS('PPA 사업(C)'!I:I, 'PPA 사업(C)'!C:C, $E$1, 'PPA 사업(C)'!G:G, B99, 'PPA 사업(C)'!X:X, B107),
    SUMIFS('리스사업(D)'!I:I, '리스사업(D)'!C:C, $E$1, '리스사업(D)'!G:G, B99, '리스사업(D)'!X:X, B107),
    SUMIFS('임대사업(E)'!I:I, '임대사업(E)'!C:C, $E$1, '임대사업(E)'!G:G, B99, '임대사업(E)'!X:X, B107),
    SUMIFS('환경부사업(F)'!I:I, '환경부사업(F)'!C:C, $E$1, '환경부사업(F)'!G:G, B99, '환경부사업(F)'!X:X, B107),
    SUMIFS('프로젝트(G)'!I:I, '프로젝트(G)'!C:C, $E$1, '프로젝트(G)'!G:G, B99, '프로젝트(G)'!X:X, B107),
    SUMIFS('협력사 EPC(H)'!I:I, '협력사 EPC(H)'!C:C, $E$1, '협력사 EPC(H)'!G:G, B99, '협력사 EPC(H)'!X:X, B107),
    SUMIFS('기타(Z)'!I:I, '기타(Z)'!C:C, $E$1, '기타(Z)'!G:G, B99, '기타(Z)'!X:X, B107)
  ) = 0,
  "",
  SUMIFS('발전사업(A)'!I:I, '발전사업(A)'!C:C, $E$1, '발전사업(A)'!G:G, B99, '발전사업(A)'!X:X, B107)
  + SUMIFS('자가소비(B)'!I:I, '자가소비(B)'!C:C, $E$1, '자가소비(B)'!G:G, B99, '자가소비(B)'!X:X, B107)
  + SUMIFS('PPA 사업(C)'!I:I, 'PPA 사업(C)'!C:C, $E$1, 'PPA 사업(C)'!G:G, B99, 'PPA 사업(C)'!X:X, B107)
  + SUMIFS('리스사업(D)'!I:I, '리스사업(D)'!C:C, $E$1, '리스사업(D)'!G:G, B99, '리스사업(D)'!X:X, B107)
  + SUMIFS('임대사업(E)'!I:I, '임대사업(E)'!C:C, $E$1, '임대사업(E)'!G:G, B99, '임대사업(E)'!X:X, B107)
  + SUMIFS('환경부사업(F)'!I:I, '환경부사업(F)'!C:C, $E$1, '환경부사업(F)'!G:G, B99, '환경부사업(F)'!X:X, B107)
  + SUMIFS('프로젝트(G)'!I:I, '프로젝트(G)'!C:C, $E$1, '프로젝트(G)'!G:G, B99, '프로젝트(G)'!X:X, B107)
  + SUMIFS('협력사 EPC(H)'!I:I, '협력사 EPC(H)'!C:C, $E$1, '협력사 EPC(H)'!G:G, B99, '협력사 EPC(H)'!X:X, B107)
  + SUMIFS('기타(Z)'!I:I, '기타(Z)'!C:C, $E$1, '기타(Z)'!G:G, B99, '기타(Z)'!X:X, B107)
)</f>
        <v/>
      </c>
      <c r="D107" s="263" t="str">
        <f>IF(
  COUNTIFS('발전사업(A)'!C:C, $E$1, '발전사업(A)'!G:G, B99, '발전사업(A)'!X:X, B107)
  + COUNTIFS('자가소비(B)'!C:C, $E$1, '자가소비(B)'!G:G, B99, '자가소비(B)'!X:X, B107)
  + COUNTIFS('PPA 사업(C)'!C:C, $E$1, 'PPA 사업(C)'!G:G, B99, 'PPA 사업(C)'!X:X, B107)
  + COUNTIFS('리스사업(D)'!C:C, $E$1, '리스사업(D)'!G:G, B99, '리스사업(D)'!X:X, B107)
  + COUNTIFS('임대사업(E)'!C:C, $E$1, '임대사업(E)'!G:G, B99, '임대사업(E)'!X:X, B107)
  + COUNTIFS('환경부사업(F)'!C:C, $E$1, '환경부사업(F)'!G:G, B99, '환경부사업(F)'!X:X, B107)
  + COUNTIFS('프로젝트(G)'!C:C, $E$1, '프로젝트(G)'!G:G, B99, '프로젝트(G)'!X:X, B107)
  + COUNTIFS('협력사 EPC(H)'!C:C, $E$1, '협력사 EPC(H)'!G:G, B99, '협력사 EPC(H)'!X:X, B107)
  + COUNTIFS('기타(Z)'!C:C, $E$1, '기타(Z)'!G:G, B99, '기타(Z)'!X:X, B107)
  = 0,
  "",
  COUNTIFS('발전사업(A)'!C:C, $E$1, '발전사업(A)'!G:G, B99, '발전사업(A)'!X:X, B107)
  + COUNTIFS('자가소비(B)'!C:C, $E$1, '자가소비(B)'!G:G, B99, '자가소비(B)'!X:X, B107)
  + COUNTIFS('PPA 사업(C)'!C:C, $E$1, 'PPA 사업(C)'!G:G, B99, 'PPA 사업(C)'!X:X, B107)
  + COUNTIFS('리스사업(D)'!C:C, $E$1, '리스사업(D)'!G:G, B99, '리스사업(D)'!X:X, B107)
  + COUNTIFS('임대사업(E)'!C:C, $E$1, '임대사업(E)'!G:G, B99, '임대사업(E)'!X:X, B107)
  + COUNTIFS('환경부사업(F)'!C:C, $E$1, '환경부사업(F)'!G:G, B99, '환경부사업(F)'!X:X, B107)
  + COUNTIFS('프로젝트(G)'!C:C, $E$1, '프로젝트(G)'!G:G, B99, '프로젝트(G)'!X:X, B107)
  + COUNTIFS('협력사 EPC(H)'!C:C, $E$1, '협력사 EPC(H)'!G:G, B99, '협력사 EPC(H)'!X:X, B107)
  + COUNTIFS('기타(Z)'!C:C, $E$1, '기타(Z)'!G:G, B99, '기타(Z)'!X:X, B107)
)</f>
        <v/>
      </c>
      <c r="E107" s="262" t="str">
        <f>IF(
  SUM(
    SUMIFS('발전사업(A)'!I:I, '발전사업(A)'!C:C, $E$1, '발전사업(A)'!G:G, B99, '발전사업(A)'!X:X, B107, '발전사업(A)'!U:U, $C$1),
    SUMIFS('자가소비(B)'!I:I, '자가소비(B)'!C:C, $E$1, '자가소비(B)'!G:G, B99, '자가소비(B)'!X:X, B107, '자가소비(B)'!U:U, $C$1),
    SUMIFS('PPA 사업(C)'!I:I, 'PPA 사업(C)'!C:C, $E$1, 'PPA 사업(C)'!G:G, B99, 'PPA 사업(C)'!X:X, B107, 'PPA 사업(C)'!U:U, $C$1),
    SUMIFS('리스사업(D)'!I:I, '리스사업(D)'!C:C, $E$1, '리스사업(D)'!G:G, B99, '리스사업(D)'!X:X, B107, '리스사업(D)'!U:U, $C$1),
    SUMIFS('임대사업(E)'!I:I, '임대사업(E)'!C:C, $E$1, '임대사업(E)'!G:G, B99, '임대사업(E)'!X:X, B107, '임대사업(E)'!U:U, $C$1),
    SUMIFS('환경부사업(F)'!I:I, '환경부사업(F)'!C:C, $E$1, '환경부사업(F)'!G:G, B99, '환경부사업(F)'!X:X, B107, '환경부사업(F)'!U:U, $C$1),
    SUMIFS('프로젝트(G)'!I:I, '프로젝트(G)'!C:C, $E$1, '프로젝트(G)'!G:G, B99, '프로젝트(G)'!X:X, B107, '프로젝트(G)'!U:U, $C$1),
    SUMIFS('협력사 EPC(H)'!I:I, '협력사 EPC(H)'!C:C, $E$1, '협력사 EPC(H)'!G:G, B99, '협력사 EPC(H)'!X:X, B107, '협력사 EPC(H)'!U:U, $C$1),
    SUMIFS('기타(Z)'!I:I, '기타(Z)'!C:C, $E$1, '기타(Z)'!G:G, B99, '기타(Z)'!X:X, B107, '기타(Z)'!U:U, $C$1)
  ) = 0,
  "",
  SUM(
    SUMIFS('발전사업(A)'!I:I, '발전사업(A)'!C:C, $E$1, '발전사업(A)'!G:G, B99, '발전사업(A)'!X:X, B107, '발전사업(A)'!U:U, $C$1),
    SUMIFS('자가소비(B)'!I:I, '자가소비(B)'!C:C, $E$1, '자가소비(B)'!G:G, B99, '자가소비(B)'!X:X, B107, '자가소비(B)'!U:U, $C$1),
    SUMIFS('PPA 사업(C)'!I:I, 'PPA 사업(C)'!C:C, $E$1, 'PPA 사업(C)'!G:G, B99, 'PPA 사업(C)'!X:X, B107, 'PPA 사업(C)'!U:U, $C$1),
    SUMIFS('리스사업(D)'!I:I, '리스사업(D)'!C:C, $E$1, '리스사업(D)'!G:G, B99, '리스사업(D)'!X:X, B107, '리스사업(D)'!U:U, $C$1),
    SUMIFS('임대사업(E)'!I:I, '임대사업(E)'!C:C, $E$1, '임대사업(E)'!G:G, B99, '임대사업(E)'!X:X, B107, '임대사업(E)'!U:U, $C$1),
    SUMIFS('환경부사업(F)'!I:I, '환경부사업(F)'!C:C, $E$1, '환경부사업(F)'!G:G, B99, '환경부사업(F)'!X:X, B107, '환경부사업(F)'!U:U, $C$1),
    SUMIFS('프로젝트(G)'!I:I, '프로젝트(G)'!C:C, $E$1, '프로젝트(G)'!G:G, B99, '프로젝트(G)'!X:X, B107, '프로젝트(G)'!U:U, $C$1),
    SUMIFS('협력사 EPC(H)'!I:I, '협력사 EPC(H)'!C:C, $E$1, '협력사 EPC(H)'!G:G, B99, '협력사 EPC(H)'!X:X, B107, '협력사 EPC(H)'!U:U, $C$1),
    SUMIFS('기타(Z)'!I:I, '기타(Z)'!C:C, $E$1, '기타(Z)'!G:G, B99, '기타(Z)'!X:X, B107, '기타(Z)'!U:U, $C$1)
  )
)</f>
        <v/>
      </c>
      <c r="F107" s="263" t="str">
        <f>IF(
  SUM(
    COUNTIFS('발전사업(A)'!C:C, $E$1, '발전사업(A)'!G:G, B99, '발전사업(A)'!X:X, B107, '발전사업(A)'!U:U, $C$1),
    COUNTIFS('자가소비(B)'!C:C, $E$1, '자가소비(B)'!G:G, B99, '자가소비(B)'!X:X, B107, '자가소비(B)'!U:U, $C$1),
    COUNTIFS('PPA 사업(C)'!C:C, $E$1, 'PPA 사업(C)'!G:G, B99, 'PPA 사업(C)'!X:X, B107, 'PPA 사업(C)'!U:U, $C$1),
    COUNTIFS('리스사업(D)'!C:C, $E$1, '리스사업(D)'!G:G, B99, '리스사업(D)'!X:X, B107, '리스사업(D)'!U:U, $C$1),
    COUNTIFS('임대사업(E)'!C:C, $E$1, '임대사업(E)'!G:G, B99, '임대사업(E)'!X:X, B107, '임대사업(E)'!U:U, $C$1),
    COUNTIFS('환경부사업(F)'!C:C, $E$1, '환경부사업(F)'!G:G, B99, '환경부사업(F)'!X:X, B107, '환경부사업(F)'!U:U, $C$1),
    COUNTIFS('프로젝트(G)'!C:C, $E$1, '프로젝트(G)'!G:G, B99, '프로젝트(G)'!X:X, B107, '프로젝트(G)'!U:U, $C$1),
    COUNTIFS('협력사 EPC(H)'!C:C, $E$1, '협력사 EPC(H)'!G:G, B99, '협력사 EPC(H)'!X:X, B107, '협력사 EPC(H)'!U:U, $C$1),
    COUNTIFS('기타(Z)'!C:C, $E$1, '기타(Z)'!G:G, B99, '기타(Z)'!X:X, B107, '기타(Z)'!U:U, $C$1)
  ) = 0,
  "",
  SUM(
    COUNTIFS('발전사업(A)'!C:C, $E$1, '발전사업(A)'!G:G, B99, '발전사업(A)'!X:X, B107, '발전사업(A)'!U:U, $C$1),
    COUNTIFS('자가소비(B)'!C:C, $E$1, '자가소비(B)'!G:G, B99, '자가소비(B)'!X:X, B107, '자가소비(B)'!U:U, $C$1),
    COUNTIFS('PPA 사업(C)'!C:C, $E$1, 'PPA 사업(C)'!G:G, B99, 'PPA 사업(C)'!X:X, B107, 'PPA 사업(C)'!U:U, $C$1),
    COUNTIFS('리스사업(D)'!C:C, $E$1, '리스사업(D)'!G:G, B99, '리스사업(D)'!X:X, B107, '리스사업(D)'!U:U, $C$1),
    COUNTIFS('임대사업(E)'!C:C, $E$1, '임대사업(E)'!G:G, B99, '임대사업(E)'!X:X, B107, '임대사업(E)'!U:U, $C$1),
    COUNTIFS('환경부사업(F)'!C:C, $E$1, '환경부사업(F)'!G:G, B99, '환경부사업(F)'!X:X, B107, '환경부사업(F)'!U:U, $C$1),
    COUNTIFS('프로젝트(G)'!C:C, $E$1, '프로젝트(G)'!G:G, B99, '프로젝트(G)'!X:X, B107, '프로젝트(G)'!U:U, $C$1),
    COUNTIFS('협력사 EPC(H)'!C:C, $E$1, '협력사 EPC(H)'!G:G, B99, '협력사 EPC(H)'!X:X, B107, '협력사 EPC(H)'!U:U, $C$1),
    COUNTIFS('기타(Z)'!C:C, $E$1, '기타(Z)'!G:G, B99, '기타(Z)'!X:X, B107, '기타(Z)'!U:U, $C$1)
  )
)</f>
        <v/>
      </c>
      <c r="G107" s="262" t="str">
        <f>IF(
  SUM(
    SUMIFS('발전사업(A)'!I:I, '발전사업(A)'!C:C, $E$1, '발전사업(A)'!G:G, B99, '발전사업(A)'!X:X, B107, '발전사업(A)'!U:U, $D$1),
    SUMIFS('자가소비(B)'!I:I, '자가소비(B)'!C:C, $E$1, '자가소비(B)'!G:G, B99, '자가소비(B)'!X:X, B107, '자가소비(B)'!U:U, $D$1),
    SUMIFS('PPA 사업(C)'!I:I, 'PPA 사업(C)'!C:C, $E$1, 'PPA 사업(C)'!G:G, B99, 'PPA 사업(C)'!X:X, B107, 'PPA 사업(C)'!U:U, $D$1),
    SUMIFS('리스사업(D)'!I:I, '리스사업(D)'!C:C, $E$1, '리스사업(D)'!G:G, B99, '리스사업(D)'!X:X, B107, '리스사업(D)'!U:U, $D$1),
    SUMIFS('임대사업(E)'!I:I, '임대사업(E)'!C:C, $E$1, '임대사업(E)'!G:G, B99, '임대사업(E)'!X:X, B107, '임대사업(E)'!U:U, $D$1),
    SUMIFS('환경부사업(F)'!I:I, '환경부사업(F)'!C:C, $E$1, '환경부사업(F)'!G:G, B99, '환경부사업(F)'!X:X, B107, '환경부사업(F)'!U:U, $D$1),
    SUMIFS('프로젝트(G)'!I:I, '프로젝트(G)'!C:C, $E$1, '프로젝트(G)'!G:G, B99, '프로젝트(G)'!X:X, B107, '프로젝트(G)'!U:U, $D$1),
    SUMIFS('협력사 EPC(H)'!I:I, '협력사 EPC(H)'!C:C, $E$1, '협력사 EPC(H)'!G:G, B99, '협력사 EPC(H)'!X:X, B107, '협력사 EPC(H)'!U:U, $D$1),
    SUMIFS('기타(Z)'!I:I, '기타(Z)'!C:C, $E$1, '기타(Z)'!G:G, B99, '기타(Z)'!X:X, B107, '기타(Z)'!U:U, $D$1)
  ) = 0,
  "",
  SUM(
    SUMIFS('발전사업(A)'!I:I, '발전사업(A)'!C:C, $E$1, '발전사업(A)'!G:G, B99, '발전사업(A)'!X:X, B107, '발전사업(A)'!U:U, $D$1),
    SUMIFS('자가소비(B)'!I:I, '자가소비(B)'!C:C, $E$1, '자가소비(B)'!G:G, B99, '자가소비(B)'!X:X, B107, '자가소비(B)'!U:U, $D$1),
    SUMIFS('PPA 사업(C)'!I:I, 'PPA 사업(C)'!C:C, $E$1, 'PPA 사업(C)'!G:G, B99, 'PPA 사업(C)'!X:X, B107, 'PPA 사업(C)'!U:U, $D$1),
    SUMIFS('리스사업(D)'!I:I, '리스사업(D)'!C:C, $E$1, '리스사업(D)'!G:G, B99, '리스사업(D)'!X:X, B107, '리스사업(D)'!U:U, $D$1),
    SUMIFS('임대사업(E)'!I:I, '임대사업(E)'!C:C, $E$1, '임대사업(E)'!G:G, B99, '임대사업(E)'!X:X, B107, '임대사업(E)'!U:U, $D$1),
    SUMIFS('환경부사업(F)'!I:I, '환경부사업(F)'!C:C, $E$1, '환경부사업(F)'!G:G, B99, '환경부사업(F)'!X:X, B107, '환경부사업(F)'!U:U, $D$1),
    SUMIFS('프로젝트(G)'!I:I, '프로젝트(G)'!C:C, $E$1, '프로젝트(G)'!G:G, B99, '프로젝트(G)'!X:X, B107, '프로젝트(G)'!U:U, $D$1),
    SUMIFS('협력사 EPC(H)'!I:I, '협력사 EPC(H)'!C:C, $E$1, '협력사 EPC(H)'!G:G, B99, '협력사 EPC(H)'!X:X, B107, '협력사 EPC(H)'!U:U, $D$1),
    SUMIFS('기타(Z)'!I:I, '기타(Z)'!C:C, $E$1, '기타(Z)'!G:G, B99, '기타(Z)'!X:X, B107, '기타(Z)'!U:U, $D$1)
  )
)</f>
        <v/>
      </c>
      <c r="H107" s="263" t="str">
        <f>IF(
  (
    COUNTIFS('발전사업(A)'!C:C, $E$1, '발전사업(A)'!G:G, B99, '발전사업(A)'!X:X, B107, '발전사업(A)'!U:U, $D$1)
    + COUNTIFS('자가소비(B)'!C:C, $E$1, '자가소비(B)'!G:G, B99, '자가소비(B)'!X:X, B107, '자가소비(B)'!U:U, $D$1)
    + COUNTIFS('PPA 사업(C)'!C:C, $E$1, 'PPA 사업(C)'!G:G, B99, 'PPA 사업(C)'!X:X, B107, 'PPA 사업(C)'!U:U, $D$1)
    + COUNTIFS('리스사업(D)'!C:C, $E$1, '리스사업(D)'!G:G, B99, '리스사업(D)'!X:X, B107, '리스사업(D)'!U:U, $D$1)
    + COUNTIFS('임대사업(E)'!C:C, $E$1, '임대사업(E)'!G:G, B99, '임대사업(E)'!X:X, B107, '임대사업(E)'!U:U, $D$1)
    + COUNTIFS('환경부사업(F)'!C:C, $E$1, '환경부사업(F)'!G:G, B99, '환경부사업(F)'!X:X, B107, '환경부사업(F)'!U:U, $D$1)
    + COUNTIFS('프로젝트(G)'!C:C, $E$1, '프로젝트(G)'!G:G, B99, '프로젝트(G)'!X:X, B107, '프로젝트(G)'!U:U, $D$1)
    + COUNTIFS('협력사 EPC(H)'!C:C, $E$1, '협력사 EPC(H)'!G:G, B99, '협력사 EPC(H)'!X:X, B107, '협력사 EPC(H)'!U:U, $D$1)
    + COUNTIFS('기타(Z)'!C:C, $E$1, '기타(Z)'!G:G, B99, '기타(Z)'!X:X, B107, '기타(Z)'!U:U, $D$1)
  ) = 0,
  "",
  COUNTIFS('발전사업(A)'!C:C, $E$1, '발전사업(A)'!G:G, B99, '발전사업(A)'!X:X, B107, '발전사업(A)'!U:U, $D$1)
  + COUNTIFS('자가소비(B)'!C:C, $E$1, '자가소비(B)'!G:G, B99, '자가소비(B)'!X:X, B107, '자가소비(B)'!U:U, $D$1)
  + COUNTIFS('PPA 사업(C)'!C:C, $E$1, 'PPA 사업(C)'!G:G, B99, 'PPA 사업(C)'!X:X, B107, 'PPA 사업(C)'!U:U, $D$1)
  + COUNTIFS('리스사업(D)'!C:C, $E$1, '리스사업(D)'!G:G, B99, '리스사업(D)'!X:X, B107, '리스사업(D)'!U:U, $D$1)
  + COUNTIFS('임대사업(E)'!C:C, $E$1, '임대사업(E)'!G:G, B99, '임대사업(E)'!X:X, B107, '임대사업(E)'!U:U, $D$1)
  + COUNTIFS('환경부사업(F)'!C:C, $E$1, '환경부사업(F)'!G:G, B99, '환경부사업(F)'!X:X, B107, '환경부사업(F)'!U:U, $D$1)
  + COUNTIFS('프로젝트(G)'!C:C, $E$1, '프로젝트(G)'!G:G, B99, '프로젝트(G)'!X:X, B107, '프로젝트(G)'!U:U, $D$1)
  + COUNTIFS('협력사 EPC(H)'!C:C, $E$1, '협력사 EPC(H)'!G:G, B99, '협력사 EPC(H)'!X:X, B107, '협력사 EPC(H)'!U:U, $D$1)
  + COUNTIFS('기타(Z)'!C:C, $E$1, '기타(Z)'!G:G, B99, '기타(Z)'!X:X, B107, '기타(Z)'!U:U, $D$1)
)</f>
        <v/>
      </c>
    </row>
    <row r="108" spans="2:8" ht="16.5" x14ac:dyDescent="0.25">
      <c r="B108" s="274" t="s">
        <v>174</v>
      </c>
      <c r="C108" s="268">
        <f t="shared" ref="C108:H108" si="15">SUM(C100:C107)</f>
        <v>4028.67</v>
      </c>
      <c r="D108" s="269">
        <f t="shared" si="15"/>
        <v>14</v>
      </c>
      <c r="E108" s="270">
        <f t="shared" si="15"/>
        <v>741.10500000000002</v>
      </c>
      <c r="F108" s="271">
        <f t="shared" si="15"/>
        <v>5</v>
      </c>
      <c r="G108" s="272">
        <f t="shared" si="15"/>
        <v>3287.5650000000005</v>
      </c>
      <c r="H108" s="273">
        <f t="shared" si="15"/>
        <v>9</v>
      </c>
    </row>
    <row r="111" spans="2:8" ht="17.25" x14ac:dyDescent="0.25">
      <c r="B111" s="264">
        <v>9</v>
      </c>
      <c r="C111" s="265" t="s">
        <v>176</v>
      </c>
      <c r="D111" s="265" t="s">
        <v>175</v>
      </c>
      <c r="E111" s="266" t="s">
        <v>177</v>
      </c>
      <c r="F111" s="266" t="s">
        <v>178</v>
      </c>
      <c r="G111" s="267" t="s">
        <v>179</v>
      </c>
      <c r="H111" s="267" t="s">
        <v>180</v>
      </c>
    </row>
    <row r="112" spans="2:8" x14ac:dyDescent="0.25">
      <c r="B112" s="195" t="s">
        <v>160</v>
      </c>
      <c r="C112" s="262">
        <f>IF(
  SUM(
    SUMIFS('발전사업(A)'!I:I, '발전사업(A)'!C:C, $E$1, '발전사업(A)'!G:G, B111, '발전사업(A)'!X:X, B112),
    SUMIFS('자가소비(B)'!I:I, '자가소비(B)'!C:C, $E$1, '자가소비(B)'!G:G, B111, '자가소비(B)'!X:X, B112),
    SUMIFS('PPA 사업(C)'!I:I, 'PPA 사업(C)'!C:C, $E$1, 'PPA 사업(C)'!G:G, B111, 'PPA 사업(C)'!X:X, B112),
    SUMIFS('리스사업(D)'!I:I, '리스사업(D)'!C:C, $E$1, '리스사업(D)'!G:G, B111, '리스사업(D)'!X:X, B112),
    SUMIFS('임대사업(E)'!I:I, '임대사업(E)'!C:C, $E$1, '임대사업(E)'!G:G, B111, '임대사업(E)'!X:X, B112),
    SUMIFS('환경부사업(F)'!I:I, '환경부사업(F)'!C:C, $E$1, '환경부사업(F)'!G:G, B111, '환경부사업(F)'!X:X, B112),
    SUMIFS('프로젝트(G)'!I:I, '프로젝트(G)'!C:C, $E$1, '프로젝트(G)'!G:G, B111, '프로젝트(G)'!X:X, B112),
    SUMIFS('협력사 EPC(H)'!I:I, '협력사 EPC(H)'!C:C, $E$1, '협력사 EPC(H)'!G:G, B111, '협력사 EPC(H)'!X:X, B112),
    SUMIFS('기타(Z)'!I:I, '기타(Z)'!C:C, $E$1, '기타(Z)'!G:G, B111, '기타(Z)'!X:X, B112)
  ) = 0,
  "",
  SUMIFS('발전사업(A)'!I:I, '발전사업(A)'!C:C, $E$1, '발전사업(A)'!G:G, B111, '발전사업(A)'!X:X, B112)
  + SUMIFS('자가소비(B)'!I:I, '자가소비(B)'!C:C, $E$1, '자가소비(B)'!G:G, B111, '자가소비(B)'!X:X, B112)
  + SUMIFS('PPA 사업(C)'!I:I, 'PPA 사업(C)'!C:C, $E$1, 'PPA 사업(C)'!G:G, B111, 'PPA 사업(C)'!X:X, B112)
  + SUMIFS('리스사업(D)'!I:I, '리스사업(D)'!C:C, $E$1, '리스사업(D)'!G:G, B111, '리스사업(D)'!X:X, B112)
  + SUMIFS('임대사업(E)'!I:I, '임대사업(E)'!C:C, $E$1, '임대사업(E)'!G:G, B111, '임대사업(E)'!X:X, B112)
  + SUMIFS('환경부사업(F)'!I:I, '환경부사업(F)'!C:C, $E$1, '환경부사업(F)'!G:G, B111, '환경부사업(F)'!X:X, B112)
  + SUMIFS('프로젝트(G)'!I:I, '프로젝트(G)'!C:C, $E$1, '프로젝트(G)'!G:G, B111, '프로젝트(G)'!X:X, B112)
  + SUMIFS('협력사 EPC(H)'!I:I, '협력사 EPC(H)'!C:C, $E$1, '협력사 EPC(H)'!G:G, B111, '협력사 EPC(H)'!X:X, B112)
  + SUMIFS('기타(Z)'!I:I, '기타(Z)'!C:C, $E$1, '기타(Z)'!G:G, B111, '기타(Z)'!X:X, B112)
)</f>
        <v>1491.37</v>
      </c>
      <c r="D112" s="263">
        <f>IF(
  COUNTIFS('발전사업(A)'!C:C, $E$1, '발전사업(A)'!G:G, B111, '발전사업(A)'!X:X, B112)
  + COUNTIFS('자가소비(B)'!C:C, $E$1, '자가소비(B)'!G:G, B111, '자가소비(B)'!X:X, B112)
  + COUNTIFS('PPA 사업(C)'!C:C, $E$1, 'PPA 사업(C)'!G:G, B111, 'PPA 사업(C)'!X:X, B112)
  + COUNTIFS('리스사업(D)'!C:C, $E$1, '리스사업(D)'!G:G, B111, '리스사업(D)'!X:X, B112)
  + COUNTIFS('임대사업(E)'!C:C, $E$1, '임대사업(E)'!G:G, B111, '임대사업(E)'!X:X, B112)
  + COUNTIFS('환경부사업(F)'!C:C, $E$1, '환경부사업(F)'!G:G, B111, '환경부사업(F)'!X:X, B112)
  + COUNTIFS('프로젝트(G)'!C:C, $E$1, '프로젝트(G)'!G:G, B111, '프로젝트(G)'!X:X, B112)
  + COUNTIFS('협력사 EPC(H)'!C:C, $E$1, '협력사 EPC(H)'!G:G, B111, '협력사 EPC(H)'!X:X, B112)
  + COUNTIFS('기타(Z)'!C:C, $E$1, '기타(Z)'!G:G, B111, '기타(Z)'!X:X, B112)
  = 0,
  "",
  COUNTIFS('발전사업(A)'!C:C, $E$1, '발전사업(A)'!G:G, B111, '발전사업(A)'!X:X, B112)
  + COUNTIFS('자가소비(B)'!C:C, $E$1, '자가소비(B)'!G:G, B111, '자가소비(B)'!X:X, B112)
  + COUNTIFS('PPA 사업(C)'!C:C, $E$1, 'PPA 사업(C)'!G:G, B111, 'PPA 사업(C)'!X:X, B112)
  + COUNTIFS('리스사업(D)'!C:C, $E$1, '리스사업(D)'!G:G, B111, '리스사업(D)'!X:X, B112)
  + COUNTIFS('임대사업(E)'!C:C, $E$1, '임대사업(E)'!G:G, B111, '임대사업(E)'!X:X, B112)
  + COUNTIFS('환경부사업(F)'!C:C, $E$1, '환경부사업(F)'!G:G, B111, '환경부사업(F)'!X:X, B112)
  + COUNTIFS('프로젝트(G)'!C:C, $E$1, '프로젝트(G)'!G:G, B111, '프로젝트(G)'!X:X, B112)
  + COUNTIFS('협력사 EPC(H)'!C:C, $E$1, '협력사 EPC(H)'!G:G, B111, '협력사 EPC(H)'!X:X, B112)
  + COUNTIFS('기타(Z)'!C:C, $E$1, '기타(Z)'!G:G, B111, '기타(Z)'!X:X, B112)
)</f>
        <v>2</v>
      </c>
      <c r="E112" s="262">
        <f>IF(
  SUM(
    SUMIFS('발전사업(A)'!I:I, '발전사업(A)'!C:C, $E$1, '발전사업(A)'!G:G, B111, '발전사업(A)'!X:X, B112, '발전사업(A)'!U:U, $C$1),
    SUMIFS('자가소비(B)'!I:I, '자가소비(B)'!C:C, $E$1, '자가소비(B)'!G:G, B111, '자가소비(B)'!X:X, B112, '자가소비(B)'!U:U, $C$1),
    SUMIFS('PPA 사업(C)'!I:I, 'PPA 사업(C)'!C:C, $E$1, 'PPA 사업(C)'!G:G, B111, 'PPA 사업(C)'!X:X, B112, 'PPA 사업(C)'!U:U, $C$1),
    SUMIFS('리스사업(D)'!I:I, '리스사업(D)'!C:C, $E$1, '리스사업(D)'!G:G, B111, '리스사업(D)'!X:X, B112, '리스사업(D)'!U:U, $C$1),
    SUMIFS('임대사업(E)'!I:I, '임대사업(E)'!C:C, $E$1, '임대사업(E)'!G:G, B111, '임대사업(E)'!X:X, B112, '임대사업(E)'!U:U, $C$1),
    SUMIFS('환경부사업(F)'!I:I, '환경부사업(F)'!C:C, $E$1, '환경부사업(F)'!G:G, B111, '환경부사업(F)'!X:X, B112, '환경부사업(F)'!U:U, $C$1),
    SUMIFS('프로젝트(G)'!I:I, '프로젝트(G)'!C:C, $E$1, '프로젝트(G)'!G:G, B111, '프로젝트(G)'!X:X, B112, '프로젝트(G)'!U:U, $C$1),
    SUMIFS('협력사 EPC(H)'!I:I, '협력사 EPC(H)'!C:C, $E$1, '협력사 EPC(H)'!G:G, B111, '협력사 EPC(H)'!X:X, B112, '협력사 EPC(H)'!U:U, $C$1),
    SUMIFS('기타(Z)'!I:I, '기타(Z)'!C:C, $E$1, '기타(Z)'!G:G, B111, '기타(Z)'!X:X, B112, '기타(Z)'!U:U, $C$1)
  ) = 0,
  "",
  SUM(
    SUMIFS('발전사업(A)'!I:I, '발전사업(A)'!C:C, $E$1, '발전사업(A)'!G:G, B111, '발전사업(A)'!X:X, B112, '발전사업(A)'!U:U, $C$1),
    SUMIFS('자가소비(B)'!I:I, '자가소비(B)'!C:C, $E$1, '자가소비(B)'!G:G, B111, '자가소비(B)'!X:X, B112, '자가소비(B)'!U:U, $C$1),
    SUMIFS('PPA 사업(C)'!I:I, 'PPA 사업(C)'!C:C, $E$1, 'PPA 사업(C)'!G:G, B111, 'PPA 사업(C)'!X:X, B112, 'PPA 사업(C)'!U:U, $C$1),
    SUMIFS('리스사업(D)'!I:I, '리스사업(D)'!C:C, $E$1, '리스사업(D)'!G:G, B111, '리스사업(D)'!X:X, B112, '리스사업(D)'!U:U, $C$1),
    SUMIFS('임대사업(E)'!I:I, '임대사업(E)'!C:C, $E$1, '임대사업(E)'!G:G, B111, '임대사업(E)'!X:X, B112, '임대사업(E)'!U:U, $C$1),
    SUMIFS('환경부사업(F)'!I:I, '환경부사업(F)'!C:C, $E$1, '환경부사업(F)'!G:G, B111, '환경부사업(F)'!X:X, B112, '환경부사업(F)'!U:U, $C$1),
    SUMIFS('프로젝트(G)'!I:I, '프로젝트(G)'!C:C, $E$1, '프로젝트(G)'!G:G, B111, '프로젝트(G)'!X:X, B112, '프로젝트(G)'!U:U, $C$1),
    SUMIFS('협력사 EPC(H)'!I:I, '협력사 EPC(H)'!C:C, $E$1, '협력사 EPC(H)'!G:G, B111, '협력사 EPC(H)'!X:X, B112, '협력사 EPC(H)'!U:U, $C$1),
    SUMIFS('기타(Z)'!I:I, '기타(Z)'!C:C, $E$1, '기타(Z)'!G:G, B111, '기타(Z)'!X:X, B112, '기타(Z)'!U:U, $C$1)
  )
)</f>
        <v>1333.99</v>
      </c>
      <c r="F112" s="263">
        <f>IF(
  SUM(
    COUNTIFS('발전사업(A)'!C:C, $E$1, '발전사업(A)'!G:G, B111, '발전사업(A)'!X:X, B112, '발전사업(A)'!U:U, $C$1),
    COUNTIFS('자가소비(B)'!C:C, $E$1, '자가소비(B)'!G:G, B111, '자가소비(B)'!X:X, B112, '자가소비(B)'!U:U, $C$1),
    COUNTIFS('PPA 사업(C)'!C:C, $E$1, 'PPA 사업(C)'!G:G, B111, 'PPA 사업(C)'!X:X, B112, 'PPA 사업(C)'!U:U, $C$1),
    COUNTIFS('리스사업(D)'!C:C, $E$1, '리스사업(D)'!G:G, B111, '리스사업(D)'!X:X, B112, '리스사업(D)'!U:U, $C$1),
    COUNTIFS('임대사업(E)'!C:C, $E$1, '임대사업(E)'!G:G, B111, '임대사업(E)'!X:X, B112, '임대사업(E)'!U:U, $C$1),
    COUNTIFS('환경부사업(F)'!C:C, $E$1, '환경부사업(F)'!G:G, B111, '환경부사업(F)'!X:X, B112, '환경부사업(F)'!U:U, $C$1),
    COUNTIFS('프로젝트(G)'!C:C, $E$1, '프로젝트(G)'!G:G, B111, '프로젝트(G)'!X:X, B112, '프로젝트(G)'!U:U, $C$1),
    COUNTIFS('협력사 EPC(H)'!C:C, $E$1, '협력사 EPC(H)'!G:G, B111, '협력사 EPC(H)'!X:X, B112, '협력사 EPC(H)'!U:U, $C$1),
    COUNTIFS('기타(Z)'!C:C, $E$1, '기타(Z)'!G:G, B111, '기타(Z)'!X:X, B112, '기타(Z)'!U:U, $C$1)
  ) = 0,
  "",
  SUM(
    COUNTIFS('발전사업(A)'!C:C, $E$1, '발전사업(A)'!G:G, B111, '발전사업(A)'!X:X, B112, '발전사업(A)'!U:U, $C$1),
    COUNTIFS('자가소비(B)'!C:C, $E$1, '자가소비(B)'!G:G, B111, '자가소비(B)'!X:X, B112, '자가소비(B)'!U:U, $C$1),
    COUNTIFS('PPA 사업(C)'!C:C, $E$1, 'PPA 사업(C)'!G:G, B111, 'PPA 사업(C)'!X:X, B112, 'PPA 사업(C)'!U:U, $C$1),
    COUNTIFS('리스사업(D)'!C:C, $E$1, '리스사업(D)'!G:G, B111, '리스사업(D)'!X:X, B112, '리스사업(D)'!U:U, $C$1),
    COUNTIFS('임대사업(E)'!C:C, $E$1, '임대사업(E)'!G:G, B111, '임대사업(E)'!X:X, B112, '임대사업(E)'!U:U, $C$1),
    COUNTIFS('환경부사업(F)'!C:C, $E$1, '환경부사업(F)'!G:G, B111, '환경부사업(F)'!X:X, B112, '환경부사업(F)'!U:U, $C$1),
    COUNTIFS('프로젝트(G)'!C:C, $E$1, '프로젝트(G)'!G:G, B111, '프로젝트(G)'!X:X, B112, '프로젝트(G)'!U:U, $C$1),
    COUNTIFS('협력사 EPC(H)'!C:C, $E$1, '협력사 EPC(H)'!G:G, B111, '협력사 EPC(H)'!X:X, B112, '협력사 EPC(H)'!U:U, $C$1),
    COUNTIFS('기타(Z)'!C:C, $E$1, '기타(Z)'!G:G, B111, '기타(Z)'!X:X, B112, '기타(Z)'!U:U, $C$1)
  )
)</f>
        <v>1</v>
      </c>
      <c r="G112" s="262">
        <f>IF(
  SUM(
    SUMIFS('발전사업(A)'!I:I, '발전사업(A)'!C:C, $E$1, '발전사업(A)'!G:G, B111, '발전사업(A)'!X:X, B112, '발전사업(A)'!U:U, $D$1),
    SUMIFS('자가소비(B)'!I:I, '자가소비(B)'!C:C, $E$1, '자가소비(B)'!G:G, B111, '자가소비(B)'!X:X, B112, '자가소비(B)'!U:U, $D$1),
    SUMIFS('PPA 사업(C)'!I:I, 'PPA 사업(C)'!C:C, $E$1, 'PPA 사업(C)'!G:G, B111, 'PPA 사업(C)'!X:X, B112, 'PPA 사업(C)'!U:U, $D$1),
    SUMIFS('리스사업(D)'!I:I, '리스사업(D)'!C:C, $E$1, '리스사업(D)'!G:G, B111, '리스사업(D)'!X:X, B112, '리스사업(D)'!U:U, $D$1),
    SUMIFS('임대사업(E)'!I:I, '임대사업(E)'!C:C, $E$1, '임대사업(E)'!G:G, B111, '임대사업(E)'!X:X, B112, '임대사업(E)'!U:U, $D$1),
    SUMIFS('환경부사업(F)'!I:I, '환경부사업(F)'!C:C, $E$1, '환경부사업(F)'!G:G, B111, '환경부사업(F)'!X:X, B112, '환경부사업(F)'!U:U, $D$1),
    SUMIFS('프로젝트(G)'!I:I, '프로젝트(G)'!C:C, $E$1, '프로젝트(G)'!G:G, B111, '프로젝트(G)'!X:X, B112, '프로젝트(G)'!U:U, $D$1),
    SUMIFS('협력사 EPC(H)'!I:I, '협력사 EPC(H)'!C:C, $E$1, '협력사 EPC(H)'!G:G, B111, '협력사 EPC(H)'!X:X, B112, '협력사 EPC(H)'!U:U, $D$1),
    SUMIFS('기타(Z)'!I:I, '기타(Z)'!C:C, $E$1, '기타(Z)'!G:G, B111, '기타(Z)'!X:X, B112, '기타(Z)'!U:U, $D$1)
  ) = 0,
  "",
  SUM(
    SUMIFS('발전사업(A)'!I:I, '발전사업(A)'!C:C, $E$1, '발전사업(A)'!G:G, B111, '발전사업(A)'!X:X, B112, '발전사업(A)'!U:U, $D$1),
    SUMIFS('자가소비(B)'!I:I, '자가소비(B)'!C:C, $E$1, '자가소비(B)'!G:G, B111, '자가소비(B)'!X:X, B112, '자가소비(B)'!U:U, $D$1),
    SUMIFS('PPA 사업(C)'!I:I, 'PPA 사업(C)'!C:C, $E$1, 'PPA 사업(C)'!G:G, B111, 'PPA 사업(C)'!X:X, B112, 'PPA 사업(C)'!U:U, $D$1),
    SUMIFS('리스사업(D)'!I:I, '리스사업(D)'!C:C, $E$1, '리스사업(D)'!G:G, B111, '리스사업(D)'!X:X, B112, '리스사업(D)'!U:U, $D$1),
    SUMIFS('임대사업(E)'!I:I, '임대사업(E)'!C:C, $E$1, '임대사업(E)'!G:G, B111, '임대사업(E)'!X:X, B112, '임대사업(E)'!U:U, $D$1),
    SUMIFS('환경부사업(F)'!I:I, '환경부사업(F)'!C:C, $E$1, '환경부사업(F)'!G:G, B111, '환경부사업(F)'!X:X, B112, '환경부사업(F)'!U:U, $D$1),
    SUMIFS('프로젝트(G)'!I:I, '프로젝트(G)'!C:C, $E$1, '프로젝트(G)'!G:G, B111, '프로젝트(G)'!X:X, B112, '프로젝트(G)'!U:U, $D$1),
    SUMIFS('협력사 EPC(H)'!I:I, '협력사 EPC(H)'!C:C, $E$1, '협력사 EPC(H)'!G:G, B111, '협력사 EPC(H)'!X:X, B112, '협력사 EPC(H)'!U:U, $D$1),
    SUMIFS('기타(Z)'!I:I, '기타(Z)'!C:C, $E$1, '기타(Z)'!G:G, B111, '기타(Z)'!X:X, B112, '기타(Z)'!U:U, $D$1)
  )
)</f>
        <v>157.38</v>
      </c>
      <c r="H112" s="263">
        <f>IF(
  (
    COUNTIFS('발전사업(A)'!C:C, $E$1, '발전사업(A)'!G:G, B111, '발전사업(A)'!X:X, B112, '발전사업(A)'!U:U, $D$1)
    + COUNTIFS('자가소비(B)'!C:C, $E$1, '자가소비(B)'!G:G, B111, '자가소비(B)'!X:X, B112, '자가소비(B)'!U:U, $D$1)
    + COUNTIFS('PPA 사업(C)'!C:C, $E$1, 'PPA 사업(C)'!G:G, B111, 'PPA 사업(C)'!X:X, B112, 'PPA 사업(C)'!U:U, $D$1)
    + COUNTIFS('리스사업(D)'!C:C, $E$1, '리스사업(D)'!G:G, B111, '리스사업(D)'!X:X, B112, '리스사업(D)'!U:U, $D$1)
    + COUNTIFS('임대사업(E)'!C:C, $E$1, '임대사업(E)'!G:G, B111, '임대사업(E)'!X:X, B112, '임대사업(E)'!U:U, $D$1)
    + COUNTIFS('환경부사업(F)'!C:C, $E$1, '환경부사업(F)'!G:G, B111, '환경부사업(F)'!X:X, B112, '환경부사업(F)'!U:U, $D$1)
    + COUNTIFS('프로젝트(G)'!C:C, $E$1, '프로젝트(G)'!G:G, B111, '프로젝트(G)'!X:X, B112, '프로젝트(G)'!U:U, $D$1)
    + COUNTIFS('협력사 EPC(H)'!C:C, $E$1, '협력사 EPC(H)'!G:G, B111, '협력사 EPC(H)'!X:X, B112, '협력사 EPC(H)'!U:U, $D$1)
    + COUNTIFS('기타(Z)'!C:C, $E$1, '기타(Z)'!G:G, B111, '기타(Z)'!X:X, B112, '기타(Z)'!U:U, $D$1)
  ) = 0,
  "",
  COUNTIFS('발전사업(A)'!C:C, $E$1, '발전사업(A)'!G:G, B111, '발전사업(A)'!X:X, B112, '발전사업(A)'!U:U, $D$1)
  + COUNTIFS('자가소비(B)'!C:C, $E$1, '자가소비(B)'!G:G, B111, '자가소비(B)'!X:X, B112, '자가소비(B)'!U:U, $D$1)
  + COUNTIFS('PPA 사업(C)'!C:C, $E$1, 'PPA 사업(C)'!G:G, B111, 'PPA 사업(C)'!X:X, B112, 'PPA 사업(C)'!U:U, $D$1)
  + COUNTIFS('리스사업(D)'!C:C, $E$1, '리스사업(D)'!G:G, B111, '리스사업(D)'!X:X, B112, '리스사업(D)'!U:U, $D$1)
  + COUNTIFS('임대사업(E)'!C:C, $E$1, '임대사업(E)'!G:G, B111, '임대사업(E)'!X:X, B112, '임대사업(E)'!U:U, $D$1)
  + COUNTIFS('환경부사업(F)'!C:C, $E$1, '환경부사업(F)'!G:G, B111, '환경부사업(F)'!X:X, B112, '환경부사업(F)'!U:U, $D$1)
  + COUNTIFS('프로젝트(G)'!C:C, $E$1, '프로젝트(G)'!G:G, B111, '프로젝트(G)'!X:X, B112, '프로젝트(G)'!U:U, $D$1)
  + COUNTIFS('협력사 EPC(H)'!C:C, $E$1, '협력사 EPC(H)'!G:G, B111, '협력사 EPC(H)'!X:X, B112, '협력사 EPC(H)'!U:U, $D$1)
  + COUNTIFS('기타(Z)'!C:C, $E$1, '기타(Z)'!G:G, B111, '기타(Z)'!X:X, B112, '기타(Z)'!U:U, $D$1)
)</f>
        <v>1</v>
      </c>
    </row>
    <row r="113" spans="2:8" x14ac:dyDescent="0.25">
      <c r="B113" s="195" t="s">
        <v>152</v>
      </c>
      <c r="C113" s="262">
        <f>IF(
  SUM(
    SUMIFS('발전사업(A)'!I:I, '발전사업(A)'!C:C, $E$1, '발전사업(A)'!G:G, B111, '발전사업(A)'!X:X, B113),
    SUMIFS('자가소비(B)'!I:I, '자가소비(B)'!C:C, $E$1, '자가소비(B)'!G:G, B111, '자가소비(B)'!X:X, B113),
    SUMIFS('PPA 사업(C)'!I:I, 'PPA 사업(C)'!C:C, $E$1, 'PPA 사업(C)'!G:G, B111, 'PPA 사업(C)'!X:X, B113),
    SUMIFS('리스사업(D)'!I:I, '리스사업(D)'!C:C, $E$1, '리스사업(D)'!G:G, B111, '리스사업(D)'!X:X, B113),
    SUMIFS('임대사업(E)'!I:I, '임대사업(E)'!C:C, $E$1, '임대사업(E)'!G:G, B111, '임대사업(E)'!X:X, B113),
    SUMIFS('환경부사업(F)'!I:I, '환경부사업(F)'!C:C, $E$1, '환경부사업(F)'!G:G, B111, '환경부사업(F)'!X:X, B113),
    SUMIFS('프로젝트(G)'!I:I, '프로젝트(G)'!C:C, $E$1, '프로젝트(G)'!G:G, B111, '프로젝트(G)'!X:X, B113),
    SUMIFS('협력사 EPC(H)'!I:I, '협력사 EPC(H)'!C:C, $E$1, '협력사 EPC(H)'!G:G, B111, '협력사 EPC(H)'!X:X, B113),
    SUMIFS('기타(Z)'!I:I, '기타(Z)'!C:C, $E$1, '기타(Z)'!G:G, B111, '기타(Z)'!X:X, B113)
  ) = 0,
  "",
  SUMIFS('발전사업(A)'!I:I, '발전사업(A)'!C:C, $E$1, '발전사업(A)'!G:G, B111, '발전사업(A)'!X:X, B113)
  + SUMIFS('자가소비(B)'!I:I, '자가소비(B)'!C:C, $E$1, '자가소비(B)'!G:G, B111, '자가소비(B)'!X:X, B113)
  + SUMIFS('PPA 사업(C)'!I:I, 'PPA 사업(C)'!C:C, $E$1, 'PPA 사업(C)'!G:G, B111, 'PPA 사업(C)'!X:X, B113)
  + SUMIFS('리스사업(D)'!I:I, '리스사업(D)'!C:C, $E$1, '리스사업(D)'!G:G, B111, '리스사업(D)'!X:X, B113)
  + SUMIFS('임대사업(E)'!I:I, '임대사업(E)'!C:C, $E$1, '임대사업(E)'!G:G, B111, '임대사업(E)'!X:X, B113)
  + SUMIFS('환경부사업(F)'!I:I, '환경부사업(F)'!C:C, $E$1, '환경부사업(F)'!G:G, B111, '환경부사업(F)'!X:X, B113)
  + SUMIFS('프로젝트(G)'!I:I, '프로젝트(G)'!C:C, $E$1, '프로젝트(G)'!G:G, B111, '프로젝트(G)'!X:X, B113)
  + SUMIFS('협력사 EPC(H)'!I:I, '협력사 EPC(H)'!C:C, $E$1, '협력사 EPC(H)'!G:G, B111, '협력사 EPC(H)'!X:X, B113)
  + SUMIFS('기타(Z)'!I:I, '기타(Z)'!C:C, $E$1, '기타(Z)'!G:G, B111, '기타(Z)'!X:X, B113)
)</f>
        <v>3127.605</v>
      </c>
      <c r="D113" s="263">
        <f>IF(
  COUNTIFS('발전사업(A)'!C:C, $E$1, '발전사업(A)'!G:G, B111, '발전사업(A)'!X:X, B113)
  + COUNTIFS('자가소비(B)'!C:C, $E$1, '자가소비(B)'!G:G, B111, '자가소비(B)'!X:X, B113)
  + COUNTIFS('PPA 사업(C)'!C:C, $E$1, 'PPA 사업(C)'!G:G, B111, 'PPA 사업(C)'!X:X, B113)
  + COUNTIFS('리스사업(D)'!C:C, $E$1, '리스사업(D)'!G:G, B111, '리스사업(D)'!X:X, B113)
  + COUNTIFS('임대사업(E)'!C:C, $E$1, '임대사업(E)'!G:G, B111, '임대사업(E)'!X:X, B113)
  + COUNTIFS('환경부사업(F)'!C:C, $E$1, '환경부사업(F)'!G:G, B111, '환경부사업(F)'!X:X, B113)
  + COUNTIFS('프로젝트(G)'!C:C, $E$1, '프로젝트(G)'!G:G, B111, '프로젝트(G)'!X:X, B113)
  + COUNTIFS('협력사 EPC(H)'!C:C, $E$1, '협력사 EPC(H)'!G:G, B111, '협력사 EPC(H)'!X:X, B113)
  + COUNTIFS('기타(Z)'!C:C, $E$1, '기타(Z)'!G:G, B111, '기타(Z)'!X:X, B113)
  = 0,
  "",
  COUNTIFS('발전사업(A)'!C:C, $E$1, '발전사업(A)'!G:G, B111, '발전사업(A)'!X:X, B113)
  + COUNTIFS('자가소비(B)'!C:C, $E$1, '자가소비(B)'!G:G, B111, '자가소비(B)'!X:X, B113)
  + COUNTIFS('PPA 사업(C)'!C:C, $E$1, 'PPA 사업(C)'!G:G, B111, 'PPA 사업(C)'!X:X, B113)
  + COUNTIFS('리스사업(D)'!C:C, $E$1, '리스사업(D)'!G:G, B111, '리스사업(D)'!X:X, B113)
  + COUNTIFS('임대사업(E)'!C:C, $E$1, '임대사업(E)'!G:G, B111, '임대사업(E)'!X:X, B113)
  + COUNTIFS('환경부사업(F)'!C:C, $E$1, '환경부사업(F)'!G:G, B111, '환경부사업(F)'!X:X, B113)
  + COUNTIFS('프로젝트(G)'!C:C, $E$1, '프로젝트(G)'!G:G, B111, '프로젝트(G)'!X:X, B113)
  + COUNTIFS('협력사 EPC(H)'!C:C, $E$1, '협력사 EPC(H)'!G:G, B111, '협력사 EPC(H)'!X:X, B113)
  + COUNTIFS('기타(Z)'!C:C, $E$1, '기타(Z)'!G:G, B111, '기타(Z)'!X:X, B113)
)</f>
        <v>5</v>
      </c>
      <c r="E113" s="262">
        <f>IF(
  SUM(
    SUMIFS('발전사업(A)'!I:I, '발전사업(A)'!C:C, $E$1, '발전사업(A)'!G:G, B111, '발전사업(A)'!X:X, B113, '발전사업(A)'!U:U, $C$1),
    SUMIFS('자가소비(B)'!I:I, '자가소비(B)'!C:C, $E$1, '자가소비(B)'!G:G, B111, '자가소비(B)'!X:X, B113, '자가소비(B)'!U:U, $C$1),
    SUMIFS('PPA 사업(C)'!I:I, 'PPA 사업(C)'!C:C, $E$1, 'PPA 사업(C)'!G:G, B111, 'PPA 사업(C)'!X:X, B113, 'PPA 사업(C)'!U:U, $C$1),
    SUMIFS('리스사업(D)'!I:I, '리스사업(D)'!C:C, $E$1, '리스사업(D)'!G:G, B111, '리스사업(D)'!X:X, B113, '리스사업(D)'!U:U, $C$1),
    SUMIFS('임대사업(E)'!I:I, '임대사업(E)'!C:C, $E$1, '임대사업(E)'!G:G, B111, '임대사업(E)'!X:X, B113, '임대사업(E)'!U:U, $C$1),
    SUMIFS('환경부사업(F)'!I:I, '환경부사업(F)'!C:C, $E$1, '환경부사업(F)'!G:G, B111, '환경부사업(F)'!X:X, B113, '환경부사업(F)'!U:U, $C$1),
    SUMIFS('프로젝트(G)'!I:I, '프로젝트(G)'!C:C, $E$1, '프로젝트(G)'!G:G, B111, '프로젝트(G)'!X:X, B113, '프로젝트(G)'!U:U, $C$1),
    SUMIFS('협력사 EPC(H)'!I:I, '협력사 EPC(H)'!C:C, $E$1, '협력사 EPC(H)'!G:G, B111, '협력사 EPC(H)'!X:X, B113, '협력사 EPC(H)'!U:U, $C$1),
    SUMIFS('기타(Z)'!I:I, '기타(Z)'!C:C, $E$1, '기타(Z)'!G:G, B111, '기타(Z)'!X:X, B113, '기타(Z)'!U:U, $C$1)
  ) = 0,
  "",
  SUM(
    SUMIFS('발전사업(A)'!I:I, '발전사업(A)'!C:C, $E$1, '발전사업(A)'!G:G, B111, '발전사업(A)'!X:X, B113, '발전사업(A)'!U:U, $C$1),
    SUMIFS('자가소비(B)'!I:I, '자가소비(B)'!C:C, $E$1, '자가소비(B)'!G:G, B111, '자가소비(B)'!X:X, B113, '자가소비(B)'!U:U, $C$1),
    SUMIFS('PPA 사업(C)'!I:I, 'PPA 사업(C)'!C:C, $E$1, 'PPA 사업(C)'!G:G, B111, 'PPA 사업(C)'!X:X, B113, 'PPA 사업(C)'!U:U, $C$1),
    SUMIFS('리스사업(D)'!I:I, '리스사업(D)'!C:C, $E$1, '리스사업(D)'!G:G, B111, '리스사업(D)'!X:X, B113, '리스사업(D)'!U:U, $C$1),
    SUMIFS('임대사업(E)'!I:I, '임대사업(E)'!C:C, $E$1, '임대사업(E)'!G:G, B111, '임대사업(E)'!X:X, B113, '임대사업(E)'!U:U, $C$1),
    SUMIFS('환경부사업(F)'!I:I, '환경부사업(F)'!C:C, $E$1, '환경부사업(F)'!G:G, B111, '환경부사업(F)'!X:X, B113, '환경부사업(F)'!U:U, $C$1),
    SUMIFS('프로젝트(G)'!I:I, '프로젝트(G)'!C:C, $E$1, '프로젝트(G)'!G:G, B111, '프로젝트(G)'!X:X, B113, '프로젝트(G)'!U:U, $C$1),
    SUMIFS('협력사 EPC(H)'!I:I, '협력사 EPC(H)'!C:C, $E$1, '협력사 EPC(H)'!G:G, B111, '협력사 EPC(H)'!X:X, B113, '협력사 EPC(H)'!U:U, $C$1),
    SUMIFS('기타(Z)'!I:I, '기타(Z)'!C:C, $E$1, '기타(Z)'!G:G, B111, '기타(Z)'!X:X, B113, '기타(Z)'!U:U, $C$1)
  )
)</f>
        <v>3021.8249999999998</v>
      </c>
      <c r="F113" s="263">
        <f>IF(
  SUM(
    COUNTIFS('발전사업(A)'!C:C, $E$1, '발전사업(A)'!G:G, B111, '발전사업(A)'!X:X, B113, '발전사업(A)'!U:U, $C$1),
    COUNTIFS('자가소비(B)'!C:C, $E$1, '자가소비(B)'!G:G, B111, '자가소비(B)'!X:X, B113, '자가소비(B)'!U:U, $C$1),
    COUNTIFS('PPA 사업(C)'!C:C, $E$1, 'PPA 사업(C)'!G:G, B111, 'PPA 사업(C)'!X:X, B113, 'PPA 사업(C)'!U:U, $C$1),
    COUNTIFS('리스사업(D)'!C:C, $E$1, '리스사업(D)'!G:G, B111, '리스사업(D)'!X:X, B113, '리스사업(D)'!U:U, $C$1),
    COUNTIFS('임대사업(E)'!C:C, $E$1, '임대사업(E)'!G:G, B111, '임대사업(E)'!X:X, B113, '임대사업(E)'!U:U, $C$1),
    COUNTIFS('환경부사업(F)'!C:C, $E$1, '환경부사업(F)'!G:G, B111, '환경부사업(F)'!X:X, B113, '환경부사업(F)'!U:U, $C$1),
    COUNTIFS('프로젝트(G)'!C:C, $E$1, '프로젝트(G)'!G:G, B111, '프로젝트(G)'!X:X, B113, '프로젝트(G)'!U:U, $C$1),
    COUNTIFS('협력사 EPC(H)'!C:C, $E$1, '협력사 EPC(H)'!G:G, B111, '협력사 EPC(H)'!X:X, B113, '협력사 EPC(H)'!U:U, $C$1),
    COUNTIFS('기타(Z)'!C:C, $E$1, '기타(Z)'!G:G, B111, '기타(Z)'!X:X, B113, '기타(Z)'!U:U, $C$1)
  ) = 0,
  "",
  SUM(
    COUNTIFS('발전사업(A)'!C:C, $E$1, '발전사업(A)'!G:G, B111, '발전사업(A)'!X:X, B113, '발전사업(A)'!U:U, $C$1),
    COUNTIFS('자가소비(B)'!C:C, $E$1, '자가소비(B)'!G:G, B111, '자가소비(B)'!X:X, B113, '자가소비(B)'!U:U, $C$1),
    COUNTIFS('PPA 사업(C)'!C:C, $E$1, 'PPA 사업(C)'!G:G, B111, 'PPA 사업(C)'!X:X, B113, 'PPA 사업(C)'!U:U, $C$1),
    COUNTIFS('리스사업(D)'!C:C, $E$1, '리스사업(D)'!G:G, B111, '리스사업(D)'!X:X, B113, '리스사업(D)'!U:U, $C$1),
    COUNTIFS('임대사업(E)'!C:C, $E$1, '임대사업(E)'!G:G, B111, '임대사업(E)'!X:X, B113, '임대사업(E)'!U:U, $C$1),
    COUNTIFS('환경부사업(F)'!C:C, $E$1, '환경부사업(F)'!G:G, B111, '환경부사업(F)'!X:X, B113, '환경부사업(F)'!U:U, $C$1),
    COUNTIFS('프로젝트(G)'!C:C, $E$1, '프로젝트(G)'!G:G, B111, '프로젝트(G)'!X:X, B113, '프로젝트(G)'!U:U, $C$1),
    COUNTIFS('협력사 EPC(H)'!C:C, $E$1, '협력사 EPC(H)'!G:G, B111, '협력사 EPC(H)'!X:X, B113, '협력사 EPC(H)'!U:U, $C$1),
    COUNTIFS('기타(Z)'!C:C, $E$1, '기타(Z)'!G:G, B111, '기타(Z)'!X:X, B113, '기타(Z)'!U:U, $C$1)
  )
)</f>
        <v>4</v>
      </c>
      <c r="G113" s="262">
        <f>IF(
  SUM(
    SUMIFS('발전사업(A)'!I:I, '발전사업(A)'!C:C, $E$1, '발전사업(A)'!G:G, B111, '발전사업(A)'!X:X, B113, '발전사업(A)'!U:U, $D$1),
    SUMIFS('자가소비(B)'!I:I, '자가소비(B)'!C:C, $E$1, '자가소비(B)'!G:G, B111, '자가소비(B)'!X:X, B113, '자가소비(B)'!U:U, $D$1),
    SUMIFS('PPA 사업(C)'!I:I, 'PPA 사업(C)'!C:C, $E$1, 'PPA 사업(C)'!G:G, B111, 'PPA 사업(C)'!X:X, B113, 'PPA 사업(C)'!U:U, $D$1),
    SUMIFS('리스사업(D)'!I:I, '리스사업(D)'!C:C, $E$1, '리스사업(D)'!G:G, B111, '리스사업(D)'!X:X, B113, '리스사업(D)'!U:U, $D$1),
    SUMIFS('임대사업(E)'!I:I, '임대사업(E)'!C:C, $E$1, '임대사업(E)'!G:G, B111, '임대사업(E)'!X:X, B113, '임대사업(E)'!U:U, $D$1),
    SUMIFS('환경부사업(F)'!I:I, '환경부사업(F)'!C:C, $E$1, '환경부사업(F)'!G:G, B111, '환경부사업(F)'!X:X, B113, '환경부사업(F)'!U:U, $D$1),
    SUMIFS('프로젝트(G)'!I:I, '프로젝트(G)'!C:C, $E$1, '프로젝트(G)'!G:G, B111, '프로젝트(G)'!X:X, B113, '프로젝트(G)'!U:U, $D$1),
    SUMIFS('협력사 EPC(H)'!I:I, '협력사 EPC(H)'!C:C, $E$1, '협력사 EPC(H)'!G:G, B111, '협력사 EPC(H)'!X:X, B113, '협력사 EPC(H)'!U:U, $D$1),
    SUMIFS('기타(Z)'!I:I, '기타(Z)'!C:C, $E$1, '기타(Z)'!G:G, B111, '기타(Z)'!X:X, B113, '기타(Z)'!U:U, $D$1)
  ) = 0,
  "",
  SUM(
    SUMIFS('발전사업(A)'!I:I, '발전사업(A)'!C:C, $E$1, '발전사업(A)'!G:G, B111, '발전사업(A)'!X:X, B113, '발전사업(A)'!U:U, $D$1),
    SUMIFS('자가소비(B)'!I:I, '자가소비(B)'!C:C, $E$1, '자가소비(B)'!G:G, B111, '자가소비(B)'!X:X, B113, '자가소비(B)'!U:U, $D$1),
    SUMIFS('PPA 사업(C)'!I:I, 'PPA 사업(C)'!C:C, $E$1, 'PPA 사업(C)'!G:G, B111, 'PPA 사업(C)'!X:X, B113, 'PPA 사업(C)'!U:U, $D$1),
    SUMIFS('리스사업(D)'!I:I, '리스사업(D)'!C:C, $E$1, '리스사업(D)'!G:G, B111, '리스사업(D)'!X:X, B113, '리스사업(D)'!U:U, $D$1),
    SUMIFS('임대사업(E)'!I:I, '임대사업(E)'!C:C, $E$1, '임대사업(E)'!G:G, B111, '임대사업(E)'!X:X, B113, '임대사업(E)'!U:U, $D$1),
    SUMIFS('환경부사업(F)'!I:I, '환경부사업(F)'!C:C, $E$1, '환경부사업(F)'!G:G, B111, '환경부사업(F)'!X:X, B113, '환경부사업(F)'!U:U, $D$1),
    SUMIFS('프로젝트(G)'!I:I, '프로젝트(G)'!C:C, $E$1, '프로젝트(G)'!G:G, B111, '프로젝트(G)'!X:X, B113, '프로젝트(G)'!U:U, $D$1),
    SUMIFS('협력사 EPC(H)'!I:I, '협력사 EPC(H)'!C:C, $E$1, '협력사 EPC(H)'!G:G, B111, '협력사 EPC(H)'!X:X, B113, '협력사 EPC(H)'!U:U, $D$1),
    SUMIFS('기타(Z)'!I:I, '기타(Z)'!C:C, $E$1, '기타(Z)'!G:G, B111, '기타(Z)'!X:X, B113, '기타(Z)'!U:U, $D$1)
  )
)</f>
        <v>105.78</v>
      </c>
      <c r="H113" s="263">
        <f>IF(
  (
    COUNTIFS('발전사업(A)'!C:C, $E$1, '발전사업(A)'!G:G, B111, '발전사업(A)'!X:X, B113, '발전사업(A)'!U:U, $D$1)
    + COUNTIFS('자가소비(B)'!C:C, $E$1, '자가소비(B)'!G:G, B111, '자가소비(B)'!X:X, B113, '자가소비(B)'!U:U, $D$1)
    + COUNTIFS('PPA 사업(C)'!C:C, $E$1, 'PPA 사업(C)'!G:G, B111, 'PPA 사업(C)'!X:X, B113, 'PPA 사업(C)'!U:U, $D$1)
    + COUNTIFS('리스사업(D)'!C:C, $E$1, '리스사업(D)'!G:G, B111, '리스사업(D)'!X:X, B113, '리스사업(D)'!U:U, $D$1)
    + COUNTIFS('임대사업(E)'!C:C, $E$1, '임대사업(E)'!G:G, B111, '임대사업(E)'!X:X, B113, '임대사업(E)'!U:U, $D$1)
    + COUNTIFS('환경부사업(F)'!C:C, $E$1, '환경부사업(F)'!G:G, B111, '환경부사업(F)'!X:X, B113, '환경부사업(F)'!U:U, $D$1)
    + COUNTIFS('프로젝트(G)'!C:C, $E$1, '프로젝트(G)'!G:G, B111, '프로젝트(G)'!X:X, B113, '프로젝트(G)'!U:U, $D$1)
    + COUNTIFS('협력사 EPC(H)'!C:C, $E$1, '협력사 EPC(H)'!G:G, B111, '협력사 EPC(H)'!X:X, B113, '협력사 EPC(H)'!U:U, $D$1)
    + COUNTIFS('기타(Z)'!C:C, $E$1, '기타(Z)'!G:G, B111, '기타(Z)'!X:X, B113, '기타(Z)'!U:U, $D$1)
  ) = 0,
  "",
  COUNTIFS('발전사업(A)'!C:C, $E$1, '발전사업(A)'!G:G, B111, '발전사업(A)'!X:X, B113, '발전사업(A)'!U:U, $D$1)
  + COUNTIFS('자가소비(B)'!C:C, $E$1, '자가소비(B)'!G:G, B111, '자가소비(B)'!X:X, B113, '자가소비(B)'!U:U, $D$1)
  + COUNTIFS('PPA 사업(C)'!C:C, $E$1, 'PPA 사업(C)'!G:G, B111, 'PPA 사업(C)'!X:X, B113, 'PPA 사업(C)'!U:U, $D$1)
  + COUNTIFS('리스사업(D)'!C:C, $E$1, '리스사업(D)'!G:G, B111, '리스사업(D)'!X:X, B113, '리스사업(D)'!U:U, $D$1)
  + COUNTIFS('임대사업(E)'!C:C, $E$1, '임대사업(E)'!G:G, B111, '임대사업(E)'!X:X, B113, '임대사업(E)'!U:U, $D$1)
  + COUNTIFS('환경부사업(F)'!C:C, $E$1, '환경부사업(F)'!G:G, B111, '환경부사업(F)'!X:X, B113, '환경부사업(F)'!U:U, $D$1)
  + COUNTIFS('프로젝트(G)'!C:C, $E$1, '프로젝트(G)'!G:G, B111, '프로젝트(G)'!X:X, B113, '프로젝트(G)'!U:U, $D$1)
  + COUNTIFS('협력사 EPC(H)'!C:C, $E$1, '협력사 EPC(H)'!G:G, B111, '협력사 EPC(H)'!X:X, B113, '협력사 EPC(H)'!U:U, $D$1)
  + COUNTIFS('기타(Z)'!C:C, $E$1, '기타(Z)'!G:G, B111, '기타(Z)'!X:X, B113, '기타(Z)'!U:U, $D$1)
)</f>
        <v>1</v>
      </c>
    </row>
    <row r="114" spans="2:8" x14ac:dyDescent="0.25">
      <c r="B114" s="195" t="s">
        <v>153</v>
      </c>
      <c r="C114" s="262" t="str">
        <f>IF(
  SUM(
    SUMIFS('발전사업(A)'!I:I, '발전사업(A)'!C:C, $E$1, '발전사업(A)'!G:G, B111, '발전사업(A)'!X:X, B114),
    SUMIFS('자가소비(B)'!I:I, '자가소비(B)'!C:C, $E$1, '자가소비(B)'!G:G, B111, '자가소비(B)'!X:X, B114),
    SUMIFS('PPA 사업(C)'!I:I, 'PPA 사업(C)'!C:C, $E$1, 'PPA 사업(C)'!G:G, B111, 'PPA 사업(C)'!X:X, B114),
    SUMIFS('리스사업(D)'!I:I, '리스사업(D)'!C:C, $E$1, '리스사업(D)'!G:G, B111, '리스사업(D)'!X:X, B114),
    SUMIFS('임대사업(E)'!I:I, '임대사업(E)'!C:C, $E$1, '임대사업(E)'!G:G, B111, '임대사업(E)'!X:X, B114),
    SUMIFS('환경부사업(F)'!I:I, '환경부사업(F)'!C:C, $E$1, '환경부사업(F)'!G:G, B111, '환경부사업(F)'!X:X, B114),
    SUMIFS('프로젝트(G)'!I:I, '프로젝트(G)'!C:C, $E$1, '프로젝트(G)'!G:G, B111, '프로젝트(G)'!X:X, B114),
    SUMIFS('협력사 EPC(H)'!I:I, '협력사 EPC(H)'!C:C, $E$1, '협력사 EPC(H)'!G:G, B111, '협력사 EPC(H)'!X:X, B114),
    SUMIFS('기타(Z)'!I:I, '기타(Z)'!C:C, $E$1, '기타(Z)'!G:G, B111, '기타(Z)'!X:X, B114)
  ) = 0,
  "",
  SUMIFS('발전사업(A)'!I:I, '발전사업(A)'!C:C, $E$1, '발전사업(A)'!G:G, B111, '발전사업(A)'!X:X, B114)
  + SUMIFS('자가소비(B)'!I:I, '자가소비(B)'!C:C, $E$1, '자가소비(B)'!G:G, B111, '자가소비(B)'!X:X, B114)
  + SUMIFS('PPA 사업(C)'!I:I, 'PPA 사업(C)'!C:C, $E$1, 'PPA 사업(C)'!G:G, B111, 'PPA 사업(C)'!X:X, B114)
  + SUMIFS('리스사업(D)'!I:I, '리스사업(D)'!C:C, $E$1, '리스사업(D)'!G:G, B111, '리스사업(D)'!X:X, B114)
  + SUMIFS('임대사업(E)'!I:I, '임대사업(E)'!C:C, $E$1, '임대사업(E)'!G:G, B111, '임대사업(E)'!X:X, B114)
  + SUMIFS('환경부사업(F)'!I:I, '환경부사업(F)'!C:C, $E$1, '환경부사업(F)'!G:G, B111, '환경부사업(F)'!X:X, B114)
  + SUMIFS('프로젝트(G)'!I:I, '프로젝트(G)'!C:C, $E$1, '프로젝트(G)'!G:G, B111, '프로젝트(G)'!X:X, B114)
  + SUMIFS('협력사 EPC(H)'!I:I, '협력사 EPC(H)'!C:C, $E$1, '협력사 EPC(H)'!G:G, B111, '협력사 EPC(H)'!X:X, B114)
  + SUMIFS('기타(Z)'!I:I, '기타(Z)'!C:C, $E$1, '기타(Z)'!G:G, B111, '기타(Z)'!X:X, B114)
)</f>
        <v/>
      </c>
      <c r="D114" s="263" t="str">
        <f>IF(
  COUNTIFS('발전사업(A)'!C:C, $E$1, '발전사업(A)'!G:G, B111, '발전사업(A)'!X:X, B114)
  + COUNTIFS('자가소비(B)'!C:C, $E$1, '자가소비(B)'!G:G, B111, '자가소비(B)'!X:X, B114)
  + COUNTIFS('PPA 사업(C)'!C:C, $E$1, 'PPA 사업(C)'!G:G, B111, 'PPA 사업(C)'!X:X, B114)
  + COUNTIFS('리스사업(D)'!C:C, $E$1, '리스사업(D)'!G:G, B111, '리스사업(D)'!X:X, B114)
  + COUNTIFS('임대사업(E)'!C:C, $E$1, '임대사업(E)'!G:G, B111, '임대사업(E)'!X:X, B114)
  + COUNTIFS('환경부사업(F)'!C:C, $E$1, '환경부사업(F)'!G:G, B111, '환경부사업(F)'!X:X, B114)
  + COUNTIFS('프로젝트(G)'!C:C, $E$1, '프로젝트(G)'!G:G, B111, '프로젝트(G)'!X:X, B114)
  + COUNTIFS('협력사 EPC(H)'!C:C, $E$1, '협력사 EPC(H)'!G:G, B111, '협력사 EPC(H)'!X:X, B114)
  + COUNTIFS('기타(Z)'!C:C, $E$1, '기타(Z)'!G:G, B111, '기타(Z)'!X:X, B114)
  = 0,
  "",
  COUNTIFS('발전사업(A)'!C:C, $E$1, '발전사업(A)'!G:G, B111, '발전사업(A)'!X:X, B114)
  + COUNTIFS('자가소비(B)'!C:C, $E$1, '자가소비(B)'!G:G, B111, '자가소비(B)'!X:X, B114)
  + COUNTIFS('PPA 사업(C)'!C:C, $E$1, 'PPA 사업(C)'!G:G, B111, 'PPA 사업(C)'!X:X, B114)
  + COUNTIFS('리스사업(D)'!C:C, $E$1, '리스사업(D)'!G:G, B111, '리스사업(D)'!X:X, B114)
  + COUNTIFS('임대사업(E)'!C:C, $E$1, '임대사업(E)'!G:G, B111, '임대사업(E)'!X:X, B114)
  + COUNTIFS('환경부사업(F)'!C:C, $E$1, '환경부사업(F)'!G:G, B111, '환경부사업(F)'!X:X, B114)
  + COUNTIFS('프로젝트(G)'!C:C, $E$1, '프로젝트(G)'!G:G, B111, '프로젝트(G)'!X:X, B114)
  + COUNTIFS('협력사 EPC(H)'!C:C, $E$1, '협력사 EPC(H)'!G:G, B111, '협력사 EPC(H)'!X:X, B114)
  + COUNTIFS('기타(Z)'!C:C, $E$1, '기타(Z)'!G:G, B111, '기타(Z)'!X:X, B114)
)</f>
        <v/>
      </c>
      <c r="E114" s="262" t="str">
        <f>IF(
  SUM(
    SUMIFS('발전사업(A)'!I:I, '발전사업(A)'!C:C, $E$1, '발전사업(A)'!G:G, B111, '발전사업(A)'!X:X, B114, '발전사업(A)'!U:U, $C$1),
    SUMIFS('자가소비(B)'!I:I, '자가소비(B)'!C:C, $E$1, '자가소비(B)'!G:G, B111, '자가소비(B)'!X:X, B114, '자가소비(B)'!U:U, $C$1),
    SUMIFS('PPA 사업(C)'!I:I, 'PPA 사업(C)'!C:C, $E$1, 'PPA 사업(C)'!G:G, B111, 'PPA 사업(C)'!X:X, B114, 'PPA 사업(C)'!U:U, $C$1),
    SUMIFS('리스사업(D)'!I:I, '리스사업(D)'!C:C, $E$1, '리스사업(D)'!G:G, B111, '리스사업(D)'!X:X, B114, '리스사업(D)'!U:U, $C$1),
    SUMIFS('임대사업(E)'!I:I, '임대사업(E)'!C:C, $E$1, '임대사업(E)'!G:G, B111, '임대사업(E)'!X:X, B114, '임대사업(E)'!U:U, $C$1),
    SUMIFS('환경부사업(F)'!I:I, '환경부사업(F)'!C:C, $E$1, '환경부사업(F)'!G:G, B111, '환경부사업(F)'!X:X, B114, '환경부사업(F)'!U:U, $C$1),
    SUMIFS('프로젝트(G)'!I:I, '프로젝트(G)'!C:C, $E$1, '프로젝트(G)'!G:G, B111, '프로젝트(G)'!X:X, B114, '프로젝트(G)'!U:U, $C$1),
    SUMIFS('협력사 EPC(H)'!I:I, '협력사 EPC(H)'!C:C, $E$1, '협력사 EPC(H)'!G:G, B111, '협력사 EPC(H)'!X:X, B114, '협력사 EPC(H)'!U:U, $C$1),
    SUMIFS('기타(Z)'!I:I, '기타(Z)'!C:C, $E$1, '기타(Z)'!G:G, B111, '기타(Z)'!X:X, B114, '기타(Z)'!U:U, $C$1)
  ) = 0,
  "",
  SUM(
    SUMIFS('발전사업(A)'!I:I, '발전사업(A)'!C:C, $E$1, '발전사업(A)'!G:G, B111, '발전사업(A)'!X:X, B114, '발전사업(A)'!U:U, $C$1),
    SUMIFS('자가소비(B)'!I:I, '자가소비(B)'!C:C, $E$1, '자가소비(B)'!G:G, B111, '자가소비(B)'!X:X, B114, '자가소비(B)'!U:U, $C$1),
    SUMIFS('PPA 사업(C)'!I:I, 'PPA 사업(C)'!C:C, $E$1, 'PPA 사업(C)'!G:G, B111, 'PPA 사업(C)'!X:X, B114, 'PPA 사업(C)'!U:U, $C$1),
    SUMIFS('리스사업(D)'!I:I, '리스사업(D)'!C:C, $E$1, '리스사업(D)'!G:G, B111, '리스사업(D)'!X:X, B114, '리스사업(D)'!U:U, $C$1),
    SUMIFS('임대사업(E)'!I:I, '임대사업(E)'!C:C, $E$1, '임대사업(E)'!G:G, B111, '임대사업(E)'!X:X, B114, '임대사업(E)'!U:U, $C$1),
    SUMIFS('환경부사업(F)'!I:I, '환경부사업(F)'!C:C, $E$1, '환경부사업(F)'!G:G, B111, '환경부사업(F)'!X:X, B114, '환경부사업(F)'!U:U, $C$1),
    SUMIFS('프로젝트(G)'!I:I, '프로젝트(G)'!C:C, $E$1, '프로젝트(G)'!G:G, B111, '프로젝트(G)'!X:X, B114, '프로젝트(G)'!U:U, $C$1),
    SUMIFS('협력사 EPC(H)'!I:I, '협력사 EPC(H)'!C:C, $E$1, '협력사 EPC(H)'!G:G, B111, '협력사 EPC(H)'!X:X, B114, '협력사 EPC(H)'!U:U, $C$1),
    SUMIFS('기타(Z)'!I:I, '기타(Z)'!C:C, $E$1, '기타(Z)'!G:G, B111, '기타(Z)'!X:X, B114, '기타(Z)'!U:U, $C$1)
  )
)</f>
        <v/>
      </c>
      <c r="F114" s="263" t="str">
        <f>IF(
  SUM(
    COUNTIFS('발전사업(A)'!C:C, $E$1, '발전사업(A)'!G:G, B111, '발전사업(A)'!X:X, B114, '발전사업(A)'!U:U, $C$1),
    COUNTIFS('자가소비(B)'!C:C, $E$1, '자가소비(B)'!G:G, B111, '자가소비(B)'!X:X, B114, '자가소비(B)'!U:U, $C$1),
    COUNTIFS('PPA 사업(C)'!C:C, $E$1, 'PPA 사업(C)'!G:G, B111, 'PPA 사업(C)'!X:X, B114, 'PPA 사업(C)'!U:U, $C$1),
    COUNTIFS('리스사업(D)'!C:C, $E$1, '리스사업(D)'!G:G, B111, '리스사업(D)'!X:X, B114, '리스사업(D)'!U:U, $C$1),
    COUNTIFS('임대사업(E)'!C:C, $E$1, '임대사업(E)'!G:G, B111, '임대사업(E)'!X:X, B114, '임대사업(E)'!U:U, $C$1),
    COUNTIFS('환경부사업(F)'!C:C, $E$1, '환경부사업(F)'!G:G, B111, '환경부사업(F)'!X:X, B114, '환경부사업(F)'!U:U, $C$1),
    COUNTIFS('프로젝트(G)'!C:C, $E$1, '프로젝트(G)'!G:G, B111, '프로젝트(G)'!X:X, B114, '프로젝트(G)'!U:U, $C$1),
    COUNTIFS('협력사 EPC(H)'!C:C, $E$1, '협력사 EPC(H)'!G:G, B111, '협력사 EPC(H)'!X:X, B114, '협력사 EPC(H)'!U:U, $C$1),
    COUNTIFS('기타(Z)'!C:C, $E$1, '기타(Z)'!G:G, B111, '기타(Z)'!X:X, B114, '기타(Z)'!U:U, $C$1)
  ) = 0,
  "",
  SUM(
    COUNTIFS('발전사업(A)'!C:C, $E$1, '발전사업(A)'!G:G, B111, '발전사업(A)'!X:X, B114, '발전사업(A)'!U:U, $C$1),
    COUNTIFS('자가소비(B)'!C:C, $E$1, '자가소비(B)'!G:G, B111, '자가소비(B)'!X:X, B114, '자가소비(B)'!U:U, $C$1),
    COUNTIFS('PPA 사업(C)'!C:C, $E$1, 'PPA 사업(C)'!G:G, B111, 'PPA 사업(C)'!X:X, B114, 'PPA 사업(C)'!U:U, $C$1),
    COUNTIFS('리스사업(D)'!C:C, $E$1, '리스사업(D)'!G:G, B111, '리스사업(D)'!X:X, B114, '리스사업(D)'!U:U, $C$1),
    COUNTIFS('임대사업(E)'!C:C, $E$1, '임대사업(E)'!G:G, B111, '임대사업(E)'!X:X, B114, '임대사업(E)'!U:U, $C$1),
    COUNTIFS('환경부사업(F)'!C:C, $E$1, '환경부사업(F)'!G:G, B111, '환경부사업(F)'!X:X, B114, '환경부사업(F)'!U:U, $C$1),
    COUNTIFS('프로젝트(G)'!C:C, $E$1, '프로젝트(G)'!G:G, B111, '프로젝트(G)'!X:X, B114, '프로젝트(G)'!U:U, $C$1),
    COUNTIFS('협력사 EPC(H)'!C:C, $E$1, '협력사 EPC(H)'!G:G, B111, '협력사 EPC(H)'!X:X, B114, '협력사 EPC(H)'!U:U, $C$1),
    COUNTIFS('기타(Z)'!C:C, $E$1, '기타(Z)'!G:G, B111, '기타(Z)'!X:X, B114, '기타(Z)'!U:U, $C$1)
  )
)</f>
        <v/>
      </c>
      <c r="G114" s="262" t="str">
        <f>IF(
  SUM(
    SUMIFS('발전사업(A)'!I:I, '발전사업(A)'!C:C, $E$1, '발전사업(A)'!G:G, B111, '발전사업(A)'!X:X, B114, '발전사업(A)'!U:U, $D$1),
    SUMIFS('자가소비(B)'!I:I, '자가소비(B)'!C:C, $E$1, '자가소비(B)'!G:G, B111, '자가소비(B)'!X:X, B114, '자가소비(B)'!U:U, $D$1),
    SUMIFS('PPA 사업(C)'!I:I, 'PPA 사업(C)'!C:C, $E$1, 'PPA 사업(C)'!G:G, B111, 'PPA 사업(C)'!X:X, B114, 'PPA 사업(C)'!U:U, $D$1),
    SUMIFS('리스사업(D)'!I:I, '리스사업(D)'!C:C, $E$1, '리스사업(D)'!G:G, B111, '리스사업(D)'!X:X, B114, '리스사업(D)'!U:U, $D$1),
    SUMIFS('임대사업(E)'!I:I, '임대사업(E)'!C:C, $E$1, '임대사업(E)'!G:G, B111, '임대사업(E)'!X:X, B114, '임대사업(E)'!U:U, $D$1),
    SUMIFS('환경부사업(F)'!I:I, '환경부사업(F)'!C:C, $E$1, '환경부사업(F)'!G:G, B111, '환경부사업(F)'!X:X, B114, '환경부사업(F)'!U:U, $D$1),
    SUMIFS('프로젝트(G)'!I:I, '프로젝트(G)'!C:C, $E$1, '프로젝트(G)'!G:G, B111, '프로젝트(G)'!X:X, B114, '프로젝트(G)'!U:U, $D$1),
    SUMIFS('협력사 EPC(H)'!I:I, '협력사 EPC(H)'!C:C, $E$1, '협력사 EPC(H)'!G:G, B111, '협력사 EPC(H)'!X:X, B114, '협력사 EPC(H)'!U:U, $D$1),
    SUMIFS('기타(Z)'!I:I, '기타(Z)'!C:C, $E$1, '기타(Z)'!G:G, B111, '기타(Z)'!X:X, B114, '기타(Z)'!U:U, $D$1)
  ) = 0,
  "",
  SUM(
    SUMIFS('발전사업(A)'!I:I, '발전사업(A)'!C:C, $E$1, '발전사업(A)'!G:G, B111, '발전사업(A)'!X:X, B114, '발전사업(A)'!U:U, $D$1),
    SUMIFS('자가소비(B)'!I:I, '자가소비(B)'!C:C, $E$1, '자가소비(B)'!G:G, B111, '자가소비(B)'!X:X, B114, '자가소비(B)'!U:U, $D$1),
    SUMIFS('PPA 사업(C)'!I:I, 'PPA 사업(C)'!C:C, $E$1, 'PPA 사업(C)'!G:G, B111, 'PPA 사업(C)'!X:X, B114, 'PPA 사업(C)'!U:U, $D$1),
    SUMIFS('리스사업(D)'!I:I, '리스사업(D)'!C:C, $E$1, '리스사업(D)'!G:G, B111, '리스사업(D)'!X:X, B114, '리스사업(D)'!U:U, $D$1),
    SUMIFS('임대사업(E)'!I:I, '임대사업(E)'!C:C, $E$1, '임대사업(E)'!G:G, B111, '임대사업(E)'!X:X, B114, '임대사업(E)'!U:U, $D$1),
    SUMIFS('환경부사업(F)'!I:I, '환경부사업(F)'!C:C, $E$1, '환경부사업(F)'!G:G, B111, '환경부사업(F)'!X:X, B114, '환경부사업(F)'!U:U, $D$1),
    SUMIFS('프로젝트(G)'!I:I, '프로젝트(G)'!C:C, $E$1, '프로젝트(G)'!G:G, B111, '프로젝트(G)'!X:X, B114, '프로젝트(G)'!U:U, $D$1),
    SUMIFS('협력사 EPC(H)'!I:I, '협력사 EPC(H)'!C:C, $E$1, '협력사 EPC(H)'!G:G, B111, '협력사 EPC(H)'!X:X, B114, '협력사 EPC(H)'!U:U, $D$1),
    SUMIFS('기타(Z)'!I:I, '기타(Z)'!C:C, $E$1, '기타(Z)'!G:G, B111, '기타(Z)'!X:X, B114, '기타(Z)'!U:U, $D$1)
  )
)</f>
        <v/>
      </c>
      <c r="H114" s="263" t="str">
        <f>IF(
  (
    COUNTIFS('발전사업(A)'!C:C, $E$1, '발전사업(A)'!G:G, B111, '발전사업(A)'!X:X, B114, '발전사업(A)'!U:U, $D$1)
    + COUNTIFS('자가소비(B)'!C:C, $E$1, '자가소비(B)'!G:G, B111, '자가소비(B)'!X:X, B114, '자가소비(B)'!U:U, $D$1)
    + COUNTIFS('PPA 사업(C)'!C:C, $E$1, 'PPA 사업(C)'!G:G, B111, 'PPA 사업(C)'!X:X, B114, 'PPA 사업(C)'!U:U, $D$1)
    + COUNTIFS('리스사업(D)'!C:C, $E$1, '리스사업(D)'!G:G, B111, '리스사업(D)'!X:X, B114, '리스사업(D)'!U:U, $D$1)
    + COUNTIFS('임대사업(E)'!C:C, $E$1, '임대사업(E)'!G:G, B111, '임대사업(E)'!X:X, B114, '임대사업(E)'!U:U, $D$1)
    + COUNTIFS('환경부사업(F)'!C:C, $E$1, '환경부사업(F)'!G:G, B111, '환경부사업(F)'!X:X, B114, '환경부사업(F)'!U:U, $D$1)
    + COUNTIFS('프로젝트(G)'!C:C, $E$1, '프로젝트(G)'!G:G, B111, '프로젝트(G)'!X:X, B114, '프로젝트(G)'!U:U, $D$1)
    + COUNTIFS('협력사 EPC(H)'!C:C, $E$1, '협력사 EPC(H)'!G:G, B111, '협력사 EPC(H)'!X:X, B114, '협력사 EPC(H)'!U:U, $D$1)
    + COUNTIFS('기타(Z)'!C:C, $E$1, '기타(Z)'!G:G, B111, '기타(Z)'!X:X, B114, '기타(Z)'!U:U, $D$1)
  ) = 0,
  "",
  COUNTIFS('발전사업(A)'!C:C, $E$1, '발전사업(A)'!G:G, B111, '발전사업(A)'!X:X, B114, '발전사업(A)'!U:U, $D$1)
  + COUNTIFS('자가소비(B)'!C:C, $E$1, '자가소비(B)'!G:G, B111, '자가소비(B)'!X:X, B114, '자가소비(B)'!U:U, $D$1)
  + COUNTIFS('PPA 사업(C)'!C:C, $E$1, 'PPA 사업(C)'!G:G, B111, 'PPA 사업(C)'!X:X, B114, 'PPA 사업(C)'!U:U, $D$1)
  + COUNTIFS('리스사업(D)'!C:C, $E$1, '리스사업(D)'!G:G, B111, '리스사업(D)'!X:X, B114, '리스사업(D)'!U:U, $D$1)
  + COUNTIFS('임대사업(E)'!C:C, $E$1, '임대사업(E)'!G:G, B111, '임대사업(E)'!X:X, B114, '임대사업(E)'!U:U, $D$1)
  + COUNTIFS('환경부사업(F)'!C:C, $E$1, '환경부사업(F)'!G:G, B111, '환경부사업(F)'!X:X, B114, '환경부사업(F)'!U:U, $D$1)
  + COUNTIFS('프로젝트(G)'!C:C, $E$1, '프로젝트(G)'!G:G, B111, '프로젝트(G)'!X:X, B114, '프로젝트(G)'!U:U, $D$1)
  + COUNTIFS('협력사 EPC(H)'!C:C, $E$1, '협력사 EPC(H)'!G:G, B111, '협력사 EPC(H)'!X:X, B114, '협력사 EPC(H)'!U:U, $D$1)
  + COUNTIFS('기타(Z)'!C:C, $E$1, '기타(Z)'!G:G, B111, '기타(Z)'!X:X, B114, '기타(Z)'!U:U, $D$1)
)</f>
        <v/>
      </c>
    </row>
    <row r="115" spans="2:8" x14ac:dyDescent="0.25">
      <c r="B115" s="195" t="s">
        <v>154</v>
      </c>
      <c r="C115" s="262" t="str">
        <f>IF(
  SUM(
    SUMIFS('발전사업(A)'!I:I, '발전사업(A)'!C:C, $E$1, '발전사업(A)'!G:G, B111, '발전사업(A)'!X:X, B115),
    SUMIFS('자가소비(B)'!I:I, '자가소비(B)'!C:C, $E$1, '자가소비(B)'!G:G, B111, '자가소비(B)'!X:X, B115),
    SUMIFS('PPA 사업(C)'!I:I, 'PPA 사업(C)'!C:C, $E$1, 'PPA 사업(C)'!G:G, B111, 'PPA 사업(C)'!X:X, B115),
    SUMIFS('리스사업(D)'!I:I, '리스사업(D)'!C:C, $E$1, '리스사업(D)'!G:G, B111, '리스사업(D)'!X:X, B115),
    SUMIFS('임대사업(E)'!I:I, '임대사업(E)'!C:C, $E$1, '임대사업(E)'!G:G, B111, '임대사업(E)'!X:X, B115),
    SUMIFS('환경부사업(F)'!I:I, '환경부사업(F)'!C:C, $E$1, '환경부사업(F)'!G:G, B111, '환경부사업(F)'!X:X, B115),
    SUMIFS('프로젝트(G)'!I:I, '프로젝트(G)'!C:C, $E$1, '프로젝트(G)'!G:G, B111, '프로젝트(G)'!X:X, B115),
    SUMIFS('협력사 EPC(H)'!I:I, '협력사 EPC(H)'!C:C, $E$1, '협력사 EPC(H)'!G:G, B111, '협력사 EPC(H)'!X:X, B115),
    SUMIFS('기타(Z)'!I:I, '기타(Z)'!C:C, $E$1, '기타(Z)'!G:G, B111, '기타(Z)'!X:X, B115)
  ) = 0,
  "",
  SUMIFS('발전사업(A)'!I:I, '발전사업(A)'!C:C, $E$1, '발전사업(A)'!G:G, B111, '발전사업(A)'!X:X, B115)
  + SUMIFS('자가소비(B)'!I:I, '자가소비(B)'!C:C, $E$1, '자가소비(B)'!G:G, B111, '자가소비(B)'!X:X, B115)
  + SUMIFS('PPA 사업(C)'!I:I, 'PPA 사업(C)'!C:C, $E$1, 'PPA 사업(C)'!G:G, B111, 'PPA 사업(C)'!X:X, B115)
  + SUMIFS('리스사업(D)'!I:I, '리스사업(D)'!C:C, $E$1, '리스사업(D)'!G:G, B111, '리스사업(D)'!X:X, B115)
  + SUMIFS('임대사업(E)'!I:I, '임대사업(E)'!C:C, $E$1, '임대사업(E)'!G:G, B111, '임대사업(E)'!X:X, B115)
  + SUMIFS('환경부사업(F)'!I:I, '환경부사업(F)'!C:C, $E$1, '환경부사업(F)'!G:G, B111, '환경부사업(F)'!X:X, B115)
  + SUMIFS('프로젝트(G)'!I:I, '프로젝트(G)'!C:C, $E$1, '프로젝트(G)'!G:G, B111, '프로젝트(G)'!X:X, B115)
  + SUMIFS('협력사 EPC(H)'!I:I, '협력사 EPC(H)'!C:C, $E$1, '협력사 EPC(H)'!G:G, B111, '협력사 EPC(H)'!X:X, B115)
  + SUMIFS('기타(Z)'!I:I, '기타(Z)'!C:C, $E$1, '기타(Z)'!G:G, B111, '기타(Z)'!X:X, B115)
)</f>
        <v/>
      </c>
      <c r="D115" s="263" t="str">
        <f>IF(
  COUNTIFS('발전사업(A)'!C:C, $E$1, '발전사업(A)'!G:G, B111, '발전사업(A)'!X:X, B115)
  + COUNTIFS('자가소비(B)'!C:C, $E$1, '자가소비(B)'!G:G, B111, '자가소비(B)'!X:X, B115)
  + COUNTIFS('PPA 사업(C)'!C:C, $E$1, 'PPA 사업(C)'!G:G, B111, 'PPA 사업(C)'!X:X, B115)
  + COUNTIFS('리스사업(D)'!C:C, $E$1, '리스사업(D)'!G:G, B111, '리스사업(D)'!X:X, B115)
  + COUNTIFS('임대사업(E)'!C:C, $E$1, '임대사업(E)'!G:G, B111, '임대사업(E)'!X:X, B115)
  + COUNTIFS('환경부사업(F)'!C:C, $E$1, '환경부사업(F)'!G:G, B111, '환경부사업(F)'!X:X, B115)
  + COUNTIFS('프로젝트(G)'!C:C, $E$1, '프로젝트(G)'!G:G, B111, '프로젝트(G)'!X:X, B115)
  + COUNTIFS('협력사 EPC(H)'!C:C, $E$1, '협력사 EPC(H)'!G:G, B111, '협력사 EPC(H)'!X:X, B115)
  + COUNTIFS('기타(Z)'!C:C, $E$1, '기타(Z)'!G:G, B111, '기타(Z)'!X:X, B115)
  = 0,
  "",
  COUNTIFS('발전사업(A)'!C:C, $E$1, '발전사업(A)'!G:G, B111, '발전사업(A)'!X:X, B115)
  + COUNTIFS('자가소비(B)'!C:C, $E$1, '자가소비(B)'!G:G, B111, '자가소비(B)'!X:X, B115)
  + COUNTIFS('PPA 사업(C)'!C:C, $E$1, 'PPA 사업(C)'!G:G, B111, 'PPA 사업(C)'!X:X, B115)
  + COUNTIFS('리스사업(D)'!C:C, $E$1, '리스사업(D)'!G:G, B111, '리스사업(D)'!X:X, B115)
  + COUNTIFS('임대사업(E)'!C:C, $E$1, '임대사업(E)'!G:G, B111, '임대사업(E)'!X:X, B115)
  + COUNTIFS('환경부사업(F)'!C:C, $E$1, '환경부사업(F)'!G:G, B111, '환경부사업(F)'!X:X, B115)
  + COUNTIFS('프로젝트(G)'!C:C, $E$1, '프로젝트(G)'!G:G, B111, '프로젝트(G)'!X:X, B115)
  + COUNTIFS('협력사 EPC(H)'!C:C, $E$1, '협력사 EPC(H)'!G:G, B111, '협력사 EPC(H)'!X:X, B115)
  + COUNTIFS('기타(Z)'!C:C, $E$1, '기타(Z)'!G:G, B111, '기타(Z)'!X:X, B115)
)</f>
        <v/>
      </c>
      <c r="E115" s="262" t="str">
        <f>IF(
  SUM(
    SUMIFS('발전사업(A)'!I:I, '발전사업(A)'!C:C, $E$1, '발전사업(A)'!G:G, B111, '발전사업(A)'!X:X, B115, '발전사업(A)'!U:U, $C$1),
    SUMIFS('자가소비(B)'!I:I, '자가소비(B)'!C:C, $E$1, '자가소비(B)'!G:G, B111, '자가소비(B)'!X:X, B115, '자가소비(B)'!U:U, $C$1),
    SUMIFS('PPA 사업(C)'!I:I, 'PPA 사업(C)'!C:C, $E$1, 'PPA 사업(C)'!G:G, B111, 'PPA 사업(C)'!X:X, B115, 'PPA 사업(C)'!U:U, $C$1),
    SUMIFS('리스사업(D)'!I:I, '리스사업(D)'!C:C, $E$1, '리스사업(D)'!G:G, B111, '리스사업(D)'!X:X, B115, '리스사업(D)'!U:U, $C$1),
    SUMIFS('임대사업(E)'!I:I, '임대사업(E)'!C:C, $E$1, '임대사업(E)'!G:G, B111, '임대사업(E)'!X:X, B115, '임대사업(E)'!U:U, $C$1),
    SUMIFS('환경부사업(F)'!I:I, '환경부사업(F)'!C:C, $E$1, '환경부사업(F)'!G:G, B111, '환경부사업(F)'!X:X, B115, '환경부사업(F)'!U:U, $C$1),
    SUMIFS('프로젝트(G)'!I:I, '프로젝트(G)'!C:C, $E$1, '프로젝트(G)'!G:G, B111, '프로젝트(G)'!X:X, B115, '프로젝트(G)'!U:U, $C$1),
    SUMIFS('협력사 EPC(H)'!I:I, '협력사 EPC(H)'!C:C, $E$1, '협력사 EPC(H)'!G:G, B111, '협력사 EPC(H)'!X:X, B115, '협력사 EPC(H)'!U:U, $C$1),
    SUMIFS('기타(Z)'!I:I, '기타(Z)'!C:C, $E$1, '기타(Z)'!G:G, B111, '기타(Z)'!X:X, B115, '기타(Z)'!U:U, $C$1)
  ) = 0,
  "",
  SUM(
    SUMIFS('발전사업(A)'!I:I, '발전사업(A)'!C:C, $E$1, '발전사업(A)'!G:G, B111, '발전사업(A)'!X:X, B115, '발전사업(A)'!U:U, $C$1),
    SUMIFS('자가소비(B)'!I:I, '자가소비(B)'!C:C, $E$1, '자가소비(B)'!G:G, B111, '자가소비(B)'!X:X, B115, '자가소비(B)'!U:U, $C$1),
    SUMIFS('PPA 사업(C)'!I:I, 'PPA 사업(C)'!C:C, $E$1, 'PPA 사업(C)'!G:G, B111, 'PPA 사업(C)'!X:X, B115, 'PPA 사업(C)'!U:U, $C$1),
    SUMIFS('리스사업(D)'!I:I, '리스사업(D)'!C:C, $E$1, '리스사업(D)'!G:G, B111, '리스사업(D)'!X:X, B115, '리스사업(D)'!U:U, $C$1),
    SUMIFS('임대사업(E)'!I:I, '임대사업(E)'!C:C, $E$1, '임대사업(E)'!G:G, B111, '임대사업(E)'!X:X, B115, '임대사업(E)'!U:U, $C$1),
    SUMIFS('환경부사업(F)'!I:I, '환경부사업(F)'!C:C, $E$1, '환경부사업(F)'!G:G, B111, '환경부사업(F)'!X:X, B115, '환경부사업(F)'!U:U, $C$1),
    SUMIFS('프로젝트(G)'!I:I, '프로젝트(G)'!C:C, $E$1, '프로젝트(G)'!G:G, B111, '프로젝트(G)'!X:X, B115, '프로젝트(G)'!U:U, $C$1),
    SUMIFS('협력사 EPC(H)'!I:I, '협력사 EPC(H)'!C:C, $E$1, '협력사 EPC(H)'!G:G, B111, '협력사 EPC(H)'!X:X, B115, '협력사 EPC(H)'!U:U, $C$1),
    SUMIFS('기타(Z)'!I:I, '기타(Z)'!C:C, $E$1, '기타(Z)'!G:G, B111, '기타(Z)'!X:X, B115, '기타(Z)'!U:U, $C$1)
  )
)</f>
        <v/>
      </c>
      <c r="F115" s="263" t="str">
        <f>IF(
  SUM(
    COUNTIFS('발전사업(A)'!C:C, $E$1, '발전사업(A)'!G:G, B111, '발전사업(A)'!X:X, B115, '발전사업(A)'!U:U, $C$1),
    COUNTIFS('자가소비(B)'!C:C, $E$1, '자가소비(B)'!G:G, B111, '자가소비(B)'!X:X, B115, '자가소비(B)'!U:U, $C$1),
    COUNTIFS('PPA 사업(C)'!C:C, $E$1, 'PPA 사업(C)'!G:G, B111, 'PPA 사업(C)'!X:X, B115, 'PPA 사업(C)'!U:U, $C$1),
    COUNTIFS('리스사업(D)'!C:C, $E$1, '리스사업(D)'!G:G, B111, '리스사업(D)'!X:X, B115, '리스사업(D)'!U:U, $C$1),
    COUNTIFS('임대사업(E)'!C:C, $E$1, '임대사업(E)'!G:G, B111, '임대사업(E)'!X:X, B115, '임대사업(E)'!U:U, $C$1),
    COUNTIFS('환경부사업(F)'!C:C, $E$1, '환경부사업(F)'!G:G, B111, '환경부사업(F)'!X:X, B115, '환경부사업(F)'!U:U, $C$1),
    COUNTIFS('프로젝트(G)'!C:C, $E$1, '프로젝트(G)'!G:G, B111, '프로젝트(G)'!X:X, B115, '프로젝트(G)'!U:U, $C$1),
    COUNTIFS('협력사 EPC(H)'!C:C, $E$1, '협력사 EPC(H)'!G:G, B111, '협력사 EPC(H)'!X:X, B115, '협력사 EPC(H)'!U:U, $C$1),
    COUNTIFS('기타(Z)'!C:C, $E$1, '기타(Z)'!G:G, B111, '기타(Z)'!X:X, B115, '기타(Z)'!U:U, $C$1)
  ) = 0,
  "",
  SUM(
    COUNTIFS('발전사업(A)'!C:C, $E$1, '발전사업(A)'!G:G, B111, '발전사업(A)'!X:X, B115, '발전사업(A)'!U:U, $C$1),
    COUNTIFS('자가소비(B)'!C:C, $E$1, '자가소비(B)'!G:G, B111, '자가소비(B)'!X:X, B115, '자가소비(B)'!U:U, $C$1),
    COUNTIFS('PPA 사업(C)'!C:C, $E$1, 'PPA 사업(C)'!G:G, B111, 'PPA 사업(C)'!X:X, B115, 'PPA 사업(C)'!U:U, $C$1),
    COUNTIFS('리스사업(D)'!C:C, $E$1, '리스사업(D)'!G:G, B111, '리스사업(D)'!X:X, B115, '리스사업(D)'!U:U, $C$1),
    COUNTIFS('임대사업(E)'!C:C, $E$1, '임대사업(E)'!G:G, B111, '임대사업(E)'!X:X, B115, '임대사업(E)'!U:U, $C$1),
    COUNTIFS('환경부사업(F)'!C:C, $E$1, '환경부사업(F)'!G:G, B111, '환경부사업(F)'!X:X, B115, '환경부사업(F)'!U:U, $C$1),
    COUNTIFS('프로젝트(G)'!C:C, $E$1, '프로젝트(G)'!G:G, B111, '프로젝트(G)'!X:X, B115, '프로젝트(G)'!U:U, $C$1),
    COUNTIFS('협력사 EPC(H)'!C:C, $E$1, '협력사 EPC(H)'!G:G, B111, '협력사 EPC(H)'!X:X, B115, '협력사 EPC(H)'!U:U, $C$1),
    COUNTIFS('기타(Z)'!C:C, $E$1, '기타(Z)'!G:G, B111, '기타(Z)'!X:X, B115, '기타(Z)'!U:U, $C$1)
  )
)</f>
        <v/>
      </c>
      <c r="G115" s="262" t="str">
        <f>IF(
  SUM(
    SUMIFS('발전사업(A)'!I:I, '발전사업(A)'!C:C, $E$1, '발전사업(A)'!G:G, B111, '발전사업(A)'!X:X, B115, '발전사업(A)'!U:U, $D$1),
    SUMIFS('자가소비(B)'!I:I, '자가소비(B)'!C:C, $E$1, '자가소비(B)'!G:G, B111, '자가소비(B)'!X:X, B115, '자가소비(B)'!U:U, $D$1),
    SUMIFS('PPA 사업(C)'!I:I, 'PPA 사업(C)'!C:C, $E$1, 'PPA 사업(C)'!G:G, B111, 'PPA 사업(C)'!X:X, B115, 'PPA 사업(C)'!U:U, $D$1),
    SUMIFS('리스사업(D)'!I:I, '리스사업(D)'!C:C, $E$1, '리스사업(D)'!G:G, B111, '리스사업(D)'!X:X, B115, '리스사업(D)'!U:U, $D$1),
    SUMIFS('임대사업(E)'!I:I, '임대사업(E)'!C:C, $E$1, '임대사업(E)'!G:G, B111, '임대사업(E)'!X:X, B115, '임대사업(E)'!U:U, $D$1),
    SUMIFS('환경부사업(F)'!I:I, '환경부사업(F)'!C:C, $E$1, '환경부사업(F)'!G:G, B111, '환경부사업(F)'!X:X, B115, '환경부사업(F)'!U:U, $D$1),
    SUMIFS('프로젝트(G)'!I:I, '프로젝트(G)'!C:C, $E$1, '프로젝트(G)'!G:G, B111, '프로젝트(G)'!X:X, B115, '프로젝트(G)'!U:U, $D$1),
    SUMIFS('협력사 EPC(H)'!I:I, '협력사 EPC(H)'!C:C, $E$1, '협력사 EPC(H)'!G:G, B111, '협력사 EPC(H)'!X:X, B115, '협력사 EPC(H)'!U:U, $D$1),
    SUMIFS('기타(Z)'!I:I, '기타(Z)'!C:C, $E$1, '기타(Z)'!G:G, B111, '기타(Z)'!X:X, B115, '기타(Z)'!U:U, $D$1)
  ) = 0,
  "",
  SUM(
    SUMIFS('발전사업(A)'!I:I, '발전사업(A)'!C:C, $E$1, '발전사업(A)'!G:G, B111, '발전사업(A)'!X:X, B115, '발전사업(A)'!U:U, $D$1),
    SUMIFS('자가소비(B)'!I:I, '자가소비(B)'!C:C, $E$1, '자가소비(B)'!G:G, B111, '자가소비(B)'!X:X, B115, '자가소비(B)'!U:U, $D$1),
    SUMIFS('PPA 사업(C)'!I:I, 'PPA 사업(C)'!C:C, $E$1, 'PPA 사업(C)'!G:G, B111, 'PPA 사업(C)'!X:X, B115, 'PPA 사업(C)'!U:U, $D$1),
    SUMIFS('리스사업(D)'!I:I, '리스사업(D)'!C:C, $E$1, '리스사업(D)'!G:G, B111, '리스사업(D)'!X:X, B115, '리스사업(D)'!U:U, $D$1),
    SUMIFS('임대사업(E)'!I:I, '임대사업(E)'!C:C, $E$1, '임대사업(E)'!G:G, B111, '임대사업(E)'!X:X, B115, '임대사업(E)'!U:U, $D$1),
    SUMIFS('환경부사업(F)'!I:I, '환경부사업(F)'!C:C, $E$1, '환경부사업(F)'!G:G, B111, '환경부사업(F)'!X:X, B115, '환경부사업(F)'!U:U, $D$1),
    SUMIFS('프로젝트(G)'!I:I, '프로젝트(G)'!C:C, $E$1, '프로젝트(G)'!G:G, B111, '프로젝트(G)'!X:X, B115, '프로젝트(G)'!U:U, $D$1),
    SUMIFS('협력사 EPC(H)'!I:I, '협력사 EPC(H)'!C:C, $E$1, '협력사 EPC(H)'!G:G, B111, '협력사 EPC(H)'!X:X, B115, '협력사 EPC(H)'!U:U, $D$1),
    SUMIFS('기타(Z)'!I:I, '기타(Z)'!C:C, $E$1, '기타(Z)'!G:G, B111, '기타(Z)'!X:X, B115, '기타(Z)'!U:U, $D$1)
  )
)</f>
        <v/>
      </c>
      <c r="H115" s="263" t="str">
        <f>IF(
  (
    COUNTIFS('발전사업(A)'!C:C, $E$1, '발전사업(A)'!G:G, B111, '발전사업(A)'!X:X, B115, '발전사업(A)'!U:U, $D$1)
    + COUNTIFS('자가소비(B)'!C:C, $E$1, '자가소비(B)'!G:G, B111, '자가소비(B)'!X:X, B115, '자가소비(B)'!U:U, $D$1)
    + COUNTIFS('PPA 사업(C)'!C:C, $E$1, 'PPA 사업(C)'!G:G, B111, 'PPA 사업(C)'!X:X, B115, 'PPA 사업(C)'!U:U, $D$1)
    + COUNTIFS('리스사업(D)'!C:C, $E$1, '리스사업(D)'!G:G, B111, '리스사업(D)'!X:X, B115, '리스사업(D)'!U:U, $D$1)
    + COUNTIFS('임대사업(E)'!C:C, $E$1, '임대사업(E)'!G:G, B111, '임대사업(E)'!X:X, B115, '임대사업(E)'!U:U, $D$1)
    + COUNTIFS('환경부사업(F)'!C:C, $E$1, '환경부사업(F)'!G:G, B111, '환경부사업(F)'!X:X, B115, '환경부사업(F)'!U:U, $D$1)
    + COUNTIFS('프로젝트(G)'!C:C, $E$1, '프로젝트(G)'!G:G, B111, '프로젝트(G)'!X:X, B115, '프로젝트(G)'!U:U, $D$1)
    + COUNTIFS('협력사 EPC(H)'!C:C, $E$1, '협력사 EPC(H)'!G:G, B111, '협력사 EPC(H)'!X:X, B115, '협력사 EPC(H)'!U:U, $D$1)
    + COUNTIFS('기타(Z)'!C:C, $E$1, '기타(Z)'!G:G, B111, '기타(Z)'!X:X, B115, '기타(Z)'!U:U, $D$1)
  ) = 0,
  "",
  COUNTIFS('발전사업(A)'!C:C, $E$1, '발전사업(A)'!G:G, B111, '발전사업(A)'!X:X, B115, '발전사업(A)'!U:U, $D$1)
  + COUNTIFS('자가소비(B)'!C:C, $E$1, '자가소비(B)'!G:G, B111, '자가소비(B)'!X:X, B115, '자가소비(B)'!U:U, $D$1)
  + COUNTIFS('PPA 사업(C)'!C:C, $E$1, 'PPA 사업(C)'!G:G, B111, 'PPA 사업(C)'!X:X, B115, 'PPA 사업(C)'!U:U, $D$1)
  + COUNTIFS('리스사업(D)'!C:C, $E$1, '리스사업(D)'!G:G, B111, '리스사업(D)'!X:X, B115, '리스사업(D)'!U:U, $D$1)
  + COUNTIFS('임대사업(E)'!C:C, $E$1, '임대사업(E)'!G:G, B111, '임대사업(E)'!X:X, B115, '임대사업(E)'!U:U, $D$1)
  + COUNTIFS('환경부사업(F)'!C:C, $E$1, '환경부사업(F)'!G:G, B111, '환경부사업(F)'!X:X, B115, '환경부사업(F)'!U:U, $D$1)
  + COUNTIFS('프로젝트(G)'!C:C, $E$1, '프로젝트(G)'!G:G, B111, '프로젝트(G)'!X:X, B115, '프로젝트(G)'!U:U, $D$1)
  + COUNTIFS('협력사 EPC(H)'!C:C, $E$1, '협력사 EPC(H)'!G:G, B111, '협력사 EPC(H)'!X:X, B115, '협력사 EPC(H)'!U:U, $D$1)
  + COUNTIFS('기타(Z)'!C:C, $E$1, '기타(Z)'!G:G, B111, '기타(Z)'!X:X, B115, '기타(Z)'!U:U, $D$1)
)</f>
        <v/>
      </c>
    </row>
    <row r="116" spans="2:8" x14ac:dyDescent="0.25">
      <c r="B116" s="195" t="s">
        <v>155</v>
      </c>
      <c r="C116" s="262">
        <f>IF(
  SUM(
    SUMIFS('발전사업(A)'!I:I, '발전사업(A)'!C:C, $E$1, '발전사업(A)'!G:G, B111, '발전사업(A)'!X:X, B116),
    SUMIFS('자가소비(B)'!I:I, '자가소비(B)'!C:C, $E$1, '자가소비(B)'!G:G, B111, '자가소비(B)'!X:X, B116),
    SUMIFS('PPA 사업(C)'!I:I, 'PPA 사업(C)'!C:C, $E$1, 'PPA 사업(C)'!G:G, B111, 'PPA 사업(C)'!X:X, B116),
    SUMIFS('리스사업(D)'!I:I, '리스사업(D)'!C:C, $E$1, '리스사업(D)'!G:G, B111, '리스사업(D)'!X:X, B116),
    SUMIFS('임대사업(E)'!I:I, '임대사업(E)'!C:C, $E$1, '임대사업(E)'!G:G, B111, '임대사업(E)'!X:X, B116),
    SUMIFS('환경부사업(F)'!I:I, '환경부사업(F)'!C:C, $E$1, '환경부사업(F)'!G:G, B111, '환경부사업(F)'!X:X, B116),
    SUMIFS('프로젝트(G)'!I:I, '프로젝트(G)'!C:C, $E$1, '프로젝트(G)'!G:G, B111, '프로젝트(G)'!X:X, B116),
    SUMIFS('협력사 EPC(H)'!I:I, '협력사 EPC(H)'!C:C, $E$1, '협력사 EPC(H)'!G:G, B111, '협력사 EPC(H)'!X:X, B116),
    SUMIFS('기타(Z)'!I:I, '기타(Z)'!C:C, $E$1, '기타(Z)'!G:G, B111, '기타(Z)'!X:X, B116)
  ) = 0,
  "",
  SUMIFS('발전사업(A)'!I:I, '발전사업(A)'!C:C, $E$1, '발전사업(A)'!G:G, B111, '발전사업(A)'!X:X, B116)
  + SUMIFS('자가소비(B)'!I:I, '자가소비(B)'!C:C, $E$1, '자가소비(B)'!G:G, B111, '자가소비(B)'!X:X, B116)
  + SUMIFS('PPA 사업(C)'!I:I, 'PPA 사업(C)'!C:C, $E$1, 'PPA 사업(C)'!G:G, B111, 'PPA 사업(C)'!X:X, B116)
  + SUMIFS('리스사업(D)'!I:I, '리스사업(D)'!C:C, $E$1, '리스사업(D)'!G:G, B111, '리스사업(D)'!X:X, B116)
  + SUMIFS('임대사업(E)'!I:I, '임대사업(E)'!C:C, $E$1, '임대사업(E)'!G:G, B111, '임대사업(E)'!X:X, B116)
  + SUMIFS('환경부사업(F)'!I:I, '환경부사업(F)'!C:C, $E$1, '환경부사업(F)'!G:G, B111, '환경부사업(F)'!X:X, B116)
  + SUMIFS('프로젝트(G)'!I:I, '프로젝트(G)'!C:C, $E$1, '프로젝트(G)'!G:G, B111, '프로젝트(G)'!X:X, B116)
  + SUMIFS('협력사 EPC(H)'!I:I, '협력사 EPC(H)'!C:C, $E$1, '협력사 EPC(H)'!G:G, B111, '협력사 EPC(H)'!X:X, B116)
  + SUMIFS('기타(Z)'!I:I, '기타(Z)'!C:C, $E$1, '기타(Z)'!G:G, B111, '기타(Z)'!X:X, B116)
)</f>
        <v>294.76499999999999</v>
      </c>
      <c r="D116" s="263">
        <f>IF(
  COUNTIFS('발전사업(A)'!C:C, $E$1, '발전사업(A)'!G:G, B111, '발전사업(A)'!X:X, B116)
  + COUNTIFS('자가소비(B)'!C:C, $E$1, '자가소비(B)'!G:G, B111, '자가소비(B)'!X:X, B116)
  + COUNTIFS('PPA 사업(C)'!C:C, $E$1, 'PPA 사업(C)'!G:G, B111, 'PPA 사업(C)'!X:X, B116)
  + COUNTIFS('리스사업(D)'!C:C, $E$1, '리스사업(D)'!G:G, B111, '리스사업(D)'!X:X, B116)
  + COUNTIFS('임대사업(E)'!C:C, $E$1, '임대사업(E)'!G:G, B111, '임대사업(E)'!X:X, B116)
  + COUNTIFS('환경부사업(F)'!C:C, $E$1, '환경부사업(F)'!G:G, B111, '환경부사업(F)'!X:X, B116)
  + COUNTIFS('프로젝트(G)'!C:C, $E$1, '프로젝트(G)'!G:G, B111, '프로젝트(G)'!X:X, B116)
  + COUNTIFS('협력사 EPC(H)'!C:C, $E$1, '협력사 EPC(H)'!G:G, B111, '협력사 EPC(H)'!X:X, B116)
  + COUNTIFS('기타(Z)'!C:C, $E$1, '기타(Z)'!G:G, B111, '기타(Z)'!X:X, B116)
  = 0,
  "",
  COUNTIFS('발전사업(A)'!C:C, $E$1, '발전사업(A)'!G:G, B111, '발전사업(A)'!X:X, B116)
  + COUNTIFS('자가소비(B)'!C:C, $E$1, '자가소비(B)'!G:G, B111, '자가소비(B)'!X:X, B116)
  + COUNTIFS('PPA 사업(C)'!C:C, $E$1, 'PPA 사업(C)'!G:G, B111, 'PPA 사업(C)'!X:X, B116)
  + COUNTIFS('리스사업(D)'!C:C, $E$1, '리스사업(D)'!G:G, B111, '리스사업(D)'!X:X, B116)
  + COUNTIFS('임대사업(E)'!C:C, $E$1, '임대사업(E)'!G:G, B111, '임대사업(E)'!X:X, B116)
  + COUNTIFS('환경부사업(F)'!C:C, $E$1, '환경부사업(F)'!G:G, B111, '환경부사업(F)'!X:X, B116)
  + COUNTIFS('프로젝트(G)'!C:C, $E$1, '프로젝트(G)'!G:G, B111, '프로젝트(G)'!X:X, B116)
  + COUNTIFS('협력사 EPC(H)'!C:C, $E$1, '협력사 EPC(H)'!G:G, B111, '협력사 EPC(H)'!X:X, B116)
  + COUNTIFS('기타(Z)'!C:C, $E$1, '기타(Z)'!G:G, B111, '기타(Z)'!X:X, B116)
)</f>
        <v>3</v>
      </c>
      <c r="E116" s="262">
        <f>IF(
  SUM(
    SUMIFS('발전사업(A)'!I:I, '발전사업(A)'!C:C, $E$1, '발전사업(A)'!G:G, B111, '발전사업(A)'!X:X, B116, '발전사업(A)'!U:U, $C$1),
    SUMIFS('자가소비(B)'!I:I, '자가소비(B)'!C:C, $E$1, '자가소비(B)'!G:G, B111, '자가소비(B)'!X:X, B116, '자가소비(B)'!U:U, $C$1),
    SUMIFS('PPA 사업(C)'!I:I, 'PPA 사업(C)'!C:C, $E$1, 'PPA 사업(C)'!G:G, B111, 'PPA 사업(C)'!X:X, B116, 'PPA 사업(C)'!U:U, $C$1),
    SUMIFS('리스사업(D)'!I:I, '리스사업(D)'!C:C, $E$1, '리스사업(D)'!G:G, B111, '리스사업(D)'!X:X, B116, '리스사업(D)'!U:U, $C$1),
    SUMIFS('임대사업(E)'!I:I, '임대사업(E)'!C:C, $E$1, '임대사업(E)'!G:G, B111, '임대사업(E)'!X:X, B116, '임대사업(E)'!U:U, $C$1),
    SUMIFS('환경부사업(F)'!I:I, '환경부사업(F)'!C:C, $E$1, '환경부사업(F)'!G:G, B111, '환경부사업(F)'!X:X, B116, '환경부사업(F)'!U:U, $C$1),
    SUMIFS('프로젝트(G)'!I:I, '프로젝트(G)'!C:C, $E$1, '프로젝트(G)'!G:G, B111, '프로젝트(G)'!X:X, B116, '프로젝트(G)'!U:U, $C$1),
    SUMIFS('협력사 EPC(H)'!I:I, '협력사 EPC(H)'!C:C, $E$1, '협력사 EPC(H)'!G:G, B111, '협력사 EPC(H)'!X:X, B116, '협력사 EPC(H)'!U:U, $C$1),
    SUMIFS('기타(Z)'!I:I, '기타(Z)'!C:C, $E$1, '기타(Z)'!G:G, B111, '기타(Z)'!X:X, B116, '기타(Z)'!U:U, $C$1)
  ) = 0,
  "",
  SUM(
    SUMIFS('발전사업(A)'!I:I, '발전사업(A)'!C:C, $E$1, '발전사업(A)'!G:G, B111, '발전사업(A)'!X:X, B116, '발전사업(A)'!U:U, $C$1),
    SUMIFS('자가소비(B)'!I:I, '자가소비(B)'!C:C, $E$1, '자가소비(B)'!G:G, B111, '자가소비(B)'!X:X, B116, '자가소비(B)'!U:U, $C$1),
    SUMIFS('PPA 사업(C)'!I:I, 'PPA 사업(C)'!C:C, $E$1, 'PPA 사업(C)'!G:G, B111, 'PPA 사업(C)'!X:X, B116, 'PPA 사업(C)'!U:U, $C$1),
    SUMIFS('리스사업(D)'!I:I, '리스사업(D)'!C:C, $E$1, '리스사업(D)'!G:G, B111, '리스사업(D)'!X:X, B116, '리스사업(D)'!U:U, $C$1),
    SUMIFS('임대사업(E)'!I:I, '임대사업(E)'!C:C, $E$1, '임대사업(E)'!G:G, B111, '임대사업(E)'!X:X, B116, '임대사업(E)'!U:U, $C$1),
    SUMIFS('환경부사업(F)'!I:I, '환경부사업(F)'!C:C, $E$1, '환경부사업(F)'!G:G, B111, '환경부사업(F)'!X:X, B116, '환경부사업(F)'!U:U, $C$1),
    SUMIFS('프로젝트(G)'!I:I, '프로젝트(G)'!C:C, $E$1, '프로젝트(G)'!G:G, B111, '프로젝트(G)'!X:X, B116, '프로젝트(G)'!U:U, $C$1),
    SUMIFS('협력사 EPC(H)'!I:I, '협력사 EPC(H)'!C:C, $E$1, '협력사 EPC(H)'!G:G, B111, '협력사 EPC(H)'!X:X, B116, '협력사 EPC(H)'!U:U, $C$1),
    SUMIFS('기타(Z)'!I:I, '기타(Z)'!C:C, $E$1, '기타(Z)'!G:G, B111, '기타(Z)'!X:X, B116, '기타(Z)'!U:U, $C$1)
  )
)</f>
        <v>132.22499999999999</v>
      </c>
      <c r="F116" s="263">
        <f>IF(
  SUM(
    COUNTIFS('발전사업(A)'!C:C, $E$1, '발전사업(A)'!G:G, B111, '발전사업(A)'!X:X, B116, '발전사업(A)'!U:U, $C$1),
    COUNTIFS('자가소비(B)'!C:C, $E$1, '자가소비(B)'!G:G, B111, '자가소비(B)'!X:X, B116, '자가소비(B)'!U:U, $C$1),
    COUNTIFS('PPA 사업(C)'!C:C, $E$1, 'PPA 사업(C)'!G:G, B111, 'PPA 사업(C)'!X:X, B116, 'PPA 사업(C)'!U:U, $C$1),
    COUNTIFS('리스사업(D)'!C:C, $E$1, '리스사업(D)'!G:G, B111, '리스사업(D)'!X:X, B116, '리스사업(D)'!U:U, $C$1),
    COUNTIFS('임대사업(E)'!C:C, $E$1, '임대사업(E)'!G:G, B111, '임대사업(E)'!X:X, B116, '임대사업(E)'!U:U, $C$1),
    COUNTIFS('환경부사업(F)'!C:C, $E$1, '환경부사업(F)'!G:G, B111, '환경부사업(F)'!X:X, B116, '환경부사업(F)'!U:U, $C$1),
    COUNTIFS('프로젝트(G)'!C:C, $E$1, '프로젝트(G)'!G:G, B111, '프로젝트(G)'!X:X, B116, '프로젝트(G)'!U:U, $C$1),
    COUNTIFS('협력사 EPC(H)'!C:C, $E$1, '협력사 EPC(H)'!G:G, B111, '협력사 EPC(H)'!X:X, B116, '협력사 EPC(H)'!U:U, $C$1),
    COUNTIFS('기타(Z)'!C:C, $E$1, '기타(Z)'!G:G, B111, '기타(Z)'!X:X, B116, '기타(Z)'!U:U, $C$1)
  ) = 0,
  "",
  SUM(
    COUNTIFS('발전사업(A)'!C:C, $E$1, '발전사업(A)'!G:G, B111, '발전사업(A)'!X:X, B116, '발전사업(A)'!U:U, $C$1),
    COUNTIFS('자가소비(B)'!C:C, $E$1, '자가소비(B)'!G:G, B111, '자가소비(B)'!X:X, B116, '자가소비(B)'!U:U, $C$1),
    COUNTIFS('PPA 사업(C)'!C:C, $E$1, 'PPA 사업(C)'!G:G, B111, 'PPA 사업(C)'!X:X, B116, 'PPA 사업(C)'!U:U, $C$1),
    COUNTIFS('리스사업(D)'!C:C, $E$1, '리스사업(D)'!G:G, B111, '리스사업(D)'!X:X, B116, '리스사업(D)'!U:U, $C$1),
    COUNTIFS('임대사업(E)'!C:C, $E$1, '임대사업(E)'!G:G, B111, '임대사업(E)'!X:X, B116, '임대사업(E)'!U:U, $C$1),
    COUNTIFS('환경부사업(F)'!C:C, $E$1, '환경부사업(F)'!G:G, B111, '환경부사업(F)'!X:X, B116, '환경부사업(F)'!U:U, $C$1),
    COUNTIFS('프로젝트(G)'!C:C, $E$1, '프로젝트(G)'!G:G, B111, '프로젝트(G)'!X:X, B116, '프로젝트(G)'!U:U, $C$1),
    COUNTIFS('협력사 EPC(H)'!C:C, $E$1, '협력사 EPC(H)'!G:G, B111, '협력사 EPC(H)'!X:X, B116, '협력사 EPC(H)'!U:U, $C$1),
    COUNTIFS('기타(Z)'!C:C, $E$1, '기타(Z)'!G:G, B111, '기타(Z)'!X:X, B116, '기타(Z)'!U:U, $C$1)
  )
)</f>
        <v>2</v>
      </c>
      <c r="G116" s="262">
        <f>IF(
  SUM(
    SUMIFS('발전사업(A)'!I:I, '발전사업(A)'!C:C, $E$1, '발전사업(A)'!G:G, B111, '발전사업(A)'!X:X, B116, '발전사업(A)'!U:U, $D$1),
    SUMIFS('자가소비(B)'!I:I, '자가소비(B)'!C:C, $E$1, '자가소비(B)'!G:G, B111, '자가소비(B)'!X:X, B116, '자가소비(B)'!U:U, $D$1),
    SUMIFS('PPA 사업(C)'!I:I, 'PPA 사업(C)'!C:C, $E$1, 'PPA 사업(C)'!G:G, B111, 'PPA 사업(C)'!X:X, B116, 'PPA 사업(C)'!U:U, $D$1),
    SUMIFS('리스사업(D)'!I:I, '리스사업(D)'!C:C, $E$1, '리스사업(D)'!G:G, B111, '리스사업(D)'!X:X, B116, '리스사업(D)'!U:U, $D$1),
    SUMIFS('임대사업(E)'!I:I, '임대사업(E)'!C:C, $E$1, '임대사업(E)'!G:G, B111, '임대사업(E)'!X:X, B116, '임대사업(E)'!U:U, $D$1),
    SUMIFS('환경부사업(F)'!I:I, '환경부사업(F)'!C:C, $E$1, '환경부사업(F)'!G:G, B111, '환경부사업(F)'!X:X, B116, '환경부사업(F)'!U:U, $D$1),
    SUMIFS('프로젝트(G)'!I:I, '프로젝트(G)'!C:C, $E$1, '프로젝트(G)'!G:G, B111, '프로젝트(G)'!X:X, B116, '프로젝트(G)'!U:U, $D$1),
    SUMIFS('협력사 EPC(H)'!I:I, '협력사 EPC(H)'!C:C, $E$1, '협력사 EPC(H)'!G:G, B111, '협력사 EPC(H)'!X:X, B116, '협력사 EPC(H)'!U:U, $D$1),
    SUMIFS('기타(Z)'!I:I, '기타(Z)'!C:C, $E$1, '기타(Z)'!G:G, B111, '기타(Z)'!X:X, B116, '기타(Z)'!U:U, $D$1)
  ) = 0,
  "",
  SUM(
    SUMIFS('발전사업(A)'!I:I, '발전사업(A)'!C:C, $E$1, '발전사업(A)'!G:G, B111, '발전사업(A)'!X:X, B116, '발전사업(A)'!U:U, $D$1),
    SUMIFS('자가소비(B)'!I:I, '자가소비(B)'!C:C, $E$1, '자가소비(B)'!G:G, B111, '자가소비(B)'!X:X, B116, '자가소비(B)'!U:U, $D$1),
    SUMIFS('PPA 사업(C)'!I:I, 'PPA 사업(C)'!C:C, $E$1, 'PPA 사업(C)'!G:G, B111, 'PPA 사업(C)'!X:X, B116, 'PPA 사업(C)'!U:U, $D$1),
    SUMIFS('리스사업(D)'!I:I, '리스사업(D)'!C:C, $E$1, '리스사업(D)'!G:G, B111, '리스사업(D)'!X:X, B116, '리스사업(D)'!U:U, $D$1),
    SUMIFS('임대사업(E)'!I:I, '임대사업(E)'!C:C, $E$1, '임대사업(E)'!G:G, B111, '임대사업(E)'!X:X, B116, '임대사업(E)'!U:U, $D$1),
    SUMIFS('환경부사업(F)'!I:I, '환경부사업(F)'!C:C, $E$1, '환경부사업(F)'!G:G, B111, '환경부사업(F)'!X:X, B116, '환경부사업(F)'!U:U, $D$1),
    SUMIFS('프로젝트(G)'!I:I, '프로젝트(G)'!C:C, $E$1, '프로젝트(G)'!G:G, B111, '프로젝트(G)'!X:X, B116, '프로젝트(G)'!U:U, $D$1),
    SUMIFS('협력사 EPC(H)'!I:I, '협력사 EPC(H)'!C:C, $E$1, '협력사 EPC(H)'!G:G, B111, '협력사 EPC(H)'!X:X, B116, '협력사 EPC(H)'!U:U, $D$1),
    SUMIFS('기타(Z)'!I:I, '기타(Z)'!C:C, $E$1, '기타(Z)'!G:G, B111, '기타(Z)'!X:X, B116, '기타(Z)'!U:U, $D$1)
  )
)</f>
        <v>162.54</v>
      </c>
      <c r="H116" s="263">
        <f>IF(
  (
    COUNTIFS('발전사업(A)'!C:C, $E$1, '발전사업(A)'!G:G, B111, '발전사업(A)'!X:X, B116, '발전사업(A)'!U:U, $D$1)
    + COUNTIFS('자가소비(B)'!C:C, $E$1, '자가소비(B)'!G:G, B111, '자가소비(B)'!X:X, B116, '자가소비(B)'!U:U, $D$1)
    + COUNTIFS('PPA 사업(C)'!C:C, $E$1, 'PPA 사업(C)'!G:G, B111, 'PPA 사업(C)'!X:X, B116, 'PPA 사업(C)'!U:U, $D$1)
    + COUNTIFS('리스사업(D)'!C:C, $E$1, '리스사업(D)'!G:G, B111, '리스사업(D)'!X:X, B116, '리스사업(D)'!U:U, $D$1)
    + COUNTIFS('임대사업(E)'!C:C, $E$1, '임대사업(E)'!G:G, B111, '임대사업(E)'!X:X, B116, '임대사업(E)'!U:U, $D$1)
    + COUNTIFS('환경부사업(F)'!C:C, $E$1, '환경부사업(F)'!G:G, B111, '환경부사업(F)'!X:X, B116, '환경부사업(F)'!U:U, $D$1)
    + COUNTIFS('프로젝트(G)'!C:C, $E$1, '프로젝트(G)'!G:G, B111, '프로젝트(G)'!X:X, B116, '프로젝트(G)'!U:U, $D$1)
    + COUNTIFS('협력사 EPC(H)'!C:C, $E$1, '협력사 EPC(H)'!G:G, B111, '협력사 EPC(H)'!X:X, B116, '협력사 EPC(H)'!U:U, $D$1)
    + COUNTIFS('기타(Z)'!C:C, $E$1, '기타(Z)'!G:G, B111, '기타(Z)'!X:X, B116, '기타(Z)'!U:U, $D$1)
  ) = 0,
  "",
  COUNTIFS('발전사업(A)'!C:C, $E$1, '발전사업(A)'!G:G, B111, '발전사업(A)'!X:X, B116, '발전사업(A)'!U:U, $D$1)
  + COUNTIFS('자가소비(B)'!C:C, $E$1, '자가소비(B)'!G:G, B111, '자가소비(B)'!X:X, B116, '자가소비(B)'!U:U, $D$1)
  + COUNTIFS('PPA 사업(C)'!C:C, $E$1, 'PPA 사업(C)'!G:G, B111, 'PPA 사업(C)'!X:X, B116, 'PPA 사업(C)'!U:U, $D$1)
  + COUNTIFS('리스사업(D)'!C:C, $E$1, '리스사업(D)'!G:G, B111, '리스사업(D)'!X:X, B116, '리스사업(D)'!U:U, $D$1)
  + COUNTIFS('임대사업(E)'!C:C, $E$1, '임대사업(E)'!G:G, B111, '임대사업(E)'!X:X, B116, '임대사업(E)'!U:U, $D$1)
  + COUNTIFS('환경부사업(F)'!C:C, $E$1, '환경부사업(F)'!G:G, B111, '환경부사업(F)'!X:X, B116, '환경부사업(F)'!U:U, $D$1)
  + COUNTIFS('프로젝트(G)'!C:C, $E$1, '프로젝트(G)'!G:G, B111, '프로젝트(G)'!X:X, B116, '프로젝트(G)'!U:U, $D$1)
  + COUNTIFS('협력사 EPC(H)'!C:C, $E$1, '협력사 EPC(H)'!G:G, B111, '협력사 EPC(H)'!X:X, B116, '협력사 EPC(H)'!U:U, $D$1)
  + COUNTIFS('기타(Z)'!C:C, $E$1, '기타(Z)'!G:G, B111, '기타(Z)'!X:X, B116, '기타(Z)'!U:U, $D$1)
)</f>
        <v>1</v>
      </c>
    </row>
    <row r="117" spans="2:8" x14ac:dyDescent="0.25">
      <c r="B117" s="195" t="s">
        <v>156</v>
      </c>
      <c r="C117" s="262" t="str">
        <f>IF(
  SUM(
    SUMIFS('발전사업(A)'!I:I, '발전사업(A)'!C:C, $E$1, '발전사업(A)'!G:G, B111, '발전사업(A)'!X:X, B117),
    SUMIFS('자가소비(B)'!I:I, '자가소비(B)'!C:C, $E$1, '자가소비(B)'!G:G, B111, '자가소비(B)'!X:X, B117),
    SUMIFS('PPA 사업(C)'!I:I, 'PPA 사업(C)'!C:C, $E$1, 'PPA 사업(C)'!G:G, B111, 'PPA 사업(C)'!X:X, B117),
    SUMIFS('리스사업(D)'!I:I, '리스사업(D)'!C:C, $E$1, '리스사업(D)'!G:G, B111, '리스사업(D)'!X:X, B117),
    SUMIFS('임대사업(E)'!I:I, '임대사업(E)'!C:C, $E$1, '임대사업(E)'!G:G, B111, '임대사업(E)'!X:X, B117),
    SUMIFS('환경부사업(F)'!I:I, '환경부사업(F)'!C:C, $E$1, '환경부사업(F)'!G:G, B111, '환경부사업(F)'!X:X, B117),
    SUMIFS('프로젝트(G)'!I:I, '프로젝트(G)'!C:C, $E$1, '프로젝트(G)'!G:G, B111, '프로젝트(G)'!X:X, B117),
    SUMIFS('협력사 EPC(H)'!I:I, '협력사 EPC(H)'!C:C, $E$1, '협력사 EPC(H)'!G:G, B111, '협력사 EPC(H)'!X:X, B117),
    SUMIFS('기타(Z)'!I:I, '기타(Z)'!C:C, $E$1, '기타(Z)'!G:G, B111, '기타(Z)'!X:X, B117)
  ) = 0,
  "",
  SUMIFS('발전사업(A)'!I:I, '발전사업(A)'!C:C, $E$1, '발전사업(A)'!G:G, B111, '발전사업(A)'!X:X, B117)
  + SUMIFS('자가소비(B)'!I:I, '자가소비(B)'!C:C, $E$1, '자가소비(B)'!G:G, B111, '자가소비(B)'!X:X, B117)
  + SUMIFS('PPA 사업(C)'!I:I, 'PPA 사업(C)'!C:C, $E$1, 'PPA 사업(C)'!G:G, B111, 'PPA 사업(C)'!X:X, B117)
  + SUMIFS('리스사업(D)'!I:I, '리스사업(D)'!C:C, $E$1, '리스사업(D)'!G:G, B111, '리스사업(D)'!X:X, B117)
  + SUMIFS('임대사업(E)'!I:I, '임대사업(E)'!C:C, $E$1, '임대사업(E)'!G:G, B111, '임대사업(E)'!X:X, B117)
  + SUMIFS('환경부사업(F)'!I:I, '환경부사업(F)'!C:C, $E$1, '환경부사업(F)'!G:G, B111, '환경부사업(F)'!X:X, B117)
  + SUMIFS('프로젝트(G)'!I:I, '프로젝트(G)'!C:C, $E$1, '프로젝트(G)'!G:G, B111, '프로젝트(G)'!X:X, B117)
  + SUMIFS('협력사 EPC(H)'!I:I, '협력사 EPC(H)'!C:C, $E$1, '협력사 EPC(H)'!G:G, B111, '협력사 EPC(H)'!X:X, B117)
  + SUMIFS('기타(Z)'!I:I, '기타(Z)'!C:C, $E$1, '기타(Z)'!G:G, B111, '기타(Z)'!X:X, B117)
)</f>
        <v/>
      </c>
      <c r="D117" s="263" t="str">
        <f>IF(
  COUNTIFS('발전사업(A)'!C:C, $E$1, '발전사업(A)'!G:G, B111, '발전사업(A)'!X:X, B117)
  + COUNTIFS('자가소비(B)'!C:C, $E$1, '자가소비(B)'!G:G, B111, '자가소비(B)'!X:X, B117)
  + COUNTIFS('PPA 사업(C)'!C:C, $E$1, 'PPA 사업(C)'!G:G, B111, 'PPA 사업(C)'!X:X, B117)
  + COUNTIFS('리스사업(D)'!C:C, $E$1, '리스사업(D)'!G:G, B111, '리스사업(D)'!X:X, B117)
  + COUNTIFS('임대사업(E)'!C:C, $E$1, '임대사업(E)'!G:G, B111, '임대사업(E)'!X:X, B117)
  + COUNTIFS('환경부사업(F)'!C:C, $E$1, '환경부사업(F)'!G:G, B111, '환경부사업(F)'!X:X, B117)
  + COUNTIFS('프로젝트(G)'!C:C, $E$1, '프로젝트(G)'!G:G, B111, '프로젝트(G)'!X:X, B117)
  + COUNTIFS('협력사 EPC(H)'!C:C, $E$1, '협력사 EPC(H)'!G:G, B111, '협력사 EPC(H)'!X:X, B117)
  + COUNTIFS('기타(Z)'!C:C, $E$1, '기타(Z)'!G:G, B111, '기타(Z)'!X:X, B117)
  = 0,
  "",
  COUNTIFS('발전사업(A)'!C:C, $E$1, '발전사업(A)'!G:G, B111, '발전사업(A)'!X:X, B117)
  + COUNTIFS('자가소비(B)'!C:C, $E$1, '자가소비(B)'!G:G, B111, '자가소비(B)'!X:X, B117)
  + COUNTIFS('PPA 사업(C)'!C:C, $E$1, 'PPA 사업(C)'!G:G, B111, 'PPA 사업(C)'!X:X, B117)
  + COUNTIFS('리스사업(D)'!C:C, $E$1, '리스사업(D)'!G:G, B111, '리스사업(D)'!X:X, B117)
  + COUNTIFS('임대사업(E)'!C:C, $E$1, '임대사업(E)'!G:G, B111, '임대사업(E)'!X:X, B117)
  + COUNTIFS('환경부사업(F)'!C:C, $E$1, '환경부사업(F)'!G:G, B111, '환경부사업(F)'!X:X, B117)
  + COUNTIFS('프로젝트(G)'!C:C, $E$1, '프로젝트(G)'!G:G, B111, '프로젝트(G)'!X:X, B117)
  + COUNTIFS('협력사 EPC(H)'!C:C, $E$1, '협력사 EPC(H)'!G:G, B111, '협력사 EPC(H)'!X:X, B117)
  + COUNTIFS('기타(Z)'!C:C, $E$1, '기타(Z)'!G:G, B111, '기타(Z)'!X:X, B117)
)</f>
        <v/>
      </c>
      <c r="E117" s="262" t="str">
        <f>IF(
  SUM(
    SUMIFS('발전사업(A)'!I:I, '발전사업(A)'!C:C, $E$1, '발전사업(A)'!G:G, B111, '발전사업(A)'!X:X, B117, '발전사업(A)'!U:U, $C$1),
    SUMIFS('자가소비(B)'!I:I, '자가소비(B)'!C:C, $E$1, '자가소비(B)'!G:G, B111, '자가소비(B)'!X:X, B117, '자가소비(B)'!U:U, $C$1),
    SUMIFS('PPA 사업(C)'!I:I, 'PPA 사업(C)'!C:C, $E$1, 'PPA 사업(C)'!G:G, B111, 'PPA 사업(C)'!X:X, B117, 'PPA 사업(C)'!U:U, $C$1),
    SUMIFS('리스사업(D)'!I:I, '리스사업(D)'!C:C, $E$1, '리스사업(D)'!G:G, B111, '리스사업(D)'!X:X, B117, '리스사업(D)'!U:U, $C$1),
    SUMIFS('임대사업(E)'!I:I, '임대사업(E)'!C:C, $E$1, '임대사업(E)'!G:G, B111, '임대사업(E)'!X:X, B117, '임대사업(E)'!U:U, $C$1),
    SUMIFS('환경부사업(F)'!I:I, '환경부사업(F)'!C:C, $E$1, '환경부사업(F)'!G:G, B111, '환경부사업(F)'!X:X, B117, '환경부사업(F)'!U:U, $C$1),
    SUMIFS('프로젝트(G)'!I:I, '프로젝트(G)'!C:C, $E$1, '프로젝트(G)'!G:G, B111, '프로젝트(G)'!X:X, B117, '프로젝트(G)'!U:U, $C$1),
    SUMIFS('협력사 EPC(H)'!I:I, '협력사 EPC(H)'!C:C, $E$1, '협력사 EPC(H)'!G:G, B111, '협력사 EPC(H)'!X:X, B117, '협력사 EPC(H)'!U:U, $C$1),
    SUMIFS('기타(Z)'!I:I, '기타(Z)'!C:C, $E$1, '기타(Z)'!G:G, B111, '기타(Z)'!X:X, B117, '기타(Z)'!U:U, $C$1)
  ) = 0,
  "",
  SUM(
    SUMIFS('발전사업(A)'!I:I, '발전사업(A)'!C:C, $E$1, '발전사업(A)'!G:G, B111, '발전사업(A)'!X:X, B117, '발전사업(A)'!U:U, $C$1),
    SUMIFS('자가소비(B)'!I:I, '자가소비(B)'!C:C, $E$1, '자가소비(B)'!G:G, B111, '자가소비(B)'!X:X, B117, '자가소비(B)'!U:U, $C$1),
    SUMIFS('PPA 사업(C)'!I:I, 'PPA 사업(C)'!C:C, $E$1, 'PPA 사업(C)'!G:G, B111, 'PPA 사업(C)'!X:X, B117, 'PPA 사업(C)'!U:U, $C$1),
    SUMIFS('리스사업(D)'!I:I, '리스사업(D)'!C:C, $E$1, '리스사업(D)'!G:G, B111, '리스사업(D)'!X:X, B117, '리스사업(D)'!U:U, $C$1),
    SUMIFS('임대사업(E)'!I:I, '임대사업(E)'!C:C, $E$1, '임대사업(E)'!G:G, B111, '임대사업(E)'!X:X, B117, '임대사업(E)'!U:U, $C$1),
    SUMIFS('환경부사업(F)'!I:I, '환경부사업(F)'!C:C, $E$1, '환경부사업(F)'!G:G, B111, '환경부사업(F)'!X:X, B117, '환경부사업(F)'!U:U, $C$1),
    SUMIFS('프로젝트(G)'!I:I, '프로젝트(G)'!C:C, $E$1, '프로젝트(G)'!G:G, B111, '프로젝트(G)'!X:X, B117, '프로젝트(G)'!U:U, $C$1),
    SUMIFS('협력사 EPC(H)'!I:I, '협력사 EPC(H)'!C:C, $E$1, '협력사 EPC(H)'!G:G, B111, '협력사 EPC(H)'!X:X, B117, '협력사 EPC(H)'!U:U, $C$1),
    SUMIFS('기타(Z)'!I:I, '기타(Z)'!C:C, $E$1, '기타(Z)'!G:G, B111, '기타(Z)'!X:X, B117, '기타(Z)'!U:U, $C$1)
  )
)</f>
        <v/>
      </c>
      <c r="F117" s="263" t="str">
        <f>IF(
  SUM(
    COUNTIFS('발전사업(A)'!C:C, $E$1, '발전사업(A)'!G:G, B111, '발전사업(A)'!X:X, B117, '발전사업(A)'!U:U, $C$1),
    COUNTIFS('자가소비(B)'!C:C, $E$1, '자가소비(B)'!G:G, B111, '자가소비(B)'!X:X, B117, '자가소비(B)'!U:U, $C$1),
    COUNTIFS('PPA 사업(C)'!C:C, $E$1, 'PPA 사업(C)'!G:G, B111, 'PPA 사업(C)'!X:X, B117, 'PPA 사업(C)'!U:U, $C$1),
    COUNTIFS('리스사업(D)'!C:C, $E$1, '리스사업(D)'!G:G, B111, '리스사업(D)'!X:X, B117, '리스사업(D)'!U:U, $C$1),
    COUNTIFS('임대사업(E)'!C:C, $E$1, '임대사업(E)'!G:G, B111, '임대사업(E)'!X:X, B117, '임대사업(E)'!U:U, $C$1),
    COUNTIFS('환경부사업(F)'!C:C, $E$1, '환경부사업(F)'!G:G, B111, '환경부사업(F)'!X:X, B117, '환경부사업(F)'!U:U, $C$1),
    COUNTIFS('프로젝트(G)'!C:C, $E$1, '프로젝트(G)'!G:G, B111, '프로젝트(G)'!X:X, B117, '프로젝트(G)'!U:U, $C$1),
    COUNTIFS('협력사 EPC(H)'!C:C, $E$1, '협력사 EPC(H)'!G:G, B111, '협력사 EPC(H)'!X:X, B117, '협력사 EPC(H)'!U:U, $C$1),
    COUNTIFS('기타(Z)'!C:C, $E$1, '기타(Z)'!G:G, B111, '기타(Z)'!X:X, B117, '기타(Z)'!U:U, $C$1)
  ) = 0,
  "",
  SUM(
    COUNTIFS('발전사업(A)'!C:C, $E$1, '발전사업(A)'!G:G, B111, '발전사업(A)'!X:X, B117, '발전사업(A)'!U:U, $C$1),
    COUNTIFS('자가소비(B)'!C:C, $E$1, '자가소비(B)'!G:G, B111, '자가소비(B)'!X:X, B117, '자가소비(B)'!U:U, $C$1),
    COUNTIFS('PPA 사업(C)'!C:C, $E$1, 'PPA 사업(C)'!G:G, B111, 'PPA 사업(C)'!X:X, B117, 'PPA 사업(C)'!U:U, $C$1),
    COUNTIFS('리스사업(D)'!C:C, $E$1, '리스사업(D)'!G:G, B111, '리스사업(D)'!X:X, B117, '리스사업(D)'!U:U, $C$1),
    COUNTIFS('임대사업(E)'!C:C, $E$1, '임대사업(E)'!G:G, B111, '임대사업(E)'!X:X, B117, '임대사업(E)'!U:U, $C$1),
    COUNTIFS('환경부사업(F)'!C:C, $E$1, '환경부사업(F)'!G:G, B111, '환경부사업(F)'!X:X, B117, '환경부사업(F)'!U:U, $C$1),
    COUNTIFS('프로젝트(G)'!C:C, $E$1, '프로젝트(G)'!G:G, B111, '프로젝트(G)'!X:X, B117, '프로젝트(G)'!U:U, $C$1),
    COUNTIFS('협력사 EPC(H)'!C:C, $E$1, '협력사 EPC(H)'!G:G, B111, '협력사 EPC(H)'!X:X, B117, '협력사 EPC(H)'!U:U, $C$1),
    COUNTIFS('기타(Z)'!C:C, $E$1, '기타(Z)'!G:G, B111, '기타(Z)'!X:X, B117, '기타(Z)'!U:U, $C$1)
  )
)</f>
        <v/>
      </c>
      <c r="G117" s="262" t="str">
        <f>IF(
  SUM(
    SUMIFS('발전사업(A)'!I:I, '발전사업(A)'!C:C, $E$1, '발전사업(A)'!G:G, B111, '발전사업(A)'!X:X, B117, '발전사업(A)'!U:U, $D$1),
    SUMIFS('자가소비(B)'!I:I, '자가소비(B)'!C:C, $E$1, '자가소비(B)'!G:G, B111, '자가소비(B)'!X:X, B117, '자가소비(B)'!U:U, $D$1),
    SUMIFS('PPA 사업(C)'!I:I, 'PPA 사업(C)'!C:C, $E$1, 'PPA 사업(C)'!G:G, B111, 'PPA 사업(C)'!X:X, B117, 'PPA 사업(C)'!U:U, $D$1),
    SUMIFS('리스사업(D)'!I:I, '리스사업(D)'!C:C, $E$1, '리스사업(D)'!G:G, B111, '리스사업(D)'!X:X, B117, '리스사업(D)'!U:U, $D$1),
    SUMIFS('임대사업(E)'!I:I, '임대사업(E)'!C:C, $E$1, '임대사업(E)'!G:G, B111, '임대사업(E)'!X:X, B117, '임대사업(E)'!U:U, $D$1),
    SUMIFS('환경부사업(F)'!I:I, '환경부사업(F)'!C:C, $E$1, '환경부사업(F)'!G:G, B111, '환경부사업(F)'!X:X, B117, '환경부사업(F)'!U:U, $D$1),
    SUMIFS('프로젝트(G)'!I:I, '프로젝트(G)'!C:C, $E$1, '프로젝트(G)'!G:G, B111, '프로젝트(G)'!X:X, B117, '프로젝트(G)'!U:U, $D$1),
    SUMIFS('협력사 EPC(H)'!I:I, '협력사 EPC(H)'!C:C, $E$1, '협력사 EPC(H)'!G:G, B111, '협력사 EPC(H)'!X:X, B117, '협력사 EPC(H)'!U:U, $D$1),
    SUMIFS('기타(Z)'!I:I, '기타(Z)'!C:C, $E$1, '기타(Z)'!G:G, B111, '기타(Z)'!X:X, B117, '기타(Z)'!U:U, $D$1)
  ) = 0,
  "",
  SUM(
    SUMIFS('발전사업(A)'!I:I, '발전사업(A)'!C:C, $E$1, '발전사업(A)'!G:G, B111, '발전사업(A)'!X:X, B117, '발전사업(A)'!U:U, $D$1),
    SUMIFS('자가소비(B)'!I:I, '자가소비(B)'!C:C, $E$1, '자가소비(B)'!G:G, B111, '자가소비(B)'!X:X, B117, '자가소비(B)'!U:U, $D$1),
    SUMIFS('PPA 사업(C)'!I:I, 'PPA 사업(C)'!C:C, $E$1, 'PPA 사업(C)'!G:G, B111, 'PPA 사업(C)'!X:X, B117, 'PPA 사업(C)'!U:U, $D$1),
    SUMIFS('리스사업(D)'!I:I, '리스사업(D)'!C:C, $E$1, '리스사업(D)'!G:G, B111, '리스사업(D)'!X:X, B117, '리스사업(D)'!U:U, $D$1),
    SUMIFS('임대사업(E)'!I:I, '임대사업(E)'!C:C, $E$1, '임대사업(E)'!G:G, B111, '임대사업(E)'!X:X, B117, '임대사업(E)'!U:U, $D$1),
    SUMIFS('환경부사업(F)'!I:I, '환경부사업(F)'!C:C, $E$1, '환경부사업(F)'!G:G, B111, '환경부사업(F)'!X:X, B117, '환경부사업(F)'!U:U, $D$1),
    SUMIFS('프로젝트(G)'!I:I, '프로젝트(G)'!C:C, $E$1, '프로젝트(G)'!G:G, B111, '프로젝트(G)'!X:X, B117, '프로젝트(G)'!U:U, $D$1),
    SUMIFS('협력사 EPC(H)'!I:I, '협력사 EPC(H)'!C:C, $E$1, '협력사 EPC(H)'!G:G, B111, '협력사 EPC(H)'!X:X, B117, '협력사 EPC(H)'!U:U, $D$1),
    SUMIFS('기타(Z)'!I:I, '기타(Z)'!C:C, $E$1, '기타(Z)'!G:G, B111, '기타(Z)'!X:X, B117, '기타(Z)'!U:U, $D$1)
  )
)</f>
        <v/>
      </c>
      <c r="H117" s="263" t="str">
        <f>IF(
  (
    COUNTIFS('발전사업(A)'!C:C, $E$1, '발전사업(A)'!G:G, B111, '발전사업(A)'!X:X, B117, '발전사업(A)'!U:U, $D$1)
    + COUNTIFS('자가소비(B)'!C:C, $E$1, '자가소비(B)'!G:G, B111, '자가소비(B)'!X:X, B117, '자가소비(B)'!U:U, $D$1)
    + COUNTIFS('PPA 사업(C)'!C:C, $E$1, 'PPA 사업(C)'!G:G, B111, 'PPA 사업(C)'!X:X, B117, 'PPA 사업(C)'!U:U, $D$1)
    + COUNTIFS('리스사업(D)'!C:C, $E$1, '리스사업(D)'!G:G, B111, '리스사업(D)'!X:X, B117, '리스사업(D)'!U:U, $D$1)
    + COUNTIFS('임대사업(E)'!C:C, $E$1, '임대사업(E)'!G:G, B111, '임대사업(E)'!X:X, B117, '임대사업(E)'!U:U, $D$1)
    + COUNTIFS('환경부사업(F)'!C:C, $E$1, '환경부사업(F)'!G:G, B111, '환경부사업(F)'!X:X, B117, '환경부사업(F)'!U:U, $D$1)
    + COUNTIFS('프로젝트(G)'!C:C, $E$1, '프로젝트(G)'!G:G, B111, '프로젝트(G)'!X:X, B117, '프로젝트(G)'!U:U, $D$1)
    + COUNTIFS('협력사 EPC(H)'!C:C, $E$1, '협력사 EPC(H)'!G:G, B111, '협력사 EPC(H)'!X:X, B117, '협력사 EPC(H)'!U:U, $D$1)
    + COUNTIFS('기타(Z)'!C:C, $E$1, '기타(Z)'!G:G, B111, '기타(Z)'!X:X, B117, '기타(Z)'!U:U, $D$1)
  ) = 0,
  "",
  COUNTIFS('발전사업(A)'!C:C, $E$1, '발전사업(A)'!G:G, B111, '발전사업(A)'!X:X, B117, '발전사업(A)'!U:U, $D$1)
  + COUNTIFS('자가소비(B)'!C:C, $E$1, '자가소비(B)'!G:G, B111, '자가소비(B)'!X:X, B117, '자가소비(B)'!U:U, $D$1)
  + COUNTIFS('PPA 사업(C)'!C:C, $E$1, 'PPA 사업(C)'!G:G, B111, 'PPA 사업(C)'!X:X, B117, 'PPA 사업(C)'!U:U, $D$1)
  + COUNTIFS('리스사업(D)'!C:C, $E$1, '리스사업(D)'!G:G, B111, '리스사업(D)'!X:X, B117, '리스사업(D)'!U:U, $D$1)
  + COUNTIFS('임대사업(E)'!C:C, $E$1, '임대사업(E)'!G:G, B111, '임대사업(E)'!X:X, B117, '임대사업(E)'!U:U, $D$1)
  + COUNTIFS('환경부사업(F)'!C:C, $E$1, '환경부사업(F)'!G:G, B111, '환경부사업(F)'!X:X, B117, '환경부사업(F)'!U:U, $D$1)
  + COUNTIFS('프로젝트(G)'!C:C, $E$1, '프로젝트(G)'!G:G, B111, '프로젝트(G)'!X:X, B117, '프로젝트(G)'!U:U, $D$1)
  + COUNTIFS('협력사 EPC(H)'!C:C, $E$1, '협력사 EPC(H)'!G:G, B111, '협력사 EPC(H)'!X:X, B117, '협력사 EPC(H)'!U:U, $D$1)
  + COUNTIFS('기타(Z)'!C:C, $E$1, '기타(Z)'!G:G, B111, '기타(Z)'!X:X, B117, '기타(Z)'!U:U, $D$1)
)</f>
        <v/>
      </c>
    </row>
    <row r="118" spans="2:8" x14ac:dyDescent="0.25">
      <c r="B118" s="195" t="s">
        <v>157</v>
      </c>
      <c r="C118" s="262" t="str">
        <f>IF(
  SUM(
    SUMIFS('발전사업(A)'!I:I, '발전사업(A)'!C:C, $E$1, '발전사업(A)'!G:G, B111, '발전사업(A)'!X:X, B118),
    SUMIFS('자가소비(B)'!I:I, '자가소비(B)'!C:C, $E$1, '자가소비(B)'!G:G, B111, '자가소비(B)'!X:X, B118),
    SUMIFS('PPA 사업(C)'!I:I, 'PPA 사업(C)'!C:C, $E$1, 'PPA 사업(C)'!G:G, B111, 'PPA 사업(C)'!X:X, B118),
    SUMIFS('리스사업(D)'!I:I, '리스사업(D)'!C:C, $E$1, '리스사업(D)'!G:G, B111, '리스사업(D)'!X:X, B118),
    SUMIFS('임대사업(E)'!I:I, '임대사업(E)'!C:C, $E$1, '임대사업(E)'!G:G, B111, '임대사업(E)'!X:X, B118),
    SUMIFS('환경부사업(F)'!I:I, '환경부사업(F)'!C:C, $E$1, '환경부사업(F)'!G:G, B111, '환경부사업(F)'!X:X, B118),
    SUMIFS('프로젝트(G)'!I:I, '프로젝트(G)'!C:C, $E$1, '프로젝트(G)'!G:G, B111, '프로젝트(G)'!X:X, B118),
    SUMIFS('협력사 EPC(H)'!I:I, '협력사 EPC(H)'!C:C, $E$1, '협력사 EPC(H)'!G:G, B111, '협력사 EPC(H)'!X:X, B118),
    SUMIFS('기타(Z)'!I:I, '기타(Z)'!C:C, $E$1, '기타(Z)'!G:G, B111, '기타(Z)'!X:X, B118)
  ) = 0,
  "",
  SUMIFS('발전사업(A)'!I:I, '발전사업(A)'!C:C, $E$1, '발전사업(A)'!G:G, B111, '발전사업(A)'!X:X, B118)
  + SUMIFS('자가소비(B)'!I:I, '자가소비(B)'!C:C, $E$1, '자가소비(B)'!G:G, B111, '자가소비(B)'!X:X, B118)
  + SUMIFS('PPA 사업(C)'!I:I, 'PPA 사업(C)'!C:C, $E$1, 'PPA 사업(C)'!G:G, B111, 'PPA 사업(C)'!X:X, B118)
  + SUMIFS('리스사업(D)'!I:I, '리스사업(D)'!C:C, $E$1, '리스사업(D)'!G:G, B111, '리스사업(D)'!X:X, B118)
  + SUMIFS('임대사업(E)'!I:I, '임대사업(E)'!C:C, $E$1, '임대사업(E)'!G:G, B111, '임대사업(E)'!X:X, B118)
  + SUMIFS('환경부사업(F)'!I:I, '환경부사업(F)'!C:C, $E$1, '환경부사업(F)'!G:G, B111, '환경부사업(F)'!X:X, B118)
  + SUMIFS('프로젝트(G)'!I:I, '프로젝트(G)'!C:C, $E$1, '프로젝트(G)'!G:G, B111, '프로젝트(G)'!X:X, B118)
  + SUMIFS('협력사 EPC(H)'!I:I, '협력사 EPC(H)'!C:C, $E$1, '협력사 EPC(H)'!G:G, B111, '협력사 EPC(H)'!X:X, B118)
  + SUMIFS('기타(Z)'!I:I, '기타(Z)'!C:C, $E$1, '기타(Z)'!G:G, B111, '기타(Z)'!X:X, B118)
)</f>
        <v/>
      </c>
      <c r="D118" s="263" t="str">
        <f>IF(
  COUNTIFS('발전사업(A)'!C:C, $E$1, '발전사업(A)'!G:G, B111, '발전사업(A)'!X:X, B118)
  + COUNTIFS('자가소비(B)'!C:C, $E$1, '자가소비(B)'!G:G, B111, '자가소비(B)'!X:X, B118)
  + COUNTIFS('PPA 사업(C)'!C:C, $E$1, 'PPA 사업(C)'!G:G, B111, 'PPA 사업(C)'!X:X, B118)
  + COUNTIFS('리스사업(D)'!C:C, $E$1, '리스사업(D)'!G:G, B111, '리스사업(D)'!X:X, B118)
  + COUNTIFS('임대사업(E)'!C:C, $E$1, '임대사업(E)'!G:G, B111, '임대사업(E)'!X:X, B118)
  + COUNTIFS('환경부사업(F)'!C:C, $E$1, '환경부사업(F)'!G:G, B111, '환경부사업(F)'!X:X, B118)
  + COUNTIFS('프로젝트(G)'!C:C, $E$1, '프로젝트(G)'!G:G, B111, '프로젝트(G)'!X:X, B118)
  + COUNTIFS('협력사 EPC(H)'!C:C, $E$1, '협력사 EPC(H)'!G:G, B111, '협력사 EPC(H)'!X:X, B118)
  + COUNTIFS('기타(Z)'!C:C, $E$1, '기타(Z)'!G:G, B111, '기타(Z)'!X:X, B118)
  = 0,
  "",
  COUNTIFS('발전사업(A)'!C:C, $E$1, '발전사업(A)'!G:G, B111, '발전사업(A)'!X:X, B118)
  + COUNTIFS('자가소비(B)'!C:C, $E$1, '자가소비(B)'!G:G, B111, '자가소비(B)'!X:X, B118)
  + COUNTIFS('PPA 사업(C)'!C:C, $E$1, 'PPA 사업(C)'!G:G, B111, 'PPA 사업(C)'!X:X, B118)
  + COUNTIFS('리스사업(D)'!C:C, $E$1, '리스사업(D)'!G:G, B111, '리스사업(D)'!X:X, B118)
  + COUNTIFS('임대사업(E)'!C:C, $E$1, '임대사업(E)'!G:G, B111, '임대사업(E)'!X:X, B118)
  + COUNTIFS('환경부사업(F)'!C:C, $E$1, '환경부사업(F)'!G:G, B111, '환경부사업(F)'!X:X, B118)
  + COUNTIFS('프로젝트(G)'!C:C, $E$1, '프로젝트(G)'!G:G, B111, '프로젝트(G)'!X:X, B118)
  + COUNTIFS('협력사 EPC(H)'!C:C, $E$1, '협력사 EPC(H)'!G:G, B111, '협력사 EPC(H)'!X:X, B118)
  + COUNTIFS('기타(Z)'!C:C, $E$1, '기타(Z)'!G:G, B111, '기타(Z)'!X:X, B118)
)</f>
        <v/>
      </c>
      <c r="E118" s="262" t="str">
        <f>IF(
  SUM(
    SUMIFS('발전사업(A)'!I:I, '발전사업(A)'!C:C, $E$1, '발전사업(A)'!G:G, B111, '발전사업(A)'!X:X, B118, '발전사업(A)'!U:U, $C$1),
    SUMIFS('자가소비(B)'!I:I, '자가소비(B)'!C:C, $E$1, '자가소비(B)'!G:G, B111, '자가소비(B)'!X:X, B118, '자가소비(B)'!U:U, $C$1),
    SUMIFS('PPA 사업(C)'!I:I, 'PPA 사업(C)'!C:C, $E$1, 'PPA 사업(C)'!G:G, B111, 'PPA 사업(C)'!X:X, B118, 'PPA 사업(C)'!U:U, $C$1),
    SUMIFS('리스사업(D)'!I:I, '리스사업(D)'!C:C, $E$1, '리스사업(D)'!G:G, B111, '리스사업(D)'!X:X, B118, '리스사업(D)'!U:U, $C$1),
    SUMIFS('임대사업(E)'!I:I, '임대사업(E)'!C:C, $E$1, '임대사업(E)'!G:G, B111, '임대사업(E)'!X:X, B118, '임대사업(E)'!U:U, $C$1),
    SUMIFS('환경부사업(F)'!I:I, '환경부사업(F)'!C:C, $E$1, '환경부사업(F)'!G:G, B111, '환경부사업(F)'!X:X, B118, '환경부사업(F)'!U:U, $C$1),
    SUMIFS('프로젝트(G)'!I:I, '프로젝트(G)'!C:C, $E$1, '프로젝트(G)'!G:G, B111, '프로젝트(G)'!X:X, B118, '프로젝트(G)'!U:U, $C$1),
    SUMIFS('협력사 EPC(H)'!I:I, '협력사 EPC(H)'!C:C, $E$1, '협력사 EPC(H)'!G:G, B111, '협력사 EPC(H)'!X:X, B118, '협력사 EPC(H)'!U:U, $C$1),
    SUMIFS('기타(Z)'!I:I, '기타(Z)'!C:C, $E$1, '기타(Z)'!G:G, B111, '기타(Z)'!X:X, B118, '기타(Z)'!U:U, $C$1)
  ) = 0,
  "",
  SUM(
    SUMIFS('발전사업(A)'!I:I, '발전사업(A)'!C:C, $E$1, '발전사업(A)'!G:G, B111, '발전사업(A)'!X:X, B118, '발전사업(A)'!U:U, $C$1),
    SUMIFS('자가소비(B)'!I:I, '자가소비(B)'!C:C, $E$1, '자가소비(B)'!G:G, B111, '자가소비(B)'!X:X, B118, '자가소비(B)'!U:U, $C$1),
    SUMIFS('PPA 사업(C)'!I:I, 'PPA 사업(C)'!C:C, $E$1, 'PPA 사업(C)'!G:G, B111, 'PPA 사업(C)'!X:X, B118, 'PPA 사업(C)'!U:U, $C$1),
    SUMIFS('리스사업(D)'!I:I, '리스사업(D)'!C:C, $E$1, '리스사업(D)'!G:G, B111, '리스사업(D)'!X:X, B118, '리스사업(D)'!U:U, $C$1),
    SUMIFS('임대사업(E)'!I:I, '임대사업(E)'!C:C, $E$1, '임대사업(E)'!G:G, B111, '임대사업(E)'!X:X, B118, '임대사업(E)'!U:U, $C$1),
    SUMIFS('환경부사업(F)'!I:I, '환경부사업(F)'!C:C, $E$1, '환경부사업(F)'!G:G, B111, '환경부사업(F)'!X:X, B118, '환경부사업(F)'!U:U, $C$1),
    SUMIFS('프로젝트(G)'!I:I, '프로젝트(G)'!C:C, $E$1, '프로젝트(G)'!G:G, B111, '프로젝트(G)'!X:X, B118, '프로젝트(G)'!U:U, $C$1),
    SUMIFS('협력사 EPC(H)'!I:I, '협력사 EPC(H)'!C:C, $E$1, '협력사 EPC(H)'!G:G, B111, '협력사 EPC(H)'!X:X, B118, '협력사 EPC(H)'!U:U, $C$1),
    SUMIFS('기타(Z)'!I:I, '기타(Z)'!C:C, $E$1, '기타(Z)'!G:G, B111, '기타(Z)'!X:X, B118, '기타(Z)'!U:U, $C$1)
  )
)</f>
        <v/>
      </c>
      <c r="F118" s="263" t="str">
        <f>IF(
  SUM(
    COUNTIFS('발전사업(A)'!C:C, $E$1, '발전사업(A)'!G:G, B111, '발전사업(A)'!X:X, B118, '발전사업(A)'!U:U, $C$1),
    COUNTIFS('자가소비(B)'!C:C, $E$1, '자가소비(B)'!G:G, B111, '자가소비(B)'!X:X, B118, '자가소비(B)'!U:U, $C$1),
    COUNTIFS('PPA 사업(C)'!C:C, $E$1, 'PPA 사업(C)'!G:G, B111, 'PPA 사업(C)'!X:X, B118, 'PPA 사업(C)'!U:U, $C$1),
    COUNTIFS('리스사업(D)'!C:C, $E$1, '리스사업(D)'!G:G, B111, '리스사업(D)'!X:X, B118, '리스사업(D)'!U:U, $C$1),
    COUNTIFS('임대사업(E)'!C:C, $E$1, '임대사업(E)'!G:G, B111, '임대사업(E)'!X:X, B118, '임대사업(E)'!U:U, $C$1),
    COUNTIFS('환경부사업(F)'!C:C, $E$1, '환경부사업(F)'!G:G, B111, '환경부사업(F)'!X:X, B118, '환경부사업(F)'!U:U, $C$1),
    COUNTIFS('프로젝트(G)'!C:C, $E$1, '프로젝트(G)'!G:G, B111, '프로젝트(G)'!X:X, B118, '프로젝트(G)'!U:U, $C$1),
    COUNTIFS('협력사 EPC(H)'!C:C, $E$1, '협력사 EPC(H)'!G:G, B111, '협력사 EPC(H)'!X:X, B118, '협력사 EPC(H)'!U:U, $C$1),
    COUNTIFS('기타(Z)'!C:C, $E$1, '기타(Z)'!G:G, B111, '기타(Z)'!X:X, B118, '기타(Z)'!U:U, $C$1)
  ) = 0,
  "",
  SUM(
    COUNTIFS('발전사업(A)'!C:C, $E$1, '발전사업(A)'!G:G, B111, '발전사업(A)'!X:X, B118, '발전사업(A)'!U:U, $C$1),
    COUNTIFS('자가소비(B)'!C:C, $E$1, '자가소비(B)'!G:G, B111, '자가소비(B)'!X:X, B118, '자가소비(B)'!U:U, $C$1),
    COUNTIFS('PPA 사업(C)'!C:C, $E$1, 'PPA 사업(C)'!G:G, B111, 'PPA 사업(C)'!X:X, B118, 'PPA 사업(C)'!U:U, $C$1),
    COUNTIFS('리스사업(D)'!C:C, $E$1, '리스사업(D)'!G:G, B111, '리스사업(D)'!X:X, B118, '리스사업(D)'!U:U, $C$1),
    COUNTIFS('임대사업(E)'!C:C, $E$1, '임대사업(E)'!G:G, B111, '임대사업(E)'!X:X, B118, '임대사업(E)'!U:U, $C$1),
    COUNTIFS('환경부사업(F)'!C:C, $E$1, '환경부사업(F)'!G:G, B111, '환경부사업(F)'!X:X, B118, '환경부사업(F)'!U:U, $C$1),
    COUNTIFS('프로젝트(G)'!C:C, $E$1, '프로젝트(G)'!G:G, B111, '프로젝트(G)'!X:X, B118, '프로젝트(G)'!U:U, $C$1),
    COUNTIFS('협력사 EPC(H)'!C:C, $E$1, '협력사 EPC(H)'!G:G, B111, '협력사 EPC(H)'!X:X, B118, '협력사 EPC(H)'!U:U, $C$1),
    COUNTIFS('기타(Z)'!C:C, $E$1, '기타(Z)'!G:G, B111, '기타(Z)'!X:X, B118, '기타(Z)'!U:U, $C$1)
  )
)</f>
        <v/>
      </c>
      <c r="G118" s="262" t="str">
        <f>IF(
  SUM(
    SUMIFS('발전사업(A)'!I:I, '발전사업(A)'!C:C, $E$1, '발전사업(A)'!G:G, B111, '발전사업(A)'!X:X, B118, '발전사업(A)'!U:U, $D$1),
    SUMIFS('자가소비(B)'!I:I, '자가소비(B)'!C:C, $E$1, '자가소비(B)'!G:G, B111, '자가소비(B)'!X:X, B118, '자가소비(B)'!U:U, $D$1),
    SUMIFS('PPA 사업(C)'!I:I, 'PPA 사업(C)'!C:C, $E$1, 'PPA 사업(C)'!G:G, B111, 'PPA 사업(C)'!X:X, B118, 'PPA 사업(C)'!U:U, $D$1),
    SUMIFS('리스사업(D)'!I:I, '리스사업(D)'!C:C, $E$1, '리스사업(D)'!G:G, B111, '리스사업(D)'!X:X, B118, '리스사업(D)'!U:U, $D$1),
    SUMIFS('임대사업(E)'!I:I, '임대사업(E)'!C:C, $E$1, '임대사업(E)'!G:G, B111, '임대사업(E)'!X:X, B118, '임대사업(E)'!U:U, $D$1),
    SUMIFS('환경부사업(F)'!I:I, '환경부사업(F)'!C:C, $E$1, '환경부사업(F)'!G:G, B111, '환경부사업(F)'!X:X, B118, '환경부사업(F)'!U:U, $D$1),
    SUMIFS('프로젝트(G)'!I:I, '프로젝트(G)'!C:C, $E$1, '프로젝트(G)'!G:G, B111, '프로젝트(G)'!X:X, B118, '프로젝트(G)'!U:U, $D$1),
    SUMIFS('협력사 EPC(H)'!I:I, '협력사 EPC(H)'!C:C, $E$1, '협력사 EPC(H)'!G:G, B111, '협력사 EPC(H)'!X:X, B118, '협력사 EPC(H)'!U:U, $D$1),
    SUMIFS('기타(Z)'!I:I, '기타(Z)'!C:C, $E$1, '기타(Z)'!G:G, B111, '기타(Z)'!X:X, B118, '기타(Z)'!U:U, $D$1)
  ) = 0,
  "",
  SUM(
    SUMIFS('발전사업(A)'!I:I, '발전사업(A)'!C:C, $E$1, '발전사업(A)'!G:G, B111, '발전사업(A)'!X:X, B118, '발전사업(A)'!U:U, $D$1),
    SUMIFS('자가소비(B)'!I:I, '자가소비(B)'!C:C, $E$1, '자가소비(B)'!G:G, B111, '자가소비(B)'!X:X, B118, '자가소비(B)'!U:U, $D$1),
    SUMIFS('PPA 사업(C)'!I:I, 'PPA 사업(C)'!C:C, $E$1, 'PPA 사업(C)'!G:G, B111, 'PPA 사업(C)'!X:X, B118, 'PPA 사업(C)'!U:U, $D$1),
    SUMIFS('리스사업(D)'!I:I, '리스사업(D)'!C:C, $E$1, '리스사업(D)'!G:G, B111, '리스사업(D)'!X:X, B118, '리스사업(D)'!U:U, $D$1),
    SUMIFS('임대사업(E)'!I:I, '임대사업(E)'!C:C, $E$1, '임대사업(E)'!G:G, B111, '임대사업(E)'!X:X, B118, '임대사업(E)'!U:U, $D$1),
    SUMIFS('환경부사업(F)'!I:I, '환경부사업(F)'!C:C, $E$1, '환경부사업(F)'!G:G, B111, '환경부사업(F)'!X:X, B118, '환경부사업(F)'!U:U, $D$1),
    SUMIFS('프로젝트(G)'!I:I, '프로젝트(G)'!C:C, $E$1, '프로젝트(G)'!G:G, B111, '프로젝트(G)'!X:X, B118, '프로젝트(G)'!U:U, $D$1),
    SUMIFS('협력사 EPC(H)'!I:I, '협력사 EPC(H)'!C:C, $E$1, '협력사 EPC(H)'!G:G, B111, '협력사 EPC(H)'!X:X, B118, '협력사 EPC(H)'!U:U, $D$1),
    SUMIFS('기타(Z)'!I:I, '기타(Z)'!C:C, $E$1, '기타(Z)'!G:G, B111, '기타(Z)'!X:X, B118, '기타(Z)'!U:U, $D$1)
  )
)</f>
        <v/>
      </c>
      <c r="H118" s="263" t="str">
        <f>IF(
  (
    COUNTIFS('발전사업(A)'!C:C, $E$1, '발전사업(A)'!G:G, B111, '발전사업(A)'!X:X, B118, '발전사업(A)'!U:U, $D$1)
    + COUNTIFS('자가소비(B)'!C:C, $E$1, '자가소비(B)'!G:G, B111, '자가소비(B)'!X:X, B118, '자가소비(B)'!U:U, $D$1)
    + COUNTIFS('PPA 사업(C)'!C:C, $E$1, 'PPA 사업(C)'!G:G, B111, 'PPA 사업(C)'!X:X, B118, 'PPA 사업(C)'!U:U, $D$1)
    + COUNTIFS('리스사업(D)'!C:C, $E$1, '리스사업(D)'!G:G, B111, '리스사업(D)'!X:X, B118, '리스사업(D)'!U:U, $D$1)
    + COUNTIFS('임대사업(E)'!C:C, $E$1, '임대사업(E)'!G:G, B111, '임대사업(E)'!X:X, B118, '임대사업(E)'!U:U, $D$1)
    + COUNTIFS('환경부사업(F)'!C:C, $E$1, '환경부사업(F)'!G:G, B111, '환경부사업(F)'!X:X, B118, '환경부사업(F)'!U:U, $D$1)
    + COUNTIFS('프로젝트(G)'!C:C, $E$1, '프로젝트(G)'!G:G, B111, '프로젝트(G)'!X:X, B118, '프로젝트(G)'!U:U, $D$1)
    + COUNTIFS('협력사 EPC(H)'!C:C, $E$1, '협력사 EPC(H)'!G:G, B111, '협력사 EPC(H)'!X:X, B118, '협력사 EPC(H)'!U:U, $D$1)
    + COUNTIFS('기타(Z)'!C:C, $E$1, '기타(Z)'!G:G, $B111, '기타(Z)'!X:X, B118, '기타(Z)'!U:U, $D$1)
  ) = 0,
  "",
  COUNTIFS('발전사업(A)'!C:C, $E$1, '발전사업(A)'!G:G, B111, '발전사업(A)'!X:X, B118, '발전사업(A)'!U:U, $D$1)
  + COUNTIFS('자가소비(B)'!C:C, $E$1, '자가소비(B)'!G:G, B111, '자가소비(B)'!X:X, B118, '자가소비(B)'!U:U, $D$1)
  + COUNTIFS('PPA 사업(C)'!C:C, $E$1, 'PPA 사업(C)'!G:G, B111, 'PPA 사업(C)'!X:X, B118, 'PPA 사업(C)'!U:U, $D$1)
  + COUNTIFS('리스사업(D)'!C:C, $E$1, '리스사업(D)'!G:G, B111, '리스사업(D)'!X:X, B118, '리스사업(D)'!U:U, $D$1)
  + COUNTIFS('임대사업(E)'!C:C, $E$1, '임대사업(E)'!G:G, B111, '임대사업(E)'!X:X, B118, '임대사업(E)'!U:U, $D$1)
  + COUNTIFS('환경부사업(F)'!C:C, $E$1, '환경부사업(F)'!G:G, B111, '환경부사업(F)'!X:X, B118, '환경부사업(F)'!U:U, $D$1)
  + COUNTIFS('프로젝트(G)'!C:C, $E$1, '프로젝트(G)'!G:G, B111, '프로젝트(G)'!X:X, B118, '프로젝트(G)'!U:U, $D$1)
  + COUNTIFS('협력사 EPC(H)'!C:C, $E$1, '협력사 EPC(H)'!G:G, B111, '협력사 EPC(H)'!X:X, B118, '협력사 EPC(H)'!U:U, $D$1)
  + COUNTIFS('기타(Z)'!C:C, $E$1, '기타(Z)'!G:G, B111, '기타(Z)'!X:X, B118, '기타(Z)'!U:U, $D$1)
)</f>
        <v/>
      </c>
    </row>
    <row r="119" spans="2:8" x14ac:dyDescent="0.25">
      <c r="B119" s="195" t="s">
        <v>158</v>
      </c>
      <c r="C119" s="262" t="str">
        <f>IF(
  SUM(
    SUMIFS('발전사업(A)'!I:I, '발전사업(A)'!C:C, $E$1, '발전사업(A)'!G:G, B111, '발전사업(A)'!X:X, B119),
    SUMIFS('자가소비(B)'!I:I, '자가소비(B)'!C:C, $E$1, '자가소비(B)'!G:G, B111, '자가소비(B)'!X:X, B119),
    SUMIFS('PPA 사업(C)'!I:I, 'PPA 사업(C)'!C:C, $E$1, 'PPA 사업(C)'!G:G, B111, 'PPA 사업(C)'!X:X, B119),
    SUMIFS('리스사업(D)'!I:I, '리스사업(D)'!C:C, $E$1, '리스사업(D)'!G:G, B111, '리스사업(D)'!X:X, B119),
    SUMIFS('임대사업(E)'!I:I, '임대사업(E)'!C:C, $E$1, '임대사업(E)'!G:G, B111, '임대사업(E)'!X:X, B119),
    SUMIFS('환경부사업(F)'!I:I, '환경부사업(F)'!C:C, $E$1, '환경부사업(F)'!G:G, B111, '환경부사업(F)'!X:X, B119),
    SUMIFS('프로젝트(G)'!I:I, '프로젝트(G)'!C:C, $E$1, '프로젝트(G)'!G:G, B111, '프로젝트(G)'!X:X, B119),
    SUMIFS('협력사 EPC(H)'!I:I, '협력사 EPC(H)'!C:C, $E$1, '협력사 EPC(H)'!G:G, B111, '협력사 EPC(H)'!X:X, B119),
    SUMIFS('기타(Z)'!I:I, '기타(Z)'!C:C, $E$1, '기타(Z)'!G:G, B111, '기타(Z)'!X:X, B119)
  ) = 0,
  "",
  SUMIFS('발전사업(A)'!I:I, '발전사업(A)'!C:C, $E$1, '발전사업(A)'!G:G, B111, '발전사업(A)'!X:X, B119)
  + SUMIFS('자가소비(B)'!I:I, '자가소비(B)'!C:C, $E$1, '자가소비(B)'!G:G, B111, '자가소비(B)'!X:X, B119)
  + SUMIFS('PPA 사업(C)'!I:I, 'PPA 사업(C)'!C:C, $E$1, 'PPA 사업(C)'!G:G, B111, 'PPA 사업(C)'!X:X, B119)
  + SUMIFS('리스사업(D)'!I:I, '리스사업(D)'!C:C, $E$1, '리스사업(D)'!G:G, B111, '리스사업(D)'!X:X, B119)
  + SUMIFS('임대사업(E)'!I:I, '임대사업(E)'!C:C, $E$1, '임대사업(E)'!G:G, B111, '임대사업(E)'!X:X, B119)
  + SUMIFS('환경부사업(F)'!I:I, '환경부사업(F)'!C:C, $E$1, '환경부사업(F)'!G:G, B111, '환경부사업(F)'!X:X, B119)
  + SUMIFS('프로젝트(G)'!I:I, '프로젝트(G)'!C:C, $E$1, '프로젝트(G)'!G:G, B111, '프로젝트(G)'!X:X, B119)
  + SUMIFS('협력사 EPC(H)'!I:I, '협력사 EPC(H)'!C:C, $E$1, '협력사 EPC(H)'!G:G, B111, '협력사 EPC(H)'!X:X, B119)
  + SUMIFS('기타(Z)'!I:I, '기타(Z)'!C:C, $E$1, '기타(Z)'!G:G, B111, '기타(Z)'!X:X, B119)
)</f>
        <v/>
      </c>
      <c r="D119" s="263" t="str">
        <f>IF(
  COUNTIFS('발전사업(A)'!C:C, $E$1, '발전사업(A)'!G:G, B111, '발전사업(A)'!X:X, B119)
  + COUNTIFS('자가소비(B)'!C:C, $E$1, '자가소비(B)'!G:G, B111, '자가소비(B)'!X:X, B119)
  + COUNTIFS('PPA 사업(C)'!C:C, $E$1, 'PPA 사업(C)'!G:G, B111, 'PPA 사업(C)'!X:X, B119)
  + COUNTIFS('리스사업(D)'!C:C, $E$1, '리스사업(D)'!G:G, B111, '리스사업(D)'!X:X, B119)
  + COUNTIFS('임대사업(E)'!C:C, $E$1, '임대사업(E)'!G:G, B111, '임대사업(E)'!X:X, B119)
  + COUNTIFS('환경부사업(F)'!C:C, $E$1, '환경부사업(F)'!G:G, B111, '환경부사업(F)'!X:X, B119)
  + COUNTIFS('프로젝트(G)'!C:C, $E$1, '프로젝트(G)'!G:G, B111, '프로젝트(G)'!X:X, B119)
  + COUNTIFS('협력사 EPC(H)'!C:C, $E$1, '협력사 EPC(H)'!G:G, B111, '협력사 EPC(H)'!X:X, B119)
  + COUNTIFS('기타(Z)'!C:C, $E$1, '기타(Z)'!G:G, B111, '기타(Z)'!X:X, B119)
  = 0,
  "",
  COUNTIFS('발전사업(A)'!C:C, $E$1, '발전사업(A)'!G:G, B111, '발전사업(A)'!X:X, B119)
  + COUNTIFS('자가소비(B)'!C:C, $E$1, '자가소비(B)'!G:G, B111, '자가소비(B)'!X:X, B119)
  + COUNTIFS('PPA 사업(C)'!C:C, $E$1, 'PPA 사업(C)'!G:G, B111, 'PPA 사업(C)'!X:X, B119)
  + COUNTIFS('리스사업(D)'!C:C, $E$1, '리스사업(D)'!G:G, B111, '리스사업(D)'!X:X, B119)
  + COUNTIFS('임대사업(E)'!C:C, $E$1, '임대사업(E)'!G:G, B111, '임대사업(E)'!X:X, B119)
  + COUNTIFS('환경부사업(F)'!C:C, $E$1, '환경부사업(F)'!G:G, B111, '환경부사업(F)'!X:X, B119)
  + COUNTIFS('프로젝트(G)'!C:C, $E$1, '프로젝트(G)'!G:G, B111, '프로젝트(G)'!X:X, B119)
  + COUNTIFS('협력사 EPC(H)'!C:C, $E$1, '협력사 EPC(H)'!G:G, B111, '협력사 EPC(H)'!X:X, B119)
  + COUNTIFS('기타(Z)'!C:C, $E$1, '기타(Z)'!G:G, B111, '기타(Z)'!X:X, B119)
)</f>
        <v/>
      </c>
      <c r="E119" s="262" t="str">
        <f>IF(
  SUM(
    SUMIFS('발전사업(A)'!I:I, '발전사업(A)'!C:C, $E$1, '발전사업(A)'!G:G, B111, '발전사업(A)'!X:X, B119, '발전사업(A)'!U:U, $C$1),
    SUMIFS('자가소비(B)'!I:I, '자가소비(B)'!C:C, $E$1, '자가소비(B)'!G:G, B111, '자가소비(B)'!X:X, B119, '자가소비(B)'!U:U, $C$1),
    SUMIFS('PPA 사업(C)'!I:I, 'PPA 사업(C)'!C:C, $E$1, 'PPA 사업(C)'!G:G, B111, 'PPA 사업(C)'!X:X, B119, 'PPA 사업(C)'!U:U, $C$1),
    SUMIFS('리스사업(D)'!I:I, '리스사업(D)'!C:C, $E$1, '리스사업(D)'!G:G, B111, '리스사업(D)'!X:X, B119, '리스사업(D)'!U:U, $C$1),
    SUMIFS('임대사업(E)'!I:I, '임대사업(E)'!C:C, $E$1, '임대사업(E)'!G:G, B111, '임대사업(E)'!X:X, B119, '임대사업(E)'!U:U, $C$1),
    SUMIFS('환경부사업(F)'!I:I, '환경부사업(F)'!C:C, $E$1, '환경부사업(F)'!G:G, B111, '환경부사업(F)'!X:X, B119, '환경부사업(F)'!U:U, $C$1),
    SUMIFS('프로젝트(G)'!I:I, '프로젝트(G)'!C:C, $E$1, '프로젝트(G)'!G:G, B111, '프로젝트(G)'!X:X, B119, '프로젝트(G)'!U:U, $C$1),
    SUMIFS('협력사 EPC(H)'!I:I, '협력사 EPC(H)'!C:C, $E$1, '협력사 EPC(H)'!G:G, B111, '협력사 EPC(H)'!X:X, B119, '협력사 EPC(H)'!U:U, $C$1),
    SUMIFS('기타(Z)'!I:I, '기타(Z)'!C:C, $E$1, '기타(Z)'!G:G, B111, '기타(Z)'!X:X, B119, '기타(Z)'!U:U, $C$1)
  ) = 0,
  "",
  SUM(
    SUMIFS('발전사업(A)'!I:I, '발전사업(A)'!C:C, $E$1, '발전사업(A)'!G:G, B111, '발전사업(A)'!X:X, B119, '발전사업(A)'!U:U, $C$1),
    SUMIFS('자가소비(B)'!I:I, '자가소비(B)'!C:C, $E$1, '자가소비(B)'!G:G, B111, '자가소비(B)'!X:X, B119, '자가소비(B)'!U:U, $C$1),
    SUMIFS('PPA 사업(C)'!I:I, 'PPA 사업(C)'!C:C, $E$1, 'PPA 사업(C)'!G:G, B111, 'PPA 사업(C)'!X:X, B119, 'PPA 사업(C)'!U:U, $C$1),
    SUMIFS('리스사업(D)'!I:I, '리스사업(D)'!C:C, $E$1, '리스사업(D)'!G:G, B111, '리스사업(D)'!X:X, B119, '리스사업(D)'!U:U, $C$1),
    SUMIFS('임대사업(E)'!I:I, '임대사업(E)'!C:C, $E$1, '임대사업(E)'!G:G, B111, '임대사업(E)'!X:X, B119, '임대사업(E)'!U:U, $C$1),
    SUMIFS('환경부사업(F)'!I:I, '환경부사업(F)'!C:C, $E$1, '환경부사업(F)'!G:G, B111, '환경부사업(F)'!X:X, B119, '환경부사업(F)'!U:U, $C$1),
    SUMIFS('프로젝트(G)'!I:I, '프로젝트(G)'!C:C, $E$1, '프로젝트(G)'!G:G, B111, '프로젝트(G)'!X:X, B119, '프로젝트(G)'!U:U, $C$1),
    SUMIFS('협력사 EPC(H)'!I:I, '협력사 EPC(H)'!C:C, $E$1, '협력사 EPC(H)'!G:G, B111, '협력사 EPC(H)'!X:X, B119, '협력사 EPC(H)'!U:U, $C$1),
    SUMIFS('기타(Z)'!I:I, '기타(Z)'!C:C, $E$1, '기타(Z)'!G:G, B111, '기타(Z)'!X:X, B119, '기타(Z)'!U:U, $C$1)
  )
)</f>
        <v/>
      </c>
      <c r="F119" s="263" t="str">
        <f>IF(
  SUM(
    COUNTIFS('발전사업(A)'!C:C, $E$1, '발전사업(A)'!G:G, B111, '발전사업(A)'!X:X, B119, '발전사업(A)'!U:U, $C$1),
    COUNTIFS('자가소비(B)'!C:C, $E$1, '자가소비(B)'!G:G, B111, '자가소비(B)'!X:X, B119, '자가소비(B)'!U:U, $C$1),
    COUNTIFS('PPA 사업(C)'!C:C, $E$1, 'PPA 사업(C)'!G:G, B111, 'PPA 사업(C)'!X:X, B119, 'PPA 사업(C)'!U:U, $C$1),
    COUNTIFS('리스사업(D)'!C:C, $E$1, '리스사업(D)'!G:G, B111, '리스사업(D)'!X:X, B119, '리스사업(D)'!U:U, $C$1),
    COUNTIFS('임대사업(E)'!C:C, $E$1, '임대사업(E)'!G:G, B111, '임대사업(E)'!X:X, B119, '임대사업(E)'!U:U, $C$1),
    COUNTIFS('환경부사업(F)'!C:C, $E$1, '환경부사업(F)'!G:G, B111, '환경부사업(F)'!X:X, B119, '환경부사업(F)'!U:U, $C$1),
    COUNTIFS('프로젝트(G)'!C:C, $E$1, '프로젝트(G)'!G:G, B111, '프로젝트(G)'!X:X, B119, '프로젝트(G)'!U:U, $C$1),
    COUNTIFS('협력사 EPC(H)'!C:C, $E$1, '협력사 EPC(H)'!G:G, B111, '협력사 EPC(H)'!X:X, B119, '협력사 EPC(H)'!U:U, $C$1),
    COUNTIFS('기타(Z)'!C:C, $E$1, '기타(Z)'!G:G, B111, '기타(Z)'!X:X, B119, '기타(Z)'!U:U, $C$1)
  ) = 0,
  "",
  SUM(
    COUNTIFS('발전사업(A)'!C:C, $E$1, '발전사업(A)'!G:G, B111, '발전사업(A)'!X:X, B119, '발전사업(A)'!U:U, $C$1),
    COUNTIFS('자가소비(B)'!C:C, $E$1, '자가소비(B)'!G:G, B111, '자가소비(B)'!X:X, B119, '자가소비(B)'!U:U, $C$1),
    COUNTIFS('PPA 사업(C)'!C:C, $E$1, 'PPA 사업(C)'!G:G, B111, 'PPA 사업(C)'!X:X, B119, 'PPA 사업(C)'!U:U, $C$1),
    COUNTIFS('리스사업(D)'!C:C, $E$1, '리스사업(D)'!G:G, B111, '리스사업(D)'!X:X, B119, '리스사업(D)'!U:U, $C$1),
    COUNTIFS('임대사업(E)'!C:C, $E$1, '임대사업(E)'!G:G, B111, '임대사업(E)'!X:X, B119, '임대사업(E)'!U:U, $C$1),
    COUNTIFS('환경부사업(F)'!C:C, $E$1, '환경부사업(F)'!G:G, B111, '환경부사업(F)'!X:X, B119, '환경부사업(F)'!U:U, $C$1),
    COUNTIFS('프로젝트(G)'!C:C, $E$1, '프로젝트(G)'!G:G, B111, '프로젝트(G)'!X:X, B119, '프로젝트(G)'!U:U, $C$1),
    COUNTIFS('협력사 EPC(H)'!C:C, $E$1, '협력사 EPC(H)'!G:G, B111, '협력사 EPC(H)'!X:X, B119, '협력사 EPC(H)'!U:U, $C$1),
    COUNTIFS('기타(Z)'!C:C, $E$1, '기타(Z)'!G:G, B111, '기타(Z)'!X:X, B119, '기타(Z)'!U:U, $C$1)
  )
)</f>
        <v/>
      </c>
      <c r="G119" s="262" t="str">
        <f>IF(
  SUM(
    SUMIFS('발전사업(A)'!I:I, '발전사업(A)'!C:C, $E$1, '발전사업(A)'!G:G, B111, '발전사업(A)'!X:X, B119, '발전사업(A)'!U:U, $D$1),
    SUMIFS('자가소비(B)'!I:I, '자가소비(B)'!C:C, $E$1, '자가소비(B)'!G:G, B111, '자가소비(B)'!X:X, B119, '자가소비(B)'!U:U, $D$1),
    SUMIFS('PPA 사업(C)'!I:I, 'PPA 사업(C)'!C:C, $E$1, 'PPA 사업(C)'!G:G, B111, 'PPA 사업(C)'!X:X, B119, 'PPA 사업(C)'!U:U, $D$1),
    SUMIFS('리스사업(D)'!I:I, '리스사업(D)'!C:C, $E$1, '리스사업(D)'!G:G, B111, '리스사업(D)'!X:X, B119, '리스사업(D)'!U:U, $D$1),
    SUMIFS('임대사업(E)'!I:I, '임대사업(E)'!C:C, $E$1, '임대사업(E)'!G:G, B111, '임대사업(E)'!X:X, B119, '임대사업(E)'!U:U, $D$1),
    SUMIFS('환경부사업(F)'!I:I, '환경부사업(F)'!C:C, $E$1, '환경부사업(F)'!G:G, B111, '환경부사업(F)'!X:X, B119, '환경부사업(F)'!U:U, $D$1),
    SUMIFS('프로젝트(G)'!I:I, '프로젝트(G)'!C:C, $E$1, '프로젝트(G)'!G:G, B111, '프로젝트(G)'!X:X, B119, '프로젝트(G)'!U:U, $D$1),
    SUMIFS('협력사 EPC(H)'!I:I, '협력사 EPC(H)'!C:C, $E$1, '협력사 EPC(H)'!G:G, B111, '협력사 EPC(H)'!X:X, B119, '협력사 EPC(H)'!U:U, $D$1),
    SUMIFS('기타(Z)'!I:I, '기타(Z)'!C:C, $E$1, '기타(Z)'!G:G, B111, '기타(Z)'!X:X, B119, '기타(Z)'!U:U, $D$1)
  ) = 0,
  "",
  SUM(
    SUMIFS('발전사업(A)'!I:I, '발전사업(A)'!C:C, $E$1, '발전사업(A)'!G:G, B111, '발전사업(A)'!X:X, B119, '발전사업(A)'!U:U, $D$1),
    SUMIFS('자가소비(B)'!I:I, '자가소비(B)'!C:C, $E$1, '자가소비(B)'!G:G, B111, '자가소비(B)'!X:X, B119, '자가소비(B)'!U:U, $D$1),
    SUMIFS('PPA 사업(C)'!I:I, 'PPA 사업(C)'!C:C, $E$1, 'PPA 사업(C)'!G:G, B111, 'PPA 사업(C)'!X:X, B119, 'PPA 사업(C)'!U:U, $D$1),
    SUMIFS('리스사업(D)'!I:I, '리스사업(D)'!C:C, $E$1, '리스사업(D)'!G:G, B111, '리스사업(D)'!X:X, B119, '리스사업(D)'!U:U, $D$1),
    SUMIFS('임대사업(E)'!I:I, '임대사업(E)'!C:C, $E$1, '임대사업(E)'!G:G, B111, '임대사업(E)'!X:X, B119, '임대사업(E)'!U:U, $D$1),
    SUMIFS('환경부사업(F)'!I:I, '환경부사업(F)'!C:C, $E$1, '환경부사업(F)'!G:G, B111, '환경부사업(F)'!X:X, B119, '환경부사업(F)'!U:U, $D$1),
    SUMIFS('프로젝트(G)'!I:I, '프로젝트(G)'!C:C, $E$1, '프로젝트(G)'!G:G, B111, '프로젝트(G)'!X:X, B119, '프로젝트(G)'!U:U, $D$1),
    SUMIFS('협력사 EPC(H)'!I:I, '협력사 EPC(H)'!C:C, $E$1, '협력사 EPC(H)'!G:G, B111, '협력사 EPC(H)'!X:X, B119, '협력사 EPC(H)'!U:U, $D$1),
    SUMIFS('기타(Z)'!I:I, '기타(Z)'!C:C, $E$1, '기타(Z)'!G:G, B111, '기타(Z)'!X:X, B119, '기타(Z)'!U:U, $D$1)
  )
)</f>
        <v/>
      </c>
      <c r="H119" s="263" t="str">
        <f>IF(
  (
    COUNTIFS('발전사업(A)'!C:C, $E$1, '발전사업(A)'!G:G, B111, '발전사업(A)'!X:X, B119, '발전사업(A)'!U:U, $D$1)
    + COUNTIFS('자가소비(B)'!C:C, $E$1, '자가소비(B)'!G:G, B111, '자가소비(B)'!X:X, B119, '자가소비(B)'!U:U, $D$1)
    + COUNTIFS('PPA 사업(C)'!C:C, $E$1, 'PPA 사업(C)'!G:G, B111, 'PPA 사업(C)'!X:X, B119, 'PPA 사업(C)'!U:U, $D$1)
    + COUNTIFS('리스사업(D)'!C:C, $E$1, '리스사업(D)'!G:G, B111, '리스사업(D)'!X:X, B119, '리스사업(D)'!U:U, $D$1)
    + COUNTIFS('임대사업(E)'!C:C, $E$1, '임대사업(E)'!G:G, B111, '임대사업(E)'!X:X, B119, '임대사업(E)'!U:U, $D$1)
    + COUNTIFS('환경부사업(F)'!C:C, $E$1, '환경부사업(F)'!G:G, B111, '환경부사업(F)'!X:X, B119, '환경부사업(F)'!U:U, $D$1)
    + COUNTIFS('프로젝트(G)'!C:C, $E$1, '프로젝트(G)'!G:G, B111, '프로젝트(G)'!X:X, B119, '프로젝트(G)'!U:U, $D$1)
    + COUNTIFS('협력사 EPC(H)'!C:C, $E$1, '협력사 EPC(H)'!G:G, B111, '협력사 EPC(H)'!X:X, B119, '협력사 EPC(H)'!U:U, $D$1)
    + COUNTIFS('기타(Z)'!C:C, $E$1, '기타(Z)'!G:G, B111, '기타(Z)'!X:X, B119, '기타(Z)'!U:U, $D$1)
  ) = 0,
  "",
  COUNTIFS('발전사업(A)'!C:C, $E$1, '발전사업(A)'!G:G, B111, '발전사업(A)'!X:X, B119, '발전사업(A)'!U:U, $D$1)
  + COUNTIFS('자가소비(B)'!C:C, $E$1, '자가소비(B)'!G:G, B111, '자가소비(B)'!X:X, B119, '자가소비(B)'!U:U, $D$1)
  + COUNTIFS('PPA 사업(C)'!C:C, $E$1, 'PPA 사업(C)'!G:G, B111, 'PPA 사업(C)'!X:X, B119, 'PPA 사업(C)'!U:U, $D$1)
  + COUNTIFS('리스사업(D)'!C:C, $E$1, '리스사업(D)'!G:G, B111, '리스사업(D)'!X:X, B119, '리스사업(D)'!U:U, $D$1)
  + COUNTIFS('임대사업(E)'!C:C, $E$1, '임대사업(E)'!G:G, B111, '임대사업(E)'!X:X, B119, '임대사업(E)'!U:U, $D$1)
  + COUNTIFS('환경부사업(F)'!C:C, $E$1, '환경부사업(F)'!G:G, B111, '환경부사업(F)'!X:X, B119, '환경부사업(F)'!U:U, $D$1)
  + COUNTIFS('프로젝트(G)'!C:C, $E$1, '프로젝트(G)'!G:G, B111, '프로젝트(G)'!X:X, B119, '프로젝트(G)'!U:U, $D$1)
  + COUNTIFS('협력사 EPC(H)'!C:C, $E$1, '협력사 EPC(H)'!G:G, B111, '협력사 EPC(H)'!X:X, B119, '협력사 EPC(H)'!U:U, $D$1)
  + COUNTIFS('기타(Z)'!C:C, $E$1, '기타(Z)'!G:G, B111, '기타(Z)'!X:X, B119, '기타(Z)'!U:U, $D$1)
)</f>
        <v/>
      </c>
    </row>
    <row r="120" spans="2:8" ht="16.5" x14ac:dyDescent="0.25">
      <c r="B120" s="274" t="s">
        <v>174</v>
      </c>
      <c r="C120" s="268">
        <f t="shared" ref="C120:H120" si="16">SUM(C112:C119)</f>
        <v>4913.7400000000007</v>
      </c>
      <c r="D120" s="269">
        <f t="shared" si="16"/>
        <v>10</v>
      </c>
      <c r="E120" s="270">
        <f t="shared" si="16"/>
        <v>4488.04</v>
      </c>
      <c r="F120" s="271">
        <f t="shared" si="16"/>
        <v>7</v>
      </c>
      <c r="G120" s="272">
        <f t="shared" si="16"/>
        <v>425.69999999999993</v>
      </c>
      <c r="H120" s="273">
        <f t="shared" si="16"/>
        <v>3</v>
      </c>
    </row>
    <row r="123" spans="2:8" ht="17.25" x14ac:dyDescent="0.25">
      <c r="B123" s="264">
        <v>10</v>
      </c>
      <c r="C123" s="265" t="s">
        <v>176</v>
      </c>
      <c r="D123" s="265" t="s">
        <v>175</v>
      </c>
      <c r="E123" s="266" t="s">
        <v>177</v>
      </c>
      <c r="F123" s="266" t="s">
        <v>178</v>
      </c>
      <c r="G123" s="267" t="s">
        <v>179</v>
      </c>
      <c r="H123" s="267" t="s">
        <v>180</v>
      </c>
    </row>
    <row r="124" spans="2:8" x14ac:dyDescent="0.25">
      <c r="B124" s="195" t="s">
        <v>160</v>
      </c>
      <c r="C124" s="262" t="str">
        <f>IF(
  SUM(
    SUMIFS('발전사업(A)'!I:I, '발전사업(A)'!C:C, $E$1, '발전사업(A)'!G:G, B123, '발전사업(A)'!X:X, B124),
    SUMIFS('자가소비(B)'!I:I, '자가소비(B)'!C:C, $E$1, '자가소비(B)'!G:G, B123, '자가소비(B)'!X:X, B124),
    SUMIFS('PPA 사업(C)'!I:I, 'PPA 사업(C)'!C:C, $E$1, 'PPA 사업(C)'!G:G, B123, 'PPA 사업(C)'!X:X, B124),
    SUMIFS('리스사업(D)'!I:I, '리스사업(D)'!C:C, $E$1, '리스사업(D)'!G:G, B123, '리스사업(D)'!X:X, B124),
    SUMIFS('임대사업(E)'!I:I, '임대사업(E)'!C:C, $E$1, '임대사업(E)'!G:G, B123, '임대사업(E)'!X:X, B124),
    SUMIFS('환경부사업(F)'!I:I, '환경부사업(F)'!C:C, $E$1, '환경부사업(F)'!G:G, B123, '환경부사업(F)'!X:X, B124),
    SUMIFS('프로젝트(G)'!I:I, '프로젝트(G)'!C:C, $E$1, '프로젝트(G)'!G:G, B123, '프로젝트(G)'!X:X, B124),
    SUMIFS('협력사 EPC(H)'!I:I, '협력사 EPC(H)'!C:C, $E$1, '협력사 EPC(H)'!G:G, B123, '협력사 EPC(H)'!X:X, B124),
    SUMIFS('기타(Z)'!I:I, '기타(Z)'!C:C, $E$1, '기타(Z)'!G:G, B123, '기타(Z)'!X:X, B124)
  ) = 0,
  "",
  SUMIFS('발전사업(A)'!I:I, '발전사업(A)'!C:C, $E$1, '발전사업(A)'!G:G, B123, '발전사업(A)'!X:X, B124)
  + SUMIFS('자가소비(B)'!I:I, '자가소비(B)'!C:C, $E$1, '자가소비(B)'!G:G, B123, '자가소비(B)'!X:X, B124)
  + SUMIFS('PPA 사업(C)'!I:I, 'PPA 사업(C)'!C:C, $E$1, 'PPA 사업(C)'!G:G, B123, 'PPA 사업(C)'!X:X, B124)
  + SUMIFS('리스사업(D)'!I:I, '리스사업(D)'!C:C, $E$1, '리스사업(D)'!G:G, B123, '리스사업(D)'!X:X, B124)
  + SUMIFS('임대사업(E)'!I:I, '임대사업(E)'!C:C, $E$1, '임대사업(E)'!G:G, B123, '임대사업(E)'!X:X, B124)
  + SUMIFS('환경부사업(F)'!I:I, '환경부사업(F)'!C:C, $E$1, '환경부사업(F)'!G:G, B123, '환경부사업(F)'!X:X, B124)
  + SUMIFS('프로젝트(G)'!I:I, '프로젝트(G)'!C:C, $E$1, '프로젝트(G)'!G:G, B123, '프로젝트(G)'!X:X, B124)
  + SUMIFS('협력사 EPC(H)'!I:I, '협력사 EPC(H)'!C:C, $E$1, '협력사 EPC(H)'!G:G, B123, '협력사 EPC(H)'!X:X, B124)
  + SUMIFS('기타(Z)'!I:I, '기타(Z)'!C:C, $E$1, '기타(Z)'!G:G, B123, '기타(Z)'!X:X, B124)
)</f>
        <v/>
      </c>
      <c r="D124" s="263" t="str">
        <f>IF(
  COUNTIFS('발전사업(A)'!C:C, $E$1, '발전사업(A)'!G:G, B123, '발전사업(A)'!X:X, B124)
  + COUNTIFS('자가소비(B)'!C:C, $E$1, '자가소비(B)'!G:G, B123, '자가소비(B)'!X:X, B124)
  + COUNTIFS('PPA 사업(C)'!C:C, $E$1, 'PPA 사업(C)'!G:G, B123, 'PPA 사업(C)'!X:X, B124)
  + COUNTIFS('리스사업(D)'!C:C, $E$1, '리스사업(D)'!G:G, B123, '리스사업(D)'!X:X, B124)
  + COUNTIFS('임대사업(E)'!C:C, $E$1, '임대사업(E)'!G:G, B123, '임대사업(E)'!X:X, B124)
  + COUNTIFS('환경부사업(F)'!C:C, $E$1, '환경부사업(F)'!G:G, B123, '환경부사업(F)'!X:X, B124)
  + COUNTIFS('프로젝트(G)'!C:C, $E$1, '프로젝트(G)'!G:G, B123, '프로젝트(G)'!X:X, B124)
  + COUNTIFS('협력사 EPC(H)'!C:C, $E$1, '협력사 EPC(H)'!G:G, B123, '협력사 EPC(H)'!X:X, B124)
  + COUNTIFS('기타(Z)'!C:C, $E$1, '기타(Z)'!G:G, B123, '기타(Z)'!X:X, B124)
  = 0,
  "",
  COUNTIFS('발전사업(A)'!C:C, $E$1, '발전사업(A)'!G:G, B123, '발전사업(A)'!X:X, B124)
  + COUNTIFS('자가소비(B)'!C:C, $E$1, '자가소비(B)'!G:G, B123, '자가소비(B)'!X:X, B124)
  + COUNTIFS('PPA 사업(C)'!C:C, $E$1, 'PPA 사업(C)'!G:G, B123, 'PPA 사업(C)'!X:X, B124)
  + COUNTIFS('리스사업(D)'!C:C, $E$1, '리스사업(D)'!G:G, B123, '리스사업(D)'!X:X, B124)
  + COUNTIFS('임대사업(E)'!C:C, $E$1, '임대사업(E)'!G:G, B123, '임대사업(E)'!X:X, B124)
  + COUNTIFS('환경부사업(F)'!C:C, $E$1, '환경부사업(F)'!G:G, B123, '환경부사업(F)'!X:X, B124)
  + COUNTIFS('프로젝트(G)'!C:C, $E$1, '프로젝트(G)'!G:G, B123, '프로젝트(G)'!X:X, B124)
  + COUNTIFS('협력사 EPC(H)'!C:C, $E$1, '협력사 EPC(H)'!G:G, B123, '협력사 EPC(H)'!X:X, B124)
  + COUNTIFS('기타(Z)'!C:C, $E$1, '기타(Z)'!G:G, B123, '기타(Z)'!X:X, B124)
)</f>
        <v/>
      </c>
      <c r="E124" s="262" t="str">
        <f>IF(
  SUM(
    SUMIFS('발전사업(A)'!I:I, '발전사업(A)'!C:C, $E$1, '발전사업(A)'!G:G, B123, '발전사업(A)'!X:X, B124, '발전사업(A)'!U:U, $C$1),
    SUMIFS('자가소비(B)'!I:I, '자가소비(B)'!C:C, $E$1, '자가소비(B)'!G:G, B123, '자가소비(B)'!X:X, B124, '자가소비(B)'!U:U, $C$1),
    SUMIFS('PPA 사업(C)'!I:I, 'PPA 사업(C)'!C:C, $E$1, 'PPA 사업(C)'!G:G, B123, 'PPA 사업(C)'!X:X, B124, 'PPA 사업(C)'!U:U, $C$1),
    SUMIFS('리스사업(D)'!I:I, '리스사업(D)'!C:C, $E$1, '리스사업(D)'!G:G, B123, '리스사업(D)'!X:X, B124, '리스사업(D)'!U:U, $C$1),
    SUMIFS('임대사업(E)'!I:I, '임대사업(E)'!C:C, $E$1, '임대사업(E)'!G:G, B123, '임대사업(E)'!X:X, B124, '임대사업(E)'!U:U, $C$1),
    SUMIFS('환경부사업(F)'!I:I, '환경부사업(F)'!C:C, $E$1, '환경부사업(F)'!G:G, B123, '환경부사업(F)'!X:X, B124, '환경부사업(F)'!U:U, $C$1),
    SUMIFS('프로젝트(G)'!I:I, '프로젝트(G)'!C:C, $E$1, '프로젝트(G)'!G:G, B123, '프로젝트(G)'!X:X, B124, '프로젝트(G)'!U:U, $C$1),
    SUMIFS('협력사 EPC(H)'!I:I, '협력사 EPC(H)'!C:C, $E$1, '협력사 EPC(H)'!G:G, B123, '협력사 EPC(H)'!X:X, B124, '협력사 EPC(H)'!U:U, $C$1),
    SUMIFS('기타(Z)'!I:I, '기타(Z)'!C:C, $E$1, '기타(Z)'!G:G, B123, '기타(Z)'!X:X, B124, '기타(Z)'!U:U, $C$1)
  ) = 0,
  "",
  SUM(
    SUMIFS('발전사업(A)'!I:I, '발전사업(A)'!C:C, $E$1, '발전사업(A)'!G:G, B123, '발전사업(A)'!X:X, B124, '발전사업(A)'!U:U, $C$1),
    SUMIFS('자가소비(B)'!I:I, '자가소비(B)'!C:C, $E$1, '자가소비(B)'!G:G, B123, '자가소비(B)'!X:X, B124, '자가소비(B)'!U:U, $C$1),
    SUMIFS('PPA 사업(C)'!I:I, 'PPA 사업(C)'!C:C, $E$1, 'PPA 사업(C)'!G:G, B123, 'PPA 사업(C)'!X:X, B124, 'PPA 사업(C)'!U:U, $C$1),
    SUMIFS('리스사업(D)'!I:I, '리스사업(D)'!C:C, $E$1, '리스사업(D)'!G:G, B123, '리스사업(D)'!X:X, B124, '리스사업(D)'!U:U, $C$1),
    SUMIFS('임대사업(E)'!I:I, '임대사업(E)'!C:C, $E$1, '임대사업(E)'!G:G, B123, '임대사업(E)'!X:X, B124, '임대사업(E)'!U:U, $C$1),
    SUMIFS('환경부사업(F)'!I:I, '환경부사업(F)'!C:C, $E$1, '환경부사업(F)'!G:G, B123, '환경부사업(F)'!X:X, B124, '환경부사업(F)'!U:U, $C$1),
    SUMIFS('프로젝트(G)'!I:I, '프로젝트(G)'!C:C, $E$1, '프로젝트(G)'!G:G, B123, '프로젝트(G)'!X:X, B124, '프로젝트(G)'!U:U, $C$1),
    SUMIFS('협력사 EPC(H)'!I:I, '협력사 EPC(H)'!C:C, $E$1, '협력사 EPC(H)'!G:G, B123, '협력사 EPC(H)'!X:X, B124, '협력사 EPC(H)'!U:U, $C$1),
    SUMIFS('기타(Z)'!I:I, '기타(Z)'!C:C, $E$1, '기타(Z)'!G:G, B123, '기타(Z)'!X:X, B124, '기타(Z)'!U:U, $C$1)
  )
)</f>
        <v/>
      </c>
      <c r="F124" s="263" t="str">
        <f>IF(
  SUM(
    COUNTIFS('발전사업(A)'!C:C, $E$1, '발전사업(A)'!G:G, B123, '발전사업(A)'!X:X, B124, '발전사업(A)'!U:U, $C$1),
    COUNTIFS('자가소비(B)'!C:C, $E$1, '자가소비(B)'!G:G, B123, '자가소비(B)'!X:X, B124, '자가소비(B)'!U:U, $C$1),
    COUNTIFS('PPA 사업(C)'!C:C, $E$1, 'PPA 사업(C)'!G:G, B123, 'PPA 사업(C)'!X:X, B124, 'PPA 사업(C)'!U:U, $C$1),
    COUNTIFS('리스사업(D)'!C:C, $E$1, '리스사업(D)'!G:G, B123, '리스사업(D)'!X:X, B124, '리스사업(D)'!U:U, $C$1),
    COUNTIFS('임대사업(E)'!C:C, $E$1, '임대사업(E)'!G:G, B123, '임대사업(E)'!X:X, B124, '임대사업(E)'!U:U, $C$1),
    COUNTIFS('환경부사업(F)'!C:C, $E$1, '환경부사업(F)'!G:G, B123, '환경부사업(F)'!X:X, B124, '환경부사업(F)'!U:U, $C$1),
    COUNTIFS('프로젝트(G)'!C:C, $E$1, '프로젝트(G)'!G:G, B123, '프로젝트(G)'!X:X, B124, '프로젝트(G)'!U:U, $C$1),
    COUNTIFS('협력사 EPC(H)'!C:C, $E$1, '협력사 EPC(H)'!G:G, B123, '협력사 EPC(H)'!X:X, B124, '협력사 EPC(H)'!U:U, $C$1),
    COUNTIFS('기타(Z)'!C:C, $E$1, '기타(Z)'!G:G, B123, '기타(Z)'!X:X, B124, '기타(Z)'!U:U, $C$1)
  ) = 0,
  "",
  SUM(
    COUNTIFS('발전사업(A)'!C:C, $E$1, '발전사업(A)'!G:G, B123, '발전사업(A)'!X:X, B124, '발전사업(A)'!U:U, $C$1),
    COUNTIFS('자가소비(B)'!C:C, $E$1, '자가소비(B)'!G:G, B123, '자가소비(B)'!X:X, B124, '자가소비(B)'!U:U, $C$1),
    COUNTIFS('PPA 사업(C)'!C:C, $E$1, 'PPA 사업(C)'!G:G, B123, 'PPA 사업(C)'!X:X, B124, 'PPA 사업(C)'!U:U, $C$1),
    COUNTIFS('리스사업(D)'!C:C, $E$1, '리스사업(D)'!G:G, B123, '리스사업(D)'!X:X, B124, '리스사업(D)'!U:U, $C$1),
    COUNTIFS('임대사업(E)'!C:C, $E$1, '임대사업(E)'!G:G, B123, '임대사업(E)'!X:X, B124, '임대사업(E)'!U:U, $C$1),
    COUNTIFS('환경부사업(F)'!C:C, $E$1, '환경부사업(F)'!G:G, B123, '환경부사업(F)'!X:X, B124, '환경부사업(F)'!U:U, $C$1),
    COUNTIFS('프로젝트(G)'!C:C, $E$1, '프로젝트(G)'!G:G, B123, '프로젝트(G)'!X:X, B124, '프로젝트(G)'!U:U, $C$1),
    COUNTIFS('협력사 EPC(H)'!C:C, $E$1, '협력사 EPC(H)'!G:G, B123, '협력사 EPC(H)'!X:X, B124, '협력사 EPC(H)'!U:U, $C$1),
    COUNTIFS('기타(Z)'!C:C, $E$1, '기타(Z)'!G:G, B123, '기타(Z)'!X:X, B124, '기타(Z)'!U:U, $C$1)
  )
)</f>
        <v/>
      </c>
      <c r="G124" s="262" t="str">
        <f>IF(
  SUM(
    SUMIFS('발전사업(A)'!I:I, '발전사업(A)'!C:C, $E$1, '발전사업(A)'!G:G, B123, '발전사업(A)'!X:X, B124, '발전사업(A)'!U:U, $D$1),
    SUMIFS('자가소비(B)'!I:I, '자가소비(B)'!C:C, $E$1, '자가소비(B)'!G:G, B123, '자가소비(B)'!X:X, B124, '자가소비(B)'!U:U, $D$1),
    SUMIFS('PPA 사업(C)'!I:I, 'PPA 사업(C)'!C:C, $E$1, 'PPA 사업(C)'!G:G, B123, 'PPA 사업(C)'!X:X, B124, 'PPA 사업(C)'!U:U, $D$1),
    SUMIFS('리스사업(D)'!I:I, '리스사업(D)'!C:C, $E$1, '리스사업(D)'!G:G, B123, '리스사업(D)'!X:X, B124, '리스사업(D)'!U:U, $D$1),
    SUMIFS('임대사업(E)'!I:I, '임대사업(E)'!C:C, $E$1, '임대사업(E)'!G:G, B123, '임대사업(E)'!X:X, B124, '임대사업(E)'!U:U, $D$1),
    SUMIFS('환경부사업(F)'!I:I, '환경부사업(F)'!C:C, $E$1, '환경부사업(F)'!G:G, B123, '환경부사업(F)'!X:X, B124, '환경부사업(F)'!U:U, $D$1),
    SUMIFS('프로젝트(G)'!I:I, '프로젝트(G)'!C:C, $E$1, '프로젝트(G)'!G:G, B123, '프로젝트(G)'!X:X, B124, '프로젝트(G)'!U:U, $D$1),
    SUMIFS('협력사 EPC(H)'!I:I, '협력사 EPC(H)'!C:C, $E$1, '협력사 EPC(H)'!G:G, B123, '협력사 EPC(H)'!X:X, B124, '협력사 EPC(H)'!U:U, $D$1),
    SUMIFS('기타(Z)'!I:I, '기타(Z)'!C:C, $E$1, '기타(Z)'!G:G, B123, '기타(Z)'!X:X, B124, '기타(Z)'!U:U, $D$1)
  ) = 0,
  "",
  SUM(
    SUMIFS('발전사업(A)'!I:I, '발전사업(A)'!C:C, $E$1, '발전사업(A)'!G:G, B123, '발전사업(A)'!X:X, B124, '발전사업(A)'!U:U, $D$1),
    SUMIFS('자가소비(B)'!I:I, '자가소비(B)'!C:C, $E$1, '자가소비(B)'!G:G, B123, '자가소비(B)'!X:X, B124, '자가소비(B)'!U:U, $D$1),
    SUMIFS('PPA 사업(C)'!I:I, 'PPA 사업(C)'!C:C, $E$1, 'PPA 사업(C)'!G:G, B123, 'PPA 사업(C)'!X:X, B124, 'PPA 사업(C)'!U:U, $D$1),
    SUMIFS('리스사업(D)'!I:I, '리스사업(D)'!C:C, $E$1, '리스사업(D)'!G:G, B123, '리스사업(D)'!X:X, B124, '리스사업(D)'!U:U, $D$1),
    SUMIFS('임대사업(E)'!I:I, '임대사업(E)'!C:C, $E$1, '임대사업(E)'!G:G, B123, '임대사업(E)'!X:X, B124, '임대사업(E)'!U:U, $D$1),
    SUMIFS('환경부사업(F)'!I:I, '환경부사업(F)'!C:C, $E$1, '환경부사업(F)'!G:G, B123, '환경부사업(F)'!X:X, B124, '환경부사업(F)'!U:U, $D$1),
    SUMIFS('프로젝트(G)'!I:I, '프로젝트(G)'!C:C, $E$1, '프로젝트(G)'!G:G, B123, '프로젝트(G)'!X:X, B124, '프로젝트(G)'!U:U, $D$1),
    SUMIFS('협력사 EPC(H)'!I:I, '협력사 EPC(H)'!C:C, $E$1, '협력사 EPC(H)'!G:G, B123, '협력사 EPC(H)'!X:X, B124, '협력사 EPC(H)'!U:U, $D$1),
    SUMIFS('기타(Z)'!I:I, '기타(Z)'!C:C, $E$1, '기타(Z)'!G:G, B123, '기타(Z)'!X:X, B124, '기타(Z)'!U:U, $D$1)
  )
)</f>
        <v/>
      </c>
      <c r="H124" s="263" t="str">
        <f>IF(
  (
    COUNTIFS('발전사업(A)'!C:C, $E$1, '발전사업(A)'!G:G, B123, '발전사업(A)'!X:X, B124, '발전사업(A)'!U:U, $D$1)
    + COUNTIFS('자가소비(B)'!C:C, $E$1, '자가소비(B)'!G:G, B123, '자가소비(B)'!X:X, B124, '자가소비(B)'!U:U, $D$1)
    + COUNTIFS('PPA 사업(C)'!C:C, $E$1, 'PPA 사업(C)'!G:G, B123, 'PPA 사업(C)'!X:X, B124, 'PPA 사업(C)'!U:U, $D$1)
    + COUNTIFS('리스사업(D)'!C:C, $E$1, '리스사업(D)'!G:G, B123, '리스사업(D)'!X:X, B124, '리스사업(D)'!U:U, $D$1)
    + COUNTIFS('임대사업(E)'!C:C, $E$1, '임대사업(E)'!G:G, B123, '임대사업(E)'!X:X, B124, '임대사업(E)'!U:U, $D$1)
    + COUNTIFS('환경부사업(F)'!C:C, $E$1, '환경부사업(F)'!G:G, B123, '환경부사업(F)'!X:X, B124, '환경부사업(F)'!U:U, $D$1)
    + COUNTIFS('프로젝트(G)'!C:C, $E$1, '프로젝트(G)'!G:G, B123, '프로젝트(G)'!X:X, B124, '프로젝트(G)'!U:U, $D$1)
    + COUNTIFS('협력사 EPC(H)'!C:C, $E$1, '협력사 EPC(H)'!G:G, B123, '협력사 EPC(H)'!X:X, B124, '협력사 EPC(H)'!U:U, $D$1)
    + COUNTIFS('기타(Z)'!C:C, $E$1, '기타(Z)'!G:G, B123, '기타(Z)'!X:X, B124, '기타(Z)'!U:U, $D$1)
  ) = 0,
  "",
  COUNTIFS('발전사업(A)'!C:C, $E$1, '발전사업(A)'!G:G, B123, '발전사업(A)'!X:X, B124, '발전사업(A)'!U:U, $D$1)
  + COUNTIFS('자가소비(B)'!C:C, $E$1, '자가소비(B)'!G:G, B123, '자가소비(B)'!X:X, B124, '자가소비(B)'!U:U, $D$1)
  + COUNTIFS('PPA 사업(C)'!C:C, $E$1, 'PPA 사업(C)'!G:G, B123, 'PPA 사업(C)'!X:X, B124, 'PPA 사업(C)'!U:U, $D$1)
  + COUNTIFS('리스사업(D)'!C:C, $E$1, '리스사업(D)'!G:G, B123, '리스사업(D)'!X:X, B124, '리스사업(D)'!U:U, $D$1)
  + COUNTIFS('임대사업(E)'!C:C, $E$1, '임대사업(E)'!G:G, B123, '임대사업(E)'!X:X, B124, '임대사업(E)'!U:U, $D$1)
  + COUNTIFS('환경부사업(F)'!C:C, $E$1, '환경부사업(F)'!G:G, B123, '환경부사업(F)'!X:X, B124, '환경부사업(F)'!U:U, $D$1)
  + COUNTIFS('프로젝트(G)'!C:C, $E$1, '프로젝트(G)'!G:G, B123, '프로젝트(G)'!X:X, B124, '프로젝트(G)'!U:U, $D$1)
  + COUNTIFS('협력사 EPC(H)'!C:C, $E$1, '협력사 EPC(H)'!G:G, B123, '협력사 EPC(H)'!X:X, B124, '협력사 EPC(H)'!U:U, $D$1)
  + COUNTIFS('기타(Z)'!C:C, $E$1, '기타(Z)'!G:G, B123, '기타(Z)'!X:X, B124, '기타(Z)'!U:U, $D$1)
)</f>
        <v/>
      </c>
    </row>
    <row r="125" spans="2:8" x14ac:dyDescent="0.25">
      <c r="B125" s="195" t="s">
        <v>152</v>
      </c>
      <c r="C125" s="262" t="str">
        <f>IF(
  SUM(
    SUMIFS('발전사업(A)'!I:I, '발전사업(A)'!C:C, $E$1, '발전사업(A)'!G:G, B123, '발전사업(A)'!X:X, B125),
    SUMIFS('자가소비(B)'!I:I, '자가소비(B)'!C:C, $E$1, '자가소비(B)'!G:G, B123, '자가소비(B)'!X:X, B125),
    SUMIFS('PPA 사업(C)'!I:I, 'PPA 사업(C)'!C:C, $E$1, 'PPA 사업(C)'!G:G, B123, 'PPA 사업(C)'!X:X, B125),
    SUMIFS('리스사업(D)'!I:I, '리스사업(D)'!C:C, $E$1, '리스사업(D)'!G:G, B123, '리스사업(D)'!X:X, B125),
    SUMIFS('임대사업(E)'!I:I, '임대사업(E)'!C:C, $E$1, '임대사업(E)'!G:G, B123, '임대사업(E)'!X:X, B125),
    SUMIFS('환경부사업(F)'!I:I, '환경부사업(F)'!C:C, $E$1, '환경부사업(F)'!G:G, B123, '환경부사업(F)'!X:X, B125),
    SUMIFS('프로젝트(G)'!I:I, '프로젝트(G)'!C:C, $E$1, '프로젝트(G)'!G:G, B123, '프로젝트(G)'!X:X, B125),
    SUMIFS('협력사 EPC(H)'!I:I, '협력사 EPC(H)'!C:C, $E$1, '협력사 EPC(H)'!G:G, B123, '협력사 EPC(H)'!X:X, B125),
    SUMIFS('기타(Z)'!I:I, '기타(Z)'!C:C, $E$1, '기타(Z)'!G:G, B123, '기타(Z)'!X:X, B125)
  ) = 0,
  "",
  SUMIFS('발전사업(A)'!I:I, '발전사업(A)'!C:C, $E$1, '발전사업(A)'!G:G, B123, '발전사업(A)'!X:X, B125)
  + SUMIFS('자가소비(B)'!I:I, '자가소비(B)'!C:C, $E$1, '자가소비(B)'!G:G, B123, '자가소비(B)'!X:X, B125)
  + SUMIFS('PPA 사업(C)'!I:I, 'PPA 사업(C)'!C:C, $E$1, 'PPA 사업(C)'!G:G, B123, 'PPA 사업(C)'!X:X, B125)
  + SUMIFS('리스사업(D)'!I:I, '리스사업(D)'!C:C, $E$1, '리스사업(D)'!G:G, B123, '리스사업(D)'!X:X, B125)
  + SUMIFS('임대사업(E)'!I:I, '임대사업(E)'!C:C, $E$1, '임대사업(E)'!G:G, B123, '임대사업(E)'!X:X, B125)
  + SUMIFS('환경부사업(F)'!I:I, '환경부사업(F)'!C:C, $E$1, '환경부사업(F)'!G:G, B123, '환경부사업(F)'!X:X, B125)
  + SUMIFS('프로젝트(G)'!I:I, '프로젝트(G)'!C:C, $E$1, '프로젝트(G)'!G:G, B123, '프로젝트(G)'!X:X, B125)
  + SUMIFS('협력사 EPC(H)'!I:I, '협력사 EPC(H)'!C:C, $E$1, '협력사 EPC(H)'!G:G, B123, '협력사 EPC(H)'!X:X, B125)
  + SUMIFS('기타(Z)'!I:I, '기타(Z)'!C:C, $E$1, '기타(Z)'!G:G, B123, '기타(Z)'!X:X, B125)
)</f>
        <v/>
      </c>
      <c r="D125" s="263" t="str">
        <f>IF(
  COUNTIFS('발전사업(A)'!C:C, $E$1, '발전사업(A)'!G:G, B123, '발전사업(A)'!X:X, B125)
  + COUNTIFS('자가소비(B)'!C:C, $E$1, '자가소비(B)'!G:G, B123, '자가소비(B)'!X:X, B125)
  + COUNTIFS('PPA 사업(C)'!C:C, $E$1, 'PPA 사업(C)'!G:G, B123, 'PPA 사업(C)'!X:X, B125)
  + COUNTIFS('리스사업(D)'!C:C, $E$1, '리스사업(D)'!G:G, B123, '리스사업(D)'!X:X, B125)
  + COUNTIFS('임대사업(E)'!C:C, $E$1, '임대사업(E)'!G:G, B123, '임대사업(E)'!X:X, B125)
  + COUNTIFS('환경부사업(F)'!C:C, $E$1, '환경부사업(F)'!G:G, B123, '환경부사업(F)'!X:X, B125)
  + COUNTIFS('프로젝트(G)'!C:C, $E$1, '프로젝트(G)'!G:G, B123, '프로젝트(G)'!X:X, B125)
  + COUNTIFS('협력사 EPC(H)'!C:C, $E$1, '협력사 EPC(H)'!G:G, B123, '협력사 EPC(H)'!X:X, B125)
  + COUNTIFS('기타(Z)'!C:C, $E$1, '기타(Z)'!G:G, B123, '기타(Z)'!X:X, B125)
  = 0,
  "",
  COUNTIFS('발전사업(A)'!C:C, $E$1, '발전사업(A)'!G:G, B123, '발전사업(A)'!X:X, B125)
  + COUNTIFS('자가소비(B)'!C:C, $E$1, '자가소비(B)'!G:G, B123, '자가소비(B)'!X:X, B125)
  + COUNTIFS('PPA 사업(C)'!C:C, $E$1, 'PPA 사업(C)'!G:G, B123, 'PPA 사업(C)'!X:X, B125)
  + COUNTIFS('리스사업(D)'!C:C, $E$1, '리스사업(D)'!G:G, B123, '리스사업(D)'!X:X, B125)
  + COUNTIFS('임대사업(E)'!C:C, $E$1, '임대사업(E)'!G:G, B123, '임대사업(E)'!X:X, B125)
  + COUNTIFS('환경부사업(F)'!C:C, $E$1, '환경부사업(F)'!G:G, B123, '환경부사업(F)'!X:X, B125)
  + COUNTIFS('프로젝트(G)'!C:C, $E$1, '프로젝트(G)'!G:G, B123, '프로젝트(G)'!X:X, B125)
  + COUNTIFS('협력사 EPC(H)'!C:C, $E$1, '협력사 EPC(H)'!G:G, B123, '협력사 EPC(H)'!X:X, B125)
  + COUNTIFS('기타(Z)'!C:C, $E$1, '기타(Z)'!G:G, B123, '기타(Z)'!X:X, B125)
)</f>
        <v/>
      </c>
      <c r="E125" s="262" t="str">
        <f>IF(
  SUM(
    SUMIFS('발전사업(A)'!I:I, '발전사업(A)'!C:C, $E$1, '발전사업(A)'!G:G, B123, '발전사업(A)'!X:X, B125, '발전사업(A)'!U:U, $C$1),
    SUMIFS('자가소비(B)'!I:I, '자가소비(B)'!C:C, $E$1, '자가소비(B)'!G:G, B123, '자가소비(B)'!X:X, B125, '자가소비(B)'!U:U, $C$1),
    SUMIFS('PPA 사업(C)'!I:I, 'PPA 사업(C)'!C:C, $E$1, 'PPA 사업(C)'!G:G, B123, 'PPA 사업(C)'!X:X, B125, 'PPA 사업(C)'!U:U, $C$1),
    SUMIFS('리스사업(D)'!I:I, '리스사업(D)'!C:C, $E$1, '리스사업(D)'!G:G, B123, '리스사업(D)'!X:X, B125, '리스사업(D)'!U:U, $C$1),
    SUMIFS('임대사업(E)'!I:I, '임대사업(E)'!C:C, $E$1, '임대사업(E)'!G:G, B123, '임대사업(E)'!X:X, B125, '임대사업(E)'!U:U, $C$1),
    SUMIFS('환경부사업(F)'!I:I, '환경부사업(F)'!C:C, $E$1, '환경부사업(F)'!G:G, B123, '환경부사업(F)'!X:X, B125, '환경부사업(F)'!U:U, $C$1),
    SUMIFS('프로젝트(G)'!I:I, '프로젝트(G)'!C:C, $E$1, '프로젝트(G)'!G:G, B123, '프로젝트(G)'!X:X, B125, '프로젝트(G)'!U:U, $C$1),
    SUMIFS('협력사 EPC(H)'!I:I, '협력사 EPC(H)'!C:C, $E$1, '협력사 EPC(H)'!G:G, B123, '협력사 EPC(H)'!X:X, B125, '협력사 EPC(H)'!U:U, $C$1),
    SUMIFS('기타(Z)'!I:I, '기타(Z)'!C:C, $E$1, '기타(Z)'!G:G, B123, '기타(Z)'!X:X, B125, '기타(Z)'!U:U, $C$1)
  ) = 0,
  "",
  SUM(
    SUMIFS('발전사업(A)'!I:I, '발전사업(A)'!C:C, $E$1, '발전사업(A)'!G:G, B123, '발전사업(A)'!X:X, B125, '발전사업(A)'!U:U, $C$1),
    SUMIFS('자가소비(B)'!I:I, '자가소비(B)'!C:C, $E$1, '자가소비(B)'!G:G, B123, '자가소비(B)'!X:X, B125, '자가소비(B)'!U:U, $C$1),
    SUMIFS('PPA 사업(C)'!I:I, 'PPA 사업(C)'!C:C, $E$1, 'PPA 사업(C)'!G:G, B123, 'PPA 사업(C)'!X:X, B125, 'PPA 사업(C)'!U:U, $C$1),
    SUMIFS('리스사업(D)'!I:I, '리스사업(D)'!C:C, $E$1, '리스사업(D)'!G:G, B123, '리스사업(D)'!X:X, B125, '리스사업(D)'!U:U, $C$1),
    SUMIFS('임대사업(E)'!I:I, '임대사업(E)'!C:C, $E$1, '임대사업(E)'!G:G, B123, '임대사업(E)'!X:X, B125, '임대사업(E)'!U:U, $C$1),
    SUMIFS('환경부사업(F)'!I:I, '환경부사업(F)'!C:C, $E$1, '환경부사업(F)'!G:G, B123, '환경부사업(F)'!X:X, B125, '환경부사업(F)'!U:U, $C$1),
    SUMIFS('프로젝트(G)'!I:I, '프로젝트(G)'!C:C, $E$1, '프로젝트(G)'!G:G, B123, '프로젝트(G)'!X:X, B125, '프로젝트(G)'!U:U, $C$1),
    SUMIFS('협력사 EPC(H)'!I:I, '협력사 EPC(H)'!C:C, $E$1, '협력사 EPC(H)'!G:G, B123, '협력사 EPC(H)'!X:X, B125, '협력사 EPC(H)'!U:U, $C$1),
    SUMIFS('기타(Z)'!I:I, '기타(Z)'!C:C, $E$1, '기타(Z)'!G:G, B123, '기타(Z)'!X:X, B125, '기타(Z)'!U:U, $C$1)
  )
)</f>
        <v/>
      </c>
      <c r="F125" s="263" t="str">
        <f>IF(
  SUM(
    COUNTIFS('발전사업(A)'!C:C, $E$1, '발전사업(A)'!G:G, B123, '발전사업(A)'!X:X, B125, '발전사업(A)'!U:U, $C$1),
    COUNTIFS('자가소비(B)'!C:C, $E$1, '자가소비(B)'!G:G, B123, '자가소비(B)'!X:X, B125, '자가소비(B)'!U:U, $C$1),
    COUNTIFS('PPA 사업(C)'!C:C, $E$1, 'PPA 사업(C)'!G:G, B123, 'PPA 사업(C)'!X:X, B125, 'PPA 사업(C)'!U:U, $C$1),
    COUNTIFS('리스사업(D)'!C:C, $E$1, '리스사업(D)'!G:G, B123, '리스사업(D)'!X:X, B125, '리스사업(D)'!U:U, $C$1),
    COUNTIFS('임대사업(E)'!C:C, $E$1, '임대사업(E)'!G:G, B123, '임대사업(E)'!X:X, B125, '임대사업(E)'!U:U, $C$1),
    COUNTIFS('환경부사업(F)'!C:C, $E$1, '환경부사업(F)'!G:G, B123, '환경부사업(F)'!X:X, B125, '환경부사업(F)'!U:U, $C$1),
    COUNTIFS('프로젝트(G)'!C:C, $E$1, '프로젝트(G)'!G:G, B123, '프로젝트(G)'!X:X, B125, '프로젝트(G)'!U:U, $C$1),
    COUNTIFS('협력사 EPC(H)'!C:C, $E$1, '협력사 EPC(H)'!G:G, B123, '협력사 EPC(H)'!X:X, B125, '협력사 EPC(H)'!U:U, $C$1),
    COUNTIFS('기타(Z)'!C:C, $E$1, '기타(Z)'!G:G, B123, '기타(Z)'!X:X, B125, '기타(Z)'!U:U, $C$1)
  ) = 0,
  "",
  SUM(
    COUNTIFS('발전사업(A)'!C:C, $E$1, '발전사업(A)'!G:G, B123, '발전사업(A)'!X:X, B125, '발전사업(A)'!U:U, $C$1),
    COUNTIFS('자가소비(B)'!C:C, $E$1, '자가소비(B)'!G:G, B123, '자가소비(B)'!X:X, B125, '자가소비(B)'!U:U, $C$1),
    COUNTIFS('PPA 사업(C)'!C:C, $E$1, 'PPA 사업(C)'!G:G, B123, 'PPA 사업(C)'!X:X, B125, 'PPA 사업(C)'!U:U, $C$1),
    COUNTIFS('리스사업(D)'!C:C, $E$1, '리스사업(D)'!G:G, B123, '리스사업(D)'!X:X, B125, '리스사업(D)'!U:U, $C$1),
    COUNTIFS('임대사업(E)'!C:C, $E$1, '임대사업(E)'!G:G, B123, '임대사업(E)'!X:X, B125, '임대사업(E)'!U:U, $C$1),
    COUNTIFS('환경부사업(F)'!C:C, $E$1, '환경부사업(F)'!G:G, B123, '환경부사업(F)'!X:X, B125, '환경부사업(F)'!U:U, $C$1),
    COUNTIFS('프로젝트(G)'!C:C, $E$1, '프로젝트(G)'!G:G, B123, '프로젝트(G)'!X:X, B125, '프로젝트(G)'!U:U, $C$1),
    COUNTIFS('협력사 EPC(H)'!C:C, $E$1, '협력사 EPC(H)'!G:G, B123, '협력사 EPC(H)'!X:X, B125, '협력사 EPC(H)'!U:U, $C$1),
    COUNTIFS('기타(Z)'!C:C, $E$1, '기타(Z)'!G:G, B123, '기타(Z)'!X:X, B125, '기타(Z)'!U:U, $C$1)
  )
)</f>
        <v/>
      </c>
      <c r="G125" s="262" t="str">
        <f>IF(
  SUM(
    SUMIFS('발전사업(A)'!I:I, '발전사업(A)'!C:C, $E$1, '발전사업(A)'!G:G, B123, '발전사업(A)'!X:X, B125, '발전사업(A)'!U:U, $D$1),
    SUMIFS('자가소비(B)'!I:I, '자가소비(B)'!C:C, $E$1, '자가소비(B)'!G:G, B123, '자가소비(B)'!X:X, B125, '자가소비(B)'!U:U, $D$1),
    SUMIFS('PPA 사업(C)'!I:I, 'PPA 사업(C)'!C:C, $E$1, 'PPA 사업(C)'!G:G, B123, 'PPA 사업(C)'!X:X, B125, 'PPA 사업(C)'!U:U, $D$1),
    SUMIFS('리스사업(D)'!I:I, '리스사업(D)'!C:C, $E$1, '리스사업(D)'!G:G, B123, '리스사업(D)'!X:X, B125, '리스사업(D)'!U:U, $D$1),
    SUMIFS('임대사업(E)'!I:I, '임대사업(E)'!C:C, $E$1, '임대사업(E)'!G:G, B123, '임대사업(E)'!X:X, B125, '임대사업(E)'!U:U, $D$1),
    SUMIFS('환경부사업(F)'!I:I, '환경부사업(F)'!C:C, $E$1, '환경부사업(F)'!G:G, B123, '환경부사업(F)'!X:X, B125, '환경부사업(F)'!U:U, $D$1),
    SUMIFS('프로젝트(G)'!I:I, '프로젝트(G)'!C:C, $E$1, '프로젝트(G)'!G:G, B123, '프로젝트(G)'!X:X, B125, '프로젝트(G)'!U:U, $D$1),
    SUMIFS('협력사 EPC(H)'!I:I, '협력사 EPC(H)'!C:C, $E$1, '협력사 EPC(H)'!G:G, B123, '협력사 EPC(H)'!X:X, B125, '협력사 EPC(H)'!U:U, $D$1),
    SUMIFS('기타(Z)'!I:I, '기타(Z)'!C:C, $E$1, '기타(Z)'!G:G, B123, '기타(Z)'!X:X, B125, '기타(Z)'!U:U, $D$1)
  ) = 0,
  "",
  SUM(
    SUMIFS('발전사업(A)'!I:I, '발전사업(A)'!C:C, $E$1, '발전사업(A)'!G:G, B123, '발전사업(A)'!X:X, B125, '발전사업(A)'!U:U, $D$1),
    SUMIFS('자가소비(B)'!I:I, '자가소비(B)'!C:C, $E$1, '자가소비(B)'!G:G, B123, '자가소비(B)'!X:X, B125, '자가소비(B)'!U:U, $D$1),
    SUMIFS('PPA 사업(C)'!I:I, 'PPA 사업(C)'!C:C, $E$1, 'PPA 사업(C)'!G:G, B123, 'PPA 사업(C)'!X:X, B125, 'PPA 사업(C)'!U:U, $D$1),
    SUMIFS('리스사업(D)'!I:I, '리스사업(D)'!C:C, $E$1, '리스사업(D)'!G:G, B123, '리스사업(D)'!X:X, B125, '리스사업(D)'!U:U, $D$1),
    SUMIFS('임대사업(E)'!I:I, '임대사업(E)'!C:C, $E$1, '임대사업(E)'!G:G, B123, '임대사업(E)'!X:X, B125, '임대사업(E)'!U:U, $D$1),
    SUMIFS('환경부사업(F)'!I:I, '환경부사업(F)'!C:C, $E$1, '환경부사업(F)'!G:G, B123, '환경부사업(F)'!X:X, B125, '환경부사업(F)'!U:U, $D$1),
    SUMIFS('프로젝트(G)'!I:I, '프로젝트(G)'!C:C, $E$1, '프로젝트(G)'!G:G, B123, '프로젝트(G)'!X:X, B125, '프로젝트(G)'!U:U, $D$1),
    SUMIFS('협력사 EPC(H)'!I:I, '협력사 EPC(H)'!C:C, $E$1, '협력사 EPC(H)'!G:G, B123, '협력사 EPC(H)'!X:X, B125, '협력사 EPC(H)'!U:U, $D$1),
    SUMIFS('기타(Z)'!I:I, '기타(Z)'!C:C, $E$1, '기타(Z)'!G:G, B123, '기타(Z)'!X:X, B125, '기타(Z)'!U:U, $D$1)
  )
)</f>
        <v/>
      </c>
      <c r="H125" s="263" t="str">
        <f>IF(
  (
    COUNTIFS('발전사업(A)'!C:C, $E$1, '발전사업(A)'!G:G, B123, '발전사업(A)'!X:X, B125, '발전사업(A)'!U:U, $D$1)
    + COUNTIFS('자가소비(B)'!C:C, $E$1, '자가소비(B)'!G:G, B123, '자가소비(B)'!X:X, B125, '자가소비(B)'!U:U, $D$1)
    + COUNTIFS('PPA 사업(C)'!C:C, $E$1, 'PPA 사업(C)'!G:G, B123, 'PPA 사업(C)'!X:X, B125, 'PPA 사업(C)'!U:U, $D$1)
    + COUNTIFS('리스사업(D)'!C:C, $E$1, '리스사업(D)'!G:G, B123, '리스사업(D)'!X:X, B125, '리스사업(D)'!U:U, $D$1)
    + COUNTIFS('임대사업(E)'!C:C, $E$1, '임대사업(E)'!G:G, B123, '임대사업(E)'!X:X, B125, '임대사업(E)'!U:U, $D$1)
    + COUNTIFS('환경부사업(F)'!C:C, $E$1, '환경부사업(F)'!G:G, B123, '환경부사업(F)'!X:X, B125, '환경부사업(F)'!U:U, $D$1)
    + COUNTIFS('프로젝트(G)'!C:C, $E$1, '프로젝트(G)'!G:G, B123, '프로젝트(G)'!X:X, B125, '프로젝트(G)'!U:U, $D$1)
    + COUNTIFS('협력사 EPC(H)'!C:C, $E$1, '협력사 EPC(H)'!G:G, B123, '협력사 EPC(H)'!X:X, B125, '협력사 EPC(H)'!U:U, $D$1)
    + COUNTIFS('기타(Z)'!C:C, $E$1, '기타(Z)'!G:G, B123, '기타(Z)'!X:X, B125, '기타(Z)'!U:U, $D$1)
  ) = 0,
  "",
  COUNTIFS('발전사업(A)'!C:C, $E$1, '발전사업(A)'!G:G, B123, '발전사업(A)'!X:X, B125, '발전사업(A)'!U:U, $D$1)
  + COUNTIFS('자가소비(B)'!C:C, $E$1, '자가소비(B)'!G:G, B123, '자가소비(B)'!X:X, B125, '자가소비(B)'!U:U, $D$1)
  + COUNTIFS('PPA 사업(C)'!C:C, $E$1, 'PPA 사업(C)'!G:G, B123, 'PPA 사업(C)'!X:X, B125, 'PPA 사업(C)'!U:U, $D$1)
  + COUNTIFS('리스사업(D)'!C:C, $E$1, '리스사업(D)'!G:G, B123, '리스사업(D)'!X:X, B125, '리스사업(D)'!U:U, $D$1)
  + COUNTIFS('임대사업(E)'!C:C, $E$1, '임대사업(E)'!G:G, B123, '임대사업(E)'!X:X, B125, '임대사업(E)'!U:U, $D$1)
  + COUNTIFS('환경부사업(F)'!C:C, $E$1, '환경부사업(F)'!G:G, B123, '환경부사업(F)'!X:X, B125, '환경부사업(F)'!U:U, $D$1)
  + COUNTIFS('프로젝트(G)'!C:C, $E$1, '프로젝트(G)'!G:G, B123, '프로젝트(G)'!X:X, B125, '프로젝트(G)'!U:U, $D$1)
  + COUNTIFS('협력사 EPC(H)'!C:C, $E$1, '협력사 EPC(H)'!G:G, B123, '협력사 EPC(H)'!X:X, B125, '협력사 EPC(H)'!U:U, $D$1)
  + COUNTIFS('기타(Z)'!C:C, $E$1, '기타(Z)'!G:G, B123, '기타(Z)'!X:X, B125, '기타(Z)'!U:U, $D$1)
)</f>
        <v/>
      </c>
    </row>
    <row r="126" spans="2:8" x14ac:dyDescent="0.25">
      <c r="B126" s="195" t="s">
        <v>153</v>
      </c>
      <c r="C126" s="262" t="str">
        <f>IF(
  SUM(
    SUMIFS('발전사업(A)'!I:I, '발전사업(A)'!C:C, $E$1, '발전사업(A)'!G:G, B123, '발전사업(A)'!X:X, B126),
    SUMIFS('자가소비(B)'!I:I, '자가소비(B)'!C:C, $E$1, '자가소비(B)'!G:G, B123, '자가소비(B)'!X:X, B126),
    SUMIFS('PPA 사업(C)'!I:I, 'PPA 사업(C)'!C:C, $E$1, 'PPA 사업(C)'!G:G, B123, 'PPA 사업(C)'!X:X, B126),
    SUMIFS('리스사업(D)'!I:I, '리스사업(D)'!C:C, $E$1, '리스사업(D)'!G:G, B123, '리스사업(D)'!X:X, B126),
    SUMIFS('임대사업(E)'!I:I, '임대사업(E)'!C:C, $E$1, '임대사업(E)'!G:G, B123, '임대사업(E)'!X:X, B126),
    SUMIFS('환경부사업(F)'!I:I, '환경부사업(F)'!C:C, $E$1, '환경부사업(F)'!G:G, B123, '환경부사업(F)'!X:X, B126),
    SUMIFS('프로젝트(G)'!I:I, '프로젝트(G)'!C:C, $E$1, '프로젝트(G)'!G:G, B123, '프로젝트(G)'!X:X, B126),
    SUMIFS('협력사 EPC(H)'!I:I, '협력사 EPC(H)'!C:C, $E$1, '협력사 EPC(H)'!G:G, B123, '협력사 EPC(H)'!X:X, B126),
    SUMIFS('기타(Z)'!I:I, '기타(Z)'!C:C, $E$1, '기타(Z)'!G:G, B123, '기타(Z)'!X:X, B126)
  ) = 0,
  "",
  SUMIFS('발전사업(A)'!I:I, '발전사업(A)'!C:C, $E$1, '발전사업(A)'!G:G, B123, '발전사업(A)'!X:X, B126)
  + SUMIFS('자가소비(B)'!I:I, '자가소비(B)'!C:C, $E$1, '자가소비(B)'!G:G, B123, '자가소비(B)'!X:X, B126)
  + SUMIFS('PPA 사업(C)'!I:I, 'PPA 사업(C)'!C:C, $E$1, 'PPA 사업(C)'!G:G, B123, 'PPA 사업(C)'!X:X, B126)
  + SUMIFS('리스사업(D)'!I:I, '리스사업(D)'!C:C, $E$1, '리스사업(D)'!G:G, B123, '리스사업(D)'!X:X, B126)
  + SUMIFS('임대사업(E)'!I:I, '임대사업(E)'!C:C, $E$1, '임대사업(E)'!G:G, B123, '임대사업(E)'!X:X, B126)
  + SUMIFS('환경부사업(F)'!I:I, '환경부사업(F)'!C:C, $E$1, '환경부사업(F)'!G:G, B123, '환경부사업(F)'!X:X, B126)
  + SUMIFS('프로젝트(G)'!I:I, '프로젝트(G)'!C:C, $E$1, '프로젝트(G)'!G:G, B123, '프로젝트(G)'!X:X, B126)
  + SUMIFS('협력사 EPC(H)'!I:I, '협력사 EPC(H)'!C:C, $E$1, '협력사 EPC(H)'!G:G, B123, '협력사 EPC(H)'!X:X, B126)
  + SUMIFS('기타(Z)'!I:I, '기타(Z)'!C:C, $E$1, '기타(Z)'!G:G, B123, '기타(Z)'!X:X, B126)
)</f>
        <v/>
      </c>
      <c r="D126" s="263" t="str">
        <f>IF(
  COUNTIFS('발전사업(A)'!C:C, $E$1, '발전사업(A)'!G:G, B123, '발전사업(A)'!X:X, B126)
  + COUNTIFS('자가소비(B)'!C:C, $E$1, '자가소비(B)'!G:G, B123, '자가소비(B)'!X:X, B126)
  + COUNTIFS('PPA 사업(C)'!C:C, $E$1, 'PPA 사업(C)'!G:G, B123, 'PPA 사업(C)'!X:X, B126)
  + COUNTIFS('리스사업(D)'!C:C, $E$1, '리스사업(D)'!G:G, B123, '리스사업(D)'!X:X, B126)
  + COUNTIFS('임대사업(E)'!C:C, $E$1, '임대사업(E)'!G:G, B123, '임대사업(E)'!X:X, B126)
  + COUNTIFS('환경부사업(F)'!C:C, $E$1, '환경부사업(F)'!G:G, B123, '환경부사업(F)'!X:X, B126)
  + COUNTIFS('프로젝트(G)'!C:C, $E$1, '프로젝트(G)'!G:G, B123, '프로젝트(G)'!X:X, B126)
  + COUNTIFS('협력사 EPC(H)'!C:C, $E$1, '협력사 EPC(H)'!G:G, B123, '협력사 EPC(H)'!X:X, B126)
  + COUNTIFS('기타(Z)'!C:C, $E$1, '기타(Z)'!G:G, B123, '기타(Z)'!X:X, B126)
  = 0,
  "",
  COUNTIFS('발전사업(A)'!C:C, $E$1, '발전사업(A)'!G:G, B123, '발전사업(A)'!X:X, B126)
  + COUNTIFS('자가소비(B)'!C:C, $E$1, '자가소비(B)'!G:G, B123, '자가소비(B)'!X:X, B126)
  + COUNTIFS('PPA 사업(C)'!C:C, $E$1, 'PPA 사업(C)'!G:G, B123, 'PPA 사업(C)'!X:X, B126)
  + COUNTIFS('리스사업(D)'!C:C, $E$1, '리스사업(D)'!G:G, B123, '리스사업(D)'!X:X, B126)
  + COUNTIFS('임대사업(E)'!C:C, $E$1, '임대사업(E)'!G:G, B123, '임대사업(E)'!X:X, B126)
  + COUNTIFS('환경부사업(F)'!C:C, $E$1, '환경부사업(F)'!G:G, B123, '환경부사업(F)'!X:X, B126)
  + COUNTIFS('프로젝트(G)'!C:C, $E$1, '프로젝트(G)'!G:G, B123, '프로젝트(G)'!X:X, B126)
  + COUNTIFS('협력사 EPC(H)'!C:C, $E$1, '협력사 EPC(H)'!G:G, B123, '협력사 EPC(H)'!X:X, B126)
  + COUNTIFS('기타(Z)'!C:C, $E$1, '기타(Z)'!G:G, B123, '기타(Z)'!X:X, B126)
)</f>
        <v/>
      </c>
      <c r="E126" s="262" t="str">
        <f>IF(
  SUM(
    SUMIFS('발전사업(A)'!I:I, '발전사업(A)'!C:C, $E$1, '발전사업(A)'!G:G, B123, '발전사업(A)'!X:X, B126, '발전사업(A)'!U:U, $C$1),
    SUMIFS('자가소비(B)'!I:I, '자가소비(B)'!C:C, $E$1, '자가소비(B)'!G:G, B123, '자가소비(B)'!X:X, B126, '자가소비(B)'!U:U, $C$1),
    SUMIFS('PPA 사업(C)'!I:I, 'PPA 사업(C)'!C:C, $E$1, 'PPA 사업(C)'!G:G, B123, 'PPA 사업(C)'!X:X, B126, 'PPA 사업(C)'!U:U, $C$1),
    SUMIFS('리스사업(D)'!I:I, '리스사업(D)'!C:C, $E$1, '리스사업(D)'!G:G, B123, '리스사업(D)'!X:X, B126, '리스사업(D)'!U:U, $C$1),
    SUMIFS('임대사업(E)'!I:I, '임대사업(E)'!C:C, $E$1, '임대사업(E)'!G:G, B123, '임대사업(E)'!X:X, B126, '임대사업(E)'!U:U, $C$1),
    SUMIFS('환경부사업(F)'!I:I, '환경부사업(F)'!C:C, $E$1, '환경부사업(F)'!G:G, B123, '환경부사업(F)'!X:X, B126, '환경부사업(F)'!U:U, $C$1),
    SUMIFS('프로젝트(G)'!I:I, '프로젝트(G)'!C:C, $E$1, '프로젝트(G)'!G:G, B123, '프로젝트(G)'!X:X, B126, '프로젝트(G)'!U:U, $C$1),
    SUMIFS('협력사 EPC(H)'!I:I, '협력사 EPC(H)'!C:C, $E$1, '협력사 EPC(H)'!G:G, B123, '협력사 EPC(H)'!X:X, B126, '협력사 EPC(H)'!U:U, $C$1),
    SUMIFS('기타(Z)'!I:I, '기타(Z)'!C:C, $E$1, '기타(Z)'!G:G, B123, '기타(Z)'!X:X, B126, '기타(Z)'!U:U, $C$1)
  ) = 0,
  "",
  SUM(
    SUMIFS('발전사업(A)'!I:I, '발전사업(A)'!C:C, $E$1, '발전사업(A)'!G:G, B123, '발전사업(A)'!X:X, B126, '발전사업(A)'!U:U, $C$1),
    SUMIFS('자가소비(B)'!I:I, '자가소비(B)'!C:C, $E$1, '자가소비(B)'!G:G, B123, '자가소비(B)'!X:X, B126, '자가소비(B)'!U:U, $C$1),
    SUMIFS('PPA 사업(C)'!I:I, 'PPA 사업(C)'!C:C, $E$1, 'PPA 사업(C)'!G:G, B123, 'PPA 사업(C)'!X:X, B126, 'PPA 사업(C)'!U:U, $C$1),
    SUMIFS('리스사업(D)'!I:I, '리스사업(D)'!C:C, $E$1, '리스사업(D)'!G:G, B123, '리스사업(D)'!X:X, B126, '리스사업(D)'!U:U, $C$1),
    SUMIFS('임대사업(E)'!I:I, '임대사업(E)'!C:C, $E$1, '임대사업(E)'!G:G, B123, '임대사업(E)'!X:X, B126, '임대사업(E)'!U:U, $C$1),
    SUMIFS('환경부사업(F)'!I:I, '환경부사업(F)'!C:C, $E$1, '환경부사업(F)'!G:G, B123, '환경부사업(F)'!X:X, B126, '환경부사업(F)'!U:U, $C$1),
    SUMIFS('프로젝트(G)'!I:I, '프로젝트(G)'!C:C, $E$1, '프로젝트(G)'!G:G, B123, '프로젝트(G)'!X:X, B126, '프로젝트(G)'!U:U, $C$1),
    SUMIFS('협력사 EPC(H)'!I:I, '협력사 EPC(H)'!C:C, $E$1, '협력사 EPC(H)'!G:G, B123, '협력사 EPC(H)'!X:X, B126, '협력사 EPC(H)'!U:U, $C$1),
    SUMIFS('기타(Z)'!I:I, '기타(Z)'!C:C, $E$1, '기타(Z)'!G:G, B123, '기타(Z)'!X:X, B126, '기타(Z)'!U:U, $C$1)
  )
)</f>
        <v/>
      </c>
      <c r="F126" s="263" t="str">
        <f>IF(
  SUM(
    COUNTIFS('발전사업(A)'!C:C, $E$1, '발전사업(A)'!G:G, B123, '발전사업(A)'!X:X, B126, '발전사업(A)'!U:U, $C$1),
    COUNTIFS('자가소비(B)'!C:C, $E$1, '자가소비(B)'!G:G, B123, '자가소비(B)'!X:X, B126, '자가소비(B)'!U:U, $C$1),
    COUNTIFS('PPA 사업(C)'!C:C, $E$1, 'PPA 사업(C)'!G:G, B123, 'PPA 사업(C)'!X:X, B126, 'PPA 사업(C)'!U:U, $C$1),
    COUNTIFS('리스사업(D)'!C:C, $E$1, '리스사업(D)'!G:G, B123, '리스사업(D)'!X:X, B126, '리스사업(D)'!U:U, $C$1),
    COUNTIFS('임대사업(E)'!C:C, $E$1, '임대사업(E)'!G:G, B123, '임대사업(E)'!X:X, B126, '임대사업(E)'!U:U, $C$1),
    COUNTIFS('환경부사업(F)'!C:C, $E$1, '환경부사업(F)'!G:G, B123, '환경부사업(F)'!X:X, B126, '환경부사업(F)'!U:U, $C$1),
    COUNTIFS('프로젝트(G)'!C:C, $E$1, '프로젝트(G)'!G:G, B123, '프로젝트(G)'!X:X, B126, '프로젝트(G)'!U:U, $C$1),
    COUNTIFS('협력사 EPC(H)'!C:C, $E$1, '협력사 EPC(H)'!G:G, B123, '협력사 EPC(H)'!X:X, B126, '협력사 EPC(H)'!U:U, $C$1),
    COUNTIFS('기타(Z)'!C:C, $E$1, '기타(Z)'!G:G, B123, '기타(Z)'!X:X, B126, '기타(Z)'!U:U, $C$1)
  ) = 0,
  "",
  SUM(
    COUNTIFS('발전사업(A)'!C:C, $E$1, '발전사업(A)'!G:G, B123, '발전사업(A)'!X:X, B126, '발전사업(A)'!U:U, $C$1),
    COUNTIFS('자가소비(B)'!C:C, $E$1, '자가소비(B)'!G:G, B123, '자가소비(B)'!X:X, B126, '자가소비(B)'!U:U, $C$1),
    COUNTIFS('PPA 사업(C)'!C:C, $E$1, 'PPA 사업(C)'!G:G, B123, 'PPA 사업(C)'!X:X, B126, 'PPA 사업(C)'!U:U, $C$1),
    COUNTIFS('리스사업(D)'!C:C, $E$1, '리스사업(D)'!G:G, B123, '리스사업(D)'!X:X, B126, '리스사업(D)'!U:U, $C$1),
    COUNTIFS('임대사업(E)'!C:C, $E$1, '임대사업(E)'!G:G, B123, '임대사업(E)'!X:X, B126, '임대사업(E)'!U:U, $C$1),
    COUNTIFS('환경부사업(F)'!C:C, $E$1, '환경부사업(F)'!G:G, B123, '환경부사업(F)'!X:X, B126, '환경부사업(F)'!U:U, $C$1),
    COUNTIFS('프로젝트(G)'!C:C, $E$1, '프로젝트(G)'!G:G, B123, '프로젝트(G)'!X:X, B126, '프로젝트(G)'!U:U, $C$1),
    COUNTIFS('협력사 EPC(H)'!C:C, $E$1, '협력사 EPC(H)'!G:G, B123, '협력사 EPC(H)'!X:X, B126, '협력사 EPC(H)'!U:U, $C$1),
    COUNTIFS('기타(Z)'!C:C, $E$1, '기타(Z)'!G:G, B123, '기타(Z)'!X:X, B126, '기타(Z)'!U:U, $C$1)
  )
)</f>
        <v/>
      </c>
      <c r="G126" s="262" t="str">
        <f>IF(
  SUM(
    SUMIFS('발전사업(A)'!I:I, '발전사업(A)'!C:C, $E$1, '발전사업(A)'!G:G, B123, '발전사업(A)'!X:X, B126, '발전사업(A)'!U:U, $D$1),
    SUMIFS('자가소비(B)'!I:I, '자가소비(B)'!C:C, $E$1, '자가소비(B)'!G:G, B123, '자가소비(B)'!X:X, B126, '자가소비(B)'!U:U, $D$1),
    SUMIFS('PPA 사업(C)'!I:I, 'PPA 사업(C)'!C:C, $E$1, 'PPA 사업(C)'!G:G, B123, 'PPA 사업(C)'!X:X, B126, 'PPA 사업(C)'!U:U, $D$1),
    SUMIFS('리스사업(D)'!I:I, '리스사업(D)'!C:C, $E$1, '리스사업(D)'!G:G, B123, '리스사업(D)'!X:X, B126, '리스사업(D)'!U:U, $D$1),
    SUMIFS('임대사업(E)'!I:I, '임대사업(E)'!C:C, $E$1, '임대사업(E)'!G:G, B123, '임대사업(E)'!X:X, B126, '임대사업(E)'!U:U, $D$1),
    SUMIFS('환경부사업(F)'!I:I, '환경부사업(F)'!C:C, $E$1, '환경부사업(F)'!G:G, B123, '환경부사업(F)'!X:X, B126, '환경부사업(F)'!U:U, $D$1),
    SUMIFS('프로젝트(G)'!I:I, '프로젝트(G)'!C:C, $E$1, '프로젝트(G)'!G:G, B123, '프로젝트(G)'!X:X, B126, '프로젝트(G)'!U:U, $D$1),
    SUMIFS('협력사 EPC(H)'!I:I, '협력사 EPC(H)'!C:C, $E$1, '협력사 EPC(H)'!G:G, B123, '협력사 EPC(H)'!X:X, B126, '협력사 EPC(H)'!U:U, $D$1),
    SUMIFS('기타(Z)'!I:I, '기타(Z)'!C:C, $E$1, '기타(Z)'!G:G, B123, '기타(Z)'!X:X, B126, '기타(Z)'!U:U, $D$1)
  ) = 0,
  "",
  SUM(
    SUMIFS('발전사업(A)'!I:I, '발전사업(A)'!C:C, $E$1, '발전사업(A)'!G:G, B123, '발전사업(A)'!X:X, B126, '발전사업(A)'!U:U, $D$1),
    SUMIFS('자가소비(B)'!I:I, '자가소비(B)'!C:C, $E$1, '자가소비(B)'!G:G, B123, '자가소비(B)'!X:X, B126, '자가소비(B)'!U:U, $D$1),
    SUMIFS('PPA 사업(C)'!I:I, 'PPA 사업(C)'!C:C, $E$1, 'PPA 사업(C)'!G:G, B123, 'PPA 사업(C)'!X:X, B126, 'PPA 사업(C)'!U:U, $D$1),
    SUMIFS('리스사업(D)'!I:I, '리스사업(D)'!C:C, $E$1, '리스사업(D)'!G:G, B123, '리스사업(D)'!X:X, B126, '리스사업(D)'!U:U, $D$1),
    SUMIFS('임대사업(E)'!I:I, '임대사업(E)'!C:C, $E$1, '임대사업(E)'!G:G, B123, '임대사업(E)'!X:X, B126, '임대사업(E)'!U:U, $D$1),
    SUMIFS('환경부사업(F)'!I:I, '환경부사업(F)'!C:C, $E$1, '환경부사업(F)'!G:G, B123, '환경부사업(F)'!X:X, B126, '환경부사업(F)'!U:U, $D$1),
    SUMIFS('프로젝트(G)'!I:I, '프로젝트(G)'!C:C, $E$1, '프로젝트(G)'!G:G, B123, '프로젝트(G)'!X:X, B126, '프로젝트(G)'!U:U, $D$1),
    SUMIFS('협력사 EPC(H)'!I:I, '협력사 EPC(H)'!C:C, $E$1, '협력사 EPC(H)'!G:G, B123, '협력사 EPC(H)'!X:X, B126, '협력사 EPC(H)'!U:U, $D$1),
    SUMIFS('기타(Z)'!I:I, '기타(Z)'!C:C, $E$1, '기타(Z)'!G:G, B123, '기타(Z)'!X:X, B126, '기타(Z)'!U:U, $D$1)
  )
)</f>
        <v/>
      </c>
      <c r="H126" s="263" t="str">
        <f>IF(
  (
    COUNTIFS('발전사업(A)'!C:C, $E$1, '발전사업(A)'!G:G, B123, '발전사업(A)'!X:X, B126, '발전사업(A)'!U:U, $D$1)
    + COUNTIFS('자가소비(B)'!C:C, $E$1, '자가소비(B)'!G:G, B123, '자가소비(B)'!X:X, B126, '자가소비(B)'!U:U, $D$1)
    + COUNTIFS('PPA 사업(C)'!C:C, $E$1, 'PPA 사업(C)'!G:G, B123, 'PPA 사업(C)'!X:X, B126, 'PPA 사업(C)'!U:U, $D$1)
    + COUNTIFS('리스사업(D)'!C:C, $E$1, '리스사업(D)'!G:G, B123, '리스사업(D)'!X:X, B126, '리스사업(D)'!U:U, $D$1)
    + COUNTIFS('임대사업(E)'!C:C, $E$1, '임대사업(E)'!G:G, B123, '임대사업(E)'!X:X, B126, '임대사업(E)'!U:U, $D$1)
    + COUNTIFS('환경부사업(F)'!C:C, $E$1, '환경부사업(F)'!G:G, B123, '환경부사업(F)'!X:X, B126, '환경부사업(F)'!U:U, $D$1)
    + COUNTIFS('프로젝트(G)'!C:C, $E$1, '프로젝트(G)'!G:G, B123, '프로젝트(G)'!X:X, B126, '프로젝트(G)'!U:U, $D$1)
    + COUNTIFS('협력사 EPC(H)'!C:C, $E$1, '협력사 EPC(H)'!G:G, B123, '협력사 EPC(H)'!X:X, B126, '협력사 EPC(H)'!U:U, $D$1)
    + COUNTIFS('기타(Z)'!C:C, $E$1, '기타(Z)'!G:G, B123, '기타(Z)'!X:X, B126, '기타(Z)'!U:U, $D$1)
  ) = 0,
  "",
  COUNTIFS('발전사업(A)'!C:C, $E$1, '발전사업(A)'!G:G, B123, '발전사업(A)'!X:X, B126, '발전사업(A)'!U:U, $D$1)
  + COUNTIFS('자가소비(B)'!C:C, $E$1, '자가소비(B)'!G:G, B123, '자가소비(B)'!X:X, B126, '자가소비(B)'!U:U, $D$1)
  + COUNTIFS('PPA 사업(C)'!C:C, $E$1, 'PPA 사업(C)'!G:G, B123, 'PPA 사업(C)'!X:X, B126, 'PPA 사업(C)'!U:U, $D$1)
  + COUNTIFS('리스사업(D)'!C:C, $E$1, '리스사업(D)'!G:G, B123, '리스사업(D)'!X:X, B126, '리스사업(D)'!U:U, $D$1)
  + COUNTIFS('임대사업(E)'!C:C, $E$1, '임대사업(E)'!G:G, B123, '임대사업(E)'!X:X, B126, '임대사업(E)'!U:U, $D$1)
  + COUNTIFS('환경부사업(F)'!C:C, $E$1, '환경부사업(F)'!G:G, B123, '환경부사업(F)'!X:X, B126, '환경부사업(F)'!U:U, $D$1)
  + COUNTIFS('프로젝트(G)'!C:C, $E$1, '프로젝트(G)'!G:G, B123, '프로젝트(G)'!X:X, B126, '프로젝트(G)'!U:U, $D$1)
  + COUNTIFS('협력사 EPC(H)'!C:C, $E$1, '협력사 EPC(H)'!G:G, B123, '협력사 EPC(H)'!X:X, B126, '협력사 EPC(H)'!U:U, $D$1)
  + COUNTIFS('기타(Z)'!C:C, $E$1, '기타(Z)'!G:G, B123, '기타(Z)'!X:X, B126, '기타(Z)'!U:U, $D$1)
)</f>
        <v/>
      </c>
    </row>
    <row r="127" spans="2:8" x14ac:dyDescent="0.25">
      <c r="B127" s="195" t="s">
        <v>154</v>
      </c>
      <c r="C127" s="262" t="str">
        <f>IF(
  SUM(
    SUMIFS('발전사업(A)'!I:I, '발전사업(A)'!C:C, $E$1, '발전사업(A)'!G:G, B123, '발전사업(A)'!X:X, B127),
    SUMIFS('자가소비(B)'!I:I, '자가소비(B)'!C:C, $E$1, '자가소비(B)'!G:G, B123, '자가소비(B)'!X:X, B127),
    SUMIFS('PPA 사업(C)'!I:I, 'PPA 사업(C)'!C:C, $E$1, 'PPA 사업(C)'!G:G, B123, 'PPA 사업(C)'!X:X, B127),
    SUMIFS('리스사업(D)'!I:I, '리스사업(D)'!C:C, $E$1, '리스사업(D)'!G:G, B123, '리스사업(D)'!X:X, B127),
    SUMIFS('임대사업(E)'!I:I, '임대사업(E)'!C:C, $E$1, '임대사업(E)'!G:G, B123, '임대사업(E)'!X:X, B127),
    SUMIFS('환경부사업(F)'!I:I, '환경부사업(F)'!C:C, $E$1, '환경부사업(F)'!G:G, B123, '환경부사업(F)'!X:X, B127),
    SUMIFS('프로젝트(G)'!I:I, '프로젝트(G)'!C:C, $E$1, '프로젝트(G)'!G:G, B123, '프로젝트(G)'!X:X, B127),
    SUMIFS('협력사 EPC(H)'!I:I, '협력사 EPC(H)'!C:C, $E$1, '협력사 EPC(H)'!G:G, B123, '협력사 EPC(H)'!X:X, B127),
    SUMIFS('기타(Z)'!I:I, '기타(Z)'!C:C, $E$1, '기타(Z)'!G:G, B123, '기타(Z)'!X:X, B127)
  ) = 0,
  "",
  SUMIFS('발전사업(A)'!I:I, '발전사업(A)'!C:C, $E$1, '발전사업(A)'!G:G, B123, '발전사업(A)'!X:X, B127)
  + SUMIFS('자가소비(B)'!I:I, '자가소비(B)'!C:C, $E$1, '자가소비(B)'!G:G, B123, '자가소비(B)'!X:X, B127)
  + SUMIFS('PPA 사업(C)'!I:I, 'PPA 사업(C)'!C:C, $E$1, 'PPA 사업(C)'!G:G, B123, 'PPA 사업(C)'!X:X, B127)
  + SUMIFS('리스사업(D)'!I:I, '리스사업(D)'!C:C, $E$1, '리스사업(D)'!G:G, B123, '리스사업(D)'!X:X, B127)
  + SUMIFS('임대사업(E)'!I:I, '임대사업(E)'!C:C, $E$1, '임대사업(E)'!G:G, B123, '임대사업(E)'!X:X, B127)
  + SUMIFS('환경부사업(F)'!I:I, '환경부사업(F)'!C:C, $E$1, '환경부사업(F)'!G:G, B123, '환경부사업(F)'!X:X, B127)
  + SUMIFS('프로젝트(G)'!I:I, '프로젝트(G)'!C:C, $E$1, '프로젝트(G)'!G:G, B123, '프로젝트(G)'!X:X, B127)
  + SUMIFS('협력사 EPC(H)'!I:I, '협력사 EPC(H)'!C:C, $E$1, '협력사 EPC(H)'!G:G, B123, '협력사 EPC(H)'!X:X, B127)
  + SUMIFS('기타(Z)'!I:I, '기타(Z)'!C:C, $E$1, '기타(Z)'!G:G, B123, '기타(Z)'!X:X, B127)
)</f>
        <v/>
      </c>
      <c r="D127" s="263" t="str">
        <f>IF(
  COUNTIFS('발전사업(A)'!C:C, $E$1, '발전사업(A)'!G:G, B123, '발전사업(A)'!X:X, B127)
  + COUNTIFS('자가소비(B)'!C:C, $E$1, '자가소비(B)'!G:G, B123, '자가소비(B)'!X:X, B127)
  + COUNTIFS('PPA 사업(C)'!C:C, $E$1, 'PPA 사업(C)'!G:G, B123, 'PPA 사업(C)'!X:X, B127)
  + COUNTIFS('리스사업(D)'!C:C, $E$1, '리스사업(D)'!G:G, B123, '리스사업(D)'!X:X, B127)
  + COUNTIFS('임대사업(E)'!C:C, $E$1, '임대사업(E)'!G:G, B123, '임대사업(E)'!X:X, B127)
  + COUNTIFS('환경부사업(F)'!C:C, $E$1, '환경부사업(F)'!G:G, B123, '환경부사업(F)'!X:X, B127)
  + COUNTIFS('프로젝트(G)'!C:C, $E$1, '프로젝트(G)'!G:G, B123, '프로젝트(G)'!X:X, B127)
  + COUNTIFS('협력사 EPC(H)'!C:C, $E$1, '협력사 EPC(H)'!G:G, B123, '협력사 EPC(H)'!X:X, B127)
  + COUNTIFS('기타(Z)'!C:C, $E$1, '기타(Z)'!G:G, B123, '기타(Z)'!X:X, B127)
  = 0,
  "",
  COUNTIFS('발전사업(A)'!C:C, $E$1, '발전사업(A)'!G:G, B123, '발전사업(A)'!X:X, B127)
  + COUNTIFS('자가소비(B)'!C:C, $E$1, '자가소비(B)'!G:G, B123, '자가소비(B)'!X:X, B127)
  + COUNTIFS('PPA 사업(C)'!C:C, $E$1, 'PPA 사업(C)'!G:G, B123, 'PPA 사업(C)'!X:X, B127)
  + COUNTIFS('리스사업(D)'!C:C, $E$1, '리스사업(D)'!G:G, B123, '리스사업(D)'!X:X, B127)
  + COUNTIFS('임대사업(E)'!C:C, $E$1, '임대사업(E)'!G:G, B123, '임대사업(E)'!X:X, B127)
  + COUNTIFS('환경부사업(F)'!C:C, $E$1, '환경부사업(F)'!G:G, B123, '환경부사업(F)'!X:X, B127)
  + COUNTIFS('프로젝트(G)'!C:C, $E$1, '프로젝트(G)'!G:G, B123, '프로젝트(G)'!X:X, B127)
  + COUNTIFS('협력사 EPC(H)'!C:C, $E$1, '협력사 EPC(H)'!G:G, B123, '협력사 EPC(H)'!X:X, B127)
  + COUNTIFS('기타(Z)'!C:C, $E$1, '기타(Z)'!G:G, B123, '기타(Z)'!X:X, B127)
)</f>
        <v/>
      </c>
      <c r="E127" s="262" t="str">
        <f>IF(
  SUM(
    SUMIFS('발전사업(A)'!I:I, '발전사업(A)'!C:C, $E$1, '발전사업(A)'!G:G, B123, '발전사업(A)'!X:X, B127, '발전사업(A)'!U:U, $C$1),
    SUMIFS('자가소비(B)'!I:I, '자가소비(B)'!C:C, $E$1, '자가소비(B)'!G:G, B123, '자가소비(B)'!X:X, B127, '자가소비(B)'!U:U, $C$1),
    SUMIFS('PPA 사업(C)'!I:I, 'PPA 사업(C)'!C:C, $E$1, 'PPA 사업(C)'!G:G, B123, 'PPA 사업(C)'!X:X, B127, 'PPA 사업(C)'!U:U, $C$1),
    SUMIFS('리스사업(D)'!I:I, '리스사업(D)'!C:C, $E$1, '리스사업(D)'!G:G, B123, '리스사업(D)'!X:X, B127, '리스사업(D)'!U:U, $C$1),
    SUMIFS('임대사업(E)'!I:I, '임대사업(E)'!C:C, $E$1, '임대사업(E)'!G:G, B123, '임대사업(E)'!X:X, B127, '임대사업(E)'!U:U, $C$1),
    SUMIFS('환경부사업(F)'!I:I, '환경부사업(F)'!C:C, $E$1, '환경부사업(F)'!G:G, B123, '환경부사업(F)'!X:X, B127, '환경부사업(F)'!U:U, $C$1),
    SUMIFS('프로젝트(G)'!I:I, '프로젝트(G)'!C:C, $E$1, '프로젝트(G)'!G:G, B123, '프로젝트(G)'!X:X, B127, '프로젝트(G)'!U:U, $C$1),
    SUMIFS('협력사 EPC(H)'!I:I, '협력사 EPC(H)'!C:C, $E$1, '협력사 EPC(H)'!G:G, B123, '협력사 EPC(H)'!X:X, B127, '협력사 EPC(H)'!U:U, $C$1),
    SUMIFS('기타(Z)'!I:I, '기타(Z)'!C:C, $E$1, '기타(Z)'!G:G, B123, '기타(Z)'!X:X, B127, '기타(Z)'!U:U, $C$1)
  ) = 0,
  "",
  SUM(
    SUMIFS('발전사업(A)'!I:I, '발전사업(A)'!C:C, $E$1, '발전사업(A)'!G:G, B123, '발전사업(A)'!X:X, B127, '발전사업(A)'!U:U, $C$1),
    SUMIFS('자가소비(B)'!I:I, '자가소비(B)'!C:C, $E$1, '자가소비(B)'!G:G, B123, '자가소비(B)'!X:X, B127, '자가소비(B)'!U:U, $C$1),
    SUMIFS('PPA 사업(C)'!I:I, 'PPA 사업(C)'!C:C, $E$1, 'PPA 사업(C)'!G:G, B123, 'PPA 사업(C)'!X:X, B127, 'PPA 사업(C)'!U:U, $C$1),
    SUMIFS('리스사업(D)'!I:I, '리스사업(D)'!C:C, $E$1, '리스사업(D)'!G:G, B123, '리스사업(D)'!X:X, B127, '리스사업(D)'!U:U, $C$1),
    SUMIFS('임대사업(E)'!I:I, '임대사업(E)'!C:C, $E$1, '임대사업(E)'!G:G, B123, '임대사업(E)'!X:X, B127, '임대사업(E)'!U:U, $C$1),
    SUMIFS('환경부사업(F)'!I:I, '환경부사업(F)'!C:C, $E$1, '환경부사업(F)'!G:G, B123, '환경부사업(F)'!X:X, B127, '환경부사업(F)'!U:U, $C$1),
    SUMIFS('프로젝트(G)'!I:I, '프로젝트(G)'!C:C, $E$1, '프로젝트(G)'!G:G, B123, '프로젝트(G)'!X:X, B127, '프로젝트(G)'!U:U, $C$1),
    SUMIFS('협력사 EPC(H)'!I:I, '협력사 EPC(H)'!C:C, $E$1, '협력사 EPC(H)'!G:G, B123, '협력사 EPC(H)'!X:X, B127, '협력사 EPC(H)'!U:U, $C$1),
    SUMIFS('기타(Z)'!I:I, '기타(Z)'!C:C, $E$1, '기타(Z)'!G:G, B123, '기타(Z)'!X:X, B127, '기타(Z)'!U:U, $C$1)
  )
)</f>
        <v/>
      </c>
      <c r="F127" s="263" t="str">
        <f>IF(
  SUM(
    COUNTIFS('발전사업(A)'!C:C, $E$1, '발전사업(A)'!G:G, B123, '발전사업(A)'!X:X, B127, '발전사업(A)'!U:U, $C$1),
    COUNTIFS('자가소비(B)'!C:C, $E$1, '자가소비(B)'!G:G, B123, '자가소비(B)'!X:X, B127, '자가소비(B)'!U:U, $C$1),
    COUNTIFS('PPA 사업(C)'!C:C, $E$1, 'PPA 사업(C)'!G:G, B123, 'PPA 사업(C)'!X:X, B127, 'PPA 사업(C)'!U:U, $C$1),
    COUNTIFS('리스사업(D)'!C:C, $E$1, '리스사업(D)'!G:G, B123, '리스사업(D)'!X:X, B127, '리스사업(D)'!U:U, $C$1),
    COUNTIFS('임대사업(E)'!C:C, $E$1, '임대사업(E)'!G:G, B123, '임대사업(E)'!X:X, B127, '임대사업(E)'!U:U, $C$1),
    COUNTIFS('환경부사업(F)'!C:C, $E$1, '환경부사업(F)'!G:G, B123, '환경부사업(F)'!X:X, B127, '환경부사업(F)'!U:U, $C$1),
    COUNTIFS('프로젝트(G)'!C:C, $E$1, '프로젝트(G)'!G:G, B123, '프로젝트(G)'!X:X, B127, '프로젝트(G)'!U:U, $C$1),
    COUNTIFS('협력사 EPC(H)'!C:C, $E$1, '협력사 EPC(H)'!G:G, B123, '협력사 EPC(H)'!X:X, B127, '협력사 EPC(H)'!U:U, $C$1),
    COUNTIFS('기타(Z)'!C:C, $E$1, '기타(Z)'!G:G, B123, '기타(Z)'!X:X, B127, '기타(Z)'!U:U, $C$1)
  ) = 0,
  "",
  SUM(
    COUNTIFS('발전사업(A)'!C:C, $E$1, '발전사업(A)'!G:G, B123, '발전사업(A)'!X:X, B127, '발전사업(A)'!U:U, $C$1),
    COUNTIFS('자가소비(B)'!C:C, $E$1, '자가소비(B)'!G:G, B123, '자가소비(B)'!X:X, B127, '자가소비(B)'!U:U, $C$1),
    COUNTIFS('PPA 사업(C)'!C:C, $E$1, 'PPA 사업(C)'!G:G, B123, 'PPA 사업(C)'!X:X, B127, 'PPA 사업(C)'!U:U, $C$1),
    COUNTIFS('리스사업(D)'!C:C, $E$1, '리스사업(D)'!G:G, B123, '리스사업(D)'!X:X, B127, '리스사업(D)'!U:U, $C$1),
    COUNTIFS('임대사업(E)'!C:C, $E$1, '임대사업(E)'!G:G, B123, '임대사업(E)'!X:X, B127, '임대사업(E)'!U:U, $C$1),
    COUNTIFS('환경부사업(F)'!C:C, $E$1, '환경부사업(F)'!G:G, B123, '환경부사업(F)'!X:X, B127, '환경부사업(F)'!U:U, $C$1),
    COUNTIFS('프로젝트(G)'!C:C, $E$1, '프로젝트(G)'!G:G, B123, '프로젝트(G)'!X:X, B127, '프로젝트(G)'!U:U, $C$1),
    COUNTIFS('협력사 EPC(H)'!C:C, $E$1, '협력사 EPC(H)'!G:G, B123, '협력사 EPC(H)'!X:X, B127, '협력사 EPC(H)'!U:U, $C$1),
    COUNTIFS('기타(Z)'!C:C, $E$1, '기타(Z)'!G:G, B123, '기타(Z)'!X:X, B127, '기타(Z)'!U:U, $C$1)
  )
)</f>
        <v/>
      </c>
      <c r="G127" s="262" t="str">
        <f>IF(
  SUM(
    SUMIFS('발전사업(A)'!I:I, '발전사업(A)'!C:C, $E$1, '발전사업(A)'!G:G, B123, '발전사업(A)'!X:X, B127, '발전사업(A)'!U:U, $D$1),
    SUMIFS('자가소비(B)'!I:I, '자가소비(B)'!C:C, $E$1, '자가소비(B)'!G:G, B123, '자가소비(B)'!X:X, B127, '자가소비(B)'!U:U, $D$1),
    SUMIFS('PPA 사업(C)'!I:I, 'PPA 사업(C)'!C:C, $E$1, 'PPA 사업(C)'!G:G, B123, 'PPA 사업(C)'!X:X, B127, 'PPA 사업(C)'!U:U, $D$1),
    SUMIFS('리스사업(D)'!I:I, '리스사업(D)'!C:C, $E$1, '리스사업(D)'!G:G, B123, '리스사업(D)'!X:X, B127, '리스사업(D)'!U:U, $D$1),
    SUMIFS('임대사업(E)'!I:I, '임대사업(E)'!C:C, $E$1, '임대사업(E)'!G:G, B123, '임대사업(E)'!X:X, B127, '임대사업(E)'!U:U, $D$1),
    SUMIFS('환경부사업(F)'!I:I, '환경부사업(F)'!C:C, $E$1, '환경부사업(F)'!G:G, B123, '환경부사업(F)'!X:X, B127, '환경부사업(F)'!U:U, $D$1),
    SUMIFS('프로젝트(G)'!I:I, '프로젝트(G)'!C:C, $E$1, '프로젝트(G)'!G:G, B123, '프로젝트(G)'!X:X, B127, '프로젝트(G)'!U:U, $D$1),
    SUMIFS('협력사 EPC(H)'!I:I, '협력사 EPC(H)'!C:C, $E$1, '협력사 EPC(H)'!G:G, B123, '협력사 EPC(H)'!X:X, B127, '협력사 EPC(H)'!U:U, $D$1),
    SUMIFS('기타(Z)'!I:I, '기타(Z)'!C:C, $E$1, '기타(Z)'!G:G, B123, '기타(Z)'!X:X, B127, '기타(Z)'!U:U, $D$1)
  ) = 0,
  "",
  SUM(
    SUMIFS('발전사업(A)'!I:I, '발전사업(A)'!C:C, $E$1, '발전사업(A)'!G:G, B123, '발전사업(A)'!X:X, B127, '발전사업(A)'!U:U, $D$1),
    SUMIFS('자가소비(B)'!I:I, '자가소비(B)'!C:C, $E$1, '자가소비(B)'!G:G, B123, '자가소비(B)'!X:X, B127, '자가소비(B)'!U:U, $D$1),
    SUMIFS('PPA 사업(C)'!I:I, 'PPA 사업(C)'!C:C, $E$1, 'PPA 사업(C)'!G:G, B123, 'PPA 사업(C)'!X:X, B127, 'PPA 사업(C)'!U:U, $D$1),
    SUMIFS('리스사업(D)'!I:I, '리스사업(D)'!C:C, $E$1, '리스사업(D)'!G:G, B123, '리스사업(D)'!X:X, B127, '리스사업(D)'!U:U, $D$1),
    SUMIFS('임대사업(E)'!I:I, '임대사업(E)'!C:C, $E$1, '임대사업(E)'!G:G, B123, '임대사업(E)'!X:X, B127, '임대사업(E)'!U:U, $D$1),
    SUMIFS('환경부사업(F)'!I:I, '환경부사업(F)'!C:C, $E$1, '환경부사업(F)'!G:G, B123, '환경부사업(F)'!X:X, B127, '환경부사업(F)'!U:U, $D$1),
    SUMIFS('프로젝트(G)'!I:I, '프로젝트(G)'!C:C, $E$1, '프로젝트(G)'!G:G, B123, '프로젝트(G)'!X:X, B127, '프로젝트(G)'!U:U, $D$1),
    SUMIFS('협력사 EPC(H)'!I:I, '협력사 EPC(H)'!C:C, $E$1, '협력사 EPC(H)'!G:G, B123, '협력사 EPC(H)'!X:X, B127, '협력사 EPC(H)'!U:U, $D$1),
    SUMIFS('기타(Z)'!I:I, '기타(Z)'!C:C, $E$1, '기타(Z)'!G:G, B123, '기타(Z)'!X:X, B127, '기타(Z)'!U:U, $D$1)
  )
)</f>
        <v/>
      </c>
      <c r="H127" s="263" t="str">
        <f>IF(
  (
    COUNTIFS('발전사업(A)'!C:C, $E$1, '발전사업(A)'!G:G, B123, '발전사업(A)'!X:X, B127, '발전사업(A)'!U:U, $D$1)
    + COUNTIFS('자가소비(B)'!C:C, $E$1, '자가소비(B)'!G:G, B123, '자가소비(B)'!X:X, B127, '자가소비(B)'!U:U, $D$1)
    + COUNTIFS('PPA 사업(C)'!C:C, $E$1, 'PPA 사업(C)'!G:G, B123, 'PPA 사업(C)'!X:X, B127, 'PPA 사업(C)'!U:U, $D$1)
    + COUNTIFS('리스사업(D)'!C:C, $E$1, '리스사업(D)'!G:G, B123, '리스사업(D)'!X:X, B127, '리스사업(D)'!U:U, $D$1)
    + COUNTIFS('임대사업(E)'!C:C, $E$1, '임대사업(E)'!G:G, B123, '임대사업(E)'!X:X, B127, '임대사업(E)'!U:U, $D$1)
    + COUNTIFS('환경부사업(F)'!C:C, $E$1, '환경부사업(F)'!G:G, B123, '환경부사업(F)'!X:X, B127, '환경부사업(F)'!U:U, $D$1)
    + COUNTIFS('프로젝트(G)'!C:C, $E$1, '프로젝트(G)'!G:G, B123, '프로젝트(G)'!X:X, B127, '프로젝트(G)'!U:U, $D$1)
    + COUNTIFS('협력사 EPC(H)'!C:C, $E$1, '협력사 EPC(H)'!G:G, B123, '협력사 EPC(H)'!X:X, B127, '협력사 EPC(H)'!U:U, $D$1)
    + COUNTIFS('기타(Z)'!C:C, $E$1, '기타(Z)'!G:G, B123, '기타(Z)'!X:X, B127, '기타(Z)'!U:U, $D$1)
  ) = 0,
  "",
  COUNTIFS('발전사업(A)'!C:C, $E$1, '발전사업(A)'!G:G, B123, '발전사업(A)'!X:X, B127, '발전사업(A)'!U:U, $D$1)
  + COUNTIFS('자가소비(B)'!C:C, $E$1, '자가소비(B)'!G:G, B123, '자가소비(B)'!X:X, B127, '자가소비(B)'!U:U, $D$1)
  + COUNTIFS('PPA 사업(C)'!C:C, $E$1, 'PPA 사업(C)'!G:G, B123, 'PPA 사업(C)'!X:X, B127, 'PPA 사업(C)'!U:U, $D$1)
  + COUNTIFS('리스사업(D)'!C:C, $E$1, '리스사업(D)'!G:G, B123, '리스사업(D)'!X:X, B127, '리스사업(D)'!U:U, $D$1)
  + COUNTIFS('임대사업(E)'!C:C, $E$1, '임대사업(E)'!G:G, B123, '임대사업(E)'!X:X, B127, '임대사업(E)'!U:U, $D$1)
  + COUNTIFS('환경부사업(F)'!C:C, $E$1, '환경부사업(F)'!G:G, B123, '환경부사업(F)'!X:X, B127, '환경부사업(F)'!U:U, $D$1)
  + COUNTIFS('프로젝트(G)'!C:C, $E$1, '프로젝트(G)'!G:G, B123, '프로젝트(G)'!X:X, B127, '프로젝트(G)'!U:U, $D$1)
  + COUNTIFS('협력사 EPC(H)'!C:C, $E$1, '협력사 EPC(H)'!G:G, B123, '협력사 EPC(H)'!X:X, B127, '협력사 EPC(H)'!U:U, $D$1)
  + COUNTIFS('기타(Z)'!C:C, $E$1, '기타(Z)'!G:G, B123, '기타(Z)'!X:X, B127, '기타(Z)'!U:U, $D$1)
)</f>
        <v/>
      </c>
    </row>
    <row r="128" spans="2:8" x14ac:dyDescent="0.25">
      <c r="B128" s="195" t="s">
        <v>155</v>
      </c>
      <c r="C128" s="262" t="str">
        <f>IF(
  SUM(
    SUMIFS('발전사업(A)'!I:I, '발전사업(A)'!C:C, $E$1, '발전사업(A)'!G:G, B123, '발전사업(A)'!X:X, B128),
    SUMIFS('자가소비(B)'!I:I, '자가소비(B)'!C:C, $E$1, '자가소비(B)'!G:G, B123, '자가소비(B)'!X:X, B128),
    SUMIFS('PPA 사업(C)'!I:I, 'PPA 사업(C)'!C:C, $E$1, 'PPA 사업(C)'!G:G, B123, 'PPA 사업(C)'!X:X, B128),
    SUMIFS('리스사업(D)'!I:I, '리스사업(D)'!C:C, $E$1, '리스사업(D)'!G:G, B123, '리스사업(D)'!X:X, B128),
    SUMIFS('임대사업(E)'!I:I, '임대사업(E)'!C:C, $E$1, '임대사업(E)'!G:G, B123, '임대사업(E)'!X:X, B128),
    SUMIFS('환경부사업(F)'!I:I, '환경부사업(F)'!C:C, $E$1, '환경부사업(F)'!G:G, B123, '환경부사업(F)'!X:X, B128),
    SUMIFS('프로젝트(G)'!I:I, '프로젝트(G)'!C:C, $E$1, '프로젝트(G)'!G:G, B123, '프로젝트(G)'!X:X, B128),
    SUMIFS('협력사 EPC(H)'!I:I, '협력사 EPC(H)'!C:C, $E$1, '협력사 EPC(H)'!G:G, B123, '협력사 EPC(H)'!X:X, B128),
    SUMIFS('기타(Z)'!I:I, '기타(Z)'!C:C, $E$1, '기타(Z)'!G:G, B123, '기타(Z)'!X:X, B128)
  ) = 0,
  "",
  SUMIFS('발전사업(A)'!I:I, '발전사업(A)'!C:C, $E$1, '발전사업(A)'!G:G, B123, '발전사업(A)'!X:X, B128)
  + SUMIFS('자가소비(B)'!I:I, '자가소비(B)'!C:C, $E$1, '자가소비(B)'!G:G, B123, '자가소비(B)'!X:X, B128)
  + SUMIFS('PPA 사업(C)'!I:I, 'PPA 사업(C)'!C:C, $E$1, 'PPA 사업(C)'!G:G, B123, 'PPA 사업(C)'!X:X, B128)
  + SUMIFS('리스사업(D)'!I:I, '리스사업(D)'!C:C, $E$1, '리스사업(D)'!G:G, B123, '리스사업(D)'!X:X, B128)
  + SUMIFS('임대사업(E)'!I:I, '임대사업(E)'!C:C, $E$1, '임대사업(E)'!G:G, B123, '임대사업(E)'!X:X, B128)
  + SUMIFS('환경부사업(F)'!I:I, '환경부사업(F)'!C:C, $E$1, '환경부사업(F)'!G:G, B123, '환경부사업(F)'!X:X, B128)
  + SUMIFS('프로젝트(G)'!I:I, '프로젝트(G)'!C:C, $E$1, '프로젝트(G)'!G:G, B123, '프로젝트(G)'!X:X, B128)
  + SUMIFS('협력사 EPC(H)'!I:I, '협력사 EPC(H)'!C:C, $E$1, '협력사 EPC(H)'!G:G, B123, '협력사 EPC(H)'!X:X, B128)
  + SUMIFS('기타(Z)'!I:I, '기타(Z)'!C:C, $E$1, '기타(Z)'!G:G, B123, '기타(Z)'!X:X, B128)
)</f>
        <v/>
      </c>
      <c r="D128" s="263" t="str">
        <f>IF(
  COUNTIFS('발전사업(A)'!C:C, $E$1, '발전사업(A)'!G:G, B123, '발전사업(A)'!X:X, B128)
  + COUNTIFS('자가소비(B)'!C:C, $E$1, '자가소비(B)'!G:G, B123, '자가소비(B)'!X:X, B128)
  + COUNTIFS('PPA 사업(C)'!C:C, $E$1, 'PPA 사업(C)'!G:G, B123, 'PPA 사업(C)'!X:X, B128)
  + COUNTIFS('리스사업(D)'!C:C, $E$1, '리스사업(D)'!G:G, B123, '리스사업(D)'!X:X, B128)
  + COUNTIFS('임대사업(E)'!C:C, $E$1, '임대사업(E)'!G:G, B123, '임대사업(E)'!X:X, B128)
  + COUNTIFS('환경부사업(F)'!C:C, $E$1, '환경부사업(F)'!G:G, B123, '환경부사업(F)'!X:X, B128)
  + COUNTIFS('프로젝트(G)'!C:C, $E$1, '프로젝트(G)'!G:G, B123, '프로젝트(G)'!X:X, B128)
  + COUNTIFS('협력사 EPC(H)'!C:C, $E$1, '협력사 EPC(H)'!G:G, B123, '협력사 EPC(H)'!X:X, B128)
  + COUNTIFS('기타(Z)'!C:C, $E$1, '기타(Z)'!G:G, B123, '기타(Z)'!X:X, B128)
  = 0,
  "",
  COUNTIFS('발전사업(A)'!C:C, $E$1, '발전사업(A)'!G:G, B123, '발전사업(A)'!X:X, B128)
  + COUNTIFS('자가소비(B)'!C:C, $E$1, '자가소비(B)'!G:G, B123, '자가소비(B)'!X:X, B128)
  + COUNTIFS('PPA 사업(C)'!C:C, $E$1, 'PPA 사업(C)'!G:G, B123, 'PPA 사업(C)'!X:X, B128)
  + COUNTIFS('리스사업(D)'!C:C, $E$1, '리스사업(D)'!G:G, B123, '리스사업(D)'!X:X, B128)
  + COUNTIFS('임대사업(E)'!C:C, $E$1, '임대사업(E)'!G:G, B123, '임대사업(E)'!X:X, B128)
  + COUNTIFS('환경부사업(F)'!C:C, $E$1, '환경부사업(F)'!G:G, B123, '환경부사업(F)'!X:X, B128)
  + COUNTIFS('프로젝트(G)'!C:C, $E$1, '프로젝트(G)'!G:G, B123, '프로젝트(G)'!X:X, B128)
  + COUNTIFS('협력사 EPC(H)'!C:C, $E$1, '협력사 EPC(H)'!G:G, B123, '협력사 EPC(H)'!X:X, B128)
  + COUNTIFS('기타(Z)'!C:C, $E$1, '기타(Z)'!G:G, B123, '기타(Z)'!X:X, B128)
)</f>
        <v/>
      </c>
      <c r="E128" s="262" t="str">
        <f>IF(
  SUM(
    SUMIFS('발전사업(A)'!I:I, '발전사업(A)'!C:C, $E$1, '발전사업(A)'!G:G, B123, '발전사업(A)'!X:X, B128, '발전사업(A)'!U:U, $C$1),
    SUMIFS('자가소비(B)'!I:I, '자가소비(B)'!C:C, $E$1, '자가소비(B)'!G:G, B123, '자가소비(B)'!X:X, B128, '자가소비(B)'!U:U, $C$1),
    SUMIFS('PPA 사업(C)'!I:I, 'PPA 사업(C)'!C:C, $E$1, 'PPA 사업(C)'!G:G, B123, 'PPA 사업(C)'!X:X, B128, 'PPA 사업(C)'!U:U, $C$1),
    SUMIFS('리스사업(D)'!I:I, '리스사업(D)'!C:C, $E$1, '리스사업(D)'!G:G, B123, '리스사업(D)'!X:X, B128, '리스사업(D)'!U:U, $C$1),
    SUMIFS('임대사업(E)'!I:I, '임대사업(E)'!C:C, $E$1, '임대사업(E)'!G:G, B123, '임대사업(E)'!X:X, B128, '임대사업(E)'!U:U, $C$1),
    SUMIFS('환경부사업(F)'!I:I, '환경부사업(F)'!C:C, $E$1, '환경부사업(F)'!G:G, B123, '환경부사업(F)'!X:X, B128, '환경부사업(F)'!U:U, $C$1),
    SUMIFS('프로젝트(G)'!I:I, '프로젝트(G)'!C:C, $E$1, '프로젝트(G)'!G:G, B123, '프로젝트(G)'!X:X, B128, '프로젝트(G)'!U:U, $C$1),
    SUMIFS('협력사 EPC(H)'!I:I, '협력사 EPC(H)'!C:C, $E$1, '협력사 EPC(H)'!G:G, B123, '협력사 EPC(H)'!X:X, B128, '협력사 EPC(H)'!U:U, $C$1),
    SUMIFS('기타(Z)'!I:I, '기타(Z)'!C:C, $E$1, '기타(Z)'!G:G, B123, '기타(Z)'!X:X, B128, '기타(Z)'!U:U, $C$1)
  ) = 0,
  "",
  SUM(
    SUMIFS('발전사업(A)'!I:I, '발전사업(A)'!C:C, $E$1, '발전사업(A)'!G:G, B123, '발전사업(A)'!X:X, B128, '발전사업(A)'!U:U, $C$1),
    SUMIFS('자가소비(B)'!I:I, '자가소비(B)'!C:C, $E$1, '자가소비(B)'!G:G, B123, '자가소비(B)'!X:X, B128, '자가소비(B)'!U:U, $C$1),
    SUMIFS('PPA 사업(C)'!I:I, 'PPA 사업(C)'!C:C, $E$1, 'PPA 사업(C)'!G:G, B123, 'PPA 사업(C)'!X:X, B128, 'PPA 사업(C)'!U:U, $C$1),
    SUMIFS('리스사업(D)'!I:I, '리스사업(D)'!C:C, $E$1, '리스사업(D)'!G:G, B123, '리스사업(D)'!X:X, B128, '리스사업(D)'!U:U, $C$1),
    SUMIFS('임대사업(E)'!I:I, '임대사업(E)'!C:C, $E$1, '임대사업(E)'!G:G, B123, '임대사업(E)'!X:X, B128, '임대사업(E)'!U:U, $C$1),
    SUMIFS('환경부사업(F)'!I:I, '환경부사업(F)'!C:C, $E$1, '환경부사업(F)'!G:G, B123, '환경부사업(F)'!X:X, B128, '환경부사업(F)'!U:U, $C$1),
    SUMIFS('프로젝트(G)'!I:I, '프로젝트(G)'!C:C, $E$1, '프로젝트(G)'!G:G, B123, '프로젝트(G)'!X:X, B128, '프로젝트(G)'!U:U, $C$1),
    SUMIFS('협력사 EPC(H)'!I:I, '협력사 EPC(H)'!C:C, $E$1, '협력사 EPC(H)'!G:G, B123, '협력사 EPC(H)'!X:X, B128, '협력사 EPC(H)'!U:U, $C$1),
    SUMIFS('기타(Z)'!I:I, '기타(Z)'!C:C, $E$1, '기타(Z)'!G:G, B123, '기타(Z)'!X:X, B128, '기타(Z)'!U:U, $C$1)
  )
)</f>
        <v/>
      </c>
      <c r="F128" s="263" t="str">
        <f>IF(
  SUM(
    COUNTIFS('발전사업(A)'!C:C, $E$1, '발전사업(A)'!G:G, B123, '발전사업(A)'!X:X, B128, '발전사업(A)'!U:U, $C$1),
    COUNTIFS('자가소비(B)'!C:C, $E$1, '자가소비(B)'!G:G, B123, '자가소비(B)'!X:X, B128, '자가소비(B)'!U:U, $C$1),
    COUNTIFS('PPA 사업(C)'!C:C, $E$1, 'PPA 사업(C)'!G:G, B123, 'PPA 사업(C)'!X:X, B128, 'PPA 사업(C)'!U:U, $C$1),
    COUNTIFS('리스사업(D)'!C:C, $E$1, '리스사업(D)'!G:G, B123, '리스사업(D)'!X:X, B128, '리스사업(D)'!U:U, $C$1),
    COUNTIFS('임대사업(E)'!C:C, $E$1, '임대사업(E)'!G:G, B123, '임대사업(E)'!X:X, B128, '임대사업(E)'!U:U, $C$1),
    COUNTIFS('환경부사업(F)'!C:C, $E$1, '환경부사업(F)'!G:G, B123, '환경부사업(F)'!X:X, B128, '환경부사업(F)'!U:U, $C$1),
    COUNTIFS('프로젝트(G)'!C:C, $E$1, '프로젝트(G)'!G:G, B123, '프로젝트(G)'!X:X, B128, '프로젝트(G)'!U:U, $C$1),
    COUNTIFS('협력사 EPC(H)'!C:C, $E$1, '협력사 EPC(H)'!G:G, B123, '협력사 EPC(H)'!X:X, B128, '협력사 EPC(H)'!U:U, $C$1),
    COUNTIFS('기타(Z)'!C:C, $E$1, '기타(Z)'!G:G, B123, '기타(Z)'!X:X, B128, '기타(Z)'!U:U, $C$1)
  ) = 0,
  "",
  SUM(
    COUNTIFS('발전사업(A)'!C:C, $E$1, '발전사업(A)'!G:G, B123, '발전사업(A)'!X:X, B128, '발전사업(A)'!U:U, $C$1),
    COUNTIFS('자가소비(B)'!C:C, $E$1, '자가소비(B)'!G:G, B123, '자가소비(B)'!X:X, B128, '자가소비(B)'!U:U, $C$1),
    COUNTIFS('PPA 사업(C)'!C:C, $E$1, 'PPA 사업(C)'!G:G, B123, 'PPA 사업(C)'!X:X, B128, 'PPA 사업(C)'!U:U, $C$1),
    COUNTIFS('리스사업(D)'!C:C, $E$1, '리스사업(D)'!G:G, B123, '리스사업(D)'!X:X, B128, '리스사업(D)'!U:U, $C$1),
    COUNTIFS('임대사업(E)'!C:C, $E$1, '임대사업(E)'!G:G, B123, '임대사업(E)'!X:X, B128, '임대사업(E)'!U:U, $C$1),
    COUNTIFS('환경부사업(F)'!C:C, $E$1, '환경부사업(F)'!G:G, B123, '환경부사업(F)'!X:X, B128, '환경부사업(F)'!U:U, $C$1),
    COUNTIFS('프로젝트(G)'!C:C, $E$1, '프로젝트(G)'!G:G, B123, '프로젝트(G)'!X:X, B128, '프로젝트(G)'!U:U, $C$1),
    COUNTIFS('협력사 EPC(H)'!C:C, $E$1, '협력사 EPC(H)'!G:G, B123, '협력사 EPC(H)'!X:X, B128, '협력사 EPC(H)'!U:U, $C$1),
    COUNTIFS('기타(Z)'!C:C, $E$1, '기타(Z)'!G:G, B123, '기타(Z)'!X:X, B128, '기타(Z)'!U:U, $C$1)
  )
)</f>
        <v/>
      </c>
      <c r="G128" s="262" t="str">
        <f>IF(
  SUM(
    SUMIFS('발전사업(A)'!I:I, '발전사업(A)'!C:C, $E$1, '발전사업(A)'!G:G, B123, '발전사업(A)'!X:X, B128, '발전사업(A)'!U:U, $D$1),
    SUMIFS('자가소비(B)'!I:I, '자가소비(B)'!C:C, $E$1, '자가소비(B)'!G:G, B123, '자가소비(B)'!X:X, B128, '자가소비(B)'!U:U, $D$1),
    SUMIFS('PPA 사업(C)'!I:I, 'PPA 사업(C)'!C:C, $E$1, 'PPA 사업(C)'!G:G, B123, 'PPA 사업(C)'!X:X, B128, 'PPA 사업(C)'!U:U, $D$1),
    SUMIFS('리스사업(D)'!I:I, '리스사업(D)'!C:C, $E$1, '리스사업(D)'!G:G, B123, '리스사업(D)'!X:X, B128, '리스사업(D)'!U:U, $D$1),
    SUMIFS('임대사업(E)'!I:I, '임대사업(E)'!C:C, $E$1, '임대사업(E)'!G:G, B123, '임대사업(E)'!X:X, B128, '임대사업(E)'!U:U, $D$1),
    SUMIFS('환경부사업(F)'!I:I, '환경부사업(F)'!C:C, $E$1, '환경부사업(F)'!G:G, B123, '환경부사업(F)'!X:X, B128, '환경부사업(F)'!U:U, $D$1),
    SUMIFS('프로젝트(G)'!I:I, '프로젝트(G)'!C:C, $E$1, '프로젝트(G)'!G:G, B123, '프로젝트(G)'!X:X, B128, '프로젝트(G)'!U:U, $D$1),
    SUMIFS('협력사 EPC(H)'!I:I, '협력사 EPC(H)'!C:C, $E$1, '협력사 EPC(H)'!G:G, B123, '협력사 EPC(H)'!X:X, B128, '협력사 EPC(H)'!U:U, $D$1),
    SUMIFS('기타(Z)'!I:I, '기타(Z)'!C:C, $E$1, '기타(Z)'!G:G, B123, '기타(Z)'!X:X, B128, '기타(Z)'!U:U, $D$1)
  ) = 0,
  "",
  SUM(
    SUMIFS('발전사업(A)'!I:I, '발전사업(A)'!C:C, $E$1, '발전사업(A)'!G:G, B123, '발전사업(A)'!X:X, B128, '발전사업(A)'!U:U, $D$1),
    SUMIFS('자가소비(B)'!I:I, '자가소비(B)'!C:C, $E$1, '자가소비(B)'!G:G, B123, '자가소비(B)'!X:X, B128, '자가소비(B)'!U:U, $D$1),
    SUMIFS('PPA 사업(C)'!I:I, 'PPA 사업(C)'!C:C, $E$1, 'PPA 사업(C)'!G:G, B123, 'PPA 사업(C)'!X:X, B128, 'PPA 사업(C)'!U:U, $D$1),
    SUMIFS('리스사업(D)'!I:I, '리스사업(D)'!C:C, $E$1, '리스사업(D)'!G:G, B123, '리스사업(D)'!X:X, B128, '리스사업(D)'!U:U, $D$1),
    SUMIFS('임대사업(E)'!I:I, '임대사업(E)'!C:C, $E$1, '임대사업(E)'!G:G, B123, '임대사업(E)'!X:X, B128, '임대사업(E)'!U:U, $D$1),
    SUMIFS('환경부사업(F)'!I:I, '환경부사업(F)'!C:C, $E$1, '환경부사업(F)'!G:G, B123, '환경부사업(F)'!X:X, B128, '환경부사업(F)'!U:U, $D$1),
    SUMIFS('프로젝트(G)'!I:I, '프로젝트(G)'!C:C, $E$1, '프로젝트(G)'!G:G, B123, '프로젝트(G)'!X:X, B128, '프로젝트(G)'!U:U, $D$1),
    SUMIFS('협력사 EPC(H)'!I:I, '협력사 EPC(H)'!C:C, $E$1, '협력사 EPC(H)'!G:G, B123, '협력사 EPC(H)'!X:X, B128, '협력사 EPC(H)'!U:U, $D$1),
    SUMIFS('기타(Z)'!I:I, '기타(Z)'!C:C, $E$1, '기타(Z)'!G:G, B123, '기타(Z)'!X:X, B128, '기타(Z)'!U:U, $D$1)
  )
)</f>
        <v/>
      </c>
      <c r="H128" s="263" t="str">
        <f>IF(
  (
    COUNTIFS('발전사업(A)'!C:C, $E$1, '발전사업(A)'!G:G, B123, '발전사업(A)'!X:X, B128, '발전사업(A)'!U:U, $D$1)
    + COUNTIFS('자가소비(B)'!C:C, $E$1, '자가소비(B)'!G:G, B123, '자가소비(B)'!X:X, B128, '자가소비(B)'!U:U, $D$1)
    + COUNTIFS('PPA 사업(C)'!C:C, $E$1, 'PPA 사업(C)'!G:G, B123, 'PPA 사업(C)'!X:X, B128, 'PPA 사업(C)'!U:U, $D$1)
    + COUNTIFS('리스사업(D)'!C:C, $E$1, '리스사업(D)'!G:G, B123, '리스사업(D)'!X:X, B128, '리스사업(D)'!U:U, $D$1)
    + COUNTIFS('임대사업(E)'!C:C, $E$1, '임대사업(E)'!G:G, B123, '임대사업(E)'!X:X, B128, '임대사업(E)'!U:U, $D$1)
    + COUNTIFS('환경부사업(F)'!C:C, $E$1, '환경부사업(F)'!G:G, B123, '환경부사업(F)'!X:X, B128, '환경부사업(F)'!U:U, $D$1)
    + COUNTIFS('프로젝트(G)'!C:C, $E$1, '프로젝트(G)'!G:G, B123, '프로젝트(G)'!X:X, B128, '프로젝트(G)'!U:U, $D$1)
    + COUNTIFS('협력사 EPC(H)'!C:C, $E$1, '협력사 EPC(H)'!G:G, B123, '협력사 EPC(H)'!X:X, B128, '협력사 EPC(H)'!U:U, $D$1)
    + COUNTIFS('기타(Z)'!C:C, $E$1, '기타(Z)'!G:G, B123, '기타(Z)'!X:X, B128, '기타(Z)'!U:U, $D$1)
  ) = 0,
  "",
  COUNTIFS('발전사업(A)'!C:C, $E$1, '발전사업(A)'!G:G, B123, '발전사업(A)'!X:X, B128, '발전사업(A)'!U:U, $D$1)
  + COUNTIFS('자가소비(B)'!C:C, $E$1, '자가소비(B)'!G:G, B123, '자가소비(B)'!X:X, B128, '자가소비(B)'!U:U, $D$1)
  + COUNTIFS('PPA 사업(C)'!C:C, $E$1, 'PPA 사업(C)'!G:G, B123, 'PPA 사업(C)'!X:X, B128, 'PPA 사업(C)'!U:U, $D$1)
  + COUNTIFS('리스사업(D)'!C:C, $E$1, '리스사업(D)'!G:G, B123, '리스사업(D)'!X:X, B128, '리스사업(D)'!U:U, $D$1)
  + COUNTIFS('임대사업(E)'!C:C, $E$1, '임대사업(E)'!G:G, B123, '임대사업(E)'!X:X, B128, '임대사업(E)'!U:U, $D$1)
  + COUNTIFS('환경부사업(F)'!C:C, $E$1, '환경부사업(F)'!G:G, B123, '환경부사업(F)'!X:X, B128, '환경부사업(F)'!U:U, $D$1)
  + COUNTIFS('프로젝트(G)'!C:C, $E$1, '프로젝트(G)'!G:G, B123, '프로젝트(G)'!X:X, B128, '프로젝트(G)'!U:U, $D$1)
  + COUNTIFS('협력사 EPC(H)'!C:C, $E$1, '협력사 EPC(H)'!G:G, B123, '협력사 EPC(H)'!X:X, B128, '협력사 EPC(H)'!U:U, $D$1)
  + COUNTIFS('기타(Z)'!C:C, $E$1, '기타(Z)'!G:G, B123, '기타(Z)'!X:X, B128, '기타(Z)'!U:U, $D$1)
)</f>
        <v/>
      </c>
    </row>
    <row r="129" spans="2:8" x14ac:dyDescent="0.25">
      <c r="B129" s="195" t="s">
        <v>156</v>
      </c>
      <c r="C129" s="262" t="str">
        <f>IF(
  SUM(
    SUMIFS('발전사업(A)'!I:I, '발전사업(A)'!C:C, $E$1, '발전사업(A)'!G:G, B123, '발전사업(A)'!X:X, B129),
    SUMIFS('자가소비(B)'!I:I, '자가소비(B)'!C:C, $E$1, '자가소비(B)'!G:G, B123, '자가소비(B)'!X:X, B129),
    SUMIFS('PPA 사업(C)'!I:I, 'PPA 사업(C)'!C:C, $E$1, 'PPA 사업(C)'!G:G, B123, 'PPA 사업(C)'!X:X, B129),
    SUMIFS('리스사업(D)'!I:I, '리스사업(D)'!C:C, $E$1, '리스사업(D)'!G:G, B123, '리스사업(D)'!X:X, B129),
    SUMIFS('임대사업(E)'!I:I, '임대사업(E)'!C:C, $E$1, '임대사업(E)'!G:G, B123, '임대사업(E)'!X:X, B129),
    SUMIFS('환경부사업(F)'!I:I, '환경부사업(F)'!C:C, $E$1, '환경부사업(F)'!G:G, B123, '환경부사업(F)'!X:X, B129),
    SUMIFS('프로젝트(G)'!I:I, '프로젝트(G)'!C:C, $E$1, '프로젝트(G)'!G:G, B123, '프로젝트(G)'!X:X, B129),
    SUMIFS('협력사 EPC(H)'!I:I, '협력사 EPC(H)'!C:C, $E$1, '협력사 EPC(H)'!G:G, B123, '협력사 EPC(H)'!X:X, B129),
    SUMIFS('기타(Z)'!I:I, '기타(Z)'!C:C, $E$1, '기타(Z)'!G:G, B123, '기타(Z)'!X:X, B129)
  ) = 0,
  "",
  SUMIFS('발전사업(A)'!I:I, '발전사업(A)'!C:C, $E$1, '발전사업(A)'!G:G, B123, '발전사업(A)'!X:X, B129)
  + SUMIFS('자가소비(B)'!I:I, '자가소비(B)'!C:C, $E$1, '자가소비(B)'!G:G, B123, '자가소비(B)'!X:X, B129)
  + SUMIFS('PPA 사업(C)'!I:I, 'PPA 사업(C)'!C:C, $E$1, 'PPA 사업(C)'!G:G, B123, 'PPA 사업(C)'!X:X, B129)
  + SUMIFS('리스사업(D)'!I:I, '리스사업(D)'!C:C, $E$1, '리스사업(D)'!G:G, B123, '리스사업(D)'!X:X, B129)
  + SUMIFS('임대사업(E)'!I:I, '임대사업(E)'!C:C, $E$1, '임대사업(E)'!G:G, B123, '임대사업(E)'!X:X, B129)
  + SUMIFS('환경부사업(F)'!I:I, '환경부사업(F)'!C:C, $E$1, '환경부사업(F)'!G:G, B123, '환경부사업(F)'!X:X, B129)
  + SUMIFS('프로젝트(G)'!I:I, '프로젝트(G)'!C:C, $E$1, '프로젝트(G)'!G:G, B123, '프로젝트(G)'!X:X, B129)
  + SUMIFS('협력사 EPC(H)'!I:I, '협력사 EPC(H)'!C:C, $E$1, '협력사 EPC(H)'!G:G, B123, '협력사 EPC(H)'!X:X, B129)
  + SUMIFS('기타(Z)'!I:I, '기타(Z)'!C:C, $E$1, '기타(Z)'!G:G, B123, '기타(Z)'!X:X, B129)
)</f>
        <v/>
      </c>
      <c r="D129" s="263" t="str">
        <f>IF(
  COUNTIFS('발전사업(A)'!C:C, $E$1, '발전사업(A)'!G:G, B123, '발전사업(A)'!X:X, B129)
  + COUNTIFS('자가소비(B)'!C:C, $E$1, '자가소비(B)'!G:G, B123, '자가소비(B)'!X:X, B129)
  + COUNTIFS('PPA 사업(C)'!C:C, $E$1, 'PPA 사업(C)'!G:G, B123, 'PPA 사업(C)'!X:X, B129)
  + COUNTIFS('리스사업(D)'!C:C, $E$1, '리스사업(D)'!G:G, B123, '리스사업(D)'!X:X, B129)
  + COUNTIFS('임대사업(E)'!C:C, $E$1, '임대사업(E)'!G:G, B123, '임대사업(E)'!X:X, B129)
  + COUNTIFS('환경부사업(F)'!C:C, $E$1, '환경부사업(F)'!G:G, B123, '환경부사업(F)'!X:X, B129)
  + COUNTIFS('프로젝트(G)'!C:C, $E$1, '프로젝트(G)'!G:G, B123, '프로젝트(G)'!X:X, B129)
  + COUNTIFS('협력사 EPC(H)'!C:C, $E$1, '협력사 EPC(H)'!G:G, B123, '협력사 EPC(H)'!X:X, B129)
  + COUNTIFS('기타(Z)'!C:C, $E$1, '기타(Z)'!G:G, B123, '기타(Z)'!X:X, B129)
  = 0,
  "",
  COUNTIFS('발전사업(A)'!C:C, $E$1, '발전사업(A)'!G:G, B123, '발전사업(A)'!X:X, B129)
  + COUNTIFS('자가소비(B)'!C:C, $E$1, '자가소비(B)'!G:G, B123, '자가소비(B)'!X:X, B129)
  + COUNTIFS('PPA 사업(C)'!C:C, $E$1, 'PPA 사업(C)'!G:G, B123, 'PPA 사업(C)'!X:X, B129)
  + COUNTIFS('리스사업(D)'!C:C, $E$1, '리스사업(D)'!G:G, B123, '리스사업(D)'!X:X, B129)
  + COUNTIFS('임대사업(E)'!C:C, $E$1, '임대사업(E)'!G:G, B123, '임대사업(E)'!X:X, B129)
  + COUNTIFS('환경부사업(F)'!C:C, $E$1, '환경부사업(F)'!G:G, B123, '환경부사업(F)'!X:X, B129)
  + COUNTIFS('프로젝트(G)'!C:C, $E$1, '프로젝트(G)'!G:G, B123, '프로젝트(G)'!X:X, B129)
  + COUNTIFS('협력사 EPC(H)'!C:C, $E$1, '협력사 EPC(H)'!G:G, B123, '협력사 EPC(H)'!X:X, B129)
  + COUNTIFS('기타(Z)'!C:C, $E$1, '기타(Z)'!G:G, B123, '기타(Z)'!X:X, B129)
)</f>
        <v/>
      </c>
      <c r="E129" s="262" t="str">
        <f>IF(
  SUM(
    SUMIFS('발전사업(A)'!I:I, '발전사업(A)'!C:C, $E$1, '발전사업(A)'!G:G, B123, '발전사업(A)'!X:X, B129, '발전사업(A)'!U:U, $C$1),
    SUMIFS('자가소비(B)'!I:I, '자가소비(B)'!C:C, $E$1, '자가소비(B)'!G:G, B123, '자가소비(B)'!X:X, B129, '자가소비(B)'!U:U, $C$1),
    SUMIFS('PPA 사업(C)'!I:I, 'PPA 사업(C)'!C:C, $E$1, 'PPA 사업(C)'!G:G, B123, 'PPA 사업(C)'!X:X, B129, 'PPA 사업(C)'!U:U, $C$1),
    SUMIFS('리스사업(D)'!I:I, '리스사업(D)'!C:C, $E$1, '리스사업(D)'!G:G, B123, '리스사업(D)'!X:X, B129, '리스사업(D)'!U:U, $C$1),
    SUMIFS('임대사업(E)'!I:I, '임대사업(E)'!C:C, $E$1, '임대사업(E)'!G:G, B123, '임대사업(E)'!X:X, B129, '임대사업(E)'!U:U, $C$1),
    SUMIFS('환경부사업(F)'!I:I, '환경부사업(F)'!C:C, $E$1, '환경부사업(F)'!G:G, B123, '환경부사업(F)'!X:X, B129, '환경부사업(F)'!U:U, $C$1),
    SUMIFS('프로젝트(G)'!I:I, '프로젝트(G)'!C:C, $E$1, '프로젝트(G)'!G:G, B123, '프로젝트(G)'!X:X, B129, '프로젝트(G)'!U:U, $C$1),
    SUMIFS('협력사 EPC(H)'!I:I, '협력사 EPC(H)'!C:C, $E$1, '협력사 EPC(H)'!G:G, B123, '협력사 EPC(H)'!X:X, B129, '협력사 EPC(H)'!U:U, $C$1),
    SUMIFS('기타(Z)'!I:I, '기타(Z)'!C:C, $E$1, '기타(Z)'!G:G, B123, '기타(Z)'!X:X, B129, '기타(Z)'!U:U, $C$1)
  ) = 0,
  "",
  SUM(
    SUMIFS('발전사업(A)'!I:I, '발전사업(A)'!C:C, $E$1, '발전사업(A)'!G:G, B123, '발전사업(A)'!X:X, B129, '발전사업(A)'!U:U, $C$1),
    SUMIFS('자가소비(B)'!I:I, '자가소비(B)'!C:C, $E$1, '자가소비(B)'!G:G, B123, '자가소비(B)'!X:X, B129, '자가소비(B)'!U:U, $C$1),
    SUMIFS('PPA 사업(C)'!I:I, 'PPA 사업(C)'!C:C, $E$1, 'PPA 사업(C)'!G:G, B123, 'PPA 사업(C)'!X:X, B129, 'PPA 사업(C)'!U:U, $C$1),
    SUMIFS('리스사업(D)'!I:I, '리스사업(D)'!C:C, $E$1, '리스사업(D)'!G:G, B123, '리스사업(D)'!X:X, B129, '리스사업(D)'!U:U, $C$1),
    SUMIFS('임대사업(E)'!I:I, '임대사업(E)'!C:C, $E$1, '임대사업(E)'!G:G, B123, '임대사업(E)'!X:X, B129, '임대사업(E)'!U:U, $C$1),
    SUMIFS('환경부사업(F)'!I:I, '환경부사업(F)'!C:C, $E$1, '환경부사업(F)'!G:G, B123, '환경부사업(F)'!X:X, B129, '환경부사업(F)'!U:U, $C$1),
    SUMIFS('프로젝트(G)'!I:I, '프로젝트(G)'!C:C, $E$1, '프로젝트(G)'!G:G, B123, '프로젝트(G)'!X:X, B129, '프로젝트(G)'!U:U, $C$1),
    SUMIFS('협력사 EPC(H)'!I:I, '협력사 EPC(H)'!C:C, $E$1, '협력사 EPC(H)'!G:G, B123, '협력사 EPC(H)'!X:X, B129, '협력사 EPC(H)'!U:U, $C$1),
    SUMIFS('기타(Z)'!I:I, '기타(Z)'!C:C, $E$1, '기타(Z)'!G:G, B123, '기타(Z)'!X:X, B129, '기타(Z)'!U:U, $C$1)
  )
)</f>
        <v/>
      </c>
      <c r="F129" s="263" t="str">
        <f>IF(
  SUM(
    COUNTIFS('발전사업(A)'!C:C, $E$1, '발전사업(A)'!G:G, B123, '발전사업(A)'!X:X, B129, '발전사업(A)'!U:U, $C$1),
    COUNTIFS('자가소비(B)'!C:C, $E$1, '자가소비(B)'!G:G, B123, '자가소비(B)'!X:X, B129, '자가소비(B)'!U:U, $C$1),
    COUNTIFS('PPA 사업(C)'!C:C, $E$1, 'PPA 사업(C)'!G:G, B123, 'PPA 사업(C)'!X:X, B129, 'PPA 사업(C)'!U:U, $C$1),
    COUNTIFS('리스사업(D)'!C:C, $E$1, '리스사업(D)'!G:G, B123, '리스사업(D)'!X:X, B129, '리스사업(D)'!U:U, $C$1),
    COUNTIFS('임대사업(E)'!C:C, $E$1, '임대사업(E)'!G:G, B123, '임대사업(E)'!X:X, B129, '임대사업(E)'!U:U, $C$1),
    COUNTIFS('환경부사업(F)'!C:C, $E$1, '환경부사업(F)'!G:G, B123, '환경부사업(F)'!X:X, B129, '환경부사업(F)'!U:U, $C$1),
    COUNTIFS('프로젝트(G)'!C:C, $E$1, '프로젝트(G)'!G:G, B123, '프로젝트(G)'!X:X, B129, '프로젝트(G)'!U:U, $C$1),
    COUNTIFS('협력사 EPC(H)'!C:C, $E$1, '협력사 EPC(H)'!G:G, B123, '협력사 EPC(H)'!X:X, B129, '협력사 EPC(H)'!U:U, $C$1),
    COUNTIFS('기타(Z)'!C:C, $E$1, '기타(Z)'!G:G, B123, '기타(Z)'!X:X, B129, '기타(Z)'!U:U, $C$1)
  ) = 0,
  "",
  SUM(
    COUNTIFS('발전사업(A)'!C:C, $E$1, '발전사업(A)'!G:G, B123, '발전사업(A)'!X:X, B129, '발전사업(A)'!U:U, $C$1),
    COUNTIFS('자가소비(B)'!C:C, $E$1, '자가소비(B)'!G:G, B123, '자가소비(B)'!X:X, B129, '자가소비(B)'!U:U, $C$1),
    COUNTIFS('PPA 사업(C)'!C:C, $E$1, 'PPA 사업(C)'!G:G, B123, 'PPA 사업(C)'!X:X, B129, 'PPA 사업(C)'!U:U, $C$1),
    COUNTIFS('리스사업(D)'!C:C, $E$1, '리스사업(D)'!G:G, B123, '리스사업(D)'!X:X, B129, '리스사업(D)'!U:U, $C$1),
    COUNTIFS('임대사업(E)'!C:C, $E$1, '임대사업(E)'!G:G, B123, '임대사업(E)'!X:X, B129, '임대사업(E)'!U:U, $C$1),
    COUNTIFS('환경부사업(F)'!C:C, $E$1, '환경부사업(F)'!G:G, B123, '환경부사업(F)'!X:X, B129, '환경부사업(F)'!U:U, $C$1),
    COUNTIFS('프로젝트(G)'!C:C, $E$1, '프로젝트(G)'!G:G, B123, '프로젝트(G)'!X:X, B129, '프로젝트(G)'!U:U, $C$1),
    COUNTIFS('협력사 EPC(H)'!C:C, $E$1, '협력사 EPC(H)'!G:G, B123, '협력사 EPC(H)'!X:X, B129, '협력사 EPC(H)'!U:U, $C$1),
    COUNTIFS('기타(Z)'!C:C, $E$1, '기타(Z)'!G:G, B123, '기타(Z)'!X:X, B129, '기타(Z)'!U:U, $C$1)
  )
)</f>
        <v/>
      </c>
      <c r="G129" s="262" t="str">
        <f>IF(
  SUM(
    SUMIFS('발전사업(A)'!I:I, '발전사업(A)'!C:C, $E$1, '발전사업(A)'!G:G, B123, '발전사업(A)'!X:X, B129, '발전사업(A)'!U:U, $D$1),
    SUMIFS('자가소비(B)'!I:I, '자가소비(B)'!C:C, $E$1, '자가소비(B)'!G:G, B123, '자가소비(B)'!X:X, B129, '자가소비(B)'!U:U, $D$1),
    SUMIFS('PPA 사업(C)'!I:I, 'PPA 사업(C)'!C:C, $E$1, 'PPA 사업(C)'!G:G, B123, 'PPA 사업(C)'!X:X, B129, 'PPA 사업(C)'!U:U, $D$1),
    SUMIFS('리스사업(D)'!I:I, '리스사업(D)'!C:C, $E$1, '리스사업(D)'!G:G, B123, '리스사업(D)'!X:X, B129, '리스사업(D)'!U:U, $D$1),
    SUMIFS('임대사업(E)'!I:I, '임대사업(E)'!C:C, $E$1, '임대사업(E)'!G:G, B123, '임대사업(E)'!X:X, B129, '임대사업(E)'!U:U, $D$1),
    SUMIFS('환경부사업(F)'!I:I, '환경부사업(F)'!C:C, $E$1, '환경부사업(F)'!G:G, B123, '환경부사업(F)'!X:X, B129, '환경부사업(F)'!U:U, $D$1),
    SUMIFS('프로젝트(G)'!I:I, '프로젝트(G)'!C:C, $E$1, '프로젝트(G)'!G:G, B123, '프로젝트(G)'!X:X, B129, '프로젝트(G)'!U:U, $D$1),
    SUMIFS('협력사 EPC(H)'!I:I, '협력사 EPC(H)'!C:C, $E$1, '협력사 EPC(H)'!G:G, B123, '협력사 EPC(H)'!X:X, B129, '협력사 EPC(H)'!U:U, $D$1),
    SUMIFS('기타(Z)'!I:I, '기타(Z)'!C:C, $E$1, '기타(Z)'!G:G, B123, '기타(Z)'!X:X, B129, '기타(Z)'!U:U, $D$1)
  ) = 0,
  "",
  SUM(
    SUMIFS('발전사업(A)'!I:I, '발전사업(A)'!C:C, $E$1, '발전사업(A)'!G:G, B123, '발전사업(A)'!X:X, B129, '발전사업(A)'!U:U, $D$1),
    SUMIFS('자가소비(B)'!I:I, '자가소비(B)'!C:C, $E$1, '자가소비(B)'!G:G, B123, '자가소비(B)'!X:X, B129, '자가소비(B)'!U:U, $D$1),
    SUMIFS('PPA 사업(C)'!I:I, 'PPA 사업(C)'!C:C, $E$1, 'PPA 사업(C)'!G:G, B123, 'PPA 사업(C)'!X:X, B129, 'PPA 사업(C)'!U:U, $D$1),
    SUMIFS('리스사업(D)'!I:I, '리스사업(D)'!C:C, $E$1, '리스사업(D)'!G:G, B123, '리스사업(D)'!X:X, B129, '리스사업(D)'!U:U, $D$1),
    SUMIFS('임대사업(E)'!I:I, '임대사업(E)'!C:C, $E$1, '임대사업(E)'!G:G, B123, '임대사업(E)'!X:X, B129, '임대사업(E)'!U:U, $D$1),
    SUMIFS('환경부사업(F)'!I:I, '환경부사업(F)'!C:C, $E$1, '환경부사업(F)'!G:G, B123, '환경부사업(F)'!X:X, B129, '환경부사업(F)'!U:U, $D$1),
    SUMIFS('프로젝트(G)'!I:I, '프로젝트(G)'!C:C, $E$1, '프로젝트(G)'!G:G, B123, '프로젝트(G)'!X:X, B129, '프로젝트(G)'!U:U, $D$1),
    SUMIFS('협력사 EPC(H)'!I:I, '협력사 EPC(H)'!C:C, $E$1, '협력사 EPC(H)'!G:G, B123, '협력사 EPC(H)'!X:X, B129, '협력사 EPC(H)'!U:U, $D$1),
    SUMIFS('기타(Z)'!I:I, '기타(Z)'!C:C, $E$1, '기타(Z)'!G:G, B123, '기타(Z)'!X:X, B129, '기타(Z)'!U:U, $D$1)
  )
)</f>
        <v/>
      </c>
      <c r="H129" s="263" t="str">
        <f>IF(
  (
    COUNTIFS('발전사업(A)'!C:C, $E$1, '발전사업(A)'!G:G, B123, '발전사업(A)'!X:X, B129, '발전사업(A)'!U:U, $D$1)
    + COUNTIFS('자가소비(B)'!C:C, $E$1, '자가소비(B)'!G:G, B123, '자가소비(B)'!X:X, B129, '자가소비(B)'!U:U, $D$1)
    + COUNTIFS('PPA 사업(C)'!C:C, $E$1, 'PPA 사업(C)'!G:G, B123, 'PPA 사업(C)'!X:X, B129, 'PPA 사업(C)'!U:U, $D$1)
    + COUNTIFS('리스사업(D)'!C:C, $E$1, '리스사업(D)'!G:G, B123, '리스사업(D)'!X:X, B129, '리스사업(D)'!U:U, $D$1)
    + COUNTIFS('임대사업(E)'!C:C, $E$1, '임대사업(E)'!G:G, B123, '임대사업(E)'!X:X, B129, '임대사업(E)'!U:U, $D$1)
    + COUNTIFS('환경부사업(F)'!C:C, $E$1, '환경부사업(F)'!G:G, B123, '환경부사업(F)'!X:X, B129, '환경부사업(F)'!U:U, $D$1)
    + COUNTIFS('프로젝트(G)'!C:C, $E$1, '프로젝트(G)'!G:G, B123, '프로젝트(G)'!X:X, B129, '프로젝트(G)'!U:U, $D$1)
    + COUNTIFS('협력사 EPC(H)'!C:C, $E$1, '협력사 EPC(H)'!G:G, B123, '협력사 EPC(H)'!X:X, B129, '협력사 EPC(H)'!U:U, $D$1)
    + COUNTIFS('기타(Z)'!C:C, $E$1, '기타(Z)'!G:G, B123, '기타(Z)'!X:X, B129, '기타(Z)'!U:U, $D$1)
  ) = 0,
  "",
  COUNTIFS('발전사업(A)'!C:C, $E$1, '발전사업(A)'!G:G, B123, '발전사업(A)'!X:X, B129, '발전사업(A)'!U:U, $D$1)
  + COUNTIFS('자가소비(B)'!C:C, $E$1, '자가소비(B)'!G:G, B123, '자가소비(B)'!X:X, B129, '자가소비(B)'!U:U, $D$1)
  + COUNTIFS('PPA 사업(C)'!C:C, $E$1, 'PPA 사업(C)'!G:G, B123, 'PPA 사업(C)'!X:X, B129, 'PPA 사업(C)'!U:U, $D$1)
  + COUNTIFS('리스사업(D)'!C:C, $E$1, '리스사업(D)'!G:G, B123, '리스사업(D)'!X:X, B129, '리스사업(D)'!U:U, $D$1)
  + COUNTIFS('임대사업(E)'!C:C, $E$1, '임대사업(E)'!G:G, B123, '임대사업(E)'!X:X, B129, '임대사업(E)'!U:U, $D$1)
  + COUNTIFS('환경부사업(F)'!C:C, $E$1, '환경부사업(F)'!G:G, B123, '환경부사업(F)'!X:X, B129, '환경부사업(F)'!U:U, $D$1)
  + COUNTIFS('프로젝트(G)'!C:C, $E$1, '프로젝트(G)'!G:G, B123, '프로젝트(G)'!X:X, B129, '프로젝트(G)'!U:U, $D$1)
  + COUNTIFS('협력사 EPC(H)'!C:C, $E$1, '협력사 EPC(H)'!G:G, B123, '협력사 EPC(H)'!X:X, B129, '협력사 EPC(H)'!U:U, $D$1)
  + COUNTIFS('기타(Z)'!C:C, $E$1, '기타(Z)'!G:G, B123, '기타(Z)'!X:X, B129, '기타(Z)'!U:U, $D$1)
)</f>
        <v/>
      </c>
    </row>
    <row r="130" spans="2:8" x14ac:dyDescent="0.25">
      <c r="B130" s="195" t="s">
        <v>157</v>
      </c>
      <c r="C130" s="262" t="str">
        <f>IF(
  SUM(
    SUMIFS('발전사업(A)'!I:I, '발전사업(A)'!C:C, $E$1, '발전사업(A)'!G:G, B123, '발전사업(A)'!X:X, B130),
    SUMIFS('자가소비(B)'!I:I, '자가소비(B)'!C:C, $E$1, '자가소비(B)'!G:G, B123, '자가소비(B)'!X:X, B130),
    SUMIFS('PPA 사업(C)'!I:I, 'PPA 사업(C)'!C:C, $E$1, 'PPA 사업(C)'!G:G, B123, 'PPA 사업(C)'!X:X, B130),
    SUMIFS('리스사업(D)'!I:I, '리스사업(D)'!C:C, $E$1, '리스사업(D)'!G:G, B123, '리스사업(D)'!X:X, B130),
    SUMIFS('임대사업(E)'!I:I, '임대사업(E)'!C:C, $E$1, '임대사업(E)'!G:G, B123, '임대사업(E)'!X:X, B130),
    SUMIFS('환경부사업(F)'!I:I, '환경부사업(F)'!C:C, $E$1, '환경부사업(F)'!G:G, B123, '환경부사업(F)'!X:X, B130),
    SUMIFS('프로젝트(G)'!I:I, '프로젝트(G)'!C:C, $E$1, '프로젝트(G)'!G:G, B123, '프로젝트(G)'!X:X, B130),
    SUMIFS('협력사 EPC(H)'!I:I, '협력사 EPC(H)'!C:C, $E$1, '협력사 EPC(H)'!G:G, B123, '협력사 EPC(H)'!X:X, B130),
    SUMIFS('기타(Z)'!I:I, '기타(Z)'!C:C, $E$1, '기타(Z)'!G:G, B123, '기타(Z)'!X:X, B130)
  ) = 0,
  "",
  SUMIFS('발전사업(A)'!I:I, '발전사업(A)'!C:C, $E$1, '발전사업(A)'!G:G, B123, '발전사업(A)'!X:X, B130)
  + SUMIFS('자가소비(B)'!I:I, '자가소비(B)'!C:C, $E$1, '자가소비(B)'!G:G, B123, '자가소비(B)'!X:X, B130)
  + SUMIFS('PPA 사업(C)'!I:I, 'PPA 사업(C)'!C:C, $E$1, 'PPA 사업(C)'!G:G, B123, 'PPA 사업(C)'!X:X, B130)
  + SUMIFS('리스사업(D)'!I:I, '리스사업(D)'!C:C, $E$1, '리스사업(D)'!G:G, B123, '리스사업(D)'!X:X, B130)
  + SUMIFS('임대사업(E)'!I:I, '임대사업(E)'!C:C, $E$1, '임대사업(E)'!G:G, B123, '임대사업(E)'!X:X, B130)
  + SUMIFS('환경부사업(F)'!I:I, '환경부사업(F)'!C:C, $E$1, '환경부사업(F)'!G:G, B123, '환경부사업(F)'!X:X, B130)
  + SUMIFS('프로젝트(G)'!I:I, '프로젝트(G)'!C:C, $E$1, '프로젝트(G)'!G:G, B123, '프로젝트(G)'!X:X, B130)
  + SUMIFS('협력사 EPC(H)'!I:I, '협력사 EPC(H)'!C:C, $E$1, '협력사 EPC(H)'!G:G, B123, '협력사 EPC(H)'!X:X, B130)
  + SUMIFS('기타(Z)'!I:I, '기타(Z)'!C:C, $E$1, '기타(Z)'!G:G, B123, '기타(Z)'!X:X, B130)
)</f>
        <v/>
      </c>
      <c r="D130" s="263" t="str">
        <f>IF(
  COUNTIFS('발전사업(A)'!C:C, $E$1, '발전사업(A)'!G:G, B123, '발전사업(A)'!X:X, B130)
  + COUNTIFS('자가소비(B)'!C:C, $E$1, '자가소비(B)'!G:G, B123, '자가소비(B)'!X:X, B130)
  + COUNTIFS('PPA 사업(C)'!C:C, $E$1, 'PPA 사업(C)'!G:G, B123, 'PPA 사업(C)'!X:X, B130)
  + COUNTIFS('리스사업(D)'!C:C, $E$1, '리스사업(D)'!G:G, B123, '리스사업(D)'!X:X, B130)
  + COUNTIFS('임대사업(E)'!C:C, $E$1, '임대사업(E)'!G:G, B123, '임대사업(E)'!X:X, B130)
  + COUNTIFS('환경부사업(F)'!C:C, $E$1, '환경부사업(F)'!G:G, B123, '환경부사업(F)'!X:X, B130)
  + COUNTIFS('프로젝트(G)'!C:C, $E$1, '프로젝트(G)'!G:G, B123, '프로젝트(G)'!X:X, B130)
  + COUNTIFS('협력사 EPC(H)'!C:C, $E$1, '협력사 EPC(H)'!G:G, B123, '협력사 EPC(H)'!X:X, B130)
  + COUNTIFS('기타(Z)'!C:C, $E$1, '기타(Z)'!G:G, B123, '기타(Z)'!X:X, B130)
  = 0,
  "",
  COUNTIFS('발전사업(A)'!C:C, $E$1, '발전사업(A)'!G:G, B123, '발전사업(A)'!X:X, B130)
  + COUNTIFS('자가소비(B)'!C:C, $E$1, '자가소비(B)'!G:G, B123, '자가소비(B)'!X:X, B130)
  + COUNTIFS('PPA 사업(C)'!C:C, $E$1, 'PPA 사업(C)'!G:G, B123, 'PPA 사업(C)'!X:X, B130)
  + COUNTIFS('리스사업(D)'!C:C, $E$1, '리스사업(D)'!G:G, B123, '리스사업(D)'!X:X, B130)
  + COUNTIFS('임대사업(E)'!C:C, $E$1, '임대사업(E)'!G:G, B123, '임대사업(E)'!X:X, B130)
  + COUNTIFS('환경부사업(F)'!C:C, $E$1, '환경부사업(F)'!G:G, B123, '환경부사업(F)'!X:X, B130)
  + COUNTIFS('프로젝트(G)'!C:C, $E$1, '프로젝트(G)'!G:G, B123, '프로젝트(G)'!X:X, B130)
  + COUNTIFS('협력사 EPC(H)'!C:C, $E$1, '협력사 EPC(H)'!G:G, B123, '협력사 EPC(H)'!X:X, B130)
  + COUNTIFS('기타(Z)'!C:C, $E$1, '기타(Z)'!G:G, B123, '기타(Z)'!X:X, B130)
)</f>
        <v/>
      </c>
      <c r="E130" s="262" t="str">
        <f>IF(
  SUM(
    SUMIFS('발전사업(A)'!I:I, '발전사업(A)'!C:C, $E$1, '발전사업(A)'!G:G, B123, '발전사업(A)'!X:X, B130, '발전사업(A)'!U:U, $C$1),
    SUMIFS('자가소비(B)'!I:I, '자가소비(B)'!C:C, $E$1, '자가소비(B)'!G:G, B123, '자가소비(B)'!X:X, B130, '자가소비(B)'!U:U, $C$1),
    SUMIFS('PPA 사업(C)'!I:I, 'PPA 사업(C)'!C:C, $E$1, 'PPA 사업(C)'!G:G, B123, 'PPA 사업(C)'!X:X, B130, 'PPA 사업(C)'!U:U, $C$1),
    SUMIFS('리스사업(D)'!I:I, '리스사업(D)'!C:C, $E$1, '리스사업(D)'!G:G, B123, '리스사업(D)'!X:X, B130, '리스사업(D)'!U:U, $C$1),
    SUMIFS('임대사업(E)'!I:I, '임대사업(E)'!C:C, $E$1, '임대사업(E)'!G:G, B123, '임대사업(E)'!X:X, B130, '임대사업(E)'!U:U, $C$1),
    SUMIFS('환경부사업(F)'!I:I, '환경부사업(F)'!C:C, $E$1, '환경부사업(F)'!G:G, B123, '환경부사업(F)'!X:X, B130, '환경부사업(F)'!U:U, $C$1),
    SUMIFS('프로젝트(G)'!I:I, '프로젝트(G)'!C:C, $E$1, '프로젝트(G)'!G:G, B123, '프로젝트(G)'!X:X, B130, '프로젝트(G)'!U:U, $C$1),
    SUMIFS('협력사 EPC(H)'!I:I, '협력사 EPC(H)'!C:C, $E$1, '협력사 EPC(H)'!G:G, B123, '협력사 EPC(H)'!X:X, B130, '협력사 EPC(H)'!U:U, $C$1),
    SUMIFS('기타(Z)'!I:I, '기타(Z)'!C:C, $E$1, '기타(Z)'!G:G, B123, '기타(Z)'!X:X, B130, '기타(Z)'!U:U, $C$1)
  ) = 0,
  "",
  SUM(
    SUMIFS('발전사업(A)'!I:I, '발전사업(A)'!C:C, $E$1, '발전사업(A)'!G:G, B123, '발전사업(A)'!X:X, B130, '발전사업(A)'!U:U, $C$1),
    SUMIFS('자가소비(B)'!I:I, '자가소비(B)'!C:C, $E$1, '자가소비(B)'!G:G, B123, '자가소비(B)'!X:X, B130, '자가소비(B)'!U:U, $C$1),
    SUMIFS('PPA 사업(C)'!I:I, 'PPA 사업(C)'!C:C, $E$1, 'PPA 사업(C)'!G:G, B123, 'PPA 사업(C)'!X:X, B130, 'PPA 사업(C)'!U:U, $C$1),
    SUMIFS('리스사업(D)'!I:I, '리스사업(D)'!C:C, $E$1, '리스사업(D)'!G:G, B123, '리스사업(D)'!X:X, B130, '리스사업(D)'!U:U, $C$1),
    SUMIFS('임대사업(E)'!I:I, '임대사업(E)'!C:C, $E$1, '임대사업(E)'!G:G, B123, '임대사업(E)'!X:X, B130, '임대사업(E)'!U:U, $C$1),
    SUMIFS('환경부사업(F)'!I:I, '환경부사업(F)'!C:C, $E$1, '환경부사업(F)'!G:G, B123, '환경부사업(F)'!X:X, B130, '환경부사업(F)'!U:U, $C$1),
    SUMIFS('프로젝트(G)'!I:I, '프로젝트(G)'!C:C, $E$1, '프로젝트(G)'!G:G, B123, '프로젝트(G)'!X:X, B130, '프로젝트(G)'!U:U, $C$1),
    SUMIFS('협력사 EPC(H)'!I:I, '협력사 EPC(H)'!C:C, $E$1, '협력사 EPC(H)'!G:G, B123, '협력사 EPC(H)'!X:X, B130, '협력사 EPC(H)'!U:U, $C$1),
    SUMIFS('기타(Z)'!I:I, '기타(Z)'!C:C, $E$1, '기타(Z)'!G:G, B123, '기타(Z)'!X:X, B130, '기타(Z)'!U:U, $C$1)
  )
)</f>
        <v/>
      </c>
      <c r="F130" s="263" t="str">
        <f>IF(
  SUM(
    COUNTIFS('발전사업(A)'!C:C, $E$1, '발전사업(A)'!G:G, B123, '발전사업(A)'!X:X, B130, '발전사업(A)'!U:U, $C$1),
    COUNTIFS('자가소비(B)'!C:C, $E$1, '자가소비(B)'!G:G, B123, '자가소비(B)'!X:X, B130, '자가소비(B)'!U:U, $C$1),
    COUNTIFS('PPA 사업(C)'!C:C, $E$1, 'PPA 사업(C)'!G:G, B123, 'PPA 사업(C)'!X:X, B130, 'PPA 사업(C)'!U:U, $C$1),
    COUNTIFS('리스사업(D)'!C:C, $E$1, '리스사업(D)'!G:G, B123, '리스사업(D)'!X:X, B130, '리스사업(D)'!U:U, $C$1),
    COUNTIFS('임대사업(E)'!C:C, $E$1, '임대사업(E)'!G:G, B123, '임대사업(E)'!X:X, B130, '임대사업(E)'!U:U, $C$1),
    COUNTIFS('환경부사업(F)'!C:C, $E$1, '환경부사업(F)'!G:G, B123, '환경부사업(F)'!X:X, B130, '환경부사업(F)'!U:U, $C$1),
    COUNTIFS('프로젝트(G)'!C:C, $E$1, '프로젝트(G)'!G:G, B123, '프로젝트(G)'!X:X, B130, '프로젝트(G)'!U:U, $C$1),
    COUNTIFS('협력사 EPC(H)'!C:C, $E$1, '협력사 EPC(H)'!G:G, B123, '협력사 EPC(H)'!X:X, B130, '협력사 EPC(H)'!U:U, $C$1),
    COUNTIFS('기타(Z)'!C:C, $E$1, '기타(Z)'!G:G, B123, '기타(Z)'!X:X, B130, '기타(Z)'!U:U, $C$1)
  ) = 0,
  "",
  SUM(
    COUNTIFS('발전사업(A)'!C:C, $E$1, '발전사업(A)'!G:G, B123, '발전사업(A)'!X:X, B130, '발전사업(A)'!U:U, $C$1),
    COUNTIFS('자가소비(B)'!C:C, $E$1, '자가소비(B)'!G:G, B123, '자가소비(B)'!X:X, B130, '자가소비(B)'!U:U, $C$1),
    COUNTIFS('PPA 사업(C)'!C:C, $E$1, 'PPA 사업(C)'!G:G, B123, 'PPA 사업(C)'!X:X, B130, 'PPA 사업(C)'!U:U, $C$1),
    COUNTIFS('리스사업(D)'!C:C, $E$1, '리스사업(D)'!G:G, B123, '리스사업(D)'!X:X, B130, '리스사업(D)'!U:U, $C$1),
    COUNTIFS('임대사업(E)'!C:C, $E$1, '임대사업(E)'!G:G, B123, '임대사업(E)'!X:X, B130, '임대사업(E)'!U:U, $C$1),
    COUNTIFS('환경부사업(F)'!C:C, $E$1, '환경부사업(F)'!G:G, B123, '환경부사업(F)'!X:X, B130, '환경부사업(F)'!U:U, $C$1),
    COUNTIFS('프로젝트(G)'!C:C, $E$1, '프로젝트(G)'!G:G, B123, '프로젝트(G)'!X:X, B130, '프로젝트(G)'!U:U, $C$1),
    COUNTIFS('협력사 EPC(H)'!C:C, $E$1, '협력사 EPC(H)'!G:G, B123, '협력사 EPC(H)'!X:X, B130, '협력사 EPC(H)'!U:U, $C$1),
    COUNTIFS('기타(Z)'!C:C, $E$1, '기타(Z)'!G:G, B123, '기타(Z)'!X:X, B130, '기타(Z)'!U:U, $C$1)
  )
)</f>
        <v/>
      </c>
      <c r="G130" s="262" t="str">
        <f>IF(
  SUM(
    SUMIFS('발전사업(A)'!I:I, '발전사업(A)'!C:C, $E$1, '발전사업(A)'!G:G, B123, '발전사업(A)'!X:X, B130, '발전사업(A)'!U:U, $D$1),
    SUMIFS('자가소비(B)'!I:I, '자가소비(B)'!C:C, $E$1, '자가소비(B)'!G:G, B123, '자가소비(B)'!X:X, B130, '자가소비(B)'!U:U, $D$1),
    SUMIFS('PPA 사업(C)'!I:I, 'PPA 사업(C)'!C:C, $E$1, 'PPA 사업(C)'!G:G, B123, 'PPA 사업(C)'!X:X, B130, 'PPA 사업(C)'!U:U, $D$1),
    SUMIFS('리스사업(D)'!I:I, '리스사업(D)'!C:C, $E$1, '리스사업(D)'!G:G, B123, '리스사업(D)'!X:X, B130, '리스사업(D)'!U:U, $D$1),
    SUMIFS('임대사업(E)'!I:I, '임대사업(E)'!C:C, $E$1, '임대사업(E)'!G:G, B123, '임대사업(E)'!X:X, B130, '임대사업(E)'!U:U, $D$1),
    SUMIFS('환경부사업(F)'!I:I, '환경부사업(F)'!C:C, $E$1, '환경부사업(F)'!G:G, B123, '환경부사업(F)'!X:X, B130, '환경부사업(F)'!U:U, $D$1),
    SUMIFS('프로젝트(G)'!I:I, '프로젝트(G)'!C:C, $E$1, '프로젝트(G)'!G:G, B123, '프로젝트(G)'!X:X, B130, '프로젝트(G)'!U:U, $D$1),
    SUMIFS('협력사 EPC(H)'!I:I, '협력사 EPC(H)'!C:C, $E$1, '협력사 EPC(H)'!G:G, B123, '협력사 EPC(H)'!X:X, B130, '협력사 EPC(H)'!U:U, $D$1),
    SUMIFS('기타(Z)'!I:I, '기타(Z)'!C:C, $E$1, '기타(Z)'!G:G, B123, '기타(Z)'!X:X, B130, '기타(Z)'!U:U, $D$1)
  ) = 0,
  "",
  SUM(
    SUMIFS('발전사업(A)'!I:I, '발전사업(A)'!C:C, $E$1, '발전사업(A)'!G:G, B123, '발전사업(A)'!X:X, B130, '발전사업(A)'!U:U, $D$1),
    SUMIFS('자가소비(B)'!I:I, '자가소비(B)'!C:C, $E$1, '자가소비(B)'!G:G, B123, '자가소비(B)'!X:X, B130, '자가소비(B)'!U:U, $D$1),
    SUMIFS('PPA 사업(C)'!I:I, 'PPA 사업(C)'!C:C, $E$1, 'PPA 사업(C)'!G:G, B123, 'PPA 사업(C)'!X:X, B130, 'PPA 사업(C)'!U:U, $D$1),
    SUMIFS('리스사업(D)'!I:I, '리스사업(D)'!C:C, $E$1, '리스사업(D)'!G:G, B123, '리스사업(D)'!X:X, B130, '리스사업(D)'!U:U, $D$1),
    SUMIFS('임대사업(E)'!I:I, '임대사업(E)'!C:C, $E$1, '임대사업(E)'!G:G, B123, '임대사업(E)'!X:X, B130, '임대사업(E)'!U:U, $D$1),
    SUMIFS('환경부사업(F)'!I:I, '환경부사업(F)'!C:C, $E$1, '환경부사업(F)'!G:G, B123, '환경부사업(F)'!X:X, B130, '환경부사업(F)'!U:U, $D$1),
    SUMIFS('프로젝트(G)'!I:I, '프로젝트(G)'!C:C, $E$1, '프로젝트(G)'!G:G, B123, '프로젝트(G)'!X:X, B130, '프로젝트(G)'!U:U, $D$1),
    SUMIFS('협력사 EPC(H)'!I:I, '협력사 EPC(H)'!C:C, $E$1, '협력사 EPC(H)'!G:G, B123, '협력사 EPC(H)'!X:X, B130, '협력사 EPC(H)'!U:U, $D$1),
    SUMIFS('기타(Z)'!I:I, '기타(Z)'!C:C, $E$1, '기타(Z)'!G:G, B123, '기타(Z)'!X:X, B130, '기타(Z)'!U:U, $D$1)
  )
)</f>
        <v/>
      </c>
      <c r="H130" s="263" t="str">
        <f>IF(
  (
    COUNTIFS('발전사업(A)'!C:C, $E$1, '발전사업(A)'!G:G, B123, '발전사업(A)'!X:X, B130, '발전사업(A)'!U:U, $D$1)
    + COUNTIFS('자가소비(B)'!C:C, $E$1, '자가소비(B)'!G:G, B123, '자가소비(B)'!X:X, B130, '자가소비(B)'!U:U, $D$1)
    + COUNTIFS('PPA 사업(C)'!C:C, $E$1, 'PPA 사업(C)'!G:G, B123, 'PPA 사업(C)'!X:X, B130, 'PPA 사업(C)'!U:U, $D$1)
    + COUNTIFS('리스사업(D)'!C:C, $E$1, '리스사업(D)'!G:G, B123, '리스사업(D)'!X:X, B130, '리스사업(D)'!U:U, $D$1)
    + COUNTIFS('임대사업(E)'!C:C, $E$1, '임대사업(E)'!G:G, B123, '임대사업(E)'!X:X, B130, '임대사업(E)'!U:U, $D$1)
    + COUNTIFS('환경부사업(F)'!C:C, $E$1, '환경부사업(F)'!G:G, B123, '환경부사업(F)'!X:X, B130, '환경부사업(F)'!U:U, $D$1)
    + COUNTIFS('프로젝트(G)'!C:C, $E$1, '프로젝트(G)'!G:G, B123, '프로젝트(G)'!X:X, B130, '프로젝트(G)'!U:U, $D$1)
    + COUNTIFS('협력사 EPC(H)'!C:C, $E$1, '협력사 EPC(H)'!G:G, B123, '협력사 EPC(H)'!X:X, B130, '협력사 EPC(H)'!U:U, $D$1)
    + COUNTIFS('기타(Z)'!C:C, $E$1, '기타(Z)'!G:G, $B123, '기타(Z)'!X:X, B130, '기타(Z)'!U:U, $D$1)
  ) = 0,
  "",
  COUNTIFS('발전사업(A)'!C:C, $E$1, '발전사업(A)'!G:G, B123, '발전사업(A)'!X:X, B130, '발전사업(A)'!U:U, $D$1)
  + COUNTIFS('자가소비(B)'!C:C, $E$1, '자가소비(B)'!G:G, B123, '자가소비(B)'!X:X, B130, '자가소비(B)'!U:U, $D$1)
  + COUNTIFS('PPA 사업(C)'!C:C, $E$1, 'PPA 사업(C)'!G:G, B123, 'PPA 사업(C)'!X:X, B130, 'PPA 사업(C)'!U:U, $D$1)
  + COUNTIFS('리스사업(D)'!C:C, $E$1, '리스사업(D)'!G:G, B123, '리스사업(D)'!X:X, B130, '리스사업(D)'!U:U, $D$1)
  + COUNTIFS('임대사업(E)'!C:C, $E$1, '임대사업(E)'!G:G, B123, '임대사업(E)'!X:X, B130, '임대사업(E)'!U:U, $D$1)
  + COUNTIFS('환경부사업(F)'!C:C, $E$1, '환경부사업(F)'!G:G, B123, '환경부사업(F)'!X:X, B130, '환경부사업(F)'!U:U, $D$1)
  + COUNTIFS('프로젝트(G)'!C:C, $E$1, '프로젝트(G)'!G:G, B123, '프로젝트(G)'!X:X, B130, '프로젝트(G)'!U:U, $D$1)
  + COUNTIFS('협력사 EPC(H)'!C:C, $E$1, '협력사 EPC(H)'!G:G, B123, '협력사 EPC(H)'!X:X, B130, '협력사 EPC(H)'!U:U, $D$1)
  + COUNTIFS('기타(Z)'!C:C, $E$1, '기타(Z)'!G:G, B123, '기타(Z)'!X:X, B130, '기타(Z)'!U:U, $D$1)
)</f>
        <v/>
      </c>
    </row>
    <row r="131" spans="2:8" x14ac:dyDescent="0.25">
      <c r="B131" s="195" t="s">
        <v>158</v>
      </c>
      <c r="C131" s="262" t="str">
        <f>IF(
  SUM(
    SUMIFS('발전사업(A)'!I:I, '발전사업(A)'!C:C, $E$1, '발전사업(A)'!G:G, B123, '발전사업(A)'!X:X, B131),
    SUMIFS('자가소비(B)'!I:I, '자가소비(B)'!C:C, $E$1, '자가소비(B)'!G:G, B123, '자가소비(B)'!X:X, B131),
    SUMIFS('PPA 사업(C)'!I:I, 'PPA 사업(C)'!C:C, $E$1, 'PPA 사업(C)'!G:G, B123, 'PPA 사업(C)'!X:X, B131),
    SUMIFS('리스사업(D)'!I:I, '리스사업(D)'!C:C, $E$1, '리스사업(D)'!G:G, B123, '리스사업(D)'!X:X, B131),
    SUMIFS('임대사업(E)'!I:I, '임대사업(E)'!C:C, $E$1, '임대사업(E)'!G:G, B123, '임대사업(E)'!X:X, B131),
    SUMIFS('환경부사업(F)'!I:I, '환경부사업(F)'!C:C, $E$1, '환경부사업(F)'!G:G, B123, '환경부사업(F)'!X:X, B131),
    SUMIFS('프로젝트(G)'!I:I, '프로젝트(G)'!C:C, $E$1, '프로젝트(G)'!G:G, B123, '프로젝트(G)'!X:X, B131),
    SUMIFS('협력사 EPC(H)'!I:I, '협력사 EPC(H)'!C:C, $E$1, '협력사 EPC(H)'!G:G, B123, '협력사 EPC(H)'!X:X, B131),
    SUMIFS('기타(Z)'!I:I, '기타(Z)'!C:C, $E$1, '기타(Z)'!G:G, B123, '기타(Z)'!X:X, B131)
  ) = 0,
  "",
  SUMIFS('발전사업(A)'!I:I, '발전사업(A)'!C:C, $E$1, '발전사업(A)'!G:G, B123, '발전사업(A)'!X:X, B131)
  + SUMIFS('자가소비(B)'!I:I, '자가소비(B)'!C:C, $E$1, '자가소비(B)'!G:G, B123, '자가소비(B)'!X:X, B131)
  + SUMIFS('PPA 사업(C)'!I:I, 'PPA 사업(C)'!C:C, $E$1, 'PPA 사업(C)'!G:G, B123, 'PPA 사업(C)'!X:X, B131)
  + SUMIFS('리스사업(D)'!I:I, '리스사업(D)'!C:C, $E$1, '리스사업(D)'!G:G, B123, '리스사업(D)'!X:X, B131)
  + SUMIFS('임대사업(E)'!I:I, '임대사업(E)'!C:C, $E$1, '임대사업(E)'!G:G, B123, '임대사업(E)'!X:X, B131)
  + SUMIFS('환경부사업(F)'!I:I, '환경부사업(F)'!C:C, $E$1, '환경부사업(F)'!G:G, B123, '환경부사업(F)'!X:X, B131)
  + SUMIFS('프로젝트(G)'!I:I, '프로젝트(G)'!C:C, $E$1, '프로젝트(G)'!G:G, B123, '프로젝트(G)'!X:X, B131)
  + SUMIFS('협력사 EPC(H)'!I:I, '협력사 EPC(H)'!C:C, $E$1, '협력사 EPC(H)'!G:G, B123, '협력사 EPC(H)'!X:X, B131)
  + SUMIFS('기타(Z)'!I:I, '기타(Z)'!C:C, $E$1, '기타(Z)'!G:G, B123, '기타(Z)'!X:X, B131)
)</f>
        <v/>
      </c>
      <c r="D131" s="263" t="str">
        <f>IF(
  COUNTIFS('발전사업(A)'!C:C, $E$1, '발전사업(A)'!G:G, B123, '발전사업(A)'!X:X, B131)
  + COUNTIFS('자가소비(B)'!C:C, $E$1, '자가소비(B)'!G:G, B123, '자가소비(B)'!X:X, B131)
  + COUNTIFS('PPA 사업(C)'!C:C, $E$1, 'PPA 사업(C)'!G:G, B123, 'PPA 사업(C)'!X:X, B131)
  + COUNTIFS('리스사업(D)'!C:C, $E$1, '리스사업(D)'!G:G, B123, '리스사업(D)'!X:X, B131)
  + COUNTIFS('임대사업(E)'!C:C, $E$1, '임대사업(E)'!G:G, B123, '임대사업(E)'!X:X, B131)
  + COUNTIFS('환경부사업(F)'!C:C, $E$1, '환경부사업(F)'!G:G, B123, '환경부사업(F)'!X:X, B131)
  + COUNTIFS('프로젝트(G)'!C:C, $E$1, '프로젝트(G)'!G:G, B123, '프로젝트(G)'!X:X, B131)
  + COUNTIFS('협력사 EPC(H)'!C:C, $E$1, '협력사 EPC(H)'!G:G, B123, '협력사 EPC(H)'!X:X, B131)
  + COUNTIFS('기타(Z)'!C:C, $E$1, '기타(Z)'!G:G, B123, '기타(Z)'!X:X, B131)
  = 0,
  "",
  COUNTIFS('발전사업(A)'!C:C, $E$1, '발전사업(A)'!G:G, B123, '발전사업(A)'!X:X, B131)
  + COUNTIFS('자가소비(B)'!C:C, $E$1, '자가소비(B)'!G:G, B123, '자가소비(B)'!X:X, B131)
  + COUNTIFS('PPA 사업(C)'!C:C, $E$1, 'PPA 사업(C)'!G:G, B123, 'PPA 사업(C)'!X:X, B131)
  + COUNTIFS('리스사업(D)'!C:C, $E$1, '리스사업(D)'!G:G, B123, '리스사업(D)'!X:X, B131)
  + COUNTIFS('임대사업(E)'!C:C, $E$1, '임대사업(E)'!G:G, B123, '임대사업(E)'!X:X, B131)
  + COUNTIFS('환경부사업(F)'!C:C, $E$1, '환경부사업(F)'!G:G, B123, '환경부사업(F)'!X:X, B131)
  + COUNTIFS('프로젝트(G)'!C:C, $E$1, '프로젝트(G)'!G:G, B123, '프로젝트(G)'!X:X, B131)
  + COUNTIFS('협력사 EPC(H)'!C:C, $E$1, '협력사 EPC(H)'!G:G, B123, '협력사 EPC(H)'!X:X, B131)
  + COUNTIFS('기타(Z)'!C:C, $E$1, '기타(Z)'!G:G, B123, '기타(Z)'!X:X, B131)
)</f>
        <v/>
      </c>
      <c r="E131" s="262" t="str">
        <f>IF(
  SUM(
    SUMIFS('발전사업(A)'!I:I, '발전사업(A)'!C:C, $E$1, '발전사업(A)'!G:G, B123, '발전사업(A)'!X:X, B131, '발전사업(A)'!U:U, $C$1),
    SUMIFS('자가소비(B)'!I:I, '자가소비(B)'!C:C, $E$1, '자가소비(B)'!G:G, B123, '자가소비(B)'!X:X, B131, '자가소비(B)'!U:U, $C$1),
    SUMIFS('PPA 사업(C)'!I:I, 'PPA 사업(C)'!C:C, $E$1, 'PPA 사업(C)'!G:G, B123, 'PPA 사업(C)'!X:X, B131, 'PPA 사업(C)'!U:U, $C$1),
    SUMIFS('리스사업(D)'!I:I, '리스사업(D)'!C:C, $E$1, '리스사업(D)'!G:G, B123, '리스사업(D)'!X:X, B131, '리스사업(D)'!U:U, $C$1),
    SUMIFS('임대사업(E)'!I:I, '임대사업(E)'!C:C, $E$1, '임대사업(E)'!G:G, B123, '임대사업(E)'!X:X, B131, '임대사업(E)'!U:U, $C$1),
    SUMIFS('환경부사업(F)'!I:I, '환경부사업(F)'!C:C, $E$1, '환경부사업(F)'!G:G, B123, '환경부사업(F)'!X:X, B131, '환경부사업(F)'!U:U, $C$1),
    SUMIFS('프로젝트(G)'!I:I, '프로젝트(G)'!C:C, $E$1, '프로젝트(G)'!G:G, B123, '프로젝트(G)'!X:X, B131, '프로젝트(G)'!U:U, $C$1),
    SUMIFS('협력사 EPC(H)'!I:I, '협력사 EPC(H)'!C:C, $E$1, '협력사 EPC(H)'!G:G, B123, '협력사 EPC(H)'!X:X, B131, '협력사 EPC(H)'!U:U, $C$1),
    SUMIFS('기타(Z)'!I:I, '기타(Z)'!C:C, $E$1, '기타(Z)'!G:G, B123, '기타(Z)'!X:X, B131, '기타(Z)'!U:U, $C$1)
  ) = 0,
  "",
  SUM(
    SUMIFS('발전사업(A)'!I:I, '발전사업(A)'!C:C, $E$1, '발전사업(A)'!G:G, B123, '발전사업(A)'!X:X, B131, '발전사업(A)'!U:U, $C$1),
    SUMIFS('자가소비(B)'!I:I, '자가소비(B)'!C:C, $E$1, '자가소비(B)'!G:G, B123, '자가소비(B)'!X:X, B131, '자가소비(B)'!U:U, $C$1),
    SUMIFS('PPA 사업(C)'!I:I, 'PPA 사업(C)'!C:C, $E$1, 'PPA 사업(C)'!G:G, B123, 'PPA 사업(C)'!X:X, B131, 'PPA 사업(C)'!U:U, $C$1),
    SUMIFS('리스사업(D)'!I:I, '리스사업(D)'!C:C, $E$1, '리스사업(D)'!G:G, B123, '리스사업(D)'!X:X, B131, '리스사업(D)'!U:U, $C$1),
    SUMIFS('임대사업(E)'!I:I, '임대사업(E)'!C:C, $E$1, '임대사업(E)'!G:G, B123, '임대사업(E)'!X:X, B131, '임대사업(E)'!U:U, $C$1),
    SUMIFS('환경부사업(F)'!I:I, '환경부사업(F)'!C:C, $E$1, '환경부사업(F)'!G:G, B123, '환경부사업(F)'!X:X, B131, '환경부사업(F)'!U:U, $C$1),
    SUMIFS('프로젝트(G)'!I:I, '프로젝트(G)'!C:C, $E$1, '프로젝트(G)'!G:G, B123, '프로젝트(G)'!X:X, B131, '프로젝트(G)'!U:U, $C$1),
    SUMIFS('협력사 EPC(H)'!I:I, '협력사 EPC(H)'!C:C, $E$1, '협력사 EPC(H)'!G:G, B123, '협력사 EPC(H)'!X:X, B131, '협력사 EPC(H)'!U:U, $C$1),
    SUMIFS('기타(Z)'!I:I, '기타(Z)'!C:C, $E$1, '기타(Z)'!G:G, B123, '기타(Z)'!X:X, B131, '기타(Z)'!U:U, $C$1)
  )
)</f>
        <v/>
      </c>
      <c r="F131" s="263" t="str">
        <f>IF(
  SUM(
    COUNTIFS('발전사업(A)'!C:C, $E$1, '발전사업(A)'!G:G, B123, '발전사업(A)'!X:X, B131, '발전사업(A)'!U:U, $C$1),
    COUNTIFS('자가소비(B)'!C:C, $E$1, '자가소비(B)'!G:G, B123, '자가소비(B)'!X:X, B131, '자가소비(B)'!U:U, $C$1),
    COUNTIFS('PPA 사업(C)'!C:C, $E$1, 'PPA 사업(C)'!G:G, B123, 'PPA 사업(C)'!X:X, B131, 'PPA 사업(C)'!U:U, $C$1),
    COUNTIFS('리스사업(D)'!C:C, $E$1, '리스사업(D)'!G:G, B123, '리스사업(D)'!X:X, B131, '리스사업(D)'!U:U, $C$1),
    COUNTIFS('임대사업(E)'!C:C, $E$1, '임대사업(E)'!G:G, B123, '임대사업(E)'!X:X, B131, '임대사업(E)'!U:U, $C$1),
    COUNTIFS('환경부사업(F)'!C:C, $E$1, '환경부사업(F)'!G:G, B123, '환경부사업(F)'!X:X, B131, '환경부사업(F)'!U:U, $C$1),
    COUNTIFS('프로젝트(G)'!C:C, $E$1, '프로젝트(G)'!G:G, B123, '프로젝트(G)'!X:X, B131, '프로젝트(G)'!U:U, $C$1),
    COUNTIFS('협력사 EPC(H)'!C:C, $E$1, '협력사 EPC(H)'!G:G, B123, '협력사 EPC(H)'!X:X, B131, '협력사 EPC(H)'!U:U, $C$1),
    COUNTIFS('기타(Z)'!C:C, $E$1, '기타(Z)'!G:G, B123, '기타(Z)'!X:X, B131, '기타(Z)'!U:U, $C$1)
  ) = 0,
  "",
  SUM(
    COUNTIFS('발전사업(A)'!C:C, $E$1, '발전사업(A)'!G:G, B123, '발전사업(A)'!X:X, B131, '발전사업(A)'!U:U, $C$1),
    COUNTIFS('자가소비(B)'!C:C, $E$1, '자가소비(B)'!G:G, B123, '자가소비(B)'!X:X, B131, '자가소비(B)'!U:U, $C$1),
    COUNTIFS('PPA 사업(C)'!C:C, $E$1, 'PPA 사업(C)'!G:G, B123, 'PPA 사업(C)'!X:X, B131, 'PPA 사업(C)'!U:U, $C$1),
    COUNTIFS('리스사업(D)'!C:C, $E$1, '리스사업(D)'!G:G, B123, '리스사업(D)'!X:X, B131, '리스사업(D)'!U:U, $C$1),
    COUNTIFS('임대사업(E)'!C:C, $E$1, '임대사업(E)'!G:G, B123, '임대사업(E)'!X:X, B131, '임대사업(E)'!U:U, $C$1),
    COUNTIFS('환경부사업(F)'!C:C, $E$1, '환경부사업(F)'!G:G, B123, '환경부사업(F)'!X:X, B131, '환경부사업(F)'!U:U, $C$1),
    COUNTIFS('프로젝트(G)'!C:C, $E$1, '프로젝트(G)'!G:G, B123, '프로젝트(G)'!X:X, B131, '프로젝트(G)'!U:U, $C$1),
    COUNTIFS('협력사 EPC(H)'!C:C, $E$1, '협력사 EPC(H)'!G:G, B123, '협력사 EPC(H)'!X:X, B131, '협력사 EPC(H)'!U:U, $C$1),
    COUNTIFS('기타(Z)'!C:C, $E$1, '기타(Z)'!G:G, B123, '기타(Z)'!X:X, B131, '기타(Z)'!U:U, $C$1)
  )
)</f>
        <v/>
      </c>
      <c r="G131" s="262" t="str">
        <f>IF(
  SUM(
    SUMIFS('발전사업(A)'!I:I, '발전사업(A)'!C:C, $E$1, '발전사업(A)'!G:G, B123, '발전사업(A)'!X:X, B131, '발전사업(A)'!U:U, $D$1),
    SUMIFS('자가소비(B)'!I:I, '자가소비(B)'!C:C, $E$1, '자가소비(B)'!G:G, B123, '자가소비(B)'!X:X, B131, '자가소비(B)'!U:U, $D$1),
    SUMIFS('PPA 사업(C)'!I:I, 'PPA 사업(C)'!C:C, $E$1, 'PPA 사업(C)'!G:G, B123, 'PPA 사업(C)'!X:X, B131, 'PPA 사업(C)'!U:U, $D$1),
    SUMIFS('리스사업(D)'!I:I, '리스사업(D)'!C:C, $E$1, '리스사업(D)'!G:G, B123, '리스사업(D)'!X:X, B131, '리스사업(D)'!U:U, $D$1),
    SUMIFS('임대사업(E)'!I:I, '임대사업(E)'!C:C, $E$1, '임대사업(E)'!G:G, B123, '임대사업(E)'!X:X, B131, '임대사업(E)'!U:U, $D$1),
    SUMIFS('환경부사업(F)'!I:I, '환경부사업(F)'!C:C, $E$1, '환경부사업(F)'!G:G, B123, '환경부사업(F)'!X:X, B131, '환경부사업(F)'!U:U, $D$1),
    SUMIFS('프로젝트(G)'!I:I, '프로젝트(G)'!C:C, $E$1, '프로젝트(G)'!G:G, B123, '프로젝트(G)'!X:X, B131, '프로젝트(G)'!U:U, $D$1),
    SUMIFS('협력사 EPC(H)'!I:I, '협력사 EPC(H)'!C:C, $E$1, '협력사 EPC(H)'!G:G, B123, '협력사 EPC(H)'!X:X, B131, '협력사 EPC(H)'!U:U, $D$1),
    SUMIFS('기타(Z)'!I:I, '기타(Z)'!C:C, $E$1, '기타(Z)'!G:G, B123, '기타(Z)'!X:X, B131, '기타(Z)'!U:U, $D$1)
  ) = 0,
  "",
  SUM(
    SUMIFS('발전사업(A)'!I:I, '발전사업(A)'!C:C, $E$1, '발전사업(A)'!G:G, B123, '발전사업(A)'!X:X, B131, '발전사업(A)'!U:U, $D$1),
    SUMIFS('자가소비(B)'!I:I, '자가소비(B)'!C:C, $E$1, '자가소비(B)'!G:G, B123, '자가소비(B)'!X:X, B131, '자가소비(B)'!U:U, $D$1),
    SUMIFS('PPA 사업(C)'!I:I, 'PPA 사업(C)'!C:C, $E$1, 'PPA 사업(C)'!G:G, B123, 'PPA 사업(C)'!X:X, B131, 'PPA 사업(C)'!U:U, $D$1),
    SUMIFS('리스사업(D)'!I:I, '리스사업(D)'!C:C, $E$1, '리스사업(D)'!G:G, B123, '리스사업(D)'!X:X, B131, '리스사업(D)'!U:U, $D$1),
    SUMIFS('임대사업(E)'!I:I, '임대사업(E)'!C:C, $E$1, '임대사업(E)'!G:G, B123, '임대사업(E)'!X:X, B131, '임대사업(E)'!U:U, $D$1),
    SUMIFS('환경부사업(F)'!I:I, '환경부사업(F)'!C:C, $E$1, '환경부사업(F)'!G:G, B123, '환경부사업(F)'!X:X, B131, '환경부사업(F)'!U:U, $D$1),
    SUMIFS('프로젝트(G)'!I:I, '프로젝트(G)'!C:C, $E$1, '프로젝트(G)'!G:G, B123, '프로젝트(G)'!X:X, B131, '프로젝트(G)'!U:U, $D$1),
    SUMIFS('협력사 EPC(H)'!I:I, '협력사 EPC(H)'!C:C, $E$1, '협력사 EPC(H)'!G:G, B123, '협력사 EPC(H)'!X:X, B131, '협력사 EPC(H)'!U:U, $D$1),
    SUMIFS('기타(Z)'!I:I, '기타(Z)'!C:C, $E$1, '기타(Z)'!G:G, B123, '기타(Z)'!X:X, B131, '기타(Z)'!U:U, $D$1)
  )
)</f>
        <v/>
      </c>
      <c r="H131" s="263" t="str">
        <f>IF(
  (
    COUNTIFS('발전사업(A)'!C:C, $E$1, '발전사업(A)'!G:G, B123, '발전사업(A)'!X:X, B131, '발전사업(A)'!U:U, $D$1)
    + COUNTIFS('자가소비(B)'!C:C, $E$1, '자가소비(B)'!G:G, B123, '자가소비(B)'!X:X, B131, '자가소비(B)'!U:U, $D$1)
    + COUNTIFS('PPA 사업(C)'!C:C, $E$1, 'PPA 사업(C)'!G:G, B123, 'PPA 사업(C)'!X:X, B131, 'PPA 사업(C)'!U:U, $D$1)
    + COUNTIFS('리스사업(D)'!C:C, $E$1, '리스사업(D)'!G:G, B123, '리스사업(D)'!X:X, B131, '리스사업(D)'!U:U, $D$1)
    + COUNTIFS('임대사업(E)'!C:C, $E$1, '임대사업(E)'!G:G, B123, '임대사업(E)'!X:X, B131, '임대사업(E)'!U:U, $D$1)
    + COUNTIFS('환경부사업(F)'!C:C, $E$1, '환경부사업(F)'!G:G, B123, '환경부사업(F)'!X:X, B131, '환경부사업(F)'!U:U, $D$1)
    + COUNTIFS('프로젝트(G)'!C:C, $E$1, '프로젝트(G)'!G:G, B123, '프로젝트(G)'!X:X, B131, '프로젝트(G)'!U:U, $D$1)
    + COUNTIFS('협력사 EPC(H)'!C:C, $E$1, '협력사 EPC(H)'!G:G, B123, '협력사 EPC(H)'!X:X, B131, '협력사 EPC(H)'!U:U, $D$1)
    + COUNTIFS('기타(Z)'!C:C, $E$1, '기타(Z)'!G:G, B123, '기타(Z)'!X:X, B131, '기타(Z)'!U:U, $D$1)
  ) = 0,
  "",
  COUNTIFS('발전사업(A)'!C:C, $E$1, '발전사업(A)'!G:G, B123, '발전사업(A)'!X:X, B131, '발전사업(A)'!U:U, $D$1)
  + COUNTIFS('자가소비(B)'!C:C, $E$1, '자가소비(B)'!G:G, B123, '자가소비(B)'!X:X, B131, '자가소비(B)'!U:U, $D$1)
  + COUNTIFS('PPA 사업(C)'!C:C, $E$1, 'PPA 사업(C)'!G:G, B123, 'PPA 사업(C)'!X:X, B131, 'PPA 사업(C)'!U:U, $D$1)
  + COUNTIFS('리스사업(D)'!C:C, $E$1, '리스사업(D)'!G:G, B123, '리스사업(D)'!X:X, B131, '리스사업(D)'!U:U, $D$1)
  + COUNTIFS('임대사업(E)'!C:C, $E$1, '임대사업(E)'!G:G, B123, '임대사업(E)'!X:X, B131, '임대사업(E)'!U:U, $D$1)
  + COUNTIFS('환경부사업(F)'!C:C, $E$1, '환경부사업(F)'!G:G, B123, '환경부사업(F)'!X:X, B131, '환경부사업(F)'!U:U, $D$1)
  + COUNTIFS('프로젝트(G)'!C:C, $E$1, '프로젝트(G)'!G:G, B123, '프로젝트(G)'!X:X, B131, '프로젝트(G)'!U:U, $D$1)
  + COUNTIFS('협력사 EPC(H)'!C:C, $E$1, '협력사 EPC(H)'!G:G, B123, '협력사 EPC(H)'!X:X, B131, '협력사 EPC(H)'!U:U, $D$1)
  + COUNTIFS('기타(Z)'!C:C, $E$1, '기타(Z)'!G:G, B123, '기타(Z)'!X:X, B131, '기타(Z)'!U:U, $D$1)
)</f>
        <v/>
      </c>
    </row>
    <row r="132" spans="2:8" ht="16.5" x14ac:dyDescent="0.25">
      <c r="B132" s="274" t="s">
        <v>174</v>
      </c>
      <c r="C132" s="268">
        <f t="shared" ref="C132:H132" si="17">SUM(C124:C131)</f>
        <v>0</v>
      </c>
      <c r="D132" s="269">
        <f t="shared" si="17"/>
        <v>0</v>
      </c>
      <c r="E132" s="270">
        <f t="shared" si="17"/>
        <v>0</v>
      </c>
      <c r="F132" s="271">
        <f t="shared" si="17"/>
        <v>0</v>
      </c>
      <c r="G132" s="272">
        <f t="shared" si="17"/>
        <v>0</v>
      </c>
      <c r="H132" s="273">
        <f t="shared" si="17"/>
        <v>0</v>
      </c>
    </row>
    <row r="135" spans="2:8" ht="17.25" x14ac:dyDescent="0.25">
      <c r="B135" s="264">
        <v>11</v>
      </c>
      <c r="C135" s="265" t="s">
        <v>176</v>
      </c>
      <c r="D135" s="265" t="s">
        <v>175</v>
      </c>
      <c r="E135" s="266" t="s">
        <v>177</v>
      </c>
      <c r="F135" s="266" t="s">
        <v>178</v>
      </c>
      <c r="G135" s="267" t="s">
        <v>179</v>
      </c>
      <c r="H135" s="267" t="s">
        <v>180</v>
      </c>
    </row>
    <row r="136" spans="2:8" x14ac:dyDescent="0.25">
      <c r="B136" s="195" t="s">
        <v>160</v>
      </c>
      <c r="C136" s="262" t="str">
        <f>IF(
  SUM(
    SUMIFS('발전사업(A)'!I:I, '발전사업(A)'!C:C, $E$1, '발전사업(A)'!G:G, B135, '발전사업(A)'!X:X, B136),
    SUMIFS('자가소비(B)'!I:I, '자가소비(B)'!C:C, $E$1, '자가소비(B)'!G:G, B135, '자가소비(B)'!X:X, B136),
    SUMIFS('PPA 사업(C)'!I:I, 'PPA 사업(C)'!C:C, $E$1, 'PPA 사업(C)'!G:G, B135, 'PPA 사업(C)'!X:X, B136),
    SUMIFS('리스사업(D)'!I:I, '리스사업(D)'!C:C, $E$1, '리스사업(D)'!G:G, B135, '리스사업(D)'!X:X, B136),
    SUMIFS('임대사업(E)'!I:I, '임대사업(E)'!C:C, $E$1, '임대사업(E)'!G:G, B135, '임대사업(E)'!X:X, B136),
    SUMIFS('환경부사업(F)'!I:I, '환경부사업(F)'!C:C, $E$1, '환경부사업(F)'!G:G, B135, '환경부사업(F)'!X:X, B136),
    SUMIFS('프로젝트(G)'!I:I, '프로젝트(G)'!C:C, $E$1, '프로젝트(G)'!G:G, B135, '프로젝트(G)'!X:X, B136),
    SUMIFS('협력사 EPC(H)'!I:I, '협력사 EPC(H)'!C:C, $E$1, '협력사 EPC(H)'!G:G, B135, '협력사 EPC(H)'!X:X, B136),
    SUMIFS('기타(Z)'!I:I, '기타(Z)'!C:C, $E$1, '기타(Z)'!G:G, B135, '기타(Z)'!X:X, B136)
  ) = 0,
  "",
  SUMIFS('발전사업(A)'!I:I, '발전사업(A)'!C:C, $E$1, '발전사업(A)'!G:G, B135, '발전사업(A)'!X:X, B136)
  + SUMIFS('자가소비(B)'!I:I, '자가소비(B)'!C:C, $E$1, '자가소비(B)'!G:G, B135, '자가소비(B)'!X:X, B136)
  + SUMIFS('PPA 사업(C)'!I:I, 'PPA 사업(C)'!C:C, $E$1, 'PPA 사업(C)'!G:G, B135, 'PPA 사업(C)'!X:X, B136)
  + SUMIFS('리스사업(D)'!I:I, '리스사업(D)'!C:C, $E$1, '리스사업(D)'!G:G, B135, '리스사업(D)'!X:X, B136)
  + SUMIFS('임대사업(E)'!I:I, '임대사업(E)'!C:C, $E$1, '임대사업(E)'!G:G, B135, '임대사업(E)'!X:X, B136)
  + SUMIFS('환경부사업(F)'!I:I, '환경부사업(F)'!C:C, $E$1, '환경부사업(F)'!G:G, B135, '환경부사업(F)'!X:X, B136)
  + SUMIFS('프로젝트(G)'!I:I, '프로젝트(G)'!C:C, $E$1, '프로젝트(G)'!G:G, B135, '프로젝트(G)'!X:X, B136)
  + SUMIFS('협력사 EPC(H)'!I:I, '협력사 EPC(H)'!C:C, $E$1, '협력사 EPC(H)'!G:G, B135, '협력사 EPC(H)'!X:X, B136)
  + SUMIFS('기타(Z)'!I:I, '기타(Z)'!C:C, $E$1, '기타(Z)'!G:G, B135, '기타(Z)'!X:X, B136)
)</f>
        <v/>
      </c>
      <c r="D136" s="263" t="str">
        <f>IF(
  COUNTIFS('발전사업(A)'!C:C, $E$1, '발전사업(A)'!G:G, B135, '발전사업(A)'!X:X, B136)
  + COUNTIFS('자가소비(B)'!C:C, $E$1, '자가소비(B)'!G:G, B135, '자가소비(B)'!X:X, B136)
  + COUNTIFS('PPA 사업(C)'!C:C, $E$1, 'PPA 사업(C)'!G:G, B135, 'PPA 사업(C)'!X:X, B136)
  + COUNTIFS('리스사업(D)'!C:C, $E$1, '리스사업(D)'!G:G, B135, '리스사업(D)'!X:X, B136)
  + COUNTIFS('임대사업(E)'!C:C, $E$1, '임대사업(E)'!G:G, B135, '임대사업(E)'!X:X, B136)
  + COUNTIFS('환경부사업(F)'!C:C, $E$1, '환경부사업(F)'!G:G, B135, '환경부사업(F)'!X:X, B136)
  + COUNTIFS('프로젝트(G)'!C:C, $E$1, '프로젝트(G)'!G:G, B135, '프로젝트(G)'!X:X, B136)
  + COUNTIFS('협력사 EPC(H)'!C:C, $E$1, '협력사 EPC(H)'!G:G, B135, '협력사 EPC(H)'!X:X, B136)
  + COUNTIFS('기타(Z)'!C:C, $E$1, '기타(Z)'!G:G, B135, '기타(Z)'!X:X, B136)
  = 0,
  "",
  COUNTIFS('발전사업(A)'!C:C, $E$1, '발전사업(A)'!G:G, B135, '발전사업(A)'!X:X, B136)
  + COUNTIFS('자가소비(B)'!C:C, $E$1, '자가소비(B)'!G:G, B135, '자가소비(B)'!X:X, B136)
  + COUNTIFS('PPA 사업(C)'!C:C, $E$1, 'PPA 사업(C)'!G:G, B135, 'PPA 사업(C)'!X:X, B136)
  + COUNTIFS('리스사업(D)'!C:C, $E$1, '리스사업(D)'!G:G, B135, '리스사업(D)'!X:X, B136)
  + COUNTIFS('임대사업(E)'!C:C, $E$1, '임대사업(E)'!G:G, B135, '임대사업(E)'!X:X, B136)
  + COUNTIFS('환경부사업(F)'!C:C, $E$1, '환경부사업(F)'!G:G, B135, '환경부사업(F)'!X:X, B136)
  + COUNTIFS('프로젝트(G)'!C:C, $E$1, '프로젝트(G)'!G:G, B135, '프로젝트(G)'!X:X, B136)
  + COUNTIFS('협력사 EPC(H)'!C:C, $E$1, '협력사 EPC(H)'!G:G, B135, '협력사 EPC(H)'!X:X, B136)
  + COUNTIFS('기타(Z)'!C:C, $E$1, '기타(Z)'!G:G, B135, '기타(Z)'!X:X, B136)
)</f>
        <v/>
      </c>
      <c r="E136" s="262" t="str">
        <f>IF(
  SUM(
    SUMIFS('발전사업(A)'!I:I, '발전사업(A)'!C:C, $E$1, '발전사업(A)'!G:G, B135, '발전사업(A)'!X:X, B136, '발전사업(A)'!U:U, $C$1),
    SUMIFS('자가소비(B)'!I:I, '자가소비(B)'!C:C, $E$1, '자가소비(B)'!G:G, B135, '자가소비(B)'!X:X, B136, '자가소비(B)'!U:U, $C$1),
    SUMIFS('PPA 사업(C)'!I:I, 'PPA 사업(C)'!C:C, $E$1, 'PPA 사업(C)'!G:G, B135, 'PPA 사업(C)'!X:X, B136, 'PPA 사업(C)'!U:U, $C$1),
    SUMIFS('리스사업(D)'!I:I, '리스사업(D)'!C:C, $E$1, '리스사업(D)'!G:G, B135, '리스사업(D)'!X:X, B136, '리스사업(D)'!U:U, $C$1),
    SUMIFS('임대사업(E)'!I:I, '임대사업(E)'!C:C, $E$1, '임대사업(E)'!G:G, B135, '임대사업(E)'!X:X, B136, '임대사업(E)'!U:U, $C$1),
    SUMIFS('환경부사업(F)'!I:I, '환경부사업(F)'!C:C, $E$1, '환경부사업(F)'!G:G, B135, '환경부사업(F)'!X:X, B136, '환경부사업(F)'!U:U, $C$1),
    SUMIFS('프로젝트(G)'!I:I, '프로젝트(G)'!C:C, $E$1, '프로젝트(G)'!G:G, B135, '프로젝트(G)'!X:X, B136, '프로젝트(G)'!U:U, $C$1),
    SUMIFS('협력사 EPC(H)'!I:I, '협력사 EPC(H)'!C:C, $E$1, '협력사 EPC(H)'!G:G, B135, '협력사 EPC(H)'!X:X, B136, '협력사 EPC(H)'!U:U, $C$1),
    SUMIFS('기타(Z)'!I:I, '기타(Z)'!C:C, $E$1, '기타(Z)'!G:G, B135, '기타(Z)'!X:X, B136, '기타(Z)'!U:U, $C$1)
  ) = 0,
  "",
  SUM(
    SUMIFS('발전사업(A)'!I:I, '발전사업(A)'!C:C, $E$1, '발전사업(A)'!G:G, B135, '발전사업(A)'!X:X, B136, '발전사업(A)'!U:U, $C$1),
    SUMIFS('자가소비(B)'!I:I, '자가소비(B)'!C:C, $E$1, '자가소비(B)'!G:G, B135, '자가소비(B)'!X:X, B136, '자가소비(B)'!U:U, $C$1),
    SUMIFS('PPA 사업(C)'!I:I, 'PPA 사업(C)'!C:C, $E$1, 'PPA 사업(C)'!G:G, B135, 'PPA 사업(C)'!X:X, B136, 'PPA 사업(C)'!U:U, $C$1),
    SUMIFS('리스사업(D)'!I:I, '리스사업(D)'!C:C, $E$1, '리스사업(D)'!G:G, B135, '리스사업(D)'!X:X, B136, '리스사업(D)'!U:U, $C$1),
    SUMIFS('임대사업(E)'!I:I, '임대사업(E)'!C:C, $E$1, '임대사업(E)'!G:G, B135, '임대사업(E)'!X:X, B136, '임대사업(E)'!U:U, $C$1),
    SUMIFS('환경부사업(F)'!I:I, '환경부사업(F)'!C:C, $E$1, '환경부사업(F)'!G:G, B135, '환경부사업(F)'!X:X, B136, '환경부사업(F)'!U:U, $C$1),
    SUMIFS('프로젝트(G)'!I:I, '프로젝트(G)'!C:C, $E$1, '프로젝트(G)'!G:G, B135, '프로젝트(G)'!X:X, B136, '프로젝트(G)'!U:U, $C$1),
    SUMIFS('협력사 EPC(H)'!I:I, '협력사 EPC(H)'!C:C, $E$1, '협력사 EPC(H)'!G:G, B135, '협력사 EPC(H)'!X:X, B136, '협력사 EPC(H)'!U:U, $C$1),
    SUMIFS('기타(Z)'!I:I, '기타(Z)'!C:C, $E$1, '기타(Z)'!G:G, B135, '기타(Z)'!X:X, B136, '기타(Z)'!U:U, $C$1)
  )
)</f>
        <v/>
      </c>
      <c r="F136" s="263" t="str">
        <f>IF(
  SUM(
    COUNTIFS('발전사업(A)'!C:C, $E$1, '발전사업(A)'!G:G, B135, '발전사업(A)'!X:X, B136, '발전사업(A)'!U:U, $C$1),
    COUNTIFS('자가소비(B)'!C:C, $E$1, '자가소비(B)'!G:G, B135, '자가소비(B)'!X:X, B136, '자가소비(B)'!U:U, $C$1),
    COUNTIFS('PPA 사업(C)'!C:C, $E$1, 'PPA 사업(C)'!G:G, B135, 'PPA 사업(C)'!X:X, B136, 'PPA 사업(C)'!U:U, $C$1),
    COUNTIFS('리스사업(D)'!C:C, $E$1, '리스사업(D)'!G:G, B135, '리스사업(D)'!X:X, B136, '리스사업(D)'!U:U, $C$1),
    COUNTIFS('임대사업(E)'!C:C, $E$1, '임대사업(E)'!G:G, B135, '임대사업(E)'!X:X, B136, '임대사업(E)'!U:U, $C$1),
    COUNTIFS('환경부사업(F)'!C:C, $E$1, '환경부사업(F)'!G:G, B135, '환경부사업(F)'!X:X, B136, '환경부사업(F)'!U:U, $C$1),
    COUNTIFS('프로젝트(G)'!C:C, $E$1, '프로젝트(G)'!G:G, B135, '프로젝트(G)'!X:X, B136, '프로젝트(G)'!U:U, $C$1),
    COUNTIFS('협력사 EPC(H)'!C:C, $E$1, '협력사 EPC(H)'!G:G, B135, '협력사 EPC(H)'!X:X, B136, '협력사 EPC(H)'!U:U, $C$1),
    COUNTIFS('기타(Z)'!C:C, $E$1, '기타(Z)'!G:G, B135, '기타(Z)'!X:X, B136, '기타(Z)'!U:U, $C$1)
  ) = 0,
  "",
  SUM(
    COUNTIFS('발전사업(A)'!C:C, $E$1, '발전사업(A)'!G:G, B135, '발전사업(A)'!X:X, B136, '발전사업(A)'!U:U, $C$1),
    COUNTIFS('자가소비(B)'!C:C, $E$1, '자가소비(B)'!G:G, B135, '자가소비(B)'!X:X, B136, '자가소비(B)'!U:U, $C$1),
    COUNTIFS('PPA 사업(C)'!C:C, $E$1, 'PPA 사업(C)'!G:G, B135, 'PPA 사업(C)'!X:X, B136, 'PPA 사업(C)'!U:U, $C$1),
    COUNTIFS('리스사업(D)'!C:C, $E$1, '리스사업(D)'!G:G, B135, '리스사업(D)'!X:X, B136, '리스사업(D)'!U:U, $C$1),
    COUNTIFS('임대사업(E)'!C:C, $E$1, '임대사업(E)'!G:G, B135, '임대사업(E)'!X:X, B136, '임대사업(E)'!U:U, $C$1),
    COUNTIFS('환경부사업(F)'!C:C, $E$1, '환경부사업(F)'!G:G, B135, '환경부사업(F)'!X:X, B136, '환경부사업(F)'!U:U, $C$1),
    COUNTIFS('프로젝트(G)'!C:C, $E$1, '프로젝트(G)'!G:G, B135, '프로젝트(G)'!X:X, B136, '프로젝트(G)'!U:U, $C$1),
    COUNTIFS('협력사 EPC(H)'!C:C, $E$1, '협력사 EPC(H)'!G:G, B135, '협력사 EPC(H)'!X:X, B136, '협력사 EPC(H)'!U:U, $C$1),
    COUNTIFS('기타(Z)'!C:C, $E$1, '기타(Z)'!G:G, B135, '기타(Z)'!X:X, B136, '기타(Z)'!U:U, $C$1)
  )
)</f>
        <v/>
      </c>
      <c r="G136" s="262" t="str">
        <f>IF(
  SUM(
    SUMIFS('발전사업(A)'!I:I, '발전사업(A)'!C:C, $E$1, '발전사업(A)'!G:G, B135, '발전사업(A)'!X:X, B136, '발전사업(A)'!U:U, $D$1),
    SUMIFS('자가소비(B)'!I:I, '자가소비(B)'!C:C, $E$1, '자가소비(B)'!G:G, B135, '자가소비(B)'!X:X, B136, '자가소비(B)'!U:U, $D$1),
    SUMIFS('PPA 사업(C)'!I:I, 'PPA 사업(C)'!C:C, $E$1, 'PPA 사업(C)'!G:G, B135, 'PPA 사업(C)'!X:X, B136, 'PPA 사업(C)'!U:U, $D$1),
    SUMIFS('리스사업(D)'!I:I, '리스사업(D)'!C:C, $E$1, '리스사업(D)'!G:G, B135, '리스사업(D)'!X:X, B136, '리스사업(D)'!U:U, $D$1),
    SUMIFS('임대사업(E)'!I:I, '임대사업(E)'!C:C, $E$1, '임대사업(E)'!G:G, B135, '임대사업(E)'!X:X, B136, '임대사업(E)'!U:U, $D$1),
    SUMIFS('환경부사업(F)'!I:I, '환경부사업(F)'!C:C, $E$1, '환경부사업(F)'!G:G, B135, '환경부사업(F)'!X:X, B136, '환경부사업(F)'!U:U, $D$1),
    SUMIFS('프로젝트(G)'!I:I, '프로젝트(G)'!C:C, $E$1, '프로젝트(G)'!G:G, B135, '프로젝트(G)'!X:X, B136, '프로젝트(G)'!U:U, $D$1),
    SUMIFS('협력사 EPC(H)'!I:I, '협력사 EPC(H)'!C:C, $E$1, '협력사 EPC(H)'!G:G, B135, '협력사 EPC(H)'!X:X, B136, '협력사 EPC(H)'!U:U, $D$1),
    SUMIFS('기타(Z)'!I:I, '기타(Z)'!C:C, $E$1, '기타(Z)'!G:G, B135, '기타(Z)'!X:X, B136, '기타(Z)'!U:U, $D$1)
  ) = 0,
  "",
  SUM(
    SUMIFS('발전사업(A)'!I:I, '발전사업(A)'!C:C, $E$1, '발전사업(A)'!G:G, B135, '발전사업(A)'!X:X, B136, '발전사업(A)'!U:U, $D$1),
    SUMIFS('자가소비(B)'!I:I, '자가소비(B)'!C:C, $E$1, '자가소비(B)'!G:G, B135, '자가소비(B)'!X:X, B136, '자가소비(B)'!U:U, $D$1),
    SUMIFS('PPA 사업(C)'!I:I, 'PPA 사업(C)'!C:C, $E$1, 'PPA 사업(C)'!G:G, B135, 'PPA 사업(C)'!X:X, B136, 'PPA 사업(C)'!U:U, $D$1),
    SUMIFS('리스사업(D)'!I:I, '리스사업(D)'!C:C, $E$1, '리스사업(D)'!G:G, B135, '리스사업(D)'!X:X, B136, '리스사업(D)'!U:U, $D$1),
    SUMIFS('임대사업(E)'!I:I, '임대사업(E)'!C:C, $E$1, '임대사업(E)'!G:G, B135, '임대사업(E)'!X:X, B136, '임대사업(E)'!U:U, $D$1),
    SUMIFS('환경부사업(F)'!I:I, '환경부사업(F)'!C:C, $E$1, '환경부사업(F)'!G:G, B135, '환경부사업(F)'!X:X, B136, '환경부사업(F)'!U:U, $D$1),
    SUMIFS('프로젝트(G)'!I:I, '프로젝트(G)'!C:C, $E$1, '프로젝트(G)'!G:G, B135, '프로젝트(G)'!X:X, B136, '프로젝트(G)'!U:U, $D$1),
    SUMIFS('협력사 EPC(H)'!I:I, '협력사 EPC(H)'!C:C, $E$1, '협력사 EPC(H)'!G:G, B135, '협력사 EPC(H)'!X:X, B136, '협력사 EPC(H)'!U:U, $D$1),
    SUMIFS('기타(Z)'!I:I, '기타(Z)'!C:C, $E$1, '기타(Z)'!G:G, B135, '기타(Z)'!X:X, B136, '기타(Z)'!U:U, $D$1)
  )
)</f>
        <v/>
      </c>
      <c r="H136" s="263" t="str">
        <f>IF(
  (
    COUNTIFS('발전사업(A)'!C:C, $E$1, '발전사업(A)'!G:G, B135, '발전사업(A)'!X:X, B136, '발전사업(A)'!U:U, $D$1)
    + COUNTIFS('자가소비(B)'!C:C, $E$1, '자가소비(B)'!G:G, B135, '자가소비(B)'!X:X, B136, '자가소비(B)'!U:U, $D$1)
    + COUNTIFS('PPA 사업(C)'!C:C, $E$1, 'PPA 사업(C)'!G:G, B135, 'PPA 사업(C)'!X:X, B136, 'PPA 사업(C)'!U:U, $D$1)
    + COUNTIFS('리스사업(D)'!C:C, $E$1, '리스사업(D)'!G:G, B135, '리스사업(D)'!X:X, B136, '리스사업(D)'!U:U, $D$1)
    + COUNTIFS('임대사업(E)'!C:C, $E$1, '임대사업(E)'!G:G, B135, '임대사업(E)'!X:X, B136, '임대사업(E)'!U:U, $D$1)
    + COUNTIFS('환경부사업(F)'!C:C, $E$1, '환경부사업(F)'!G:G, B135, '환경부사업(F)'!X:X, B136, '환경부사업(F)'!U:U, $D$1)
    + COUNTIFS('프로젝트(G)'!C:C, $E$1, '프로젝트(G)'!G:G, B135, '프로젝트(G)'!X:X, B136, '프로젝트(G)'!U:U, $D$1)
    + COUNTIFS('협력사 EPC(H)'!C:C, $E$1, '협력사 EPC(H)'!G:G, B135, '협력사 EPC(H)'!X:X, B136, '협력사 EPC(H)'!U:U, $D$1)
    + COUNTIFS('기타(Z)'!C:C, $E$1, '기타(Z)'!G:G, B135, '기타(Z)'!X:X, B136, '기타(Z)'!U:U, $D$1)
  ) = 0,
  "",
  COUNTIFS('발전사업(A)'!C:C, $E$1, '발전사업(A)'!G:G, B135, '발전사업(A)'!X:X, B136, '발전사업(A)'!U:U, $D$1)
  + COUNTIFS('자가소비(B)'!C:C, $E$1, '자가소비(B)'!G:G, B135, '자가소비(B)'!X:X, B136, '자가소비(B)'!U:U, $D$1)
  + COUNTIFS('PPA 사업(C)'!C:C, $E$1, 'PPA 사업(C)'!G:G, B135, 'PPA 사업(C)'!X:X, B136, 'PPA 사업(C)'!U:U, $D$1)
  + COUNTIFS('리스사업(D)'!C:C, $E$1, '리스사업(D)'!G:G, B135, '리스사업(D)'!X:X, B136, '리스사업(D)'!U:U, $D$1)
  + COUNTIFS('임대사업(E)'!C:C, $E$1, '임대사업(E)'!G:G, B135, '임대사업(E)'!X:X, B136, '임대사업(E)'!U:U, $D$1)
  + COUNTIFS('환경부사업(F)'!C:C, $E$1, '환경부사업(F)'!G:G, B135, '환경부사업(F)'!X:X, B136, '환경부사업(F)'!U:U, $D$1)
  + COUNTIFS('프로젝트(G)'!C:C, $E$1, '프로젝트(G)'!G:G, B135, '프로젝트(G)'!X:X, B136, '프로젝트(G)'!U:U, $D$1)
  + COUNTIFS('협력사 EPC(H)'!C:C, $E$1, '협력사 EPC(H)'!G:G, B135, '협력사 EPC(H)'!X:X, B136, '협력사 EPC(H)'!U:U, $D$1)
  + COUNTIFS('기타(Z)'!C:C, $E$1, '기타(Z)'!G:G, B135, '기타(Z)'!X:X, B136, '기타(Z)'!U:U, $D$1)
)</f>
        <v/>
      </c>
    </row>
    <row r="137" spans="2:8" x14ac:dyDescent="0.25">
      <c r="B137" s="195" t="s">
        <v>152</v>
      </c>
      <c r="C137" s="262" t="str">
        <f>IF(
  SUM(
    SUMIFS('발전사업(A)'!I:I, '발전사업(A)'!C:C, $E$1, '발전사업(A)'!G:G, B135, '발전사업(A)'!X:X, B137),
    SUMIFS('자가소비(B)'!I:I, '자가소비(B)'!C:C, $E$1, '자가소비(B)'!G:G, B135, '자가소비(B)'!X:X, B137),
    SUMIFS('PPA 사업(C)'!I:I, 'PPA 사업(C)'!C:C, $E$1, 'PPA 사업(C)'!G:G, B135, 'PPA 사업(C)'!X:X, B137),
    SUMIFS('리스사업(D)'!I:I, '리스사업(D)'!C:C, $E$1, '리스사업(D)'!G:G, B135, '리스사업(D)'!X:X, B137),
    SUMIFS('임대사업(E)'!I:I, '임대사업(E)'!C:C, $E$1, '임대사업(E)'!G:G, B135, '임대사업(E)'!X:X, B137),
    SUMIFS('환경부사업(F)'!I:I, '환경부사업(F)'!C:C, $E$1, '환경부사업(F)'!G:G, B135, '환경부사업(F)'!X:X, B137),
    SUMIFS('프로젝트(G)'!I:I, '프로젝트(G)'!C:C, $E$1, '프로젝트(G)'!G:G, B135, '프로젝트(G)'!X:X, B137),
    SUMIFS('협력사 EPC(H)'!I:I, '협력사 EPC(H)'!C:C, $E$1, '협력사 EPC(H)'!G:G, B135, '협력사 EPC(H)'!X:X, B137),
    SUMIFS('기타(Z)'!I:I, '기타(Z)'!C:C, $E$1, '기타(Z)'!G:G, B135, '기타(Z)'!X:X, B137)
  ) = 0,
  "",
  SUMIFS('발전사업(A)'!I:I, '발전사업(A)'!C:C, $E$1, '발전사업(A)'!G:G, B135, '발전사업(A)'!X:X, B137)
  + SUMIFS('자가소비(B)'!I:I, '자가소비(B)'!C:C, $E$1, '자가소비(B)'!G:G, B135, '자가소비(B)'!X:X, B137)
  + SUMIFS('PPA 사업(C)'!I:I, 'PPA 사업(C)'!C:C, $E$1, 'PPA 사업(C)'!G:G, B135, 'PPA 사업(C)'!X:X, B137)
  + SUMIFS('리스사업(D)'!I:I, '리스사업(D)'!C:C, $E$1, '리스사업(D)'!G:G, B135, '리스사업(D)'!X:X, B137)
  + SUMIFS('임대사업(E)'!I:I, '임대사업(E)'!C:C, $E$1, '임대사업(E)'!G:G, B135, '임대사업(E)'!X:X, B137)
  + SUMIFS('환경부사업(F)'!I:I, '환경부사업(F)'!C:C, $E$1, '환경부사업(F)'!G:G, B135, '환경부사업(F)'!X:X, B137)
  + SUMIFS('프로젝트(G)'!I:I, '프로젝트(G)'!C:C, $E$1, '프로젝트(G)'!G:G, B135, '프로젝트(G)'!X:X, B137)
  + SUMIFS('협력사 EPC(H)'!I:I, '협력사 EPC(H)'!C:C, $E$1, '협력사 EPC(H)'!G:G, B135, '협력사 EPC(H)'!X:X, B137)
  + SUMIFS('기타(Z)'!I:I, '기타(Z)'!C:C, $E$1, '기타(Z)'!G:G, B135, '기타(Z)'!X:X, B137)
)</f>
        <v/>
      </c>
      <c r="D137" s="263" t="str">
        <f>IF(
  COUNTIFS('발전사업(A)'!C:C, $E$1, '발전사업(A)'!G:G, B135, '발전사업(A)'!X:X, B137)
  + COUNTIFS('자가소비(B)'!C:C, $E$1, '자가소비(B)'!G:G, B135, '자가소비(B)'!X:X, B137)
  + COUNTIFS('PPA 사업(C)'!C:C, $E$1, 'PPA 사업(C)'!G:G, B135, 'PPA 사업(C)'!X:X, B137)
  + COUNTIFS('리스사업(D)'!C:C, $E$1, '리스사업(D)'!G:G, B135, '리스사업(D)'!X:X, B137)
  + COUNTIFS('임대사업(E)'!C:C, $E$1, '임대사업(E)'!G:G, B135, '임대사업(E)'!X:X, B137)
  + COUNTIFS('환경부사업(F)'!C:C, $E$1, '환경부사업(F)'!G:G, B135, '환경부사업(F)'!X:X, B137)
  + COUNTIFS('프로젝트(G)'!C:C, $E$1, '프로젝트(G)'!G:G, B135, '프로젝트(G)'!X:X, B137)
  + COUNTIFS('협력사 EPC(H)'!C:C, $E$1, '협력사 EPC(H)'!G:G, B135, '협력사 EPC(H)'!X:X, B137)
  + COUNTIFS('기타(Z)'!C:C, $E$1, '기타(Z)'!G:G, B135, '기타(Z)'!X:X, B137)
  = 0,
  "",
  COUNTIFS('발전사업(A)'!C:C, $E$1, '발전사업(A)'!G:G, B135, '발전사업(A)'!X:X, B137)
  + COUNTIFS('자가소비(B)'!C:C, $E$1, '자가소비(B)'!G:G, B135, '자가소비(B)'!X:X, B137)
  + COUNTIFS('PPA 사업(C)'!C:C, $E$1, 'PPA 사업(C)'!G:G, B135, 'PPA 사업(C)'!X:X, B137)
  + COUNTIFS('리스사업(D)'!C:C, $E$1, '리스사업(D)'!G:G, B135, '리스사업(D)'!X:X, B137)
  + COUNTIFS('임대사업(E)'!C:C, $E$1, '임대사업(E)'!G:G, B135, '임대사업(E)'!X:X, B137)
  + COUNTIFS('환경부사업(F)'!C:C, $E$1, '환경부사업(F)'!G:G, B135, '환경부사업(F)'!X:X, B137)
  + COUNTIFS('프로젝트(G)'!C:C, $E$1, '프로젝트(G)'!G:G, B135, '프로젝트(G)'!X:X, B137)
  + COUNTIFS('협력사 EPC(H)'!C:C, $E$1, '협력사 EPC(H)'!G:G, B135, '협력사 EPC(H)'!X:X, B137)
  + COUNTIFS('기타(Z)'!C:C, $E$1, '기타(Z)'!G:G, B135, '기타(Z)'!X:X, B137)
)</f>
        <v/>
      </c>
      <c r="E137" s="262" t="str">
        <f>IF(
  SUM(
    SUMIFS('발전사업(A)'!I:I, '발전사업(A)'!C:C, $E$1, '발전사업(A)'!G:G, B135, '발전사업(A)'!X:X, B137, '발전사업(A)'!U:U, $C$1),
    SUMIFS('자가소비(B)'!I:I, '자가소비(B)'!C:C, $E$1, '자가소비(B)'!G:G, B135, '자가소비(B)'!X:X, B137, '자가소비(B)'!U:U, $C$1),
    SUMIFS('PPA 사업(C)'!I:I, 'PPA 사업(C)'!C:C, $E$1, 'PPA 사업(C)'!G:G, B135, 'PPA 사업(C)'!X:X, B137, 'PPA 사업(C)'!U:U, $C$1),
    SUMIFS('리스사업(D)'!I:I, '리스사업(D)'!C:C, $E$1, '리스사업(D)'!G:G, B135, '리스사업(D)'!X:X, B137, '리스사업(D)'!U:U, $C$1),
    SUMIFS('임대사업(E)'!I:I, '임대사업(E)'!C:C, $E$1, '임대사업(E)'!G:G, B135, '임대사업(E)'!X:X, B137, '임대사업(E)'!U:U, $C$1),
    SUMIFS('환경부사업(F)'!I:I, '환경부사업(F)'!C:C, $E$1, '환경부사업(F)'!G:G, B135, '환경부사업(F)'!X:X, B137, '환경부사업(F)'!U:U, $C$1),
    SUMIFS('프로젝트(G)'!I:I, '프로젝트(G)'!C:C, $E$1, '프로젝트(G)'!G:G, B135, '프로젝트(G)'!X:X, B137, '프로젝트(G)'!U:U, $C$1),
    SUMIFS('협력사 EPC(H)'!I:I, '협력사 EPC(H)'!C:C, $E$1, '협력사 EPC(H)'!G:G, B135, '협력사 EPC(H)'!X:X, B137, '협력사 EPC(H)'!U:U, $C$1),
    SUMIFS('기타(Z)'!I:I, '기타(Z)'!C:C, $E$1, '기타(Z)'!G:G, B135, '기타(Z)'!X:X, B137, '기타(Z)'!U:U, $C$1)
  ) = 0,
  "",
  SUM(
    SUMIFS('발전사업(A)'!I:I, '발전사업(A)'!C:C, $E$1, '발전사업(A)'!G:G, B135, '발전사업(A)'!X:X, B137, '발전사업(A)'!U:U, $C$1),
    SUMIFS('자가소비(B)'!I:I, '자가소비(B)'!C:C, $E$1, '자가소비(B)'!G:G, B135, '자가소비(B)'!X:X, B137, '자가소비(B)'!U:U, $C$1),
    SUMIFS('PPA 사업(C)'!I:I, 'PPA 사업(C)'!C:C, $E$1, 'PPA 사업(C)'!G:G, B135, 'PPA 사업(C)'!X:X, B137, 'PPA 사업(C)'!U:U, $C$1),
    SUMIFS('리스사업(D)'!I:I, '리스사업(D)'!C:C, $E$1, '리스사업(D)'!G:G, B135, '리스사업(D)'!X:X, B137, '리스사업(D)'!U:U, $C$1),
    SUMIFS('임대사업(E)'!I:I, '임대사업(E)'!C:C, $E$1, '임대사업(E)'!G:G, B135, '임대사업(E)'!X:X, B137, '임대사업(E)'!U:U, $C$1),
    SUMIFS('환경부사업(F)'!I:I, '환경부사업(F)'!C:C, $E$1, '환경부사업(F)'!G:G, B135, '환경부사업(F)'!X:X, B137, '환경부사업(F)'!U:U, $C$1),
    SUMIFS('프로젝트(G)'!I:I, '프로젝트(G)'!C:C, $E$1, '프로젝트(G)'!G:G, B135, '프로젝트(G)'!X:X, B137, '프로젝트(G)'!U:U, $C$1),
    SUMIFS('협력사 EPC(H)'!I:I, '협력사 EPC(H)'!C:C, $E$1, '협력사 EPC(H)'!G:G, B135, '협력사 EPC(H)'!X:X, B137, '협력사 EPC(H)'!U:U, $C$1),
    SUMIFS('기타(Z)'!I:I, '기타(Z)'!C:C, $E$1, '기타(Z)'!G:G, B135, '기타(Z)'!X:X, B137, '기타(Z)'!U:U, $C$1)
  )
)</f>
        <v/>
      </c>
      <c r="F137" s="263" t="str">
        <f>IF(
  SUM(
    COUNTIFS('발전사업(A)'!C:C, $E$1, '발전사업(A)'!G:G, B135, '발전사업(A)'!X:X, B137, '발전사업(A)'!U:U, $C$1),
    COUNTIFS('자가소비(B)'!C:C, $E$1, '자가소비(B)'!G:G, B135, '자가소비(B)'!X:X, B137, '자가소비(B)'!U:U, $C$1),
    COUNTIFS('PPA 사업(C)'!C:C, $E$1, 'PPA 사업(C)'!G:G, B135, 'PPA 사업(C)'!X:X, B137, 'PPA 사업(C)'!U:U, $C$1),
    COUNTIFS('리스사업(D)'!C:C, $E$1, '리스사업(D)'!G:G, B135, '리스사업(D)'!X:X, B137, '리스사업(D)'!U:U, $C$1),
    COUNTIFS('임대사업(E)'!C:C, $E$1, '임대사업(E)'!G:G, B135, '임대사업(E)'!X:X, B137, '임대사업(E)'!U:U, $C$1),
    COUNTIFS('환경부사업(F)'!C:C, $E$1, '환경부사업(F)'!G:G, B135, '환경부사업(F)'!X:X, B137, '환경부사업(F)'!U:U, $C$1),
    COUNTIFS('프로젝트(G)'!C:C, $E$1, '프로젝트(G)'!G:G, B135, '프로젝트(G)'!X:X, B137, '프로젝트(G)'!U:U, $C$1),
    COUNTIFS('협력사 EPC(H)'!C:C, $E$1, '협력사 EPC(H)'!G:G, B135, '협력사 EPC(H)'!X:X, B137, '협력사 EPC(H)'!U:U, $C$1),
    COUNTIFS('기타(Z)'!C:C, $E$1, '기타(Z)'!G:G, B135, '기타(Z)'!X:X, B137, '기타(Z)'!U:U, $C$1)
  ) = 0,
  "",
  SUM(
    COUNTIFS('발전사업(A)'!C:C, $E$1, '발전사업(A)'!G:G, B135, '발전사업(A)'!X:X, B137, '발전사업(A)'!U:U, $C$1),
    COUNTIFS('자가소비(B)'!C:C, $E$1, '자가소비(B)'!G:G, B135, '자가소비(B)'!X:X, B137, '자가소비(B)'!U:U, $C$1),
    COUNTIFS('PPA 사업(C)'!C:C, $E$1, 'PPA 사업(C)'!G:G, B135, 'PPA 사업(C)'!X:X, B137, 'PPA 사업(C)'!U:U, $C$1),
    COUNTIFS('리스사업(D)'!C:C, $E$1, '리스사업(D)'!G:G, B135, '리스사업(D)'!X:X, B137, '리스사업(D)'!U:U, $C$1),
    COUNTIFS('임대사업(E)'!C:C, $E$1, '임대사업(E)'!G:G, B135, '임대사업(E)'!X:X, B137, '임대사업(E)'!U:U, $C$1),
    COUNTIFS('환경부사업(F)'!C:C, $E$1, '환경부사업(F)'!G:G, B135, '환경부사업(F)'!X:X, B137, '환경부사업(F)'!U:U, $C$1),
    COUNTIFS('프로젝트(G)'!C:C, $E$1, '프로젝트(G)'!G:G, B135, '프로젝트(G)'!X:X, B137, '프로젝트(G)'!U:U, $C$1),
    COUNTIFS('협력사 EPC(H)'!C:C, $E$1, '협력사 EPC(H)'!G:G, B135, '협력사 EPC(H)'!X:X, B137, '협력사 EPC(H)'!U:U, $C$1),
    COUNTIFS('기타(Z)'!C:C, $E$1, '기타(Z)'!G:G, B135, '기타(Z)'!X:X, B137, '기타(Z)'!U:U, $C$1)
  )
)</f>
        <v/>
      </c>
      <c r="G137" s="262" t="str">
        <f>IF(
  SUM(
    SUMIFS('발전사업(A)'!I:I, '발전사업(A)'!C:C, $E$1, '발전사업(A)'!G:G, B135, '발전사업(A)'!X:X, B137, '발전사업(A)'!U:U, $D$1),
    SUMIFS('자가소비(B)'!I:I, '자가소비(B)'!C:C, $E$1, '자가소비(B)'!G:G, B135, '자가소비(B)'!X:X, B137, '자가소비(B)'!U:U, $D$1),
    SUMIFS('PPA 사업(C)'!I:I, 'PPA 사업(C)'!C:C, $E$1, 'PPA 사업(C)'!G:G, B135, 'PPA 사업(C)'!X:X, B137, 'PPA 사업(C)'!U:U, $D$1),
    SUMIFS('리스사업(D)'!I:I, '리스사업(D)'!C:C, $E$1, '리스사업(D)'!G:G, B135, '리스사업(D)'!X:X, B137, '리스사업(D)'!U:U, $D$1),
    SUMIFS('임대사업(E)'!I:I, '임대사업(E)'!C:C, $E$1, '임대사업(E)'!G:G, B135, '임대사업(E)'!X:X, B137, '임대사업(E)'!U:U, $D$1),
    SUMIFS('환경부사업(F)'!I:I, '환경부사업(F)'!C:C, $E$1, '환경부사업(F)'!G:G, B135, '환경부사업(F)'!X:X, B137, '환경부사업(F)'!U:U, $D$1),
    SUMIFS('프로젝트(G)'!I:I, '프로젝트(G)'!C:C, $E$1, '프로젝트(G)'!G:G, B135, '프로젝트(G)'!X:X, B137, '프로젝트(G)'!U:U, $D$1),
    SUMIFS('협력사 EPC(H)'!I:I, '협력사 EPC(H)'!C:C, $E$1, '협력사 EPC(H)'!G:G, B135, '협력사 EPC(H)'!X:X, B137, '협력사 EPC(H)'!U:U, $D$1),
    SUMIFS('기타(Z)'!I:I, '기타(Z)'!C:C, $E$1, '기타(Z)'!G:G, B135, '기타(Z)'!X:X, B137, '기타(Z)'!U:U, $D$1)
  ) = 0,
  "",
  SUM(
    SUMIFS('발전사업(A)'!I:I, '발전사업(A)'!C:C, $E$1, '발전사업(A)'!G:G, B135, '발전사업(A)'!X:X, B137, '발전사업(A)'!U:U, $D$1),
    SUMIFS('자가소비(B)'!I:I, '자가소비(B)'!C:C, $E$1, '자가소비(B)'!G:G, B135, '자가소비(B)'!X:X, B137, '자가소비(B)'!U:U, $D$1),
    SUMIFS('PPA 사업(C)'!I:I, 'PPA 사업(C)'!C:C, $E$1, 'PPA 사업(C)'!G:G, B135, 'PPA 사업(C)'!X:X, B137, 'PPA 사업(C)'!U:U, $D$1),
    SUMIFS('리스사업(D)'!I:I, '리스사업(D)'!C:C, $E$1, '리스사업(D)'!G:G, B135, '리스사업(D)'!X:X, B137, '리스사업(D)'!U:U, $D$1),
    SUMIFS('임대사업(E)'!I:I, '임대사업(E)'!C:C, $E$1, '임대사업(E)'!G:G, B135, '임대사업(E)'!X:X, B137, '임대사업(E)'!U:U, $D$1),
    SUMIFS('환경부사업(F)'!I:I, '환경부사업(F)'!C:C, $E$1, '환경부사업(F)'!G:G, B135, '환경부사업(F)'!X:X, B137, '환경부사업(F)'!U:U, $D$1),
    SUMIFS('프로젝트(G)'!I:I, '프로젝트(G)'!C:C, $E$1, '프로젝트(G)'!G:G, B135, '프로젝트(G)'!X:X, B137, '프로젝트(G)'!U:U, $D$1),
    SUMIFS('협력사 EPC(H)'!I:I, '협력사 EPC(H)'!C:C, $E$1, '협력사 EPC(H)'!G:G, B135, '협력사 EPC(H)'!X:X, B137, '협력사 EPC(H)'!U:U, $D$1),
    SUMIFS('기타(Z)'!I:I, '기타(Z)'!C:C, $E$1, '기타(Z)'!G:G, B135, '기타(Z)'!X:X, B137, '기타(Z)'!U:U, $D$1)
  )
)</f>
        <v/>
      </c>
      <c r="H137" s="263" t="str">
        <f>IF(
  (
    COUNTIFS('발전사업(A)'!C:C, $E$1, '발전사업(A)'!G:G, B135, '발전사업(A)'!X:X, B137, '발전사업(A)'!U:U, $D$1)
    + COUNTIFS('자가소비(B)'!C:C, $E$1, '자가소비(B)'!G:G, B135, '자가소비(B)'!X:X, B137, '자가소비(B)'!U:U, $D$1)
    + COUNTIFS('PPA 사업(C)'!C:C, $E$1, 'PPA 사업(C)'!G:G, B135, 'PPA 사업(C)'!X:X, B137, 'PPA 사업(C)'!U:U, $D$1)
    + COUNTIFS('리스사업(D)'!C:C, $E$1, '리스사업(D)'!G:G, B135, '리스사업(D)'!X:X, B137, '리스사업(D)'!U:U, $D$1)
    + COUNTIFS('임대사업(E)'!C:C, $E$1, '임대사업(E)'!G:G, B135, '임대사업(E)'!X:X, B137, '임대사업(E)'!U:U, $D$1)
    + COUNTIFS('환경부사업(F)'!C:C, $E$1, '환경부사업(F)'!G:G, B135, '환경부사업(F)'!X:X, B137, '환경부사업(F)'!U:U, $D$1)
    + COUNTIFS('프로젝트(G)'!C:C, $E$1, '프로젝트(G)'!G:G, B135, '프로젝트(G)'!X:X, B137, '프로젝트(G)'!U:U, $D$1)
    + COUNTIFS('협력사 EPC(H)'!C:C, $E$1, '협력사 EPC(H)'!G:G, B135, '협력사 EPC(H)'!X:X, B137, '협력사 EPC(H)'!U:U, $D$1)
    + COUNTIFS('기타(Z)'!C:C, $E$1, '기타(Z)'!G:G, B135, '기타(Z)'!X:X, B137, '기타(Z)'!U:U, $D$1)
  ) = 0,
  "",
  COUNTIFS('발전사업(A)'!C:C, $E$1, '발전사업(A)'!G:G, B135, '발전사업(A)'!X:X, B137, '발전사업(A)'!U:U, $D$1)
  + COUNTIFS('자가소비(B)'!C:C, $E$1, '자가소비(B)'!G:G, B135, '자가소비(B)'!X:X, B137, '자가소비(B)'!U:U, $D$1)
  + COUNTIFS('PPA 사업(C)'!C:C, $E$1, 'PPA 사업(C)'!G:G, B135, 'PPA 사업(C)'!X:X, B137, 'PPA 사업(C)'!U:U, $D$1)
  + COUNTIFS('리스사업(D)'!C:C, $E$1, '리스사업(D)'!G:G, B135, '리스사업(D)'!X:X, B137, '리스사업(D)'!U:U, $D$1)
  + COUNTIFS('임대사업(E)'!C:C, $E$1, '임대사업(E)'!G:G, B135, '임대사업(E)'!X:X, B137, '임대사업(E)'!U:U, $D$1)
  + COUNTIFS('환경부사업(F)'!C:C, $E$1, '환경부사업(F)'!G:G, B135, '환경부사업(F)'!X:X, B137, '환경부사업(F)'!U:U, $D$1)
  + COUNTIFS('프로젝트(G)'!C:C, $E$1, '프로젝트(G)'!G:G, B135, '프로젝트(G)'!X:X, B137, '프로젝트(G)'!U:U, $D$1)
  + COUNTIFS('협력사 EPC(H)'!C:C, $E$1, '협력사 EPC(H)'!G:G, B135, '협력사 EPC(H)'!X:X, B137, '협력사 EPC(H)'!U:U, $D$1)
  + COUNTIFS('기타(Z)'!C:C, $E$1, '기타(Z)'!G:G, B135, '기타(Z)'!X:X, B137, '기타(Z)'!U:U, $D$1)
)</f>
        <v/>
      </c>
    </row>
    <row r="138" spans="2:8" x14ac:dyDescent="0.25">
      <c r="B138" s="195" t="s">
        <v>153</v>
      </c>
      <c r="C138" s="262" t="str">
        <f>IF(
  SUM(
    SUMIFS('발전사업(A)'!I:I, '발전사업(A)'!C:C, $E$1, '발전사업(A)'!G:G, B135, '발전사업(A)'!X:X, B138),
    SUMIFS('자가소비(B)'!I:I, '자가소비(B)'!C:C, $E$1, '자가소비(B)'!G:G, B135, '자가소비(B)'!X:X, B138),
    SUMIFS('PPA 사업(C)'!I:I, 'PPA 사업(C)'!C:C, $E$1, 'PPA 사업(C)'!G:G, B135, 'PPA 사업(C)'!X:X, B138),
    SUMIFS('리스사업(D)'!I:I, '리스사업(D)'!C:C, $E$1, '리스사업(D)'!G:G, B135, '리스사업(D)'!X:X, B138),
    SUMIFS('임대사업(E)'!I:I, '임대사업(E)'!C:C, $E$1, '임대사업(E)'!G:G, B135, '임대사업(E)'!X:X, B138),
    SUMIFS('환경부사업(F)'!I:I, '환경부사업(F)'!C:C, $E$1, '환경부사업(F)'!G:G, B135, '환경부사업(F)'!X:X, B138),
    SUMIFS('프로젝트(G)'!I:I, '프로젝트(G)'!C:C, $E$1, '프로젝트(G)'!G:G, B135, '프로젝트(G)'!X:X, B138),
    SUMIFS('협력사 EPC(H)'!I:I, '협력사 EPC(H)'!C:C, $E$1, '협력사 EPC(H)'!G:G, B135, '협력사 EPC(H)'!X:X, B138),
    SUMIFS('기타(Z)'!I:I, '기타(Z)'!C:C, $E$1, '기타(Z)'!G:G, B135, '기타(Z)'!X:X, B138)
  ) = 0,
  "",
  SUMIFS('발전사업(A)'!I:I, '발전사업(A)'!C:C, $E$1, '발전사업(A)'!G:G, B135, '발전사업(A)'!X:X, B138)
  + SUMIFS('자가소비(B)'!I:I, '자가소비(B)'!C:C, $E$1, '자가소비(B)'!G:G, B135, '자가소비(B)'!X:X, B138)
  + SUMIFS('PPA 사업(C)'!I:I, 'PPA 사업(C)'!C:C, $E$1, 'PPA 사업(C)'!G:G, B135, 'PPA 사업(C)'!X:X, B138)
  + SUMIFS('리스사업(D)'!I:I, '리스사업(D)'!C:C, $E$1, '리스사업(D)'!G:G, B135, '리스사업(D)'!X:X, B138)
  + SUMIFS('임대사업(E)'!I:I, '임대사업(E)'!C:C, $E$1, '임대사업(E)'!G:G, B135, '임대사업(E)'!X:X, B138)
  + SUMIFS('환경부사업(F)'!I:I, '환경부사업(F)'!C:C, $E$1, '환경부사업(F)'!G:G, B135, '환경부사업(F)'!X:X, B138)
  + SUMIFS('프로젝트(G)'!I:I, '프로젝트(G)'!C:C, $E$1, '프로젝트(G)'!G:G, B135, '프로젝트(G)'!X:X, B138)
  + SUMIFS('협력사 EPC(H)'!I:I, '협력사 EPC(H)'!C:C, $E$1, '협력사 EPC(H)'!G:G, B135, '협력사 EPC(H)'!X:X, B138)
  + SUMIFS('기타(Z)'!I:I, '기타(Z)'!C:C, $E$1, '기타(Z)'!G:G, B135, '기타(Z)'!X:X, B138)
)</f>
        <v/>
      </c>
      <c r="D138" s="263" t="str">
        <f>IF(
  COUNTIFS('발전사업(A)'!C:C, $E$1, '발전사업(A)'!G:G, B135, '발전사업(A)'!X:X, B138)
  + COUNTIFS('자가소비(B)'!C:C, $E$1, '자가소비(B)'!G:G, B135, '자가소비(B)'!X:X, B138)
  + COUNTIFS('PPA 사업(C)'!C:C, $E$1, 'PPA 사업(C)'!G:G, B135, 'PPA 사업(C)'!X:X, B138)
  + COUNTIFS('리스사업(D)'!C:C, $E$1, '리스사업(D)'!G:G, B135, '리스사업(D)'!X:X, B138)
  + COUNTIFS('임대사업(E)'!C:C, $E$1, '임대사업(E)'!G:G, B135, '임대사업(E)'!X:X, B138)
  + COUNTIFS('환경부사업(F)'!C:C, $E$1, '환경부사업(F)'!G:G, B135, '환경부사업(F)'!X:X, B138)
  + COUNTIFS('프로젝트(G)'!C:C, $E$1, '프로젝트(G)'!G:G, B135, '프로젝트(G)'!X:X, B138)
  + COUNTIFS('협력사 EPC(H)'!C:C, $E$1, '협력사 EPC(H)'!G:G, B135, '협력사 EPC(H)'!X:X, B138)
  + COUNTIFS('기타(Z)'!C:C, $E$1, '기타(Z)'!G:G, B135, '기타(Z)'!X:X, B138)
  = 0,
  "",
  COUNTIFS('발전사업(A)'!C:C, $E$1, '발전사업(A)'!G:G, B135, '발전사업(A)'!X:X, B138)
  + COUNTIFS('자가소비(B)'!C:C, $E$1, '자가소비(B)'!G:G, B135, '자가소비(B)'!X:X, B138)
  + COUNTIFS('PPA 사업(C)'!C:C, $E$1, 'PPA 사업(C)'!G:G, B135, 'PPA 사업(C)'!X:X, B138)
  + COUNTIFS('리스사업(D)'!C:C, $E$1, '리스사업(D)'!G:G, B135, '리스사업(D)'!X:X, B138)
  + COUNTIFS('임대사업(E)'!C:C, $E$1, '임대사업(E)'!G:G, B135, '임대사업(E)'!X:X, B138)
  + COUNTIFS('환경부사업(F)'!C:C, $E$1, '환경부사업(F)'!G:G, B135, '환경부사업(F)'!X:X, B138)
  + COUNTIFS('프로젝트(G)'!C:C, $E$1, '프로젝트(G)'!G:G, B135, '프로젝트(G)'!X:X, B138)
  + COUNTIFS('협력사 EPC(H)'!C:C, $E$1, '협력사 EPC(H)'!G:G, B135, '협력사 EPC(H)'!X:X, B138)
  + COUNTIFS('기타(Z)'!C:C, $E$1, '기타(Z)'!G:G, B135, '기타(Z)'!X:X, B138)
)</f>
        <v/>
      </c>
      <c r="E138" s="262" t="str">
        <f>IF(
  SUM(
    SUMIFS('발전사업(A)'!I:I, '발전사업(A)'!C:C, $E$1, '발전사업(A)'!G:G, B135, '발전사업(A)'!X:X, B138, '발전사업(A)'!U:U, $C$1),
    SUMIFS('자가소비(B)'!I:I, '자가소비(B)'!C:C, $E$1, '자가소비(B)'!G:G, B135, '자가소비(B)'!X:X, B138, '자가소비(B)'!U:U, $C$1),
    SUMIFS('PPA 사업(C)'!I:I, 'PPA 사업(C)'!C:C, $E$1, 'PPA 사업(C)'!G:G, B135, 'PPA 사업(C)'!X:X, B138, 'PPA 사업(C)'!U:U, $C$1),
    SUMIFS('리스사업(D)'!I:I, '리스사업(D)'!C:C, $E$1, '리스사업(D)'!G:G, B135, '리스사업(D)'!X:X, B138, '리스사업(D)'!U:U, $C$1),
    SUMIFS('임대사업(E)'!I:I, '임대사업(E)'!C:C, $E$1, '임대사업(E)'!G:G, B135, '임대사업(E)'!X:X, B138, '임대사업(E)'!U:U, $C$1),
    SUMIFS('환경부사업(F)'!I:I, '환경부사업(F)'!C:C, $E$1, '환경부사업(F)'!G:G, B135, '환경부사업(F)'!X:X, B138, '환경부사업(F)'!U:U, $C$1),
    SUMIFS('프로젝트(G)'!I:I, '프로젝트(G)'!C:C, $E$1, '프로젝트(G)'!G:G, B135, '프로젝트(G)'!X:X, B138, '프로젝트(G)'!U:U, $C$1),
    SUMIFS('협력사 EPC(H)'!I:I, '협력사 EPC(H)'!C:C, $E$1, '협력사 EPC(H)'!G:G, B135, '협력사 EPC(H)'!X:X, B138, '협력사 EPC(H)'!U:U, $C$1),
    SUMIFS('기타(Z)'!I:I, '기타(Z)'!C:C, $E$1, '기타(Z)'!G:G, B135, '기타(Z)'!X:X, B138, '기타(Z)'!U:U, $C$1)
  ) = 0,
  "",
  SUM(
    SUMIFS('발전사업(A)'!I:I, '발전사업(A)'!C:C, $E$1, '발전사업(A)'!G:G, B135, '발전사업(A)'!X:X, B138, '발전사업(A)'!U:U, $C$1),
    SUMIFS('자가소비(B)'!I:I, '자가소비(B)'!C:C, $E$1, '자가소비(B)'!G:G, B135, '자가소비(B)'!X:X, B138, '자가소비(B)'!U:U, $C$1),
    SUMIFS('PPA 사업(C)'!I:I, 'PPA 사업(C)'!C:C, $E$1, 'PPA 사업(C)'!G:G, B135, 'PPA 사업(C)'!X:X, B138, 'PPA 사업(C)'!U:U, $C$1),
    SUMIFS('리스사업(D)'!I:I, '리스사업(D)'!C:C, $E$1, '리스사업(D)'!G:G, B135, '리스사업(D)'!X:X, B138, '리스사업(D)'!U:U, $C$1),
    SUMIFS('임대사업(E)'!I:I, '임대사업(E)'!C:C, $E$1, '임대사업(E)'!G:G, B135, '임대사업(E)'!X:X, B138, '임대사업(E)'!U:U, $C$1),
    SUMIFS('환경부사업(F)'!I:I, '환경부사업(F)'!C:C, $E$1, '환경부사업(F)'!G:G, B135, '환경부사업(F)'!X:X, B138, '환경부사업(F)'!U:U, $C$1),
    SUMIFS('프로젝트(G)'!I:I, '프로젝트(G)'!C:C, $E$1, '프로젝트(G)'!G:G, B135, '프로젝트(G)'!X:X, B138, '프로젝트(G)'!U:U, $C$1),
    SUMIFS('협력사 EPC(H)'!I:I, '협력사 EPC(H)'!C:C, $E$1, '협력사 EPC(H)'!G:G, B135, '협력사 EPC(H)'!X:X, B138, '협력사 EPC(H)'!U:U, $C$1),
    SUMIFS('기타(Z)'!I:I, '기타(Z)'!C:C, $E$1, '기타(Z)'!G:G, B135, '기타(Z)'!X:X, B138, '기타(Z)'!U:U, $C$1)
  )
)</f>
        <v/>
      </c>
      <c r="F138" s="263" t="str">
        <f>IF(
  SUM(
    COUNTIFS('발전사업(A)'!C:C, $E$1, '발전사업(A)'!G:G, B135, '발전사업(A)'!X:X, B138, '발전사업(A)'!U:U, $C$1),
    COUNTIFS('자가소비(B)'!C:C, $E$1, '자가소비(B)'!G:G, B135, '자가소비(B)'!X:X, B138, '자가소비(B)'!U:U, $C$1),
    COUNTIFS('PPA 사업(C)'!C:C, $E$1, 'PPA 사업(C)'!G:G, B135, 'PPA 사업(C)'!X:X, B138, 'PPA 사업(C)'!U:U, $C$1),
    COUNTIFS('리스사업(D)'!C:C, $E$1, '리스사업(D)'!G:G, B135, '리스사업(D)'!X:X, B138, '리스사업(D)'!U:U, $C$1),
    COUNTIFS('임대사업(E)'!C:C, $E$1, '임대사업(E)'!G:G, B135, '임대사업(E)'!X:X, B138, '임대사업(E)'!U:U, $C$1),
    COUNTIFS('환경부사업(F)'!C:C, $E$1, '환경부사업(F)'!G:G, B135, '환경부사업(F)'!X:X, B138, '환경부사업(F)'!U:U, $C$1),
    COUNTIFS('프로젝트(G)'!C:C, $E$1, '프로젝트(G)'!G:G, B135, '프로젝트(G)'!X:X, B138, '프로젝트(G)'!U:U, $C$1),
    COUNTIFS('협력사 EPC(H)'!C:C, $E$1, '협력사 EPC(H)'!G:G, B135, '협력사 EPC(H)'!X:X, B138, '협력사 EPC(H)'!U:U, $C$1),
    COUNTIFS('기타(Z)'!C:C, $E$1, '기타(Z)'!G:G, B135, '기타(Z)'!X:X, B138, '기타(Z)'!U:U, $C$1)
  ) = 0,
  "",
  SUM(
    COUNTIFS('발전사업(A)'!C:C, $E$1, '발전사업(A)'!G:G, B135, '발전사업(A)'!X:X, B138, '발전사업(A)'!U:U, $C$1),
    COUNTIFS('자가소비(B)'!C:C, $E$1, '자가소비(B)'!G:G, B135, '자가소비(B)'!X:X, B138, '자가소비(B)'!U:U, $C$1),
    COUNTIFS('PPA 사업(C)'!C:C, $E$1, 'PPA 사업(C)'!G:G, B135, 'PPA 사업(C)'!X:X, B138, 'PPA 사업(C)'!U:U, $C$1),
    COUNTIFS('리스사업(D)'!C:C, $E$1, '리스사업(D)'!G:G, B135, '리스사업(D)'!X:X, B138, '리스사업(D)'!U:U, $C$1),
    COUNTIFS('임대사업(E)'!C:C, $E$1, '임대사업(E)'!G:G, B135, '임대사업(E)'!X:X, B138, '임대사업(E)'!U:U, $C$1),
    COUNTIFS('환경부사업(F)'!C:C, $E$1, '환경부사업(F)'!G:G, B135, '환경부사업(F)'!X:X, B138, '환경부사업(F)'!U:U, $C$1),
    COUNTIFS('프로젝트(G)'!C:C, $E$1, '프로젝트(G)'!G:G, B135, '프로젝트(G)'!X:X, B138, '프로젝트(G)'!U:U, $C$1),
    COUNTIFS('협력사 EPC(H)'!C:C, $E$1, '협력사 EPC(H)'!G:G, B135, '협력사 EPC(H)'!X:X, B138, '협력사 EPC(H)'!U:U, $C$1),
    COUNTIFS('기타(Z)'!C:C, $E$1, '기타(Z)'!G:G, B135, '기타(Z)'!X:X, B138, '기타(Z)'!U:U, $C$1)
  )
)</f>
        <v/>
      </c>
      <c r="G138" s="262" t="str">
        <f>IF(
  SUM(
    SUMIFS('발전사업(A)'!I:I, '발전사업(A)'!C:C, $E$1, '발전사업(A)'!G:G, B135, '발전사업(A)'!X:X, B138, '발전사업(A)'!U:U, $D$1),
    SUMIFS('자가소비(B)'!I:I, '자가소비(B)'!C:C, $E$1, '자가소비(B)'!G:G, B135, '자가소비(B)'!X:X, B138, '자가소비(B)'!U:U, $D$1),
    SUMIFS('PPA 사업(C)'!I:I, 'PPA 사업(C)'!C:C, $E$1, 'PPA 사업(C)'!G:G, B135, 'PPA 사업(C)'!X:X, B138, 'PPA 사업(C)'!U:U, $D$1),
    SUMIFS('리스사업(D)'!I:I, '리스사업(D)'!C:C, $E$1, '리스사업(D)'!G:G, B135, '리스사업(D)'!X:X, B138, '리스사업(D)'!U:U, $D$1),
    SUMIFS('임대사업(E)'!I:I, '임대사업(E)'!C:C, $E$1, '임대사업(E)'!G:G, B135, '임대사업(E)'!X:X, B138, '임대사업(E)'!U:U, $D$1),
    SUMIFS('환경부사업(F)'!I:I, '환경부사업(F)'!C:C, $E$1, '환경부사업(F)'!G:G, B135, '환경부사업(F)'!X:X, B138, '환경부사업(F)'!U:U, $D$1),
    SUMIFS('프로젝트(G)'!I:I, '프로젝트(G)'!C:C, $E$1, '프로젝트(G)'!G:G, B135, '프로젝트(G)'!X:X, B138, '프로젝트(G)'!U:U, $D$1),
    SUMIFS('협력사 EPC(H)'!I:I, '협력사 EPC(H)'!C:C, $E$1, '협력사 EPC(H)'!G:G, B135, '협력사 EPC(H)'!X:X, B138, '협력사 EPC(H)'!U:U, $D$1),
    SUMIFS('기타(Z)'!I:I, '기타(Z)'!C:C, $E$1, '기타(Z)'!G:G, B135, '기타(Z)'!X:X, B138, '기타(Z)'!U:U, $D$1)
  ) = 0,
  "",
  SUM(
    SUMIFS('발전사업(A)'!I:I, '발전사업(A)'!C:C, $E$1, '발전사업(A)'!G:G, B135, '발전사업(A)'!X:X, B138, '발전사업(A)'!U:U, $D$1),
    SUMIFS('자가소비(B)'!I:I, '자가소비(B)'!C:C, $E$1, '자가소비(B)'!G:G, B135, '자가소비(B)'!X:X, B138, '자가소비(B)'!U:U, $D$1),
    SUMIFS('PPA 사업(C)'!I:I, 'PPA 사업(C)'!C:C, $E$1, 'PPA 사업(C)'!G:G, B135, 'PPA 사업(C)'!X:X, B138, 'PPA 사업(C)'!U:U, $D$1),
    SUMIFS('리스사업(D)'!I:I, '리스사업(D)'!C:C, $E$1, '리스사업(D)'!G:G, B135, '리스사업(D)'!X:X, B138, '리스사업(D)'!U:U, $D$1),
    SUMIFS('임대사업(E)'!I:I, '임대사업(E)'!C:C, $E$1, '임대사업(E)'!G:G, B135, '임대사업(E)'!X:X, B138, '임대사업(E)'!U:U, $D$1),
    SUMIFS('환경부사업(F)'!I:I, '환경부사업(F)'!C:C, $E$1, '환경부사업(F)'!G:G, B135, '환경부사업(F)'!X:X, B138, '환경부사업(F)'!U:U, $D$1),
    SUMIFS('프로젝트(G)'!I:I, '프로젝트(G)'!C:C, $E$1, '프로젝트(G)'!G:G, B135, '프로젝트(G)'!X:X, B138, '프로젝트(G)'!U:U, $D$1),
    SUMIFS('협력사 EPC(H)'!I:I, '협력사 EPC(H)'!C:C, $E$1, '협력사 EPC(H)'!G:G, B135, '협력사 EPC(H)'!X:X, B138, '협력사 EPC(H)'!U:U, $D$1),
    SUMIFS('기타(Z)'!I:I, '기타(Z)'!C:C, $E$1, '기타(Z)'!G:G, B135, '기타(Z)'!X:X, B138, '기타(Z)'!U:U, $D$1)
  )
)</f>
        <v/>
      </c>
      <c r="H138" s="263" t="str">
        <f>IF(
  (
    COUNTIFS('발전사업(A)'!C:C, $E$1, '발전사업(A)'!G:G, B135, '발전사업(A)'!X:X, B138, '발전사업(A)'!U:U, $D$1)
    + COUNTIFS('자가소비(B)'!C:C, $E$1, '자가소비(B)'!G:G, B135, '자가소비(B)'!X:X, B138, '자가소비(B)'!U:U, $D$1)
    + COUNTIFS('PPA 사업(C)'!C:C, $E$1, 'PPA 사업(C)'!G:G, B135, 'PPA 사업(C)'!X:X, B138, 'PPA 사업(C)'!U:U, $D$1)
    + COUNTIFS('리스사업(D)'!C:C, $E$1, '리스사업(D)'!G:G, B135, '리스사업(D)'!X:X, B138, '리스사업(D)'!U:U, $D$1)
    + COUNTIFS('임대사업(E)'!C:C, $E$1, '임대사업(E)'!G:G, B135, '임대사업(E)'!X:X, B138, '임대사업(E)'!U:U, $D$1)
    + COUNTIFS('환경부사업(F)'!C:C, $E$1, '환경부사업(F)'!G:G, B135, '환경부사업(F)'!X:X, B138, '환경부사업(F)'!U:U, $D$1)
    + COUNTIFS('프로젝트(G)'!C:C, $E$1, '프로젝트(G)'!G:G, B135, '프로젝트(G)'!X:X, B138, '프로젝트(G)'!U:U, $D$1)
    + COUNTIFS('협력사 EPC(H)'!C:C, $E$1, '협력사 EPC(H)'!G:G, B135, '협력사 EPC(H)'!X:X, B138, '협력사 EPC(H)'!U:U, $D$1)
    + COUNTIFS('기타(Z)'!C:C, $E$1, '기타(Z)'!G:G, B135, '기타(Z)'!X:X, B138, '기타(Z)'!U:U, $D$1)
  ) = 0,
  "",
  COUNTIFS('발전사업(A)'!C:C, $E$1, '발전사업(A)'!G:G, B135, '발전사업(A)'!X:X, B138, '발전사업(A)'!U:U, $D$1)
  + COUNTIFS('자가소비(B)'!C:C, $E$1, '자가소비(B)'!G:G, B135, '자가소비(B)'!X:X, B138, '자가소비(B)'!U:U, $D$1)
  + COUNTIFS('PPA 사업(C)'!C:C, $E$1, 'PPA 사업(C)'!G:G, B135, 'PPA 사업(C)'!X:X, B138, 'PPA 사업(C)'!U:U, $D$1)
  + COUNTIFS('리스사업(D)'!C:C, $E$1, '리스사업(D)'!G:G, B135, '리스사업(D)'!X:X, B138, '리스사업(D)'!U:U, $D$1)
  + COUNTIFS('임대사업(E)'!C:C, $E$1, '임대사업(E)'!G:G, B135, '임대사업(E)'!X:X, B138, '임대사업(E)'!U:U, $D$1)
  + COUNTIFS('환경부사업(F)'!C:C, $E$1, '환경부사업(F)'!G:G, B135, '환경부사업(F)'!X:X, B138, '환경부사업(F)'!U:U, $D$1)
  + COUNTIFS('프로젝트(G)'!C:C, $E$1, '프로젝트(G)'!G:G, B135, '프로젝트(G)'!X:X, B138, '프로젝트(G)'!U:U, $D$1)
  + COUNTIFS('협력사 EPC(H)'!C:C, $E$1, '협력사 EPC(H)'!G:G, B135, '협력사 EPC(H)'!X:X, B138, '협력사 EPC(H)'!U:U, $D$1)
  + COUNTIFS('기타(Z)'!C:C, $E$1, '기타(Z)'!G:G, B135, '기타(Z)'!X:X, B138, '기타(Z)'!U:U, $D$1)
)</f>
        <v/>
      </c>
    </row>
    <row r="139" spans="2:8" x14ac:dyDescent="0.25">
      <c r="B139" s="195" t="s">
        <v>154</v>
      </c>
      <c r="C139" s="262" t="str">
        <f>IF(
  SUM(
    SUMIFS('발전사업(A)'!I:I, '발전사업(A)'!C:C, $E$1, '발전사업(A)'!G:G, B135, '발전사업(A)'!X:X, B139),
    SUMIFS('자가소비(B)'!I:I, '자가소비(B)'!C:C, $E$1, '자가소비(B)'!G:G, B135, '자가소비(B)'!X:X, B139),
    SUMIFS('PPA 사업(C)'!I:I, 'PPA 사업(C)'!C:C, $E$1, 'PPA 사업(C)'!G:G, B135, 'PPA 사업(C)'!X:X, B139),
    SUMIFS('리스사업(D)'!I:I, '리스사업(D)'!C:C, $E$1, '리스사업(D)'!G:G, B135, '리스사업(D)'!X:X, B139),
    SUMIFS('임대사업(E)'!I:I, '임대사업(E)'!C:C, $E$1, '임대사업(E)'!G:G, B135, '임대사업(E)'!X:X, B139),
    SUMIFS('환경부사업(F)'!I:I, '환경부사업(F)'!C:C, $E$1, '환경부사업(F)'!G:G, B135, '환경부사업(F)'!X:X, B139),
    SUMIFS('프로젝트(G)'!I:I, '프로젝트(G)'!C:C, $E$1, '프로젝트(G)'!G:G, B135, '프로젝트(G)'!X:X, B139),
    SUMIFS('협력사 EPC(H)'!I:I, '협력사 EPC(H)'!C:C, $E$1, '협력사 EPC(H)'!G:G, B135, '협력사 EPC(H)'!X:X, B139),
    SUMIFS('기타(Z)'!I:I, '기타(Z)'!C:C, $E$1, '기타(Z)'!G:G, B135, '기타(Z)'!X:X, B139)
  ) = 0,
  "",
  SUMIFS('발전사업(A)'!I:I, '발전사업(A)'!C:C, $E$1, '발전사업(A)'!G:G, B135, '발전사업(A)'!X:X, B139)
  + SUMIFS('자가소비(B)'!I:I, '자가소비(B)'!C:C, $E$1, '자가소비(B)'!G:G, B135, '자가소비(B)'!X:X, B139)
  + SUMIFS('PPA 사업(C)'!I:I, 'PPA 사업(C)'!C:C, $E$1, 'PPA 사업(C)'!G:G, B135, 'PPA 사업(C)'!X:X, B139)
  + SUMIFS('리스사업(D)'!I:I, '리스사업(D)'!C:C, $E$1, '리스사업(D)'!G:G, B135, '리스사업(D)'!X:X, B139)
  + SUMIFS('임대사업(E)'!I:I, '임대사업(E)'!C:C, $E$1, '임대사업(E)'!G:G, B135, '임대사업(E)'!X:X, B139)
  + SUMIFS('환경부사업(F)'!I:I, '환경부사업(F)'!C:C, $E$1, '환경부사업(F)'!G:G, B135, '환경부사업(F)'!X:X, B139)
  + SUMIFS('프로젝트(G)'!I:I, '프로젝트(G)'!C:C, $E$1, '프로젝트(G)'!G:G, B135, '프로젝트(G)'!X:X, B139)
  + SUMIFS('협력사 EPC(H)'!I:I, '협력사 EPC(H)'!C:C, $E$1, '협력사 EPC(H)'!G:G, B135, '협력사 EPC(H)'!X:X, B139)
  + SUMIFS('기타(Z)'!I:I, '기타(Z)'!C:C, $E$1, '기타(Z)'!G:G, B135, '기타(Z)'!X:X, B139)
)</f>
        <v/>
      </c>
      <c r="D139" s="263" t="str">
        <f>IF(
  COUNTIFS('발전사업(A)'!C:C, $E$1, '발전사업(A)'!G:G, B135, '발전사업(A)'!X:X, B139)
  + COUNTIFS('자가소비(B)'!C:C, $E$1, '자가소비(B)'!G:G, B135, '자가소비(B)'!X:X, B139)
  + COUNTIFS('PPA 사업(C)'!C:C, $E$1, 'PPA 사업(C)'!G:G, B135, 'PPA 사업(C)'!X:X, B139)
  + COUNTIFS('리스사업(D)'!C:C, $E$1, '리스사업(D)'!G:G, B135, '리스사업(D)'!X:X, B139)
  + COUNTIFS('임대사업(E)'!C:C, $E$1, '임대사업(E)'!G:G, B135, '임대사업(E)'!X:X, B139)
  + COUNTIFS('환경부사업(F)'!C:C, $E$1, '환경부사업(F)'!G:G, B135, '환경부사업(F)'!X:X, B139)
  + COUNTIFS('프로젝트(G)'!C:C, $E$1, '프로젝트(G)'!G:G, B135, '프로젝트(G)'!X:X, B139)
  + COUNTIFS('협력사 EPC(H)'!C:C, $E$1, '협력사 EPC(H)'!G:G, B135, '협력사 EPC(H)'!X:X, B139)
  + COUNTIFS('기타(Z)'!C:C, $E$1, '기타(Z)'!G:G, B135, '기타(Z)'!X:X, B139)
  = 0,
  "",
  COUNTIFS('발전사업(A)'!C:C, $E$1, '발전사업(A)'!G:G, B135, '발전사업(A)'!X:X, B139)
  + COUNTIFS('자가소비(B)'!C:C, $E$1, '자가소비(B)'!G:G, B135, '자가소비(B)'!X:X, B139)
  + COUNTIFS('PPA 사업(C)'!C:C, $E$1, 'PPA 사업(C)'!G:G, B135, 'PPA 사업(C)'!X:X, B139)
  + COUNTIFS('리스사업(D)'!C:C, $E$1, '리스사업(D)'!G:G, B135, '리스사업(D)'!X:X, B139)
  + COUNTIFS('임대사업(E)'!C:C, $E$1, '임대사업(E)'!G:G, B135, '임대사업(E)'!X:X, B139)
  + COUNTIFS('환경부사업(F)'!C:C, $E$1, '환경부사업(F)'!G:G, B135, '환경부사업(F)'!X:X, B139)
  + COUNTIFS('프로젝트(G)'!C:C, $E$1, '프로젝트(G)'!G:G, B135, '프로젝트(G)'!X:X, B139)
  + COUNTIFS('협력사 EPC(H)'!C:C, $E$1, '협력사 EPC(H)'!G:G, B135, '협력사 EPC(H)'!X:X, B139)
  + COUNTIFS('기타(Z)'!C:C, $E$1, '기타(Z)'!G:G, B135, '기타(Z)'!X:X, B139)
)</f>
        <v/>
      </c>
      <c r="E139" s="262" t="str">
        <f>IF(
  SUM(
    SUMIFS('발전사업(A)'!I:I, '발전사업(A)'!C:C, $E$1, '발전사업(A)'!G:G, B135, '발전사업(A)'!X:X, B139, '발전사업(A)'!U:U, $C$1),
    SUMIFS('자가소비(B)'!I:I, '자가소비(B)'!C:C, $E$1, '자가소비(B)'!G:G, B135, '자가소비(B)'!X:X, B139, '자가소비(B)'!U:U, $C$1),
    SUMIFS('PPA 사업(C)'!I:I, 'PPA 사업(C)'!C:C, $E$1, 'PPA 사업(C)'!G:G, B135, 'PPA 사업(C)'!X:X, B139, 'PPA 사업(C)'!U:U, $C$1),
    SUMIFS('리스사업(D)'!I:I, '리스사업(D)'!C:C, $E$1, '리스사업(D)'!G:G, B135, '리스사업(D)'!X:X, B139, '리스사업(D)'!U:U, $C$1),
    SUMIFS('임대사업(E)'!I:I, '임대사업(E)'!C:C, $E$1, '임대사업(E)'!G:G, B135, '임대사업(E)'!X:X, B139, '임대사업(E)'!U:U, $C$1),
    SUMIFS('환경부사업(F)'!I:I, '환경부사업(F)'!C:C, $E$1, '환경부사업(F)'!G:G, B135, '환경부사업(F)'!X:X, B139, '환경부사업(F)'!U:U, $C$1),
    SUMIFS('프로젝트(G)'!I:I, '프로젝트(G)'!C:C, $E$1, '프로젝트(G)'!G:G, B135, '프로젝트(G)'!X:X, B139, '프로젝트(G)'!U:U, $C$1),
    SUMIFS('협력사 EPC(H)'!I:I, '협력사 EPC(H)'!C:C, $E$1, '협력사 EPC(H)'!G:G, B135, '협력사 EPC(H)'!X:X, B139, '협력사 EPC(H)'!U:U, $C$1),
    SUMIFS('기타(Z)'!I:I, '기타(Z)'!C:C, $E$1, '기타(Z)'!G:G, B135, '기타(Z)'!X:X, B139, '기타(Z)'!U:U, $C$1)
  ) = 0,
  "",
  SUM(
    SUMIFS('발전사업(A)'!I:I, '발전사업(A)'!C:C, $E$1, '발전사업(A)'!G:G, B135, '발전사업(A)'!X:X, B139, '발전사업(A)'!U:U, $C$1),
    SUMIFS('자가소비(B)'!I:I, '자가소비(B)'!C:C, $E$1, '자가소비(B)'!G:G, B135, '자가소비(B)'!X:X, B139, '자가소비(B)'!U:U, $C$1),
    SUMIFS('PPA 사업(C)'!I:I, 'PPA 사업(C)'!C:C, $E$1, 'PPA 사업(C)'!G:G, B135, 'PPA 사업(C)'!X:X, B139, 'PPA 사업(C)'!U:U, $C$1),
    SUMIFS('리스사업(D)'!I:I, '리스사업(D)'!C:C, $E$1, '리스사업(D)'!G:G, B135, '리스사업(D)'!X:X, B139, '리스사업(D)'!U:U, $C$1),
    SUMIFS('임대사업(E)'!I:I, '임대사업(E)'!C:C, $E$1, '임대사업(E)'!G:G, B135, '임대사업(E)'!X:X, B139, '임대사업(E)'!U:U, $C$1),
    SUMIFS('환경부사업(F)'!I:I, '환경부사업(F)'!C:C, $E$1, '환경부사업(F)'!G:G, B135, '환경부사업(F)'!X:X, B139, '환경부사업(F)'!U:U, $C$1),
    SUMIFS('프로젝트(G)'!I:I, '프로젝트(G)'!C:C, $E$1, '프로젝트(G)'!G:G, B135, '프로젝트(G)'!X:X, B139, '프로젝트(G)'!U:U, $C$1),
    SUMIFS('협력사 EPC(H)'!I:I, '협력사 EPC(H)'!C:C, $E$1, '협력사 EPC(H)'!G:G, B135, '협력사 EPC(H)'!X:X, B139, '협력사 EPC(H)'!U:U, $C$1),
    SUMIFS('기타(Z)'!I:I, '기타(Z)'!C:C, $E$1, '기타(Z)'!G:G, B135, '기타(Z)'!X:X, B139, '기타(Z)'!U:U, $C$1)
  )
)</f>
        <v/>
      </c>
      <c r="F139" s="263" t="str">
        <f>IF(
  SUM(
    COUNTIFS('발전사업(A)'!C:C, $E$1, '발전사업(A)'!G:G, B135, '발전사업(A)'!X:X, B139, '발전사업(A)'!U:U, $C$1),
    COUNTIFS('자가소비(B)'!C:C, $E$1, '자가소비(B)'!G:G, B135, '자가소비(B)'!X:X, B139, '자가소비(B)'!U:U, $C$1),
    COUNTIFS('PPA 사업(C)'!C:C, $E$1, 'PPA 사업(C)'!G:G, B135, 'PPA 사업(C)'!X:X, B139, 'PPA 사업(C)'!U:U, $C$1),
    COUNTIFS('리스사업(D)'!C:C, $E$1, '리스사업(D)'!G:G, B135, '리스사업(D)'!X:X, B139, '리스사업(D)'!U:U, $C$1),
    COUNTIFS('임대사업(E)'!C:C, $E$1, '임대사업(E)'!G:G, B135, '임대사업(E)'!X:X, B139, '임대사업(E)'!U:U, $C$1),
    COUNTIFS('환경부사업(F)'!C:C, $E$1, '환경부사업(F)'!G:G, B135, '환경부사업(F)'!X:X, B139, '환경부사업(F)'!U:U, $C$1),
    COUNTIFS('프로젝트(G)'!C:C, $E$1, '프로젝트(G)'!G:G, B135, '프로젝트(G)'!X:X, B139, '프로젝트(G)'!U:U, $C$1),
    COUNTIFS('협력사 EPC(H)'!C:C, $E$1, '협력사 EPC(H)'!G:G, B135, '협력사 EPC(H)'!X:X, B139, '협력사 EPC(H)'!U:U, $C$1),
    COUNTIFS('기타(Z)'!C:C, $E$1, '기타(Z)'!G:G, B135, '기타(Z)'!X:X, B139, '기타(Z)'!U:U, $C$1)
  ) = 0,
  "",
  SUM(
    COUNTIFS('발전사업(A)'!C:C, $E$1, '발전사업(A)'!G:G, B135, '발전사업(A)'!X:X, B139, '발전사업(A)'!U:U, $C$1),
    COUNTIFS('자가소비(B)'!C:C, $E$1, '자가소비(B)'!G:G, B135, '자가소비(B)'!X:X, B139, '자가소비(B)'!U:U, $C$1),
    COUNTIFS('PPA 사업(C)'!C:C, $E$1, 'PPA 사업(C)'!G:G, B135, 'PPA 사업(C)'!X:X, B139, 'PPA 사업(C)'!U:U, $C$1),
    COUNTIFS('리스사업(D)'!C:C, $E$1, '리스사업(D)'!G:G, B135, '리스사업(D)'!X:X, B139, '리스사업(D)'!U:U, $C$1),
    COUNTIFS('임대사업(E)'!C:C, $E$1, '임대사업(E)'!G:G, B135, '임대사업(E)'!X:X, B139, '임대사업(E)'!U:U, $C$1),
    COUNTIFS('환경부사업(F)'!C:C, $E$1, '환경부사업(F)'!G:G, B135, '환경부사업(F)'!X:X, B139, '환경부사업(F)'!U:U, $C$1),
    COUNTIFS('프로젝트(G)'!C:C, $E$1, '프로젝트(G)'!G:G, B135, '프로젝트(G)'!X:X, B139, '프로젝트(G)'!U:U, $C$1),
    COUNTIFS('협력사 EPC(H)'!C:C, $E$1, '협력사 EPC(H)'!G:G, B135, '협력사 EPC(H)'!X:X, B139, '협력사 EPC(H)'!U:U, $C$1),
    COUNTIFS('기타(Z)'!C:C, $E$1, '기타(Z)'!G:G, B135, '기타(Z)'!X:X, B139, '기타(Z)'!U:U, $C$1)
  )
)</f>
        <v/>
      </c>
      <c r="G139" s="262" t="str">
        <f>IF(
  SUM(
    SUMIFS('발전사업(A)'!I:I, '발전사업(A)'!C:C, $E$1, '발전사업(A)'!G:G, B135, '발전사업(A)'!X:X, B139, '발전사업(A)'!U:U, $D$1),
    SUMIFS('자가소비(B)'!I:I, '자가소비(B)'!C:C, $E$1, '자가소비(B)'!G:G, B135, '자가소비(B)'!X:X, B139, '자가소비(B)'!U:U, $D$1),
    SUMIFS('PPA 사업(C)'!I:I, 'PPA 사업(C)'!C:C, $E$1, 'PPA 사업(C)'!G:G, B135, 'PPA 사업(C)'!X:X, B139, 'PPA 사업(C)'!U:U, $D$1),
    SUMIFS('리스사업(D)'!I:I, '리스사업(D)'!C:C, $E$1, '리스사업(D)'!G:G, B135, '리스사업(D)'!X:X, B139, '리스사업(D)'!U:U, $D$1),
    SUMIFS('임대사업(E)'!I:I, '임대사업(E)'!C:C, $E$1, '임대사업(E)'!G:G, B135, '임대사업(E)'!X:X, B139, '임대사업(E)'!U:U, $D$1),
    SUMIFS('환경부사업(F)'!I:I, '환경부사업(F)'!C:C, $E$1, '환경부사업(F)'!G:G, B135, '환경부사업(F)'!X:X, B139, '환경부사업(F)'!U:U, $D$1),
    SUMIFS('프로젝트(G)'!I:I, '프로젝트(G)'!C:C, $E$1, '프로젝트(G)'!G:G, B135, '프로젝트(G)'!X:X, B139, '프로젝트(G)'!U:U, $D$1),
    SUMIFS('협력사 EPC(H)'!I:I, '협력사 EPC(H)'!C:C, $E$1, '협력사 EPC(H)'!G:G, B135, '협력사 EPC(H)'!X:X, B139, '협력사 EPC(H)'!U:U, $D$1),
    SUMIFS('기타(Z)'!I:I, '기타(Z)'!C:C, $E$1, '기타(Z)'!G:G, B135, '기타(Z)'!X:X, B139, '기타(Z)'!U:U, $D$1)
  ) = 0,
  "",
  SUM(
    SUMIFS('발전사업(A)'!I:I, '발전사업(A)'!C:C, $E$1, '발전사업(A)'!G:G, B135, '발전사업(A)'!X:X, B139, '발전사업(A)'!U:U, $D$1),
    SUMIFS('자가소비(B)'!I:I, '자가소비(B)'!C:C, $E$1, '자가소비(B)'!G:G, B135, '자가소비(B)'!X:X, B139, '자가소비(B)'!U:U, $D$1),
    SUMIFS('PPA 사업(C)'!I:I, 'PPA 사업(C)'!C:C, $E$1, 'PPA 사업(C)'!G:G, B135, 'PPA 사업(C)'!X:X, B139, 'PPA 사업(C)'!U:U, $D$1),
    SUMIFS('리스사업(D)'!I:I, '리스사업(D)'!C:C, $E$1, '리스사업(D)'!G:G, B135, '리스사업(D)'!X:X, B139, '리스사업(D)'!U:U, $D$1),
    SUMIFS('임대사업(E)'!I:I, '임대사업(E)'!C:C, $E$1, '임대사업(E)'!G:G, B135, '임대사업(E)'!X:X, B139, '임대사업(E)'!U:U, $D$1),
    SUMIFS('환경부사업(F)'!I:I, '환경부사업(F)'!C:C, $E$1, '환경부사업(F)'!G:G, B135, '환경부사업(F)'!X:X, B139, '환경부사업(F)'!U:U, $D$1),
    SUMIFS('프로젝트(G)'!I:I, '프로젝트(G)'!C:C, $E$1, '프로젝트(G)'!G:G, B135, '프로젝트(G)'!X:X, B139, '프로젝트(G)'!U:U, $D$1),
    SUMIFS('협력사 EPC(H)'!I:I, '협력사 EPC(H)'!C:C, $E$1, '협력사 EPC(H)'!G:G, B135, '협력사 EPC(H)'!X:X, B139, '협력사 EPC(H)'!U:U, $D$1),
    SUMIFS('기타(Z)'!I:I, '기타(Z)'!C:C, $E$1, '기타(Z)'!G:G, B135, '기타(Z)'!X:X, B139, '기타(Z)'!U:U, $D$1)
  )
)</f>
        <v/>
      </c>
      <c r="H139" s="263" t="str">
        <f>IF(
  (
    COUNTIFS('발전사업(A)'!C:C, $E$1, '발전사업(A)'!G:G, B135, '발전사업(A)'!X:X, B139, '발전사업(A)'!U:U, $D$1)
    + COUNTIFS('자가소비(B)'!C:C, $E$1, '자가소비(B)'!G:G, B135, '자가소비(B)'!X:X, B139, '자가소비(B)'!U:U, $D$1)
    + COUNTIFS('PPA 사업(C)'!C:C, $E$1, 'PPA 사업(C)'!G:G, B135, 'PPA 사업(C)'!X:X, B139, 'PPA 사업(C)'!U:U, $D$1)
    + COUNTIFS('리스사업(D)'!C:C, $E$1, '리스사업(D)'!G:G, B135, '리스사업(D)'!X:X, B139, '리스사업(D)'!U:U, $D$1)
    + COUNTIFS('임대사업(E)'!C:C, $E$1, '임대사업(E)'!G:G, B135, '임대사업(E)'!X:X, B139, '임대사업(E)'!U:U, $D$1)
    + COUNTIFS('환경부사업(F)'!C:C, $E$1, '환경부사업(F)'!G:G, B135, '환경부사업(F)'!X:X, B139, '환경부사업(F)'!U:U, $D$1)
    + COUNTIFS('프로젝트(G)'!C:C, $E$1, '프로젝트(G)'!G:G, B135, '프로젝트(G)'!X:X, B139, '프로젝트(G)'!U:U, $D$1)
    + COUNTIFS('협력사 EPC(H)'!C:C, $E$1, '협력사 EPC(H)'!G:G, B135, '협력사 EPC(H)'!X:X, B139, '협력사 EPC(H)'!U:U, $D$1)
    + COUNTIFS('기타(Z)'!C:C, $E$1, '기타(Z)'!G:G, B135, '기타(Z)'!X:X, B139, '기타(Z)'!U:U, $D$1)
  ) = 0,
  "",
  COUNTIFS('발전사업(A)'!C:C, $E$1, '발전사업(A)'!G:G, B135, '발전사업(A)'!X:X, B139, '발전사업(A)'!U:U, $D$1)
  + COUNTIFS('자가소비(B)'!C:C, $E$1, '자가소비(B)'!G:G, B135, '자가소비(B)'!X:X, B139, '자가소비(B)'!U:U, $D$1)
  + COUNTIFS('PPA 사업(C)'!C:C, $E$1, 'PPA 사업(C)'!G:G, B135, 'PPA 사업(C)'!X:X, B139, 'PPA 사업(C)'!U:U, $D$1)
  + COUNTIFS('리스사업(D)'!C:C, $E$1, '리스사업(D)'!G:G, B135, '리스사업(D)'!X:X, B139, '리스사업(D)'!U:U, $D$1)
  + COUNTIFS('임대사업(E)'!C:C, $E$1, '임대사업(E)'!G:G, B135, '임대사업(E)'!X:X, B139, '임대사업(E)'!U:U, $D$1)
  + COUNTIFS('환경부사업(F)'!C:C, $E$1, '환경부사업(F)'!G:G, B135, '환경부사업(F)'!X:X, B139, '환경부사업(F)'!U:U, $D$1)
  + COUNTIFS('프로젝트(G)'!C:C, $E$1, '프로젝트(G)'!G:G, B135, '프로젝트(G)'!X:X, B139, '프로젝트(G)'!U:U, $D$1)
  + COUNTIFS('협력사 EPC(H)'!C:C, $E$1, '협력사 EPC(H)'!G:G, B135, '협력사 EPC(H)'!X:X, B139, '협력사 EPC(H)'!U:U, $D$1)
  + COUNTIFS('기타(Z)'!C:C, $E$1, '기타(Z)'!G:G, B135, '기타(Z)'!X:X, B139, '기타(Z)'!U:U, $D$1)
)</f>
        <v/>
      </c>
    </row>
    <row r="140" spans="2:8" x14ac:dyDescent="0.25">
      <c r="B140" s="195" t="s">
        <v>155</v>
      </c>
      <c r="C140" s="262" t="str">
        <f>IF(
  SUM(
    SUMIFS('발전사업(A)'!I:I, '발전사업(A)'!C:C, $E$1, '발전사업(A)'!G:G, B135, '발전사업(A)'!X:X, B140),
    SUMIFS('자가소비(B)'!I:I, '자가소비(B)'!C:C, $E$1, '자가소비(B)'!G:G, B135, '자가소비(B)'!X:X, B140),
    SUMIFS('PPA 사업(C)'!I:I, 'PPA 사업(C)'!C:C, $E$1, 'PPA 사업(C)'!G:G, B135, 'PPA 사업(C)'!X:X, B140),
    SUMIFS('리스사업(D)'!I:I, '리스사업(D)'!C:C, $E$1, '리스사업(D)'!G:G, B135, '리스사업(D)'!X:X, B140),
    SUMIFS('임대사업(E)'!I:I, '임대사업(E)'!C:C, $E$1, '임대사업(E)'!G:G, B135, '임대사업(E)'!X:X, B140),
    SUMIFS('환경부사업(F)'!I:I, '환경부사업(F)'!C:C, $E$1, '환경부사업(F)'!G:G, B135, '환경부사업(F)'!X:X, B140),
    SUMIFS('프로젝트(G)'!I:I, '프로젝트(G)'!C:C, $E$1, '프로젝트(G)'!G:G, B135, '프로젝트(G)'!X:X, B140),
    SUMIFS('협력사 EPC(H)'!I:I, '협력사 EPC(H)'!C:C, $E$1, '협력사 EPC(H)'!G:G, B135, '협력사 EPC(H)'!X:X, B140),
    SUMIFS('기타(Z)'!I:I, '기타(Z)'!C:C, $E$1, '기타(Z)'!G:G, B135, '기타(Z)'!X:X, B140)
  ) = 0,
  "",
  SUMIFS('발전사업(A)'!I:I, '발전사업(A)'!C:C, $E$1, '발전사업(A)'!G:G, B135, '발전사업(A)'!X:X, B140)
  + SUMIFS('자가소비(B)'!I:I, '자가소비(B)'!C:C, $E$1, '자가소비(B)'!G:G, B135, '자가소비(B)'!X:X, B140)
  + SUMIFS('PPA 사업(C)'!I:I, 'PPA 사업(C)'!C:C, $E$1, 'PPA 사업(C)'!G:G, B135, 'PPA 사업(C)'!X:X, B140)
  + SUMIFS('리스사업(D)'!I:I, '리스사업(D)'!C:C, $E$1, '리스사업(D)'!G:G, B135, '리스사업(D)'!X:X, B140)
  + SUMIFS('임대사업(E)'!I:I, '임대사업(E)'!C:C, $E$1, '임대사업(E)'!G:G, B135, '임대사업(E)'!X:X, B140)
  + SUMIFS('환경부사업(F)'!I:I, '환경부사업(F)'!C:C, $E$1, '환경부사업(F)'!G:G, B135, '환경부사업(F)'!X:X, B140)
  + SUMIFS('프로젝트(G)'!I:I, '프로젝트(G)'!C:C, $E$1, '프로젝트(G)'!G:G, B135, '프로젝트(G)'!X:X, B140)
  + SUMIFS('협력사 EPC(H)'!I:I, '협력사 EPC(H)'!C:C, $E$1, '협력사 EPC(H)'!G:G, B135, '협력사 EPC(H)'!X:X, B140)
  + SUMIFS('기타(Z)'!I:I, '기타(Z)'!C:C, $E$1, '기타(Z)'!G:G, B135, '기타(Z)'!X:X, B140)
)</f>
        <v/>
      </c>
      <c r="D140" s="263" t="str">
        <f>IF(
  COUNTIFS('발전사업(A)'!C:C, $E$1, '발전사업(A)'!G:G, B135, '발전사업(A)'!X:X, B140)
  + COUNTIFS('자가소비(B)'!C:C, $E$1, '자가소비(B)'!G:G, B135, '자가소비(B)'!X:X, B140)
  + COUNTIFS('PPA 사업(C)'!C:C, $E$1, 'PPA 사업(C)'!G:G, B135, 'PPA 사업(C)'!X:X, B140)
  + COUNTIFS('리스사업(D)'!C:C, $E$1, '리스사업(D)'!G:G, B135, '리스사업(D)'!X:X, B140)
  + COUNTIFS('임대사업(E)'!C:C, $E$1, '임대사업(E)'!G:G, B135, '임대사업(E)'!X:X, B140)
  + COUNTIFS('환경부사업(F)'!C:C, $E$1, '환경부사업(F)'!G:G, B135, '환경부사업(F)'!X:X, B140)
  + COUNTIFS('프로젝트(G)'!C:C, $E$1, '프로젝트(G)'!G:G, B135, '프로젝트(G)'!X:X, B140)
  + COUNTIFS('협력사 EPC(H)'!C:C, $E$1, '협력사 EPC(H)'!G:G, B135, '협력사 EPC(H)'!X:X, B140)
  + COUNTIFS('기타(Z)'!C:C, $E$1, '기타(Z)'!G:G, B135, '기타(Z)'!X:X, B140)
  = 0,
  "",
  COUNTIFS('발전사업(A)'!C:C, $E$1, '발전사업(A)'!G:G, B135, '발전사업(A)'!X:X, B140)
  + COUNTIFS('자가소비(B)'!C:C, $E$1, '자가소비(B)'!G:G, B135, '자가소비(B)'!X:X, B140)
  + COUNTIFS('PPA 사업(C)'!C:C, $E$1, 'PPA 사업(C)'!G:G, B135, 'PPA 사업(C)'!X:X, B140)
  + COUNTIFS('리스사업(D)'!C:C, $E$1, '리스사업(D)'!G:G, B135, '리스사업(D)'!X:X, B140)
  + COUNTIFS('임대사업(E)'!C:C, $E$1, '임대사업(E)'!G:G, B135, '임대사업(E)'!X:X, B140)
  + COUNTIFS('환경부사업(F)'!C:C, $E$1, '환경부사업(F)'!G:G, B135, '환경부사업(F)'!X:X, B140)
  + COUNTIFS('프로젝트(G)'!C:C, $E$1, '프로젝트(G)'!G:G, B135, '프로젝트(G)'!X:X, B140)
  + COUNTIFS('협력사 EPC(H)'!C:C, $E$1, '협력사 EPC(H)'!G:G, B135, '협력사 EPC(H)'!X:X, B140)
  + COUNTIFS('기타(Z)'!C:C, $E$1, '기타(Z)'!G:G, B135, '기타(Z)'!X:X, B140)
)</f>
        <v/>
      </c>
      <c r="E140" s="262" t="str">
        <f>IF(
  SUM(
    SUMIFS('발전사업(A)'!I:I, '발전사업(A)'!C:C, $E$1, '발전사업(A)'!G:G, B135, '발전사업(A)'!X:X, B140, '발전사업(A)'!U:U, $C$1),
    SUMIFS('자가소비(B)'!I:I, '자가소비(B)'!C:C, $E$1, '자가소비(B)'!G:G, B135, '자가소비(B)'!X:X, B140, '자가소비(B)'!U:U, $C$1),
    SUMIFS('PPA 사업(C)'!I:I, 'PPA 사업(C)'!C:C, $E$1, 'PPA 사업(C)'!G:G, B135, 'PPA 사업(C)'!X:X, B140, 'PPA 사업(C)'!U:U, $C$1),
    SUMIFS('리스사업(D)'!I:I, '리스사업(D)'!C:C, $E$1, '리스사업(D)'!G:G, B135, '리스사업(D)'!X:X, B140, '리스사업(D)'!U:U, $C$1),
    SUMIFS('임대사업(E)'!I:I, '임대사업(E)'!C:C, $E$1, '임대사업(E)'!G:G, B135, '임대사업(E)'!X:X, B140, '임대사업(E)'!U:U, $C$1),
    SUMIFS('환경부사업(F)'!I:I, '환경부사업(F)'!C:C, $E$1, '환경부사업(F)'!G:G, B135, '환경부사업(F)'!X:X, B140, '환경부사업(F)'!U:U, $C$1),
    SUMIFS('프로젝트(G)'!I:I, '프로젝트(G)'!C:C, $E$1, '프로젝트(G)'!G:G, B135, '프로젝트(G)'!X:X, B140, '프로젝트(G)'!U:U, $C$1),
    SUMIFS('협력사 EPC(H)'!I:I, '협력사 EPC(H)'!C:C, $E$1, '협력사 EPC(H)'!G:G, B135, '협력사 EPC(H)'!X:X, B140, '협력사 EPC(H)'!U:U, $C$1),
    SUMIFS('기타(Z)'!I:I, '기타(Z)'!C:C, $E$1, '기타(Z)'!G:G, B135, '기타(Z)'!X:X, B140, '기타(Z)'!U:U, $C$1)
  ) = 0,
  "",
  SUM(
    SUMIFS('발전사업(A)'!I:I, '발전사업(A)'!C:C, $E$1, '발전사업(A)'!G:G, B135, '발전사업(A)'!X:X, B140, '발전사업(A)'!U:U, $C$1),
    SUMIFS('자가소비(B)'!I:I, '자가소비(B)'!C:C, $E$1, '자가소비(B)'!G:G, B135, '자가소비(B)'!X:X, B140, '자가소비(B)'!U:U, $C$1),
    SUMIFS('PPA 사업(C)'!I:I, 'PPA 사업(C)'!C:C, $E$1, 'PPA 사업(C)'!G:G, B135, 'PPA 사업(C)'!X:X, B140, 'PPA 사업(C)'!U:U, $C$1),
    SUMIFS('리스사업(D)'!I:I, '리스사업(D)'!C:C, $E$1, '리스사업(D)'!G:G, B135, '리스사업(D)'!X:X, B140, '리스사업(D)'!U:U, $C$1),
    SUMIFS('임대사업(E)'!I:I, '임대사업(E)'!C:C, $E$1, '임대사업(E)'!G:G, B135, '임대사업(E)'!X:X, B140, '임대사업(E)'!U:U, $C$1),
    SUMIFS('환경부사업(F)'!I:I, '환경부사업(F)'!C:C, $E$1, '환경부사업(F)'!G:G, B135, '환경부사업(F)'!X:X, B140, '환경부사업(F)'!U:U, $C$1),
    SUMIFS('프로젝트(G)'!I:I, '프로젝트(G)'!C:C, $E$1, '프로젝트(G)'!G:G, B135, '프로젝트(G)'!X:X, B140, '프로젝트(G)'!U:U, $C$1),
    SUMIFS('협력사 EPC(H)'!I:I, '협력사 EPC(H)'!C:C, $E$1, '협력사 EPC(H)'!G:G, B135, '협력사 EPC(H)'!X:X, B140, '협력사 EPC(H)'!U:U, $C$1),
    SUMIFS('기타(Z)'!I:I, '기타(Z)'!C:C, $E$1, '기타(Z)'!G:G, B135, '기타(Z)'!X:X, B140, '기타(Z)'!U:U, $C$1)
  )
)</f>
        <v/>
      </c>
      <c r="F140" s="263" t="str">
        <f>IF(
  SUM(
    COUNTIFS('발전사업(A)'!C:C, $E$1, '발전사업(A)'!G:G, B135, '발전사업(A)'!X:X, B140, '발전사업(A)'!U:U, $C$1),
    COUNTIFS('자가소비(B)'!C:C, $E$1, '자가소비(B)'!G:G, B135, '자가소비(B)'!X:X, B140, '자가소비(B)'!U:U, $C$1),
    COUNTIFS('PPA 사업(C)'!C:C, $E$1, 'PPA 사업(C)'!G:G, B135, 'PPA 사업(C)'!X:X, B140, 'PPA 사업(C)'!U:U, $C$1),
    COUNTIFS('리스사업(D)'!C:C, $E$1, '리스사업(D)'!G:G, B135, '리스사업(D)'!X:X, B140, '리스사업(D)'!U:U, $C$1),
    COUNTIFS('임대사업(E)'!C:C, $E$1, '임대사업(E)'!G:G, B135, '임대사업(E)'!X:X, B140, '임대사업(E)'!U:U, $C$1),
    COUNTIFS('환경부사업(F)'!C:C, $E$1, '환경부사업(F)'!G:G, B135, '환경부사업(F)'!X:X, B140, '환경부사업(F)'!U:U, $C$1),
    COUNTIFS('프로젝트(G)'!C:C, $E$1, '프로젝트(G)'!G:G, B135, '프로젝트(G)'!X:X, B140, '프로젝트(G)'!U:U, $C$1),
    COUNTIFS('협력사 EPC(H)'!C:C, $E$1, '협력사 EPC(H)'!G:G, B135, '협력사 EPC(H)'!X:X, B140, '협력사 EPC(H)'!U:U, $C$1),
    COUNTIFS('기타(Z)'!C:C, $E$1, '기타(Z)'!G:G, B135, '기타(Z)'!X:X, B140, '기타(Z)'!U:U, $C$1)
  ) = 0,
  "",
  SUM(
    COUNTIFS('발전사업(A)'!C:C, $E$1, '발전사업(A)'!G:G, B135, '발전사업(A)'!X:X, B140, '발전사업(A)'!U:U, $C$1),
    COUNTIFS('자가소비(B)'!C:C, $E$1, '자가소비(B)'!G:G, B135, '자가소비(B)'!X:X, B140, '자가소비(B)'!U:U, $C$1),
    COUNTIFS('PPA 사업(C)'!C:C, $E$1, 'PPA 사업(C)'!G:G, B135, 'PPA 사업(C)'!X:X, B140, 'PPA 사업(C)'!U:U, $C$1),
    COUNTIFS('리스사업(D)'!C:C, $E$1, '리스사업(D)'!G:G, B135, '리스사업(D)'!X:X, B140, '리스사업(D)'!U:U, $C$1),
    COUNTIFS('임대사업(E)'!C:C, $E$1, '임대사업(E)'!G:G, B135, '임대사업(E)'!X:X, B140, '임대사업(E)'!U:U, $C$1),
    COUNTIFS('환경부사업(F)'!C:C, $E$1, '환경부사업(F)'!G:G, B135, '환경부사업(F)'!X:X, B140, '환경부사업(F)'!U:U, $C$1),
    COUNTIFS('프로젝트(G)'!C:C, $E$1, '프로젝트(G)'!G:G, B135, '프로젝트(G)'!X:X, B140, '프로젝트(G)'!U:U, $C$1),
    COUNTIFS('협력사 EPC(H)'!C:C, $E$1, '협력사 EPC(H)'!G:G, B135, '협력사 EPC(H)'!X:X, B140, '협력사 EPC(H)'!U:U, $C$1),
    COUNTIFS('기타(Z)'!C:C, $E$1, '기타(Z)'!G:G, B135, '기타(Z)'!X:X, B140, '기타(Z)'!U:U, $C$1)
  )
)</f>
        <v/>
      </c>
      <c r="G140" s="262" t="str">
        <f>IF(
  SUM(
    SUMIFS('발전사업(A)'!I:I, '발전사업(A)'!C:C, $E$1, '발전사업(A)'!G:G, B135, '발전사업(A)'!X:X, B140, '발전사업(A)'!U:U, $D$1),
    SUMIFS('자가소비(B)'!I:I, '자가소비(B)'!C:C, $E$1, '자가소비(B)'!G:G, B135, '자가소비(B)'!X:X, B140, '자가소비(B)'!U:U, $D$1),
    SUMIFS('PPA 사업(C)'!I:I, 'PPA 사업(C)'!C:C, $E$1, 'PPA 사업(C)'!G:G, B135, 'PPA 사업(C)'!X:X, B140, 'PPA 사업(C)'!U:U, $D$1),
    SUMIFS('리스사업(D)'!I:I, '리스사업(D)'!C:C, $E$1, '리스사업(D)'!G:G, B135, '리스사업(D)'!X:X, B140, '리스사업(D)'!U:U, $D$1),
    SUMIFS('임대사업(E)'!I:I, '임대사업(E)'!C:C, $E$1, '임대사업(E)'!G:G, B135, '임대사업(E)'!X:X, B140, '임대사업(E)'!U:U, $D$1),
    SUMIFS('환경부사업(F)'!I:I, '환경부사업(F)'!C:C, $E$1, '환경부사업(F)'!G:G, B135, '환경부사업(F)'!X:X, B140, '환경부사업(F)'!U:U, $D$1),
    SUMIFS('프로젝트(G)'!I:I, '프로젝트(G)'!C:C, $E$1, '프로젝트(G)'!G:G, B135, '프로젝트(G)'!X:X, B140, '프로젝트(G)'!U:U, $D$1),
    SUMIFS('협력사 EPC(H)'!I:I, '협력사 EPC(H)'!C:C, $E$1, '협력사 EPC(H)'!G:G, B135, '협력사 EPC(H)'!X:X, B140, '협력사 EPC(H)'!U:U, $D$1),
    SUMIFS('기타(Z)'!I:I, '기타(Z)'!C:C, $E$1, '기타(Z)'!G:G, B135, '기타(Z)'!X:X, B140, '기타(Z)'!U:U, $D$1)
  ) = 0,
  "",
  SUM(
    SUMIFS('발전사업(A)'!I:I, '발전사업(A)'!C:C, $E$1, '발전사업(A)'!G:G, B135, '발전사업(A)'!X:X, B140, '발전사업(A)'!U:U, $D$1),
    SUMIFS('자가소비(B)'!I:I, '자가소비(B)'!C:C, $E$1, '자가소비(B)'!G:G, B135, '자가소비(B)'!X:X, B140, '자가소비(B)'!U:U, $D$1),
    SUMIFS('PPA 사업(C)'!I:I, 'PPA 사업(C)'!C:C, $E$1, 'PPA 사업(C)'!G:G, B135, 'PPA 사업(C)'!X:X, B140, 'PPA 사업(C)'!U:U, $D$1),
    SUMIFS('리스사업(D)'!I:I, '리스사업(D)'!C:C, $E$1, '리스사업(D)'!G:G, B135, '리스사업(D)'!X:X, B140, '리스사업(D)'!U:U, $D$1),
    SUMIFS('임대사업(E)'!I:I, '임대사업(E)'!C:C, $E$1, '임대사업(E)'!G:G, B135, '임대사업(E)'!X:X, B140, '임대사업(E)'!U:U, $D$1),
    SUMIFS('환경부사업(F)'!I:I, '환경부사업(F)'!C:C, $E$1, '환경부사업(F)'!G:G, B135, '환경부사업(F)'!X:X, B140, '환경부사업(F)'!U:U, $D$1),
    SUMIFS('프로젝트(G)'!I:I, '프로젝트(G)'!C:C, $E$1, '프로젝트(G)'!G:G, B135, '프로젝트(G)'!X:X, B140, '프로젝트(G)'!U:U, $D$1),
    SUMIFS('협력사 EPC(H)'!I:I, '협력사 EPC(H)'!C:C, $E$1, '협력사 EPC(H)'!G:G, B135, '협력사 EPC(H)'!X:X, B140, '협력사 EPC(H)'!U:U, $D$1),
    SUMIFS('기타(Z)'!I:I, '기타(Z)'!C:C, $E$1, '기타(Z)'!G:G, B135, '기타(Z)'!X:X, B140, '기타(Z)'!U:U, $D$1)
  )
)</f>
        <v/>
      </c>
      <c r="H140" s="263" t="str">
        <f>IF(
  (
    COUNTIFS('발전사업(A)'!C:C, $E$1, '발전사업(A)'!G:G, B135, '발전사업(A)'!X:X, B140, '발전사업(A)'!U:U, $D$1)
    + COUNTIFS('자가소비(B)'!C:C, $E$1, '자가소비(B)'!G:G, B135, '자가소비(B)'!X:X, B140, '자가소비(B)'!U:U, $D$1)
    + COUNTIFS('PPA 사업(C)'!C:C, $E$1, 'PPA 사업(C)'!G:G, B135, 'PPA 사업(C)'!X:X, B140, 'PPA 사업(C)'!U:U, $D$1)
    + COUNTIFS('리스사업(D)'!C:C, $E$1, '리스사업(D)'!G:G, B135, '리스사업(D)'!X:X, B140, '리스사업(D)'!U:U, $D$1)
    + COUNTIFS('임대사업(E)'!C:C, $E$1, '임대사업(E)'!G:G, B135, '임대사업(E)'!X:X, B140, '임대사업(E)'!U:U, $D$1)
    + COUNTIFS('환경부사업(F)'!C:C, $E$1, '환경부사업(F)'!G:G, B135, '환경부사업(F)'!X:X, B140, '환경부사업(F)'!U:U, $D$1)
    + COUNTIFS('프로젝트(G)'!C:C, $E$1, '프로젝트(G)'!G:G, B135, '프로젝트(G)'!X:X, B140, '프로젝트(G)'!U:U, $D$1)
    + COUNTIFS('협력사 EPC(H)'!C:C, $E$1, '협력사 EPC(H)'!G:G, B135, '협력사 EPC(H)'!X:X, B140, '협력사 EPC(H)'!U:U, $D$1)
    + COUNTIFS('기타(Z)'!C:C, $E$1, '기타(Z)'!G:G, B135, '기타(Z)'!X:X, B140, '기타(Z)'!U:U, $D$1)
  ) = 0,
  "",
  COUNTIFS('발전사업(A)'!C:C, $E$1, '발전사업(A)'!G:G, B135, '발전사업(A)'!X:X, B140, '발전사업(A)'!U:U, $D$1)
  + COUNTIFS('자가소비(B)'!C:C, $E$1, '자가소비(B)'!G:G, B135, '자가소비(B)'!X:X, B140, '자가소비(B)'!U:U, $D$1)
  + COUNTIFS('PPA 사업(C)'!C:C, $E$1, 'PPA 사업(C)'!G:G, B135, 'PPA 사업(C)'!X:X, B140, 'PPA 사업(C)'!U:U, $D$1)
  + COUNTIFS('리스사업(D)'!C:C, $E$1, '리스사업(D)'!G:G, B135, '리스사업(D)'!X:X, B140, '리스사업(D)'!U:U, $D$1)
  + COUNTIFS('임대사업(E)'!C:C, $E$1, '임대사업(E)'!G:G, B135, '임대사업(E)'!X:X, B140, '임대사업(E)'!U:U, $D$1)
  + COUNTIFS('환경부사업(F)'!C:C, $E$1, '환경부사업(F)'!G:G, B135, '환경부사업(F)'!X:X, B140, '환경부사업(F)'!U:U, $D$1)
  + COUNTIFS('프로젝트(G)'!C:C, $E$1, '프로젝트(G)'!G:G, B135, '프로젝트(G)'!X:X, B140, '프로젝트(G)'!U:U, $D$1)
  + COUNTIFS('협력사 EPC(H)'!C:C, $E$1, '협력사 EPC(H)'!G:G, B135, '협력사 EPC(H)'!X:X, B140, '협력사 EPC(H)'!U:U, $D$1)
  + COUNTIFS('기타(Z)'!C:C, $E$1, '기타(Z)'!G:G, B135, '기타(Z)'!X:X, B140, '기타(Z)'!U:U, $D$1)
)</f>
        <v/>
      </c>
    </row>
    <row r="141" spans="2:8" x14ac:dyDescent="0.25">
      <c r="B141" s="195" t="s">
        <v>156</v>
      </c>
      <c r="C141" s="262" t="str">
        <f>IF(
  SUM(
    SUMIFS('발전사업(A)'!I:I, '발전사업(A)'!C:C, $E$1, '발전사업(A)'!G:G, B135, '발전사업(A)'!X:X, B141),
    SUMIFS('자가소비(B)'!I:I, '자가소비(B)'!C:C, $E$1, '자가소비(B)'!G:G, B135, '자가소비(B)'!X:X, B141),
    SUMIFS('PPA 사업(C)'!I:I, 'PPA 사업(C)'!C:C, $E$1, 'PPA 사업(C)'!G:G, B135, 'PPA 사업(C)'!X:X, B141),
    SUMIFS('리스사업(D)'!I:I, '리스사업(D)'!C:C, $E$1, '리스사업(D)'!G:G, B135, '리스사업(D)'!X:X, B141),
    SUMIFS('임대사업(E)'!I:I, '임대사업(E)'!C:C, $E$1, '임대사업(E)'!G:G, B135, '임대사업(E)'!X:X, B141),
    SUMIFS('환경부사업(F)'!I:I, '환경부사업(F)'!C:C, $E$1, '환경부사업(F)'!G:G, B135, '환경부사업(F)'!X:X, B141),
    SUMIFS('프로젝트(G)'!I:I, '프로젝트(G)'!C:C, $E$1, '프로젝트(G)'!G:G, B135, '프로젝트(G)'!X:X, B141),
    SUMIFS('협력사 EPC(H)'!I:I, '협력사 EPC(H)'!C:C, $E$1, '협력사 EPC(H)'!G:G, B135, '협력사 EPC(H)'!X:X, B141),
    SUMIFS('기타(Z)'!I:I, '기타(Z)'!C:C, $E$1, '기타(Z)'!G:G, B135, '기타(Z)'!X:X, B141)
  ) = 0,
  "",
  SUMIFS('발전사업(A)'!I:I, '발전사업(A)'!C:C, $E$1, '발전사업(A)'!G:G, B135, '발전사업(A)'!X:X, B141)
  + SUMIFS('자가소비(B)'!I:I, '자가소비(B)'!C:C, $E$1, '자가소비(B)'!G:G, B135, '자가소비(B)'!X:X, B141)
  + SUMIFS('PPA 사업(C)'!I:I, 'PPA 사업(C)'!C:C, $E$1, 'PPA 사업(C)'!G:G, B135, 'PPA 사업(C)'!X:X, B141)
  + SUMIFS('리스사업(D)'!I:I, '리스사업(D)'!C:C, $E$1, '리스사업(D)'!G:G, B135, '리스사업(D)'!X:X, B141)
  + SUMIFS('임대사업(E)'!I:I, '임대사업(E)'!C:C, $E$1, '임대사업(E)'!G:G, B135, '임대사업(E)'!X:X, B141)
  + SUMIFS('환경부사업(F)'!I:I, '환경부사업(F)'!C:C, $E$1, '환경부사업(F)'!G:G, B135, '환경부사업(F)'!X:X, B141)
  + SUMIFS('프로젝트(G)'!I:I, '프로젝트(G)'!C:C, $E$1, '프로젝트(G)'!G:G, B135, '프로젝트(G)'!X:X, B141)
  + SUMIFS('협력사 EPC(H)'!I:I, '협력사 EPC(H)'!C:C, $E$1, '협력사 EPC(H)'!G:G, B135, '협력사 EPC(H)'!X:X, B141)
  + SUMIFS('기타(Z)'!I:I, '기타(Z)'!C:C, $E$1, '기타(Z)'!G:G, B135, '기타(Z)'!X:X, B141)
)</f>
        <v/>
      </c>
      <c r="D141" s="263" t="str">
        <f>IF(
  COUNTIFS('발전사업(A)'!C:C, $E$1, '발전사업(A)'!G:G, B135, '발전사업(A)'!X:X, B141)
  + COUNTIFS('자가소비(B)'!C:C, $E$1, '자가소비(B)'!G:G, B135, '자가소비(B)'!X:X, B141)
  + COUNTIFS('PPA 사업(C)'!C:C, $E$1, 'PPA 사업(C)'!G:G, B135, 'PPA 사업(C)'!X:X, B141)
  + COUNTIFS('리스사업(D)'!C:C, $E$1, '리스사업(D)'!G:G, B135, '리스사업(D)'!X:X, B141)
  + COUNTIFS('임대사업(E)'!C:C, $E$1, '임대사업(E)'!G:G, B135, '임대사업(E)'!X:X, B141)
  + COUNTIFS('환경부사업(F)'!C:C, $E$1, '환경부사업(F)'!G:G, B135, '환경부사업(F)'!X:X, B141)
  + COUNTIFS('프로젝트(G)'!C:C, $E$1, '프로젝트(G)'!G:G, B135, '프로젝트(G)'!X:X, B141)
  + COUNTIFS('협력사 EPC(H)'!C:C, $E$1, '협력사 EPC(H)'!G:G, B135, '협력사 EPC(H)'!X:X, B141)
  + COUNTIFS('기타(Z)'!C:C, $E$1, '기타(Z)'!G:G, B135, '기타(Z)'!X:X, B141)
  = 0,
  "",
  COUNTIFS('발전사업(A)'!C:C, $E$1, '발전사업(A)'!G:G, B135, '발전사업(A)'!X:X, B141)
  + COUNTIFS('자가소비(B)'!C:C, $E$1, '자가소비(B)'!G:G, B135, '자가소비(B)'!X:X, B141)
  + COUNTIFS('PPA 사업(C)'!C:C, $E$1, 'PPA 사업(C)'!G:G, B135, 'PPA 사업(C)'!X:X, B141)
  + COUNTIFS('리스사업(D)'!C:C, $E$1, '리스사업(D)'!G:G, B135, '리스사업(D)'!X:X, B141)
  + COUNTIFS('임대사업(E)'!C:C, $E$1, '임대사업(E)'!G:G, B135, '임대사업(E)'!X:X, B141)
  + COUNTIFS('환경부사업(F)'!C:C, $E$1, '환경부사업(F)'!G:G, B135, '환경부사업(F)'!X:X, B141)
  + COUNTIFS('프로젝트(G)'!C:C, $E$1, '프로젝트(G)'!G:G, B135, '프로젝트(G)'!X:X, B141)
  + COUNTIFS('협력사 EPC(H)'!C:C, $E$1, '협력사 EPC(H)'!G:G, B135, '협력사 EPC(H)'!X:X, B141)
  + COUNTIFS('기타(Z)'!C:C, $E$1, '기타(Z)'!G:G, B135, '기타(Z)'!X:X, B141)
)</f>
        <v/>
      </c>
      <c r="E141" s="262" t="str">
        <f>IF(
  SUM(
    SUMIFS('발전사업(A)'!I:I, '발전사업(A)'!C:C, $E$1, '발전사업(A)'!G:G, B135, '발전사업(A)'!X:X, B141, '발전사업(A)'!U:U, $C$1),
    SUMIFS('자가소비(B)'!I:I, '자가소비(B)'!C:C, $E$1, '자가소비(B)'!G:G, B135, '자가소비(B)'!X:X, B141, '자가소비(B)'!U:U, $C$1),
    SUMIFS('PPA 사업(C)'!I:I, 'PPA 사업(C)'!C:C, $E$1, 'PPA 사업(C)'!G:G, B135, 'PPA 사업(C)'!X:X, B141, 'PPA 사업(C)'!U:U, $C$1),
    SUMIFS('리스사업(D)'!I:I, '리스사업(D)'!C:C, $E$1, '리스사업(D)'!G:G, B135, '리스사업(D)'!X:X, B141, '리스사업(D)'!U:U, $C$1),
    SUMIFS('임대사업(E)'!I:I, '임대사업(E)'!C:C, $E$1, '임대사업(E)'!G:G, B135, '임대사업(E)'!X:X, B141, '임대사업(E)'!U:U, $C$1),
    SUMIFS('환경부사업(F)'!I:I, '환경부사업(F)'!C:C, $E$1, '환경부사업(F)'!G:G, B135, '환경부사업(F)'!X:X, B141, '환경부사업(F)'!U:U, $C$1),
    SUMIFS('프로젝트(G)'!I:I, '프로젝트(G)'!C:C, $E$1, '프로젝트(G)'!G:G, B135, '프로젝트(G)'!X:X, B141, '프로젝트(G)'!U:U, $C$1),
    SUMIFS('협력사 EPC(H)'!I:I, '협력사 EPC(H)'!C:C, $E$1, '협력사 EPC(H)'!G:G, B135, '협력사 EPC(H)'!X:X, B141, '협력사 EPC(H)'!U:U, $C$1),
    SUMIFS('기타(Z)'!I:I, '기타(Z)'!C:C, $E$1, '기타(Z)'!G:G, B135, '기타(Z)'!X:X, B141, '기타(Z)'!U:U, $C$1)
  ) = 0,
  "",
  SUM(
    SUMIFS('발전사업(A)'!I:I, '발전사업(A)'!C:C, $E$1, '발전사업(A)'!G:G, B135, '발전사업(A)'!X:X, B141, '발전사업(A)'!U:U, $C$1),
    SUMIFS('자가소비(B)'!I:I, '자가소비(B)'!C:C, $E$1, '자가소비(B)'!G:G, B135, '자가소비(B)'!X:X, B141, '자가소비(B)'!U:U, $C$1),
    SUMIFS('PPA 사업(C)'!I:I, 'PPA 사업(C)'!C:C, $E$1, 'PPA 사업(C)'!G:G, B135, 'PPA 사업(C)'!X:X, B141, 'PPA 사업(C)'!U:U, $C$1),
    SUMIFS('리스사업(D)'!I:I, '리스사업(D)'!C:C, $E$1, '리스사업(D)'!G:G, B135, '리스사업(D)'!X:X, B141, '리스사업(D)'!U:U, $C$1),
    SUMIFS('임대사업(E)'!I:I, '임대사업(E)'!C:C, $E$1, '임대사업(E)'!G:G, B135, '임대사업(E)'!X:X, B141, '임대사업(E)'!U:U, $C$1),
    SUMIFS('환경부사업(F)'!I:I, '환경부사업(F)'!C:C, $E$1, '환경부사업(F)'!G:G, B135, '환경부사업(F)'!X:X, B141, '환경부사업(F)'!U:U, $C$1),
    SUMIFS('프로젝트(G)'!I:I, '프로젝트(G)'!C:C, $E$1, '프로젝트(G)'!G:G, B135, '프로젝트(G)'!X:X, B141, '프로젝트(G)'!U:U, $C$1),
    SUMIFS('협력사 EPC(H)'!I:I, '협력사 EPC(H)'!C:C, $E$1, '협력사 EPC(H)'!G:G, B135, '협력사 EPC(H)'!X:X, B141, '협력사 EPC(H)'!U:U, $C$1),
    SUMIFS('기타(Z)'!I:I, '기타(Z)'!C:C, $E$1, '기타(Z)'!G:G, B135, '기타(Z)'!X:X, B141, '기타(Z)'!U:U, $C$1)
  )
)</f>
        <v/>
      </c>
      <c r="F141" s="263" t="str">
        <f>IF(
  SUM(
    COUNTIFS('발전사업(A)'!C:C, $E$1, '발전사업(A)'!G:G, B135, '발전사업(A)'!X:X, B141, '발전사업(A)'!U:U, $C$1),
    COUNTIFS('자가소비(B)'!C:C, $E$1, '자가소비(B)'!G:G, B135, '자가소비(B)'!X:X, B141, '자가소비(B)'!U:U, $C$1),
    COUNTIFS('PPA 사업(C)'!C:C, $E$1, 'PPA 사업(C)'!G:G, B135, 'PPA 사업(C)'!X:X, B141, 'PPA 사업(C)'!U:U, $C$1),
    COUNTIFS('리스사업(D)'!C:C, $E$1, '리스사업(D)'!G:G, B135, '리스사업(D)'!X:X, B141, '리스사업(D)'!U:U, $C$1),
    COUNTIFS('임대사업(E)'!C:C, $E$1, '임대사업(E)'!G:G, B135, '임대사업(E)'!X:X, B141, '임대사업(E)'!U:U, $C$1),
    COUNTIFS('환경부사업(F)'!C:C, $E$1, '환경부사업(F)'!G:G, B135, '환경부사업(F)'!X:X, B141, '환경부사업(F)'!U:U, $C$1),
    COUNTIFS('프로젝트(G)'!C:C, $E$1, '프로젝트(G)'!G:G, B135, '프로젝트(G)'!X:X, B141, '프로젝트(G)'!U:U, $C$1),
    COUNTIFS('협력사 EPC(H)'!C:C, $E$1, '협력사 EPC(H)'!G:G, B135, '협력사 EPC(H)'!X:X, B141, '협력사 EPC(H)'!U:U, $C$1),
    COUNTIFS('기타(Z)'!C:C, $E$1, '기타(Z)'!G:G, B135, '기타(Z)'!X:X, B141, '기타(Z)'!U:U, $C$1)
  ) = 0,
  "",
  SUM(
    COUNTIFS('발전사업(A)'!C:C, $E$1, '발전사업(A)'!G:G, B135, '발전사업(A)'!X:X, B141, '발전사업(A)'!U:U, $C$1),
    COUNTIFS('자가소비(B)'!C:C, $E$1, '자가소비(B)'!G:G, B135, '자가소비(B)'!X:X, B141, '자가소비(B)'!U:U, $C$1),
    COUNTIFS('PPA 사업(C)'!C:C, $E$1, 'PPA 사업(C)'!G:G, B135, 'PPA 사업(C)'!X:X, B141, 'PPA 사업(C)'!U:U, $C$1),
    COUNTIFS('리스사업(D)'!C:C, $E$1, '리스사업(D)'!G:G, B135, '리스사업(D)'!X:X, B141, '리스사업(D)'!U:U, $C$1),
    COUNTIFS('임대사업(E)'!C:C, $E$1, '임대사업(E)'!G:G, B135, '임대사업(E)'!X:X, B141, '임대사업(E)'!U:U, $C$1),
    COUNTIFS('환경부사업(F)'!C:C, $E$1, '환경부사업(F)'!G:G, B135, '환경부사업(F)'!X:X, B141, '환경부사업(F)'!U:U, $C$1),
    COUNTIFS('프로젝트(G)'!C:C, $E$1, '프로젝트(G)'!G:G, B135, '프로젝트(G)'!X:X, B141, '프로젝트(G)'!U:U, $C$1),
    COUNTIFS('협력사 EPC(H)'!C:C, $E$1, '협력사 EPC(H)'!G:G, B135, '협력사 EPC(H)'!X:X, B141, '협력사 EPC(H)'!U:U, $C$1),
    COUNTIFS('기타(Z)'!C:C, $E$1, '기타(Z)'!G:G, B135, '기타(Z)'!X:X, B141, '기타(Z)'!U:U, $C$1)
  )
)</f>
        <v/>
      </c>
      <c r="G141" s="262" t="str">
        <f>IF(
  SUM(
    SUMIFS('발전사업(A)'!I:I, '발전사업(A)'!C:C, $E$1, '발전사업(A)'!G:G, B135, '발전사업(A)'!X:X, B141, '발전사업(A)'!U:U, $D$1),
    SUMIFS('자가소비(B)'!I:I, '자가소비(B)'!C:C, $E$1, '자가소비(B)'!G:G, B135, '자가소비(B)'!X:X, B141, '자가소비(B)'!U:U, $D$1),
    SUMIFS('PPA 사업(C)'!I:I, 'PPA 사업(C)'!C:C, $E$1, 'PPA 사업(C)'!G:G, B135, 'PPA 사업(C)'!X:X, B141, 'PPA 사업(C)'!U:U, $D$1),
    SUMIFS('리스사업(D)'!I:I, '리스사업(D)'!C:C, $E$1, '리스사업(D)'!G:G, B135, '리스사업(D)'!X:X, B141, '리스사업(D)'!U:U, $D$1),
    SUMIFS('임대사업(E)'!I:I, '임대사업(E)'!C:C, $E$1, '임대사업(E)'!G:G, B135, '임대사업(E)'!X:X, B141, '임대사업(E)'!U:U, $D$1),
    SUMIFS('환경부사업(F)'!I:I, '환경부사업(F)'!C:C, $E$1, '환경부사업(F)'!G:G, B135, '환경부사업(F)'!X:X, B141, '환경부사업(F)'!U:U, $D$1),
    SUMIFS('프로젝트(G)'!I:I, '프로젝트(G)'!C:C, $E$1, '프로젝트(G)'!G:G, B135, '프로젝트(G)'!X:X, B141, '프로젝트(G)'!U:U, $D$1),
    SUMIFS('협력사 EPC(H)'!I:I, '협력사 EPC(H)'!C:C, $E$1, '협력사 EPC(H)'!G:G, B135, '협력사 EPC(H)'!X:X, B141, '협력사 EPC(H)'!U:U, $D$1),
    SUMIFS('기타(Z)'!I:I, '기타(Z)'!C:C, $E$1, '기타(Z)'!G:G, B135, '기타(Z)'!X:X, B141, '기타(Z)'!U:U, $D$1)
  ) = 0,
  "",
  SUM(
    SUMIFS('발전사업(A)'!I:I, '발전사업(A)'!C:C, $E$1, '발전사업(A)'!G:G, B135, '발전사업(A)'!X:X, B141, '발전사업(A)'!U:U, $D$1),
    SUMIFS('자가소비(B)'!I:I, '자가소비(B)'!C:C, $E$1, '자가소비(B)'!G:G, B135, '자가소비(B)'!X:X, B141, '자가소비(B)'!U:U, $D$1),
    SUMIFS('PPA 사업(C)'!I:I, 'PPA 사업(C)'!C:C, $E$1, 'PPA 사업(C)'!G:G, B135, 'PPA 사업(C)'!X:X, B141, 'PPA 사업(C)'!U:U, $D$1),
    SUMIFS('리스사업(D)'!I:I, '리스사업(D)'!C:C, $E$1, '리스사업(D)'!G:G, B135, '리스사업(D)'!X:X, B141, '리스사업(D)'!U:U, $D$1),
    SUMIFS('임대사업(E)'!I:I, '임대사업(E)'!C:C, $E$1, '임대사업(E)'!G:G, B135, '임대사업(E)'!X:X, B141, '임대사업(E)'!U:U, $D$1),
    SUMIFS('환경부사업(F)'!I:I, '환경부사업(F)'!C:C, $E$1, '환경부사업(F)'!G:G, B135, '환경부사업(F)'!X:X, B141, '환경부사업(F)'!U:U, $D$1),
    SUMIFS('프로젝트(G)'!I:I, '프로젝트(G)'!C:C, $E$1, '프로젝트(G)'!G:G, B135, '프로젝트(G)'!X:X, B141, '프로젝트(G)'!U:U, $D$1),
    SUMIFS('협력사 EPC(H)'!I:I, '협력사 EPC(H)'!C:C, $E$1, '협력사 EPC(H)'!G:G, B135, '협력사 EPC(H)'!X:X, B141, '협력사 EPC(H)'!U:U, $D$1),
    SUMIFS('기타(Z)'!I:I, '기타(Z)'!C:C, $E$1, '기타(Z)'!G:G, B135, '기타(Z)'!X:X, B141, '기타(Z)'!U:U, $D$1)
  )
)</f>
        <v/>
      </c>
      <c r="H141" s="263" t="str">
        <f>IF(
  (
    COUNTIFS('발전사업(A)'!C:C, $E$1, '발전사업(A)'!G:G, B135, '발전사업(A)'!X:X, B141, '발전사업(A)'!U:U, $D$1)
    + COUNTIFS('자가소비(B)'!C:C, $E$1, '자가소비(B)'!G:G, B135, '자가소비(B)'!X:X, B141, '자가소비(B)'!U:U, $D$1)
    + COUNTIFS('PPA 사업(C)'!C:C, $E$1, 'PPA 사업(C)'!G:G, B135, 'PPA 사업(C)'!X:X, B141, 'PPA 사업(C)'!U:U, $D$1)
    + COUNTIFS('리스사업(D)'!C:C, $E$1, '리스사업(D)'!G:G, B135, '리스사업(D)'!X:X, B141, '리스사업(D)'!U:U, $D$1)
    + COUNTIFS('임대사업(E)'!C:C, $E$1, '임대사업(E)'!G:G, B135, '임대사업(E)'!X:X, B141, '임대사업(E)'!U:U, $D$1)
    + COUNTIFS('환경부사업(F)'!C:C, $E$1, '환경부사업(F)'!G:G, B135, '환경부사업(F)'!X:X, B141, '환경부사업(F)'!U:U, $D$1)
    + COUNTIFS('프로젝트(G)'!C:C, $E$1, '프로젝트(G)'!G:G, B135, '프로젝트(G)'!X:X, B141, '프로젝트(G)'!U:U, $D$1)
    + COUNTIFS('협력사 EPC(H)'!C:C, $E$1, '협력사 EPC(H)'!G:G, B135, '협력사 EPC(H)'!X:X, B141, '협력사 EPC(H)'!U:U, $D$1)
    + COUNTIFS('기타(Z)'!C:C, $E$1, '기타(Z)'!G:G, B135, '기타(Z)'!X:X, B141, '기타(Z)'!U:U, $D$1)
  ) = 0,
  "",
  COUNTIFS('발전사업(A)'!C:C, $E$1, '발전사업(A)'!G:G, B135, '발전사업(A)'!X:X, B141, '발전사업(A)'!U:U, $D$1)
  + COUNTIFS('자가소비(B)'!C:C, $E$1, '자가소비(B)'!G:G, B135, '자가소비(B)'!X:X, B141, '자가소비(B)'!U:U, $D$1)
  + COUNTIFS('PPA 사업(C)'!C:C, $E$1, 'PPA 사업(C)'!G:G, B135, 'PPA 사업(C)'!X:X, B141, 'PPA 사업(C)'!U:U, $D$1)
  + COUNTIFS('리스사업(D)'!C:C, $E$1, '리스사업(D)'!G:G, B135, '리스사업(D)'!X:X, B141, '리스사업(D)'!U:U, $D$1)
  + COUNTIFS('임대사업(E)'!C:C, $E$1, '임대사업(E)'!G:G, B135, '임대사업(E)'!X:X, B141, '임대사업(E)'!U:U, $D$1)
  + COUNTIFS('환경부사업(F)'!C:C, $E$1, '환경부사업(F)'!G:G, B135, '환경부사업(F)'!X:X, B141, '환경부사업(F)'!U:U, $D$1)
  + COUNTIFS('프로젝트(G)'!C:C, $E$1, '프로젝트(G)'!G:G, B135, '프로젝트(G)'!X:X, B141, '프로젝트(G)'!U:U, $D$1)
  + COUNTIFS('협력사 EPC(H)'!C:C, $E$1, '협력사 EPC(H)'!G:G, B135, '협력사 EPC(H)'!X:X, B141, '협력사 EPC(H)'!U:U, $D$1)
  + COUNTIFS('기타(Z)'!C:C, $E$1, '기타(Z)'!G:G, B135, '기타(Z)'!X:X, B141, '기타(Z)'!U:U, $D$1)
)</f>
        <v/>
      </c>
    </row>
    <row r="142" spans="2:8" x14ac:dyDescent="0.25">
      <c r="B142" s="195" t="s">
        <v>157</v>
      </c>
      <c r="C142" s="262" t="str">
        <f>IF(
  SUM(
    SUMIFS('발전사업(A)'!I:I, '발전사업(A)'!C:C, $E$1, '발전사업(A)'!G:G, B135, '발전사업(A)'!X:X, B142),
    SUMIFS('자가소비(B)'!I:I, '자가소비(B)'!C:C, $E$1, '자가소비(B)'!G:G, B135, '자가소비(B)'!X:X, B142),
    SUMIFS('PPA 사업(C)'!I:I, 'PPA 사업(C)'!C:C, $E$1, 'PPA 사업(C)'!G:G, B135, 'PPA 사업(C)'!X:X, B142),
    SUMIFS('리스사업(D)'!I:I, '리스사업(D)'!C:C, $E$1, '리스사업(D)'!G:G, B135, '리스사업(D)'!X:X, B142),
    SUMIFS('임대사업(E)'!I:I, '임대사업(E)'!C:C, $E$1, '임대사업(E)'!G:G, B135, '임대사업(E)'!X:X, B142),
    SUMIFS('환경부사업(F)'!I:I, '환경부사업(F)'!C:C, $E$1, '환경부사업(F)'!G:G, B135, '환경부사업(F)'!X:X, B142),
    SUMIFS('프로젝트(G)'!I:I, '프로젝트(G)'!C:C, $E$1, '프로젝트(G)'!G:G, B135, '프로젝트(G)'!X:X, B142),
    SUMIFS('협력사 EPC(H)'!I:I, '협력사 EPC(H)'!C:C, $E$1, '협력사 EPC(H)'!G:G, B135, '협력사 EPC(H)'!X:X, B142),
    SUMIFS('기타(Z)'!I:I, '기타(Z)'!C:C, $E$1, '기타(Z)'!G:G, B135, '기타(Z)'!X:X, B142)
  ) = 0,
  "",
  SUMIFS('발전사업(A)'!I:I, '발전사업(A)'!C:C, $E$1, '발전사업(A)'!G:G, B135, '발전사업(A)'!X:X, B142)
  + SUMIFS('자가소비(B)'!I:I, '자가소비(B)'!C:C, $E$1, '자가소비(B)'!G:G, B135, '자가소비(B)'!X:X, B142)
  + SUMIFS('PPA 사업(C)'!I:I, 'PPA 사업(C)'!C:C, $E$1, 'PPA 사업(C)'!G:G, B135, 'PPA 사업(C)'!X:X, B142)
  + SUMIFS('리스사업(D)'!I:I, '리스사업(D)'!C:C, $E$1, '리스사업(D)'!G:G, B135, '리스사업(D)'!X:X, B142)
  + SUMIFS('임대사업(E)'!I:I, '임대사업(E)'!C:C, $E$1, '임대사업(E)'!G:G, B135, '임대사업(E)'!X:X, B142)
  + SUMIFS('환경부사업(F)'!I:I, '환경부사업(F)'!C:C, $E$1, '환경부사업(F)'!G:G, B135, '환경부사업(F)'!X:X, B142)
  + SUMIFS('프로젝트(G)'!I:I, '프로젝트(G)'!C:C, $E$1, '프로젝트(G)'!G:G, B135, '프로젝트(G)'!X:X, B142)
  + SUMIFS('협력사 EPC(H)'!I:I, '협력사 EPC(H)'!C:C, $E$1, '협력사 EPC(H)'!G:G, B135, '협력사 EPC(H)'!X:X, B142)
  + SUMIFS('기타(Z)'!I:I, '기타(Z)'!C:C, $E$1, '기타(Z)'!G:G, B135, '기타(Z)'!X:X, B142)
)</f>
        <v/>
      </c>
      <c r="D142" s="263" t="str">
        <f>IF(
  COUNTIFS('발전사업(A)'!C:C, $E$1, '발전사업(A)'!G:G, B135, '발전사업(A)'!X:X, B142)
  + COUNTIFS('자가소비(B)'!C:C, $E$1, '자가소비(B)'!G:G, B135, '자가소비(B)'!X:X, B142)
  + COUNTIFS('PPA 사업(C)'!C:C, $E$1, 'PPA 사업(C)'!G:G, B135, 'PPA 사업(C)'!X:X, B142)
  + COUNTIFS('리스사업(D)'!C:C, $E$1, '리스사업(D)'!G:G, B135, '리스사업(D)'!X:X, B142)
  + COUNTIFS('임대사업(E)'!C:C, $E$1, '임대사업(E)'!G:G, B135, '임대사업(E)'!X:X, B142)
  + COUNTIFS('환경부사업(F)'!C:C, $E$1, '환경부사업(F)'!G:G, B135, '환경부사업(F)'!X:X, B142)
  + COUNTIFS('프로젝트(G)'!C:C, $E$1, '프로젝트(G)'!G:G, B135, '프로젝트(G)'!X:X, B142)
  + COUNTIFS('협력사 EPC(H)'!C:C, $E$1, '협력사 EPC(H)'!G:G, B135, '협력사 EPC(H)'!X:X, B142)
  + COUNTIFS('기타(Z)'!C:C, $E$1, '기타(Z)'!G:G, B135, '기타(Z)'!X:X, B142)
  = 0,
  "",
  COUNTIFS('발전사업(A)'!C:C, $E$1, '발전사업(A)'!G:G, B135, '발전사업(A)'!X:X, B142)
  + COUNTIFS('자가소비(B)'!C:C, $E$1, '자가소비(B)'!G:G, B135, '자가소비(B)'!X:X, B142)
  + COUNTIFS('PPA 사업(C)'!C:C, $E$1, 'PPA 사업(C)'!G:G, B135, 'PPA 사업(C)'!X:X, B142)
  + COUNTIFS('리스사업(D)'!C:C, $E$1, '리스사업(D)'!G:G, B135, '리스사업(D)'!X:X, B142)
  + COUNTIFS('임대사업(E)'!C:C, $E$1, '임대사업(E)'!G:G, B135, '임대사업(E)'!X:X, B142)
  + COUNTIFS('환경부사업(F)'!C:C, $E$1, '환경부사업(F)'!G:G, B135, '환경부사업(F)'!X:X, B142)
  + COUNTIFS('프로젝트(G)'!C:C, $E$1, '프로젝트(G)'!G:G, B135, '프로젝트(G)'!X:X, B142)
  + COUNTIFS('협력사 EPC(H)'!C:C, $E$1, '협력사 EPC(H)'!G:G, B135, '협력사 EPC(H)'!X:X, B142)
  + COUNTIFS('기타(Z)'!C:C, $E$1, '기타(Z)'!G:G, B135, '기타(Z)'!X:X, B142)
)</f>
        <v/>
      </c>
      <c r="E142" s="262" t="str">
        <f>IF(
  SUM(
    SUMIFS('발전사업(A)'!I:I, '발전사업(A)'!C:C, $E$1, '발전사업(A)'!G:G, B135, '발전사업(A)'!X:X, B142, '발전사업(A)'!U:U, $C$1),
    SUMIFS('자가소비(B)'!I:I, '자가소비(B)'!C:C, $E$1, '자가소비(B)'!G:G, B135, '자가소비(B)'!X:X, B142, '자가소비(B)'!U:U, $C$1),
    SUMIFS('PPA 사업(C)'!I:I, 'PPA 사업(C)'!C:C, $E$1, 'PPA 사업(C)'!G:G, B135, 'PPA 사업(C)'!X:X, B142, 'PPA 사업(C)'!U:U, $C$1),
    SUMIFS('리스사업(D)'!I:I, '리스사업(D)'!C:C, $E$1, '리스사업(D)'!G:G, B135, '리스사업(D)'!X:X, B142, '리스사업(D)'!U:U, $C$1),
    SUMIFS('임대사업(E)'!I:I, '임대사업(E)'!C:C, $E$1, '임대사업(E)'!G:G, B135, '임대사업(E)'!X:X, B142, '임대사업(E)'!U:U, $C$1),
    SUMIFS('환경부사업(F)'!I:I, '환경부사업(F)'!C:C, $E$1, '환경부사업(F)'!G:G, B135, '환경부사업(F)'!X:X, B142, '환경부사업(F)'!U:U, $C$1),
    SUMIFS('프로젝트(G)'!I:I, '프로젝트(G)'!C:C, $E$1, '프로젝트(G)'!G:G, B135, '프로젝트(G)'!X:X, B142, '프로젝트(G)'!U:U, $C$1),
    SUMIFS('협력사 EPC(H)'!I:I, '협력사 EPC(H)'!C:C, $E$1, '협력사 EPC(H)'!G:G, B135, '협력사 EPC(H)'!X:X, B142, '협력사 EPC(H)'!U:U, $C$1),
    SUMIFS('기타(Z)'!I:I, '기타(Z)'!C:C, $E$1, '기타(Z)'!G:G, B135, '기타(Z)'!X:X, B142, '기타(Z)'!U:U, $C$1)
  ) = 0,
  "",
  SUM(
    SUMIFS('발전사업(A)'!I:I, '발전사업(A)'!C:C, $E$1, '발전사업(A)'!G:G, B135, '발전사업(A)'!X:X, B142, '발전사업(A)'!U:U, $C$1),
    SUMIFS('자가소비(B)'!I:I, '자가소비(B)'!C:C, $E$1, '자가소비(B)'!G:G, B135, '자가소비(B)'!X:X, B142, '자가소비(B)'!U:U, $C$1),
    SUMIFS('PPA 사업(C)'!I:I, 'PPA 사업(C)'!C:C, $E$1, 'PPA 사업(C)'!G:G, B135, 'PPA 사업(C)'!X:X, B142, 'PPA 사업(C)'!U:U, $C$1),
    SUMIFS('리스사업(D)'!I:I, '리스사업(D)'!C:C, $E$1, '리스사업(D)'!G:G, B135, '리스사업(D)'!X:X, B142, '리스사업(D)'!U:U, $C$1),
    SUMIFS('임대사업(E)'!I:I, '임대사업(E)'!C:C, $E$1, '임대사업(E)'!G:G, B135, '임대사업(E)'!X:X, B142, '임대사업(E)'!U:U, $C$1),
    SUMIFS('환경부사업(F)'!I:I, '환경부사업(F)'!C:C, $E$1, '환경부사업(F)'!G:G, B135, '환경부사업(F)'!X:X, B142, '환경부사업(F)'!U:U, $C$1),
    SUMIFS('프로젝트(G)'!I:I, '프로젝트(G)'!C:C, $E$1, '프로젝트(G)'!G:G, B135, '프로젝트(G)'!X:X, B142, '프로젝트(G)'!U:U, $C$1),
    SUMIFS('협력사 EPC(H)'!I:I, '협력사 EPC(H)'!C:C, $E$1, '협력사 EPC(H)'!G:G, B135, '협력사 EPC(H)'!X:X, B142, '협력사 EPC(H)'!U:U, $C$1),
    SUMIFS('기타(Z)'!I:I, '기타(Z)'!C:C, $E$1, '기타(Z)'!G:G, B135, '기타(Z)'!X:X, B142, '기타(Z)'!U:U, $C$1)
  )
)</f>
        <v/>
      </c>
      <c r="F142" s="263" t="str">
        <f>IF(
  SUM(
    COUNTIFS('발전사업(A)'!C:C, $E$1, '발전사업(A)'!G:G, B135, '발전사업(A)'!X:X, B142, '발전사업(A)'!U:U, $C$1),
    COUNTIFS('자가소비(B)'!C:C, $E$1, '자가소비(B)'!G:G, B135, '자가소비(B)'!X:X, B142, '자가소비(B)'!U:U, $C$1),
    COUNTIFS('PPA 사업(C)'!C:C, $E$1, 'PPA 사업(C)'!G:G, B135, 'PPA 사업(C)'!X:X, B142, 'PPA 사업(C)'!U:U, $C$1),
    COUNTIFS('리스사업(D)'!C:C, $E$1, '리스사업(D)'!G:G, B135, '리스사업(D)'!X:X, B142, '리스사업(D)'!U:U, $C$1),
    COUNTIFS('임대사업(E)'!C:C, $E$1, '임대사업(E)'!G:G, B135, '임대사업(E)'!X:X, B142, '임대사업(E)'!U:U, $C$1),
    COUNTIFS('환경부사업(F)'!C:C, $E$1, '환경부사업(F)'!G:G, B135, '환경부사업(F)'!X:X, B142, '환경부사업(F)'!U:U, $C$1),
    COUNTIFS('프로젝트(G)'!C:C, $E$1, '프로젝트(G)'!G:G, B135, '프로젝트(G)'!X:X, B142, '프로젝트(G)'!U:U, $C$1),
    COUNTIFS('협력사 EPC(H)'!C:C, $E$1, '협력사 EPC(H)'!G:G, B135, '협력사 EPC(H)'!X:X, B142, '협력사 EPC(H)'!U:U, $C$1),
    COUNTIFS('기타(Z)'!C:C, $E$1, '기타(Z)'!G:G, B135, '기타(Z)'!X:X, B142, '기타(Z)'!U:U, $C$1)
  ) = 0,
  "",
  SUM(
    COUNTIFS('발전사업(A)'!C:C, $E$1, '발전사업(A)'!G:G, B135, '발전사업(A)'!X:X, B142, '발전사업(A)'!U:U, $C$1),
    COUNTIFS('자가소비(B)'!C:C, $E$1, '자가소비(B)'!G:G, B135, '자가소비(B)'!X:X, B142, '자가소비(B)'!U:U, $C$1),
    COUNTIFS('PPA 사업(C)'!C:C, $E$1, 'PPA 사업(C)'!G:G, B135, 'PPA 사업(C)'!X:X, B142, 'PPA 사업(C)'!U:U, $C$1),
    COUNTIFS('리스사업(D)'!C:C, $E$1, '리스사업(D)'!G:G, B135, '리스사업(D)'!X:X, B142, '리스사업(D)'!U:U, $C$1),
    COUNTIFS('임대사업(E)'!C:C, $E$1, '임대사업(E)'!G:G, B135, '임대사업(E)'!X:X, B142, '임대사업(E)'!U:U, $C$1),
    COUNTIFS('환경부사업(F)'!C:C, $E$1, '환경부사업(F)'!G:G, B135, '환경부사업(F)'!X:X, B142, '환경부사업(F)'!U:U, $C$1),
    COUNTIFS('프로젝트(G)'!C:C, $E$1, '프로젝트(G)'!G:G, B135, '프로젝트(G)'!X:X, B142, '프로젝트(G)'!U:U, $C$1),
    COUNTIFS('협력사 EPC(H)'!C:C, $E$1, '협력사 EPC(H)'!G:G, B135, '협력사 EPC(H)'!X:X, B142, '협력사 EPC(H)'!U:U, $C$1),
    COUNTIFS('기타(Z)'!C:C, $E$1, '기타(Z)'!G:G, B135, '기타(Z)'!X:X, B142, '기타(Z)'!U:U, $C$1)
  )
)</f>
        <v/>
      </c>
      <c r="G142" s="262" t="str">
        <f>IF(
  SUM(
    SUMIFS('발전사업(A)'!I:I, '발전사업(A)'!C:C, $E$1, '발전사업(A)'!G:G, B135, '발전사업(A)'!X:X, B142, '발전사업(A)'!U:U, $D$1),
    SUMIFS('자가소비(B)'!I:I, '자가소비(B)'!C:C, $E$1, '자가소비(B)'!G:G, B135, '자가소비(B)'!X:X, B142, '자가소비(B)'!U:U, $D$1),
    SUMIFS('PPA 사업(C)'!I:I, 'PPA 사업(C)'!C:C, $E$1, 'PPA 사업(C)'!G:G, B135, 'PPA 사업(C)'!X:X, B142, 'PPA 사업(C)'!U:U, $D$1),
    SUMIFS('리스사업(D)'!I:I, '리스사업(D)'!C:C, $E$1, '리스사업(D)'!G:G, B135, '리스사업(D)'!X:X, B142, '리스사업(D)'!U:U, $D$1),
    SUMIFS('임대사업(E)'!I:I, '임대사업(E)'!C:C, $E$1, '임대사업(E)'!G:G, B135, '임대사업(E)'!X:X, B142, '임대사업(E)'!U:U, $D$1),
    SUMIFS('환경부사업(F)'!I:I, '환경부사업(F)'!C:C, $E$1, '환경부사업(F)'!G:G, B135, '환경부사업(F)'!X:X, B142, '환경부사업(F)'!U:U, $D$1),
    SUMIFS('프로젝트(G)'!I:I, '프로젝트(G)'!C:C, $E$1, '프로젝트(G)'!G:G, B135, '프로젝트(G)'!X:X, B142, '프로젝트(G)'!U:U, $D$1),
    SUMIFS('협력사 EPC(H)'!I:I, '협력사 EPC(H)'!C:C, $E$1, '협력사 EPC(H)'!G:G, B135, '협력사 EPC(H)'!X:X, B142, '협력사 EPC(H)'!U:U, $D$1),
    SUMIFS('기타(Z)'!I:I, '기타(Z)'!C:C, $E$1, '기타(Z)'!G:G, B135, '기타(Z)'!X:X, B142, '기타(Z)'!U:U, $D$1)
  ) = 0,
  "",
  SUM(
    SUMIFS('발전사업(A)'!I:I, '발전사업(A)'!C:C, $E$1, '발전사업(A)'!G:G, B135, '발전사업(A)'!X:X, B142, '발전사업(A)'!U:U, $D$1),
    SUMIFS('자가소비(B)'!I:I, '자가소비(B)'!C:C, $E$1, '자가소비(B)'!G:G, B135, '자가소비(B)'!X:X, B142, '자가소비(B)'!U:U, $D$1),
    SUMIFS('PPA 사업(C)'!I:I, 'PPA 사업(C)'!C:C, $E$1, 'PPA 사업(C)'!G:G, B135, 'PPA 사업(C)'!X:X, B142, 'PPA 사업(C)'!U:U, $D$1),
    SUMIFS('리스사업(D)'!I:I, '리스사업(D)'!C:C, $E$1, '리스사업(D)'!G:G, B135, '리스사업(D)'!X:X, B142, '리스사업(D)'!U:U, $D$1),
    SUMIFS('임대사업(E)'!I:I, '임대사업(E)'!C:C, $E$1, '임대사업(E)'!G:G, B135, '임대사업(E)'!X:X, B142, '임대사업(E)'!U:U, $D$1),
    SUMIFS('환경부사업(F)'!I:I, '환경부사업(F)'!C:C, $E$1, '환경부사업(F)'!G:G, B135, '환경부사업(F)'!X:X, B142, '환경부사업(F)'!U:U, $D$1),
    SUMIFS('프로젝트(G)'!I:I, '프로젝트(G)'!C:C, $E$1, '프로젝트(G)'!G:G, B135, '프로젝트(G)'!X:X, B142, '프로젝트(G)'!U:U, $D$1),
    SUMIFS('협력사 EPC(H)'!I:I, '협력사 EPC(H)'!C:C, $E$1, '협력사 EPC(H)'!G:G, B135, '협력사 EPC(H)'!X:X, B142, '협력사 EPC(H)'!U:U, $D$1),
    SUMIFS('기타(Z)'!I:I, '기타(Z)'!C:C, $E$1, '기타(Z)'!G:G, B135, '기타(Z)'!X:X, B142, '기타(Z)'!U:U, $D$1)
  )
)</f>
        <v/>
      </c>
      <c r="H142" s="263" t="str">
        <f>IF(
  (
    COUNTIFS('발전사업(A)'!C:C, $E$1, '발전사업(A)'!G:G, B135, '발전사업(A)'!X:X, B142, '발전사업(A)'!U:U, $D$1)
    + COUNTIFS('자가소비(B)'!C:C, $E$1, '자가소비(B)'!G:G, B135, '자가소비(B)'!X:X, B142, '자가소비(B)'!U:U, $D$1)
    + COUNTIFS('PPA 사업(C)'!C:C, $E$1, 'PPA 사업(C)'!G:G, B135, 'PPA 사업(C)'!X:X, B142, 'PPA 사업(C)'!U:U, $D$1)
    + COUNTIFS('리스사업(D)'!C:C, $E$1, '리스사업(D)'!G:G, B135, '리스사업(D)'!X:X, B142, '리스사업(D)'!U:U, $D$1)
    + COUNTIFS('임대사업(E)'!C:C, $E$1, '임대사업(E)'!G:G, B135, '임대사업(E)'!X:X, B142, '임대사업(E)'!U:U, $D$1)
    + COUNTIFS('환경부사업(F)'!C:C, $E$1, '환경부사업(F)'!G:G, B135, '환경부사업(F)'!X:X, B142, '환경부사업(F)'!U:U, $D$1)
    + COUNTIFS('프로젝트(G)'!C:C, $E$1, '프로젝트(G)'!G:G, B135, '프로젝트(G)'!X:X, B142, '프로젝트(G)'!U:U, $D$1)
    + COUNTIFS('협력사 EPC(H)'!C:C, $E$1, '협력사 EPC(H)'!G:G, B135, '협력사 EPC(H)'!X:X, B142, '협력사 EPC(H)'!U:U, $D$1)
    + COUNTIFS('기타(Z)'!C:C, $E$1, '기타(Z)'!G:G, $B135, '기타(Z)'!X:X, B142, '기타(Z)'!U:U, $D$1)
  ) = 0,
  "",
  COUNTIFS('발전사업(A)'!C:C, $E$1, '발전사업(A)'!G:G, B135, '발전사업(A)'!X:X, B142, '발전사업(A)'!U:U, $D$1)
  + COUNTIFS('자가소비(B)'!C:C, $E$1, '자가소비(B)'!G:G, B135, '자가소비(B)'!X:X, B142, '자가소비(B)'!U:U, $D$1)
  + COUNTIFS('PPA 사업(C)'!C:C, $E$1, 'PPA 사업(C)'!G:G, B135, 'PPA 사업(C)'!X:X, B142, 'PPA 사업(C)'!U:U, $D$1)
  + COUNTIFS('리스사업(D)'!C:C, $E$1, '리스사업(D)'!G:G, B135, '리스사업(D)'!X:X, B142, '리스사업(D)'!U:U, $D$1)
  + COUNTIFS('임대사업(E)'!C:C, $E$1, '임대사업(E)'!G:G, B135, '임대사업(E)'!X:X, B142, '임대사업(E)'!U:U, $D$1)
  + COUNTIFS('환경부사업(F)'!C:C, $E$1, '환경부사업(F)'!G:G, B135, '환경부사업(F)'!X:X, B142, '환경부사업(F)'!U:U, $D$1)
  + COUNTIFS('프로젝트(G)'!C:C, $E$1, '프로젝트(G)'!G:G, B135, '프로젝트(G)'!X:X, B142, '프로젝트(G)'!U:U, $D$1)
  + COUNTIFS('협력사 EPC(H)'!C:C, $E$1, '협력사 EPC(H)'!G:G, B135, '협력사 EPC(H)'!X:X, B142, '협력사 EPC(H)'!U:U, $D$1)
  + COUNTIFS('기타(Z)'!C:C, $E$1, '기타(Z)'!G:G, B135, '기타(Z)'!X:X, B142, '기타(Z)'!U:U, $D$1)
)</f>
        <v/>
      </c>
    </row>
    <row r="143" spans="2:8" x14ac:dyDescent="0.25">
      <c r="B143" s="195" t="s">
        <v>158</v>
      </c>
      <c r="C143" s="262" t="str">
        <f>IF(
  SUM(
    SUMIFS('발전사업(A)'!I:I, '발전사업(A)'!C:C, $E$1, '발전사업(A)'!G:G, B135, '발전사업(A)'!X:X, B143),
    SUMIFS('자가소비(B)'!I:I, '자가소비(B)'!C:C, $E$1, '자가소비(B)'!G:G, B135, '자가소비(B)'!X:X, B143),
    SUMIFS('PPA 사업(C)'!I:I, 'PPA 사업(C)'!C:C, $E$1, 'PPA 사업(C)'!G:G, B135, 'PPA 사업(C)'!X:X, B143),
    SUMIFS('리스사업(D)'!I:I, '리스사업(D)'!C:C, $E$1, '리스사업(D)'!G:G, B135, '리스사업(D)'!X:X, B143),
    SUMIFS('임대사업(E)'!I:I, '임대사업(E)'!C:C, $E$1, '임대사업(E)'!G:G, B135, '임대사업(E)'!X:X, B143),
    SUMIFS('환경부사업(F)'!I:I, '환경부사업(F)'!C:C, $E$1, '환경부사업(F)'!G:G, B135, '환경부사업(F)'!X:X, B143),
    SUMIFS('프로젝트(G)'!I:I, '프로젝트(G)'!C:C, $E$1, '프로젝트(G)'!G:G, B135, '프로젝트(G)'!X:X, B143),
    SUMIFS('협력사 EPC(H)'!I:I, '협력사 EPC(H)'!C:C, $E$1, '협력사 EPC(H)'!G:G, B135, '협력사 EPC(H)'!X:X, B143),
    SUMIFS('기타(Z)'!I:I, '기타(Z)'!C:C, $E$1, '기타(Z)'!G:G, B135, '기타(Z)'!X:X, B143)
  ) = 0,
  "",
  SUMIFS('발전사업(A)'!I:I, '발전사업(A)'!C:C, $E$1, '발전사업(A)'!G:G, B135, '발전사업(A)'!X:X, B143)
  + SUMIFS('자가소비(B)'!I:I, '자가소비(B)'!C:C, $E$1, '자가소비(B)'!G:G, B135, '자가소비(B)'!X:X, B143)
  + SUMIFS('PPA 사업(C)'!I:I, 'PPA 사업(C)'!C:C, $E$1, 'PPA 사업(C)'!G:G, B135, 'PPA 사업(C)'!X:X, B143)
  + SUMIFS('리스사업(D)'!I:I, '리스사업(D)'!C:C, $E$1, '리스사업(D)'!G:G, B135, '리스사업(D)'!X:X, B143)
  + SUMIFS('임대사업(E)'!I:I, '임대사업(E)'!C:C, $E$1, '임대사업(E)'!G:G, B135, '임대사업(E)'!X:X, B143)
  + SUMIFS('환경부사업(F)'!I:I, '환경부사업(F)'!C:C, $E$1, '환경부사업(F)'!G:G, B135, '환경부사업(F)'!X:X, B143)
  + SUMIFS('프로젝트(G)'!I:I, '프로젝트(G)'!C:C, $E$1, '프로젝트(G)'!G:G, B135, '프로젝트(G)'!X:X, B143)
  + SUMIFS('협력사 EPC(H)'!I:I, '협력사 EPC(H)'!C:C, $E$1, '협력사 EPC(H)'!G:G, B135, '협력사 EPC(H)'!X:X, B143)
  + SUMIFS('기타(Z)'!I:I, '기타(Z)'!C:C, $E$1, '기타(Z)'!G:G, B135, '기타(Z)'!X:X, B143)
)</f>
        <v/>
      </c>
      <c r="D143" s="263" t="str">
        <f>IF(
  COUNTIFS('발전사업(A)'!C:C, $E$1, '발전사업(A)'!G:G, B135, '발전사업(A)'!X:X, B143)
  + COUNTIFS('자가소비(B)'!C:C, $E$1, '자가소비(B)'!G:G, B135, '자가소비(B)'!X:X, B143)
  + COUNTIFS('PPA 사업(C)'!C:C, $E$1, 'PPA 사업(C)'!G:G, B135, 'PPA 사업(C)'!X:X, B143)
  + COUNTIFS('리스사업(D)'!C:C, $E$1, '리스사업(D)'!G:G, B135, '리스사업(D)'!X:X, B143)
  + COUNTIFS('임대사업(E)'!C:C, $E$1, '임대사업(E)'!G:G, B135, '임대사업(E)'!X:X, B143)
  + COUNTIFS('환경부사업(F)'!C:C, $E$1, '환경부사업(F)'!G:G, B135, '환경부사업(F)'!X:X, B143)
  + COUNTIFS('프로젝트(G)'!C:C, $E$1, '프로젝트(G)'!G:G, B135, '프로젝트(G)'!X:X, B143)
  + COUNTIFS('협력사 EPC(H)'!C:C, $E$1, '협력사 EPC(H)'!G:G, B135, '협력사 EPC(H)'!X:X, B143)
  + COUNTIFS('기타(Z)'!C:C, $E$1, '기타(Z)'!G:G, B135, '기타(Z)'!X:X, B143)
  = 0,
  "",
  COUNTIFS('발전사업(A)'!C:C, $E$1, '발전사업(A)'!G:G, B135, '발전사업(A)'!X:X, B143)
  + COUNTIFS('자가소비(B)'!C:C, $E$1, '자가소비(B)'!G:G, B135, '자가소비(B)'!X:X, B143)
  + COUNTIFS('PPA 사업(C)'!C:C, $E$1, 'PPA 사업(C)'!G:G, B135, 'PPA 사업(C)'!X:X, B143)
  + COUNTIFS('리스사업(D)'!C:C, $E$1, '리스사업(D)'!G:G, B135, '리스사업(D)'!X:X, B143)
  + COUNTIFS('임대사업(E)'!C:C, $E$1, '임대사업(E)'!G:G, B135, '임대사업(E)'!X:X, B143)
  + COUNTIFS('환경부사업(F)'!C:C, $E$1, '환경부사업(F)'!G:G, B135, '환경부사업(F)'!X:X, B143)
  + COUNTIFS('프로젝트(G)'!C:C, $E$1, '프로젝트(G)'!G:G, B135, '프로젝트(G)'!X:X, B143)
  + COUNTIFS('협력사 EPC(H)'!C:C, $E$1, '협력사 EPC(H)'!G:G, B135, '협력사 EPC(H)'!X:X, B143)
  + COUNTIFS('기타(Z)'!C:C, $E$1, '기타(Z)'!G:G, B135, '기타(Z)'!X:X, B143)
)</f>
        <v/>
      </c>
      <c r="E143" s="262" t="str">
        <f>IF(
  SUM(
    SUMIFS('발전사업(A)'!I:I, '발전사업(A)'!C:C, $E$1, '발전사업(A)'!G:G, B135, '발전사업(A)'!X:X, B143, '발전사업(A)'!U:U, $C$1),
    SUMIFS('자가소비(B)'!I:I, '자가소비(B)'!C:C, $E$1, '자가소비(B)'!G:G, B135, '자가소비(B)'!X:X, B143, '자가소비(B)'!U:U, $C$1),
    SUMIFS('PPA 사업(C)'!I:I, 'PPA 사업(C)'!C:C, $E$1, 'PPA 사업(C)'!G:G, B135, 'PPA 사업(C)'!X:X, B143, 'PPA 사업(C)'!U:U, $C$1),
    SUMIFS('리스사업(D)'!I:I, '리스사업(D)'!C:C, $E$1, '리스사업(D)'!G:G, B135, '리스사업(D)'!X:X, B143, '리스사업(D)'!U:U, $C$1),
    SUMIFS('임대사업(E)'!I:I, '임대사업(E)'!C:C, $E$1, '임대사업(E)'!G:G, B135, '임대사업(E)'!X:X, B143, '임대사업(E)'!U:U, $C$1),
    SUMIFS('환경부사업(F)'!I:I, '환경부사업(F)'!C:C, $E$1, '환경부사업(F)'!G:G, B135, '환경부사업(F)'!X:X, B143, '환경부사업(F)'!U:U, $C$1),
    SUMIFS('프로젝트(G)'!I:I, '프로젝트(G)'!C:C, $E$1, '프로젝트(G)'!G:G, B135, '프로젝트(G)'!X:X, B143, '프로젝트(G)'!U:U, $C$1),
    SUMIFS('협력사 EPC(H)'!I:I, '협력사 EPC(H)'!C:C, $E$1, '협력사 EPC(H)'!G:G, B135, '협력사 EPC(H)'!X:X, B143, '협력사 EPC(H)'!U:U, $C$1),
    SUMIFS('기타(Z)'!I:I, '기타(Z)'!C:C, $E$1, '기타(Z)'!G:G, B135, '기타(Z)'!X:X, B143, '기타(Z)'!U:U, $C$1)
  ) = 0,
  "",
  SUM(
    SUMIFS('발전사업(A)'!I:I, '발전사업(A)'!C:C, $E$1, '발전사업(A)'!G:G, B135, '발전사업(A)'!X:X, B143, '발전사업(A)'!U:U, $C$1),
    SUMIFS('자가소비(B)'!I:I, '자가소비(B)'!C:C, $E$1, '자가소비(B)'!G:G, B135, '자가소비(B)'!X:X, B143, '자가소비(B)'!U:U, $C$1),
    SUMIFS('PPA 사업(C)'!I:I, 'PPA 사업(C)'!C:C, $E$1, 'PPA 사업(C)'!G:G, B135, 'PPA 사업(C)'!X:X, B143, 'PPA 사업(C)'!U:U, $C$1),
    SUMIFS('리스사업(D)'!I:I, '리스사업(D)'!C:C, $E$1, '리스사업(D)'!G:G, B135, '리스사업(D)'!X:X, B143, '리스사업(D)'!U:U, $C$1),
    SUMIFS('임대사업(E)'!I:I, '임대사업(E)'!C:C, $E$1, '임대사업(E)'!G:G, B135, '임대사업(E)'!X:X, B143, '임대사업(E)'!U:U, $C$1),
    SUMIFS('환경부사업(F)'!I:I, '환경부사업(F)'!C:C, $E$1, '환경부사업(F)'!G:G, B135, '환경부사업(F)'!X:X, B143, '환경부사업(F)'!U:U, $C$1),
    SUMIFS('프로젝트(G)'!I:I, '프로젝트(G)'!C:C, $E$1, '프로젝트(G)'!G:G, B135, '프로젝트(G)'!X:X, B143, '프로젝트(G)'!U:U, $C$1),
    SUMIFS('협력사 EPC(H)'!I:I, '협력사 EPC(H)'!C:C, $E$1, '협력사 EPC(H)'!G:G, B135, '협력사 EPC(H)'!X:X, B143, '협력사 EPC(H)'!U:U, $C$1),
    SUMIFS('기타(Z)'!I:I, '기타(Z)'!C:C, $E$1, '기타(Z)'!G:G, B135, '기타(Z)'!X:X, B143, '기타(Z)'!U:U, $C$1)
  )
)</f>
        <v/>
      </c>
      <c r="F143" s="263" t="str">
        <f>IF(
  SUM(
    COUNTIFS('발전사업(A)'!C:C, $E$1, '발전사업(A)'!G:G, B135, '발전사업(A)'!X:X, B143, '발전사업(A)'!U:U, $C$1),
    COUNTIFS('자가소비(B)'!C:C, $E$1, '자가소비(B)'!G:G, B135, '자가소비(B)'!X:X, B143, '자가소비(B)'!U:U, $C$1),
    COUNTIFS('PPA 사업(C)'!C:C, $E$1, 'PPA 사업(C)'!G:G, B135, 'PPA 사업(C)'!X:X, B143, 'PPA 사업(C)'!U:U, $C$1),
    COUNTIFS('리스사업(D)'!C:C, $E$1, '리스사업(D)'!G:G, B135, '리스사업(D)'!X:X, B143, '리스사업(D)'!U:U, $C$1),
    COUNTIFS('임대사업(E)'!C:C, $E$1, '임대사업(E)'!G:G, B135, '임대사업(E)'!X:X, B143, '임대사업(E)'!U:U, $C$1),
    COUNTIFS('환경부사업(F)'!C:C, $E$1, '환경부사업(F)'!G:G, B135, '환경부사업(F)'!X:X, B143, '환경부사업(F)'!U:U, $C$1),
    COUNTIFS('프로젝트(G)'!C:C, $E$1, '프로젝트(G)'!G:G, B135, '프로젝트(G)'!X:X, B143, '프로젝트(G)'!U:U, $C$1),
    COUNTIFS('협력사 EPC(H)'!C:C, $E$1, '협력사 EPC(H)'!G:G, B135, '협력사 EPC(H)'!X:X, B143, '협력사 EPC(H)'!U:U, $C$1),
    COUNTIFS('기타(Z)'!C:C, $E$1, '기타(Z)'!G:G, B135, '기타(Z)'!X:X, B143, '기타(Z)'!U:U, $C$1)
  ) = 0,
  "",
  SUM(
    COUNTIFS('발전사업(A)'!C:C, $E$1, '발전사업(A)'!G:G, B135, '발전사업(A)'!X:X, B143, '발전사업(A)'!U:U, $C$1),
    COUNTIFS('자가소비(B)'!C:C, $E$1, '자가소비(B)'!G:G, B135, '자가소비(B)'!X:X, B143, '자가소비(B)'!U:U, $C$1),
    COUNTIFS('PPA 사업(C)'!C:C, $E$1, 'PPA 사업(C)'!G:G, B135, 'PPA 사업(C)'!X:X, B143, 'PPA 사업(C)'!U:U, $C$1),
    COUNTIFS('리스사업(D)'!C:C, $E$1, '리스사업(D)'!G:G, B135, '리스사업(D)'!X:X, B143, '리스사업(D)'!U:U, $C$1),
    COUNTIFS('임대사업(E)'!C:C, $E$1, '임대사업(E)'!G:G, B135, '임대사업(E)'!X:X, B143, '임대사업(E)'!U:U, $C$1),
    COUNTIFS('환경부사업(F)'!C:C, $E$1, '환경부사업(F)'!G:G, B135, '환경부사업(F)'!X:X, B143, '환경부사업(F)'!U:U, $C$1),
    COUNTIFS('프로젝트(G)'!C:C, $E$1, '프로젝트(G)'!G:G, B135, '프로젝트(G)'!X:X, B143, '프로젝트(G)'!U:U, $C$1),
    COUNTIFS('협력사 EPC(H)'!C:C, $E$1, '협력사 EPC(H)'!G:G, B135, '협력사 EPC(H)'!X:X, B143, '협력사 EPC(H)'!U:U, $C$1),
    COUNTIFS('기타(Z)'!C:C, $E$1, '기타(Z)'!G:G, B135, '기타(Z)'!X:X, B143, '기타(Z)'!U:U, $C$1)
  )
)</f>
        <v/>
      </c>
      <c r="G143" s="262" t="str">
        <f>IF(
  SUM(
    SUMIFS('발전사업(A)'!I:I, '발전사업(A)'!C:C, $E$1, '발전사업(A)'!G:G, B135, '발전사업(A)'!X:X, B143, '발전사업(A)'!U:U, $D$1),
    SUMIFS('자가소비(B)'!I:I, '자가소비(B)'!C:C, $E$1, '자가소비(B)'!G:G, B135, '자가소비(B)'!X:X, B143, '자가소비(B)'!U:U, $D$1),
    SUMIFS('PPA 사업(C)'!I:I, 'PPA 사업(C)'!C:C, $E$1, 'PPA 사업(C)'!G:G, B135, 'PPA 사업(C)'!X:X, B143, 'PPA 사업(C)'!U:U, $D$1),
    SUMIFS('리스사업(D)'!I:I, '리스사업(D)'!C:C, $E$1, '리스사업(D)'!G:G, B135, '리스사업(D)'!X:X, B143, '리스사업(D)'!U:U, $D$1),
    SUMIFS('임대사업(E)'!I:I, '임대사업(E)'!C:C, $E$1, '임대사업(E)'!G:G, B135, '임대사업(E)'!X:X, B143, '임대사업(E)'!U:U, $D$1),
    SUMIFS('환경부사업(F)'!I:I, '환경부사업(F)'!C:C, $E$1, '환경부사업(F)'!G:G, B135, '환경부사업(F)'!X:X, B143, '환경부사업(F)'!U:U, $D$1),
    SUMIFS('프로젝트(G)'!I:I, '프로젝트(G)'!C:C, $E$1, '프로젝트(G)'!G:G, B135, '프로젝트(G)'!X:X, B143, '프로젝트(G)'!U:U, $D$1),
    SUMIFS('협력사 EPC(H)'!I:I, '협력사 EPC(H)'!C:C, $E$1, '협력사 EPC(H)'!G:G, B135, '협력사 EPC(H)'!X:X, B143, '협력사 EPC(H)'!U:U, $D$1),
    SUMIFS('기타(Z)'!I:I, '기타(Z)'!C:C, $E$1, '기타(Z)'!G:G, B135, '기타(Z)'!X:X, B143, '기타(Z)'!U:U, $D$1)
  ) = 0,
  "",
  SUM(
    SUMIFS('발전사업(A)'!I:I, '발전사업(A)'!C:C, $E$1, '발전사업(A)'!G:G, B135, '발전사업(A)'!X:X, B143, '발전사업(A)'!U:U, $D$1),
    SUMIFS('자가소비(B)'!I:I, '자가소비(B)'!C:C, $E$1, '자가소비(B)'!G:G, B135, '자가소비(B)'!X:X, B143, '자가소비(B)'!U:U, $D$1),
    SUMIFS('PPA 사업(C)'!I:I, 'PPA 사업(C)'!C:C, $E$1, 'PPA 사업(C)'!G:G, B135, 'PPA 사업(C)'!X:X, B143, 'PPA 사업(C)'!U:U, $D$1),
    SUMIFS('리스사업(D)'!I:I, '리스사업(D)'!C:C, $E$1, '리스사업(D)'!G:G, B135, '리스사업(D)'!X:X, B143, '리스사업(D)'!U:U, $D$1),
    SUMIFS('임대사업(E)'!I:I, '임대사업(E)'!C:C, $E$1, '임대사업(E)'!G:G, B135, '임대사업(E)'!X:X, B143, '임대사업(E)'!U:U, $D$1),
    SUMIFS('환경부사업(F)'!I:I, '환경부사업(F)'!C:C, $E$1, '환경부사업(F)'!G:G, B135, '환경부사업(F)'!X:X, B143, '환경부사업(F)'!U:U, $D$1),
    SUMIFS('프로젝트(G)'!I:I, '프로젝트(G)'!C:C, $E$1, '프로젝트(G)'!G:G, B135, '프로젝트(G)'!X:X, B143, '프로젝트(G)'!U:U, $D$1),
    SUMIFS('협력사 EPC(H)'!I:I, '협력사 EPC(H)'!C:C, $E$1, '협력사 EPC(H)'!G:G, B135, '협력사 EPC(H)'!X:X, B143, '협력사 EPC(H)'!U:U, $D$1),
    SUMIFS('기타(Z)'!I:I, '기타(Z)'!C:C, $E$1, '기타(Z)'!G:G, B135, '기타(Z)'!X:X, B143, '기타(Z)'!U:U, $D$1)
  )
)</f>
        <v/>
      </c>
      <c r="H143" s="263" t="str">
        <f>IF(
  (
    COUNTIFS('발전사업(A)'!C:C, $E$1, '발전사업(A)'!G:G, B135, '발전사업(A)'!X:X, B143, '발전사업(A)'!U:U, $D$1)
    + COUNTIFS('자가소비(B)'!C:C, $E$1, '자가소비(B)'!G:G, B135, '자가소비(B)'!X:X, B143, '자가소비(B)'!U:U, $D$1)
    + COUNTIFS('PPA 사업(C)'!C:C, $E$1, 'PPA 사업(C)'!G:G, B135, 'PPA 사업(C)'!X:X, B143, 'PPA 사업(C)'!U:U, $D$1)
    + COUNTIFS('리스사업(D)'!C:C, $E$1, '리스사업(D)'!G:G, B135, '리스사업(D)'!X:X, B143, '리스사업(D)'!U:U, $D$1)
    + COUNTIFS('임대사업(E)'!C:C, $E$1, '임대사업(E)'!G:G, B135, '임대사업(E)'!X:X, B143, '임대사업(E)'!U:U, $D$1)
    + COUNTIFS('환경부사업(F)'!C:C, $E$1, '환경부사업(F)'!G:G, B135, '환경부사업(F)'!X:X, B143, '환경부사업(F)'!U:U, $D$1)
    + COUNTIFS('프로젝트(G)'!C:C, $E$1, '프로젝트(G)'!G:G, B135, '프로젝트(G)'!X:X, B143, '프로젝트(G)'!U:U, $D$1)
    + COUNTIFS('협력사 EPC(H)'!C:C, $E$1, '협력사 EPC(H)'!G:G, B135, '협력사 EPC(H)'!X:X, B143, '협력사 EPC(H)'!U:U, $D$1)
    + COUNTIFS('기타(Z)'!C:C, $E$1, '기타(Z)'!G:G, B135, '기타(Z)'!X:X, B143, '기타(Z)'!U:U, $D$1)
  ) = 0,
  "",
  COUNTIFS('발전사업(A)'!C:C, $E$1, '발전사업(A)'!G:G, B135, '발전사업(A)'!X:X, B143, '발전사업(A)'!U:U, $D$1)
  + COUNTIFS('자가소비(B)'!C:C, $E$1, '자가소비(B)'!G:G, B135, '자가소비(B)'!X:X, B143, '자가소비(B)'!U:U, $D$1)
  + COUNTIFS('PPA 사업(C)'!C:C, $E$1, 'PPA 사업(C)'!G:G, B135, 'PPA 사업(C)'!X:X, B143, 'PPA 사업(C)'!U:U, $D$1)
  + COUNTIFS('리스사업(D)'!C:C, $E$1, '리스사업(D)'!G:G, B135, '리스사업(D)'!X:X, B143, '리스사업(D)'!U:U, $D$1)
  + COUNTIFS('임대사업(E)'!C:C, $E$1, '임대사업(E)'!G:G, B135, '임대사업(E)'!X:X, B143, '임대사업(E)'!U:U, $D$1)
  + COUNTIFS('환경부사업(F)'!C:C, $E$1, '환경부사업(F)'!G:G, B135, '환경부사업(F)'!X:X, B143, '환경부사업(F)'!U:U, $D$1)
  + COUNTIFS('프로젝트(G)'!C:C, $E$1, '프로젝트(G)'!G:G, B135, '프로젝트(G)'!X:X, B143, '프로젝트(G)'!U:U, $D$1)
  + COUNTIFS('협력사 EPC(H)'!C:C, $E$1, '협력사 EPC(H)'!G:G, B135, '협력사 EPC(H)'!X:X, B143, '협력사 EPC(H)'!U:U, $D$1)
  + COUNTIFS('기타(Z)'!C:C, $E$1, '기타(Z)'!G:G, B135, '기타(Z)'!X:X, B143, '기타(Z)'!U:U, $D$1)
)</f>
        <v/>
      </c>
    </row>
    <row r="144" spans="2:8" ht="16.5" x14ac:dyDescent="0.25">
      <c r="B144" s="274" t="s">
        <v>174</v>
      </c>
      <c r="C144" s="268">
        <f t="shared" ref="C144:H144" si="18">SUM(C136:C143)</f>
        <v>0</v>
      </c>
      <c r="D144" s="269">
        <f t="shared" si="18"/>
        <v>0</v>
      </c>
      <c r="E144" s="270">
        <f t="shared" si="18"/>
        <v>0</v>
      </c>
      <c r="F144" s="271">
        <f t="shared" si="18"/>
        <v>0</v>
      </c>
      <c r="G144" s="272">
        <f t="shared" si="18"/>
        <v>0</v>
      </c>
      <c r="H144" s="273">
        <f t="shared" si="18"/>
        <v>0</v>
      </c>
    </row>
    <row r="147" spans="2:8" ht="17.25" x14ac:dyDescent="0.25">
      <c r="B147" s="264">
        <v>12</v>
      </c>
      <c r="C147" s="265" t="s">
        <v>176</v>
      </c>
      <c r="D147" s="265" t="s">
        <v>175</v>
      </c>
      <c r="E147" s="266" t="s">
        <v>177</v>
      </c>
      <c r="F147" s="266" t="s">
        <v>178</v>
      </c>
      <c r="G147" s="267" t="s">
        <v>179</v>
      </c>
      <c r="H147" s="267" t="s">
        <v>180</v>
      </c>
    </row>
    <row r="148" spans="2:8" x14ac:dyDescent="0.25">
      <c r="B148" s="195" t="s">
        <v>160</v>
      </c>
      <c r="C148" s="262" t="str">
        <f>IF(
  SUM(
    SUMIFS('발전사업(A)'!I:I, '발전사업(A)'!C:C, $E$1, '발전사업(A)'!G:G, B147, '발전사업(A)'!X:X, B148),
    SUMIFS('자가소비(B)'!I:I, '자가소비(B)'!C:C, $E$1, '자가소비(B)'!G:G, B147, '자가소비(B)'!X:X, B148),
    SUMIFS('PPA 사업(C)'!I:I, 'PPA 사업(C)'!C:C, $E$1, 'PPA 사업(C)'!G:G, B147, 'PPA 사업(C)'!X:X, B148),
    SUMIFS('리스사업(D)'!I:I, '리스사업(D)'!C:C, $E$1, '리스사업(D)'!G:G, B147, '리스사업(D)'!X:X, B148),
    SUMIFS('임대사업(E)'!I:I, '임대사업(E)'!C:C, $E$1, '임대사업(E)'!G:G, B147, '임대사업(E)'!X:X, B148),
    SUMIFS('환경부사업(F)'!I:I, '환경부사업(F)'!C:C, $E$1, '환경부사업(F)'!G:G, B147, '환경부사업(F)'!X:X, B148),
    SUMIFS('프로젝트(G)'!I:I, '프로젝트(G)'!C:C, $E$1, '프로젝트(G)'!G:G, B147, '프로젝트(G)'!X:X, B148),
    SUMIFS('협력사 EPC(H)'!I:I, '협력사 EPC(H)'!C:C, $E$1, '협력사 EPC(H)'!G:G, B147, '협력사 EPC(H)'!X:X, B148),
    SUMIFS('기타(Z)'!I:I, '기타(Z)'!C:C, $E$1, '기타(Z)'!G:G, B147, '기타(Z)'!X:X, B148)
  ) = 0,
  "",
  SUMIFS('발전사업(A)'!I:I, '발전사업(A)'!C:C, $E$1, '발전사업(A)'!G:G, B147, '발전사업(A)'!X:X, B148)
  + SUMIFS('자가소비(B)'!I:I, '자가소비(B)'!C:C, $E$1, '자가소비(B)'!G:G, B147, '자가소비(B)'!X:X, B148)
  + SUMIFS('PPA 사업(C)'!I:I, 'PPA 사업(C)'!C:C, $E$1, 'PPA 사업(C)'!G:G, B147, 'PPA 사업(C)'!X:X, B148)
  + SUMIFS('리스사업(D)'!I:I, '리스사업(D)'!C:C, $E$1, '리스사업(D)'!G:G, B147, '리스사업(D)'!X:X, B148)
  + SUMIFS('임대사업(E)'!I:I, '임대사업(E)'!C:C, $E$1, '임대사업(E)'!G:G, B147, '임대사업(E)'!X:X, B148)
  + SUMIFS('환경부사업(F)'!I:I, '환경부사업(F)'!C:C, $E$1, '환경부사업(F)'!G:G, B147, '환경부사업(F)'!X:X, B148)
  + SUMIFS('프로젝트(G)'!I:I, '프로젝트(G)'!C:C, $E$1, '프로젝트(G)'!G:G, B147, '프로젝트(G)'!X:X, B148)
  + SUMIFS('협력사 EPC(H)'!I:I, '협력사 EPC(H)'!C:C, $E$1, '협력사 EPC(H)'!G:G, B147, '협력사 EPC(H)'!X:X, B148)
  + SUMIFS('기타(Z)'!I:I, '기타(Z)'!C:C, $E$1, '기타(Z)'!G:G, B147, '기타(Z)'!X:X, B148)
)</f>
        <v/>
      </c>
      <c r="D148" s="263" t="str">
        <f>IF(
  COUNTIFS('발전사업(A)'!C:C, $E$1, '발전사업(A)'!G:G, B147, '발전사업(A)'!X:X, B148)
  + COUNTIFS('자가소비(B)'!C:C, $E$1, '자가소비(B)'!G:G, B147, '자가소비(B)'!X:X, B148)
  + COUNTIFS('PPA 사업(C)'!C:C, $E$1, 'PPA 사업(C)'!G:G, B147, 'PPA 사업(C)'!X:X, B148)
  + COUNTIFS('리스사업(D)'!C:C, $E$1, '리스사업(D)'!G:G, B147, '리스사업(D)'!X:X, B148)
  + COUNTIFS('임대사업(E)'!C:C, $E$1, '임대사업(E)'!G:G, B147, '임대사업(E)'!X:X, B148)
  + COUNTIFS('환경부사업(F)'!C:C, $E$1, '환경부사업(F)'!G:G, B147, '환경부사업(F)'!X:X, B148)
  + COUNTIFS('프로젝트(G)'!C:C, $E$1, '프로젝트(G)'!G:G, B147, '프로젝트(G)'!X:X, B148)
  + COUNTIFS('협력사 EPC(H)'!C:C, $E$1, '협력사 EPC(H)'!G:G, B147, '협력사 EPC(H)'!X:X, B148)
  + COUNTIFS('기타(Z)'!C:C, $E$1, '기타(Z)'!G:G, B147, '기타(Z)'!X:X, B148)
  = 0,
  "",
  COUNTIFS('발전사업(A)'!C:C, $E$1, '발전사업(A)'!G:G, B147, '발전사업(A)'!X:X, B148)
  + COUNTIFS('자가소비(B)'!C:C, $E$1, '자가소비(B)'!G:G, B147, '자가소비(B)'!X:X, B148)
  + COUNTIFS('PPA 사업(C)'!C:C, $E$1, 'PPA 사업(C)'!G:G, B147, 'PPA 사업(C)'!X:X, B148)
  + COUNTIFS('리스사업(D)'!C:C, $E$1, '리스사업(D)'!G:G, B147, '리스사업(D)'!X:X, B148)
  + COUNTIFS('임대사업(E)'!C:C, $E$1, '임대사업(E)'!G:G, B147, '임대사업(E)'!X:X, B148)
  + COUNTIFS('환경부사업(F)'!C:C, $E$1, '환경부사업(F)'!G:G, B147, '환경부사업(F)'!X:X, B148)
  + COUNTIFS('프로젝트(G)'!C:C, $E$1, '프로젝트(G)'!G:G, B147, '프로젝트(G)'!X:X, B148)
  + COUNTIFS('협력사 EPC(H)'!C:C, $E$1, '협력사 EPC(H)'!G:G, B147, '협력사 EPC(H)'!X:X, B148)
  + COUNTIFS('기타(Z)'!C:C, $E$1, '기타(Z)'!G:G, B147, '기타(Z)'!X:X, B148)
)</f>
        <v/>
      </c>
      <c r="E148" s="262" t="str">
        <f>IF(
  SUM(
    SUMIFS('발전사업(A)'!I:I, '발전사업(A)'!C:C, $E$1, '발전사업(A)'!G:G, B147, '발전사업(A)'!X:X, B148, '발전사업(A)'!U:U, $C$1),
    SUMIFS('자가소비(B)'!I:I, '자가소비(B)'!C:C, $E$1, '자가소비(B)'!G:G, B147, '자가소비(B)'!X:X, B148, '자가소비(B)'!U:U, $C$1),
    SUMIFS('PPA 사업(C)'!I:I, 'PPA 사업(C)'!C:C, $E$1, 'PPA 사업(C)'!G:G, B147, 'PPA 사업(C)'!X:X, B148, 'PPA 사업(C)'!U:U, $C$1),
    SUMIFS('리스사업(D)'!I:I, '리스사업(D)'!C:C, $E$1, '리스사업(D)'!G:G, B147, '리스사업(D)'!X:X, B148, '리스사업(D)'!U:U, $C$1),
    SUMIFS('임대사업(E)'!I:I, '임대사업(E)'!C:C, $E$1, '임대사업(E)'!G:G, B147, '임대사업(E)'!X:X, B148, '임대사업(E)'!U:U, $C$1),
    SUMIFS('환경부사업(F)'!I:I, '환경부사업(F)'!C:C, $E$1, '환경부사업(F)'!G:G, B147, '환경부사업(F)'!X:X, B148, '환경부사업(F)'!U:U, $C$1),
    SUMIFS('프로젝트(G)'!I:I, '프로젝트(G)'!C:C, $E$1, '프로젝트(G)'!G:G, B147, '프로젝트(G)'!X:X, B148, '프로젝트(G)'!U:U, $C$1),
    SUMIFS('협력사 EPC(H)'!I:I, '협력사 EPC(H)'!C:C, $E$1, '협력사 EPC(H)'!G:G, B147, '협력사 EPC(H)'!X:X, B148, '협력사 EPC(H)'!U:U, $C$1),
    SUMIFS('기타(Z)'!I:I, '기타(Z)'!C:C, $E$1, '기타(Z)'!G:G, B147, '기타(Z)'!X:X, B148, '기타(Z)'!U:U, $C$1)
  ) = 0,
  "",
  SUM(
    SUMIFS('발전사업(A)'!I:I, '발전사업(A)'!C:C, $E$1, '발전사업(A)'!G:G, B147, '발전사업(A)'!X:X, B148, '발전사업(A)'!U:U, $C$1),
    SUMIFS('자가소비(B)'!I:I, '자가소비(B)'!C:C, $E$1, '자가소비(B)'!G:G, B147, '자가소비(B)'!X:X, B148, '자가소비(B)'!U:U, $C$1),
    SUMIFS('PPA 사업(C)'!I:I, 'PPA 사업(C)'!C:C, $E$1, 'PPA 사업(C)'!G:G, B147, 'PPA 사업(C)'!X:X, B148, 'PPA 사업(C)'!U:U, $C$1),
    SUMIFS('리스사업(D)'!I:I, '리스사업(D)'!C:C, $E$1, '리스사업(D)'!G:G, B147, '리스사업(D)'!X:X, B148, '리스사업(D)'!U:U, $C$1),
    SUMIFS('임대사업(E)'!I:I, '임대사업(E)'!C:C, $E$1, '임대사업(E)'!G:G, B147, '임대사업(E)'!X:X, B148, '임대사업(E)'!U:U, $C$1),
    SUMIFS('환경부사업(F)'!I:I, '환경부사업(F)'!C:C, $E$1, '환경부사업(F)'!G:G, B147, '환경부사업(F)'!X:X, B148, '환경부사업(F)'!U:U, $C$1),
    SUMIFS('프로젝트(G)'!I:I, '프로젝트(G)'!C:C, $E$1, '프로젝트(G)'!G:G, B147, '프로젝트(G)'!X:X, B148, '프로젝트(G)'!U:U, $C$1),
    SUMIFS('협력사 EPC(H)'!I:I, '협력사 EPC(H)'!C:C, $E$1, '협력사 EPC(H)'!G:G, B147, '협력사 EPC(H)'!X:X, B148, '협력사 EPC(H)'!U:U, $C$1),
    SUMIFS('기타(Z)'!I:I, '기타(Z)'!C:C, $E$1, '기타(Z)'!G:G, B147, '기타(Z)'!X:X, B148, '기타(Z)'!U:U, $C$1)
  )
)</f>
        <v/>
      </c>
      <c r="F148" s="263" t="str">
        <f>IF(
  SUM(
    COUNTIFS('발전사업(A)'!C:C, $E$1, '발전사업(A)'!G:G, B147, '발전사업(A)'!X:X, B148, '발전사업(A)'!U:U, $C$1),
    COUNTIFS('자가소비(B)'!C:C, $E$1, '자가소비(B)'!G:G, B147, '자가소비(B)'!X:X, B148, '자가소비(B)'!U:U, $C$1),
    COUNTIFS('PPA 사업(C)'!C:C, $E$1, 'PPA 사업(C)'!G:G, B147, 'PPA 사업(C)'!X:X, B148, 'PPA 사업(C)'!U:U, $C$1),
    COUNTIFS('리스사업(D)'!C:C, $E$1, '리스사업(D)'!G:G, B147, '리스사업(D)'!X:X, B148, '리스사업(D)'!U:U, $C$1),
    COUNTIFS('임대사업(E)'!C:C, $E$1, '임대사업(E)'!G:G, B147, '임대사업(E)'!X:X, B148, '임대사업(E)'!U:U, $C$1),
    COUNTIFS('환경부사업(F)'!C:C, $E$1, '환경부사업(F)'!G:G, B147, '환경부사업(F)'!X:X, B148, '환경부사업(F)'!U:U, $C$1),
    COUNTIFS('프로젝트(G)'!C:C, $E$1, '프로젝트(G)'!G:G, B147, '프로젝트(G)'!X:X, B148, '프로젝트(G)'!U:U, $C$1),
    COUNTIFS('협력사 EPC(H)'!C:C, $E$1, '협력사 EPC(H)'!G:G, B147, '협력사 EPC(H)'!X:X, B148, '협력사 EPC(H)'!U:U, $C$1),
    COUNTIFS('기타(Z)'!C:C, $E$1, '기타(Z)'!G:G, B147, '기타(Z)'!X:X, B148, '기타(Z)'!U:U, $C$1)
  ) = 0,
  "",
  SUM(
    COUNTIFS('발전사업(A)'!C:C, $E$1, '발전사업(A)'!G:G, B147, '발전사업(A)'!X:X, B148, '발전사업(A)'!U:U, $C$1),
    COUNTIFS('자가소비(B)'!C:C, $E$1, '자가소비(B)'!G:G, B147, '자가소비(B)'!X:X, B148, '자가소비(B)'!U:U, $C$1),
    COUNTIFS('PPA 사업(C)'!C:C, $E$1, 'PPA 사업(C)'!G:G, B147, 'PPA 사업(C)'!X:X, B148, 'PPA 사업(C)'!U:U, $C$1),
    COUNTIFS('리스사업(D)'!C:C, $E$1, '리스사업(D)'!G:G, B147, '리스사업(D)'!X:X, B148, '리스사업(D)'!U:U, $C$1),
    COUNTIFS('임대사업(E)'!C:C, $E$1, '임대사업(E)'!G:G, B147, '임대사업(E)'!X:X, B148, '임대사업(E)'!U:U, $C$1),
    COUNTIFS('환경부사업(F)'!C:C, $E$1, '환경부사업(F)'!G:G, B147, '환경부사업(F)'!X:X, B148, '환경부사업(F)'!U:U, $C$1),
    COUNTIFS('프로젝트(G)'!C:C, $E$1, '프로젝트(G)'!G:G, B147, '프로젝트(G)'!X:X, B148, '프로젝트(G)'!U:U, $C$1),
    COUNTIFS('협력사 EPC(H)'!C:C, $E$1, '협력사 EPC(H)'!G:G, B147, '협력사 EPC(H)'!X:X, B148, '협력사 EPC(H)'!U:U, $C$1),
    COUNTIFS('기타(Z)'!C:C, $E$1, '기타(Z)'!G:G, B147, '기타(Z)'!X:X, B148, '기타(Z)'!U:U, $C$1)
  )
)</f>
        <v/>
      </c>
      <c r="G148" s="262" t="str">
        <f>IF(
  SUM(
    SUMIFS('발전사업(A)'!I:I, '발전사업(A)'!C:C, $E$1, '발전사업(A)'!G:G, B147, '발전사업(A)'!X:X, B148, '발전사업(A)'!U:U, $D$1),
    SUMIFS('자가소비(B)'!I:I, '자가소비(B)'!C:C, $E$1, '자가소비(B)'!G:G, B147, '자가소비(B)'!X:X, B148, '자가소비(B)'!U:U, $D$1),
    SUMIFS('PPA 사업(C)'!I:I, 'PPA 사업(C)'!C:C, $E$1, 'PPA 사업(C)'!G:G, B147, 'PPA 사업(C)'!X:X, B148, 'PPA 사업(C)'!U:U, $D$1),
    SUMIFS('리스사업(D)'!I:I, '리스사업(D)'!C:C, $E$1, '리스사업(D)'!G:G, B147, '리스사업(D)'!X:X, B148, '리스사업(D)'!U:U, $D$1),
    SUMIFS('임대사업(E)'!I:I, '임대사업(E)'!C:C, $E$1, '임대사업(E)'!G:G, B147, '임대사업(E)'!X:X, B148, '임대사업(E)'!U:U, $D$1),
    SUMIFS('환경부사업(F)'!I:I, '환경부사업(F)'!C:C, $E$1, '환경부사업(F)'!G:G, B147, '환경부사업(F)'!X:X, B148, '환경부사업(F)'!U:U, $D$1),
    SUMIFS('프로젝트(G)'!I:I, '프로젝트(G)'!C:C, $E$1, '프로젝트(G)'!G:G, B147, '프로젝트(G)'!X:X, B148, '프로젝트(G)'!U:U, $D$1),
    SUMIFS('협력사 EPC(H)'!I:I, '협력사 EPC(H)'!C:C, $E$1, '협력사 EPC(H)'!G:G, B147, '협력사 EPC(H)'!X:X, B148, '협력사 EPC(H)'!U:U, $D$1),
    SUMIFS('기타(Z)'!I:I, '기타(Z)'!C:C, $E$1, '기타(Z)'!G:G, B147, '기타(Z)'!X:X, B148, '기타(Z)'!U:U, $D$1)
  ) = 0,
  "",
  SUM(
    SUMIFS('발전사업(A)'!I:I, '발전사업(A)'!C:C, $E$1, '발전사업(A)'!G:G, B147, '발전사업(A)'!X:X, B148, '발전사업(A)'!U:U, $D$1),
    SUMIFS('자가소비(B)'!I:I, '자가소비(B)'!C:C, $E$1, '자가소비(B)'!G:G, B147, '자가소비(B)'!X:X, B148, '자가소비(B)'!U:U, $D$1),
    SUMIFS('PPA 사업(C)'!I:I, 'PPA 사업(C)'!C:C, $E$1, 'PPA 사업(C)'!G:G, B147, 'PPA 사업(C)'!X:X, B148, 'PPA 사업(C)'!U:U, $D$1),
    SUMIFS('리스사업(D)'!I:I, '리스사업(D)'!C:C, $E$1, '리스사업(D)'!G:G, B147, '리스사업(D)'!X:X, B148, '리스사업(D)'!U:U, $D$1),
    SUMIFS('임대사업(E)'!I:I, '임대사업(E)'!C:C, $E$1, '임대사업(E)'!G:G, B147, '임대사업(E)'!X:X, B148, '임대사업(E)'!U:U, $D$1),
    SUMIFS('환경부사업(F)'!I:I, '환경부사업(F)'!C:C, $E$1, '환경부사업(F)'!G:G, B147, '환경부사업(F)'!X:X, B148, '환경부사업(F)'!U:U, $D$1),
    SUMIFS('프로젝트(G)'!I:I, '프로젝트(G)'!C:C, $E$1, '프로젝트(G)'!G:G, B147, '프로젝트(G)'!X:X, B148, '프로젝트(G)'!U:U, $D$1),
    SUMIFS('협력사 EPC(H)'!I:I, '협력사 EPC(H)'!C:C, $E$1, '협력사 EPC(H)'!G:G, B147, '협력사 EPC(H)'!X:X, B148, '협력사 EPC(H)'!U:U, $D$1),
    SUMIFS('기타(Z)'!I:I, '기타(Z)'!C:C, $E$1, '기타(Z)'!G:G, B147, '기타(Z)'!X:X, B148, '기타(Z)'!U:U, $D$1)
  )
)</f>
        <v/>
      </c>
      <c r="H148" s="263" t="str">
        <f>IF(
  (
    COUNTIFS('발전사업(A)'!C:C, $E$1, '발전사업(A)'!G:G, B147, '발전사업(A)'!X:X, B148, '발전사업(A)'!U:U, $D$1)
    + COUNTIFS('자가소비(B)'!C:C, $E$1, '자가소비(B)'!G:G, B147, '자가소비(B)'!X:X, B148, '자가소비(B)'!U:U, $D$1)
    + COUNTIFS('PPA 사업(C)'!C:C, $E$1, 'PPA 사업(C)'!G:G, B147, 'PPA 사업(C)'!X:X, B148, 'PPA 사업(C)'!U:U, $D$1)
    + COUNTIFS('리스사업(D)'!C:C, $E$1, '리스사업(D)'!G:G, B147, '리스사업(D)'!X:X, B148, '리스사업(D)'!U:U, $D$1)
    + COUNTIFS('임대사업(E)'!C:C, $E$1, '임대사업(E)'!G:G, B147, '임대사업(E)'!X:X, B148, '임대사업(E)'!U:U, $D$1)
    + COUNTIFS('환경부사업(F)'!C:C, $E$1, '환경부사업(F)'!G:G, B147, '환경부사업(F)'!X:X, B148, '환경부사업(F)'!U:U, $D$1)
    + COUNTIFS('프로젝트(G)'!C:C, $E$1, '프로젝트(G)'!G:G, B147, '프로젝트(G)'!X:X, B148, '프로젝트(G)'!U:U, $D$1)
    + COUNTIFS('협력사 EPC(H)'!C:C, $E$1, '협력사 EPC(H)'!G:G, B147, '협력사 EPC(H)'!X:X, B148, '협력사 EPC(H)'!U:U, $D$1)
    + COUNTIFS('기타(Z)'!C:C, $E$1, '기타(Z)'!G:G, B147, '기타(Z)'!X:X, B148, '기타(Z)'!U:U, $D$1)
  ) = 0,
  "",
  COUNTIFS('발전사업(A)'!C:C, $E$1, '발전사업(A)'!G:G, B147, '발전사업(A)'!X:X, B148, '발전사업(A)'!U:U, $D$1)
  + COUNTIFS('자가소비(B)'!C:C, $E$1, '자가소비(B)'!G:G, B147, '자가소비(B)'!X:X, B148, '자가소비(B)'!U:U, $D$1)
  + COUNTIFS('PPA 사업(C)'!C:C, $E$1, 'PPA 사업(C)'!G:G, B147, 'PPA 사업(C)'!X:X, B148, 'PPA 사업(C)'!U:U, $D$1)
  + COUNTIFS('리스사업(D)'!C:C, $E$1, '리스사업(D)'!G:G, B147, '리스사업(D)'!X:X, B148, '리스사업(D)'!U:U, $D$1)
  + COUNTIFS('임대사업(E)'!C:C, $E$1, '임대사업(E)'!G:G, B147, '임대사업(E)'!X:X, B148, '임대사업(E)'!U:U, $D$1)
  + COUNTIFS('환경부사업(F)'!C:C, $E$1, '환경부사업(F)'!G:G, B147, '환경부사업(F)'!X:X, B148, '환경부사업(F)'!U:U, $D$1)
  + COUNTIFS('프로젝트(G)'!C:C, $E$1, '프로젝트(G)'!G:G, B147, '프로젝트(G)'!X:X, B148, '프로젝트(G)'!U:U, $D$1)
  + COUNTIFS('협력사 EPC(H)'!C:C, $E$1, '협력사 EPC(H)'!G:G, B147, '협력사 EPC(H)'!X:X, B148, '협력사 EPC(H)'!U:U, $D$1)
  + COUNTIFS('기타(Z)'!C:C, $E$1, '기타(Z)'!G:G, B147, '기타(Z)'!X:X, B148, '기타(Z)'!U:U, $D$1)
)</f>
        <v/>
      </c>
    </row>
    <row r="149" spans="2:8" x14ac:dyDescent="0.25">
      <c r="B149" s="195" t="s">
        <v>152</v>
      </c>
      <c r="C149" s="262" t="str">
        <f>IF(
  SUM(
    SUMIFS('발전사업(A)'!I:I, '발전사업(A)'!C:C, $E$1, '발전사업(A)'!G:G, B147, '발전사업(A)'!X:X, B149),
    SUMIFS('자가소비(B)'!I:I, '자가소비(B)'!C:C, $E$1, '자가소비(B)'!G:G, B147, '자가소비(B)'!X:X, B149),
    SUMIFS('PPA 사업(C)'!I:I, 'PPA 사업(C)'!C:C, $E$1, 'PPA 사업(C)'!G:G, B147, 'PPA 사업(C)'!X:X, B149),
    SUMIFS('리스사업(D)'!I:I, '리스사업(D)'!C:C, $E$1, '리스사업(D)'!G:G, B147, '리스사업(D)'!X:X, B149),
    SUMIFS('임대사업(E)'!I:I, '임대사업(E)'!C:C, $E$1, '임대사업(E)'!G:G, B147, '임대사업(E)'!X:X, B149),
    SUMIFS('환경부사업(F)'!I:I, '환경부사업(F)'!C:C, $E$1, '환경부사업(F)'!G:G, B147, '환경부사업(F)'!X:X, B149),
    SUMIFS('프로젝트(G)'!I:I, '프로젝트(G)'!C:C, $E$1, '프로젝트(G)'!G:G, B147, '프로젝트(G)'!X:X, B149),
    SUMIFS('협력사 EPC(H)'!I:I, '협력사 EPC(H)'!C:C, $E$1, '협력사 EPC(H)'!G:G, B147, '협력사 EPC(H)'!X:X, B149),
    SUMIFS('기타(Z)'!I:I, '기타(Z)'!C:C, $E$1, '기타(Z)'!G:G, B147, '기타(Z)'!X:X, B149)
  ) = 0,
  "",
  SUMIFS('발전사업(A)'!I:I, '발전사업(A)'!C:C, $E$1, '발전사업(A)'!G:G, B147, '발전사업(A)'!X:X, B149)
  + SUMIFS('자가소비(B)'!I:I, '자가소비(B)'!C:C, $E$1, '자가소비(B)'!G:G, B147, '자가소비(B)'!X:X, B149)
  + SUMIFS('PPA 사업(C)'!I:I, 'PPA 사업(C)'!C:C, $E$1, 'PPA 사업(C)'!G:G, B147, 'PPA 사업(C)'!X:X, B149)
  + SUMIFS('리스사업(D)'!I:I, '리스사업(D)'!C:C, $E$1, '리스사업(D)'!G:G, B147, '리스사업(D)'!X:X, B149)
  + SUMIFS('임대사업(E)'!I:I, '임대사업(E)'!C:C, $E$1, '임대사업(E)'!G:G, B147, '임대사업(E)'!X:X, B149)
  + SUMIFS('환경부사업(F)'!I:I, '환경부사업(F)'!C:C, $E$1, '환경부사업(F)'!G:G, B147, '환경부사업(F)'!X:X, B149)
  + SUMIFS('프로젝트(G)'!I:I, '프로젝트(G)'!C:C, $E$1, '프로젝트(G)'!G:G, B147, '프로젝트(G)'!X:X, B149)
  + SUMIFS('협력사 EPC(H)'!I:I, '협력사 EPC(H)'!C:C, $E$1, '협력사 EPC(H)'!G:G, B147, '협력사 EPC(H)'!X:X, B149)
  + SUMIFS('기타(Z)'!I:I, '기타(Z)'!C:C, $E$1, '기타(Z)'!G:G, B147, '기타(Z)'!X:X, B149)
)</f>
        <v/>
      </c>
      <c r="D149" s="263" t="str">
        <f>IF(
  COUNTIFS('발전사업(A)'!C:C, $E$1, '발전사업(A)'!G:G, B147, '발전사업(A)'!X:X, B149)
  + COUNTIFS('자가소비(B)'!C:C, $E$1, '자가소비(B)'!G:G, B147, '자가소비(B)'!X:X, B149)
  + COUNTIFS('PPA 사업(C)'!C:C, $E$1, 'PPA 사업(C)'!G:G, B147, 'PPA 사업(C)'!X:X, B149)
  + COUNTIFS('리스사업(D)'!C:C, $E$1, '리스사업(D)'!G:G, B147, '리스사업(D)'!X:X, B149)
  + COUNTIFS('임대사업(E)'!C:C, $E$1, '임대사업(E)'!G:G, B147, '임대사업(E)'!X:X, B149)
  + COUNTIFS('환경부사업(F)'!C:C, $E$1, '환경부사업(F)'!G:G, B147, '환경부사업(F)'!X:X, B149)
  + COUNTIFS('프로젝트(G)'!C:C, $E$1, '프로젝트(G)'!G:G, B147, '프로젝트(G)'!X:X, B149)
  + COUNTIFS('협력사 EPC(H)'!C:C, $E$1, '협력사 EPC(H)'!G:G, B147, '협력사 EPC(H)'!X:X, B149)
  + COUNTIFS('기타(Z)'!C:C, $E$1, '기타(Z)'!G:G, B147, '기타(Z)'!X:X, B149)
  = 0,
  "",
  COUNTIFS('발전사업(A)'!C:C, $E$1, '발전사업(A)'!G:G, B147, '발전사업(A)'!X:X, B149)
  + COUNTIFS('자가소비(B)'!C:C, $E$1, '자가소비(B)'!G:G, B147, '자가소비(B)'!X:X, B149)
  + COUNTIFS('PPA 사업(C)'!C:C, $E$1, 'PPA 사업(C)'!G:G, B147, 'PPA 사업(C)'!X:X, B149)
  + COUNTIFS('리스사업(D)'!C:C, $E$1, '리스사업(D)'!G:G, B147, '리스사업(D)'!X:X, B149)
  + COUNTIFS('임대사업(E)'!C:C, $E$1, '임대사업(E)'!G:G, B147, '임대사업(E)'!X:X, B149)
  + COUNTIFS('환경부사업(F)'!C:C, $E$1, '환경부사업(F)'!G:G, B147, '환경부사업(F)'!X:X, B149)
  + COUNTIFS('프로젝트(G)'!C:C, $E$1, '프로젝트(G)'!G:G, B147, '프로젝트(G)'!X:X, B149)
  + COUNTIFS('협력사 EPC(H)'!C:C, $E$1, '협력사 EPC(H)'!G:G, B147, '협력사 EPC(H)'!X:X, B149)
  + COUNTIFS('기타(Z)'!C:C, $E$1, '기타(Z)'!G:G, B147, '기타(Z)'!X:X, B149)
)</f>
        <v/>
      </c>
      <c r="E149" s="262" t="str">
        <f>IF(
  SUM(
    SUMIFS('발전사업(A)'!I:I, '발전사업(A)'!C:C, $E$1, '발전사업(A)'!G:G, B147, '발전사업(A)'!X:X, B149, '발전사업(A)'!U:U, $C$1),
    SUMIFS('자가소비(B)'!I:I, '자가소비(B)'!C:C, $E$1, '자가소비(B)'!G:G, B147, '자가소비(B)'!X:X, B149, '자가소비(B)'!U:U, $C$1),
    SUMIFS('PPA 사업(C)'!I:I, 'PPA 사업(C)'!C:C, $E$1, 'PPA 사업(C)'!G:G, B147, 'PPA 사업(C)'!X:X, B149, 'PPA 사업(C)'!U:U, $C$1),
    SUMIFS('리스사업(D)'!I:I, '리스사업(D)'!C:C, $E$1, '리스사업(D)'!G:G, B147, '리스사업(D)'!X:X, B149, '리스사업(D)'!U:U, $C$1),
    SUMIFS('임대사업(E)'!I:I, '임대사업(E)'!C:C, $E$1, '임대사업(E)'!G:G, B147, '임대사업(E)'!X:X, B149, '임대사업(E)'!U:U, $C$1),
    SUMIFS('환경부사업(F)'!I:I, '환경부사업(F)'!C:C, $E$1, '환경부사업(F)'!G:G, B147, '환경부사업(F)'!X:X, B149, '환경부사업(F)'!U:U, $C$1),
    SUMIFS('프로젝트(G)'!I:I, '프로젝트(G)'!C:C, $E$1, '프로젝트(G)'!G:G, B147, '프로젝트(G)'!X:X, B149, '프로젝트(G)'!U:U, $C$1),
    SUMIFS('협력사 EPC(H)'!I:I, '협력사 EPC(H)'!C:C, $E$1, '협력사 EPC(H)'!G:G, B147, '협력사 EPC(H)'!X:X, B149, '협력사 EPC(H)'!U:U, $C$1),
    SUMIFS('기타(Z)'!I:I, '기타(Z)'!C:C, $E$1, '기타(Z)'!G:G, B147, '기타(Z)'!X:X, B149, '기타(Z)'!U:U, $C$1)
  ) = 0,
  "",
  SUM(
    SUMIFS('발전사업(A)'!I:I, '발전사업(A)'!C:C, $E$1, '발전사업(A)'!G:G, B147, '발전사업(A)'!X:X, B149, '발전사업(A)'!U:U, $C$1),
    SUMIFS('자가소비(B)'!I:I, '자가소비(B)'!C:C, $E$1, '자가소비(B)'!G:G, B147, '자가소비(B)'!X:X, B149, '자가소비(B)'!U:U, $C$1),
    SUMIFS('PPA 사업(C)'!I:I, 'PPA 사업(C)'!C:C, $E$1, 'PPA 사업(C)'!G:G, B147, 'PPA 사업(C)'!X:X, B149, 'PPA 사업(C)'!U:U, $C$1),
    SUMIFS('리스사업(D)'!I:I, '리스사업(D)'!C:C, $E$1, '리스사업(D)'!G:G, B147, '리스사업(D)'!X:X, B149, '리스사업(D)'!U:U, $C$1),
    SUMIFS('임대사업(E)'!I:I, '임대사업(E)'!C:C, $E$1, '임대사업(E)'!G:G, B147, '임대사업(E)'!X:X, B149, '임대사업(E)'!U:U, $C$1),
    SUMIFS('환경부사업(F)'!I:I, '환경부사업(F)'!C:C, $E$1, '환경부사업(F)'!G:G, B147, '환경부사업(F)'!X:X, B149, '환경부사업(F)'!U:U, $C$1),
    SUMIFS('프로젝트(G)'!I:I, '프로젝트(G)'!C:C, $E$1, '프로젝트(G)'!G:G, B147, '프로젝트(G)'!X:X, B149, '프로젝트(G)'!U:U, $C$1),
    SUMIFS('협력사 EPC(H)'!I:I, '협력사 EPC(H)'!C:C, $E$1, '협력사 EPC(H)'!G:G, B147, '협력사 EPC(H)'!X:X, B149, '협력사 EPC(H)'!U:U, $C$1),
    SUMIFS('기타(Z)'!I:I, '기타(Z)'!C:C, $E$1, '기타(Z)'!G:G, B147, '기타(Z)'!X:X, B149, '기타(Z)'!U:U, $C$1)
  )
)</f>
        <v/>
      </c>
      <c r="F149" s="263" t="str">
        <f>IF(
  SUM(
    COUNTIFS('발전사업(A)'!C:C, $E$1, '발전사업(A)'!G:G, B147, '발전사업(A)'!X:X, B149, '발전사업(A)'!U:U, $C$1),
    COUNTIFS('자가소비(B)'!C:C, $E$1, '자가소비(B)'!G:G, B147, '자가소비(B)'!X:X, B149, '자가소비(B)'!U:U, $C$1),
    COUNTIFS('PPA 사업(C)'!C:C, $E$1, 'PPA 사업(C)'!G:G, B147, 'PPA 사업(C)'!X:X, B149, 'PPA 사업(C)'!U:U, $C$1),
    COUNTIFS('리스사업(D)'!C:C, $E$1, '리스사업(D)'!G:G, B147, '리스사업(D)'!X:X, B149, '리스사업(D)'!U:U, $C$1),
    COUNTIFS('임대사업(E)'!C:C, $E$1, '임대사업(E)'!G:G, B147, '임대사업(E)'!X:X, B149, '임대사업(E)'!U:U, $C$1),
    COUNTIFS('환경부사업(F)'!C:C, $E$1, '환경부사업(F)'!G:G, B147, '환경부사업(F)'!X:X, B149, '환경부사업(F)'!U:U, $C$1),
    COUNTIFS('프로젝트(G)'!C:C, $E$1, '프로젝트(G)'!G:G, B147, '프로젝트(G)'!X:X, B149, '프로젝트(G)'!U:U, $C$1),
    COUNTIFS('협력사 EPC(H)'!C:C, $E$1, '협력사 EPC(H)'!G:G, B147, '협력사 EPC(H)'!X:X, B149, '협력사 EPC(H)'!U:U, $C$1),
    COUNTIFS('기타(Z)'!C:C, $E$1, '기타(Z)'!G:G, B147, '기타(Z)'!X:X, B149, '기타(Z)'!U:U, $C$1)
  ) = 0,
  "",
  SUM(
    COUNTIFS('발전사업(A)'!C:C, $E$1, '발전사업(A)'!G:G, B147, '발전사업(A)'!X:X, B149, '발전사업(A)'!U:U, $C$1),
    COUNTIFS('자가소비(B)'!C:C, $E$1, '자가소비(B)'!G:G, B147, '자가소비(B)'!X:X, B149, '자가소비(B)'!U:U, $C$1),
    COUNTIFS('PPA 사업(C)'!C:C, $E$1, 'PPA 사업(C)'!G:G, B147, 'PPA 사업(C)'!X:X, B149, 'PPA 사업(C)'!U:U, $C$1),
    COUNTIFS('리스사업(D)'!C:C, $E$1, '리스사업(D)'!G:G, B147, '리스사업(D)'!X:X, B149, '리스사업(D)'!U:U, $C$1),
    COUNTIFS('임대사업(E)'!C:C, $E$1, '임대사업(E)'!G:G, B147, '임대사업(E)'!X:X, B149, '임대사업(E)'!U:U, $C$1),
    COUNTIFS('환경부사업(F)'!C:C, $E$1, '환경부사업(F)'!G:G, B147, '환경부사업(F)'!X:X, B149, '환경부사업(F)'!U:U, $C$1),
    COUNTIFS('프로젝트(G)'!C:C, $E$1, '프로젝트(G)'!G:G, B147, '프로젝트(G)'!X:X, B149, '프로젝트(G)'!U:U, $C$1),
    COUNTIFS('협력사 EPC(H)'!C:C, $E$1, '협력사 EPC(H)'!G:G, B147, '협력사 EPC(H)'!X:X, B149, '협력사 EPC(H)'!U:U, $C$1),
    COUNTIFS('기타(Z)'!C:C, $E$1, '기타(Z)'!G:G, B147, '기타(Z)'!X:X, B149, '기타(Z)'!U:U, $C$1)
  )
)</f>
        <v/>
      </c>
      <c r="G149" s="262" t="str">
        <f>IF(
  SUM(
    SUMIFS('발전사업(A)'!I:I, '발전사업(A)'!C:C, $E$1, '발전사업(A)'!G:G, B147, '발전사업(A)'!X:X, B149, '발전사업(A)'!U:U, $D$1),
    SUMIFS('자가소비(B)'!I:I, '자가소비(B)'!C:C, $E$1, '자가소비(B)'!G:G, B147, '자가소비(B)'!X:X, B149, '자가소비(B)'!U:U, $D$1),
    SUMIFS('PPA 사업(C)'!I:I, 'PPA 사업(C)'!C:C, $E$1, 'PPA 사업(C)'!G:G, B147, 'PPA 사업(C)'!X:X, B149, 'PPA 사업(C)'!U:U, $D$1),
    SUMIFS('리스사업(D)'!I:I, '리스사업(D)'!C:C, $E$1, '리스사업(D)'!G:G, B147, '리스사업(D)'!X:X, B149, '리스사업(D)'!U:U, $D$1),
    SUMIFS('임대사업(E)'!I:I, '임대사업(E)'!C:C, $E$1, '임대사업(E)'!G:G, B147, '임대사업(E)'!X:X, B149, '임대사업(E)'!U:U, $D$1),
    SUMIFS('환경부사업(F)'!I:I, '환경부사업(F)'!C:C, $E$1, '환경부사업(F)'!G:G, B147, '환경부사업(F)'!X:X, B149, '환경부사업(F)'!U:U, $D$1),
    SUMIFS('프로젝트(G)'!I:I, '프로젝트(G)'!C:C, $E$1, '프로젝트(G)'!G:G, B147, '프로젝트(G)'!X:X, B149, '프로젝트(G)'!U:U, $D$1),
    SUMIFS('협력사 EPC(H)'!I:I, '협력사 EPC(H)'!C:C, $E$1, '협력사 EPC(H)'!G:G, B147, '협력사 EPC(H)'!X:X, B149, '협력사 EPC(H)'!U:U, $D$1),
    SUMIFS('기타(Z)'!I:I, '기타(Z)'!C:C, $E$1, '기타(Z)'!G:G, B147, '기타(Z)'!X:X, B149, '기타(Z)'!U:U, $D$1)
  ) = 0,
  "",
  SUM(
    SUMIFS('발전사업(A)'!I:I, '발전사업(A)'!C:C, $E$1, '발전사업(A)'!G:G, B147, '발전사업(A)'!X:X, B149, '발전사업(A)'!U:U, $D$1),
    SUMIFS('자가소비(B)'!I:I, '자가소비(B)'!C:C, $E$1, '자가소비(B)'!G:G, B147, '자가소비(B)'!X:X, B149, '자가소비(B)'!U:U, $D$1),
    SUMIFS('PPA 사업(C)'!I:I, 'PPA 사업(C)'!C:C, $E$1, 'PPA 사업(C)'!G:G, B147, 'PPA 사업(C)'!X:X, B149, 'PPA 사업(C)'!U:U, $D$1),
    SUMIFS('리스사업(D)'!I:I, '리스사업(D)'!C:C, $E$1, '리스사업(D)'!G:G, B147, '리스사업(D)'!X:X, B149, '리스사업(D)'!U:U, $D$1),
    SUMIFS('임대사업(E)'!I:I, '임대사업(E)'!C:C, $E$1, '임대사업(E)'!G:G, B147, '임대사업(E)'!X:X, B149, '임대사업(E)'!U:U, $D$1),
    SUMIFS('환경부사업(F)'!I:I, '환경부사업(F)'!C:C, $E$1, '환경부사업(F)'!G:G, B147, '환경부사업(F)'!X:X, B149, '환경부사업(F)'!U:U, $D$1),
    SUMIFS('프로젝트(G)'!I:I, '프로젝트(G)'!C:C, $E$1, '프로젝트(G)'!G:G, B147, '프로젝트(G)'!X:X, B149, '프로젝트(G)'!U:U, $D$1),
    SUMIFS('협력사 EPC(H)'!I:I, '협력사 EPC(H)'!C:C, $E$1, '협력사 EPC(H)'!G:G, B147, '협력사 EPC(H)'!X:X, B149, '협력사 EPC(H)'!U:U, $D$1),
    SUMIFS('기타(Z)'!I:I, '기타(Z)'!C:C, $E$1, '기타(Z)'!G:G, B147, '기타(Z)'!X:X, B149, '기타(Z)'!U:U, $D$1)
  )
)</f>
        <v/>
      </c>
      <c r="H149" s="263" t="str">
        <f>IF(
  (
    COUNTIFS('발전사업(A)'!C:C, $E$1, '발전사업(A)'!G:G, B147, '발전사업(A)'!X:X, B149, '발전사업(A)'!U:U, $D$1)
    + COUNTIFS('자가소비(B)'!C:C, $E$1, '자가소비(B)'!G:G, B147, '자가소비(B)'!X:X, B149, '자가소비(B)'!U:U, $D$1)
    + COUNTIFS('PPA 사업(C)'!C:C, $E$1, 'PPA 사업(C)'!G:G, B147, 'PPA 사업(C)'!X:X, B149, 'PPA 사업(C)'!U:U, $D$1)
    + COUNTIFS('리스사업(D)'!C:C, $E$1, '리스사업(D)'!G:G, B147, '리스사업(D)'!X:X, B149, '리스사업(D)'!U:U, $D$1)
    + COUNTIFS('임대사업(E)'!C:C, $E$1, '임대사업(E)'!G:G, B147, '임대사업(E)'!X:X, B149, '임대사업(E)'!U:U, $D$1)
    + COUNTIFS('환경부사업(F)'!C:C, $E$1, '환경부사업(F)'!G:G, B147, '환경부사업(F)'!X:X, B149, '환경부사업(F)'!U:U, $D$1)
    + COUNTIFS('프로젝트(G)'!C:C, $E$1, '프로젝트(G)'!G:G, B147, '프로젝트(G)'!X:X, B149, '프로젝트(G)'!U:U, $D$1)
    + COUNTIFS('협력사 EPC(H)'!C:C, $E$1, '협력사 EPC(H)'!G:G, B147, '협력사 EPC(H)'!X:X, B149, '협력사 EPC(H)'!U:U, $D$1)
    + COUNTIFS('기타(Z)'!C:C, $E$1, '기타(Z)'!G:G, B147, '기타(Z)'!X:X, B149, '기타(Z)'!U:U, $D$1)
  ) = 0,
  "",
  COUNTIFS('발전사업(A)'!C:C, $E$1, '발전사업(A)'!G:G, B147, '발전사업(A)'!X:X, B149, '발전사업(A)'!U:U, $D$1)
  + COUNTIFS('자가소비(B)'!C:C, $E$1, '자가소비(B)'!G:G, B147, '자가소비(B)'!X:X, B149, '자가소비(B)'!U:U, $D$1)
  + COUNTIFS('PPA 사업(C)'!C:C, $E$1, 'PPA 사업(C)'!G:G, B147, 'PPA 사업(C)'!X:X, B149, 'PPA 사업(C)'!U:U, $D$1)
  + COUNTIFS('리스사업(D)'!C:C, $E$1, '리스사업(D)'!G:G, B147, '리스사업(D)'!X:X, B149, '리스사업(D)'!U:U, $D$1)
  + COUNTIFS('임대사업(E)'!C:C, $E$1, '임대사업(E)'!G:G, B147, '임대사업(E)'!X:X, B149, '임대사업(E)'!U:U, $D$1)
  + COUNTIFS('환경부사업(F)'!C:C, $E$1, '환경부사업(F)'!G:G, B147, '환경부사업(F)'!X:X, B149, '환경부사업(F)'!U:U, $D$1)
  + COUNTIFS('프로젝트(G)'!C:C, $E$1, '프로젝트(G)'!G:G, B147, '프로젝트(G)'!X:X, B149, '프로젝트(G)'!U:U, $D$1)
  + COUNTIFS('협력사 EPC(H)'!C:C, $E$1, '협력사 EPC(H)'!G:G, B147, '협력사 EPC(H)'!X:X, B149, '협력사 EPC(H)'!U:U, $D$1)
  + COUNTIFS('기타(Z)'!C:C, $E$1, '기타(Z)'!G:G, B147, '기타(Z)'!X:X, B149, '기타(Z)'!U:U, $D$1)
)</f>
        <v/>
      </c>
    </row>
    <row r="150" spans="2:8" x14ac:dyDescent="0.25">
      <c r="B150" s="195" t="s">
        <v>153</v>
      </c>
      <c r="C150" s="262" t="str">
        <f>IF(
  SUM(
    SUMIFS('발전사업(A)'!I:I, '발전사업(A)'!C:C, $E$1, '발전사업(A)'!G:G, B147, '발전사업(A)'!X:X, B150),
    SUMIFS('자가소비(B)'!I:I, '자가소비(B)'!C:C, $E$1, '자가소비(B)'!G:G, B147, '자가소비(B)'!X:X, B150),
    SUMIFS('PPA 사업(C)'!I:I, 'PPA 사업(C)'!C:C, $E$1, 'PPA 사업(C)'!G:G, B147, 'PPA 사업(C)'!X:X, B150),
    SUMIFS('리스사업(D)'!I:I, '리스사업(D)'!C:C, $E$1, '리스사업(D)'!G:G, B147, '리스사업(D)'!X:X, B150),
    SUMIFS('임대사업(E)'!I:I, '임대사업(E)'!C:C, $E$1, '임대사업(E)'!G:G, B147, '임대사업(E)'!X:X, B150),
    SUMIFS('환경부사업(F)'!I:I, '환경부사업(F)'!C:C, $E$1, '환경부사업(F)'!G:G, B147, '환경부사업(F)'!X:X, B150),
    SUMIFS('프로젝트(G)'!I:I, '프로젝트(G)'!C:C, $E$1, '프로젝트(G)'!G:G, B147, '프로젝트(G)'!X:X, B150),
    SUMIFS('협력사 EPC(H)'!I:I, '협력사 EPC(H)'!C:C, $E$1, '협력사 EPC(H)'!G:G, B147, '협력사 EPC(H)'!X:X, B150),
    SUMIFS('기타(Z)'!I:I, '기타(Z)'!C:C, $E$1, '기타(Z)'!G:G, B147, '기타(Z)'!X:X, B150)
  ) = 0,
  "",
  SUMIFS('발전사업(A)'!I:I, '발전사업(A)'!C:C, $E$1, '발전사업(A)'!G:G, B147, '발전사업(A)'!X:X, B150)
  + SUMIFS('자가소비(B)'!I:I, '자가소비(B)'!C:C, $E$1, '자가소비(B)'!G:G, B147, '자가소비(B)'!X:X, B150)
  + SUMIFS('PPA 사업(C)'!I:I, 'PPA 사업(C)'!C:C, $E$1, 'PPA 사업(C)'!G:G, B147, 'PPA 사업(C)'!X:X, B150)
  + SUMIFS('리스사업(D)'!I:I, '리스사업(D)'!C:C, $E$1, '리스사업(D)'!G:G, B147, '리스사업(D)'!X:X, B150)
  + SUMIFS('임대사업(E)'!I:I, '임대사업(E)'!C:C, $E$1, '임대사업(E)'!G:G, B147, '임대사업(E)'!X:X, B150)
  + SUMIFS('환경부사업(F)'!I:I, '환경부사업(F)'!C:C, $E$1, '환경부사업(F)'!G:G, B147, '환경부사업(F)'!X:X, B150)
  + SUMIFS('프로젝트(G)'!I:I, '프로젝트(G)'!C:C, $E$1, '프로젝트(G)'!G:G, B147, '프로젝트(G)'!X:X, B150)
  + SUMIFS('협력사 EPC(H)'!I:I, '협력사 EPC(H)'!C:C, $E$1, '협력사 EPC(H)'!G:G, B147, '협력사 EPC(H)'!X:X, B150)
  + SUMIFS('기타(Z)'!I:I, '기타(Z)'!C:C, $E$1, '기타(Z)'!G:G, B147, '기타(Z)'!X:X, B150)
)</f>
        <v/>
      </c>
      <c r="D150" s="263" t="str">
        <f>IF(
  COUNTIFS('발전사업(A)'!C:C, $E$1, '발전사업(A)'!G:G, B147, '발전사업(A)'!X:X, B150)
  + COUNTIFS('자가소비(B)'!C:C, $E$1, '자가소비(B)'!G:G, B147, '자가소비(B)'!X:X, B150)
  + COUNTIFS('PPA 사업(C)'!C:C, $E$1, 'PPA 사업(C)'!G:G, B147, 'PPA 사업(C)'!X:X, B150)
  + COUNTIFS('리스사업(D)'!C:C, $E$1, '리스사업(D)'!G:G, B147, '리스사업(D)'!X:X, B150)
  + COUNTIFS('임대사업(E)'!C:C, $E$1, '임대사업(E)'!G:G, B147, '임대사업(E)'!X:X, B150)
  + COUNTIFS('환경부사업(F)'!C:C, $E$1, '환경부사업(F)'!G:G, B147, '환경부사업(F)'!X:X, B150)
  + COUNTIFS('프로젝트(G)'!C:C, $E$1, '프로젝트(G)'!G:G, B147, '프로젝트(G)'!X:X, B150)
  + COUNTIFS('협력사 EPC(H)'!C:C, $E$1, '협력사 EPC(H)'!G:G, B147, '협력사 EPC(H)'!X:X, B150)
  + COUNTIFS('기타(Z)'!C:C, $E$1, '기타(Z)'!G:G, B147, '기타(Z)'!X:X, B150)
  = 0,
  "",
  COUNTIFS('발전사업(A)'!C:C, $E$1, '발전사업(A)'!G:G, B147, '발전사업(A)'!X:X, B150)
  + COUNTIFS('자가소비(B)'!C:C, $E$1, '자가소비(B)'!G:G, B147, '자가소비(B)'!X:X, B150)
  + COUNTIFS('PPA 사업(C)'!C:C, $E$1, 'PPA 사업(C)'!G:G, B147, 'PPA 사업(C)'!X:X, B150)
  + COUNTIFS('리스사업(D)'!C:C, $E$1, '리스사업(D)'!G:G, B147, '리스사업(D)'!X:X, B150)
  + COUNTIFS('임대사업(E)'!C:C, $E$1, '임대사업(E)'!G:G, B147, '임대사업(E)'!X:X, B150)
  + COUNTIFS('환경부사업(F)'!C:C, $E$1, '환경부사업(F)'!G:G, B147, '환경부사업(F)'!X:X, B150)
  + COUNTIFS('프로젝트(G)'!C:C, $E$1, '프로젝트(G)'!G:G, B147, '프로젝트(G)'!X:X, B150)
  + COUNTIFS('협력사 EPC(H)'!C:C, $E$1, '협력사 EPC(H)'!G:G, B147, '협력사 EPC(H)'!X:X, B150)
  + COUNTIFS('기타(Z)'!C:C, $E$1, '기타(Z)'!G:G, B147, '기타(Z)'!X:X, B150)
)</f>
        <v/>
      </c>
      <c r="E150" s="262" t="str">
        <f>IF(
  SUM(
    SUMIFS('발전사업(A)'!I:I, '발전사업(A)'!C:C, $E$1, '발전사업(A)'!G:G, B147, '발전사업(A)'!X:X, B150, '발전사업(A)'!U:U, $C$1),
    SUMIFS('자가소비(B)'!I:I, '자가소비(B)'!C:C, $E$1, '자가소비(B)'!G:G, B147, '자가소비(B)'!X:X, B150, '자가소비(B)'!U:U, $C$1),
    SUMIFS('PPA 사업(C)'!I:I, 'PPA 사업(C)'!C:C, $E$1, 'PPA 사업(C)'!G:G, B147, 'PPA 사업(C)'!X:X, B150, 'PPA 사업(C)'!U:U, $C$1),
    SUMIFS('리스사업(D)'!I:I, '리스사업(D)'!C:C, $E$1, '리스사업(D)'!G:G, B147, '리스사업(D)'!X:X, B150, '리스사업(D)'!U:U, $C$1),
    SUMIFS('임대사업(E)'!I:I, '임대사업(E)'!C:C, $E$1, '임대사업(E)'!G:G, B147, '임대사업(E)'!X:X, B150, '임대사업(E)'!U:U, $C$1),
    SUMIFS('환경부사업(F)'!I:I, '환경부사업(F)'!C:C, $E$1, '환경부사업(F)'!G:G, B147, '환경부사업(F)'!X:X, B150, '환경부사업(F)'!U:U, $C$1),
    SUMIFS('프로젝트(G)'!I:I, '프로젝트(G)'!C:C, $E$1, '프로젝트(G)'!G:G, B147, '프로젝트(G)'!X:X, B150, '프로젝트(G)'!U:U, $C$1),
    SUMIFS('협력사 EPC(H)'!I:I, '협력사 EPC(H)'!C:C, $E$1, '협력사 EPC(H)'!G:G, B147, '협력사 EPC(H)'!X:X, B150, '협력사 EPC(H)'!U:U, $C$1),
    SUMIFS('기타(Z)'!I:I, '기타(Z)'!C:C, $E$1, '기타(Z)'!G:G, B147, '기타(Z)'!X:X, B150, '기타(Z)'!U:U, $C$1)
  ) = 0,
  "",
  SUM(
    SUMIFS('발전사업(A)'!I:I, '발전사업(A)'!C:C, $E$1, '발전사업(A)'!G:G, B147, '발전사업(A)'!X:X, B150, '발전사업(A)'!U:U, $C$1),
    SUMIFS('자가소비(B)'!I:I, '자가소비(B)'!C:C, $E$1, '자가소비(B)'!G:G, B147, '자가소비(B)'!X:X, B150, '자가소비(B)'!U:U, $C$1),
    SUMIFS('PPA 사업(C)'!I:I, 'PPA 사업(C)'!C:C, $E$1, 'PPA 사업(C)'!G:G, B147, 'PPA 사업(C)'!X:X, B150, 'PPA 사업(C)'!U:U, $C$1),
    SUMIFS('리스사업(D)'!I:I, '리스사업(D)'!C:C, $E$1, '리스사업(D)'!G:G, B147, '리스사업(D)'!X:X, B150, '리스사업(D)'!U:U, $C$1),
    SUMIFS('임대사업(E)'!I:I, '임대사업(E)'!C:C, $E$1, '임대사업(E)'!G:G, B147, '임대사업(E)'!X:X, B150, '임대사업(E)'!U:U, $C$1),
    SUMIFS('환경부사업(F)'!I:I, '환경부사업(F)'!C:C, $E$1, '환경부사업(F)'!G:G, B147, '환경부사업(F)'!X:X, B150, '환경부사업(F)'!U:U, $C$1),
    SUMIFS('프로젝트(G)'!I:I, '프로젝트(G)'!C:C, $E$1, '프로젝트(G)'!G:G, B147, '프로젝트(G)'!X:X, B150, '프로젝트(G)'!U:U, $C$1),
    SUMIFS('협력사 EPC(H)'!I:I, '협력사 EPC(H)'!C:C, $E$1, '협력사 EPC(H)'!G:G, B147, '협력사 EPC(H)'!X:X, B150, '협력사 EPC(H)'!U:U, $C$1),
    SUMIFS('기타(Z)'!I:I, '기타(Z)'!C:C, $E$1, '기타(Z)'!G:G, B147, '기타(Z)'!X:X, B150, '기타(Z)'!U:U, $C$1)
  )
)</f>
        <v/>
      </c>
      <c r="F150" s="263" t="str">
        <f>IF(
  SUM(
    COUNTIFS('발전사업(A)'!C:C, $E$1, '발전사업(A)'!G:G, B147, '발전사업(A)'!X:X, B150, '발전사업(A)'!U:U, $C$1),
    COUNTIFS('자가소비(B)'!C:C, $E$1, '자가소비(B)'!G:G, B147, '자가소비(B)'!X:X, B150, '자가소비(B)'!U:U, $C$1),
    COUNTIFS('PPA 사업(C)'!C:C, $E$1, 'PPA 사업(C)'!G:G, B147, 'PPA 사업(C)'!X:X, B150, 'PPA 사업(C)'!U:U, $C$1),
    COUNTIFS('리스사업(D)'!C:C, $E$1, '리스사업(D)'!G:G, B147, '리스사업(D)'!X:X, B150, '리스사업(D)'!U:U, $C$1),
    COUNTIFS('임대사업(E)'!C:C, $E$1, '임대사업(E)'!G:G, B147, '임대사업(E)'!X:X, B150, '임대사업(E)'!U:U, $C$1),
    COUNTIFS('환경부사업(F)'!C:C, $E$1, '환경부사업(F)'!G:G, B147, '환경부사업(F)'!X:X, B150, '환경부사업(F)'!U:U, $C$1),
    COUNTIFS('프로젝트(G)'!C:C, $E$1, '프로젝트(G)'!G:G, B147, '프로젝트(G)'!X:X, B150, '프로젝트(G)'!U:U, $C$1),
    COUNTIFS('협력사 EPC(H)'!C:C, $E$1, '협력사 EPC(H)'!G:G, B147, '협력사 EPC(H)'!X:X, B150, '협력사 EPC(H)'!U:U, $C$1),
    COUNTIFS('기타(Z)'!C:C, $E$1, '기타(Z)'!G:G, B147, '기타(Z)'!X:X, B150, '기타(Z)'!U:U, $C$1)
  ) = 0,
  "",
  SUM(
    COUNTIFS('발전사업(A)'!C:C, $E$1, '발전사업(A)'!G:G, B147, '발전사업(A)'!X:X, B150, '발전사업(A)'!U:U, $C$1),
    COUNTIFS('자가소비(B)'!C:C, $E$1, '자가소비(B)'!G:G, B147, '자가소비(B)'!X:X, B150, '자가소비(B)'!U:U, $C$1),
    COUNTIFS('PPA 사업(C)'!C:C, $E$1, 'PPA 사업(C)'!G:G, B147, 'PPA 사업(C)'!X:X, B150, 'PPA 사업(C)'!U:U, $C$1),
    COUNTIFS('리스사업(D)'!C:C, $E$1, '리스사업(D)'!G:G, B147, '리스사업(D)'!X:X, B150, '리스사업(D)'!U:U, $C$1),
    COUNTIFS('임대사업(E)'!C:C, $E$1, '임대사업(E)'!G:G, B147, '임대사업(E)'!X:X, B150, '임대사업(E)'!U:U, $C$1),
    COUNTIFS('환경부사업(F)'!C:C, $E$1, '환경부사업(F)'!G:G, B147, '환경부사업(F)'!X:X, B150, '환경부사업(F)'!U:U, $C$1),
    COUNTIFS('프로젝트(G)'!C:C, $E$1, '프로젝트(G)'!G:G, B147, '프로젝트(G)'!X:X, B150, '프로젝트(G)'!U:U, $C$1),
    COUNTIFS('협력사 EPC(H)'!C:C, $E$1, '협력사 EPC(H)'!G:G, B147, '협력사 EPC(H)'!X:X, B150, '협력사 EPC(H)'!U:U, $C$1),
    COUNTIFS('기타(Z)'!C:C, $E$1, '기타(Z)'!G:G, B147, '기타(Z)'!X:X, B150, '기타(Z)'!U:U, $C$1)
  )
)</f>
        <v/>
      </c>
      <c r="G150" s="262" t="str">
        <f>IF(
  SUM(
    SUMIFS('발전사업(A)'!I:I, '발전사업(A)'!C:C, $E$1, '발전사업(A)'!G:G, B147, '발전사업(A)'!X:X, B150, '발전사업(A)'!U:U, $D$1),
    SUMIFS('자가소비(B)'!I:I, '자가소비(B)'!C:C, $E$1, '자가소비(B)'!G:G, B147, '자가소비(B)'!X:X, B150, '자가소비(B)'!U:U, $D$1),
    SUMIFS('PPA 사업(C)'!I:I, 'PPA 사업(C)'!C:C, $E$1, 'PPA 사업(C)'!G:G, B147, 'PPA 사업(C)'!X:X, B150, 'PPA 사업(C)'!U:U, $D$1),
    SUMIFS('리스사업(D)'!I:I, '리스사업(D)'!C:C, $E$1, '리스사업(D)'!G:G, B147, '리스사업(D)'!X:X, B150, '리스사업(D)'!U:U, $D$1),
    SUMIFS('임대사업(E)'!I:I, '임대사업(E)'!C:C, $E$1, '임대사업(E)'!G:G, B147, '임대사업(E)'!X:X, B150, '임대사업(E)'!U:U, $D$1),
    SUMIFS('환경부사업(F)'!I:I, '환경부사업(F)'!C:C, $E$1, '환경부사업(F)'!G:G, B147, '환경부사업(F)'!X:X, B150, '환경부사업(F)'!U:U, $D$1),
    SUMIFS('프로젝트(G)'!I:I, '프로젝트(G)'!C:C, $E$1, '프로젝트(G)'!G:G, B147, '프로젝트(G)'!X:X, B150, '프로젝트(G)'!U:U, $D$1),
    SUMIFS('협력사 EPC(H)'!I:I, '협력사 EPC(H)'!C:C, $E$1, '협력사 EPC(H)'!G:G, B147, '협력사 EPC(H)'!X:X, B150, '협력사 EPC(H)'!U:U, $D$1),
    SUMIFS('기타(Z)'!I:I, '기타(Z)'!C:C, $E$1, '기타(Z)'!G:G, B147, '기타(Z)'!X:X, B150, '기타(Z)'!U:U, $D$1)
  ) = 0,
  "",
  SUM(
    SUMIFS('발전사업(A)'!I:I, '발전사업(A)'!C:C, $E$1, '발전사업(A)'!G:G, B147, '발전사업(A)'!X:X, B150, '발전사업(A)'!U:U, $D$1),
    SUMIFS('자가소비(B)'!I:I, '자가소비(B)'!C:C, $E$1, '자가소비(B)'!G:G, B147, '자가소비(B)'!X:X, B150, '자가소비(B)'!U:U, $D$1),
    SUMIFS('PPA 사업(C)'!I:I, 'PPA 사업(C)'!C:C, $E$1, 'PPA 사업(C)'!G:G, B147, 'PPA 사업(C)'!X:X, B150, 'PPA 사업(C)'!U:U, $D$1),
    SUMIFS('리스사업(D)'!I:I, '리스사업(D)'!C:C, $E$1, '리스사업(D)'!G:G, B147, '리스사업(D)'!X:X, B150, '리스사업(D)'!U:U, $D$1),
    SUMIFS('임대사업(E)'!I:I, '임대사업(E)'!C:C, $E$1, '임대사업(E)'!G:G, B147, '임대사업(E)'!X:X, B150, '임대사업(E)'!U:U, $D$1),
    SUMIFS('환경부사업(F)'!I:I, '환경부사업(F)'!C:C, $E$1, '환경부사업(F)'!G:G, B147, '환경부사업(F)'!X:X, B150, '환경부사업(F)'!U:U, $D$1),
    SUMIFS('프로젝트(G)'!I:I, '프로젝트(G)'!C:C, $E$1, '프로젝트(G)'!G:G, B147, '프로젝트(G)'!X:X, B150, '프로젝트(G)'!U:U, $D$1),
    SUMIFS('협력사 EPC(H)'!I:I, '협력사 EPC(H)'!C:C, $E$1, '협력사 EPC(H)'!G:G, B147, '협력사 EPC(H)'!X:X, B150, '협력사 EPC(H)'!U:U, $D$1),
    SUMIFS('기타(Z)'!I:I, '기타(Z)'!C:C, $E$1, '기타(Z)'!G:G, B147, '기타(Z)'!X:X, B150, '기타(Z)'!U:U, $D$1)
  )
)</f>
        <v/>
      </c>
      <c r="H150" s="263" t="str">
        <f>IF(
  (
    COUNTIFS('발전사업(A)'!C:C, $E$1, '발전사업(A)'!G:G, B147, '발전사업(A)'!X:X, B150, '발전사업(A)'!U:U, $D$1)
    + COUNTIFS('자가소비(B)'!C:C, $E$1, '자가소비(B)'!G:G, B147, '자가소비(B)'!X:X, B150, '자가소비(B)'!U:U, $D$1)
    + COUNTIFS('PPA 사업(C)'!C:C, $E$1, 'PPA 사업(C)'!G:G, B147, 'PPA 사업(C)'!X:X, B150, 'PPA 사업(C)'!U:U, $D$1)
    + COUNTIFS('리스사업(D)'!C:C, $E$1, '리스사업(D)'!G:G, B147, '리스사업(D)'!X:X, B150, '리스사업(D)'!U:U, $D$1)
    + COUNTIFS('임대사업(E)'!C:C, $E$1, '임대사업(E)'!G:G, B147, '임대사업(E)'!X:X, B150, '임대사업(E)'!U:U, $D$1)
    + COUNTIFS('환경부사업(F)'!C:C, $E$1, '환경부사업(F)'!G:G, B147, '환경부사업(F)'!X:X, B150, '환경부사업(F)'!U:U, $D$1)
    + COUNTIFS('프로젝트(G)'!C:C, $E$1, '프로젝트(G)'!G:G, B147, '프로젝트(G)'!X:X, B150, '프로젝트(G)'!U:U, $D$1)
    + COUNTIFS('협력사 EPC(H)'!C:C, $E$1, '협력사 EPC(H)'!G:G, B147, '협력사 EPC(H)'!X:X, B150, '협력사 EPC(H)'!U:U, $D$1)
    + COUNTIFS('기타(Z)'!C:C, $E$1, '기타(Z)'!G:G, B147, '기타(Z)'!X:X, B150, '기타(Z)'!U:U, $D$1)
  ) = 0,
  "",
  COUNTIFS('발전사업(A)'!C:C, $E$1, '발전사업(A)'!G:G, B147, '발전사업(A)'!X:X, B150, '발전사업(A)'!U:U, $D$1)
  + COUNTIFS('자가소비(B)'!C:C, $E$1, '자가소비(B)'!G:G, B147, '자가소비(B)'!X:X, B150, '자가소비(B)'!U:U, $D$1)
  + COUNTIFS('PPA 사업(C)'!C:C, $E$1, 'PPA 사업(C)'!G:G, B147, 'PPA 사업(C)'!X:X, B150, 'PPA 사업(C)'!U:U, $D$1)
  + COUNTIFS('리스사업(D)'!C:C, $E$1, '리스사업(D)'!G:G, B147, '리스사업(D)'!X:X, B150, '리스사업(D)'!U:U, $D$1)
  + COUNTIFS('임대사업(E)'!C:C, $E$1, '임대사업(E)'!G:G, B147, '임대사업(E)'!X:X, B150, '임대사업(E)'!U:U, $D$1)
  + COUNTIFS('환경부사업(F)'!C:C, $E$1, '환경부사업(F)'!G:G, B147, '환경부사업(F)'!X:X, B150, '환경부사업(F)'!U:U, $D$1)
  + COUNTIFS('프로젝트(G)'!C:C, $E$1, '프로젝트(G)'!G:G, B147, '프로젝트(G)'!X:X, B150, '프로젝트(G)'!U:U, $D$1)
  + COUNTIFS('협력사 EPC(H)'!C:C, $E$1, '협력사 EPC(H)'!G:G, B147, '협력사 EPC(H)'!X:X, B150, '협력사 EPC(H)'!U:U, $D$1)
  + COUNTIFS('기타(Z)'!C:C, $E$1, '기타(Z)'!G:G, B147, '기타(Z)'!X:X, B150, '기타(Z)'!U:U, $D$1)
)</f>
        <v/>
      </c>
    </row>
    <row r="151" spans="2:8" x14ac:dyDescent="0.25">
      <c r="B151" s="195" t="s">
        <v>154</v>
      </c>
      <c r="C151" s="262" t="str">
        <f>IF(
  SUM(
    SUMIFS('발전사업(A)'!I:I, '발전사업(A)'!C:C, $E$1, '발전사업(A)'!G:G, B147, '발전사업(A)'!X:X, B151),
    SUMIFS('자가소비(B)'!I:I, '자가소비(B)'!C:C, $E$1, '자가소비(B)'!G:G, B147, '자가소비(B)'!X:X, B151),
    SUMIFS('PPA 사업(C)'!I:I, 'PPA 사업(C)'!C:C, $E$1, 'PPA 사업(C)'!G:G, B147, 'PPA 사업(C)'!X:X, B151),
    SUMIFS('리스사업(D)'!I:I, '리스사업(D)'!C:C, $E$1, '리스사업(D)'!G:G, B147, '리스사업(D)'!X:X, B151),
    SUMIFS('임대사업(E)'!I:I, '임대사업(E)'!C:C, $E$1, '임대사업(E)'!G:G, B147, '임대사업(E)'!X:X, B151),
    SUMIFS('환경부사업(F)'!I:I, '환경부사업(F)'!C:C, $E$1, '환경부사업(F)'!G:G, B147, '환경부사업(F)'!X:X, B151),
    SUMIFS('프로젝트(G)'!I:I, '프로젝트(G)'!C:C, $E$1, '프로젝트(G)'!G:G, B147, '프로젝트(G)'!X:X, B151),
    SUMIFS('협력사 EPC(H)'!I:I, '협력사 EPC(H)'!C:C, $E$1, '협력사 EPC(H)'!G:G, B147, '협력사 EPC(H)'!X:X, B151),
    SUMIFS('기타(Z)'!I:I, '기타(Z)'!C:C, $E$1, '기타(Z)'!G:G, B147, '기타(Z)'!X:X, B151)
  ) = 0,
  "",
  SUMIFS('발전사업(A)'!I:I, '발전사업(A)'!C:C, $E$1, '발전사업(A)'!G:G, B147, '발전사업(A)'!X:X, B151)
  + SUMIFS('자가소비(B)'!I:I, '자가소비(B)'!C:C, $E$1, '자가소비(B)'!G:G, B147, '자가소비(B)'!X:X, B151)
  + SUMIFS('PPA 사업(C)'!I:I, 'PPA 사업(C)'!C:C, $E$1, 'PPA 사업(C)'!G:G, B147, 'PPA 사업(C)'!X:X, B151)
  + SUMIFS('리스사업(D)'!I:I, '리스사업(D)'!C:C, $E$1, '리스사업(D)'!G:G, B147, '리스사업(D)'!X:X, B151)
  + SUMIFS('임대사업(E)'!I:I, '임대사업(E)'!C:C, $E$1, '임대사업(E)'!G:G, B147, '임대사업(E)'!X:X, B151)
  + SUMIFS('환경부사업(F)'!I:I, '환경부사업(F)'!C:C, $E$1, '환경부사업(F)'!G:G, B147, '환경부사업(F)'!X:X, B151)
  + SUMIFS('프로젝트(G)'!I:I, '프로젝트(G)'!C:C, $E$1, '프로젝트(G)'!G:G, B147, '프로젝트(G)'!X:X, B151)
  + SUMIFS('협력사 EPC(H)'!I:I, '협력사 EPC(H)'!C:C, $E$1, '협력사 EPC(H)'!G:G, B147, '협력사 EPC(H)'!X:X, B151)
  + SUMIFS('기타(Z)'!I:I, '기타(Z)'!C:C, $E$1, '기타(Z)'!G:G, B147, '기타(Z)'!X:X, B151)
)</f>
        <v/>
      </c>
      <c r="D151" s="263" t="str">
        <f>IF(
  COUNTIFS('발전사업(A)'!C:C, $E$1, '발전사업(A)'!G:G, B147, '발전사업(A)'!X:X, B151)
  + COUNTIFS('자가소비(B)'!C:C, $E$1, '자가소비(B)'!G:G, B147, '자가소비(B)'!X:X, B151)
  + COUNTIFS('PPA 사업(C)'!C:C, $E$1, 'PPA 사업(C)'!G:G, B147, 'PPA 사업(C)'!X:X, B151)
  + COUNTIFS('리스사업(D)'!C:C, $E$1, '리스사업(D)'!G:G, B147, '리스사업(D)'!X:X, B151)
  + COUNTIFS('임대사업(E)'!C:C, $E$1, '임대사업(E)'!G:G, B147, '임대사업(E)'!X:X, B151)
  + COUNTIFS('환경부사업(F)'!C:C, $E$1, '환경부사업(F)'!G:G, B147, '환경부사업(F)'!X:X, B151)
  + COUNTIFS('프로젝트(G)'!C:C, $E$1, '프로젝트(G)'!G:G, B147, '프로젝트(G)'!X:X, B151)
  + COUNTIFS('협력사 EPC(H)'!C:C, $E$1, '협력사 EPC(H)'!G:G, B147, '협력사 EPC(H)'!X:X, B151)
  + COUNTIFS('기타(Z)'!C:C, $E$1, '기타(Z)'!G:G, B147, '기타(Z)'!X:X, B151)
  = 0,
  "",
  COUNTIFS('발전사업(A)'!C:C, $E$1, '발전사업(A)'!G:G, B147, '발전사업(A)'!X:X, B151)
  + COUNTIFS('자가소비(B)'!C:C, $E$1, '자가소비(B)'!G:G, B147, '자가소비(B)'!X:X, B151)
  + COUNTIFS('PPA 사업(C)'!C:C, $E$1, 'PPA 사업(C)'!G:G, B147, 'PPA 사업(C)'!X:X, B151)
  + COUNTIFS('리스사업(D)'!C:C, $E$1, '리스사업(D)'!G:G, B147, '리스사업(D)'!X:X, B151)
  + COUNTIFS('임대사업(E)'!C:C, $E$1, '임대사업(E)'!G:G, B147, '임대사업(E)'!X:X, B151)
  + COUNTIFS('환경부사업(F)'!C:C, $E$1, '환경부사업(F)'!G:G, B147, '환경부사업(F)'!X:X, B151)
  + COUNTIFS('프로젝트(G)'!C:C, $E$1, '프로젝트(G)'!G:G, B147, '프로젝트(G)'!X:X, B151)
  + COUNTIFS('협력사 EPC(H)'!C:C, $E$1, '협력사 EPC(H)'!G:G, B147, '협력사 EPC(H)'!X:X, B151)
  + COUNTIFS('기타(Z)'!C:C, $E$1, '기타(Z)'!G:G, B147, '기타(Z)'!X:X, B151)
)</f>
        <v/>
      </c>
      <c r="E151" s="262" t="str">
        <f>IF(
  SUM(
    SUMIFS('발전사업(A)'!I:I, '발전사업(A)'!C:C, $E$1, '발전사업(A)'!G:G, B147, '발전사업(A)'!X:X, B151, '발전사업(A)'!U:U, $C$1),
    SUMIFS('자가소비(B)'!I:I, '자가소비(B)'!C:C, $E$1, '자가소비(B)'!G:G, B147, '자가소비(B)'!X:X, B151, '자가소비(B)'!U:U, $C$1),
    SUMIFS('PPA 사업(C)'!I:I, 'PPA 사업(C)'!C:C, $E$1, 'PPA 사업(C)'!G:G, B147, 'PPA 사업(C)'!X:X, B151, 'PPA 사업(C)'!U:U, $C$1),
    SUMIFS('리스사업(D)'!I:I, '리스사업(D)'!C:C, $E$1, '리스사업(D)'!G:G, B147, '리스사업(D)'!X:X, B151, '리스사업(D)'!U:U, $C$1),
    SUMIFS('임대사업(E)'!I:I, '임대사업(E)'!C:C, $E$1, '임대사업(E)'!G:G, B147, '임대사업(E)'!X:X, B151, '임대사업(E)'!U:U, $C$1),
    SUMIFS('환경부사업(F)'!I:I, '환경부사업(F)'!C:C, $E$1, '환경부사업(F)'!G:G, B147, '환경부사업(F)'!X:X, B151, '환경부사업(F)'!U:U, $C$1),
    SUMIFS('프로젝트(G)'!I:I, '프로젝트(G)'!C:C, $E$1, '프로젝트(G)'!G:G, B147, '프로젝트(G)'!X:X, B151, '프로젝트(G)'!U:U, $C$1),
    SUMIFS('협력사 EPC(H)'!I:I, '협력사 EPC(H)'!C:C, $E$1, '협력사 EPC(H)'!G:G, B147, '협력사 EPC(H)'!X:X, B151, '협력사 EPC(H)'!U:U, $C$1),
    SUMIFS('기타(Z)'!I:I, '기타(Z)'!C:C, $E$1, '기타(Z)'!G:G, B147, '기타(Z)'!X:X, B151, '기타(Z)'!U:U, $C$1)
  ) = 0,
  "",
  SUM(
    SUMIFS('발전사업(A)'!I:I, '발전사업(A)'!C:C, $E$1, '발전사업(A)'!G:G, B147, '발전사업(A)'!X:X, B151, '발전사업(A)'!U:U, $C$1),
    SUMIFS('자가소비(B)'!I:I, '자가소비(B)'!C:C, $E$1, '자가소비(B)'!G:G, B147, '자가소비(B)'!X:X, B151, '자가소비(B)'!U:U, $C$1),
    SUMIFS('PPA 사업(C)'!I:I, 'PPA 사업(C)'!C:C, $E$1, 'PPA 사업(C)'!G:G, B147, 'PPA 사업(C)'!X:X, B151, 'PPA 사업(C)'!U:U, $C$1),
    SUMIFS('리스사업(D)'!I:I, '리스사업(D)'!C:C, $E$1, '리스사업(D)'!G:G, B147, '리스사업(D)'!X:X, B151, '리스사업(D)'!U:U, $C$1),
    SUMIFS('임대사업(E)'!I:I, '임대사업(E)'!C:C, $E$1, '임대사업(E)'!G:G, B147, '임대사업(E)'!X:X, B151, '임대사업(E)'!U:U, $C$1),
    SUMIFS('환경부사업(F)'!I:I, '환경부사업(F)'!C:C, $E$1, '환경부사업(F)'!G:G, B147, '환경부사업(F)'!X:X, B151, '환경부사업(F)'!U:U, $C$1),
    SUMIFS('프로젝트(G)'!I:I, '프로젝트(G)'!C:C, $E$1, '프로젝트(G)'!G:G, B147, '프로젝트(G)'!X:X, B151, '프로젝트(G)'!U:U, $C$1),
    SUMIFS('협력사 EPC(H)'!I:I, '협력사 EPC(H)'!C:C, $E$1, '협력사 EPC(H)'!G:G, B147, '협력사 EPC(H)'!X:X, B151, '협력사 EPC(H)'!U:U, $C$1),
    SUMIFS('기타(Z)'!I:I, '기타(Z)'!C:C, $E$1, '기타(Z)'!G:G, B147, '기타(Z)'!X:X, B151, '기타(Z)'!U:U, $C$1)
  )
)</f>
        <v/>
      </c>
      <c r="F151" s="263" t="str">
        <f>IF(
  SUM(
    COUNTIFS('발전사업(A)'!C:C, $E$1, '발전사업(A)'!G:G, B147, '발전사업(A)'!X:X, B151, '발전사업(A)'!U:U, $C$1),
    COUNTIFS('자가소비(B)'!C:C, $E$1, '자가소비(B)'!G:G, B147, '자가소비(B)'!X:X, B151, '자가소비(B)'!U:U, $C$1),
    COUNTIFS('PPA 사업(C)'!C:C, $E$1, 'PPA 사업(C)'!G:G, B147, 'PPA 사업(C)'!X:X, B151, 'PPA 사업(C)'!U:U, $C$1),
    COUNTIFS('리스사업(D)'!C:C, $E$1, '리스사업(D)'!G:G, B147, '리스사업(D)'!X:X, B151, '리스사업(D)'!U:U, $C$1),
    COUNTIFS('임대사업(E)'!C:C, $E$1, '임대사업(E)'!G:G, B147, '임대사업(E)'!X:X, B151, '임대사업(E)'!U:U, $C$1),
    COUNTIFS('환경부사업(F)'!C:C, $E$1, '환경부사업(F)'!G:G, B147, '환경부사업(F)'!X:X, B151, '환경부사업(F)'!U:U, $C$1),
    COUNTIFS('프로젝트(G)'!C:C, $E$1, '프로젝트(G)'!G:G, B147, '프로젝트(G)'!X:X, B151, '프로젝트(G)'!U:U, $C$1),
    COUNTIFS('협력사 EPC(H)'!C:C, $E$1, '협력사 EPC(H)'!G:G, B147, '협력사 EPC(H)'!X:X, B151, '협력사 EPC(H)'!U:U, $C$1),
    COUNTIFS('기타(Z)'!C:C, $E$1, '기타(Z)'!G:G, B147, '기타(Z)'!X:X, B151, '기타(Z)'!U:U, $C$1)
  ) = 0,
  "",
  SUM(
    COUNTIFS('발전사업(A)'!C:C, $E$1, '발전사업(A)'!G:G, B147, '발전사업(A)'!X:X, B151, '발전사업(A)'!U:U, $C$1),
    COUNTIFS('자가소비(B)'!C:C, $E$1, '자가소비(B)'!G:G, B147, '자가소비(B)'!X:X, B151, '자가소비(B)'!U:U, $C$1),
    COUNTIFS('PPA 사업(C)'!C:C, $E$1, 'PPA 사업(C)'!G:G, B147, 'PPA 사업(C)'!X:X, B151, 'PPA 사업(C)'!U:U, $C$1),
    COUNTIFS('리스사업(D)'!C:C, $E$1, '리스사업(D)'!G:G, B147, '리스사업(D)'!X:X, B151, '리스사업(D)'!U:U, $C$1),
    COUNTIFS('임대사업(E)'!C:C, $E$1, '임대사업(E)'!G:G, B147, '임대사업(E)'!X:X, B151, '임대사업(E)'!U:U, $C$1),
    COUNTIFS('환경부사업(F)'!C:C, $E$1, '환경부사업(F)'!G:G, B147, '환경부사업(F)'!X:X, B151, '환경부사업(F)'!U:U, $C$1),
    COUNTIFS('프로젝트(G)'!C:C, $E$1, '프로젝트(G)'!G:G, B147, '프로젝트(G)'!X:X, B151, '프로젝트(G)'!U:U, $C$1),
    COUNTIFS('협력사 EPC(H)'!C:C, $E$1, '협력사 EPC(H)'!G:G, B147, '협력사 EPC(H)'!X:X, B151, '협력사 EPC(H)'!U:U, $C$1),
    COUNTIFS('기타(Z)'!C:C, $E$1, '기타(Z)'!G:G, B147, '기타(Z)'!X:X, B151, '기타(Z)'!U:U, $C$1)
  )
)</f>
        <v/>
      </c>
      <c r="G151" s="262" t="str">
        <f>IF(
  SUM(
    SUMIFS('발전사업(A)'!I:I, '발전사업(A)'!C:C, $E$1, '발전사업(A)'!G:G, B147, '발전사업(A)'!X:X, B151, '발전사업(A)'!U:U, $D$1),
    SUMIFS('자가소비(B)'!I:I, '자가소비(B)'!C:C, $E$1, '자가소비(B)'!G:G, B147, '자가소비(B)'!X:X, B151, '자가소비(B)'!U:U, $D$1),
    SUMIFS('PPA 사업(C)'!I:I, 'PPA 사업(C)'!C:C, $E$1, 'PPA 사업(C)'!G:G, B147, 'PPA 사업(C)'!X:X, B151, 'PPA 사업(C)'!U:U, $D$1),
    SUMIFS('리스사업(D)'!I:I, '리스사업(D)'!C:C, $E$1, '리스사업(D)'!G:G, B147, '리스사업(D)'!X:X, B151, '리스사업(D)'!U:U, $D$1),
    SUMIFS('임대사업(E)'!I:I, '임대사업(E)'!C:C, $E$1, '임대사업(E)'!G:G, B147, '임대사업(E)'!X:X, B151, '임대사업(E)'!U:U, $D$1),
    SUMIFS('환경부사업(F)'!I:I, '환경부사업(F)'!C:C, $E$1, '환경부사업(F)'!G:G, B147, '환경부사업(F)'!X:X, B151, '환경부사업(F)'!U:U, $D$1),
    SUMIFS('프로젝트(G)'!I:I, '프로젝트(G)'!C:C, $E$1, '프로젝트(G)'!G:G, B147, '프로젝트(G)'!X:X, B151, '프로젝트(G)'!U:U, $D$1),
    SUMIFS('협력사 EPC(H)'!I:I, '협력사 EPC(H)'!C:C, $E$1, '협력사 EPC(H)'!G:G, B147, '협력사 EPC(H)'!X:X, B151, '협력사 EPC(H)'!U:U, $D$1),
    SUMIFS('기타(Z)'!I:I, '기타(Z)'!C:C, $E$1, '기타(Z)'!G:G, B147, '기타(Z)'!X:X, B151, '기타(Z)'!U:U, $D$1)
  ) = 0,
  "",
  SUM(
    SUMIFS('발전사업(A)'!I:I, '발전사업(A)'!C:C, $E$1, '발전사업(A)'!G:G, B147, '발전사업(A)'!X:X, B151, '발전사업(A)'!U:U, $D$1),
    SUMIFS('자가소비(B)'!I:I, '자가소비(B)'!C:C, $E$1, '자가소비(B)'!G:G, B147, '자가소비(B)'!X:X, B151, '자가소비(B)'!U:U, $D$1),
    SUMIFS('PPA 사업(C)'!I:I, 'PPA 사업(C)'!C:C, $E$1, 'PPA 사업(C)'!G:G, B147, 'PPA 사업(C)'!X:X, B151, 'PPA 사업(C)'!U:U, $D$1),
    SUMIFS('리스사업(D)'!I:I, '리스사업(D)'!C:C, $E$1, '리스사업(D)'!G:G, B147, '리스사업(D)'!X:X, B151, '리스사업(D)'!U:U, $D$1),
    SUMIFS('임대사업(E)'!I:I, '임대사업(E)'!C:C, $E$1, '임대사업(E)'!G:G, B147, '임대사업(E)'!X:X, B151, '임대사업(E)'!U:U, $D$1),
    SUMIFS('환경부사업(F)'!I:I, '환경부사업(F)'!C:C, $E$1, '환경부사업(F)'!G:G, B147, '환경부사업(F)'!X:X, B151, '환경부사업(F)'!U:U, $D$1),
    SUMIFS('프로젝트(G)'!I:I, '프로젝트(G)'!C:C, $E$1, '프로젝트(G)'!G:G, B147, '프로젝트(G)'!X:X, B151, '프로젝트(G)'!U:U, $D$1),
    SUMIFS('협력사 EPC(H)'!I:I, '협력사 EPC(H)'!C:C, $E$1, '협력사 EPC(H)'!G:G, B147, '협력사 EPC(H)'!X:X, B151, '협력사 EPC(H)'!U:U, $D$1),
    SUMIFS('기타(Z)'!I:I, '기타(Z)'!C:C, $E$1, '기타(Z)'!G:G, B147, '기타(Z)'!X:X, B151, '기타(Z)'!U:U, $D$1)
  )
)</f>
        <v/>
      </c>
      <c r="H151" s="263" t="str">
        <f>IF(
  (
    COUNTIFS('발전사업(A)'!C:C, $E$1, '발전사업(A)'!G:G, B147, '발전사업(A)'!X:X, B151, '발전사업(A)'!U:U, $D$1)
    + COUNTIFS('자가소비(B)'!C:C, $E$1, '자가소비(B)'!G:G, B147, '자가소비(B)'!X:X, B151, '자가소비(B)'!U:U, $D$1)
    + COUNTIFS('PPA 사업(C)'!C:C, $E$1, 'PPA 사업(C)'!G:G, B147, 'PPA 사업(C)'!X:X, B151, 'PPA 사업(C)'!U:U, $D$1)
    + COUNTIFS('리스사업(D)'!C:C, $E$1, '리스사업(D)'!G:G, B147, '리스사업(D)'!X:X, B151, '리스사업(D)'!U:U, $D$1)
    + COUNTIFS('임대사업(E)'!C:C, $E$1, '임대사업(E)'!G:G, B147, '임대사업(E)'!X:X, B151, '임대사업(E)'!U:U, $D$1)
    + COUNTIFS('환경부사업(F)'!C:C, $E$1, '환경부사업(F)'!G:G, B147, '환경부사업(F)'!X:X, B151, '환경부사업(F)'!U:U, $D$1)
    + COUNTIFS('프로젝트(G)'!C:C, $E$1, '프로젝트(G)'!G:G, B147, '프로젝트(G)'!X:X, B151, '프로젝트(G)'!U:U, $D$1)
    + COUNTIFS('협력사 EPC(H)'!C:C, $E$1, '협력사 EPC(H)'!G:G, B147, '협력사 EPC(H)'!X:X, B151, '협력사 EPC(H)'!U:U, $D$1)
    + COUNTIFS('기타(Z)'!C:C, $E$1, '기타(Z)'!G:G, B147, '기타(Z)'!X:X, B151, '기타(Z)'!U:U, $D$1)
  ) = 0,
  "",
  COUNTIFS('발전사업(A)'!C:C, $E$1, '발전사업(A)'!G:G, B147, '발전사업(A)'!X:X, B151, '발전사업(A)'!U:U, $D$1)
  + COUNTIFS('자가소비(B)'!C:C, $E$1, '자가소비(B)'!G:G, B147, '자가소비(B)'!X:X, B151, '자가소비(B)'!U:U, $D$1)
  + COUNTIFS('PPA 사업(C)'!C:C, $E$1, 'PPA 사업(C)'!G:G, B147, 'PPA 사업(C)'!X:X, B151, 'PPA 사업(C)'!U:U, $D$1)
  + COUNTIFS('리스사업(D)'!C:C, $E$1, '리스사업(D)'!G:G, B147, '리스사업(D)'!X:X, B151, '리스사업(D)'!U:U, $D$1)
  + COUNTIFS('임대사업(E)'!C:C, $E$1, '임대사업(E)'!G:G, B147, '임대사업(E)'!X:X, B151, '임대사업(E)'!U:U, $D$1)
  + COUNTIFS('환경부사업(F)'!C:C, $E$1, '환경부사업(F)'!G:G, B147, '환경부사업(F)'!X:X, B151, '환경부사업(F)'!U:U, $D$1)
  + COUNTIFS('프로젝트(G)'!C:C, $E$1, '프로젝트(G)'!G:G, B147, '프로젝트(G)'!X:X, B151, '프로젝트(G)'!U:U, $D$1)
  + COUNTIFS('협력사 EPC(H)'!C:C, $E$1, '협력사 EPC(H)'!G:G, B147, '협력사 EPC(H)'!X:X, B151, '협력사 EPC(H)'!U:U, $D$1)
  + COUNTIFS('기타(Z)'!C:C, $E$1, '기타(Z)'!G:G, B147, '기타(Z)'!X:X, B151, '기타(Z)'!U:U, $D$1)
)</f>
        <v/>
      </c>
    </row>
    <row r="152" spans="2:8" x14ac:dyDescent="0.25">
      <c r="B152" s="195" t="s">
        <v>155</v>
      </c>
      <c r="C152" s="262" t="str">
        <f>IF(
  SUM(
    SUMIFS('발전사업(A)'!I:I, '발전사업(A)'!C:C, $E$1, '발전사업(A)'!G:G, B147, '발전사업(A)'!X:X, B152),
    SUMIFS('자가소비(B)'!I:I, '자가소비(B)'!C:C, $E$1, '자가소비(B)'!G:G, B147, '자가소비(B)'!X:X, B152),
    SUMIFS('PPA 사업(C)'!I:I, 'PPA 사업(C)'!C:C, $E$1, 'PPA 사업(C)'!G:G, B147, 'PPA 사업(C)'!X:X, B152),
    SUMIFS('리스사업(D)'!I:I, '리스사업(D)'!C:C, $E$1, '리스사업(D)'!G:G, B147, '리스사업(D)'!X:X, B152),
    SUMIFS('임대사업(E)'!I:I, '임대사업(E)'!C:C, $E$1, '임대사업(E)'!G:G, B147, '임대사업(E)'!X:X, B152),
    SUMIFS('환경부사업(F)'!I:I, '환경부사업(F)'!C:C, $E$1, '환경부사업(F)'!G:G, B147, '환경부사업(F)'!X:X, B152),
    SUMIFS('프로젝트(G)'!I:I, '프로젝트(G)'!C:C, $E$1, '프로젝트(G)'!G:G, B147, '프로젝트(G)'!X:X, B152),
    SUMIFS('협력사 EPC(H)'!I:I, '협력사 EPC(H)'!C:C, $E$1, '협력사 EPC(H)'!G:G, B147, '협력사 EPC(H)'!X:X, B152),
    SUMIFS('기타(Z)'!I:I, '기타(Z)'!C:C, $E$1, '기타(Z)'!G:G, B147, '기타(Z)'!X:X, B152)
  ) = 0,
  "",
  SUMIFS('발전사업(A)'!I:I, '발전사업(A)'!C:C, $E$1, '발전사업(A)'!G:G, B147, '발전사업(A)'!X:X, B152)
  + SUMIFS('자가소비(B)'!I:I, '자가소비(B)'!C:C, $E$1, '자가소비(B)'!G:G, B147, '자가소비(B)'!X:X, B152)
  + SUMIFS('PPA 사업(C)'!I:I, 'PPA 사업(C)'!C:C, $E$1, 'PPA 사업(C)'!G:G, B147, 'PPA 사업(C)'!X:X, B152)
  + SUMIFS('리스사업(D)'!I:I, '리스사업(D)'!C:C, $E$1, '리스사업(D)'!G:G, B147, '리스사업(D)'!X:X, B152)
  + SUMIFS('임대사업(E)'!I:I, '임대사업(E)'!C:C, $E$1, '임대사업(E)'!G:G, B147, '임대사업(E)'!X:X, B152)
  + SUMIFS('환경부사업(F)'!I:I, '환경부사업(F)'!C:C, $E$1, '환경부사업(F)'!G:G, B147, '환경부사업(F)'!X:X, B152)
  + SUMIFS('프로젝트(G)'!I:I, '프로젝트(G)'!C:C, $E$1, '프로젝트(G)'!G:G, B147, '프로젝트(G)'!X:X, B152)
  + SUMIFS('협력사 EPC(H)'!I:I, '협력사 EPC(H)'!C:C, $E$1, '협력사 EPC(H)'!G:G, B147, '협력사 EPC(H)'!X:X, B152)
  + SUMIFS('기타(Z)'!I:I, '기타(Z)'!C:C, $E$1, '기타(Z)'!G:G, B147, '기타(Z)'!X:X, B152)
)</f>
        <v/>
      </c>
      <c r="D152" s="263" t="str">
        <f>IF(
  COUNTIFS('발전사업(A)'!C:C, $E$1, '발전사업(A)'!G:G, B147, '발전사업(A)'!X:X, B152)
  + COUNTIFS('자가소비(B)'!C:C, $E$1, '자가소비(B)'!G:G, B147, '자가소비(B)'!X:X, B152)
  + COUNTIFS('PPA 사업(C)'!C:C, $E$1, 'PPA 사업(C)'!G:G, B147, 'PPA 사업(C)'!X:X, B152)
  + COUNTIFS('리스사업(D)'!C:C, $E$1, '리스사업(D)'!G:G, B147, '리스사업(D)'!X:X, B152)
  + COUNTIFS('임대사업(E)'!C:C, $E$1, '임대사업(E)'!G:G, B147, '임대사업(E)'!X:X, B152)
  + COUNTIFS('환경부사업(F)'!C:C, $E$1, '환경부사업(F)'!G:G, B147, '환경부사업(F)'!X:X, B152)
  + COUNTIFS('프로젝트(G)'!C:C, $E$1, '프로젝트(G)'!G:G, B147, '프로젝트(G)'!X:X, B152)
  + COUNTIFS('협력사 EPC(H)'!C:C, $E$1, '협력사 EPC(H)'!G:G, B147, '협력사 EPC(H)'!X:X, B152)
  + COUNTIFS('기타(Z)'!C:C, $E$1, '기타(Z)'!G:G, B147, '기타(Z)'!X:X, B152)
  = 0,
  "",
  COUNTIFS('발전사업(A)'!C:C, $E$1, '발전사업(A)'!G:G, B147, '발전사업(A)'!X:X, B152)
  + COUNTIFS('자가소비(B)'!C:C, $E$1, '자가소비(B)'!G:G, B147, '자가소비(B)'!X:X, B152)
  + COUNTIFS('PPA 사업(C)'!C:C, $E$1, 'PPA 사업(C)'!G:G, B147, 'PPA 사업(C)'!X:X, B152)
  + COUNTIFS('리스사업(D)'!C:C, $E$1, '리스사업(D)'!G:G, B147, '리스사업(D)'!X:X, B152)
  + COUNTIFS('임대사업(E)'!C:C, $E$1, '임대사업(E)'!G:G, B147, '임대사업(E)'!X:X, B152)
  + COUNTIFS('환경부사업(F)'!C:C, $E$1, '환경부사업(F)'!G:G, B147, '환경부사업(F)'!X:X, B152)
  + COUNTIFS('프로젝트(G)'!C:C, $E$1, '프로젝트(G)'!G:G, B147, '프로젝트(G)'!X:X, B152)
  + COUNTIFS('협력사 EPC(H)'!C:C, $E$1, '협력사 EPC(H)'!G:G, B147, '협력사 EPC(H)'!X:X, B152)
  + COUNTIFS('기타(Z)'!C:C, $E$1, '기타(Z)'!G:G, B147, '기타(Z)'!X:X, B152)
)</f>
        <v/>
      </c>
      <c r="E152" s="262" t="str">
        <f>IF(
  SUM(
    SUMIFS('발전사업(A)'!I:I, '발전사업(A)'!C:C, $E$1, '발전사업(A)'!G:G, B147, '발전사업(A)'!X:X, B152, '발전사업(A)'!U:U, $C$1),
    SUMIFS('자가소비(B)'!I:I, '자가소비(B)'!C:C, $E$1, '자가소비(B)'!G:G, B147, '자가소비(B)'!X:X, B152, '자가소비(B)'!U:U, $C$1),
    SUMIFS('PPA 사업(C)'!I:I, 'PPA 사업(C)'!C:C, $E$1, 'PPA 사업(C)'!G:G, B147, 'PPA 사업(C)'!X:X, B152, 'PPA 사업(C)'!U:U, $C$1),
    SUMIFS('리스사업(D)'!I:I, '리스사업(D)'!C:C, $E$1, '리스사업(D)'!G:G, B147, '리스사업(D)'!X:X, B152, '리스사업(D)'!U:U, $C$1),
    SUMIFS('임대사업(E)'!I:I, '임대사업(E)'!C:C, $E$1, '임대사업(E)'!G:G, B147, '임대사업(E)'!X:X, B152, '임대사업(E)'!U:U, $C$1),
    SUMIFS('환경부사업(F)'!I:I, '환경부사업(F)'!C:C, $E$1, '환경부사업(F)'!G:G, B147, '환경부사업(F)'!X:X, B152, '환경부사업(F)'!U:U, $C$1),
    SUMIFS('프로젝트(G)'!I:I, '프로젝트(G)'!C:C, $E$1, '프로젝트(G)'!G:G, B147, '프로젝트(G)'!X:X, B152, '프로젝트(G)'!U:U, $C$1),
    SUMIFS('협력사 EPC(H)'!I:I, '협력사 EPC(H)'!C:C, $E$1, '협력사 EPC(H)'!G:G, B147, '협력사 EPC(H)'!X:X, B152, '협력사 EPC(H)'!U:U, $C$1),
    SUMIFS('기타(Z)'!I:I, '기타(Z)'!C:C, $E$1, '기타(Z)'!G:G, B147, '기타(Z)'!X:X, B152, '기타(Z)'!U:U, $C$1)
  ) = 0,
  "",
  SUM(
    SUMIFS('발전사업(A)'!I:I, '발전사업(A)'!C:C, $E$1, '발전사업(A)'!G:G, B147, '발전사업(A)'!X:X, B152, '발전사업(A)'!U:U, $C$1),
    SUMIFS('자가소비(B)'!I:I, '자가소비(B)'!C:C, $E$1, '자가소비(B)'!G:G, B147, '자가소비(B)'!X:X, B152, '자가소비(B)'!U:U, $C$1),
    SUMIFS('PPA 사업(C)'!I:I, 'PPA 사업(C)'!C:C, $E$1, 'PPA 사업(C)'!G:G, B147, 'PPA 사업(C)'!X:X, B152, 'PPA 사업(C)'!U:U, $C$1),
    SUMIFS('리스사업(D)'!I:I, '리스사업(D)'!C:C, $E$1, '리스사업(D)'!G:G, B147, '리스사업(D)'!X:X, B152, '리스사업(D)'!U:U, $C$1),
    SUMIFS('임대사업(E)'!I:I, '임대사업(E)'!C:C, $E$1, '임대사업(E)'!G:G, B147, '임대사업(E)'!X:X, B152, '임대사업(E)'!U:U, $C$1),
    SUMIFS('환경부사업(F)'!I:I, '환경부사업(F)'!C:C, $E$1, '환경부사업(F)'!G:G, B147, '환경부사업(F)'!X:X, B152, '환경부사업(F)'!U:U, $C$1),
    SUMIFS('프로젝트(G)'!I:I, '프로젝트(G)'!C:C, $E$1, '프로젝트(G)'!G:G, B147, '프로젝트(G)'!X:X, B152, '프로젝트(G)'!U:U, $C$1),
    SUMIFS('협력사 EPC(H)'!I:I, '협력사 EPC(H)'!C:C, $E$1, '협력사 EPC(H)'!G:G, B147, '협력사 EPC(H)'!X:X, B152, '협력사 EPC(H)'!U:U, $C$1),
    SUMIFS('기타(Z)'!I:I, '기타(Z)'!C:C, $E$1, '기타(Z)'!G:G, B147, '기타(Z)'!X:X, B152, '기타(Z)'!U:U, $C$1)
  )
)</f>
        <v/>
      </c>
      <c r="F152" s="263" t="str">
        <f>IF(
  SUM(
    COUNTIFS('발전사업(A)'!C:C, $E$1, '발전사업(A)'!G:G, B147, '발전사업(A)'!X:X, B152, '발전사업(A)'!U:U, $C$1),
    COUNTIFS('자가소비(B)'!C:C, $E$1, '자가소비(B)'!G:G, B147, '자가소비(B)'!X:X, B152, '자가소비(B)'!U:U, $C$1),
    COUNTIFS('PPA 사업(C)'!C:C, $E$1, 'PPA 사업(C)'!G:G, B147, 'PPA 사업(C)'!X:X, B152, 'PPA 사업(C)'!U:U, $C$1),
    COUNTIFS('리스사업(D)'!C:C, $E$1, '리스사업(D)'!G:G, B147, '리스사업(D)'!X:X, B152, '리스사업(D)'!U:U, $C$1),
    COUNTIFS('임대사업(E)'!C:C, $E$1, '임대사업(E)'!G:G, B147, '임대사업(E)'!X:X, B152, '임대사업(E)'!U:U, $C$1),
    COUNTIFS('환경부사업(F)'!C:C, $E$1, '환경부사업(F)'!G:G, B147, '환경부사업(F)'!X:X, B152, '환경부사업(F)'!U:U, $C$1),
    COUNTIFS('프로젝트(G)'!C:C, $E$1, '프로젝트(G)'!G:G, B147, '프로젝트(G)'!X:X, B152, '프로젝트(G)'!U:U, $C$1),
    COUNTIFS('협력사 EPC(H)'!C:C, $E$1, '협력사 EPC(H)'!G:G, B147, '협력사 EPC(H)'!X:X, B152, '협력사 EPC(H)'!U:U, $C$1),
    COUNTIFS('기타(Z)'!C:C, $E$1, '기타(Z)'!G:G, B147, '기타(Z)'!X:X, B152, '기타(Z)'!U:U, $C$1)
  ) = 0,
  "",
  SUM(
    COUNTIFS('발전사업(A)'!C:C, $E$1, '발전사업(A)'!G:G, B147, '발전사업(A)'!X:X, B152, '발전사업(A)'!U:U, $C$1),
    COUNTIFS('자가소비(B)'!C:C, $E$1, '자가소비(B)'!G:G, B147, '자가소비(B)'!X:X, B152, '자가소비(B)'!U:U, $C$1),
    COUNTIFS('PPA 사업(C)'!C:C, $E$1, 'PPA 사업(C)'!G:G, B147, 'PPA 사업(C)'!X:X, B152, 'PPA 사업(C)'!U:U, $C$1),
    COUNTIFS('리스사업(D)'!C:C, $E$1, '리스사업(D)'!G:G, B147, '리스사업(D)'!X:X, B152, '리스사업(D)'!U:U, $C$1),
    COUNTIFS('임대사업(E)'!C:C, $E$1, '임대사업(E)'!G:G, B147, '임대사업(E)'!X:X, B152, '임대사업(E)'!U:U, $C$1),
    COUNTIFS('환경부사업(F)'!C:C, $E$1, '환경부사업(F)'!G:G, B147, '환경부사업(F)'!X:X, B152, '환경부사업(F)'!U:U, $C$1),
    COUNTIFS('프로젝트(G)'!C:C, $E$1, '프로젝트(G)'!G:G, B147, '프로젝트(G)'!X:X, B152, '프로젝트(G)'!U:U, $C$1),
    COUNTIFS('협력사 EPC(H)'!C:C, $E$1, '협력사 EPC(H)'!G:G, B147, '협력사 EPC(H)'!X:X, B152, '협력사 EPC(H)'!U:U, $C$1),
    COUNTIFS('기타(Z)'!C:C, $E$1, '기타(Z)'!G:G, B147, '기타(Z)'!X:X, B152, '기타(Z)'!U:U, $C$1)
  )
)</f>
        <v/>
      </c>
      <c r="G152" s="262" t="str">
        <f>IF(
  SUM(
    SUMIFS('발전사업(A)'!I:I, '발전사업(A)'!C:C, $E$1, '발전사업(A)'!G:G, B147, '발전사업(A)'!X:X, B152, '발전사업(A)'!U:U, $D$1),
    SUMIFS('자가소비(B)'!I:I, '자가소비(B)'!C:C, $E$1, '자가소비(B)'!G:G, B147, '자가소비(B)'!X:X, B152, '자가소비(B)'!U:U, $D$1),
    SUMIFS('PPA 사업(C)'!I:I, 'PPA 사업(C)'!C:C, $E$1, 'PPA 사업(C)'!G:G, B147, 'PPA 사업(C)'!X:X, B152, 'PPA 사업(C)'!U:U, $D$1),
    SUMIFS('리스사업(D)'!I:I, '리스사업(D)'!C:C, $E$1, '리스사업(D)'!G:G, B147, '리스사업(D)'!X:X, B152, '리스사업(D)'!U:U, $D$1),
    SUMIFS('임대사업(E)'!I:I, '임대사업(E)'!C:C, $E$1, '임대사업(E)'!G:G, B147, '임대사업(E)'!X:X, B152, '임대사업(E)'!U:U, $D$1),
    SUMIFS('환경부사업(F)'!I:I, '환경부사업(F)'!C:C, $E$1, '환경부사업(F)'!G:G, B147, '환경부사업(F)'!X:X, B152, '환경부사업(F)'!U:U, $D$1),
    SUMIFS('프로젝트(G)'!I:I, '프로젝트(G)'!C:C, $E$1, '프로젝트(G)'!G:G, B147, '프로젝트(G)'!X:X, B152, '프로젝트(G)'!U:U, $D$1),
    SUMIFS('협력사 EPC(H)'!I:I, '협력사 EPC(H)'!C:C, $E$1, '협력사 EPC(H)'!G:G, B147, '협력사 EPC(H)'!X:X, B152, '협력사 EPC(H)'!U:U, $D$1),
    SUMIFS('기타(Z)'!I:I, '기타(Z)'!C:C, $E$1, '기타(Z)'!G:G, B147, '기타(Z)'!X:X, B152, '기타(Z)'!U:U, $D$1)
  ) = 0,
  "",
  SUM(
    SUMIFS('발전사업(A)'!I:I, '발전사업(A)'!C:C, $E$1, '발전사업(A)'!G:G, B147, '발전사업(A)'!X:X, B152, '발전사업(A)'!U:U, $D$1),
    SUMIFS('자가소비(B)'!I:I, '자가소비(B)'!C:C, $E$1, '자가소비(B)'!G:G, B147, '자가소비(B)'!X:X, B152, '자가소비(B)'!U:U, $D$1),
    SUMIFS('PPA 사업(C)'!I:I, 'PPA 사업(C)'!C:C, $E$1, 'PPA 사업(C)'!G:G, B147, 'PPA 사업(C)'!X:X, B152, 'PPA 사업(C)'!U:U, $D$1),
    SUMIFS('리스사업(D)'!I:I, '리스사업(D)'!C:C, $E$1, '리스사업(D)'!G:G, B147, '리스사업(D)'!X:X, B152, '리스사업(D)'!U:U, $D$1),
    SUMIFS('임대사업(E)'!I:I, '임대사업(E)'!C:C, $E$1, '임대사업(E)'!G:G, B147, '임대사업(E)'!X:X, B152, '임대사업(E)'!U:U, $D$1),
    SUMIFS('환경부사업(F)'!I:I, '환경부사업(F)'!C:C, $E$1, '환경부사업(F)'!G:G, B147, '환경부사업(F)'!X:X, B152, '환경부사업(F)'!U:U, $D$1),
    SUMIFS('프로젝트(G)'!I:I, '프로젝트(G)'!C:C, $E$1, '프로젝트(G)'!G:G, B147, '프로젝트(G)'!X:X, B152, '프로젝트(G)'!U:U, $D$1),
    SUMIFS('협력사 EPC(H)'!I:I, '협력사 EPC(H)'!C:C, $E$1, '협력사 EPC(H)'!G:G, B147, '협력사 EPC(H)'!X:X, B152, '협력사 EPC(H)'!U:U, $D$1),
    SUMIFS('기타(Z)'!I:I, '기타(Z)'!C:C, $E$1, '기타(Z)'!G:G, B147, '기타(Z)'!X:X, B152, '기타(Z)'!U:U, $D$1)
  )
)</f>
        <v/>
      </c>
      <c r="H152" s="263" t="str">
        <f>IF(
  (
    COUNTIFS('발전사업(A)'!C:C, $E$1, '발전사업(A)'!G:G, B147, '발전사업(A)'!X:X, B152, '발전사업(A)'!U:U, $D$1)
    + COUNTIFS('자가소비(B)'!C:C, $E$1, '자가소비(B)'!G:G, B147, '자가소비(B)'!X:X, B152, '자가소비(B)'!U:U, $D$1)
    + COUNTIFS('PPA 사업(C)'!C:C, $E$1, 'PPA 사업(C)'!G:G, B147, 'PPA 사업(C)'!X:X, B152, 'PPA 사업(C)'!U:U, $D$1)
    + COUNTIFS('리스사업(D)'!C:C, $E$1, '리스사업(D)'!G:G, B147, '리스사업(D)'!X:X, B152, '리스사업(D)'!U:U, $D$1)
    + COUNTIFS('임대사업(E)'!C:C, $E$1, '임대사업(E)'!G:G, B147, '임대사업(E)'!X:X, B152, '임대사업(E)'!U:U, $D$1)
    + COUNTIFS('환경부사업(F)'!C:C, $E$1, '환경부사업(F)'!G:G, B147, '환경부사업(F)'!X:X, B152, '환경부사업(F)'!U:U, $D$1)
    + COUNTIFS('프로젝트(G)'!C:C, $E$1, '프로젝트(G)'!G:G, B147, '프로젝트(G)'!X:X, B152, '프로젝트(G)'!U:U, $D$1)
    + COUNTIFS('협력사 EPC(H)'!C:C, $E$1, '협력사 EPC(H)'!G:G, B147, '협력사 EPC(H)'!X:X, B152, '협력사 EPC(H)'!U:U, $D$1)
    + COUNTIFS('기타(Z)'!C:C, $E$1, '기타(Z)'!G:G, B147, '기타(Z)'!X:X, B152, '기타(Z)'!U:U, $D$1)
  ) = 0,
  "",
  COUNTIFS('발전사업(A)'!C:C, $E$1, '발전사업(A)'!G:G, B147, '발전사업(A)'!X:X, B152, '발전사업(A)'!U:U, $D$1)
  + COUNTIFS('자가소비(B)'!C:C, $E$1, '자가소비(B)'!G:G, B147, '자가소비(B)'!X:X, B152, '자가소비(B)'!U:U, $D$1)
  + COUNTIFS('PPA 사업(C)'!C:C, $E$1, 'PPA 사업(C)'!G:G, B147, 'PPA 사업(C)'!X:X, B152, 'PPA 사업(C)'!U:U, $D$1)
  + COUNTIFS('리스사업(D)'!C:C, $E$1, '리스사업(D)'!G:G, B147, '리스사업(D)'!X:X, B152, '리스사업(D)'!U:U, $D$1)
  + COUNTIFS('임대사업(E)'!C:C, $E$1, '임대사업(E)'!G:G, B147, '임대사업(E)'!X:X, B152, '임대사업(E)'!U:U, $D$1)
  + COUNTIFS('환경부사업(F)'!C:C, $E$1, '환경부사업(F)'!G:G, B147, '환경부사업(F)'!X:X, B152, '환경부사업(F)'!U:U, $D$1)
  + COUNTIFS('프로젝트(G)'!C:C, $E$1, '프로젝트(G)'!G:G, B147, '프로젝트(G)'!X:X, B152, '프로젝트(G)'!U:U, $D$1)
  + COUNTIFS('협력사 EPC(H)'!C:C, $E$1, '협력사 EPC(H)'!G:G, B147, '협력사 EPC(H)'!X:X, B152, '협력사 EPC(H)'!U:U, $D$1)
  + COUNTIFS('기타(Z)'!C:C, $E$1, '기타(Z)'!G:G, B147, '기타(Z)'!X:X, B152, '기타(Z)'!U:U, $D$1)
)</f>
        <v/>
      </c>
    </row>
    <row r="153" spans="2:8" x14ac:dyDescent="0.25">
      <c r="B153" s="195" t="s">
        <v>156</v>
      </c>
      <c r="C153" s="262" t="str">
        <f>IF(
  SUM(
    SUMIFS('발전사업(A)'!I:I, '발전사업(A)'!C:C, $E$1, '발전사업(A)'!G:G, B147, '발전사업(A)'!X:X, B153),
    SUMIFS('자가소비(B)'!I:I, '자가소비(B)'!C:C, $E$1, '자가소비(B)'!G:G, B147, '자가소비(B)'!X:X, B153),
    SUMIFS('PPA 사업(C)'!I:I, 'PPA 사업(C)'!C:C, $E$1, 'PPA 사업(C)'!G:G, B147, 'PPA 사업(C)'!X:X, B153),
    SUMIFS('리스사업(D)'!I:I, '리스사업(D)'!C:C, $E$1, '리스사업(D)'!G:G, B147, '리스사업(D)'!X:X, B153),
    SUMIFS('임대사업(E)'!I:I, '임대사업(E)'!C:C, $E$1, '임대사업(E)'!G:G, B147, '임대사업(E)'!X:X, B153),
    SUMIFS('환경부사업(F)'!I:I, '환경부사업(F)'!C:C, $E$1, '환경부사업(F)'!G:G, B147, '환경부사업(F)'!X:X, B153),
    SUMIFS('프로젝트(G)'!I:I, '프로젝트(G)'!C:C, $E$1, '프로젝트(G)'!G:G, B147, '프로젝트(G)'!X:X, B153),
    SUMIFS('협력사 EPC(H)'!I:I, '협력사 EPC(H)'!C:C, $E$1, '협력사 EPC(H)'!G:G, B147, '협력사 EPC(H)'!X:X, B153),
    SUMIFS('기타(Z)'!I:I, '기타(Z)'!C:C, $E$1, '기타(Z)'!G:G, B147, '기타(Z)'!X:X, B153)
  ) = 0,
  "",
  SUMIFS('발전사업(A)'!I:I, '발전사업(A)'!C:C, $E$1, '발전사업(A)'!G:G, B147, '발전사업(A)'!X:X, B153)
  + SUMIFS('자가소비(B)'!I:I, '자가소비(B)'!C:C, $E$1, '자가소비(B)'!G:G, B147, '자가소비(B)'!X:X, B153)
  + SUMIFS('PPA 사업(C)'!I:I, 'PPA 사업(C)'!C:C, $E$1, 'PPA 사업(C)'!G:G, B147, 'PPA 사업(C)'!X:X, B153)
  + SUMIFS('리스사업(D)'!I:I, '리스사업(D)'!C:C, $E$1, '리스사업(D)'!G:G, B147, '리스사업(D)'!X:X, B153)
  + SUMIFS('임대사업(E)'!I:I, '임대사업(E)'!C:C, $E$1, '임대사업(E)'!G:G, B147, '임대사업(E)'!X:X, B153)
  + SUMIFS('환경부사업(F)'!I:I, '환경부사업(F)'!C:C, $E$1, '환경부사업(F)'!G:G, B147, '환경부사업(F)'!X:X, B153)
  + SUMIFS('프로젝트(G)'!I:I, '프로젝트(G)'!C:C, $E$1, '프로젝트(G)'!G:G, B147, '프로젝트(G)'!X:X, B153)
  + SUMIFS('협력사 EPC(H)'!I:I, '협력사 EPC(H)'!C:C, $E$1, '협력사 EPC(H)'!G:G, B147, '협력사 EPC(H)'!X:X, B153)
  + SUMIFS('기타(Z)'!I:I, '기타(Z)'!C:C, $E$1, '기타(Z)'!G:G, B147, '기타(Z)'!X:X, B153)
)</f>
        <v/>
      </c>
      <c r="D153" s="263" t="str">
        <f>IF(
  COUNTIFS('발전사업(A)'!C:C, $E$1, '발전사업(A)'!G:G, B147, '발전사업(A)'!X:X, B153)
  + COUNTIFS('자가소비(B)'!C:C, $E$1, '자가소비(B)'!G:G, B147, '자가소비(B)'!X:X, B153)
  + COUNTIFS('PPA 사업(C)'!C:C, $E$1, 'PPA 사업(C)'!G:G, B147, 'PPA 사업(C)'!X:X, B153)
  + COUNTIFS('리스사업(D)'!C:C, $E$1, '리스사업(D)'!G:G, B147, '리스사업(D)'!X:X, B153)
  + COUNTIFS('임대사업(E)'!C:C, $E$1, '임대사업(E)'!G:G, B147, '임대사업(E)'!X:X, B153)
  + COUNTIFS('환경부사업(F)'!C:C, $E$1, '환경부사업(F)'!G:G, B147, '환경부사업(F)'!X:X, B153)
  + COUNTIFS('프로젝트(G)'!C:C, $E$1, '프로젝트(G)'!G:G, B147, '프로젝트(G)'!X:X, B153)
  + COUNTIFS('협력사 EPC(H)'!C:C, $E$1, '협력사 EPC(H)'!G:G, B147, '협력사 EPC(H)'!X:X, B153)
  + COUNTIFS('기타(Z)'!C:C, $E$1, '기타(Z)'!G:G, B147, '기타(Z)'!X:X, B153)
  = 0,
  "",
  COUNTIFS('발전사업(A)'!C:C, $E$1, '발전사업(A)'!G:G, B147, '발전사업(A)'!X:X, B153)
  + COUNTIFS('자가소비(B)'!C:C, $E$1, '자가소비(B)'!G:G, B147, '자가소비(B)'!X:X, B153)
  + COUNTIFS('PPA 사업(C)'!C:C, $E$1, 'PPA 사업(C)'!G:G, B147, 'PPA 사업(C)'!X:X, B153)
  + COUNTIFS('리스사업(D)'!C:C, $E$1, '리스사업(D)'!G:G, B147, '리스사업(D)'!X:X, B153)
  + COUNTIFS('임대사업(E)'!C:C, $E$1, '임대사업(E)'!G:G, B147, '임대사업(E)'!X:X, B153)
  + COUNTIFS('환경부사업(F)'!C:C, $E$1, '환경부사업(F)'!G:G, B147, '환경부사업(F)'!X:X, B153)
  + COUNTIFS('프로젝트(G)'!C:C, $E$1, '프로젝트(G)'!G:G, B147, '프로젝트(G)'!X:X, B153)
  + COUNTIFS('협력사 EPC(H)'!C:C, $E$1, '협력사 EPC(H)'!G:G, B147, '협력사 EPC(H)'!X:X, B153)
  + COUNTIFS('기타(Z)'!C:C, $E$1, '기타(Z)'!G:G, B147, '기타(Z)'!X:X, B153)
)</f>
        <v/>
      </c>
      <c r="E153" s="262" t="str">
        <f>IF(
  SUM(
    SUMIFS('발전사업(A)'!I:I, '발전사업(A)'!C:C, $E$1, '발전사업(A)'!G:G, B147, '발전사업(A)'!X:X, B153, '발전사업(A)'!U:U, $C$1),
    SUMIFS('자가소비(B)'!I:I, '자가소비(B)'!C:C, $E$1, '자가소비(B)'!G:G, B147, '자가소비(B)'!X:X, B153, '자가소비(B)'!U:U, $C$1),
    SUMIFS('PPA 사업(C)'!I:I, 'PPA 사업(C)'!C:C, $E$1, 'PPA 사업(C)'!G:G, B147, 'PPA 사업(C)'!X:X, B153, 'PPA 사업(C)'!U:U, $C$1),
    SUMIFS('리스사업(D)'!I:I, '리스사업(D)'!C:C, $E$1, '리스사업(D)'!G:G, B147, '리스사업(D)'!X:X, B153, '리스사업(D)'!U:U, $C$1),
    SUMIFS('임대사업(E)'!I:I, '임대사업(E)'!C:C, $E$1, '임대사업(E)'!G:G, B147, '임대사업(E)'!X:X, B153, '임대사업(E)'!U:U, $C$1),
    SUMIFS('환경부사업(F)'!I:I, '환경부사업(F)'!C:C, $E$1, '환경부사업(F)'!G:G, B147, '환경부사업(F)'!X:X, B153, '환경부사업(F)'!U:U, $C$1),
    SUMIFS('프로젝트(G)'!I:I, '프로젝트(G)'!C:C, $E$1, '프로젝트(G)'!G:G, B147, '프로젝트(G)'!X:X, B153, '프로젝트(G)'!U:U, $C$1),
    SUMIFS('협력사 EPC(H)'!I:I, '협력사 EPC(H)'!C:C, $E$1, '협력사 EPC(H)'!G:G, B147, '협력사 EPC(H)'!X:X, B153, '협력사 EPC(H)'!U:U, $C$1),
    SUMIFS('기타(Z)'!I:I, '기타(Z)'!C:C, $E$1, '기타(Z)'!G:G, B147, '기타(Z)'!X:X, B153, '기타(Z)'!U:U, $C$1)
  ) = 0,
  "",
  SUM(
    SUMIFS('발전사업(A)'!I:I, '발전사업(A)'!C:C, $E$1, '발전사업(A)'!G:G, B147, '발전사업(A)'!X:X, B153, '발전사업(A)'!U:U, $C$1),
    SUMIFS('자가소비(B)'!I:I, '자가소비(B)'!C:C, $E$1, '자가소비(B)'!G:G, B147, '자가소비(B)'!X:X, B153, '자가소비(B)'!U:U, $C$1),
    SUMIFS('PPA 사업(C)'!I:I, 'PPA 사업(C)'!C:C, $E$1, 'PPA 사업(C)'!G:G, B147, 'PPA 사업(C)'!X:X, B153, 'PPA 사업(C)'!U:U, $C$1),
    SUMIFS('리스사업(D)'!I:I, '리스사업(D)'!C:C, $E$1, '리스사업(D)'!G:G, B147, '리스사업(D)'!X:X, B153, '리스사업(D)'!U:U, $C$1),
    SUMIFS('임대사업(E)'!I:I, '임대사업(E)'!C:C, $E$1, '임대사업(E)'!G:G, B147, '임대사업(E)'!X:X, B153, '임대사업(E)'!U:U, $C$1),
    SUMIFS('환경부사업(F)'!I:I, '환경부사업(F)'!C:C, $E$1, '환경부사업(F)'!G:G, B147, '환경부사업(F)'!X:X, B153, '환경부사업(F)'!U:U, $C$1),
    SUMIFS('프로젝트(G)'!I:I, '프로젝트(G)'!C:C, $E$1, '프로젝트(G)'!G:G, B147, '프로젝트(G)'!X:X, B153, '프로젝트(G)'!U:U, $C$1),
    SUMIFS('협력사 EPC(H)'!I:I, '협력사 EPC(H)'!C:C, $E$1, '협력사 EPC(H)'!G:G, B147, '협력사 EPC(H)'!X:X, B153, '협력사 EPC(H)'!U:U, $C$1),
    SUMIFS('기타(Z)'!I:I, '기타(Z)'!C:C, $E$1, '기타(Z)'!G:G, B147, '기타(Z)'!X:X, B153, '기타(Z)'!U:U, $C$1)
  )
)</f>
        <v/>
      </c>
      <c r="F153" s="263" t="str">
        <f>IF(
  SUM(
    COUNTIFS('발전사업(A)'!C:C, $E$1, '발전사업(A)'!G:G, B147, '발전사업(A)'!X:X, B153, '발전사업(A)'!U:U, $C$1),
    COUNTIFS('자가소비(B)'!C:C, $E$1, '자가소비(B)'!G:G, B147, '자가소비(B)'!X:X, B153, '자가소비(B)'!U:U, $C$1),
    COUNTIFS('PPA 사업(C)'!C:C, $E$1, 'PPA 사업(C)'!G:G, B147, 'PPA 사업(C)'!X:X, B153, 'PPA 사업(C)'!U:U, $C$1),
    COUNTIFS('리스사업(D)'!C:C, $E$1, '리스사업(D)'!G:G, B147, '리스사업(D)'!X:X, B153, '리스사업(D)'!U:U, $C$1),
    COUNTIFS('임대사업(E)'!C:C, $E$1, '임대사업(E)'!G:G, B147, '임대사업(E)'!X:X, B153, '임대사업(E)'!U:U, $C$1),
    COUNTIFS('환경부사업(F)'!C:C, $E$1, '환경부사업(F)'!G:G, B147, '환경부사업(F)'!X:X, B153, '환경부사업(F)'!U:U, $C$1),
    COUNTIFS('프로젝트(G)'!C:C, $E$1, '프로젝트(G)'!G:G, B147, '프로젝트(G)'!X:X, B153, '프로젝트(G)'!U:U, $C$1),
    COUNTIFS('협력사 EPC(H)'!C:C, $E$1, '협력사 EPC(H)'!G:G, B147, '협력사 EPC(H)'!X:X, B153, '협력사 EPC(H)'!U:U, $C$1),
    COUNTIFS('기타(Z)'!C:C, $E$1, '기타(Z)'!G:G, B147, '기타(Z)'!X:X, B153, '기타(Z)'!U:U, $C$1)
  ) = 0,
  "",
  SUM(
    COUNTIFS('발전사업(A)'!C:C, $E$1, '발전사업(A)'!G:G, B147, '발전사업(A)'!X:X, B153, '발전사업(A)'!U:U, $C$1),
    COUNTIFS('자가소비(B)'!C:C, $E$1, '자가소비(B)'!G:G, B147, '자가소비(B)'!X:X, B153, '자가소비(B)'!U:U, $C$1),
    COUNTIFS('PPA 사업(C)'!C:C, $E$1, 'PPA 사업(C)'!G:G, B147, 'PPA 사업(C)'!X:X, B153, 'PPA 사업(C)'!U:U, $C$1),
    COUNTIFS('리스사업(D)'!C:C, $E$1, '리스사업(D)'!G:G, B147, '리스사업(D)'!X:X, B153, '리스사업(D)'!U:U, $C$1),
    COUNTIFS('임대사업(E)'!C:C, $E$1, '임대사업(E)'!G:G, B147, '임대사업(E)'!X:X, B153, '임대사업(E)'!U:U, $C$1),
    COUNTIFS('환경부사업(F)'!C:C, $E$1, '환경부사업(F)'!G:G, B147, '환경부사업(F)'!X:X, B153, '환경부사업(F)'!U:U, $C$1),
    COUNTIFS('프로젝트(G)'!C:C, $E$1, '프로젝트(G)'!G:G, B147, '프로젝트(G)'!X:X, B153, '프로젝트(G)'!U:U, $C$1),
    COUNTIFS('협력사 EPC(H)'!C:C, $E$1, '협력사 EPC(H)'!G:G, B147, '협력사 EPC(H)'!X:X, B153, '협력사 EPC(H)'!U:U, $C$1),
    COUNTIFS('기타(Z)'!C:C, $E$1, '기타(Z)'!G:G, B147, '기타(Z)'!X:X, B153, '기타(Z)'!U:U, $C$1)
  )
)</f>
        <v/>
      </c>
      <c r="G153" s="262" t="str">
        <f>IF(
  SUM(
    SUMIFS('발전사업(A)'!I:I, '발전사업(A)'!C:C, $E$1, '발전사업(A)'!G:G, B147, '발전사업(A)'!X:X, B153, '발전사업(A)'!U:U, $D$1),
    SUMIFS('자가소비(B)'!I:I, '자가소비(B)'!C:C, $E$1, '자가소비(B)'!G:G, B147, '자가소비(B)'!X:X, B153, '자가소비(B)'!U:U, $D$1),
    SUMIFS('PPA 사업(C)'!I:I, 'PPA 사업(C)'!C:C, $E$1, 'PPA 사업(C)'!G:G, B147, 'PPA 사업(C)'!X:X, B153, 'PPA 사업(C)'!U:U, $D$1),
    SUMIFS('리스사업(D)'!I:I, '리스사업(D)'!C:C, $E$1, '리스사업(D)'!G:G, B147, '리스사업(D)'!X:X, B153, '리스사업(D)'!U:U, $D$1),
    SUMIFS('임대사업(E)'!I:I, '임대사업(E)'!C:C, $E$1, '임대사업(E)'!G:G, B147, '임대사업(E)'!X:X, B153, '임대사업(E)'!U:U, $D$1),
    SUMIFS('환경부사업(F)'!I:I, '환경부사업(F)'!C:C, $E$1, '환경부사업(F)'!G:G, B147, '환경부사업(F)'!X:X, B153, '환경부사업(F)'!U:U, $D$1),
    SUMIFS('프로젝트(G)'!I:I, '프로젝트(G)'!C:C, $E$1, '프로젝트(G)'!G:G, B147, '프로젝트(G)'!X:X, B153, '프로젝트(G)'!U:U, $D$1),
    SUMIFS('협력사 EPC(H)'!I:I, '협력사 EPC(H)'!C:C, $E$1, '협력사 EPC(H)'!G:G, B147, '협력사 EPC(H)'!X:X, B153, '협력사 EPC(H)'!U:U, $D$1),
    SUMIFS('기타(Z)'!I:I, '기타(Z)'!C:C, $E$1, '기타(Z)'!G:G, B147, '기타(Z)'!X:X, B153, '기타(Z)'!U:U, $D$1)
  ) = 0,
  "",
  SUM(
    SUMIFS('발전사업(A)'!I:I, '발전사업(A)'!C:C, $E$1, '발전사업(A)'!G:G, B147, '발전사업(A)'!X:X, B153, '발전사업(A)'!U:U, $D$1),
    SUMIFS('자가소비(B)'!I:I, '자가소비(B)'!C:C, $E$1, '자가소비(B)'!G:G, B147, '자가소비(B)'!X:X, B153, '자가소비(B)'!U:U, $D$1),
    SUMIFS('PPA 사업(C)'!I:I, 'PPA 사업(C)'!C:C, $E$1, 'PPA 사업(C)'!G:G, B147, 'PPA 사업(C)'!X:X, B153, 'PPA 사업(C)'!U:U, $D$1),
    SUMIFS('리스사업(D)'!I:I, '리스사업(D)'!C:C, $E$1, '리스사업(D)'!G:G, B147, '리스사업(D)'!X:X, B153, '리스사업(D)'!U:U, $D$1),
    SUMIFS('임대사업(E)'!I:I, '임대사업(E)'!C:C, $E$1, '임대사업(E)'!G:G, B147, '임대사업(E)'!X:X, B153, '임대사업(E)'!U:U, $D$1),
    SUMIFS('환경부사업(F)'!I:I, '환경부사업(F)'!C:C, $E$1, '환경부사업(F)'!G:G, B147, '환경부사업(F)'!X:X, B153, '환경부사업(F)'!U:U, $D$1),
    SUMIFS('프로젝트(G)'!I:I, '프로젝트(G)'!C:C, $E$1, '프로젝트(G)'!G:G, B147, '프로젝트(G)'!X:X, B153, '프로젝트(G)'!U:U, $D$1),
    SUMIFS('협력사 EPC(H)'!I:I, '협력사 EPC(H)'!C:C, $E$1, '협력사 EPC(H)'!G:G, B147, '협력사 EPC(H)'!X:X, B153, '협력사 EPC(H)'!U:U, $D$1),
    SUMIFS('기타(Z)'!I:I, '기타(Z)'!C:C, $E$1, '기타(Z)'!G:G, B147, '기타(Z)'!X:X, B153, '기타(Z)'!U:U, $D$1)
  )
)</f>
        <v/>
      </c>
      <c r="H153" s="263" t="str">
        <f>IF(
  (
    COUNTIFS('발전사업(A)'!C:C, $E$1, '발전사업(A)'!G:G, B147, '발전사업(A)'!X:X, B153, '발전사업(A)'!U:U, $D$1)
    + COUNTIFS('자가소비(B)'!C:C, $E$1, '자가소비(B)'!G:G, B147, '자가소비(B)'!X:X, B153, '자가소비(B)'!U:U, $D$1)
    + COUNTIFS('PPA 사업(C)'!C:C, $E$1, 'PPA 사업(C)'!G:G, B147, 'PPA 사업(C)'!X:X, B153, 'PPA 사업(C)'!U:U, $D$1)
    + COUNTIFS('리스사업(D)'!C:C, $E$1, '리스사업(D)'!G:G, B147, '리스사업(D)'!X:X, B153, '리스사업(D)'!U:U, $D$1)
    + COUNTIFS('임대사업(E)'!C:C, $E$1, '임대사업(E)'!G:G, B147, '임대사업(E)'!X:X, B153, '임대사업(E)'!U:U, $D$1)
    + COUNTIFS('환경부사업(F)'!C:C, $E$1, '환경부사업(F)'!G:G, B147, '환경부사업(F)'!X:X, B153, '환경부사업(F)'!U:U, $D$1)
    + COUNTIFS('프로젝트(G)'!C:C, $E$1, '프로젝트(G)'!G:G, B147, '프로젝트(G)'!X:X, B153, '프로젝트(G)'!U:U, $D$1)
    + COUNTIFS('협력사 EPC(H)'!C:C, $E$1, '협력사 EPC(H)'!G:G, B147, '협력사 EPC(H)'!X:X, B153, '협력사 EPC(H)'!U:U, $D$1)
    + COUNTIFS('기타(Z)'!C:C, $E$1, '기타(Z)'!G:G, B147, '기타(Z)'!X:X, B153, '기타(Z)'!U:U, $D$1)
  ) = 0,
  "",
  COUNTIFS('발전사업(A)'!C:C, $E$1, '발전사업(A)'!G:G, B147, '발전사업(A)'!X:X, B153, '발전사업(A)'!U:U, $D$1)
  + COUNTIFS('자가소비(B)'!C:C, $E$1, '자가소비(B)'!G:G, B147, '자가소비(B)'!X:X, B153, '자가소비(B)'!U:U, $D$1)
  + COUNTIFS('PPA 사업(C)'!C:C, $E$1, 'PPA 사업(C)'!G:G, B147, 'PPA 사업(C)'!X:X, B153, 'PPA 사업(C)'!U:U, $D$1)
  + COUNTIFS('리스사업(D)'!C:C, $E$1, '리스사업(D)'!G:G, B147, '리스사업(D)'!X:X, B153, '리스사업(D)'!U:U, $D$1)
  + COUNTIFS('임대사업(E)'!C:C, $E$1, '임대사업(E)'!G:G, B147, '임대사업(E)'!X:X, B153, '임대사업(E)'!U:U, $D$1)
  + COUNTIFS('환경부사업(F)'!C:C, $E$1, '환경부사업(F)'!G:G, B147, '환경부사업(F)'!X:X, B153, '환경부사업(F)'!U:U, $D$1)
  + COUNTIFS('프로젝트(G)'!C:C, $E$1, '프로젝트(G)'!G:G, B147, '프로젝트(G)'!X:X, B153, '프로젝트(G)'!U:U, $D$1)
  + COUNTIFS('협력사 EPC(H)'!C:C, $E$1, '협력사 EPC(H)'!G:G, B147, '협력사 EPC(H)'!X:X, B153, '협력사 EPC(H)'!U:U, $D$1)
  + COUNTIFS('기타(Z)'!C:C, $E$1, '기타(Z)'!G:G, B147, '기타(Z)'!X:X, B153, '기타(Z)'!U:U, $D$1)
)</f>
        <v/>
      </c>
    </row>
    <row r="154" spans="2:8" x14ac:dyDescent="0.25">
      <c r="B154" s="195" t="s">
        <v>157</v>
      </c>
      <c r="C154" s="262" t="str">
        <f>IF(
  SUM(
    SUMIFS('발전사업(A)'!I:I, '발전사업(A)'!C:C, $E$1, '발전사업(A)'!G:G, B147, '발전사업(A)'!X:X, B154),
    SUMIFS('자가소비(B)'!I:I, '자가소비(B)'!C:C, $E$1, '자가소비(B)'!G:G, B147, '자가소비(B)'!X:X, B154),
    SUMIFS('PPA 사업(C)'!I:I, 'PPA 사업(C)'!C:C, $E$1, 'PPA 사업(C)'!G:G, B147, 'PPA 사업(C)'!X:X, B154),
    SUMIFS('리스사업(D)'!I:I, '리스사업(D)'!C:C, $E$1, '리스사업(D)'!G:G, B147, '리스사업(D)'!X:X, B154),
    SUMIFS('임대사업(E)'!I:I, '임대사업(E)'!C:C, $E$1, '임대사업(E)'!G:G, B147, '임대사업(E)'!X:X, B154),
    SUMIFS('환경부사업(F)'!I:I, '환경부사업(F)'!C:C, $E$1, '환경부사업(F)'!G:G, B147, '환경부사업(F)'!X:X, B154),
    SUMIFS('프로젝트(G)'!I:I, '프로젝트(G)'!C:C, $E$1, '프로젝트(G)'!G:G, B147, '프로젝트(G)'!X:X, B154),
    SUMIFS('협력사 EPC(H)'!I:I, '협력사 EPC(H)'!C:C, $E$1, '협력사 EPC(H)'!G:G, B147, '협력사 EPC(H)'!X:X, B154),
    SUMIFS('기타(Z)'!I:I, '기타(Z)'!C:C, $E$1, '기타(Z)'!G:G, B147, '기타(Z)'!X:X, B154)
  ) = 0,
  "",
  SUMIFS('발전사업(A)'!I:I, '발전사업(A)'!C:C, $E$1, '발전사업(A)'!G:G, B147, '발전사업(A)'!X:X, B154)
  + SUMIFS('자가소비(B)'!I:I, '자가소비(B)'!C:C, $E$1, '자가소비(B)'!G:G, B147, '자가소비(B)'!X:X, B154)
  + SUMIFS('PPA 사업(C)'!I:I, 'PPA 사업(C)'!C:C, $E$1, 'PPA 사업(C)'!G:G, B147, 'PPA 사업(C)'!X:X, B154)
  + SUMIFS('리스사업(D)'!I:I, '리스사업(D)'!C:C, $E$1, '리스사업(D)'!G:G, B147, '리스사업(D)'!X:X, B154)
  + SUMIFS('임대사업(E)'!I:I, '임대사업(E)'!C:C, $E$1, '임대사업(E)'!G:G, B147, '임대사업(E)'!X:X, B154)
  + SUMIFS('환경부사업(F)'!I:I, '환경부사업(F)'!C:C, $E$1, '환경부사업(F)'!G:G, B147, '환경부사업(F)'!X:X, B154)
  + SUMIFS('프로젝트(G)'!I:I, '프로젝트(G)'!C:C, $E$1, '프로젝트(G)'!G:G, B147, '프로젝트(G)'!X:X, B154)
  + SUMIFS('협력사 EPC(H)'!I:I, '협력사 EPC(H)'!C:C, $E$1, '협력사 EPC(H)'!G:G, B147, '협력사 EPC(H)'!X:X, B154)
  + SUMIFS('기타(Z)'!I:I, '기타(Z)'!C:C, $E$1, '기타(Z)'!G:G, B147, '기타(Z)'!X:X, B154)
)</f>
        <v/>
      </c>
      <c r="D154" s="263" t="str">
        <f>IF(
  COUNTIFS('발전사업(A)'!C:C, $E$1, '발전사업(A)'!G:G, B147, '발전사업(A)'!X:X, B154)
  + COUNTIFS('자가소비(B)'!C:C, $E$1, '자가소비(B)'!G:G, B147, '자가소비(B)'!X:X, B154)
  + COUNTIFS('PPA 사업(C)'!C:C, $E$1, 'PPA 사업(C)'!G:G, B147, 'PPA 사업(C)'!X:X, B154)
  + COUNTIFS('리스사업(D)'!C:C, $E$1, '리스사업(D)'!G:G, B147, '리스사업(D)'!X:X, B154)
  + COUNTIFS('임대사업(E)'!C:C, $E$1, '임대사업(E)'!G:G, B147, '임대사업(E)'!X:X, B154)
  + COUNTIFS('환경부사업(F)'!C:C, $E$1, '환경부사업(F)'!G:G, B147, '환경부사업(F)'!X:X, B154)
  + COUNTIFS('프로젝트(G)'!C:C, $E$1, '프로젝트(G)'!G:G, B147, '프로젝트(G)'!X:X, B154)
  + COUNTIFS('협력사 EPC(H)'!C:C, $E$1, '협력사 EPC(H)'!G:G, B147, '협력사 EPC(H)'!X:X, B154)
  + COUNTIFS('기타(Z)'!C:C, $E$1, '기타(Z)'!G:G, B147, '기타(Z)'!X:X, B154)
  = 0,
  "",
  COUNTIFS('발전사업(A)'!C:C, $E$1, '발전사업(A)'!G:G, B147, '발전사업(A)'!X:X, B154)
  + COUNTIFS('자가소비(B)'!C:C, $E$1, '자가소비(B)'!G:G, B147, '자가소비(B)'!X:X, B154)
  + COUNTIFS('PPA 사업(C)'!C:C, $E$1, 'PPA 사업(C)'!G:G, B147, 'PPA 사업(C)'!X:X, B154)
  + COUNTIFS('리스사업(D)'!C:C, $E$1, '리스사업(D)'!G:G, B147, '리스사업(D)'!X:X, B154)
  + COUNTIFS('임대사업(E)'!C:C, $E$1, '임대사업(E)'!G:G, B147, '임대사업(E)'!X:X, B154)
  + COUNTIFS('환경부사업(F)'!C:C, $E$1, '환경부사업(F)'!G:G, B147, '환경부사업(F)'!X:X, B154)
  + COUNTIFS('프로젝트(G)'!C:C, $E$1, '프로젝트(G)'!G:G, B147, '프로젝트(G)'!X:X, B154)
  + COUNTIFS('협력사 EPC(H)'!C:C, $E$1, '협력사 EPC(H)'!G:G, B147, '협력사 EPC(H)'!X:X, B154)
  + COUNTIFS('기타(Z)'!C:C, $E$1, '기타(Z)'!G:G, B147, '기타(Z)'!X:X, B154)
)</f>
        <v/>
      </c>
      <c r="E154" s="262" t="str">
        <f>IF(
  SUM(
    SUMIFS('발전사업(A)'!I:I, '발전사업(A)'!C:C, $E$1, '발전사업(A)'!G:G, B147, '발전사업(A)'!X:X, B154, '발전사업(A)'!U:U, $C$1),
    SUMIFS('자가소비(B)'!I:I, '자가소비(B)'!C:C, $E$1, '자가소비(B)'!G:G, B147, '자가소비(B)'!X:X, B154, '자가소비(B)'!U:U, $C$1),
    SUMIFS('PPA 사업(C)'!I:I, 'PPA 사업(C)'!C:C, $E$1, 'PPA 사업(C)'!G:G, B147, 'PPA 사업(C)'!X:X, B154, 'PPA 사업(C)'!U:U, $C$1),
    SUMIFS('리스사업(D)'!I:I, '리스사업(D)'!C:C, $E$1, '리스사업(D)'!G:G, B147, '리스사업(D)'!X:X, B154, '리스사업(D)'!U:U, $C$1),
    SUMIFS('임대사업(E)'!I:I, '임대사업(E)'!C:C, $E$1, '임대사업(E)'!G:G, B147, '임대사업(E)'!X:X, B154, '임대사업(E)'!U:U, $C$1),
    SUMIFS('환경부사업(F)'!I:I, '환경부사업(F)'!C:C, $E$1, '환경부사업(F)'!G:G, B147, '환경부사업(F)'!X:X, B154, '환경부사업(F)'!U:U, $C$1),
    SUMIFS('프로젝트(G)'!I:I, '프로젝트(G)'!C:C, $E$1, '프로젝트(G)'!G:G, B147, '프로젝트(G)'!X:X, B154, '프로젝트(G)'!U:U, $C$1),
    SUMIFS('협력사 EPC(H)'!I:I, '협력사 EPC(H)'!C:C, $E$1, '협력사 EPC(H)'!G:G, B147, '협력사 EPC(H)'!X:X, B154, '협력사 EPC(H)'!U:U, $C$1),
    SUMIFS('기타(Z)'!I:I, '기타(Z)'!C:C, $E$1, '기타(Z)'!G:G, B147, '기타(Z)'!X:X, B154, '기타(Z)'!U:U, $C$1)
  ) = 0,
  "",
  SUM(
    SUMIFS('발전사업(A)'!I:I, '발전사업(A)'!C:C, $E$1, '발전사업(A)'!G:G, B147, '발전사업(A)'!X:X, B154, '발전사업(A)'!U:U, $C$1),
    SUMIFS('자가소비(B)'!I:I, '자가소비(B)'!C:C, $E$1, '자가소비(B)'!G:G, B147, '자가소비(B)'!X:X, B154, '자가소비(B)'!U:U, $C$1),
    SUMIFS('PPA 사업(C)'!I:I, 'PPA 사업(C)'!C:C, $E$1, 'PPA 사업(C)'!G:G, B147, 'PPA 사업(C)'!X:X, B154, 'PPA 사업(C)'!U:U, $C$1),
    SUMIFS('리스사업(D)'!I:I, '리스사업(D)'!C:C, $E$1, '리스사업(D)'!G:G, B147, '리스사업(D)'!X:X, B154, '리스사업(D)'!U:U, $C$1),
    SUMIFS('임대사업(E)'!I:I, '임대사업(E)'!C:C, $E$1, '임대사업(E)'!G:G, B147, '임대사업(E)'!X:X, B154, '임대사업(E)'!U:U, $C$1),
    SUMIFS('환경부사업(F)'!I:I, '환경부사업(F)'!C:C, $E$1, '환경부사업(F)'!G:G, B147, '환경부사업(F)'!X:X, B154, '환경부사업(F)'!U:U, $C$1),
    SUMIFS('프로젝트(G)'!I:I, '프로젝트(G)'!C:C, $E$1, '프로젝트(G)'!G:G, B147, '프로젝트(G)'!X:X, B154, '프로젝트(G)'!U:U, $C$1),
    SUMIFS('협력사 EPC(H)'!I:I, '협력사 EPC(H)'!C:C, $E$1, '협력사 EPC(H)'!G:G, B147, '협력사 EPC(H)'!X:X, B154, '협력사 EPC(H)'!U:U, $C$1),
    SUMIFS('기타(Z)'!I:I, '기타(Z)'!C:C, $E$1, '기타(Z)'!G:G, B147, '기타(Z)'!X:X, B154, '기타(Z)'!U:U, $C$1)
  )
)</f>
        <v/>
      </c>
      <c r="F154" s="263" t="str">
        <f>IF(
  SUM(
    COUNTIFS('발전사업(A)'!C:C, $E$1, '발전사업(A)'!G:G, B147, '발전사업(A)'!X:X, B154, '발전사업(A)'!U:U, $C$1),
    COUNTIFS('자가소비(B)'!C:C, $E$1, '자가소비(B)'!G:G, B147, '자가소비(B)'!X:X, B154, '자가소비(B)'!U:U, $C$1),
    COUNTIFS('PPA 사업(C)'!C:C, $E$1, 'PPA 사업(C)'!G:G, B147, 'PPA 사업(C)'!X:X, B154, 'PPA 사업(C)'!U:U, $C$1),
    COUNTIFS('리스사업(D)'!C:C, $E$1, '리스사업(D)'!G:G, B147, '리스사업(D)'!X:X, B154, '리스사업(D)'!U:U, $C$1),
    COUNTIFS('임대사업(E)'!C:C, $E$1, '임대사업(E)'!G:G, B147, '임대사업(E)'!X:X, B154, '임대사업(E)'!U:U, $C$1),
    COUNTIFS('환경부사업(F)'!C:C, $E$1, '환경부사업(F)'!G:G, B147, '환경부사업(F)'!X:X, B154, '환경부사업(F)'!U:U, $C$1),
    COUNTIFS('프로젝트(G)'!C:C, $E$1, '프로젝트(G)'!G:G, B147, '프로젝트(G)'!X:X, B154, '프로젝트(G)'!U:U, $C$1),
    COUNTIFS('협력사 EPC(H)'!C:C, $E$1, '협력사 EPC(H)'!G:G, B147, '협력사 EPC(H)'!X:X, B154, '협력사 EPC(H)'!U:U, $C$1),
    COUNTIFS('기타(Z)'!C:C, $E$1, '기타(Z)'!G:G, B147, '기타(Z)'!X:X, B154, '기타(Z)'!U:U, $C$1)
  ) = 0,
  "",
  SUM(
    COUNTIFS('발전사업(A)'!C:C, $E$1, '발전사업(A)'!G:G, B147, '발전사업(A)'!X:X, B154, '발전사업(A)'!U:U, $C$1),
    COUNTIFS('자가소비(B)'!C:C, $E$1, '자가소비(B)'!G:G, B147, '자가소비(B)'!X:X, B154, '자가소비(B)'!U:U, $C$1),
    COUNTIFS('PPA 사업(C)'!C:C, $E$1, 'PPA 사업(C)'!G:G, B147, 'PPA 사업(C)'!X:X, B154, 'PPA 사업(C)'!U:U, $C$1),
    COUNTIFS('리스사업(D)'!C:C, $E$1, '리스사업(D)'!G:G, B147, '리스사업(D)'!X:X, B154, '리스사업(D)'!U:U, $C$1),
    COUNTIFS('임대사업(E)'!C:C, $E$1, '임대사업(E)'!G:G, B147, '임대사업(E)'!X:X, B154, '임대사업(E)'!U:U, $C$1),
    COUNTIFS('환경부사업(F)'!C:C, $E$1, '환경부사업(F)'!G:G, B147, '환경부사업(F)'!X:X, B154, '환경부사업(F)'!U:U, $C$1),
    COUNTIFS('프로젝트(G)'!C:C, $E$1, '프로젝트(G)'!G:G, B147, '프로젝트(G)'!X:X, B154, '프로젝트(G)'!U:U, $C$1),
    COUNTIFS('협력사 EPC(H)'!C:C, $E$1, '협력사 EPC(H)'!G:G, B147, '협력사 EPC(H)'!X:X, B154, '협력사 EPC(H)'!U:U, $C$1),
    COUNTIFS('기타(Z)'!C:C, $E$1, '기타(Z)'!G:G, B147, '기타(Z)'!X:X, B154, '기타(Z)'!U:U, $C$1)
  )
)</f>
        <v/>
      </c>
      <c r="G154" s="262" t="str">
        <f>IF(
  SUM(
    SUMIFS('발전사업(A)'!I:I, '발전사업(A)'!C:C, $E$1, '발전사업(A)'!G:G, B147, '발전사업(A)'!X:X, B154, '발전사업(A)'!U:U, $D$1),
    SUMIFS('자가소비(B)'!I:I, '자가소비(B)'!C:C, $E$1, '자가소비(B)'!G:G, B147, '자가소비(B)'!X:X, B154, '자가소비(B)'!U:U, $D$1),
    SUMIFS('PPA 사업(C)'!I:I, 'PPA 사업(C)'!C:C, $E$1, 'PPA 사업(C)'!G:G, B147, 'PPA 사업(C)'!X:X, B154, 'PPA 사업(C)'!U:U, $D$1),
    SUMIFS('리스사업(D)'!I:I, '리스사업(D)'!C:C, $E$1, '리스사업(D)'!G:G, B147, '리스사업(D)'!X:X, B154, '리스사업(D)'!U:U, $D$1),
    SUMIFS('임대사업(E)'!I:I, '임대사업(E)'!C:C, $E$1, '임대사업(E)'!G:G, B147, '임대사업(E)'!X:X, B154, '임대사업(E)'!U:U, $D$1),
    SUMIFS('환경부사업(F)'!I:I, '환경부사업(F)'!C:C, $E$1, '환경부사업(F)'!G:G, B147, '환경부사업(F)'!X:X, B154, '환경부사업(F)'!U:U, $D$1),
    SUMIFS('프로젝트(G)'!I:I, '프로젝트(G)'!C:C, $E$1, '프로젝트(G)'!G:G, B147, '프로젝트(G)'!X:X, B154, '프로젝트(G)'!U:U, $D$1),
    SUMIFS('협력사 EPC(H)'!I:I, '협력사 EPC(H)'!C:C, $E$1, '협력사 EPC(H)'!G:G, B147, '협력사 EPC(H)'!X:X, B154, '협력사 EPC(H)'!U:U, $D$1),
    SUMIFS('기타(Z)'!I:I, '기타(Z)'!C:C, $E$1, '기타(Z)'!G:G, B147, '기타(Z)'!X:X, B154, '기타(Z)'!U:U, $D$1)
  ) = 0,
  "",
  SUM(
    SUMIFS('발전사업(A)'!I:I, '발전사업(A)'!C:C, $E$1, '발전사업(A)'!G:G, B147, '발전사업(A)'!X:X, B154, '발전사업(A)'!U:U, $D$1),
    SUMIFS('자가소비(B)'!I:I, '자가소비(B)'!C:C, $E$1, '자가소비(B)'!G:G, B147, '자가소비(B)'!X:X, B154, '자가소비(B)'!U:U, $D$1),
    SUMIFS('PPA 사업(C)'!I:I, 'PPA 사업(C)'!C:C, $E$1, 'PPA 사업(C)'!G:G, B147, 'PPA 사업(C)'!X:X, B154, 'PPA 사업(C)'!U:U, $D$1),
    SUMIFS('리스사업(D)'!I:I, '리스사업(D)'!C:C, $E$1, '리스사업(D)'!G:G, B147, '리스사업(D)'!X:X, B154, '리스사업(D)'!U:U, $D$1),
    SUMIFS('임대사업(E)'!I:I, '임대사업(E)'!C:C, $E$1, '임대사업(E)'!G:G, B147, '임대사업(E)'!X:X, B154, '임대사업(E)'!U:U, $D$1),
    SUMIFS('환경부사업(F)'!I:I, '환경부사업(F)'!C:C, $E$1, '환경부사업(F)'!G:G, B147, '환경부사업(F)'!X:X, B154, '환경부사업(F)'!U:U, $D$1),
    SUMIFS('프로젝트(G)'!I:I, '프로젝트(G)'!C:C, $E$1, '프로젝트(G)'!G:G, B147, '프로젝트(G)'!X:X, B154, '프로젝트(G)'!U:U, $D$1),
    SUMIFS('협력사 EPC(H)'!I:I, '협력사 EPC(H)'!C:C, $E$1, '협력사 EPC(H)'!G:G, B147, '협력사 EPC(H)'!X:X, B154, '협력사 EPC(H)'!U:U, $D$1),
    SUMIFS('기타(Z)'!I:I, '기타(Z)'!C:C, $E$1, '기타(Z)'!G:G, B147, '기타(Z)'!X:X, B154, '기타(Z)'!U:U, $D$1)
  )
)</f>
        <v/>
      </c>
      <c r="H154" s="263" t="str">
        <f>IF(
  (
    COUNTIFS('발전사업(A)'!C:C, $E$1, '발전사업(A)'!G:G, B147, '발전사업(A)'!X:X, B154, '발전사업(A)'!U:U, $D$1)
    + COUNTIFS('자가소비(B)'!C:C, $E$1, '자가소비(B)'!G:G, B147, '자가소비(B)'!X:X, B154, '자가소비(B)'!U:U, $D$1)
    + COUNTIFS('PPA 사업(C)'!C:C, $E$1, 'PPA 사업(C)'!G:G, B147, 'PPA 사업(C)'!X:X, B154, 'PPA 사업(C)'!U:U, $D$1)
    + COUNTIFS('리스사업(D)'!C:C, $E$1, '리스사업(D)'!G:G, B147, '리스사업(D)'!X:X, B154, '리스사업(D)'!U:U, $D$1)
    + COUNTIFS('임대사업(E)'!C:C, $E$1, '임대사업(E)'!G:G, B147, '임대사업(E)'!X:X, B154, '임대사업(E)'!U:U, $D$1)
    + COUNTIFS('환경부사업(F)'!C:C, $E$1, '환경부사업(F)'!G:G, B147, '환경부사업(F)'!X:X, B154, '환경부사업(F)'!U:U, $D$1)
    + COUNTIFS('프로젝트(G)'!C:C, $E$1, '프로젝트(G)'!G:G, B147, '프로젝트(G)'!X:X, B154, '프로젝트(G)'!U:U, $D$1)
    + COUNTIFS('협력사 EPC(H)'!C:C, $E$1, '협력사 EPC(H)'!G:G, B147, '협력사 EPC(H)'!X:X, B154, '협력사 EPC(H)'!U:U, $D$1)
    + COUNTIFS('기타(Z)'!C:C, $E$1, '기타(Z)'!G:G, $B147, '기타(Z)'!X:X, B154, '기타(Z)'!U:U, $D$1)
  ) = 0,
  "",
  COUNTIFS('발전사업(A)'!C:C, $E$1, '발전사업(A)'!G:G, B147, '발전사업(A)'!X:X, B154, '발전사업(A)'!U:U, $D$1)
  + COUNTIFS('자가소비(B)'!C:C, $E$1, '자가소비(B)'!G:G, B147, '자가소비(B)'!X:X, B154, '자가소비(B)'!U:U, $D$1)
  + COUNTIFS('PPA 사업(C)'!C:C, $E$1, 'PPA 사업(C)'!G:G, B147, 'PPA 사업(C)'!X:X, B154, 'PPA 사업(C)'!U:U, $D$1)
  + COUNTIFS('리스사업(D)'!C:C, $E$1, '리스사업(D)'!G:G, B147, '리스사업(D)'!X:X, B154, '리스사업(D)'!U:U, $D$1)
  + COUNTIFS('임대사업(E)'!C:C, $E$1, '임대사업(E)'!G:G, B147, '임대사업(E)'!X:X, B154, '임대사업(E)'!U:U, $D$1)
  + COUNTIFS('환경부사업(F)'!C:C, $E$1, '환경부사업(F)'!G:G, B147, '환경부사업(F)'!X:X, B154, '환경부사업(F)'!U:U, $D$1)
  + COUNTIFS('프로젝트(G)'!C:C, $E$1, '프로젝트(G)'!G:G, B147, '프로젝트(G)'!X:X, B154, '프로젝트(G)'!U:U, $D$1)
  + COUNTIFS('협력사 EPC(H)'!C:C, $E$1, '협력사 EPC(H)'!G:G, B147, '협력사 EPC(H)'!X:X, B154, '협력사 EPC(H)'!U:U, $D$1)
  + COUNTIFS('기타(Z)'!C:C, $E$1, '기타(Z)'!G:G, B147, '기타(Z)'!X:X, B154, '기타(Z)'!U:U, $D$1)
)</f>
        <v/>
      </c>
    </row>
    <row r="155" spans="2:8" x14ac:dyDescent="0.25">
      <c r="B155" s="195" t="s">
        <v>158</v>
      </c>
      <c r="C155" s="262" t="str">
        <f>IF(
  SUM(
    SUMIFS('발전사업(A)'!I:I, '발전사업(A)'!C:C, $E$1, '발전사업(A)'!G:G, B147, '발전사업(A)'!X:X, B155),
    SUMIFS('자가소비(B)'!I:I, '자가소비(B)'!C:C, $E$1, '자가소비(B)'!G:G, B147, '자가소비(B)'!X:X, B155),
    SUMIFS('PPA 사업(C)'!I:I, 'PPA 사업(C)'!C:C, $E$1, 'PPA 사업(C)'!G:G, B147, 'PPA 사업(C)'!X:X, B155),
    SUMIFS('리스사업(D)'!I:I, '리스사업(D)'!C:C, $E$1, '리스사업(D)'!G:G, B147, '리스사업(D)'!X:X, B155),
    SUMIFS('임대사업(E)'!I:I, '임대사업(E)'!C:C, $E$1, '임대사업(E)'!G:G, B147, '임대사업(E)'!X:X, B155),
    SUMIFS('환경부사업(F)'!I:I, '환경부사업(F)'!C:C, $E$1, '환경부사업(F)'!G:G, B147, '환경부사업(F)'!X:X, B155),
    SUMIFS('프로젝트(G)'!I:I, '프로젝트(G)'!C:C, $E$1, '프로젝트(G)'!G:G, B147, '프로젝트(G)'!X:X, B155),
    SUMIFS('협력사 EPC(H)'!I:I, '협력사 EPC(H)'!C:C, $E$1, '협력사 EPC(H)'!G:G, B147, '협력사 EPC(H)'!X:X, B155),
    SUMIFS('기타(Z)'!I:I, '기타(Z)'!C:C, $E$1, '기타(Z)'!G:G, B147, '기타(Z)'!X:X, B155)
  ) = 0,
  "",
  SUMIFS('발전사업(A)'!I:I, '발전사업(A)'!C:C, $E$1, '발전사업(A)'!G:G, B147, '발전사업(A)'!X:X, B155)
  + SUMIFS('자가소비(B)'!I:I, '자가소비(B)'!C:C, $E$1, '자가소비(B)'!G:G, B147, '자가소비(B)'!X:X, B155)
  + SUMIFS('PPA 사업(C)'!I:I, 'PPA 사업(C)'!C:C, $E$1, 'PPA 사업(C)'!G:G, B147, 'PPA 사업(C)'!X:X, B155)
  + SUMIFS('리스사업(D)'!I:I, '리스사업(D)'!C:C, $E$1, '리스사업(D)'!G:G, B147, '리스사업(D)'!X:X, B155)
  + SUMIFS('임대사업(E)'!I:I, '임대사업(E)'!C:C, $E$1, '임대사업(E)'!G:G, B147, '임대사업(E)'!X:X, B155)
  + SUMIFS('환경부사업(F)'!I:I, '환경부사업(F)'!C:C, $E$1, '환경부사업(F)'!G:G, B147, '환경부사업(F)'!X:X, B155)
  + SUMIFS('프로젝트(G)'!I:I, '프로젝트(G)'!C:C, $E$1, '프로젝트(G)'!G:G, B147, '프로젝트(G)'!X:X, B155)
  + SUMIFS('협력사 EPC(H)'!I:I, '협력사 EPC(H)'!C:C, $E$1, '협력사 EPC(H)'!G:G, B147, '협력사 EPC(H)'!X:X, B155)
  + SUMIFS('기타(Z)'!I:I, '기타(Z)'!C:C, $E$1, '기타(Z)'!G:G, B147, '기타(Z)'!X:X, B155)
)</f>
        <v/>
      </c>
      <c r="D155" s="263" t="str">
        <f>IF(
  COUNTIFS('발전사업(A)'!C:C, $E$1, '발전사업(A)'!G:G, B147, '발전사업(A)'!X:X, B155)
  + COUNTIFS('자가소비(B)'!C:C, $E$1, '자가소비(B)'!G:G, B147, '자가소비(B)'!X:X, B155)
  + COUNTIFS('PPA 사업(C)'!C:C, $E$1, 'PPA 사업(C)'!G:G, B147, 'PPA 사업(C)'!X:X, B155)
  + COUNTIFS('리스사업(D)'!C:C, $E$1, '리스사업(D)'!G:G, B147, '리스사업(D)'!X:X, B155)
  + COUNTIFS('임대사업(E)'!C:C, $E$1, '임대사업(E)'!G:G, B147, '임대사업(E)'!X:X, B155)
  + COUNTIFS('환경부사업(F)'!C:C, $E$1, '환경부사업(F)'!G:G, B147, '환경부사업(F)'!X:X, B155)
  + COUNTIFS('프로젝트(G)'!C:C, $E$1, '프로젝트(G)'!G:G, B147, '프로젝트(G)'!X:X, B155)
  + COUNTIFS('협력사 EPC(H)'!C:C, $E$1, '협력사 EPC(H)'!G:G, B147, '협력사 EPC(H)'!X:X, B155)
  + COUNTIFS('기타(Z)'!C:C, $E$1, '기타(Z)'!G:G, B147, '기타(Z)'!X:X, B155)
  = 0,
  "",
  COUNTIFS('발전사업(A)'!C:C, $E$1, '발전사업(A)'!G:G, B147, '발전사업(A)'!X:X, B155)
  + COUNTIFS('자가소비(B)'!C:C, $E$1, '자가소비(B)'!G:G, B147, '자가소비(B)'!X:X, B155)
  + COUNTIFS('PPA 사업(C)'!C:C, $E$1, 'PPA 사업(C)'!G:G, B147, 'PPA 사업(C)'!X:X, B155)
  + COUNTIFS('리스사업(D)'!C:C, $E$1, '리스사업(D)'!G:G, B147, '리스사업(D)'!X:X, B155)
  + COUNTIFS('임대사업(E)'!C:C, $E$1, '임대사업(E)'!G:G, B147, '임대사업(E)'!X:X, B155)
  + COUNTIFS('환경부사업(F)'!C:C, $E$1, '환경부사업(F)'!G:G, B147, '환경부사업(F)'!X:X, B155)
  + COUNTIFS('프로젝트(G)'!C:C, $E$1, '프로젝트(G)'!G:G, B147, '프로젝트(G)'!X:X, B155)
  + COUNTIFS('협력사 EPC(H)'!C:C, $E$1, '협력사 EPC(H)'!G:G, B147, '협력사 EPC(H)'!X:X, B155)
  + COUNTIFS('기타(Z)'!C:C, $E$1, '기타(Z)'!G:G, B147, '기타(Z)'!X:X, B155)
)</f>
        <v/>
      </c>
      <c r="E155" s="262" t="str">
        <f>IF(
  SUM(
    SUMIFS('발전사업(A)'!I:I, '발전사업(A)'!C:C, $E$1, '발전사업(A)'!G:G, B147, '발전사업(A)'!X:X, B155, '발전사업(A)'!U:U, $C$1),
    SUMIFS('자가소비(B)'!I:I, '자가소비(B)'!C:C, $E$1, '자가소비(B)'!G:G, B147, '자가소비(B)'!X:X, B155, '자가소비(B)'!U:U, $C$1),
    SUMIFS('PPA 사업(C)'!I:I, 'PPA 사업(C)'!C:C, $E$1, 'PPA 사업(C)'!G:G, B147, 'PPA 사업(C)'!X:X, B155, 'PPA 사업(C)'!U:U, $C$1),
    SUMIFS('리스사업(D)'!I:I, '리스사업(D)'!C:C, $E$1, '리스사업(D)'!G:G, B147, '리스사업(D)'!X:X, B155, '리스사업(D)'!U:U, $C$1),
    SUMIFS('임대사업(E)'!I:I, '임대사업(E)'!C:C, $E$1, '임대사업(E)'!G:G, B147, '임대사업(E)'!X:X, B155, '임대사업(E)'!U:U, $C$1),
    SUMIFS('환경부사업(F)'!I:I, '환경부사업(F)'!C:C, $E$1, '환경부사업(F)'!G:G, B147, '환경부사업(F)'!X:X, B155, '환경부사업(F)'!U:U, $C$1),
    SUMIFS('프로젝트(G)'!I:I, '프로젝트(G)'!C:C, $E$1, '프로젝트(G)'!G:G, B147, '프로젝트(G)'!X:X, B155, '프로젝트(G)'!U:U, $C$1),
    SUMIFS('협력사 EPC(H)'!I:I, '협력사 EPC(H)'!C:C, $E$1, '협력사 EPC(H)'!G:G, B147, '협력사 EPC(H)'!X:X, B155, '협력사 EPC(H)'!U:U, $C$1),
    SUMIFS('기타(Z)'!I:I, '기타(Z)'!C:C, $E$1, '기타(Z)'!G:G, B147, '기타(Z)'!X:X, B155, '기타(Z)'!U:U, $C$1)
  ) = 0,
  "",
  SUM(
    SUMIFS('발전사업(A)'!I:I, '발전사업(A)'!C:C, $E$1, '발전사업(A)'!G:G, B147, '발전사업(A)'!X:X, B155, '발전사업(A)'!U:U, $C$1),
    SUMIFS('자가소비(B)'!I:I, '자가소비(B)'!C:C, $E$1, '자가소비(B)'!G:G, B147, '자가소비(B)'!X:X, B155, '자가소비(B)'!U:U, $C$1),
    SUMIFS('PPA 사업(C)'!I:I, 'PPA 사업(C)'!C:C, $E$1, 'PPA 사업(C)'!G:G, B147, 'PPA 사업(C)'!X:X, B155, 'PPA 사업(C)'!U:U, $C$1),
    SUMIFS('리스사업(D)'!I:I, '리스사업(D)'!C:C, $E$1, '리스사업(D)'!G:G, B147, '리스사업(D)'!X:X, B155, '리스사업(D)'!U:U, $C$1),
    SUMIFS('임대사업(E)'!I:I, '임대사업(E)'!C:C, $E$1, '임대사업(E)'!G:G, B147, '임대사업(E)'!X:X, B155, '임대사업(E)'!U:U, $C$1),
    SUMIFS('환경부사업(F)'!I:I, '환경부사업(F)'!C:C, $E$1, '환경부사업(F)'!G:G, B147, '환경부사업(F)'!X:X, B155, '환경부사업(F)'!U:U, $C$1),
    SUMIFS('프로젝트(G)'!I:I, '프로젝트(G)'!C:C, $E$1, '프로젝트(G)'!G:G, B147, '프로젝트(G)'!X:X, B155, '프로젝트(G)'!U:U, $C$1),
    SUMIFS('협력사 EPC(H)'!I:I, '협력사 EPC(H)'!C:C, $E$1, '협력사 EPC(H)'!G:G, B147, '협력사 EPC(H)'!X:X, B155, '협력사 EPC(H)'!U:U, $C$1),
    SUMIFS('기타(Z)'!I:I, '기타(Z)'!C:C, $E$1, '기타(Z)'!G:G, B147, '기타(Z)'!X:X, B155, '기타(Z)'!U:U, $C$1)
  )
)</f>
        <v/>
      </c>
      <c r="F155" s="263" t="str">
        <f>IF(
  SUM(
    COUNTIFS('발전사업(A)'!C:C, $E$1, '발전사업(A)'!G:G, B147, '발전사업(A)'!X:X, B155, '발전사업(A)'!U:U, $C$1),
    COUNTIFS('자가소비(B)'!C:C, $E$1, '자가소비(B)'!G:G, B147, '자가소비(B)'!X:X, B155, '자가소비(B)'!U:U, $C$1),
    COUNTIFS('PPA 사업(C)'!C:C, $E$1, 'PPA 사업(C)'!G:G, B147, 'PPA 사업(C)'!X:X, B155, 'PPA 사업(C)'!U:U, $C$1),
    COUNTIFS('리스사업(D)'!C:C, $E$1, '리스사업(D)'!G:G, B147, '리스사업(D)'!X:X, B155, '리스사업(D)'!U:U, $C$1),
    COUNTIFS('임대사업(E)'!C:C, $E$1, '임대사업(E)'!G:G, B147, '임대사업(E)'!X:X, B155, '임대사업(E)'!U:U, $C$1),
    COUNTIFS('환경부사업(F)'!C:C, $E$1, '환경부사업(F)'!G:G, B147, '환경부사업(F)'!X:X, B155, '환경부사업(F)'!U:U, $C$1),
    COUNTIFS('프로젝트(G)'!C:C, $E$1, '프로젝트(G)'!G:G, B147, '프로젝트(G)'!X:X, B155, '프로젝트(G)'!U:U, $C$1),
    COUNTIFS('협력사 EPC(H)'!C:C, $E$1, '협력사 EPC(H)'!G:G, B147, '협력사 EPC(H)'!X:X, B155, '협력사 EPC(H)'!U:U, $C$1),
    COUNTIFS('기타(Z)'!C:C, $E$1, '기타(Z)'!G:G, B147, '기타(Z)'!X:X, B155, '기타(Z)'!U:U, $C$1)
  ) = 0,
  "",
  SUM(
    COUNTIFS('발전사업(A)'!C:C, $E$1, '발전사업(A)'!G:G, B147, '발전사업(A)'!X:X, B155, '발전사업(A)'!U:U, $C$1),
    COUNTIFS('자가소비(B)'!C:C, $E$1, '자가소비(B)'!G:G, B147, '자가소비(B)'!X:X, B155, '자가소비(B)'!U:U, $C$1),
    COUNTIFS('PPA 사업(C)'!C:C, $E$1, 'PPA 사업(C)'!G:G, B147, 'PPA 사업(C)'!X:X, B155, 'PPA 사업(C)'!U:U, $C$1),
    COUNTIFS('리스사업(D)'!C:C, $E$1, '리스사업(D)'!G:G, B147, '리스사업(D)'!X:X, B155, '리스사업(D)'!U:U, $C$1),
    COUNTIFS('임대사업(E)'!C:C, $E$1, '임대사업(E)'!G:G, B147, '임대사업(E)'!X:X, B155, '임대사업(E)'!U:U, $C$1),
    COUNTIFS('환경부사업(F)'!C:C, $E$1, '환경부사업(F)'!G:G, B147, '환경부사업(F)'!X:X, B155, '환경부사업(F)'!U:U, $C$1),
    COUNTIFS('프로젝트(G)'!C:C, $E$1, '프로젝트(G)'!G:G, B147, '프로젝트(G)'!X:X, B155, '프로젝트(G)'!U:U, $C$1),
    COUNTIFS('협력사 EPC(H)'!C:C, $E$1, '협력사 EPC(H)'!G:G, B147, '협력사 EPC(H)'!X:X, B155, '협력사 EPC(H)'!U:U, $C$1),
    COUNTIFS('기타(Z)'!C:C, $E$1, '기타(Z)'!G:G, B147, '기타(Z)'!X:X, B155, '기타(Z)'!U:U, $C$1)
  )
)</f>
        <v/>
      </c>
      <c r="G155" s="262" t="str">
        <f>IF(
  SUM(
    SUMIFS('발전사업(A)'!I:I, '발전사업(A)'!C:C, $E$1, '발전사업(A)'!G:G, B147, '발전사업(A)'!X:X, B155, '발전사업(A)'!U:U, $D$1),
    SUMIFS('자가소비(B)'!I:I, '자가소비(B)'!C:C, $E$1, '자가소비(B)'!G:G, B147, '자가소비(B)'!X:X, B155, '자가소비(B)'!U:U, $D$1),
    SUMIFS('PPA 사업(C)'!I:I, 'PPA 사업(C)'!C:C, $E$1, 'PPA 사업(C)'!G:G, B147, 'PPA 사업(C)'!X:X, B155, 'PPA 사업(C)'!U:U, $D$1),
    SUMIFS('리스사업(D)'!I:I, '리스사업(D)'!C:C, $E$1, '리스사업(D)'!G:G, B147, '리스사업(D)'!X:X, B155, '리스사업(D)'!U:U, $D$1),
    SUMIFS('임대사업(E)'!I:I, '임대사업(E)'!C:C, $E$1, '임대사업(E)'!G:G, B147, '임대사업(E)'!X:X, B155, '임대사업(E)'!U:U, $D$1),
    SUMIFS('환경부사업(F)'!I:I, '환경부사업(F)'!C:C, $E$1, '환경부사업(F)'!G:G, B147, '환경부사업(F)'!X:X, B155, '환경부사업(F)'!U:U, $D$1),
    SUMIFS('프로젝트(G)'!I:I, '프로젝트(G)'!C:C, $E$1, '프로젝트(G)'!G:G, B147, '프로젝트(G)'!X:X, B155, '프로젝트(G)'!U:U, $D$1),
    SUMIFS('협력사 EPC(H)'!I:I, '협력사 EPC(H)'!C:C, $E$1, '협력사 EPC(H)'!G:G, B147, '협력사 EPC(H)'!X:X, B155, '협력사 EPC(H)'!U:U, $D$1),
    SUMIFS('기타(Z)'!I:I, '기타(Z)'!C:C, $E$1, '기타(Z)'!G:G, B147, '기타(Z)'!X:X, B155, '기타(Z)'!U:U, $D$1)
  ) = 0,
  "",
  SUM(
    SUMIFS('발전사업(A)'!I:I, '발전사업(A)'!C:C, $E$1, '발전사업(A)'!G:G, B147, '발전사업(A)'!X:X, B155, '발전사업(A)'!U:U, $D$1),
    SUMIFS('자가소비(B)'!I:I, '자가소비(B)'!C:C, $E$1, '자가소비(B)'!G:G, B147, '자가소비(B)'!X:X, B155, '자가소비(B)'!U:U, $D$1),
    SUMIFS('PPA 사업(C)'!I:I, 'PPA 사업(C)'!C:C, $E$1, 'PPA 사업(C)'!G:G, B147, 'PPA 사업(C)'!X:X, B155, 'PPA 사업(C)'!U:U, $D$1),
    SUMIFS('리스사업(D)'!I:I, '리스사업(D)'!C:C, $E$1, '리스사업(D)'!G:G, B147, '리스사업(D)'!X:X, B155, '리스사업(D)'!U:U, $D$1),
    SUMIFS('임대사업(E)'!I:I, '임대사업(E)'!C:C, $E$1, '임대사업(E)'!G:G, B147, '임대사업(E)'!X:X, B155, '임대사업(E)'!U:U, $D$1),
    SUMIFS('환경부사업(F)'!I:I, '환경부사업(F)'!C:C, $E$1, '환경부사업(F)'!G:G, B147, '환경부사업(F)'!X:X, B155, '환경부사업(F)'!U:U, $D$1),
    SUMIFS('프로젝트(G)'!I:I, '프로젝트(G)'!C:C, $E$1, '프로젝트(G)'!G:G, B147, '프로젝트(G)'!X:X, B155, '프로젝트(G)'!U:U, $D$1),
    SUMIFS('협력사 EPC(H)'!I:I, '협력사 EPC(H)'!C:C, $E$1, '협력사 EPC(H)'!G:G, B147, '협력사 EPC(H)'!X:X, B155, '협력사 EPC(H)'!U:U, $D$1),
    SUMIFS('기타(Z)'!I:I, '기타(Z)'!C:C, $E$1, '기타(Z)'!G:G, B147, '기타(Z)'!X:X, B155, '기타(Z)'!U:U, $D$1)
  )
)</f>
        <v/>
      </c>
      <c r="H155" s="263" t="str">
        <f>IF(
  (
    COUNTIFS('발전사업(A)'!C:C, $E$1, '발전사업(A)'!G:G, B147, '발전사업(A)'!X:X, B155, '발전사업(A)'!U:U, $D$1)
    + COUNTIFS('자가소비(B)'!C:C, $E$1, '자가소비(B)'!G:G, B147, '자가소비(B)'!X:X, B155, '자가소비(B)'!U:U, $D$1)
    + COUNTIFS('PPA 사업(C)'!C:C, $E$1, 'PPA 사업(C)'!G:G, B147, 'PPA 사업(C)'!X:X, B155, 'PPA 사업(C)'!U:U, $D$1)
    + COUNTIFS('리스사업(D)'!C:C, $E$1, '리스사업(D)'!G:G, B147, '리스사업(D)'!X:X, B155, '리스사업(D)'!U:U, $D$1)
    + COUNTIFS('임대사업(E)'!C:C, $E$1, '임대사업(E)'!G:G, B147, '임대사업(E)'!X:X, B155, '임대사업(E)'!U:U, $D$1)
    + COUNTIFS('환경부사업(F)'!C:C, $E$1, '환경부사업(F)'!G:G, B147, '환경부사업(F)'!X:X, B155, '환경부사업(F)'!U:U, $D$1)
    + COUNTIFS('프로젝트(G)'!C:C, $E$1, '프로젝트(G)'!G:G, B147, '프로젝트(G)'!X:X, B155, '프로젝트(G)'!U:U, $D$1)
    + COUNTIFS('협력사 EPC(H)'!C:C, $E$1, '협력사 EPC(H)'!G:G, B147, '협력사 EPC(H)'!X:X, B155, '협력사 EPC(H)'!U:U, $D$1)
    + COUNTIFS('기타(Z)'!C:C, $E$1, '기타(Z)'!G:G, B147, '기타(Z)'!X:X, B155, '기타(Z)'!U:U, $D$1)
  ) = 0,
  "",
  COUNTIFS('발전사업(A)'!C:C, $E$1, '발전사업(A)'!G:G, B147, '발전사업(A)'!X:X, B155, '발전사업(A)'!U:U, $D$1)
  + COUNTIFS('자가소비(B)'!C:C, $E$1, '자가소비(B)'!G:G, B147, '자가소비(B)'!X:X, B155, '자가소비(B)'!U:U, $D$1)
  + COUNTIFS('PPA 사업(C)'!C:C, $E$1, 'PPA 사업(C)'!G:G, B147, 'PPA 사업(C)'!X:X, B155, 'PPA 사업(C)'!U:U, $D$1)
  + COUNTIFS('리스사업(D)'!C:C, $E$1, '리스사업(D)'!G:G, B147, '리스사업(D)'!X:X, B155, '리스사업(D)'!U:U, $D$1)
  + COUNTIFS('임대사업(E)'!C:C, $E$1, '임대사업(E)'!G:G, B147, '임대사업(E)'!X:X, B155, '임대사업(E)'!U:U, $D$1)
  + COUNTIFS('환경부사업(F)'!C:C, $E$1, '환경부사업(F)'!G:G, B147, '환경부사업(F)'!X:X, B155, '환경부사업(F)'!U:U, $D$1)
  + COUNTIFS('프로젝트(G)'!C:C, $E$1, '프로젝트(G)'!G:G, B147, '프로젝트(G)'!X:X, B155, '프로젝트(G)'!U:U, $D$1)
  + COUNTIFS('협력사 EPC(H)'!C:C, $E$1, '협력사 EPC(H)'!G:G, B147, '협력사 EPC(H)'!X:X, B155, '협력사 EPC(H)'!U:U, $D$1)
  + COUNTIFS('기타(Z)'!C:C, $E$1, '기타(Z)'!G:G, B147, '기타(Z)'!X:X, B155, '기타(Z)'!U:U, $D$1)
)</f>
        <v/>
      </c>
    </row>
    <row r="156" spans="2:8" ht="16.5" x14ac:dyDescent="0.25">
      <c r="B156" s="274" t="s">
        <v>174</v>
      </c>
      <c r="C156" s="268">
        <f t="shared" ref="C156:H156" si="19">SUM(C148:C155)</f>
        <v>0</v>
      </c>
      <c r="D156" s="269">
        <f t="shared" si="19"/>
        <v>0</v>
      </c>
      <c r="E156" s="270">
        <f t="shared" si="19"/>
        <v>0</v>
      </c>
      <c r="F156" s="271">
        <f t="shared" si="19"/>
        <v>0</v>
      </c>
      <c r="G156" s="272">
        <f t="shared" si="19"/>
        <v>0</v>
      </c>
      <c r="H156" s="273">
        <f t="shared" si="19"/>
        <v>0</v>
      </c>
    </row>
  </sheetData>
  <mergeCells count="13">
    <mergeCell ref="AI2:AJ2"/>
    <mergeCell ref="Y2:Z2"/>
    <mergeCell ref="W2:X2"/>
    <mergeCell ref="AA2:AB2"/>
    <mergeCell ref="AC2:AD2"/>
    <mergeCell ref="AE2:AF2"/>
    <mergeCell ref="AG2:AH2"/>
    <mergeCell ref="U2:V2"/>
    <mergeCell ref="K2:L2"/>
    <mergeCell ref="M2:N2"/>
    <mergeCell ref="O2:P2"/>
    <mergeCell ref="Q2:R2"/>
    <mergeCell ref="S2:T2"/>
  </mergeCells>
  <phoneticPr fontId="7" type="noConversion"/>
  <dataValidations disablePrompts="1" count="1">
    <dataValidation type="list" allowBlank="1" showInputMessage="1" showErrorMessage="1" sqref="E1 O1:P1" xr:uid="{00000000-0002-0000-0000-000000000000}">
      <formula1>"직영(가),외주(나),입찰(다),검토(라)"</formula1>
    </dataValidation>
  </dataValidations>
  <pageMargins left="0.7" right="0.7" top="0.75" bottom="0.75" header="0.3" footer="0.3"/>
  <ignoredErrors>
    <ignoredError sqref="L25:Y31 Q23:Y23 Z23:AJ28 M24:Y24 X3 X4:X10 N3:W3 N11:AJ22 N4:W10 Y4:AJ10 Y3:AJ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I70"/>
  <sheetViews>
    <sheetView zoomScale="80" zoomScaleNormal="80" workbookViewId="0">
      <selection activeCell="M36" sqref="M36"/>
    </sheetView>
  </sheetViews>
  <sheetFormatPr defaultRowHeight="13.5" x14ac:dyDescent="0.25"/>
  <cols>
    <col min="1" max="1" width="3.7109375" customWidth="1"/>
    <col min="3" max="3" width="5.7109375" customWidth="1"/>
    <col min="4" max="4" width="11.7109375" customWidth="1"/>
    <col min="5" max="5" width="15.140625" customWidth="1"/>
    <col min="6" max="6" width="5.7109375" customWidth="1"/>
    <col min="7" max="7" width="11.7109375" customWidth="1"/>
    <col min="8" max="8" width="15.140625" customWidth="1"/>
    <col min="9" max="9" width="5.7109375" customWidth="1"/>
    <col min="10" max="10" width="11.7109375" customWidth="1"/>
    <col min="11" max="11" width="14.7109375" customWidth="1"/>
    <col min="12" max="12" width="5.7109375" customWidth="1"/>
    <col min="13" max="13" width="11.7109375" customWidth="1"/>
    <col min="14" max="14" width="14.7109375" customWidth="1"/>
    <col min="15" max="15" width="5.7109375" customWidth="1"/>
    <col min="16" max="16" width="11.7109375" customWidth="1"/>
    <col min="17" max="17" width="14.7109375" customWidth="1"/>
    <col min="18" max="18" width="5.7109375" customWidth="1"/>
    <col min="19" max="19" width="11.7109375" customWidth="1"/>
    <col min="20" max="20" width="14.7109375" customWidth="1"/>
    <col min="21" max="21" width="5.7109375" customWidth="1"/>
    <col min="22" max="22" width="11.7109375" customWidth="1"/>
    <col min="23" max="23" width="14.7109375" customWidth="1"/>
    <col min="24" max="24" width="5.7109375" customWidth="1"/>
    <col min="25" max="25" width="11.7109375" customWidth="1"/>
    <col min="26" max="26" width="14.7109375" customWidth="1"/>
    <col min="27" max="27" width="5.7109375" customWidth="1"/>
    <col min="28" max="28" width="11.7109375" customWidth="1"/>
    <col min="29" max="29" width="14.7109375" customWidth="1"/>
    <col min="30" max="30" width="5.7109375" customWidth="1"/>
    <col min="31" max="31" width="11.7109375" customWidth="1"/>
    <col min="32" max="32" width="14.7109375" customWidth="1"/>
    <col min="33" max="33" width="5.7109375" customWidth="1"/>
    <col min="34" max="34" width="11.7109375" customWidth="1"/>
    <col min="35" max="35" width="14.7109375" customWidth="1"/>
  </cols>
  <sheetData>
    <row r="2" spans="2:35" ht="21" thickBot="1" x14ac:dyDescent="0.3">
      <c r="B2" s="201" t="s">
        <v>162</v>
      </c>
      <c r="C2" s="202"/>
      <c r="D2" s="202"/>
      <c r="E2" s="202"/>
    </row>
    <row r="3" spans="2:35" x14ac:dyDescent="0.25">
      <c r="B3" s="474" t="s">
        <v>18</v>
      </c>
      <c r="C3" s="476" t="s">
        <v>173</v>
      </c>
      <c r="D3" s="476"/>
      <c r="E3" s="476"/>
      <c r="F3" s="473" t="s">
        <v>136</v>
      </c>
      <c r="G3" s="473"/>
      <c r="H3" s="473"/>
      <c r="I3" s="471" t="s">
        <v>137</v>
      </c>
      <c r="J3" s="471"/>
      <c r="K3" s="471"/>
      <c r="L3" s="473" t="s">
        <v>138</v>
      </c>
      <c r="M3" s="473"/>
      <c r="N3" s="473"/>
      <c r="O3" s="471" t="s">
        <v>139</v>
      </c>
      <c r="P3" s="471"/>
      <c r="Q3" s="471"/>
      <c r="R3" s="473" t="s">
        <v>140</v>
      </c>
      <c r="S3" s="473"/>
      <c r="T3" s="473"/>
      <c r="U3" s="471" t="s">
        <v>141</v>
      </c>
      <c r="V3" s="471"/>
      <c r="W3" s="471"/>
      <c r="X3" s="473" t="s">
        <v>142</v>
      </c>
      <c r="Y3" s="473"/>
      <c r="Z3" s="473"/>
      <c r="AA3" s="471" t="s">
        <v>143</v>
      </c>
      <c r="AB3" s="471"/>
      <c r="AC3" s="471"/>
      <c r="AD3" s="473" t="s">
        <v>144</v>
      </c>
      <c r="AE3" s="473"/>
      <c r="AF3" s="473"/>
      <c r="AG3" s="471" t="s">
        <v>145</v>
      </c>
      <c r="AH3" s="471"/>
      <c r="AI3" s="472"/>
    </row>
    <row r="4" spans="2:35" x14ac:dyDescent="0.25">
      <c r="B4" s="475"/>
      <c r="C4" s="259" t="s">
        <v>52</v>
      </c>
      <c r="D4" s="259" t="s">
        <v>163</v>
      </c>
      <c r="E4" s="259" t="s">
        <v>164</v>
      </c>
      <c r="F4" s="209" t="s">
        <v>52</v>
      </c>
      <c r="G4" s="209" t="s">
        <v>163</v>
      </c>
      <c r="H4" s="209" t="s">
        <v>164</v>
      </c>
      <c r="I4" s="211" t="s">
        <v>52</v>
      </c>
      <c r="J4" s="211" t="s">
        <v>163</v>
      </c>
      <c r="K4" s="211" t="s">
        <v>164</v>
      </c>
      <c r="L4" s="209" t="s">
        <v>52</v>
      </c>
      <c r="M4" s="209" t="s">
        <v>163</v>
      </c>
      <c r="N4" s="209" t="s">
        <v>164</v>
      </c>
      <c r="O4" s="211" t="s">
        <v>52</v>
      </c>
      <c r="P4" s="211" t="s">
        <v>163</v>
      </c>
      <c r="Q4" s="211" t="s">
        <v>164</v>
      </c>
      <c r="R4" s="209" t="s">
        <v>52</v>
      </c>
      <c r="S4" s="209" t="s">
        <v>163</v>
      </c>
      <c r="T4" s="209" t="s">
        <v>164</v>
      </c>
      <c r="U4" s="211" t="s">
        <v>52</v>
      </c>
      <c r="V4" s="211" t="s">
        <v>163</v>
      </c>
      <c r="W4" s="211" t="s">
        <v>164</v>
      </c>
      <c r="X4" s="209" t="s">
        <v>52</v>
      </c>
      <c r="Y4" s="209" t="s">
        <v>163</v>
      </c>
      <c r="Z4" s="209" t="s">
        <v>164</v>
      </c>
      <c r="AA4" s="211" t="s">
        <v>52</v>
      </c>
      <c r="AB4" s="211" t="s">
        <v>163</v>
      </c>
      <c r="AC4" s="211" t="s">
        <v>164</v>
      </c>
      <c r="AD4" s="209" t="s">
        <v>52</v>
      </c>
      <c r="AE4" s="209" t="s">
        <v>163</v>
      </c>
      <c r="AF4" s="209" t="s">
        <v>164</v>
      </c>
      <c r="AG4" s="211" t="s">
        <v>52</v>
      </c>
      <c r="AH4" s="211" t="s">
        <v>163</v>
      </c>
      <c r="AI4" s="214" t="s">
        <v>164</v>
      </c>
    </row>
    <row r="5" spans="2:35" x14ac:dyDescent="0.25">
      <c r="B5" s="213">
        <v>1</v>
      </c>
      <c r="C5" s="260">
        <f ca="1">IF(
  SUM(
    IFERROR(VALUE(F5), 0),
    IFERROR(VALUE(I5), 0),
    IFERROR(VALUE(L5), 0),
    IFERROR(VALUE(O5), 0),
    IFERROR(VALUE(R5), 0),
    IFERROR(VALUE(U5), 0),
    IFERROR(VALUE(X5), 0),
    IFERROR(VALUE(AA5), 0),
    IFERROR(VALUE(AD5), 0),
    IFERROR(VALUE(AG5), 0)
  ) = 0,
  "",
  SUM(
    IFERROR(VALUE(F5), 0),
    IFERROR(VALUE(I5), 0),
    IFERROR(VALUE(L5), 0),
    IFERROR(VALUE(O5), 0),
    IFERROR(VALUE(R5), 0),
    IFERROR(VALUE(U5), 0),
    IFERROR(VALUE(X5), 0),
    IFERROR(VALUE(AA5), 0),
    IFERROR(VALUE(AD5), 0),
    IFERROR(VALUE(AG5), 0)
  )
)</f>
        <v>31</v>
      </c>
      <c r="D5" s="260">
        <f t="shared" ref="D5:E16" ca="1" si="0">IF(
  SUM(
    IFERROR(VALUE(G5), 0),
    IFERROR(VALUE(J5), 0),
    IFERROR(VALUE(M5), 0),
    IFERROR(VALUE(P5), 0),
    IFERROR(VALUE(S5), 0),
    IFERROR(VALUE(V5), 0),
    IFERROR(VALUE(Y5), 0),
    IFERROR(VALUE(AB5), 0),
    IFERROR(VALUE(AE5), 0),
    IFERROR(VALUE(AH5), 0)
  ) = 0,
  "",
  SUM(
    IFERROR(VALUE(G5), 0),
    IFERROR(VALUE(J5), 0),
    IFERROR(VALUE(M5), 0),
    IFERROR(VALUE(P5), 0),
    IFERROR(VALUE(S5), 0),
    IFERROR(VALUE(V5), 0),
    IFERROR(VALUE(Y5), 0),
    IFERROR(VALUE(AB5), 0),
    IFERROR(VALUE(AE5), 0),
    IFERROR(VALUE(AH5), 0)
  )
)</f>
        <v>9178.4549999999981</v>
      </c>
      <c r="E5" s="260">
        <f t="shared" ca="1" si="0"/>
        <v>8729000000</v>
      </c>
      <c r="F5" s="209">
        <f ca="1">IF(COUNTIF(INDIRECT("'"&amp;F$3&amp;"'!G:G"), $B5)=0, "", COUNTIF(INDIRECT("'"&amp;F$3&amp;"'!G:G"), $B5))</f>
        <v>29</v>
      </c>
      <c r="G5" s="209">
        <f ca="1">IF(SUMIF(INDIRECT("'"&amp;F$3&amp;"'!G:G"), $B5, INDIRECT("'"&amp;F$3&amp;"'!I:I"))=0, "", SUMIF(INDIRECT("'"&amp;F$3&amp;"'!G:G"), $B5, INDIRECT("'"&amp;F$3&amp;"'!I:I")))</f>
        <v>8781.1449999999986</v>
      </c>
      <c r="H5" s="210">
        <f ca="1">IF(SUMIF(INDIRECT("'"&amp;F$3&amp;"'!G:G"), $B5, INDIRECT("'"&amp;F$3&amp;"'!J:J"))=0, "", SUMIF(INDIRECT("'"&amp;F$3&amp;"'!G:G"), $B5, INDIRECT("'"&amp;F$3&amp;"'!J:J")))</f>
        <v>8274000000</v>
      </c>
      <c r="I5" s="211">
        <f ca="1">IF(COUNTIF(INDIRECT("'"&amp;I$3&amp;"'!G:G"), $B5)=0, "", COUNTIF(INDIRECT("'"&amp;I$3&amp;"'!G:G"), $B5))</f>
        <v>2</v>
      </c>
      <c r="J5" s="211">
        <f ca="1">IF(SUMIF(INDIRECT("'"&amp;I$3&amp;"'!G:G"), $B5, INDIRECT("'"&amp;I$3&amp;"'!I:I"))=0, "", SUMIF(INDIRECT("'"&amp;I$3&amp;"'!G:G"), $B5, INDIRECT("'"&amp;I$3&amp;"'!I:I")))</f>
        <v>397.31</v>
      </c>
      <c r="K5" s="212">
        <f ca="1">IF(SUMIF(INDIRECT("'"&amp;I$3&amp;"'!G:G"), $B5, INDIRECT("'"&amp;I$3&amp;"'!J:J"))=0, "", SUMIF(INDIRECT("'"&amp;I$3&amp;"'!G:G"), $B5, INDIRECT("'"&amp;I$3&amp;"'!J:J")))</f>
        <v>455000000</v>
      </c>
      <c r="L5" s="209" t="str">
        <f ca="1">IF(COUNTIF(INDIRECT("'"&amp;L$3&amp;"'!G:G"), $B5)=0, "", COUNTIF(INDIRECT("'"&amp;L$3&amp;"'!G:G"), $B5))</f>
        <v/>
      </c>
      <c r="M5" s="209" t="str">
        <f ca="1">IF(SUMIF(INDIRECT("'"&amp;L$3&amp;"'!G:G"), $B5, INDIRECT("'"&amp;L$3&amp;"'!I:I"))=0, "", SUMIF(INDIRECT("'"&amp;L$3&amp;"'!G:G"), $B5, INDIRECT("'"&amp;L$3&amp;"'!I:I")))</f>
        <v/>
      </c>
      <c r="N5" s="210" t="str">
        <f ca="1">IF(SUMIF(INDIRECT("'"&amp;L$3&amp;"'!G:G"), $B5, INDIRECT("'"&amp;L$3&amp;"'!J:J"))=0, "", SUMIF(INDIRECT("'"&amp;L$3&amp;"'!G:G"), $B5, INDIRECT("'"&amp;L$3&amp;"'!J:J")))</f>
        <v/>
      </c>
      <c r="O5" s="211" t="str">
        <f ca="1">IF(COUNTIF(INDIRECT("'"&amp;O$3&amp;"'!G:G"), $B5)=0, "", COUNTIF(INDIRECT("'"&amp;O$3&amp;"'!G:G"), $B5))</f>
        <v/>
      </c>
      <c r="P5" s="211" t="str">
        <f ca="1">IF(SUMIF(INDIRECT("'"&amp;O$3&amp;"'!G:G"), $B5, INDIRECT("'"&amp;O$3&amp;"'!I:I"))=0, "", SUMIF(INDIRECT("'"&amp;O$3&amp;"'!G:G"), $B5, INDIRECT("'"&amp;O$3&amp;"'!I:I")))</f>
        <v/>
      </c>
      <c r="Q5" s="212" t="str">
        <f ca="1">IF(SUMIF(INDIRECT("'"&amp;O$3&amp;"'!G:G"), $B5, INDIRECT("'"&amp;O$3&amp;"'!J:J"))=0, "", SUMIF(INDIRECT("'"&amp;O$3&amp;"'!G:G"), $B5, INDIRECT("'"&amp;O$3&amp;"'!J:J")))</f>
        <v/>
      </c>
      <c r="R5" s="209" t="str">
        <f ca="1">IF(COUNTIF(INDIRECT("'"&amp;R$3&amp;"'!G:G"), $B5)=0, "", COUNTIF(INDIRECT("'"&amp;R$3&amp;"'!G:G"), $B5))</f>
        <v/>
      </c>
      <c r="S5" s="209" t="str">
        <f ca="1">IF(SUMIF(INDIRECT("'"&amp;R$3&amp;"'!G:G"), $B5, INDIRECT("'"&amp;R$3&amp;"'!I:I"))=0, "", SUMIF(INDIRECT("'"&amp;R$3&amp;"'!G:G"), $B5, INDIRECT("'"&amp;R$3&amp;"'!I:I")))</f>
        <v/>
      </c>
      <c r="T5" s="210" t="str">
        <f ca="1">IF(SUMIF(INDIRECT("'"&amp;R$3&amp;"'!G:G"), $B5, INDIRECT("'"&amp;R$3&amp;"'!J:J"))=0, "", SUMIF(INDIRECT("'"&amp;R$3&amp;"'!G:G"), $B5, INDIRECT("'"&amp;R$3&amp;"'!J:J")))</f>
        <v/>
      </c>
      <c r="U5" s="211" t="str">
        <f ca="1">IF(COUNTIF(INDIRECT("'"&amp;U$3&amp;"'!G:G"), $B5)=0, "", COUNTIF(INDIRECT("'"&amp;U$3&amp;"'!G:G"), $B5))</f>
        <v/>
      </c>
      <c r="V5" s="211" t="str">
        <f ca="1">IF(SUMIF(INDIRECT("'"&amp;U$3&amp;"'!G:G"), $B5, INDIRECT("'"&amp;U$3&amp;"'!I:I"))=0, "", SUMIF(INDIRECT("'"&amp;U$3&amp;"'!G:G"), $B5, INDIRECT("'"&amp;U$3&amp;"'!I:I")))</f>
        <v/>
      </c>
      <c r="W5" s="212" t="str">
        <f ca="1">IF(SUMIF(INDIRECT("'"&amp;U$3&amp;"'!G:G"), $B5, INDIRECT("'"&amp;U$3&amp;"'!J:J"))=0, "", SUMIF(INDIRECT("'"&amp;U$3&amp;"'!G:G"), $B5, INDIRECT("'"&amp;U$3&amp;"'!J:J")))</f>
        <v/>
      </c>
      <c r="X5" s="209" t="str">
        <f ca="1">IF(COUNTIF(INDIRECT("'"&amp;X$3&amp;"'!G:G"), $B5)=0, "", COUNTIF(INDIRECT("'"&amp;X$3&amp;"'!G:G"), $B5))</f>
        <v/>
      </c>
      <c r="Y5" s="209" t="str">
        <f ca="1">IF(SUMIF(INDIRECT("'"&amp;X$3&amp;"'!G:G"), $B5, INDIRECT("'"&amp;X$3&amp;"'!I:I"))=0, "", SUMIF(INDIRECT("'"&amp;X$3&amp;"'!G:G"), $B5, INDIRECT("'"&amp;X$3&amp;"'!I:I")))</f>
        <v/>
      </c>
      <c r="Z5" s="210" t="str">
        <f ca="1">IF(SUMIF(INDIRECT("'"&amp;X$3&amp;"'!G:G"), $B5, INDIRECT("'"&amp;X$3&amp;"'!J:J"))=0, "", SUMIF(INDIRECT("'"&amp;X$3&amp;"'!G:G"), $B5, INDIRECT("'"&amp;X$3&amp;"'!J:J")))</f>
        <v/>
      </c>
      <c r="AA5" s="211" t="str">
        <f ca="1">IF(COUNTIF(INDIRECT("'"&amp;AA$3&amp;"'!G:G"), $B5)=0, "", COUNTIF(INDIRECT("'"&amp;AA$3&amp;"'!G:G"), $B5))</f>
        <v/>
      </c>
      <c r="AB5" s="211" t="str">
        <f ca="1">IF(SUMIF(INDIRECT("'"&amp;AA$3&amp;"'!G:G"), $B5, INDIRECT("'"&amp;AA$3&amp;"'!I:I"))=0, "", SUMIF(INDIRECT("'"&amp;AA$3&amp;"'!G:G"), $B5, INDIRECT("'"&amp;AA$3&amp;"'!I:I")))</f>
        <v/>
      </c>
      <c r="AC5" s="212" t="str">
        <f ca="1">IF(SUMIF(INDIRECT("'"&amp;AA$3&amp;"'!G:G"), $B5, INDIRECT("'"&amp;AA$3&amp;"'!J:J"))=0, "", SUMIF(INDIRECT("'"&amp;AA$3&amp;"'!G:G"), $B5, INDIRECT("'"&amp;AA$3&amp;"'!J:J")))</f>
        <v/>
      </c>
      <c r="AD5" s="209" t="str">
        <f ca="1">IF(COUNTIF(INDIRECT("'"&amp;AD$3&amp;"'!G:G"), $B5)=0, "", COUNTIF(INDIRECT("'"&amp;AD$3&amp;"'!G:G"), $B5))</f>
        <v/>
      </c>
      <c r="AE5" s="209" t="str">
        <f ca="1">IF(SUMIF(INDIRECT("'"&amp;AD$3&amp;"'!G:G"), $B5, INDIRECT("'"&amp;AD$3&amp;"'!I:I"))=0, "", SUMIF(INDIRECT("'"&amp;AD$3&amp;"'!G:G"), $B5, INDIRECT("'"&amp;AD$3&amp;"'!I:I")))</f>
        <v/>
      </c>
      <c r="AF5" s="210" t="str">
        <f ca="1">IF(SUMIF(INDIRECT("'"&amp;AD$3&amp;"'!G:G"), $B5, INDIRECT("'"&amp;AD$3&amp;"'!J:J"))=0, "", SUMIF(INDIRECT("'"&amp;AD$3&amp;"'!G:G"), $B5, INDIRECT("'"&amp;AD$3&amp;"'!J:J")))</f>
        <v/>
      </c>
      <c r="AG5" s="211" t="str">
        <f ca="1">IF(COUNTIF(INDIRECT("'"&amp;AG$3&amp;"'!G:G"), $B5)=0, "", COUNTIF(INDIRECT("'"&amp;AG$3&amp;"'!G:G"), $B5))</f>
        <v/>
      </c>
      <c r="AH5" s="211" t="str">
        <f ca="1">IF(SUMIF(INDIRECT("'"&amp;AG$3&amp;"'!G:G"), $B5, INDIRECT("'"&amp;AG$3&amp;"'!I:I"))=0, "", SUMIF(INDIRECT("'"&amp;AG$3&amp;"'!G:G"), $B5, INDIRECT("'"&amp;AG$3&amp;"'!I:I")))</f>
        <v/>
      </c>
      <c r="AI5" s="215" t="str">
        <f ca="1">IF(SUMIF(INDIRECT("'"&amp;AG$3&amp;"'!G:G"), $B5, INDIRECT("'"&amp;AG$3&amp;"'!J:J"))=0, "", SUMIF(INDIRECT("'"&amp;AG$3&amp;"'!G:G"), $B5, INDIRECT("'"&amp;AG$3&amp;"'!J:J")))</f>
        <v/>
      </c>
    </row>
    <row r="6" spans="2:35" x14ac:dyDescent="0.25">
      <c r="B6" s="213">
        <v>2</v>
      </c>
      <c r="C6" s="260">
        <f t="shared" ref="C6:C16" ca="1" si="1">IF(
  SUM(
    IFERROR(VALUE(F6), 0),
    IFERROR(VALUE(I6), 0),
    IFERROR(VALUE(L6), 0),
    IFERROR(VALUE(O6), 0),
    IFERROR(VALUE(R6), 0),
    IFERROR(VALUE(U6), 0),
    IFERROR(VALUE(X6), 0),
    IFERROR(VALUE(AA6), 0),
    IFERROR(VALUE(AD6), 0),
    IFERROR(VALUE(AG6), 0)
  ) = 0,
  "",
  SUM(
    IFERROR(VALUE(F6), 0),
    IFERROR(VALUE(I6), 0),
    IFERROR(VALUE(L6), 0),
    IFERROR(VALUE(O6), 0),
    IFERROR(VALUE(R6), 0),
    IFERROR(VALUE(U6), 0),
    IFERROR(VALUE(X6), 0),
    IFERROR(VALUE(AA6), 0),
    IFERROR(VALUE(AD6), 0),
    IFERROR(VALUE(AG6), 0)
  )
)</f>
        <v>42</v>
      </c>
      <c r="D6" s="260">
        <f t="shared" ca="1" si="0"/>
        <v>14612.199999999999</v>
      </c>
      <c r="E6" s="260">
        <f t="shared" ca="1" si="0"/>
        <v>14520600000</v>
      </c>
      <c r="F6" s="209">
        <f t="shared" ref="F6:F16" ca="1" si="2">IF(COUNTIF(INDIRECT("'"&amp;F$3&amp;"'!G:G"), $B6)=0, "", COUNTIF(INDIRECT("'"&amp;F$3&amp;"'!G:G"), $B6))</f>
        <v>32</v>
      </c>
      <c r="G6" s="209">
        <f t="shared" ref="G6:G16" ca="1" si="3">IF(SUMIF(INDIRECT("'"&amp;F$3&amp;"'!G:G"), $B6, INDIRECT("'"&amp;F$3&amp;"'!I:I"))=0, "", SUMIF(INDIRECT("'"&amp;F$3&amp;"'!G:G"), $B6, INDIRECT("'"&amp;F$3&amp;"'!I:I")))</f>
        <v>7540.5149999999994</v>
      </c>
      <c r="H6" s="210">
        <f t="shared" ref="H6:H16" ca="1" si="4">IF(SUMIF(INDIRECT("'"&amp;F$3&amp;"'!G:G"), $B6, INDIRECT("'"&amp;F$3&amp;"'!J:J"))=0, "", SUMIF(INDIRECT("'"&amp;F$3&amp;"'!G:G"), $B6, INDIRECT("'"&amp;F$3&amp;"'!J:J")))</f>
        <v>7154600000</v>
      </c>
      <c r="I6" s="211">
        <f t="shared" ref="I6:I16" ca="1" si="5">IF(COUNTIF(INDIRECT("'"&amp;I$3&amp;"'!G:G"), $B6)=0, "", COUNTIF(INDIRECT("'"&amp;I$3&amp;"'!G:G"), $B6))</f>
        <v>3</v>
      </c>
      <c r="J6" s="211">
        <f t="shared" ref="J6:J16" ca="1" si="6">IF(SUMIF(INDIRECT("'"&amp;I$3&amp;"'!G:G"), $B6, INDIRECT("'"&amp;I$3&amp;"'!I:I"))=0, "", SUMIF(INDIRECT("'"&amp;I$3&amp;"'!G:G"), $B6, INDIRECT("'"&amp;I$3&amp;"'!I:I")))</f>
        <v>5377.05</v>
      </c>
      <c r="K6" s="212">
        <f t="shared" ref="K6:K16" ca="1" si="7">IF(SUMIF(INDIRECT("'"&amp;I$3&amp;"'!G:G"), $B6, INDIRECT("'"&amp;I$3&amp;"'!J:J"))=0, "", SUMIF(INDIRECT("'"&amp;I$3&amp;"'!G:G"), $B6, INDIRECT("'"&amp;I$3&amp;"'!J:J")))</f>
        <v>6089000000</v>
      </c>
      <c r="L6" s="209" t="str">
        <f t="shared" ref="L6:L16" ca="1" si="8">IF(COUNTIF(INDIRECT("'"&amp;L$3&amp;"'!G:G"), $B6)=0, "", COUNTIF(INDIRECT("'"&amp;L$3&amp;"'!G:G"), $B6))</f>
        <v/>
      </c>
      <c r="M6" s="209" t="str">
        <f t="shared" ref="M6:M16" ca="1" si="9">IF(SUMIF(INDIRECT("'"&amp;L$3&amp;"'!G:G"), $B6, INDIRECT("'"&amp;L$3&amp;"'!I:I"))=0, "", SUMIF(INDIRECT("'"&amp;L$3&amp;"'!G:G"), $B6, INDIRECT("'"&amp;L$3&amp;"'!I:I")))</f>
        <v/>
      </c>
      <c r="N6" s="210" t="str">
        <f t="shared" ref="N6:N16" ca="1" si="10">IF(SUMIF(INDIRECT("'"&amp;L$3&amp;"'!G:G"), $B6, INDIRECT("'"&amp;L$3&amp;"'!J:J"))=0, "", SUMIF(INDIRECT("'"&amp;L$3&amp;"'!G:G"), $B6, INDIRECT("'"&amp;L$3&amp;"'!J:J")))</f>
        <v/>
      </c>
      <c r="O6" s="211" t="str">
        <f t="shared" ref="O6:O16" ca="1" si="11">IF(COUNTIF(INDIRECT("'"&amp;O$3&amp;"'!G:G"), $B6)=0, "", COUNTIF(INDIRECT("'"&amp;O$3&amp;"'!G:G"), $B6))</f>
        <v/>
      </c>
      <c r="P6" s="211" t="str">
        <f t="shared" ref="P6:P16" ca="1" si="12">IF(SUMIF(INDIRECT("'"&amp;O$3&amp;"'!G:G"), $B6, INDIRECT("'"&amp;O$3&amp;"'!I:I"))=0, "", SUMIF(INDIRECT("'"&amp;O$3&amp;"'!G:G"), $B6, INDIRECT("'"&amp;O$3&amp;"'!I:I")))</f>
        <v/>
      </c>
      <c r="Q6" s="212" t="str">
        <f t="shared" ref="Q6:Q16" ca="1" si="13">IF(SUMIF(INDIRECT("'"&amp;O$3&amp;"'!G:G"), $B6, INDIRECT("'"&amp;O$3&amp;"'!J:J"))=0, "", SUMIF(INDIRECT("'"&amp;O$3&amp;"'!G:G"), $B6, INDIRECT("'"&amp;O$3&amp;"'!J:J")))</f>
        <v/>
      </c>
      <c r="R6" s="209">
        <f t="shared" ref="R6:R16" ca="1" si="14">IF(COUNTIF(INDIRECT("'"&amp;R$3&amp;"'!G:G"), $B6)=0, "", COUNTIF(INDIRECT("'"&amp;R$3&amp;"'!G:G"), $B6))</f>
        <v>2</v>
      </c>
      <c r="S6" s="209">
        <f t="shared" ref="S6:S16" ca="1" si="15">IF(SUMIF(INDIRECT("'"&amp;R$3&amp;"'!G:G"), $B6, INDIRECT("'"&amp;R$3&amp;"'!I:I"))=0, "", SUMIF(INDIRECT("'"&amp;R$3&amp;"'!G:G"), $B6, INDIRECT("'"&amp;R$3&amp;"'!I:I")))</f>
        <v>549.76</v>
      </c>
      <c r="T6" s="210" t="str">
        <f t="shared" ref="T6:T16" ca="1" si="16">IF(SUMIF(INDIRECT("'"&amp;R$3&amp;"'!G:G"), $B6, INDIRECT("'"&amp;R$3&amp;"'!J:J"))=0, "", SUMIF(INDIRECT("'"&amp;R$3&amp;"'!G:G"), $B6, INDIRECT("'"&amp;R$3&amp;"'!J:J")))</f>
        <v/>
      </c>
      <c r="U6" s="211" t="str">
        <f t="shared" ref="U6:U16" ca="1" si="17">IF(COUNTIF(INDIRECT("'"&amp;U$3&amp;"'!G:G"), $B6)=0, "", COUNTIF(INDIRECT("'"&amp;U$3&amp;"'!G:G"), $B6))</f>
        <v/>
      </c>
      <c r="V6" s="211" t="str">
        <f t="shared" ref="V6:V16" ca="1" si="18">IF(SUMIF(INDIRECT("'"&amp;U$3&amp;"'!G:G"), $B6, INDIRECT("'"&amp;U$3&amp;"'!I:I"))=0, "", SUMIF(INDIRECT("'"&amp;U$3&amp;"'!G:G"), $B6, INDIRECT("'"&amp;U$3&amp;"'!I:I")))</f>
        <v/>
      </c>
      <c r="W6" s="212" t="str">
        <f t="shared" ref="W6:W16" ca="1" si="19">IF(SUMIF(INDIRECT("'"&amp;U$3&amp;"'!G:G"), $B6, INDIRECT("'"&amp;U$3&amp;"'!J:J"))=0, "", SUMIF(INDIRECT("'"&amp;U$3&amp;"'!G:G"), $B6, INDIRECT("'"&amp;U$3&amp;"'!J:J")))</f>
        <v/>
      </c>
      <c r="X6" s="209" t="str">
        <f t="shared" ref="X6:X16" ca="1" si="20">IF(COUNTIF(INDIRECT("'"&amp;X$3&amp;"'!G:G"), $B6)=0, "", COUNTIF(INDIRECT("'"&amp;X$3&amp;"'!G:G"), $B6))</f>
        <v/>
      </c>
      <c r="Y6" s="209" t="str">
        <f t="shared" ref="Y6:Y16" ca="1" si="21">IF(SUMIF(INDIRECT("'"&amp;X$3&amp;"'!G:G"), $B6, INDIRECT("'"&amp;X$3&amp;"'!I:I"))=0, "", SUMIF(INDIRECT("'"&amp;X$3&amp;"'!G:G"), $B6, INDIRECT("'"&amp;X$3&amp;"'!I:I")))</f>
        <v/>
      </c>
      <c r="Z6" s="210" t="str">
        <f t="shared" ref="Z6:Z16" ca="1" si="22">IF(SUMIF(INDIRECT("'"&amp;X$3&amp;"'!G:G"), $B6, INDIRECT("'"&amp;X$3&amp;"'!J:J"))=0, "", SUMIF(INDIRECT("'"&amp;X$3&amp;"'!G:G"), $B6, INDIRECT("'"&amp;X$3&amp;"'!J:J")))</f>
        <v/>
      </c>
      <c r="AA6" s="211">
        <f t="shared" ref="AA6:AA16" ca="1" si="23">IF(COUNTIF(INDIRECT("'"&amp;AA$3&amp;"'!G:G"), $B6)=0, "", COUNTIF(INDIRECT("'"&amp;AA$3&amp;"'!G:G"), $B6))</f>
        <v>1</v>
      </c>
      <c r="AB6" s="211">
        <f t="shared" ref="AB6:AB16" ca="1" si="24">IF(SUMIF(INDIRECT("'"&amp;AA$3&amp;"'!G:G"), $B6, INDIRECT("'"&amp;AA$3&amp;"'!I:I"))=0, "", SUMIF(INDIRECT("'"&amp;AA$3&amp;"'!G:G"), $B6, INDIRECT("'"&amp;AA$3&amp;"'!I:I")))</f>
        <v>29.024999999999999</v>
      </c>
      <c r="AC6" s="212">
        <f t="shared" ref="AC6:AC16" ca="1" si="25">IF(SUMIF(INDIRECT("'"&amp;AA$3&amp;"'!G:G"), $B6, INDIRECT("'"&amp;AA$3&amp;"'!J:J"))=0, "", SUMIF(INDIRECT("'"&amp;AA$3&amp;"'!G:G"), $B6, INDIRECT("'"&amp;AA$3&amp;"'!J:J")))</f>
        <v>29000000</v>
      </c>
      <c r="AD6" s="209" t="str">
        <f t="shared" ref="AD6:AD16" ca="1" si="26">IF(COUNTIF(INDIRECT("'"&amp;AD$3&amp;"'!G:G"), $B6)=0, "", COUNTIF(INDIRECT("'"&amp;AD$3&amp;"'!G:G"), $B6))</f>
        <v/>
      </c>
      <c r="AE6" s="209" t="str">
        <f t="shared" ref="AE6:AE16" ca="1" si="27">IF(SUMIF(INDIRECT("'"&amp;AD$3&amp;"'!G:G"), $B6, INDIRECT("'"&amp;AD$3&amp;"'!I:I"))=0, "", SUMIF(INDIRECT("'"&amp;AD$3&amp;"'!G:G"), $B6, INDIRECT("'"&amp;AD$3&amp;"'!I:I")))</f>
        <v/>
      </c>
      <c r="AF6" s="210" t="str">
        <f t="shared" ref="AF6:AF16" ca="1" si="28">IF(SUMIF(INDIRECT("'"&amp;AD$3&amp;"'!G:G"), $B6, INDIRECT("'"&amp;AD$3&amp;"'!J:J"))=0, "", SUMIF(INDIRECT("'"&amp;AD$3&amp;"'!G:G"), $B6, INDIRECT("'"&amp;AD$3&amp;"'!J:J")))</f>
        <v/>
      </c>
      <c r="AG6" s="211">
        <f t="shared" ref="AG6:AG16" ca="1" si="29">IF(COUNTIF(INDIRECT("'"&amp;AG$3&amp;"'!G:G"), $B6)=0, "", COUNTIF(INDIRECT("'"&amp;AG$3&amp;"'!G:G"), $B6))</f>
        <v>4</v>
      </c>
      <c r="AH6" s="211">
        <f t="shared" ref="AH6:AH16" ca="1" si="30">IF(SUMIF(INDIRECT("'"&amp;AG$3&amp;"'!G:G"), $B6, INDIRECT("'"&amp;AG$3&amp;"'!I:I"))=0, "", SUMIF(INDIRECT("'"&amp;AG$3&amp;"'!G:G"), $B6, INDIRECT("'"&amp;AG$3&amp;"'!I:I")))</f>
        <v>1115.8500000000001</v>
      </c>
      <c r="AI6" s="215">
        <f t="shared" ref="AI6:AI16" ca="1" si="31">IF(SUMIF(INDIRECT("'"&amp;AG$3&amp;"'!G:G"), $B6, INDIRECT("'"&amp;AG$3&amp;"'!J:J"))=0, "", SUMIF(INDIRECT("'"&amp;AG$3&amp;"'!G:G"), $B6, INDIRECT("'"&amp;AG$3&amp;"'!J:J")))</f>
        <v>1248000000</v>
      </c>
    </row>
    <row r="7" spans="2:35" x14ac:dyDescent="0.25">
      <c r="B7" s="213">
        <v>3</v>
      </c>
      <c r="C7" s="260">
        <f t="shared" ca="1" si="1"/>
        <v>44</v>
      </c>
      <c r="D7" s="260">
        <f t="shared" ca="1" si="0"/>
        <v>15292.274999999998</v>
      </c>
      <c r="E7" s="260">
        <f t="shared" ca="1" si="0"/>
        <v>13736900000</v>
      </c>
      <c r="F7" s="209">
        <f t="shared" ca="1" si="2"/>
        <v>32</v>
      </c>
      <c r="G7" s="209">
        <f t="shared" ca="1" si="3"/>
        <v>11586.134999999998</v>
      </c>
      <c r="H7" s="210">
        <f t="shared" ca="1" si="4"/>
        <v>10817900000</v>
      </c>
      <c r="I7" s="211">
        <f t="shared" ca="1" si="5"/>
        <v>1</v>
      </c>
      <c r="J7" s="211">
        <f t="shared" ca="1" si="6"/>
        <v>605.01</v>
      </c>
      <c r="K7" s="212">
        <f t="shared" ca="1" si="7"/>
        <v>615000000</v>
      </c>
      <c r="L7" s="209" t="str">
        <f t="shared" ca="1" si="8"/>
        <v/>
      </c>
      <c r="M7" s="209" t="str">
        <f t="shared" ca="1" si="9"/>
        <v/>
      </c>
      <c r="N7" s="210" t="str">
        <f t="shared" ca="1" si="10"/>
        <v/>
      </c>
      <c r="O7" s="211">
        <f t="shared" ca="1" si="11"/>
        <v>1</v>
      </c>
      <c r="P7" s="211">
        <f t="shared" ca="1" si="12"/>
        <v>652.79999999999995</v>
      </c>
      <c r="Q7" s="212" t="str">
        <f t="shared" ca="1" si="13"/>
        <v/>
      </c>
      <c r="R7" s="209">
        <f t="shared" ca="1" si="14"/>
        <v>2</v>
      </c>
      <c r="S7" s="209">
        <f t="shared" ca="1" si="15"/>
        <v>288</v>
      </c>
      <c r="T7" s="210" t="str">
        <f t="shared" ca="1" si="16"/>
        <v/>
      </c>
      <c r="U7" s="211">
        <f t="shared" ca="1" si="17"/>
        <v>1</v>
      </c>
      <c r="V7" s="211">
        <f t="shared" ca="1" si="18"/>
        <v>349.44</v>
      </c>
      <c r="W7" s="212">
        <f t="shared" ca="1" si="19"/>
        <v>350000000</v>
      </c>
      <c r="X7" s="209" t="str">
        <f t="shared" ca="1" si="20"/>
        <v/>
      </c>
      <c r="Y7" s="209" t="str">
        <f t="shared" ca="1" si="21"/>
        <v/>
      </c>
      <c r="Z7" s="210" t="str">
        <f t="shared" ca="1" si="22"/>
        <v/>
      </c>
      <c r="AA7" s="211" t="str">
        <f t="shared" ca="1" si="23"/>
        <v/>
      </c>
      <c r="AB7" s="211" t="str">
        <f t="shared" ca="1" si="24"/>
        <v/>
      </c>
      <c r="AC7" s="212" t="str">
        <f t="shared" ca="1" si="25"/>
        <v/>
      </c>
      <c r="AD7" s="209" t="str">
        <f t="shared" ca="1" si="26"/>
        <v/>
      </c>
      <c r="AE7" s="209" t="str">
        <f t="shared" ca="1" si="27"/>
        <v/>
      </c>
      <c r="AF7" s="210" t="str">
        <f t="shared" ca="1" si="28"/>
        <v/>
      </c>
      <c r="AG7" s="211">
        <f t="shared" ca="1" si="29"/>
        <v>7</v>
      </c>
      <c r="AH7" s="211">
        <f t="shared" ca="1" si="30"/>
        <v>1810.89</v>
      </c>
      <c r="AI7" s="215">
        <f t="shared" ca="1" si="31"/>
        <v>1954000000</v>
      </c>
    </row>
    <row r="8" spans="2:35" x14ac:dyDescent="0.25">
      <c r="B8" s="213">
        <v>4</v>
      </c>
      <c r="C8" s="260">
        <f t="shared" ca="1" si="1"/>
        <v>38</v>
      </c>
      <c r="D8" s="260">
        <f t="shared" ca="1" si="0"/>
        <v>9412.5349999999999</v>
      </c>
      <c r="E8" s="260">
        <f t="shared" ca="1" si="0"/>
        <v>9396600000</v>
      </c>
      <c r="F8" s="209">
        <f t="shared" ca="1" si="2"/>
        <v>26</v>
      </c>
      <c r="G8" s="209">
        <f t="shared" ca="1" si="3"/>
        <v>6707.3549999999996</v>
      </c>
      <c r="H8" s="210">
        <f t="shared" ca="1" si="4"/>
        <v>6301000000</v>
      </c>
      <c r="I8" s="211">
        <f t="shared" ca="1" si="5"/>
        <v>2</v>
      </c>
      <c r="J8" s="211">
        <f t="shared" ca="1" si="6"/>
        <v>850.2</v>
      </c>
      <c r="K8" s="212">
        <f t="shared" ca="1" si="7"/>
        <v>1177600000</v>
      </c>
      <c r="L8" s="209" t="str">
        <f t="shared" ca="1" si="8"/>
        <v/>
      </c>
      <c r="M8" s="209" t="str">
        <f t="shared" ca="1" si="9"/>
        <v/>
      </c>
      <c r="N8" s="210" t="str">
        <f t="shared" ca="1" si="10"/>
        <v/>
      </c>
      <c r="O8" s="211" t="str">
        <f t="shared" ca="1" si="11"/>
        <v/>
      </c>
      <c r="P8" s="211" t="str">
        <f t="shared" ca="1" si="12"/>
        <v/>
      </c>
      <c r="Q8" s="212" t="str">
        <f t="shared" ca="1" si="13"/>
        <v/>
      </c>
      <c r="R8" s="209">
        <f t="shared" ca="1" si="14"/>
        <v>2</v>
      </c>
      <c r="S8" s="209">
        <f t="shared" ca="1" si="15"/>
        <v>170.24</v>
      </c>
      <c r="T8" s="210" t="str">
        <f t="shared" ca="1" si="16"/>
        <v/>
      </c>
      <c r="U8" s="211" t="str">
        <f t="shared" ca="1" si="17"/>
        <v/>
      </c>
      <c r="V8" s="211" t="str">
        <f t="shared" ca="1" si="18"/>
        <v/>
      </c>
      <c r="W8" s="212" t="str">
        <f t="shared" ca="1" si="19"/>
        <v/>
      </c>
      <c r="X8" s="209" t="str">
        <f t="shared" ca="1" si="20"/>
        <v/>
      </c>
      <c r="Y8" s="209" t="str">
        <f t="shared" ca="1" si="21"/>
        <v/>
      </c>
      <c r="Z8" s="210" t="str">
        <f t="shared" ca="1" si="22"/>
        <v/>
      </c>
      <c r="AA8" s="211" t="str">
        <f t="shared" ca="1" si="23"/>
        <v/>
      </c>
      <c r="AB8" s="211" t="str">
        <f t="shared" ca="1" si="24"/>
        <v/>
      </c>
      <c r="AC8" s="212" t="str">
        <f t="shared" ca="1" si="25"/>
        <v/>
      </c>
      <c r="AD8" s="209" t="str">
        <f t="shared" ca="1" si="26"/>
        <v/>
      </c>
      <c r="AE8" s="209" t="str">
        <f t="shared" ca="1" si="27"/>
        <v/>
      </c>
      <c r="AF8" s="210" t="str">
        <f t="shared" ca="1" si="28"/>
        <v/>
      </c>
      <c r="AG8" s="211">
        <f t="shared" ca="1" si="29"/>
        <v>8</v>
      </c>
      <c r="AH8" s="211">
        <f t="shared" ca="1" si="30"/>
        <v>1684.74</v>
      </c>
      <c r="AI8" s="215">
        <f t="shared" ca="1" si="31"/>
        <v>1918000000</v>
      </c>
    </row>
    <row r="9" spans="2:35" x14ac:dyDescent="0.25">
      <c r="B9" s="213">
        <v>5</v>
      </c>
      <c r="C9" s="260">
        <f t="shared" ca="1" si="1"/>
        <v>18</v>
      </c>
      <c r="D9" s="260">
        <f t="shared" ca="1" si="0"/>
        <v>3923.1150000000007</v>
      </c>
      <c r="E9" s="260">
        <f t="shared" ca="1" si="0"/>
        <v>3786800000</v>
      </c>
      <c r="F9" s="209">
        <f t="shared" ca="1" si="2"/>
        <v>17</v>
      </c>
      <c r="G9" s="209">
        <f t="shared" ca="1" si="3"/>
        <v>3869.3550000000005</v>
      </c>
      <c r="H9" s="210">
        <f t="shared" ca="1" si="4"/>
        <v>3786800000</v>
      </c>
      <c r="I9" s="211" t="str">
        <f t="shared" ca="1" si="5"/>
        <v/>
      </c>
      <c r="J9" s="211" t="str">
        <f t="shared" ca="1" si="6"/>
        <v/>
      </c>
      <c r="K9" s="212" t="str">
        <f t="shared" ca="1" si="7"/>
        <v/>
      </c>
      <c r="L9" s="209" t="str">
        <f t="shared" ca="1" si="8"/>
        <v/>
      </c>
      <c r="M9" s="209" t="str">
        <f t="shared" ca="1" si="9"/>
        <v/>
      </c>
      <c r="N9" s="210" t="str">
        <f t="shared" ca="1" si="10"/>
        <v/>
      </c>
      <c r="O9" s="211" t="str">
        <f t="shared" ca="1" si="11"/>
        <v/>
      </c>
      <c r="P9" s="211" t="str">
        <f t="shared" ca="1" si="12"/>
        <v/>
      </c>
      <c r="Q9" s="212" t="str">
        <f t="shared" ca="1" si="13"/>
        <v/>
      </c>
      <c r="R9" s="209">
        <f t="shared" ca="1" si="14"/>
        <v>1</v>
      </c>
      <c r="S9" s="209">
        <f t="shared" ca="1" si="15"/>
        <v>53.76</v>
      </c>
      <c r="T9" s="210" t="str">
        <f t="shared" ca="1" si="16"/>
        <v/>
      </c>
      <c r="U9" s="211" t="str">
        <f t="shared" ca="1" si="17"/>
        <v/>
      </c>
      <c r="V9" s="211" t="str">
        <f t="shared" ca="1" si="18"/>
        <v/>
      </c>
      <c r="W9" s="212" t="str">
        <f t="shared" ca="1" si="19"/>
        <v/>
      </c>
      <c r="X9" s="209" t="str">
        <f t="shared" ca="1" si="20"/>
        <v/>
      </c>
      <c r="Y9" s="209" t="str">
        <f t="shared" ca="1" si="21"/>
        <v/>
      </c>
      <c r="Z9" s="210" t="str">
        <f t="shared" ca="1" si="22"/>
        <v/>
      </c>
      <c r="AA9" s="211" t="str">
        <f t="shared" ca="1" si="23"/>
        <v/>
      </c>
      <c r="AB9" s="211" t="str">
        <f t="shared" ca="1" si="24"/>
        <v/>
      </c>
      <c r="AC9" s="212" t="str">
        <f t="shared" ca="1" si="25"/>
        <v/>
      </c>
      <c r="AD9" s="209" t="str">
        <f t="shared" ca="1" si="26"/>
        <v/>
      </c>
      <c r="AE9" s="209" t="str">
        <f t="shared" ca="1" si="27"/>
        <v/>
      </c>
      <c r="AF9" s="210" t="str">
        <f t="shared" ca="1" si="28"/>
        <v/>
      </c>
      <c r="AG9" s="211" t="str">
        <f t="shared" ca="1" si="29"/>
        <v/>
      </c>
      <c r="AH9" s="211" t="str">
        <f t="shared" ca="1" si="30"/>
        <v/>
      </c>
      <c r="AI9" s="215" t="str">
        <f t="shared" ca="1" si="31"/>
        <v/>
      </c>
    </row>
    <row r="10" spans="2:35" x14ac:dyDescent="0.25">
      <c r="B10" s="213">
        <v>6</v>
      </c>
      <c r="C10" s="260">
        <f t="shared" ca="1" si="1"/>
        <v>28</v>
      </c>
      <c r="D10" s="260">
        <f t="shared" ca="1" si="0"/>
        <v>7000.1849999999995</v>
      </c>
      <c r="E10" s="260">
        <f t="shared" ca="1" si="0"/>
        <v>5804000000</v>
      </c>
      <c r="F10" s="209">
        <f t="shared" ca="1" si="2"/>
        <v>25</v>
      </c>
      <c r="G10" s="209">
        <f t="shared" ca="1" si="3"/>
        <v>5950.125</v>
      </c>
      <c r="H10" s="210">
        <f t="shared" ca="1" si="4"/>
        <v>5804000000</v>
      </c>
      <c r="I10" s="211" t="str">
        <f t="shared" ca="1" si="5"/>
        <v/>
      </c>
      <c r="J10" s="211" t="str">
        <f t="shared" ca="1" si="6"/>
        <v/>
      </c>
      <c r="K10" s="212" t="str">
        <f t="shared" ca="1" si="7"/>
        <v/>
      </c>
      <c r="L10" s="209" t="str">
        <f t="shared" ca="1" si="8"/>
        <v/>
      </c>
      <c r="M10" s="209" t="str">
        <f t="shared" ca="1" si="9"/>
        <v/>
      </c>
      <c r="N10" s="210" t="str">
        <f t="shared" ca="1" si="10"/>
        <v/>
      </c>
      <c r="O10" s="211" t="str">
        <f t="shared" ca="1" si="11"/>
        <v/>
      </c>
      <c r="P10" s="211" t="str">
        <f t="shared" ca="1" si="12"/>
        <v/>
      </c>
      <c r="Q10" s="212" t="str">
        <f t="shared" ca="1" si="13"/>
        <v/>
      </c>
      <c r="R10" s="209">
        <f t="shared" ca="1" si="14"/>
        <v>3</v>
      </c>
      <c r="S10" s="209">
        <f t="shared" ca="1" si="15"/>
        <v>1050.06</v>
      </c>
      <c r="T10" s="210" t="str">
        <f t="shared" ca="1" si="16"/>
        <v/>
      </c>
      <c r="U10" s="211" t="str">
        <f t="shared" ca="1" si="17"/>
        <v/>
      </c>
      <c r="V10" s="211" t="str">
        <f t="shared" ca="1" si="18"/>
        <v/>
      </c>
      <c r="W10" s="212" t="str">
        <f t="shared" ca="1" si="19"/>
        <v/>
      </c>
      <c r="X10" s="209" t="str">
        <f t="shared" ca="1" si="20"/>
        <v/>
      </c>
      <c r="Y10" s="209" t="str">
        <f t="shared" ca="1" si="21"/>
        <v/>
      </c>
      <c r="Z10" s="210" t="str">
        <f t="shared" ca="1" si="22"/>
        <v/>
      </c>
      <c r="AA10" s="211" t="str">
        <f t="shared" ca="1" si="23"/>
        <v/>
      </c>
      <c r="AB10" s="211" t="str">
        <f t="shared" ca="1" si="24"/>
        <v/>
      </c>
      <c r="AC10" s="212" t="str">
        <f t="shared" ca="1" si="25"/>
        <v/>
      </c>
      <c r="AD10" s="209" t="str">
        <f t="shared" ca="1" si="26"/>
        <v/>
      </c>
      <c r="AE10" s="209" t="str">
        <f t="shared" ca="1" si="27"/>
        <v/>
      </c>
      <c r="AF10" s="210" t="str">
        <f t="shared" ca="1" si="28"/>
        <v/>
      </c>
      <c r="AG10" s="211" t="str">
        <f t="shared" ca="1" si="29"/>
        <v/>
      </c>
      <c r="AH10" s="211" t="str">
        <f t="shared" ca="1" si="30"/>
        <v/>
      </c>
      <c r="AI10" s="215" t="str">
        <f t="shared" ca="1" si="31"/>
        <v/>
      </c>
    </row>
    <row r="11" spans="2:35" x14ac:dyDescent="0.25">
      <c r="B11" s="213">
        <v>7</v>
      </c>
      <c r="C11" s="260">
        <f t="shared" ca="1" si="1"/>
        <v>28</v>
      </c>
      <c r="D11" s="260">
        <f t="shared" ca="1" si="0"/>
        <v>9147.8100000000013</v>
      </c>
      <c r="E11" s="260">
        <f t="shared" ca="1" si="0"/>
        <v>8788000000</v>
      </c>
      <c r="F11" s="209">
        <f t="shared" ca="1" si="2"/>
        <v>23</v>
      </c>
      <c r="G11" s="209">
        <f ca="1">IF(SUMIF(INDIRECT("'"&amp;F$3&amp;"'!G:G"), $B11, INDIRECT("'"&amp;F$3&amp;"'!I:I"))=0, "", SUMIF(INDIRECT("'"&amp;F$3&amp;"'!G:G"), $B11, INDIRECT("'"&amp;F$3&amp;"'!I:I")))</f>
        <v>6288.5850000000009</v>
      </c>
      <c r="H11" s="210">
        <f t="shared" ca="1" si="4"/>
        <v>6089000000</v>
      </c>
      <c r="I11" s="211" t="str">
        <f t="shared" ca="1" si="5"/>
        <v/>
      </c>
      <c r="J11" s="211" t="str">
        <f ca="1">IF(SUMIF(INDIRECT("'"&amp;I$3&amp;"'!G:G"), $B11, INDIRECT("'"&amp;I$3&amp;"'!I:I"))=0, "", SUMIF(INDIRECT("'"&amp;I$3&amp;"'!G:G"), $B11, INDIRECT("'"&amp;I$3&amp;"'!I:I")))</f>
        <v/>
      </c>
      <c r="K11" s="212" t="str">
        <f t="shared" ca="1" si="7"/>
        <v/>
      </c>
      <c r="L11" s="209" t="str">
        <f t="shared" ca="1" si="8"/>
        <v/>
      </c>
      <c r="M11" s="209" t="str">
        <f t="shared" ca="1" si="9"/>
        <v/>
      </c>
      <c r="N11" s="210" t="str">
        <f t="shared" ca="1" si="10"/>
        <v/>
      </c>
      <c r="O11" s="211" t="str">
        <f t="shared" ca="1" si="11"/>
        <v/>
      </c>
      <c r="P11" s="211" t="str">
        <f t="shared" ca="1" si="12"/>
        <v/>
      </c>
      <c r="Q11" s="212" t="str">
        <f t="shared" ca="1" si="13"/>
        <v/>
      </c>
      <c r="R11" s="209">
        <f t="shared" ca="1" si="14"/>
        <v>1</v>
      </c>
      <c r="S11" s="209">
        <f t="shared" ca="1" si="15"/>
        <v>462.46499999999997</v>
      </c>
      <c r="T11" s="210" t="str">
        <f t="shared" ca="1" si="16"/>
        <v/>
      </c>
      <c r="U11" s="211" t="str">
        <f t="shared" ca="1" si="17"/>
        <v/>
      </c>
      <c r="V11" s="211" t="str">
        <f t="shared" ca="1" si="18"/>
        <v/>
      </c>
      <c r="W11" s="212" t="str">
        <f t="shared" ca="1" si="19"/>
        <v/>
      </c>
      <c r="X11" s="209" t="str">
        <f t="shared" ca="1" si="20"/>
        <v/>
      </c>
      <c r="Y11" s="209" t="str">
        <f t="shared" ca="1" si="21"/>
        <v/>
      </c>
      <c r="Z11" s="210" t="str">
        <f t="shared" ca="1" si="22"/>
        <v/>
      </c>
      <c r="AA11" s="211" t="str">
        <f t="shared" ca="1" si="23"/>
        <v/>
      </c>
      <c r="AB11" s="211" t="str">
        <f t="shared" ca="1" si="24"/>
        <v/>
      </c>
      <c r="AC11" s="212" t="str">
        <f t="shared" ca="1" si="25"/>
        <v/>
      </c>
      <c r="AD11" s="209" t="str">
        <f t="shared" ca="1" si="26"/>
        <v/>
      </c>
      <c r="AE11" s="209" t="str">
        <f ca="1">IF(SUMIF(INDIRECT("'"&amp;AD$3&amp;"'!G:G"), $B11, INDIRECT("'"&amp;AD$3&amp;"'!I:I"))=0, "", SUMIF(INDIRECT("'"&amp;AD$3&amp;"'!G:G"), $B11, INDIRECT("'"&amp;AD$3&amp;"'!I:I")))</f>
        <v/>
      </c>
      <c r="AF11" s="210" t="str">
        <f t="shared" ca="1" si="28"/>
        <v/>
      </c>
      <c r="AG11" s="211">
        <f t="shared" ca="1" si="29"/>
        <v>4</v>
      </c>
      <c r="AH11" s="211">
        <f t="shared" ca="1" si="30"/>
        <v>2396.7600000000002</v>
      </c>
      <c r="AI11" s="215">
        <f t="shared" ca="1" si="31"/>
        <v>2699000000</v>
      </c>
    </row>
    <row r="12" spans="2:35" x14ac:dyDescent="0.25">
      <c r="B12" s="213">
        <v>8</v>
      </c>
      <c r="C12" s="260">
        <f t="shared" ca="1" si="1"/>
        <v>20</v>
      </c>
      <c r="D12" s="260">
        <f t="shared" ca="1" si="0"/>
        <v>5861.7599999999984</v>
      </c>
      <c r="E12" s="260">
        <f t="shared" ca="1" si="0"/>
        <v>5928000000</v>
      </c>
      <c r="F12" s="209">
        <f t="shared" ca="1" si="2"/>
        <v>19</v>
      </c>
      <c r="G12" s="209">
        <f t="shared" ca="1" si="3"/>
        <v>5820.4799999999987</v>
      </c>
      <c r="H12" s="210">
        <f t="shared" ca="1" si="4"/>
        <v>5895000000</v>
      </c>
      <c r="I12" s="211" t="str">
        <f t="shared" ca="1" si="5"/>
        <v/>
      </c>
      <c r="J12" s="211" t="str">
        <f t="shared" ca="1" si="6"/>
        <v/>
      </c>
      <c r="K12" s="212" t="str">
        <f t="shared" ca="1" si="7"/>
        <v/>
      </c>
      <c r="L12" s="209" t="str">
        <f t="shared" ca="1" si="8"/>
        <v/>
      </c>
      <c r="M12" s="209" t="str">
        <f t="shared" ca="1" si="9"/>
        <v/>
      </c>
      <c r="N12" s="210" t="str">
        <f t="shared" ca="1" si="10"/>
        <v/>
      </c>
      <c r="O12" s="211" t="str">
        <f t="shared" ca="1" si="11"/>
        <v/>
      </c>
      <c r="P12" s="211" t="str">
        <f t="shared" ca="1" si="12"/>
        <v/>
      </c>
      <c r="Q12" s="212" t="str">
        <f t="shared" ca="1" si="13"/>
        <v/>
      </c>
      <c r="R12" s="209" t="str">
        <f t="shared" ca="1" si="14"/>
        <v/>
      </c>
      <c r="S12" s="209" t="str">
        <f t="shared" ca="1" si="15"/>
        <v/>
      </c>
      <c r="T12" s="210" t="str">
        <f t="shared" ca="1" si="16"/>
        <v/>
      </c>
      <c r="U12" s="211" t="str">
        <f t="shared" ca="1" si="17"/>
        <v/>
      </c>
      <c r="V12" s="211" t="str">
        <f t="shared" ca="1" si="18"/>
        <v/>
      </c>
      <c r="W12" s="212" t="str">
        <f t="shared" ca="1" si="19"/>
        <v/>
      </c>
      <c r="X12" s="209" t="str">
        <f t="shared" ca="1" si="20"/>
        <v/>
      </c>
      <c r="Y12" s="209" t="str">
        <f t="shared" ca="1" si="21"/>
        <v/>
      </c>
      <c r="Z12" s="210" t="str">
        <f t="shared" ca="1" si="22"/>
        <v/>
      </c>
      <c r="AA12" s="211">
        <f t="shared" ca="1" si="23"/>
        <v>1</v>
      </c>
      <c r="AB12" s="211">
        <f t="shared" ca="1" si="24"/>
        <v>41.28</v>
      </c>
      <c r="AC12" s="212">
        <f t="shared" ca="1" si="25"/>
        <v>33000000</v>
      </c>
      <c r="AD12" s="209" t="str">
        <f t="shared" ca="1" si="26"/>
        <v/>
      </c>
      <c r="AE12" s="209" t="str">
        <f t="shared" ca="1" si="27"/>
        <v/>
      </c>
      <c r="AF12" s="210" t="str">
        <f t="shared" ca="1" si="28"/>
        <v/>
      </c>
      <c r="AG12" s="211" t="str">
        <f t="shared" ca="1" si="29"/>
        <v/>
      </c>
      <c r="AH12" s="211" t="str">
        <f t="shared" ca="1" si="30"/>
        <v/>
      </c>
      <c r="AI12" s="215" t="str">
        <f t="shared" ca="1" si="31"/>
        <v/>
      </c>
    </row>
    <row r="13" spans="2:35" x14ac:dyDescent="0.25">
      <c r="B13" s="213">
        <v>9</v>
      </c>
      <c r="C13" s="260">
        <f t="shared" ca="1" si="1"/>
        <v>18</v>
      </c>
      <c r="D13" s="260">
        <f t="shared" ca="1" si="0"/>
        <v>8844.1999999999989</v>
      </c>
      <c r="E13" s="260">
        <f t="shared" ca="1" si="0"/>
        <v>9936000000</v>
      </c>
      <c r="F13" s="209">
        <f t="shared" ca="1" si="2"/>
        <v>14</v>
      </c>
      <c r="G13" s="209">
        <f t="shared" ca="1" si="3"/>
        <v>4640.6049999999996</v>
      </c>
      <c r="H13" s="210">
        <f t="shared" ca="1" si="4"/>
        <v>4765000000</v>
      </c>
      <c r="I13" s="211" t="str">
        <f t="shared" ca="1" si="5"/>
        <v/>
      </c>
      <c r="J13" s="211" t="str">
        <f t="shared" ca="1" si="6"/>
        <v/>
      </c>
      <c r="K13" s="212" t="str">
        <f t="shared" ca="1" si="7"/>
        <v/>
      </c>
      <c r="L13" s="209" t="str">
        <f t="shared" ca="1" si="8"/>
        <v/>
      </c>
      <c r="M13" s="209" t="str">
        <f t="shared" ca="1" si="9"/>
        <v/>
      </c>
      <c r="N13" s="210" t="str">
        <f t="shared" ca="1" si="10"/>
        <v/>
      </c>
      <c r="O13" s="211" t="str">
        <f t="shared" ca="1" si="11"/>
        <v/>
      </c>
      <c r="P13" s="211" t="str">
        <f t="shared" ca="1" si="12"/>
        <v/>
      </c>
      <c r="Q13" s="212" t="str">
        <f t="shared" ca="1" si="13"/>
        <v/>
      </c>
      <c r="R13" s="209">
        <f t="shared" ca="1" si="14"/>
        <v>1</v>
      </c>
      <c r="S13" s="209">
        <f t="shared" ca="1" si="15"/>
        <v>125.13</v>
      </c>
      <c r="T13" s="210" t="str">
        <f t="shared" ca="1" si="16"/>
        <v/>
      </c>
      <c r="U13" s="211">
        <f t="shared" ca="1" si="17"/>
        <v>2</v>
      </c>
      <c r="V13" s="211">
        <f t="shared" ca="1" si="18"/>
        <v>2744.4749999999999</v>
      </c>
      <c r="W13" s="212">
        <f t="shared" ca="1" si="19"/>
        <v>3724000000</v>
      </c>
      <c r="X13" s="209" t="str">
        <f t="shared" ca="1" si="20"/>
        <v/>
      </c>
      <c r="Y13" s="209" t="str">
        <f t="shared" ca="1" si="21"/>
        <v/>
      </c>
      <c r="Z13" s="210" t="str">
        <f t="shared" ca="1" si="22"/>
        <v/>
      </c>
      <c r="AA13" s="211" t="str">
        <f t="shared" ca="1" si="23"/>
        <v/>
      </c>
      <c r="AB13" s="211" t="str">
        <f t="shared" ca="1" si="24"/>
        <v/>
      </c>
      <c r="AC13" s="212" t="str">
        <f t="shared" ca="1" si="25"/>
        <v/>
      </c>
      <c r="AD13" s="209" t="str">
        <f t="shared" ca="1" si="26"/>
        <v/>
      </c>
      <c r="AE13" s="209" t="str">
        <f t="shared" ca="1" si="27"/>
        <v/>
      </c>
      <c r="AF13" s="210" t="str">
        <f t="shared" ca="1" si="28"/>
        <v/>
      </c>
      <c r="AG13" s="211">
        <f t="shared" ca="1" si="29"/>
        <v>1</v>
      </c>
      <c r="AH13" s="211">
        <f t="shared" ca="1" si="30"/>
        <v>1333.99</v>
      </c>
      <c r="AI13" s="215">
        <f t="shared" ca="1" si="31"/>
        <v>1447000000</v>
      </c>
    </row>
    <row r="14" spans="2:35" x14ac:dyDescent="0.25">
      <c r="B14" s="213">
        <v>10</v>
      </c>
      <c r="C14" s="260" t="str">
        <f t="shared" ca="1" si="1"/>
        <v/>
      </c>
      <c r="D14" s="260" t="str">
        <f t="shared" ca="1" si="0"/>
        <v/>
      </c>
      <c r="E14" s="260" t="str">
        <f t="shared" ca="1" si="0"/>
        <v/>
      </c>
      <c r="F14" s="209" t="str">
        <f t="shared" ca="1" si="2"/>
        <v/>
      </c>
      <c r="G14" s="209" t="str">
        <f t="shared" ca="1" si="3"/>
        <v/>
      </c>
      <c r="H14" s="210" t="str">
        <f t="shared" ca="1" si="4"/>
        <v/>
      </c>
      <c r="I14" s="211" t="str">
        <f t="shared" ca="1" si="5"/>
        <v/>
      </c>
      <c r="J14" s="211" t="str">
        <f t="shared" ca="1" si="6"/>
        <v/>
      </c>
      <c r="K14" s="212" t="str">
        <f t="shared" ca="1" si="7"/>
        <v/>
      </c>
      <c r="L14" s="209" t="str">
        <f t="shared" ca="1" si="8"/>
        <v/>
      </c>
      <c r="M14" s="209" t="str">
        <f t="shared" ca="1" si="9"/>
        <v/>
      </c>
      <c r="N14" s="210" t="str">
        <f t="shared" ca="1" si="10"/>
        <v/>
      </c>
      <c r="O14" s="211" t="str">
        <f t="shared" ca="1" si="11"/>
        <v/>
      </c>
      <c r="P14" s="211" t="str">
        <f t="shared" ca="1" si="12"/>
        <v/>
      </c>
      <c r="Q14" s="212" t="str">
        <f t="shared" ca="1" si="13"/>
        <v/>
      </c>
      <c r="R14" s="209" t="str">
        <f t="shared" ca="1" si="14"/>
        <v/>
      </c>
      <c r="S14" s="209" t="str">
        <f t="shared" ca="1" si="15"/>
        <v/>
      </c>
      <c r="T14" s="210" t="str">
        <f t="shared" ca="1" si="16"/>
        <v/>
      </c>
      <c r="U14" s="211" t="str">
        <f t="shared" ca="1" si="17"/>
        <v/>
      </c>
      <c r="V14" s="211" t="str">
        <f t="shared" ca="1" si="18"/>
        <v/>
      </c>
      <c r="W14" s="212" t="str">
        <f t="shared" ca="1" si="19"/>
        <v/>
      </c>
      <c r="X14" s="209" t="str">
        <f t="shared" ca="1" si="20"/>
        <v/>
      </c>
      <c r="Y14" s="209" t="str">
        <f t="shared" ca="1" si="21"/>
        <v/>
      </c>
      <c r="Z14" s="210" t="str">
        <f t="shared" ca="1" si="22"/>
        <v/>
      </c>
      <c r="AA14" s="211" t="str">
        <f t="shared" ca="1" si="23"/>
        <v/>
      </c>
      <c r="AB14" s="211" t="str">
        <f t="shared" ca="1" si="24"/>
        <v/>
      </c>
      <c r="AC14" s="212" t="str">
        <f t="shared" ca="1" si="25"/>
        <v/>
      </c>
      <c r="AD14" s="209" t="str">
        <f t="shared" ca="1" si="26"/>
        <v/>
      </c>
      <c r="AE14" s="209" t="str">
        <f t="shared" ca="1" si="27"/>
        <v/>
      </c>
      <c r="AF14" s="210" t="str">
        <f t="shared" ca="1" si="28"/>
        <v/>
      </c>
      <c r="AG14" s="211" t="str">
        <f t="shared" ca="1" si="29"/>
        <v/>
      </c>
      <c r="AH14" s="211" t="str">
        <f t="shared" ca="1" si="30"/>
        <v/>
      </c>
      <c r="AI14" s="215" t="str">
        <f t="shared" ca="1" si="31"/>
        <v/>
      </c>
    </row>
    <row r="15" spans="2:35" x14ac:dyDescent="0.25">
      <c r="B15" s="213">
        <v>11</v>
      </c>
      <c r="C15" s="260" t="str">
        <f t="shared" ca="1" si="1"/>
        <v/>
      </c>
      <c r="D15" s="260" t="str">
        <f t="shared" ca="1" si="0"/>
        <v/>
      </c>
      <c r="E15" s="260" t="str">
        <f t="shared" ca="1" si="0"/>
        <v/>
      </c>
      <c r="F15" s="209" t="str">
        <f t="shared" ca="1" si="2"/>
        <v/>
      </c>
      <c r="G15" s="209" t="str">
        <f t="shared" ca="1" si="3"/>
        <v/>
      </c>
      <c r="H15" s="210" t="str">
        <f t="shared" ca="1" si="4"/>
        <v/>
      </c>
      <c r="I15" s="211" t="str">
        <f t="shared" ca="1" si="5"/>
        <v/>
      </c>
      <c r="J15" s="211" t="str">
        <f t="shared" ca="1" si="6"/>
        <v/>
      </c>
      <c r="K15" s="212" t="str">
        <f t="shared" ca="1" si="7"/>
        <v/>
      </c>
      <c r="L15" s="209" t="str">
        <f t="shared" ca="1" si="8"/>
        <v/>
      </c>
      <c r="M15" s="209" t="str">
        <f t="shared" ca="1" si="9"/>
        <v/>
      </c>
      <c r="N15" s="210" t="str">
        <f t="shared" ca="1" si="10"/>
        <v/>
      </c>
      <c r="O15" s="211" t="str">
        <f t="shared" ca="1" si="11"/>
        <v/>
      </c>
      <c r="P15" s="211" t="str">
        <f t="shared" ca="1" si="12"/>
        <v/>
      </c>
      <c r="Q15" s="212" t="str">
        <f t="shared" ca="1" si="13"/>
        <v/>
      </c>
      <c r="R15" s="209" t="str">
        <f t="shared" ca="1" si="14"/>
        <v/>
      </c>
      <c r="S15" s="209" t="str">
        <f t="shared" ca="1" si="15"/>
        <v/>
      </c>
      <c r="T15" s="210" t="str">
        <f t="shared" ca="1" si="16"/>
        <v/>
      </c>
      <c r="U15" s="211" t="str">
        <f t="shared" ca="1" si="17"/>
        <v/>
      </c>
      <c r="V15" s="211" t="str">
        <f t="shared" ca="1" si="18"/>
        <v/>
      </c>
      <c r="W15" s="212" t="str">
        <f t="shared" ca="1" si="19"/>
        <v/>
      </c>
      <c r="X15" s="209" t="str">
        <f t="shared" ca="1" si="20"/>
        <v/>
      </c>
      <c r="Y15" s="209" t="str">
        <f t="shared" ca="1" si="21"/>
        <v/>
      </c>
      <c r="Z15" s="210" t="str">
        <f t="shared" ca="1" si="22"/>
        <v/>
      </c>
      <c r="AA15" s="211" t="str">
        <f t="shared" ca="1" si="23"/>
        <v/>
      </c>
      <c r="AB15" s="211" t="str">
        <f t="shared" ca="1" si="24"/>
        <v/>
      </c>
      <c r="AC15" s="212" t="str">
        <f t="shared" ca="1" si="25"/>
        <v/>
      </c>
      <c r="AD15" s="209" t="str">
        <f t="shared" ca="1" si="26"/>
        <v/>
      </c>
      <c r="AE15" s="209" t="str">
        <f t="shared" ca="1" si="27"/>
        <v/>
      </c>
      <c r="AF15" s="210" t="str">
        <f t="shared" ca="1" si="28"/>
        <v/>
      </c>
      <c r="AG15" s="211" t="str">
        <f t="shared" ca="1" si="29"/>
        <v/>
      </c>
      <c r="AH15" s="211" t="str">
        <f t="shared" ca="1" si="30"/>
        <v/>
      </c>
      <c r="AI15" s="215" t="str">
        <f t="shared" ca="1" si="31"/>
        <v/>
      </c>
    </row>
    <row r="16" spans="2:35" x14ac:dyDescent="0.25">
      <c r="B16" s="213">
        <v>12</v>
      </c>
      <c r="C16" s="260" t="str">
        <f t="shared" ca="1" si="1"/>
        <v/>
      </c>
      <c r="D16" s="260" t="str">
        <f t="shared" ca="1" si="0"/>
        <v/>
      </c>
      <c r="E16" s="260" t="str">
        <f t="shared" ca="1" si="0"/>
        <v/>
      </c>
      <c r="F16" s="209" t="str">
        <f t="shared" ca="1" si="2"/>
        <v/>
      </c>
      <c r="G16" s="209" t="str">
        <f t="shared" ca="1" si="3"/>
        <v/>
      </c>
      <c r="H16" s="210" t="str">
        <f t="shared" ca="1" si="4"/>
        <v/>
      </c>
      <c r="I16" s="211" t="str">
        <f t="shared" ca="1" si="5"/>
        <v/>
      </c>
      <c r="J16" s="211" t="str">
        <f t="shared" ca="1" si="6"/>
        <v/>
      </c>
      <c r="K16" s="212" t="str">
        <f t="shared" ca="1" si="7"/>
        <v/>
      </c>
      <c r="L16" s="209" t="str">
        <f t="shared" ca="1" si="8"/>
        <v/>
      </c>
      <c r="M16" s="209" t="str">
        <f t="shared" ca="1" si="9"/>
        <v/>
      </c>
      <c r="N16" s="210" t="str">
        <f t="shared" ca="1" si="10"/>
        <v/>
      </c>
      <c r="O16" s="211" t="str">
        <f t="shared" ca="1" si="11"/>
        <v/>
      </c>
      <c r="P16" s="211" t="str">
        <f t="shared" ca="1" si="12"/>
        <v/>
      </c>
      <c r="Q16" s="212" t="str">
        <f t="shared" ca="1" si="13"/>
        <v/>
      </c>
      <c r="R16" s="209" t="str">
        <f t="shared" ca="1" si="14"/>
        <v/>
      </c>
      <c r="S16" s="209" t="str">
        <f t="shared" ca="1" si="15"/>
        <v/>
      </c>
      <c r="T16" s="210" t="str">
        <f t="shared" ca="1" si="16"/>
        <v/>
      </c>
      <c r="U16" s="211" t="str">
        <f t="shared" ca="1" si="17"/>
        <v/>
      </c>
      <c r="V16" s="211" t="str">
        <f t="shared" ca="1" si="18"/>
        <v/>
      </c>
      <c r="W16" s="212" t="str">
        <f t="shared" ca="1" si="19"/>
        <v/>
      </c>
      <c r="X16" s="209" t="str">
        <f t="shared" ca="1" si="20"/>
        <v/>
      </c>
      <c r="Y16" s="209" t="str">
        <f t="shared" ca="1" si="21"/>
        <v/>
      </c>
      <c r="Z16" s="210" t="str">
        <f t="shared" ca="1" si="22"/>
        <v/>
      </c>
      <c r="AA16" s="211" t="str">
        <f t="shared" ca="1" si="23"/>
        <v/>
      </c>
      <c r="AB16" s="211" t="str">
        <f t="shared" ca="1" si="24"/>
        <v/>
      </c>
      <c r="AC16" s="212" t="str">
        <f t="shared" ca="1" si="25"/>
        <v/>
      </c>
      <c r="AD16" s="209" t="str">
        <f t="shared" ca="1" si="26"/>
        <v/>
      </c>
      <c r="AE16" s="209" t="str">
        <f t="shared" ca="1" si="27"/>
        <v/>
      </c>
      <c r="AF16" s="210" t="str">
        <f t="shared" ca="1" si="28"/>
        <v/>
      </c>
      <c r="AG16" s="211" t="str">
        <f t="shared" ca="1" si="29"/>
        <v/>
      </c>
      <c r="AH16" s="211" t="str">
        <f t="shared" ca="1" si="30"/>
        <v/>
      </c>
      <c r="AI16" s="215" t="str">
        <f t="shared" ca="1" si="31"/>
        <v/>
      </c>
    </row>
    <row r="17" spans="2:35" ht="14.25" thickBot="1" x14ac:dyDescent="0.3">
      <c r="B17" s="216" t="s">
        <v>3</v>
      </c>
      <c r="C17" s="261">
        <f ca="1">SUM(C5:C11)</f>
        <v>229</v>
      </c>
      <c r="D17" s="261">
        <f t="shared" ref="D17:AI17" ca="1" si="32">SUM(D5:D16)</f>
        <v>83272.534999999989</v>
      </c>
      <c r="E17" s="261">
        <f t="shared" ca="1" si="32"/>
        <v>80625900000</v>
      </c>
      <c r="F17" s="222">
        <f t="shared" ca="1" si="32"/>
        <v>217</v>
      </c>
      <c r="G17" s="222">
        <f t="shared" ca="1" si="32"/>
        <v>61184.299999999988</v>
      </c>
      <c r="H17" s="223">
        <f t="shared" ca="1" si="32"/>
        <v>58887300000</v>
      </c>
      <c r="I17" s="224">
        <f t="shared" ca="1" si="32"/>
        <v>8</v>
      </c>
      <c r="J17" s="224">
        <f t="shared" ca="1" si="32"/>
        <v>7229.5700000000006</v>
      </c>
      <c r="K17" s="225">
        <f t="shared" ca="1" si="32"/>
        <v>8336600000</v>
      </c>
      <c r="L17" s="222">
        <f t="shared" ca="1" si="32"/>
        <v>0</v>
      </c>
      <c r="M17" s="222">
        <f t="shared" ca="1" si="32"/>
        <v>0</v>
      </c>
      <c r="N17" s="223">
        <f t="shared" ca="1" si="32"/>
        <v>0</v>
      </c>
      <c r="O17" s="224">
        <f t="shared" ca="1" si="32"/>
        <v>1</v>
      </c>
      <c r="P17" s="224">
        <f t="shared" ca="1" si="32"/>
        <v>652.79999999999995</v>
      </c>
      <c r="Q17" s="225">
        <f t="shared" ca="1" si="32"/>
        <v>0</v>
      </c>
      <c r="R17" s="222">
        <f t="shared" ca="1" si="32"/>
        <v>12</v>
      </c>
      <c r="S17" s="222">
        <f t="shared" ca="1" si="32"/>
        <v>2699.415</v>
      </c>
      <c r="T17" s="223">
        <f t="shared" ca="1" si="32"/>
        <v>0</v>
      </c>
      <c r="U17" s="224">
        <f t="shared" ca="1" si="32"/>
        <v>3</v>
      </c>
      <c r="V17" s="224">
        <f t="shared" ca="1" si="32"/>
        <v>3093.915</v>
      </c>
      <c r="W17" s="225">
        <f t="shared" ca="1" si="32"/>
        <v>4074000000</v>
      </c>
      <c r="X17" s="222">
        <f t="shared" ca="1" si="32"/>
        <v>0</v>
      </c>
      <c r="Y17" s="222">
        <f t="shared" ca="1" si="32"/>
        <v>0</v>
      </c>
      <c r="Z17" s="223">
        <f t="shared" ca="1" si="32"/>
        <v>0</v>
      </c>
      <c r="AA17" s="224">
        <f t="shared" ca="1" si="32"/>
        <v>2</v>
      </c>
      <c r="AB17" s="224">
        <f t="shared" ca="1" si="32"/>
        <v>70.305000000000007</v>
      </c>
      <c r="AC17" s="225">
        <f t="shared" ca="1" si="32"/>
        <v>62000000</v>
      </c>
      <c r="AD17" s="222">
        <f t="shared" ca="1" si="32"/>
        <v>0</v>
      </c>
      <c r="AE17" s="222">
        <f t="shared" ca="1" si="32"/>
        <v>0</v>
      </c>
      <c r="AF17" s="223">
        <f t="shared" ca="1" si="32"/>
        <v>0</v>
      </c>
      <c r="AG17" s="224">
        <f t="shared" ca="1" si="32"/>
        <v>24</v>
      </c>
      <c r="AH17" s="224">
        <f t="shared" ca="1" si="32"/>
        <v>8342.2300000000014</v>
      </c>
      <c r="AI17" s="226">
        <f t="shared" ca="1" si="32"/>
        <v>9266000000</v>
      </c>
    </row>
    <row r="18" spans="2:35" x14ac:dyDescent="0.25">
      <c r="E18" s="200"/>
      <c r="H18" s="200"/>
      <c r="K18" s="200"/>
      <c r="N18" s="200"/>
      <c r="Q18" s="200"/>
      <c r="T18" s="200"/>
      <c r="W18" s="200"/>
      <c r="Z18" s="200"/>
      <c r="AC18" s="200"/>
      <c r="AF18" s="200"/>
      <c r="AI18" s="200"/>
    </row>
    <row r="19" spans="2:35" ht="21" thickBot="1" x14ac:dyDescent="0.3">
      <c r="B19" s="203" t="s">
        <v>165</v>
      </c>
      <c r="C19" s="204"/>
      <c r="D19" s="204"/>
      <c r="E19" s="256" t="s">
        <v>168</v>
      </c>
    </row>
    <row r="20" spans="2:35" x14ac:dyDescent="0.25">
      <c r="B20" s="474" t="s">
        <v>18</v>
      </c>
      <c r="C20" s="476" t="s">
        <v>173</v>
      </c>
      <c r="D20" s="476"/>
      <c r="E20" s="476"/>
      <c r="F20" s="473" t="str">
        <f>$F$3</f>
        <v>발전사업(A)</v>
      </c>
      <c r="G20" s="473"/>
      <c r="H20" s="473"/>
      <c r="I20" s="471" t="s">
        <v>137</v>
      </c>
      <c r="J20" s="471"/>
      <c r="K20" s="471"/>
      <c r="L20" s="473" t="s">
        <v>138</v>
      </c>
      <c r="M20" s="473"/>
      <c r="N20" s="473"/>
      <c r="O20" s="471" t="s">
        <v>139</v>
      </c>
      <c r="P20" s="471"/>
      <c r="Q20" s="471"/>
      <c r="R20" s="473" t="s">
        <v>140</v>
      </c>
      <c r="S20" s="473"/>
      <c r="T20" s="473"/>
      <c r="U20" s="471" t="s">
        <v>141</v>
      </c>
      <c r="V20" s="471"/>
      <c r="W20" s="471"/>
      <c r="X20" s="473" t="s">
        <v>142</v>
      </c>
      <c r="Y20" s="473"/>
      <c r="Z20" s="473"/>
      <c r="AA20" s="471" t="s">
        <v>143</v>
      </c>
      <c r="AB20" s="471"/>
      <c r="AC20" s="471"/>
      <c r="AD20" s="473" t="s">
        <v>144</v>
      </c>
      <c r="AE20" s="473"/>
      <c r="AF20" s="473"/>
      <c r="AG20" s="471" t="s">
        <v>145</v>
      </c>
      <c r="AH20" s="471"/>
      <c r="AI20" s="472"/>
    </row>
    <row r="21" spans="2:35" x14ac:dyDescent="0.25">
      <c r="B21" s="475"/>
      <c r="C21" s="259" t="s">
        <v>52</v>
      </c>
      <c r="D21" s="259" t="s">
        <v>163</v>
      </c>
      <c r="E21" s="259" t="s">
        <v>164</v>
      </c>
      <c r="F21" s="209" t="s">
        <v>52</v>
      </c>
      <c r="G21" s="209" t="s">
        <v>163</v>
      </c>
      <c r="H21" s="209" t="s">
        <v>164</v>
      </c>
      <c r="I21" s="211" t="s">
        <v>52</v>
      </c>
      <c r="J21" s="211" t="s">
        <v>163</v>
      </c>
      <c r="K21" s="211" t="s">
        <v>164</v>
      </c>
      <c r="L21" s="209" t="s">
        <v>52</v>
      </c>
      <c r="M21" s="209" t="s">
        <v>163</v>
      </c>
      <c r="N21" s="209" t="s">
        <v>164</v>
      </c>
      <c r="O21" s="211" t="s">
        <v>52</v>
      </c>
      <c r="P21" s="211" t="s">
        <v>163</v>
      </c>
      <c r="Q21" s="211" t="s">
        <v>164</v>
      </c>
      <c r="R21" s="209" t="s">
        <v>52</v>
      </c>
      <c r="S21" s="209" t="s">
        <v>163</v>
      </c>
      <c r="T21" s="209" t="s">
        <v>164</v>
      </c>
      <c r="U21" s="211" t="s">
        <v>52</v>
      </c>
      <c r="V21" s="211" t="s">
        <v>163</v>
      </c>
      <c r="W21" s="211" t="s">
        <v>164</v>
      </c>
      <c r="X21" s="209" t="s">
        <v>52</v>
      </c>
      <c r="Y21" s="209" t="s">
        <v>163</v>
      </c>
      <c r="Z21" s="209" t="s">
        <v>164</v>
      </c>
      <c r="AA21" s="211" t="s">
        <v>52</v>
      </c>
      <c r="AB21" s="211" t="s">
        <v>163</v>
      </c>
      <c r="AC21" s="211" t="s">
        <v>164</v>
      </c>
      <c r="AD21" s="209" t="s">
        <v>52</v>
      </c>
      <c r="AE21" s="209" t="s">
        <v>163</v>
      </c>
      <c r="AF21" s="209" t="s">
        <v>164</v>
      </c>
      <c r="AG21" s="211" t="s">
        <v>52</v>
      </c>
      <c r="AH21" s="211" t="s">
        <v>163</v>
      </c>
      <c r="AI21" s="214" t="s">
        <v>164</v>
      </c>
    </row>
    <row r="22" spans="2:35" x14ac:dyDescent="0.25">
      <c r="B22" s="213">
        <v>1</v>
      </c>
      <c r="C22" s="260" t="str">
        <f ca="1">IF(
  SUM(
    IFERROR(VALUE(F22), 0),
    IFERROR(VALUE(I22), 0),
    IFERROR(VALUE(L22), 0),
    IFERROR(VALUE(O22), 0),
    IFERROR(VALUE(R22), 0),
    IFERROR(VALUE(U22), 0),
    IFERROR(VALUE(X22), 0),
    IFERROR(VALUE(AA22), 0),
    IFERROR(VALUE(AD22), 0),
    IFERROR(VALUE(AG22), 0)
  ) = 0,
  "",
  SUM(
    IFERROR(VALUE(F22), 0),
    IFERROR(VALUE(I22), 0),
    IFERROR(VALUE(L22), 0),
    IFERROR(VALUE(O22), 0),
    IFERROR(VALUE(R22), 0),
    IFERROR(VALUE(U22), 0),
    IFERROR(VALUE(X22), 0),
    IFERROR(VALUE(AA22), 0),
    IFERROR(VALUE(AD22), 0),
    IFERROR(VALUE(AG22), 0)
  )
)</f>
        <v/>
      </c>
      <c r="D22" s="260" t="str">
        <f t="shared" ref="D22:D33" ca="1" si="33">IF(
  SUM(
    IFERROR(VALUE(G22), 0),
    IFERROR(VALUE(J22), 0),
    IFERROR(VALUE(M22), 0),
    IFERROR(VALUE(P22), 0),
    IFERROR(VALUE(S22), 0),
    IFERROR(VALUE(V22), 0),
    IFERROR(VALUE(Y22), 0),
    IFERROR(VALUE(AB22), 0),
    IFERROR(VALUE(AE22), 0),
    IFERROR(VALUE(AH22), 0)
  ) = 0,
  "",
  SUM(
    IFERROR(VALUE(G22), 0),
    IFERROR(VALUE(J22), 0),
    IFERROR(VALUE(M22), 0),
    IFERROR(VALUE(P22), 0),
    IFERROR(VALUE(S22), 0),
    IFERROR(VALUE(V22), 0),
    IFERROR(VALUE(Y22), 0),
    IFERROR(VALUE(AB22), 0),
    IFERROR(VALUE(AE22), 0),
    IFERROR(VALUE(AH22), 0)
  )
)</f>
        <v/>
      </c>
      <c r="E22" s="260" t="str">
        <f t="shared" ref="E22:E33" ca="1" si="34">IF(
  SUM(
    IFERROR(VALUE(H22), 0),
    IFERROR(VALUE(K22), 0),
    IFERROR(VALUE(N22), 0),
    IFERROR(VALUE(Q22), 0),
    IFERROR(VALUE(T22), 0),
    IFERROR(VALUE(W22), 0),
    IFERROR(VALUE(Z22), 0),
    IFERROR(VALUE(AC22), 0),
    IFERROR(VALUE(AF22), 0),
    IFERROR(VALUE(AI22), 0)
  ) = 0,
  "",
  SUM(
    IFERROR(VALUE(H22), 0),
    IFERROR(VALUE(K22), 0),
    IFERROR(VALUE(N22), 0),
    IFERROR(VALUE(Q22), 0),
    IFERROR(VALUE(T22), 0),
    IFERROR(VALUE(W22), 0),
    IFERROR(VALUE(Z22), 0),
    IFERROR(VALUE(AC22), 0),
    IFERROR(VALUE(AF22), 0),
    IFERROR(VALUE(AI22), 0)
  )
)</f>
        <v/>
      </c>
      <c r="F22" s="209" t="str">
        <f ca="1">IF(COUNTIFS(INDIRECT("'"&amp;F$3&amp;"'!G:G"), $B22, INDIRECT("'"&amp;F$3&amp;"'!W:W"), $H$19)=0, "", COUNTIFS(INDIRECT("'"&amp;F$3&amp;"'!G:G"), $B22, INDIRECT("'"&amp;F$3&amp;"'!W:W"), $H$19))</f>
        <v/>
      </c>
      <c r="G22" s="209" t="str">
        <f ca="1">IF(SUMIFS(INDIRECT("'"&amp;F$3&amp;"'!I:I"), INDIRECT("'"&amp;F$3&amp;"'!G:G"), $B22, INDIRECT("'"&amp;F$3&amp;"'!W:W"), $H$19)=0, "", SUMIFS(INDIRECT("'"&amp;F$3&amp;"'!I:I"), INDIRECT("'"&amp;F$3&amp;"'!G:G"), $B22, INDIRECT("'"&amp;F$3&amp;"'!W:W"), $H$19))</f>
        <v/>
      </c>
      <c r="H22" s="210" t="str">
        <f ca="1">IF(SUMIFS(INDIRECT("'"&amp;F$3&amp;"'!J:J"), INDIRECT("'"&amp;F$3&amp;"'!G:G"), $B22, INDIRECT("'"&amp;F$3&amp;"'!W:W"), $H$19)=0, "", SUMIFS(INDIRECT("'"&amp;F$3&amp;"'!J:J"), INDIRECT("'"&amp;F$3&amp;"'!G:G"), $B22, INDIRECT("'"&amp;F$3&amp;"'!W:W"), $H$19))</f>
        <v/>
      </c>
      <c r="I22" s="211" t="str">
        <f ca="1">IF(COUNTIFS(INDIRECT("'"&amp;I$3&amp;"'!G:G"), $B22, INDIRECT("'"&amp;I$3&amp;"'!W:W"), $H$19)=0, "", COUNTIFS(INDIRECT("'"&amp;I$3&amp;"'!G:G"), $B22, INDIRECT("'"&amp;I$3&amp;"'!W:W"), $H$19))</f>
        <v/>
      </c>
      <c r="J22" s="211" t="str">
        <f ca="1">IF(SUMIFS(INDIRECT("'"&amp;I$3&amp;"'!I:I"), INDIRECT("'"&amp;I$3&amp;"'!G:G"), $B22, INDIRECT("'"&amp;I$3&amp;"'!W:W"), $H$19)=0, "", SUMIFS(INDIRECT("'"&amp;I$3&amp;"'!I:I"), INDIRECT("'"&amp;I$3&amp;"'!G:G"), $B22, INDIRECT("'"&amp;I$3&amp;"'!W:W"), $H$19))</f>
        <v/>
      </c>
      <c r="K22" s="212" t="str">
        <f ca="1">IF(SUMIFS(INDIRECT("'"&amp;I$3&amp;"'!J:J"), INDIRECT("'"&amp;I$3&amp;"'!G:G"), $B22, INDIRECT("'"&amp;I$3&amp;"'!W:W"), $H$19)=0, "", SUMIFS(INDIRECT("'"&amp;I$3&amp;"'!J:J"), INDIRECT("'"&amp;I$3&amp;"'!G:G"), $B22, INDIRECT("'"&amp;I$3&amp;"'!W:W"), $H$19))</f>
        <v/>
      </c>
      <c r="L22" s="209" t="str">
        <f ca="1">IF(COUNTIFS(INDIRECT("'"&amp;L$3&amp;"'!G:G"), $B22, INDIRECT("'"&amp;L$3&amp;"'!W:W"), $H$19)=0, "", COUNTIFS(INDIRECT("'"&amp;L$3&amp;"'!G:G"), $B22, INDIRECT("'"&amp;L$3&amp;"'!W:W"), $H$19))</f>
        <v/>
      </c>
      <c r="M22" s="209" t="str">
        <f ca="1">IF(SUMIFS(INDIRECT("'"&amp;L$3&amp;"'!I:I"), INDIRECT("'"&amp;L$3&amp;"'!G:G"), $B22, INDIRECT("'"&amp;L$3&amp;"'!W:W"), $H$19)=0, "", SUMIFS(INDIRECT("'"&amp;L$3&amp;"'!I:I"), INDIRECT("'"&amp;L$3&amp;"'!G:G"), $B22, INDIRECT("'"&amp;L$3&amp;"'!W:W"), $H$19))</f>
        <v/>
      </c>
      <c r="N22" s="210" t="str">
        <f ca="1">IF(SUMIFS(INDIRECT("'"&amp;L$3&amp;"'!J:J"), INDIRECT("'"&amp;L$3&amp;"'!G:G"), $B22, INDIRECT("'"&amp;L$3&amp;"'!W:W"), $H$19)=0, "", SUMIFS(INDIRECT("'"&amp;L$3&amp;"'!J:J"), INDIRECT("'"&amp;L$3&amp;"'!G:G"), $B22, INDIRECT("'"&amp;L$3&amp;"'!W:W"), $H$19))</f>
        <v/>
      </c>
      <c r="O22" s="211" t="str">
        <f ca="1">IF(COUNTIFS(INDIRECT("'"&amp;O$3&amp;"'!G:G"), $B22, INDIRECT("'"&amp;O$3&amp;"'!W:W"), $H$19)=0, "", COUNTIFS(INDIRECT("'"&amp;O$3&amp;"'!G:G"), $B22, INDIRECT("'"&amp;O$3&amp;"'!W:W"), $H$19))</f>
        <v/>
      </c>
      <c r="P22" s="211" t="str">
        <f ca="1">IF(SUMIFS(INDIRECT("'"&amp;O$3&amp;"'!I:I"), INDIRECT("'"&amp;O$3&amp;"'!G:G"), $B22, INDIRECT("'"&amp;O$3&amp;"'!W:W"), $H$19)=0, "", SUMIFS(INDIRECT("'"&amp;O$3&amp;"'!I:I"), INDIRECT("'"&amp;O$3&amp;"'!G:G"), $B22, INDIRECT("'"&amp;O$3&amp;"'!W:W"), $H$19))</f>
        <v/>
      </c>
      <c r="Q22" s="212" t="str">
        <f ca="1">IF(SUMIFS(INDIRECT("'"&amp;O$3&amp;"'!J:J"), INDIRECT("'"&amp;O$3&amp;"'!G:G"), $B22, INDIRECT("'"&amp;O$3&amp;"'!W:W"), $H$19)=0, "", SUMIFS(INDIRECT("'"&amp;O$3&amp;"'!J:J"), INDIRECT("'"&amp;O$3&amp;"'!G:G"), $B22, INDIRECT("'"&amp;O$3&amp;"'!W:W"), $H$19))</f>
        <v/>
      </c>
      <c r="R22" s="209" t="str">
        <f ca="1">IF(COUNTIFS(INDIRECT("'"&amp;R$3&amp;"'!G:G"), $B22, INDIRECT("'"&amp;R$3&amp;"'!W:W"), $H$19)=0, "", COUNTIFS(INDIRECT("'"&amp;R$3&amp;"'!G:G"), $B22, INDIRECT("'"&amp;R$3&amp;"'!W:W"), $H$19))</f>
        <v/>
      </c>
      <c r="S22" s="209" t="str">
        <f ca="1">IF(SUMIFS(INDIRECT("'"&amp;R$3&amp;"'!I:I"), INDIRECT("'"&amp;R$3&amp;"'!G:G"), $B22, INDIRECT("'"&amp;R$3&amp;"'!W:W"), $H$19)=0, "", SUMIFS(INDIRECT("'"&amp;R$3&amp;"'!I:I"), INDIRECT("'"&amp;R$3&amp;"'!G:G"), $B22, INDIRECT("'"&amp;R$3&amp;"'!W:W"), $H$19))</f>
        <v/>
      </c>
      <c r="T22" s="210" t="str">
        <f ca="1">IF(SUMIFS(INDIRECT("'"&amp;R$3&amp;"'!J:J"), INDIRECT("'"&amp;R$3&amp;"'!G:G"), $B22, INDIRECT("'"&amp;R$3&amp;"'!W:W"), $H$19)=0, "", SUMIFS(INDIRECT("'"&amp;R$3&amp;"'!J:J"), INDIRECT("'"&amp;R$3&amp;"'!G:G"), $B22, INDIRECT("'"&amp;R$3&amp;"'!W:W"), $H$19))</f>
        <v/>
      </c>
      <c r="U22" s="211" t="str">
        <f ca="1">IF(COUNTIFS(INDIRECT("'"&amp;U$3&amp;"'!G:G"), $B22, INDIRECT("'"&amp;U$3&amp;"'!W:W"), $H$19)=0, "", COUNTIFS(INDIRECT("'"&amp;U$3&amp;"'!G:G"), $B22, INDIRECT("'"&amp;U$3&amp;"'!W:W"), $H$19))</f>
        <v/>
      </c>
      <c r="V22" s="211" t="str">
        <f ca="1">IF(SUMIFS(INDIRECT("'"&amp;U$3&amp;"'!I:I"), INDIRECT("'"&amp;U$3&amp;"'!G:G"), $B22, INDIRECT("'"&amp;U$3&amp;"'!W:W"), $H$19)=0, "", SUMIFS(INDIRECT("'"&amp;U$3&amp;"'!I:I"), INDIRECT("'"&amp;U$3&amp;"'!G:G"), $B22, INDIRECT("'"&amp;U$3&amp;"'!W:W"), $H$19))</f>
        <v/>
      </c>
      <c r="W22" s="212" t="str">
        <f ca="1">IF(SUMIFS(INDIRECT("'"&amp;U$3&amp;"'!J:J"), INDIRECT("'"&amp;U$3&amp;"'!G:G"), $B22, INDIRECT("'"&amp;U$3&amp;"'!W:W"), $H$19)=0, "", SUMIFS(INDIRECT("'"&amp;U$3&amp;"'!J:J"), INDIRECT("'"&amp;U$3&amp;"'!G:G"), $B22, INDIRECT("'"&amp;U$3&amp;"'!W:W"), $H$19))</f>
        <v/>
      </c>
      <c r="X22" s="209" t="str">
        <f ca="1">IF(COUNTIFS(INDIRECT("'"&amp;X$3&amp;"'!G:G"), $B22, INDIRECT("'"&amp;X$3&amp;"'!W:W"), $H$19)=0, "", COUNTIFS(INDIRECT("'"&amp;X$3&amp;"'!G:G"), $B22, INDIRECT("'"&amp;X$3&amp;"'!W:W"), $H$19))</f>
        <v/>
      </c>
      <c r="Y22" s="209" t="str">
        <f ca="1">IF(SUMIFS(INDIRECT("'"&amp;X$3&amp;"'!I:I"), INDIRECT("'"&amp;X$3&amp;"'!G:G"), $B22, INDIRECT("'"&amp;X$3&amp;"'!W:W"), $H$19)=0, "", SUMIFS(INDIRECT("'"&amp;X$3&amp;"'!I:I"), INDIRECT("'"&amp;X$3&amp;"'!G:G"), $B22, INDIRECT("'"&amp;X$3&amp;"'!W:W"), $H$19))</f>
        <v/>
      </c>
      <c r="Z22" s="210" t="str">
        <f ca="1">IF(SUMIFS(INDIRECT("'"&amp;X$3&amp;"'!J:J"), INDIRECT("'"&amp;X$3&amp;"'!G:G"), $B22, INDIRECT("'"&amp;X$3&amp;"'!W:W"), $H$19)=0, "", SUMIFS(INDIRECT("'"&amp;X$3&amp;"'!J:J"), INDIRECT("'"&amp;X$3&amp;"'!G:G"), $B22, INDIRECT("'"&amp;X$3&amp;"'!W:W"), $H$19))</f>
        <v/>
      </c>
      <c r="AA22" s="211" t="str">
        <f ca="1">IF(COUNTIFS(INDIRECT("'"&amp;AA$3&amp;"'!G:G"), $B22, INDIRECT("'"&amp;AA$3&amp;"'!W:W"), $H$19)=0, "", COUNTIFS(INDIRECT("'"&amp;AA$3&amp;"'!G:G"), $B22, INDIRECT("'"&amp;AA$3&amp;"'!W:W"), $H$19))</f>
        <v/>
      </c>
      <c r="AB22" s="211" t="str">
        <f ca="1">IF(SUMIFS(INDIRECT("'"&amp;AA$3&amp;"'!I:I"), INDIRECT("'"&amp;AA$3&amp;"'!G:G"), $B22, INDIRECT("'"&amp;AA$3&amp;"'!W:W"), $H$19)=0, "", SUMIFS(INDIRECT("'"&amp;AA$3&amp;"'!I:I"), INDIRECT("'"&amp;AA$3&amp;"'!G:G"), $B22, INDIRECT("'"&amp;AA$3&amp;"'!W:W"), $H$19))</f>
        <v/>
      </c>
      <c r="AC22" s="212" t="str">
        <f ca="1">IF(SUMIFS(INDIRECT("'"&amp;AA$3&amp;"'!J:J"), INDIRECT("'"&amp;AA$3&amp;"'!G:G"), $B22, INDIRECT("'"&amp;AA$3&amp;"'!W:W"), $H$19)=0, "", SUMIFS(INDIRECT("'"&amp;AA$3&amp;"'!J:J"), INDIRECT("'"&amp;AA$3&amp;"'!G:G"), $B22, INDIRECT("'"&amp;AA$3&amp;"'!W:W"), $H$19))</f>
        <v/>
      </c>
      <c r="AD22" s="209" t="str">
        <f ca="1">IF(COUNTIFS(INDIRECT("'"&amp;AD$3&amp;"'!G:G"), $B22, INDIRECT("'"&amp;AD$3&amp;"'!W:W"), $H$19)=0, "", COUNTIFS(INDIRECT("'"&amp;AD$3&amp;"'!G:G"), $B22, INDIRECT("'"&amp;AD$3&amp;"'!W:W"), $H$19))</f>
        <v/>
      </c>
      <c r="AE22" s="209" t="str">
        <f ca="1">IF(SUMIFS(INDIRECT("'"&amp;AD$3&amp;"'!I:I"), INDIRECT("'"&amp;AD$3&amp;"'!G:G"), $B22, INDIRECT("'"&amp;AD$3&amp;"'!W:W"), $H$19)=0, "", SUMIFS(INDIRECT("'"&amp;AD$3&amp;"'!I:I"), INDIRECT("'"&amp;AD$3&amp;"'!G:G"), $B22, INDIRECT("'"&amp;AD$3&amp;"'!W:W"), $H$19))</f>
        <v/>
      </c>
      <c r="AF22" s="210" t="str">
        <f ca="1">IF(SUMIFS(INDIRECT("'"&amp;AD$3&amp;"'!J:J"), INDIRECT("'"&amp;AD$3&amp;"'!G:G"), $B22, INDIRECT("'"&amp;AD$3&amp;"'!W:W"), $H$19)=0, "", SUMIFS(INDIRECT("'"&amp;AD$3&amp;"'!J:J"), INDIRECT("'"&amp;AD$3&amp;"'!G:G"), $B22, INDIRECT("'"&amp;AD$3&amp;"'!W:W"), $H$19))</f>
        <v/>
      </c>
      <c r="AG22" s="211" t="str">
        <f ca="1">IF(COUNTIFS(INDIRECT("'"&amp;AG$3&amp;"'!G:G"), $B22, INDIRECT("'"&amp;AG$3&amp;"'!W:W"), $H$19)=0, "", COUNTIFS(INDIRECT("'"&amp;AG$3&amp;"'!G:G"), $B22, INDIRECT("'"&amp;AG$3&amp;"'!W:W"), $H$19))</f>
        <v/>
      </c>
      <c r="AH22" s="211" t="str">
        <f ca="1">IF(SUMIFS(INDIRECT("'"&amp;AG$3&amp;"'!I:I"), INDIRECT("'"&amp;AG$3&amp;"'!G:G"), $B22, INDIRECT("'"&amp;AG$3&amp;"'!W:W"), $H$19)=0, "", SUMIFS(INDIRECT("'"&amp;AG$3&amp;"'!I:I"), INDIRECT("'"&amp;AG$3&amp;"'!G:G"), $B22, INDIRECT("'"&amp;AG$3&amp;"'!W:W"), $H$19))</f>
        <v/>
      </c>
      <c r="AI22" s="215" t="str">
        <f ca="1">IF(SUMIFS(INDIRECT("'"&amp;AG$3&amp;"'!J:J"), INDIRECT("'"&amp;AG$3&amp;"'!G:G"), $B22, INDIRECT("'"&amp;AG$3&amp;"'!W:W"), $H$19)=0, "", SUMIFS(INDIRECT("'"&amp;AG$3&amp;"'!J:J"), INDIRECT("'"&amp;AG$3&amp;"'!G:G"), $B22, INDIRECT("'"&amp;AG$3&amp;"'!W:W"), $H$19))</f>
        <v/>
      </c>
    </row>
    <row r="23" spans="2:35" x14ac:dyDescent="0.25">
      <c r="B23" s="213">
        <v>2</v>
      </c>
      <c r="C23" s="260" t="str">
        <f t="shared" ref="C23:C33" ca="1" si="35">IF(
  SUM(
    IFERROR(VALUE(F23), 0),
    IFERROR(VALUE(I23), 0),
    IFERROR(VALUE(L23), 0),
    IFERROR(VALUE(O23), 0),
    IFERROR(VALUE(R23), 0),
    IFERROR(VALUE(U23), 0),
    IFERROR(VALUE(X23), 0),
    IFERROR(VALUE(AA23), 0),
    IFERROR(VALUE(AD23), 0),
    IFERROR(VALUE(AG23), 0)
  ) = 0,
  "",
  SUM(
    IFERROR(VALUE(F23), 0),
    IFERROR(VALUE(I23), 0),
    IFERROR(VALUE(L23), 0),
    IFERROR(VALUE(O23), 0),
    IFERROR(VALUE(R23), 0),
    IFERROR(VALUE(U23), 0),
    IFERROR(VALUE(X23), 0),
    IFERROR(VALUE(AA23), 0),
    IFERROR(VALUE(AD23), 0),
    IFERROR(VALUE(AG23), 0)
  )
)</f>
        <v/>
      </c>
      <c r="D23" s="260" t="str">
        <f t="shared" ca="1" si="33"/>
        <v/>
      </c>
      <c r="E23" s="260" t="str">
        <f t="shared" ca="1" si="34"/>
        <v/>
      </c>
      <c r="F23" s="209" t="str">
        <f t="shared" ref="F23:F33" ca="1" si="36">IF(COUNTIFS(INDIRECT("'"&amp;F$3&amp;"'!G:G"), $B23, INDIRECT("'"&amp;F$3&amp;"'!W:W"), $H$19)=0, "", COUNTIFS(INDIRECT("'"&amp;F$3&amp;"'!G:G"), $B23, INDIRECT("'"&amp;F$3&amp;"'!W:W"), $H$19))</f>
        <v/>
      </c>
      <c r="G23" s="209" t="str">
        <f t="shared" ref="G23:G33" ca="1" si="37">IF(SUMIFS(INDIRECT("'"&amp;F$3&amp;"'!I:I"), INDIRECT("'"&amp;F$3&amp;"'!G:G"), $B23, INDIRECT("'"&amp;F$3&amp;"'!W:W"), $H$19)=0, "", SUMIFS(INDIRECT("'"&amp;F$3&amp;"'!I:I"), INDIRECT("'"&amp;F$3&amp;"'!G:G"), $B23, INDIRECT("'"&amp;F$3&amp;"'!W:W"), $H$19))</f>
        <v/>
      </c>
      <c r="H23" s="210" t="str">
        <f t="shared" ref="H23:H33" ca="1" si="38">IF(SUMIFS(INDIRECT("'"&amp;F$3&amp;"'!J:J"), INDIRECT("'"&amp;F$3&amp;"'!G:G"), $B23, INDIRECT("'"&amp;F$3&amp;"'!W:W"), $H$19)=0, "", SUMIFS(INDIRECT("'"&amp;F$3&amp;"'!J:J"), INDIRECT("'"&amp;F$3&amp;"'!G:G"), $B23, INDIRECT("'"&amp;F$3&amp;"'!W:W"), $H$19))</f>
        <v/>
      </c>
      <c r="I23" s="211" t="str">
        <f t="shared" ref="I23:I33" ca="1" si="39">IF(COUNTIFS(INDIRECT("'"&amp;I$3&amp;"'!G:G"), $B23, INDIRECT("'"&amp;I$3&amp;"'!W:W"), $H$19)=0, "", COUNTIFS(INDIRECT("'"&amp;I$3&amp;"'!G:G"), $B23, INDIRECT("'"&amp;I$3&amp;"'!W:W"), $H$19))</f>
        <v/>
      </c>
      <c r="J23" s="211" t="str">
        <f t="shared" ref="J23:J33" ca="1" si="40">IF(SUMIFS(INDIRECT("'"&amp;I$3&amp;"'!I:I"), INDIRECT("'"&amp;I$3&amp;"'!G:G"), $B23, INDIRECT("'"&amp;I$3&amp;"'!W:W"), $H$19)=0, "", SUMIFS(INDIRECT("'"&amp;I$3&amp;"'!I:I"), INDIRECT("'"&amp;I$3&amp;"'!G:G"), $B23, INDIRECT("'"&amp;I$3&amp;"'!W:W"), $H$19))</f>
        <v/>
      </c>
      <c r="K23" s="212" t="str">
        <f t="shared" ref="K23:K33" ca="1" si="41">IF(SUMIFS(INDIRECT("'"&amp;I$3&amp;"'!J:J"), INDIRECT("'"&amp;I$3&amp;"'!G:G"), $B23, INDIRECT("'"&amp;I$3&amp;"'!W:W"), $H$19)=0, "", SUMIFS(INDIRECT("'"&amp;I$3&amp;"'!J:J"), INDIRECT("'"&amp;I$3&amp;"'!G:G"), $B23, INDIRECT("'"&amp;I$3&amp;"'!W:W"), $H$19))</f>
        <v/>
      </c>
      <c r="L23" s="209" t="str">
        <f t="shared" ref="L23:L33" ca="1" si="42">IF(COUNTIFS(INDIRECT("'"&amp;L$3&amp;"'!G:G"), $B23, INDIRECT("'"&amp;L$3&amp;"'!W:W"), $H$19)=0, "", COUNTIFS(INDIRECT("'"&amp;L$3&amp;"'!G:G"), $B23, INDIRECT("'"&amp;L$3&amp;"'!W:W"), $H$19))</f>
        <v/>
      </c>
      <c r="M23" s="209" t="str">
        <f t="shared" ref="M23:M33" ca="1" si="43">IF(SUMIFS(INDIRECT("'"&amp;L$3&amp;"'!I:I"), INDIRECT("'"&amp;L$3&amp;"'!G:G"), $B23, INDIRECT("'"&amp;L$3&amp;"'!W:W"), $H$19)=0, "", SUMIFS(INDIRECT("'"&amp;L$3&amp;"'!I:I"), INDIRECT("'"&amp;L$3&amp;"'!G:G"), $B23, INDIRECT("'"&amp;L$3&amp;"'!W:W"), $H$19))</f>
        <v/>
      </c>
      <c r="N23" s="210" t="str">
        <f t="shared" ref="N23:N33" ca="1" si="44">IF(SUMIFS(INDIRECT("'"&amp;L$3&amp;"'!J:J"), INDIRECT("'"&amp;L$3&amp;"'!G:G"), $B23, INDIRECT("'"&amp;L$3&amp;"'!W:W"), $H$19)=0, "", SUMIFS(INDIRECT("'"&amp;L$3&amp;"'!J:J"), INDIRECT("'"&amp;L$3&amp;"'!G:G"), $B23, INDIRECT("'"&amp;L$3&amp;"'!W:W"), $H$19))</f>
        <v/>
      </c>
      <c r="O23" s="211" t="str">
        <f t="shared" ref="O23:O33" ca="1" si="45">IF(COUNTIFS(INDIRECT("'"&amp;O$3&amp;"'!G:G"), $B23, INDIRECT("'"&amp;O$3&amp;"'!W:W"), $H$19)=0, "", COUNTIFS(INDIRECT("'"&amp;O$3&amp;"'!G:G"), $B23, INDIRECT("'"&amp;O$3&amp;"'!W:W"), $H$19))</f>
        <v/>
      </c>
      <c r="P23" s="211" t="str">
        <f t="shared" ref="P23:P33" ca="1" si="46">IF(SUMIFS(INDIRECT("'"&amp;O$3&amp;"'!I:I"), INDIRECT("'"&amp;O$3&amp;"'!G:G"), $B23, INDIRECT("'"&amp;O$3&amp;"'!W:W"), $H$19)=0, "", SUMIFS(INDIRECT("'"&amp;O$3&amp;"'!I:I"), INDIRECT("'"&amp;O$3&amp;"'!G:G"), $B23, INDIRECT("'"&amp;O$3&amp;"'!W:W"), $H$19))</f>
        <v/>
      </c>
      <c r="Q23" s="212" t="str">
        <f t="shared" ref="Q23:Q33" ca="1" si="47">IF(SUMIFS(INDIRECT("'"&amp;O$3&amp;"'!J:J"), INDIRECT("'"&amp;O$3&amp;"'!G:G"), $B23, INDIRECT("'"&amp;O$3&amp;"'!W:W"), $H$19)=0, "", SUMIFS(INDIRECT("'"&amp;O$3&amp;"'!J:J"), INDIRECT("'"&amp;O$3&amp;"'!G:G"), $B23, INDIRECT("'"&amp;O$3&amp;"'!W:W"), $H$19))</f>
        <v/>
      </c>
      <c r="R23" s="209" t="str">
        <f t="shared" ref="R23:R33" ca="1" si="48">IF(COUNTIFS(INDIRECT("'"&amp;R$3&amp;"'!G:G"), $B23, INDIRECT("'"&amp;R$3&amp;"'!W:W"), $H$19)=0, "", COUNTIFS(INDIRECT("'"&amp;R$3&amp;"'!G:G"), $B23, INDIRECT("'"&amp;R$3&amp;"'!W:W"), $H$19))</f>
        <v/>
      </c>
      <c r="S23" s="209" t="str">
        <f t="shared" ref="S23:S33" ca="1" si="49">IF(SUMIFS(INDIRECT("'"&amp;R$3&amp;"'!I:I"), INDIRECT("'"&amp;R$3&amp;"'!G:G"), $B23, INDIRECT("'"&amp;R$3&amp;"'!W:W"), $H$19)=0, "", SUMIFS(INDIRECT("'"&amp;R$3&amp;"'!I:I"), INDIRECT("'"&amp;R$3&amp;"'!G:G"), $B23, INDIRECT("'"&amp;R$3&amp;"'!W:W"), $H$19))</f>
        <v/>
      </c>
      <c r="T23" s="210" t="str">
        <f t="shared" ref="T23:T33" ca="1" si="50">IF(SUMIFS(INDIRECT("'"&amp;R$3&amp;"'!J:J"), INDIRECT("'"&amp;R$3&amp;"'!G:G"), $B23, INDIRECT("'"&amp;R$3&amp;"'!W:W"), $H$19)=0, "", SUMIFS(INDIRECT("'"&amp;R$3&amp;"'!J:J"), INDIRECT("'"&amp;R$3&amp;"'!G:G"), $B23, INDIRECT("'"&amp;R$3&amp;"'!W:W"), $H$19))</f>
        <v/>
      </c>
      <c r="U23" s="211" t="str">
        <f t="shared" ref="U23:U33" ca="1" si="51">IF(COUNTIFS(INDIRECT("'"&amp;U$3&amp;"'!G:G"), $B23, INDIRECT("'"&amp;U$3&amp;"'!W:W"), $H$19)=0, "", COUNTIFS(INDIRECT("'"&amp;U$3&amp;"'!G:G"), $B23, INDIRECT("'"&amp;U$3&amp;"'!W:W"), $H$19))</f>
        <v/>
      </c>
      <c r="V23" s="211" t="str">
        <f t="shared" ref="V23:V33" ca="1" si="52">IF(SUMIFS(INDIRECT("'"&amp;U$3&amp;"'!I:I"), INDIRECT("'"&amp;U$3&amp;"'!G:G"), $B23, INDIRECT("'"&amp;U$3&amp;"'!W:W"), $H$19)=0, "", SUMIFS(INDIRECT("'"&amp;U$3&amp;"'!I:I"), INDIRECT("'"&amp;U$3&amp;"'!G:G"), $B23, INDIRECT("'"&amp;U$3&amp;"'!W:W"), $H$19))</f>
        <v/>
      </c>
      <c r="W23" s="212" t="str">
        <f t="shared" ref="W23:W33" ca="1" si="53">IF(SUMIFS(INDIRECT("'"&amp;U$3&amp;"'!J:J"), INDIRECT("'"&amp;U$3&amp;"'!G:G"), $B23, INDIRECT("'"&amp;U$3&amp;"'!W:W"), $H$19)=0, "", SUMIFS(INDIRECT("'"&amp;U$3&amp;"'!J:J"), INDIRECT("'"&amp;U$3&amp;"'!G:G"), $B23, INDIRECT("'"&amp;U$3&amp;"'!W:W"), $H$19))</f>
        <v/>
      </c>
      <c r="X23" s="209" t="str">
        <f t="shared" ref="X23:X33" ca="1" si="54">IF(COUNTIFS(INDIRECT("'"&amp;X$3&amp;"'!G:G"), $B23, INDIRECT("'"&amp;X$3&amp;"'!W:W"), $H$19)=0, "", COUNTIFS(INDIRECT("'"&amp;X$3&amp;"'!G:G"), $B23, INDIRECT("'"&amp;X$3&amp;"'!W:W"), $H$19))</f>
        <v/>
      </c>
      <c r="Y23" s="209" t="str">
        <f t="shared" ref="Y23:Y33" ca="1" si="55">IF(SUMIFS(INDIRECT("'"&amp;X$3&amp;"'!I:I"), INDIRECT("'"&amp;X$3&amp;"'!G:G"), $B23, INDIRECT("'"&amp;X$3&amp;"'!W:W"), $H$19)=0, "", SUMIFS(INDIRECT("'"&amp;X$3&amp;"'!I:I"), INDIRECT("'"&amp;X$3&amp;"'!G:G"), $B23, INDIRECT("'"&amp;X$3&amp;"'!W:W"), $H$19))</f>
        <v/>
      </c>
      <c r="Z23" s="210" t="str">
        <f t="shared" ref="Z23:Z33" ca="1" si="56">IF(SUMIFS(INDIRECT("'"&amp;X$3&amp;"'!J:J"), INDIRECT("'"&amp;X$3&amp;"'!G:G"), $B23, INDIRECT("'"&amp;X$3&amp;"'!W:W"), $H$19)=0, "", SUMIFS(INDIRECT("'"&amp;X$3&amp;"'!J:J"), INDIRECT("'"&amp;X$3&amp;"'!G:G"), $B23, INDIRECT("'"&amp;X$3&amp;"'!W:W"), $H$19))</f>
        <v/>
      </c>
      <c r="AA23" s="211" t="str">
        <f t="shared" ref="AA23:AA33" ca="1" si="57">IF(COUNTIFS(INDIRECT("'"&amp;AA$3&amp;"'!G:G"), $B23, INDIRECT("'"&amp;AA$3&amp;"'!W:W"), $H$19)=0, "", COUNTIFS(INDIRECT("'"&amp;AA$3&amp;"'!G:G"), $B23, INDIRECT("'"&amp;AA$3&amp;"'!W:W"), $H$19))</f>
        <v/>
      </c>
      <c r="AB23" s="211" t="str">
        <f t="shared" ref="AB23:AB33" ca="1" si="58">IF(SUMIFS(INDIRECT("'"&amp;AA$3&amp;"'!I:I"), INDIRECT("'"&amp;AA$3&amp;"'!G:G"), $B23, INDIRECT("'"&amp;AA$3&amp;"'!W:W"), $H$19)=0, "", SUMIFS(INDIRECT("'"&amp;AA$3&amp;"'!I:I"), INDIRECT("'"&amp;AA$3&amp;"'!G:G"), $B23, INDIRECT("'"&amp;AA$3&amp;"'!W:W"), $H$19))</f>
        <v/>
      </c>
      <c r="AC23" s="212" t="str">
        <f t="shared" ref="AC23:AC33" ca="1" si="59">IF(SUMIFS(INDIRECT("'"&amp;AA$3&amp;"'!J:J"), INDIRECT("'"&amp;AA$3&amp;"'!G:G"), $B23, INDIRECT("'"&amp;AA$3&amp;"'!W:W"), $H$19)=0, "", SUMIFS(INDIRECT("'"&amp;AA$3&amp;"'!J:J"), INDIRECT("'"&amp;AA$3&amp;"'!G:G"), $B23, INDIRECT("'"&amp;AA$3&amp;"'!W:W"), $H$19))</f>
        <v/>
      </c>
      <c r="AD23" s="209" t="str">
        <f t="shared" ref="AD23:AD33" ca="1" si="60">IF(COUNTIFS(INDIRECT("'"&amp;AD$3&amp;"'!G:G"), $B23, INDIRECT("'"&amp;AD$3&amp;"'!W:W"), $H$19)=0, "", COUNTIFS(INDIRECT("'"&amp;AD$3&amp;"'!G:G"), $B23, INDIRECT("'"&amp;AD$3&amp;"'!W:W"), $H$19))</f>
        <v/>
      </c>
      <c r="AE23" s="209" t="str">
        <f t="shared" ref="AE23:AE33" ca="1" si="61">IF(SUMIFS(INDIRECT("'"&amp;AD$3&amp;"'!I:I"), INDIRECT("'"&amp;AD$3&amp;"'!G:G"), $B23, INDIRECT("'"&amp;AD$3&amp;"'!W:W"), $H$19)=0, "", SUMIFS(INDIRECT("'"&amp;AD$3&amp;"'!I:I"), INDIRECT("'"&amp;AD$3&amp;"'!G:G"), $B23, INDIRECT("'"&amp;AD$3&amp;"'!W:W"), $H$19))</f>
        <v/>
      </c>
      <c r="AF23" s="210" t="str">
        <f t="shared" ref="AF23:AF33" ca="1" si="62">IF(SUMIFS(INDIRECT("'"&amp;AD$3&amp;"'!J:J"), INDIRECT("'"&amp;AD$3&amp;"'!G:G"), $B23, INDIRECT("'"&amp;AD$3&amp;"'!W:W"), $H$19)=0, "", SUMIFS(INDIRECT("'"&amp;AD$3&amp;"'!J:J"), INDIRECT("'"&amp;AD$3&amp;"'!G:G"), $B23, INDIRECT("'"&amp;AD$3&amp;"'!W:W"), $H$19))</f>
        <v/>
      </c>
      <c r="AG23" s="211" t="str">
        <f t="shared" ref="AG23:AG33" ca="1" si="63">IF(COUNTIFS(INDIRECT("'"&amp;AG$3&amp;"'!G:G"), $B23, INDIRECT("'"&amp;AG$3&amp;"'!W:W"), $H$19)=0, "", COUNTIFS(INDIRECT("'"&amp;AG$3&amp;"'!G:G"), $B23, INDIRECT("'"&amp;AG$3&amp;"'!W:W"), $H$19))</f>
        <v/>
      </c>
      <c r="AH23" s="211" t="str">
        <f t="shared" ref="AH23:AH33" ca="1" si="64">IF(SUMIFS(INDIRECT("'"&amp;AG$3&amp;"'!I:I"), INDIRECT("'"&amp;AG$3&amp;"'!G:G"), $B23, INDIRECT("'"&amp;AG$3&amp;"'!W:W"), $H$19)=0, "", SUMIFS(INDIRECT("'"&amp;AG$3&amp;"'!I:I"), INDIRECT("'"&amp;AG$3&amp;"'!G:G"), $B23, INDIRECT("'"&amp;AG$3&amp;"'!W:W"), $H$19))</f>
        <v/>
      </c>
      <c r="AI23" s="215" t="str">
        <f t="shared" ref="AI23:AI33" ca="1" si="65">IF(SUMIFS(INDIRECT("'"&amp;AG$3&amp;"'!J:J"), INDIRECT("'"&amp;AG$3&amp;"'!G:G"), $B23, INDIRECT("'"&amp;AG$3&amp;"'!W:W"), $H$19)=0, "", SUMIFS(INDIRECT("'"&amp;AG$3&amp;"'!J:J"), INDIRECT("'"&amp;AG$3&amp;"'!G:G"), $B23, INDIRECT("'"&amp;AG$3&amp;"'!W:W"), $H$19))</f>
        <v/>
      </c>
    </row>
    <row r="24" spans="2:35" x14ac:dyDescent="0.25">
      <c r="B24" s="213">
        <v>3</v>
      </c>
      <c r="C24" s="260" t="str">
        <f t="shared" ca="1" si="35"/>
        <v/>
      </c>
      <c r="D24" s="260" t="str">
        <f t="shared" ca="1" si="33"/>
        <v/>
      </c>
      <c r="E24" s="260" t="str">
        <f t="shared" ca="1" si="34"/>
        <v/>
      </c>
      <c r="F24" s="209" t="str">
        <f t="shared" ca="1" si="36"/>
        <v/>
      </c>
      <c r="G24" s="209" t="str">
        <f t="shared" ca="1" si="37"/>
        <v/>
      </c>
      <c r="H24" s="210" t="str">
        <f t="shared" ca="1" si="38"/>
        <v/>
      </c>
      <c r="I24" s="211" t="str">
        <f t="shared" ca="1" si="39"/>
        <v/>
      </c>
      <c r="J24" s="211" t="str">
        <f t="shared" ca="1" si="40"/>
        <v/>
      </c>
      <c r="K24" s="212" t="str">
        <f t="shared" ca="1" si="41"/>
        <v/>
      </c>
      <c r="L24" s="209" t="str">
        <f t="shared" ca="1" si="42"/>
        <v/>
      </c>
      <c r="M24" s="209" t="str">
        <f t="shared" ca="1" si="43"/>
        <v/>
      </c>
      <c r="N24" s="210" t="str">
        <f t="shared" ca="1" si="44"/>
        <v/>
      </c>
      <c r="O24" s="211" t="str">
        <f t="shared" ca="1" si="45"/>
        <v/>
      </c>
      <c r="P24" s="211" t="str">
        <f t="shared" ca="1" si="46"/>
        <v/>
      </c>
      <c r="Q24" s="212" t="str">
        <f t="shared" ca="1" si="47"/>
        <v/>
      </c>
      <c r="R24" s="209" t="str">
        <f t="shared" ca="1" si="48"/>
        <v/>
      </c>
      <c r="S24" s="209" t="str">
        <f t="shared" ca="1" si="49"/>
        <v/>
      </c>
      <c r="T24" s="210" t="str">
        <f t="shared" ca="1" si="50"/>
        <v/>
      </c>
      <c r="U24" s="211" t="str">
        <f t="shared" ca="1" si="51"/>
        <v/>
      </c>
      <c r="V24" s="211" t="str">
        <f t="shared" ca="1" si="52"/>
        <v/>
      </c>
      <c r="W24" s="212" t="str">
        <f t="shared" ca="1" si="53"/>
        <v/>
      </c>
      <c r="X24" s="209" t="str">
        <f t="shared" ca="1" si="54"/>
        <v/>
      </c>
      <c r="Y24" s="209" t="str">
        <f t="shared" ca="1" si="55"/>
        <v/>
      </c>
      <c r="Z24" s="210" t="str">
        <f t="shared" ca="1" si="56"/>
        <v/>
      </c>
      <c r="AA24" s="211" t="str">
        <f t="shared" ca="1" si="57"/>
        <v/>
      </c>
      <c r="AB24" s="211" t="str">
        <f t="shared" ca="1" si="58"/>
        <v/>
      </c>
      <c r="AC24" s="212" t="str">
        <f t="shared" ca="1" si="59"/>
        <v/>
      </c>
      <c r="AD24" s="209" t="str">
        <f t="shared" ca="1" si="60"/>
        <v/>
      </c>
      <c r="AE24" s="209" t="str">
        <f t="shared" ca="1" si="61"/>
        <v/>
      </c>
      <c r="AF24" s="210" t="str">
        <f t="shared" ca="1" si="62"/>
        <v/>
      </c>
      <c r="AG24" s="211" t="str">
        <f t="shared" ca="1" si="63"/>
        <v/>
      </c>
      <c r="AH24" s="211" t="str">
        <f t="shared" ca="1" si="64"/>
        <v/>
      </c>
      <c r="AI24" s="215" t="str">
        <f t="shared" ca="1" si="65"/>
        <v/>
      </c>
    </row>
    <row r="25" spans="2:35" x14ac:dyDescent="0.25">
      <c r="B25" s="213">
        <v>4</v>
      </c>
      <c r="C25" s="260" t="str">
        <f t="shared" ca="1" si="35"/>
        <v/>
      </c>
      <c r="D25" s="260" t="str">
        <f t="shared" ca="1" si="33"/>
        <v/>
      </c>
      <c r="E25" s="260" t="str">
        <f t="shared" ca="1" si="34"/>
        <v/>
      </c>
      <c r="F25" s="209" t="str">
        <f t="shared" ca="1" si="36"/>
        <v/>
      </c>
      <c r="G25" s="209" t="str">
        <f t="shared" ca="1" si="37"/>
        <v/>
      </c>
      <c r="H25" s="210" t="str">
        <f t="shared" ca="1" si="38"/>
        <v/>
      </c>
      <c r="I25" s="211" t="str">
        <f t="shared" ca="1" si="39"/>
        <v/>
      </c>
      <c r="J25" s="211" t="str">
        <f t="shared" ca="1" si="40"/>
        <v/>
      </c>
      <c r="K25" s="212" t="str">
        <f t="shared" ca="1" si="41"/>
        <v/>
      </c>
      <c r="L25" s="209" t="str">
        <f t="shared" ca="1" si="42"/>
        <v/>
      </c>
      <c r="M25" s="209" t="str">
        <f t="shared" ca="1" si="43"/>
        <v/>
      </c>
      <c r="N25" s="210" t="str">
        <f t="shared" ca="1" si="44"/>
        <v/>
      </c>
      <c r="O25" s="211" t="str">
        <f t="shared" ca="1" si="45"/>
        <v/>
      </c>
      <c r="P25" s="211" t="str">
        <f t="shared" ca="1" si="46"/>
        <v/>
      </c>
      <c r="Q25" s="212" t="str">
        <f t="shared" ca="1" si="47"/>
        <v/>
      </c>
      <c r="R25" s="209" t="str">
        <f t="shared" ca="1" si="48"/>
        <v/>
      </c>
      <c r="S25" s="209" t="str">
        <f t="shared" ca="1" si="49"/>
        <v/>
      </c>
      <c r="T25" s="210" t="str">
        <f t="shared" ca="1" si="50"/>
        <v/>
      </c>
      <c r="U25" s="211" t="str">
        <f t="shared" ca="1" si="51"/>
        <v/>
      </c>
      <c r="V25" s="211" t="str">
        <f t="shared" ca="1" si="52"/>
        <v/>
      </c>
      <c r="W25" s="212" t="str">
        <f t="shared" ca="1" si="53"/>
        <v/>
      </c>
      <c r="X25" s="209" t="str">
        <f t="shared" ca="1" si="54"/>
        <v/>
      </c>
      <c r="Y25" s="209" t="str">
        <f t="shared" ca="1" si="55"/>
        <v/>
      </c>
      <c r="Z25" s="210" t="str">
        <f t="shared" ca="1" si="56"/>
        <v/>
      </c>
      <c r="AA25" s="211" t="str">
        <f t="shared" ca="1" si="57"/>
        <v/>
      </c>
      <c r="AB25" s="211" t="str">
        <f t="shared" ca="1" si="58"/>
        <v/>
      </c>
      <c r="AC25" s="212" t="str">
        <f t="shared" ca="1" si="59"/>
        <v/>
      </c>
      <c r="AD25" s="209" t="str">
        <f t="shared" ca="1" si="60"/>
        <v/>
      </c>
      <c r="AE25" s="209" t="str">
        <f t="shared" ca="1" si="61"/>
        <v/>
      </c>
      <c r="AF25" s="210" t="str">
        <f t="shared" ca="1" si="62"/>
        <v/>
      </c>
      <c r="AG25" s="211" t="str">
        <f t="shared" ca="1" si="63"/>
        <v/>
      </c>
      <c r="AH25" s="211" t="str">
        <f t="shared" ca="1" si="64"/>
        <v/>
      </c>
      <c r="AI25" s="215" t="str">
        <f t="shared" ca="1" si="65"/>
        <v/>
      </c>
    </row>
    <row r="26" spans="2:35" x14ac:dyDescent="0.25">
      <c r="B26" s="213">
        <v>5</v>
      </c>
      <c r="C26" s="260" t="str">
        <f t="shared" ca="1" si="35"/>
        <v/>
      </c>
      <c r="D26" s="260" t="str">
        <f t="shared" ca="1" si="33"/>
        <v/>
      </c>
      <c r="E26" s="260" t="str">
        <f t="shared" ca="1" si="34"/>
        <v/>
      </c>
      <c r="F26" s="209" t="str">
        <f t="shared" ca="1" si="36"/>
        <v/>
      </c>
      <c r="G26" s="209" t="str">
        <f t="shared" ca="1" si="37"/>
        <v/>
      </c>
      <c r="H26" s="210" t="str">
        <f t="shared" ca="1" si="38"/>
        <v/>
      </c>
      <c r="I26" s="211" t="str">
        <f t="shared" ca="1" si="39"/>
        <v/>
      </c>
      <c r="J26" s="211" t="str">
        <f t="shared" ca="1" si="40"/>
        <v/>
      </c>
      <c r="K26" s="212" t="str">
        <f t="shared" ca="1" si="41"/>
        <v/>
      </c>
      <c r="L26" s="209" t="str">
        <f t="shared" ca="1" si="42"/>
        <v/>
      </c>
      <c r="M26" s="209" t="str">
        <f t="shared" ca="1" si="43"/>
        <v/>
      </c>
      <c r="N26" s="210" t="str">
        <f t="shared" ca="1" si="44"/>
        <v/>
      </c>
      <c r="O26" s="211" t="str">
        <f t="shared" ca="1" si="45"/>
        <v/>
      </c>
      <c r="P26" s="211" t="str">
        <f t="shared" ca="1" si="46"/>
        <v/>
      </c>
      <c r="Q26" s="212" t="str">
        <f t="shared" ca="1" si="47"/>
        <v/>
      </c>
      <c r="R26" s="209" t="str">
        <f t="shared" ca="1" si="48"/>
        <v/>
      </c>
      <c r="S26" s="209" t="str">
        <f t="shared" ca="1" si="49"/>
        <v/>
      </c>
      <c r="T26" s="210" t="str">
        <f t="shared" ca="1" si="50"/>
        <v/>
      </c>
      <c r="U26" s="211" t="str">
        <f t="shared" ca="1" si="51"/>
        <v/>
      </c>
      <c r="V26" s="211" t="str">
        <f t="shared" ca="1" si="52"/>
        <v/>
      </c>
      <c r="W26" s="212" t="str">
        <f t="shared" ca="1" si="53"/>
        <v/>
      </c>
      <c r="X26" s="209" t="str">
        <f t="shared" ca="1" si="54"/>
        <v/>
      </c>
      <c r="Y26" s="209" t="str">
        <f t="shared" ca="1" si="55"/>
        <v/>
      </c>
      <c r="Z26" s="210" t="str">
        <f t="shared" ca="1" si="56"/>
        <v/>
      </c>
      <c r="AA26" s="211" t="str">
        <f t="shared" ca="1" si="57"/>
        <v/>
      </c>
      <c r="AB26" s="211" t="str">
        <f t="shared" ca="1" si="58"/>
        <v/>
      </c>
      <c r="AC26" s="212" t="str">
        <f t="shared" ca="1" si="59"/>
        <v/>
      </c>
      <c r="AD26" s="209" t="str">
        <f t="shared" ca="1" si="60"/>
        <v/>
      </c>
      <c r="AE26" s="209" t="str">
        <f t="shared" ca="1" si="61"/>
        <v/>
      </c>
      <c r="AF26" s="210" t="str">
        <f t="shared" ca="1" si="62"/>
        <v/>
      </c>
      <c r="AG26" s="211" t="str">
        <f t="shared" ca="1" si="63"/>
        <v/>
      </c>
      <c r="AH26" s="211" t="str">
        <f t="shared" ca="1" si="64"/>
        <v/>
      </c>
      <c r="AI26" s="215" t="str">
        <f t="shared" ca="1" si="65"/>
        <v/>
      </c>
    </row>
    <row r="27" spans="2:35" x14ac:dyDescent="0.25">
      <c r="B27" s="213">
        <v>6</v>
      </c>
      <c r="C27" s="260" t="str">
        <f t="shared" ca="1" si="35"/>
        <v/>
      </c>
      <c r="D27" s="260" t="str">
        <f t="shared" ca="1" si="33"/>
        <v/>
      </c>
      <c r="E27" s="260" t="str">
        <f t="shared" ca="1" si="34"/>
        <v/>
      </c>
      <c r="F27" s="209" t="str">
        <f t="shared" ca="1" si="36"/>
        <v/>
      </c>
      <c r="G27" s="209" t="str">
        <f t="shared" ca="1" si="37"/>
        <v/>
      </c>
      <c r="H27" s="210" t="str">
        <f t="shared" ca="1" si="38"/>
        <v/>
      </c>
      <c r="I27" s="211" t="str">
        <f t="shared" ca="1" si="39"/>
        <v/>
      </c>
      <c r="J27" s="211" t="str">
        <f t="shared" ca="1" si="40"/>
        <v/>
      </c>
      <c r="K27" s="212" t="str">
        <f t="shared" ca="1" si="41"/>
        <v/>
      </c>
      <c r="L27" s="209" t="str">
        <f t="shared" ca="1" si="42"/>
        <v/>
      </c>
      <c r="M27" s="209" t="str">
        <f t="shared" ca="1" si="43"/>
        <v/>
      </c>
      <c r="N27" s="210" t="str">
        <f t="shared" ca="1" si="44"/>
        <v/>
      </c>
      <c r="O27" s="211" t="str">
        <f t="shared" ca="1" si="45"/>
        <v/>
      </c>
      <c r="P27" s="211" t="str">
        <f t="shared" ca="1" si="46"/>
        <v/>
      </c>
      <c r="Q27" s="212" t="str">
        <f t="shared" ca="1" si="47"/>
        <v/>
      </c>
      <c r="R27" s="209" t="str">
        <f t="shared" ca="1" si="48"/>
        <v/>
      </c>
      <c r="S27" s="209" t="str">
        <f t="shared" ca="1" si="49"/>
        <v/>
      </c>
      <c r="T27" s="210" t="str">
        <f t="shared" ca="1" si="50"/>
        <v/>
      </c>
      <c r="U27" s="211" t="str">
        <f t="shared" ca="1" si="51"/>
        <v/>
      </c>
      <c r="V27" s="211" t="str">
        <f t="shared" ca="1" si="52"/>
        <v/>
      </c>
      <c r="W27" s="212" t="str">
        <f t="shared" ca="1" si="53"/>
        <v/>
      </c>
      <c r="X27" s="209" t="str">
        <f t="shared" ca="1" si="54"/>
        <v/>
      </c>
      <c r="Y27" s="209" t="str">
        <f t="shared" ca="1" si="55"/>
        <v/>
      </c>
      <c r="Z27" s="210" t="str">
        <f t="shared" ca="1" si="56"/>
        <v/>
      </c>
      <c r="AA27" s="211" t="str">
        <f t="shared" ca="1" si="57"/>
        <v/>
      </c>
      <c r="AB27" s="211" t="str">
        <f t="shared" ca="1" si="58"/>
        <v/>
      </c>
      <c r="AC27" s="212" t="str">
        <f t="shared" ca="1" si="59"/>
        <v/>
      </c>
      <c r="AD27" s="209" t="str">
        <f t="shared" ca="1" si="60"/>
        <v/>
      </c>
      <c r="AE27" s="209" t="str">
        <f t="shared" ca="1" si="61"/>
        <v/>
      </c>
      <c r="AF27" s="210" t="str">
        <f t="shared" ca="1" si="62"/>
        <v/>
      </c>
      <c r="AG27" s="211" t="str">
        <f t="shared" ca="1" si="63"/>
        <v/>
      </c>
      <c r="AH27" s="211" t="str">
        <f t="shared" ca="1" si="64"/>
        <v/>
      </c>
      <c r="AI27" s="215" t="str">
        <f t="shared" ca="1" si="65"/>
        <v/>
      </c>
    </row>
    <row r="28" spans="2:35" x14ac:dyDescent="0.25">
      <c r="B28" s="213">
        <v>7</v>
      </c>
      <c r="C28" s="260" t="str">
        <f t="shared" ca="1" si="35"/>
        <v/>
      </c>
      <c r="D28" s="260" t="str">
        <f t="shared" ca="1" si="33"/>
        <v/>
      </c>
      <c r="E28" s="260" t="str">
        <f t="shared" ca="1" si="34"/>
        <v/>
      </c>
      <c r="F28" s="209" t="str">
        <f t="shared" ca="1" si="36"/>
        <v/>
      </c>
      <c r="G28" s="209" t="str">
        <f t="shared" ca="1" si="37"/>
        <v/>
      </c>
      <c r="H28" s="210" t="str">
        <f t="shared" ca="1" si="38"/>
        <v/>
      </c>
      <c r="I28" s="211" t="str">
        <f t="shared" ca="1" si="39"/>
        <v/>
      </c>
      <c r="J28" s="211" t="str">
        <f t="shared" ca="1" si="40"/>
        <v/>
      </c>
      <c r="K28" s="212" t="str">
        <f t="shared" ca="1" si="41"/>
        <v/>
      </c>
      <c r="L28" s="209" t="str">
        <f t="shared" ca="1" si="42"/>
        <v/>
      </c>
      <c r="M28" s="209" t="str">
        <f t="shared" ca="1" si="43"/>
        <v/>
      </c>
      <c r="N28" s="210" t="str">
        <f t="shared" ca="1" si="44"/>
        <v/>
      </c>
      <c r="O28" s="211" t="str">
        <f t="shared" ca="1" si="45"/>
        <v/>
      </c>
      <c r="P28" s="211" t="str">
        <f t="shared" ca="1" si="46"/>
        <v/>
      </c>
      <c r="Q28" s="212" t="str">
        <f t="shared" ca="1" si="47"/>
        <v/>
      </c>
      <c r="R28" s="209" t="str">
        <f t="shared" ca="1" si="48"/>
        <v/>
      </c>
      <c r="S28" s="209" t="str">
        <f t="shared" ca="1" si="49"/>
        <v/>
      </c>
      <c r="T28" s="210" t="str">
        <f t="shared" ca="1" si="50"/>
        <v/>
      </c>
      <c r="U28" s="211" t="str">
        <f t="shared" ca="1" si="51"/>
        <v/>
      </c>
      <c r="V28" s="211" t="str">
        <f t="shared" ca="1" si="52"/>
        <v/>
      </c>
      <c r="W28" s="212" t="str">
        <f t="shared" ca="1" si="53"/>
        <v/>
      </c>
      <c r="X28" s="209" t="str">
        <f t="shared" ca="1" si="54"/>
        <v/>
      </c>
      <c r="Y28" s="209" t="str">
        <f t="shared" ca="1" si="55"/>
        <v/>
      </c>
      <c r="Z28" s="210" t="str">
        <f t="shared" ca="1" si="56"/>
        <v/>
      </c>
      <c r="AA28" s="211" t="str">
        <f t="shared" ca="1" si="57"/>
        <v/>
      </c>
      <c r="AB28" s="211" t="str">
        <f t="shared" ca="1" si="58"/>
        <v/>
      </c>
      <c r="AC28" s="212" t="str">
        <f t="shared" ca="1" si="59"/>
        <v/>
      </c>
      <c r="AD28" s="209" t="str">
        <f t="shared" ca="1" si="60"/>
        <v/>
      </c>
      <c r="AE28" s="209" t="str">
        <f t="shared" ca="1" si="61"/>
        <v/>
      </c>
      <c r="AF28" s="210" t="str">
        <f t="shared" ca="1" si="62"/>
        <v/>
      </c>
      <c r="AG28" s="211" t="str">
        <f t="shared" ca="1" si="63"/>
        <v/>
      </c>
      <c r="AH28" s="211" t="str">
        <f t="shared" ca="1" si="64"/>
        <v/>
      </c>
      <c r="AI28" s="215" t="str">
        <f t="shared" ca="1" si="65"/>
        <v/>
      </c>
    </row>
    <row r="29" spans="2:35" x14ac:dyDescent="0.25">
      <c r="B29" s="213">
        <v>8</v>
      </c>
      <c r="C29" s="260" t="str">
        <f t="shared" ca="1" si="35"/>
        <v/>
      </c>
      <c r="D29" s="260" t="str">
        <f t="shared" ca="1" si="33"/>
        <v/>
      </c>
      <c r="E29" s="260" t="str">
        <f t="shared" ca="1" si="34"/>
        <v/>
      </c>
      <c r="F29" s="209" t="str">
        <f t="shared" ca="1" si="36"/>
        <v/>
      </c>
      <c r="G29" s="209" t="str">
        <f t="shared" ca="1" si="37"/>
        <v/>
      </c>
      <c r="H29" s="210" t="str">
        <f t="shared" ca="1" si="38"/>
        <v/>
      </c>
      <c r="I29" s="211" t="str">
        <f t="shared" ca="1" si="39"/>
        <v/>
      </c>
      <c r="J29" s="211" t="str">
        <f t="shared" ca="1" si="40"/>
        <v/>
      </c>
      <c r="K29" s="212" t="str">
        <f t="shared" ca="1" si="41"/>
        <v/>
      </c>
      <c r="L29" s="209" t="str">
        <f t="shared" ca="1" si="42"/>
        <v/>
      </c>
      <c r="M29" s="209" t="str">
        <f t="shared" ca="1" si="43"/>
        <v/>
      </c>
      <c r="N29" s="210" t="str">
        <f t="shared" ca="1" si="44"/>
        <v/>
      </c>
      <c r="O29" s="211" t="str">
        <f t="shared" ca="1" si="45"/>
        <v/>
      </c>
      <c r="P29" s="211" t="str">
        <f t="shared" ca="1" si="46"/>
        <v/>
      </c>
      <c r="Q29" s="212" t="str">
        <f t="shared" ca="1" si="47"/>
        <v/>
      </c>
      <c r="R29" s="209" t="str">
        <f t="shared" ca="1" si="48"/>
        <v/>
      </c>
      <c r="S29" s="209" t="str">
        <f t="shared" ca="1" si="49"/>
        <v/>
      </c>
      <c r="T29" s="210" t="str">
        <f t="shared" ca="1" si="50"/>
        <v/>
      </c>
      <c r="U29" s="211" t="str">
        <f t="shared" ca="1" si="51"/>
        <v/>
      </c>
      <c r="V29" s="211" t="str">
        <f t="shared" ca="1" si="52"/>
        <v/>
      </c>
      <c r="W29" s="212" t="str">
        <f t="shared" ca="1" si="53"/>
        <v/>
      </c>
      <c r="X29" s="209" t="str">
        <f t="shared" ca="1" si="54"/>
        <v/>
      </c>
      <c r="Y29" s="209" t="str">
        <f t="shared" ca="1" si="55"/>
        <v/>
      </c>
      <c r="Z29" s="210" t="str">
        <f t="shared" ca="1" si="56"/>
        <v/>
      </c>
      <c r="AA29" s="211" t="str">
        <f t="shared" ca="1" si="57"/>
        <v/>
      </c>
      <c r="AB29" s="211" t="str">
        <f t="shared" ca="1" si="58"/>
        <v/>
      </c>
      <c r="AC29" s="212" t="str">
        <f t="shared" ca="1" si="59"/>
        <v/>
      </c>
      <c r="AD29" s="209" t="str">
        <f t="shared" ca="1" si="60"/>
        <v/>
      </c>
      <c r="AE29" s="209" t="str">
        <f t="shared" ca="1" si="61"/>
        <v/>
      </c>
      <c r="AF29" s="210" t="str">
        <f t="shared" ca="1" si="62"/>
        <v/>
      </c>
      <c r="AG29" s="211" t="str">
        <f t="shared" ca="1" si="63"/>
        <v/>
      </c>
      <c r="AH29" s="211" t="str">
        <f t="shared" ca="1" si="64"/>
        <v/>
      </c>
      <c r="AI29" s="215" t="str">
        <f t="shared" ca="1" si="65"/>
        <v/>
      </c>
    </row>
    <row r="30" spans="2:35" x14ac:dyDescent="0.25">
      <c r="B30" s="213">
        <v>9</v>
      </c>
      <c r="C30" s="260" t="str">
        <f t="shared" ca="1" si="35"/>
        <v/>
      </c>
      <c r="D30" s="260" t="str">
        <f t="shared" ca="1" si="33"/>
        <v/>
      </c>
      <c r="E30" s="260" t="str">
        <f t="shared" ca="1" si="34"/>
        <v/>
      </c>
      <c r="F30" s="209" t="str">
        <f t="shared" ca="1" si="36"/>
        <v/>
      </c>
      <c r="G30" s="209" t="str">
        <f t="shared" ca="1" si="37"/>
        <v/>
      </c>
      <c r="H30" s="210" t="str">
        <f t="shared" ca="1" si="38"/>
        <v/>
      </c>
      <c r="I30" s="211" t="str">
        <f t="shared" ca="1" si="39"/>
        <v/>
      </c>
      <c r="J30" s="211" t="str">
        <f t="shared" ca="1" si="40"/>
        <v/>
      </c>
      <c r="K30" s="212" t="str">
        <f t="shared" ca="1" si="41"/>
        <v/>
      </c>
      <c r="L30" s="209" t="str">
        <f t="shared" ca="1" si="42"/>
        <v/>
      </c>
      <c r="M30" s="209" t="str">
        <f t="shared" ca="1" si="43"/>
        <v/>
      </c>
      <c r="N30" s="210" t="str">
        <f t="shared" ca="1" si="44"/>
        <v/>
      </c>
      <c r="O30" s="211" t="str">
        <f t="shared" ca="1" si="45"/>
        <v/>
      </c>
      <c r="P30" s="211" t="str">
        <f t="shared" ca="1" si="46"/>
        <v/>
      </c>
      <c r="Q30" s="212" t="str">
        <f t="shared" ca="1" si="47"/>
        <v/>
      </c>
      <c r="R30" s="209" t="str">
        <f t="shared" ca="1" si="48"/>
        <v/>
      </c>
      <c r="S30" s="209" t="str">
        <f t="shared" ca="1" si="49"/>
        <v/>
      </c>
      <c r="T30" s="210" t="str">
        <f t="shared" ca="1" si="50"/>
        <v/>
      </c>
      <c r="U30" s="211" t="str">
        <f t="shared" ca="1" si="51"/>
        <v/>
      </c>
      <c r="V30" s="211" t="str">
        <f t="shared" ca="1" si="52"/>
        <v/>
      </c>
      <c r="W30" s="212" t="str">
        <f t="shared" ca="1" si="53"/>
        <v/>
      </c>
      <c r="X30" s="209" t="str">
        <f t="shared" ca="1" si="54"/>
        <v/>
      </c>
      <c r="Y30" s="209" t="str">
        <f t="shared" ca="1" si="55"/>
        <v/>
      </c>
      <c r="Z30" s="210" t="str">
        <f t="shared" ca="1" si="56"/>
        <v/>
      </c>
      <c r="AA30" s="211" t="str">
        <f t="shared" ca="1" si="57"/>
        <v/>
      </c>
      <c r="AB30" s="211" t="str">
        <f t="shared" ca="1" si="58"/>
        <v/>
      </c>
      <c r="AC30" s="212" t="str">
        <f t="shared" ca="1" si="59"/>
        <v/>
      </c>
      <c r="AD30" s="209" t="str">
        <f t="shared" ca="1" si="60"/>
        <v/>
      </c>
      <c r="AE30" s="209" t="str">
        <f t="shared" ca="1" si="61"/>
        <v/>
      </c>
      <c r="AF30" s="210" t="str">
        <f t="shared" ca="1" si="62"/>
        <v/>
      </c>
      <c r="AG30" s="211" t="str">
        <f t="shared" ca="1" si="63"/>
        <v/>
      </c>
      <c r="AH30" s="211" t="str">
        <f t="shared" ca="1" si="64"/>
        <v/>
      </c>
      <c r="AI30" s="215" t="str">
        <f t="shared" ca="1" si="65"/>
        <v/>
      </c>
    </row>
    <row r="31" spans="2:35" x14ac:dyDescent="0.25">
      <c r="B31" s="213">
        <v>10</v>
      </c>
      <c r="C31" s="260" t="str">
        <f t="shared" ca="1" si="35"/>
        <v/>
      </c>
      <c r="D31" s="260" t="str">
        <f t="shared" ca="1" si="33"/>
        <v/>
      </c>
      <c r="E31" s="260" t="str">
        <f t="shared" ca="1" si="34"/>
        <v/>
      </c>
      <c r="F31" s="209" t="str">
        <f t="shared" ca="1" si="36"/>
        <v/>
      </c>
      <c r="G31" s="209" t="str">
        <f t="shared" ca="1" si="37"/>
        <v/>
      </c>
      <c r="H31" s="210" t="str">
        <f t="shared" ca="1" si="38"/>
        <v/>
      </c>
      <c r="I31" s="211" t="str">
        <f t="shared" ca="1" si="39"/>
        <v/>
      </c>
      <c r="J31" s="211" t="str">
        <f t="shared" ca="1" si="40"/>
        <v/>
      </c>
      <c r="K31" s="212" t="str">
        <f t="shared" ca="1" si="41"/>
        <v/>
      </c>
      <c r="L31" s="209" t="str">
        <f t="shared" ca="1" si="42"/>
        <v/>
      </c>
      <c r="M31" s="209" t="str">
        <f t="shared" ca="1" si="43"/>
        <v/>
      </c>
      <c r="N31" s="210" t="str">
        <f t="shared" ca="1" si="44"/>
        <v/>
      </c>
      <c r="O31" s="211" t="str">
        <f t="shared" ca="1" si="45"/>
        <v/>
      </c>
      <c r="P31" s="211" t="str">
        <f t="shared" ca="1" si="46"/>
        <v/>
      </c>
      <c r="Q31" s="212" t="str">
        <f t="shared" ca="1" si="47"/>
        <v/>
      </c>
      <c r="R31" s="209" t="str">
        <f t="shared" ca="1" si="48"/>
        <v/>
      </c>
      <c r="S31" s="209" t="str">
        <f t="shared" ca="1" si="49"/>
        <v/>
      </c>
      <c r="T31" s="210" t="str">
        <f t="shared" ca="1" si="50"/>
        <v/>
      </c>
      <c r="U31" s="211" t="str">
        <f t="shared" ca="1" si="51"/>
        <v/>
      </c>
      <c r="V31" s="211" t="str">
        <f t="shared" ca="1" si="52"/>
        <v/>
      </c>
      <c r="W31" s="212" t="str">
        <f t="shared" ca="1" si="53"/>
        <v/>
      </c>
      <c r="X31" s="209" t="str">
        <f t="shared" ca="1" si="54"/>
        <v/>
      </c>
      <c r="Y31" s="209" t="str">
        <f t="shared" ca="1" si="55"/>
        <v/>
      </c>
      <c r="Z31" s="210" t="str">
        <f t="shared" ca="1" si="56"/>
        <v/>
      </c>
      <c r="AA31" s="211" t="str">
        <f t="shared" ca="1" si="57"/>
        <v/>
      </c>
      <c r="AB31" s="211" t="str">
        <f t="shared" ca="1" si="58"/>
        <v/>
      </c>
      <c r="AC31" s="212" t="str">
        <f t="shared" ca="1" si="59"/>
        <v/>
      </c>
      <c r="AD31" s="209" t="str">
        <f t="shared" ca="1" si="60"/>
        <v/>
      </c>
      <c r="AE31" s="209" t="str">
        <f t="shared" ca="1" si="61"/>
        <v/>
      </c>
      <c r="AF31" s="210" t="str">
        <f t="shared" ca="1" si="62"/>
        <v/>
      </c>
      <c r="AG31" s="211" t="str">
        <f t="shared" ca="1" si="63"/>
        <v/>
      </c>
      <c r="AH31" s="211" t="str">
        <f t="shared" ca="1" si="64"/>
        <v/>
      </c>
      <c r="AI31" s="215" t="str">
        <f t="shared" ca="1" si="65"/>
        <v/>
      </c>
    </row>
    <row r="32" spans="2:35" x14ac:dyDescent="0.25">
      <c r="B32" s="213">
        <v>11</v>
      </c>
      <c r="C32" s="260" t="str">
        <f t="shared" ca="1" si="35"/>
        <v/>
      </c>
      <c r="D32" s="260" t="str">
        <f t="shared" ca="1" si="33"/>
        <v/>
      </c>
      <c r="E32" s="260" t="str">
        <f t="shared" ca="1" si="34"/>
        <v/>
      </c>
      <c r="F32" s="209" t="str">
        <f t="shared" ca="1" si="36"/>
        <v/>
      </c>
      <c r="G32" s="209" t="str">
        <f t="shared" ca="1" si="37"/>
        <v/>
      </c>
      <c r="H32" s="210" t="str">
        <f t="shared" ca="1" si="38"/>
        <v/>
      </c>
      <c r="I32" s="211" t="str">
        <f t="shared" ca="1" si="39"/>
        <v/>
      </c>
      <c r="J32" s="211" t="str">
        <f t="shared" ca="1" si="40"/>
        <v/>
      </c>
      <c r="K32" s="212" t="str">
        <f t="shared" ca="1" si="41"/>
        <v/>
      </c>
      <c r="L32" s="209" t="str">
        <f t="shared" ca="1" si="42"/>
        <v/>
      </c>
      <c r="M32" s="209" t="str">
        <f t="shared" ca="1" si="43"/>
        <v/>
      </c>
      <c r="N32" s="210" t="str">
        <f t="shared" ca="1" si="44"/>
        <v/>
      </c>
      <c r="O32" s="211" t="str">
        <f t="shared" ca="1" si="45"/>
        <v/>
      </c>
      <c r="P32" s="211" t="str">
        <f t="shared" ca="1" si="46"/>
        <v/>
      </c>
      <c r="Q32" s="212" t="str">
        <f t="shared" ca="1" si="47"/>
        <v/>
      </c>
      <c r="R32" s="209" t="str">
        <f t="shared" ca="1" si="48"/>
        <v/>
      </c>
      <c r="S32" s="209" t="str">
        <f t="shared" ca="1" si="49"/>
        <v/>
      </c>
      <c r="T32" s="210" t="str">
        <f t="shared" ca="1" si="50"/>
        <v/>
      </c>
      <c r="U32" s="211" t="str">
        <f t="shared" ca="1" si="51"/>
        <v/>
      </c>
      <c r="V32" s="211" t="str">
        <f t="shared" ca="1" si="52"/>
        <v/>
      </c>
      <c r="W32" s="212" t="str">
        <f t="shared" ca="1" si="53"/>
        <v/>
      </c>
      <c r="X32" s="209" t="str">
        <f t="shared" ca="1" si="54"/>
        <v/>
      </c>
      <c r="Y32" s="209" t="str">
        <f t="shared" ca="1" si="55"/>
        <v/>
      </c>
      <c r="Z32" s="210" t="str">
        <f t="shared" ca="1" si="56"/>
        <v/>
      </c>
      <c r="AA32" s="211" t="str">
        <f t="shared" ca="1" si="57"/>
        <v/>
      </c>
      <c r="AB32" s="211" t="str">
        <f t="shared" ca="1" si="58"/>
        <v/>
      </c>
      <c r="AC32" s="212" t="str">
        <f t="shared" ca="1" si="59"/>
        <v/>
      </c>
      <c r="AD32" s="209" t="str">
        <f t="shared" ca="1" si="60"/>
        <v/>
      </c>
      <c r="AE32" s="209" t="str">
        <f t="shared" ca="1" si="61"/>
        <v/>
      </c>
      <c r="AF32" s="210" t="str">
        <f t="shared" ca="1" si="62"/>
        <v/>
      </c>
      <c r="AG32" s="211" t="str">
        <f t="shared" ca="1" si="63"/>
        <v/>
      </c>
      <c r="AH32" s="211" t="str">
        <f t="shared" ca="1" si="64"/>
        <v/>
      </c>
      <c r="AI32" s="215" t="str">
        <f t="shared" ca="1" si="65"/>
        <v/>
      </c>
    </row>
    <row r="33" spans="2:35" x14ac:dyDescent="0.25">
      <c r="B33" s="213">
        <v>12</v>
      </c>
      <c r="C33" s="260" t="str">
        <f t="shared" ca="1" si="35"/>
        <v/>
      </c>
      <c r="D33" s="260" t="str">
        <f t="shared" ca="1" si="33"/>
        <v/>
      </c>
      <c r="E33" s="260" t="str">
        <f t="shared" ca="1" si="34"/>
        <v/>
      </c>
      <c r="F33" s="209" t="str">
        <f t="shared" ca="1" si="36"/>
        <v/>
      </c>
      <c r="G33" s="209" t="str">
        <f t="shared" ca="1" si="37"/>
        <v/>
      </c>
      <c r="H33" s="210" t="str">
        <f t="shared" ca="1" si="38"/>
        <v/>
      </c>
      <c r="I33" s="211" t="str">
        <f t="shared" ca="1" si="39"/>
        <v/>
      </c>
      <c r="J33" s="211" t="str">
        <f t="shared" ca="1" si="40"/>
        <v/>
      </c>
      <c r="K33" s="212" t="str">
        <f t="shared" ca="1" si="41"/>
        <v/>
      </c>
      <c r="L33" s="209" t="str">
        <f t="shared" ca="1" si="42"/>
        <v/>
      </c>
      <c r="M33" s="209" t="str">
        <f t="shared" ca="1" si="43"/>
        <v/>
      </c>
      <c r="N33" s="210" t="str">
        <f t="shared" ca="1" si="44"/>
        <v/>
      </c>
      <c r="O33" s="211" t="str">
        <f t="shared" ca="1" si="45"/>
        <v/>
      </c>
      <c r="P33" s="211" t="str">
        <f t="shared" ca="1" si="46"/>
        <v/>
      </c>
      <c r="Q33" s="212" t="str">
        <f t="shared" ca="1" si="47"/>
        <v/>
      </c>
      <c r="R33" s="209" t="str">
        <f t="shared" ca="1" si="48"/>
        <v/>
      </c>
      <c r="S33" s="209" t="str">
        <f t="shared" ca="1" si="49"/>
        <v/>
      </c>
      <c r="T33" s="210" t="str">
        <f t="shared" ca="1" si="50"/>
        <v/>
      </c>
      <c r="U33" s="211" t="str">
        <f t="shared" ca="1" si="51"/>
        <v/>
      </c>
      <c r="V33" s="211" t="str">
        <f t="shared" ca="1" si="52"/>
        <v/>
      </c>
      <c r="W33" s="212" t="str">
        <f t="shared" ca="1" si="53"/>
        <v/>
      </c>
      <c r="X33" s="209" t="str">
        <f t="shared" ca="1" si="54"/>
        <v/>
      </c>
      <c r="Y33" s="209" t="str">
        <f t="shared" ca="1" si="55"/>
        <v/>
      </c>
      <c r="Z33" s="210" t="str">
        <f t="shared" ca="1" si="56"/>
        <v/>
      </c>
      <c r="AA33" s="211" t="str">
        <f t="shared" ca="1" si="57"/>
        <v/>
      </c>
      <c r="AB33" s="211" t="str">
        <f t="shared" ca="1" si="58"/>
        <v/>
      </c>
      <c r="AC33" s="212" t="str">
        <f t="shared" ca="1" si="59"/>
        <v/>
      </c>
      <c r="AD33" s="209" t="str">
        <f t="shared" ca="1" si="60"/>
        <v/>
      </c>
      <c r="AE33" s="209" t="str">
        <f t="shared" ca="1" si="61"/>
        <v/>
      </c>
      <c r="AF33" s="210" t="str">
        <f t="shared" ca="1" si="62"/>
        <v/>
      </c>
      <c r="AG33" s="211" t="str">
        <f t="shared" ca="1" si="63"/>
        <v/>
      </c>
      <c r="AH33" s="211" t="str">
        <f t="shared" ca="1" si="64"/>
        <v/>
      </c>
      <c r="AI33" s="215" t="str">
        <f t="shared" ca="1" si="65"/>
        <v/>
      </c>
    </row>
    <row r="34" spans="2:35" ht="14.25" thickBot="1" x14ac:dyDescent="0.3">
      <c r="B34" s="216" t="s">
        <v>3</v>
      </c>
      <c r="C34" s="261">
        <f ca="1">SUM(C22:C28)</f>
        <v>0</v>
      </c>
      <c r="D34" s="261">
        <f t="shared" ref="D34:AI34" ca="1" si="66">SUM(D22:D33)</f>
        <v>0</v>
      </c>
      <c r="E34" s="261">
        <f t="shared" ca="1" si="66"/>
        <v>0</v>
      </c>
      <c r="F34" s="217">
        <f t="shared" ca="1" si="66"/>
        <v>0</v>
      </c>
      <c r="G34" s="217">
        <f t="shared" ca="1" si="66"/>
        <v>0</v>
      </c>
      <c r="H34" s="218">
        <f t="shared" ca="1" si="66"/>
        <v>0</v>
      </c>
      <c r="I34" s="219">
        <f t="shared" ca="1" si="66"/>
        <v>0</v>
      </c>
      <c r="J34" s="219">
        <f t="shared" ca="1" si="66"/>
        <v>0</v>
      </c>
      <c r="K34" s="220">
        <f t="shared" ca="1" si="66"/>
        <v>0</v>
      </c>
      <c r="L34" s="217">
        <f t="shared" ca="1" si="66"/>
        <v>0</v>
      </c>
      <c r="M34" s="217">
        <f t="shared" ca="1" si="66"/>
        <v>0</v>
      </c>
      <c r="N34" s="218">
        <f t="shared" ca="1" si="66"/>
        <v>0</v>
      </c>
      <c r="O34" s="219">
        <f t="shared" ca="1" si="66"/>
        <v>0</v>
      </c>
      <c r="P34" s="219">
        <f t="shared" ca="1" si="66"/>
        <v>0</v>
      </c>
      <c r="Q34" s="220">
        <f t="shared" ca="1" si="66"/>
        <v>0</v>
      </c>
      <c r="R34" s="217">
        <f t="shared" ca="1" si="66"/>
        <v>0</v>
      </c>
      <c r="S34" s="217">
        <f t="shared" ca="1" si="66"/>
        <v>0</v>
      </c>
      <c r="T34" s="218">
        <f t="shared" ca="1" si="66"/>
        <v>0</v>
      </c>
      <c r="U34" s="219">
        <f t="shared" ca="1" si="66"/>
        <v>0</v>
      </c>
      <c r="V34" s="219">
        <f t="shared" ca="1" si="66"/>
        <v>0</v>
      </c>
      <c r="W34" s="220">
        <f t="shared" ca="1" si="66"/>
        <v>0</v>
      </c>
      <c r="X34" s="217">
        <f t="shared" ca="1" si="66"/>
        <v>0</v>
      </c>
      <c r="Y34" s="217">
        <f t="shared" ca="1" si="66"/>
        <v>0</v>
      </c>
      <c r="Z34" s="218">
        <f t="shared" ca="1" si="66"/>
        <v>0</v>
      </c>
      <c r="AA34" s="219">
        <f t="shared" ca="1" si="66"/>
        <v>0</v>
      </c>
      <c r="AB34" s="219">
        <f t="shared" ca="1" si="66"/>
        <v>0</v>
      </c>
      <c r="AC34" s="220">
        <f t="shared" ca="1" si="66"/>
        <v>0</v>
      </c>
      <c r="AD34" s="217">
        <f t="shared" ca="1" si="66"/>
        <v>0</v>
      </c>
      <c r="AE34" s="217">
        <f t="shared" ca="1" si="66"/>
        <v>0</v>
      </c>
      <c r="AF34" s="218">
        <f t="shared" ca="1" si="66"/>
        <v>0</v>
      </c>
      <c r="AG34" s="219">
        <f t="shared" ca="1" si="66"/>
        <v>0</v>
      </c>
      <c r="AH34" s="219">
        <f t="shared" ca="1" si="66"/>
        <v>0</v>
      </c>
      <c r="AI34" s="221">
        <f t="shared" ca="1" si="66"/>
        <v>0</v>
      </c>
    </row>
    <row r="37" spans="2:35" ht="21" thickBot="1" x14ac:dyDescent="0.3">
      <c r="B37" s="205" t="s">
        <v>166</v>
      </c>
      <c r="C37" s="206"/>
      <c r="D37" s="206"/>
      <c r="E37" s="257" t="s">
        <v>169</v>
      </c>
    </row>
    <row r="38" spans="2:35" x14ac:dyDescent="0.25">
      <c r="B38" s="474" t="s">
        <v>18</v>
      </c>
      <c r="C38" s="476" t="s">
        <v>173</v>
      </c>
      <c r="D38" s="476"/>
      <c r="E38" s="476"/>
      <c r="F38" s="473" t="str">
        <f>$F$3</f>
        <v>발전사업(A)</v>
      </c>
      <c r="G38" s="473"/>
      <c r="H38" s="473"/>
      <c r="I38" s="471" t="s">
        <v>137</v>
      </c>
      <c r="J38" s="471"/>
      <c r="K38" s="471"/>
      <c r="L38" s="473" t="s">
        <v>138</v>
      </c>
      <c r="M38" s="473"/>
      <c r="N38" s="473"/>
      <c r="O38" s="471" t="s">
        <v>139</v>
      </c>
      <c r="P38" s="471"/>
      <c r="Q38" s="471"/>
      <c r="R38" s="473" t="s">
        <v>140</v>
      </c>
      <c r="S38" s="473"/>
      <c r="T38" s="473"/>
      <c r="U38" s="471" t="s">
        <v>141</v>
      </c>
      <c r="V38" s="471"/>
      <c r="W38" s="471"/>
      <c r="X38" s="473" t="s">
        <v>142</v>
      </c>
      <c r="Y38" s="473"/>
      <c r="Z38" s="473"/>
      <c r="AA38" s="471" t="s">
        <v>143</v>
      </c>
      <c r="AB38" s="471"/>
      <c r="AC38" s="471"/>
      <c r="AD38" s="473" t="s">
        <v>144</v>
      </c>
      <c r="AE38" s="473"/>
      <c r="AF38" s="473"/>
      <c r="AG38" s="471" t="s">
        <v>145</v>
      </c>
      <c r="AH38" s="471"/>
      <c r="AI38" s="472"/>
    </row>
    <row r="39" spans="2:35" x14ac:dyDescent="0.25">
      <c r="B39" s="475"/>
      <c r="C39" s="259" t="s">
        <v>52</v>
      </c>
      <c r="D39" s="259" t="s">
        <v>163</v>
      </c>
      <c r="E39" s="259" t="s">
        <v>164</v>
      </c>
      <c r="F39" s="209" t="s">
        <v>52</v>
      </c>
      <c r="G39" s="209" t="s">
        <v>163</v>
      </c>
      <c r="H39" s="209" t="s">
        <v>164</v>
      </c>
      <c r="I39" s="211" t="s">
        <v>52</v>
      </c>
      <c r="J39" s="211" t="s">
        <v>163</v>
      </c>
      <c r="K39" s="211" t="s">
        <v>164</v>
      </c>
      <c r="L39" s="209" t="s">
        <v>52</v>
      </c>
      <c r="M39" s="209" t="s">
        <v>163</v>
      </c>
      <c r="N39" s="209" t="s">
        <v>164</v>
      </c>
      <c r="O39" s="211" t="s">
        <v>52</v>
      </c>
      <c r="P39" s="211" t="s">
        <v>163</v>
      </c>
      <c r="Q39" s="211" t="s">
        <v>164</v>
      </c>
      <c r="R39" s="209" t="s">
        <v>52</v>
      </c>
      <c r="S39" s="209" t="s">
        <v>163</v>
      </c>
      <c r="T39" s="209" t="s">
        <v>164</v>
      </c>
      <c r="U39" s="211" t="s">
        <v>52</v>
      </c>
      <c r="V39" s="211" t="s">
        <v>163</v>
      </c>
      <c r="W39" s="211" t="s">
        <v>164</v>
      </c>
      <c r="X39" s="209" t="s">
        <v>52</v>
      </c>
      <c r="Y39" s="209" t="s">
        <v>163</v>
      </c>
      <c r="Z39" s="209" t="s">
        <v>164</v>
      </c>
      <c r="AA39" s="211" t="s">
        <v>52</v>
      </c>
      <c r="AB39" s="211" t="s">
        <v>163</v>
      </c>
      <c r="AC39" s="211" t="s">
        <v>164</v>
      </c>
      <c r="AD39" s="209" t="s">
        <v>52</v>
      </c>
      <c r="AE39" s="209" t="s">
        <v>163</v>
      </c>
      <c r="AF39" s="209" t="s">
        <v>164</v>
      </c>
      <c r="AG39" s="211" t="s">
        <v>52</v>
      </c>
      <c r="AH39" s="211" t="s">
        <v>163</v>
      </c>
      <c r="AI39" s="214" t="s">
        <v>164</v>
      </c>
    </row>
    <row r="40" spans="2:35" x14ac:dyDescent="0.25">
      <c r="B40" s="213">
        <v>1</v>
      </c>
      <c r="C40" s="260" t="str">
        <f ca="1">IF(
  SUM(
    IFERROR(VALUE(F40), 0),
    IFERROR(VALUE(I40), 0),
    IFERROR(VALUE(L40), 0),
    IFERROR(VALUE(O40), 0),
    IFERROR(VALUE(R40), 0),
    IFERROR(VALUE(U40), 0),
    IFERROR(VALUE(X40), 0),
    IFERROR(VALUE(AA40), 0),
    IFERROR(VALUE(AD40), 0),
    IFERROR(VALUE(AG40), 0)
  ) = 0,
  "",
  SUM(
    IFERROR(VALUE(F40), 0),
    IFERROR(VALUE(I40), 0),
    IFERROR(VALUE(L40), 0),
    IFERROR(VALUE(O40), 0),
    IFERROR(VALUE(R40), 0),
    IFERROR(VALUE(U40), 0),
    IFERROR(VALUE(X40), 0),
    IFERROR(VALUE(AA40), 0),
    IFERROR(VALUE(AD40), 0),
    IFERROR(VALUE(AG40), 0)
  )
)</f>
        <v/>
      </c>
      <c r="D40" s="260" t="str">
        <f t="shared" ref="D40:D51" ca="1" si="67">IF(
  SUM(
    IFERROR(VALUE(G40), 0),
    IFERROR(VALUE(J40), 0),
    IFERROR(VALUE(M40), 0),
    IFERROR(VALUE(P40), 0),
    IFERROR(VALUE(S40), 0),
    IFERROR(VALUE(V40), 0),
    IFERROR(VALUE(Y40), 0),
    IFERROR(VALUE(AB40), 0),
    IFERROR(VALUE(AE40), 0),
    IFERROR(VALUE(AH40), 0)
  ) = 0,
  "",
  SUM(
    IFERROR(VALUE(G40), 0),
    IFERROR(VALUE(J40), 0),
    IFERROR(VALUE(M40), 0),
    IFERROR(VALUE(P40), 0),
    IFERROR(VALUE(S40), 0),
    IFERROR(VALUE(V40), 0),
    IFERROR(VALUE(Y40), 0),
    IFERROR(VALUE(AB40), 0),
    IFERROR(VALUE(AE40), 0),
    IFERROR(VALUE(AH40), 0)
  )
)</f>
        <v/>
      </c>
      <c r="E40" s="260" t="str">
        <f t="shared" ref="E40:E51" ca="1" si="68">IF(
  SUM(
    IFERROR(VALUE(H40), 0),
    IFERROR(VALUE(K40), 0),
    IFERROR(VALUE(N40), 0),
    IFERROR(VALUE(Q40), 0),
    IFERROR(VALUE(T40), 0),
    IFERROR(VALUE(W40), 0),
    IFERROR(VALUE(Z40), 0),
    IFERROR(VALUE(AC40), 0),
    IFERROR(VALUE(AF40), 0),
    IFERROR(VALUE(AI40), 0)
  ) = 0,
  "",
  SUM(
    IFERROR(VALUE(H40), 0),
    IFERROR(VALUE(K40), 0),
    IFERROR(VALUE(N40), 0),
    IFERROR(VALUE(Q40), 0),
    IFERROR(VALUE(T40), 0),
    IFERROR(VALUE(W40), 0),
    IFERROR(VALUE(Z40), 0),
    IFERROR(VALUE(AC40), 0),
    IFERROR(VALUE(AF40), 0),
    IFERROR(VALUE(AI40), 0)
  )
)</f>
        <v/>
      </c>
      <c r="F40" s="209" t="str">
        <f ca="1">IF(COUNTIFS(INDIRECT("'"&amp;F$3&amp;"'!G:G"), $B40, INDIRECT("'"&amp;F$3&amp;"'!W:W"), $H$37)=0, "", COUNTIFS(INDIRECT("'"&amp;F$3&amp;"'!G:G"), $B40, INDIRECT("'"&amp;F$3&amp;"'!W:W"), $H$19))</f>
        <v/>
      </c>
      <c r="G40" s="209" t="str">
        <f ca="1">IF(SUMIFS(INDIRECT("'"&amp;F$3&amp;"'!I:I"), INDIRECT("'"&amp;F$3&amp;"'!G:G"), $B40, INDIRECT("'"&amp;F$3&amp;"'!W:W"), $H$37)=0, "", SUMIFS(INDIRECT("'"&amp;F$3&amp;"'!I:I"), INDIRECT("'"&amp;F$3&amp;"'!G:G"), $B40, INDIRECT("'"&amp;F$3&amp;"'!W:W"), $H$37))</f>
        <v/>
      </c>
      <c r="H40" s="210" t="str">
        <f ca="1">IF(SUMIFS(INDIRECT("'"&amp;F$3&amp;"'!J:J"), INDIRECT("'"&amp;F$3&amp;"'!G:G"), $B40, INDIRECT("'"&amp;F$3&amp;"'!W:W"), $H$37)=0, "", SUMIFS(INDIRECT("'"&amp;F$3&amp;"'!J:J"), INDIRECT("'"&amp;F$3&amp;"'!G:G"), $B40, INDIRECT("'"&amp;F$3&amp;"'!W:W"), $H$37))</f>
        <v/>
      </c>
      <c r="I40" s="211" t="str">
        <f ca="1">IF(COUNTIFS(INDIRECT("'"&amp;I$3&amp;"'!G:G"), $B40, INDIRECT("'"&amp;I$3&amp;"'!W:W"), $H$37)=0, "", COUNTIFS(INDIRECT("'"&amp;I$3&amp;"'!G:G"), $B40, INDIRECT("'"&amp;I$3&amp;"'!W:W"), $H$19))</f>
        <v/>
      </c>
      <c r="J40" s="211" t="str">
        <f ca="1">IF(SUMIFS(INDIRECT("'"&amp;I$3&amp;"'!I:I"), INDIRECT("'"&amp;I$3&amp;"'!G:G"), $B40, INDIRECT("'"&amp;I$3&amp;"'!W:W"), $H$37)=0, "", SUMIFS(INDIRECT("'"&amp;I$3&amp;"'!I:I"), INDIRECT("'"&amp;I$3&amp;"'!G:G"), $B40, INDIRECT("'"&amp;I$3&amp;"'!W:W"), $H$37))</f>
        <v/>
      </c>
      <c r="K40" s="212" t="str">
        <f ca="1">IF(SUMIFS(INDIRECT("'"&amp;I$3&amp;"'!J:J"), INDIRECT("'"&amp;I$3&amp;"'!G:G"), $B40, INDIRECT("'"&amp;I$3&amp;"'!W:W"), $H$37)=0, "", SUMIFS(INDIRECT("'"&amp;I$3&amp;"'!J:J"), INDIRECT("'"&amp;I$3&amp;"'!G:G"), $B40, INDIRECT("'"&amp;I$3&amp;"'!W:W"), $H$37))</f>
        <v/>
      </c>
      <c r="L40" s="209" t="str">
        <f ca="1">IF(COUNTIFS(INDIRECT("'"&amp;L$3&amp;"'!G:G"), $B40, INDIRECT("'"&amp;L$3&amp;"'!W:W"), $H$37)=0, "", COUNTIFS(INDIRECT("'"&amp;L$3&amp;"'!G:G"), $B40, INDIRECT("'"&amp;L$3&amp;"'!W:W"), $H$19))</f>
        <v/>
      </c>
      <c r="M40" s="209" t="str">
        <f ca="1">IF(SUMIFS(INDIRECT("'"&amp;L$3&amp;"'!I:I"), INDIRECT("'"&amp;L$3&amp;"'!G:G"), $B40, INDIRECT("'"&amp;L$3&amp;"'!W:W"), $H$37)=0, "", SUMIFS(INDIRECT("'"&amp;L$3&amp;"'!I:I"), INDIRECT("'"&amp;L$3&amp;"'!G:G"), $B40, INDIRECT("'"&amp;L$3&amp;"'!W:W"), $H$37))</f>
        <v/>
      </c>
      <c r="N40" s="210" t="str">
        <f ca="1">IF(SUMIFS(INDIRECT("'"&amp;L$3&amp;"'!J:J"), INDIRECT("'"&amp;L$3&amp;"'!G:G"), $B40, INDIRECT("'"&amp;L$3&amp;"'!W:W"), $H$37)=0, "", SUMIFS(INDIRECT("'"&amp;L$3&amp;"'!J:J"), INDIRECT("'"&amp;L$3&amp;"'!G:G"), $B40, INDIRECT("'"&amp;L$3&amp;"'!W:W"), $H$37))</f>
        <v/>
      </c>
      <c r="O40" s="211" t="str">
        <f ca="1">IF(COUNTIFS(INDIRECT("'"&amp;O$3&amp;"'!G:G"), $B40, INDIRECT("'"&amp;O$3&amp;"'!W:W"), $H$37)=0, "", COUNTIFS(INDIRECT("'"&amp;O$3&amp;"'!G:G"), $B40, INDIRECT("'"&amp;O$3&amp;"'!W:W"), $H$19))</f>
        <v/>
      </c>
      <c r="P40" s="211" t="str">
        <f ca="1">IF(SUMIFS(INDIRECT("'"&amp;O$3&amp;"'!I:I"), INDIRECT("'"&amp;O$3&amp;"'!G:G"), $B40, INDIRECT("'"&amp;O$3&amp;"'!W:W"), $H$37)=0, "", SUMIFS(INDIRECT("'"&amp;O$3&amp;"'!I:I"), INDIRECT("'"&amp;O$3&amp;"'!G:G"), $B40, INDIRECT("'"&amp;O$3&amp;"'!W:W"), $H$37))</f>
        <v/>
      </c>
      <c r="Q40" s="212" t="str">
        <f ca="1">IF(SUMIFS(INDIRECT("'"&amp;O$3&amp;"'!J:J"), INDIRECT("'"&amp;O$3&amp;"'!G:G"), $B40, INDIRECT("'"&amp;O$3&amp;"'!W:W"), $H$37)=0, "", SUMIFS(INDIRECT("'"&amp;O$3&amp;"'!J:J"), INDIRECT("'"&amp;O$3&amp;"'!G:G"), $B40, INDIRECT("'"&amp;O$3&amp;"'!W:W"), $H$37))</f>
        <v/>
      </c>
      <c r="R40" s="209" t="str">
        <f ca="1">IF(COUNTIFS(INDIRECT("'"&amp;R$3&amp;"'!G:G"), $B40, INDIRECT("'"&amp;R$3&amp;"'!W:W"), $H$37)=0, "", COUNTIFS(INDIRECT("'"&amp;R$3&amp;"'!G:G"), $B40, INDIRECT("'"&amp;R$3&amp;"'!W:W"), $H$19))</f>
        <v/>
      </c>
      <c r="S40" s="209" t="str">
        <f ca="1">IF(SUMIFS(INDIRECT("'"&amp;R$3&amp;"'!I:I"), INDIRECT("'"&amp;R$3&amp;"'!G:G"), $B40, INDIRECT("'"&amp;R$3&amp;"'!W:W"), $H$37)=0, "", SUMIFS(INDIRECT("'"&amp;R$3&amp;"'!I:I"), INDIRECT("'"&amp;R$3&amp;"'!G:G"), $B40, INDIRECT("'"&amp;R$3&amp;"'!W:W"), $H$37))</f>
        <v/>
      </c>
      <c r="T40" s="210" t="str">
        <f ca="1">IF(SUMIFS(INDIRECT("'"&amp;R$3&amp;"'!J:J"), INDIRECT("'"&amp;R$3&amp;"'!G:G"), $B40, INDIRECT("'"&amp;R$3&amp;"'!W:W"), $H$37)=0, "", SUMIFS(INDIRECT("'"&amp;R$3&amp;"'!J:J"), INDIRECT("'"&amp;R$3&amp;"'!G:G"), $B40, INDIRECT("'"&amp;R$3&amp;"'!W:W"), $H$37))</f>
        <v/>
      </c>
      <c r="U40" s="211" t="str">
        <f ca="1">IF(COUNTIFS(INDIRECT("'"&amp;U$3&amp;"'!G:G"), $B40, INDIRECT("'"&amp;U$3&amp;"'!W:W"), $H$37)=0, "", COUNTIFS(INDIRECT("'"&amp;U$3&amp;"'!G:G"), $B40, INDIRECT("'"&amp;U$3&amp;"'!W:W"), $H$19))</f>
        <v/>
      </c>
      <c r="V40" s="211" t="str">
        <f ca="1">IF(SUMIFS(INDIRECT("'"&amp;U$3&amp;"'!I:I"), INDIRECT("'"&amp;U$3&amp;"'!G:G"), $B40, INDIRECT("'"&amp;U$3&amp;"'!W:W"), $H$37)=0, "", SUMIFS(INDIRECT("'"&amp;U$3&amp;"'!I:I"), INDIRECT("'"&amp;U$3&amp;"'!G:G"), $B40, INDIRECT("'"&amp;U$3&amp;"'!W:W"), $H$37))</f>
        <v/>
      </c>
      <c r="W40" s="212" t="str">
        <f ca="1">IF(SUMIFS(INDIRECT("'"&amp;U$3&amp;"'!J:J"), INDIRECT("'"&amp;U$3&amp;"'!G:G"), $B40, INDIRECT("'"&amp;U$3&amp;"'!W:W"), $H$37)=0, "", SUMIFS(INDIRECT("'"&amp;U$3&amp;"'!J:J"), INDIRECT("'"&amp;U$3&amp;"'!G:G"), $B40, INDIRECT("'"&amp;U$3&amp;"'!W:W"), $H$37))</f>
        <v/>
      </c>
      <c r="X40" s="209" t="str">
        <f ca="1">IF(COUNTIFS(INDIRECT("'"&amp;X$3&amp;"'!G:G"), $B40, INDIRECT("'"&amp;X$3&amp;"'!W:W"), $H$37)=0, "", COUNTIFS(INDIRECT("'"&amp;X$3&amp;"'!G:G"), $B40, INDIRECT("'"&amp;X$3&amp;"'!W:W"), $H$19))</f>
        <v/>
      </c>
      <c r="Y40" s="209" t="str">
        <f ca="1">IF(SUMIFS(INDIRECT("'"&amp;X$3&amp;"'!I:I"), INDIRECT("'"&amp;X$3&amp;"'!G:G"), $B40, INDIRECT("'"&amp;X$3&amp;"'!W:W"), $H$37)=0, "", SUMIFS(INDIRECT("'"&amp;X$3&amp;"'!I:I"), INDIRECT("'"&amp;X$3&amp;"'!G:G"), $B40, INDIRECT("'"&amp;X$3&amp;"'!W:W"), $H$37))</f>
        <v/>
      </c>
      <c r="Z40" s="210" t="str">
        <f ca="1">IF(SUMIFS(INDIRECT("'"&amp;X$3&amp;"'!J:J"), INDIRECT("'"&amp;X$3&amp;"'!G:G"), $B40, INDIRECT("'"&amp;X$3&amp;"'!W:W"), $H$37)=0, "", SUMIFS(INDIRECT("'"&amp;X$3&amp;"'!J:J"), INDIRECT("'"&amp;X$3&amp;"'!G:G"), $B40, INDIRECT("'"&amp;X$3&amp;"'!W:W"), $H$37))</f>
        <v/>
      </c>
      <c r="AA40" s="211" t="str">
        <f ca="1">IF(COUNTIFS(INDIRECT("'"&amp;AA$3&amp;"'!G:G"), $B40, INDIRECT("'"&amp;AA$3&amp;"'!W:W"), $H$37)=0, "", COUNTIFS(INDIRECT("'"&amp;AA$3&amp;"'!G:G"), $B40, INDIRECT("'"&amp;AA$3&amp;"'!W:W"), $H$19))</f>
        <v/>
      </c>
      <c r="AB40" s="211" t="str">
        <f ca="1">IF(SUMIFS(INDIRECT("'"&amp;AA$3&amp;"'!I:I"), INDIRECT("'"&amp;AA$3&amp;"'!G:G"), $B40, INDIRECT("'"&amp;AA$3&amp;"'!W:W"), $H$37)=0, "", SUMIFS(INDIRECT("'"&amp;AA$3&amp;"'!I:I"), INDIRECT("'"&amp;AA$3&amp;"'!G:G"), $B40, INDIRECT("'"&amp;AA$3&amp;"'!W:W"), $H$37))</f>
        <v/>
      </c>
      <c r="AC40" s="212" t="str">
        <f ca="1">IF(SUMIFS(INDIRECT("'"&amp;AA$3&amp;"'!J:J"), INDIRECT("'"&amp;AA$3&amp;"'!G:G"), $B40, INDIRECT("'"&amp;AA$3&amp;"'!W:W"), $H$37)=0, "", SUMIFS(INDIRECT("'"&amp;AA$3&amp;"'!J:J"), INDIRECT("'"&amp;AA$3&amp;"'!G:G"), $B40, INDIRECT("'"&amp;AA$3&amp;"'!W:W"), $H$37))</f>
        <v/>
      </c>
      <c r="AD40" s="209" t="str">
        <f ca="1">IF(COUNTIFS(INDIRECT("'"&amp;AD$3&amp;"'!G:G"), $B40, INDIRECT("'"&amp;AD$3&amp;"'!W:W"), $H$37)=0, "", COUNTIFS(INDIRECT("'"&amp;AD$3&amp;"'!G:G"), $B40, INDIRECT("'"&amp;AD$3&amp;"'!W:W"), $H$19))</f>
        <v/>
      </c>
      <c r="AE40" s="209" t="str">
        <f ca="1">IF(SUMIFS(INDIRECT("'"&amp;AD$3&amp;"'!I:I"), INDIRECT("'"&amp;AD$3&amp;"'!G:G"), $B40, INDIRECT("'"&amp;AD$3&amp;"'!W:W"), $H$37)=0, "", SUMIFS(INDIRECT("'"&amp;AD$3&amp;"'!I:I"), INDIRECT("'"&amp;AD$3&amp;"'!G:G"), $B40, INDIRECT("'"&amp;AD$3&amp;"'!W:W"), $H$37))</f>
        <v/>
      </c>
      <c r="AF40" s="210" t="str">
        <f ca="1">IF(SUMIFS(INDIRECT("'"&amp;AD$3&amp;"'!J:J"), INDIRECT("'"&amp;AD$3&amp;"'!G:G"), $B40, INDIRECT("'"&amp;AD$3&amp;"'!W:W"), $H$37)=0, "", SUMIFS(INDIRECT("'"&amp;AD$3&amp;"'!J:J"), INDIRECT("'"&amp;AD$3&amp;"'!G:G"), $B40, INDIRECT("'"&amp;AD$3&amp;"'!W:W"), $H$37))</f>
        <v/>
      </c>
      <c r="AG40" s="211" t="str">
        <f ca="1">IF(COUNTIFS(INDIRECT("'"&amp;AG$3&amp;"'!G:G"), $B40, INDIRECT("'"&amp;AG$3&amp;"'!W:W"), $H$37)=0, "", COUNTIFS(INDIRECT("'"&amp;AG$3&amp;"'!G:G"), $B40, INDIRECT("'"&amp;AG$3&amp;"'!W:W"), $H$19))</f>
        <v/>
      </c>
      <c r="AH40" s="211" t="str">
        <f ca="1">IF(SUMIFS(INDIRECT("'"&amp;AG$3&amp;"'!I:I"), INDIRECT("'"&amp;AG$3&amp;"'!G:G"), $B40, INDIRECT("'"&amp;AG$3&amp;"'!W:W"), $H$37)=0, "", SUMIFS(INDIRECT("'"&amp;AG$3&amp;"'!I:I"), INDIRECT("'"&amp;AG$3&amp;"'!G:G"), $B40, INDIRECT("'"&amp;AG$3&amp;"'!W:W"), $H$37))</f>
        <v/>
      </c>
      <c r="AI40" s="215" t="str">
        <f ca="1">IF(SUMIFS(INDIRECT("'"&amp;AG$3&amp;"'!J:J"), INDIRECT("'"&amp;AG$3&amp;"'!G:G"), $B40, INDIRECT("'"&amp;AG$3&amp;"'!W:W"), $H$37)=0, "", SUMIFS(INDIRECT("'"&amp;AG$3&amp;"'!J:J"), INDIRECT("'"&amp;AG$3&amp;"'!G:G"), $B40, INDIRECT("'"&amp;AG$3&amp;"'!W:W"), $H$37))</f>
        <v/>
      </c>
    </row>
    <row r="41" spans="2:35" x14ac:dyDescent="0.25">
      <c r="B41" s="213">
        <v>2</v>
      </c>
      <c r="C41" s="260" t="str">
        <f t="shared" ref="C41:C51" ca="1" si="69">IF(
  SUM(
    IFERROR(VALUE(F41), 0),
    IFERROR(VALUE(I41), 0),
    IFERROR(VALUE(L41), 0),
    IFERROR(VALUE(O41), 0),
    IFERROR(VALUE(R41), 0),
    IFERROR(VALUE(U41), 0),
    IFERROR(VALUE(X41), 0),
    IFERROR(VALUE(AA41), 0),
    IFERROR(VALUE(AD41), 0),
    IFERROR(VALUE(AG41), 0)
  ) = 0,
  "",
  SUM(
    IFERROR(VALUE(F41), 0),
    IFERROR(VALUE(I41), 0),
    IFERROR(VALUE(L41), 0),
    IFERROR(VALUE(O41), 0),
    IFERROR(VALUE(R41), 0),
    IFERROR(VALUE(U41), 0),
    IFERROR(VALUE(X41), 0),
    IFERROR(VALUE(AA41), 0),
    IFERROR(VALUE(AD41), 0),
    IFERROR(VALUE(AG41), 0)
  )
)</f>
        <v/>
      </c>
      <c r="D41" s="260" t="str">
        <f t="shared" ca="1" si="67"/>
        <v/>
      </c>
      <c r="E41" s="260" t="str">
        <f t="shared" ca="1" si="68"/>
        <v/>
      </c>
      <c r="F41" s="209" t="str">
        <f t="shared" ref="F41:F51" ca="1" si="70">IF(COUNTIFS(INDIRECT("'"&amp;F$3&amp;"'!G:G"), $B41, INDIRECT("'"&amp;F$3&amp;"'!W:W"), $H$37)=0, "", COUNTIFS(INDIRECT("'"&amp;F$3&amp;"'!G:G"), $B41, INDIRECT("'"&amp;F$3&amp;"'!W:W"), $H$19))</f>
        <v/>
      </c>
      <c r="G41" s="209" t="str">
        <f t="shared" ref="G41:G51" ca="1" si="71">IF(SUMIFS(INDIRECT("'"&amp;F$3&amp;"'!I:I"), INDIRECT("'"&amp;F$3&amp;"'!G:G"), $B41, INDIRECT("'"&amp;F$3&amp;"'!W:W"), $H$37)=0, "", SUMIFS(INDIRECT("'"&amp;F$3&amp;"'!I:I"), INDIRECT("'"&amp;F$3&amp;"'!G:G"), $B41, INDIRECT("'"&amp;F$3&amp;"'!W:W"), $H$37))</f>
        <v/>
      </c>
      <c r="H41" s="210" t="str">
        <f t="shared" ref="H41:H51" ca="1" si="72">IF(SUMIFS(INDIRECT("'"&amp;F$3&amp;"'!J:J"), INDIRECT("'"&amp;F$3&amp;"'!G:G"), $B41, INDIRECT("'"&amp;F$3&amp;"'!W:W"), $H$37)=0, "", SUMIFS(INDIRECT("'"&amp;F$3&amp;"'!J:J"), INDIRECT("'"&amp;F$3&amp;"'!G:G"), $B41, INDIRECT("'"&amp;F$3&amp;"'!W:W"), $H$37))</f>
        <v/>
      </c>
      <c r="I41" s="211" t="str">
        <f t="shared" ref="I41:I51" ca="1" si="73">IF(COUNTIFS(INDIRECT("'"&amp;I$3&amp;"'!G:G"), $B41, INDIRECT("'"&amp;I$3&amp;"'!W:W"), $H$37)=0, "", COUNTIFS(INDIRECT("'"&amp;I$3&amp;"'!G:G"), $B41, INDIRECT("'"&amp;I$3&amp;"'!W:W"), $H$19))</f>
        <v/>
      </c>
      <c r="J41" s="211" t="str">
        <f t="shared" ref="J41:J51" ca="1" si="74">IF(SUMIFS(INDIRECT("'"&amp;I$3&amp;"'!I:I"), INDIRECT("'"&amp;I$3&amp;"'!G:G"), $B41, INDIRECT("'"&amp;I$3&amp;"'!W:W"), $H$37)=0, "", SUMIFS(INDIRECT("'"&amp;I$3&amp;"'!I:I"), INDIRECT("'"&amp;I$3&amp;"'!G:G"), $B41, INDIRECT("'"&amp;I$3&amp;"'!W:W"), $H$37))</f>
        <v/>
      </c>
      <c r="K41" s="212" t="str">
        <f t="shared" ref="K41:K51" ca="1" si="75">IF(SUMIFS(INDIRECT("'"&amp;I$3&amp;"'!J:J"), INDIRECT("'"&amp;I$3&amp;"'!G:G"), $B41, INDIRECT("'"&amp;I$3&amp;"'!W:W"), $H$37)=0, "", SUMIFS(INDIRECT("'"&amp;I$3&amp;"'!J:J"), INDIRECT("'"&amp;I$3&amp;"'!G:G"), $B41, INDIRECT("'"&amp;I$3&amp;"'!W:W"), $H$37))</f>
        <v/>
      </c>
      <c r="L41" s="209" t="str">
        <f t="shared" ref="L41:L51" ca="1" si="76">IF(COUNTIFS(INDIRECT("'"&amp;L$3&amp;"'!G:G"), $B41, INDIRECT("'"&amp;L$3&amp;"'!W:W"), $H$37)=0, "", COUNTIFS(INDIRECT("'"&amp;L$3&amp;"'!G:G"), $B41, INDIRECT("'"&amp;L$3&amp;"'!W:W"), $H$19))</f>
        <v/>
      </c>
      <c r="M41" s="209" t="str">
        <f t="shared" ref="M41:M51" ca="1" si="77">IF(SUMIFS(INDIRECT("'"&amp;L$3&amp;"'!I:I"), INDIRECT("'"&amp;L$3&amp;"'!G:G"), $B41, INDIRECT("'"&amp;L$3&amp;"'!W:W"), $H$37)=0, "", SUMIFS(INDIRECT("'"&amp;L$3&amp;"'!I:I"), INDIRECT("'"&amp;L$3&amp;"'!G:G"), $B41, INDIRECT("'"&amp;L$3&amp;"'!W:W"), $H$37))</f>
        <v/>
      </c>
      <c r="N41" s="210" t="str">
        <f t="shared" ref="N41:N51" ca="1" si="78">IF(SUMIFS(INDIRECT("'"&amp;L$3&amp;"'!J:J"), INDIRECT("'"&amp;L$3&amp;"'!G:G"), $B41, INDIRECT("'"&amp;L$3&amp;"'!W:W"), $H$37)=0, "", SUMIFS(INDIRECT("'"&amp;L$3&amp;"'!J:J"), INDIRECT("'"&amp;L$3&amp;"'!G:G"), $B41, INDIRECT("'"&amp;L$3&amp;"'!W:W"), $H$37))</f>
        <v/>
      </c>
      <c r="O41" s="211" t="str">
        <f t="shared" ref="O41:O51" ca="1" si="79">IF(COUNTIFS(INDIRECT("'"&amp;O$3&amp;"'!G:G"), $B41, INDIRECT("'"&amp;O$3&amp;"'!W:W"), $H$37)=0, "", COUNTIFS(INDIRECT("'"&amp;O$3&amp;"'!G:G"), $B41, INDIRECT("'"&amp;O$3&amp;"'!W:W"), $H$19))</f>
        <v/>
      </c>
      <c r="P41" s="211" t="str">
        <f t="shared" ref="P41:P51" ca="1" si="80">IF(SUMIFS(INDIRECT("'"&amp;O$3&amp;"'!I:I"), INDIRECT("'"&amp;O$3&amp;"'!G:G"), $B41, INDIRECT("'"&amp;O$3&amp;"'!W:W"), $H$37)=0, "", SUMIFS(INDIRECT("'"&amp;O$3&amp;"'!I:I"), INDIRECT("'"&amp;O$3&amp;"'!G:G"), $B41, INDIRECT("'"&amp;O$3&amp;"'!W:W"), $H$37))</f>
        <v/>
      </c>
      <c r="Q41" s="212" t="str">
        <f t="shared" ref="Q41:Q51" ca="1" si="81">IF(SUMIFS(INDIRECT("'"&amp;O$3&amp;"'!J:J"), INDIRECT("'"&amp;O$3&amp;"'!G:G"), $B41, INDIRECT("'"&amp;O$3&amp;"'!W:W"), $H$37)=0, "", SUMIFS(INDIRECT("'"&amp;O$3&amp;"'!J:J"), INDIRECT("'"&amp;O$3&amp;"'!G:G"), $B41, INDIRECT("'"&amp;O$3&amp;"'!W:W"), $H$37))</f>
        <v/>
      </c>
      <c r="R41" s="209" t="str">
        <f t="shared" ref="R41:R51" ca="1" si="82">IF(COUNTIFS(INDIRECT("'"&amp;R$3&amp;"'!G:G"), $B41, INDIRECT("'"&amp;R$3&amp;"'!W:W"), $H$37)=0, "", COUNTIFS(INDIRECT("'"&amp;R$3&amp;"'!G:G"), $B41, INDIRECT("'"&amp;R$3&amp;"'!W:W"), $H$19))</f>
        <v/>
      </c>
      <c r="S41" s="209" t="str">
        <f t="shared" ref="S41:S51" ca="1" si="83">IF(SUMIFS(INDIRECT("'"&amp;R$3&amp;"'!I:I"), INDIRECT("'"&amp;R$3&amp;"'!G:G"), $B41, INDIRECT("'"&amp;R$3&amp;"'!W:W"), $H$37)=0, "", SUMIFS(INDIRECT("'"&amp;R$3&amp;"'!I:I"), INDIRECT("'"&amp;R$3&amp;"'!G:G"), $B41, INDIRECT("'"&amp;R$3&amp;"'!W:W"), $H$37))</f>
        <v/>
      </c>
      <c r="T41" s="210" t="str">
        <f t="shared" ref="T41:T51" ca="1" si="84">IF(SUMIFS(INDIRECT("'"&amp;R$3&amp;"'!J:J"), INDIRECT("'"&amp;R$3&amp;"'!G:G"), $B41, INDIRECT("'"&amp;R$3&amp;"'!W:W"), $H$37)=0, "", SUMIFS(INDIRECT("'"&amp;R$3&amp;"'!J:J"), INDIRECT("'"&amp;R$3&amp;"'!G:G"), $B41, INDIRECT("'"&amp;R$3&amp;"'!W:W"), $H$37))</f>
        <v/>
      </c>
      <c r="U41" s="211" t="str">
        <f t="shared" ref="U41:U51" ca="1" si="85">IF(COUNTIFS(INDIRECT("'"&amp;U$3&amp;"'!G:G"), $B41, INDIRECT("'"&amp;U$3&amp;"'!W:W"), $H$37)=0, "", COUNTIFS(INDIRECT("'"&amp;U$3&amp;"'!G:G"), $B41, INDIRECT("'"&amp;U$3&amp;"'!W:W"), $H$19))</f>
        <v/>
      </c>
      <c r="V41" s="211" t="str">
        <f t="shared" ref="V41:V51" ca="1" si="86">IF(SUMIFS(INDIRECT("'"&amp;U$3&amp;"'!I:I"), INDIRECT("'"&amp;U$3&amp;"'!G:G"), $B41, INDIRECT("'"&amp;U$3&amp;"'!W:W"), $H$37)=0, "", SUMIFS(INDIRECT("'"&amp;U$3&amp;"'!I:I"), INDIRECT("'"&amp;U$3&amp;"'!G:G"), $B41, INDIRECT("'"&amp;U$3&amp;"'!W:W"), $H$37))</f>
        <v/>
      </c>
      <c r="W41" s="212" t="str">
        <f t="shared" ref="W41:W51" ca="1" si="87">IF(SUMIFS(INDIRECT("'"&amp;U$3&amp;"'!J:J"), INDIRECT("'"&amp;U$3&amp;"'!G:G"), $B41, INDIRECT("'"&amp;U$3&amp;"'!W:W"), $H$37)=0, "", SUMIFS(INDIRECT("'"&amp;U$3&amp;"'!J:J"), INDIRECT("'"&amp;U$3&amp;"'!G:G"), $B41, INDIRECT("'"&amp;U$3&amp;"'!W:W"), $H$37))</f>
        <v/>
      </c>
      <c r="X41" s="209" t="str">
        <f t="shared" ref="X41:X51" ca="1" si="88">IF(COUNTIFS(INDIRECT("'"&amp;X$3&amp;"'!G:G"), $B41, INDIRECT("'"&amp;X$3&amp;"'!W:W"), $H$37)=0, "", COUNTIFS(INDIRECT("'"&amp;X$3&amp;"'!G:G"), $B41, INDIRECT("'"&amp;X$3&amp;"'!W:W"), $H$19))</f>
        <v/>
      </c>
      <c r="Y41" s="209" t="str">
        <f t="shared" ref="Y41:Y51" ca="1" si="89">IF(SUMIFS(INDIRECT("'"&amp;X$3&amp;"'!I:I"), INDIRECT("'"&amp;X$3&amp;"'!G:G"), $B41, INDIRECT("'"&amp;X$3&amp;"'!W:W"), $H$37)=0, "", SUMIFS(INDIRECT("'"&amp;X$3&amp;"'!I:I"), INDIRECT("'"&amp;X$3&amp;"'!G:G"), $B41, INDIRECT("'"&amp;X$3&amp;"'!W:W"), $H$37))</f>
        <v/>
      </c>
      <c r="Z41" s="210" t="str">
        <f t="shared" ref="Z41:Z51" ca="1" si="90">IF(SUMIFS(INDIRECT("'"&amp;X$3&amp;"'!J:J"), INDIRECT("'"&amp;X$3&amp;"'!G:G"), $B41, INDIRECT("'"&amp;X$3&amp;"'!W:W"), $H$37)=0, "", SUMIFS(INDIRECT("'"&amp;X$3&amp;"'!J:J"), INDIRECT("'"&amp;X$3&amp;"'!G:G"), $B41, INDIRECT("'"&amp;X$3&amp;"'!W:W"), $H$37))</f>
        <v/>
      </c>
      <c r="AA41" s="211" t="str">
        <f t="shared" ref="AA41:AA51" ca="1" si="91">IF(COUNTIFS(INDIRECT("'"&amp;AA$3&amp;"'!G:G"), $B41, INDIRECT("'"&amp;AA$3&amp;"'!W:W"), $H$37)=0, "", COUNTIFS(INDIRECT("'"&amp;AA$3&amp;"'!G:G"), $B41, INDIRECT("'"&amp;AA$3&amp;"'!W:W"), $H$19))</f>
        <v/>
      </c>
      <c r="AB41" s="211" t="str">
        <f t="shared" ref="AB41:AB51" ca="1" si="92">IF(SUMIFS(INDIRECT("'"&amp;AA$3&amp;"'!I:I"), INDIRECT("'"&amp;AA$3&amp;"'!G:G"), $B41, INDIRECT("'"&amp;AA$3&amp;"'!W:W"), $H$37)=0, "", SUMIFS(INDIRECT("'"&amp;AA$3&amp;"'!I:I"), INDIRECT("'"&amp;AA$3&amp;"'!G:G"), $B41, INDIRECT("'"&amp;AA$3&amp;"'!W:W"), $H$37))</f>
        <v/>
      </c>
      <c r="AC41" s="212" t="str">
        <f t="shared" ref="AC41:AC51" ca="1" si="93">IF(SUMIFS(INDIRECT("'"&amp;AA$3&amp;"'!J:J"), INDIRECT("'"&amp;AA$3&amp;"'!G:G"), $B41, INDIRECT("'"&amp;AA$3&amp;"'!W:W"), $H$37)=0, "", SUMIFS(INDIRECT("'"&amp;AA$3&amp;"'!J:J"), INDIRECT("'"&amp;AA$3&amp;"'!G:G"), $B41, INDIRECT("'"&amp;AA$3&amp;"'!W:W"), $H$37))</f>
        <v/>
      </c>
      <c r="AD41" s="209" t="str">
        <f t="shared" ref="AD41:AD51" ca="1" si="94">IF(COUNTIFS(INDIRECT("'"&amp;AD$3&amp;"'!G:G"), $B41, INDIRECT("'"&amp;AD$3&amp;"'!W:W"), $H$37)=0, "", COUNTIFS(INDIRECT("'"&amp;AD$3&amp;"'!G:G"), $B41, INDIRECT("'"&amp;AD$3&amp;"'!W:W"), $H$19))</f>
        <v/>
      </c>
      <c r="AE41" s="209" t="str">
        <f t="shared" ref="AE41:AE51" ca="1" si="95">IF(SUMIFS(INDIRECT("'"&amp;AD$3&amp;"'!I:I"), INDIRECT("'"&amp;AD$3&amp;"'!G:G"), $B41, INDIRECT("'"&amp;AD$3&amp;"'!W:W"), $H$37)=0, "", SUMIFS(INDIRECT("'"&amp;AD$3&amp;"'!I:I"), INDIRECT("'"&amp;AD$3&amp;"'!G:G"), $B41, INDIRECT("'"&amp;AD$3&amp;"'!W:W"), $H$37))</f>
        <v/>
      </c>
      <c r="AF41" s="210" t="str">
        <f t="shared" ref="AF41:AF51" ca="1" si="96">IF(SUMIFS(INDIRECT("'"&amp;AD$3&amp;"'!J:J"), INDIRECT("'"&amp;AD$3&amp;"'!G:G"), $B41, INDIRECT("'"&amp;AD$3&amp;"'!W:W"), $H$37)=0, "", SUMIFS(INDIRECT("'"&amp;AD$3&amp;"'!J:J"), INDIRECT("'"&amp;AD$3&amp;"'!G:G"), $B41, INDIRECT("'"&amp;AD$3&amp;"'!W:W"), $H$37))</f>
        <v/>
      </c>
      <c r="AG41" s="211" t="str">
        <f t="shared" ref="AG41:AG51" ca="1" si="97">IF(COUNTIFS(INDIRECT("'"&amp;AG$3&amp;"'!G:G"), $B41, INDIRECT("'"&amp;AG$3&amp;"'!W:W"), $H$37)=0, "", COUNTIFS(INDIRECT("'"&amp;AG$3&amp;"'!G:G"), $B41, INDIRECT("'"&amp;AG$3&amp;"'!W:W"), $H$19))</f>
        <v/>
      </c>
      <c r="AH41" s="211" t="str">
        <f t="shared" ref="AH41:AH51" ca="1" si="98">IF(SUMIFS(INDIRECT("'"&amp;AG$3&amp;"'!I:I"), INDIRECT("'"&amp;AG$3&amp;"'!G:G"), $B41, INDIRECT("'"&amp;AG$3&amp;"'!W:W"), $H$37)=0, "", SUMIFS(INDIRECT("'"&amp;AG$3&amp;"'!I:I"), INDIRECT("'"&amp;AG$3&amp;"'!G:G"), $B41, INDIRECT("'"&amp;AG$3&amp;"'!W:W"), $H$37))</f>
        <v/>
      </c>
      <c r="AI41" s="215" t="str">
        <f t="shared" ref="AI41:AI51" ca="1" si="99">IF(SUMIFS(INDIRECT("'"&amp;AG$3&amp;"'!J:J"), INDIRECT("'"&amp;AG$3&amp;"'!G:G"), $B41, INDIRECT("'"&amp;AG$3&amp;"'!W:W"), $H$37)=0, "", SUMIFS(INDIRECT("'"&amp;AG$3&amp;"'!J:J"), INDIRECT("'"&amp;AG$3&amp;"'!G:G"), $B41, INDIRECT("'"&amp;AG$3&amp;"'!W:W"), $H$37))</f>
        <v/>
      </c>
    </row>
    <row r="42" spans="2:35" x14ac:dyDescent="0.25">
      <c r="B42" s="213">
        <v>3</v>
      </c>
      <c r="C42" s="260" t="str">
        <f t="shared" ca="1" si="69"/>
        <v/>
      </c>
      <c r="D42" s="260" t="str">
        <f t="shared" ca="1" si="67"/>
        <v/>
      </c>
      <c r="E42" s="260" t="str">
        <f t="shared" ca="1" si="68"/>
        <v/>
      </c>
      <c r="F42" s="209" t="str">
        <f t="shared" ca="1" si="70"/>
        <v/>
      </c>
      <c r="G42" s="209" t="str">
        <f t="shared" ca="1" si="71"/>
        <v/>
      </c>
      <c r="H42" s="210" t="str">
        <f t="shared" ca="1" si="72"/>
        <v/>
      </c>
      <c r="I42" s="211" t="str">
        <f t="shared" ca="1" si="73"/>
        <v/>
      </c>
      <c r="J42" s="211" t="str">
        <f t="shared" ca="1" si="74"/>
        <v/>
      </c>
      <c r="K42" s="212" t="str">
        <f t="shared" ca="1" si="75"/>
        <v/>
      </c>
      <c r="L42" s="209" t="str">
        <f t="shared" ca="1" si="76"/>
        <v/>
      </c>
      <c r="M42" s="209" t="str">
        <f t="shared" ca="1" si="77"/>
        <v/>
      </c>
      <c r="N42" s="210" t="str">
        <f t="shared" ca="1" si="78"/>
        <v/>
      </c>
      <c r="O42" s="211" t="str">
        <f t="shared" ca="1" si="79"/>
        <v/>
      </c>
      <c r="P42" s="211" t="str">
        <f t="shared" ca="1" si="80"/>
        <v/>
      </c>
      <c r="Q42" s="212" t="str">
        <f t="shared" ca="1" si="81"/>
        <v/>
      </c>
      <c r="R42" s="209" t="str">
        <f t="shared" ca="1" si="82"/>
        <v/>
      </c>
      <c r="S42" s="209" t="str">
        <f t="shared" ca="1" si="83"/>
        <v/>
      </c>
      <c r="T42" s="210" t="str">
        <f t="shared" ca="1" si="84"/>
        <v/>
      </c>
      <c r="U42" s="211" t="str">
        <f t="shared" ca="1" si="85"/>
        <v/>
      </c>
      <c r="V42" s="211" t="str">
        <f t="shared" ca="1" si="86"/>
        <v/>
      </c>
      <c r="W42" s="212" t="str">
        <f t="shared" ca="1" si="87"/>
        <v/>
      </c>
      <c r="X42" s="209" t="str">
        <f t="shared" ca="1" si="88"/>
        <v/>
      </c>
      <c r="Y42" s="209" t="str">
        <f t="shared" ca="1" si="89"/>
        <v/>
      </c>
      <c r="Z42" s="210" t="str">
        <f t="shared" ca="1" si="90"/>
        <v/>
      </c>
      <c r="AA42" s="211" t="str">
        <f t="shared" ca="1" si="91"/>
        <v/>
      </c>
      <c r="AB42" s="211" t="str">
        <f t="shared" ca="1" si="92"/>
        <v/>
      </c>
      <c r="AC42" s="212" t="str">
        <f t="shared" ca="1" si="93"/>
        <v/>
      </c>
      <c r="AD42" s="209" t="str">
        <f t="shared" ca="1" si="94"/>
        <v/>
      </c>
      <c r="AE42" s="209" t="str">
        <f t="shared" ca="1" si="95"/>
        <v/>
      </c>
      <c r="AF42" s="210" t="str">
        <f t="shared" ca="1" si="96"/>
        <v/>
      </c>
      <c r="AG42" s="211" t="str">
        <f t="shared" ca="1" si="97"/>
        <v/>
      </c>
      <c r="AH42" s="211" t="str">
        <f t="shared" ca="1" si="98"/>
        <v/>
      </c>
      <c r="AI42" s="215" t="str">
        <f t="shared" ca="1" si="99"/>
        <v/>
      </c>
    </row>
    <row r="43" spans="2:35" x14ac:dyDescent="0.25">
      <c r="B43" s="213">
        <v>4</v>
      </c>
      <c r="C43" s="260" t="str">
        <f t="shared" ca="1" si="69"/>
        <v/>
      </c>
      <c r="D43" s="260" t="str">
        <f t="shared" ca="1" si="67"/>
        <v/>
      </c>
      <c r="E43" s="260" t="str">
        <f t="shared" ca="1" si="68"/>
        <v/>
      </c>
      <c r="F43" s="209" t="str">
        <f t="shared" ca="1" si="70"/>
        <v/>
      </c>
      <c r="G43" s="209" t="str">
        <f t="shared" ca="1" si="71"/>
        <v/>
      </c>
      <c r="H43" s="210" t="str">
        <f t="shared" ca="1" si="72"/>
        <v/>
      </c>
      <c r="I43" s="211" t="str">
        <f t="shared" ca="1" si="73"/>
        <v/>
      </c>
      <c r="J43" s="211" t="str">
        <f t="shared" ca="1" si="74"/>
        <v/>
      </c>
      <c r="K43" s="212" t="str">
        <f t="shared" ca="1" si="75"/>
        <v/>
      </c>
      <c r="L43" s="209" t="str">
        <f t="shared" ca="1" si="76"/>
        <v/>
      </c>
      <c r="M43" s="209" t="str">
        <f t="shared" ca="1" si="77"/>
        <v/>
      </c>
      <c r="N43" s="210" t="str">
        <f t="shared" ca="1" si="78"/>
        <v/>
      </c>
      <c r="O43" s="211" t="str">
        <f t="shared" ca="1" si="79"/>
        <v/>
      </c>
      <c r="P43" s="211" t="str">
        <f t="shared" ca="1" si="80"/>
        <v/>
      </c>
      <c r="Q43" s="212" t="str">
        <f t="shared" ca="1" si="81"/>
        <v/>
      </c>
      <c r="R43" s="209" t="str">
        <f t="shared" ca="1" si="82"/>
        <v/>
      </c>
      <c r="S43" s="209" t="str">
        <f t="shared" ca="1" si="83"/>
        <v/>
      </c>
      <c r="T43" s="210" t="str">
        <f t="shared" ca="1" si="84"/>
        <v/>
      </c>
      <c r="U43" s="211" t="str">
        <f t="shared" ca="1" si="85"/>
        <v/>
      </c>
      <c r="V43" s="211" t="str">
        <f t="shared" ca="1" si="86"/>
        <v/>
      </c>
      <c r="W43" s="212" t="str">
        <f t="shared" ca="1" si="87"/>
        <v/>
      </c>
      <c r="X43" s="209" t="str">
        <f t="shared" ca="1" si="88"/>
        <v/>
      </c>
      <c r="Y43" s="209" t="str">
        <f t="shared" ca="1" si="89"/>
        <v/>
      </c>
      <c r="Z43" s="210" t="str">
        <f t="shared" ca="1" si="90"/>
        <v/>
      </c>
      <c r="AA43" s="211" t="str">
        <f t="shared" ca="1" si="91"/>
        <v/>
      </c>
      <c r="AB43" s="211" t="str">
        <f t="shared" ca="1" si="92"/>
        <v/>
      </c>
      <c r="AC43" s="212" t="str">
        <f t="shared" ca="1" si="93"/>
        <v/>
      </c>
      <c r="AD43" s="209" t="str">
        <f t="shared" ca="1" si="94"/>
        <v/>
      </c>
      <c r="AE43" s="209" t="str">
        <f t="shared" ca="1" si="95"/>
        <v/>
      </c>
      <c r="AF43" s="210" t="str">
        <f t="shared" ca="1" si="96"/>
        <v/>
      </c>
      <c r="AG43" s="211" t="str">
        <f t="shared" ca="1" si="97"/>
        <v/>
      </c>
      <c r="AH43" s="211" t="str">
        <f t="shared" ca="1" si="98"/>
        <v/>
      </c>
      <c r="AI43" s="215" t="str">
        <f t="shared" ca="1" si="99"/>
        <v/>
      </c>
    </row>
    <row r="44" spans="2:35" x14ac:dyDescent="0.25">
      <c r="B44" s="213">
        <v>5</v>
      </c>
      <c r="C44" s="260" t="str">
        <f t="shared" ca="1" si="69"/>
        <v/>
      </c>
      <c r="D44" s="260" t="str">
        <f t="shared" ca="1" si="67"/>
        <v/>
      </c>
      <c r="E44" s="260" t="str">
        <f t="shared" ca="1" si="68"/>
        <v/>
      </c>
      <c r="F44" s="209" t="str">
        <f t="shared" ca="1" si="70"/>
        <v/>
      </c>
      <c r="G44" s="209" t="str">
        <f t="shared" ca="1" si="71"/>
        <v/>
      </c>
      <c r="H44" s="210" t="str">
        <f t="shared" ca="1" si="72"/>
        <v/>
      </c>
      <c r="I44" s="211" t="str">
        <f t="shared" ca="1" si="73"/>
        <v/>
      </c>
      <c r="J44" s="211" t="str">
        <f t="shared" ca="1" si="74"/>
        <v/>
      </c>
      <c r="K44" s="212" t="str">
        <f t="shared" ca="1" si="75"/>
        <v/>
      </c>
      <c r="L44" s="209" t="str">
        <f t="shared" ca="1" si="76"/>
        <v/>
      </c>
      <c r="M44" s="209" t="str">
        <f t="shared" ca="1" si="77"/>
        <v/>
      </c>
      <c r="N44" s="210" t="str">
        <f t="shared" ca="1" si="78"/>
        <v/>
      </c>
      <c r="O44" s="211" t="str">
        <f t="shared" ca="1" si="79"/>
        <v/>
      </c>
      <c r="P44" s="211" t="str">
        <f t="shared" ca="1" si="80"/>
        <v/>
      </c>
      <c r="Q44" s="212" t="str">
        <f t="shared" ca="1" si="81"/>
        <v/>
      </c>
      <c r="R44" s="209" t="str">
        <f t="shared" ca="1" si="82"/>
        <v/>
      </c>
      <c r="S44" s="209" t="str">
        <f t="shared" ca="1" si="83"/>
        <v/>
      </c>
      <c r="T44" s="210" t="str">
        <f t="shared" ca="1" si="84"/>
        <v/>
      </c>
      <c r="U44" s="211" t="str">
        <f t="shared" ca="1" si="85"/>
        <v/>
      </c>
      <c r="V44" s="211" t="str">
        <f t="shared" ca="1" si="86"/>
        <v/>
      </c>
      <c r="W44" s="212" t="str">
        <f t="shared" ca="1" si="87"/>
        <v/>
      </c>
      <c r="X44" s="209" t="str">
        <f t="shared" ca="1" si="88"/>
        <v/>
      </c>
      <c r="Y44" s="209" t="str">
        <f t="shared" ca="1" si="89"/>
        <v/>
      </c>
      <c r="Z44" s="210" t="str">
        <f t="shared" ca="1" si="90"/>
        <v/>
      </c>
      <c r="AA44" s="211" t="str">
        <f t="shared" ca="1" si="91"/>
        <v/>
      </c>
      <c r="AB44" s="211" t="str">
        <f t="shared" ca="1" si="92"/>
        <v/>
      </c>
      <c r="AC44" s="212" t="str">
        <f t="shared" ca="1" si="93"/>
        <v/>
      </c>
      <c r="AD44" s="209" t="str">
        <f t="shared" ca="1" si="94"/>
        <v/>
      </c>
      <c r="AE44" s="209" t="str">
        <f t="shared" ca="1" si="95"/>
        <v/>
      </c>
      <c r="AF44" s="210" t="str">
        <f t="shared" ca="1" si="96"/>
        <v/>
      </c>
      <c r="AG44" s="211" t="str">
        <f t="shared" ca="1" si="97"/>
        <v/>
      </c>
      <c r="AH44" s="211" t="str">
        <f t="shared" ca="1" si="98"/>
        <v/>
      </c>
      <c r="AI44" s="215" t="str">
        <f t="shared" ca="1" si="99"/>
        <v/>
      </c>
    </row>
    <row r="45" spans="2:35" x14ac:dyDescent="0.25">
      <c r="B45" s="213">
        <v>6</v>
      </c>
      <c r="C45" s="260" t="str">
        <f t="shared" ca="1" si="69"/>
        <v/>
      </c>
      <c r="D45" s="260" t="str">
        <f t="shared" ca="1" si="67"/>
        <v/>
      </c>
      <c r="E45" s="260" t="str">
        <f t="shared" ca="1" si="68"/>
        <v/>
      </c>
      <c r="F45" s="209" t="str">
        <f t="shared" ca="1" si="70"/>
        <v/>
      </c>
      <c r="G45" s="209" t="str">
        <f t="shared" ca="1" si="71"/>
        <v/>
      </c>
      <c r="H45" s="210" t="str">
        <f t="shared" ca="1" si="72"/>
        <v/>
      </c>
      <c r="I45" s="211" t="str">
        <f t="shared" ca="1" si="73"/>
        <v/>
      </c>
      <c r="J45" s="211" t="str">
        <f t="shared" ca="1" si="74"/>
        <v/>
      </c>
      <c r="K45" s="212" t="str">
        <f t="shared" ca="1" si="75"/>
        <v/>
      </c>
      <c r="L45" s="209" t="str">
        <f t="shared" ca="1" si="76"/>
        <v/>
      </c>
      <c r="M45" s="209" t="str">
        <f t="shared" ca="1" si="77"/>
        <v/>
      </c>
      <c r="N45" s="210" t="str">
        <f t="shared" ca="1" si="78"/>
        <v/>
      </c>
      <c r="O45" s="211" t="str">
        <f t="shared" ca="1" si="79"/>
        <v/>
      </c>
      <c r="P45" s="211" t="str">
        <f t="shared" ca="1" si="80"/>
        <v/>
      </c>
      <c r="Q45" s="212" t="str">
        <f t="shared" ca="1" si="81"/>
        <v/>
      </c>
      <c r="R45" s="209" t="str">
        <f t="shared" ca="1" si="82"/>
        <v/>
      </c>
      <c r="S45" s="209" t="str">
        <f t="shared" ca="1" si="83"/>
        <v/>
      </c>
      <c r="T45" s="210" t="str">
        <f t="shared" ca="1" si="84"/>
        <v/>
      </c>
      <c r="U45" s="211" t="str">
        <f t="shared" ca="1" si="85"/>
        <v/>
      </c>
      <c r="V45" s="211" t="str">
        <f t="shared" ca="1" si="86"/>
        <v/>
      </c>
      <c r="W45" s="212" t="str">
        <f t="shared" ca="1" si="87"/>
        <v/>
      </c>
      <c r="X45" s="209" t="str">
        <f t="shared" ca="1" si="88"/>
        <v/>
      </c>
      <c r="Y45" s="209" t="str">
        <f t="shared" ca="1" si="89"/>
        <v/>
      </c>
      <c r="Z45" s="210" t="str">
        <f t="shared" ca="1" si="90"/>
        <v/>
      </c>
      <c r="AA45" s="211" t="str">
        <f t="shared" ca="1" si="91"/>
        <v/>
      </c>
      <c r="AB45" s="211" t="str">
        <f t="shared" ca="1" si="92"/>
        <v/>
      </c>
      <c r="AC45" s="212" t="str">
        <f t="shared" ca="1" si="93"/>
        <v/>
      </c>
      <c r="AD45" s="209" t="str">
        <f t="shared" ca="1" si="94"/>
        <v/>
      </c>
      <c r="AE45" s="209" t="str">
        <f t="shared" ca="1" si="95"/>
        <v/>
      </c>
      <c r="AF45" s="210" t="str">
        <f t="shared" ca="1" si="96"/>
        <v/>
      </c>
      <c r="AG45" s="211" t="str">
        <f t="shared" ca="1" si="97"/>
        <v/>
      </c>
      <c r="AH45" s="211" t="str">
        <f t="shared" ca="1" si="98"/>
        <v/>
      </c>
      <c r="AI45" s="215" t="str">
        <f t="shared" ca="1" si="99"/>
        <v/>
      </c>
    </row>
    <row r="46" spans="2:35" x14ac:dyDescent="0.25">
      <c r="B46" s="213">
        <v>7</v>
      </c>
      <c r="C46" s="260" t="str">
        <f t="shared" ca="1" si="69"/>
        <v/>
      </c>
      <c r="D46" s="260" t="str">
        <f t="shared" ca="1" si="67"/>
        <v/>
      </c>
      <c r="E46" s="260" t="str">
        <f t="shared" ca="1" si="68"/>
        <v/>
      </c>
      <c r="F46" s="209" t="str">
        <f t="shared" ca="1" si="70"/>
        <v/>
      </c>
      <c r="G46" s="209" t="str">
        <f t="shared" ca="1" si="71"/>
        <v/>
      </c>
      <c r="H46" s="210" t="str">
        <f t="shared" ca="1" si="72"/>
        <v/>
      </c>
      <c r="I46" s="211" t="str">
        <f t="shared" ca="1" si="73"/>
        <v/>
      </c>
      <c r="J46" s="211" t="str">
        <f t="shared" ca="1" si="74"/>
        <v/>
      </c>
      <c r="K46" s="212" t="str">
        <f t="shared" ca="1" si="75"/>
        <v/>
      </c>
      <c r="L46" s="209" t="str">
        <f t="shared" ca="1" si="76"/>
        <v/>
      </c>
      <c r="M46" s="209" t="str">
        <f t="shared" ca="1" si="77"/>
        <v/>
      </c>
      <c r="N46" s="210" t="str">
        <f t="shared" ca="1" si="78"/>
        <v/>
      </c>
      <c r="O46" s="211" t="str">
        <f t="shared" ca="1" si="79"/>
        <v/>
      </c>
      <c r="P46" s="211" t="str">
        <f t="shared" ca="1" si="80"/>
        <v/>
      </c>
      <c r="Q46" s="212" t="str">
        <f t="shared" ca="1" si="81"/>
        <v/>
      </c>
      <c r="R46" s="209" t="str">
        <f t="shared" ca="1" si="82"/>
        <v/>
      </c>
      <c r="S46" s="209" t="str">
        <f t="shared" ca="1" si="83"/>
        <v/>
      </c>
      <c r="T46" s="210" t="str">
        <f t="shared" ca="1" si="84"/>
        <v/>
      </c>
      <c r="U46" s="211" t="str">
        <f t="shared" ca="1" si="85"/>
        <v/>
      </c>
      <c r="V46" s="211" t="str">
        <f t="shared" ca="1" si="86"/>
        <v/>
      </c>
      <c r="W46" s="212" t="str">
        <f t="shared" ca="1" si="87"/>
        <v/>
      </c>
      <c r="X46" s="209" t="str">
        <f t="shared" ca="1" si="88"/>
        <v/>
      </c>
      <c r="Y46" s="209" t="str">
        <f t="shared" ca="1" si="89"/>
        <v/>
      </c>
      <c r="Z46" s="210" t="str">
        <f t="shared" ca="1" si="90"/>
        <v/>
      </c>
      <c r="AA46" s="211" t="str">
        <f t="shared" ca="1" si="91"/>
        <v/>
      </c>
      <c r="AB46" s="211" t="str">
        <f t="shared" ca="1" si="92"/>
        <v/>
      </c>
      <c r="AC46" s="212" t="str">
        <f t="shared" ca="1" si="93"/>
        <v/>
      </c>
      <c r="AD46" s="209" t="str">
        <f t="shared" ca="1" si="94"/>
        <v/>
      </c>
      <c r="AE46" s="209" t="str">
        <f t="shared" ca="1" si="95"/>
        <v/>
      </c>
      <c r="AF46" s="210" t="str">
        <f t="shared" ca="1" si="96"/>
        <v/>
      </c>
      <c r="AG46" s="211" t="str">
        <f t="shared" ca="1" si="97"/>
        <v/>
      </c>
      <c r="AH46" s="211" t="str">
        <f t="shared" ca="1" si="98"/>
        <v/>
      </c>
      <c r="AI46" s="215" t="str">
        <f t="shared" ca="1" si="99"/>
        <v/>
      </c>
    </row>
    <row r="47" spans="2:35" x14ac:dyDescent="0.25">
      <c r="B47" s="213">
        <v>8</v>
      </c>
      <c r="C47" s="260" t="str">
        <f t="shared" ca="1" si="69"/>
        <v/>
      </c>
      <c r="D47" s="260" t="str">
        <f t="shared" ca="1" si="67"/>
        <v/>
      </c>
      <c r="E47" s="260" t="str">
        <f t="shared" ca="1" si="68"/>
        <v/>
      </c>
      <c r="F47" s="209" t="str">
        <f t="shared" ca="1" si="70"/>
        <v/>
      </c>
      <c r="G47" s="209" t="str">
        <f t="shared" ca="1" si="71"/>
        <v/>
      </c>
      <c r="H47" s="210" t="str">
        <f t="shared" ca="1" si="72"/>
        <v/>
      </c>
      <c r="I47" s="211" t="str">
        <f t="shared" ca="1" si="73"/>
        <v/>
      </c>
      <c r="J47" s="211" t="str">
        <f t="shared" ca="1" si="74"/>
        <v/>
      </c>
      <c r="K47" s="212" t="str">
        <f t="shared" ca="1" si="75"/>
        <v/>
      </c>
      <c r="L47" s="209" t="str">
        <f t="shared" ca="1" si="76"/>
        <v/>
      </c>
      <c r="M47" s="209" t="str">
        <f t="shared" ca="1" si="77"/>
        <v/>
      </c>
      <c r="N47" s="210" t="str">
        <f t="shared" ca="1" si="78"/>
        <v/>
      </c>
      <c r="O47" s="211" t="str">
        <f t="shared" ca="1" si="79"/>
        <v/>
      </c>
      <c r="P47" s="211" t="str">
        <f t="shared" ca="1" si="80"/>
        <v/>
      </c>
      <c r="Q47" s="212" t="str">
        <f t="shared" ca="1" si="81"/>
        <v/>
      </c>
      <c r="R47" s="209" t="str">
        <f t="shared" ca="1" si="82"/>
        <v/>
      </c>
      <c r="S47" s="209" t="str">
        <f t="shared" ca="1" si="83"/>
        <v/>
      </c>
      <c r="T47" s="210" t="str">
        <f t="shared" ca="1" si="84"/>
        <v/>
      </c>
      <c r="U47" s="211" t="str">
        <f t="shared" ca="1" si="85"/>
        <v/>
      </c>
      <c r="V47" s="211" t="str">
        <f t="shared" ca="1" si="86"/>
        <v/>
      </c>
      <c r="W47" s="212" t="str">
        <f t="shared" ca="1" si="87"/>
        <v/>
      </c>
      <c r="X47" s="209" t="str">
        <f t="shared" ca="1" si="88"/>
        <v/>
      </c>
      <c r="Y47" s="209" t="str">
        <f t="shared" ca="1" si="89"/>
        <v/>
      </c>
      <c r="Z47" s="210" t="str">
        <f t="shared" ca="1" si="90"/>
        <v/>
      </c>
      <c r="AA47" s="211" t="str">
        <f t="shared" ca="1" si="91"/>
        <v/>
      </c>
      <c r="AB47" s="211" t="str">
        <f t="shared" ca="1" si="92"/>
        <v/>
      </c>
      <c r="AC47" s="212" t="str">
        <f t="shared" ca="1" si="93"/>
        <v/>
      </c>
      <c r="AD47" s="209" t="str">
        <f t="shared" ca="1" si="94"/>
        <v/>
      </c>
      <c r="AE47" s="209" t="str">
        <f t="shared" ca="1" si="95"/>
        <v/>
      </c>
      <c r="AF47" s="210" t="str">
        <f t="shared" ca="1" si="96"/>
        <v/>
      </c>
      <c r="AG47" s="211" t="str">
        <f t="shared" ca="1" si="97"/>
        <v/>
      </c>
      <c r="AH47" s="211" t="str">
        <f t="shared" ca="1" si="98"/>
        <v/>
      </c>
      <c r="AI47" s="215" t="str">
        <f t="shared" ca="1" si="99"/>
        <v/>
      </c>
    </row>
    <row r="48" spans="2:35" x14ac:dyDescent="0.25">
      <c r="B48" s="213">
        <v>9</v>
      </c>
      <c r="C48" s="260" t="str">
        <f t="shared" ca="1" si="69"/>
        <v/>
      </c>
      <c r="D48" s="260" t="str">
        <f t="shared" ca="1" si="67"/>
        <v/>
      </c>
      <c r="E48" s="260" t="str">
        <f t="shared" ca="1" si="68"/>
        <v/>
      </c>
      <c r="F48" s="209" t="str">
        <f t="shared" ca="1" si="70"/>
        <v/>
      </c>
      <c r="G48" s="209" t="str">
        <f t="shared" ca="1" si="71"/>
        <v/>
      </c>
      <c r="H48" s="210" t="str">
        <f t="shared" ca="1" si="72"/>
        <v/>
      </c>
      <c r="I48" s="211" t="str">
        <f t="shared" ca="1" si="73"/>
        <v/>
      </c>
      <c r="J48" s="211" t="str">
        <f t="shared" ca="1" si="74"/>
        <v/>
      </c>
      <c r="K48" s="212" t="str">
        <f t="shared" ca="1" si="75"/>
        <v/>
      </c>
      <c r="L48" s="209" t="str">
        <f t="shared" ca="1" si="76"/>
        <v/>
      </c>
      <c r="M48" s="209" t="str">
        <f t="shared" ca="1" si="77"/>
        <v/>
      </c>
      <c r="N48" s="210" t="str">
        <f t="shared" ca="1" si="78"/>
        <v/>
      </c>
      <c r="O48" s="211" t="str">
        <f t="shared" ca="1" si="79"/>
        <v/>
      </c>
      <c r="P48" s="211" t="str">
        <f t="shared" ca="1" si="80"/>
        <v/>
      </c>
      <c r="Q48" s="212" t="str">
        <f t="shared" ca="1" si="81"/>
        <v/>
      </c>
      <c r="R48" s="209" t="str">
        <f t="shared" ca="1" si="82"/>
        <v/>
      </c>
      <c r="S48" s="209" t="str">
        <f t="shared" ca="1" si="83"/>
        <v/>
      </c>
      <c r="T48" s="210" t="str">
        <f t="shared" ca="1" si="84"/>
        <v/>
      </c>
      <c r="U48" s="211" t="str">
        <f t="shared" ca="1" si="85"/>
        <v/>
      </c>
      <c r="V48" s="211" t="str">
        <f t="shared" ca="1" si="86"/>
        <v/>
      </c>
      <c r="W48" s="212" t="str">
        <f t="shared" ca="1" si="87"/>
        <v/>
      </c>
      <c r="X48" s="209" t="str">
        <f t="shared" ca="1" si="88"/>
        <v/>
      </c>
      <c r="Y48" s="209" t="str">
        <f t="shared" ca="1" si="89"/>
        <v/>
      </c>
      <c r="Z48" s="210" t="str">
        <f t="shared" ca="1" si="90"/>
        <v/>
      </c>
      <c r="AA48" s="211" t="str">
        <f t="shared" ca="1" si="91"/>
        <v/>
      </c>
      <c r="AB48" s="211" t="str">
        <f t="shared" ca="1" si="92"/>
        <v/>
      </c>
      <c r="AC48" s="212" t="str">
        <f t="shared" ca="1" si="93"/>
        <v/>
      </c>
      <c r="AD48" s="209" t="str">
        <f t="shared" ca="1" si="94"/>
        <v/>
      </c>
      <c r="AE48" s="209" t="str">
        <f t="shared" ca="1" si="95"/>
        <v/>
      </c>
      <c r="AF48" s="210" t="str">
        <f t="shared" ca="1" si="96"/>
        <v/>
      </c>
      <c r="AG48" s="211" t="str">
        <f t="shared" ca="1" si="97"/>
        <v/>
      </c>
      <c r="AH48" s="211" t="str">
        <f t="shared" ca="1" si="98"/>
        <v/>
      </c>
      <c r="AI48" s="215" t="str">
        <f t="shared" ca="1" si="99"/>
        <v/>
      </c>
    </row>
    <row r="49" spans="2:35" x14ac:dyDescent="0.25">
      <c r="B49" s="213">
        <v>10</v>
      </c>
      <c r="C49" s="260" t="str">
        <f t="shared" ca="1" si="69"/>
        <v/>
      </c>
      <c r="D49" s="260" t="str">
        <f t="shared" ca="1" si="67"/>
        <v/>
      </c>
      <c r="E49" s="260" t="str">
        <f t="shared" ca="1" si="68"/>
        <v/>
      </c>
      <c r="F49" s="209" t="str">
        <f t="shared" ca="1" si="70"/>
        <v/>
      </c>
      <c r="G49" s="209" t="str">
        <f t="shared" ca="1" si="71"/>
        <v/>
      </c>
      <c r="H49" s="210" t="str">
        <f t="shared" ca="1" si="72"/>
        <v/>
      </c>
      <c r="I49" s="211" t="str">
        <f t="shared" ca="1" si="73"/>
        <v/>
      </c>
      <c r="J49" s="211" t="str">
        <f t="shared" ca="1" si="74"/>
        <v/>
      </c>
      <c r="K49" s="212" t="str">
        <f t="shared" ca="1" si="75"/>
        <v/>
      </c>
      <c r="L49" s="209" t="str">
        <f t="shared" ca="1" si="76"/>
        <v/>
      </c>
      <c r="M49" s="209" t="str">
        <f t="shared" ca="1" si="77"/>
        <v/>
      </c>
      <c r="N49" s="210" t="str">
        <f t="shared" ca="1" si="78"/>
        <v/>
      </c>
      <c r="O49" s="211" t="str">
        <f t="shared" ca="1" si="79"/>
        <v/>
      </c>
      <c r="P49" s="211" t="str">
        <f t="shared" ca="1" si="80"/>
        <v/>
      </c>
      <c r="Q49" s="212" t="str">
        <f t="shared" ca="1" si="81"/>
        <v/>
      </c>
      <c r="R49" s="209" t="str">
        <f t="shared" ca="1" si="82"/>
        <v/>
      </c>
      <c r="S49" s="209" t="str">
        <f t="shared" ca="1" si="83"/>
        <v/>
      </c>
      <c r="T49" s="210" t="str">
        <f t="shared" ca="1" si="84"/>
        <v/>
      </c>
      <c r="U49" s="211" t="str">
        <f t="shared" ca="1" si="85"/>
        <v/>
      </c>
      <c r="V49" s="211" t="str">
        <f t="shared" ca="1" si="86"/>
        <v/>
      </c>
      <c r="W49" s="212" t="str">
        <f t="shared" ca="1" si="87"/>
        <v/>
      </c>
      <c r="X49" s="209" t="str">
        <f t="shared" ca="1" si="88"/>
        <v/>
      </c>
      <c r="Y49" s="209" t="str">
        <f t="shared" ca="1" si="89"/>
        <v/>
      </c>
      <c r="Z49" s="210" t="str">
        <f t="shared" ca="1" si="90"/>
        <v/>
      </c>
      <c r="AA49" s="211" t="str">
        <f t="shared" ca="1" si="91"/>
        <v/>
      </c>
      <c r="AB49" s="211" t="str">
        <f t="shared" ca="1" si="92"/>
        <v/>
      </c>
      <c r="AC49" s="212" t="str">
        <f t="shared" ca="1" si="93"/>
        <v/>
      </c>
      <c r="AD49" s="209" t="str">
        <f t="shared" ca="1" si="94"/>
        <v/>
      </c>
      <c r="AE49" s="209" t="str">
        <f t="shared" ca="1" si="95"/>
        <v/>
      </c>
      <c r="AF49" s="210" t="str">
        <f t="shared" ca="1" si="96"/>
        <v/>
      </c>
      <c r="AG49" s="211" t="str">
        <f t="shared" ca="1" si="97"/>
        <v/>
      </c>
      <c r="AH49" s="211" t="str">
        <f t="shared" ca="1" si="98"/>
        <v/>
      </c>
      <c r="AI49" s="215" t="str">
        <f t="shared" ca="1" si="99"/>
        <v/>
      </c>
    </row>
    <row r="50" spans="2:35" x14ac:dyDescent="0.25">
      <c r="B50" s="213">
        <v>11</v>
      </c>
      <c r="C50" s="260" t="str">
        <f t="shared" ca="1" si="69"/>
        <v/>
      </c>
      <c r="D50" s="260" t="str">
        <f t="shared" ca="1" si="67"/>
        <v/>
      </c>
      <c r="E50" s="260" t="str">
        <f t="shared" ca="1" si="68"/>
        <v/>
      </c>
      <c r="F50" s="209" t="str">
        <f t="shared" ca="1" si="70"/>
        <v/>
      </c>
      <c r="G50" s="209" t="str">
        <f t="shared" ca="1" si="71"/>
        <v/>
      </c>
      <c r="H50" s="210" t="str">
        <f t="shared" ca="1" si="72"/>
        <v/>
      </c>
      <c r="I50" s="211" t="str">
        <f t="shared" ca="1" si="73"/>
        <v/>
      </c>
      <c r="J50" s="211" t="str">
        <f t="shared" ca="1" si="74"/>
        <v/>
      </c>
      <c r="K50" s="212" t="str">
        <f t="shared" ca="1" si="75"/>
        <v/>
      </c>
      <c r="L50" s="209" t="str">
        <f t="shared" ca="1" si="76"/>
        <v/>
      </c>
      <c r="M50" s="209" t="str">
        <f t="shared" ca="1" si="77"/>
        <v/>
      </c>
      <c r="N50" s="210" t="str">
        <f t="shared" ca="1" si="78"/>
        <v/>
      </c>
      <c r="O50" s="211" t="str">
        <f t="shared" ca="1" si="79"/>
        <v/>
      </c>
      <c r="P50" s="211" t="str">
        <f t="shared" ca="1" si="80"/>
        <v/>
      </c>
      <c r="Q50" s="212" t="str">
        <f t="shared" ca="1" si="81"/>
        <v/>
      </c>
      <c r="R50" s="209" t="str">
        <f t="shared" ca="1" si="82"/>
        <v/>
      </c>
      <c r="S50" s="209" t="str">
        <f t="shared" ca="1" si="83"/>
        <v/>
      </c>
      <c r="T50" s="210" t="str">
        <f t="shared" ca="1" si="84"/>
        <v/>
      </c>
      <c r="U50" s="211" t="str">
        <f t="shared" ca="1" si="85"/>
        <v/>
      </c>
      <c r="V50" s="211" t="str">
        <f t="shared" ca="1" si="86"/>
        <v/>
      </c>
      <c r="W50" s="212" t="str">
        <f t="shared" ca="1" si="87"/>
        <v/>
      </c>
      <c r="X50" s="209" t="str">
        <f t="shared" ca="1" si="88"/>
        <v/>
      </c>
      <c r="Y50" s="209" t="str">
        <f t="shared" ca="1" si="89"/>
        <v/>
      </c>
      <c r="Z50" s="210" t="str">
        <f t="shared" ca="1" si="90"/>
        <v/>
      </c>
      <c r="AA50" s="211" t="str">
        <f t="shared" ca="1" si="91"/>
        <v/>
      </c>
      <c r="AB50" s="211" t="str">
        <f t="shared" ca="1" si="92"/>
        <v/>
      </c>
      <c r="AC50" s="212" t="str">
        <f t="shared" ca="1" si="93"/>
        <v/>
      </c>
      <c r="AD50" s="209" t="str">
        <f t="shared" ca="1" si="94"/>
        <v/>
      </c>
      <c r="AE50" s="209" t="str">
        <f t="shared" ca="1" si="95"/>
        <v/>
      </c>
      <c r="AF50" s="210" t="str">
        <f t="shared" ca="1" si="96"/>
        <v/>
      </c>
      <c r="AG50" s="211" t="str">
        <f t="shared" ca="1" si="97"/>
        <v/>
      </c>
      <c r="AH50" s="211" t="str">
        <f t="shared" ca="1" si="98"/>
        <v/>
      </c>
      <c r="AI50" s="215" t="str">
        <f t="shared" ca="1" si="99"/>
        <v/>
      </c>
    </row>
    <row r="51" spans="2:35" x14ac:dyDescent="0.25">
      <c r="B51" s="213">
        <v>12</v>
      </c>
      <c r="C51" s="260" t="str">
        <f t="shared" ca="1" si="69"/>
        <v/>
      </c>
      <c r="D51" s="260" t="str">
        <f t="shared" ca="1" si="67"/>
        <v/>
      </c>
      <c r="E51" s="260" t="str">
        <f t="shared" ca="1" si="68"/>
        <v/>
      </c>
      <c r="F51" s="209" t="str">
        <f t="shared" ca="1" si="70"/>
        <v/>
      </c>
      <c r="G51" s="209" t="str">
        <f t="shared" ca="1" si="71"/>
        <v/>
      </c>
      <c r="H51" s="210" t="str">
        <f t="shared" ca="1" si="72"/>
        <v/>
      </c>
      <c r="I51" s="211" t="str">
        <f t="shared" ca="1" si="73"/>
        <v/>
      </c>
      <c r="J51" s="211" t="str">
        <f t="shared" ca="1" si="74"/>
        <v/>
      </c>
      <c r="K51" s="212" t="str">
        <f t="shared" ca="1" si="75"/>
        <v/>
      </c>
      <c r="L51" s="209" t="str">
        <f t="shared" ca="1" si="76"/>
        <v/>
      </c>
      <c r="M51" s="209" t="str">
        <f t="shared" ca="1" si="77"/>
        <v/>
      </c>
      <c r="N51" s="210" t="str">
        <f t="shared" ca="1" si="78"/>
        <v/>
      </c>
      <c r="O51" s="211" t="str">
        <f t="shared" ca="1" si="79"/>
        <v/>
      </c>
      <c r="P51" s="211" t="str">
        <f t="shared" ca="1" si="80"/>
        <v/>
      </c>
      <c r="Q51" s="212" t="str">
        <f t="shared" ca="1" si="81"/>
        <v/>
      </c>
      <c r="R51" s="209" t="str">
        <f t="shared" ca="1" si="82"/>
        <v/>
      </c>
      <c r="S51" s="209" t="str">
        <f t="shared" ca="1" si="83"/>
        <v/>
      </c>
      <c r="T51" s="210" t="str">
        <f t="shared" ca="1" si="84"/>
        <v/>
      </c>
      <c r="U51" s="211" t="str">
        <f t="shared" ca="1" si="85"/>
        <v/>
      </c>
      <c r="V51" s="211" t="str">
        <f t="shared" ca="1" si="86"/>
        <v/>
      </c>
      <c r="W51" s="212" t="str">
        <f t="shared" ca="1" si="87"/>
        <v/>
      </c>
      <c r="X51" s="209" t="str">
        <f t="shared" ca="1" si="88"/>
        <v/>
      </c>
      <c r="Y51" s="209" t="str">
        <f t="shared" ca="1" si="89"/>
        <v/>
      </c>
      <c r="Z51" s="210" t="str">
        <f t="shared" ca="1" si="90"/>
        <v/>
      </c>
      <c r="AA51" s="211" t="str">
        <f t="shared" ca="1" si="91"/>
        <v/>
      </c>
      <c r="AB51" s="211" t="str">
        <f t="shared" ca="1" si="92"/>
        <v/>
      </c>
      <c r="AC51" s="212" t="str">
        <f t="shared" ca="1" si="93"/>
        <v/>
      </c>
      <c r="AD51" s="209" t="str">
        <f t="shared" ca="1" si="94"/>
        <v/>
      </c>
      <c r="AE51" s="209" t="str">
        <f t="shared" ca="1" si="95"/>
        <v/>
      </c>
      <c r="AF51" s="210" t="str">
        <f t="shared" ca="1" si="96"/>
        <v/>
      </c>
      <c r="AG51" s="211" t="str">
        <f t="shared" ca="1" si="97"/>
        <v/>
      </c>
      <c r="AH51" s="211" t="str">
        <f t="shared" ca="1" si="98"/>
        <v/>
      </c>
      <c r="AI51" s="215" t="str">
        <f t="shared" ca="1" si="99"/>
        <v/>
      </c>
    </row>
    <row r="52" spans="2:35" ht="14.25" thickBot="1" x14ac:dyDescent="0.3">
      <c r="B52" s="216" t="s">
        <v>3</v>
      </c>
      <c r="C52" s="261">
        <f ca="1">SUM(C40:C46)</f>
        <v>0</v>
      </c>
      <c r="D52" s="261">
        <f t="shared" ref="D52:AI52" ca="1" si="100">SUM(D40:D51)</f>
        <v>0</v>
      </c>
      <c r="E52" s="261">
        <f t="shared" ca="1" si="100"/>
        <v>0</v>
      </c>
      <c r="F52" s="217">
        <f t="shared" ca="1" si="100"/>
        <v>0</v>
      </c>
      <c r="G52" s="217">
        <f t="shared" ca="1" si="100"/>
        <v>0</v>
      </c>
      <c r="H52" s="218">
        <f t="shared" ca="1" si="100"/>
        <v>0</v>
      </c>
      <c r="I52" s="219">
        <f t="shared" ca="1" si="100"/>
        <v>0</v>
      </c>
      <c r="J52" s="219">
        <f t="shared" ca="1" si="100"/>
        <v>0</v>
      </c>
      <c r="K52" s="220">
        <f t="shared" ca="1" si="100"/>
        <v>0</v>
      </c>
      <c r="L52" s="217">
        <f t="shared" ca="1" si="100"/>
        <v>0</v>
      </c>
      <c r="M52" s="217">
        <f t="shared" ca="1" si="100"/>
        <v>0</v>
      </c>
      <c r="N52" s="218">
        <f t="shared" ca="1" si="100"/>
        <v>0</v>
      </c>
      <c r="O52" s="219">
        <f t="shared" ca="1" si="100"/>
        <v>0</v>
      </c>
      <c r="P52" s="219">
        <f t="shared" ca="1" si="100"/>
        <v>0</v>
      </c>
      <c r="Q52" s="220">
        <f t="shared" ca="1" si="100"/>
        <v>0</v>
      </c>
      <c r="R52" s="217">
        <f t="shared" ca="1" si="100"/>
        <v>0</v>
      </c>
      <c r="S52" s="217">
        <f t="shared" ca="1" si="100"/>
        <v>0</v>
      </c>
      <c r="T52" s="218">
        <f t="shared" ca="1" si="100"/>
        <v>0</v>
      </c>
      <c r="U52" s="219">
        <f t="shared" ca="1" si="100"/>
        <v>0</v>
      </c>
      <c r="V52" s="219">
        <f t="shared" ca="1" si="100"/>
        <v>0</v>
      </c>
      <c r="W52" s="220">
        <f t="shared" ca="1" si="100"/>
        <v>0</v>
      </c>
      <c r="X52" s="217">
        <f t="shared" ca="1" si="100"/>
        <v>0</v>
      </c>
      <c r="Y52" s="217">
        <f t="shared" ca="1" si="100"/>
        <v>0</v>
      </c>
      <c r="Z52" s="218">
        <f t="shared" ca="1" si="100"/>
        <v>0</v>
      </c>
      <c r="AA52" s="219">
        <f t="shared" ca="1" si="100"/>
        <v>0</v>
      </c>
      <c r="AB52" s="219">
        <f t="shared" ca="1" si="100"/>
        <v>0</v>
      </c>
      <c r="AC52" s="220">
        <f t="shared" ca="1" si="100"/>
        <v>0</v>
      </c>
      <c r="AD52" s="217">
        <f t="shared" ca="1" si="100"/>
        <v>0</v>
      </c>
      <c r="AE52" s="217">
        <f t="shared" ca="1" si="100"/>
        <v>0</v>
      </c>
      <c r="AF52" s="218">
        <f t="shared" ca="1" si="100"/>
        <v>0</v>
      </c>
      <c r="AG52" s="219">
        <f t="shared" ca="1" si="100"/>
        <v>0</v>
      </c>
      <c r="AH52" s="219">
        <f t="shared" ca="1" si="100"/>
        <v>0</v>
      </c>
      <c r="AI52" s="221">
        <f t="shared" ca="1" si="100"/>
        <v>0</v>
      </c>
    </row>
    <row r="55" spans="2:35" ht="21" thickBot="1" x14ac:dyDescent="0.3">
      <c r="B55" s="207" t="s">
        <v>167</v>
      </c>
      <c r="C55" s="208"/>
      <c r="D55" s="208"/>
      <c r="E55" s="258" t="s">
        <v>170</v>
      </c>
    </row>
    <row r="56" spans="2:35" x14ac:dyDescent="0.25">
      <c r="B56" s="474" t="s">
        <v>18</v>
      </c>
      <c r="C56" s="476" t="s">
        <v>173</v>
      </c>
      <c r="D56" s="476"/>
      <c r="E56" s="476"/>
      <c r="F56" s="473" t="s">
        <v>136</v>
      </c>
      <c r="G56" s="473"/>
      <c r="H56" s="473"/>
      <c r="I56" s="471" t="s">
        <v>137</v>
      </c>
      <c r="J56" s="471"/>
      <c r="K56" s="471"/>
      <c r="L56" s="473" t="s">
        <v>138</v>
      </c>
      <c r="M56" s="473"/>
      <c r="N56" s="473"/>
      <c r="O56" s="471" t="s">
        <v>139</v>
      </c>
      <c r="P56" s="471"/>
      <c r="Q56" s="471"/>
      <c r="R56" s="473" t="s">
        <v>140</v>
      </c>
      <c r="S56" s="473"/>
      <c r="T56" s="473"/>
      <c r="U56" s="471" t="s">
        <v>141</v>
      </c>
      <c r="V56" s="471"/>
      <c r="W56" s="471"/>
      <c r="X56" s="473" t="s">
        <v>142</v>
      </c>
      <c r="Y56" s="473"/>
      <c r="Z56" s="473"/>
      <c r="AA56" s="471" t="s">
        <v>143</v>
      </c>
      <c r="AB56" s="471"/>
      <c r="AC56" s="471"/>
      <c r="AD56" s="473" t="s">
        <v>144</v>
      </c>
      <c r="AE56" s="473"/>
      <c r="AF56" s="473"/>
      <c r="AG56" s="471" t="s">
        <v>145</v>
      </c>
      <c r="AH56" s="471"/>
      <c r="AI56" s="472"/>
    </row>
    <row r="57" spans="2:35" x14ac:dyDescent="0.25">
      <c r="B57" s="475"/>
      <c r="C57" s="259" t="s">
        <v>52</v>
      </c>
      <c r="D57" s="259" t="s">
        <v>163</v>
      </c>
      <c r="E57" s="259" t="s">
        <v>164</v>
      </c>
      <c r="F57" s="209" t="s">
        <v>52</v>
      </c>
      <c r="G57" s="209" t="s">
        <v>163</v>
      </c>
      <c r="H57" s="209" t="s">
        <v>164</v>
      </c>
      <c r="I57" s="211" t="s">
        <v>52</v>
      </c>
      <c r="J57" s="211" t="s">
        <v>163</v>
      </c>
      <c r="K57" s="211" t="s">
        <v>164</v>
      </c>
      <c r="L57" s="209" t="s">
        <v>52</v>
      </c>
      <c r="M57" s="209" t="s">
        <v>163</v>
      </c>
      <c r="N57" s="209" t="s">
        <v>164</v>
      </c>
      <c r="O57" s="211" t="s">
        <v>52</v>
      </c>
      <c r="P57" s="211" t="s">
        <v>163</v>
      </c>
      <c r="Q57" s="211" t="s">
        <v>164</v>
      </c>
      <c r="R57" s="209" t="s">
        <v>52</v>
      </c>
      <c r="S57" s="209" t="s">
        <v>163</v>
      </c>
      <c r="T57" s="209" t="s">
        <v>164</v>
      </c>
      <c r="U57" s="211" t="s">
        <v>52</v>
      </c>
      <c r="V57" s="211" t="s">
        <v>163</v>
      </c>
      <c r="W57" s="211" t="s">
        <v>164</v>
      </c>
      <c r="X57" s="209" t="s">
        <v>52</v>
      </c>
      <c r="Y57" s="209" t="s">
        <v>163</v>
      </c>
      <c r="Z57" s="209" t="s">
        <v>164</v>
      </c>
      <c r="AA57" s="211" t="s">
        <v>52</v>
      </c>
      <c r="AB57" s="211" t="s">
        <v>163</v>
      </c>
      <c r="AC57" s="211" t="s">
        <v>164</v>
      </c>
      <c r="AD57" s="209" t="s">
        <v>52</v>
      </c>
      <c r="AE57" s="209" t="s">
        <v>163</v>
      </c>
      <c r="AF57" s="209" t="s">
        <v>164</v>
      </c>
      <c r="AG57" s="211" t="s">
        <v>52</v>
      </c>
      <c r="AH57" s="211" t="s">
        <v>163</v>
      </c>
      <c r="AI57" s="214" t="s">
        <v>164</v>
      </c>
    </row>
    <row r="58" spans="2:35" x14ac:dyDescent="0.25">
      <c r="B58" s="213">
        <v>1</v>
      </c>
      <c r="C58" s="260" t="str">
        <f ca="1">IF(
  SUM(
    IFERROR(VALUE(F58), 0),
    IFERROR(VALUE(I58), 0),
    IFERROR(VALUE(L58), 0),
    IFERROR(VALUE(O58), 0),
    IFERROR(VALUE(R58), 0),
    IFERROR(VALUE(U58), 0),
    IFERROR(VALUE(X58), 0),
    IFERROR(VALUE(AA58), 0),
    IFERROR(VALUE(AD58), 0),
    IFERROR(VALUE(AG58), 0)
  ) = 0,
  "",
  SUM(
    IFERROR(VALUE(F58), 0),
    IFERROR(VALUE(I58), 0),
    IFERROR(VALUE(L58), 0),
    IFERROR(VALUE(O58), 0),
    IFERROR(VALUE(R58), 0),
    IFERROR(VALUE(U58), 0),
    IFERROR(VALUE(X58), 0),
    IFERROR(VALUE(AA58), 0),
    IFERROR(VALUE(AD58), 0),
    IFERROR(VALUE(AG58), 0)
  )
)</f>
        <v/>
      </c>
      <c r="D58" s="260" t="str">
        <f t="shared" ref="D58:D69" ca="1" si="101">IF(
  SUM(
    IFERROR(VALUE(G58), 0),
    IFERROR(VALUE(J58), 0),
    IFERROR(VALUE(M58), 0),
    IFERROR(VALUE(P58), 0),
    IFERROR(VALUE(S58), 0),
    IFERROR(VALUE(V58), 0),
    IFERROR(VALUE(Y58), 0),
    IFERROR(VALUE(AB58), 0),
    IFERROR(VALUE(AE58), 0),
    IFERROR(VALUE(AH58), 0)
  ) = 0,
  "",
  SUM(
    IFERROR(VALUE(G58), 0),
    IFERROR(VALUE(J58), 0),
    IFERROR(VALUE(M58), 0),
    IFERROR(VALUE(P58), 0),
    IFERROR(VALUE(S58), 0),
    IFERROR(VALUE(V58), 0),
    IFERROR(VALUE(Y58), 0),
    IFERROR(VALUE(AB58), 0),
    IFERROR(VALUE(AE58), 0),
    IFERROR(VALUE(AH58), 0)
  )
)</f>
        <v/>
      </c>
      <c r="E58" s="260" t="str">
        <f t="shared" ref="E58:E69" ca="1" si="102">IF(
  SUM(
    IFERROR(VALUE(H58), 0),
    IFERROR(VALUE(K58), 0),
    IFERROR(VALUE(N58), 0),
    IFERROR(VALUE(Q58), 0),
    IFERROR(VALUE(T58), 0),
    IFERROR(VALUE(W58), 0),
    IFERROR(VALUE(Z58), 0),
    IFERROR(VALUE(AC58), 0),
    IFERROR(VALUE(AF58), 0),
    IFERROR(VALUE(AI58), 0)
  ) = 0,
  "",
  SUM(
    IFERROR(VALUE(H58), 0),
    IFERROR(VALUE(K58), 0),
    IFERROR(VALUE(N58), 0),
    IFERROR(VALUE(Q58), 0),
    IFERROR(VALUE(T58), 0),
    IFERROR(VALUE(W58), 0),
    IFERROR(VALUE(Z58), 0),
    IFERROR(VALUE(AC58), 0),
    IFERROR(VALUE(AF58), 0),
    IFERROR(VALUE(AI58), 0)
  )
)</f>
        <v/>
      </c>
      <c r="F58" s="209" t="str">
        <f ca="1">IF(COUNTIFS(INDIRECT("'"&amp;F$3&amp;"'!G:G"), $B58, INDIRECT("'"&amp;F$3&amp;"'!W:W"), $H$55)=0, "", COUNTIFS(INDIRECT("'"&amp;F$3&amp;"'!G:G"), $B58, INDIRECT("'"&amp;F$3&amp;"'!W:W"), $H$55))</f>
        <v/>
      </c>
      <c r="G58" s="209" t="str">
        <f ca="1">IF(SUMIFS(INDIRECT("'"&amp;F$3&amp;"'!I:I"), INDIRECT("'"&amp;F$3&amp;"'!G:G"), $B58, INDIRECT("'"&amp;F$3&amp;"'!W:W"), $H$55)=0, "", SUMIFS(INDIRECT("'"&amp;F$3&amp;"'!I:I"), INDIRECT("'"&amp;F$3&amp;"'!G:G"), $B58, INDIRECT("'"&amp;F$3&amp;"'!W:W"), $H$55))</f>
        <v/>
      </c>
      <c r="H58" s="210" t="str">
        <f ca="1">IF(SUMIFS(INDIRECT("'"&amp;F$3&amp;"'!J:J"), INDIRECT("'"&amp;F$3&amp;"'!G:G"), $B58, INDIRECT("'"&amp;F$3&amp;"'!W:W"), $H$55)=0, "", SUMIFS(INDIRECT("'"&amp;F$3&amp;"'!J:J"), INDIRECT("'"&amp;F$3&amp;"'!G:G"), $B58, INDIRECT("'"&amp;F$3&amp;"'!W:W"), $H$55))</f>
        <v/>
      </c>
      <c r="I58" s="211" t="str">
        <f ca="1">IF(COUNTIFS(INDIRECT("'"&amp;I$3&amp;"'!G:G"), $B58, INDIRECT("'"&amp;I$3&amp;"'!W:W"), $H$55)=0, "", COUNTIFS(INDIRECT("'"&amp;I$3&amp;"'!G:G"), $B58, INDIRECT("'"&amp;I$3&amp;"'!W:W"), $H$55))</f>
        <v/>
      </c>
      <c r="J58" s="211" t="str">
        <f ca="1">IF(SUMIFS(INDIRECT("'"&amp;I$3&amp;"'!I:I"), INDIRECT("'"&amp;I$3&amp;"'!G:G"), $B58, INDIRECT("'"&amp;I$3&amp;"'!W:W"), $H$55)=0, "", SUMIFS(INDIRECT("'"&amp;I$3&amp;"'!I:I"), INDIRECT("'"&amp;I$3&amp;"'!G:G"), $B58, INDIRECT("'"&amp;I$3&amp;"'!W:W"), $H$55))</f>
        <v/>
      </c>
      <c r="K58" s="212" t="str">
        <f ca="1">IF(SUMIFS(INDIRECT("'"&amp;I$3&amp;"'!J:J"), INDIRECT("'"&amp;I$3&amp;"'!G:G"), $B58, INDIRECT("'"&amp;I$3&amp;"'!W:W"), $H$55)=0, "", SUMIFS(INDIRECT("'"&amp;I$3&amp;"'!J:J"), INDIRECT("'"&amp;I$3&amp;"'!G:G"), $B58, INDIRECT("'"&amp;I$3&amp;"'!W:W"), $H$55))</f>
        <v/>
      </c>
      <c r="L58" s="209" t="str">
        <f ca="1">IF(COUNTIFS(INDIRECT("'"&amp;L$3&amp;"'!G:G"), $B58, INDIRECT("'"&amp;L$3&amp;"'!W:W"), $H$55)=0, "", COUNTIFS(INDIRECT("'"&amp;L$3&amp;"'!G:G"), $B58, INDIRECT("'"&amp;L$3&amp;"'!W:W"), $H$55))</f>
        <v/>
      </c>
      <c r="M58" s="209" t="str">
        <f ca="1">IF(SUMIFS(INDIRECT("'"&amp;L$3&amp;"'!I:I"), INDIRECT("'"&amp;L$3&amp;"'!G:G"), $B58, INDIRECT("'"&amp;L$3&amp;"'!W:W"), $H$55)=0, "", SUMIFS(INDIRECT("'"&amp;L$3&amp;"'!I:I"), INDIRECT("'"&amp;L$3&amp;"'!G:G"), $B58, INDIRECT("'"&amp;L$3&amp;"'!W:W"), $H$55))</f>
        <v/>
      </c>
      <c r="N58" s="210" t="str">
        <f ca="1">IF(SUMIFS(INDIRECT("'"&amp;L$3&amp;"'!J:J"), INDIRECT("'"&amp;L$3&amp;"'!G:G"), $B58, INDIRECT("'"&amp;L$3&amp;"'!W:W"), $H$55)=0, "", SUMIFS(INDIRECT("'"&amp;L$3&amp;"'!J:J"), INDIRECT("'"&amp;L$3&amp;"'!G:G"), $B58, INDIRECT("'"&amp;L$3&amp;"'!W:W"), $H$55))</f>
        <v/>
      </c>
      <c r="O58" s="211" t="str">
        <f ca="1">IF(COUNTIFS(INDIRECT("'"&amp;O$3&amp;"'!G:G"), $B58, INDIRECT("'"&amp;O$3&amp;"'!W:W"), $H$55)=0, "", COUNTIFS(INDIRECT("'"&amp;O$3&amp;"'!G:G"), $B58, INDIRECT("'"&amp;O$3&amp;"'!W:W"), $H$55))</f>
        <v/>
      </c>
      <c r="P58" s="211" t="str">
        <f ca="1">IF(SUMIFS(INDIRECT("'"&amp;O$3&amp;"'!I:I"), INDIRECT("'"&amp;O$3&amp;"'!G:G"), $B58, INDIRECT("'"&amp;O$3&amp;"'!W:W"), $H$55)=0, "", SUMIFS(INDIRECT("'"&amp;O$3&amp;"'!I:I"), INDIRECT("'"&amp;O$3&amp;"'!G:G"), $B58, INDIRECT("'"&amp;O$3&amp;"'!W:W"), $H$55))</f>
        <v/>
      </c>
      <c r="Q58" s="212" t="str">
        <f ca="1">IF(SUMIFS(INDIRECT("'"&amp;O$3&amp;"'!J:J"), INDIRECT("'"&amp;O$3&amp;"'!G:G"), $B58, INDIRECT("'"&amp;O$3&amp;"'!W:W"), $H$55)=0, "", SUMIFS(INDIRECT("'"&amp;O$3&amp;"'!J:J"), INDIRECT("'"&amp;O$3&amp;"'!G:G"), $B58, INDIRECT("'"&amp;O$3&amp;"'!W:W"), $H$55))</f>
        <v/>
      </c>
      <c r="R58" s="209" t="str">
        <f ca="1">IF(COUNTIFS(INDIRECT("'"&amp;R$3&amp;"'!G:G"), $B58, INDIRECT("'"&amp;R$3&amp;"'!W:W"), $H$55)=0, "", COUNTIFS(INDIRECT("'"&amp;R$3&amp;"'!G:G"), $B58, INDIRECT("'"&amp;R$3&amp;"'!W:W"), $H$55))</f>
        <v/>
      </c>
      <c r="S58" s="209" t="str">
        <f ca="1">IF(SUMIFS(INDIRECT("'"&amp;R$3&amp;"'!I:I"), INDIRECT("'"&amp;R$3&amp;"'!G:G"), $B58, INDIRECT("'"&amp;R$3&amp;"'!W:W"), $H$55)=0, "", SUMIFS(INDIRECT("'"&amp;R$3&amp;"'!I:I"), INDIRECT("'"&amp;R$3&amp;"'!G:G"), $B58, INDIRECT("'"&amp;R$3&amp;"'!W:W"), $H$55))</f>
        <v/>
      </c>
      <c r="T58" s="210" t="str">
        <f ca="1">IF(SUMIFS(INDIRECT("'"&amp;R$3&amp;"'!J:J"), INDIRECT("'"&amp;R$3&amp;"'!G:G"), $B58, INDIRECT("'"&amp;R$3&amp;"'!W:W"), $H$55)=0, "", SUMIFS(INDIRECT("'"&amp;R$3&amp;"'!J:J"), INDIRECT("'"&amp;R$3&amp;"'!G:G"), $B58, INDIRECT("'"&amp;R$3&amp;"'!W:W"), $H$55))</f>
        <v/>
      </c>
      <c r="U58" s="211" t="str">
        <f ca="1">IF(COUNTIFS(INDIRECT("'"&amp;U$3&amp;"'!G:G"), $B58, INDIRECT("'"&amp;U$3&amp;"'!W:W"), $H$55)=0, "", COUNTIFS(INDIRECT("'"&amp;U$3&amp;"'!G:G"), $B58, INDIRECT("'"&amp;U$3&amp;"'!W:W"), $H$55))</f>
        <v/>
      </c>
      <c r="V58" s="211" t="str">
        <f ca="1">IF(SUMIFS(INDIRECT("'"&amp;U$3&amp;"'!I:I"), INDIRECT("'"&amp;U$3&amp;"'!G:G"), $B58, INDIRECT("'"&amp;U$3&amp;"'!W:W"), $H$55)=0, "", SUMIFS(INDIRECT("'"&amp;U$3&amp;"'!I:I"), INDIRECT("'"&amp;U$3&amp;"'!G:G"), $B58, INDIRECT("'"&amp;U$3&amp;"'!W:W"), $H$55))</f>
        <v/>
      </c>
      <c r="W58" s="212" t="str">
        <f ca="1">IF(SUMIFS(INDIRECT("'"&amp;U$3&amp;"'!J:J"), INDIRECT("'"&amp;U$3&amp;"'!G:G"), $B58, INDIRECT("'"&amp;U$3&amp;"'!W:W"), $H$55)=0, "", SUMIFS(INDIRECT("'"&amp;U$3&amp;"'!J:J"), INDIRECT("'"&amp;U$3&amp;"'!G:G"), $B58, INDIRECT("'"&amp;U$3&amp;"'!W:W"), $H$55))</f>
        <v/>
      </c>
      <c r="X58" s="209" t="str">
        <f ca="1">IF(COUNTIFS(INDIRECT("'"&amp;X$3&amp;"'!G:G"), $B58, INDIRECT("'"&amp;X$3&amp;"'!W:W"), $H$55)=0, "", COUNTIFS(INDIRECT("'"&amp;X$3&amp;"'!G:G"), $B58, INDIRECT("'"&amp;X$3&amp;"'!W:W"), $H$55))</f>
        <v/>
      </c>
      <c r="Y58" s="209" t="str">
        <f ca="1">IF(SUMIFS(INDIRECT("'"&amp;X$3&amp;"'!I:I"), INDIRECT("'"&amp;X$3&amp;"'!G:G"), $B58, INDIRECT("'"&amp;X$3&amp;"'!W:W"), $H$55)=0, "", SUMIFS(INDIRECT("'"&amp;X$3&amp;"'!I:I"), INDIRECT("'"&amp;X$3&amp;"'!G:G"), $B58, INDIRECT("'"&amp;X$3&amp;"'!W:W"), $H$55))</f>
        <v/>
      </c>
      <c r="Z58" s="210" t="str">
        <f ca="1">IF(SUMIFS(INDIRECT("'"&amp;X$3&amp;"'!J:J"), INDIRECT("'"&amp;X$3&amp;"'!G:G"), $B58, INDIRECT("'"&amp;X$3&amp;"'!W:W"), $H$55)=0, "", SUMIFS(INDIRECT("'"&amp;X$3&amp;"'!J:J"), INDIRECT("'"&amp;X$3&amp;"'!G:G"), $B58, INDIRECT("'"&amp;X$3&amp;"'!W:W"), $H$55))</f>
        <v/>
      </c>
      <c r="AA58" s="211" t="str">
        <f ca="1">IF(COUNTIFS(INDIRECT("'"&amp;AA$3&amp;"'!G:G"), $B58, INDIRECT("'"&amp;AA$3&amp;"'!W:W"), $H$55)=0, "", COUNTIFS(INDIRECT("'"&amp;AA$3&amp;"'!G:G"), $B58, INDIRECT("'"&amp;AA$3&amp;"'!W:W"), $H$55))</f>
        <v/>
      </c>
      <c r="AB58" s="211" t="str">
        <f ca="1">IF(SUMIFS(INDIRECT("'"&amp;AA$3&amp;"'!I:I"), INDIRECT("'"&amp;AA$3&amp;"'!G:G"), $B58, INDIRECT("'"&amp;AA$3&amp;"'!W:W"), $H$55)=0, "", SUMIFS(INDIRECT("'"&amp;AA$3&amp;"'!I:I"), INDIRECT("'"&amp;AA$3&amp;"'!G:G"), $B58, INDIRECT("'"&amp;AA$3&amp;"'!W:W"), $H$55))</f>
        <v/>
      </c>
      <c r="AC58" s="212" t="str">
        <f ca="1">IF(SUMIFS(INDIRECT("'"&amp;AA$3&amp;"'!J:J"), INDIRECT("'"&amp;AA$3&amp;"'!G:G"), $B58, INDIRECT("'"&amp;AA$3&amp;"'!W:W"), $H$55)=0, "", SUMIFS(INDIRECT("'"&amp;AA$3&amp;"'!J:J"), INDIRECT("'"&amp;AA$3&amp;"'!G:G"), $B58, INDIRECT("'"&amp;AA$3&amp;"'!W:W"), $H$55))</f>
        <v/>
      </c>
      <c r="AD58" s="209" t="str">
        <f ca="1">IF(COUNTIFS(INDIRECT("'"&amp;AD$3&amp;"'!G:G"), $B58, INDIRECT("'"&amp;AD$3&amp;"'!W:W"), $H$55)=0, "", COUNTIFS(INDIRECT("'"&amp;AD$3&amp;"'!G:G"), $B58, INDIRECT("'"&amp;AD$3&amp;"'!W:W"), $H$55))</f>
        <v/>
      </c>
      <c r="AE58" s="209" t="str">
        <f ca="1">IF(SUMIFS(INDIRECT("'"&amp;AD$3&amp;"'!I:I"), INDIRECT("'"&amp;AD$3&amp;"'!G:G"), $B58, INDIRECT("'"&amp;AD$3&amp;"'!W:W"), $H$55)=0, "", SUMIFS(INDIRECT("'"&amp;AD$3&amp;"'!I:I"), INDIRECT("'"&amp;AD$3&amp;"'!G:G"), $B58, INDIRECT("'"&amp;AD$3&amp;"'!W:W"), $H$55))</f>
        <v/>
      </c>
      <c r="AF58" s="210" t="str">
        <f ca="1">IF(SUMIFS(INDIRECT("'"&amp;AD$3&amp;"'!J:J"), INDIRECT("'"&amp;AD$3&amp;"'!G:G"), $B58, INDIRECT("'"&amp;AD$3&amp;"'!W:W"), $H$55)=0, "", SUMIFS(INDIRECT("'"&amp;AD$3&amp;"'!J:J"), INDIRECT("'"&amp;AD$3&amp;"'!G:G"), $B58, INDIRECT("'"&amp;AD$3&amp;"'!W:W"), $H$55))</f>
        <v/>
      </c>
      <c r="AG58" s="211" t="str">
        <f ca="1">IF(COUNTIFS(INDIRECT("'"&amp;AG$3&amp;"'!G:G"), $B58, INDIRECT("'"&amp;AG$3&amp;"'!W:W"), $H$55)=0, "", COUNTIFS(INDIRECT("'"&amp;AG$3&amp;"'!G:G"), $B58, INDIRECT("'"&amp;AG$3&amp;"'!W:W"), $H$55))</f>
        <v/>
      </c>
      <c r="AH58" s="211" t="str">
        <f ca="1">IF(SUMIFS(INDIRECT("'"&amp;AG$3&amp;"'!I:I"), INDIRECT("'"&amp;AG$3&amp;"'!G:G"), $B58, INDIRECT("'"&amp;AG$3&amp;"'!W:W"), $H$55)=0, "", SUMIFS(INDIRECT("'"&amp;AG$3&amp;"'!I:I"), INDIRECT("'"&amp;AG$3&amp;"'!G:G"), $B58, INDIRECT("'"&amp;AG$3&amp;"'!W:W"), $H$55))</f>
        <v/>
      </c>
      <c r="AI58" s="215" t="str">
        <f ca="1">IF(SUMIFS(INDIRECT("'"&amp;AG$3&amp;"'!J:J"), INDIRECT("'"&amp;AG$3&amp;"'!G:G"), $B58, INDIRECT("'"&amp;AG$3&amp;"'!W:W"), $H$55)=0, "", SUMIFS(INDIRECT("'"&amp;AG$3&amp;"'!J:J"), INDIRECT("'"&amp;AG$3&amp;"'!G:G"), $B58, INDIRECT("'"&amp;AG$3&amp;"'!W:W"), $H$55))</f>
        <v/>
      </c>
    </row>
    <row r="59" spans="2:35" x14ac:dyDescent="0.25">
      <c r="B59" s="213">
        <v>2</v>
      </c>
      <c r="C59" s="260" t="str">
        <f t="shared" ref="C59:C69" ca="1" si="103">IF(
  SUM(
    IFERROR(VALUE(F59), 0),
    IFERROR(VALUE(I59), 0),
    IFERROR(VALUE(L59), 0),
    IFERROR(VALUE(O59), 0),
    IFERROR(VALUE(R59), 0),
    IFERROR(VALUE(U59), 0),
    IFERROR(VALUE(X59), 0),
    IFERROR(VALUE(AA59), 0),
    IFERROR(VALUE(AD59), 0),
    IFERROR(VALUE(AG59), 0)
  ) = 0,
  "",
  SUM(
    IFERROR(VALUE(F59), 0),
    IFERROR(VALUE(I59), 0),
    IFERROR(VALUE(L59), 0),
    IFERROR(VALUE(O59), 0),
    IFERROR(VALUE(R59), 0),
    IFERROR(VALUE(U59), 0),
    IFERROR(VALUE(X59), 0),
    IFERROR(VALUE(AA59), 0),
    IFERROR(VALUE(AD59), 0),
    IFERROR(VALUE(AG59), 0)
  )
)</f>
        <v/>
      </c>
      <c r="D59" s="260" t="str">
        <f t="shared" ca="1" si="101"/>
        <v/>
      </c>
      <c r="E59" s="260" t="str">
        <f t="shared" ca="1" si="102"/>
        <v/>
      </c>
      <c r="F59" s="209" t="str">
        <f t="shared" ref="F59:F69" ca="1" si="104">IF(COUNTIFS(INDIRECT("'"&amp;F$3&amp;"'!G:G"), $B59, INDIRECT("'"&amp;F$3&amp;"'!W:W"), $H$55)=0, "", COUNTIFS(INDIRECT("'"&amp;F$3&amp;"'!G:G"), $B59, INDIRECT("'"&amp;F$3&amp;"'!W:W"), $H$55))</f>
        <v/>
      </c>
      <c r="G59" s="209" t="str">
        <f t="shared" ref="G59:G69" ca="1" si="105">IF(SUMIFS(INDIRECT("'"&amp;F$3&amp;"'!I:I"), INDIRECT("'"&amp;F$3&amp;"'!G:G"), $B59, INDIRECT("'"&amp;F$3&amp;"'!W:W"), $H$55)=0, "", SUMIFS(INDIRECT("'"&amp;F$3&amp;"'!I:I"), INDIRECT("'"&amp;F$3&amp;"'!G:G"), $B59, INDIRECT("'"&amp;F$3&amp;"'!W:W"), $H$55))</f>
        <v/>
      </c>
      <c r="H59" s="210" t="str">
        <f t="shared" ref="H59:H69" ca="1" si="106">IF(SUMIFS(INDIRECT("'"&amp;F$3&amp;"'!J:J"), INDIRECT("'"&amp;F$3&amp;"'!G:G"), $B59, INDIRECT("'"&amp;F$3&amp;"'!W:W"), $H$55)=0, "", SUMIFS(INDIRECT("'"&amp;F$3&amp;"'!J:J"), INDIRECT("'"&amp;F$3&amp;"'!G:G"), $B59, INDIRECT("'"&amp;F$3&amp;"'!W:W"), $H$55))</f>
        <v/>
      </c>
      <c r="I59" s="211" t="str">
        <f t="shared" ref="I59:I69" ca="1" si="107">IF(COUNTIFS(INDIRECT("'"&amp;I$3&amp;"'!G:G"), $B59, INDIRECT("'"&amp;I$3&amp;"'!W:W"), $H$55)=0, "", COUNTIFS(INDIRECT("'"&amp;I$3&amp;"'!G:G"), $B59, INDIRECT("'"&amp;I$3&amp;"'!W:W"), $H$55))</f>
        <v/>
      </c>
      <c r="J59" s="211" t="str">
        <f t="shared" ref="J59:J69" ca="1" si="108">IF(SUMIFS(INDIRECT("'"&amp;I$3&amp;"'!I:I"), INDIRECT("'"&amp;I$3&amp;"'!G:G"), $B59, INDIRECT("'"&amp;I$3&amp;"'!W:W"), $H$55)=0, "", SUMIFS(INDIRECT("'"&amp;I$3&amp;"'!I:I"), INDIRECT("'"&amp;I$3&amp;"'!G:G"), $B59, INDIRECT("'"&amp;I$3&amp;"'!W:W"), $H$55))</f>
        <v/>
      </c>
      <c r="K59" s="212" t="str">
        <f t="shared" ref="K59:K69" ca="1" si="109">IF(SUMIFS(INDIRECT("'"&amp;I$3&amp;"'!J:J"), INDIRECT("'"&amp;I$3&amp;"'!G:G"), $B59, INDIRECT("'"&amp;I$3&amp;"'!W:W"), $H$55)=0, "", SUMIFS(INDIRECT("'"&amp;I$3&amp;"'!J:J"), INDIRECT("'"&amp;I$3&amp;"'!G:G"), $B59, INDIRECT("'"&amp;I$3&amp;"'!W:W"), $H$55))</f>
        <v/>
      </c>
      <c r="L59" s="209" t="str">
        <f t="shared" ref="L59:L69" ca="1" si="110">IF(COUNTIFS(INDIRECT("'"&amp;L$3&amp;"'!G:G"), $B59, INDIRECT("'"&amp;L$3&amp;"'!W:W"), $H$55)=0, "", COUNTIFS(INDIRECT("'"&amp;L$3&amp;"'!G:G"), $B59, INDIRECT("'"&amp;L$3&amp;"'!W:W"), $H$55))</f>
        <v/>
      </c>
      <c r="M59" s="209" t="str">
        <f t="shared" ref="M59:M69" ca="1" si="111">IF(SUMIFS(INDIRECT("'"&amp;L$3&amp;"'!I:I"), INDIRECT("'"&amp;L$3&amp;"'!G:G"), $B59, INDIRECT("'"&amp;L$3&amp;"'!W:W"), $H$55)=0, "", SUMIFS(INDIRECT("'"&amp;L$3&amp;"'!I:I"), INDIRECT("'"&amp;L$3&amp;"'!G:G"), $B59, INDIRECT("'"&amp;L$3&amp;"'!W:W"), $H$55))</f>
        <v/>
      </c>
      <c r="N59" s="210" t="str">
        <f t="shared" ref="N59:N69" ca="1" si="112">IF(SUMIFS(INDIRECT("'"&amp;L$3&amp;"'!J:J"), INDIRECT("'"&amp;L$3&amp;"'!G:G"), $B59, INDIRECT("'"&amp;L$3&amp;"'!W:W"), $H$55)=0, "", SUMIFS(INDIRECT("'"&amp;L$3&amp;"'!J:J"), INDIRECT("'"&amp;L$3&amp;"'!G:G"), $B59, INDIRECT("'"&amp;L$3&amp;"'!W:W"), $H$55))</f>
        <v/>
      </c>
      <c r="O59" s="211" t="str">
        <f t="shared" ref="O59:O69" ca="1" si="113">IF(COUNTIFS(INDIRECT("'"&amp;O$3&amp;"'!G:G"), $B59, INDIRECT("'"&amp;O$3&amp;"'!W:W"), $H$55)=0, "", COUNTIFS(INDIRECT("'"&amp;O$3&amp;"'!G:G"), $B59, INDIRECT("'"&amp;O$3&amp;"'!W:W"), $H$55))</f>
        <v/>
      </c>
      <c r="P59" s="211" t="str">
        <f t="shared" ref="P59:P69" ca="1" si="114">IF(SUMIFS(INDIRECT("'"&amp;O$3&amp;"'!I:I"), INDIRECT("'"&amp;O$3&amp;"'!G:G"), $B59, INDIRECT("'"&amp;O$3&amp;"'!W:W"), $H$55)=0, "", SUMIFS(INDIRECT("'"&amp;O$3&amp;"'!I:I"), INDIRECT("'"&amp;O$3&amp;"'!G:G"), $B59, INDIRECT("'"&amp;O$3&amp;"'!W:W"), $H$55))</f>
        <v/>
      </c>
      <c r="Q59" s="212" t="str">
        <f t="shared" ref="Q59:Q69" ca="1" si="115">IF(SUMIFS(INDIRECT("'"&amp;O$3&amp;"'!J:J"), INDIRECT("'"&amp;O$3&amp;"'!G:G"), $B59, INDIRECT("'"&amp;O$3&amp;"'!W:W"), $H$55)=0, "", SUMIFS(INDIRECT("'"&amp;O$3&amp;"'!J:J"), INDIRECT("'"&amp;O$3&amp;"'!G:G"), $B59, INDIRECT("'"&amp;O$3&amp;"'!W:W"), $H$55))</f>
        <v/>
      </c>
      <c r="R59" s="209" t="str">
        <f t="shared" ref="R59:R69" ca="1" si="116">IF(COUNTIFS(INDIRECT("'"&amp;R$3&amp;"'!G:G"), $B59, INDIRECT("'"&amp;R$3&amp;"'!W:W"), $H$55)=0, "", COUNTIFS(INDIRECT("'"&amp;R$3&amp;"'!G:G"), $B59, INDIRECT("'"&amp;R$3&amp;"'!W:W"), $H$55))</f>
        <v/>
      </c>
      <c r="S59" s="209" t="str">
        <f t="shared" ref="S59:S69" ca="1" si="117">IF(SUMIFS(INDIRECT("'"&amp;R$3&amp;"'!I:I"), INDIRECT("'"&amp;R$3&amp;"'!G:G"), $B59, INDIRECT("'"&amp;R$3&amp;"'!W:W"), $H$55)=0, "", SUMIFS(INDIRECT("'"&amp;R$3&amp;"'!I:I"), INDIRECT("'"&amp;R$3&amp;"'!G:G"), $B59, INDIRECT("'"&amp;R$3&amp;"'!W:W"), $H$55))</f>
        <v/>
      </c>
      <c r="T59" s="210" t="str">
        <f t="shared" ref="T59:T69" ca="1" si="118">IF(SUMIFS(INDIRECT("'"&amp;R$3&amp;"'!J:J"), INDIRECT("'"&amp;R$3&amp;"'!G:G"), $B59, INDIRECT("'"&amp;R$3&amp;"'!W:W"), $H$55)=0, "", SUMIFS(INDIRECT("'"&amp;R$3&amp;"'!J:J"), INDIRECT("'"&amp;R$3&amp;"'!G:G"), $B59, INDIRECT("'"&amp;R$3&amp;"'!W:W"), $H$55))</f>
        <v/>
      </c>
      <c r="U59" s="211" t="str">
        <f t="shared" ref="U59:U69" ca="1" si="119">IF(COUNTIFS(INDIRECT("'"&amp;U$3&amp;"'!G:G"), $B59, INDIRECT("'"&amp;U$3&amp;"'!W:W"), $H$55)=0, "", COUNTIFS(INDIRECT("'"&amp;U$3&amp;"'!G:G"), $B59, INDIRECT("'"&amp;U$3&amp;"'!W:W"), $H$55))</f>
        <v/>
      </c>
      <c r="V59" s="211" t="str">
        <f t="shared" ref="V59:V69" ca="1" si="120">IF(SUMIFS(INDIRECT("'"&amp;U$3&amp;"'!I:I"), INDIRECT("'"&amp;U$3&amp;"'!G:G"), $B59, INDIRECT("'"&amp;U$3&amp;"'!W:W"), $H$55)=0, "", SUMIFS(INDIRECT("'"&amp;U$3&amp;"'!I:I"), INDIRECT("'"&amp;U$3&amp;"'!G:G"), $B59, INDIRECT("'"&amp;U$3&amp;"'!W:W"), $H$55))</f>
        <v/>
      </c>
      <c r="W59" s="212" t="str">
        <f t="shared" ref="W59:W69" ca="1" si="121">IF(SUMIFS(INDIRECT("'"&amp;U$3&amp;"'!J:J"), INDIRECT("'"&amp;U$3&amp;"'!G:G"), $B59, INDIRECT("'"&amp;U$3&amp;"'!W:W"), $H$55)=0, "", SUMIFS(INDIRECT("'"&amp;U$3&amp;"'!J:J"), INDIRECT("'"&amp;U$3&amp;"'!G:G"), $B59, INDIRECT("'"&amp;U$3&amp;"'!W:W"), $H$55))</f>
        <v/>
      </c>
      <c r="X59" s="209" t="str">
        <f t="shared" ref="X59:X69" ca="1" si="122">IF(COUNTIFS(INDIRECT("'"&amp;X$3&amp;"'!G:G"), $B59, INDIRECT("'"&amp;X$3&amp;"'!W:W"), $H$55)=0, "", COUNTIFS(INDIRECT("'"&amp;X$3&amp;"'!G:G"), $B59, INDIRECT("'"&amp;X$3&amp;"'!W:W"), $H$55))</f>
        <v/>
      </c>
      <c r="Y59" s="209" t="str">
        <f t="shared" ref="Y59:Y69" ca="1" si="123">IF(SUMIFS(INDIRECT("'"&amp;X$3&amp;"'!I:I"), INDIRECT("'"&amp;X$3&amp;"'!G:G"), $B59, INDIRECT("'"&amp;X$3&amp;"'!W:W"), $H$55)=0, "", SUMIFS(INDIRECT("'"&amp;X$3&amp;"'!I:I"), INDIRECT("'"&amp;X$3&amp;"'!G:G"), $B59, INDIRECT("'"&amp;X$3&amp;"'!W:W"), $H$55))</f>
        <v/>
      </c>
      <c r="Z59" s="210" t="str">
        <f t="shared" ref="Z59:Z69" ca="1" si="124">IF(SUMIFS(INDIRECT("'"&amp;X$3&amp;"'!J:J"), INDIRECT("'"&amp;X$3&amp;"'!G:G"), $B59, INDIRECT("'"&amp;X$3&amp;"'!W:W"), $H$55)=0, "", SUMIFS(INDIRECT("'"&amp;X$3&amp;"'!J:J"), INDIRECT("'"&amp;X$3&amp;"'!G:G"), $B59, INDIRECT("'"&amp;X$3&amp;"'!W:W"), $H$55))</f>
        <v/>
      </c>
      <c r="AA59" s="211" t="str">
        <f t="shared" ref="AA59:AA69" ca="1" si="125">IF(COUNTIFS(INDIRECT("'"&amp;AA$3&amp;"'!G:G"), $B59, INDIRECT("'"&amp;AA$3&amp;"'!W:W"), $H$55)=0, "", COUNTIFS(INDIRECT("'"&amp;AA$3&amp;"'!G:G"), $B59, INDIRECT("'"&amp;AA$3&amp;"'!W:W"), $H$55))</f>
        <v/>
      </c>
      <c r="AB59" s="211" t="str">
        <f t="shared" ref="AB59:AB69" ca="1" si="126">IF(SUMIFS(INDIRECT("'"&amp;AA$3&amp;"'!I:I"), INDIRECT("'"&amp;AA$3&amp;"'!G:G"), $B59, INDIRECT("'"&amp;AA$3&amp;"'!W:W"), $H$55)=0, "", SUMIFS(INDIRECT("'"&amp;AA$3&amp;"'!I:I"), INDIRECT("'"&amp;AA$3&amp;"'!G:G"), $B59, INDIRECT("'"&amp;AA$3&amp;"'!W:W"), $H$55))</f>
        <v/>
      </c>
      <c r="AC59" s="212" t="str">
        <f t="shared" ref="AC59:AC69" ca="1" si="127">IF(SUMIFS(INDIRECT("'"&amp;AA$3&amp;"'!J:J"), INDIRECT("'"&amp;AA$3&amp;"'!G:G"), $B59, INDIRECT("'"&amp;AA$3&amp;"'!W:W"), $H$55)=0, "", SUMIFS(INDIRECT("'"&amp;AA$3&amp;"'!J:J"), INDIRECT("'"&amp;AA$3&amp;"'!G:G"), $B59, INDIRECT("'"&amp;AA$3&amp;"'!W:W"), $H$55))</f>
        <v/>
      </c>
      <c r="AD59" s="209" t="str">
        <f t="shared" ref="AD59:AD69" ca="1" si="128">IF(COUNTIFS(INDIRECT("'"&amp;AD$3&amp;"'!G:G"), $B59, INDIRECT("'"&amp;AD$3&amp;"'!W:W"), $H$55)=0, "", COUNTIFS(INDIRECT("'"&amp;AD$3&amp;"'!G:G"), $B59, INDIRECT("'"&amp;AD$3&amp;"'!W:W"), $H$55))</f>
        <v/>
      </c>
      <c r="AE59" s="209" t="str">
        <f t="shared" ref="AE59:AE69" ca="1" si="129">IF(SUMIFS(INDIRECT("'"&amp;AD$3&amp;"'!I:I"), INDIRECT("'"&amp;AD$3&amp;"'!G:G"), $B59, INDIRECT("'"&amp;AD$3&amp;"'!W:W"), $H$55)=0, "", SUMIFS(INDIRECT("'"&amp;AD$3&amp;"'!I:I"), INDIRECT("'"&amp;AD$3&amp;"'!G:G"), $B59, INDIRECT("'"&amp;AD$3&amp;"'!W:W"), $H$55))</f>
        <v/>
      </c>
      <c r="AF59" s="210" t="str">
        <f t="shared" ref="AF59:AF69" ca="1" si="130">IF(SUMIFS(INDIRECT("'"&amp;AD$3&amp;"'!J:J"), INDIRECT("'"&amp;AD$3&amp;"'!G:G"), $B59, INDIRECT("'"&amp;AD$3&amp;"'!W:W"), $H$55)=0, "", SUMIFS(INDIRECT("'"&amp;AD$3&amp;"'!J:J"), INDIRECT("'"&amp;AD$3&amp;"'!G:G"), $B59, INDIRECT("'"&amp;AD$3&amp;"'!W:W"), $H$55))</f>
        <v/>
      </c>
      <c r="AG59" s="211" t="str">
        <f t="shared" ref="AG59:AG69" ca="1" si="131">IF(COUNTIFS(INDIRECT("'"&amp;AG$3&amp;"'!G:G"), $B59, INDIRECT("'"&amp;AG$3&amp;"'!W:W"), $H$55)=0, "", COUNTIFS(INDIRECT("'"&amp;AG$3&amp;"'!G:G"), $B59, INDIRECT("'"&amp;AG$3&amp;"'!W:W"), $H$55))</f>
        <v/>
      </c>
      <c r="AH59" s="211" t="str">
        <f t="shared" ref="AH59:AH69" ca="1" si="132">IF(SUMIFS(INDIRECT("'"&amp;AG$3&amp;"'!I:I"), INDIRECT("'"&amp;AG$3&amp;"'!G:G"), $B59, INDIRECT("'"&amp;AG$3&amp;"'!W:W"), $H$55)=0, "", SUMIFS(INDIRECT("'"&amp;AG$3&amp;"'!I:I"), INDIRECT("'"&amp;AG$3&amp;"'!G:G"), $B59, INDIRECT("'"&amp;AG$3&amp;"'!W:W"), $H$55))</f>
        <v/>
      </c>
      <c r="AI59" s="215" t="str">
        <f t="shared" ref="AI59:AI69" ca="1" si="133">IF(SUMIFS(INDIRECT("'"&amp;AG$3&amp;"'!J:J"), INDIRECT("'"&amp;AG$3&amp;"'!G:G"), $B59, INDIRECT("'"&amp;AG$3&amp;"'!W:W"), $H$55)=0, "", SUMIFS(INDIRECT("'"&amp;AG$3&amp;"'!J:J"), INDIRECT("'"&amp;AG$3&amp;"'!G:G"), $B59, INDIRECT("'"&amp;AG$3&amp;"'!W:W"), $H$55))</f>
        <v/>
      </c>
    </row>
    <row r="60" spans="2:35" x14ac:dyDescent="0.25">
      <c r="B60" s="213">
        <v>3</v>
      </c>
      <c r="C60" s="260" t="str">
        <f t="shared" ca="1" si="103"/>
        <v/>
      </c>
      <c r="D60" s="260" t="str">
        <f t="shared" ca="1" si="101"/>
        <v/>
      </c>
      <c r="E60" s="260" t="str">
        <f t="shared" ca="1" si="102"/>
        <v/>
      </c>
      <c r="F60" s="209" t="str">
        <f t="shared" ca="1" si="104"/>
        <v/>
      </c>
      <c r="G60" s="209" t="str">
        <f t="shared" ca="1" si="105"/>
        <v/>
      </c>
      <c r="H60" s="210" t="str">
        <f t="shared" ca="1" si="106"/>
        <v/>
      </c>
      <c r="I60" s="211" t="str">
        <f t="shared" ca="1" si="107"/>
        <v/>
      </c>
      <c r="J60" s="211" t="str">
        <f t="shared" ca="1" si="108"/>
        <v/>
      </c>
      <c r="K60" s="212" t="str">
        <f t="shared" ca="1" si="109"/>
        <v/>
      </c>
      <c r="L60" s="209" t="str">
        <f t="shared" ca="1" si="110"/>
        <v/>
      </c>
      <c r="M60" s="209" t="str">
        <f t="shared" ca="1" si="111"/>
        <v/>
      </c>
      <c r="N60" s="210" t="str">
        <f t="shared" ca="1" si="112"/>
        <v/>
      </c>
      <c r="O60" s="211" t="str">
        <f t="shared" ca="1" si="113"/>
        <v/>
      </c>
      <c r="P60" s="211" t="str">
        <f t="shared" ca="1" si="114"/>
        <v/>
      </c>
      <c r="Q60" s="212" t="str">
        <f t="shared" ca="1" si="115"/>
        <v/>
      </c>
      <c r="R60" s="209" t="str">
        <f t="shared" ca="1" si="116"/>
        <v/>
      </c>
      <c r="S60" s="209" t="str">
        <f t="shared" ca="1" si="117"/>
        <v/>
      </c>
      <c r="T60" s="210" t="str">
        <f t="shared" ca="1" si="118"/>
        <v/>
      </c>
      <c r="U60" s="211" t="str">
        <f t="shared" ca="1" si="119"/>
        <v/>
      </c>
      <c r="V60" s="211" t="str">
        <f t="shared" ca="1" si="120"/>
        <v/>
      </c>
      <c r="W60" s="212" t="str">
        <f t="shared" ca="1" si="121"/>
        <v/>
      </c>
      <c r="X60" s="209" t="str">
        <f t="shared" ca="1" si="122"/>
        <v/>
      </c>
      <c r="Y60" s="209" t="str">
        <f t="shared" ca="1" si="123"/>
        <v/>
      </c>
      <c r="Z60" s="210" t="str">
        <f t="shared" ca="1" si="124"/>
        <v/>
      </c>
      <c r="AA60" s="211" t="str">
        <f t="shared" ca="1" si="125"/>
        <v/>
      </c>
      <c r="AB60" s="211" t="str">
        <f t="shared" ca="1" si="126"/>
        <v/>
      </c>
      <c r="AC60" s="212" t="str">
        <f t="shared" ca="1" si="127"/>
        <v/>
      </c>
      <c r="AD60" s="209" t="str">
        <f t="shared" ca="1" si="128"/>
        <v/>
      </c>
      <c r="AE60" s="209" t="str">
        <f t="shared" ca="1" si="129"/>
        <v/>
      </c>
      <c r="AF60" s="210" t="str">
        <f t="shared" ca="1" si="130"/>
        <v/>
      </c>
      <c r="AG60" s="211" t="str">
        <f t="shared" ca="1" si="131"/>
        <v/>
      </c>
      <c r="AH60" s="211" t="str">
        <f t="shared" ca="1" si="132"/>
        <v/>
      </c>
      <c r="AI60" s="215" t="str">
        <f t="shared" ca="1" si="133"/>
        <v/>
      </c>
    </row>
    <row r="61" spans="2:35" x14ac:dyDescent="0.25">
      <c r="B61" s="213">
        <v>4</v>
      </c>
      <c r="C61" s="260" t="str">
        <f t="shared" ca="1" si="103"/>
        <v/>
      </c>
      <c r="D61" s="260" t="str">
        <f t="shared" ca="1" si="101"/>
        <v/>
      </c>
      <c r="E61" s="260" t="str">
        <f t="shared" ca="1" si="102"/>
        <v/>
      </c>
      <c r="F61" s="209" t="str">
        <f t="shared" ca="1" si="104"/>
        <v/>
      </c>
      <c r="G61" s="209" t="str">
        <f t="shared" ca="1" si="105"/>
        <v/>
      </c>
      <c r="H61" s="210" t="str">
        <f t="shared" ca="1" si="106"/>
        <v/>
      </c>
      <c r="I61" s="211" t="str">
        <f t="shared" ca="1" si="107"/>
        <v/>
      </c>
      <c r="J61" s="211" t="str">
        <f t="shared" ca="1" si="108"/>
        <v/>
      </c>
      <c r="K61" s="212" t="str">
        <f t="shared" ca="1" si="109"/>
        <v/>
      </c>
      <c r="L61" s="209" t="str">
        <f t="shared" ca="1" si="110"/>
        <v/>
      </c>
      <c r="M61" s="209" t="str">
        <f t="shared" ca="1" si="111"/>
        <v/>
      </c>
      <c r="N61" s="210" t="str">
        <f t="shared" ca="1" si="112"/>
        <v/>
      </c>
      <c r="O61" s="211" t="str">
        <f t="shared" ca="1" si="113"/>
        <v/>
      </c>
      <c r="P61" s="211" t="str">
        <f t="shared" ca="1" si="114"/>
        <v/>
      </c>
      <c r="Q61" s="212" t="str">
        <f t="shared" ca="1" si="115"/>
        <v/>
      </c>
      <c r="R61" s="209" t="str">
        <f t="shared" ca="1" si="116"/>
        <v/>
      </c>
      <c r="S61" s="209" t="str">
        <f t="shared" ca="1" si="117"/>
        <v/>
      </c>
      <c r="T61" s="210" t="str">
        <f t="shared" ca="1" si="118"/>
        <v/>
      </c>
      <c r="U61" s="211" t="str">
        <f t="shared" ca="1" si="119"/>
        <v/>
      </c>
      <c r="V61" s="211" t="str">
        <f t="shared" ca="1" si="120"/>
        <v/>
      </c>
      <c r="W61" s="212" t="str">
        <f t="shared" ca="1" si="121"/>
        <v/>
      </c>
      <c r="X61" s="209" t="str">
        <f t="shared" ca="1" si="122"/>
        <v/>
      </c>
      <c r="Y61" s="209" t="str">
        <f t="shared" ca="1" si="123"/>
        <v/>
      </c>
      <c r="Z61" s="210" t="str">
        <f t="shared" ca="1" si="124"/>
        <v/>
      </c>
      <c r="AA61" s="211" t="str">
        <f t="shared" ca="1" si="125"/>
        <v/>
      </c>
      <c r="AB61" s="211" t="str">
        <f t="shared" ca="1" si="126"/>
        <v/>
      </c>
      <c r="AC61" s="212" t="str">
        <f t="shared" ca="1" si="127"/>
        <v/>
      </c>
      <c r="AD61" s="209" t="str">
        <f t="shared" ca="1" si="128"/>
        <v/>
      </c>
      <c r="AE61" s="209" t="str">
        <f t="shared" ca="1" si="129"/>
        <v/>
      </c>
      <c r="AF61" s="210" t="str">
        <f t="shared" ca="1" si="130"/>
        <v/>
      </c>
      <c r="AG61" s="211" t="str">
        <f t="shared" ca="1" si="131"/>
        <v/>
      </c>
      <c r="AH61" s="211" t="str">
        <f t="shared" ca="1" si="132"/>
        <v/>
      </c>
      <c r="AI61" s="215" t="str">
        <f t="shared" ca="1" si="133"/>
        <v/>
      </c>
    </row>
    <row r="62" spans="2:35" x14ac:dyDescent="0.25">
      <c r="B62" s="213">
        <v>5</v>
      </c>
      <c r="C62" s="260" t="str">
        <f t="shared" ca="1" si="103"/>
        <v/>
      </c>
      <c r="D62" s="260" t="str">
        <f t="shared" ca="1" si="101"/>
        <v/>
      </c>
      <c r="E62" s="260" t="str">
        <f t="shared" ca="1" si="102"/>
        <v/>
      </c>
      <c r="F62" s="209" t="str">
        <f t="shared" ca="1" si="104"/>
        <v/>
      </c>
      <c r="G62" s="209" t="str">
        <f t="shared" ca="1" si="105"/>
        <v/>
      </c>
      <c r="H62" s="210" t="str">
        <f t="shared" ca="1" si="106"/>
        <v/>
      </c>
      <c r="I62" s="211" t="str">
        <f t="shared" ca="1" si="107"/>
        <v/>
      </c>
      <c r="J62" s="211" t="str">
        <f t="shared" ca="1" si="108"/>
        <v/>
      </c>
      <c r="K62" s="212" t="str">
        <f t="shared" ca="1" si="109"/>
        <v/>
      </c>
      <c r="L62" s="209" t="str">
        <f t="shared" ca="1" si="110"/>
        <v/>
      </c>
      <c r="M62" s="209" t="str">
        <f t="shared" ca="1" si="111"/>
        <v/>
      </c>
      <c r="N62" s="210" t="str">
        <f t="shared" ca="1" si="112"/>
        <v/>
      </c>
      <c r="O62" s="211" t="str">
        <f t="shared" ca="1" si="113"/>
        <v/>
      </c>
      <c r="P62" s="211" t="str">
        <f t="shared" ca="1" si="114"/>
        <v/>
      </c>
      <c r="Q62" s="212" t="str">
        <f t="shared" ca="1" si="115"/>
        <v/>
      </c>
      <c r="R62" s="209" t="str">
        <f t="shared" ca="1" si="116"/>
        <v/>
      </c>
      <c r="S62" s="209" t="str">
        <f t="shared" ca="1" si="117"/>
        <v/>
      </c>
      <c r="T62" s="210" t="str">
        <f t="shared" ca="1" si="118"/>
        <v/>
      </c>
      <c r="U62" s="211" t="str">
        <f t="shared" ca="1" si="119"/>
        <v/>
      </c>
      <c r="V62" s="211" t="str">
        <f t="shared" ca="1" si="120"/>
        <v/>
      </c>
      <c r="W62" s="212" t="str">
        <f t="shared" ca="1" si="121"/>
        <v/>
      </c>
      <c r="X62" s="209" t="str">
        <f t="shared" ca="1" si="122"/>
        <v/>
      </c>
      <c r="Y62" s="209" t="str">
        <f t="shared" ca="1" si="123"/>
        <v/>
      </c>
      <c r="Z62" s="210" t="str">
        <f t="shared" ca="1" si="124"/>
        <v/>
      </c>
      <c r="AA62" s="211" t="str">
        <f t="shared" ca="1" si="125"/>
        <v/>
      </c>
      <c r="AB62" s="211" t="str">
        <f t="shared" ca="1" si="126"/>
        <v/>
      </c>
      <c r="AC62" s="212" t="str">
        <f t="shared" ca="1" si="127"/>
        <v/>
      </c>
      <c r="AD62" s="209" t="str">
        <f t="shared" ca="1" si="128"/>
        <v/>
      </c>
      <c r="AE62" s="209" t="str">
        <f t="shared" ca="1" si="129"/>
        <v/>
      </c>
      <c r="AF62" s="210" t="str">
        <f t="shared" ca="1" si="130"/>
        <v/>
      </c>
      <c r="AG62" s="211" t="str">
        <f t="shared" ca="1" si="131"/>
        <v/>
      </c>
      <c r="AH62" s="211" t="str">
        <f t="shared" ca="1" si="132"/>
        <v/>
      </c>
      <c r="AI62" s="215" t="str">
        <f t="shared" ca="1" si="133"/>
        <v/>
      </c>
    </row>
    <row r="63" spans="2:35" x14ac:dyDescent="0.25">
      <c r="B63" s="213">
        <v>6</v>
      </c>
      <c r="C63" s="260" t="str">
        <f t="shared" ca="1" si="103"/>
        <v/>
      </c>
      <c r="D63" s="260" t="str">
        <f t="shared" ca="1" si="101"/>
        <v/>
      </c>
      <c r="E63" s="260" t="str">
        <f t="shared" ca="1" si="102"/>
        <v/>
      </c>
      <c r="F63" s="209" t="str">
        <f t="shared" ca="1" si="104"/>
        <v/>
      </c>
      <c r="G63" s="209" t="str">
        <f t="shared" ca="1" si="105"/>
        <v/>
      </c>
      <c r="H63" s="210" t="str">
        <f t="shared" ca="1" si="106"/>
        <v/>
      </c>
      <c r="I63" s="211" t="str">
        <f t="shared" ca="1" si="107"/>
        <v/>
      </c>
      <c r="J63" s="211" t="str">
        <f t="shared" ca="1" si="108"/>
        <v/>
      </c>
      <c r="K63" s="212" t="str">
        <f t="shared" ca="1" si="109"/>
        <v/>
      </c>
      <c r="L63" s="209" t="str">
        <f t="shared" ca="1" si="110"/>
        <v/>
      </c>
      <c r="M63" s="209" t="str">
        <f t="shared" ca="1" si="111"/>
        <v/>
      </c>
      <c r="N63" s="210" t="str">
        <f t="shared" ca="1" si="112"/>
        <v/>
      </c>
      <c r="O63" s="211" t="str">
        <f t="shared" ca="1" si="113"/>
        <v/>
      </c>
      <c r="P63" s="211" t="str">
        <f t="shared" ca="1" si="114"/>
        <v/>
      </c>
      <c r="Q63" s="212" t="str">
        <f t="shared" ca="1" si="115"/>
        <v/>
      </c>
      <c r="R63" s="209" t="str">
        <f t="shared" ca="1" si="116"/>
        <v/>
      </c>
      <c r="S63" s="209" t="str">
        <f t="shared" ca="1" si="117"/>
        <v/>
      </c>
      <c r="T63" s="210" t="str">
        <f t="shared" ca="1" si="118"/>
        <v/>
      </c>
      <c r="U63" s="211" t="str">
        <f t="shared" ca="1" si="119"/>
        <v/>
      </c>
      <c r="V63" s="211" t="str">
        <f t="shared" ca="1" si="120"/>
        <v/>
      </c>
      <c r="W63" s="212" t="str">
        <f t="shared" ca="1" si="121"/>
        <v/>
      </c>
      <c r="X63" s="209" t="str">
        <f t="shared" ca="1" si="122"/>
        <v/>
      </c>
      <c r="Y63" s="209" t="str">
        <f t="shared" ca="1" si="123"/>
        <v/>
      </c>
      <c r="Z63" s="210" t="str">
        <f t="shared" ca="1" si="124"/>
        <v/>
      </c>
      <c r="AA63" s="211" t="str">
        <f t="shared" ca="1" si="125"/>
        <v/>
      </c>
      <c r="AB63" s="211" t="str">
        <f t="shared" ca="1" si="126"/>
        <v/>
      </c>
      <c r="AC63" s="212" t="str">
        <f t="shared" ca="1" si="127"/>
        <v/>
      </c>
      <c r="AD63" s="209" t="str">
        <f t="shared" ca="1" si="128"/>
        <v/>
      </c>
      <c r="AE63" s="209" t="str">
        <f t="shared" ca="1" si="129"/>
        <v/>
      </c>
      <c r="AF63" s="210" t="str">
        <f t="shared" ca="1" si="130"/>
        <v/>
      </c>
      <c r="AG63" s="211" t="str">
        <f t="shared" ca="1" si="131"/>
        <v/>
      </c>
      <c r="AH63" s="211" t="str">
        <f t="shared" ca="1" si="132"/>
        <v/>
      </c>
      <c r="AI63" s="215" t="str">
        <f t="shared" ca="1" si="133"/>
        <v/>
      </c>
    </row>
    <row r="64" spans="2:35" x14ac:dyDescent="0.25">
      <c r="B64" s="213">
        <v>7</v>
      </c>
      <c r="C64" s="260" t="str">
        <f t="shared" ca="1" si="103"/>
        <v/>
      </c>
      <c r="D64" s="260" t="str">
        <f t="shared" ca="1" si="101"/>
        <v/>
      </c>
      <c r="E64" s="260" t="str">
        <f t="shared" ca="1" si="102"/>
        <v/>
      </c>
      <c r="F64" s="209" t="str">
        <f t="shared" ca="1" si="104"/>
        <v/>
      </c>
      <c r="G64" s="209" t="str">
        <f t="shared" ca="1" si="105"/>
        <v/>
      </c>
      <c r="H64" s="210" t="str">
        <f t="shared" ca="1" si="106"/>
        <v/>
      </c>
      <c r="I64" s="211" t="str">
        <f t="shared" ca="1" si="107"/>
        <v/>
      </c>
      <c r="J64" s="211" t="str">
        <f t="shared" ca="1" si="108"/>
        <v/>
      </c>
      <c r="K64" s="212" t="str">
        <f t="shared" ca="1" si="109"/>
        <v/>
      </c>
      <c r="L64" s="209" t="str">
        <f t="shared" ca="1" si="110"/>
        <v/>
      </c>
      <c r="M64" s="209" t="str">
        <f t="shared" ca="1" si="111"/>
        <v/>
      </c>
      <c r="N64" s="210" t="str">
        <f t="shared" ca="1" si="112"/>
        <v/>
      </c>
      <c r="O64" s="211" t="str">
        <f t="shared" ca="1" si="113"/>
        <v/>
      </c>
      <c r="P64" s="211" t="str">
        <f t="shared" ca="1" si="114"/>
        <v/>
      </c>
      <c r="Q64" s="212" t="str">
        <f t="shared" ca="1" si="115"/>
        <v/>
      </c>
      <c r="R64" s="209" t="str">
        <f t="shared" ca="1" si="116"/>
        <v/>
      </c>
      <c r="S64" s="209" t="str">
        <f t="shared" ca="1" si="117"/>
        <v/>
      </c>
      <c r="T64" s="210" t="str">
        <f t="shared" ca="1" si="118"/>
        <v/>
      </c>
      <c r="U64" s="211" t="str">
        <f t="shared" ca="1" si="119"/>
        <v/>
      </c>
      <c r="V64" s="211" t="str">
        <f t="shared" ca="1" si="120"/>
        <v/>
      </c>
      <c r="W64" s="212" t="str">
        <f t="shared" ca="1" si="121"/>
        <v/>
      </c>
      <c r="X64" s="209" t="str">
        <f t="shared" ca="1" si="122"/>
        <v/>
      </c>
      <c r="Y64" s="209" t="str">
        <f t="shared" ca="1" si="123"/>
        <v/>
      </c>
      <c r="Z64" s="210" t="str">
        <f t="shared" ca="1" si="124"/>
        <v/>
      </c>
      <c r="AA64" s="211" t="str">
        <f t="shared" ca="1" si="125"/>
        <v/>
      </c>
      <c r="AB64" s="211" t="str">
        <f t="shared" ca="1" si="126"/>
        <v/>
      </c>
      <c r="AC64" s="212" t="str">
        <f t="shared" ca="1" si="127"/>
        <v/>
      </c>
      <c r="AD64" s="209" t="str">
        <f t="shared" ca="1" si="128"/>
        <v/>
      </c>
      <c r="AE64" s="209" t="str">
        <f t="shared" ca="1" si="129"/>
        <v/>
      </c>
      <c r="AF64" s="210" t="str">
        <f t="shared" ca="1" si="130"/>
        <v/>
      </c>
      <c r="AG64" s="211" t="str">
        <f t="shared" ca="1" si="131"/>
        <v/>
      </c>
      <c r="AH64" s="211" t="str">
        <f t="shared" ca="1" si="132"/>
        <v/>
      </c>
      <c r="AI64" s="215" t="str">
        <f t="shared" ca="1" si="133"/>
        <v/>
      </c>
    </row>
    <row r="65" spans="2:35" x14ac:dyDescent="0.25">
      <c r="B65" s="213">
        <v>8</v>
      </c>
      <c r="C65" s="260" t="str">
        <f t="shared" ca="1" si="103"/>
        <v/>
      </c>
      <c r="D65" s="260" t="str">
        <f t="shared" ca="1" si="101"/>
        <v/>
      </c>
      <c r="E65" s="260" t="str">
        <f t="shared" ca="1" si="102"/>
        <v/>
      </c>
      <c r="F65" s="209" t="str">
        <f t="shared" ca="1" si="104"/>
        <v/>
      </c>
      <c r="G65" s="209" t="str">
        <f t="shared" ca="1" si="105"/>
        <v/>
      </c>
      <c r="H65" s="210" t="str">
        <f t="shared" ca="1" si="106"/>
        <v/>
      </c>
      <c r="I65" s="211" t="str">
        <f t="shared" ca="1" si="107"/>
        <v/>
      </c>
      <c r="J65" s="211" t="str">
        <f t="shared" ca="1" si="108"/>
        <v/>
      </c>
      <c r="K65" s="212" t="str">
        <f t="shared" ca="1" si="109"/>
        <v/>
      </c>
      <c r="L65" s="209" t="str">
        <f t="shared" ca="1" si="110"/>
        <v/>
      </c>
      <c r="M65" s="209" t="str">
        <f t="shared" ca="1" si="111"/>
        <v/>
      </c>
      <c r="N65" s="210" t="str">
        <f t="shared" ca="1" si="112"/>
        <v/>
      </c>
      <c r="O65" s="211" t="str">
        <f t="shared" ca="1" si="113"/>
        <v/>
      </c>
      <c r="P65" s="211" t="str">
        <f t="shared" ca="1" si="114"/>
        <v/>
      </c>
      <c r="Q65" s="212" t="str">
        <f t="shared" ca="1" si="115"/>
        <v/>
      </c>
      <c r="R65" s="209" t="str">
        <f t="shared" ca="1" si="116"/>
        <v/>
      </c>
      <c r="S65" s="209" t="str">
        <f t="shared" ca="1" si="117"/>
        <v/>
      </c>
      <c r="T65" s="210" t="str">
        <f t="shared" ca="1" si="118"/>
        <v/>
      </c>
      <c r="U65" s="211" t="str">
        <f t="shared" ca="1" si="119"/>
        <v/>
      </c>
      <c r="V65" s="211" t="str">
        <f t="shared" ca="1" si="120"/>
        <v/>
      </c>
      <c r="W65" s="212" t="str">
        <f t="shared" ca="1" si="121"/>
        <v/>
      </c>
      <c r="X65" s="209" t="str">
        <f t="shared" ca="1" si="122"/>
        <v/>
      </c>
      <c r="Y65" s="209" t="str">
        <f t="shared" ca="1" si="123"/>
        <v/>
      </c>
      <c r="Z65" s="210" t="str">
        <f t="shared" ca="1" si="124"/>
        <v/>
      </c>
      <c r="AA65" s="211" t="str">
        <f t="shared" ca="1" si="125"/>
        <v/>
      </c>
      <c r="AB65" s="211" t="str">
        <f t="shared" ca="1" si="126"/>
        <v/>
      </c>
      <c r="AC65" s="212" t="str">
        <f t="shared" ca="1" si="127"/>
        <v/>
      </c>
      <c r="AD65" s="209" t="str">
        <f t="shared" ca="1" si="128"/>
        <v/>
      </c>
      <c r="AE65" s="209" t="str">
        <f t="shared" ca="1" si="129"/>
        <v/>
      </c>
      <c r="AF65" s="210" t="str">
        <f t="shared" ca="1" si="130"/>
        <v/>
      </c>
      <c r="AG65" s="211" t="str">
        <f t="shared" ca="1" si="131"/>
        <v/>
      </c>
      <c r="AH65" s="211" t="str">
        <f t="shared" ca="1" si="132"/>
        <v/>
      </c>
      <c r="AI65" s="215" t="str">
        <f t="shared" ca="1" si="133"/>
        <v/>
      </c>
    </row>
    <row r="66" spans="2:35" x14ac:dyDescent="0.25">
      <c r="B66" s="213">
        <v>9</v>
      </c>
      <c r="C66" s="260" t="str">
        <f t="shared" ca="1" si="103"/>
        <v/>
      </c>
      <c r="D66" s="260" t="str">
        <f t="shared" ca="1" si="101"/>
        <v/>
      </c>
      <c r="E66" s="260" t="str">
        <f t="shared" ca="1" si="102"/>
        <v/>
      </c>
      <c r="F66" s="209" t="str">
        <f t="shared" ca="1" si="104"/>
        <v/>
      </c>
      <c r="G66" s="209" t="str">
        <f t="shared" ca="1" si="105"/>
        <v/>
      </c>
      <c r="H66" s="210" t="str">
        <f t="shared" ca="1" si="106"/>
        <v/>
      </c>
      <c r="I66" s="211" t="str">
        <f t="shared" ca="1" si="107"/>
        <v/>
      </c>
      <c r="J66" s="211" t="str">
        <f t="shared" ca="1" si="108"/>
        <v/>
      </c>
      <c r="K66" s="212" t="str">
        <f t="shared" ca="1" si="109"/>
        <v/>
      </c>
      <c r="L66" s="209" t="str">
        <f t="shared" ca="1" si="110"/>
        <v/>
      </c>
      <c r="M66" s="209" t="str">
        <f t="shared" ca="1" si="111"/>
        <v/>
      </c>
      <c r="N66" s="210" t="str">
        <f t="shared" ca="1" si="112"/>
        <v/>
      </c>
      <c r="O66" s="211" t="str">
        <f t="shared" ca="1" si="113"/>
        <v/>
      </c>
      <c r="P66" s="211" t="str">
        <f t="shared" ca="1" si="114"/>
        <v/>
      </c>
      <c r="Q66" s="212" t="str">
        <f t="shared" ca="1" si="115"/>
        <v/>
      </c>
      <c r="R66" s="209" t="str">
        <f t="shared" ca="1" si="116"/>
        <v/>
      </c>
      <c r="S66" s="209" t="str">
        <f t="shared" ca="1" si="117"/>
        <v/>
      </c>
      <c r="T66" s="210" t="str">
        <f t="shared" ca="1" si="118"/>
        <v/>
      </c>
      <c r="U66" s="211" t="str">
        <f t="shared" ca="1" si="119"/>
        <v/>
      </c>
      <c r="V66" s="211" t="str">
        <f t="shared" ca="1" si="120"/>
        <v/>
      </c>
      <c r="W66" s="212" t="str">
        <f t="shared" ca="1" si="121"/>
        <v/>
      </c>
      <c r="X66" s="209" t="str">
        <f t="shared" ca="1" si="122"/>
        <v/>
      </c>
      <c r="Y66" s="209" t="str">
        <f t="shared" ca="1" si="123"/>
        <v/>
      </c>
      <c r="Z66" s="210" t="str">
        <f t="shared" ca="1" si="124"/>
        <v/>
      </c>
      <c r="AA66" s="211" t="str">
        <f t="shared" ca="1" si="125"/>
        <v/>
      </c>
      <c r="AB66" s="211" t="str">
        <f t="shared" ca="1" si="126"/>
        <v/>
      </c>
      <c r="AC66" s="212" t="str">
        <f t="shared" ca="1" si="127"/>
        <v/>
      </c>
      <c r="AD66" s="209" t="str">
        <f t="shared" ca="1" si="128"/>
        <v/>
      </c>
      <c r="AE66" s="209" t="str">
        <f t="shared" ca="1" si="129"/>
        <v/>
      </c>
      <c r="AF66" s="210" t="str">
        <f t="shared" ca="1" si="130"/>
        <v/>
      </c>
      <c r="AG66" s="211" t="str">
        <f t="shared" ca="1" si="131"/>
        <v/>
      </c>
      <c r="AH66" s="211" t="str">
        <f t="shared" ca="1" si="132"/>
        <v/>
      </c>
      <c r="AI66" s="215" t="str">
        <f t="shared" ca="1" si="133"/>
        <v/>
      </c>
    </row>
    <row r="67" spans="2:35" x14ac:dyDescent="0.25">
      <c r="B67" s="213">
        <v>10</v>
      </c>
      <c r="C67" s="260" t="str">
        <f t="shared" ca="1" si="103"/>
        <v/>
      </c>
      <c r="D67" s="260" t="str">
        <f t="shared" ca="1" si="101"/>
        <v/>
      </c>
      <c r="E67" s="260" t="str">
        <f t="shared" ca="1" si="102"/>
        <v/>
      </c>
      <c r="F67" s="209" t="str">
        <f t="shared" ca="1" si="104"/>
        <v/>
      </c>
      <c r="G67" s="209" t="str">
        <f t="shared" ca="1" si="105"/>
        <v/>
      </c>
      <c r="H67" s="210" t="str">
        <f t="shared" ca="1" si="106"/>
        <v/>
      </c>
      <c r="I67" s="211" t="str">
        <f t="shared" ca="1" si="107"/>
        <v/>
      </c>
      <c r="J67" s="211" t="str">
        <f t="shared" ca="1" si="108"/>
        <v/>
      </c>
      <c r="K67" s="212" t="str">
        <f t="shared" ca="1" si="109"/>
        <v/>
      </c>
      <c r="L67" s="209" t="str">
        <f t="shared" ca="1" si="110"/>
        <v/>
      </c>
      <c r="M67" s="209" t="str">
        <f t="shared" ca="1" si="111"/>
        <v/>
      </c>
      <c r="N67" s="210" t="str">
        <f t="shared" ca="1" si="112"/>
        <v/>
      </c>
      <c r="O67" s="211" t="str">
        <f t="shared" ca="1" si="113"/>
        <v/>
      </c>
      <c r="P67" s="211" t="str">
        <f t="shared" ca="1" si="114"/>
        <v/>
      </c>
      <c r="Q67" s="212" t="str">
        <f t="shared" ca="1" si="115"/>
        <v/>
      </c>
      <c r="R67" s="209" t="str">
        <f t="shared" ca="1" si="116"/>
        <v/>
      </c>
      <c r="S67" s="209" t="str">
        <f t="shared" ca="1" si="117"/>
        <v/>
      </c>
      <c r="T67" s="210" t="str">
        <f t="shared" ca="1" si="118"/>
        <v/>
      </c>
      <c r="U67" s="211" t="str">
        <f t="shared" ca="1" si="119"/>
        <v/>
      </c>
      <c r="V67" s="211" t="str">
        <f t="shared" ca="1" si="120"/>
        <v/>
      </c>
      <c r="W67" s="212" t="str">
        <f t="shared" ca="1" si="121"/>
        <v/>
      </c>
      <c r="X67" s="209" t="str">
        <f t="shared" ca="1" si="122"/>
        <v/>
      </c>
      <c r="Y67" s="209" t="str">
        <f t="shared" ca="1" si="123"/>
        <v/>
      </c>
      <c r="Z67" s="210" t="str">
        <f t="shared" ca="1" si="124"/>
        <v/>
      </c>
      <c r="AA67" s="211" t="str">
        <f t="shared" ca="1" si="125"/>
        <v/>
      </c>
      <c r="AB67" s="211" t="str">
        <f t="shared" ca="1" si="126"/>
        <v/>
      </c>
      <c r="AC67" s="212" t="str">
        <f t="shared" ca="1" si="127"/>
        <v/>
      </c>
      <c r="AD67" s="209" t="str">
        <f t="shared" ca="1" si="128"/>
        <v/>
      </c>
      <c r="AE67" s="209" t="str">
        <f t="shared" ca="1" si="129"/>
        <v/>
      </c>
      <c r="AF67" s="210" t="str">
        <f t="shared" ca="1" si="130"/>
        <v/>
      </c>
      <c r="AG67" s="211" t="str">
        <f t="shared" ca="1" si="131"/>
        <v/>
      </c>
      <c r="AH67" s="211" t="str">
        <f t="shared" ca="1" si="132"/>
        <v/>
      </c>
      <c r="AI67" s="215" t="str">
        <f t="shared" ca="1" si="133"/>
        <v/>
      </c>
    </row>
    <row r="68" spans="2:35" x14ac:dyDescent="0.25">
      <c r="B68" s="213">
        <v>11</v>
      </c>
      <c r="C68" s="260" t="str">
        <f t="shared" ca="1" si="103"/>
        <v/>
      </c>
      <c r="D68" s="260" t="str">
        <f t="shared" ca="1" si="101"/>
        <v/>
      </c>
      <c r="E68" s="260" t="str">
        <f t="shared" ca="1" si="102"/>
        <v/>
      </c>
      <c r="F68" s="209" t="str">
        <f t="shared" ca="1" si="104"/>
        <v/>
      </c>
      <c r="G68" s="209" t="str">
        <f t="shared" ca="1" si="105"/>
        <v/>
      </c>
      <c r="H68" s="210" t="str">
        <f t="shared" ca="1" si="106"/>
        <v/>
      </c>
      <c r="I68" s="211" t="str">
        <f t="shared" ca="1" si="107"/>
        <v/>
      </c>
      <c r="J68" s="211" t="str">
        <f t="shared" ca="1" si="108"/>
        <v/>
      </c>
      <c r="K68" s="212" t="str">
        <f t="shared" ca="1" si="109"/>
        <v/>
      </c>
      <c r="L68" s="209" t="str">
        <f t="shared" ca="1" si="110"/>
        <v/>
      </c>
      <c r="M68" s="209" t="str">
        <f t="shared" ca="1" si="111"/>
        <v/>
      </c>
      <c r="N68" s="210" t="str">
        <f t="shared" ca="1" si="112"/>
        <v/>
      </c>
      <c r="O68" s="211" t="str">
        <f t="shared" ca="1" si="113"/>
        <v/>
      </c>
      <c r="P68" s="211" t="str">
        <f t="shared" ca="1" si="114"/>
        <v/>
      </c>
      <c r="Q68" s="212" t="str">
        <f t="shared" ca="1" si="115"/>
        <v/>
      </c>
      <c r="R68" s="209" t="str">
        <f t="shared" ca="1" si="116"/>
        <v/>
      </c>
      <c r="S68" s="209" t="str">
        <f t="shared" ca="1" si="117"/>
        <v/>
      </c>
      <c r="T68" s="210" t="str">
        <f t="shared" ca="1" si="118"/>
        <v/>
      </c>
      <c r="U68" s="211" t="str">
        <f t="shared" ca="1" si="119"/>
        <v/>
      </c>
      <c r="V68" s="211" t="str">
        <f t="shared" ca="1" si="120"/>
        <v/>
      </c>
      <c r="W68" s="212" t="str">
        <f t="shared" ca="1" si="121"/>
        <v/>
      </c>
      <c r="X68" s="209" t="str">
        <f t="shared" ca="1" si="122"/>
        <v/>
      </c>
      <c r="Y68" s="209" t="str">
        <f t="shared" ca="1" si="123"/>
        <v/>
      </c>
      <c r="Z68" s="210" t="str">
        <f t="shared" ca="1" si="124"/>
        <v/>
      </c>
      <c r="AA68" s="211" t="str">
        <f t="shared" ca="1" si="125"/>
        <v/>
      </c>
      <c r="AB68" s="211" t="str">
        <f t="shared" ca="1" si="126"/>
        <v/>
      </c>
      <c r="AC68" s="212" t="str">
        <f t="shared" ca="1" si="127"/>
        <v/>
      </c>
      <c r="AD68" s="209" t="str">
        <f t="shared" ca="1" si="128"/>
        <v/>
      </c>
      <c r="AE68" s="209" t="str">
        <f t="shared" ca="1" si="129"/>
        <v/>
      </c>
      <c r="AF68" s="210" t="str">
        <f t="shared" ca="1" si="130"/>
        <v/>
      </c>
      <c r="AG68" s="211" t="str">
        <f t="shared" ca="1" si="131"/>
        <v/>
      </c>
      <c r="AH68" s="211" t="str">
        <f t="shared" ca="1" si="132"/>
        <v/>
      </c>
      <c r="AI68" s="215" t="str">
        <f t="shared" ca="1" si="133"/>
        <v/>
      </c>
    </row>
    <row r="69" spans="2:35" x14ac:dyDescent="0.25">
      <c r="B69" s="213">
        <v>12</v>
      </c>
      <c r="C69" s="260" t="str">
        <f t="shared" ca="1" si="103"/>
        <v/>
      </c>
      <c r="D69" s="260" t="str">
        <f t="shared" ca="1" si="101"/>
        <v/>
      </c>
      <c r="E69" s="260" t="str">
        <f t="shared" ca="1" si="102"/>
        <v/>
      </c>
      <c r="F69" s="209" t="str">
        <f t="shared" ca="1" si="104"/>
        <v/>
      </c>
      <c r="G69" s="209" t="str">
        <f t="shared" ca="1" si="105"/>
        <v/>
      </c>
      <c r="H69" s="210" t="str">
        <f t="shared" ca="1" si="106"/>
        <v/>
      </c>
      <c r="I69" s="211" t="str">
        <f t="shared" ca="1" si="107"/>
        <v/>
      </c>
      <c r="J69" s="211" t="str">
        <f t="shared" ca="1" si="108"/>
        <v/>
      </c>
      <c r="K69" s="212" t="str">
        <f t="shared" ca="1" si="109"/>
        <v/>
      </c>
      <c r="L69" s="209" t="str">
        <f t="shared" ca="1" si="110"/>
        <v/>
      </c>
      <c r="M69" s="209" t="str">
        <f t="shared" ca="1" si="111"/>
        <v/>
      </c>
      <c r="N69" s="210" t="str">
        <f t="shared" ca="1" si="112"/>
        <v/>
      </c>
      <c r="O69" s="211" t="str">
        <f t="shared" ca="1" si="113"/>
        <v/>
      </c>
      <c r="P69" s="211" t="str">
        <f t="shared" ca="1" si="114"/>
        <v/>
      </c>
      <c r="Q69" s="212" t="str">
        <f t="shared" ca="1" si="115"/>
        <v/>
      </c>
      <c r="R69" s="209" t="str">
        <f t="shared" ca="1" si="116"/>
        <v/>
      </c>
      <c r="S69" s="209" t="str">
        <f t="shared" ca="1" si="117"/>
        <v/>
      </c>
      <c r="T69" s="210" t="str">
        <f t="shared" ca="1" si="118"/>
        <v/>
      </c>
      <c r="U69" s="211" t="str">
        <f t="shared" ca="1" si="119"/>
        <v/>
      </c>
      <c r="V69" s="211" t="str">
        <f t="shared" ca="1" si="120"/>
        <v/>
      </c>
      <c r="W69" s="212" t="str">
        <f t="shared" ca="1" si="121"/>
        <v/>
      </c>
      <c r="X69" s="209" t="str">
        <f t="shared" ca="1" si="122"/>
        <v/>
      </c>
      <c r="Y69" s="209" t="str">
        <f t="shared" ca="1" si="123"/>
        <v/>
      </c>
      <c r="Z69" s="210" t="str">
        <f t="shared" ca="1" si="124"/>
        <v/>
      </c>
      <c r="AA69" s="211" t="str">
        <f t="shared" ca="1" si="125"/>
        <v/>
      </c>
      <c r="AB69" s="211" t="str">
        <f t="shared" ca="1" si="126"/>
        <v/>
      </c>
      <c r="AC69" s="212" t="str">
        <f t="shared" ca="1" si="127"/>
        <v/>
      </c>
      <c r="AD69" s="209" t="str">
        <f t="shared" ca="1" si="128"/>
        <v/>
      </c>
      <c r="AE69" s="209" t="str">
        <f t="shared" ca="1" si="129"/>
        <v/>
      </c>
      <c r="AF69" s="210" t="str">
        <f t="shared" ca="1" si="130"/>
        <v/>
      </c>
      <c r="AG69" s="211" t="str">
        <f t="shared" ca="1" si="131"/>
        <v/>
      </c>
      <c r="AH69" s="211" t="str">
        <f t="shared" ca="1" si="132"/>
        <v/>
      </c>
      <c r="AI69" s="215" t="str">
        <f t="shared" ca="1" si="133"/>
        <v/>
      </c>
    </row>
    <row r="70" spans="2:35" ht="14.25" thickBot="1" x14ac:dyDescent="0.3">
      <c r="B70" s="216" t="s">
        <v>3</v>
      </c>
      <c r="C70" s="261">
        <f ca="1">SUM(C58:C64)</f>
        <v>0</v>
      </c>
      <c r="D70" s="261">
        <f t="shared" ref="D70:AI70" ca="1" si="134">SUM(D58:D69)</f>
        <v>0</v>
      </c>
      <c r="E70" s="261">
        <f t="shared" ca="1" si="134"/>
        <v>0</v>
      </c>
      <c r="F70" s="217">
        <f t="shared" ca="1" si="134"/>
        <v>0</v>
      </c>
      <c r="G70" s="217">
        <f t="shared" ca="1" si="134"/>
        <v>0</v>
      </c>
      <c r="H70" s="218">
        <f t="shared" ca="1" si="134"/>
        <v>0</v>
      </c>
      <c r="I70" s="219">
        <f t="shared" ca="1" si="134"/>
        <v>0</v>
      </c>
      <c r="J70" s="219">
        <f t="shared" ca="1" si="134"/>
        <v>0</v>
      </c>
      <c r="K70" s="220">
        <f t="shared" ca="1" si="134"/>
        <v>0</v>
      </c>
      <c r="L70" s="217">
        <f t="shared" ca="1" si="134"/>
        <v>0</v>
      </c>
      <c r="M70" s="217">
        <f t="shared" ca="1" si="134"/>
        <v>0</v>
      </c>
      <c r="N70" s="218">
        <f t="shared" ca="1" si="134"/>
        <v>0</v>
      </c>
      <c r="O70" s="219">
        <f t="shared" ca="1" si="134"/>
        <v>0</v>
      </c>
      <c r="P70" s="219">
        <f t="shared" ca="1" si="134"/>
        <v>0</v>
      </c>
      <c r="Q70" s="220">
        <f t="shared" ca="1" si="134"/>
        <v>0</v>
      </c>
      <c r="R70" s="217">
        <f t="shared" ca="1" si="134"/>
        <v>0</v>
      </c>
      <c r="S70" s="217">
        <f t="shared" ca="1" si="134"/>
        <v>0</v>
      </c>
      <c r="T70" s="218">
        <f t="shared" ca="1" si="134"/>
        <v>0</v>
      </c>
      <c r="U70" s="219">
        <f t="shared" ca="1" si="134"/>
        <v>0</v>
      </c>
      <c r="V70" s="219">
        <f t="shared" ca="1" si="134"/>
        <v>0</v>
      </c>
      <c r="W70" s="220">
        <f t="shared" ca="1" si="134"/>
        <v>0</v>
      </c>
      <c r="X70" s="217">
        <f t="shared" ca="1" si="134"/>
        <v>0</v>
      </c>
      <c r="Y70" s="217">
        <f t="shared" ca="1" si="134"/>
        <v>0</v>
      </c>
      <c r="Z70" s="218">
        <f t="shared" ca="1" si="134"/>
        <v>0</v>
      </c>
      <c r="AA70" s="219">
        <f t="shared" ca="1" si="134"/>
        <v>0</v>
      </c>
      <c r="AB70" s="219">
        <f t="shared" ca="1" si="134"/>
        <v>0</v>
      </c>
      <c r="AC70" s="220">
        <f t="shared" ca="1" si="134"/>
        <v>0</v>
      </c>
      <c r="AD70" s="217">
        <f t="shared" ca="1" si="134"/>
        <v>0</v>
      </c>
      <c r="AE70" s="217">
        <f t="shared" ca="1" si="134"/>
        <v>0</v>
      </c>
      <c r="AF70" s="218">
        <f t="shared" ca="1" si="134"/>
        <v>0</v>
      </c>
      <c r="AG70" s="219">
        <f t="shared" ca="1" si="134"/>
        <v>0</v>
      </c>
      <c r="AH70" s="219">
        <f t="shared" ca="1" si="134"/>
        <v>0</v>
      </c>
      <c r="AI70" s="221">
        <f t="shared" ca="1" si="134"/>
        <v>0</v>
      </c>
    </row>
  </sheetData>
  <mergeCells count="48">
    <mergeCell ref="AG56:AI56"/>
    <mergeCell ref="R56:T56"/>
    <mergeCell ref="U56:W56"/>
    <mergeCell ref="X56:Z56"/>
    <mergeCell ref="AA56:AC56"/>
    <mergeCell ref="AD56:AF56"/>
    <mergeCell ref="B56:B57"/>
    <mergeCell ref="F56:H56"/>
    <mergeCell ref="I56:K56"/>
    <mergeCell ref="L56:N56"/>
    <mergeCell ref="O56:Q56"/>
    <mergeCell ref="C56:E56"/>
    <mergeCell ref="X38:Z38"/>
    <mergeCell ref="AA38:AC38"/>
    <mergeCell ref="AD38:AF38"/>
    <mergeCell ref="AG38:AI38"/>
    <mergeCell ref="O20:Q20"/>
    <mergeCell ref="R20:T20"/>
    <mergeCell ref="U20:W20"/>
    <mergeCell ref="X20:Z20"/>
    <mergeCell ref="AA20:AC20"/>
    <mergeCell ref="AD20:AF20"/>
    <mergeCell ref="AG20:AI20"/>
    <mergeCell ref="R38:T38"/>
    <mergeCell ref="U38:W38"/>
    <mergeCell ref="B38:B39"/>
    <mergeCell ref="F38:H38"/>
    <mergeCell ref="I38:K38"/>
    <mergeCell ref="L38:N38"/>
    <mergeCell ref="O38:Q38"/>
    <mergeCell ref="C38:E38"/>
    <mergeCell ref="B3:B4"/>
    <mergeCell ref="I3:K3"/>
    <mergeCell ref="L3:N3"/>
    <mergeCell ref="B20:B21"/>
    <mergeCell ref="F20:H20"/>
    <mergeCell ref="I20:K20"/>
    <mergeCell ref="L20:N20"/>
    <mergeCell ref="C3:E3"/>
    <mergeCell ref="C20:E20"/>
    <mergeCell ref="F3:H3"/>
    <mergeCell ref="AG3:AI3"/>
    <mergeCell ref="O3:Q3"/>
    <mergeCell ref="R3:T3"/>
    <mergeCell ref="U3:W3"/>
    <mergeCell ref="X3:Z3"/>
    <mergeCell ref="AA3:AC3"/>
    <mergeCell ref="AD3:AF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T38"/>
  <sheetViews>
    <sheetView zoomScale="85" zoomScaleNormal="85" workbookViewId="0">
      <selection activeCell="G39" sqref="G39"/>
    </sheetView>
  </sheetViews>
  <sheetFormatPr defaultRowHeight="13.5" x14ac:dyDescent="0.25"/>
  <cols>
    <col min="1" max="1" width="3.7109375" customWidth="1"/>
    <col min="2" max="2" width="15.7109375" bestFit="1" customWidth="1"/>
    <col min="3" max="20" width="15.7109375" customWidth="1"/>
  </cols>
  <sheetData>
    <row r="3" spans="2:20" ht="14.25" thickBot="1" x14ac:dyDescent="0.3"/>
    <row r="4" spans="2:20" ht="27" thickBot="1" x14ac:dyDescent="0.3">
      <c r="B4" s="477">
        <v>2025</v>
      </c>
      <c r="C4" s="479" t="s">
        <v>27</v>
      </c>
      <c r="D4" s="480"/>
      <c r="E4" s="481"/>
      <c r="F4" s="479" t="s">
        <v>65</v>
      </c>
      <c r="G4" s="480"/>
      <c r="H4" s="481"/>
      <c r="I4" s="479" t="s">
        <v>26</v>
      </c>
      <c r="J4" s="480"/>
      <c r="K4" s="481"/>
      <c r="L4" s="479" t="s">
        <v>28</v>
      </c>
      <c r="M4" s="480"/>
      <c r="N4" s="481"/>
      <c r="O4" s="479" t="s">
        <v>64</v>
      </c>
      <c r="P4" s="480"/>
      <c r="Q4" s="481"/>
      <c r="R4" s="479" t="s">
        <v>53</v>
      </c>
      <c r="S4" s="480"/>
      <c r="T4" s="481"/>
    </row>
    <row r="5" spans="2:20" ht="14.25" thickBot="1" x14ac:dyDescent="0.3">
      <c r="B5" s="478"/>
      <c r="C5" s="47" t="s">
        <v>19</v>
      </c>
      <c r="D5" s="48" t="s">
        <v>30</v>
      </c>
      <c r="E5" s="49" t="s">
        <v>20</v>
      </c>
      <c r="F5" s="47" t="s">
        <v>19</v>
      </c>
      <c r="G5" s="48" t="s">
        <v>30</v>
      </c>
      <c r="H5" s="49" t="s">
        <v>20</v>
      </c>
      <c r="I5" s="47" t="s">
        <v>19</v>
      </c>
      <c r="J5" s="48" t="s">
        <v>30</v>
      </c>
      <c r="K5" s="49" t="s">
        <v>20</v>
      </c>
      <c r="L5" s="47" t="s">
        <v>19</v>
      </c>
      <c r="M5" s="48" t="s">
        <v>30</v>
      </c>
      <c r="N5" s="49" t="s">
        <v>20</v>
      </c>
      <c r="O5" s="47" t="s">
        <v>19</v>
      </c>
      <c r="P5" s="48" t="s">
        <v>30</v>
      </c>
      <c r="Q5" s="49" t="s">
        <v>20</v>
      </c>
      <c r="R5" s="47" t="s">
        <v>19</v>
      </c>
      <c r="S5" s="48" t="s">
        <v>30</v>
      </c>
      <c r="T5" s="49" t="s">
        <v>20</v>
      </c>
    </row>
    <row r="6" spans="2:20" x14ac:dyDescent="0.25">
      <c r="B6" s="172" t="s">
        <v>136</v>
      </c>
      <c r="C6" s="52">
        <f ca="1">SUMIFS(INDIRECT("'" &amp; $B6 &amp; "'!I:I"), INDIRECT("'" &amp; $B6 &amp; "'!N:N"), C$4)</f>
        <v>18872.340000000007</v>
      </c>
      <c r="D6" s="174">
        <f ca="1">SUMIFS(INDIRECT("'" &amp; $B6 &amp; "'!L:L"), INDIRECT("'" &amp; $B6 &amp; "'!N:N"), C$4)</f>
        <v>173.24999999999997</v>
      </c>
      <c r="E6" s="53">
        <f ca="1">COUNTIFS(INDIRECT("'" &amp; $B6 &amp; "'!N:N"), C$4)</f>
        <v>51</v>
      </c>
      <c r="F6" s="60">
        <f ca="1">SUMIFS(INDIRECT("'" &amp; $B6 &amp; "'!I:I"), INDIRECT("'" &amp; $B6 &amp; "'!N:N"), F$4)</f>
        <v>9697.114999999998</v>
      </c>
      <c r="G6" s="177">
        <f ca="1">SUMIFS(INDIRECT("'" &amp; $B6 &amp; "'!L:L"), INDIRECT("'" &amp; $B6 &amp; "'!N:N"), F$4)</f>
        <v>93.219999999999985</v>
      </c>
      <c r="H6" s="61">
        <f ca="1">COUNTIFS(INDIRECT("'" &amp; $B6 &amp; "'!N:N"), F$4)</f>
        <v>47</v>
      </c>
      <c r="I6" s="52">
        <f ca="1">SUMIFS(INDIRECT("'" &amp; $B6 &amp; "'!I:I"), INDIRECT("'" &amp; $B6 &amp; "'!N:N"), I$4)</f>
        <v>229.62</v>
      </c>
      <c r="J6" s="174">
        <f ca="1">SUMIFS(INDIRECT("'" &amp; $B6 &amp; "'!L:L"), INDIRECT("'" &amp; $B6 &amp; "'!N:N"), I$4)</f>
        <v>2.12</v>
      </c>
      <c r="K6" s="53">
        <f ca="1">COUNTIFS(INDIRECT("'" &amp; $B6 &amp; "'!N:N"), I$4)</f>
        <v>2</v>
      </c>
      <c r="L6" s="60">
        <f ca="1">SUMIFS(INDIRECT("'" &amp; $B6 &amp; "'!I:I"), INDIRECT("'" &amp; $B6 &amp; "'!N:N"), L$4)</f>
        <v>11519.415000000003</v>
      </c>
      <c r="M6" s="177">
        <f ca="1">SUMIFS(INDIRECT("'" &amp; $B6 &amp; "'!L:L"), INDIRECT("'" &amp; $B6 &amp; "'!N:N"), L$4)</f>
        <v>110.99999999999999</v>
      </c>
      <c r="N6" s="61">
        <f ca="1">COUNTIFS(INDIRECT("'" &amp; $B6 &amp; "'!N:N"), L$4)</f>
        <v>22</v>
      </c>
      <c r="O6" s="52">
        <f ca="1">SUMIFS(INDIRECT("'" &amp; $B6 &amp; "'!I:I"), INDIRECT("'" &amp; $B6 &amp; "'!N:N"), O$4)</f>
        <v>0</v>
      </c>
      <c r="P6" s="174">
        <f ca="1">SUMIFS(INDIRECT("'" &amp; $B6 &amp; "'!L:L"), INDIRECT("'" &amp; $B6 &amp; "'!N:N"), O$4)</f>
        <v>0</v>
      </c>
      <c r="Q6" s="53">
        <f ca="1">COUNTIFS(INDIRECT("'" &amp; $B6 &amp; "'!N:N"), O$4)</f>
        <v>0</v>
      </c>
      <c r="R6" s="60">
        <f ca="1">SUMIFS(INDIRECT("'" &amp; $B6 &amp; "'!I:I"), INDIRECT("'" &amp; $B6 &amp; "'!N:N"), R$4)</f>
        <v>0</v>
      </c>
      <c r="S6" s="177">
        <f ca="1">SUMIFS(INDIRECT("'" &amp; $B6 &amp; "'!L:L"), INDIRECT("'" &amp; $B6 &amp; "'!N:N"), R$4)</f>
        <v>0</v>
      </c>
      <c r="T6" s="61">
        <f ca="1">COUNTIFS(INDIRECT("'" &amp; $B6 &amp; "'!N:N"), R$4)</f>
        <v>0</v>
      </c>
    </row>
    <row r="7" spans="2:20" x14ac:dyDescent="0.25">
      <c r="B7" s="51" t="s">
        <v>137</v>
      </c>
      <c r="C7" s="52">
        <f t="shared" ref="C7:C15" ca="1" si="0">SUMIFS(INDIRECT("'" &amp; $B7 &amp; "'!I:I"), INDIRECT("'" &amp; $B7 &amp; "'!N:N"), C$4)</f>
        <v>0</v>
      </c>
      <c r="D7" s="174">
        <f t="shared" ref="D7:D15" ca="1" si="1">SUMIFS(INDIRECT("'" &amp; $B7 &amp; "'!L:L"), INDIRECT("'" &amp; $B7 &amp; "'!N:N"), C$4)</f>
        <v>0</v>
      </c>
      <c r="E7" s="53">
        <f t="shared" ref="E7:E15" ca="1" si="2">COUNTIFS(INDIRECT("'" &amp; $B7 &amp; "'!N:N"), C$4)</f>
        <v>0</v>
      </c>
      <c r="F7" s="62">
        <f t="shared" ref="F7:F15" ca="1" si="3">SUMIFS(INDIRECT("'" &amp; $B7 &amp; "'!I:I"), INDIRECT("'" &amp; $B7 &amp; "'!N:N"), F$4)</f>
        <v>605.01</v>
      </c>
      <c r="G7" s="174">
        <f t="shared" ref="G7:G15" ca="1" si="4">SUMIFS(INDIRECT("'" &amp; $B7 &amp; "'!L:L"), INDIRECT("'" &amp; $B7 &amp; "'!N:N"), F$4)</f>
        <v>6.15</v>
      </c>
      <c r="H7" s="54">
        <f t="shared" ref="H7:H15" ca="1" si="5">COUNTIFS(INDIRECT("'" &amp; $B7 &amp; "'!N:N"), F$4)</f>
        <v>1</v>
      </c>
      <c r="I7" s="52">
        <f t="shared" ref="I7:I15" ca="1" si="6">SUMIFS(INDIRECT("'" &amp; $B7 &amp; "'!I:I"), INDIRECT("'" &amp; $B7 &amp; "'!N:N"), I$4)</f>
        <v>1477.05</v>
      </c>
      <c r="J7" s="174">
        <f t="shared" ref="J7:J15" ca="1" si="7">SUMIFS(INDIRECT("'" &amp; $B7 &amp; "'!L:L"), INDIRECT("'" &amp; $B7 &amp; "'!N:N"), I$4)</f>
        <v>14.360000000000001</v>
      </c>
      <c r="K7" s="53">
        <f t="shared" ref="K7:K15" ca="1" si="8">COUNTIFS(INDIRECT("'" &amp; $B7 &amp; "'!N:N"), I$4)</f>
        <v>2</v>
      </c>
      <c r="L7" s="62">
        <f t="shared" ref="L7:L15" ca="1" si="9">SUMIFS(INDIRECT("'" &amp; $B7 &amp; "'!I:I"), INDIRECT("'" &amp; $B7 &amp; "'!N:N"), L$4)</f>
        <v>148.35</v>
      </c>
      <c r="M7" s="174">
        <f t="shared" ref="M7:M15" ca="1" si="10">SUMIFS(INDIRECT("'" &amp; $B7 &amp; "'!L:L"), INDIRECT("'" &amp; $B7 &amp; "'!N:N"), L$4)</f>
        <v>1.6500000000000001</v>
      </c>
      <c r="N7" s="54">
        <f t="shared" ref="N7:N15" ca="1" si="11">COUNTIFS(INDIRECT("'" &amp; $B7 &amp; "'!N:N"), L$4)</f>
        <v>1</v>
      </c>
      <c r="O7" s="52">
        <f t="shared" ref="O7:O15" ca="1" si="12">SUMIFS(INDIRECT("'" &amp; $B7 &amp; "'!I:I"), INDIRECT("'" &amp; $B7 &amp; "'!N:N"), O$4)</f>
        <v>0</v>
      </c>
      <c r="P7" s="174">
        <f t="shared" ref="P7:P15" ca="1" si="13">SUMIFS(INDIRECT("'" &amp; $B7 &amp; "'!L:L"), INDIRECT("'" &amp; $B7 &amp; "'!N:N"), O$4)</f>
        <v>0</v>
      </c>
      <c r="Q7" s="53">
        <f t="shared" ref="Q7:Q15" ca="1" si="14">COUNTIFS(INDIRECT("'" &amp; $B7 &amp; "'!N:N"), O$4)</f>
        <v>0</v>
      </c>
      <c r="R7" s="62">
        <f t="shared" ref="R7:R15" ca="1" si="15">SUMIFS(INDIRECT("'" &amp; $B7 &amp; "'!I:I"), INDIRECT("'" &amp; $B7 &amp; "'!N:N"), R$4)</f>
        <v>0</v>
      </c>
      <c r="S7" s="174">
        <f t="shared" ref="S7:S15" ca="1" si="16">SUMIFS(INDIRECT("'" &amp; $B7 &amp; "'!L:L"), INDIRECT("'" &amp; $B7 &amp; "'!N:N"), R$4)</f>
        <v>0</v>
      </c>
      <c r="T7" s="54">
        <f t="shared" ref="T7:T15" ca="1" si="17">COUNTIFS(INDIRECT("'" &amp; $B7 &amp; "'!N:N"), R$4)</f>
        <v>0</v>
      </c>
    </row>
    <row r="8" spans="2:20" x14ac:dyDescent="0.25">
      <c r="B8" s="51" t="s">
        <v>138</v>
      </c>
      <c r="C8" s="52">
        <f t="shared" ca="1" si="0"/>
        <v>0</v>
      </c>
      <c r="D8" s="174">
        <f t="shared" ca="1" si="1"/>
        <v>0</v>
      </c>
      <c r="E8" s="53">
        <f t="shared" ca="1" si="2"/>
        <v>0</v>
      </c>
      <c r="F8" s="62">
        <f t="shared" ca="1" si="3"/>
        <v>0</v>
      </c>
      <c r="G8" s="174">
        <f t="shared" ca="1" si="4"/>
        <v>0</v>
      </c>
      <c r="H8" s="54">
        <f t="shared" ca="1" si="5"/>
        <v>0</v>
      </c>
      <c r="I8" s="52">
        <f t="shared" ca="1" si="6"/>
        <v>0</v>
      </c>
      <c r="J8" s="174">
        <f t="shared" ca="1" si="7"/>
        <v>0</v>
      </c>
      <c r="K8" s="53">
        <f t="shared" ca="1" si="8"/>
        <v>0</v>
      </c>
      <c r="L8" s="62">
        <f t="shared" ca="1" si="9"/>
        <v>0</v>
      </c>
      <c r="M8" s="174">
        <f t="shared" ca="1" si="10"/>
        <v>0</v>
      </c>
      <c r="N8" s="54">
        <f t="shared" ca="1" si="11"/>
        <v>0</v>
      </c>
      <c r="O8" s="52">
        <f t="shared" ca="1" si="12"/>
        <v>0</v>
      </c>
      <c r="P8" s="174">
        <f t="shared" ca="1" si="13"/>
        <v>0</v>
      </c>
      <c r="Q8" s="53">
        <f t="shared" ca="1" si="14"/>
        <v>0</v>
      </c>
      <c r="R8" s="62">
        <f t="shared" ca="1" si="15"/>
        <v>0</v>
      </c>
      <c r="S8" s="174">
        <f t="shared" ca="1" si="16"/>
        <v>0</v>
      </c>
      <c r="T8" s="54">
        <f t="shared" ca="1" si="17"/>
        <v>0</v>
      </c>
    </row>
    <row r="9" spans="2:20" x14ac:dyDescent="0.25">
      <c r="B9" s="51" t="s">
        <v>139</v>
      </c>
      <c r="C9" s="52">
        <f t="shared" ca="1" si="0"/>
        <v>0</v>
      </c>
      <c r="D9" s="174">
        <f t="shared" ca="1" si="1"/>
        <v>0</v>
      </c>
      <c r="E9" s="53">
        <f t="shared" ca="1" si="2"/>
        <v>0</v>
      </c>
      <c r="F9" s="62">
        <f t="shared" ca="1" si="3"/>
        <v>0</v>
      </c>
      <c r="G9" s="174">
        <f t="shared" ca="1" si="4"/>
        <v>0</v>
      </c>
      <c r="H9" s="54">
        <f t="shared" ca="1" si="5"/>
        <v>0</v>
      </c>
      <c r="I9" s="52">
        <f t="shared" ca="1" si="6"/>
        <v>0</v>
      </c>
      <c r="J9" s="174">
        <f t="shared" ca="1" si="7"/>
        <v>0</v>
      </c>
      <c r="K9" s="53">
        <f t="shared" ca="1" si="8"/>
        <v>0</v>
      </c>
      <c r="L9" s="62">
        <f t="shared" ca="1" si="9"/>
        <v>0</v>
      </c>
      <c r="M9" s="174">
        <f t="shared" ca="1" si="10"/>
        <v>0</v>
      </c>
      <c r="N9" s="54">
        <f t="shared" ca="1" si="11"/>
        <v>0</v>
      </c>
      <c r="O9" s="52">
        <f t="shared" ca="1" si="12"/>
        <v>0</v>
      </c>
      <c r="P9" s="174">
        <f t="shared" ca="1" si="13"/>
        <v>0</v>
      </c>
      <c r="Q9" s="53">
        <f t="shared" ca="1" si="14"/>
        <v>0</v>
      </c>
      <c r="R9" s="62">
        <f t="shared" ca="1" si="15"/>
        <v>0</v>
      </c>
      <c r="S9" s="174">
        <f t="shared" ca="1" si="16"/>
        <v>0</v>
      </c>
      <c r="T9" s="54">
        <f t="shared" ca="1" si="17"/>
        <v>0</v>
      </c>
    </row>
    <row r="10" spans="2:20" x14ac:dyDescent="0.25">
      <c r="B10" s="51" t="s">
        <v>140</v>
      </c>
      <c r="C10" s="52">
        <f t="shared" ca="1" si="0"/>
        <v>0</v>
      </c>
      <c r="D10" s="174">
        <f t="shared" ca="1" si="1"/>
        <v>0</v>
      </c>
      <c r="E10" s="53">
        <f t="shared" ca="1" si="2"/>
        <v>0</v>
      </c>
      <c r="F10" s="62">
        <f t="shared" ca="1" si="3"/>
        <v>740.46</v>
      </c>
      <c r="G10" s="174">
        <f t="shared" ca="1" si="4"/>
        <v>0</v>
      </c>
      <c r="H10" s="54">
        <f t="shared" ca="1" si="5"/>
        <v>2</v>
      </c>
      <c r="I10" s="52">
        <f t="shared" ca="1" si="6"/>
        <v>0</v>
      </c>
      <c r="J10" s="174">
        <f t="shared" ca="1" si="7"/>
        <v>0</v>
      </c>
      <c r="K10" s="53">
        <f t="shared" ca="1" si="8"/>
        <v>0</v>
      </c>
      <c r="L10" s="62">
        <f t="shared" ca="1" si="9"/>
        <v>499.84</v>
      </c>
      <c r="M10" s="174">
        <f t="shared" ca="1" si="10"/>
        <v>0</v>
      </c>
      <c r="N10" s="54">
        <f t="shared" ca="1" si="11"/>
        <v>1</v>
      </c>
      <c r="O10" s="52">
        <f t="shared" ca="1" si="12"/>
        <v>0</v>
      </c>
      <c r="P10" s="174">
        <f t="shared" ca="1" si="13"/>
        <v>0</v>
      </c>
      <c r="Q10" s="53">
        <f t="shared" ca="1" si="14"/>
        <v>0</v>
      </c>
      <c r="R10" s="62">
        <f t="shared" ca="1" si="15"/>
        <v>0</v>
      </c>
      <c r="S10" s="174">
        <f t="shared" ca="1" si="16"/>
        <v>0</v>
      </c>
      <c r="T10" s="54">
        <f t="shared" ca="1" si="17"/>
        <v>0</v>
      </c>
    </row>
    <row r="11" spans="2:20" x14ac:dyDescent="0.25">
      <c r="B11" s="51" t="s">
        <v>141</v>
      </c>
      <c r="C11" s="52">
        <f t="shared" ca="1" si="0"/>
        <v>0</v>
      </c>
      <c r="D11" s="174">
        <f t="shared" ca="1" si="1"/>
        <v>0</v>
      </c>
      <c r="E11" s="53">
        <f t="shared" ca="1" si="2"/>
        <v>0</v>
      </c>
      <c r="F11" s="62">
        <f t="shared" ca="1" si="3"/>
        <v>0</v>
      </c>
      <c r="G11" s="174">
        <f t="shared" ca="1" si="4"/>
        <v>0</v>
      </c>
      <c r="H11" s="54">
        <f t="shared" ca="1" si="5"/>
        <v>0</v>
      </c>
      <c r="I11" s="52">
        <f t="shared" ca="1" si="6"/>
        <v>0</v>
      </c>
      <c r="J11" s="174">
        <f t="shared" ca="1" si="7"/>
        <v>0</v>
      </c>
      <c r="K11" s="53">
        <f t="shared" ca="1" si="8"/>
        <v>0</v>
      </c>
      <c r="L11" s="62">
        <f t="shared" ca="1" si="9"/>
        <v>0</v>
      </c>
      <c r="M11" s="174">
        <f t="shared" ca="1" si="10"/>
        <v>0</v>
      </c>
      <c r="N11" s="54">
        <f t="shared" ca="1" si="11"/>
        <v>0</v>
      </c>
      <c r="O11" s="52">
        <f t="shared" ca="1" si="12"/>
        <v>0</v>
      </c>
      <c r="P11" s="174">
        <f t="shared" ca="1" si="13"/>
        <v>0</v>
      </c>
      <c r="Q11" s="53">
        <f t="shared" ca="1" si="14"/>
        <v>0</v>
      </c>
      <c r="R11" s="62">
        <f t="shared" ca="1" si="15"/>
        <v>0</v>
      </c>
      <c r="S11" s="174">
        <f t="shared" ca="1" si="16"/>
        <v>0</v>
      </c>
      <c r="T11" s="54">
        <f t="shared" ca="1" si="17"/>
        <v>0</v>
      </c>
    </row>
    <row r="12" spans="2:20" x14ac:dyDescent="0.25">
      <c r="B12" s="51" t="s">
        <v>142</v>
      </c>
      <c r="C12" s="52">
        <f t="shared" ca="1" si="0"/>
        <v>0</v>
      </c>
      <c r="D12" s="174">
        <f t="shared" ca="1" si="1"/>
        <v>0</v>
      </c>
      <c r="E12" s="53">
        <f t="shared" ca="1" si="2"/>
        <v>0</v>
      </c>
      <c r="F12" s="62">
        <f t="shared" ca="1" si="3"/>
        <v>0</v>
      </c>
      <c r="G12" s="174">
        <f t="shared" ca="1" si="4"/>
        <v>0</v>
      </c>
      <c r="H12" s="54">
        <f t="shared" ca="1" si="5"/>
        <v>0</v>
      </c>
      <c r="I12" s="52">
        <f t="shared" ca="1" si="6"/>
        <v>0</v>
      </c>
      <c r="J12" s="174">
        <f t="shared" ca="1" si="7"/>
        <v>0</v>
      </c>
      <c r="K12" s="53">
        <f t="shared" ca="1" si="8"/>
        <v>0</v>
      </c>
      <c r="L12" s="62">
        <f t="shared" ca="1" si="9"/>
        <v>0</v>
      </c>
      <c r="M12" s="174">
        <f t="shared" ca="1" si="10"/>
        <v>0</v>
      </c>
      <c r="N12" s="54">
        <f t="shared" ca="1" si="11"/>
        <v>0</v>
      </c>
      <c r="O12" s="52">
        <f t="shared" ca="1" si="12"/>
        <v>0</v>
      </c>
      <c r="P12" s="174">
        <f t="shared" ca="1" si="13"/>
        <v>0</v>
      </c>
      <c r="Q12" s="53">
        <f t="shared" ca="1" si="14"/>
        <v>0</v>
      </c>
      <c r="R12" s="62">
        <f t="shared" ca="1" si="15"/>
        <v>0</v>
      </c>
      <c r="S12" s="174">
        <f t="shared" ca="1" si="16"/>
        <v>0</v>
      </c>
      <c r="T12" s="54">
        <f t="shared" ca="1" si="17"/>
        <v>0</v>
      </c>
    </row>
    <row r="13" spans="2:20" x14ac:dyDescent="0.25">
      <c r="B13" s="51" t="s">
        <v>143</v>
      </c>
      <c r="C13" s="52">
        <f t="shared" ca="1" si="0"/>
        <v>0</v>
      </c>
      <c r="D13" s="174">
        <f t="shared" ca="1" si="1"/>
        <v>0</v>
      </c>
      <c r="E13" s="53">
        <f t="shared" ca="1" si="2"/>
        <v>0</v>
      </c>
      <c r="F13" s="62">
        <f t="shared" ca="1" si="3"/>
        <v>0</v>
      </c>
      <c r="G13" s="174">
        <f t="shared" ca="1" si="4"/>
        <v>0</v>
      </c>
      <c r="H13" s="54">
        <f t="shared" ca="1" si="5"/>
        <v>0</v>
      </c>
      <c r="I13" s="52">
        <f t="shared" ca="1" si="6"/>
        <v>0</v>
      </c>
      <c r="J13" s="174">
        <f t="shared" ca="1" si="7"/>
        <v>0</v>
      </c>
      <c r="K13" s="53">
        <f t="shared" ca="1" si="8"/>
        <v>0</v>
      </c>
      <c r="L13" s="62">
        <f t="shared" ca="1" si="9"/>
        <v>0</v>
      </c>
      <c r="M13" s="174">
        <f t="shared" ca="1" si="10"/>
        <v>0</v>
      </c>
      <c r="N13" s="54">
        <f t="shared" ca="1" si="11"/>
        <v>0</v>
      </c>
      <c r="O13" s="52">
        <f t="shared" ca="1" si="12"/>
        <v>0</v>
      </c>
      <c r="P13" s="174">
        <f t="shared" ca="1" si="13"/>
        <v>0</v>
      </c>
      <c r="Q13" s="53">
        <f t="shared" ca="1" si="14"/>
        <v>0</v>
      </c>
      <c r="R13" s="62">
        <f t="shared" ca="1" si="15"/>
        <v>0</v>
      </c>
      <c r="S13" s="174">
        <f t="shared" ca="1" si="16"/>
        <v>0</v>
      </c>
      <c r="T13" s="54">
        <f t="shared" ca="1" si="17"/>
        <v>0</v>
      </c>
    </row>
    <row r="14" spans="2:20" x14ac:dyDescent="0.25">
      <c r="B14" s="51" t="s">
        <v>144</v>
      </c>
      <c r="C14" s="52">
        <f t="shared" ca="1" si="0"/>
        <v>0</v>
      </c>
      <c r="D14" s="174">
        <f t="shared" ca="1" si="1"/>
        <v>0</v>
      </c>
      <c r="E14" s="53">
        <f t="shared" ca="1" si="2"/>
        <v>0</v>
      </c>
      <c r="F14" s="62">
        <f t="shared" ca="1" si="3"/>
        <v>0</v>
      </c>
      <c r="G14" s="174">
        <f t="shared" ca="1" si="4"/>
        <v>0</v>
      </c>
      <c r="H14" s="54">
        <f t="shared" ca="1" si="5"/>
        <v>0</v>
      </c>
      <c r="I14" s="52">
        <f t="shared" ca="1" si="6"/>
        <v>0</v>
      </c>
      <c r="J14" s="174">
        <f t="shared" ca="1" si="7"/>
        <v>0</v>
      </c>
      <c r="K14" s="53">
        <f t="shared" ca="1" si="8"/>
        <v>0</v>
      </c>
      <c r="L14" s="62">
        <f t="shared" ca="1" si="9"/>
        <v>0</v>
      </c>
      <c r="M14" s="174">
        <f t="shared" ca="1" si="10"/>
        <v>0</v>
      </c>
      <c r="N14" s="54">
        <f t="shared" ca="1" si="11"/>
        <v>0</v>
      </c>
      <c r="O14" s="52">
        <f t="shared" ca="1" si="12"/>
        <v>0</v>
      </c>
      <c r="P14" s="174">
        <f t="shared" ca="1" si="13"/>
        <v>0</v>
      </c>
      <c r="Q14" s="53">
        <f t="shared" ca="1" si="14"/>
        <v>0</v>
      </c>
      <c r="R14" s="62">
        <f t="shared" ca="1" si="15"/>
        <v>0</v>
      </c>
      <c r="S14" s="174">
        <f t="shared" ca="1" si="16"/>
        <v>0</v>
      </c>
      <c r="T14" s="54">
        <f t="shared" ca="1" si="17"/>
        <v>0</v>
      </c>
    </row>
    <row r="15" spans="2:20" ht="14.25" thickBot="1" x14ac:dyDescent="0.3">
      <c r="B15" s="173" t="s">
        <v>145</v>
      </c>
      <c r="C15" s="52">
        <f t="shared" ca="1" si="0"/>
        <v>2935.6150000000002</v>
      </c>
      <c r="D15" s="174">
        <f t="shared" ca="1" si="1"/>
        <v>31.75</v>
      </c>
      <c r="E15" s="53">
        <f t="shared" ca="1" si="2"/>
        <v>6</v>
      </c>
      <c r="F15" s="63">
        <f t="shared" ca="1" si="3"/>
        <v>3060.9</v>
      </c>
      <c r="G15" s="178">
        <f t="shared" ca="1" si="4"/>
        <v>34.69</v>
      </c>
      <c r="H15" s="55">
        <f t="shared" ca="1" si="5"/>
        <v>11</v>
      </c>
      <c r="I15" s="52">
        <f t="shared" ca="1" si="6"/>
        <v>0</v>
      </c>
      <c r="J15" s="174">
        <f t="shared" ca="1" si="7"/>
        <v>0</v>
      </c>
      <c r="K15" s="53">
        <f t="shared" ca="1" si="8"/>
        <v>0</v>
      </c>
      <c r="L15" s="63">
        <f t="shared" ca="1" si="9"/>
        <v>1695.19</v>
      </c>
      <c r="M15" s="178">
        <f t="shared" ca="1" si="10"/>
        <v>18.880000000000003</v>
      </c>
      <c r="N15" s="55">
        <f t="shared" ca="1" si="11"/>
        <v>3</v>
      </c>
      <c r="O15" s="52">
        <f t="shared" ca="1" si="12"/>
        <v>0</v>
      </c>
      <c r="P15" s="174">
        <f t="shared" ca="1" si="13"/>
        <v>0</v>
      </c>
      <c r="Q15" s="53">
        <f t="shared" ca="1" si="14"/>
        <v>0</v>
      </c>
      <c r="R15" s="63">
        <f t="shared" ca="1" si="15"/>
        <v>0</v>
      </c>
      <c r="S15" s="178">
        <f t="shared" ca="1" si="16"/>
        <v>0</v>
      </c>
      <c r="T15" s="55">
        <f t="shared" ca="1" si="17"/>
        <v>0</v>
      </c>
    </row>
    <row r="16" spans="2:20" ht="14.25" thickBot="1" x14ac:dyDescent="0.3">
      <c r="B16" s="50" t="s">
        <v>3</v>
      </c>
      <c r="C16" s="64">
        <f t="shared" ref="C16:T16" ca="1" si="18">SUM(C6:C15)</f>
        <v>21807.955000000009</v>
      </c>
      <c r="D16" s="175">
        <f t="shared" ca="1" si="18"/>
        <v>204.99999999999997</v>
      </c>
      <c r="E16" s="59">
        <f t="shared" ca="1" si="18"/>
        <v>57</v>
      </c>
      <c r="F16" s="64">
        <f t="shared" ca="1" si="18"/>
        <v>14103.484999999999</v>
      </c>
      <c r="G16" s="57">
        <f t="shared" ca="1" si="18"/>
        <v>134.06</v>
      </c>
      <c r="H16" s="59">
        <f t="shared" ca="1" si="18"/>
        <v>61</v>
      </c>
      <c r="I16" s="56">
        <f t="shared" ca="1" si="18"/>
        <v>1706.67</v>
      </c>
      <c r="J16" s="57">
        <f t="shared" ca="1" si="18"/>
        <v>16.48</v>
      </c>
      <c r="K16" s="58">
        <f t="shared" ca="1" si="18"/>
        <v>4</v>
      </c>
      <c r="L16" s="64">
        <f t="shared" ca="1" si="18"/>
        <v>13862.795000000004</v>
      </c>
      <c r="M16" s="57">
        <f t="shared" ca="1" si="18"/>
        <v>131.53</v>
      </c>
      <c r="N16" s="59">
        <f t="shared" ca="1" si="18"/>
        <v>27</v>
      </c>
      <c r="O16" s="56">
        <f t="shared" ca="1" si="18"/>
        <v>0</v>
      </c>
      <c r="P16" s="57">
        <f t="shared" ca="1" si="18"/>
        <v>0</v>
      </c>
      <c r="Q16" s="58">
        <f t="shared" ca="1" si="18"/>
        <v>0</v>
      </c>
      <c r="R16" s="64">
        <f t="shared" ca="1" si="18"/>
        <v>0</v>
      </c>
      <c r="S16" s="57">
        <f t="shared" ca="1" si="18"/>
        <v>0</v>
      </c>
      <c r="T16" s="59">
        <f t="shared" ca="1" si="18"/>
        <v>0</v>
      </c>
    </row>
    <row r="17" spans="2:20" ht="14.25" thickBot="1" x14ac:dyDescent="0.3">
      <c r="C17" s="176">
        <f ca="1">(C16/($C$16+$F$16+$I$16+$L$16+$O$16+$R$16+$C$33+$F$33+$I$33+$L$33+$O$33+$R$33))</f>
        <v>0.27533017942770016</v>
      </c>
      <c r="F17" s="176">
        <f ca="1">(F16/($C$16+$F$16+$I$16+$L$16+$O$16+$R$16+$C$33+$F$33+$I$33+$L$33+$O$33+$R$33))</f>
        <v>0.17805956842839579</v>
      </c>
      <c r="I17" s="176">
        <f ca="1">(I16/($C$16+$F$16+$I$16+$L$16+$O$16+$R$16+$C$33+$F$33+$I$33+$L$33+$O$33+$R$33))</f>
        <v>2.1547080288998804E-2</v>
      </c>
      <c r="L17" s="176">
        <f ca="1">(L16/($C$16+$F$16+$I$16+$L$16+$O$16+$R$16+$C$33+$F$33+$I$33+$L$33+$O$33+$R$33))</f>
        <v>0.17502080478061444</v>
      </c>
      <c r="O17" s="176">
        <f ca="1">(O16/($C$16+$F$16+$I$16+$L$16+$O$16+$R$16+$C$33+$F$33+$I$33+$L$33+$O$33+$R$33))</f>
        <v>0</v>
      </c>
      <c r="R17" s="176">
        <f ca="1">(R16/($C$16+$F$16+$I$16+$L$16+$O$16+$R$16+$C$33+$F$33+$I$33+$L$33+$O$33+$R$33))</f>
        <v>0</v>
      </c>
    </row>
    <row r="20" spans="2:20" ht="14.25" thickBot="1" x14ac:dyDescent="0.3"/>
    <row r="21" spans="2:20" ht="27" thickBot="1" x14ac:dyDescent="0.3">
      <c r="B21" s="477">
        <v>2025</v>
      </c>
      <c r="C21" s="479" t="s">
        <v>47</v>
      </c>
      <c r="D21" s="480"/>
      <c r="E21" s="481"/>
      <c r="F21" s="479" t="s">
        <v>284</v>
      </c>
      <c r="G21" s="480"/>
      <c r="H21" s="481"/>
      <c r="I21" s="479" t="s">
        <v>115</v>
      </c>
      <c r="J21" s="480"/>
      <c r="K21" s="481"/>
      <c r="L21" s="479" t="s">
        <v>146</v>
      </c>
      <c r="M21" s="480"/>
      <c r="N21" s="481"/>
      <c r="O21" s="479" t="s">
        <v>147</v>
      </c>
      <c r="P21" s="480"/>
      <c r="Q21" s="481"/>
      <c r="R21" s="479" t="s">
        <v>49</v>
      </c>
      <c r="S21" s="480"/>
      <c r="T21" s="481"/>
    </row>
    <row r="22" spans="2:20" ht="14.25" thickBot="1" x14ac:dyDescent="0.3">
      <c r="B22" s="478"/>
      <c r="C22" s="47" t="s">
        <v>19</v>
      </c>
      <c r="D22" s="48" t="s">
        <v>30</v>
      </c>
      <c r="E22" s="49" t="s">
        <v>20</v>
      </c>
      <c r="F22" s="47" t="s">
        <v>19</v>
      </c>
      <c r="G22" s="48" t="s">
        <v>30</v>
      </c>
      <c r="H22" s="49" t="s">
        <v>20</v>
      </c>
      <c r="I22" s="47" t="s">
        <v>19</v>
      </c>
      <c r="J22" s="48" t="s">
        <v>30</v>
      </c>
      <c r="K22" s="49" t="s">
        <v>20</v>
      </c>
      <c r="L22" s="47" t="s">
        <v>19</v>
      </c>
      <c r="M22" s="48" t="s">
        <v>30</v>
      </c>
      <c r="N22" s="49" t="s">
        <v>20</v>
      </c>
      <c r="O22" s="47" t="s">
        <v>19</v>
      </c>
      <c r="P22" s="48" t="s">
        <v>30</v>
      </c>
      <c r="Q22" s="49" t="s">
        <v>20</v>
      </c>
      <c r="R22" s="47" t="s">
        <v>19</v>
      </c>
      <c r="S22" s="48" t="s">
        <v>30</v>
      </c>
      <c r="T22" s="49" t="s">
        <v>20</v>
      </c>
    </row>
    <row r="23" spans="2:20" x14ac:dyDescent="0.25">
      <c r="B23" s="172" t="s">
        <v>136</v>
      </c>
      <c r="C23" s="52">
        <f ca="1">SUMIFS(INDIRECT("'" &amp; $B23 &amp; "'!I:I"), INDIRECT("'" &amp; $B23 &amp; "'!N:N"), C$21)</f>
        <v>420.37</v>
      </c>
      <c r="D23" s="174">
        <f ca="1">SUMIFS(INDIRECT("'" &amp; $B23 &amp; "'!L:L"), INDIRECT("'" &amp; $B23 &amp; "'!N:N"), C$21)</f>
        <v>5.59</v>
      </c>
      <c r="E23" s="53">
        <f ca="1">COUNTIFS(INDIRECT("'" &amp; $B23 &amp; "'!N:N"), C$21)</f>
        <v>1</v>
      </c>
      <c r="F23" s="60">
        <f ca="1">SUMIFS(INDIRECT("'" &amp; $B23 &amp; "'!I:I"), INDIRECT("'" &amp; $B23 &amp; "'!N:N"), F$21)</f>
        <v>2021.8950000000002</v>
      </c>
      <c r="G23" s="177">
        <f ca="1">SUMIFS(INDIRECT("'" &amp; $B23 &amp; "'!L:L"), INDIRECT("'" &amp; $B23 &amp; "'!N:N"), F$21)</f>
        <v>19.790000000000003</v>
      </c>
      <c r="H23" s="61">
        <f ca="1">COUNTIFS(INDIRECT("'" &amp; $B23 &amp; "'!N:N"), F$21)</f>
        <v>19</v>
      </c>
      <c r="I23" s="52">
        <f ca="1">SUMIFS(INDIRECT("'" &amp; $B23 &amp; "'!I:I"), INDIRECT("'" &amp; $B23 &amp; "'!N:N"), I$21)</f>
        <v>0</v>
      </c>
      <c r="J23" s="174">
        <f ca="1">SUMIFS(INDIRECT("'" &amp; $B23 &amp; "'!L:L"), INDIRECT("'" &amp; $B23 &amp; "'!N:N"), I$21)</f>
        <v>0</v>
      </c>
      <c r="K23" s="53">
        <f ca="1">COUNTIFS(INDIRECT("'" &amp; $B23 &amp; "'!N:N"), I$21)</f>
        <v>0</v>
      </c>
      <c r="L23" s="60">
        <f ca="1">SUMIFS(INDIRECT("'" &amp; $B23 &amp; "'!I:I"), INDIRECT("'" &amp; $B23 &amp; "'!N:N"), L$21)</f>
        <v>17791.445000000003</v>
      </c>
      <c r="M23" s="177">
        <f ca="1">SUMIFS(INDIRECT("'" &amp; $B23 &amp; "'!L:L"), INDIRECT("'" &amp; $B23 &amp; "'!N:N"), L$21)</f>
        <v>177.64300000000003</v>
      </c>
      <c r="N23" s="61">
        <f ca="1">COUNTIFS(INDIRECT("'" &amp; $B23 &amp; "'!N:N"), L$21)</f>
        <v>69</v>
      </c>
      <c r="O23" s="60">
        <f ca="1">SUMIFS(INDIRECT("'" &amp; $B23 &amp; "'!I:I"), INDIRECT("'" &amp; $B23 &amp; "'!N:N"), O$21)</f>
        <v>632.1</v>
      </c>
      <c r="P23" s="177">
        <f ca="1">SUMIFS(INDIRECT("'" &amp; $B23 &amp; "'!L:L"), INDIRECT("'" &amp; $B23 &amp; "'!N:N"), O$21)</f>
        <v>6.2600000000000007</v>
      </c>
      <c r="Q23" s="61">
        <f ca="1">COUNTIFS(INDIRECT("'" &amp; $B23 &amp; "'!N:N"), O$21)</f>
        <v>6</v>
      </c>
      <c r="R23" s="60">
        <f ca="1">SUMIFS(INDIRECT("'" &amp; $B23 &amp; "'!I:I"), INDIRECT("'" &amp; $B23 &amp; "'!N:N"), R$21)</f>
        <v>0</v>
      </c>
      <c r="S23" s="177">
        <f ca="1">SUMIFS(INDIRECT("'" &amp; $B23 &amp; "'!L:L"), INDIRECT("'" &amp; $B23 &amp; "'!N:N"), R$21)</f>
        <v>0</v>
      </c>
      <c r="T23" s="61">
        <f ca="1">COUNTIFS(INDIRECT("'" &amp; $B23 &amp; "'!N:N"), R$21)</f>
        <v>0</v>
      </c>
    </row>
    <row r="24" spans="2:20" x14ac:dyDescent="0.25">
      <c r="B24" s="51" t="s">
        <v>137</v>
      </c>
      <c r="C24" s="52">
        <f t="shared" ref="C24:C32" ca="1" si="19">SUMIFS(INDIRECT("'" &amp; $B24 &amp; "'!I:I"), INDIRECT("'" &amp; $B24 &amp; "'!N:N"), C$21)</f>
        <v>0</v>
      </c>
      <c r="D24" s="174">
        <f t="shared" ref="D24:D32" ca="1" si="20">SUMIFS(INDIRECT("'" &amp; $B24 &amp; "'!L:L"), INDIRECT("'" &amp; $B24 &amp; "'!N:N"), C$21)</f>
        <v>0</v>
      </c>
      <c r="E24" s="53">
        <f t="shared" ref="E24:E32" ca="1" si="21">COUNTIFS(INDIRECT("'" &amp; $B24 &amp; "'!N:N"), C$21)</f>
        <v>0</v>
      </c>
      <c r="F24" s="62">
        <f t="shared" ref="F24:F32" ca="1" si="22">SUMIFS(INDIRECT("'" &amp; $B24 &amp; "'!I:I"), INDIRECT("'" &amp; $B24 &amp; "'!N:N"), F$21)</f>
        <v>0</v>
      </c>
      <c r="G24" s="174">
        <f t="shared" ref="G24:G32" ca="1" si="23">SUMIFS(INDIRECT("'" &amp; $B24 &amp; "'!L:L"), INDIRECT("'" &amp; $B24 &amp; "'!N:N"), F$21)</f>
        <v>0</v>
      </c>
      <c r="H24" s="54">
        <f t="shared" ref="H24:H32" ca="1" si="24">COUNTIFS(INDIRECT("'" &amp; $B24 &amp; "'!N:N"), F$21)</f>
        <v>0</v>
      </c>
      <c r="I24" s="52">
        <f t="shared" ref="I24:I32" ca="1" si="25">SUMIFS(INDIRECT("'" &amp; $B24 &amp; "'!I:I"), INDIRECT("'" &amp; $B24 &amp; "'!N:N"), I$21)</f>
        <v>0</v>
      </c>
      <c r="J24" s="174">
        <f t="shared" ref="J24:J32" ca="1" si="26">SUMIFS(INDIRECT("'" &amp; $B24 &amp; "'!L:L"), INDIRECT("'" &amp; $B24 &amp; "'!N:N"), I$21)</f>
        <v>0</v>
      </c>
      <c r="K24" s="53">
        <f t="shared" ref="K24:K32" ca="1" si="27">COUNTIFS(INDIRECT("'" &amp; $B24 &amp; "'!N:N"), I$21)</f>
        <v>0</v>
      </c>
      <c r="L24" s="62">
        <f t="shared" ref="L24:L32" ca="1" si="28">SUMIFS(INDIRECT("'" &amp; $B24 &amp; "'!I:I"), INDIRECT("'" &amp; $B24 &amp; "'!N:N"), L$21)</f>
        <v>0</v>
      </c>
      <c r="M24" s="174">
        <f t="shared" ref="M24:M32" ca="1" si="29">SUMIFS(INDIRECT("'" &amp; $B24 &amp; "'!L:L"), INDIRECT("'" &amp; $B24 &amp; "'!N:N"), L$21)</f>
        <v>0</v>
      </c>
      <c r="N24" s="54">
        <f t="shared" ref="N24:N32" ca="1" si="30">COUNTIFS(INDIRECT("'" &amp; $B24 &amp; "'!N:N"), L$21)</f>
        <v>0</v>
      </c>
      <c r="O24" s="62">
        <f t="shared" ref="O24:O32" ca="1" si="31">SUMIFS(INDIRECT("'" &amp; $B24 &amp; "'!I:I"), INDIRECT("'" &amp; $B24 &amp; "'!N:N"), O$21)</f>
        <v>0</v>
      </c>
      <c r="P24" s="174">
        <f t="shared" ref="P24:P32" ca="1" si="32">SUMIFS(INDIRECT("'" &amp; $B24 &amp; "'!L:L"), INDIRECT("'" &amp; $B24 &amp; "'!N:N"), O$21)</f>
        <v>0</v>
      </c>
      <c r="Q24" s="54">
        <f t="shared" ref="Q24:Q32" ca="1" si="33">COUNTIFS(INDIRECT("'" &amp; $B24 &amp; "'!N:N"), O$21)</f>
        <v>0</v>
      </c>
      <c r="R24" s="62">
        <f t="shared" ref="R24:R32" ca="1" si="34">SUMIFS(INDIRECT("'" &amp; $B24 &amp; "'!I:I"), INDIRECT("'" &amp; $B24 &amp; "'!N:N"), R$21)</f>
        <v>4750.2</v>
      </c>
      <c r="S24" s="174">
        <f t="shared" ref="S24:S32" ca="1" si="35">SUMIFS(INDIRECT("'" &amp; $B24 &amp; "'!L:L"), INDIRECT("'" &amp; $B24 &amp; "'!N:N"), R$21)</f>
        <v>58.306000000000004</v>
      </c>
      <c r="T24" s="54">
        <f t="shared" ref="T24:T32" ca="1" si="36">COUNTIFS(INDIRECT("'" &amp; $B24 &amp; "'!N:N"), R$21)</f>
        <v>3</v>
      </c>
    </row>
    <row r="25" spans="2:20" x14ac:dyDescent="0.25">
      <c r="B25" s="51" t="s">
        <v>138</v>
      </c>
      <c r="C25" s="52">
        <f t="shared" ca="1" si="19"/>
        <v>0</v>
      </c>
      <c r="D25" s="174">
        <f t="shared" ca="1" si="20"/>
        <v>0</v>
      </c>
      <c r="E25" s="53">
        <f t="shared" ca="1" si="21"/>
        <v>0</v>
      </c>
      <c r="F25" s="62">
        <f t="shared" ca="1" si="22"/>
        <v>0</v>
      </c>
      <c r="G25" s="174">
        <f t="shared" ca="1" si="23"/>
        <v>0</v>
      </c>
      <c r="H25" s="54">
        <f t="shared" ca="1" si="24"/>
        <v>0</v>
      </c>
      <c r="I25" s="52">
        <f t="shared" ca="1" si="25"/>
        <v>0</v>
      </c>
      <c r="J25" s="174">
        <f t="shared" ca="1" si="26"/>
        <v>0</v>
      </c>
      <c r="K25" s="53">
        <f t="shared" ca="1" si="27"/>
        <v>0</v>
      </c>
      <c r="L25" s="62">
        <f t="shared" ca="1" si="28"/>
        <v>0</v>
      </c>
      <c r="M25" s="174">
        <f t="shared" ca="1" si="29"/>
        <v>0</v>
      </c>
      <c r="N25" s="54">
        <f t="shared" ca="1" si="30"/>
        <v>0</v>
      </c>
      <c r="O25" s="62">
        <f t="shared" ca="1" si="31"/>
        <v>0</v>
      </c>
      <c r="P25" s="174">
        <f t="shared" ca="1" si="32"/>
        <v>0</v>
      </c>
      <c r="Q25" s="54">
        <f t="shared" ca="1" si="33"/>
        <v>0</v>
      </c>
      <c r="R25" s="62">
        <f t="shared" ca="1" si="34"/>
        <v>0</v>
      </c>
      <c r="S25" s="174">
        <f t="shared" ca="1" si="35"/>
        <v>0</v>
      </c>
      <c r="T25" s="54">
        <f t="shared" ca="1" si="36"/>
        <v>0</v>
      </c>
    </row>
    <row r="26" spans="2:20" x14ac:dyDescent="0.25">
      <c r="B26" s="51" t="s">
        <v>139</v>
      </c>
      <c r="C26" s="52">
        <f t="shared" ca="1" si="19"/>
        <v>0</v>
      </c>
      <c r="D26" s="174">
        <f t="shared" ca="1" si="20"/>
        <v>0</v>
      </c>
      <c r="E26" s="53">
        <f t="shared" ca="1" si="21"/>
        <v>0</v>
      </c>
      <c r="F26" s="62">
        <f t="shared" ca="1" si="22"/>
        <v>0</v>
      </c>
      <c r="G26" s="174">
        <f t="shared" ca="1" si="23"/>
        <v>0</v>
      </c>
      <c r="H26" s="54">
        <f t="shared" ca="1" si="24"/>
        <v>0</v>
      </c>
      <c r="I26" s="52">
        <f t="shared" ca="1" si="25"/>
        <v>0</v>
      </c>
      <c r="J26" s="174">
        <f t="shared" ca="1" si="26"/>
        <v>0</v>
      </c>
      <c r="K26" s="53">
        <f t="shared" ca="1" si="27"/>
        <v>0</v>
      </c>
      <c r="L26" s="62">
        <f t="shared" ca="1" si="28"/>
        <v>0</v>
      </c>
      <c r="M26" s="174">
        <f t="shared" ca="1" si="29"/>
        <v>0</v>
      </c>
      <c r="N26" s="54">
        <f t="shared" ca="1" si="30"/>
        <v>0</v>
      </c>
      <c r="O26" s="62">
        <f t="shared" ca="1" si="31"/>
        <v>0</v>
      </c>
      <c r="P26" s="174">
        <f t="shared" ca="1" si="32"/>
        <v>0</v>
      </c>
      <c r="Q26" s="54">
        <f t="shared" ca="1" si="33"/>
        <v>0</v>
      </c>
      <c r="R26" s="62">
        <f t="shared" ca="1" si="34"/>
        <v>0</v>
      </c>
      <c r="S26" s="174">
        <f t="shared" ca="1" si="35"/>
        <v>0</v>
      </c>
      <c r="T26" s="54">
        <f t="shared" ca="1" si="36"/>
        <v>0</v>
      </c>
    </row>
    <row r="27" spans="2:20" x14ac:dyDescent="0.25">
      <c r="B27" s="51" t="s">
        <v>140</v>
      </c>
      <c r="C27" s="52">
        <f t="shared" ca="1" si="19"/>
        <v>309.60000000000002</v>
      </c>
      <c r="D27" s="174">
        <f t="shared" ca="1" si="20"/>
        <v>0</v>
      </c>
      <c r="E27" s="53">
        <f t="shared" ca="1" si="21"/>
        <v>1</v>
      </c>
      <c r="F27" s="62">
        <f t="shared" ca="1" si="22"/>
        <v>0</v>
      </c>
      <c r="G27" s="174">
        <f t="shared" ca="1" si="23"/>
        <v>0</v>
      </c>
      <c r="H27" s="54">
        <f t="shared" ca="1" si="24"/>
        <v>0</v>
      </c>
      <c r="I27" s="52">
        <f t="shared" ca="1" si="25"/>
        <v>0</v>
      </c>
      <c r="J27" s="174">
        <f t="shared" ca="1" si="26"/>
        <v>0</v>
      </c>
      <c r="K27" s="53">
        <f t="shared" ca="1" si="27"/>
        <v>0</v>
      </c>
      <c r="L27" s="62">
        <f t="shared" ca="1" si="28"/>
        <v>1149.5149999999999</v>
      </c>
      <c r="M27" s="174">
        <f t="shared" ca="1" si="29"/>
        <v>0</v>
      </c>
      <c r="N27" s="54">
        <f t="shared" ca="1" si="30"/>
        <v>8</v>
      </c>
      <c r="O27" s="62">
        <f t="shared" ca="1" si="31"/>
        <v>0</v>
      </c>
      <c r="P27" s="174">
        <f t="shared" ca="1" si="32"/>
        <v>0</v>
      </c>
      <c r="Q27" s="54">
        <f t="shared" ca="1" si="33"/>
        <v>0</v>
      </c>
      <c r="R27" s="62">
        <f t="shared" ca="1" si="34"/>
        <v>0</v>
      </c>
      <c r="S27" s="174">
        <f t="shared" ca="1" si="35"/>
        <v>0</v>
      </c>
      <c r="T27" s="54">
        <f t="shared" ca="1" si="36"/>
        <v>0</v>
      </c>
    </row>
    <row r="28" spans="2:20" x14ac:dyDescent="0.25">
      <c r="B28" s="51" t="s">
        <v>141</v>
      </c>
      <c r="C28" s="52">
        <f t="shared" ca="1" si="19"/>
        <v>0</v>
      </c>
      <c r="D28" s="174">
        <f t="shared" ca="1" si="20"/>
        <v>0</v>
      </c>
      <c r="E28" s="53">
        <f t="shared" ca="1" si="21"/>
        <v>0</v>
      </c>
      <c r="F28" s="62">
        <f t="shared" ca="1" si="22"/>
        <v>0</v>
      </c>
      <c r="G28" s="174">
        <f t="shared" ca="1" si="23"/>
        <v>0</v>
      </c>
      <c r="H28" s="54">
        <f t="shared" ca="1" si="24"/>
        <v>0</v>
      </c>
      <c r="I28" s="52">
        <f t="shared" ca="1" si="25"/>
        <v>0</v>
      </c>
      <c r="J28" s="174">
        <f t="shared" ca="1" si="26"/>
        <v>0</v>
      </c>
      <c r="K28" s="53">
        <f t="shared" ca="1" si="27"/>
        <v>0</v>
      </c>
      <c r="L28" s="62">
        <f t="shared" ca="1" si="28"/>
        <v>0</v>
      </c>
      <c r="M28" s="174">
        <f t="shared" ca="1" si="29"/>
        <v>0</v>
      </c>
      <c r="N28" s="54">
        <f t="shared" ca="1" si="30"/>
        <v>0</v>
      </c>
      <c r="O28" s="62">
        <f t="shared" ca="1" si="31"/>
        <v>0</v>
      </c>
      <c r="P28" s="174">
        <f t="shared" ca="1" si="32"/>
        <v>0</v>
      </c>
      <c r="Q28" s="54">
        <f t="shared" ca="1" si="33"/>
        <v>0</v>
      </c>
      <c r="R28" s="62">
        <f t="shared" ca="1" si="34"/>
        <v>0</v>
      </c>
      <c r="S28" s="174">
        <f t="shared" ca="1" si="35"/>
        <v>0</v>
      </c>
      <c r="T28" s="54">
        <f t="shared" ca="1" si="36"/>
        <v>0</v>
      </c>
    </row>
    <row r="29" spans="2:20" x14ac:dyDescent="0.25">
      <c r="B29" s="51" t="s">
        <v>142</v>
      </c>
      <c r="C29" s="52">
        <f t="shared" ca="1" si="19"/>
        <v>0</v>
      </c>
      <c r="D29" s="174">
        <f t="shared" ca="1" si="20"/>
        <v>0</v>
      </c>
      <c r="E29" s="53">
        <f t="shared" ca="1" si="21"/>
        <v>0</v>
      </c>
      <c r="F29" s="62">
        <f t="shared" ca="1" si="22"/>
        <v>0</v>
      </c>
      <c r="G29" s="174">
        <f t="shared" ca="1" si="23"/>
        <v>0</v>
      </c>
      <c r="H29" s="54">
        <f t="shared" ca="1" si="24"/>
        <v>0</v>
      </c>
      <c r="I29" s="52">
        <f t="shared" ca="1" si="25"/>
        <v>0</v>
      </c>
      <c r="J29" s="174">
        <f t="shared" ca="1" si="26"/>
        <v>0</v>
      </c>
      <c r="K29" s="53">
        <f t="shared" ca="1" si="27"/>
        <v>0</v>
      </c>
      <c r="L29" s="62">
        <f t="shared" ca="1" si="28"/>
        <v>0</v>
      </c>
      <c r="M29" s="174">
        <f t="shared" ca="1" si="29"/>
        <v>0</v>
      </c>
      <c r="N29" s="54">
        <f t="shared" ca="1" si="30"/>
        <v>0</v>
      </c>
      <c r="O29" s="62">
        <f t="shared" ca="1" si="31"/>
        <v>0</v>
      </c>
      <c r="P29" s="174">
        <f t="shared" ca="1" si="32"/>
        <v>0</v>
      </c>
      <c r="Q29" s="54">
        <f t="shared" ca="1" si="33"/>
        <v>0</v>
      </c>
      <c r="R29" s="62">
        <f t="shared" ca="1" si="34"/>
        <v>0</v>
      </c>
      <c r="S29" s="174">
        <f t="shared" ca="1" si="35"/>
        <v>0</v>
      </c>
      <c r="T29" s="54">
        <f t="shared" ca="1" si="36"/>
        <v>0</v>
      </c>
    </row>
    <row r="30" spans="2:20" x14ac:dyDescent="0.25">
      <c r="B30" s="51" t="s">
        <v>143</v>
      </c>
      <c r="C30" s="52">
        <f t="shared" ca="1" si="19"/>
        <v>0</v>
      </c>
      <c r="D30" s="174">
        <f t="shared" ca="1" si="20"/>
        <v>0</v>
      </c>
      <c r="E30" s="53">
        <f t="shared" ca="1" si="21"/>
        <v>0</v>
      </c>
      <c r="F30" s="62">
        <f t="shared" ca="1" si="22"/>
        <v>0</v>
      </c>
      <c r="G30" s="174">
        <f t="shared" ca="1" si="23"/>
        <v>0</v>
      </c>
      <c r="H30" s="54">
        <f t="shared" ca="1" si="24"/>
        <v>0</v>
      </c>
      <c r="I30" s="52">
        <f t="shared" ca="1" si="25"/>
        <v>0</v>
      </c>
      <c r="J30" s="174">
        <f t="shared" ca="1" si="26"/>
        <v>0</v>
      </c>
      <c r="K30" s="53">
        <f t="shared" ca="1" si="27"/>
        <v>0</v>
      </c>
      <c r="L30" s="62">
        <f t="shared" ca="1" si="28"/>
        <v>0</v>
      </c>
      <c r="M30" s="174">
        <f t="shared" ca="1" si="29"/>
        <v>0</v>
      </c>
      <c r="N30" s="54">
        <f t="shared" ca="1" si="30"/>
        <v>0</v>
      </c>
      <c r="O30" s="62">
        <f t="shared" ca="1" si="31"/>
        <v>0</v>
      </c>
      <c r="P30" s="174">
        <f t="shared" ca="1" si="32"/>
        <v>0</v>
      </c>
      <c r="Q30" s="54">
        <f t="shared" ca="1" si="33"/>
        <v>0</v>
      </c>
      <c r="R30" s="62">
        <f t="shared" ca="1" si="34"/>
        <v>0</v>
      </c>
      <c r="S30" s="174">
        <f t="shared" ca="1" si="35"/>
        <v>0</v>
      </c>
      <c r="T30" s="54">
        <f t="shared" ca="1" si="36"/>
        <v>0</v>
      </c>
    </row>
    <row r="31" spans="2:20" x14ac:dyDescent="0.25">
      <c r="B31" s="51" t="s">
        <v>144</v>
      </c>
      <c r="C31" s="52">
        <f t="shared" ca="1" si="19"/>
        <v>0</v>
      </c>
      <c r="D31" s="174">
        <f t="shared" ca="1" si="20"/>
        <v>0</v>
      </c>
      <c r="E31" s="53">
        <f t="shared" ca="1" si="21"/>
        <v>0</v>
      </c>
      <c r="F31" s="62">
        <f t="shared" ca="1" si="22"/>
        <v>0</v>
      </c>
      <c r="G31" s="174">
        <f t="shared" ca="1" si="23"/>
        <v>0</v>
      </c>
      <c r="H31" s="54">
        <f t="shared" ca="1" si="24"/>
        <v>0</v>
      </c>
      <c r="I31" s="52">
        <f t="shared" ca="1" si="25"/>
        <v>0</v>
      </c>
      <c r="J31" s="174">
        <f t="shared" ca="1" si="26"/>
        <v>0</v>
      </c>
      <c r="K31" s="53">
        <f t="shared" ca="1" si="27"/>
        <v>0</v>
      </c>
      <c r="L31" s="62">
        <f t="shared" ca="1" si="28"/>
        <v>0</v>
      </c>
      <c r="M31" s="174">
        <f t="shared" ca="1" si="29"/>
        <v>0</v>
      </c>
      <c r="N31" s="54">
        <f t="shared" ca="1" si="30"/>
        <v>0</v>
      </c>
      <c r="O31" s="62">
        <f t="shared" ca="1" si="31"/>
        <v>0</v>
      </c>
      <c r="P31" s="174">
        <f t="shared" ca="1" si="32"/>
        <v>0</v>
      </c>
      <c r="Q31" s="54">
        <f t="shared" ca="1" si="33"/>
        <v>0</v>
      </c>
      <c r="R31" s="62">
        <f t="shared" ca="1" si="34"/>
        <v>0</v>
      </c>
      <c r="S31" s="174">
        <f t="shared" ca="1" si="35"/>
        <v>0</v>
      </c>
      <c r="T31" s="54">
        <f t="shared" ca="1" si="36"/>
        <v>0</v>
      </c>
    </row>
    <row r="32" spans="2:20" ht="14.25" thickBot="1" x14ac:dyDescent="0.3">
      <c r="B32" s="173" t="s">
        <v>145</v>
      </c>
      <c r="C32" s="52">
        <f t="shared" ca="1" si="19"/>
        <v>0</v>
      </c>
      <c r="D32" s="174">
        <f t="shared" ca="1" si="20"/>
        <v>0</v>
      </c>
      <c r="E32" s="53">
        <f t="shared" ca="1" si="21"/>
        <v>0</v>
      </c>
      <c r="F32" s="63">
        <f t="shared" ca="1" si="22"/>
        <v>0</v>
      </c>
      <c r="G32" s="178">
        <f t="shared" ca="1" si="23"/>
        <v>0</v>
      </c>
      <c r="H32" s="55">
        <f t="shared" ca="1" si="24"/>
        <v>0</v>
      </c>
      <c r="I32" s="52">
        <f t="shared" ca="1" si="25"/>
        <v>0</v>
      </c>
      <c r="J32" s="174">
        <f t="shared" ca="1" si="26"/>
        <v>0</v>
      </c>
      <c r="K32" s="53">
        <f t="shared" ca="1" si="27"/>
        <v>0</v>
      </c>
      <c r="L32" s="63">
        <f t="shared" ca="1" si="28"/>
        <v>650.52499999999998</v>
      </c>
      <c r="M32" s="178">
        <f t="shared" ca="1" si="29"/>
        <v>7.34</v>
      </c>
      <c r="N32" s="55">
        <f t="shared" ca="1" si="30"/>
        <v>4</v>
      </c>
      <c r="O32" s="63">
        <f t="shared" ca="1" si="31"/>
        <v>0</v>
      </c>
      <c r="P32" s="178">
        <f t="shared" ca="1" si="32"/>
        <v>0</v>
      </c>
      <c r="Q32" s="55">
        <f t="shared" ca="1" si="33"/>
        <v>0</v>
      </c>
      <c r="R32" s="63">
        <f t="shared" ca="1" si="34"/>
        <v>0</v>
      </c>
      <c r="S32" s="178">
        <f t="shared" ca="1" si="35"/>
        <v>0</v>
      </c>
      <c r="T32" s="55">
        <f t="shared" ca="1" si="36"/>
        <v>0</v>
      </c>
    </row>
    <row r="33" spans="2:20" ht="14.25" thickBot="1" x14ac:dyDescent="0.3">
      <c r="B33" s="50" t="s">
        <v>3</v>
      </c>
      <c r="C33" s="64">
        <f t="shared" ref="C33:T33" ca="1" si="37">SUM(C23:C32)</f>
        <v>729.97</v>
      </c>
      <c r="D33" s="175">
        <f t="shared" ca="1" si="37"/>
        <v>5.59</v>
      </c>
      <c r="E33" s="59">
        <f t="shared" ca="1" si="37"/>
        <v>2</v>
      </c>
      <c r="F33" s="64">
        <f t="shared" ca="1" si="37"/>
        <v>2021.8950000000002</v>
      </c>
      <c r="G33" s="175">
        <f t="shared" ca="1" si="37"/>
        <v>19.790000000000003</v>
      </c>
      <c r="H33" s="59">
        <f t="shared" ca="1" si="37"/>
        <v>19</v>
      </c>
      <c r="I33" s="64">
        <f t="shared" ca="1" si="37"/>
        <v>0</v>
      </c>
      <c r="J33" s="175">
        <f t="shared" ca="1" si="37"/>
        <v>0</v>
      </c>
      <c r="K33" s="59">
        <f t="shared" ca="1" si="37"/>
        <v>0</v>
      </c>
      <c r="L33" s="64">
        <f t="shared" ca="1" si="37"/>
        <v>19591.485000000004</v>
      </c>
      <c r="M33" s="175">
        <f t="shared" ca="1" si="37"/>
        <v>184.98300000000003</v>
      </c>
      <c r="N33" s="59">
        <f t="shared" ca="1" si="37"/>
        <v>81</v>
      </c>
      <c r="O33" s="64">
        <f t="shared" ca="1" si="37"/>
        <v>632.1</v>
      </c>
      <c r="P33" s="175">
        <f t="shared" ca="1" si="37"/>
        <v>6.2600000000000007</v>
      </c>
      <c r="Q33" s="59">
        <f t="shared" ca="1" si="37"/>
        <v>6</v>
      </c>
      <c r="R33" s="64">
        <f t="shared" ca="1" si="37"/>
        <v>4750.2</v>
      </c>
      <c r="S33" s="175">
        <f t="shared" ca="1" si="37"/>
        <v>58.306000000000004</v>
      </c>
      <c r="T33" s="59">
        <f t="shared" ca="1" si="37"/>
        <v>3</v>
      </c>
    </row>
    <row r="34" spans="2:20" ht="14.25" thickBot="1" x14ac:dyDescent="0.3">
      <c r="C34" s="176">
        <f ca="1">(C33/($C$16+$F$16+$I$16+$L$16+$O$16+$R$16+$C$33+$F$33+$I$33+$L$33+$O$33+$R$33))</f>
        <v>9.2160301631601053E-3</v>
      </c>
      <c r="F34" s="176">
        <f ca="1">(F33/($C$16+$F$16+$I$16+$L$16+$O$16+$R$16+$C$33+$F$33+$I$33+$L$33+$O$33+$R$33))</f>
        <v>2.552686453791608E-2</v>
      </c>
      <c r="I34" s="176">
        <f ca="1">(I33/($C$16+$F$16+$I$16+$L$16+$O$16+$R$16+$C$33+$F$33+$I$33+$L$33+$O$33+$R$33))</f>
        <v>0</v>
      </c>
      <c r="L34" s="176">
        <f ca="1">(L33/($C$16+$F$16+$I$16+$L$16+$O$16+$R$16+$C$33+$F$33+$I$33+$L$33+$O$33+$R$33))</f>
        <v>0.24734676315615542</v>
      </c>
      <c r="O34" s="176">
        <f ca="1">(O33/($C$16+$F$16+$I$16+$L$16+$O$16+$R$16+$C$33+$F$33+$I$33+$L$33+$O$33+$R$33))</f>
        <v>7.9804001070365935E-3</v>
      </c>
      <c r="R34" s="176">
        <f ca="1">(R33/($C$16+$F$16+$I$16+$L$16+$O$16+$R$16+$C$33+$F$33+$I$33+$L$33+$O$33+$R$33))</f>
        <v>5.9972309110022506E-2</v>
      </c>
    </row>
    <row r="35" spans="2:20" ht="14.25" thickBot="1" x14ac:dyDescent="0.3"/>
    <row r="36" spans="2:20" ht="21" thickBot="1" x14ac:dyDescent="0.3">
      <c r="C36" s="179" t="s">
        <v>148</v>
      </c>
    </row>
    <row r="37" spans="2:20" ht="21" thickBot="1" x14ac:dyDescent="0.3">
      <c r="C37" s="180">
        <f ca="1">C17+F17+I17+L17+O17+R17+C34+F34+I34+L34+O34+R34</f>
        <v>1</v>
      </c>
    </row>
    <row r="38" spans="2:20" x14ac:dyDescent="0.25">
      <c r="G38" t="s">
        <v>182</v>
      </c>
    </row>
  </sheetData>
  <mergeCells count="14">
    <mergeCell ref="B4:B5"/>
    <mergeCell ref="R4:T4"/>
    <mergeCell ref="C4:E4"/>
    <mergeCell ref="B21:B22"/>
    <mergeCell ref="R21:T21"/>
    <mergeCell ref="F4:H4"/>
    <mergeCell ref="I4:K4"/>
    <mergeCell ref="L4:N4"/>
    <mergeCell ref="O4:Q4"/>
    <mergeCell ref="C21:E21"/>
    <mergeCell ref="F21:H21"/>
    <mergeCell ref="I21:K21"/>
    <mergeCell ref="L21:N21"/>
    <mergeCell ref="O21:Q21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D258"/>
  <sheetViews>
    <sheetView view="pageBreakPreview" topLeftCell="BP1" zoomScale="40" zoomScaleNormal="40" zoomScaleSheetLayoutView="40" workbookViewId="0">
      <selection activeCell="CD2" sqref="CD2"/>
    </sheetView>
  </sheetViews>
  <sheetFormatPr defaultRowHeight="13.5" x14ac:dyDescent="0.25"/>
  <cols>
    <col min="2" max="2" width="33.28515625" customWidth="1"/>
    <col min="3" max="8" width="30.7109375" customWidth="1"/>
    <col min="11" max="11" width="33.28515625" customWidth="1"/>
    <col min="12" max="17" width="30.7109375" customWidth="1"/>
    <col min="20" max="20" width="33.28515625" customWidth="1"/>
    <col min="21" max="26" width="30.7109375" customWidth="1"/>
    <col min="29" max="29" width="33.28515625" customWidth="1"/>
    <col min="30" max="35" width="30.7109375" customWidth="1"/>
    <col min="38" max="38" width="33.28515625" customWidth="1"/>
    <col min="39" max="44" width="30.7109375" customWidth="1"/>
    <col min="47" max="47" width="33.28515625" customWidth="1"/>
    <col min="48" max="52" width="30.7109375" customWidth="1"/>
    <col min="53" max="53" width="36.85546875" customWidth="1"/>
    <col min="56" max="56" width="33.28515625" customWidth="1"/>
    <col min="57" max="62" width="30.7109375" customWidth="1"/>
    <col min="65" max="65" width="33.28515625" customWidth="1"/>
    <col min="66" max="71" width="30.7109375" customWidth="1"/>
    <col min="74" max="74" width="33.28515625" customWidth="1"/>
    <col min="75" max="80" width="30.7109375" customWidth="1"/>
    <col min="83" max="83" width="34.42578125" customWidth="1"/>
    <col min="84" max="89" width="30.7109375" customWidth="1"/>
    <col min="92" max="92" width="35.85546875" customWidth="1"/>
    <col min="93" max="98" width="30.7109375" customWidth="1"/>
    <col min="101" max="101" width="38.28515625" customWidth="1"/>
    <col min="102" max="107" width="30.7109375" customWidth="1"/>
  </cols>
  <sheetData>
    <row r="1" spans="1:107" ht="24" customHeight="1" x14ac:dyDescent="0.25">
      <c r="B1" s="45"/>
      <c r="K1" s="45"/>
      <c r="T1" s="45"/>
      <c r="AC1" s="45"/>
      <c r="AL1" s="45"/>
      <c r="AU1" s="45"/>
      <c r="BD1" s="45"/>
      <c r="BM1" s="45"/>
      <c r="BV1" s="45"/>
      <c r="CE1" s="45"/>
      <c r="CN1" s="45"/>
      <c r="CW1" s="45"/>
    </row>
    <row r="2" spans="1:107" ht="41.25" customHeight="1" x14ac:dyDescent="0.25">
      <c r="A2" s="84"/>
      <c r="B2" s="482" t="s">
        <v>244</v>
      </c>
      <c r="C2" s="482"/>
      <c r="D2" s="482"/>
      <c r="E2" s="482"/>
      <c r="F2" s="482"/>
      <c r="G2" s="482"/>
      <c r="H2" s="482"/>
      <c r="K2" s="482" t="s">
        <v>244</v>
      </c>
      <c r="L2" s="482"/>
      <c r="M2" s="482"/>
      <c r="N2" s="482"/>
      <c r="O2" s="482"/>
      <c r="P2" s="482"/>
      <c r="Q2" s="482"/>
      <c r="T2" s="482" t="s">
        <v>244</v>
      </c>
      <c r="U2" s="482"/>
      <c r="V2" s="482"/>
      <c r="W2" s="482"/>
      <c r="X2" s="482"/>
      <c r="Y2" s="482"/>
      <c r="Z2" s="482"/>
      <c r="AC2" s="482" t="s">
        <v>244</v>
      </c>
      <c r="AD2" s="482"/>
      <c r="AE2" s="482"/>
      <c r="AF2" s="482"/>
      <c r="AG2" s="482"/>
      <c r="AH2" s="482"/>
      <c r="AI2" s="482"/>
      <c r="AL2" s="482" t="s">
        <v>244</v>
      </c>
      <c r="AM2" s="482"/>
      <c r="AN2" s="482"/>
      <c r="AO2" s="482"/>
      <c r="AP2" s="482"/>
      <c r="AQ2" s="482"/>
      <c r="AR2" s="482"/>
      <c r="AU2" s="482" t="s">
        <v>244</v>
      </c>
      <c r="AV2" s="482"/>
      <c r="AW2" s="482"/>
      <c r="AX2" s="482"/>
      <c r="AY2" s="482"/>
      <c r="AZ2" s="482"/>
      <c r="BA2" s="482"/>
      <c r="BD2" s="482" t="s">
        <v>244</v>
      </c>
      <c r="BE2" s="482"/>
      <c r="BF2" s="482"/>
      <c r="BG2" s="482"/>
      <c r="BH2" s="482"/>
      <c r="BI2" s="482"/>
      <c r="BJ2" s="482"/>
      <c r="BM2" s="482" t="s">
        <v>244</v>
      </c>
      <c r="BN2" s="482"/>
      <c r="BO2" s="482"/>
      <c r="BP2" s="482"/>
      <c r="BQ2" s="482"/>
      <c r="BR2" s="482"/>
      <c r="BS2" s="482"/>
      <c r="BV2" s="482" t="s">
        <v>244</v>
      </c>
      <c r="BW2" s="482"/>
      <c r="BX2" s="482"/>
      <c r="BY2" s="482"/>
      <c r="BZ2" s="482"/>
      <c r="CA2" s="482"/>
      <c r="CB2" s="482"/>
      <c r="CE2" s="482" t="s">
        <v>244</v>
      </c>
      <c r="CF2" s="482"/>
      <c r="CG2" s="482"/>
      <c r="CH2" s="482"/>
      <c r="CI2" s="482"/>
      <c r="CJ2" s="482"/>
      <c r="CK2" s="482"/>
      <c r="CN2" s="482" t="s">
        <v>244</v>
      </c>
      <c r="CO2" s="482"/>
      <c r="CP2" s="482"/>
      <c r="CQ2" s="482"/>
      <c r="CR2" s="482"/>
      <c r="CS2" s="482"/>
      <c r="CT2" s="482"/>
      <c r="CW2" s="482" t="s">
        <v>244</v>
      </c>
      <c r="CX2" s="482"/>
      <c r="CY2" s="482"/>
      <c r="CZ2" s="482"/>
      <c r="DA2" s="482"/>
      <c r="DB2" s="482"/>
      <c r="DC2" s="482"/>
    </row>
    <row r="3" spans="1:107" s="41" customFormat="1" ht="39.75" thickBot="1" x14ac:dyDescent="0.3">
      <c r="B3" s="425">
        <v>1</v>
      </c>
      <c r="C3" s="43"/>
      <c r="D3" s="43"/>
      <c r="E3" s="43"/>
      <c r="F3" s="43"/>
      <c r="G3" s="43"/>
      <c r="H3" s="43"/>
      <c r="K3" s="425">
        <v>2</v>
      </c>
      <c r="L3" s="43"/>
      <c r="M3" s="43"/>
      <c r="N3" s="43"/>
      <c r="O3" s="43"/>
      <c r="P3" s="43"/>
      <c r="Q3" s="43"/>
      <c r="T3" s="425">
        <v>3</v>
      </c>
      <c r="U3" s="43"/>
      <c r="V3" s="43"/>
      <c r="W3" s="43"/>
      <c r="X3" s="43"/>
      <c r="Y3" s="43"/>
      <c r="Z3" s="43"/>
      <c r="AC3" s="425">
        <v>4</v>
      </c>
      <c r="AD3" s="43"/>
      <c r="AE3" s="43"/>
      <c r="AF3" s="43"/>
      <c r="AG3" s="43"/>
      <c r="AH3" s="43"/>
      <c r="AI3" s="43"/>
      <c r="AL3" s="425">
        <v>5</v>
      </c>
      <c r="AM3" s="43"/>
      <c r="AN3" s="43"/>
      <c r="AO3" s="43"/>
      <c r="AP3" s="43"/>
      <c r="AQ3" s="43"/>
      <c r="AR3" s="43"/>
      <c r="AU3" s="425">
        <v>6</v>
      </c>
      <c r="AV3" s="43"/>
      <c r="AW3" s="43"/>
      <c r="AX3" s="43"/>
      <c r="AY3" s="43"/>
      <c r="AZ3" s="43"/>
      <c r="BA3" s="43"/>
      <c r="BD3" s="425">
        <v>7</v>
      </c>
      <c r="BE3" s="43"/>
      <c r="BF3" s="43"/>
      <c r="BG3" s="43"/>
      <c r="BH3" s="43"/>
      <c r="BI3" s="43"/>
      <c r="BJ3" s="43"/>
      <c r="BM3" s="425">
        <v>8</v>
      </c>
      <c r="BN3" s="43"/>
      <c r="BO3" s="43"/>
      <c r="BP3" s="43"/>
      <c r="BQ3" s="43"/>
      <c r="BR3" s="43"/>
      <c r="BS3" s="43"/>
      <c r="BV3" s="425">
        <v>9</v>
      </c>
      <c r="BW3" s="43"/>
      <c r="BX3" s="43"/>
      <c r="BY3" s="43"/>
      <c r="BZ3" s="43"/>
      <c r="CA3" s="43"/>
      <c r="CB3" s="43"/>
      <c r="CE3" s="425">
        <v>10</v>
      </c>
      <c r="CF3" s="43"/>
      <c r="CG3" s="43"/>
      <c r="CH3" s="43"/>
      <c r="CI3" s="43"/>
      <c r="CJ3" s="43"/>
      <c r="CK3" s="43"/>
      <c r="CN3" s="425">
        <v>11</v>
      </c>
      <c r="CO3" s="43"/>
      <c r="CP3" s="43"/>
      <c r="CQ3" s="43"/>
      <c r="CR3" s="43"/>
      <c r="CS3" s="43"/>
      <c r="CT3" s="43"/>
      <c r="CW3" s="425">
        <v>12</v>
      </c>
      <c r="CX3" s="43"/>
      <c r="CY3" s="43"/>
      <c r="CZ3" s="43"/>
      <c r="DA3" s="43"/>
      <c r="DB3" s="43"/>
      <c r="DC3" s="43"/>
    </row>
    <row r="4" spans="1:107" s="41" customFormat="1" ht="32.25" thickBot="1" x14ac:dyDescent="0.3">
      <c r="B4" s="280"/>
      <c r="C4" s="281" t="s">
        <v>50</v>
      </c>
      <c r="D4" s="282" t="s">
        <v>52</v>
      </c>
      <c r="E4" s="283" t="s">
        <v>51</v>
      </c>
      <c r="F4" s="338" t="s">
        <v>45</v>
      </c>
      <c r="G4" s="339" t="s">
        <v>183</v>
      </c>
      <c r="H4" s="340" t="s">
        <v>46</v>
      </c>
      <c r="K4" s="280"/>
      <c r="L4" s="281" t="s">
        <v>50</v>
      </c>
      <c r="M4" s="282" t="s">
        <v>52</v>
      </c>
      <c r="N4" s="283" t="s">
        <v>51</v>
      </c>
      <c r="O4" s="338" t="s">
        <v>45</v>
      </c>
      <c r="P4" s="339" t="s">
        <v>183</v>
      </c>
      <c r="Q4" s="340" t="s">
        <v>46</v>
      </c>
      <c r="T4" s="280"/>
      <c r="U4" s="281" t="s">
        <v>50</v>
      </c>
      <c r="V4" s="282" t="s">
        <v>52</v>
      </c>
      <c r="W4" s="283" t="s">
        <v>51</v>
      </c>
      <c r="X4" s="338" t="s">
        <v>45</v>
      </c>
      <c r="Y4" s="339" t="s">
        <v>183</v>
      </c>
      <c r="Z4" s="340" t="s">
        <v>46</v>
      </c>
      <c r="AC4" s="280"/>
      <c r="AD4" s="281" t="s">
        <v>50</v>
      </c>
      <c r="AE4" s="282" t="s">
        <v>52</v>
      </c>
      <c r="AF4" s="283" t="s">
        <v>51</v>
      </c>
      <c r="AG4" s="338" t="s">
        <v>45</v>
      </c>
      <c r="AH4" s="339" t="s">
        <v>183</v>
      </c>
      <c r="AI4" s="340" t="s">
        <v>46</v>
      </c>
      <c r="AL4" s="280"/>
      <c r="AM4" s="281" t="s">
        <v>50</v>
      </c>
      <c r="AN4" s="282" t="s">
        <v>52</v>
      </c>
      <c r="AO4" s="283" t="s">
        <v>51</v>
      </c>
      <c r="AP4" s="338" t="s">
        <v>45</v>
      </c>
      <c r="AQ4" s="339" t="s">
        <v>183</v>
      </c>
      <c r="AR4" s="340" t="s">
        <v>46</v>
      </c>
      <c r="AU4" s="280"/>
      <c r="AV4" s="281" t="s">
        <v>50</v>
      </c>
      <c r="AW4" s="282" t="s">
        <v>52</v>
      </c>
      <c r="AX4" s="283" t="s">
        <v>51</v>
      </c>
      <c r="AY4" s="338" t="s">
        <v>45</v>
      </c>
      <c r="AZ4" s="339" t="s">
        <v>183</v>
      </c>
      <c r="BA4" s="340" t="s">
        <v>46</v>
      </c>
      <c r="BD4" s="280"/>
      <c r="BE4" s="281" t="s">
        <v>50</v>
      </c>
      <c r="BF4" s="282" t="s">
        <v>52</v>
      </c>
      <c r="BG4" s="283" t="s">
        <v>51</v>
      </c>
      <c r="BH4" s="338" t="s">
        <v>45</v>
      </c>
      <c r="BI4" s="339" t="s">
        <v>183</v>
      </c>
      <c r="BJ4" s="340" t="s">
        <v>46</v>
      </c>
      <c r="BM4" s="280"/>
      <c r="BN4" s="281" t="s">
        <v>50</v>
      </c>
      <c r="BO4" s="282" t="s">
        <v>52</v>
      </c>
      <c r="BP4" s="283" t="s">
        <v>51</v>
      </c>
      <c r="BQ4" s="338" t="s">
        <v>45</v>
      </c>
      <c r="BR4" s="339" t="s">
        <v>183</v>
      </c>
      <c r="BS4" s="340" t="s">
        <v>46</v>
      </c>
      <c r="BV4" s="280"/>
      <c r="BW4" s="281" t="s">
        <v>50</v>
      </c>
      <c r="BX4" s="282" t="s">
        <v>52</v>
      </c>
      <c r="BY4" s="283" t="s">
        <v>51</v>
      </c>
      <c r="BZ4" s="338" t="s">
        <v>45</v>
      </c>
      <c r="CA4" s="339" t="s">
        <v>183</v>
      </c>
      <c r="CB4" s="340" t="s">
        <v>46</v>
      </c>
      <c r="CE4" s="280"/>
      <c r="CF4" s="281" t="s">
        <v>50</v>
      </c>
      <c r="CG4" s="282" t="s">
        <v>52</v>
      </c>
      <c r="CH4" s="283" t="s">
        <v>51</v>
      </c>
      <c r="CI4" s="338" t="s">
        <v>45</v>
      </c>
      <c r="CJ4" s="339" t="s">
        <v>183</v>
      </c>
      <c r="CK4" s="340" t="s">
        <v>46</v>
      </c>
      <c r="CN4" s="280"/>
      <c r="CO4" s="281" t="s">
        <v>50</v>
      </c>
      <c r="CP4" s="282" t="s">
        <v>52</v>
      </c>
      <c r="CQ4" s="283" t="s">
        <v>51</v>
      </c>
      <c r="CR4" s="338" t="s">
        <v>45</v>
      </c>
      <c r="CS4" s="339" t="s">
        <v>183</v>
      </c>
      <c r="CT4" s="340" t="s">
        <v>46</v>
      </c>
      <c r="CW4" s="280"/>
      <c r="CX4" s="281" t="s">
        <v>50</v>
      </c>
      <c r="CY4" s="282" t="s">
        <v>52</v>
      </c>
      <c r="CZ4" s="283" t="s">
        <v>51</v>
      </c>
      <c r="DA4" s="338" t="s">
        <v>45</v>
      </c>
      <c r="DB4" s="339" t="s">
        <v>183</v>
      </c>
      <c r="DC4" s="340" t="s">
        <v>46</v>
      </c>
    </row>
    <row r="5" spans="1:107" s="41" customFormat="1" ht="31.5" x14ac:dyDescent="0.25">
      <c r="B5" s="284" t="s">
        <v>69</v>
      </c>
      <c r="C5" s="285">
        <f>IF('발전사업(A)'!AE8="", "", '발전사업(A)'!AE8)</f>
        <v>8781.1450000000004</v>
      </c>
      <c r="D5" s="286">
        <f ca="1">IF(OFFSET('발전사업(A)'!AE8,0,5)="","",OFFSET('발전사업(A)'!AE8,0,5))</f>
        <v>29</v>
      </c>
      <c r="E5" s="287">
        <f ca="1">IF(OFFSET('발전사업(A)'!AE8, 0, 10)="", "", OFFSET('발전사업(A)'!AE8, 0, 10))</f>
        <v>82.740000000000009</v>
      </c>
      <c r="F5" s="285">
        <f>C5</f>
        <v>8781.1450000000004</v>
      </c>
      <c r="G5" s="286">
        <f ca="1">D5</f>
        <v>29</v>
      </c>
      <c r="H5" s="287">
        <f ca="1">E5</f>
        <v>82.740000000000009</v>
      </c>
      <c r="K5" s="284" t="s">
        <v>69</v>
      </c>
      <c r="L5" s="285">
        <f>IF('발전사업(A)'!AE14="", "", '발전사업(A)'!AE14)</f>
        <v>7540.5150000000003</v>
      </c>
      <c r="M5" s="286">
        <f ca="1">IF(OFFSET('발전사업(A)'!AE14, 0, 5)="", "", OFFSET('발전사업(A)'!AE14, 0, 5))</f>
        <v>32</v>
      </c>
      <c r="N5" s="287">
        <f ca="1">IF(OFFSET('발전사업(A)'!AE14, 0, 10)="", "", OFFSET('발전사업(A)'!AE14, 0, 10))</f>
        <v>71.545999999999992</v>
      </c>
      <c r="O5" s="285">
        <f>F5+L5</f>
        <v>16321.66</v>
      </c>
      <c r="P5" s="286">
        <f ca="1">G5+M5</f>
        <v>61</v>
      </c>
      <c r="Q5" s="287">
        <f ca="1">H5+N5</f>
        <v>154.286</v>
      </c>
      <c r="T5" s="284" t="s">
        <v>69</v>
      </c>
      <c r="U5" s="285">
        <f>IF('발전사업(A)'!AE20="", "", '발전사업(A)'!AE20)</f>
        <v>11586.134999999998</v>
      </c>
      <c r="V5" s="286">
        <f ca="1">IF(OFFSET('발전사업(A)'!AE20, 0, 5)="", "", OFFSET('발전사업(A)'!AE20, 0, 5))</f>
        <v>32</v>
      </c>
      <c r="W5" s="287">
        <f ca="1">IF(OFFSET('발전사업(A)'!AE20, 0, 10)="", "", OFFSET('발전사업(A)'!AE20, 0, 10))</f>
        <v>108.17899999999999</v>
      </c>
      <c r="X5" s="285">
        <f>O5+U5</f>
        <v>27907.794999999998</v>
      </c>
      <c r="Y5" s="286">
        <f ca="1">P5+V5</f>
        <v>93</v>
      </c>
      <c r="Z5" s="287">
        <f ca="1">Q5+W5</f>
        <v>262.46499999999997</v>
      </c>
      <c r="AC5" s="284" t="s">
        <v>69</v>
      </c>
      <c r="AD5" s="285">
        <f>IF('발전사업(A)'!AE26="", "", '발전사업(A)'!AE26)</f>
        <v>6707.3549999999996</v>
      </c>
      <c r="AE5" s="286">
        <f ca="1">IF(OFFSET('발전사업(A)'!AE26, 0, 5)="", "", OFFSET('발전사업(A)'!AE26, 0, 5))</f>
        <v>26</v>
      </c>
      <c r="AF5" s="287">
        <f ca="1">IF(OFFSET('발전사업(A)'!AE26, 0, 10)="", "", OFFSET('발전사업(A)'!AE26, 0, 10))</f>
        <v>63.01</v>
      </c>
      <c r="AG5" s="285">
        <f>X5+AD5</f>
        <v>34615.149999999994</v>
      </c>
      <c r="AH5" s="286">
        <f ca="1">Y5+AE5</f>
        <v>119</v>
      </c>
      <c r="AI5" s="287">
        <f ca="1">Z5+AF5</f>
        <v>325.47499999999997</v>
      </c>
      <c r="AL5" s="284" t="s">
        <v>69</v>
      </c>
      <c r="AM5" s="285">
        <f>IF('발전사업(A)'!AE32="", "", '발전사업(A)'!AE32)</f>
        <v>3869.355</v>
      </c>
      <c r="AN5" s="286">
        <f ca="1">IF(OFFSET('발전사업(A)'!AE32, 0, 5)="", "", OFFSET('발전사업(A)'!AE32, 0, 5))</f>
        <v>17</v>
      </c>
      <c r="AO5" s="287">
        <f ca="1">IF(OFFSET('발전사업(A)'!AE32, 0, 10)="", "", OFFSET('발전사업(A)'!AE32, 0, 10))</f>
        <v>37.867999999999995</v>
      </c>
      <c r="AP5" s="285">
        <f>AG5+AM5</f>
        <v>38484.504999999997</v>
      </c>
      <c r="AQ5" s="286">
        <f ca="1">AH5+AN5</f>
        <v>136</v>
      </c>
      <c r="AR5" s="287">
        <f ca="1">AI5+AO5</f>
        <v>363.34299999999996</v>
      </c>
      <c r="AU5" s="284" t="s">
        <v>69</v>
      </c>
      <c r="AV5" s="285">
        <f>IF('발전사업(A)'!AE38="", "", '발전사업(A)'!AE38)</f>
        <v>5950.1250000000009</v>
      </c>
      <c r="AW5" s="286">
        <f ca="1">IF(OFFSET('발전사업(A)'!AE38, 0, 5)="", "", OFFSET('발전사업(A)'!AE38, 0, 5))</f>
        <v>25</v>
      </c>
      <c r="AX5" s="287">
        <f ca="1">IF(OFFSET('발전사업(A)'!AE38, 0, 10)="", "", OFFSET('발전사업(A)'!AE38, 0, 10))</f>
        <v>58.04</v>
      </c>
      <c r="AY5" s="285">
        <f>AP5+AV5</f>
        <v>44434.63</v>
      </c>
      <c r="AZ5" s="286">
        <f ca="1">AQ5+AW5</f>
        <v>161</v>
      </c>
      <c r="BA5" s="287">
        <f ca="1">AR5+AX5</f>
        <v>421.38299999999998</v>
      </c>
      <c r="BD5" s="284" t="s">
        <v>69</v>
      </c>
      <c r="BE5" s="285">
        <f>IF('발전사업(A)'!AE44="", "", '발전사업(A)'!AE44)</f>
        <v>6288.585</v>
      </c>
      <c r="BF5" s="286">
        <f ca="1">IF(OFFSET('발전사업(A)'!AE44, 0, 5)="", "", OFFSET('발전사업(A)'!AE44, 0, 5))</f>
        <v>23</v>
      </c>
      <c r="BG5" s="287">
        <f ca="1">IF(OFFSET('발전사업(A)'!AE44, 0, 10)="", "", OFFSET('발전사업(A)'!AE44, 0, 10))</f>
        <v>60.89</v>
      </c>
      <c r="BH5" s="285">
        <f>AY5+BE5</f>
        <v>50723.214999999997</v>
      </c>
      <c r="BI5" s="286">
        <f ca="1">AZ5+BF5</f>
        <v>184</v>
      </c>
      <c r="BJ5" s="287">
        <f ca="1">BA5+BG5</f>
        <v>482.27299999999997</v>
      </c>
      <c r="BM5" s="284" t="s">
        <v>69</v>
      </c>
      <c r="BN5" s="285">
        <f>IF('발전사업(A)'!AE50="", "", '발전사업(A)'!AE50)</f>
        <v>5820.48</v>
      </c>
      <c r="BO5" s="286">
        <f ca="1">IF(OFFSET('발전사업(A)'!AE50, 0, 5)="", "", OFFSET('발전사업(A)'!AE50, 0, 5))</f>
        <v>19</v>
      </c>
      <c r="BP5" s="287">
        <f ca="1">IF(OFFSET('발전사업(A)'!AE50, 0, 10)="", "", OFFSET('발전사업(A)'!AE50, 0, 10))</f>
        <v>58.95</v>
      </c>
      <c r="BQ5" s="285">
        <f>BH5+BN5</f>
        <v>56543.694999999992</v>
      </c>
      <c r="BR5" s="286">
        <f ca="1">BI5+BO5</f>
        <v>203</v>
      </c>
      <c r="BS5" s="287">
        <f ca="1">BJ5+BP5</f>
        <v>541.22299999999996</v>
      </c>
      <c r="BV5" s="284" t="s">
        <v>69</v>
      </c>
      <c r="BW5" s="285">
        <f>IF('발전사업(A)'!AE56="", "", '발전사업(A)'!AE56)</f>
        <v>4640.6049999999996</v>
      </c>
      <c r="BX5" s="286">
        <f ca="1">IF(OFFSET('발전사업(A)'!AE56, 0, 5)="", "", OFFSET('발전사업(A)'!AE56, 0, 5))</f>
        <v>14</v>
      </c>
      <c r="BY5" s="287">
        <f ca="1">IF(OFFSET('발전사업(A)'!AE56, 0, 10)="", "", OFFSET('발전사업(A)'!AE56, 0, 10))</f>
        <v>47.650000000000006</v>
      </c>
      <c r="BZ5" s="285">
        <f>BQ5+BW5</f>
        <v>61184.299999999988</v>
      </c>
      <c r="CA5" s="286">
        <f ca="1">BR5+BX5</f>
        <v>217</v>
      </c>
      <c r="CB5" s="287">
        <f ca="1">BS5+BY5</f>
        <v>588.87299999999993</v>
      </c>
      <c r="CE5" s="284" t="s">
        <v>69</v>
      </c>
      <c r="CF5" s="285">
        <f>IF('발전사업(A)'!AE62="", "", '발전사업(A)'!AE62)</f>
        <v>0</v>
      </c>
      <c r="CG5" s="286">
        <f ca="1">IF(OFFSET('발전사업(A)'!AE62, 0, 5)="", "", OFFSET('발전사업(A)'!AE62, 0, 5))</f>
        <v>0</v>
      </c>
      <c r="CH5" s="287">
        <f ca="1">IF(OFFSET('발전사업(A)'!AE62, 0, 10)="", "", OFFSET('발전사업(A)'!AE62, 0, 10))</f>
        <v>0</v>
      </c>
      <c r="CI5" s="285">
        <f>BZ5+CF5</f>
        <v>61184.299999999988</v>
      </c>
      <c r="CJ5" s="286">
        <f ca="1">CA5+CG5</f>
        <v>217</v>
      </c>
      <c r="CK5" s="287">
        <f ca="1">CB5+CH5</f>
        <v>588.87299999999993</v>
      </c>
      <c r="CN5" s="284" t="s">
        <v>69</v>
      </c>
      <c r="CO5" s="285">
        <f>IF('발전사업(A)'!AE68="", "", '발전사업(A)'!AE68)</f>
        <v>0</v>
      </c>
      <c r="CP5" s="286">
        <f ca="1">IF(OFFSET('발전사업(A)'!AE68, 0, 5)="", "", OFFSET('발전사업(A)'!AE68, 0, 5))</f>
        <v>0</v>
      </c>
      <c r="CQ5" s="287">
        <f ca="1">IF(OFFSET('발전사업(A)'!AE68, 0, 10)="", "", OFFSET('발전사업(A)'!AE68, 0, 10))</f>
        <v>0</v>
      </c>
      <c r="CR5" s="285">
        <f>CI5+CO5</f>
        <v>61184.299999999988</v>
      </c>
      <c r="CS5" s="286">
        <f ca="1">CJ5+CP5</f>
        <v>217</v>
      </c>
      <c r="CT5" s="287">
        <f ca="1">CK5+CQ5</f>
        <v>588.87299999999993</v>
      </c>
      <c r="CW5" s="284" t="s">
        <v>69</v>
      </c>
      <c r="CX5" s="285">
        <f>IF('발전사업(A)'!AE74="", "", '발전사업(A)'!AE74)</f>
        <v>0</v>
      </c>
      <c r="CY5" s="286">
        <f ca="1">IF(OFFSET('발전사업(A)'!AE74, 0, 5)="", "", OFFSET('발전사업(A)'!AE74, 0, 5))</f>
        <v>0</v>
      </c>
      <c r="CZ5" s="287">
        <f ca="1">IF(OFFSET('발전사업(A)'!AE74, 0, 10)="", "", OFFSET('발전사업(A)'!AE74, 0, 10))</f>
        <v>0</v>
      </c>
      <c r="DA5" s="285">
        <f>CR5+CX5</f>
        <v>61184.299999999988</v>
      </c>
      <c r="DB5" s="286">
        <f ca="1">CS5+CY5</f>
        <v>217</v>
      </c>
      <c r="DC5" s="287">
        <f ca="1">CT5+CZ5</f>
        <v>588.87299999999993</v>
      </c>
    </row>
    <row r="6" spans="1:107" s="41" customFormat="1" ht="31.5" x14ac:dyDescent="0.25">
      <c r="B6" s="288" t="s">
        <v>70</v>
      </c>
      <c r="C6" s="289">
        <f>IF('자가소비(B)'!AE8="", "", '자가소비(B)'!AE8)</f>
        <v>397.31</v>
      </c>
      <c r="D6" s="290">
        <f ca="1">IF(OFFSET('자가소비(B)'!AE8, 0, 5)="", "", OFFSET('자가소비(B)'!AE8, 0, 5))</f>
        <v>2</v>
      </c>
      <c r="E6" s="291">
        <f ca="1">IF(OFFSET('자가소비(B)'!AE8, 0, 10)="", "", OFFSET('자가소비(B)'!AE8, 0, 10))</f>
        <v>4.55</v>
      </c>
      <c r="F6" s="285">
        <f t="shared" ref="F6:H14" si="0">C6</f>
        <v>397.31</v>
      </c>
      <c r="G6" s="286">
        <f t="shared" ca="1" si="0"/>
        <v>2</v>
      </c>
      <c r="H6" s="287">
        <f t="shared" ca="1" si="0"/>
        <v>4.55</v>
      </c>
      <c r="K6" s="288" t="s">
        <v>70</v>
      </c>
      <c r="L6" s="289">
        <f>IF('자가소비(B)'!AE14="", "", '자가소비(B)'!AE14)</f>
        <v>5377.05</v>
      </c>
      <c r="M6" s="290">
        <f ca="1">IF(OFFSET('자가소비(B)'!AE14, 0, 5)="", "", OFFSET('자가소비(B)'!AE14, 0, 5))</f>
        <v>3</v>
      </c>
      <c r="N6" s="291">
        <f ca="1">IF(OFFSET('자가소비(B)'!AE14, 0, 10)="", "", OFFSET('자가소비(B)'!AE14, 0, 10))</f>
        <v>60.89</v>
      </c>
      <c r="O6" s="285">
        <f t="shared" ref="O6:O14" si="1">F6+L6</f>
        <v>5774.3600000000006</v>
      </c>
      <c r="P6" s="286">
        <f t="shared" ref="P6:P14" ca="1" si="2">G6+M6</f>
        <v>5</v>
      </c>
      <c r="Q6" s="287">
        <f t="shared" ref="Q6:Q14" ca="1" si="3">H6+N6</f>
        <v>65.44</v>
      </c>
      <c r="T6" s="288" t="s">
        <v>70</v>
      </c>
      <c r="U6" s="289">
        <f>IF('자가소비(B)'!AE20="", "", '자가소비(B)'!AE20)</f>
        <v>605.01</v>
      </c>
      <c r="V6" s="290">
        <f ca="1">IF(OFFSET('자가소비(B)'!AE20, 0, 5)="", "", OFFSET('자가소비(B)'!AE20, 0, 5))</f>
        <v>1</v>
      </c>
      <c r="W6" s="291">
        <f ca="1">IF(OFFSET('자가소비(B)'!AE20, 0, 10)="", "", OFFSET('자가소비(B)'!AE20, 0, 10))</f>
        <v>6.15</v>
      </c>
      <c r="X6" s="285">
        <f t="shared" ref="X6:X14" si="4">O6+U6</f>
        <v>6379.3700000000008</v>
      </c>
      <c r="Y6" s="286">
        <f t="shared" ref="Y6:Y14" ca="1" si="5">P6+V6</f>
        <v>6</v>
      </c>
      <c r="Z6" s="287">
        <f t="shared" ref="Z6:Z14" ca="1" si="6">Q6+W6</f>
        <v>71.59</v>
      </c>
      <c r="AC6" s="288" t="s">
        <v>70</v>
      </c>
      <c r="AD6" s="289">
        <f>IF('자가소비(B)'!AE26="", "", '자가소비(B)'!AE26)</f>
        <v>850.2</v>
      </c>
      <c r="AE6" s="290">
        <f ca="1">IF(OFFSET('자가소비(B)'!AE26, 0, 5)="", "", OFFSET('자가소비(B)'!AE26, 0, 5))</f>
        <v>2</v>
      </c>
      <c r="AF6" s="291">
        <f ca="1">IF(OFFSET('자가소비(B)'!AE26, 0, 10)="", "", OFFSET('자가소비(B)'!AE26, 0, 10))</f>
        <v>11.776</v>
      </c>
      <c r="AG6" s="285">
        <f t="shared" ref="AG6:AG14" si="7">X6+AD6</f>
        <v>7229.5700000000006</v>
      </c>
      <c r="AH6" s="286">
        <f t="shared" ref="AH6:AH14" ca="1" si="8">Y6+AE6</f>
        <v>8</v>
      </c>
      <c r="AI6" s="287">
        <f t="shared" ref="AI6:AI14" ca="1" si="9">Z6+AF6</f>
        <v>83.366</v>
      </c>
      <c r="AL6" s="288" t="s">
        <v>70</v>
      </c>
      <c r="AM6" s="289">
        <f>IF('자가소비(B)'!AE32="", "", '자가소비(B)'!AE32)</f>
        <v>0</v>
      </c>
      <c r="AN6" s="290">
        <f ca="1">IF(OFFSET('자가소비(B)'!AE32, 0, 5)="", "", OFFSET('자가소비(B)'!AE32, 0, 5))</f>
        <v>0</v>
      </c>
      <c r="AO6" s="291">
        <f ca="1">IF(OFFSET('자가소비(B)'!AE32, 0, 10)="", "", OFFSET('자가소비(B)'!AE32, 0, 10))</f>
        <v>0</v>
      </c>
      <c r="AP6" s="285">
        <f t="shared" ref="AP6:AP14" si="10">AG6+AM6</f>
        <v>7229.5700000000006</v>
      </c>
      <c r="AQ6" s="286">
        <f t="shared" ref="AQ6:AQ14" ca="1" si="11">AH6+AN6</f>
        <v>8</v>
      </c>
      <c r="AR6" s="287">
        <f t="shared" ref="AR6:AR14" ca="1" si="12">AI6+AO6</f>
        <v>83.366</v>
      </c>
      <c r="AU6" s="288" t="s">
        <v>70</v>
      </c>
      <c r="AV6" s="289">
        <f>IF('자가소비(B)'!AE38="", "", '자가소비(B)'!AE38)</f>
        <v>0</v>
      </c>
      <c r="AW6" s="290">
        <f ca="1">IF(OFFSET('자가소비(B)'!AE38, 0, 5)="", "", OFFSET('자가소비(B)'!AE38, 0, 5))</f>
        <v>0</v>
      </c>
      <c r="AX6" s="291">
        <f ca="1">IF(OFFSET('자가소비(B)'!AE38, 0, 10)="", "", OFFSET('자가소비(B)'!AE38, 0, 10))</f>
        <v>0</v>
      </c>
      <c r="AY6" s="285">
        <f t="shared" ref="AY6:AY14" si="13">AP6+AV6</f>
        <v>7229.5700000000006</v>
      </c>
      <c r="AZ6" s="286">
        <f t="shared" ref="AZ6:AZ14" ca="1" si="14">AQ6+AW6</f>
        <v>8</v>
      </c>
      <c r="BA6" s="287">
        <f t="shared" ref="BA6:BA14" ca="1" si="15">AR6+AX6</f>
        <v>83.366</v>
      </c>
      <c r="BD6" s="288" t="s">
        <v>70</v>
      </c>
      <c r="BE6" s="289">
        <f>IF('자가소비(B)'!AE44="", "", '자가소비(B)'!AE44)</f>
        <v>0</v>
      </c>
      <c r="BF6" s="290">
        <f ca="1">IF(OFFSET('자가소비(B)'!AE44, 0, 5)="", "", OFFSET('자가소비(B)'!AE44, 0, 5))</f>
        <v>0</v>
      </c>
      <c r="BG6" s="291">
        <f ca="1">IF(OFFSET('자가소비(B)'!AE44, 0, 10)="", "", OFFSET('자가소비(B)'!AE44, 0, 10))</f>
        <v>0</v>
      </c>
      <c r="BH6" s="285">
        <f t="shared" ref="BH6:BH14" si="16">AY6+BE6</f>
        <v>7229.5700000000006</v>
      </c>
      <c r="BI6" s="286">
        <f t="shared" ref="BI6:BI14" ca="1" si="17">AZ6+BF6</f>
        <v>8</v>
      </c>
      <c r="BJ6" s="287">
        <f t="shared" ref="BJ6:BJ14" ca="1" si="18">BA6+BG6</f>
        <v>83.366</v>
      </c>
      <c r="BM6" s="288" t="s">
        <v>70</v>
      </c>
      <c r="BN6" s="289">
        <f>IF('자가소비(B)'!AE50="", "", '자가소비(B)'!AE50)</f>
        <v>0</v>
      </c>
      <c r="BO6" s="290">
        <f ca="1">IF(OFFSET('자가소비(B)'!AE50, 0, 5)="", "", OFFSET('자가소비(B)'!AE50, 0, 5))</f>
        <v>0</v>
      </c>
      <c r="BP6" s="291">
        <f ca="1">IF(OFFSET('자가소비(B)'!AE50, 0, 10)="", "", OFFSET('자가소비(B)'!AE50, 0, 10))</f>
        <v>0</v>
      </c>
      <c r="BQ6" s="285">
        <f t="shared" ref="BQ6:BQ14" si="19">BH6+BN6</f>
        <v>7229.5700000000006</v>
      </c>
      <c r="BR6" s="286">
        <f t="shared" ref="BR6:BR14" ca="1" si="20">BI6+BO6</f>
        <v>8</v>
      </c>
      <c r="BS6" s="287">
        <f t="shared" ref="BS6:BS14" ca="1" si="21">BJ6+BP6</f>
        <v>83.366</v>
      </c>
      <c r="BV6" s="288" t="s">
        <v>70</v>
      </c>
      <c r="BW6" s="289">
        <f>IF('자가소비(B)'!AE56="", "", '자가소비(B)'!AE56)</f>
        <v>0</v>
      </c>
      <c r="BX6" s="290">
        <f ca="1">IF(OFFSET('자가소비(B)'!AE56, 0, 5)="", "", OFFSET('자가소비(B)'!AE56, 0, 5))</f>
        <v>0</v>
      </c>
      <c r="BY6" s="291">
        <f ca="1">IF(OFFSET('자가소비(B)'!AE56, 0, 10)="", "", OFFSET('자가소비(B)'!AE56, 0, 10))</f>
        <v>0</v>
      </c>
      <c r="BZ6" s="285">
        <f t="shared" ref="BZ6:BZ14" si="22">BQ6+BW6</f>
        <v>7229.5700000000006</v>
      </c>
      <c r="CA6" s="286">
        <f t="shared" ref="CA6:CA14" ca="1" si="23">BR6+BX6</f>
        <v>8</v>
      </c>
      <c r="CB6" s="287">
        <f t="shared" ref="CB6:CB14" ca="1" si="24">BS6+BY6</f>
        <v>83.366</v>
      </c>
      <c r="CE6" s="288" t="s">
        <v>70</v>
      </c>
      <c r="CF6" s="289">
        <f>IF('자가소비(B)'!AE62="", "", '자가소비(B)'!AE62)</f>
        <v>0</v>
      </c>
      <c r="CG6" s="290">
        <f ca="1">IF(OFFSET('자가소비(B)'!AE62, 0, 5)="", "", OFFSET('자가소비(B)'!AE62, 0, 5))</f>
        <v>0</v>
      </c>
      <c r="CH6" s="291">
        <f ca="1">IF(OFFSET('자가소비(B)'!AE62, 0, 10)="", "", OFFSET('자가소비(B)'!AE62, 0, 10))</f>
        <v>0</v>
      </c>
      <c r="CI6" s="285">
        <f t="shared" ref="CI6:CI14" si="25">BZ6+CF6</f>
        <v>7229.5700000000006</v>
      </c>
      <c r="CJ6" s="286">
        <f t="shared" ref="CJ6:CJ14" ca="1" si="26">CA6+CG6</f>
        <v>8</v>
      </c>
      <c r="CK6" s="287">
        <f t="shared" ref="CK6:CK14" ca="1" si="27">CB6+CH6</f>
        <v>83.366</v>
      </c>
      <c r="CN6" s="288" t="s">
        <v>70</v>
      </c>
      <c r="CO6" s="289">
        <f>IF('자가소비(B)'!AE68="", "", '자가소비(B)'!AE68)</f>
        <v>0</v>
      </c>
      <c r="CP6" s="290">
        <f ca="1">IF(OFFSET('자가소비(B)'!AE68, 0, 5)="", "", OFFSET('자가소비(B)'!AE68, 0, 5))</f>
        <v>0</v>
      </c>
      <c r="CQ6" s="291">
        <f ca="1">IF(OFFSET('자가소비(B)'!AE68, 0, 10)="", "", OFFSET('자가소비(B)'!AE68, 0, 10))</f>
        <v>0</v>
      </c>
      <c r="CR6" s="285">
        <f t="shared" ref="CR6:CR14" si="28">CI6+CO6</f>
        <v>7229.5700000000006</v>
      </c>
      <c r="CS6" s="286">
        <f t="shared" ref="CS6:CS14" ca="1" si="29">CJ6+CP6</f>
        <v>8</v>
      </c>
      <c r="CT6" s="287">
        <f t="shared" ref="CT6:CT14" ca="1" si="30">CK6+CQ6</f>
        <v>83.366</v>
      </c>
      <c r="CW6" s="288" t="s">
        <v>70</v>
      </c>
      <c r="CX6" s="289">
        <f>IF('자가소비(B)'!AE74="", "", '자가소비(B)'!AE74)</f>
        <v>0</v>
      </c>
      <c r="CY6" s="290">
        <f ca="1">IF(OFFSET('자가소비(B)'!AE74, 0, 5)="", "", OFFSET('자가소비(B)'!AE74, 0, 5))</f>
        <v>0</v>
      </c>
      <c r="CZ6" s="291">
        <f ca="1">IF(OFFSET('자가소비(B)'!AE74, 0, 10)="", "", OFFSET('자가소비(B)'!AE74, 0, 10))</f>
        <v>0</v>
      </c>
      <c r="DA6" s="285">
        <f t="shared" ref="DA6:DA14" si="31">CR6+CX6</f>
        <v>7229.5700000000006</v>
      </c>
      <c r="DB6" s="286">
        <f t="shared" ref="DB6:DB14" ca="1" si="32">CS6+CY6</f>
        <v>8</v>
      </c>
      <c r="DC6" s="287">
        <f t="shared" ref="DC6:DC14" ca="1" si="33">CT6+CZ6</f>
        <v>83.366</v>
      </c>
    </row>
    <row r="7" spans="1:107" s="41" customFormat="1" ht="31.5" x14ac:dyDescent="0.25">
      <c r="B7" s="288" t="s">
        <v>71</v>
      </c>
      <c r="C7" s="289">
        <f>IF('PPA 사업(C)'!AE8="", "", 'PPA 사업(C)'!AE8)</f>
        <v>0</v>
      </c>
      <c r="D7" s="290">
        <f ca="1">IF(OFFSET('PPA 사업(C)'!AE8, 0, 5)="", "", OFFSET('PPA 사업(C)'!AE8, 0, 5))</f>
        <v>0</v>
      </c>
      <c r="E7" s="291">
        <f ca="1">IF(OFFSET('PPA 사업(C)'!AE8, 0, 10)="", "", OFFSET('PPA 사업(C)'!AE8, 0, 10))</f>
        <v>0</v>
      </c>
      <c r="F7" s="285">
        <f t="shared" si="0"/>
        <v>0</v>
      </c>
      <c r="G7" s="286">
        <f t="shared" ca="1" si="0"/>
        <v>0</v>
      </c>
      <c r="H7" s="287">
        <f t="shared" ca="1" si="0"/>
        <v>0</v>
      </c>
      <c r="K7" s="288" t="s">
        <v>71</v>
      </c>
      <c r="L7" s="289">
        <f>IF('PPA 사업(C)'!AE14="", "", 'PPA 사업(C)'!AE14)</f>
        <v>0</v>
      </c>
      <c r="M7" s="290">
        <f ca="1">IF(OFFSET('PPA 사업(C)'!AE14, 0, 5)="", "", OFFSET('PPA 사업(C)'!AE14, 0, 5))</f>
        <v>0</v>
      </c>
      <c r="N7" s="291">
        <f ca="1">IF(OFFSET('PPA 사업(C)'!AE14, 0, 10)="", "", OFFSET('PPA 사업(C)'!AE14, 0, 10))</f>
        <v>0</v>
      </c>
      <c r="O7" s="285">
        <f t="shared" si="1"/>
        <v>0</v>
      </c>
      <c r="P7" s="286">
        <f t="shared" ca="1" si="2"/>
        <v>0</v>
      </c>
      <c r="Q7" s="287">
        <f t="shared" ca="1" si="3"/>
        <v>0</v>
      </c>
      <c r="T7" s="288" t="s">
        <v>71</v>
      </c>
      <c r="U7" s="289">
        <f>IF('PPA 사업(C)'!AE20="", "", 'PPA 사업(C)'!AE20)</f>
        <v>0</v>
      </c>
      <c r="V7" s="290">
        <f ca="1">IF(OFFSET('PPA 사업(C)'!AE20, 0, 5)="", "", OFFSET('PPA 사업(C)'!AE20, 0, 5))</f>
        <v>0</v>
      </c>
      <c r="W7" s="291">
        <f ca="1">IF(OFFSET('PPA 사업(C)'!AE20, 0, 10)="", "", OFFSET('PPA 사업(C)'!AE20, 0, 10))</f>
        <v>0</v>
      </c>
      <c r="X7" s="285">
        <f t="shared" si="4"/>
        <v>0</v>
      </c>
      <c r="Y7" s="286">
        <f t="shared" ca="1" si="5"/>
        <v>0</v>
      </c>
      <c r="Z7" s="287">
        <f t="shared" ca="1" si="6"/>
        <v>0</v>
      </c>
      <c r="AC7" s="288" t="s">
        <v>71</v>
      </c>
      <c r="AD7" s="289">
        <f>IF('PPA 사업(C)'!AE26="", "", 'PPA 사업(C)'!AE26)</f>
        <v>0</v>
      </c>
      <c r="AE7" s="290">
        <f ca="1">IF(OFFSET('PPA 사업(C)'!AE26, 0, 5)="", "", OFFSET('PPA 사업(C)'!AE26, 0, 5))</f>
        <v>0</v>
      </c>
      <c r="AF7" s="291">
        <f ca="1">IF(OFFSET('PPA 사업(C)'!AE26, 0, 10)="", "", OFFSET('PPA 사업(C)'!AE26, 0, 10))</f>
        <v>0</v>
      </c>
      <c r="AG7" s="285">
        <f t="shared" si="7"/>
        <v>0</v>
      </c>
      <c r="AH7" s="286">
        <f t="shared" ca="1" si="8"/>
        <v>0</v>
      </c>
      <c r="AI7" s="287">
        <f t="shared" ca="1" si="9"/>
        <v>0</v>
      </c>
      <c r="AL7" s="288" t="s">
        <v>71</v>
      </c>
      <c r="AM7" s="289">
        <f>IF('PPA 사업(C)'!AE32="", "", 'PPA 사업(C)'!AE32)</f>
        <v>0</v>
      </c>
      <c r="AN7" s="290">
        <f ca="1">IF(OFFSET('PPA 사업(C)'!AE32, 0, 5)="", "", OFFSET('PPA 사업(C)'!AE32, 0, 5))</f>
        <v>0</v>
      </c>
      <c r="AO7" s="291">
        <f ca="1">IF(OFFSET('PPA 사업(C)'!AE32, 0, 10)="", "", OFFSET('PPA 사업(C)'!AE32, 0, 10))</f>
        <v>0</v>
      </c>
      <c r="AP7" s="285">
        <f t="shared" si="10"/>
        <v>0</v>
      </c>
      <c r="AQ7" s="286">
        <f t="shared" ca="1" si="11"/>
        <v>0</v>
      </c>
      <c r="AR7" s="287">
        <f t="shared" ca="1" si="12"/>
        <v>0</v>
      </c>
      <c r="AU7" s="288" t="s">
        <v>71</v>
      </c>
      <c r="AV7" s="289">
        <f>IF('PPA 사업(C)'!AE38="", "", 'PPA 사업(C)'!AE38)</f>
        <v>0</v>
      </c>
      <c r="AW7" s="290">
        <f ca="1">IF(OFFSET('PPA 사업(C)'!AE38, 0, 5)="", "", OFFSET('PPA 사업(C)'!AE38, 0, 5))</f>
        <v>0</v>
      </c>
      <c r="AX7" s="291">
        <f ca="1">IF(OFFSET('PPA 사업(C)'!AE38, 0, 10)="", "", OFFSET('PPA 사업(C)'!AE38, 0, 10))</f>
        <v>0</v>
      </c>
      <c r="AY7" s="285">
        <f t="shared" si="13"/>
        <v>0</v>
      </c>
      <c r="AZ7" s="286">
        <f t="shared" ca="1" si="14"/>
        <v>0</v>
      </c>
      <c r="BA7" s="287">
        <f t="shared" ca="1" si="15"/>
        <v>0</v>
      </c>
      <c r="BD7" s="288" t="s">
        <v>71</v>
      </c>
      <c r="BE7" s="289">
        <f>IF('PPA 사업(C)'!AE44="", "", 'PPA 사업(C)'!AE44)</f>
        <v>0</v>
      </c>
      <c r="BF7" s="290">
        <f ca="1">IF(OFFSET('PPA 사업(C)'!AE44, 0, 5)="", "", OFFSET('PPA 사업(C)'!AE44, 0, 5))</f>
        <v>0</v>
      </c>
      <c r="BG7" s="291">
        <f ca="1">IF(OFFSET('PPA 사업(C)'!AE44, 0, 10)="", "", OFFSET('PPA 사업(C)'!AE44, 0, 10))</f>
        <v>0</v>
      </c>
      <c r="BH7" s="285">
        <f t="shared" si="16"/>
        <v>0</v>
      </c>
      <c r="BI7" s="286">
        <f t="shared" ca="1" si="17"/>
        <v>0</v>
      </c>
      <c r="BJ7" s="287">
        <f t="shared" ca="1" si="18"/>
        <v>0</v>
      </c>
      <c r="BM7" s="288" t="s">
        <v>71</v>
      </c>
      <c r="BN7" s="289">
        <f>IF('PPA 사업(C)'!AE50="", "", 'PPA 사업(C)'!AE50)</f>
        <v>0</v>
      </c>
      <c r="BO7" s="290">
        <f ca="1">IF(OFFSET('PPA 사업(C)'!AE50, 0, 5)="", "", OFFSET('PPA 사업(C)'!AE50, 0, 5))</f>
        <v>0</v>
      </c>
      <c r="BP7" s="291">
        <f ca="1">IF(OFFSET('PPA 사업(C)'!AE50, 0, 10)="", "", OFFSET('PPA 사업(C)'!AE50, 0, 10))</f>
        <v>0</v>
      </c>
      <c r="BQ7" s="285">
        <f t="shared" si="19"/>
        <v>0</v>
      </c>
      <c r="BR7" s="286">
        <f t="shared" ca="1" si="20"/>
        <v>0</v>
      </c>
      <c r="BS7" s="287">
        <f t="shared" ca="1" si="21"/>
        <v>0</v>
      </c>
      <c r="BV7" s="288" t="s">
        <v>71</v>
      </c>
      <c r="BW7" s="289">
        <f>IF('PPA 사업(C)'!AE56="", "", 'PPA 사업(C)'!AE56)</f>
        <v>0</v>
      </c>
      <c r="BX7" s="290">
        <f ca="1">IF(OFFSET('PPA 사업(C)'!AE56, 0, 5)="", "", OFFSET('PPA 사업(C)'!AE56, 0, 5))</f>
        <v>0</v>
      </c>
      <c r="BY7" s="291">
        <f ca="1">IF(OFFSET('PPA 사업(C)'!AE56, 0, 10)="", "", OFFSET('PPA 사업(C)'!AE56, 0, 10))</f>
        <v>0</v>
      </c>
      <c r="BZ7" s="285">
        <f t="shared" si="22"/>
        <v>0</v>
      </c>
      <c r="CA7" s="286">
        <f t="shared" ca="1" si="23"/>
        <v>0</v>
      </c>
      <c r="CB7" s="287">
        <f t="shared" ca="1" si="24"/>
        <v>0</v>
      </c>
      <c r="CE7" s="288" t="s">
        <v>71</v>
      </c>
      <c r="CF7" s="289">
        <f>IF('PPA 사업(C)'!AE62="", "", 'PPA 사업(C)'!AE62)</f>
        <v>0</v>
      </c>
      <c r="CG7" s="290">
        <f ca="1">IF(OFFSET('PPA 사업(C)'!AE62, 0, 5)="", "", OFFSET('PPA 사업(C)'!AE62, 0, 5))</f>
        <v>0</v>
      </c>
      <c r="CH7" s="291">
        <f ca="1">IF(OFFSET('PPA 사업(C)'!AE62, 0, 10)="", "", OFFSET('PPA 사업(C)'!AE62, 0, 10))</f>
        <v>0</v>
      </c>
      <c r="CI7" s="285">
        <f t="shared" si="25"/>
        <v>0</v>
      </c>
      <c r="CJ7" s="286">
        <f t="shared" ca="1" si="26"/>
        <v>0</v>
      </c>
      <c r="CK7" s="287">
        <f t="shared" ca="1" si="27"/>
        <v>0</v>
      </c>
      <c r="CN7" s="288" t="s">
        <v>71</v>
      </c>
      <c r="CO7" s="289">
        <f>IF('PPA 사업(C)'!AE68="", "", 'PPA 사업(C)'!AE68)</f>
        <v>0</v>
      </c>
      <c r="CP7" s="290">
        <f ca="1">IF(OFFSET('PPA 사업(C)'!AE68, 0, 5)="", "", OFFSET('PPA 사업(C)'!AE68, 0, 5))</f>
        <v>0</v>
      </c>
      <c r="CQ7" s="291">
        <f ca="1">IF(OFFSET('PPA 사업(C)'!AE68, 0, 10)="", "", OFFSET('PPA 사업(C)'!AE68, 0, 10))</f>
        <v>0</v>
      </c>
      <c r="CR7" s="285">
        <f t="shared" si="28"/>
        <v>0</v>
      </c>
      <c r="CS7" s="286">
        <f t="shared" ca="1" si="29"/>
        <v>0</v>
      </c>
      <c r="CT7" s="287">
        <f t="shared" ca="1" si="30"/>
        <v>0</v>
      </c>
      <c r="CW7" s="288" t="s">
        <v>71</v>
      </c>
      <c r="CX7" s="289">
        <f>IF('PPA 사업(C)'!AE74="", "", 'PPA 사업(C)'!AE74)</f>
        <v>0</v>
      </c>
      <c r="CY7" s="290">
        <f ca="1">IF(OFFSET('PPA 사업(C)'!AE74, 0, 5)="", "", OFFSET('PPA 사업(C)'!AE74, 0, 5))</f>
        <v>0</v>
      </c>
      <c r="CZ7" s="291">
        <f ca="1">IF(OFFSET('PPA 사업(C)'!AE74, 0, 10)="", "", OFFSET('PPA 사업(C)'!AE74, 0, 10))</f>
        <v>0</v>
      </c>
      <c r="DA7" s="285">
        <f t="shared" si="31"/>
        <v>0</v>
      </c>
      <c r="DB7" s="286">
        <f t="shared" ca="1" si="32"/>
        <v>0</v>
      </c>
      <c r="DC7" s="287">
        <f t="shared" ca="1" si="33"/>
        <v>0</v>
      </c>
    </row>
    <row r="8" spans="1:107" s="41" customFormat="1" ht="31.5" x14ac:dyDescent="0.25">
      <c r="B8" s="288" t="s">
        <v>72</v>
      </c>
      <c r="C8" s="289">
        <f>IF('리스사업(D)'!AE8="", "", '리스사업(D)'!AE8)</f>
        <v>0</v>
      </c>
      <c r="D8" s="290">
        <f ca="1">IF(OFFSET('리스사업(D)'!AE8, 0, 5)="", "", OFFSET('리스사업(D)'!AE8, 0, 5))</f>
        <v>0</v>
      </c>
      <c r="E8" s="291">
        <f ca="1">IF(OFFSET('리스사업(D)'!AE8, 0, 10)="", "", OFFSET('리스사업(D)'!AE8, 0, 10))</f>
        <v>0</v>
      </c>
      <c r="F8" s="285">
        <f t="shared" si="0"/>
        <v>0</v>
      </c>
      <c r="G8" s="286">
        <f t="shared" ca="1" si="0"/>
        <v>0</v>
      </c>
      <c r="H8" s="287">
        <f t="shared" ca="1" si="0"/>
        <v>0</v>
      </c>
      <c r="K8" s="288" t="s">
        <v>72</v>
      </c>
      <c r="L8" s="289">
        <f>IF('리스사업(D)'!AE14="", "", '리스사업(D)'!AE14)</f>
        <v>0</v>
      </c>
      <c r="M8" s="290">
        <f ca="1">IF(OFFSET('리스사업(D)'!AE14, 0, 5)="", "", OFFSET('리스사업(D)'!AE14, 0, 5))</f>
        <v>0</v>
      </c>
      <c r="N8" s="291">
        <f ca="1">IF(OFFSET('리스사업(D)'!AE14, 0, 10)="", "", OFFSET('리스사업(D)'!AE14, 0, 10))</f>
        <v>0</v>
      </c>
      <c r="O8" s="285">
        <f t="shared" si="1"/>
        <v>0</v>
      </c>
      <c r="P8" s="286">
        <f t="shared" ca="1" si="2"/>
        <v>0</v>
      </c>
      <c r="Q8" s="287">
        <f t="shared" ca="1" si="3"/>
        <v>0</v>
      </c>
      <c r="T8" s="288" t="s">
        <v>72</v>
      </c>
      <c r="U8" s="289">
        <f>IF('리스사업(D)'!AE20="", "", '리스사업(D)'!AE20)</f>
        <v>652.79999999999995</v>
      </c>
      <c r="V8" s="290">
        <f ca="1">IF(OFFSET('리스사업(D)'!AE20, 0, 5)="", "", OFFSET('리스사업(D)'!AE20, 0, 5))</f>
        <v>1</v>
      </c>
      <c r="W8" s="291">
        <f ca="1">IF(OFFSET('리스사업(D)'!AE20, 0, 10)="", "", OFFSET('리스사업(D)'!AE20, 0, 10))</f>
        <v>0</v>
      </c>
      <c r="X8" s="285">
        <f t="shared" si="4"/>
        <v>652.79999999999995</v>
      </c>
      <c r="Y8" s="286">
        <f t="shared" ca="1" si="5"/>
        <v>1</v>
      </c>
      <c r="Z8" s="287">
        <f t="shared" ca="1" si="6"/>
        <v>0</v>
      </c>
      <c r="AC8" s="288" t="s">
        <v>72</v>
      </c>
      <c r="AD8" s="289">
        <f>IF('리스사업(D)'!AE26="", "", '리스사업(D)'!AE26)</f>
        <v>0</v>
      </c>
      <c r="AE8" s="290">
        <f ca="1">IF(OFFSET('리스사업(D)'!AE26, 0, 5)="", "", OFFSET('리스사업(D)'!AE26, 0, 5))</f>
        <v>0</v>
      </c>
      <c r="AF8" s="291">
        <f ca="1">IF(OFFSET('리스사업(D)'!AE26, 0, 10)="", "", OFFSET('리스사업(D)'!AE26, 0, 10))</f>
        <v>0</v>
      </c>
      <c r="AG8" s="285">
        <f t="shared" si="7"/>
        <v>652.79999999999995</v>
      </c>
      <c r="AH8" s="286">
        <f t="shared" ca="1" si="8"/>
        <v>1</v>
      </c>
      <c r="AI8" s="287">
        <f t="shared" ca="1" si="9"/>
        <v>0</v>
      </c>
      <c r="AL8" s="288" t="s">
        <v>72</v>
      </c>
      <c r="AM8" s="289">
        <f>IF('리스사업(D)'!AE32="", "", '리스사업(D)'!AE32)</f>
        <v>0</v>
      </c>
      <c r="AN8" s="290">
        <f ca="1">IF(OFFSET('리스사업(D)'!AE32, 0, 5)="", "", OFFSET('리스사업(D)'!AE32, 0, 5))</f>
        <v>0</v>
      </c>
      <c r="AO8" s="291">
        <f ca="1">IF(OFFSET('리스사업(D)'!AE32, 0, 10)="", "", OFFSET('리스사업(D)'!AE32, 0, 10))</f>
        <v>0</v>
      </c>
      <c r="AP8" s="285">
        <f t="shared" si="10"/>
        <v>652.79999999999995</v>
      </c>
      <c r="AQ8" s="286">
        <f t="shared" ca="1" si="11"/>
        <v>1</v>
      </c>
      <c r="AR8" s="287">
        <f t="shared" ca="1" si="12"/>
        <v>0</v>
      </c>
      <c r="AU8" s="288" t="s">
        <v>72</v>
      </c>
      <c r="AV8" s="289">
        <f>IF('리스사업(D)'!AE38="", "", '리스사업(D)'!AE38)</f>
        <v>0</v>
      </c>
      <c r="AW8" s="290">
        <f ca="1">IF(OFFSET('리스사업(D)'!AE38, 0, 5)="", "", OFFSET('리스사업(D)'!AE38, 0, 5))</f>
        <v>0</v>
      </c>
      <c r="AX8" s="291">
        <f ca="1">IF(OFFSET('리스사업(D)'!AE38, 0, 10)="", "", OFFSET('리스사업(D)'!AE38, 0, 10))</f>
        <v>0</v>
      </c>
      <c r="AY8" s="285">
        <f t="shared" si="13"/>
        <v>652.79999999999995</v>
      </c>
      <c r="AZ8" s="286">
        <f t="shared" ca="1" si="14"/>
        <v>1</v>
      </c>
      <c r="BA8" s="287">
        <f t="shared" ca="1" si="15"/>
        <v>0</v>
      </c>
      <c r="BD8" s="288" t="s">
        <v>72</v>
      </c>
      <c r="BE8" s="289">
        <f>IF('리스사업(D)'!AE44="", "", '리스사업(D)'!AE44)</f>
        <v>0</v>
      </c>
      <c r="BF8" s="290">
        <f ca="1">IF(OFFSET('리스사업(D)'!AE44, 0, 5)="", "", OFFSET('리스사업(D)'!AE44, 0, 5))</f>
        <v>0</v>
      </c>
      <c r="BG8" s="291">
        <f ca="1">IF(OFFSET('리스사업(D)'!AE44, 0, 10)="", "", OFFSET('리스사업(D)'!AE44, 0, 10))</f>
        <v>0</v>
      </c>
      <c r="BH8" s="285">
        <f t="shared" si="16"/>
        <v>652.79999999999995</v>
      </c>
      <c r="BI8" s="286">
        <f t="shared" ca="1" si="17"/>
        <v>1</v>
      </c>
      <c r="BJ8" s="287">
        <f t="shared" ca="1" si="18"/>
        <v>0</v>
      </c>
      <c r="BM8" s="288" t="s">
        <v>72</v>
      </c>
      <c r="BN8" s="289">
        <f>IF('리스사업(D)'!AE50="", "", '리스사업(D)'!AE50)</f>
        <v>0</v>
      </c>
      <c r="BO8" s="290">
        <f ca="1">IF(OFFSET('리스사업(D)'!AE50, 0, 5)="", "", OFFSET('리스사업(D)'!AE50, 0, 5))</f>
        <v>0</v>
      </c>
      <c r="BP8" s="291">
        <f ca="1">IF(OFFSET('리스사업(D)'!AE50, 0, 10)="", "", OFFSET('리스사업(D)'!AE50, 0, 10))</f>
        <v>0</v>
      </c>
      <c r="BQ8" s="285">
        <f t="shared" si="19"/>
        <v>652.79999999999995</v>
      </c>
      <c r="BR8" s="286">
        <f t="shared" ca="1" si="20"/>
        <v>1</v>
      </c>
      <c r="BS8" s="287">
        <f t="shared" ca="1" si="21"/>
        <v>0</v>
      </c>
      <c r="BV8" s="288" t="s">
        <v>72</v>
      </c>
      <c r="BW8" s="289">
        <f>IF('리스사업(D)'!AE56="", "", '리스사업(D)'!AE56)</f>
        <v>0</v>
      </c>
      <c r="BX8" s="290">
        <f ca="1">IF(OFFSET('리스사업(D)'!AE56, 0, 5)="", "", OFFSET('리스사업(D)'!AE56, 0, 5))</f>
        <v>0</v>
      </c>
      <c r="BY8" s="291">
        <f ca="1">IF(OFFSET('리스사업(D)'!AE56, 0, 10)="", "", OFFSET('리스사업(D)'!AE56, 0, 10))</f>
        <v>0</v>
      </c>
      <c r="BZ8" s="285">
        <f t="shared" si="22"/>
        <v>652.79999999999995</v>
      </c>
      <c r="CA8" s="286">
        <f t="shared" ca="1" si="23"/>
        <v>1</v>
      </c>
      <c r="CB8" s="287">
        <f t="shared" ca="1" si="24"/>
        <v>0</v>
      </c>
      <c r="CE8" s="288" t="s">
        <v>72</v>
      </c>
      <c r="CF8" s="289">
        <f>IF('리스사업(D)'!AE62="", "", '리스사업(D)'!AE62)</f>
        <v>0</v>
      </c>
      <c r="CG8" s="290">
        <f ca="1">IF(OFFSET('리스사업(D)'!AE62, 0, 5)="", "", OFFSET('리스사업(D)'!AE62, 0, 5))</f>
        <v>0</v>
      </c>
      <c r="CH8" s="291">
        <f ca="1">IF(OFFSET('리스사업(D)'!AE62, 0, 10)="", "", OFFSET('리스사업(D)'!AE62, 0, 10))</f>
        <v>0</v>
      </c>
      <c r="CI8" s="285">
        <f t="shared" si="25"/>
        <v>652.79999999999995</v>
      </c>
      <c r="CJ8" s="286">
        <f t="shared" ca="1" si="26"/>
        <v>1</v>
      </c>
      <c r="CK8" s="287">
        <f t="shared" ca="1" si="27"/>
        <v>0</v>
      </c>
      <c r="CN8" s="288" t="s">
        <v>72</v>
      </c>
      <c r="CO8" s="289">
        <f>IF('리스사업(D)'!AE68="", "", '리스사업(D)'!AE68)</f>
        <v>0</v>
      </c>
      <c r="CP8" s="290">
        <f ca="1">IF(OFFSET('리스사업(D)'!AE68, 0, 5)="", "", OFFSET('리스사업(D)'!AE68, 0, 5))</f>
        <v>0</v>
      </c>
      <c r="CQ8" s="291">
        <f ca="1">IF(OFFSET('리스사업(D)'!AE68, 0, 10)="", "", OFFSET('리스사업(D)'!AE68, 0, 10))</f>
        <v>0</v>
      </c>
      <c r="CR8" s="285">
        <f t="shared" si="28"/>
        <v>652.79999999999995</v>
      </c>
      <c r="CS8" s="286">
        <f t="shared" ca="1" si="29"/>
        <v>1</v>
      </c>
      <c r="CT8" s="287">
        <f t="shared" ca="1" si="30"/>
        <v>0</v>
      </c>
      <c r="CW8" s="288" t="s">
        <v>72</v>
      </c>
      <c r="CX8" s="289">
        <f>IF('리스사업(D)'!AE74="", "", '리스사업(D)'!AE74)</f>
        <v>0</v>
      </c>
      <c r="CY8" s="290">
        <f ca="1">IF(OFFSET('리스사업(D)'!AE74, 0, 5)="", "", OFFSET('리스사업(D)'!AE74, 0, 5))</f>
        <v>0</v>
      </c>
      <c r="CZ8" s="291">
        <f ca="1">IF(OFFSET('리스사업(D)'!AE74, 0, 10)="", "", OFFSET('리스사업(D)'!AE74, 0, 10))</f>
        <v>0</v>
      </c>
      <c r="DA8" s="285">
        <f t="shared" si="31"/>
        <v>652.79999999999995</v>
      </c>
      <c r="DB8" s="286">
        <f t="shared" ca="1" si="32"/>
        <v>1</v>
      </c>
      <c r="DC8" s="287">
        <f t="shared" ca="1" si="33"/>
        <v>0</v>
      </c>
    </row>
    <row r="9" spans="1:107" s="41" customFormat="1" ht="31.5" x14ac:dyDescent="0.25">
      <c r="B9" s="288" t="s">
        <v>73</v>
      </c>
      <c r="C9" s="289">
        <f>IF('임대사업(E)'!AE8="", "", '임대사업(E)'!AE8)</f>
        <v>0</v>
      </c>
      <c r="D9" s="290">
        <f ca="1">IF(OFFSET('임대사업(E)'!AE8, 0, 5)="", "", OFFSET('임대사업(E)'!AE8, 0, 5))</f>
        <v>0</v>
      </c>
      <c r="E9" s="291">
        <f ca="1">IF(OFFSET('임대사업(E)'!AE8, 0, 10)="", "", OFFSET('임대사업(E)'!AE8, 0, 10))</f>
        <v>0</v>
      </c>
      <c r="F9" s="285">
        <f t="shared" si="0"/>
        <v>0</v>
      </c>
      <c r="G9" s="286">
        <f t="shared" ca="1" si="0"/>
        <v>0</v>
      </c>
      <c r="H9" s="287">
        <f t="shared" ca="1" si="0"/>
        <v>0</v>
      </c>
      <c r="K9" s="288" t="s">
        <v>73</v>
      </c>
      <c r="L9" s="289">
        <f>IF('임대사업(E)'!AE14="", "", '임대사업(E)'!AE14)</f>
        <v>549.76</v>
      </c>
      <c r="M9" s="290">
        <f ca="1">IF(OFFSET('임대사업(E)'!AE14, 0, 5)="", "", OFFSET('임대사업(E)'!AE14, 0, 5))</f>
        <v>2</v>
      </c>
      <c r="N9" s="291">
        <f ca="1">IF(OFFSET('임대사업(E)'!AE14, 0, 10)="", "", OFFSET('임대사업(E)'!AE14, 0, 10))</f>
        <v>0</v>
      </c>
      <c r="O9" s="285">
        <f t="shared" si="1"/>
        <v>549.76</v>
      </c>
      <c r="P9" s="286">
        <f t="shared" ca="1" si="2"/>
        <v>2</v>
      </c>
      <c r="Q9" s="287">
        <f t="shared" ca="1" si="3"/>
        <v>0</v>
      </c>
      <c r="T9" s="288" t="s">
        <v>73</v>
      </c>
      <c r="U9" s="289">
        <f>IF('임대사업(E)'!AE20="", "", '임대사업(E)'!AE20)</f>
        <v>288</v>
      </c>
      <c r="V9" s="290">
        <f ca="1">IF(OFFSET('임대사업(E)'!AE20, 0, 5)="", "", OFFSET('임대사업(E)'!AE20, 0, 5))</f>
        <v>2</v>
      </c>
      <c r="W9" s="291">
        <f ca="1">IF(OFFSET('임대사업(E)'!AE20, 0, 10)="", "", OFFSET('임대사업(E)'!AE20, 0, 10))</f>
        <v>0</v>
      </c>
      <c r="X9" s="285">
        <f t="shared" si="4"/>
        <v>837.76</v>
      </c>
      <c r="Y9" s="286">
        <f t="shared" ca="1" si="5"/>
        <v>4</v>
      </c>
      <c r="Z9" s="287">
        <f t="shared" ca="1" si="6"/>
        <v>0</v>
      </c>
      <c r="AC9" s="288" t="s">
        <v>73</v>
      </c>
      <c r="AD9" s="289">
        <f>IF('임대사업(E)'!AE26="", "", '임대사업(E)'!AE26)</f>
        <v>170.24</v>
      </c>
      <c r="AE9" s="290">
        <f ca="1">IF(OFFSET('임대사업(E)'!AE26, 0, 5)="", "", OFFSET('임대사업(E)'!AE26, 0, 5))</f>
        <v>2</v>
      </c>
      <c r="AF9" s="291">
        <f ca="1">IF(OFFSET('임대사업(E)'!AE26, 0, 10)="", "", OFFSET('임대사업(E)'!AE26, 0, 10))</f>
        <v>0</v>
      </c>
      <c r="AG9" s="285">
        <f t="shared" si="7"/>
        <v>1008</v>
      </c>
      <c r="AH9" s="286">
        <f t="shared" ca="1" si="8"/>
        <v>6</v>
      </c>
      <c r="AI9" s="287">
        <f t="shared" ca="1" si="9"/>
        <v>0</v>
      </c>
      <c r="AL9" s="288" t="s">
        <v>73</v>
      </c>
      <c r="AM9" s="289">
        <f>IF('임대사업(E)'!AE32="", "", '임대사업(E)'!AE32)</f>
        <v>53.76</v>
      </c>
      <c r="AN9" s="290">
        <f ca="1">IF(OFFSET('임대사업(E)'!AE32, 0, 5)="", "", OFFSET('임대사업(E)'!AE32, 0, 5))</f>
        <v>1</v>
      </c>
      <c r="AO9" s="291">
        <f ca="1">IF(OFFSET('임대사업(E)'!AE32, 0, 10)="", "", OFFSET('임대사업(E)'!AE32, 0, 10))</f>
        <v>0</v>
      </c>
      <c r="AP9" s="285">
        <f t="shared" si="10"/>
        <v>1061.76</v>
      </c>
      <c r="AQ9" s="286">
        <f t="shared" ca="1" si="11"/>
        <v>7</v>
      </c>
      <c r="AR9" s="287">
        <f t="shared" ca="1" si="12"/>
        <v>0</v>
      </c>
      <c r="AU9" s="288" t="s">
        <v>73</v>
      </c>
      <c r="AV9" s="289">
        <f>IF('임대사업(E)'!AE38="", "", '임대사업(E)'!AE38)</f>
        <v>1050.06</v>
      </c>
      <c r="AW9" s="290">
        <f ca="1">IF(OFFSET('임대사업(E)'!AE38, 0, 5)="", "", OFFSET('임대사업(E)'!AE38, 0, 5))</f>
        <v>3</v>
      </c>
      <c r="AX9" s="291">
        <f ca="1">IF(OFFSET('임대사업(E)'!AE38, 0, 10)="", "", OFFSET('임대사업(E)'!AE38, 0, 10))</f>
        <v>0</v>
      </c>
      <c r="AY9" s="285">
        <f t="shared" si="13"/>
        <v>2111.8199999999997</v>
      </c>
      <c r="AZ9" s="286">
        <f t="shared" ca="1" si="14"/>
        <v>10</v>
      </c>
      <c r="BA9" s="287">
        <f t="shared" ca="1" si="15"/>
        <v>0</v>
      </c>
      <c r="BD9" s="288" t="s">
        <v>73</v>
      </c>
      <c r="BE9" s="289">
        <f>IF('임대사업(E)'!AE44="", "", '임대사업(E)'!AE44)</f>
        <v>462.46499999999997</v>
      </c>
      <c r="BF9" s="290">
        <f ca="1">IF(OFFSET('임대사업(E)'!AE44, 0, 5)="", "", OFFSET('임대사업(E)'!AE44, 0, 5))</f>
        <v>1</v>
      </c>
      <c r="BG9" s="291">
        <f ca="1">IF(OFFSET('임대사업(E)'!AE44, 0, 10)="", "", OFFSET('임대사업(E)'!AE44, 0, 10))</f>
        <v>0</v>
      </c>
      <c r="BH9" s="285">
        <f t="shared" si="16"/>
        <v>2574.2849999999999</v>
      </c>
      <c r="BI9" s="286">
        <f t="shared" ca="1" si="17"/>
        <v>11</v>
      </c>
      <c r="BJ9" s="287">
        <f t="shared" ca="1" si="18"/>
        <v>0</v>
      </c>
      <c r="BM9" s="288" t="s">
        <v>73</v>
      </c>
      <c r="BN9" s="289">
        <f>IF('임대사업(E)'!AE50="", "", '임대사업(E)'!AE50)</f>
        <v>0</v>
      </c>
      <c r="BO9" s="290">
        <f ca="1">IF(OFFSET('임대사업(E)'!AE50, 0, 5)="", "", OFFSET('임대사업(E)'!AE50, 0, 5))</f>
        <v>0</v>
      </c>
      <c r="BP9" s="291">
        <f ca="1">IF(OFFSET('임대사업(E)'!AE50, 0, 10)="", "", OFFSET('임대사업(E)'!AE50, 0, 10))</f>
        <v>0</v>
      </c>
      <c r="BQ9" s="285">
        <f t="shared" si="19"/>
        <v>2574.2849999999999</v>
      </c>
      <c r="BR9" s="286">
        <f t="shared" ca="1" si="20"/>
        <v>11</v>
      </c>
      <c r="BS9" s="287">
        <f t="shared" ca="1" si="21"/>
        <v>0</v>
      </c>
      <c r="BV9" s="288" t="s">
        <v>73</v>
      </c>
      <c r="BW9" s="289">
        <f>IF('임대사업(E)'!AE56="", "", '임대사업(E)'!AE56)</f>
        <v>125.13</v>
      </c>
      <c r="BX9" s="290">
        <f ca="1">IF(OFFSET('임대사업(E)'!AE56, 0, 5)="", "", OFFSET('임대사업(E)'!AE56, 0, 5))</f>
        <v>1</v>
      </c>
      <c r="BY9" s="291">
        <f ca="1">IF(OFFSET('임대사업(E)'!AE56, 0, 10)="", "", OFFSET('임대사업(E)'!AE56, 0, 10))</f>
        <v>0</v>
      </c>
      <c r="BZ9" s="285">
        <f t="shared" si="22"/>
        <v>2699.415</v>
      </c>
      <c r="CA9" s="286">
        <f t="shared" ca="1" si="23"/>
        <v>12</v>
      </c>
      <c r="CB9" s="287">
        <f t="shared" ca="1" si="24"/>
        <v>0</v>
      </c>
      <c r="CE9" s="288" t="s">
        <v>73</v>
      </c>
      <c r="CF9" s="289">
        <f>IF('임대사업(E)'!AE62="", "", '임대사업(E)'!AE62)</f>
        <v>0</v>
      </c>
      <c r="CG9" s="290">
        <f ca="1">IF(OFFSET('임대사업(E)'!AE62, 0, 5)="", "", OFFSET('임대사업(E)'!AE62, 0, 5))</f>
        <v>0</v>
      </c>
      <c r="CH9" s="291">
        <f ca="1">IF(OFFSET('임대사업(E)'!AE62, 0, 10)="", "", OFFSET('임대사업(E)'!AE62, 0, 10))</f>
        <v>0</v>
      </c>
      <c r="CI9" s="285">
        <f t="shared" si="25"/>
        <v>2699.415</v>
      </c>
      <c r="CJ9" s="286">
        <f t="shared" ca="1" si="26"/>
        <v>12</v>
      </c>
      <c r="CK9" s="287">
        <f t="shared" ca="1" si="27"/>
        <v>0</v>
      </c>
      <c r="CN9" s="288" t="s">
        <v>73</v>
      </c>
      <c r="CO9" s="289">
        <f>IF('임대사업(E)'!AE68="", "", '임대사업(E)'!AE68)</f>
        <v>0</v>
      </c>
      <c r="CP9" s="290">
        <f ca="1">IF(OFFSET('임대사업(E)'!AE68, 0, 5)="", "", OFFSET('임대사업(E)'!AE68, 0, 5))</f>
        <v>0</v>
      </c>
      <c r="CQ9" s="291">
        <f ca="1">IF(OFFSET('임대사업(E)'!AE68, 0, 10)="", "", OFFSET('임대사업(E)'!AE68, 0, 10))</f>
        <v>0</v>
      </c>
      <c r="CR9" s="285">
        <f t="shared" si="28"/>
        <v>2699.415</v>
      </c>
      <c r="CS9" s="286">
        <f t="shared" ca="1" si="29"/>
        <v>12</v>
      </c>
      <c r="CT9" s="287">
        <f t="shared" ca="1" si="30"/>
        <v>0</v>
      </c>
      <c r="CW9" s="288" t="s">
        <v>73</v>
      </c>
      <c r="CX9" s="289">
        <f>IF('임대사업(E)'!AE74="", "", '임대사업(E)'!AE74)</f>
        <v>0</v>
      </c>
      <c r="CY9" s="290">
        <f ca="1">IF(OFFSET('임대사업(E)'!AE74, 0, 5)="", "", OFFSET('임대사업(E)'!AE74, 0, 5))</f>
        <v>0</v>
      </c>
      <c r="CZ9" s="291">
        <f ca="1">IF(OFFSET('임대사업(E)'!AE74, 0, 10)="", "", OFFSET('임대사업(E)'!AE74, 0, 10))</f>
        <v>0</v>
      </c>
      <c r="DA9" s="285">
        <f t="shared" si="31"/>
        <v>2699.415</v>
      </c>
      <c r="DB9" s="286">
        <f t="shared" ca="1" si="32"/>
        <v>12</v>
      </c>
      <c r="DC9" s="287">
        <f t="shared" ca="1" si="33"/>
        <v>0</v>
      </c>
    </row>
    <row r="10" spans="1:107" s="41" customFormat="1" ht="31.5" x14ac:dyDescent="0.25">
      <c r="B10" s="288" t="s">
        <v>74</v>
      </c>
      <c r="C10" s="289">
        <f>IF('환경부사업(F)'!AE8="", "", '환경부사업(F)'!AE8)</f>
        <v>0</v>
      </c>
      <c r="D10" s="290">
        <f ca="1">IF(OFFSET('환경부사업(F)'!AE8, 0, 5)="", "", OFFSET('환경부사업(F)'!AE8, 0, 5))</f>
        <v>0</v>
      </c>
      <c r="E10" s="291">
        <f ca="1">IF(OFFSET('환경부사업(F)'!AE8, 0, 10)="", "", OFFSET('환경부사업(F)'!AE8, 0, 10))</f>
        <v>0</v>
      </c>
      <c r="F10" s="285">
        <f t="shared" si="0"/>
        <v>0</v>
      </c>
      <c r="G10" s="286">
        <f t="shared" ca="1" si="0"/>
        <v>0</v>
      </c>
      <c r="H10" s="287">
        <f t="shared" ca="1" si="0"/>
        <v>0</v>
      </c>
      <c r="K10" s="288" t="s">
        <v>74</v>
      </c>
      <c r="L10" s="289">
        <f>IF('환경부사업(F)'!AE14="", "", '환경부사업(F)'!AE14)</f>
        <v>0</v>
      </c>
      <c r="M10" s="290">
        <f ca="1">IF(OFFSET('환경부사업(F)'!AE14, 0, 5)="", "", OFFSET('환경부사업(F)'!AE14, 0, 5))</f>
        <v>0</v>
      </c>
      <c r="N10" s="291">
        <f ca="1">IF(OFFSET('환경부사업(F)'!AE14, 0, 10)="", "", OFFSET('환경부사업(F)'!AE14, 0, 10))</f>
        <v>0</v>
      </c>
      <c r="O10" s="285">
        <f t="shared" si="1"/>
        <v>0</v>
      </c>
      <c r="P10" s="286">
        <f t="shared" ca="1" si="2"/>
        <v>0</v>
      </c>
      <c r="Q10" s="287">
        <f t="shared" ca="1" si="3"/>
        <v>0</v>
      </c>
      <c r="T10" s="288" t="s">
        <v>74</v>
      </c>
      <c r="U10" s="289">
        <f>IF('환경부사업(F)'!AE20="", "", '환경부사업(F)'!AE20)</f>
        <v>349.44</v>
      </c>
      <c r="V10" s="290">
        <f ca="1">IF(OFFSET('환경부사업(F)'!AE20, 0, 5)="", "", OFFSET('환경부사업(F)'!AE20, 0, 5))</f>
        <v>1</v>
      </c>
      <c r="W10" s="291">
        <f ca="1">IF(OFFSET('환경부사업(F)'!AE20, 0, 10)="", "", OFFSET('환경부사업(F)'!AE20, 0, 10))</f>
        <v>3.5</v>
      </c>
      <c r="X10" s="285">
        <f t="shared" si="4"/>
        <v>349.44</v>
      </c>
      <c r="Y10" s="286">
        <f t="shared" ca="1" si="5"/>
        <v>1</v>
      </c>
      <c r="Z10" s="287">
        <f t="shared" ca="1" si="6"/>
        <v>3.5</v>
      </c>
      <c r="AC10" s="288" t="s">
        <v>74</v>
      </c>
      <c r="AD10" s="289">
        <f>IF('환경부사업(F)'!AE26="", "", '환경부사업(F)'!AE26)</f>
        <v>0</v>
      </c>
      <c r="AE10" s="290">
        <f ca="1">IF(OFFSET('환경부사업(F)'!AE26, 0, 5)="", "", OFFSET('환경부사업(F)'!AE26, 0, 5))</f>
        <v>0</v>
      </c>
      <c r="AF10" s="291">
        <f ca="1">IF(OFFSET('환경부사업(F)'!AE26, 0, 10)="", "", OFFSET('환경부사업(F)'!AE26, 0, 10))</f>
        <v>0</v>
      </c>
      <c r="AG10" s="285">
        <f t="shared" si="7"/>
        <v>349.44</v>
      </c>
      <c r="AH10" s="286">
        <f t="shared" ca="1" si="8"/>
        <v>1</v>
      </c>
      <c r="AI10" s="287">
        <f t="shared" ca="1" si="9"/>
        <v>3.5</v>
      </c>
      <c r="AL10" s="288" t="s">
        <v>74</v>
      </c>
      <c r="AM10" s="289">
        <f>IF('환경부사업(F)'!AE32="", "", '환경부사업(F)'!AE32)</f>
        <v>0</v>
      </c>
      <c r="AN10" s="290">
        <f ca="1">IF(OFFSET('환경부사업(F)'!AE32, 0, 5)="", "", OFFSET('환경부사업(F)'!AE32, 0, 5))</f>
        <v>0</v>
      </c>
      <c r="AO10" s="291">
        <f ca="1">IF(OFFSET('환경부사업(F)'!AE32, 0, 10)="", "", OFFSET('환경부사업(F)'!AE32, 0, 10))</f>
        <v>0</v>
      </c>
      <c r="AP10" s="285">
        <f t="shared" si="10"/>
        <v>349.44</v>
      </c>
      <c r="AQ10" s="286">
        <f t="shared" ca="1" si="11"/>
        <v>1</v>
      </c>
      <c r="AR10" s="287">
        <f t="shared" ca="1" si="12"/>
        <v>3.5</v>
      </c>
      <c r="AU10" s="288" t="s">
        <v>74</v>
      </c>
      <c r="AV10" s="289">
        <f>IF('환경부사업(F)'!AE38="", "", '환경부사업(F)'!AE38)</f>
        <v>0</v>
      </c>
      <c r="AW10" s="290">
        <f ca="1">IF(OFFSET('환경부사업(F)'!AE38, 0, 5)="", "", OFFSET('환경부사업(F)'!AE38, 0, 5))</f>
        <v>0</v>
      </c>
      <c r="AX10" s="291">
        <f ca="1">IF(OFFSET('환경부사업(F)'!AE38, 0, 10)="", "", OFFSET('환경부사업(F)'!AE38, 0, 10))</f>
        <v>0</v>
      </c>
      <c r="AY10" s="285">
        <f t="shared" si="13"/>
        <v>349.44</v>
      </c>
      <c r="AZ10" s="286">
        <f t="shared" ca="1" si="14"/>
        <v>1</v>
      </c>
      <c r="BA10" s="287">
        <f t="shared" ca="1" si="15"/>
        <v>3.5</v>
      </c>
      <c r="BD10" s="288" t="s">
        <v>74</v>
      </c>
      <c r="BE10" s="289">
        <f>IF('환경부사업(F)'!AE44="", "", '환경부사업(F)'!AE44)</f>
        <v>0</v>
      </c>
      <c r="BF10" s="290">
        <f ca="1">IF(OFFSET('환경부사업(F)'!AE44, 0, 5)="", "", OFFSET('환경부사업(F)'!AE44, 0, 5))</f>
        <v>0</v>
      </c>
      <c r="BG10" s="291">
        <f ca="1">IF(OFFSET('환경부사업(F)'!AE44, 0, 10)="", "", OFFSET('환경부사업(F)'!AE44, 0, 10))</f>
        <v>0</v>
      </c>
      <c r="BH10" s="285">
        <f t="shared" si="16"/>
        <v>349.44</v>
      </c>
      <c r="BI10" s="286">
        <f t="shared" ca="1" si="17"/>
        <v>1</v>
      </c>
      <c r="BJ10" s="287">
        <f t="shared" ca="1" si="18"/>
        <v>3.5</v>
      </c>
      <c r="BM10" s="288" t="s">
        <v>74</v>
      </c>
      <c r="BN10" s="289">
        <f>IF('환경부사업(F)'!AE50="", "", '환경부사업(F)'!AE50)</f>
        <v>0</v>
      </c>
      <c r="BO10" s="290">
        <f ca="1">IF(OFFSET('환경부사업(F)'!AE50, 0, 5)="", "", OFFSET('환경부사업(F)'!AE50, 0, 5))</f>
        <v>0</v>
      </c>
      <c r="BP10" s="291">
        <f ca="1">IF(OFFSET('환경부사업(F)'!AE50, 0, 10)="", "", OFFSET('환경부사업(F)'!AE50, 0, 10))</f>
        <v>0</v>
      </c>
      <c r="BQ10" s="285">
        <f t="shared" si="19"/>
        <v>349.44</v>
      </c>
      <c r="BR10" s="286">
        <f t="shared" ca="1" si="20"/>
        <v>1</v>
      </c>
      <c r="BS10" s="287">
        <f t="shared" ca="1" si="21"/>
        <v>3.5</v>
      </c>
      <c r="BV10" s="288" t="s">
        <v>74</v>
      </c>
      <c r="BW10" s="289">
        <f>IF('환경부사업(F)'!AE56="", "", '환경부사업(F)'!AE56)</f>
        <v>2744.4749999999999</v>
      </c>
      <c r="BX10" s="290">
        <f ca="1">IF(OFFSET('환경부사업(F)'!AE56, 0, 5)="", "", OFFSET('환경부사업(F)'!AE56, 0, 5))</f>
        <v>2</v>
      </c>
      <c r="BY10" s="291">
        <f ca="1">IF(OFFSET('환경부사업(F)'!AE56, 0, 10)="", "", OFFSET('환경부사업(F)'!AE56, 0, 10))</f>
        <v>37.24</v>
      </c>
      <c r="BZ10" s="285">
        <f t="shared" si="22"/>
        <v>3093.915</v>
      </c>
      <c r="CA10" s="286">
        <f t="shared" ca="1" si="23"/>
        <v>3</v>
      </c>
      <c r="CB10" s="287">
        <f t="shared" ca="1" si="24"/>
        <v>40.74</v>
      </c>
      <c r="CE10" s="288" t="s">
        <v>74</v>
      </c>
      <c r="CF10" s="289">
        <f>IF('환경부사업(F)'!AE62="", "", '환경부사업(F)'!AE62)</f>
        <v>0</v>
      </c>
      <c r="CG10" s="290">
        <f ca="1">IF(OFFSET('환경부사업(F)'!AE62, 0, 5)="", "", OFFSET('환경부사업(F)'!AE62, 0, 5))</f>
        <v>0</v>
      </c>
      <c r="CH10" s="291">
        <f ca="1">IF(OFFSET('환경부사업(F)'!AE62, 0, 10)="", "", OFFSET('환경부사업(F)'!AE62, 0, 10))</f>
        <v>0</v>
      </c>
      <c r="CI10" s="285">
        <f t="shared" si="25"/>
        <v>3093.915</v>
      </c>
      <c r="CJ10" s="286">
        <f t="shared" ca="1" si="26"/>
        <v>3</v>
      </c>
      <c r="CK10" s="287">
        <f t="shared" ca="1" si="27"/>
        <v>40.74</v>
      </c>
      <c r="CN10" s="288" t="s">
        <v>74</v>
      </c>
      <c r="CO10" s="289">
        <f>IF('환경부사업(F)'!AE68="", "", '환경부사업(F)'!AE68)</f>
        <v>0</v>
      </c>
      <c r="CP10" s="290">
        <f ca="1">IF(OFFSET('환경부사업(F)'!AE68, 0, 5)="", "", OFFSET('환경부사업(F)'!AE68, 0, 5))</f>
        <v>0</v>
      </c>
      <c r="CQ10" s="291">
        <f ca="1">IF(OFFSET('환경부사업(F)'!AE68, 0, 10)="", "", OFFSET('환경부사업(F)'!AE68, 0, 10))</f>
        <v>0</v>
      </c>
      <c r="CR10" s="285">
        <f t="shared" si="28"/>
        <v>3093.915</v>
      </c>
      <c r="CS10" s="286">
        <f t="shared" ca="1" si="29"/>
        <v>3</v>
      </c>
      <c r="CT10" s="287">
        <f t="shared" ca="1" si="30"/>
        <v>40.74</v>
      </c>
      <c r="CW10" s="288" t="s">
        <v>74</v>
      </c>
      <c r="CX10" s="289">
        <f>IF('환경부사업(F)'!AE74="", "", '환경부사업(F)'!AE74)</f>
        <v>0</v>
      </c>
      <c r="CY10" s="290">
        <f ca="1">IF(OFFSET('환경부사업(F)'!AE74, 0, 5)="", "", OFFSET('환경부사업(F)'!AE74, 0, 5))</f>
        <v>0</v>
      </c>
      <c r="CZ10" s="291">
        <f ca="1">IF(OFFSET('환경부사업(F)'!AE74, 0, 10)="", "", OFFSET('환경부사업(F)'!AE74, 0, 10))</f>
        <v>0</v>
      </c>
      <c r="DA10" s="285">
        <f t="shared" si="31"/>
        <v>3093.915</v>
      </c>
      <c r="DB10" s="286">
        <f t="shared" ca="1" si="32"/>
        <v>3</v>
      </c>
      <c r="DC10" s="287">
        <f t="shared" ca="1" si="33"/>
        <v>40.74</v>
      </c>
    </row>
    <row r="11" spans="1:107" s="41" customFormat="1" ht="31.5" x14ac:dyDescent="0.25">
      <c r="B11" s="288" t="s">
        <v>39</v>
      </c>
      <c r="C11" s="289">
        <f>IF('프로젝트(G)'!AE8="", "", '프로젝트(G)'!AE8)</f>
        <v>0</v>
      </c>
      <c r="D11" s="290">
        <f ca="1">IF(OFFSET('프로젝트(G)'!AE8, 0, 5)="", "", OFFSET('프로젝트(G)'!AE8, 0, 5))</f>
        <v>0</v>
      </c>
      <c r="E11" s="291">
        <f ca="1">IF(OFFSET('프로젝트(G)'!AE8, 0, 10)="", "", OFFSET('프로젝트(G)'!AE8, 0, 10))</f>
        <v>0</v>
      </c>
      <c r="F11" s="285">
        <f t="shared" si="0"/>
        <v>0</v>
      </c>
      <c r="G11" s="286">
        <f t="shared" ca="1" si="0"/>
        <v>0</v>
      </c>
      <c r="H11" s="287">
        <f t="shared" ca="1" si="0"/>
        <v>0</v>
      </c>
      <c r="K11" s="288" t="s">
        <v>39</v>
      </c>
      <c r="L11" s="289">
        <f>IF('프로젝트(G)'!AE14="", "", '프로젝트(G)'!AE14)</f>
        <v>0</v>
      </c>
      <c r="M11" s="290">
        <f ca="1">IF(OFFSET('프로젝트(G)'!AE14, 0, 5)="", "", OFFSET('프로젝트(G)'!AE14, 0, 5))</f>
        <v>0</v>
      </c>
      <c r="N11" s="291">
        <f ca="1">IF(OFFSET('프로젝트(G)'!AE14, 0, 10)="", "", OFFSET('프로젝트(G)'!AE14, 0, 10))</f>
        <v>0</v>
      </c>
      <c r="O11" s="285">
        <f t="shared" si="1"/>
        <v>0</v>
      </c>
      <c r="P11" s="286">
        <f t="shared" ca="1" si="2"/>
        <v>0</v>
      </c>
      <c r="Q11" s="287">
        <f t="shared" ca="1" si="3"/>
        <v>0</v>
      </c>
      <c r="T11" s="288" t="s">
        <v>39</v>
      </c>
      <c r="U11" s="289">
        <f>IF('프로젝트(G)'!AE20="", "", '프로젝트(G)'!AE20)</f>
        <v>0</v>
      </c>
      <c r="V11" s="290">
        <f ca="1">IF(OFFSET('프로젝트(G)'!AE20, 0, 5)="", "", OFFSET('프로젝트(G)'!AE20, 0, 5))</f>
        <v>0</v>
      </c>
      <c r="W11" s="291">
        <f ca="1">IF(OFFSET('프로젝트(G)'!AE20, 0, 10)="", "", OFFSET('프로젝트(G)'!AE20, 0, 10))</f>
        <v>0</v>
      </c>
      <c r="X11" s="285">
        <f t="shared" si="4"/>
        <v>0</v>
      </c>
      <c r="Y11" s="286">
        <f t="shared" ca="1" si="5"/>
        <v>0</v>
      </c>
      <c r="Z11" s="287">
        <f t="shared" ca="1" si="6"/>
        <v>0</v>
      </c>
      <c r="AC11" s="288" t="s">
        <v>39</v>
      </c>
      <c r="AD11" s="289">
        <f>IF('프로젝트(G)'!AE26="", "", '프로젝트(G)'!AE26)</f>
        <v>0</v>
      </c>
      <c r="AE11" s="290">
        <f ca="1">IF(OFFSET('프로젝트(G)'!AE26, 0, 5)="", "", OFFSET('프로젝트(G)'!AE26, 0, 5))</f>
        <v>0</v>
      </c>
      <c r="AF11" s="291">
        <f ca="1">IF(OFFSET('프로젝트(G)'!AE26, 0, 10)="", "", OFFSET('프로젝트(G)'!AE26, 0, 10))</f>
        <v>0</v>
      </c>
      <c r="AG11" s="285">
        <f t="shared" si="7"/>
        <v>0</v>
      </c>
      <c r="AH11" s="286">
        <f t="shared" ca="1" si="8"/>
        <v>0</v>
      </c>
      <c r="AI11" s="287">
        <f t="shared" ca="1" si="9"/>
        <v>0</v>
      </c>
      <c r="AL11" s="288" t="s">
        <v>39</v>
      </c>
      <c r="AM11" s="289">
        <f>IF('프로젝트(G)'!AE32="", "", '프로젝트(G)'!AE32)</f>
        <v>0</v>
      </c>
      <c r="AN11" s="290">
        <f ca="1">IF(OFFSET('프로젝트(G)'!AE32, 0, 5)="", "", OFFSET('프로젝트(G)'!AE32, 0, 5))</f>
        <v>0</v>
      </c>
      <c r="AO11" s="291">
        <f ca="1">IF(OFFSET('프로젝트(G)'!AE32, 0, 10)="", "", OFFSET('프로젝트(G)'!AE32, 0, 10))</f>
        <v>0</v>
      </c>
      <c r="AP11" s="285">
        <f t="shared" si="10"/>
        <v>0</v>
      </c>
      <c r="AQ11" s="286">
        <f t="shared" ca="1" si="11"/>
        <v>0</v>
      </c>
      <c r="AR11" s="287">
        <f t="shared" ca="1" si="12"/>
        <v>0</v>
      </c>
      <c r="AU11" s="288" t="s">
        <v>39</v>
      </c>
      <c r="AV11" s="289">
        <f>IF('프로젝트(G)'!AE38="", "", '프로젝트(G)'!AE38)</f>
        <v>0</v>
      </c>
      <c r="AW11" s="290">
        <f ca="1">IF(OFFSET('프로젝트(G)'!AE38, 0, 5)="", "", OFFSET('프로젝트(G)'!AE38, 0, 5))</f>
        <v>0</v>
      </c>
      <c r="AX11" s="291">
        <f ca="1">IF(OFFSET('프로젝트(G)'!AE38, 0, 10)="", "", OFFSET('프로젝트(G)'!AE38, 0, 10))</f>
        <v>0</v>
      </c>
      <c r="AY11" s="285">
        <f t="shared" si="13"/>
        <v>0</v>
      </c>
      <c r="AZ11" s="286">
        <f t="shared" ca="1" si="14"/>
        <v>0</v>
      </c>
      <c r="BA11" s="287">
        <f t="shared" ca="1" si="15"/>
        <v>0</v>
      </c>
      <c r="BD11" s="288" t="s">
        <v>39</v>
      </c>
      <c r="BE11" s="289">
        <f>IF('프로젝트(G)'!AE44="", "", '프로젝트(G)'!AE44)</f>
        <v>0</v>
      </c>
      <c r="BF11" s="290">
        <f ca="1">IF(OFFSET('프로젝트(G)'!AE44, 0, 5)="", "", OFFSET('프로젝트(G)'!AE44, 0, 5))</f>
        <v>0</v>
      </c>
      <c r="BG11" s="291">
        <f ca="1">IF(OFFSET('프로젝트(G)'!AE44, 0, 10)="", "", OFFSET('프로젝트(G)'!AE44, 0, 10))</f>
        <v>0</v>
      </c>
      <c r="BH11" s="285">
        <f t="shared" si="16"/>
        <v>0</v>
      </c>
      <c r="BI11" s="286">
        <f t="shared" ca="1" si="17"/>
        <v>0</v>
      </c>
      <c r="BJ11" s="287">
        <f t="shared" ca="1" si="18"/>
        <v>0</v>
      </c>
      <c r="BM11" s="288" t="s">
        <v>39</v>
      </c>
      <c r="BN11" s="289">
        <f>IF('프로젝트(G)'!AE50="", "", '프로젝트(G)'!AE50)</f>
        <v>0</v>
      </c>
      <c r="BO11" s="290">
        <f ca="1">IF(OFFSET('프로젝트(G)'!AE50, 0, 5)="", "", OFFSET('프로젝트(G)'!AE50, 0, 5))</f>
        <v>0</v>
      </c>
      <c r="BP11" s="291">
        <f ca="1">IF(OFFSET('프로젝트(G)'!AE50, 0, 10)="", "", OFFSET('프로젝트(G)'!AE50, 0, 10))</f>
        <v>0</v>
      </c>
      <c r="BQ11" s="285">
        <f t="shared" si="19"/>
        <v>0</v>
      </c>
      <c r="BR11" s="286">
        <f t="shared" ca="1" si="20"/>
        <v>0</v>
      </c>
      <c r="BS11" s="287">
        <f t="shared" ca="1" si="21"/>
        <v>0</v>
      </c>
      <c r="BV11" s="288" t="s">
        <v>39</v>
      </c>
      <c r="BW11" s="289">
        <f>IF('프로젝트(G)'!AE56="", "", '프로젝트(G)'!AE56)</f>
        <v>0</v>
      </c>
      <c r="BX11" s="290">
        <f ca="1">IF(OFFSET('프로젝트(G)'!AE56, 0, 5)="", "", OFFSET('프로젝트(G)'!AE56, 0, 5))</f>
        <v>0</v>
      </c>
      <c r="BY11" s="291">
        <f ca="1">IF(OFFSET('프로젝트(G)'!AE56, 0, 10)="", "", OFFSET('프로젝트(G)'!AE56, 0, 10))</f>
        <v>0</v>
      </c>
      <c r="BZ11" s="285">
        <f t="shared" si="22"/>
        <v>0</v>
      </c>
      <c r="CA11" s="286">
        <f t="shared" ca="1" si="23"/>
        <v>0</v>
      </c>
      <c r="CB11" s="287">
        <f t="shared" ca="1" si="24"/>
        <v>0</v>
      </c>
      <c r="CE11" s="288" t="s">
        <v>39</v>
      </c>
      <c r="CF11" s="289">
        <f>IF('프로젝트(G)'!AE62="", "", '프로젝트(G)'!AE62)</f>
        <v>0</v>
      </c>
      <c r="CG11" s="290">
        <f ca="1">IF(OFFSET('프로젝트(G)'!AE62, 0, 5)="", "", OFFSET('프로젝트(G)'!AE62, 0, 5))</f>
        <v>0</v>
      </c>
      <c r="CH11" s="291">
        <f ca="1">IF(OFFSET('프로젝트(G)'!AE62, 0, 10)="", "", OFFSET('프로젝트(G)'!AE62, 0, 10))</f>
        <v>0</v>
      </c>
      <c r="CI11" s="285">
        <f t="shared" si="25"/>
        <v>0</v>
      </c>
      <c r="CJ11" s="286">
        <f t="shared" ca="1" si="26"/>
        <v>0</v>
      </c>
      <c r="CK11" s="287">
        <f t="shared" ca="1" si="27"/>
        <v>0</v>
      </c>
      <c r="CN11" s="288" t="s">
        <v>39</v>
      </c>
      <c r="CO11" s="289">
        <f>IF('프로젝트(G)'!AE68="", "", '프로젝트(G)'!AE68)</f>
        <v>0</v>
      </c>
      <c r="CP11" s="290">
        <f ca="1">IF(OFFSET('프로젝트(G)'!AE68, 0, 5)="", "", OFFSET('프로젝트(G)'!AE68, 0, 5))</f>
        <v>0</v>
      </c>
      <c r="CQ11" s="291">
        <f ca="1">IF(OFFSET('프로젝트(G)'!AE68, 0, 10)="", "", OFFSET('프로젝트(G)'!AE68, 0, 10))</f>
        <v>0</v>
      </c>
      <c r="CR11" s="285">
        <f t="shared" si="28"/>
        <v>0</v>
      </c>
      <c r="CS11" s="286">
        <f t="shared" ca="1" si="29"/>
        <v>0</v>
      </c>
      <c r="CT11" s="287">
        <f t="shared" ca="1" si="30"/>
        <v>0</v>
      </c>
      <c r="CW11" s="288" t="s">
        <v>39</v>
      </c>
      <c r="CX11" s="289">
        <f>IF('프로젝트(G)'!AE74="", "", '프로젝트(G)'!AE74)</f>
        <v>0</v>
      </c>
      <c r="CY11" s="290">
        <f ca="1">IF(OFFSET('프로젝트(G)'!AE74, 0, 5)="", "", OFFSET('프로젝트(G)'!AE74, 0, 5))</f>
        <v>0</v>
      </c>
      <c r="CZ11" s="291">
        <f ca="1">IF(OFFSET('프로젝트(G)'!AE74, 0, 10)="", "", OFFSET('프로젝트(G)'!AE74, 0, 10))</f>
        <v>0</v>
      </c>
      <c r="DA11" s="285">
        <f t="shared" si="31"/>
        <v>0</v>
      </c>
      <c r="DB11" s="286">
        <f t="shared" ca="1" si="32"/>
        <v>0</v>
      </c>
      <c r="DC11" s="287">
        <f t="shared" ca="1" si="33"/>
        <v>0</v>
      </c>
    </row>
    <row r="12" spans="1:107" s="41" customFormat="1" ht="31.5" x14ac:dyDescent="0.25">
      <c r="B12" s="288" t="s">
        <v>75</v>
      </c>
      <c r="C12" s="289">
        <f>IF('협력사 EPC(H)'!AE8="", "", '협력사 EPC(H)'!AE8)</f>
        <v>0</v>
      </c>
      <c r="D12" s="290">
        <f ca="1">IF(OFFSET('협력사 EPC(H)'!AE8, 0, 5)="", "", OFFSET('협력사 EPC(H)'!AE8, 0, 5))</f>
        <v>0</v>
      </c>
      <c r="E12" s="291">
        <f ca="1">IF(OFFSET('협력사 EPC(H)'!AE8, 0, 10)="", "", OFFSET('협력사 EPC(H)'!AE8, 0, 10))</f>
        <v>0</v>
      </c>
      <c r="F12" s="285">
        <f t="shared" si="0"/>
        <v>0</v>
      </c>
      <c r="G12" s="286">
        <f t="shared" ca="1" si="0"/>
        <v>0</v>
      </c>
      <c r="H12" s="287">
        <f t="shared" ca="1" si="0"/>
        <v>0</v>
      </c>
      <c r="K12" s="288" t="s">
        <v>75</v>
      </c>
      <c r="L12" s="289">
        <f>IF('협력사 EPC(H)'!AE14="", "", '협력사 EPC(H)'!AE14)</f>
        <v>29.024999999999999</v>
      </c>
      <c r="M12" s="290">
        <f ca="1">IF(OFFSET('협력사 EPC(H)'!AE14, 0, 5)="", "", OFFSET('협력사 EPC(H)'!AE14, 0, 5))</f>
        <v>1</v>
      </c>
      <c r="N12" s="291">
        <f ca="1">IF(OFFSET('협력사 EPC(H)'!AE14, 0, 10)="", "", OFFSET('협력사 EPC(H)'!AE14, 0, 10))</f>
        <v>0.28999999999999998</v>
      </c>
      <c r="O12" s="285">
        <f t="shared" si="1"/>
        <v>29.024999999999999</v>
      </c>
      <c r="P12" s="286">
        <f t="shared" ca="1" si="2"/>
        <v>1</v>
      </c>
      <c r="Q12" s="287">
        <f t="shared" ca="1" si="3"/>
        <v>0.28999999999999998</v>
      </c>
      <c r="T12" s="288" t="s">
        <v>75</v>
      </c>
      <c r="U12" s="289">
        <f>IF('협력사 EPC(H)'!AE20="", "", '협력사 EPC(H)'!AE20)</f>
        <v>0</v>
      </c>
      <c r="V12" s="290">
        <f ca="1">IF(OFFSET('협력사 EPC(H)'!AE20, 0, 5)="", "", OFFSET('협력사 EPC(H)'!AE20, 0, 5))</f>
        <v>0</v>
      </c>
      <c r="W12" s="291">
        <f ca="1">IF(OFFSET('협력사 EPC(H)'!AE20, 0, 10)="", "", OFFSET('협력사 EPC(H)'!AE20, 0, 10))</f>
        <v>0</v>
      </c>
      <c r="X12" s="285">
        <f t="shared" si="4"/>
        <v>29.024999999999999</v>
      </c>
      <c r="Y12" s="286">
        <f t="shared" ca="1" si="5"/>
        <v>1</v>
      </c>
      <c r="Z12" s="287">
        <f t="shared" ca="1" si="6"/>
        <v>0.28999999999999998</v>
      </c>
      <c r="AC12" s="288" t="s">
        <v>75</v>
      </c>
      <c r="AD12" s="289">
        <f>IF('협력사 EPC(H)'!AE26="", "", '협력사 EPC(H)'!AE26)</f>
        <v>0</v>
      </c>
      <c r="AE12" s="290">
        <f ca="1">IF(OFFSET('협력사 EPC(H)'!AE26, 0, 5)="", "", OFFSET('협력사 EPC(H)'!AE26, 0, 5))</f>
        <v>0</v>
      </c>
      <c r="AF12" s="291">
        <f ca="1">IF(OFFSET('협력사 EPC(H)'!AE26, 0, 10)="", "", OFFSET('협력사 EPC(H)'!AE26, 0, 10))</f>
        <v>0</v>
      </c>
      <c r="AG12" s="285">
        <f t="shared" si="7"/>
        <v>29.024999999999999</v>
      </c>
      <c r="AH12" s="286">
        <f t="shared" ca="1" si="8"/>
        <v>1</v>
      </c>
      <c r="AI12" s="287">
        <f t="shared" ca="1" si="9"/>
        <v>0.28999999999999998</v>
      </c>
      <c r="AL12" s="288" t="s">
        <v>75</v>
      </c>
      <c r="AM12" s="289">
        <f>IF('협력사 EPC(H)'!AE32="", "", '협력사 EPC(H)'!AE32)</f>
        <v>0</v>
      </c>
      <c r="AN12" s="290">
        <f ca="1">IF(OFFSET('협력사 EPC(H)'!AE32, 0, 5)="", "", OFFSET('협력사 EPC(H)'!AE32, 0, 5))</f>
        <v>0</v>
      </c>
      <c r="AO12" s="291">
        <f ca="1">IF(OFFSET('협력사 EPC(H)'!AE32, 0, 10)="", "", OFFSET('협력사 EPC(H)'!AE32, 0, 10))</f>
        <v>0</v>
      </c>
      <c r="AP12" s="285">
        <f t="shared" si="10"/>
        <v>29.024999999999999</v>
      </c>
      <c r="AQ12" s="286">
        <f t="shared" ca="1" si="11"/>
        <v>1</v>
      </c>
      <c r="AR12" s="287">
        <f t="shared" ca="1" si="12"/>
        <v>0.28999999999999998</v>
      </c>
      <c r="AU12" s="288" t="s">
        <v>75</v>
      </c>
      <c r="AV12" s="289">
        <f>IF('협력사 EPC(H)'!AE38="", "", '협력사 EPC(H)'!AE38)</f>
        <v>0</v>
      </c>
      <c r="AW12" s="290">
        <f ca="1">IF(OFFSET('협력사 EPC(H)'!AE38, 0, 5)="", "", OFFSET('협력사 EPC(H)'!AE38, 0, 5))</f>
        <v>0</v>
      </c>
      <c r="AX12" s="291">
        <f ca="1">IF(OFFSET('협력사 EPC(H)'!AE38, 0, 10)="", "", OFFSET('협력사 EPC(H)'!AE38, 0, 10))</f>
        <v>0</v>
      </c>
      <c r="AY12" s="285">
        <f t="shared" si="13"/>
        <v>29.024999999999999</v>
      </c>
      <c r="AZ12" s="286">
        <f t="shared" ca="1" si="14"/>
        <v>1</v>
      </c>
      <c r="BA12" s="287">
        <f t="shared" ca="1" si="15"/>
        <v>0.28999999999999998</v>
      </c>
      <c r="BD12" s="288" t="s">
        <v>75</v>
      </c>
      <c r="BE12" s="289">
        <f>IF('협력사 EPC(H)'!AE44="", "", '협력사 EPC(H)'!AE44)</f>
        <v>0</v>
      </c>
      <c r="BF12" s="290">
        <f ca="1">IF(OFFSET('협력사 EPC(H)'!AE44, 0, 5)="", "", OFFSET('협력사 EPC(H)'!AE44, 0, 5))</f>
        <v>0</v>
      </c>
      <c r="BG12" s="291">
        <f ca="1">IF(OFFSET('협력사 EPC(H)'!AE44, 0, 10)="", "", OFFSET('협력사 EPC(H)'!AE44, 0, 10))</f>
        <v>0</v>
      </c>
      <c r="BH12" s="285">
        <f t="shared" si="16"/>
        <v>29.024999999999999</v>
      </c>
      <c r="BI12" s="286">
        <f t="shared" ca="1" si="17"/>
        <v>1</v>
      </c>
      <c r="BJ12" s="287">
        <f t="shared" ca="1" si="18"/>
        <v>0.28999999999999998</v>
      </c>
      <c r="BM12" s="288" t="s">
        <v>75</v>
      </c>
      <c r="BN12" s="289">
        <f>IF('협력사 EPC(H)'!AE50="", "", '협력사 EPC(H)'!AE50)</f>
        <v>41.28</v>
      </c>
      <c r="BO12" s="290">
        <f ca="1">IF(OFFSET('협력사 EPC(H)'!AE50, 0, 5)="", "", OFFSET('협력사 EPC(H)'!AE50, 0, 5))</f>
        <v>1</v>
      </c>
      <c r="BP12" s="291">
        <f ca="1">IF(OFFSET('협력사 EPC(H)'!AE50, 0, 10)="", "", OFFSET('협력사 EPC(H)'!AE50, 0, 10))</f>
        <v>0.33</v>
      </c>
      <c r="BQ12" s="285">
        <f t="shared" si="19"/>
        <v>70.305000000000007</v>
      </c>
      <c r="BR12" s="286">
        <f t="shared" ca="1" si="20"/>
        <v>2</v>
      </c>
      <c r="BS12" s="287">
        <f t="shared" ca="1" si="21"/>
        <v>0.62</v>
      </c>
      <c r="BV12" s="288" t="s">
        <v>75</v>
      </c>
      <c r="BW12" s="289">
        <f>IF('협력사 EPC(H)'!AE56="", "", '협력사 EPC(H)'!AE56)</f>
        <v>0</v>
      </c>
      <c r="BX12" s="290">
        <f ca="1">IF(OFFSET('협력사 EPC(H)'!AE56, 0, 5)="", "", OFFSET('협력사 EPC(H)'!AE56, 0, 5))</f>
        <v>0</v>
      </c>
      <c r="BY12" s="291">
        <f ca="1">IF(OFFSET('협력사 EPC(H)'!AE56, 0, 10)="", "", OFFSET('협력사 EPC(H)'!AE56, 0, 10))</f>
        <v>0</v>
      </c>
      <c r="BZ12" s="285">
        <f t="shared" si="22"/>
        <v>70.305000000000007</v>
      </c>
      <c r="CA12" s="286">
        <f t="shared" ca="1" si="23"/>
        <v>2</v>
      </c>
      <c r="CB12" s="287">
        <f t="shared" ca="1" si="24"/>
        <v>0.62</v>
      </c>
      <c r="CE12" s="288" t="s">
        <v>75</v>
      </c>
      <c r="CF12" s="289">
        <f>IF('협력사 EPC(H)'!AE62="", "", '협력사 EPC(H)'!AE62)</f>
        <v>0</v>
      </c>
      <c r="CG12" s="290">
        <f ca="1">IF(OFFSET('협력사 EPC(H)'!AE62, 0, 5)="", "", OFFSET('협력사 EPC(H)'!AE62, 0, 5))</f>
        <v>0</v>
      </c>
      <c r="CH12" s="291">
        <f ca="1">IF(OFFSET('협력사 EPC(H)'!AE62, 0, 10)="", "", OFFSET('협력사 EPC(H)'!AE62, 0, 10))</f>
        <v>0</v>
      </c>
      <c r="CI12" s="285">
        <f t="shared" si="25"/>
        <v>70.305000000000007</v>
      </c>
      <c r="CJ12" s="286">
        <f t="shared" ca="1" si="26"/>
        <v>2</v>
      </c>
      <c r="CK12" s="287">
        <f t="shared" ca="1" si="27"/>
        <v>0.62</v>
      </c>
      <c r="CN12" s="288" t="s">
        <v>75</v>
      </c>
      <c r="CO12" s="289">
        <f>IF('협력사 EPC(H)'!AE68="", "", '협력사 EPC(H)'!AE68)</f>
        <v>0</v>
      </c>
      <c r="CP12" s="290">
        <f ca="1">IF(OFFSET('협력사 EPC(H)'!AE68, 0, 5)="", "", OFFSET('협력사 EPC(H)'!AE68, 0, 5))</f>
        <v>0</v>
      </c>
      <c r="CQ12" s="291">
        <f ca="1">IF(OFFSET('협력사 EPC(H)'!AE68, 0, 10)="", "", OFFSET('협력사 EPC(H)'!AE68, 0, 10))</f>
        <v>0</v>
      </c>
      <c r="CR12" s="285">
        <f t="shared" si="28"/>
        <v>70.305000000000007</v>
      </c>
      <c r="CS12" s="286">
        <f t="shared" ca="1" si="29"/>
        <v>2</v>
      </c>
      <c r="CT12" s="287">
        <f t="shared" ca="1" si="30"/>
        <v>0.62</v>
      </c>
      <c r="CW12" s="288" t="s">
        <v>75</v>
      </c>
      <c r="CX12" s="289">
        <f>IF('협력사 EPC(H)'!AE74="", "", '협력사 EPC(H)'!AE74)</f>
        <v>0</v>
      </c>
      <c r="CY12" s="290">
        <f ca="1">IF(OFFSET('협력사 EPC(H)'!AE74, 0, 5)="", "", OFFSET('협력사 EPC(H)'!AE74, 0, 5))</f>
        <v>0</v>
      </c>
      <c r="CZ12" s="291">
        <f ca="1">IF(OFFSET('협력사 EPC(H)'!AE74, 0, 10)="", "", OFFSET('협력사 EPC(H)'!AE74, 0, 10))</f>
        <v>0</v>
      </c>
      <c r="DA12" s="285">
        <f t="shared" si="31"/>
        <v>70.305000000000007</v>
      </c>
      <c r="DB12" s="286">
        <f t="shared" ca="1" si="32"/>
        <v>2</v>
      </c>
      <c r="DC12" s="287">
        <f t="shared" ca="1" si="33"/>
        <v>0.62</v>
      </c>
    </row>
    <row r="13" spans="1:107" s="41" customFormat="1" ht="31.5" x14ac:dyDescent="0.25">
      <c r="B13" s="288" t="s">
        <v>76</v>
      </c>
      <c r="C13" s="289">
        <f>IF('협력사 하도(I)'!AE8="", "", '협력사 하도(I)'!AE8)</f>
        <v>0</v>
      </c>
      <c r="D13" s="290">
        <f ca="1">IF(OFFSET('협력사 하도(I)'!AE8, 0, 5)="", "", OFFSET('협력사 하도(I)'!AE8, 0, 5))</f>
        <v>0</v>
      </c>
      <c r="E13" s="291">
        <f ca="1">IF(OFFSET('협력사 하도(I)'!AE8, 0, 10)="", "", OFFSET('협력사 하도(I)'!AE8, 0, 10))</f>
        <v>0</v>
      </c>
      <c r="F13" s="285">
        <f t="shared" si="0"/>
        <v>0</v>
      </c>
      <c r="G13" s="286">
        <f t="shared" ca="1" si="0"/>
        <v>0</v>
      </c>
      <c r="H13" s="287">
        <f t="shared" ca="1" si="0"/>
        <v>0</v>
      </c>
      <c r="K13" s="288" t="s">
        <v>76</v>
      </c>
      <c r="L13" s="289">
        <f>IF('협력사 하도(I)'!AE14="", "", '협력사 하도(I)'!AE14)</f>
        <v>0</v>
      </c>
      <c r="M13" s="290">
        <f ca="1">IF(OFFSET('협력사 하도(I)'!AE14, 0, 5)="", "", OFFSET('협력사 하도(I)'!AE14, 0, 5))</f>
        <v>0</v>
      </c>
      <c r="N13" s="291">
        <f ca="1">IF(OFFSET('협력사 하도(I)'!AE14, 0, 10)="", "", OFFSET('협력사 하도(I)'!AE14, 0, 10))</f>
        <v>0</v>
      </c>
      <c r="O13" s="285">
        <f t="shared" si="1"/>
        <v>0</v>
      </c>
      <c r="P13" s="286">
        <f t="shared" ca="1" si="2"/>
        <v>0</v>
      </c>
      <c r="Q13" s="287">
        <f t="shared" ca="1" si="3"/>
        <v>0</v>
      </c>
      <c r="T13" s="288" t="s">
        <v>76</v>
      </c>
      <c r="U13" s="289">
        <f>IF('협력사 하도(I)'!AE20="", "", '협력사 하도(I)'!AE20)</f>
        <v>0</v>
      </c>
      <c r="V13" s="290">
        <f ca="1">IF(OFFSET('협력사 하도(I)'!AE20, 0, 5)="", "", OFFSET('협력사 하도(I)'!AE20, 0, 5))</f>
        <v>0</v>
      </c>
      <c r="W13" s="291">
        <f ca="1">IF(OFFSET('협력사 하도(I)'!AE20, 0, 10)="", "", OFFSET('협력사 하도(I)'!AE20, 0, 10))</f>
        <v>0</v>
      </c>
      <c r="X13" s="285">
        <f t="shared" si="4"/>
        <v>0</v>
      </c>
      <c r="Y13" s="286">
        <f t="shared" ca="1" si="5"/>
        <v>0</v>
      </c>
      <c r="Z13" s="287">
        <f t="shared" ca="1" si="6"/>
        <v>0</v>
      </c>
      <c r="AC13" s="288" t="s">
        <v>76</v>
      </c>
      <c r="AD13" s="289">
        <f>IF('협력사 하도(I)'!AE26="", "", '협력사 하도(I)'!AE26)</f>
        <v>0</v>
      </c>
      <c r="AE13" s="290">
        <f ca="1">IF(OFFSET('협력사 하도(I)'!AE26, 0, 5)="", "", OFFSET('협력사 하도(I)'!AE26, 0, 5))</f>
        <v>0</v>
      </c>
      <c r="AF13" s="291">
        <f ca="1">IF(OFFSET('협력사 하도(I)'!AE26, 0, 10)="", "", OFFSET('협력사 하도(I)'!AE26, 0, 10))</f>
        <v>0</v>
      </c>
      <c r="AG13" s="285">
        <f t="shared" si="7"/>
        <v>0</v>
      </c>
      <c r="AH13" s="286">
        <f t="shared" ca="1" si="8"/>
        <v>0</v>
      </c>
      <c r="AI13" s="287">
        <f t="shared" ca="1" si="9"/>
        <v>0</v>
      </c>
      <c r="AL13" s="288" t="s">
        <v>76</v>
      </c>
      <c r="AM13" s="289">
        <f>IF('협력사 하도(I)'!AE32="", "", '협력사 하도(I)'!AE32)</f>
        <v>0</v>
      </c>
      <c r="AN13" s="290">
        <f ca="1">IF(OFFSET('협력사 하도(I)'!AE32, 0, 5)="", "", OFFSET('협력사 하도(I)'!AE32, 0, 5))</f>
        <v>0</v>
      </c>
      <c r="AO13" s="291">
        <f ca="1">IF(OFFSET('협력사 하도(I)'!AE32, 0, 10)="", "", OFFSET('협력사 하도(I)'!AE32, 0, 10))</f>
        <v>0</v>
      </c>
      <c r="AP13" s="285">
        <f t="shared" si="10"/>
        <v>0</v>
      </c>
      <c r="AQ13" s="286">
        <f t="shared" ca="1" si="11"/>
        <v>0</v>
      </c>
      <c r="AR13" s="287">
        <f t="shared" ca="1" si="12"/>
        <v>0</v>
      </c>
      <c r="AU13" s="288" t="s">
        <v>76</v>
      </c>
      <c r="AV13" s="289">
        <f>IF('협력사 하도(I)'!AE38="", "", '협력사 하도(I)'!AE38)</f>
        <v>0</v>
      </c>
      <c r="AW13" s="290">
        <f ca="1">IF(OFFSET('협력사 하도(I)'!AE38, 0, 5)="", "", OFFSET('협력사 하도(I)'!AE38, 0, 5))</f>
        <v>0</v>
      </c>
      <c r="AX13" s="291">
        <f ca="1">IF(OFFSET('협력사 하도(I)'!AE38, 0, 10)="", "", OFFSET('협력사 하도(I)'!AE38, 0, 10))</f>
        <v>0</v>
      </c>
      <c r="AY13" s="285">
        <f t="shared" si="13"/>
        <v>0</v>
      </c>
      <c r="AZ13" s="286">
        <f t="shared" ca="1" si="14"/>
        <v>0</v>
      </c>
      <c r="BA13" s="287">
        <f t="shared" ca="1" si="15"/>
        <v>0</v>
      </c>
      <c r="BD13" s="288" t="s">
        <v>76</v>
      </c>
      <c r="BE13" s="289">
        <f>IF('협력사 하도(I)'!AE44="", "", '협력사 하도(I)'!AE44)</f>
        <v>0</v>
      </c>
      <c r="BF13" s="290">
        <f ca="1">IF(OFFSET('협력사 하도(I)'!AE44, 0, 5)="", "", OFFSET('협력사 하도(I)'!AE44, 0, 5))</f>
        <v>0</v>
      </c>
      <c r="BG13" s="291">
        <f ca="1">IF(OFFSET('협력사 하도(I)'!AE44, 0, 10)="", "", OFFSET('협력사 하도(I)'!AE44, 0, 10))</f>
        <v>0</v>
      </c>
      <c r="BH13" s="285">
        <f t="shared" si="16"/>
        <v>0</v>
      </c>
      <c r="BI13" s="286">
        <f t="shared" ca="1" si="17"/>
        <v>0</v>
      </c>
      <c r="BJ13" s="287">
        <f t="shared" ca="1" si="18"/>
        <v>0</v>
      </c>
      <c r="BM13" s="288" t="s">
        <v>76</v>
      </c>
      <c r="BN13" s="289">
        <f>IF('협력사 하도(I)'!AE50="", "", '협력사 하도(I)'!AE50)</f>
        <v>0</v>
      </c>
      <c r="BO13" s="290">
        <f ca="1">IF(OFFSET('협력사 하도(I)'!AE50, 0, 5)="", "", OFFSET('협력사 하도(I)'!AE50, 0, 5))</f>
        <v>0</v>
      </c>
      <c r="BP13" s="291">
        <f ca="1">IF(OFFSET('협력사 하도(I)'!AE50, 0, 10)="", "", OFFSET('협력사 하도(I)'!AE50, 0, 10))</f>
        <v>0</v>
      </c>
      <c r="BQ13" s="285">
        <f t="shared" si="19"/>
        <v>0</v>
      </c>
      <c r="BR13" s="286">
        <f t="shared" ca="1" si="20"/>
        <v>0</v>
      </c>
      <c r="BS13" s="287">
        <f t="shared" ca="1" si="21"/>
        <v>0</v>
      </c>
      <c r="BV13" s="288" t="s">
        <v>76</v>
      </c>
      <c r="BW13" s="289">
        <f>IF('협력사 하도(I)'!AE56="", "", '협력사 하도(I)'!AE56)</f>
        <v>0</v>
      </c>
      <c r="BX13" s="290">
        <f ca="1">IF(OFFSET('협력사 하도(I)'!AE56, 0, 5)="", "", OFFSET('협력사 하도(I)'!AE56, 0, 5))</f>
        <v>0</v>
      </c>
      <c r="BY13" s="291">
        <f ca="1">IF(OFFSET('협력사 하도(I)'!AE56, 0, 10)="", "", OFFSET('협력사 하도(I)'!AE56, 0, 10))</f>
        <v>0</v>
      </c>
      <c r="BZ13" s="285">
        <f t="shared" si="22"/>
        <v>0</v>
      </c>
      <c r="CA13" s="286">
        <f t="shared" ca="1" si="23"/>
        <v>0</v>
      </c>
      <c r="CB13" s="287">
        <f t="shared" ca="1" si="24"/>
        <v>0</v>
      </c>
      <c r="CE13" s="288" t="s">
        <v>76</v>
      </c>
      <c r="CF13" s="289">
        <f>IF('협력사 하도(I)'!AE62="", "", '협력사 하도(I)'!AE62)</f>
        <v>0</v>
      </c>
      <c r="CG13" s="290">
        <f ca="1">IF(OFFSET('협력사 하도(I)'!AE62, 0, 5)="", "", OFFSET('협력사 하도(I)'!AE62, 0, 5))</f>
        <v>0</v>
      </c>
      <c r="CH13" s="291">
        <f ca="1">IF(OFFSET('협력사 하도(I)'!AE62, 0, 10)="", "", OFFSET('협력사 하도(I)'!AE62, 0, 10))</f>
        <v>0</v>
      </c>
      <c r="CI13" s="285">
        <f t="shared" si="25"/>
        <v>0</v>
      </c>
      <c r="CJ13" s="286">
        <f t="shared" ca="1" si="26"/>
        <v>0</v>
      </c>
      <c r="CK13" s="287">
        <f t="shared" ca="1" si="27"/>
        <v>0</v>
      </c>
      <c r="CN13" s="288" t="s">
        <v>76</v>
      </c>
      <c r="CO13" s="289">
        <f>IF('협력사 하도(I)'!AE68="", "", '협력사 하도(I)'!AE68)</f>
        <v>0</v>
      </c>
      <c r="CP13" s="290">
        <f ca="1">IF(OFFSET('협력사 하도(I)'!AE68, 0, 5)="", "", OFFSET('협력사 하도(I)'!AE68, 0, 5))</f>
        <v>0</v>
      </c>
      <c r="CQ13" s="291">
        <f ca="1">IF(OFFSET('협력사 하도(I)'!AE68, 0, 10)="", "", OFFSET('협력사 하도(I)'!AE68, 0, 10))</f>
        <v>0</v>
      </c>
      <c r="CR13" s="285">
        <f t="shared" si="28"/>
        <v>0</v>
      </c>
      <c r="CS13" s="286">
        <f t="shared" ca="1" si="29"/>
        <v>0</v>
      </c>
      <c r="CT13" s="287">
        <f t="shared" ca="1" si="30"/>
        <v>0</v>
      </c>
      <c r="CW13" s="288" t="s">
        <v>76</v>
      </c>
      <c r="CX13" s="289">
        <f>IF('협력사 하도(I)'!AE74="", "", '협력사 하도(I)'!AE74)</f>
        <v>0</v>
      </c>
      <c r="CY13" s="290">
        <f ca="1">IF(OFFSET('협력사 하도(I)'!AE74, 0, 5)="", "", OFFSET('협력사 하도(I)'!AE74, 0, 5))</f>
        <v>0</v>
      </c>
      <c r="CZ13" s="291">
        <f ca="1">IF(OFFSET('협력사 하도(I)'!AE74, 0, 10)="", "", OFFSET('협력사 하도(I)'!AE74, 0, 10))</f>
        <v>0</v>
      </c>
      <c r="DA13" s="285">
        <f t="shared" si="31"/>
        <v>0</v>
      </c>
      <c r="DB13" s="286">
        <f t="shared" ca="1" si="32"/>
        <v>0</v>
      </c>
      <c r="DC13" s="287">
        <f t="shared" ca="1" si="33"/>
        <v>0</v>
      </c>
    </row>
    <row r="14" spans="1:107" s="41" customFormat="1" ht="32.25" thickBot="1" x14ac:dyDescent="0.3">
      <c r="B14" s="288" t="s">
        <v>40</v>
      </c>
      <c r="C14" s="289">
        <f>IF('기타(Z)'!AE8="", "", '기타(Z)'!AE8)</f>
        <v>0</v>
      </c>
      <c r="D14" s="290">
        <f ca="1">IF(OFFSET('기타(Z)'!AE8, 0, 5)="", "", OFFSET('기타(Z)'!AE8, 0, 5))</f>
        <v>0</v>
      </c>
      <c r="E14" s="291">
        <f ca="1">IF(OFFSET('기타(Z)'!AE8, 0, 10)="", "", OFFSET('기타(Z)'!AE8, 0, 10))</f>
        <v>0</v>
      </c>
      <c r="F14" s="285">
        <f t="shared" si="0"/>
        <v>0</v>
      </c>
      <c r="G14" s="286">
        <f t="shared" ca="1" si="0"/>
        <v>0</v>
      </c>
      <c r="H14" s="287">
        <f t="shared" ca="1" si="0"/>
        <v>0</v>
      </c>
      <c r="K14" s="288" t="s">
        <v>40</v>
      </c>
      <c r="L14" s="289">
        <f>IF('기타(Z)'!AE14="", "", '기타(Z)'!AE14)</f>
        <v>1115.8500000000001</v>
      </c>
      <c r="M14" s="290">
        <f ca="1">IF(OFFSET('기타(Z)'!AE14, 0, 5)="", "", OFFSET('기타(Z)'!AE14, 0, 5))</f>
        <v>4</v>
      </c>
      <c r="N14" s="291">
        <f ca="1">IF(OFFSET('기타(Z)'!AE14, 0, 10)="", "", OFFSET('기타(Z)'!AE14, 0, 10))</f>
        <v>12.48</v>
      </c>
      <c r="O14" s="285">
        <f t="shared" si="1"/>
        <v>1115.8500000000001</v>
      </c>
      <c r="P14" s="286">
        <f t="shared" ca="1" si="2"/>
        <v>4</v>
      </c>
      <c r="Q14" s="287">
        <f t="shared" ca="1" si="3"/>
        <v>12.48</v>
      </c>
      <c r="T14" s="288" t="s">
        <v>40</v>
      </c>
      <c r="U14" s="289">
        <f>IF('기타(Z)'!AE20="", "", '기타(Z)'!AE20)</f>
        <v>1810.8899999999999</v>
      </c>
      <c r="V14" s="290">
        <f ca="1">IF(OFFSET('기타(Z)'!AE20, 0, 5)="", "", OFFSET('기타(Z)'!AE20, 0, 5))</f>
        <v>7</v>
      </c>
      <c r="W14" s="291">
        <f ca="1">IF(OFFSET('기타(Z)'!AE20, 0, 10)="", "", OFFSET('기타(Z)'!AE20, 0, 10))</f>
        <v>19.540000000000003</v>
      </c>
      <c r="X14" s="285">
        <f t="shared" si="4"/>
        <v>2926.74</v>
      </c>
      <c r="Y14" s="286">
        <f t="shared" ca="1" si="5"/>
        <v>11</v>
      </c>
      <c r="Z14" s="287">
        <f t="shared" ca="1" si="6"/>
        <v>32.020000000000003</v>
      </c>
      <c r="AC14" s="288" t="s">
        <v>40</v>
      </c>
      <c r="AD14" s="289">
        <f>IF('기타(Z)'!AE26="", "", '기타(Z)'!AE26)</f>
        <v>1684.74</v>
      </c>
      <c r="AE14" s="290">
        <f ca="1">IF(OFFSET('기타(Z)'!AE26, 0, 5)="", "", OFFSET('기타(Z)'!AE26, 0, 5))</f>
        <v>8</v>
      </c>
      <c r="AF14" s="291">
        <f ca="1">IF(OFFSET('기타(Z)'!AE26, 0, 10)="", "", OFFSET('기타(Z)'!AE26, 0, 10))</f>
        <v>19.18</v>
      </c>
      <c r="AG14" s="285">
        <f t="shared" si="7"/>
        <v>4611.4799999999996</v>
      </c>
      <c r="AH14" s="286">
        <f t="shared" ca="1" si="8"/>
        <v>19</v>
      </c>
      <c r="AI14" s="287">
        <f t="shared" ca="1" si="9"/>
        <v>51.2</v>
      </c>
      <c r="AL14" s="288" t="s">
        <v>40</v>
      </c>
      <c r="AM14" s="289">
        <f>IF('기타(Z)'!AE32="", "", '기타(Z)'!AE32)</f>
        <v>0</v>
      </c>
      <c r="AN14" s="290">
        <f ca="1">IF(OFFSET('기타(Z)'!AE32, 0, 5)="", "", OFFSET('기타(Z)'!AE32, 0, 5))</f>
        <v>0</v>
      </c>
      <c r="AO14" s="291">
        <f ca="1">IF(OFFSET('기타(Z)'!AE32, 0, 10)="", "", OFFSET('기타(Z)'!AE32, 0, 10))</f>
        <v>0</v>
      </c>
      <c r="AP14" s="285">
        <f t="shared" si="10"/>
        <v>4611.4799999999996</v>
      </c>
      <c r="AQ14" s="286">
        <f t="shared" ca="1" si="11"/>
        <v>19</v>
      </c>
      <c r="AR14" s="287">
        <f t="shared" ca="1" si="12"/>
        <v>51.2</v>
      </c>
      <c r="AU14" s="288" t="s">
        <v>40</v>
      </c>
      <c r="AV14" s="289">
        <f>IF('기타(Z)'!AE38="", "", '기타(Z)'!AE38)</f>
        <v>0</v>
      </c>
      <c r="AW14" s="290">
        <f ca="1">IF(OFFSET('기타(Z)'!AE38, 0, 5)="", "", OFFSET('기타(Z)'!AE38, 0, 5))</f>
        <v>0</v>
      </c>
      <c r="AX14" s="291">
        <f ca="1">IF(OFFSET('기타(Z)'!AE38, 0, 10)="", "", OFFSET('기타(Z)'!AE38, 0, 10))</f>
        <v>0</v>
      </c>
      <c r="AY14" s="285">
        <f t="shared" si="13"/>
        <v>4611.4799999999996</v>
      </c>
      <c r="AZ14" s="286">
        <f t="shared" ca="1" si="14"/>
        <v>19</v>
      </c>
      <c r="BA14" s="287">
        <f t="shared" ca="1" si="15"/>
        <v>51.2</v>
      </c>
      <c r="BD14" s="288" t="s">
        <v>40</v>
      </c>
      <c r="BE14" s="289">
        <f>IF('기타(Z)'!AE44="", "", '기타(Z)'!AE44)</f>
        <v>2396.7600000000002</v>
      </c>
      <c r="BF14" s="290">
        <f ca="1">IF(OFFSET('기타(Z)'!AE44, 0, 5)="", "", OFFSET('기타(Z)'!AE44, 0, 5))</f>
        <v>4</v>
      </c>
      <c r="BG14" s="291">
        <f ca="1">IF(OFFSET('기타(Z)'!AE44, 0, 10)="", "", OFFSET('기타(Z)'!AE44, 0, 10))</f>
        <v>26.990000000000002</v>
      </c>
      <c r="BH14" s="285">
        <f t="shared" si="16"/>
        <v>7008.24</v>
      </c>
      <c r="BI14" s="286">
        <f t="shared" ca="1" si="17"/>
        <v>23</v>
      </c>
      <c r="BJ14" s="287">
        <f t="shared" ca="1" si="18"/>
        <v>78.19</v>
      </c>
      <c r="BM14" s="288" t="s">
        <v>40</v>
      </c>
      <c r="BN14" s="289">
        <f>IF('기타(Z)'!AE50="", "", '기타(Z)'!AE50)</f>
        <v>0</v>
      </c>
      <c r="BO14" s="290">
        <f ca="1">IF(OFFSET('기타(Z)'!AE50, 0, 5)="", "", OFFSET('기타(Z)'!AE50, 0, 5))</f>
        <v>0</v>
      </c>
      <c r="BP14" s="291">
        <f ca="1">IF(OFFSET('기타(Z)'!AE50, 0, 10)="", "", OFFSET('기타(Z)'!AE50, 0, 10))</f>
        <v>0</v>
      </c>
      <c r="BQ14" s="285">
        <f t="shared" si="19"/>
        <v>7008.24</v>
      </c>
      <c r="BR14" s="286">
        <f t="shared" ca="1" si="20"/>
        <v>23</v>
      </c>
      <c r="BS14" s="287">
        <f t="shared" ca="1" si="21"/>
        <v>78.19</v>
      </c>
      <c r="BV14" s="288" t="s">
        <v>40</v>
      </c>
      <c r="BW14" s="289">
        <f>IF('기타(Z)'!AE56="", "", '기타(Z)'!AE56)</f>
        <v>1333.99</v>
      </c>
      <c r="BX14" s="290">
        <f ca="1">IF(OFFSET('기타(Z)'!AE56, 0, 5)="", "", OFFSET('기타(Z)'!AE56, 0, 5))</f>
        <v>1</v>
      </c>
      <c r="BY14" s="291">
        <f ca="1">IF(OFFSET('기타(Z)'!AE56, 0, 10)="", "", OFFSET('기타(Z)'!AE56, 0, 10))</f>
        <v>14.47</v>
      </c>
      <c r="BZ14" s="285">
        <f t="shared" si="22"/>
        <v>8342.23</v>
      </c>
      <c r="CA14" s="286">
        <f t="shared" ca="1" si="23"/>
        <v>24</v>
      </c>
      <c r="CB14" s="287">
        <f t="shared" ca="1" si="24"/>
        <v>92.66</v>
      </c>
      <c r="CE14" s="288" t="s">
        <v>40</v>
      </c>
      <c r="CF14" s="289">
        <f>IF('기타(Z)'!AE62="", "", '기타(Z)'!AE62)</f>
        <v>0</v>
      </c>
      <c r="CG14" s="290">
        <f ca="1">IF(OFFSET('기타(Z)'!AE62, 0, 5)="", "", OFFSET('기타(Z)'!AE62, 0, 5))</f>
        <v>0</v>
      </c>
      <c r="CH14" s="291">
        <f ca="1">IF(OFFSET('기타(Z)'!AE62, 0, 10)="", "", OFFSET('기타(Z)'!AE62, 0, 10))</f>
        <v>0</v>
      </c>
      <c r="CI14" s="285">
        <f t="shared" si="25"/>
        <v>8342.23</v>
      </c>
      <c r="CJ14" s="286">
        <f t="shared" ca="1" si="26"/>
        <v>24</v>
      </c>
      <c r="CK14" s="287">
        <f t="shared" ca="1" si="27"/>
        <v>92.66</v>
      </c>
      <c r="CN14" s="288" t="s">
        <v>40</v>
      </c>
      <c r="CO14" s="289">
        <f>IF('기타(Z)'!AE68="", "", '기타(Z)'!AE68)</f>
        <v>0</v>
      </c>
      <c r="CP14" s="290">
        <f ca="1">IF(OFFSET('기타(Z)'!AE68, 0, 5)="", "", OFFSET('기타(Z)'!AE68, 0, 5))</f>
        <v>0</v>
      </c>
      <c r="CQ14" s="291">
        <f ca="1">IF(OFFSET('기타(Z)'!AE68, 0, 10)="", "", OFFSET('기타(Z)'!AE68, 0, 10))</f>
        <v>0</v>
      </c>
      <c r="CR14" s="285">
        <f t="shared" si="28"/>
        <v>8342.23</v>
      </c>
      <c r="CS14" s="286">
        <f t="shared" ca="1" si="29"/>
        <v>24</v>
      </c>
      <c r="CT14" s="287">
        <f t="shared" ca="1" si="30"/>
        <v>92.66</v>
      </c>
      <c r="CW14" s="288" t="s">
        <v>40</v>
      </c>
      <c r="CX14" s="289">
        <f>IF('기타(Z)'!AE74="", "", '기타(Z)'!AE74)</f>
        <v>0</v>
      </c>
      <c r="CY14" s="290">
        <f ca="1">IF(OFFSET('기타(Z)'!AE74, 0, 5)="", "", OFFSET('기타(Z)'!AE74, 0, 5))</f>
        <v>0</v>
      </c>
      <c r="CZ14" s="291">
        <f ca="1">IF(OFFSET('기타(Z)'!AE74, 0, 10)="", "", OFFSET('기타(Z)'!AE74, 0, 10))</f>
        <v>0</v>
      </c>
      <c r="DA14" s="285">
        <f t="shared" si="31"/>
        <v>8342.23</v>
      </c>
      <c r="DB14" s="286">
        <f t="shared" ca="1" si="32"/>
        <v>24</v>
      </c>
      <c r="DC14" s="287">
        <f t="shared" ca="1" si="33"/>
        <v>92.66</v>
      </c>
    </row>
    <row r="15" spans="1:107" s="41" customFormat="1" ht="32.25" thickBot="1" x14ac:dyDescent="0.3">
      <c r="B15" s="280" t="s">
        <v>3</v>
      </c>
      <c r="C15" s="292">
        <f t="shared" ref="C15:H15" si="34">SUM(C5:C14)</f>
        <v>9178.4549999999999</v>
      </c>
      <c r="D15" s="293">
        <f t="shared" ca="1" si="34"/>
        <v>31</v>
      </c>
      <c r="E15" s="294">
        <f t="shared" ca="1" si="34"/>
        <v>87.29</v>
      </c>
      <c r="F15" s="341">
        <f t="shared" si="34"/>
        <v>9178.4549999999999</v>
      </c>
      <c r="G15" s="342">
        <f t="shared" ca="1" si="34"/>
        <v>31</v>
      </c>
      <c r="H15" s="343">
        <f t="shared" ca="1" si="34"/>
        <v>87.29</v>
      </c>
      <c r="K15" s="280" t="s">
        <v>3</v>
      </c>
      <c r="L15" s="292">
        <f t="shared" ref="L15:Q15" si="35">SUM(L5:L14)</f>
        <v>14612.2</v>
      </c>
      <c r="M15" s="293">
        <f t="shared" ca="1" si="35"/>
        <v>42</v>
      </c>
      <c r="N15" s="294">
        <f t="shared" ca="1" si="35"/>
        <v>145.20599999999996</v>
      </c>
      <c r="O15" s="341">
        <f t="shared" si="35"/>
        <v>23790.654999999999</v>
      </c>
      <c r="P15" s="342">
        <f t="shared" ca="1" si="35"/>
        <v>73</v>
      </c>
      <c r="Q15" s="343">
        <f t="shared" ca="1" si="35"/>
        <v>232.49599999999998</v>
      </c>
      <c r="T15" s="280" t="s">
        <v>3</v>
      </c>
      <c r="U15" s="292">
        <f t="shared" ref="U15:Z15" si="36">SUM(U5:U14)</f>
        <v>15292.274999999998</v>
      </c>
      <c r="V15" s="293">
        <f t="shared" ca="1" si="36"/>
        <v>44</v>
      </c>
      <c r="W15" s="294">
        <f t="shared" ca="1" si="36"/>
        <v>137.369</v>
      </c>
      <c r="X15" s="341">
        <f t="shared" si="36"/>
        <v>39082.930000000008</v>
      </c>
      <c r="Y15" s="342">
        <f t="shared" ca="1" si="36"/>
        <v>117</v>
      </c>
      <c r="Z15" s="343">
        <f t="shared" ca="1" si="36"/>
        <v>369.86499999999995</v>
      </c>
      <c r="AC15" s="280" t="s">
        <v>3</v>
      </c>
      <c r="AD15" s="292">
        <f t="shared" ref="AD15:AI15" si="37">SUM(AD5:AD14)</f>
        <v>9412.5349999999999</v>
      </c>
      <c r="AE15" s="293">
        <f t="shared" ca="1" si="37"/>
        <v>38</v>
      </c>
      <c r="AF15" s="294">
        <f t="shared" ca="1" si="37"/>
        <v>93.966000000000008</v>
      </c>
      <c r="AG15" s="341">
        <f t="shared" si="37"/>
        <v>48495.464999999997</v>
      </c>
      <c r="AH15" s="342">
        <f t="shared" ca="1" si="37"/>
        <v>155</v>
      </c>
      <c r="AI15" s="343">
        <f t="shared" ca="1" si="37"/>
        <v>463.83099999999996</v>
      </c>
      <c r="AL15" s="280" t="s">
        <v>3</v>
      </c>
      <c r="AM15" s="292">
        <f t="shared" ref="AM15:AR15" si="38">SUM(AM5:AM14)</f>
        <v>3923.1150000000002</v>
      </c>
      <c r="AN15" s="293">
        <f t="shared" ca="1" si="38"/>
        <v>18</v>
      </c>
      <c r="AO15" s="294">
        <f t="shared" ca="1" si="38"/>
        <v>37.867999999999995</v>
      </c>
      <c r="AP15" s="341">
        <f t="shared" si="38"/>
        <v>52418.58</v>
      </c>
      <c r="AQ15" s="342">
        <f t="shared" ca="1" si="38"/>
        <v>173</v>
      </c>
      <c r="AR15" s="343">
        <f t="shared" ca="1" si="38"/>
        <v>501.69899999999996</v>
      </c>
      <c r="AU15" s="280" t="s">
        <v>3</v>
      </c>
      <c r="AV15" s="292">
        <f t="shared" ref="AV15:BA15" si="39">SUM(AV5:AV14)</f>
        <v>7000.1850000000013</v>
      </c>
      <c r="AW15" s="293">
        <f t="shared" ca="1" si="39"/>
        <v>28</v>
      </c>
      <c r="AX15" s="294">
        <f t="shared" ca="1" si="39"/>
        <v>58.04</v>
      </c>
      <c r="AY15" s="341">
        <f t="shared" si="39"/>
        <v>59418.764999999999</v>
      </c>
      <c r="AZ15" s="342">
        <f t="shared" ca="1" si="39"/>
        <v>201</v>
      </c>
      <c r="BA15" s="343">
        <f t="shared" ca="1" si="39"/>
        <v>559.73900000000003</v>
      </c>
      <c r="BD15" s="280" t="s">
        <v>3</v>
      </c>
      <c r="BE15" s="292">
        <f t="shared" ref="BE15:BJ15" si="40">SUM(BE5:BE14)</f>
        <v>9147.8100000000013</v>
      </c>
      <c r="BF15" s="293">
        <f t="shared" ca="1" si="40"/>
        <v>28</v>
      </c>
      <c r="BG15" s="294">
        <f t="shared" ca="1" si="40"/>
        <v>87.88</v>
      </c>
      <c r="BH15" s="341">
        <f t="shared" si="40"/>
        <v>68566.574999999997</v>
      </c>
      <c r="BI15" s="342">
        <f t="shared" ca="1" si="40"/>
        <v>229</v>
      </c>
      <c r="BJ15" s="343">
        <f t="shared" ca="1" si="40"/>
        <v>647.61899999999991</v>
      </c>
      <c r="BM15" s="280" t="s">
        <v>3</v>
      </c>
      <c r="BN15" s="292">
        <f t="shared" ref="BN15:BS15" si="41">SUM(BN5:BN14)</f>
        <v>5861.7599999999993</v>
      </c>
      <c r="BO15" s="293">
        <f t="shared" ca="1" si="41"/>
        <v>20</v>
      </c>
      <c r="BP15" s="294">
        <f t="shared" ca="1" si="41"/>
        <v>59.28</v>
      </c>
      <c r="BQ15" s="341">
        <f t="shared" si="41"/>
        <v>74428.334999999992</v>
      </c>
      <c r="BR15" s="342">
        <f t="shared" ca="1" si="41"/>
        <v>249</v>
      </c>
      <c r="BS15" s="343">
        <f t="shared" ca="1" si="41"/>
        <v>706.89899999999989</v>
      </c>
      <c r="BV15" s="280" t="s">
        <v>3</v>
      </c>
      <c r="BW15" s="292">
        <f t="shared" ref="BW15:CB15" si="42">SUM(BW5:BW14)</f>
        <v>8844.1999999999989</v>
      </c>
      <c r="BX15" s="293">
        <f t="shared" ca="1" si="42"/>
        <v>18</v>
      </c>
      <c r="BY15" s="294">
        <f t="shared" ca="1" si="42"/>
        <v>99.360000000000014</v>
      </c>
      <c r="BZ15" s="341">
        <f t="shared" si="42"/>
        <v>83272.534999999974</v>
      </c>
      <c r="CA15" s="342">
        <f t="shared" ca="1" si="42"/>
        <v>267</v>
      </c>
      <c r="CB15" s="343">
        <f t="shared" ca="1" si="42"/>
        <v>806.2589999999999</v>
      </c>
      <c r="CE15" s="280" t="s">
        <v>3</v>
      </c>
      <c r="CF15" s="292">
        <f t="shared" ref="CF15:CK15" si="43">SUM(CF5:CF14)</f>
        <v>0</v>
      </c>
      <c r="CG15" s="293">
        <f t="shared" ca="1" si="43"/>
        <v>0</v>
      </c>
      <c r="CH15" s="294">
        <f t="shared" ca="1" si="43"/>
        <v>0</v>
      </c>
      <c r="CI15" s="341">
        <f t="shared" si="43"/>
        <v>83272.534999999974</v>
      </c>
      <c r="CJ15" s="342">
        <f t="shared" ca="1" si="43"/>
        <v>267</v>
      </c>
      <c r="CK15" s="343">
        <f t="shared" ca="1" si="43"/>
        <v>806.2589999999999</v>
      </c>
      <c r="CN15" s="280" t="s">
        <v>3</v>
      </c>
      <c r="CO15" s="292">
        <f t="shared" ref="CO15:CT15" si="44">SUM(CO5:CO14)</f>
        <v>0</v>
      </c>
      <c r="CP15" s="293">
        <f t="shared" ca="1" si="44"/>
        <v>0</v>
      </c>
      <c r="CQ15" s="294">
        <f t="shared" ca="1" si="44"/>
        <v>0</v>
      </c>
      <c r="CR15" s="341">
        <f t="shared" si="44"/>
        <v>83272.534999999974</v>
      </c>
      <c r="CS15" s="342">
        <f t="shared" ca="1" si="44"/>
        <v>267</v>
      </c>
      <c r="CT15" s="343">
        <f t="shared" ca="1" si="44"/>
        <v>806.2589999999999</v>
      </c>
      <c r="CW15" s="280" t="s">
        <v>3</v>
      </c>
      <c r="CX15" s="292">
        <f t="shared" ref="CX15:DC15" si="45">SUM(CX5:CX14)</f>
        <v>0</v>
      </c>
      <c r="CY15" s="293">
        <f t="shared" ca="1" si="45"/>
        <v>0</v>
      </c>
      <c r="CZ15" s="294">
        <f t="shared" ca="1" si="45"/>
        <v>0</v>
      </c>
      <c r="DA15" s="341">
        <f t="shared" si="45"/>
        <v>83272.534999999974</v>
      </c>
      <c r="DB15" s="342">
        <f t="shared" ca="1" si="45"/>
        <v>267</v>
      </c>
      <c r="DC15" s="343">
        <f t="shared" ca="1" si="45"/>
        <v>806.2589999999999</v>
      </c>
    </row>
    <row r="16" spans="1:107" ht="39.950000000000003" customHeight="1" thickBot="1" x14ac:dyDescent="0.3">
      <c r="B16" s="295"/>
      <c r="C16" s="295"/>
      <c r="D16" s="295"/>
      <c r="E16" s="295"/>
      <c r="F16" s="295"/>
      <c r="G16" s="295"/>
      <c r="H16" s="295"/>
      <c r="K16" s="295"/>
      <c r="L16" s="295"/>
      <c r="M16" s="295"/>
      <c r="N16" s="295"/>
      <c r="O16" s="295"/>
      <c r="P16" s="295"/>
      <c r="Q16" s="295"/>
      <c r="T16" s="295"/>
      <c r="U16" s="295"/>
      <c r="V16" s="295"/>
      <c r="W16" s="295"/>
      <c r="X16" s="295"/>
      <c r="Y16" s="295"/>
      <c r="Z16" s="295"/>
      <c r="AC16" s="295"/>
      <c r="AD16" s="295"/>
      <c r="AE16" s="295"/>
      <c r="AF16" s="295"/>
      <c r="AG16" s="295"/>
      <c r="AH16" s="295"/>
      <c r="AI16" s="295"/>
      <c r="AL16" s="295"/>
      <c r="AM16" s="295"/>
      <c r="AN16" s="295"/>
      <c r="AO16" s="295"/>
      <c r="AP16" s="295"/>
      <c r="AQ16" s="295"/>
      <c r="AR16" s="295"/>
      <c r="AU16" s="295"/>
      <c r="AV16" s="295"/>
      <c r="AW16" s="295"/>
      <c r="AX16" s="295"/>
      <c r="AY16" s="295"/>
      <c r="AZ16" s="295"/>
      <c r="BA16" s="295"/>
      <c r="BD16" s="295"/>
      <c r="BE16" s="295"/>
      <c r="BF16" s="295"/>
      <c r="BG16" s="295"/>
      <c r="BH16" s="295"/>
      <c r="BI16" s="295"/>
      <c r="BJ16" s="295"/>
      <c r="BM16" s="295"/>
      <c r="BN16" s="295"/>
      <c r="BO16" s="295"/>
      <c r="BP16" s="295"/>
      <c r="BQ16" s="295"/>
      <c r="BR16" s="295"/>
      <c r="BS16" s="295"/>
      <c r="BV16" s="295"/>
      <c r="BW16" s="295"/>
      <c r="BX16" s="295"/>
      <c r="BY16" s="295"/>
      <c r="BZ16" s="295"/>
      <c r="CA16" s="295"/>
      <c r="CB16" s="295"/>
      <c r="CE16" s="295"/>
      <c r="CF16" s="295"/>
      <c r="CG16" s="295"/>
      <c r="CH16" s="295"/>
      <c r="CI16" s="295"/>
      <c r="CJ16" s="295"/>
      <c r="CK16" s="295"/>
      <c r="CN16" s="295"/>
      <c r="CO16" s="295"/>
      <c r="CP16" s="295"/>
      <c r="CQ16" s="295"/>
      <c r="CR16" s="295"/>
      <c r="CS16" s="295"/>
      <c r="CT16" s="295"/>
      <c r="CW16" s="295"/>
      <c r="CX16" s="295"/>
      <c r="CY16" s="295"/>
      <c r="CZ16" s="295"/>
      <c r="DA16" s="295"/>
      <c r="DB16" s="295"/>
      <c r="DC16" s="295"/>
    </row>
    <row r="17" spans="2:107" s="40" customFormat="1" ht="32.25" thickBot="1" x14ac:dyDescent="0.3">
      <c r="B17" s="296" t="s">
        <v>6</v>
      </c>
      <c r="C17" s="297" t="s">
        <v>7</v>
      </c>
      <c r="D17" s="298" t="s">
        <v>8</v>
      </c>
      <c r="E17" s="299" t="s">
        <v>9</v>
      </c>
      <c r="F17" s="298" t="s">
        <v>10</v>
      </c>
      <c r="G17" s="298" t="s">
        <v>11</v>
      </c>
      <c r="H17" s="300" t="s">
        <v>12</v>
      </c>
      <c r="K17" s="296" t="s">
        <v>6</v>
      </c>
      <c r="L17" s="297" t="s">
        <v>7</v>
      </c>
      <c r="M17" s="298" t="s">
        <v>8</v>
      </c>
      <c r="N17" s="299" t="s">
        <v>9</v>
      </c>
      <c r="O17" s="298" t="s">
        <v>10</v>
      </c>
      <c r="P17" s="298" t="s">
        <v>11</v>
      </c>
      <c r="Q17" s="300" t="s">
        <v>12</v>
      </c>
      <c r="T17" s="296" t="s">
        <v>6</v>
      </c>
      <c r="U17" s="297" t="s">
        <v>7</v>
      </c>
      <c r="V17" s="298" t="s">
        <v>8</v>
      </c>
      <c r="W17" s="299" t="s">
        <v>9</v>
      </c>
      <c r="X17" s="298" t="s">
        <v>10</v>
      </c>
      <c r="Y17" s="298" t="s">
        <v>11</v>
      </c>
      <c r="Z17" s="300" t="s">
        <v>12</v>
      </c>
      <c r="AC17" s="296" t="s">
        <v>6</v>
      </c>
      <c r="AD17" s="297" t="s">
        <v>7</v>
      </c>
      <c r="AE17" s="298" t="s">
        <v>8</v>
      </c>
      <c r="AF17" s="299" t="s">
        <v>9</v>
      </c>
      <c r="AG17" s="298" t="s">
        <v>10</v>
      </c>
      <c r="AH17" s="298" t="s">
        <v>11</v>
      </c>
      <c r="AI17" s="300" t="s">
        <v>12</v>
      </c>
      <c r="AL17" s="296" t="s">
        <v>6</v>
      </c>
      <c r="AM17" s="297" t="s">
        <v>7</v>
      </c>
      <c r="AN17" s="298" t="s">
        <v>8</v>
      </c>
      <c r="AO17" s="299" t="s">
        <v>9</v>
      </c>
      <c r="AP17" s="298" t="s">
        <v>10</v>
      </c>
      <c r="AQ17" s="298" t="s">
        <v>11</v>
      </c>
      <c r="AR17" s="300" t="s">
        <v>12</v>
      </c>
      <c r="AU17" s="296" t="s">
        <v>6</v>
      </c>
      <c r="AV17" s="297" t="s">
        <v>7</v>
      </c>
      <c r="AW17" s="298" t="s">
        <v>8</v>
      </c>
      <c r="AX17" s="299" t="s">
        <v>9</v>
      </c>
      <c r="AY17" s="298" t="s">
        <v>10</v>
      </c>
      <c r="AZ17" s="298" t="s">
        <v>11</v>
      </c>
      <c r="BA17" s="300" t="s">
        <v>12</v>
      </c>
      <c r="BD17" s="296" t="s">
        <v>6</v>
      </c>
      <c r="BE17" s="297" t="s">
        <v>7</v>
      </c>
      <c r="BF17" s="298" t="s">
        <v>8</v>
      </c>
      <c r="BG17" s="299" t="s">
        <v>9</v>
      </c>
      <c r="BH17" s="298" t="s">
        <v>10</v>
      </c>
      <c r="BI17" s="298" t="s">
        <v>11</v>
      </c>
      <c r="BJ17" s="300" t="s">
        <v>12</v>
      </c>
      <c r="BM17" s="296" t="s">
        <v>6</v>
      </c>
      <c r="BN17" s="297" t="s">
        <v>7</v>
      </c>
      <c r="BO17" s="298" t="s">
        <v>8</v>
      </c>
      <c r="BP17" s="299" t="s">
        <v>9</v>
      </c>
      <c r="BQ17" s="298" t="s">
        <v>10</v>
      </c>
      <c r="BR17" s="298" t="s">
        <v>11</v>
      </c>
      <c r="BS17" s="300" t="s">
        <v>12</v>
      </c>
      <c r="BV17" s="296" t="s">
        <v>6</v>
      </c>
      <c r="BW17" s="297" t="s">
        <v>7</v>
      </c>
      <c r="BX17" s="298" t="s">
        <v>8</v>
      </c>
      <c r="BY17" s="299" t="s">
        <v>9</v>
      </c>
      <c r="BZ17" s="298" t="s">
        <v>10</v>
      </c>
      <c r="CA17" s="298" t="s">
        <v>11</v>
      </c>
      <c r="CB17" s="300" t="s">
        <v>12</v>
      </c>
      <c r="CE17" s="296" t="s">
        <v>6</v>
      </c>
      <c r="CF17" s="297" t="s">
        <v>7</v>
      </c>
      <c r="CG17" s="298" t="s">
        <v>8</v>
      </c>
      <c r="CH17" s="299" t="s">
        <v>9</v>
      </c>
      <c r="CI17" s="298" t="s">
        <v>10</v>
      </c>
      <c r="CJ17" s="298" t="s">
        <v>11</v>
      </c>
      <c r="CK17" s="300" t="s">
        <v>12</v>
      </c>
      <c r="CN17" s="296" t="s">
        <v>6</v>
      </c>
      <c r="CO17" s="297" t="s">
        <v>7</v>
      </c>
      <c r="CP17" s="298" t="s">
        <v>8</v>
      </c>
      <c r="CQ17" s="299" t="s">
        <v>9</v>
      </c>
      <c r="CR17" s="298" t="s">
        <v>10</v>
      </c>
      <c r="CS17" s="298" t="s">
        <v>11</v>
      </c>
      <c r="CT17" s="300" t="s">
        <v>12</v>
      </c>
      <c r="CW17" s="296" t="s">
        <v>6</v>
      </c>
      <c r="CX17" s="297" t="s">
        <v>7</v>
      </c>
      <c r="CY17" s="298" t="s">
        <v>8</v>
      </c>
      <c r="CZ17" s="299" t="s">
        <v>9</v>
      </c>
      <c r="DA17" s="298" t="s">
        <v>10</v>
      </c>
      <c r="DB17" s="298" t="s">
        <v>11</v>
      </c>
      <c r="DC17" s="300" t="s">
        <v>12</v>
      </c>
    </row>
    <row r="18" spans="2:107" s="40" customFormat="1" ht="31.5" x14ac:dyDescent="0.25">
      <c r="B18" s="301" t="s">
        <v>121</v>
      </c>
      <c r="C18" s="302">
        <f>정리base!$E$5</f>
        <v>12100</v>
      </c>
      <c r="D18" s="303">
        <f>정리base!$F$5</f>
        <v>12600</v>
      </c>
      <c r="E18" s="303">
        <f>정리base!$G$5</f>
        <v>14600</v>
      </c>
      <c r="F18" s="303">
        <f>정리base!$H$5</f>
        <v>13400</v>
      </c>
      <c r="G18" s="303">
        <f>정리base!$I$5</f>
        <v>13400</v>
      </c>
      <c r="H18" s="304">
        <f>정리base!$J$5</f>
        <v>14400</v>
      </c>
      <c r="K18" s="301" t="s">
        <v>121</v>
      </c>
      <c r="L18" s="302">
        <f>정리base!$E$5</f>
        <v>12100</v>
      </c>
      <c r="M18" s="303">
        <f>정리base!$F$5</f>
        <v>12600</v>
      </c>
      <c r="N18" s="303">
        <f>정리base!$G$5</f>
        <v>14600</v>
      </c>
      <c r="O18" s="303">
        <f>정리base!$H$5</f>
        <v>13400</v>
      </c>
      <c r="P18" s="303">
        <f>정리base!$I$5</f>
        <v>13400</v>
      </c>
      <c r="Q18" s="304">
        <f>정리base!$J$5</f>
        <v>14400</v>
      </c>
      <c r="T18" s="301" t="s">
        <v>121</v>
      </c>
      <c r="U18" s="302">
        <f>정리base!$E$5</f>
        <v>12100</v>
      </c>
      <c r="V18" s="303">
        <f>정리base!$F$5</f>
        <v>12600</v>
      </c>
      <c r="W18" s="303">
        <f>정리base!$G$5</f>
        <v>14600</v>
      </c>
      <c r="X18" s="303">
        <f>정리base!$H$5</f>
        <v>13400</v>
      </c>
      <c r="Y18" s="303">
        <f>정리base!$I$5</f>
        <v>13400</v>
      </c>
      <c r="Z18" s="304">
        <f>정리base!$J$5</f>
        <v>14400</v>
      </c>
      <c r="AC18" s="301" t="s">
        <v>121</v>
      </c>
      <c r="AD18" s="302">
        <f>정리base!$E$5</f>
        <v>12100</v>
      </c>
      <c r="AE18" s="303">
        <f>정리base!$F$5</f>
        <v>12600</v>
      </c>
      <c r="AF18" s="303">
        <f>정리base!$G$5</f>
        <v>14600</v>
      </c>
      <c r="AG18" s="303">
        <f>정리base!$H$5</f>
        <v>13400</v>
      </c>
      <c r="AH18" s="303">
        <f>정리base!$I$5</f>
        <v>13400</v>
      </c>
      <c r="AI18" s="304">
        <f>정리base!$J$5</f>
        <v>14400</v>
      </c>
      <c r="AL18" s="301" t="s">
        <v>121</v>
      </c>
      <c r="AM18" s="302">
        <f>정리base!$E$5</f>
        <v>12100</v>
      </c>
      <c r="AN18" s="303">
        <f>정리base!$F$5</f>
        <v>12600</v>
      </c>
      <c r="AO18" s="303">
        <f>정리base!$G$5</f>
        <v>14600</v>
      </c>
      <c r="AP18" s="303">
        <f>정리base!$H$5</f>
        <v>13400</v>
      </c>
      <c r="AQ18" s="303">
        <f>정리base!$I$5</f>
        <v>13400</v>
      </c>
      <c r="AR18" s="304">
        <f>정리base!$J$5</f>
        <v>14400</v>
      </c>
      <c r="AU18" s="301" t="s">
        <v>121</v>
      </c>
      <c r="AV18" s="302">
        <f>정리base!$E$5</f>
        <v>12100</v>
      </c>
      <c r="AW18" s="303">
        <f>정리base!$F$5</f>
        <v>12600</v>
      </c>
      <c r="AX18" s="303">
        <f>정리base!$G$5</f>
        <v>14600</v>
      </c>
      <c r="AY18" s="303">
        <f>정리base!$H$5</f>
        <v>13400</v>
      </c>
      <c r="AZ18" s="303">
        <f>정리base!$I$5</f>
        <v>13400</v>
      </c>
      <c r="BA18" s="304">
        <f>정리base!$J$5</f>
        <v>14400</v>
      </c>
      <c r="BD18" s="301" t="s">
        <v>121</v>
      </c>
      <c r="BE18" s="302">
        <f>정리base!$E$5</f>
        <v>12100</v>
      </c>
      <c r="BF18" s="303">
        <f>정리base!$F$5</f>
        <v>12600</v>
      </c>
      <c r="BG18" s="303">
        <f>정리base!$G$5</f>
        <v>14600</v>
      </c>
      <c r="BH18" s="303">
        <f>정리base!$H$5</f>
        <v>13400</v>
      </c>
      <c r="BI18" s="303">
        <f>정리base!$I$5</f>
        <v>13400</v>
      </c>
      <c r="BJ18" s="304">
        <f>정리base!$J$5</f>
        <v>14400</v>
      </c>
      <c r="BM18" s="301" t="s">
        <v>121</v>
      </c>
      <c r="BN18" s="302">
        <f>정리base!$E$5</f>
        <v>12100</v>
      </c>
      <c r="BO18" s="303">
        <f>정리base!$F$5</f>
        <v>12600</v>
      </c>
      <c r="BP18" s="303">
        <f>정리base!$G$5</f>
        <v>14600</v>
      </c>
      <c r="BQ18" s="303">
        <f>정리base!$H$5</f>
        <v>13400</v>
      </c>
      <c r="BR18" s="303">
        <f>정리base!$I$5</f>
        <v>13400</v>
      </c>
      <c r="BS18" s="304">
        <f>정리base!$J$5</f>
        <v>14400</v>
      </c>
      <c r="BV18" s="301" t="s">
        <v>121</v>
      </c>
      <c r="BW18" s="302">
        <f>정리base!$E$5</f>
        <v>12100</v>
      </c>
      <c r="BX18" s="303">
        <f>정리base!$F$5</f>
        <v>12600</v>
      </c>
      <c r="BY18" s="303">
        <f>정리base!$G$5</f>
        <v>14600</v>
      </c>
      <c r="BZ18" s="303">
        <f>정리base!$H$5</f>
        <v>13400</v>
      </c>
      <c r="CA18" s="303">
        <f>정리base!$I$5</f>
        <v>13400</v>
      </c>
      <c r="CB18" s="304">
        <f>정리base!$J$5</f>
        <v>14400</v>
      </c>
      <c r="CE18" s="301" t="s">
        <v>121</v>
      </c>
      <c r="CF18" s="302">
        <f>정리base!$E$5</f>
        <v>12100</v>
      </c>
      <c r="CG18" s="303">
        <f>정리base!$F$5</f>
        <v>12600</v>
      </c>
      <c r="CH18" s="303">
        <f>정리base!$G$5</f>
        <v>14600</v>
      </c>
      <c r="CI18" s="303">
        <f>정리base!$H$5</f>
        <v>13400</v>
      </c>
      <c r="CJ18" s="303">
        <f>정리base!$I$5</f>
        <v>13400</v>
      </c>
      <c r="CK18" s="304">
        <f>정리base!$J$5</f>
        <v>14400</v>
      </c>
      <c r="CN18" s="301" t="s">
        <v>121</v>
      </c>
      <c r="CO18" s="302">
        <f>정리base!$E$5</f>
        <v>12100</v>
      </c>
      <c r="CP18" s="303">
        <f>정리base!$F$5</f>
        <v>12600</v>
      </c>
      <c r="CQ18" s="303">
        <f>정리base!$G$5</f>
        <v>14600</v>
      </c>
      <c r="CR18" s="303">
        <f>정리base!$H$5</f>
        <v>13400</v>
      </c>
      <c r="CS18" s="303">
        <f>정리base!$I$5</f>
        <v>13400</v>
      </c>
      <c r="CT18" s="304">
        <f>정리base!$J$5</f>
        <v>14400</v>
      </c>
      <c r="CW18" s="301" t="s">
        <v>121</v>
      </c>
      <c r="CX18" s="302">
        <f>정리base!$E$5</f>
        <v>12100</v>
      </c>
      <c r="CY18" s="303">
        <f>정리base!$F$5</f>
        <v>12600</v>
      </c>
      <c r="CZ18" s="303">
        <f>정리base!$G$5</f>
        <v>14600</v>
      </c>
      <c r="DA18" s="303">
        <f>정리base!$H$5</f>
        <v>13400</v>
      </c>
      <c r="DB18" s="303">
        <f>정리base!$I$5</f>
        <v>13400</v>
      </c>
      <c r="DC18" s="304">
        <f>정리base!$J$5</f>
        <v>14400</v>
      </c>
    </row>
    <row r="19" spans="2:107" s="40" customFormat="1" ht="31.5" x14ac:dyDescent="0.25">
      <c r="B19" s="305" t="s">
        <v>126</v>
      </c>
      <c r="C19" s="306">
        <f>정리base!$E$9</f>
        <v>0.75854999999999995</v>
      </c>
      <c r="D19" s="307">
        <f>정리base!$F$9</f>
        <v>1.1596984126984127</v>
      </c>
      <c r="E19" s="307">
        <f>정리base!$G$9</f>
        <v>1.0474160958904108</v>
      </c>
      <c r="F19" s="307">
        <f>정리base!$H$9</f>
        <v>0.70242798507462689</v>
      </c>
      <c r="G19" s="307">
        <f>정리base!$I$9</f>
        <v>0.29276977611940302</v>
      </c>
      <c r="H19" s="308">
        <f>정리base!$J$9</f>
        <v>0.48612395833333344</v>
      </c>
      <c r="K19" s="305" t="s">
        <v>126</v>
      </c>
      <c r="L19" s="306">
        <f>정리base!$E$9</f>
        <v>0.75854999999999995</v>
      </c>
      <c r="M19" s="307">
        <f>정리base!$F$9</f>
        <v>1.1596984126984127</v>
      </c>
      <c r="N19" s="307">
        <f>정리base!$G$9</f>
        <v>1.0474160958904108</v>
      </c>
      <c r="O19" s="307">
        <f>정리base!$H$9</f>
        <v>0.70242798507462689</v>
      </c>
      <c r="P19" s="307">
        <f>정리base!$I$9</f>
        <v>0.29276977611940302</v>
      </c>
      <c r="Q19" s="308">
        <f>정리base!$J$9</f>
        <v>0.48612395833333344</v>
      </c>
      <c r="T19" s="305" t="s">
        <v>126</v>
      </c>
      <c r="U19" s="306">
        <f>정리base!$E$9</f>
        <v>0.75854999999999995</v>
      </c>
      <c r="V19" s="307">
        <f>정리base!$F$9</f>
        <v>1.1596984126984127</v>
      </c>
      <c r="W19" s="307">
        <f>정리base!$G$9</f>
        <v>1.0474160958904108</v>
      </c>
      <c r="X19" s="307">
        <f>정리base!$H$9</f>
        <v>0.70242798507462689</v>
      </c>
      <c r="Y19" s="307">
        <f>정리base!$I$9</f>
        <v>0.29276977611940302</v>
      </c>
      <c r="Z19" s="308">
        <f>정리base!$J$9</f>
        <v>0.48612395833333344</v>
      </c>
      <c r="AC19" s="305" t="s">
        <v>126</v>
      </c>
      <c r="AD19" s="306">
        <f>정리base!$E$9</f>
        <v>0.75854999999999995</v>
      </c>
      <c r="AE19" s="307">
        <f>정리base!$F$9</f>
        <v>1.1596984126984127</v>
      </c>
      <c r="AF19" s="307">
        <f>정리base!$G$9</f>
        <v>1.0474160958904108</v>
      </c>
      <c r="AG19" s="307">
        <f>정리base!$H$9</f>
        <v>0.70242798507462689</v>
      </c>
      <c r="AH19" s="307">
        <f>정리base!$I$9</f>
        <v>0.29276977611940302</v>
      </c>
      <c r="AI19" s="308">
        <f>정리base!$J$9</f>
        <v>0.48612395833333344</v>
      </c>
      <c r="AL19" s="305" t="s">
        <v>126</v>
      </c>
      <c r="AM19" s="306">
        <f>정리base!$E$9</f>
        <v>0.75854999999999995</v>
      </c>
      <c r="AN19" s="307">
        <f>정리base!$F$9</f>
        <v>1.1596984126984127</v>
      </c>
      <c r="AO19" s="307">
        <f>정리base!$G$9</f>
        <v>1.0474160958904108</v>
      </c>
      <c r="AP19" s="307">
        <f>정리base!$H$9</f>
        <v>0.70242798507462689</v>
      </c>
      <c r="AQ19" s="307">
        <f>정리base!$I$9</f>
        <v>0.29276977611940302</v>
      </c>
      <c r="AR19" s="308">
        <f>정리base!$J$9</f>
        <v>0.48612395833333344</v>
      </c>
      <c r="AU19" s="305" t="s">
        <v>126</v>
      </c>
      <c r="AV19" s="306">
        <f>정리base!$E$9</f>
        <v>0.75854999999999995</v>
      </c>
      <c r="AW19" s="307">
        <f>정리base!$F$9</f>
        <v>1.1596984126984127</v>
      </c>
      <c r="AX19" s="307">
        <f>정리base!$G$9</f>
        <v>1.0474160958904108</v>
      </c>
      <c r="AY19" s="307">
        <f>정리base!$H$9</f>
        <v>0.70242798507462689</v>
      </c>
      <c r="AZ19" s="307">
        <f>정리base!$I$9</f>
        <v>0.29276977611940302</v>
      </c>
      <c r="BA19" s="308">
        <f>정리base!$J$9</f>
        <v>0.48612395833333344</v>
      </c>
      <c r="BD19" s="305" t="s">
        <v>126</v>
      </c>
      <c r="BE19" s="306">
        <f>정리base!$E$9</f>
        <v>0.75854999999999995</v>
      </c>
      <c r="BF19" s="307">
        <f>정리base!$F$9</f>
        <v>1.1596984126984127</v>
      </c>
      <c r="BG19" s="307">
        <f>정리base!$G$9</f>
        <v>1.0474160958904108</v>
      </c>
      <c r="BH19" s="307">
        <f>정리base!$H$9</f>
        <v>0.70242798507462689</v>
      </c>
      <c r="BI19" s="307">
        <f>정리base!$I$9</f>
        <v>0.29276977611940302</v>
      </c>
      <c r="BJ19" s="308">
        <f>정리base!$J$9</f>
        <v>0.48612395833333344</v>
      </c>
      <c r="BM19" s="305" t="s">
        <v>126</v>
      </c>
      <c r="BN19" s="306">
        <f>정리base!$E$9</f>
        <v>0.75854999999999995</v>
      </c>
      <c r="BO19" s="307">
        <f>정리base!$F$9</f>
        <v>1.1596984126984127</v>
      </c>
      <c r="BP19" s="307">
        <f>정리base!$G$9</f>
        <v>1.0474160958904108</v>
      </c>
      <c r="BQ19" s="307">
        <f>정리base!$H$9</f>
        <v>0.70242798507462689</v>
      </c>
      <c r="BR19" s="307">
        <f>정리base!$I$9</f>
        <v>0.29276977611940302</v>
      </c>
      <c r="BS19" s="308">
        <f>정리base!$J$9</f>
        <v>0.48612395833333344</v>
      </c>
      <c r="BV19" s="305" t="s">
        <v>126</v>
      </c>
      <c r="BW19" s="306">
        <f>정리base!$E$9</f>
        <v>0.75854999999999995</v>
      </c>
      <c r="BX19" s="307">
        <f>정리base!$F$9</f>
        <v>1.1596984126984127</v>
      </c>
      <c r="BY19" s="307">
        <f>정리base!$G$9</f>
        <v>1.0474160958904108</v>
      </c>
      <c r="BZ19" s="307">
        <f>정리base!$H$9</f>
        <v>0.70242798507462689</v>
      </c>
      <c r="CA19" s="307">
        <f>정리base!$I$9</f>
        <v>0.29276977611940302</v>
      </c>
      <c r="CB19" s="308">
        <f>정리base!$J$9</f>
        <v>0.48612395833333344</v>
      </c>
      <c r="CE19" s="305" t="s">
        <v>126</v>
      </c>
      <c r="CF19" s="306">
        <f>정리base!$E$9</f>
        <v>0.75854999999999995</v>
      </c>
      <c r="CG19" s="307">
        <f>정리base!$F$9</f>
        <v>1.1596984126984127</v>
      </c>
      <c r="CH19" s="307">
        <f>정리base!$G$9</f>
        <v>1.0474160958904108</v>
      </c>
      <c r="CI19" s="307">
        <f>정리base!$H$9</f>
        <v>0.70242798507462689</v>
      </c>
      <c r="CJ19" s="307">
        <f>정리base!$I$9</f>
        <v>0.29276977611940302</v>
      </c>
      <c r="CK19" s="308">
        <f>정리base!$J$9</f>
        <v>0.48612395833333344</v>
      </c>
      <c r="CN19" s="305" t="s">
        <v>126</v>
      </c>
      <c r="CO19" s="306">
        <f>정리base!$E$9</f>
        <v>0.75854999999999995</v>
      </c>
      <c r="CP19" s="307">
        <f>정리base!$F$9</f>
        <v>1.1596984126984127</v>
      </c>
      <c r="CQ19" s="307">
        <f>정리base!$G$9</f>
        <v>1.0474160958904108</v>
      </c>
      <c r="CR19" s="307">
        <f>정리base!$H$9</f>
        <v>0.70242798507462689</v>
      </c>
      <c r="CS19" s="307">
        <f>정리base!$I$9</f>
        <v>0.29276977611940302</v>
      </c>
      <c r="CT19" s="308">
        <f>정리base!$J$9</f>
        <v>0.48612395833333344</v>
      </c>
      <c r="CW19" s="305" t="s">
        <v>126</v>
      </c>
      <c r="CX19" s="306">
        <f>정리base!$E$9</f>
        <v>0.75854999999999995</v>
      </c>
      <c r="CY19" s="307">
        <f>정리base!$F$9</f>
        <v>1.1596984126984127</v>
      </c>
      <c r="CZ19" s="307">
        <f>정리base!$G$9</f>
        <v>1.0474160958904108</v>
      </c>
      <c r="DA19" s="307">
        <f>정리base!$H$9</f>
        <v>0.70242798507462689</v>
      </c>
      <c r="DB19" s="307">
        <f>정리base!$I$9</f>
        <v>0.29276977611940302</v>
      </c>
      <c r="DC19" s="308">
        <f>정리base!$J$9</f>
        <v>0.48612395833333344</v>
      </c>
    </row>
    <row r="20" spans="2:107" s="40" customFormat="1" ht="31.5" x14ac:dyDescent="0.25">
      <c r="B20" s="309" t="s">
        <v>35</v>
      </c>
      <c r="C20" s="310">
        <f>정리base!$E$12</f>
        <v>9178.4549999999999</v>
      </c>
      <c r="D20" s="311">
        <f>정리base!$F$12</f>
        <v>14612.2</v>
      </c>
      <c r="E20" s="311">
        <f>정리base!$G$12</f>
        <v>15292.274999999998</v>
      </c>
      <c r="F20" s="311">
        <f>정리base!$H$12</f>
        <v>9412.5349999999999</v>
      </c>
      <c r="G20" s="311">
        <f>정리base!$I$12</f>
        <v>3923.1150000000002</v>
      </c>
      <c r="H20" s="312">
        <f>정리base!$J$12</f>
        <v>7000.1850000000013</v>
      </c>
      <c r="K20" s="309" t="s">
        <v>35</v>
      </c>
      <c r="L20" s="310">
        <f>정리base!$E$12</f>
        <v>9178.4549999999999</v>
      </c>
      <c r="M20" s="311">
        <f>정리base!$F$12</f>
        <v>14612.2</v>
      </c>
      <c r="N20" s="311">
        <f>정리base!$G$12</f>
        <v>15292.274999999998</v>
      </c>
      <c r="O20" s="311">
        <f>정리base!$H$12</f>
        <v>9412.5349999999999</v>
      </c>
      <c r="P20" s="311">
        <f>정리base!$I$12</f>
        <v>3923.1150000000002</v>
      </c>
      <c r="Q20" s="312">
        <f>정리base!$J$12</f>
        <v>7000.1850000000013</v>
      </c>
      <c r="T20" s="309" t="s">
        <v>35</v>
      </c>
      <c r="U20" s="310">
        <f>정리base!$E$12</f>
        <v>9178.4549999999999</v>
      </c>
      <c r="V20" s="311">
        <f>정리base!$F$12</f>
        <v>14612.2</v>
      </c>
      <c r="W20" s="311">
        <f>정리base!$G$12</f>
        <v>15292.274999999998</v>
      </c>
      <c r="X20" s="311">
        <f>정리base!$H$12</f>
        <v>9412.5349999999999</v>
      </c>
      <c r="Y20" s="311">
        <f>정리base!$I$12</f>
        <v>3923.1150000000002</v>
      </c>
      <c r="Z20" s="312">
        <f>정리base!$J$12</f>
        <v>7000.1850000000013</v>
      </c>
      <c r="AC20" s="309" t="s">
        <v>35</v>
      </c>
      <c r="AD20" s="310">
        <f>정리base!$E$12</f>
        <v>9178.4549999999999</v>
      </c>
      <c r="AE20" s="311">
        <f>정리base!$F$12</f>
        <v>14612.2</v>
      </c>
      <c r="AF20" s="311">
        <f>정리base!$G$12</f>
        <v>15292.274999999998</v>
      </c>
      <c r="AG20" s="311">
        <f>정리base!$H$12</f>
        <v>9412.5349999999999</v>
      </c>
      <c r="AH20" s="311">
        <f>정리base!$I$12</f>
        <v>3923.1150000000002</v>
      </c>
      <c r="AI20" s="312">
        <f>정리base!$J$12</f>
        <v>7000.1850000000013</v>
      </c>
      <c r="AL20" s="309" t="s">
        <v>35</v>
      </c>
      <c r="AM20" s="310">
        <f>정리base!$E$12</f>
        <v>9178.4549999999999</v>
      </c>
      <c r="AN20" s="311">
        <f>정리base!$F$12</f>
        <v>14612.2</v>
      </c>
      <c r="AO20" s="311">
        <f>정리base!$G$12</f>
        <v>15292.274999999998</v>
      </c>
      <c r="AP20" s="311">
        <f>정리base!$H$12</f>
        <v>9412.5349999999999</v>
      </c>
      <c r="AQ20" s="311">
        <f>정리base!$I$12</f>
        <v>3923.1150000000002</v>
      </c>
      <c r="AR20" s="312">
        <f>정리base!$J$12</f>
        <v>7000.1850000000013</v>
      </c>
      <c r="AU20" s="309" t="s">
        <v>35</v>
      </c>
      <c r="AV20" s="310">
        <f>정리base!$E$12</f>
        <v>9178.4549999999999</v>
      </c>
      <c r="AW20" s="311">
        <f>정리base!$F$12</f>
        <v>14612.2</v>
      </c>
      <c r="AX20" s="311">
        <f>정리base!$G$12</f>
        <v>15292.274999999998</v>
      </c>
      <c r="AY20" s="311">
        <f>정리base!$H$12</f>
        <v>9412.5349999999999</v>
      </c>
      <c r="AZ20" s="311">
        <f>정리base!$I$12</f>
        <v>3923.1150000000002</v>
      </c>
      <c r="BA20" s="312">
        <f>정리base!$J$12</f>
        <v>7000.1850000000013</v>
      </c>
      <c r="BD20" s="309" t="s">
        <v>35</v>
      </c>
      <c r="BE20" s="310">
        <f>정리base!$E$12</f>
        <v>9178.4549999999999</v>
      </c>
      <c r="BF20" s="311">
        <f>정리base!$F$12</f>
        <v>14612.2</v>
      </c>
      <c r="BG20" s="311">
        <f>정리base!$G$12</f>
        <v>15292.274999999998</v>
      </c>
      <c r="BH20" s="311">
        <f>정리base!$H$12</f>
        <v>9412.5349999999999</v>
      </c>
      <c r="BI20" s="311">
        <f>정리base!$I$12</f>
        <v>3923.1150000000002</v>
      </c>
      <c r="BJ20" s="312">
        <f>정리base!$J$12</f>
        <v>7000.1850000000013</v>
      </c>
      <c r="BM20" s="309" t="s">
        <v>35</v>
      </c>
      <c r="BN20" s="310">
        <f>정리base!$E$12</f>
        <v>9178.4549999999999</v>
      </c>
      <c r="BO20" s="311">
        <f>정리base!$F$12</f>
        <v>14612.2</v>
      </c>
      <c r="BP20" s="311">
        <f>정리base!$G$12</f>
        <v>15292.274999999998</v>
      </c>
      <c r="BQ20" s="311">
        <f>정리base!$H$12</f>
        <v>9412.5349999999999</v>
      </c>
      <c r="BR20" s="311">
        <f>정리base!$I$12</f>
        <v>3923.1150000000002</v>
      </c>
      <c r="BS20" s="312">
        <f>정리base!$J$12</f>
        <v>7000.1850000000013</v>
      </c>
      <c r="BV20" s="309" t="s">
        <v>35</v>
      </c>
      <c r="BW20" s="310">
        <f>정리base!$E$12</f>
        <v>9178.4549999999999</v>
      </c>
      <c r="BX20" s="311">
        <f>정리base!$F$12</f>
        <v>14612.2</v>
      </c>
      <c r="BY20" s="311">
        <f>정리base!$G$12</f>
        <v>15292.274999999998</v>
      </c>
      <c r="BZ20" s="311">
        <f>정리base!$H$12</f>
        <v>9412.5349999999999</v>
      </c>
      <c r="CA20" s="311">
        <f>정리base!$I$12</f>
        <v>3923.1150000000002</v>
      </c>
      <c r="CB20" s="312">
        <f>정리base!$J$12</f>
        <v>7000.1850000000013</v>
      </c>
      <c r="CE20" s="309" t="s">
        <v>35</v>
      </c>
      <c r="CF20" s="310">
        <f>정리base!$E$12</f>
        <v>9178.4549999999999</v>
      </c>
      <c r="CG20" s="311">
        <f>정리base!$F$12</f>
        <v>14612.2</v>
      </c>
      <c r="CH20" s="311">
        <f>정리base!$G$12</f>
        <v>15292.274999999998</v>
      </c>
      <c r="CI20" s="311">
        <f>정리base!$H$12</f>
        <v>9412.5349999999999</v>
      </c>
      <c r="CJ20" s="311">
        <f>정리base!$I$12</f>
        <v>3923.1150000000002</v>
      </c>
      <c r="CK20" s="312">
        <f>정리base!$J$12</f>
        <v>7000.1850000000013</v>
      </c>
      <c r="CN20" s="309" t="s">
        <v>35</v>
      </c>
      <c r="CO20" s="310">
        <f>정리base!$E$12</f>
        <v>9178.4549999999999</v>
      </c>
      <c r="CP20" s="311">
        <f>정리base!$F$12</f>
        <v>14612.2</v>
      </c>
      <c r="CQ20" s="311">
        <f>정리base!$G$12</f>
        <v>15292.274999999998</v>
      </c>
      <c r="CR20" s="311">
        <f>정리base!$H$12</f>
        <v>9412.5349999999999</v>
      </c>
      <c r="CS20" s="311">
        <f>정리base!$I$12</f>
        <v>3923.1150000000002</v>
      </c>
      <c r="CT20" s="312">
        <f>정리base!$J$12</f>
        <v>7000.1850000000013</v>
      </c>
      <c r="CW20" s="309" t="s">
        <v>35</v>
      </c>
      <c r="CX20" s="310">
        <f>정리base!$E$12</f>
        <v>9178.4549999999999</v>
      </c>
      <c r="CY20" s="311">
        <f>정리base!$F$12</f>
        <v>14612.2</v>
      </c>
      <c r="CZ20" s="311">
        <f>정리base!$G$12</f>
        <v>15292.274999999998</v>
      </c>
      <c r="DA20" s="311">
        <f>정리base!$H$12</f>
        <v>9412.5349999999999</v>
      </c>
      <c r="DB20" s="311">
        <f>정리base!$I$12</f>
        <v>3923.1150000000002</v>
      </c>
      <c r="DC20" s="312">
        <f>정리base!$J$12</f>
        <v>7000.1850000000013</v>
      </c>
    </row>
    <row r="21" spans="2:107" s="40" customFormat="1" ht="31.5" x14ac:dyDescent="0.25">
      <c r="B21" s="309" t="s">
        <v>15</v>
      </c>
      <c r="C21" s="313">
        <f>정리base!$E$17</f>
        <v>31</v>
      </c>
      <c r="D21" s="314">
        <f>정리base!$F$17</f>
        <v>42</v>
      </c>
      <c r="E21" s="314">
        <f>정리base!$G$17</f>
        <v>44</v>
      </c>
      <c r="F21" s="314">
        <f>정리base!$H$17</f>
        <v>38</v>
      </c>
      <c r="G21" s="314">
        <f>정리base!$I$17</f>
        <v>18</v>
      </c>
      <c r="H21" s="315">
        <f>정리base!$J$17</f>
        <v>28</v>
      </c>
      <c r="K21" s="309" t="s">
        <v>15</v>
      </c>
      <c r="L21" s="313">
        <f>정리base!$E$17</f>
        <v>31</v>
      </c>
      <c r="M21" s="314">
        <f>정리base!$F$17</f>
        <v>42</v>
      </c>
      <c r="N21" s="314">
        <f>정리base!$G$17</f>
        <v>44</v>
      </c>
      <c r="O21" s="314">
        <f>정리base!$H$17</f>
        <v>38</v>
      </c>
      <c r="P21" s="314">
        <f>정리base!$I$17</f>
        <v>18</v>
      </c>
      <c r="Q21" s="315">
        <f>정리base!$J$17</f>
        <v>28</v>
      </c>
      <c r="T21" s="309" t="s">
        <v>15</v>
      </c>
      <c r="U21" s="313">
        <f>정리base!$E$17</f>
        <v>31</v>
      </c>
      <c r="V21" s="314">
        <f>정리base!$F$17</f>
        <v>42</v>
      </c>
      <c r="W21" s="314">
        <f>정리base!$G$17</f>
        <v>44</v>
      </c>
      <c r="X21" s="314">
        <f>정리base!$H$17</f>
        <v>38</v>
      </c>
      <c r="Y21" s="314">
        <f>정리base!$I$17</f>
        <v>18</v>
      </c>
      <c r="Z21" s="315">
        <f>정리base!$J$17</f>
        <v>28</v>
      </c>
      <c r="AC21" s="309" t="s">
        <v>15</v>
      </c>
      <c r="AD21" s="313">
        <f>정리base!$E$17</f>
        <v>31</v>
      </c>
      <c r="AE21" s="314">
        <f>정리base!$F$17</f>
        <v>42</v>
      </c>
      <c r="AF21" s="314">
        <f>정리base!$G$17</f>
        <v>44</v>
      </c>
      <c r="AG21" s="314">
        <f>정리base!$H$17</f>
        <v>38</v>
      </c>
      <c r="AH21" s="314">
        <f>정리base!$I$17</f>
        <v>18</v>
      </c>
      <c r="AI21" s="315">
        <f>정리base!$J$17</f>
        <v>28</v>
      </c>
      <c r="AL21" s="309" t="s">
        <v>15</v>
      </c>
      <c r="AM21" s="313">
        <f>정리base!$E$17</f>
        <v>31</v>
      </c>
      <c r="AN21" s="314">
        <f>정리base!$F$17</f>
        <v>42</v>
      </c>
      <c r="AO21" s="314">
        <f>정리base!$G$17</f>
        <v>44</v>
      </c>
      <c r="AP21" s="314">
        <f>정리base!$H$17</f>
        <v>38</v>
      </c>
      <c r="AQ21" s="314">
        <f>정리base!$I$17</f>
        <v>18</v>
      </c>
      <c r="AR21" s="315">
        <f>정리base!$J$17</f>
        <v>28</v>
      </c>
      <c r="AU21" s="309" t="s">
        <v>15</v>
      </c>
      <c r="AV21" s="313">
        <f>정리base!$E$17</f>
        <v>31</v>
      </c>
      <c r="AW21" s="314">
        <f>정리base!$F$17</f>
        <v>42</v>
      </c>
      <c r="AX21" s="314">
        <f>정리base!$G$17</f>
        <v>44</v>
      </c>
      <c r="AY21" s="314">
        <f>정리base!$H$17</f>
        <v>38</v>
      </c>
      <c r="AZ21" s="314">
        <f>정리base!$I$17</f>
        <v>18</v>
      </c>
      <c r="BA21" s="315">
        <f>정리base!$J$17</f>
        <v>28</v>
      </c>
      <c r="BD21" s="309" t="s">
        <v>15</v>
      </c>
      <c r="BE21" s="313">
        <f>정리base!$E$17</f>
        <v>31</v>
      </c>
      <c r="BF21" s="314">
        <f>정리base!$F$17</f>
        <v>42</v>
      </c>
      <c r="BG21" s="314">
        <f>정리base!$G$17</f>
        <v>44</v>
      </c>
      <c r="BH21" s="314">
        <f>정리base!$H$17</f>
        <v>38</v>
      </c>
      <c r="BI21" s="314">
        <f>정리base!$I$17</f>
        <v>18</v>
      </c>
      <c r="BJ21" s="315">
        <f>정리base!$J$17</f>
        <v>28</v>
      </c>
      <c r="BM21" s="309" t="s">
        <v>15</v>
      </c>
      <c r="BN21" s="313">
        <f>정리base!$E$17</f>
        <v>31</v>
      </c>
      <c r="BO21" s="314">
        <f>정리base!$F$17</f>
        <v>42</v>
      </c>
      <c r="BP21" s="314">
        <f>정리base!$G$17</f>
        <v>44</v>
      </c>
      <c r="BQ21" s="314">
        <f>정리base!$H$17</f>
        <v>38</v>
      </c>
      <c r="BR21" s="314">
        <f>정리base!$I$17</f>
        <v>18</v>
      </c>
      <c r="BS21" s="315">
        <f>정리base!$J$17</f>
        <v>28</v>
      </c>
      <c r="BV21" s="309" t="s">
        <v>15</v>
      </c>
      <c r="BW21" s="313">
        <f>정리base!$E$17</f>
        <v>31</v>
      </c>
      <c r="BX21" s="314">
        <f>정리base!$F$17</f>
        <v>42</v>
      </c>
      <c r="BY21" s="314">
        <f>정리base!$G$17</f>
        <v>44</v>
      </c>
      <c r="BZ21" s="314">
        <f>정리base!$H$17</f>
        <v>38</v>
      </c>
      <c r="CA21" s="314">
        <f>정리base!$I$17</f>
        <v>18</v>
      </c>
      <c r="CB21" s="315">
        <f>정리base!$J$17</f>
        <v>28</v>
      </c>
      <c r="CE21" s="309" t="s">
        <v>15</v>
      </c>
      <c r="CF21" s="313">
        <f>정리base!$E$17</f>
        <v>31</v>
      </c>
      <c r="CG21" s="314">
        <f>정리base!$F$17</f>
        <v>42</v>
      </c>
      <c r="CH21" s="314">
        <f>정리base!$G$17</f>
        <v>44</v>
      </c>
      <c r="CI21" s="314">
        <f>정리base!$H$17</f>
        <v>38</v>
      </c>
      <c r="CJ21" s="314">
        <f>정리base!$I$17</f>
        <v>18</v>
      </c>
      <c r="CK21" s="315">
        <f>정리base!$J$17</f>
        <v>28</v>
      </c>
      <c r="CN21" s="309" t="s">
        <v>15</v>
      </c>
      <c r="CO21" s="313">
        <f>정리base!$E$17</f>
        <v>31</v>
      </c>
      <c r="CP21" s="314">
        <f>정리base!$F$17</f>
        <v>42</v>
      </c>
      <c r="CQ21" s="314">
        <f>정리base!$G$17</f>
        <v>44</v>
      </c>
      <c r="CR21" s="314">
        <f>정리base!$H$17</f>
        <v>38</v>
      </c>
      <c r="CS21" s="314">
        <f>정리base!$I$17</f>
        <v>18</v>
      </c>
      <c r="CT21" s="315">
        <f>정리base!$J$17</f>
        <v>28</v>
      </c>
      <c r="CW21" s="309" t="s">
        <v>15</v>
      </c>
      <c r="CX21" s="313">
        <f>정리base!$E$17</f>
        <v>31</v>
      </c>
      <c r="CY21" s="314">
        <f>정리base!$F$17</f>
        <v>42</v>
      </c>
      <c r="CZ21" s="314">
        <f>정리base!$G$17</f>
        <v>44</v>
      </c>
      <c r="DA21" s="314">
        <f>정리base!$H$17</f>
        <v>38</v>
      </c>
      <c r="DB21" s="314">
        <f>정리base!$I$17</f>
        <v>18</v>
      </c>
      <c r="DC21" s="315">
        <f>정리base!$J$17</f>
        <v>28</v>
      </c>
    </row>
    <row r="22" spans="2:107" s="40" customFormat="1" ht="32.25" thickBot="1" x14ac:dyDescent="0.3">
      <c r="B22" s="316" t="s">
        <v>29</v>
      </c>
      <c r="C22" s="317">
        <f>정리base!$E$18</f>
        <v>87.29</v>
      </c>
      <c r="D22" s="318">
        <f>정리base!$F$18</f>
        <v>145.20599999999996</v>
      </c>
      <c r="E22" s="318">
        <f>정리base!$G$18</f>
        <v>137.369</v>
      </c>
      <c r="F22" s="318">
        <f>정리base!$H$18</f>
        <v>93.966000000000008</v>
      </c>
      <c r="G22" s="318">
        <f>정리base!$I$18</f>
        <v>37.867999999999995</v>
      </c>
      <c r="H22" s="319">
        <f>정리base!$J$18</f>
        <v>58.04</v>
      </c>
      <c r="K22" s="316" t="s">
        <v>29</v>
      </c>
      <c r="L22" s="317">
        <f>정리base!$E$18</f>
        <v>87.29</v>
      </c>
      <c r="M22" s="318">
        <f>정리base!$F$18</f>
        <v>145.20599999999996</v>
      </c>
      <c r="N22" s="318">
        <f>정리base!$G$18</f>
        <v>137.369</v>
      </c>
      <c r="O22" s="318">
        <f>정리base!$H$18</f>
        <v>93.966000000000008</v>
      </c>
      <c r="P22" s="318">
        <f>정리base!$I$18</f>
        <v>37.867999999999995</v>
      </c>
      <c r="Q22" s="319">
        <f>정리base!$J$18</f>
        <v>58.04</v>
      </c>
      <c r="T22" s="316" t="s">
        <v>29</v>
      </c>
      <c r="U22" s="317">
        <f>정리base!$E$18</f>
        <v>87.29</v>
      </c>
      <c r="V22" s="318">
        <f>정리base!$F$18</f>
        <v>145.20599999999996</v>
      </c>
      <c r="W22" s="318">
        <f>정리base!$G$18</f>
        <v>137.369</v>
      </c>
      <c r="X22" s="318">
        <f>정리base!$H$18</f>
        <v>93.966000000000008</v>
      </c>
      <c r="Y22" s="318">
        <f>정리base!$I$18</f>
        <v>37.867999999999995</v>
      </c>
      <c r="Z22" s="319">
        <f>정리base!$J$18</f>
        <v>58.04</v>
      </c>
      <c r="AC22" s="316" t="s">
        <v>29</v>
      </c>
      <c r="AD22" s="317">
        <f>정리base!$E$18</f>
        <v>87.29</v>
      </c>
      <c r="AE22" s="318">
        <f>정리base!$F$18</f>
        <v>145.20599999999996</v>
      </c>
      <c r="AF22" s="318">
        <f>정리base!$G$18</f>
        <v>137.369</v>
      </c>
      <c r="AG22" s="318">
        <f>정리base!$H$18</f>
        <v>93.966000000000008</v>
      </c>
      <c r="AH22" s="318">
        <f>정리base!$I$18</f>
        <v>37.867999999999995</v>
      </c>
      <c r="AI22" s="319">
        <f>정리base!$J$18</f>
        <v>58.04</v>
      </c>
      <c r="AL22" s="316" t="s">
        <v>29</v>
      </c>
      <c r="AM22" s="317">
        <f>정리base!$E$18</f>
        <v>87.29</v>
      </c>
      <c r="AN22" s="318">
        <f>정리base!$F$18</f>
        <v>145.20599999999996</v>
      </c>
      <c r="AO22" s="318">
        <f>정리base!$G$18</f>
        <v>137.369</v>
      </c>
      <c r="AP22" s="318">
        <f>정리base!$H$18</f>
        <v>93.966000000000008</v>
      </c>
      <c r="AQ22" s="318">
        <f>정리base!$I$18</f>
        <v>37.867999999999995</v>
      </c>
      <c r="AR22" s="319">
        <f>정리base!$J$18</f>
        <v>58.04</v>
      </c>
      <c r="AU22" s="316" t="s">
        <v>29</v>
      </c>
      <c r="AV22" s="317">
        <f>정리base!$E$18</f>
        <v>87.29</v>
      </c>
      <c r="AW22" s="318">
        <f>정리base!$F$18</f>
        <v>145.20599999999996</v>
      </c>
      <c r="AX22" s="318">
        <f>정리base!$G$18</f>
        <v>137.369</v>
      </c>
      <c r="AY22" s="318">
        <f>정리base!$H$18</f>
        <v>93.966000000000008</v>
      </c>
      <c r="AZ22" s="318">
        <f>정리base!$I$18</f>
        <v>37.867999999999995</v>
      </c>
      <c r="BA22" s="319">
        <f>정리base!$J$18</f>
        <v>58.04</v>
      </c>
      <c r="BD22" s="316" t="s">
        <v>29</v>
      </c>
      <c r="BE22" s="317">
        <f>정리base!$E$18</f>
        <v>87.29</v>
      </c>
      <c r="BF22" s="318">
        <f>정리base!$F$18</f>
        <v>145.20599999999996</v>
      </c>
      <c r="BG22" s="318">
        <f>정리base!$G$18</f>
        <v>137.369</v>
      </c>
      <c r="BH22" s="318">
        <f>정리base!$H$18</f>
        <v>93.966000000000008</v>
      </c>
      <c r="BI22" s="318">
        <f>정리base!$I$18</f>
        <v>37.867999999999995</v>
      </c>
      <c r="BJ22" s="319">
        <f>정리base!$J$18</f>
        <v>58.04</v>
      </c>
      <c r="BM22" s="316" t="s">
        <v>29</v>
      </c>
      <c r="BN22" s="317">
        <f>정리base!$E$18</f>
        <v>87.29</v>
      </c>
      <c r="BO22" s="318">
        <f>정리base!$F$18</f>
        <v>145.20599999999996</v>
      </c>
      <c r="BP22" s="318">
        <f>정리base!$G$18</f>
        <v>137.369</v>
      </c>
      <c r="BQ22" s="318">
        <f>정리base!$H$18</f>
        <v>93.966000000000008</v>
      </c>
      <c r="BR22" s="318">
        <f>정리base!$I$18</f>
        <v>37.867999999999995</v>
      </c>
      <c r="BS22" s="319">
        <f>정리base!$J$18</f>
        <v>58.04</v>
      </c>
      <c r="BV22" s="316" t="s">
        <v>29</v>
      </c>
      <c r="BW22" s="317">
        <f>정리base!$E$18</f>
        <v>87.29</v>
      </c>
      <c r="BX22" s="318">
        <f>정리base!$F$18</f>
        <v>145.20599999999996</v>
      </c>
      <c r="BY22" s="318">
        <f>정리base!$G$18</f>
        <v>137.369</v>
      </c>
      <c r="BZ22" s="318">
        <f>정리base!$H$18</f>
        <v>93.966000000000008</v>
      </c>
      <c r="CA22" s="318">
        <f>정리base!$I$18</f>
        <v>37.867999999999995</v>
      </c>
      <c r="CB22" s="319">
        <f>정리base!$J$18</f>
        <v>58.04</v>
      </c>
      <c r="CE22" s="316" t="s">
        <v>29</v>
      </c>
      <c r="CF22" s="317">
        <f>정리base!$E$18</f>
        <v>87.29</v>
      </c>
      <c r="CG22" s="318">
        <f>정리base!$F$18</f>
        <v>145.20599999999996</v>
      </c>
      <c r="CH22" s="318">
        <f>정리base!$G$18</f>
        <v>137.369</v>
      </c>
      <c r="CI22" s="318">
        <f>정리base!$H$18</f>
        <v>93.966000000000008</v>
      </c>
      <c r="CJ22" s="318">
        <f>정리base!$I$18</f>
        <v>37.867999999999995</v>
      </c>
      <c r="CK22" s="319">
        <f>정리base!$J$18</f>
        <v>58.04</v>
      </c>
      <c r="CN22" s="316" t="s">
        <v>29</v>
      </c>
      <c r="CO22" s="317">
        <f>정리base!$E$18</f>
        <v>87.29</v>
      </c>
      <c r="CP22" s="318">
        <f>정리base!$F$18</f>
        <v>145.20599999999996</v>
      </c>
      <c r="CQ22" s="318">
        <f>정리base!$G$18</f>
        <v>137.369</v>
      </c>
      <c r="CR22" s="318">
        <f>정리base!$H$18</f>
        <v>93.966000000000008</v>
      </c>
      <c r="CS22" s="318">
        <f>정리base!$I$18</f>
        <v>37.867999999999995</v>
      </c>
      <c r="CT22" s="319">
        <f>정리base!$J$18</f>
        <v>58.04</v>
      </c>
      <c r="CW22" s="316" t="s">
        <v>29</v>
      </c>
      <c r="CX22" s="317">
        <f>정리base!$E$18</f>
        <v>87.29</v>
      </c>
      <c r="CY22" s="318">
        <f>정리base!$F$18</f>
        <v>145.20599999999996</v>
      </c>
      <c r="CZ22" s="318">
        <f>정리base!$G$18</f>
        <v>137.369</v>
      </c>
      <c r="DA22" s="318">
        <f>정리base!$H$18</f>
        <v>93.966000000000008</v>
      </c>
      <c r="DB22" s="318">
        <f>정리base!$I$18</f>
        <v>37.867999999999995</v>
      </c>
      <c r="DC22" s="319">
        <f>정리base!$J$18</f>
        <v>58.04</v>
      </c>
    </row>
    <row r="23" spans="2:107" ht="32.25" thickBot="1" x14ac:dyDescent="0.3">
      <c r="B23" s="296" t="s">
        <v>6</v>
      </c>
      <c r="C23" s="297" t="s">
        <v>13</v>
      </c>
      <c r="D23" s="298" t="s">
        <v>14</v>
      </c>
      <c r="E23" s="298" t="s">
        <v>36</v>
      </c>
      <c r="F23" s="298" t="s">
        <v>37</v>
      </c>
      <c r="G23" s="298" t="s">
        <v>38</v>
      </c>
      <c r="H23" s="300" t="s">
        <v>43</v>
      </c>
      <c r="K23" s="296" t="s">
        <v>6</v>
      </c>
      <c r="L23" s="297" t="s">
        <v>13</v>
      </c>
      <c r="M23" s="298" t="s">
        <v>14</v>
      </c>
      <c r="N23" s="298" t="s">
        <v>36</v>
      </c>
      <c r="O23" s="298" t="s">
        <v>37</v>
      </c>
      <c r="P23" s="298" t="s">
        <v>38</v>
      </c>
      <c r="Q23" s="300" t="s">
        <v>43</v>
      </c>
      <c r="T23" s="296" t="s">
        <v>6</v>
      </c>
      <c r="U23" s="297" t="s">
        <v>13</v>
      </c>
      <c r="V23" s="298" t="s">
        <v>14</v>
      </c>
      <c r="W23" s="298" t="s">
        <v>36</v>
      </c>
      <c r="X23" s="298" t="s">
        <v>37</v>
      </c>
      <c r="Y23" s="298" t="s">
        <v>38</v>
      </c>
      <c r="Z23" s="300" t="s">
        <v>43</v>
      </c>
      <c r="AC23" s="296" t="s">
        <v>6</v>
      </c>
      <c r="AD23" s="297" t="s">
        <v>13</v>
      </c>
      <c r="AE23" s="298" t="s">
        <v>14</v>
      </c>
      <c r="AF23" s="298" t="s">
        <v>36</v>
      </c>
      <c r="AG23" s="298" t="s">
        <v>37</v>
      </c>
      <c r="AH23" s="298" t="s">
        <v>38</v>
      </c>
      <c r="AI23" s="300" t="s">
        <v>43</v>
      </c>
      <c r="AL23" s="296" t="s">
        <v>6</v>
      </c>
      <c r="AM23" s="297" t="s">
        <v>13</v>
      </c>
      <c r="AN23" s="298" t="s">
        <v>14</v>
      </c>
      <c r="AO23" s="298" t="s">
        <v>36</v>
      </c>
      <c r="AP23" s="298" t="s">
        <v>37</v>
      </c>
      <c r="AQ23" s="298" t="s">
        <v>38</v>
      </c>
      <c r="AR23" s="300" t="s">
        <v>43</v>
      </c>
      <c r="AU23" s="296" t="s">
        <v>6</v>
      </c>
      <c r="AV23" s="297" t="s">
        <v>13</v>
      </c>
      <c r="AW23" s="298" t="s">
        <v>14</v>
      </c>
      <c r="AX23" s="298" t="s">
        <v>36</v>
      </c>
      <c r="AY23" s="298" t="s">
        <v>37</v>
      </c>
      <c r="AZ23" s="298" t="s">
        <v>38</v>
      </c>
      <c r="BA23" s="300" t="s">
        <v>43</v>
      </c>
      <c r="BD23" s="296" t="s">
        <v>6</v>
      </c>
      <c r="BE23" s="297" t="s">
        <v>13</v>
      </c>
      <c r="BF23" s="298" t="s">
        <v>14</v>
      </c>
      <c r="BG23" s="298" t="s">
        <v>36</v>
      </c>
      <c r="BH23" s="298" t="s">
        <v>37</v>
      </c>
      <c r="BI23" s="298" t="s">
        <v>38</v>
      </c>
      <c r="BJ23" s="300" t="s">
        <v>43</v>
      </c>
      <c r="BM23" s="296" t="s">
        <v>6</v>
      </c>
      <c r="BN23" s="297" t="s">
        <v>13</v>
      </c>
      <c r="BO23" s="298" t="s">
        <v>14</v>
      </c>
      <c r="BP23" s="298" t="s">
        <v>36</v>
      </c>
      <c r="BQ23" s="298" t="s">
        <v>37</v>
      </c>
      <c r="BR23" s="298" t="s">
        <v>38</v>
      </c>
      <c r="BS23" s="300" t="s">
        <v>43</v>
      </c>
      <c r="BV23" s="296" t="s">
        <v>6</v>
      </c>
      <c r="BW23" s="297" t="s">
        <v>13</v>
      </c>
      <c r="BX23" s="298" t="s">
        <v>14</v>
      </c>
      <c r="BY23" s="298" t="s">
        <v>36</v>
      </c>
      <c r="BZ23" s="298" t="s">
        <v>37</v>
      </c>
      <c r="CA23" s="298" t="s">
        <v>38</v>
      </c>
      <c r="CB23" s="300" t="s">
        <v>43</v>
      </c>
      <c r="CE23" s="296" t="s">
        <v>6</v>
      </c>
      <c r="CF23" s="297" t="s">
        <v>13</v>
      </c>
      <c r="CG23" s="298" t="s">
        <v>14</v>
      </c>
      <c r="CH23" s="298" t="s">
        <v>36</v>
      </c>
      <c r="CI23" s="298" t="s">
        <v>37</v>
      </c>
      <c r="CJ23" s="298" t="s">
        <v>38</v>
      </c>
      <c r="CK23" s="300" t="s">
        <v>43</v>
      </c>
      <c r="CN23" s="296" t="s">
        <v>6</v>
      </c>
      <c r="CO23" s="297" t="s">
        <v>13</v>
      </c>
      <c r="CP23" s="298" t="s">
        <v>14</v>
      </c>
      <c r="CQ23" s="298" t="s">
        <v>36</v>
      </c>
      <c r="CR23" s="298" t="s">
        <v>37</v>
      </c>
      <c r="CS23" s="298" t="s">
        <v>38</v>
      </c>
      <c r="CT23" s="300" t="s">
        <v>43</v>
      </c>
      <c r="CW23" s="296" t="s">
        <v>6</v>
      </c>
      <c r="CX23" s="297" t="s">
        <v>13</v>
      </c>
      <c r="CY23" s="298" t="s">
        <v>14</v>
      </c>
      <c r="CZ23" s="298" t="s">
        <v>36</v>
      </c>
      <c r="DA23" s="298" t="s">
        <v>37</v>
      </c>
      <c r="DB23" s="298" t="s">
        <v>38</v>
      </c>
      <c r="DC23" s="300" t="s">
        <v>43</v>
      </c>
    </row>
    <row r="24" spans="2:107" ht="31.5" x14ac:dyDescent="0.25">
      <c r="B24" s="301" t="s">
        <v>121</v>
      </c>
      <c r="C24" s="302">
        <f>정리base!$K$5</f>
        <v>10800</v>
      </c>
      <c r="D24" s="303">
        <f>정리base!$L$5</f>
        <v>10800</v>
      </c>
      <c r="E24" s="303">
        <f>정리base!$M$5</f>
        <v>12100</v>
      </c>
      <c r="F24" s="303">
        <f>정리base!$N$5</f>
        <v>13100</v>
      </c>
      <c r="G24" s="303">
        <f>정리base!$O$5</f>
        <v>12100</v>
      </c>
      <c r="H24" s="304">
        <f>정리base!$P$5</f>
        <v>10600</v>
      </c>
      <c r="K24" s="301" t="s">
        <v>121</v>
      </c>
      <c r="L24" s="302">
        <f>정리base!$K$5</f>
        <v>10800</v>
      </c>
      <c r="M24" s="303">
        <f>정리base!$L$5</f>
        <v>10800</v>
      </c>
      <c r="N24" s="303">
        <f>정리base!$M$5</f>
        <v>12100</v>
      </c>
      <c r="O24" s="303">
        <f>정리base!$N$5</f>
        <v>13100</v>
      </c>
      <c r="P24" s="303">
        <f>정리base!$O$5</f>
        <v>12100</v>
      </c>
      <c r="Q24" s="304">
        <f>정리base!$P$5</f>
        <v>10600</v>
      </c>
      <c r="T24" s="301" t="s">
        <v>121</v>
      </c>
      <c r="U24" s="302">
        <f>정리base!$K$5</f>
        <v>10800</v>
      </c>
      <c r="V24" s="303">
        <f>정리base!$L$5</f>
        <v>10800</v>
      </c>
      <c r="W24" s="303">
        <f>정리base!$M$5</f>
        <v>12100</v>
      </c>
      <c r="X24" s="303">
        <f>정리base!$N$5</f>
        <v>13100</v>
      </c>
      <c r="Y24" s="303">
        <f>정리base!$O$5</f>
        <v>12100</v>
      </c>
      <c r="Z24" s="304">
        <f>정리base!$P$5</f>
        <v>10600</v>
      </c>
      <c r="AC24" s="301" t="s">
        <v>121</v>
      </c>
      <c r="AD24" s="302">
        <f>정리base!$K$5</f>
        <v>10800</v>
      </c>
      <c r="AE24" s="303">
        <f>정리base!$L$5</f>
        <v>10800</v>
      </c>
      <c r="AF24" s="303">
        <f>정리base!$M$5</f>
        <v>12100</v>
      </c>
      <c r="AG24" s="303">
        <f>정리base!$N$5</f>
        <v>13100</v>
      </c>
      <c r="AH24" s="303">
        <f>정리base!$O$5</f>
        <v>12100</v>
      </c>
      <c r="AI24" s="304">
        <f>정리base!$P$5</f>
        <v>10600</v>
      </c>
      <c r="AL24" s="301" t="s">
        <v>121</v>
      </c>
      <c r="AM24" s="302">
        <f>정리base!$K$5</f>
        <v>10800</v>
      </c>
      <c r="AN24" s="303">
        <f>정리base!$L$5</f>
        <v>10800</v>
      </c>
      <c r="AO24" s="303">
        <f>정리base!$M$5</f>
        <v>12100</v>
      </c>
      <c r="AP24" s="303">
        <f>정리base!$N$5</f>
        <v>13100</v>
      </c>
      <c r="AQ24" s="303">
        <f>정리base!$O$5</f>
        <v>12100</v>
      </c>
      <c r="AR24" s="304">
        <f>정리base!$P$5</f>
        <v>10600</v>
      </c>
      <c r="AU24" s="301" t="s">
        <v>121</v>
      </c>
      <c r="AV24" s="302">
        <f>정리base!$K$5</f>
        <v>10800</v>
      </c>
      <c r="AW24" s="303">
        <f>정리base!$L$5</f>
        <v>10800</v>
      </c>
      <c r="AX24" s="303">
        <f>정리base!$M$5</f>
        <v>12100</v>
      </c>
      <c r="AY24" s="303">
        <f>정리base!$N$5</f>
        <v>13100</v>
      </c>
      <c r="AZ24" s="303">
        <f>정리base!$O$5</f>
        <v>12100</v>
      </c>
      <c r="BA24" s="304">
        <f>정리base!$P$5</f>
        <v>10600</v>
      </c>
      <c r="BD24" s="301" t="s">
        <v>121</v>
      </c>
      <c r="BE24" s="302">
        <f>정리base!$K$5</f>
        <v>10800</v>
      </c>
      <c r="BF24" s="303">
        <f>정리base!$L$5</f>
        <v>10800</v>
      </c>
      <c r="BG24" s="303">
        <f>정리base!$M$5</f>
        <v>12100</v>
      </c>
      <c r="BH24" s="303">
        <f>정리base!$N$5</f>
        <v>13100</v>
      </c>
      <c r="BI24" s="303">
        <f>정리base!$O$5</f>
        <v>12100</v>
      </c>
      <c r="BJ24" s="304">
        <f>정리base!$P$5</f>
        <v>10600</v>
      </c>
      <c r="BM24" s="301" t="s">
        <v>121</v>
      </c>
      <c r="BN24" s="302">
        <f>정리base!$K$5</f>
        <v>10800</v>
      </c>
      <c r="BO24" s="303">
        <f>정리base!$L$5</f>
        <v>10800</v>
      </c>
      <c r="BP24" s="303">
        <f>정리base!$M$5</f>
        <v>12100</v>
      </c>
      <c r="BQ24" s="303">
        <f>정리base!$N$5</f>
        <v>13100</v>
      </c>
      <c r="BR24" s="303">
        <f>정리base!$O$5</f>
        <v>12100</v>
      </c>
      <c r="BS24" s="304">
        <f>정리base!$P$5</f>
        <v>10600</v>
      </c>
      <c r="BV24" s="301" t="s">
        <v>121</v>
      </c>
      <c r="BW24" s="302">
        <f>정리base!$K$5</f>
        <v>10800</v>
      </c>
      <c r="BX24" s="303">
        <f>정리base!$L$5</f>
        <v>10800</v>
      </c>
      <c r="BY24" s="303">
        <f>정리base!$M$5</f>
        <v>12100</v>
      </c>
      <c r="BZ24" s="303">
        <f>정리base!$N$5</f>
        <v>13100</v>
      </c>
      <c r="CA24" s="303">
        <f>정리base!$O$5</f>
        <v>12100</v>
      </c>
      <c r="CB24" s="304">
        <f>정리base!$P$5</f>
        <v>10600</v>
      </c>
      <c r="CE24" s="301" t="s">
        <v>121</v>
      </c>
      <c r="CF24" s="302">
        <f>정리base!$K$5</f>
        <v>10800</v>
      </c>
      <c r="CG24" s="303">
        <f>정리base!$L$5</f>
        <v>10800</v>
      </c>
      <c r="CH24" s="303">
        <f>정리base!$M$5</f>
        <v>12100</v>
      </c>
      <c r="CI24" s="303">
        <f>정리base!$N$5</f>
        <v>13100</v>
      </c>
      <c r="CJ24" s="303">
        <f>정리base!$O$5</f>
        <v>12100</v>
      </c>
      <c r="CK24" s="304">
        <f>정리base!$P$5</f>
        <v>10600</v>
      </c>
      <c r="CN24" s="301" t="s">
        <v>121</v>
      </c>
      <c r="CO24" s="302">
        <f>정리base!$K$5</f>
        <v>10800</v>
      </c>
      <c r="CP24" s="303">
        <f>정리base!$L$5</f>
        <v>10800</v>
      </c>
      <c r="CQ24" s="303">
        <f>정리base!$M$5</f>
        <v>12100</v>
      </c>
      <c r="CR24" s="303">
        <f>정리base!$N$5</f>
        <v>13100</v>
      </c>
      <c r="CS24" s="303">
        <f>정리base!$O$5</f>
        <v>12100</v>
      </c>
      <c r="CT24" s="304">
        <f>정리base!$P$5</f>
        <v>10600</v>
      </c>
      <c r="CW24" s="301" t="s">
        <v>121</v>
      </c>
      <c r="CX24" s="302">
        <f>정리base!$K$5</f>
        <v>10800</v>
      </c>
      <c r="CY24" s="303">
        <f>정리base!$L$5</f>
        <v>10800</v>
      </c>
      <c r="CZ24" s="303">
        <f>정리base!$M$5</f>
        <v>12100</v>
      </c>
      <c r="DA24" s="303">
        <f>정리base!$N$5</f>
        <v>13100</v>
      </c>
      <c r="DB24" s="303">
        <f>정리base!$O$5</f>
        <v>12100</v>
      </c>
      <c r="DC24" s="304">
        <f>정리base!$P$5</f>
        <v>10600</v>
      </c>
    </row>
    <row r="25" spans="2:107" ht="31.5" x14ac:dyDescent="0.25">
      <c r="B25" s="305" t="s">
        <v>126</v>
      </c>
      <c r="C25" s="320">
        <f>정리base!$K$9</f>
        <v>0.84701944444444455</v>
      </c>
      <c r="D25" s="321">
        <f>정리base!$L$9</f>
        <v>0.54275555555555555</v>
      </c>
      <c r="E25" s="321">
        <f>정리base!$M$9</f>
        <v>0.7309256198347106</v>
      </c>
      <c r="F25" s="321">
        <f>정리base!$N$9</f>
        <v>0</v>
      </c>
      <c r="G25" s="321">
        <f>정리base!$O$9</f>
        <v>0</v>
      </c>
      <c r="H25" s="322">
        <f>정리base!$P$9</f>
        <v>0</v>
      </c>
      <c r="K25" s="305" t="s">
        <v>126</v>
      </c>
      <c r="L25" s="320">
        <f>정리base!$K$9</f>
        <v>0.84701944444444455</v>
      </c>
      <c r="M25" s="321">
        <f>정리base!$L$9</f>
        <v>0.54275555555555555</v>
      </c>
      <c r="N25" s="321">
        <f>정리base!$M$9</f>
        <v>0.7309256198347106</v>
      </c>
      <c r="O25" s="321">
        <f>정리base!$N$9</f>
        <v>0</v>
      </c>
      <c r="P25" s="321">
        <f>정리base!$O$9</f>
        <v>0</v>
      </c>
      <c r="Q25" s="322">
        <f>정리base!$P$9</f>
        <v>0</v>
      </c>
      <c r="T25" s="305" t="s">
        <v>126</v>
      </c>
      <c r="U25" s="320">
        <f>정리base!$K$9</f>
        <v>0.84701944444444455</v>
      </c>
      <c r="V25" s="321">
        <f>정리base!$L$9</f>
        <v>0.54275555555555555</v>
      </c>
      <c r="W25" s="321">
        <f>정리base!$M$9</f>
        <v>0.7309256198347106</v>
      </c>
      <c r="X25" s="321">
        <f>정리base!$N$9</f>
        <v>0</v>
      </c>
      <c r="Y25" s="321">
        <f>정리base!$O$9</f>
        <v>0</v>
      </c>
      <c r="Z25" s="322">
        <f>정리base!$P$9</f>
        <v>0</v>
      </c>
      <c r="AC25" s="305" t="s">
        <v>126</v>
      </c>
      <c r="AD25" s="320">
        <f>정리base!$K$9</f>
        <v>0.84701944444444455</v>
      </c>
      <c r="AE25" s="321">
        <f>정리base!$L$9</f>
        <v>0.54275555555555555</v>
      </c>
      <c r="AF25" s="321">
        <f>정리base!$M$9</f>
        <v>0.7309256198347106</v>
      </c>
      <c r="AG25" s="321">
        <f>정리base!$N$9</f>
        <v>0</v>
      </c>
      <c r="AH25" s="321">
        <f>정리base!$O$9</f>
        <v>0</v>
      </c>
      <c r="AI25" s="322">
        <f>정리base!$P$9</f>
        <v>0</v>
      </c>
      <c r="AL25" s="305" t="s">
        <v>126</v>
      </c>
      <c r="AM25" s="320">
        <f>정리base!$K$9</f>
        <v>0.84701944444444455</v>
      </c>
      <c r="AN25" s="321">
        <f>정리base!$L$9</f>
        <v>0.54275555555555555</v>
      </c>
      <c r="AO25" s="321">
        <f>정리base!$M$9</f>
        <v>0.7309256198347106</v>
      </c>
      <c r="AP25" s="321">
        <f>정리base!$N$9</f>
        <v>0</v>
      </c>
      <c r="AQ25" s="321">
        <f>정리base!$O$9</f>
        <v>0</v>
      </c>
      <c r="AR25" s="322">
        <f>정리base!$P$9</f>
        <v>0</v>
      </c>
      <c r="AU25" s="305" t="s">
        <v>126</v>
      </c>
      <c r="AV25" s="320">
        <f>정리base!$K$9</f>
        <v>0.84701944444444455</v>
      </c>
      <c r="AW25" s="321">
        <f>정리base!$L$9</f>
        <v>0.54275555555555555</v>
      </c>
      <c r="AX25" s="321">
        <f>정리base!$M$9</f>
        <v>0.7309256198347106</v>
      </c>
      <c r="AY25" s="321">
        <f>정리base!$N$9</f>
        <v>0</v>
      </c>
      <c r="AZ25" s="321">
        <f>정리base!$O$9</f>
        <v>0</v>
      </c>
      <c r="BA25" s="322">
        <f>정리base!$P$9</f>
        <v>0</v>
      </c>
      <c r="BD25" s="305" t="s">
        <v>126</v>
      </c>
      <c r="BE25" s="320">
        <f>정리base!$K$9</f>
        <v>0.84701944444444455</v>
      </c>
      <c r="BF25" s="321">
        <f>정리base!$L$9</f>
        <v>0.54275555555555555</v>
      </c>
      <c r="BG25" s="321">
        <f>정리base!$M$9</f>
        <v>0.7309256198347106</v>
      </c>
      <c r="BH25" s="321">
        <f>정리base!$N$9</f>
        <v>0</v>
      </c>
      <c r="BI25" s="321">
        <f>정리base!$O$9</f>
        <v>0</v>
      </c>
      <c r="BJ25" s="322">
        <f>정리base!$P$9</f>
        <v>0</v>
      </c>
      <c r="BM25" s="305" t="s">
        <v>126</v>
      </c>
      <c r="BN25" s="320">
        <f>정리base!$K$9</f>
        <v>0.84701944444444455</v>
      </c>
      <c r="BO25" s="321">
        <f>정리base!$L$9</f>
        <v>0.54275555555555555</v>
      </c>
      <c r="BP25" s="321">
        <f>정리base!$M$9</f>
        <v>0.7309256198347106</v>
      </c>
      <c r="BQ25" s="321">
        <f>정리base!$N$9</f>
        <v>0</v>
      </c>
      <c r="BR25" s="321">
        <f>정리base!$O$9</f>
        <v>0</v>
      </c>
      <c r="BS25" s="322">
        <f>정리base!$P$9</f>
        <v>0</v>
      </c>
      <c r="BV25" s="305" t="s">
        <v>126</v>
      </c>
      <c r="BW25" s="320">
        <f>정리base!$K$9</f>
        <v>0.84701944444444455</v>
      </c>
      <c r="BX25" s="321">
        <f>정리base!$L$9</f>
        <v>0.54275555555555555</v>
      </c>
      <c r="BY25" s="321">
        <f>정리base!$M$9</f>
        <v>0.7309256198347106</v>
      </c>
      <c r="BZ25" s="321">
        <f>정리base!$N$9</f>
        <v>0</v>
      </c>
      <c r="CA25" s="321">
        <f>정리base!$O$9</f>
        <v>0</v>
      </c>
      <c r="CB25" s="322">
        <f>정리base!$P$9</f>
        <v>0</v>
      </c>
      <c r="CE25" s="305" t="s">
        <v>126</v>
      </c>
      <c r="CF25" s="320">
        <f>정리base!$K$9</f>
        <v>0.84701944444444455</v>
      </c>
      <c r="CG25" s="321">
        <f>정리base!$L$9</f>
        <v>0.54275555555555555</v>
      </c>
      <c r="CH25" s="321">
        <f>정리base!$M$9</f>
        <v>0.7309256198347106</v>
      </c>
      <c r="CI25" s="321">
        <f>정리base!$N$9</f>
        <v>0</v>
      </c>
      <c r="CJ25" s="321">
        <f>정리base!$O$9</f>
        <v>0</v>
      </c>
      <c r="CK25" s="322">
        <f>정리base!$P$9</f>
        <v>0</v>
      </c>
      <c r="CN25" s="305" t="s">
        <v>126</v>
      </c>
      <c r="CO25" s="320">
        <f>정리base!$K$9</f>
        <v>0.84701944444444455</v>
      </c>
      <c r="CP25" s="321">
        <f>정리base!$L$9</f>
        <v>0.54275555555555555</v>
      </c>
      <c r="CQ25" s="321">
        <f>정리base!$M$9</f>
        <v>0.7309256198347106</v>
      </c>
      <c r="CR25" s="321">
        <f>정리base!$N$9</f>
        <v>0</v>
      </c>
      <c r="CS25" s="321">
        <f>정리base!$O$9</f>
        <v>0</v>
      </c>
      <c r="CT25" s="322">
        <f>정리base!$P$9</f>
        <v>0</v>
      </c>
      <c r="CW25" s="305" t="s">
        <v>126</v>
      </c>
      <c r="CX25" s="320">
        <f>정리base!$K$9</f>
        <v>0.84701944444444455</v>
      </c>
      <c r="CY25" s="321">
        <f>정리base!$L$9</f>
        <v>0.54275555555555555</v>
      </c>
      <c r="CZ25" s="321">
        <f>정리base!$M$9</f>
        <v>0.7309256198347106</v>
      </c>
      <c r="DA25" s="321">
        <f>정리base!$N$9</f>
        <v>0</v>
      </c>
      <c r="DB25" s="321">
        <f>정리base!$O$9</f>
        <v>0</v>
      </c>
      <c r="DC25" s="322">
        <f>정리base!$P$9</f>
        <v>0</v>
      </c>
    </row>
    <row r="26" spans="2:107" ht="31.5" x14ac:dyDescent="0.25">
      <c r="B26" s="309" t="s">
        <v>35</v>
      </c>
      <c r="C26" s="310">
        <f>정리base!$K$12</f>
        <v>9147.8100000000013</v>
      </c>
      <c r="D26" s="311">
        <f>정리base!$L$12</f>
        <v>5861.7599999999993</v>
      </c>
      <c r="E26" s="311">
        <f>정리base!$M$12</f>
        <v>8844.1999999999989</v>
      </c>
      <c r="F26" s="311">
        <f>정리base!$N$12</f>
        <v>0</v>
      </c>
      <c r="G26" s="311">
        <f>정리base!$O$12</f>
        <v>0</v>
      </c>
      <c r="H26" s="312">
        <f>정리base!$P$12</f>
        <v>0</v>
      </c>
      <c r="K26" s="309" t="s">
        <v>35</v>
      </c>
      <c r="L26" s="310">
        <f>정리base!$K$12</f>
        <v>9147.8100000000013</v>
      </c>
      <c r="M26" s="311">
        <f>정리base!$L$12</f>
        <v>5861.7599999999993</v>
      </c>
      <c r="N26" s="311">
        <f>정리base!$M$12</f>
        <v>8844.1999999999989</v>
      </c>
      <c r="O26" s="311">
        <f>정리base!$N$12</f>
        <v>0</v>
      </c>
      <c r="P26" s="311">
        <f>정리base!$O$12</f>
        <v>0</v>
      </c>
      <c r="Q26" s="312">
        <f>정리base!$P$12</f>
        <v>0</v>
      </c>
      <c r="T26" s="309" t="s">
        <v>35</v>
      </c>
      <c r="U26" s="310">
        <f>정리base!$K$12</f>
        <v>9147.8100000000013</v>
      </c>
      <c r="V26" s="311">
        <f>정리base!$L$12</f>
        <v>5861.7599999999993</v>
      </c>
      <c r="W26" s="311">
        <f>정리base!$M$12</f>
        <v>8844.1999999999989</v>
      </c>
      <c r="X26" s="311">
        <f>정리base!$N$12</f>
        <v>0</v>
      </c>
      <c r="Y26" s="311">
        <f>정리base!$O$12</f>
        <v>0</v>
      </c>
      <c r="Z26" s="312">
        <f>정리base!$P$12</f>
        <v>0</v>
      </c>
      <c r="AC26" s="309" t="s">
        <v>35</v>
      </c>
      <c r="AD26" s="310">
        <f>정리base!$K$12</f>
        <v>9147.8100000000013</v>
      </c>
      <c r="AE26" s="311">
        <f>정리base!$L$12</f>
        <v>5861.7599999999993</v>
      </c>
      <c r="AF26" s="311">
        <f>정리base!$M$12</f>
        <v>8844.1999999999989</v>
      </c>
      <c r="AG26" s="311">
        <f>정리base!$N$12</f>
        <v>0</v>
      </c>
      <c r="AH26" s="311">
        <f>정리base!$O$12</f>
        <v>0</v>
      </c>
      <c r="AI26" s="312">
        <f>정리base!$P$12</f>
        <v>0</v>
      </c>
      <c r="AL26" s="309" t="s">
        <v>35</v>
      </c>
      <c r="AM26" s="310">
        <f>정리base!$K$12</f>
        <v>9147.8100000000013</v>
      </c>
      <c r="AN26" s="311">
        <f>정리base!$L$12</f>
        <v>5861.7599999999993</v>
      </c>
      <c r="AO26" s="311">
        <f>정리base!$M$12</f>
        <v>8844.1999999999989</v>
      </c>
      <c r="AP26" s="311">
        <f>정리base!$N$12</f>
        <v>0</v>
      </c>
      <c r="AQ26" s="311">
        <f>정리base!$O$12</f>
        <v>0</v>
      </c>
      <c r="AR26" s="312">
        <f>정리base!$P$12</f>
        <v>0</v>
      </c>
      <c r="AU26" s="309" t="s">
        <v>35</v>
      </c>
      <c r="AV26" s="310">
        <f>정리base!$K$12</f>
        <v>9147.8100000000013</v>
      </c>
      <c r="AW26" s="311">
        <f>정리base!$L$12</f>
        <v>5861.7599999999993</v>
      </c>
      <c r="AX26" s="311">
        <f>정리base!$M$12</f>
        <v>8844.1999999999989</v>
      </c>
      <c r="AY26" s="311">
        <f>정리base!$N$12</f>
        <v>0</v>
      </c>
      <c r="AZ26" s="311">
        <f>정리base!$O$12</f>
        <v>0</v>
      </c>
      <c r="BA26" s="312">
        <f>정리base!$P$12</f>
        <v>0</v>
      </c>
      <c r="BD26" s="309" t="s">
        <v>35</v>
      </c>
      <c r="BE26" s="310">
        <f>정리base!$K$12</f>
        <v>9147.8100000000013</v>
      </c>
      <c r="BF26" s="311">
        <f>정리base!$L$12</f>
        <v>5861.7599999999993</v>
      </c>
      <c r="BG26" s="311">
        <f>정리base!$M$12</f>
        <v>8844.1999999999989</v>
      </c>
      <c r="BH26" s="311">
        <f>정리base!$N$12</f>
        <v>0</v>
      </c>
      <c r="BI26" s="311">
        <f>정리base!$O$12</f>
        <v>0</v>
      </c>
      <c r="BJ26" s="312">
        <f>정리base!$P$12</f>
        <v>0</v>
      </c>
      <c r="BM26" s="309" t="s">
        <v>35</v>
      </c>
      <c r="BN26" s="310">
        <f>정리base!$K$12</f>
        <v>9147.8100000000013</v>
      </c>
      <c r="BO26" s="311">
        <f>정리base!$L$12</f>
        <v>5861.7599999999993</v>
      </c>
      <c r="BP26" s="311">
        <f>정리base!$M$12</f>
        <v>8844.1999999999989</v>
      </c>
      <c r="BQ26" s="311">
        <f>정리base!$N$12</f>
        <v>0</v>
      </c>
      <c r="BR26" s="311">
        <f>정리base!$O$12</f>
        <v>0</v>
      </c>
      <c r="BS26" s="312">
        <f>정리base!$P$12</f>
        <v>0</v>
      </c>
      <c r="BV26" s="309" t="s">
        <v>35</v>
      </c>
      <c r="BW26" s="310">
        <f>정리base!$K$12</f>
        <v>9147.8100000000013</v>
      </c>
      <c r="BX26" s="311">
        <f>정리base!$L$12</f>
        <v>5861.7599999999993</v>
      </c>
      <c r="BY26" s="311">
        <f>정리base!$M$12</f>
        <v>8844.1999999999989</v>
      </c>
      <c r="BZ26" s="311">
        <f>정리base!$N$12</f>
        <v>0</v>
      </c>
      <c r="CA26" s="311">
        <f>정리base!$O$12</f>
        <v>0</v>
      </c>
      <c r="CB26" s="312">
        <f>정리base!$P$12</f>
        <v>0</v>
      </c>
      <c r="CE26" s="309" t="s">
        <v>35</v>
      </c>
      <c r="CF26" s="310">
        <f>정리base!$K$12</f>
        <v>9147.8100000000013</v>
      </c>
      <c r="CG26" s="311">
        <f>정리base!$L$12</f>
        <v>5861.7599999999993</v>
      </c>
      <c r="CH26" s="311">
        <f>정리base!$M$12</f>
        <v>8844.1999999999989</v>
      </c>
      <c r="CI26" s="311">
        <f>정리base!$N$12</f>
        <v>0</v>
      </c>
      <c r="CJ26" s="311">
        <f>정리base!$O$12</f>
        <v>0</v>
      </c>
      <c r="CK26" s="312">
        <f>정리base!$P$12</f>
        <v>0</v>
      </c>
      <c r="CN26" s="309" t="s">
        <v>35</v>
      </c>
      <c r="CO26" s="310">
        <f>정리base!$K$12</f>
        <v>9147.8100000000013</v>
      </c>
      <c r="CP26" s="311">
        <f>정리base!$L$12</f>
        <v>5861.7599999999993</v>
      </c>
      <c r="CQ26" s="311">
        <f>정리base!$M$12</f>
        <v>8844.1999999999989</v>
      </c>
      <c r="CR26" s="311">
        <f>정리base!$N$12</f>
        <v>0</v>
      </c>
      <c r="CS26" s="311">
        <f>정리base!$O$12</f>
        <v>0</v>
      </c>
      <c r="CT26" s="312">
        <f>정리base!$P$12</f>
        <v>0</v>
      </c>
      <c r="CW26" s="309" t="s">
        <v>35</v>
      </c>
      <c r="CX26" s="310">
        <f>정리base!$K$12</f>
        <v>9147.8100000000013</v>
      </c>
      <c r="CY26" s="311">
        <f>정리base!$L$12</f>
        <v>5861.7599999999993</v>
      </c>
      <c r="CZ26" s="311">
        <f>정리base!$M$12</f>
        <v>8844.1999999999989</v>
      </c>
      <c r="DA26" s="311">
        <f>정리base!$N$12</f>
        <v>0</v>
      </c>
      <c r="DB26" s="311">
        <f>정리base!$O$12</f>
        <v>0</v>
      </c>
      <c r="DC26" s="312">
        <f>정리base!$P$12</f>
        <v>0</v>
      </c>
    </row>
    <row r="27" spans="2:107" ht="31.5" x14ac:dyDescent="0.25">
      <c r="B27" s="309" t="s">
        <v>15</v>
      </c>
      <c r="C27" s="313">
        <f>정리base!$K$17</f>
        <v>28</v>
      </c>
      <c r="D27" s="314">
        <f>정리base!$L$17</f>
        <v>20</v>
      </c>
      <c r="E27" s="314">
        <f>정리base!$M$17</f>
        <v>18</v>
      </c>
      <c r="F27" s="314">
        <f>정리base!$N$17</f>
        <v>0</v>
      </c>
      <c r="G27" s="314">
        <f>정리base!$O$17</f>
        <v>0</v>
      </c>
      <c r="H27" s="315">
        <f>정리base!$P$17</f>
        <v>0</v>
      </c>
      <c r="K27" s="309" t="s">
        <v>15</v>
      </c>
      <c r="L27" s="313">
        <f>정리base!$K$17</f>
        <v>28</v>
      </c>
      <c r="M27" s="314">
        <f>정리base!$L$17</f>
        <v>20</v>
      </c>
      <c r="N27" s="314">
        <f>정리base!$M$17</f>
        <v>18</v>
      </c>
      <c r="O27" s="314">
        <f>정리base!$N$17</f>
        <v>0</v>
      </c>
      <c r="P27" s="314">
        <f>정리base!$O$17</f>
        <v>0</v>
      </c>
      <c r="Q27" s="315">
        <f>정리base!$P$17</f>
        <v>0</v>
      </c>
      <c r="T27" s="309" t="s">
        <v>15</v>
      </c>
      <c r="U27" s="313">
        <f>정리base!$K$17</f>
        <v>28</v>
      </c>
      <c r="V27" s="314">
        <f>정리base!$L$17</f>
        <v>20</v>
      </c>
      <c r="W27" s="314">
        <f>정리base!$M$17</f>
        <v>18</v>
      </c>
      <c r="X27" s="314">
        <f>정리base!$N$17</f>
        <v>0</v>
      </c>
      <c r="Y27" s="314">
        <f>정리base!$O$17</f>
        <v>0</v>
      </c>
      <c r="Z27" s="315">
        <f>정리base!$P$17</f>
        <v>0</v>
      </c>
      <c r="AC27" s="309" t="s">
        <v>15</v>
      </c>
      <c r="AD27" s="313">
        <f>정리base!$K$17</f>
        <v>28</v>
      </c>
      <c r="AE27" s="314">
        <f>정리base!$L$17</f>
        <v>20</v>
      </c>
      <c r="AF27" s="314">
        <f>정리base!$M$17</f>
        <v>18</v>
      </c>
      <c r="AG27" s="314">
        <f>정리base!$N$17</f>
        <v>0</v>
      </c>
      <c r="AH27" s="314">
        <f>정리base!$O$17</f>
        <v>0</v>
      </c>
      <c r="AI27" s="315">
        <f>정리base!$P$17</f>
        <v>0</v>
      </c>
      <c r="AL27" s="309" t="s">
        <v>15</v>
      </c>
      <c r="AM27" s="313">
        <f>정리base!$K$17</f>
        <v>28</v>
      </c>
      <c r="AN27" s="314">
        <f>정리base!$L$17</f>
        <v>20</v>
      </c>
      <c r="AO27" s="314">
        <f>정리base!$M$17</f>
        <v>18</v>
      </c>
      <c r="AP27" s="314">
        <f>정리base!$N$17</f>
        <v>0</v>
      </c>
      <c r="AQ27" s="314">
        <f>정리base!$O$17</f>
        <v>0</v>
      </c>
      <c r="AR27" s="315">
        <f>정리base!$P$17</f>
        <v>0</v>
      </c>
      <c r="AU27" s="309" t="s">
        <v>15</v>
      </c>
      <c r="AV27" s="313">
        <f>정리base!$K$17</f>
        <v>28</v>
      </c>
      <c r="AW27" s="314">
        <f>정리base!$L$17</f>
        <v>20</v>
      </c>
      <c r="AX27" s="314">
        <f>정리base!$M$17</f>
        <v>18</v>
      </c>
      <c r="AY27" s="314">
        <f>정리base!$N$17</f>
        <v>0</v>
      </c>
      <c r="AZ27" s="314">
        <f>정리base!$O$17</f>
        <v>0</v>
      </c>
      <c r="BA27" s="315">
        <f>정리base!$P$17</f>
        <v>0</v>
      </c>
      <c r="BD27" s="309" t="s">
        <v>15</v>
      </c>
      <c r="BE27" s="313">
        <f>정리base!$K$17</f>
        <v>28</v>
      </c>
      <c r="BF27" s="314">
        <f>정리base!$L$17</f>
        <v>20</v>
      </c>
      <c r="BG27" s="314">
        <f>정리base!$M$17</f>
        <v>18</v>
      </c>
      <c r="BH27" s="314">
        <f>정리base!$N$17</f>
        <v>0</v>
      </c>
      <c r="BI27" s="314">
        <f>정리base!$O$17</f>
        <v>0</v>
      </c>
      <c r="BJ27" s="315">
        <f>정리base!$P$17</f>
        <v>0</v>
      </c>
      <c r="BM27" s="309" t="s">
        <v>15</v>
      </c>
      <c r="BN27" s="313">
        <f>정리base!$K$17</f>
        <v>28</v>
      </c>
      <c r="BO27" s="314">
        <f>정리base!$L$17</f>
        <v>20</v>
      </c>
      <c r="BP27" s="314">
        <f>정리base!$M$17</f>
        <v>18</v>
      </c>
      <c r="BQ27" s="314">
        <f>정리base!$N$17</f>
        <v>0</v>
      </c>
      <c r="BR27" s="314">
        <f>정리base!$O$17</f>
        <v>0</v>
      </c>
      <c r="BS27" s="315">
        <f>정리base!$P$17</f>
        <v>0</v>
      </c>
      <c r="BV27" s="309" t="s">
        <v>15</v>
      </c>
      <c r="BW27" s="313">
        <f>정리base!$K$17</f>
        <v>28</v>
      </c>
      <c r="BX27" s="314">
        <f>정리base!$L$17</f>
        <v>20</v>
      </c>
      <c r="BY27" s="314">
        <f>정리base!$M$17</f>
        <v>18</v>
      </c>
      <c r="BZ27" s="314">
        <f>정리base!$N$17</f>
        <v>0</v>
      </c>
      <c r="CA27" s="314">
        <f>정리base!$O$17</f>
        <v>0</v>
      </c>
      <c r="CB27" s="315">
        <f>정리base!$P$17</f>
        <v>0</v>
      </c>
      <c r="CE27" s="309" t="s">
        <v>15</v>
      </c>
      <c r="CF27" s="313">
        <f>정리base!$K$17</f>
        <v>28</v>
      </c>
      <c r="CG27" s="314">
        <f>정리base!$L$17</f>
        <v>20</v>
      </c>
      <c r="CH27" s="314">
        <f>정리base!$M$17</f>
        <v>18</v>
      </c>
      <c r="CI27" s="314">
        <f>정리base!$N$17</f>
        <v>0</v>
      </c>
      <c r="CJ27" s="314">
        <f>정리base!$O$17</f>
        <v>0</v>
      </c>
      <c r="CK27" s="315">
        <f>정리base!$P$17</f>
        <v>0</v>
      </c>
      <c r="CN27" s="309" t="s">
        <v>15</v>
      </c>
      <c r="CO27" s="313">
        <f>정리base!$K$17</f>
        <v>28</v>
      </c>
      <c r="CP27" s="314">
        <f>정리base!$L$17</f>
        <v>20</v>
      </c>
      <c r="CQ27" s="314">
        <f>정리base!$M$17</f>
        <v>18</v>
      </c>
      <c r="CR27" s="314">
        <f>정리base!$N$17</f>
        <v>0</v>
      </c>
      <c r="CS27" s="314">
        <f>정리base!$O$17</f>
        <v>0</v>
      </c>
      <c r="CT27" s="315">
        <f>정리base!$P$17</f>
        <v>0</v>
      </c>
      <c r="CW27" s="309" t="s">
        <v>15</v>
      </c>
      <c r="CX27" s="313">
        <f>정리base!$K$17</f>
        <v>28</v>
      </c>
      <c r="CY27" s="314">
        <f>정리base!$L$17</f>
        <v>20</v>
      </c>
      <c r="CZ27" s="314">
        <f>정리base!$M$17</f>
        <v>18</v>
      </c>
      <c r="DA27" s="314">
        <f>정리base!$N$17</f>
        <v>0</v>
      </c>
      <c r="DB27" s="314">
        <f>정리base!$O$17</f>
        <v>0</v>
      </c>
      <c r="DC27" s="315">
        <f>정리base!$P$17</f>
        <v>0</v>
      </c>
    </row>
    <row r="28" spans="2:107" ht="32.25" thickBot="1" x14ac:dyDescent="0.3">
      <c r="B28" s="323" t="s">
        <v>29</v>
      </c>
      <c r="C28" s="324">
        <f>정리base!$K$18</f>
        <v>87.88</v>
      </c>
      <c r="D28" s="325">
        <f>정리base!$L$18</f>
        <v>59.28</v>
      </c>
      <c r="E28" s="325">
        <f>정리base!$M$18</f>
        <v>99.360000000000014</v>
      </c>
      <c r="F28" s="325">
        <f>정리base!$N$18</f>
        <v>0</v>
      </c>
      <c r="G28" s="325">
        <f>정리base!$O$18</f>
        <v>0</v>
      </c>
      <c r="H28" s="326">
        <f>정리base!$P$18</f>
        <v>0</v>
      </c>
      <c r="K28" s="323" t="s">
        <v>29</v>
      </c>
      <c r="L28" s="324">
        <f>정리base!$K$18</f>
        <v>87.88</v>
      </c>
      <c r="M28" s="325">
        <f>정리base!$L$18</f>
        <v>59.28</v>
      </c>
      <c r="N28" s="325">
        <f>정리base!$M$18</f>
        <v>99.360000000000014</v>
      </c>
      <c r="O28" s="325">
        <f>정리base!$N$18</f>
        <v>0</v>
      </c>
      <c r="P28" s="325">
        <f>정리base!$O$18</f>
        <v>0</v>
      </c>
      <c r="Q28" s="326">
        <f>정리base!$P$18</f>
        <v>0</v>
      </c>
      <c r="T28" s="323" t="s">
        <v>29</v>
      </c>
      <c r="U28" s="324">
        <f>정리base!$K$18</f>
        <v>87.88</v>
      </c>
      <c r="V28" s="325">
        <f>정리base!$L$18</f>
        <v>59.28</v>
      </c>
      <c r="W28" s="325">
        <f>정리base!$M$18</f>
        <v>99.360000000000014</v>
      </c>
      <c r="X28" s="325">
        <f>정리base!$N$18</f>
        <v>0</v>
      </c>
      <c r="Y28" s="325">
        <f>정리base!$O$18</f>
        <v>0</v>
      </c>
      <c r="Z28" s="326">
        <f>정리base!$P$18</f>
        <v>0</v>
      </c>
      <c r="AC28" s="323" t="s">
        <v>29</v>
      </c>
      <c r="AD28" s="324">
        <f>정리base!$K$18</f>
        <v>87.88</v>
      </c>
      <c r="AE28" s="325">
        <f>정리base!$L$18</f>
        <v>59.28</v>
      </c>
      <c r="AF28" s="325">
        <f>정리base!$M$18</f>
        <v>99.360000000000014</v>
      </c>
      <c r="AG28" s="325">
        <f>정리base!$N$18</f>
        <v>0</v>
      </c>
      <c r="AH28" s="325">
        <f>정리base!$O$18</f>
        <v>0</v>
      </c>
      <c r="AI28" s="326">
        <f>정리base!$P$18</f>
        <v>0</v>
      </c>
      <c r="AL28" s="323" t="s">
        <v>29</v>
      </c>
      <c r="AM28" s="324">
        <f>정리base!$K$18</f>
        <v>87.88</v>
      </c>
      <c r="AN28" s="325">
        <f>정리base!$L$18</f>
        <v>59.28</v>
      </c>
      <c r="AO28" s="325">
        <f>정리base!$M$18</f>
        <v>99.360000000000014</v>
      </c>
      <c r="AP28" s="325">
        <f>정리base!$N$18</f>
        <v>0</v>
      </c>
      <c r="AQ28" s="325">
        <f>정리base!$O$18</f>
        <v>0</v>
      </c>
      <c r="AR28" s="326">
        <f>정리base!$P$18</f>
        <v>0</v>
      </c>
      <c r="AU28" s="323" t="s">
        <v>29</v>
      </c>
      <c r="AV28" s="324">
        <f>정리base!$K$18</f>
        <v>87.88</v>
      </c>
      <c r="AW28" s="325">
        <f>정리base!$L$18</f>
        <v>59.28</v>
      </c>
      <c r="AX28" s="325">
        <f>정리base!$M$18</f>
        <v>99.360000000000014</v>
      </c>
      <c r="AY28" s="325">
        <f>정리base!$N$18</f>
        <v>0</v>
      </c>
      <c r="AZ28" s="325">
        <f>정리base!$O$18</f>
        <v>0</v>
      </c>
      <c r="BA28" s="326">
        <f>정리base!$P$18</f>
        <v>0</v>
      </c>
      <c r="BD28" s="323" t="s">
        <v>29</v>
      </c>
      <c r="BE28" s="324">
        <f>정리base!$K$18</f>
        <v>87.88</v>
      </c>
      <c r="BF28" s="325">
        <f>정리base!$L$18</f>
        <v>59.28</v>
      </c>
      <c r="BG28" s="325">
        <f>정리base!$M$18</f>
        <v>99.360000000000014</v>
      </c>
      <c r="BH28" s="325">
        <f>정리base!$N$18</f>
        <v>0</v>
      </c>
      <c r="BI28" s="325">
        <f>정리base!$O$18</f>
        <v>0</v>
      </c>
      <c r="BJ28" s="326">
        <f>정리base!$P$18</f>
        <v>0</v>
      </c>
      <c r="BM28" s="323" t="s">
        <v>29</v>
      </c>
      <c r="BN28" s="324">
        <f>정리base!$K$18</f>
        <v>87.88</v>
      </c>
      <c r="BO28" s="325">
        <f>정리base!$L$18</f>
        <v>59.28</v>
      </c>
      <c r="BP28" s="325">
        <f>정리base!$M$18</f>
        <v>99.360000000000014</v>
      </c>
      <c r="BQ28" s="325">
        <f>정리base!$N$18</f>
        <v>0</v>
      </c>
      <c r="BR28" s="325">
        <f>정리base!$O$18</f>
        <v>0</v>
      </c>
      <c r="BS28" s="326">
        <f>정리base!$P$18</f>
        <v>0</v>
      </c>
      <c r="BV28" s="323" t="s">
        <v>29</v>
      </c>
      <c r="BW28" s="324">
        <f>정리base!$K$18</f>
        <v>87.88</v>
      </c>
      <c r="BX28" s="325">
        <f>정리base!$L$18</f>
        <v>59.28</v>
      </c>
      <c r="BY28" s="325">
        <f>정리base!$M$18</f>
        <v>99.360000000000014</v>
      </c>
      <c r="BZ28" s="325">
        <f>정리base!$N$18</f>
        <v>0</v>
      </c>
      <c r="CA28" s="325">
        <f>정리base!$O$18</f>
        <v>0</v>
      </c>
      <c r="CB28" s="326">
        <f>정리base!$P$18</f>
        <v>0</v>
      </c>
      <c r="CE28" s="323" t="s">
        <v>29</v>
      </c>
      <c r="CF28" s="324">
        <f>정리base!$K$18</f>
        <v>87.88</v>
      </c>
      <c r="CG28" s="325">
        <f>정리base!$L$18</f>
        <v>59.28</v>
      </c>
      <c r="CH28" s="325">
        <f>정리base!$M$18</f>
        <v>99.360000000000014</v>
      </c>
      <c r="CI28" s="325">
        <f>정리base!$N$18</f>
        <v>0</v>
      </c>
      <c r="CJ28" s="325">
        <f>정리base!$O$18</f>
        <v>0</v>
      </c>
      <c r="CK28" s="326">
        <f>정리base!$P$18</f>
        <v>0</v>
      </c>
      <c r="CN28" s="323" t="s">
        <v>29</v>
      </c>
      <c r="CO28" s="324">
        <f>정리base!$K$18</f>
        <v>87.88</v>
      </c>
      <c r="CP28" s="325">
        <f>정리base!$L$18</f>
        <v>59.28</v>
      </c>
      <c r="CQ28" s="325">
        <f>정리base!$M$18</f>
        <v>99.360000000000014</v>
      </c>
      <c r="CR28" s="325">
        <f>정리base!$N$18</f>
        <v>0</v>
      </c>
      <c r="CS28" s="325">
        <f>정리base!$O$18</f>
        <v>0</v>
      </c>
      <c r="CT28" s="326">
        <f>정리base!$P$18</f>
        <v>0</v>
      </c>
      <c r="CW28" s="323" t="s">
        <v>29</v>
      </c>
      <c r="CX28" s="324">
        <f>정리base!$K$18</f>
        <v>87.88</v>
      </c>
      <c r="CY28" s="325">
        <f>정리base!$L$18</f>
        <v>59.28</v>
      </c>
      <c r="CZ28" s="325">
        <f>정리base!$M$18</f>
        <v>99.360000000000014</v>
      </c>
      <c r="DA28" s="325">
        <f>정리base!$N$18</f>
        <v>0</v>
      </c>
      <c r="DB28" s="325">
        <f>정리base!$O$18</f>
        <v>0</v>
      </c>
      <c r="DC28" s="326">
        <f>정리base!$P$18</f>
        <v>0</v>
      </c>
    </row>
    <row r="29" spans="2:107" ht="39.950000000000003" customHeight="1" thickBot="1" x14ac:dyDescent="0.3">
      <c r="B29" s="295"/>
      <c r="C29" s="295"/>
      <c r="D29" s="295"/>
      <c r="E29" s="295"/>
      <c r="F29" s="295"/>
      <c r="G29" s="295"/>
      <c r="H29" s="295"/>
      <c r="K29" s="295"/>
      <c r="L29" s="295"/>
      <c r="M29" s="295"/>
      <c r="N29" s="295"/>
      <c r="O29" s="295"/>
      <c r="P29" s="295"/>
      <c r="Q29" s="295"/>
      <c r="T29" s="295"/>
      <c r="U29" s="295"/>
      <c r="V29" s="295"/>
      <c r="W29" s="295"/>
      <c r="X29" s="295"/>
      <c r="Y29" s="295"/>
      <c r="Z29" s="295"/>
      <c r="AC29" s="295"/>
      <c r="AD29" s="295"/>
      <c r="AE29" s="295"/>
      <c r="AF29" s="295"/>
      <c r="AG29" s="295"/>
      <c r="AH29" s="295"/>
      <c r="AI29" s="295"/>
      <c r="AL29" s="295"/>
      <c r="AM29" s="295"/>
      <c r="AN29" s="295"/>
      <c r="AO29" s="295"/>
      <c r="AP29" s="295"/>
      <c r="AQ29" s="295"/>
      <c r="AR29" s="295"/>
      <c r="AU29" s="295"/>
      <c r="AV29" s="295"/>
      <c r="AW29" s="295"/>
      <c r="AX29" s="295"/>
      <c r="AY29" s="295"/>
      <c r="AZ29" s="295"/>
      <c r="BA29" s="295"/>
      <c r="BD29" s="295"/>
      <c r="BE29" s="295"/>
      <c r="BF29" s="295"/>
      <c r="BG29" s="295"/>
      <c r="BH29" s="295"/>
      <c r="BI29" s="295"/>
      <c r="BJ29" s="295"/>
      <c r="BM29" s="295"/>
      <c r="BN29" s="295"/>
      <c r="BO29" s="295"/>
      <c r="BP29" s="295"/>
      <c r="BQ29" s="295"/>
      <c r="BR29" s="295"/>
      <c r="BS29" s="295"/>
      <c r="BV29" s="295"/>
      <c r="BW29" s="295"/>
      <c r="BX29" s="295"/>
      <c r="BY29" s="295"/>
      <c r="BZ29" s="295"/>
      <c r="CA29" s="295"/>
      <c r="CB29" s="295"/>
      <c r="CE29" s="295"/>
      <c r="CF29" s="295"/>
      <c r="CG29" s="295"/>
      <c r="CH29" s="295"/>
      <c r="CI29" s="295"/>
      <c r="CJ29" s="295"/>
      <c r="CK29" s="295"/>
      <c r="CN29" s="295"/>
      <c r="CO29" s="295"/>
      <c r="CP29" s="295"/>
      <c r="CQ29" s="295"/>
      <c r="CR29" s="295"/>
      <c r="CS29" s="295"/>
      <c r="CT29" s="295"/>
      <c r="CW29" s="295"/>
      <c r="CX29" s="295"/>
      <c r="CY29" s="295"/>
      <c r="CZ29" s="295"/>
      <c r="DA29" s="295"/>
      <c r="DB29" s="295"/>
      <c r="DC29" s="295"/>
    </row>
    <row r="30" spans="2:107" ht="32.25" thickBot="1" x14ac:dyDescent="0.3">
      <c r="B30" s="280"/>
      <c r="C30" s="281" t="s">
        <v>50</v>
      </c>
      <c r="D30" s="282" t="s">
        <v>52</v>
      </c>
      <c r="E30" s="327" t="s">
        <v>51</v>
      </c>
      <c r="F30" s="344" t="s">
        <v>45</v>
      </c>
      <c r="G30" s="339" t="s">
        <v>183</v>
      </c>
      <c r="H30" s="340" t="s">
        <v>46</v>
      </c>
      <c r="K30" s="280"/>
      <c r="L30" s="281" t="s">
        <v>50</v>
      </c>
      <c r="M30" s="282" t="s">
        <v>52</v>
      </c>
      <c r="N30" s="327" t="s">
        <v>51</v>
      </c>
      <c r="O30" s="344" t="s">
        <v>45</v>
      </c>
      <c r="P30" s="339" t="s">
        <v>183</v>
      </c>
      <c r="Q30" s="340" t="s">
        <v>46</v>
      </c>
      <c r="T30" s="280"/>
      <c r="U30" s="281" t="s">
        <v>50</v>
      </c>
      <c r="V30" s="282" t="s">
        <v>52</v>
      </c>
      <c r="W30" s="327" t="s">
        <v>51</v>
      </c>
      <c r="X30" s="344" t="s">
        <v>45</v>
      </c>
      <c r="Y30" s="339" t="s">
        <v>183</v>
      </c>
      <c r="Z30" s="340" t="s">
        <v>46</v>
      </c>
      <c r="AC30" s="280"/>
      <c r="AD30" s="281" t="s">
        <v>50</v>
      </c>
      <c r="AE30" s="282" t="s">
        <v>52</v>
      </c>
      <c r="AF30" s="327" t="s">
        <v>51</v>
      </c>
      <c r="AG30" s="344" t="s">
        <v>45</v>
      </c>
      <c r="AH30" s="339" t="s">
        <v>183</v>
      </c>
      <c r="AI30" s="340" t="s">
        <v>46</v>
      </c>
      <c r="AL30" s="280"/>
      <c r="AM30" s="281" t="s">
        <v>50</v>
      </c>
      <c r="AN30" s="282" t="s">
        <v>52</v>
      </c>
      <c r="AO30" s="327" t="s">
        <v>51</v>
      </c>
      <c r="AP30" s="344" t="s">
        <v>45</v>
      </c>
      <c r="AQ30" s="339" t="s">
        <v>183</v>
      </c>
      <c r="AR30" s="340" t="s">
        <v>46</v>
      </c>
      <c r="AU30" s="280"/>
      <c r="AV30" s="281" t="s">
        <v>50</v>
      </c>
      <c r="AW30" s="282" t="s">
        <v>52</v>
      </c>
      <c r="AX30" s="327" t="s">
        <v>51</v>
      </c>
      <c r="AY30" s="344" t="s">
        <v>45</v>
      </c>
      <c r="AZ30" s="339" t="s">
        <v>183</v>
      </c>
      <c r="BA30" s="340" t="s">
        <v>46</v>
      </c>
      <c r="BD30" s="280"/>
      <c r="BE30" s="281" t="s">
        <v>50</v>
      </c>
      <c r="BF30" s="282" t="s">
        <v>52</v>
      </c>
      <c r="BG30" s="327" t="s">
        <v>51</v>
      </c>
      <c r="BH30" s="344" t="s">
        <v>45</v>
      </c>
      <c r="BI30" s="339" t="s">
        <v>183</v>
      </c>
      <c r="BJ30" s="340" t="s">
        <v>46</v>
      </c>
      <c r="BM30" s="280"/>
      <c r="BN30" s="281" t="s">
        <v>50</v>
      </c>
      <c r="BO30" s="282" t="s">
        <v>52</v>
      </c>
      <c r="BP30" s="327" t="s">
        <v>51</v>
      </c>
      <c r="BQ30" s="344" t="s">
        <v>45</v>
      </c>
      <c r="BR30" s="339" t="s">
        <v>183</v>
      </c>
      <c r="BS30" s="340" t="s">
        <v>46</v>
      </c>
      <c r="BV30" s="280"/>
      <c r="BW30" s="281" t="s">
        <v>50</v>
      </c>
      <c r="BX30" s="282" t="s">
        <v>52</v>
      </c>
      <c r="BY30" s="327" t="s">
        <v>51</v>
      </c>
      <c r="BZ30" s="344" t="s">
        <v>45</v>
      </c>
      <c r="CA30" s="339" t="s">
        <v>183</v>
      </c>
      <c r="CB30" s="340" t="s">
        <v>46</v>
      </c>
      <c r="CE30" s="280"/>
      <c r="CF30" s="281" t="s">
        <v>50</v>
      </c>
      <c r="CG30" s="282" t="s">
        <v>52</v>
      </c>
      <c r="CH30" s="327" t="s">
        <v>51</v>
      </c>
      <c r="CI30" s="344" t="s">
        <v>45</v>
      </c>
      <c r="CJ30" s="339" t="s">
        <v>183</v>
      </c>
      <c r="CK30" s="340" t="s">
        <v>46</v>
      </c>
      <c r="CN30" s="280"/>
      <c r="CO30" s="281" t="s">
        <v>50</v>
      </c>
      <c r="CP30" s="282" t="s">
        <v>52</v>
      </c>
      <c r="CQ30" s="327" t="s">
        <v>51</v>
      </c>
      <c r="CR30" s="344" t="s">
        <v>45</v>
      </c>
      <c r="CS30" s="339" t="s">
        <v>183</v>
      </c>
      <c r="CT30" s="340" t="s">
        <v>46</v>
      </c>
      <c r="CW30" s="280"/>
      <c r="CX30" s="281" t="s">
        <v>50</v>
      </c>
      <c r="CY30" s="282" t="s">
        <v>52</v>
      </c>
      <c r="CZ30" s="327" t="s">
        <v>51</v>
      </c>
      <c r="DA30" s="344" t="s">
        <v>45</v>
      </c>
      <c r="DB30" s="339" t="s">
        <v>183</v>
      </c>
      <c r="DC30" s="340" t="s">
        <v>46</v>
      </c>
    </row>
    <row r="31" spans="2:107" ht="31.5" x14ac:dyDescent="0.25">
      <c r="B31" s="284" t="s">
        <v>123</v>
      </c>
      <c r="C31" s="285">
        <f>정리base!$F$28</f>
        <v>6484.8300000000008</v>
      </c>
      <c r="D31" s="286">
        <f>정리base!K28</f>
        <v>21</v>
      </c>
      <c r="E31" s="328">
        <f>정리base!P28</f>
        <v>58.54</v>
      </c>
      <c r="F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G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H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K31" s="284" t="s">
        <v>123</v>
      </c>
      <c r="L31" s="285">
        <f>정리base!$F$34</f>
        <v>7382.8050000000003</v>
      </c>
      <c r="M31" s="286">
        <f>정리base!K34</f>
        <v>27</v>
      </c>
      <c r="N31" s="328">
        <f>정리base!P34</f>
        <v>66.94</v>
      </c>
      <c r="O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P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Q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T31" s="284" t="s">
        <v>123</v>
      </c>
      <c r="U31" s="285">
        <f>정리base!$F$40</f>
        <v>9652.1549999999988</v>
      </c>
      <c r="V31" s="286">
        <f>정리base!K40</f>
        <v>28</v>
      </c>
      <c r="W31" s="328">
        <f>정리base!P40</f>
        <v>94.04</v>
      </c>
      <c r="X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Y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Z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AC31" s="284" t="s">
        <v>123</v>
      </c>
      <c r="AD31" s="285">
        <f>정리base!$F$46</f>
        <v>6972.45</v>
      </c>
      <c r="AE31" s="286">
        <f>정리base!K46</f>
        <v>26</v>
      </c>
      <c r="AF31" s="328">
        <f>정리base!P46</f>
        <v>67.209999999999994</v>
      </c>
      <c r="AG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AH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AI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AL31" s="284" t="s">
        <v>123</v>
      </c>
      <c r="AM31" s="285">
        <f>정리base!$F$52</f>
        <v>2556.1349999999998</v>
      </c>
      <c r="AN31" s="286">
        <f>정리base!K52</f>
        <v>8</v>
      </c>
      <c r="AO31" s="328">
        <f>정리base!P52</f>
        <v>24.27</v>
      </c>
      <c r="AP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AQ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AR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AU31" s="284" t="s">
        <v>123</v>
      </c>
      <c r="AV31" s="285">
        <f>정리base!$F$58</f>
        <v>5185.8000000000011</v>
      </c>
      <c r="AW31" s="286">
        <f>정리base!K58</f>
        <v>20</v>
      </c>
      <c r="AX31" s="328">
        <f>정리base!P58</f>
        <v>39.64</v>
      </c>
      <c r="AY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AZ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BA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BD31" s="284" t="s">
        <v>123</v>
      </c>
      <c r="BE31" s="285">
        <f>정리base!$F$64</f>
        <v>7267.9150000000009</v>
      </c>
      <c r="BF31" s="286">
        <f>정리base!K64</f>
        <v>21</v>
      </c>
      <c r="BG31" s="328">
        <f>정리base!P64</f>
        <v>73.449999999999989</v>
      </c>
      <c r="BH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BI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BJ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BM31" s="284" t="s">
        <v>123</v>
      </c>
      <c r="BN31" s="285">
        <f>정리base!$F$70</f>
        <v>4028.6699999999996</v>
      </c>
      <c r="BO31" s="286">
        <f>정리base!K70</f>
        <v>14</v>
      </c>
      <c r="BP31" s="328">
        <f>정리base!P70</f>
        <v>39.349999999999994</v>
      </c>
      <c r="BQ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BR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BS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BV31" s="284" t="s">
        <v>123</v>
      </c>
      <c r="BW31" s="285">
        <f>정리base!$F$76</f>
        <v>4913.74</v>
      </c>
      <c r="BX31" s="286">
        <f>정리base!K76</f>
        <v>10</v>
      </c>
      <c r="BY31" s="328">
        <f>정리base!P76</f>
        <v>49.68</v>
      </c>
      <c r="BZ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CA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CB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CE31" s="284" t="s">
        <v>123</v>
      </c>
      <c r="CF31" s="285">
        <f>정리base!$F$82</f>
        <v>0</v>
      </c>
      <c r="CG31" s="286">
        <f>정리base!K82</f>
        <v>0</v>
      </c>
      <c r="CH31" s="328">
        <f>정리base!P82</f>
        <v>0</v>
      </c>
      <c r="CI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CJ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CK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CN31" s="284" t="s">
        <v>123</v>
      </c>
      <c r="CO31" s="285">
        <f>정리base!$F$88</f>
        <v>0</v>
      </c>
      <c r="CP31" s="286">
        <f>정리base!K88</f>
        <v>0</v>
      </c>
      <c r="CQ31" s="328">
        <f>정리base!P88</f>
        <v>0</v>
      </c>
      <c r="CR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CS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CT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  <c r="CW31" s="284" t="s">
        <v>123</v>
      </c>
      <c r="CX31" s="285">
        <f>정리base!$F$94</f>
        <v>0</v>
      </c>
      <c r="CY31" s="286">
        <f>정리base!K94</f>
        <v>0</v>
      </c>
      <c r="CZ31" s="328">
        <f>정리base!P94</f>
        <v>0</v>
      </c>
      <c r="DA31" s="329">
        <f>ABS(정리base!$F$28) + ABS(정리base!$F$34) + ABS(정리base!$F$40) + ABS(정리base!$F$46) + ABS(정리base!$F$52) + ABS(정리base!$F$58) + ABS(정리base!$F$64) + ABS(정리base!$F$70) + ABS(정리base!$F$76) + ABS(정리base!$F$82) + ABS(정리base!$F$88) + ABS(정리base!$F$94)</f>
        <v>54444.5</v>
      </c>
      <c r="DB31" s="286">
        <f>ABS(정리base!$K$28) + ABS(정리base!$K$34) + ABS(정리base!$K$40) + ABS(정리base!$K$46) + ABS(정리base!$K$52) + ABS(정리base!$K$58) + ABS(정리base!$K$64) + ABS(정리base!$K$70) + ABS(정리base!$K$76) + ABS(정리base!$K$82) + ABS(정리base!$K$88) + ABS(정리base!$K$94)</f>
        <v>175</v>
      </c>
      <c r="DC31" s="287">
        <f>ABS(정리base!$P$28) + ABS(정리base!$P$34) + ABS(정리base!$P$40) + ABS(정리base!$P$46) + ABS(정리base!$P$52) + ABS(정리base!$P$58) + ABS(정리base!$P$64) + ABS(정리base!$P$70) + ABS(정리base!$P$76) + ABS(정리base!$P$82) + ABS(정리base!$P$88) + ABS(정리base!$P$94)</f>
        <v>513.11999999999989</v>
      </c>
    </row>
    <row r="32" spans="2:107" ht="31.5" x14ac:dyDescent="0.25">
      <c r="B32" s="288" t="s">
        <v>125</v>
      </c>
      <c r="C32" s="289">
        <f>정리base!$G$28</f>
        <v>2444.665</v>
      </c>
      <c r="D32" s="290">
        <f>정리base!L28</f>
        <v>9</v>
      </c>
      <c r="E32" s="330">
        <f>정리base!Q28</f>
        <v>25.85</v>
      </c>
      <c r="F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G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H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K32" s="288" t="s">
        <v>125</v>
      </c>
      <c r="L32" s="289">
        <f>정리base!$G$34</f>
        <v>3329.3950000000004</v>
      </c>
      <c r="M32" s="290">
        <f>정리base!L34</f>
        <v>14</v>
      </c>
      <c r="N32" s="330">
        <f>정리base!Q34</f>
        <v>31.735999999999997</v>
      </c>
      <c r="O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P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Q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T32" s="288" t="s">
        <v>125</v>
      </c>
      <c r="U32" s="289">
        <f>정리base!$G$40</f>
        <v>4637.88</v>
      </c>
      <c r="V32" s="290">
        <f>정리base!L40</f>
        <v>14</v>
      </c>
      <c r="W32" s="330">
        <f>정리base!Q40</f>
        <v>39.829000000000001</v>
      </c>
      <c r="X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Y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Z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AC32" s="288" t="s">
        <v>125</v>
      </c>
      <c r="AD32" s="289">
        <f>정리base!$G$46</f>
        <v>1589.885</v>
      </c>
      <c r="AE32" s="290">
        <f>정리base!L46</f>
        <v>10</v>
      </c>
      <c r="AF32" s="330">
        <f>정리base!Q46</f>
        <v>14.98</v>
      </c>
      <c r="AG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AH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AI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AL32" s="288" t="s">
        <v>125</v>
      </c>
      <c r="AM32" s="289">
        <f>정리base!$G$52</f>
        <v>1366.98</v>
      </c>
      <c r="AN32" s="290">
        <f>정리base!L52</f>
        <v>10</v>
      </c>
      <c r="AO32" s="330">
        <f>정리base!Q52</f>
        <v>13.597999999999999</v>
      </c>
      <c r="AP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AQ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AR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AU32" s="288" t="s">
        <v>125</v>
      </c>
      <c r="AV32" s="289">
        <f>정리base!$G$58</f>
        <v>1814.3850000000002</v>
      </c>
      <c r="AW32" s="290">
        <f>정리base!L58</f>
        <v>8</v>
      </c>
      <c r="AX32" s="330">
        <f>정리base!Q58</f>
        <v>18.399999999999999</v>
      </c>
      <c r="AY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AZ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BA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BD32" s="288" t="s">
        <v>125</v>
      </c>
      <c r="BE32" s="289">
        <f>정리base!$G$64</f>
        <v>1879.8950000000002</v>
      </c>
      <c r="BF32" s="290">
        <f>정리base!L64</f>
        <v>7</v>
      </c>
      <c r="BG32" s="330">
        <f>정리base!Q64</f>
        <v>14.43</v>
      </c>
      <c r="BH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BI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BJ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BM32" s="288" t="s">
        <v>125</v>
      </c>
      <c r="BN32" s="289">
        <f>정리base!$G$70</f>
        <v>1833.0899999999997</v>
      </c>
      <c r="BO32" s="290">
        <f>정리base!L70</f>
        <v>6</v>
      </c>
      <c r="BP32" s="330">
        <f>정리base!Q70</f>
        <v>19.929999999999996</v>
      </c>
      <c r="BQ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BR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BS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BV32" s="288" t="s">
        <v>125</v>
      </c>
      <c r="BW32" s="289">
        <f>정리base!$G$76</f>
        <v>765.61500000000001</v>
      </c>
      <c r="BX32" s="290">
        <f>정리base!L76</f>
        <v>5</v>
      </c>
      <c r="BY32" s="330">
        <f>정리base!Q76</f>
        <v>6.85</v>
      </c>
      <c r="BZ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CA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CB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CE32" s="288" t="s">
        <v>125</v>
      </c>
      <c r="CF32" s="289">
        <f>정리base!$G$82</f>
        <v>0</v>
      </c>
      <c r="CG32" s="290">
        <f>정리base!L82</f>
        <v>0</v>
      </c>
      <c r="CH32" s="330">
        <f>정리base!Q82</f>
        <v>0</v>
      </c>
      <c r="CI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CJ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CK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CN32" s="288" t="s">
        <v>125</v>
      </c>
      <c r="CO32" s="289">
        <f>정리base!$G$88</f>
        <v>0</v>
      </c>
      <c r="CP32" s="290">
        <f>정리base!L88</f>
        <v>0</v>
      </c>
      <c r="CQ32" s="330">
        <f>정리base!Q88</f>
        <v>0</v>
      </c>
      <c r="CR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CS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CT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  <c r="CW32" s="288" t="s">
        <v>125</v>
      </c>
      <c r="CX32" s="289">
        <f>정리base!$G$94</f>
        <v>0</v>
      </c>
      <c r="CY32" s="290">
        <f>정리base!L94</f>
        <v>0</v>
      </c>
      <c r="CZ32" s="330">
        <f>정리base!Q94</f>
        <v>0</v>
      </c>
      <c r="DA32" s="331">
        <f>ABS(정리base!$G$28) + ABS(정리base!$G$34) + ABS(정리base!$G$40) + ABS(정리base!$G$46) + ABS(정리base!$G$52) + ABS(정리base!$G$58) + ABS(정리base!$G$64) + ABS(정리base!$G$70) + ABS(정리base!$G$76) + ABS(정리base!$G$82) + ABS(정리base!$G$88) + ABS(정리base!$G$94)</f>
        <v>19661.79</v>
      </c>
      <c r="DB32" s="290">
        <f>ABS(정리base!$L$28) + ABS(정리base!$L$34) + ABS(정리base!$L$40) + ABS(정리base!$L$46) + ABS(정리base!$L$52) + ABS(정리base!$L$58) + ABS(정리base!$L$64) + ABS(정리base!$L$70) + ABS(정리base!$L$76) + ABS(정리base!$L$82) + ABS(정리base!$L$88) + ABS(정리base!$L$94)</f>
        <v>83</v>
      </c>
      <c r="DC32" s="291">
        <f>ABS(정리base!$Q$28) + ABS(정리base!$Q$34) + ABS(정리base!$Q$40) + ABS(정리base!$Q$46) + ABS(정리base!$Q$52) + ABS(정리base!$Q$58) + ABS(정리base!$Q$64) + ABS(정리base!$Q$70) + ABS(정리base!$Q$76) + ABS(정리base!$Q$82) + ABS(정리base!$Q$88) + ABS(정리base!$Q$94)</f>
        <v>185.60300000000001</v>
      </c>
    </row>
    <row r="33" spans="2:107" ht="32.25" thickBot="1" x14ac:dyDescent="0.3">
      <c r="B33" s="332" t="s">
        <v>124</v>
      </c>
      <c r="C33" s="333">
        <f>정리base!$H$28</f>
        <v>248.96</v>
      </c>
      <c r="D33" s="334">
        <f>정리base!M28</f>
        <v>1</v>
      </c>
      <c r="E33" s="335">
        <f>정리base!R28</f>
        <v>2.9</v>
      </c>
      <c r="F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G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H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K33" s="332" t="s">
        <v>124</v>
      </c>
      <c r="L33" s="333">
        <f>정리base!$H$34</f>
        <v>3900</v>
      </c>
      <c r="M33" s="334">
        <f>정리base!M34</f>
        <v>1</v>
      </c>
      <c r="N33" s="335">
        <f>정리base!R34</f>
        <v>46.53</v>
      </c>
      <c r="O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P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Q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T33" s="332" t="s">
        <v>124</v>
      </c>
      <c r="U33" s="333">
        <f>정리base!$H$40</f>
        <v>1002.24</v>
      </c>
      <c r="V33" s="334">
        <f>정리base!M40</f>
        <v>2</v>
      </c>
      <c r="W33" s="335">
        <f>정리base!R40</f>
        <v>3.5</v>
      </c>
      <c r="X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Y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Z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AC33" s="332" t="s">
        <v>124</v>
      </c>
      <c r="AD33" s="333">
        <f>정리base!$H$46</f>
        <v>850.2</v>
      </c>
      <c r="AE33" s="334">
        <f>정리base!M46</f>
        <v>2</v>
      </c>
      <c r="AF33" s="335">
        <f>정리base!R46</f>
        <v>11.776</v>
      </c>
      <c r="AG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AH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AI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AL33" s="332" t="s">
        <v>124</v>
      </c>
      <c r="AM33" s="333">
        <f>정리base!$H$52</f>
        <v>0</v>
      </c>
      <c r="AN33" s="334">
        <f>정리base!M52</f>
        <v>0</v>
      </c>
      <c r="AO33" s="335">
        <f>정리base!R52</f>
        <v>0</v>
      </c>
      <c r="AP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AQ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AR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AU33" s="332" t="s">
        <v>124</v>
      </c>
      <c r="AV33" s="333">
        <f>정리base!$H$58</f>
        <v>0</v>
      </c>
      <c r="AW33" s="334">
        <f>정리base!M58</f>
        <v>0</v>
      </c>
      <c r="AX33" s="335">
        <f>정리base!R58</f>
        <v>0</v>
      </c>
      <c r="AY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AZ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BA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BD33" s="332" t="s">
        <v>124</v>
      </c>
      <c r="BE33" s="333">
        <f>정리base!$H$64</f>
        <v>0</v>
      </c>
      <c r="BF33" s="334">
        <f>정리base!M64</f>
        <v>0</v>
      </c>
      <c r="BG33" s="335">
        <f>정리base!R64</f>
        <v>0</v>
      </c>
      <c r="BH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BI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BJ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BM33" s="332" t="s">
        <v>124</v>
      </c>
      <c r="BN33" s="333">
        <f>정리base!$H$70</f>
        <v>0</v>
      </c>
      <c r="BO33" s="334">
        <f>정리base!M70</f>
        <v>0</v>
      </c>
      <c r="BP33" s="335">
        <f>정리base!R70</f>
        <v>0</v>
      </c>
      <c r="BQ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BR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BS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BV33" s="332" t="s">
        <v>124</v>
      </c>
      <c r="BW33" s="333">
        <f>정리base!$H$76</f>
        <v>3164.8449999999998</v>
      </c>
      <c r="BX33" s="334">
        <f>정리base!M76</f>
        <v>3</v>
      </c>
      <c r="BY33" s="335">
        <f>정리base!R76</f>
        <v>42.83</v>
      </c>
      <c r="BZ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CA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CB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CE33" s="332" t="s">
        <v>124</v>
      </c>
      <c r="CF33" s="333">
        <f>정리base!$H$82</f>
        <v>0</v>
      </c>
      <c r="CG33" s="334">
        <f>정리base!M82</f>
        <v>0</v>
      </c>
      <c r="CH33" s="335">
        <f>정리base!R82</f>
        <v>0</v>
      </c>
      <c r="CI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CJ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CK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CN33" s="332" t="s">
        <v>124</v>
      </c>
      <c r="CO33" s="333">
        <f>정리base!$H$88</f>
        <v>0</v>
      </c>
      <c r="CP33" s="334">
        <f>정리base!M88</f>
        <v>0</v>
      </c>
      <c r="CQ33" s="335">
        <f>정리base!R88</f>
        <v>0</v>
      </c>
      <c r="CR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CS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CT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  <c r="CW33" s="332" t="s">
        <v>124</v>
      </c>
      <c r="CX33" s="333">
        <f>정리base!$H$94</f>
        <v>0</v>
      </c>
      <c r="CY33" s="334">
        <f>정리base!M94</f>
        <v>0</v>
      </c>
      <c r="CZ33" s="335">
        <f>정리base!R94</f>
        <v>0</v>
      </c>
      <c r="DA33" s="336">
        <f>ABS(정리base!$H$28) + ABS(정리base!$H$34) + ABS(정리base!$H$40) + ABS(정리base!$H$46) + ABS(정리base!$H$52) + ABS(정리base!$H$58) + ABS(정리base!$H$64) + ABS(정리base!$H$70) + ABS(정리base!$H$76) + ABS(정리base!$H$82) + ABS(정리base!$H$88) + ABS(정리base!$H$94)</f>
        <v>9166.244999999999</v>
      </c>
      <c r="DB33" s="334">
        <f>ABS(정리base!$M$28) + ABS(정리base!$M$34) + ABS(정리base!$M$40) + ABS(정리base!$M$46) + ABS(정리base!$M$52) + ABS(정리base!$M$58) + ABS(정리base!$M$64) + ABS(정리base!$M$70) + ABS(정리base!$M$76) + ABS(정리base!$M$82) + ABS(정리base!$M$88) + ABS(정리base!$M$94)</f>
        <v>9</v>
      </c>
      <c r="DC33" s="337">
        <f>ABS(정리base!$R$28) + ABS(정리base!$R$34) + ABS(정리base!$R$40) + ABS(정리base!$R$46) + ABS(정리base!$R$52) + ABS(정리base!$R$58) + ABS(정리base!$R$64) + ABS(정리base!$R$70) + ABS(정리base!$R$76) + ABS(정리base!$R$82) + ABS(정리base!$R$88) + ABS(정리base!$R$94)</f>
        <v>107.536</v>
      </c>
    </row>
    <row r="94" spans="2:107" ht="31.5" customHeight="1" x14ac:dyDescent="0.25"/>
    <row r="95" spans="2:107" ht="31.5" customHeight="1" x14ac:dyDescent="0.25">
      <c r="B95" s="426">
        <v>1</v>
      </c>
      <c r="C95" s="405"/>
      <c r="D95" s="168"/>
      <c r="E95" s="168"/>
      <c r="F95" s="168"/>
      <c r="G95" s="168"/>
      <c r="H95" s="168"/>
      <c r="K95" s="426">
        <v>2</v>
      </c>
      <c r="L95" s="405"/>
      <c r="M95" s="168"/>
      <c r="N95" s="168"/>
      <c r="O95" s="168"/>
      <c r="P95" s="168"/>
      <c r="Q95" s="168"/>
      <c r="T95" s="426">
        <v>3</v>
      </c>
      <c r="U95" s="405"/>
      <c r="V95" s="168"/>
      <c r="W95" s="168"/>
      <c r="X95" s="168"/>
      <c r="Y95" s="168"/>
      <c r="Z95" s="168"/>
      <c r="AC95" s="426">
        <v>4</v>
      </c>
      <c r="AD95" s="405"/>
      <c r="AE95" s="168"/>
      <c r="AF95" s="168"/>
      <c r="AG95" s="168"/>
      <c r="AH95" s="168"/>
      <c r="AI95" s="168"/>
      <c r="AL95" s="426">
        <v>5</v>
      </c>
      <c r="AM95" s="405"/>
      <c r="AN95" s="168"/>
      <c r="AO95" s="168"/>
      <c r="AP95" s="168"/>
      <c r="AQ95" s="168"/>
      <c r="AR95" s="168"/>
      <c r="AU95" s="426">
        <v>6</v>
      </c>
      <c r="AV95" s="405"/>
      <c r="AW95" s="168"/>
      <c r="AX95" s="168"/>
      <c r="AY95" s="168"/>
      <c r="AZ95" s="168"/>
      <c r="BA95" s="168"/>
      <c r="BD95" s="426">
        <v>7</v>
      </c>
      <c r="BE95" s="405"/>
      <c r="BF95" s="168"/>
      <c r="BG95" s="168"/>
      <c r="BH95" s="168"/>
      <c r="BI95" s="168"/>
      <c r="BJ95" s="168"/>
      <c r="BM95" s="426">
        <v>8</v>
      </c>
      <c r="BN95" s="405"/>
      <c r="BO95" s="168"/>
      <c r="BP95" s="168"/>
      <c r="BQ95" s="168"/>
      <c r="BR95" s="168"/>
      <c r="BS95" s="168"/>
      <c r="BV95" s="426">
        <v>9</v>
      </c>
      <c r="BW95" s="405"/>
      <c r="BX95" s="168"/>
      <c r="BY95" s="168"/>
      <c r="BZ95" s="168"/>
      <c r="CA95" s="168"/>
      <c r="CB95" s="168"/>
      <c r="CE95" s="426">
        <v>10</v>
      </c>
      <c r="CF95" s="405"/>
      <c r="CG95" s="168"/>
      <c r="CH95" s="168"/>
      <c r="CI95" s="168"/>
      <c r="CJ95" s="168"/>
      <c r="CK95" s="168"/>
      <c r="CN95" s="426">
        <v>11</v>
      </c>
      <c r="CO95" s="405"/>
      <c r="CP95" s="168"/>
      <c r="CQ95" s="168"/>
      <c r="CR95" s="168"/>
      <c r="CS95" s="168"/>
      <c r="CT95" s="168"/>
      <c r="CW95" s="426">
        <v>12</v>
      </c>
      <c r="CX95" s="405"/>
      <c r="CY95" s="168"/>
      <c r="CZ95" s="168"/>
      <c r="DA95" s="168"/>
      <c r="DB95" s="168"/>
      <c r="DC95" s="168"/>
    </row>
    <row r="96" spans="2:107" ht="31.5" customHeight="1" x14ac:dyDescent="0.25">
      <c r="B96" s="406" t="str">
        <f>"1) 이번달 목표용량 : "&amp;TEXT(ROUNDDOWN(INDEX(정리base!E5:P5,MATCH(B3,정리base!E3:P3,0))*0.001,1),"0.0")&amp;"MW / 수주용량 : "&amp;TEXT(ROUNDDOWN(INDEX(정리base!E12:P12,MATCH(B3,정리base!E3:P3,0))*0.001,1),"0.0")&amp;"MW("&amp;INDEX(정리base!E17:P17,MATCH(B3,정리base!E3:P3,0))&amp;"건) / 달성율 : "&amp;TEXT(INDEX(정리base!E9:P9,MATCH(B3,정리base!E3:P3,0)),"0.0%")</f>
        <v>1) 이번달 목표용량 : 12.1MW / 수주용량 : 9.1MW(31건) / 달성율 : 75.9%</v>
      </c>
      <c r="C96" s="406"/>
      <c r="D96" s="406"/>
      <c r="E96" s="406"/>
      <c r="F96" s="406"/>
      <c r="G96" s="406"/>
      <c r="H96" s="406"/>
      <c r="K96" s="406" t="str">
        <f>"1) 이번달 목표용량 : "&amp;TEXT(ROUNDDOWN(INDEX(정리base!E5:P5,MATCH(K3,정리base!E3:P3,0))*0.001,1),"0.0")&amp;"MW / 수주용량 : "&amp;TEXT(ROUNDDOWN(INDEX(정리base!E12:P12,MATCH(K3,정리base!E3:P3,0))*0.001,1),"0.0")&amp;"MW("&amp;INDEX(정리base!E17:P17,MATCH(K3,정리base!E3:P3,0))&amp;"건) / 달성율 : "&amp;TEXT(INDEX(정리base!E9:P9,MATCH(K3,정리base!E3:P3,0)),"0.0%")</f>
        <v>1) 이번달 목표용량 : 12.6MW / 수주용량 : 14.6MW(42건) / 달성율 : 116.0%</v>
      </c>
      <c r="L96" s="406"/>
      <c r="M96" s="406"/>
      <c r="N96" s="406"/>
      <c r="O96" s="406"/>
      <c r="P96" s="406"/>
      <c r="Q96" s="406"/>
      <c r="T96" s="406" t="str">
        <f>"1) 이번달 목표용량 : "&amp;TEXT(ROUNDDOWN(INDEX(정리base!E5:P5,MATCH(T3,정리base!E3:P3,0))*0.001,1),"0.0")&amp;"MW / 수주용량 : "&amp;TEXT(ROUNDDOWN(INDEX(정리base!E12:P12,MATCH(T3,정리base!E3:P3,0))*0.001,1),"0.0")&amp;"MW("&amp;INDEX(정리base!E17:P17,MATCH(T3,정리base!E3:P3,0))&amp;"건) / 달성율 : "&amp;TEXT(INDEX(정리base!E9:P9,MATCH(T3,정리base!E3:P3,0)),"0.0%")</f>
        <v>1) 이번달 목표용량 : 14.6MW / 수주용량 : 15.2MW(44건) / 달성율 : 104.7%</v>
      </c>
      <c r="U96" s="406"/>
      <c r="V96" s="406"/>
      <c r="W96" s="406"/>
      <c r="X96" s="406"/>
      <c r="Y96" s="406"/>
      <c r="Z96" s="406"/>
      <c r="AC96" s="406" t="str">
        <f>"1) 이번달 목표용량 : "&amp;TEXT(ROUNDDOWN(INDEX(정리base!E5:P5,MATCH(AC3,정리base!E3:P3,0))*0.001,1),"0.0")&amp;"MW / 수주용량 : "&amp;TEXT(ROUNDDOWN(INDEX(정리base!E12:P12,MATCH(AC3,정리base!E3:P3,0))*0.001,1),"0.0")&amp;"MW("&amp;INDEX(정리base!E17:P17,MATCH(AC3,정리base!E3:P3,0))&amp;"건) / 달성율 : "&amp;TEXT(INDEX(정리base!E9:P9,MATCH(AC3,정리base!E3:P3,0)),"0.0%")</f>
        <v>1) 이번달 목표용량 : 13.4MW / 수주용량 : 9.4MW(38건) / 달성율 : 70.2%</v>
      </c>
      <c r="AD96" s="406"/>
      <c r="AE96" s="406"/>
      <c r="AF96" s="406"/>
      <c r="AG96" s="406"/>
      <c r="AH96" s="406"/>
      <c r="AI96" s="406"/>
      <c r="AL96" s="406" t="str">
        <f>"1) 이번달 목표용량 : "&amp;TEXT(ROUNDDOWN(INDEX(정리base!E5:P5,MATCH(AL3,정리base!E3:P3,0))*0.001,1),"0.0")&amp;"MW / 수주용량 : "&amp;TEXT(ROUNDDOWN(INDEX(정리base!E12:P12,MATCH(AL3,정리base!E3:P3,0))*0.001,1),"0.0")&amp;"MW("&amp;INDEX(정리base!E17:P17,MATCH(AL3,정리base!E3:P3,0))&amp;"건) / 달성율 : "&amp;TEXT(INDEX(정리base!E9:P9,MATCH(AL3,정리base!E3:P3,0)),"0.0%")</f>
        <v>1) 이번달 목표용량 : 13.4MW / 수주용량 : 3.9MW(18건) / 달성율 : 29.3%</v>
      </c>
      <c r="AM96" s="406"/>
      <c r="AN96" s="406"/>
      <c r="AO96" s="406"/>
      <c r="AP96" s="406"/>
      <c r="AQ96" s="406"/>
      <c r="AR96" s="406"/>
      <c r="AU96" s="406" t="str">
        <f>"1) 이번달 목표용량 : "&amp;TEXT(ROUNDDOWN(INDEX(정리base!E5:P5,MATCH(AU3,정리base!E3:P3,0))*0.001,1),"0.0")&amp;"MW / 수주용량 : "&amp;TEXT(ROUNDDOWN(INDEX(정리base!E12:P12,MATCH(AU3,정리base!E3:P3,0))*0.001,1),"0.0")&amp;"MW("&amp;INDEX(정리base!E17:P17,MATCH(AU3,정리base!E3:P3,0))&amp;"건) / 달성율 : "&amp;TEXT(INDEX(정리base!E9:P9,MATCH(AU3,정리base!E3:P3,0)),"0.0%")</f>
        <v>1) 이번달 목표용량 : 14.4MW / 수주용량 : 7.0MW(28건) / 달성율 : 48.6%</v>
      </c>
      <c r="AV96" s="406"/>
      <c r="AW96" s="406"/>
      <c r="AX96" s="406"/>
      <c r="AY96" s="406"/>
      <c r="AZ96" s="406"/>
      <c r="BA96" s="406"/>
      <c r="BD96" s="406" t="s">
        <v>1977</v>
      </c>
      <c r="BE96" s="465"/>
      <c r="BF96" s="465"/>
      <c r="BG96" s="465"/>
      <c r="BH96" s="465"/>
      <c r="BI96" s="465"/>
      <c r="BJ96" s="406"/>
      <c r="BM96" s="427" t="s">
        <v>2175</v>
      </c>
      <c r="BN96" s="427"/>
      <c r="BO96" s="427"/>
      <c r="BP96" s="427"/>
      <c r="BQ96" s="427"/>
      <c r="BR96" s="427"/>
      <c r="BS96" s="427"/>
      <c r="BV96" s="406" t="str">
        <f>"1) 이번달 목표용량 : "&amp;TEXT(ROUNDDOWN(INDEX(정리base!E5:P5,MATCH(BV3,정리base!E3:P3,0))*0.001,1),"0.0")&amp;"MW / 수주용량 : "&amp;TEXT(ROUNDDOWN(INDEX(정리base!E12:P12,MATCH(BV3,정리base!E3:P3,0))*0.001,1),"0.0")&amp;"MW("&amp;INDEX(정리base!E17:P17,MATCH(BV3,정리base!E3:P3,0))&amp;"건) / 달성율 : "&amp;TEXT(INDEX(정리base!E9:P9,MATCH(BV3,정리base!E3:P3,0)),"0.0%")</f>
        <v>1) 이번달 목표용량 : 12.1MW / 수주용량 : 8.8MW(18건) / 달성율 : 73.1%</v>
      </c>
      <c r="BW96" s="406"/>
      <c r="BX96" s="406"/>
      <c r="BY96" s="406"/>
      <c r="BZ96" s="406"/>
      <c r="CA96" s="406"/>
      <c r="CB96" s="406"/>
      <c r="CE96" s="406" t="str">
        <f>"1) 이번달 목표용량 : "&amp;TEXT(ROUNDDOWN(INDEX(정리base!E5:P5,MATCH(CE3,정리base!E3:P3,0))*0.001,1),"0.0")&amp;"MW / 수주용량 : "&amp;TEXT(ROUNDDOWN(INDEX(정리base!E12:P12,MATCH(CE3,정리base!E3:P3,0))*0.001,1),"0.0")&amp;"MW("&amp;INDEX(정리base!E17:P17,MATCH(CE3,정리base!E3:P3,0))&amp;"건) / 달성율 : "&amp;TEXT(INDEX(정리base!E9:P9,MATCH(CE3,정리base!E3:P3,0)),"0.0%")</f>
        <v>1) 이번달 목표용량 : 13.1MW / 수주용량 : 0.0MW(0건) / 달성율 : 0.0%</v>
      </c>
      <c r="CF96" s="406"/>
      <c r="CG96" s="406"/>
      <c r="CH96" s="406"/>
      <c r="CI96" s="406"/>
      <c r="CJ96" s="406"/>
      <c r="CK96" s="406"/>
      <c r="CN96" s="406" t="str">
        <f>"1) 이번달 목표용량 : "&amp;TEXT(ROUNDDOWN(INDEX(정리base!E5:P5,MATCH(CN3,정리base!E3:P3,0))*0.001,1),"0.0")&amp;"MW / 수주용량 : "&amp;TEXT(ROUNDDOWN(INDEX(정리base!E12:P12,MATCH(CN3,정리base!E3:P3,0))*0.001,1),"0.0")&amp;"MW("&amp;INDEX(정리base!E17:P17,MATCH(CN3,정리base!E3:P3,0))&amp;"건) / 달성율 : "&amp;TEXT(INDEX(정리base!E9:P9,MATCH(CN3,정리base!E3:P3,0)),"0.0%")</f>
        <v>1) 이번달 목표용량 : 12.1MW / 수주용량 : 0.0MW(0건) / 달성율 : 0.0%</v>
      </c>
      <c r="CO96" s="406"/>
      <c r="CP96" s="406"/>
      <c r="CQ96" s="406"/>
      <c r="CR96" s="406"/>
      <c r="CS96" s="406"/>
      <c r="CT96" s="406"/>
      <c r="CW96" s="406" t="str">
        <f>"1) 이번달 목표용량 : "&amp;TEXT(ROUNDDOWN(INDEX(정리base!E5:P5,MATCH(CW3,정리base!E3:P3,0))*0.001,1),"0.0")&amp;"MW / 수주용량 : "&amp;TEXT(ROUNDDOWN(INDEX(정리base!E12:P12,MATCH(CW3,정리base!E3:P3,0))*0.001,1),"0.0")&amp;"MW("&amp;INDEX(정리base!E17:P17,MATCH(CW3,정리base!E3:P3,0))&amp;"건) / 달성율 : "&amp;TEXT(INDEX(정리base!E9:P9,MATCH(CW3,정리base!E3:P3,0)),"0.0%")</f>
        <v>1) 이번달 목표용량 : 10.6MW / 수주용량 : 0.0MW(0건) / 달성율 : 0.0%</v>
      </c>
      <c r="CX96" s="406"/>
      <c r="CY96" s="406"/>
      <c r="CZ96" s="406"/>
      <c r="DA96" s="406"/>
      <c r="DB96" s="406"/>
      <c r="DC96" s="406"/>
    </row>
    <row r="97" spans="2:107" ht="31.5" customHeight="1" x14ac:dyDescent="0.25">
      <c r="B97" s="406" t="s">
        <v>1221</v>
      </c>
      <c r="C97" s="406"/>
      <c r="D97" s="406"/>
      <c r="E97" s="406"/>
      <c r="F97" s="406"/>
      <c r="G97" s="406"/>
      <c r="H97" s="406"/>
      <c r="K97" s="406" t="s">
        <v>1221</v>
      </c>
      <c r="L97" s="406"/>
      <c r="M97" s="406"/>
      <c r="N97" s="406"/>
      <c r="O97" s="406"/>
      <c r="P97" s="406"/>
      <c r="Q97" s="406"/>
      <c r="T97" s="406" t="s">
        <v>1221</v>
      </c>
      <c r="U97" s="406"/>
      <c r="V97" s="406"/>
      <c r="W97" s="406"/>
      <c r="X97" s="406"/>
      <c r="Y97" s="406"/>
      <c r="Z97" s="406"/>
      <c r="AC97" s="406" t="s">
        <v>1221</v>
      </c>
      <c r="AD97" s="406"/>
      <c r="AE97" s="406"/>
      <c r="AF97" s="406"/>
      <c r="AG97" s="406"/>
      <c r="AH97" s="406"/>
      <c r="AI97" s="406"/>
      <c r="AL97" s="406" t="s">
        <v>1221</v>
      </c>
      <c r="AM97" s="406"/>
      <c r="AN97" s="406"/>
      <c r="AO97" s="406"/>
      <c r="AP97" s="406"/>
      <c r="AQ97" s="406"/>
      <c r="AR97" s="406"/>
      <c r="AU97" s="406" t="s">
        <v>1221</v>
      </c>
      <c r="AV97" s="406"/>
      <c r="AW97" s="406"/>
      <c r="AX97" s="406"/>
      <c r="AY97" s="406"/>
      <c r="AZ97" s="406"/>
      <c r="BA97" s="406"/>
      <c r="BD97" s="406" t="s">
        <v>1978</v>
      </c>
      <c r="BE97" s="465"/>
      <c r="BF97" s="465"/>
      <c r="BG97" s="465"/>
      <c r="BH97" s="465"/>
      <c r="BI97" s="465"/>
      <c r="BJ97" s="406"/>
      <c r="BM97" s="427" t="s">
        <v>2176</v>
      </c>
      <c r="BN97" s="427"/>
      <c r="BO97" s="427"/>
      <c r="BP97" s="427"/>
      <c r="BQ97" s="427"/>
      <c r="BR97" s="427"/>
      <c r="BS97" s="427"/>
      <c r="BV97" s="406" t="s">
        <v>1221</v>
      </c>
      <c r="BW97" s="406"/>
      <c r="BX97" s="406"/>
      <c r="BY97" s="406"/>
      <c r="BZ97" s="406"/>
      <c r="CA97" s="406"/>
      <c r="CB97" s="406"/>
      <c r="CE97" s="406" t="s">
        <v>1221</v>
      </c>
      <c r="CF97" s="406"/>
      <c r="CG97" s="406"/>
      <c r="CH97" s="406"/>
      <c r="CI97" s="406"/>
      <c r="CJ97" s="406"/>
      <c r="CK97" s="406"/>
      <c r="CN97" s="406" t="s">
        <v>1221</v>
      </c>
      <c r="CO97" s="406"/>
      <c r="CP97" s="406"/>
      <c r="CQ97" s="406"/>
      <c r="CR97" s="406"/>
      <c r="CS97" s="406"/>
      <c r="CT97" s="406"/>
      <c r="CW97" s="406" t="s">
        <v>1221</v>
      </c>
      <c r="CX97" s="406"/>
      <c r="CY97" s="406"/>
      <c r="CZ97" s="406"/>
      <c r="DA97" s="406"/>
      <c r="DB97" s="406"/>
      <c r="DC97" s="406"/>
    </row>
    <row r="98" spans="2:107" ht="31.5" customHeight="1" x14ac:dyDescent="0.25">
      <c r="B98" s="406" t="str">
        <f>"2) 누적 목표용량 : "&amp;TEXT(ROUNDDOWN(INDEX(정리base!E4:P4,MATCH(B3,정리base!E3:P3,0))*0.001,1),"0.0")&amp;"MW / 수주용량 : "&amp;TEXT(ROUNDDOWN(INDEX(정리base!E11:P11,MATCH(B3,정리base!E3:P3,0))*0.001,1),"0.0")&amp;"MW("&amp;INDEX(정리base!E16:P16,MATCH(B3,정리base!E3:P3,0))&amp;"건) / 달성율 : "&amp;TEXT(INDEX(정리base!E10:P10,MATCH(B3,정리base!E3:P3,0)),"0.0%")</f>
        <v>2) 누적 목표용량 : 12.1MW / 수주용량 : 9.1MW(31건) / 달성율 : 75.9%</v>
      </c>
      <c r="C98" s="406"/>
      <c r="D98" s="406"/>
      <c r="E98" s="406"/>
      <c r="F98" s="406"/>
      <c r="G98" s="406"/>
      <c r="H98" s="406"/>
      <c r="K98" s="406" t="str">
        <f>"2) 누적 목표용량 : "&amp;TEXT(ROUNDDOWN(INDEX(정리base!E4:P4,MATCH(K3,정리base!E3:P3,0))*0.001,1),"0.0")&amp;"MW / 수주용량 : "&amp;TEXT(ROUNDDOWN(INDEX(정리base!E11:P11,MATCH(K3,정리base!E3:P3,0))*0.001,1),"0.0")&amp;"MW("&amp;INDEX(정리base!E16:P16,MATCH(K3,정리base!E3:P3,0))&amp;"건) / 달성율 : "&amp;TEXT(INDEX(정리base!E10:P10,MATCH(K3,정리base!E3:P3,0)),"0.0%")</f>
        <v>2) 누적 목표용량 : 24.7MW / 수주용량 : 23.7MW(73건) / 달성율 : 96.3%</v>
      </c>
      <c r="L98" s="406"/>
      <c r="M98" s="406"/>
      <c r="N98" s="406"/>
      <c r="O98" s="406"/>
      <c r="P98" s="406"/>
      <c r="Q98" s="406"/>
      <c r="T98" s="406" t="str">
        <f>"2) 누적 목표용량 : "&amp;TEXT(ROUNDDOWN(INDEX(정리base!E4:P4,MATCH(T3,정리base!E3:P3,0))*0.001,1),"0.0")&amp;"MW / 수주용량 : "&amp;TEXT(ROUNDDOWN(INDEX(정리base!E11:P11,MATCH(T3,정리base!E3:P3,0))*0.001,1),"0.0")&amp;"MW("&amp;INDEX(정리base!E16:P16,MATCH(T3,정리base!E3:P3,0))&amp;"건) / 달성율 : "&amp;TEXT(INDEX(정리base!E10:P10,MATCH(T3,정리base!E3:P3,0)),"0.0%")</f>
        <v>2) 누적 목표용량 : 39.3MW / 수주용량 : 39.0MW(117건) / 달성율 : 99.4%</v>
      </c>
      <c r="U98" s="406"/>
      <c r="V98" s="406"/>
      <c r="W98" s="406"/>
      <c r="X98" s="406"/>
      <c r="Y98" s="406"/>
      <c r="Z98" s="406"/>
      <c r="AC98" s="406" t="str">
        <f>"2) 누적 목표용량 : "&amp;TEXT(ROUNDDOWN(INDEX(정리base!E4:P4,MATCH(AC3,정리base!E3:P3,0))*0.001,1),"0.0")&amp;"MW / 수주용량 : "&amp;TEXT(ROUNDDOWN(INDEX(정리base!E11:P11,MATCH(AC3,정리base!E3:P3,0))*0.001,1),"0.0")&amp;"MW("&amp;INDEX(정리base!E16:P16,MATCH(AC3,정리base!E3:P3,0))&amp;"건) / 달성율 : "&amp;TEXT(INDEX(정리base!E10:P10,MATCH(AC3,정리base!E3:P3,0)),"0.0%")</f>
        <v>2) 누적 목표용량 : 52.7MW / 수주용량 : 48.4MW(155건) / 달성율 : 92.0%</v>
      </c>
      <c r="AD98" s="406"/>
      <c r="AE98" s="406"/>
      <c r="AF98" s="406"/>
      <c r="AG98" s="406"/>
      <c r="AH98" s="406"/>
      <c r="AI98" s="406"/>
      <c r="AL98" s="406" t="str">
        <f>"2) 누적 목표용량 : "&amp;TEXT(ROUNDDOWN(INDEX(정리base!E4:P4,MATCH(AL3,정리base!E3:P3,0))*0.001,1),"0.0")&amp;"MW / 수주용량 : "&amp;TEXT(ROUNDDOWN(INDEX(정리base!E11:P11,MATCH(AL3,정리base!E3:P3,0))*0.001,1),"0.0")&amp;"MW("&amp;INDEX(정리base!E16:P16,MATCH(AL3,정리base!E3:P3,0))&amp;"건) / 달성율 : "&amp;TEXT(INDEX(정리base!E10:P10,MATCH(AL3,정리base!E3:P3,0)),"0.0%")</f>
        <v>2) 누적 목표용량 : 66.1MW / 수주용량 : 52.4MW(173건) / 달성율 : 79.3%</v>
      </c>
      <c r="AM98" s="406"/>
      <c r="AN98" s="406"/>
      <c r="AO98" s="406"/>
      <c r="AP98" s="406"/>
      <c r="AQ98" s="406"/>
      <c r="AR98" s="406"/>
      <c r="AU98" s="406" t="str">
        <f>"2) 누적 목표용량 : "&amp;TEXT(ROUNDDOWN(INDEX(정리base!E4:P4,MATCH(AU3,정리base!E3:P3,0))*0.001,1),"0.0")&amp;"MW / 수주용량 : "&amp;TEXT(ROUNDDOWN(INDEX(정리base!E11:P11,MATCH(AU3,정리base!E3:P3,0))*0.001,1),"0.0")&amp;"MW("&amp;INDEX(정리base!E16:P16,MATCH(AU3,정리base!E3:P3,0))&amp;"건) / 달성율 : "&amp;TEXT(INDEX(정리base!E10:P10,MATCH(AU3,정리base!E3:P3,0)),"0.0%")</f>
        <v>2) 누적 목표용량 : 80.5MW / 수주용량 : 59.4MW(201건) / 달성율 : 73.8%</v>
      </c>
      <c r="AV98" s="406"/>
      <c r="AW98" s="406"/>
      <c r="AX98" s="406"/>
      <c r="AY98" s="406"/>
      <c r="AZ98" s="406"/>
      <c r="BA98" s="406"/>
      <c r="BD98" s="406" t="s">
        <v>1222</v>
      </c>
      <c r="BE98" s="465"/>
      <c r="BF98" s="465"/>
      <c r="BG98" s="465"/>
      <c r="BH98" s="465"/>
      <c r="BI98" s="465"/>
      <c r="BJ98" s="406"/>
      <c r="BM98" s="427" t="s">
        <v>1222</v>
      </c>
      <c r="BN98" s="427"/>
      <c r="BO98" s="427"/>
      <c r="BP98" s="427"/>
      <c r="BQ98" s="427"/>
      <c r="BR98" s="427"/>
      <c r="BS98" s="427"/>
      <c r="BV98" s="406" t="str">
        <f>"2) 누적 목표용량 : "&amp;TEXT(ROUNDDOWN(INDEX(정리base!E4:P4,MATCH(BV3,정리base!E3:P3,0))*0.001,1),"0.0")&amp;"MW / 수주용량 : "&amp;TEXT(ROUNDDOWN(INDEX(정리base!E11:P11,MATCH(BV3,정리base!E3:P3,0))*0.001,1),"0.0")&amp;"MW("&amp;INDEX(정리base!E16:P16,MATCH(BV3,정리base!E3:P3,0))&amp;"건) / 달성율 : "&amp;TEXT(INDEX(정리base!E10:P10,MATCH(BV3,정리base!E3:P3,0)),"0.0%")</f>
        <v>2) 누적 목표용량 : 114.2MW / 수주용량 : 83.2MW(267건) / 달성율 : 72.9%</v>
      </c>
      <c r="BW98" s="406"/>
      <c r="BX98" s="406"/>
      <c r="BY98" s="406"/>
      <c r="BZ98" s="406"/>
      <c r="CA98" s="406"/>
      <c r="CB98" s="406"/>
      <c r="CE98" s="406" t="str">
        <f>"2) 누적 목표용량 : "&amp;TEXT(ROUNDDOWN(INDEX(정리base!E4:P4,MATCH(CE3,정리base!E3:P3,0))*0.001,1),"0.0")&amp;"MW / 수주용량 : "&amp;TEXT(ROUNDDOWN(INDEX(정리base!E11:P11,MATCH(CE3,정리base!E3:P3,0))*0.001,1),"0.0")&amp;"MW("&amp;INDEX(정리base!E16:P16,MATCH(CE3,정리base!E3:P3,0))&amp;"건) / 달성율 : "&amp;TEXT(INDEX(정리base!E10:P10,MATCH(CE3,정리base!E3:P3,0)),"0.0%")</f>
        <v>2) 누적 목표용량 : 127.3MW / 수주용량 : 83.2MW(267건) / 달성율 : 65.4%</v>
      </c>
      <c r="CF98" s="406"/>
      <c r="CG98" s="406"/>
      <c r="CH98" s="406"/>
      <c r="CI98" s="406"/>
      <c r="CJ98" s="406"/>
      <c r="CK98" s="406"/>
      <c r="CN98" s="406" t="str">
        <f>"2) 누적 목표용량 : "&amp;TEXT(ROUNDDOWN(INDEX(정리base!E4:P4,MATCH(CN3,정리base!E3:P3,0))*0.001,1),"0.0")&amp;"MW / 수주용량 : "&amp;TEXT(ROUNDDOWN(INDEX(정리base!E11:P11,MATCH(CN3,정리base!E3:P3,0))*0.001,1),"0.0")&amp;"MW("&amp;INDEX(정리base!E16:P16,MATCH(CN3,정리base!E3:P3,0))&amp;"건) / 달성율 : "&amp;TEXT(INDEX(정리base!E10:P10,MATCH(CN3,정리base!E3:P3,0)),"0.0%")</f>
        <v>2) 누적 목표용량 : 139.4MW / 수주용량 : 83.2MW(267건) / 달성율 : 59.7%</v>
      </c>
      <c r="CO98" s="406"/>
      <c r="CP98" s="406"/>
      <c r="CQ98" s="406"/>
      <c r="CR98" s="406"/>
      <c r="CS98" s="406"/>
      <c r="CT98" s="406"/>
      <c r="CW98" s="406" t="str">
        <f>"2) 누적 목표용량 : "&amp;TEXT(ROUNDDOWN(INDEX(정리base!E4:P4,MATCH(CW3,정리base!E3:P3,0))*0.001,1),"0.0")&amp;"MW / 수주용량 : "&amp;TEXT(ROUNDDOWN(INDEX(정리base!E11:P11,MATCH(CW3,정리base!E3:P3,0))*0.001,1),"0.0")&amp;"MW("&amp;INDEX(정리base!E16:P16,MATCH(CW3,정리base!E3:P3,0))&amp;"건) / 달성율 : "&amp;TEXT(INDEX(정리base!E10:P10,MATCH(CW3,정리base!E3:P3,0)),"0.0%")</f>
        <v>2) 누적 목표용량 : 150.0MW / 수주용량 : 83.2MW(267건) / 달성율 : 55.5%</v>
      </c>
      <c r="CX98" s="406"/>
      <c r="CY98" s="406"/>
      <c r="CZ98" s="406"/>
      <c r="DA98" s="406"/>
      <c r="DB98" s="406"/>
      <c r="DC98" s="406"/>
    </row>
    <row r="99" spans="2:107" ht="31.5" customHeight="1" x14ac:dyDescent="0.25">
      <c r="B99" s="406"/>
      <c r="C99" s="406"/>
      <c r="D99" s="406"/>
      <c r="E99" s="406"/>
      <c r="F99" s="406"/>
      <c r="G99" s="406"/>
      <c r="H99" s="406"/>
      <c r="K99" s="406"/>
      <c r="L99" s="406"/>
      <c r="M99" s="406"/>
      <c r="N99" s="406"/>
      <c r="O99" s="406"/>
      <c r="P99" s="406"/>
      <c r="Q99" s="406"/>
      <c r="T99" s="406"/>
      <c r="U99" s="406"/>
      <c r="V99" s="406"/>
      <c r="W99" s="406"/>
      <c r="X99" s="406"/>
      <c r="Y99" s="406"/>
      <c r="Z99" s="406"/>
      <c r="AC99" s="406"/>
      <c r="AD99" s="406"/>
      <c r="AE99" s="406"/>
      <c r="AF99" s="406"/>
      <c r="AG99" s="406"/>
      <c r="AH99" s="406"/>
      <c r="AI99" s="406"/>
      <c r="AL99" s="406"/>
      <c r="AM99" s="406"/>
      <c r="AN99" s="406"/>
      <c r="AO99" s="406"/>
      <c r="AP99" s="406"/>
      <c r="AQ99" s="406"/>
      <c r="AR99" s="406"/>
      <c r="AU99" s="406"/>
      <c r="AV99" s="406"/>
      <c r="AW99" s="406"/>
      <c r="AX99" s="406"/>
      <c r="AY99" s="406"/>
      <c r="AZ99" s="406"/>
      <c r="BA99" s="406"/>
      <c r="BD99" s="406" t="s">
        <v>1979</v>
      </c>
      <c r="BE99" s="465"/>
      <c r="BF99" s="465"/>
      <c r="BG99" s="465"/>
      <c r="BH99" s="465"/>
      <c r="BI99" s="465"/>
      <c r="BJ99" s="406"/>
      <c r="BM99" s="427" t="s">
        <v>2177</v>
      </c>
      <c r="BN99" s="427"/>
      <c r="BO99" s="427"/>
      <c r="BP99" s="427"/>
      <c r="BQ99" s="427"/>
      <c r="BR99" s="427"/>
      <c r="BS99" s="427"/>
      <c r="BV99" s="406"/>
      <c r="BW99" s="406"/>
      <c r="BX99" s="406"/>
      <c r="BY99" s="406"/>
      <c r="BZ99" s="406"/>
      <c r="CA99" s="406"/>
      <c r="CB99" s="406"/>
      <c r="CE99" s="406"/>
      <c r="CF99" s="406"/>
      <c r="CG99" s="406"/>
      <c r="CH99" s="406"/>
      <c r="CI99" s="406"/>
      <c r="CJ99" s="406"/>
      <c r="CK99" s="406"/>
      <c r="CN99" s="406"/>
      <c r="CO99" s="406"/>
      <c r="CP99" s="406"/>
      <c r="CQ99" s="406"/>
      <c r="CR99" s="406"/>
      <c r="CS99" s="406"/>
      <c r="CT99" s="406"/>
      <c r="CW99" s="406"/>
      <c r="CX99" s="406"/>
      <c r="CY99" s="406"/>
      <c r="CZ99" s="406"/>
      <c r="DA99" s="406"/>
      <c r="DB99" s="406"/>
      <c r="DC99" s="406"/>
    </row>
    <row r="100" spans="2:107" ht="31.5" customHeight="1" x14ac:dyDescent="0.25">
      <c r="B100" s="406" t="s">
        <v>1222</v>
      </c>
      <c r="C100" s="406"/>
      <c r="D100" s="406"/>
      <c r="E100" s="406"/>
      <c r="F100" s="406"/>
      <c r="G100" s="406"/>
      <c r="H100" s="406"/>
      <c r="K100" s="406" t="s">
        <v>1222</v>
      </c>
      <c r="L100" s="406"/>
      <c r="M100" s="406"/>
      <c r="N100" s="406"/>
      <c r="O100" s="406"/>
      <c r="P100" s="406"/>
      <c r="Q100" s="406"/>
      <c r="T100" s="406" t="s">
        <v>1222</v>
      </c>
      <c r="U100" s="406"/>
      <c r="V100" s="406"/>
      <c r="W100" s="406"/>
      <c r="X100" s="406"/>
      <c r="Y100" s="406"/>
      <c r="Z100" s="406"/>
      <c r="AC100" s="406" t="s">
        <v>1222</v>
      </c>
      <c r="AD100" s="406"/>
      <c r="AE100" s="406"/>
      <c r="AF100" s="406"/>
      <c r="AG100" s="406"/>
      <c r="AH100" s="406"/>
      <c r="AI100" s="406"/>
      <c r="AL100" s="406" t="s">
        <v>1222</v>
      </c>
      <c r="AM100" s="406"/>
      <c r="AN100" s="406"/>
      <c r="AO100" s="406"/>
      <c r="AP100" s="406"/>
      <c r="AQ100" s="406"/>
      <c r="AR100" s="406"/>
      <c r="AU100" s="406" t="s">
        <v>1222</v>
      </c>
      <c r="AV100" s="406"/>
      <c r="AW100" s="406"/>
      <c r="AX100" s="406"/>
      <c r="AY100" s="406"/>
      <c r="AZ100" s="406"/>
      <c r="BA100" s="406"/>
      <c r="BD100" s="406" t="s">
        <v>1980</v>
      </c>
      <c r="BE100" s="465"/>
      <c r="BF100" s="465"/>
      <c r="BG100" s="465"/>
      <c r="BH100" s="465"/>
      <c r="BI100" s="465"/>
      <c r="BJ100" s="406"/>
      <c r="BM100" s="427" t="s">
        <v>2178</v>
      </c>
      <c r="BN100" s="427"/>
      <c r="BO100" s="427"/>
      <c r="BP100" s="427"/>
      <c r="BQ100" s="427"/>
      <c r="BR100" s="427"/>
      <c r="BS100" s="427"/>
      <c r="BV100" s="406" t="s">
        <v>1222</v>
      </c>
      <c r="BW100" s="406"/>
      <c r="BX100" s="406"/>
      <c r="BY100" s="406"/>
      <c r="BZ100" s="406"/>
      <c r="CA100" s="406"/>
      <c r="CB100" s="406"/>
      <c r="CE100" s="406" t="s">
        <v>1222</v>
      </c>
      <c r="CF100" s="406"/>
      <c r="CG100" s="406"/>
      <c r="CH100" s="406"/>
      <c r="CI100" s="406"/>
      <c r="CJ100" s="406"/>
      <c r="CK100" s="406"/>
      <c r="CN100" s="406" t="s">
        <v>1222</v>
      </c>
      <c r="CO100" s="406"/>
      <c r="CP100" s="406"/>
      <c r="CQ100" s="406"/>
      <c r="CR100" s="406"/>
      <c r="CS100" s="406"/>
      <c r="CT100" s="406"/>
      <c r="CW100" s="406" t="s">
        <v>1222</v>
      </c>
      <c r="CX100" s="406"/>
      <c r="CY100" s="406"/>
      <c r="CZ100" s="406"/>
      <c r="DA100" s="406"/>
      <c r="DB100" s="406"/>
      <c r="DC100" s="406"/>
    </row>
    <row r="101" spans="2:107" ht="31.5" customHeight="1" x14ac:dyDescent="0.25">
      <c r="B101" s="406" t="str">
        <f>"  - 컨설팅 및 필드파트 : "&amp;TEXT(INDEX(정리base!E13:P13,MATCH(B3,정리base!E3:P3,0)),"#,##0")&amp;"kW"</f>
        <v xml:space="preserve">  - 컨설팅 및 필드파트 : 6,485kW</v>
      </c>
      <c r="C101" s="406"/>
      <c r="D101" s="406"/>
      <c r="E101" s="406"/>
      <c r="F101" s="406"/>
      <c r="G101" s="406"/>
      <c r="H101" s="406"/>
      <c r="K101" s="406" t="str">
        <f>"  - 컨설팅 및 필드파트 : "&amp;TEXT(INDEX(정리base!E13:P13,MATCH(K3,정리base!E3:P3,0)),"#,##0")&amp;"kW"</f>
        <v xml:space="preserve">  - 컨설팅 및 필드파트 : 7,383kW</v>
      </c>
      <c r="L101" s="406"/>
      <c r="M101" s="406"/>
      <c r="N101" s="406"/>
      <c r="O101" s="406"/>
      <c r="P101" s="406"/>
      <c r="Q101" s="406"/>
      <c r="T101" s="406" t="str">
        <f>"  - 컨설팅 및 필드파트 : "&amp;TEXT(INDEX(정리base!E13:P13,MATCH(T3,정리base!E3:P3,0)),"#,##0")&amp;"kW"</f>
        <v xml:space="preserve">  - 컨설팅 및 필드파트 : 9,652kW</v>
      </c>
      <c r="U101" s="406"/>
      <c r="V101" s="406"/>
      <c r="W101" s="406"/>
      <c r="X101" s="406"/>
      <c r="Y101" s="406"/>
      <c r="Z101" s="406"/>
      <c r="AC101" s="406" t="str">
        <f>"  - 컨설팅 및 필드파트 : "&amp;TEXT(INDEX(정리base!E13:P13,MATCH(AC3,정리base!E3:P3,0)),"#,##0")&amp;"kW"</f>
        <v xml:space="preserve">  - 컨설팅 및 필드파트 : 6,972kW</v>
      </c>
      <c r="AD101" s="406"/>
      <c r="AE101" s="406"/>
      <c r="AF101" s="406"/>
      <c r="AG101" s="406"/>
      <c r="AH101" s="406"/>
      <c r="AI101" s="406"/>
      <c r="AL101" s="43" t="s">
        <v>1419</v>
      </c>
      <c r="AM101" s="406"/>
      <c r="AN101" s="406"/>
      <c r="AO101" s="406"/>
      <c r="AP101" s="406"/>
      <c r="AQ101" s="406"/>
      <c r="AR101" s="406"/>
      <c r="AU101" s="43" t="s">
        <v>1645</v>
      </c>
      <c r="BD101" s="406" t="s">
        <v>1981</v>
      </c>
      <c r="BE101" s="465"/>
      <c r="BF101" s="465"/>
      <c r="BG101" s="465"/>
      <c r="BH101" s="465"/>
      <c r="BI101" s="465"/>
      <c r="BJ101" s="406"/>
      <c r="BM101" s="427" t="s">
        <v>2179</v>
      </c>
      <c r="BN101" s="427"/>
      <c r="BO101" s="427"/>
      <c r="BP101" s="427"/>
      <c r="BQ101" s="427"/>
      <c r="BR101" s="427"/>
      <c r="BS101" s="427"/>
      <c r="BV101" s="406" t="str">
        <f>"  - 컨설팅 및 필드파트 : "&amp;TEXT(INDEX(정리base!E13:P13,MATCH(BV3,정리base!E3:P3,0)),"#,##0")&amp;"kW"</f>
        <v xml:space="preserve">  - 컨설팅 및 필드파트 : 4,914kW</v>
      </c>
      <c r="BW101" s="406"/>
      <c r="BX101" s="406"/>
      <c r="BY101" s="406"/>
      <c r="BZ101" s="406"/>
      <c r="CA101" s="406"/>
      <c r="CB101" s="406"/>
      <c r="CE101" s="406" t="str">
        <f>"  - 컨설팅 및 필드파트 : "&amp;TEXT(INDEX(정리base!E13:P13,MATCH(CE3,정리base!E3:P3,0)),"#,##0")&amp;"kW"</f>
        <v xml:space="preserve">  - 컨설팅 및 필드파트 : 0kW</v>
      </c>
      <c r="CF101" s="406"/>
      <c r="CG101" s="406"/>
      <c r="CH101" s="406"/>
      <c r="CI101" s="406"/>
      <c r="CJ101" s="406"/>
      <c r="CK101" s="406"/>
      <c r="CN101" s="406" t="str">
        <f>"  - 컨설팅 및 필드파트 : "&amp;TEXT(INDEX(정리base!E13:P13,MATCH(CN3,정리base!E3:P3,0)),"#,##0")&amp;"kW"</f>
        <v xml:space="preserve">  - 컨설팅 및 필드파트 : 0kW</v>
      </c>
      <c r="CO101" s="406"/>
      <c r="CP101" s="406"/>
      <c r="CQ101" s="406"/>
      <c r="CR101" s="406"/>
      <c r="CS101" s="406"/>
      <c r="CT101" s="406"/>
      <c r="CW101" s="406" t="str">
        <f>"  - 컨설팅 및 필드파트 : "&amp;TEXT(INDEX(정리base!E13:P13,MATCH(CW3,정리base!E3:P3,0)),"#,##0")&amp;"kW"</f>
        <v xml:space="preserve">  - 컨설팅 및 필드파트 : 0kW</v>
      </c>
      <c r="CX101" s="406"/>
      <c r="CY101" s="406"/>
      <c r="CZ101" s="406"/>
      <c r="DA101" s="406"/>
      <c r="DB101" s="406"/>
      <c r="DC101" s="406"/>
    </row>
    <row r="102" spans="2:107" ht="31.5" customHeight="1" x14ac:dyDescent="0.25">
      <c r="B102" s="406" t="s">
        <v>1352</v>
      </c>
      <c r="C102" s="406"/>
      <c r="D102" s="406"/>
      <c r="E102" s="406"/>
      <c r="F102" s="406"/>
      <c r="G102" s="406"/>
      <c r="H102" s="406"/>
      <c r="K102" s="406" t="s">
        <v>1352</v>
      </c>
      <c r="L102" s="406"/>
      <c r="M102" s="406"/>
      <c r="N102" s="406"/>
      <c r="O102" s="406"/>
      <c r="P102" s="406"/>
      <c r="Q102" s="406"/>
      <c r="T102" s="406" t="s">
        <v>1352</v>
      </c>
      <c r="U102" s="406"/>
      <c r="V102" s="406"/>
      <c r="W102" s="406"/>
      <c r="X102" s="406"/>
      <c r="Y102" s="406"/>
      <c r="Z102" s="406"/>
      <c r="AC102" s="406" t="s">
        <v>1223</v>
      </c>
      <c r="AD102" s="406"/>
      <c r="AE102" s="406"/>
      <c r="AF102" s="406"/>
      <c r="AG102" s="406"/>
      <c r="AH102" s="406"/>
      <c r="AI102" s="406"/>
      <c r="AL102" s="427" t="s">
        <v>1373</v>
      </c>
      <c r="AM102" s="406"/>
      <c r="AN102" s="406"/>
      <c r="AO102" s="406"/>
      <c r="AP102" s="406"/>
      <c r="AQ102" s="406"/>
      <c r="AR102" s="406"/>
      <c r="AU102" s="447">
        <v>2026</v>
      </c>
      <c r="AV102" s="448" t="s">
        <v>1651</v>
      </c>
      <c r="AW102" s="448" t="s">
        <v>1646</v>
      </c>
      <c r="AX102" s="448" t="s">
        <v>1647</v>
      </c>
      <c r="AY102" s="449" t="s">
        <v>1654</v>
      </c>
      <c r="AZ102" s="449" t="s">
        <v>1652</v>
      </c>
      <c r="BA102" s="449" t="s">
        <v>1655</v>
      </c>
      <c r="BD102" s="406" t="s">
        <v>1982</v>
      </c>
      <c r="BE102" s="465"/>
      <c r="BF102" s="465"/>
      <c r="BG102" s="465"/>
      <c r="BH102" s="465"/>
      <c r="BI102" s="465"/>
      <c r="BJ102" s="406"/>
      <c r="BM102" s="427" t="s">
        <v>2180</v>
      </c>
      <c r="BN102" s="427"/>
      <c r="BO102" s="427"/>
      <c r="BP102" s="427"/>
      <c r="BQ102" s="427"/>
      <c r="BR102" s="427"/>
      <c r="BS102" s="427"/>
      <c r="BV102" s="406" t="s">
        <v>1352</v>
      </c>
      <c r="BW102" s="406"/>
      <c r="BX102" s="406"/>
      <c r="BY102" s="406"/>
      <c r="BZ102" s="406"/>
      <c r="CA102" s="406"/>
      <c r="CB102" s="406"/>
      <c r="CE102" s="406" t="s">
        <v>1352</v>
      </c>
      <c r="CF102" s="406"/>
      <c r="CG102" s="406"/>
      <c r="CH102" s="406"/>
      <c r="CI102" s="406"/>
      <c r="CJ102" s="406"/>
      <c r="CK102" s="406"/>
      <c r="CN102" s="406" t="s">
        <v>1352</v>
      </c>
      <c r="CO102" s="406"/>
      <c r="CP102" s="406"/>
      <c r="CQ102" s="406"/>
      <c r="CR102" s="406"/>
      <c r="CS102" s="406"/>
      <c r="CT102" s="406"/>
      <c r="CW102" s="406" t="s">
        <v>1352</v>
      </c>
      <c r="CX102" s="406"/>
      <c r="CY102" s="406"/>
      <c r="CZ102" s="406"/>
      <c r="DA102" s="406"/>
      <c r="DB102" s="406"/>
      <c r="DC102" s="406"/>
    </row>
    <row r="103" spans="2:107" ht="31.5" customHeight="1" x14ac:dyDescent="0.25">
      <c r="B103" s="406" t="s">
        <v>1353</v>
      </c>
      <c r="C103" s="406"/>
      <c r="D103" s="406"/>
      <c r="E103" s="406"/>
      <c r="F103" s="406"/>
      <c r="G103" s="406"/>
      <c r="H103" s="406"/>
      <c r="K103" s="406" t="s">
        <v>1353</v>
      </c>
      <c r="L103" s="406"/>
      <c r="M103" s="406"/>
      <c r="N103" s="406"/>
      <c r="O103" s="406"/>
      <c r="P103" s="406"/>
      <c r="Q103" s="406"/>
      <c r="T103" s="406" t="s">
        <v>1353</v>
      </c>
      <c r="U103" s="406"/>
      <c r="V103" s="406"/>
      <c r="W103" s="406"/>
      <c r="X103" s="406"/>
      <c r="Y103" s="406"/>
      <c r="Z103" s="406"/>
      <c r="AC103" s="406" t="s">
        <v>1224</v>
      </c>
      <c r="AD103" s="406"/>
      <c r="AE103" s="406"/>
      <c r="AF103" s="406"/>
      <c r="AG103" s="406"/>
      <c r="AH103" s="406"/>
      <c r="AI103" s="406"/>
      <c r="AL103" s="427" t="s">
        <v>1376</v>
      </c>
      <c r="AM103" s="406"/>
      <c r="AN103" s="406"/>
      <c r="AO103" s="406"/>
      <c r="AP103" s="406"/>
      <c r="AQ103" s="406"/>
      <c r="AR103" s="406"/>
      <c r="AU103" s="450" t="s">
        <v>34</v>
      </c>
      <c r="AV103" s="451" t="s">
        <v>1676</v>
      </c>
      <c r="AW103" s="451">
        <v>36</v>
      </c>
      <c r="AX103" s="451">
        <v>31</v>
      </c>
      <c r="AY103" s="451" t="s">
        <v>1694</v>
      </c>
      <c r="AZ103" s="451" t="s">
        <v>1678</v>
      </c>
      <c r="BA103" s="451" t="s">
        <v>1679</v>
      </c>
      <c r="BD103" s="406" t="s">
        <v>1983</v>
      </c>
      <c r="BE103" s="465"/>
      <c r="BF103" s="465"/>
      <c r="BG103" s="465"/>
      <c r="BH103" s="465"/>
      <c r="BI103" s="465"/>
      <c r="BJ103" s="406"/>
      <c r="BM103" s="427" t="s">
        <v>2181</v>
      </c>
      <c r="BN103" s="427"/>
      <c r="BO103" s="427"/>
      <c r="BP103" s="427"/>
      <c r="BQ103" s="427"/>
      <c r="BR103" s="427"/>
      <c r="BS103" s="427"/>
      <c r="BV103" s="406" t="s">
        <v>1353</v>
      </c>
      <c r="BW103" s="406"/>
      <c r="BX103" s="406"/>
      <c r="BY103" s="406"/>
      <c r="BZ103" s="406"/>
      <c r="CA103" s="406"/>
      <c r="CB103" s="406"/>
      <c r="CE103" s="406" t="s">
        <v>1353</v>
      </c>
      <c r="CF103" s="406"/>
      <c r="CG103" s="406"/>
      <c r="CH103" s="406"/>
      <c r="CI103" s="406"/>
      <c r="CJ103" s="406"/>
      <c r="CK103" s="406"/>
      <c r="CN103" s="406" t="s">
        <v>1353</v>
      </c>
      <c r="CO103" s="406"/>
      <c r="CP103" s="406"/>
      <c r="CQ103" s="406"/>
      <c r="CR103" s="406"/>
      <c r="CS103" s="406"/>
      <c r="CT103" s="406"/>
      <c r="CW103" s="406" t="s">
        <v>1353</v>
      </c>
      <c r="CX103" s="406"/>
      <c r="CY103" s="406"/>
      <c r="CZ103" s="406"/>
      <c r="DA103" s="406"/>
      <c r="DB103" s="406"/>
      <c r="DC103" s="406"/>
    </row>
    <row r="104" spans="2:107" ht="31.5" customHeight="1" x14ac:dyDescent="0.25">
      <c r="B104" s="406" t="s">
        <v>1354</v>
      </c>
      <c r="C104" s="406"/>
      <c r="D104" s="406"/>
      <c r="E104" s="406"/>
      <c r="F104" s="406"/>
      <c r="G104" s="406"/>
      <c r="H104" s="406"/>
      <c r="K104" s="406" t="s">
        <v>1354</v>
      </c>
      <c r="L104" s="406"/>
      <c r="M104" s="406"/>
      <c r="N104" s="406"/>
      <c r="O104" s="406"/>
      <c r="P104" s="406"/>
      <c r="Q104" s="406"/>
      <c r="T104" s="406" t="s">
        <v>1354</v>
      </c>
      <c r="U104" s="406"/>
      <c r="V104" s="406"/>
      <c r="W104" s="406"/>
      <c r="X104" s="406"/>
      <c r="Y104" s="406"/>
      <c r="Z104" s="406"/>
      <c r="AC104" s="406" t="s">
        <v>1225</v>
      </c>
      <c r="AD104" s="406"/>
      <c r="AE104" s="406"/>
      <c r="AF104" s="406"/>
      <c r="AG104" s="406"/>
      <c r="AH104" s="406"/>
      <c r="AI104" s="406"/>
      <c r="AL104" s="427" t="s">
        <v>1374</v>
      </c>
      <c r="AM104" s="406"/>
      <c r="AN104" s="406"/>
      <c r="AO104" s="406"/>
      <c r="AP104" s="406"/>
      <c r="AQ104" s="406"/>
      <c r="AR104" s="406"/>
      <c r="AU104" s="450" t="s">
        <v>8</v>
      </c>
      <c r="AV104" s="451" t="s">
        <v>1677</v>
      </c>
      <c r="AW104" s="451">
        <v>57</v>
      </c>
      <c r="AX104" s="451">
        <v>16</v>
      </c>
      <c r="AY104" s="451" t="s">
        <v>1682</v>
      </c>
      <c r="AZ104" s="452" t="s">
        <v>1681</v>
      </c>
      <c r="BA104" s="451" t="s">
        <v>1680</v>
      </c>
      <c r="BD104" s="406" t="s">
        <v>1984</v>
      </c>
      <c r="BE104" s="465"/>
      <c r="BF104" s="465"/>
      <c r="BG104" s="465"/>
      <c r="BH104" s="465"/>
      <c r="BI104" s="465"/>
      <c r="BJ104" s="406"/>
      <c r="BM104" s="427" t="s">
        <v>2182</v>
      </c>
      <c r="BN104" s="427"/>
      <c r="BO104" s="427"/>
      <c r="BP104" s="427"/>
      <c r="BQ104" s="427"/>
      <c r="BR104" s="427"/>
      <c r="BS104" s="427"/>
      <c r="BV104" s="406" t="s">
        <v>1354</v>
      </c>
      <c r="BW104" s="406"/>
      <c r="BX104" s="406"/>
      <c r="BY104" s="406"/>
      <c r="BZ104" s="406"/>
      <c r="CA104" s="406"/>
      <c r="CB104" s="406"/>
      <c r="CE104" s="406" t="s">
        <v>1354</v>
      </c>
      <c r="CF104" s="406"/>
      <c r="CG104" s="406"/>
      <c r="CH104" s="406"/>
      <c r="CI104" s="406"/>
      <c r="CJ104" s="406"/>
      <c r="CK104" s="406"/>
      <c r="CN104" s="406" t="s">
        <v>1354</v>
      </c>
      <c r="CO104" s="406"/>
      <c r="CP104" s="406"/>
      <c r="CQ104" s="406"/>
      <c r="CR104" s="406"/>
      <c r="CS104" s="406"/>
      <c r="CT104" s="406"/>
      <c r="CW104" s="406" t="s">
        <v>1354</v>
      </c>
      <c r="CX104" s="406"/>
      <c r="CY104" s="406"/>
      <c r="CZ104" s="406"/>
      <c r="DA104" s="406"/>
      <c r="DB104" s="406"/>
      <c r="DC104" s="406"/>
    </row>
    <row r="105" spans="2:107" ht="31.5" customHeight="1" x14ac:dyDescent="0.25">
      <c r="B105" s="406" t="s">
        <v>1355</v>
      </c>
      <c r="C105" s="406"/>
      <c r="D105" s="406"/>
      <c r="E105" s="406"/>
      <c r="F105" s="406"/>
      <c r="G105" s="406"/>
      <c r="H105" s="406"/>
      <c r="K105" s="406" t="s">
        <v>1355</v>
      </c>
      <c r="L105" s="406"/>
      <c r="M105" s="406"/>
      <c r="N105" s="406"/>
      <c r="O105" s="406"/>
      <c r="P105" s="406"/>
      <c r="Q105" s="406"/>
      <c r="T105" s="406" t="s">
        <v>1355</v>
      </c>
      <c r="U105" s="406"/>
      <c r="V105" s="406"/>
      <c r="W105" s="406"/>
      <c r="X105" s="406"/>
      <c r="Y105" s="406"/>
      <c r="Z105" s="406"/>
      <c r="AC105" s="406" t="s">
        <v>1226</v>
      </c>
      <c r="AD105" s="406"/>
      <c r="AE105" s="406"/>
      <c r="AF105" s="406"/>
      <c r="AG105" s="406"/>
      <c r="AH105" s="406"/>
      <c r="AI105" s="406"/>
      <c r="AL105" s="427" t="s">
        <v>1375</v>
      </c>
      <c r="AM105" s="405"/>
      <c r="AN105" s="405"/>
      <c r="AO105" s="405"/>
      <c r="AP105" s="405"/>
      <c r="AQ105" s="406"/>
      <c r="AR105" s="406"/>
      <c r="AU105" s="450" t="s">
        <v>1650</v>
      </c>
      <c r="AV105" s="451" t="s">
        <v>1683</v>
      </c>
      <c r="AW105" s="451">
        <v>40</v>
      </c>
      <c r="AX105" s="451">
        <v>15</v>
      </c>
      <c r="AY105" s="451" t="s">
        <v>1695</v>
      </c>
      <c r="AZ105" s="452" t="s">
        <v>1696</v>
      </c>
      <c r="BA105" s="451" t="s">
        <v>1697</v>
      </c>
      <c r="BD105" s="406" t="s">
        <v>1985</v>
      </c>
      <c r="BE105" s="465"/>
      <c r="BF105" s="465"/>
      <c r="BG105" s="465"/>
      <c r="BH105" s="465"/>
      <c r="BI105" s="465"/>
      <c r="BJ105" s="406"/>
      <c r="BM105" s="427" t="s">
        <v>2183</v>
      </c>
      <c r="BN105" s="427"/>
      <c r="BO105" s="427"/>
      <c r="BP105" s="427"/>
      <c r="BQ105" s="427"/>
      <c r="BR105" s="427"/>
      <c r="BS105" s="427"/>
      <c r="BV105" s="406" t="s">
        <v>1355</v>
      </c>
      <c r="BW105" s="406"/>
      <c r="BX105" s="406"/>
      <c r="BY105" s="406"/>
      <c r="BZ105" s="406"/>
      <c r="CA105" s="406"/>
      <c r="CB105" s="406"/>
      <c r="CE105" s="406" t="s">
        <v>1355</v>
      </c>
      <c r="CF105" s="406"/>
      <c r="CG105" s="406"/>
      <c r="CH105" s="406"/>
      <c r="CI105" s="406"/>
      <c r="CJ105" s="406"/>
      <c r="CK105" s="406"/>
      <c r="CN105" s="406" t="s">
        <v>1355</v>
      </c>
      <c r="CO105" s="406"/>
      <c r="CP105" s="406"/>
      <c r="CQ105" s="406"/>
      <c r="CR105" s="406"/>
      <c r="CS105" s="406"/>
      <c r="CT105" s="406"/>
      <c r="CW105" s="406" t="s">
        <v>1355</v>
      </c>
      <c r="CX105" s="406"/>
      <c r="CY105" s="406"/>
      <c r="CZ105" s="406"/>
      <c r="DA105" s="406"/>
      <c r="DB105" s="406"/>
      <c r="DC105" s="406"/>
    </row>
    <row r="106" spans="2:107" ht="31.5" customHeight="1" x14ac:dyDescent="0.25">
      <c r="B106" s="406" t="s">
        <v>1356</v>
      </c>
      <c r="C106" s="406"/>
      <c r="D106" s="406"/>
      <c r="E106" s="406"/>
      <c r="F106" s="406"/>
      <c r="G106" s="406"/>
      <c r="H106" s="406"/>
      <c r="K106" s="406" t="s">
        <v>1356</v>
      </c>
      <c r="L106" s="406"/>
      <c r="M106" s="406"/>
      <c r="N106" s="406"/>
      <c r="O106" s="406"/>
      <c r="P106" s="406"/>
      <c r="Q106" s="406"/>
      <c r="T106" s="406" t="s">
        <v>1356</v>
      </c>
      <c r="U106" s="406"/>
      <c r="V106" s="406"/>
      <c r="W106" s="406"/>
      <c r="X106" s="406"/>
      <c r="Y106" s="406"/>
      <c r="Z106" s="406"/>
      <c r="AC106" s="406" t="s">
        <v>1227</v>
      </c>
      <c r="AD106" s="406"/>
      <c r="AE106" s="406"/>
      <c r="AF106" s="406"/>
      <c r="AG106" s="406"/>
      <c r="AH106" s="406"/>
      <c r="AI106" s="406"/>
      <c r="AL106" s="427" t="s">
        <v>1377</v>
      </c>
      <c r="AM106" s="405"/>
      <c r="AN106" s="405"/>
      <c r="AO106" s="405"/>
      <c r="AP106" s="405"/>
      <c r="AQ106" s="406"/>
      <c r="AR106" s="406"/>
      <c r="AU106" s="450" t="s">
        <v>127</v>
      </c>
      <c r="AV106" s="453" t="s">
        <v>1684</v>
      </c>
      <c r="AW106" s="451">
        <v>30</v>
      </c>
      <c r="AX106" s="451">
        <v>13</v>
      </c>
      <c r="AY106" s="451" t="s">
        <v>1698</v>
      </c>
      <c r="AZ106" s="451" t="s">
        <v>1699</v>
      </c>
      <c r="BA106" s="451" t="s">
        <v>1685</v>
      </c>
      <c r="BD106" s="406" t="s">
        <v>1986</v>
      </c>
      <c r="BE106" s="465"/>
      <c r="BF106" s="465"/>
      <c r="BG106" s="465"/>
      <c r="BH106" s="465"/>
      <c r="BI106" s="465"/>
      <c r="BJ106" s="406"/>
      <c r="BM106" s="427" t="s">
        <v>2184</v>
      </c>
      <c r="BN106" s="427"/>
      <c r="BO106" s="427"/>
      <c r="BP106" s="427"/>
      <c r="BQ106" s="427"/>
      <c r="BR106" s="427"/>
      <c r="BS106" s="427"/>
      <c r="BV106" s="406" t="s">
        <v>1356</v>
      </c>
      <c r="BW106" s="406"/>
      <c r="BX106" s="406"/>
      <c r="BY106" s="406"/>
      <c r="BZ106" s="406"/>
      <c r="CA106" s="406"/>
      <c r="CB106" s="406"/>
      <c r="CE106" s="406" t="s">
        <v>1356</v>
      </c>
      <c r="CF106" s="406"/>
      <c r="CG106" s="406"/>
      <c r="CH106" s="406"/>
      <c r="CI106" s="406"/>
      <c r="CJ106" s="406"/>
      <c r="CK106" s="406"/>
      <c r="CN106" s="406" t="s">
        <v>1356</v>
      </c>
      <c r="CO106" s="406"/>
      <c r="CP106" s="406"/>
      <c r="CQ106" s="406"/>
      <c r="CR106" s="406"/>
      <c r="CS106" s="406"/>
      <c r="CT106" s="406"/>
      <c r="CW106" s="406" t="s">
        <v>1356</v>
      </c>
      <c r="CX106" s="406"/>
      <c r="CY106" s="406"/>
      <c r="CZ106" s="406"/>
      <c r="DA106" s="406"/>
      <c r="DB106" s="406"/>
      <c r="DC106" s="406"/>
    </row>
    <row r="107" spans="2:107" ht="31.5" customHeight="1" x14ac:dyDescent="0.25">
      <c r="B107" s="406"/>
      <c r="C107" s="406"/>
      <c r="D107" s="406"/>
      <c r="E107" s="406"/>
      <c r="F107" s="406"/>
      <c r="G107" s="406"/>
      <c r="H107" s="406"/>
      <c r="K107" s="406"/>
      <c r="L107" s="406"/>
      <c r="M107" s="406"/>
      <c r="N107" s="406"/>
      <c r="O107" s="406"/>
      <c r="P107" s="406"/>
      <c r="Q107" s="406"/>
      <c r="T107" s="406"/>
      <c r="U107" s="406"/>
      <c r="V107" s="406"/>
      <c r="W107" s="406"/>
      <c r="X107" s="406"/>
      <c r="Y107" s="406"/>
      <c r="Z107" s="406"/>
      <c r="AC107" s="406" t="s">
        <v>1228</v>
      </c>
      <c r="AD107" s="406"/>
      <c r="AE107" s="406"/>
      <c r="AF107" s="406"/>
      <c r="AG107" s="406"/>
      <c r="AH107" s="406"/>
      <c r="AI107" s="406"/>
      <c r="AL107" s="427"/>
      <c r="AM107" s="405"/>
      <c r="AN107" s="405"/>
      <c r="AO107" s="405"/>
      <c r="AP107" s="405"/>
      <c r="AQ107" s="406"/>
      <c r="AR107" s="406"/>
      <c r="AU107" s="450" t="s">
        <v>128</v>
      </c>
      <c r="AV107" s="451" t="s">
        <v>1686</v>
      </c>
      <c r="AW107" s="451">
        <v>35</v>
      </c>
      <c r="AX107" s="451">
        <v>19</v>
      </c>
      <c r="AY107" s="451" t="s">
        <v>1687</v>
      </c>
      <c r="AZ107" s="451" t="s">
        <v>1688</v>
      </c>
      <c r="BA107" s="451" t="s">
        <v>1689</v>
      </c>
      <c r="BD107" s="406" t="s">
        <v>1987</v>
      </c>
      <c r="BE107" s="465"/>
      <c r="BF107" s="465"/>
      <c r="BG107" s="465"/>
      <c r="BH107" s="465"/>
      <c r="BI107" s="465"/>
      <c r="BJ107" s="406"/>
      <c r="BM107" s="427" t="s">
        <v>2185</v>
      </c>
      <c r="BN107" s="427"/>
      <c r="BO107" s="427"/>
      <c r="BP107" s="427"/>
      <c r="BQ107" s="427"/>
      <c r="BR107" s="427"/>
      <c r="BS107" s="427"/>
      <c r="BV107" s="406"/>
      <c r="BW107" s="406"/>
      <c r="BX107" s="406"/>
      <c r="BY107" s="406"/>
      <c r="BZ107" s="406"/>
      <c r="CA107" s="406"/>
      <c r="CB107" s="406"/>
      <c r="CE107" s="406"/>
      <c r="CF107" s="406"/>
      <c r="CG107" s="406"/>
      <c r="CH107" s="406"/>
      <c r="CI107" s="406"/>
      <c r="CJ107" s="406"/>
      <c r="CK107" s="406"/>
      <c r="CN107" s="406"/>
      <c r="CO107" s="406"/>
      <c r="CP107" s="406"/>
      <c r="CQ107" s="406"/>
      <c r="CR107" s="406"/>
      <c r="CS107" s="406"/>
      <c r="CT107" s="406"/>
      <c r="CW107" s="406"/>
      <c r="CX107" s="406"/>
      <c r="CY107" s="406"/>
      <c r="CZ107" s="406"/>
      <c r="DA107" s="406"/>
      <c r="DB107" s="406"/>
      <c r="DC107" s="406"/>
    </row>
    <row r="108" spans="2:107" ht="31.5" customHeight="1" x14ac:dyDescent="0.25">
      <c r="B108" s="406"/>
      <c r="C108" s="406"/>
      <c r="D108" s="406"/>
      <c r="E108" s="406"/>
      <c r="F108" s="406"/>
      <c r="G108" s="406"/>
      <c r="H108" s="406"/>
      <c r="K108" s="406"/>
      <c r="L108" s="406"/>
      <c r="M108" s="406"/>
      <c r="N108" s="406"/>
      <c r="O108" s="406"/>
      <c r="P108" s="406"/>
      <c r="Q108" s="406"/>
      <c r="T108" s="406"/>
      <c r="U108" s="406"/>
      <c r="V108" s="406"/>
      <c r="W108" s="406"/>
      <c r="X108" s="406"/>
      <c r="Y108" s="406"/>
      <c r="Z108" s="406"/>
      <c r="AC108" s="406"/>
      <c r="AD108" s="406"/>
      <c r="AE108" s="406"/>
      <c r="AF108" s="406"/>
      <c r="AG108" s="406"/>
      <c r="AH108" s="406"/>
      <c r="AI108" s="406"/>
      <c r="AL108" s="43" t="s">
        <v>1371</v>
      </c>
      <c r="AU108" s="450" t="s">
        <v>129</v>
      </c>
      <c r="AV108" s="451" t="s">
        <v>1690</v>
      </c>
      <c r="AW108" s="451">
        <v>30</v>
      </c>
      <c r="AX108" s="451">
        <v>14</v>
      </c>
      <c r="AY108" s="451" t="s">
        <v>1691</v>
      </c>
      <c r="AZ108" s="451" t="s">
        <v>1692</v>
      </c>
      <c r="BA108" s="451" t="s">
        <v>1693</v>
      </c>
      <c r="BD108" s="406" t="s">
        <v>1988</v>
      </c>
      <c r="BE108" s="465"/>
      <c r="BF108" s="465"/>
      <c r="BG108" s="465"/>
      <c r="BH108" s="465"/>
      <c r="BI108" s="465"/>
      <c r="BJ108" s="406"/>
      <c r="BM108" s="427" t="s">
        <v>2186</v>
      </c>
      <c r="BN108" s="427"/>
      <c r="BO108" s="427"/>
      <c r="BP108" s="427"/>
      <c r="BQ108" s="427"/>
      <c r="BR108" s="427"/>
      <c r="BS108" s="427"/>
      <c r="BV108" s="406"/>
      <c r="BW108" s="406"/>
      <c r="BX108" s="406"/>
      <c r="BY108" s="406"/>
      <c r="BZ108" s="406"/>
      <c r="CA108" s="406"/>
      <c r="CB108" s="406"/>
      <c r="CE108" s="406"/>
      <c r="CF108" s="406"/>
      <c r="CG108" s="406"/>
      <c r="CH108" s="406"/>
      <c r="CI108" s="406"/>
      <c r="CJ108" s="406"/>
      <c r="CK108" s="406"/>
      <c r="CN108" s="406"/>
      <c r="CO108" s="406"/>
      <c r="CP108" s="406"/>
      <c r="CQ108" s="406"/>
      <c r="CR108" s="406"/>
      <c r="CS108" s="406"/>
      <c r="CT108" s="406"/>
      <c r="CW108" s="406"/>
      <c r="CX108" s="406"/>
      <c r="CY108" s="406"/>
      <c r="CZ108" s="406"/>
      <c r="DA108" s="406"/>
      <c r="DB108" s="406"/>
      <c r="DC108" s="406"/>
    </row>
    <row r="109" spans="2:107" ht="31.5" customHeight="1" x14ac:dyDescent="0.25">
      <c r="AL109" s="432" t="s">
        <v>1408</v>
      </c>
      <c r="AU109" s="427"/>
      <c r="AX109" s="427"/>
      <c r="BD109" s="406" t="s">
        <v>1989</v>
      </c>
      <c r="BE109" s="465"/>
      <c r="BF109" s="465"/>
      <c r="BG109" s="465"/>
      <c r="BH109" s="465"/>
      <c r="BI109" s="465"/>
      <c r="BJ109" s="406"/>
      <c r="BM109" s="427" t="s">
        <v>2187</v>
      </c>
      <c r="BN109" s="427"/>
      <c r="BO109" s="427"/>
      <c r="BP109" s="427"/>
      <c r="BQ109" s="427"/>
      <c r="BR109" s="427"/>
      <c r="BS109" s="427"/>
    </row>
    <row r="110" spans="2:107" ht="31.5" customHeight="1" x14ac:dyDescent="0.25">
      <c r="B110" s="406" t="str">
        <f>"  - 외주파트 : "&amp;TEXT(INDEX(정리base!E14:P14,MATCH(B3,정리base!E3:P3,0)),"#,##0")&amp;"kW"</f>
        <v xml:space="preserve">  - 외주파트 : 2,445kW</v>
      </c>
      <c r="C110" s="406"/>
      <c r="D110" s="406"/>
      <c r="E110" s="406"/>
      <c r="F110" s="406"/>
      <c r="G110" s="406"/>
      <c r="H110" s="406"/>
      <c r="K110" s="406" t="str">
        <f>"  - 외주파트 : "&amp;TEXT(INDEX(정리base!E14:P14,MATCH(K3,정리base!E3:P3,0)),"#,##0")&amp;"kW"</f>
        <v xml:space="preserve">  - 외주파트 : 3,329kW</v>
      </c>
      <c r="L110" s="406"/>
      <c r="M110" s="406"/>
      <c r="N110" s="406"/>
      <c r="O110" s="406"/>
      <c r="P110" s="406"/>
      <c r="Q110" s="406"/>
      <c r="T110" s="406" t="str">
        <f>"  - 외주파트 : "&amp;TEXT(INDEX(정리base!E14:P14,MATCH(T3,정리base!E3:P3,0)),"#,##0")&amp;"kW"</f>
        <v xml:space="preserve">  - 외주파트 : 4,638kW</v>
      </c>
      <c r="U110" s="406"/>
      <c r="V110" s="406"/>
      <c r="W110" s="406"/>
      <c r="X110" s="406"/>
      <c r="Y110" s="406"/>
      <c r="Z110" s="406"/>
      <c r="AC110" s="406" t="str">
        <f>"  - 외주파트 : "&amp;TEXT(INDEX(정리base!E14:P14,MATCH(AC3,정리base!E3:P3,0)),"#,##0")&amp;"kW"</f>
        <v xml:space="preserve">  - 외주파트 : 1,590kW</v>
      </c>
      <c r="AD110" s="406"/>
      <c r="AE110" s="406"/>
      <c r="AF110" s="406"/>
      <c r="AG110" s="406"/>
      <c r="AH110" s="406"/>
      <c r="AI110" s="406"/>
      <c r="AL110" s="432" t="s">
        <v>1407</v>
      </c>
      <c r="AT110" t="s">
        <v>184</v>
      </c>
      <c r="AU110" s="43" t="s">
        <v>1653</v>
      </c>
      <c r="AV110" s="406"/>
      <c r="AW110" s="406"/>
      <c r="AX110" s="406"/>
      <c r="AY110" s="406"/>
      <c r="AZ110" s="406"/>
      <c r="BA110" s="406"/>
      <c r="BD110" s="406" t="s">
        <v>1990</v>
      </c>
      <c r="BE110" s="465"/>
      <c r="BF110" s="465"/>
      <c r="BG110" s="465"/>
      <c r="BH110" s="465"/>
      <c r="BI110" s="465"/>
      <c r="BJ110" s="406"/>
      <c r="BM110" s="427" t="s">
        <v>2188</v>
      </c>
      <c r="BN110" s="427"/>
      <c r="BO110" s="427"/>
      <c r="BP110" s="427"/>
      <c r="BQ110" s="427"/>
      <c r="BR110" s="427"/>
      <c r="BS110" s="427"/>
      <c r="BV110" s="406" t="str">
        <f>"  - 외주파트 : "&amp;TEXT(INDEX(정리base!E14:P14,MATCH(BV3,정리base!E3:P3,0)),"#,##0")&amp;"kW"</f>
        <v xml:space="preserve">  - 외주파트 : 766kW</v>
      </c>
      <c r="BW110" s="406"/>
      <c r="BX110" s="406"/>
      <c r="BY110" s="406"/>
      <c r="BZ110" s="406"/>
      <c r="CA110" s="406"/>
      <c r="CB110" s="406"/>
      <c r="CE110" s="406" t="str">
        <f>"  - 외주파트 : "&amp;TEXT(INDEX(정리base!E14:P14,MATCH(CE3,정리base!E3:P3,0)),"#,##0")&amp;"kW"</f>
        <v xml:space="preserve">  - 외주파트 : 0kW</v>
      </c>
      <c r="CF110" s="406"/>
      <c r="CG110" s="406"/>
      <c r="CH110" s="406"/>
      <c r="CI110" s="406"/>
      <c r="CJ110" s="406"/>
      <c r="CK110" s="406"/>
      <c r="CN110" s="406" t="str">
        <f>"  - 외주파트 : "&amp;TEXT(INDEX(정리base!E14:P14,MATCH(CN3,정리base!E3:P3,0)),"#,##0")&amp;"kW"</f>
        <v xml:space="preserve">  - 외주파트 : 0kW</v>
      </c>
      <c r="CO110" s="406"/>
      <c r="CP110" s="406"/>
      <c r="CQ110" s="406"/>
      <c r="CR110" s="406"/>
      <c r="CS110" s="406"/>
      <c r="CT110" s="406"/>
      <c r="CW110" s="406" t="str">
        <f>"  - 외주파트 : "&amp;TEXT(INDEX(정리base!E14:P14,MATCH(CW3,정리base!E3:P3,0)),"#,##0")&amp;"kW"</f>
        <v xml:space="preserve">  - 외주파트 : 0kW</v>
      </c>
      <c r="CX110" s="406"/>
      <c r="CY110" s="406"/>
      <c r="CZ110" s="406"/>
      <c r="DA110" s="406"/>
      <c r="DB110" s="406"/>
      <c r="DC110" s="406"/>
    </row>
    <row r="111" spans="2:107" ht="31.5" customHeight="1" x14ac:dyDescent="0.25">
      <c r="B111" s="406" t="s">
        <v>1357</v>
      </c>
      <c r="C111" s="406"/>
      <c r="D111" s="406"/>
      <c r="E111" s="406"/>
      <c r="F111" s="406"/>
      <c r="G111" s="406"/>
      <c r="H111" s="406"/>
      <c r="K111" s="406" t="s">
        <v>1357</v>
      </c>
      <c r="L111" s="406"/>
      <c r="M111" s="406"/>
      <c r="N111" s="406"/>
      <c r="O111" s="406"/>
      <c r="P111" s="406"/>
      <c r="Q111" s="406"/>
      <c r="T111" s="406" t="s">
        <v>1357</v>
      </c>
      <c r="U111" s="406"/>
      <c r="V111" s="406"/>
      <c r="W111" s="406"/>
      <c r="X111" s="406"/>
      <c r="Y111" s="406"/>
      <c r="Z111" s="406"/>
      <c r="AC111" s="406" t="s">
        <v>1357</v>
      </c>
      <c r="AD111" s="406"/>
      <c r="AE111" s="406"/>
      <c r="AF111" s="406"/>
      <c r="AG111" s="406"/>
      <c r="AH111" s="406"/>
      <c r="AI111" s="406"/>
      <c r="AL111" s="433" t="s">
        <v>1409</v>
      </c>
      <c r="AM111" s="433" t="s">
        <v>1410</v>
      </c>
      <c r="AN111" s="433" t="s">
        <v>1411</v>
      </c>
      <c r="AO111" s="433" t="s">
        <v>1412</v>
      </c>
      <c r="AP111" s="433" t="s">
        <v>1413</v>
      </c>
      <c r="AU111" s="406" t="s">
        <v>1700</v>
      </c>
      <c r="AV111" s="406"/>
      <c r="AW111" s="406"/>
      <c r="AX111" s="406"/>
      <c r="AY111" s="406"/>
      <c r="AZ111" s="406"/>
      <c r="BA111" s="406"/>
      <c r="BD111" s="406" t="s">
        <v>1991</v>
      </c>
      <c r="BE111" s="465"/>
      <c r="BF111" s="465"/>
      <c r="BG111" s="465"/>
      <c r="BH111" s="465"/>
      <c r="BI111" s="465"/>
      <c r="BJ111" s="406"/>
      <c r="BM111" s="427" t="s">
        <v>2189</v>
      </c>
      <c r="BN111" s="427"/>
      <c r="BO111" s="427"/>
      <c r="BP111" s="427"/>
      <c r="BQ111" s="427"/>
      <c r="BR111" s="427"/>
      <c r="BS111" s="427"/>
      <c r="BV111" s="406" t="s">
        <v>1357</v>
      </c>
      <c r="BW111" s="406"/>
      <c r="BX111" s="406"/>
      <c r="BY111" s="406"/>
      <c r="BZ111" s="406"/>
      <c r="CA111" s="406"/>
      <c r="CB111" s="406"/>
      <c r="CE111" s="406" t="s">
        <v>1357</v>
      </c>
      <c r="CF111" s="406"/>
      <c r="CG111" s="406"/>
      <c r="CH111" s="406"/>
      <c r="CI111" s="406"/>
      <c r="CJ111" s="406"/>
      <c r="CK111" s="406"/>
      <c r="CN111" s="406" t="s">
        <v>1357</v>
      </c>
      <c r="CO111" s="406"/>
      <c r="CP111" s="406"/>
      <c r="CQ111" s="406"/>
      <c r="CR111" s="406"/>
      <c r="CS111" s="406"/>
      <c r="CT111" s="406"/>
      <c r="CW111" s="406" t="s">
        <v>1357</v>
      </c>
      <c r="CX111" s="406"/>
      <c r="CY111" s="406"/>
      <c r="CZ111" s="406"/>
      <c r="DA111" s="406"/>
      <c r="DB111" s="406"/>
      <c r="DC111" s="406"/>
    </row>
    <row r="112" spans="2:107" ht="31.5" customHeight="1" x14ac:dyDescent="0.25">
      <c r="B112" s="406" t="s">
        <v>1358</v>
      </c>
      <c r="C112" s="406"/>
      <c r="D112" s="406"/>
      <c r="E112" s="406"/>
      <c r="F112" s="406"/>
      <c r="G112" s="406"/>
      <c r="H112" s="406"/>
      <c r="K112" s="406" t="s">
        <v>1358</v>
      </c>
      <c r="L112" s="406"/>
      <c r="M112" s="406"/>
      <c r="N112" s="406"/>
      <c r="O112" s="406"/>
      <c r="P112" s="406"/>
      <c r="Q112" s="406"/>
      <c r="T112" s="406" t="s">
        <v>1358</v>
      </c>
      <c r="U112" s="406"/>
      <c r="V112" s="406"/>
      <c r="W112" s="406"/>
      <c r="X112" s="406"/>
      <c r="Y112" s="406"/>
      <c r="Z112" s="406"/>
      <c r="AC112" s="406" t="s">
        <v>1358</v>
      </c>
      <c r="AD112" s="406"/>
      <c r="AE112" s="406"/>
      <c r="AF112" s="406"/>
      <c r="AG112" s="406"/>
      <c r="AH112" s="406"/>
      <c r="AI112" s="406"/>
      <c r="AL112" s="433" t="s">
        <v>1414</v>
      </c>
      <c r="AM112" s="433" t="s">
        <v>1415</v>
      </c>
      <c r="AN112" s="433" t="s">
        <v>1418</v>
      </c>
      <c r="AO112" s="433" t="s">
        <v>1416</v>
      </c>
      <c r="AP112" s="433" t="s">
        <v>1417</v>
      </c>
      <c r="AU112" s="427" t="s">
        <v>1701</v>
      </c>
      <c r="AV112" s="406"/>
      <c r="AW112" s="406"/>
      <c r="AX112" s="406"/>
      <c r="AY112" s="406"/>
      <c r="AZ112" s="406"/>
      <c r="BA112" s="406"/>
      <c r="BD112" s="406" t="s">
        <v>1992</v>
      </c>
      <c r="BE112" s="465"/>
      <c r="BF112" s="465"/>
      <c r="BG112" s="465"/>
      <c r="BH112" s="465"/>
      <c r="BI112" s="465"/>
      <c r="BJ112" s="406"/>
      <c r="BM112" s="427" t="s">
        <v>2190</v>
      </c>
      <c r="BN112" s="427"/>
      <c r="BO112" s="427"/>
      <c r="BP112" s="427"/>
      <c r="BQ112" s="427"/>
      <c r="BR112" s="427"/>
      <c r="BS112" s="427"/>
      <c r="BV112" s="406" t="s">
        <v>1358</v>
      </c>
      <c r="BW112" s="406"/>
      <c r="BX112" s="406"/>
      <c r="BY112" s="406"/>
      <c r="BZ112" s="406"/>
      <c r="CA112" s="406"/>
      <c r="CB112" s="406"/>
      <c r="CE112" s="406" t="s">
        <v>1358</v>
      </c>
      <c r="CF112" s="406"/>
      <c r="CG112" s="406"/>
      <c r="CH112" s="406"/>
      <c r="CI112" s="406"/>
      <c r="CJ112" s="406"/>
      <c r="CK112" s="406"/>
      <c r="CN112" s="406" t="s">
        <v>1358</v>
      </c>
      <c r="CO112" s="406"/>
      <c r="CP112" s="406"/>
      <c r="CQ112" s="406"/>
      <c r="CR112" s="406"/>
      <c r="CS112" s="406"/>
      <c r="CT112" s="406"/>
      <c r="CW112" s="406" t="s">
        <v>1358</v>
      </c>
      <c r="CX112" s="406"/>
      <c r="CY112" s="406"/>
      <c r="CZ112" s="406"/>
      <c r="DA112" s="406"/>
      <c r="DB112" s="406"/>
      <c r="DC112" s="406"/>
    </row>
    <row r="113" spans="2:108" ht="31.5" customHeight="1" x14ac:dyDescent="0.25">
      <c r="B113" s="406" t="s">
        <v>1355</v>
      </c>
      <c r="C113" s="406"/>
      <c r="D113" s="406"/>
      <c r="E113" s="406"/>
      <c r="F113" s="406"/>
      <c r="G113" s="406"/>
      <c r="H113" s="406"/>
      <c r="K113" s="406" t="s">
        <v>1355</v>
      </c>
      <c r="L113" s="406"/>
      <c r="M113" s="406"/>
      <c r="N113" s="406"/>
      <c r="O113" s="406"/>
      <c r="P113" s="406"/>
      <c r="Q113" s="406"/>
      <c r="T113" s="406" t="s">
        <v>1355</v>
      </c>
      <c r="U113" s="406"/>
      <c r="V113" s="406"/>
      <c r="W113" s="406"/>
      <c r="X113" s="406"/>
      <c r="Y113" s="406"/>
      <c r="Z113" s="406"/>
      <c r="AC113" s="406" t="s">
        <v>1355</v>
      </c>
      <c r="AD113" s="406"/>
      <c r="AE113" s="406"/>
      <c r="AF113" s="406"/>
      <c r="AG113" s="406"/>
      <c r="AH113" s="406"/>
      <c r="AI113" s="406"/>
      <c r="AL113" s="434"/>
      <c r="AU113" s="427" t="s">
        <v>1702</v>
      </c>
      <c r="AV113" s="406"/>
      <c r="AW113" s="406"/>
      <c r="AX113" s="406"/>
      <c r="AY113" s="406"/>
      <c r="AZ113" s="406"/>
      <c r="BA113" s="406"/>
      <c r="BD113" s="406" t="s">
        <v>1993</v>
      </c>
      <c r="BE113" s="465"/>
      <c r="BF113" s="465"/>
      <c r="BG113" s="465"/>
      <c r="BH113" s="465"/>
      <c r="BI113" s="465"/>
      <c r="BJ113" s="406"/>
      <c r="BM113" s="427" t="s">
        <v>2181</v>
      </c>
      <c r="BN113" s="427"/>
      <c r="BO113" s="427"/>
      <c r="BP113" s="427"/>
      <c r="BQ113" s="427"/>
      <c r="BR113" s="427"/>
      <c r="BS113" s="427"/>
      <c r="BV113" s="406" t="s">
        <v>1355</v>
      </c>
      <c r="BW113" s="406"/>
      <c r="BX113" s="406"/>
      <c r="BY113" s="406"/>
      <c r="BZ113" s="406"/>
      <c r="CA113" s="406"/>
      <c r="CB113" s="406"/>
      <c r="CE113" s="406" t="s">
        <v>1355</v>
      </c>
      <c r="CF113" s="406"/>
      <c r="CG113" s="406"/>
      <c r="CH113" s="406"/>
      <c r="CI113" s="406"/>
      <c r="CJ113" s="406"/>
      <c r="CK113" s="406"/>
      <c r="CN113" s="406" t="s">
        <v>1355</v>
      </c>
      <c r="CO113" s="406"/>
      <c r="CP113" s="406"/>
      <c r="CQ113" s="406"/>
      <c r="CR113" s="406"/>
      <c r="CS113" s="406"/>
      <c r="CT113" s="406"/>
      <c r="CW113" s="406" t="s">
        <v>1355</v>
      </c>
      <c r="CX113" s="406"/>
      <c r="CY113" s="406"/>
      <c r="CZ113" s="406"/>
      <c r="DA113" s="406"/>
      <c r="DB113" s="406"/>
      <c r="DC113" s="406"/>
    </row>
    <row r="114" spans="2:108" ht="31.5" customHeight="1" x14ac:dyDescent="0.25">
      <c r="B114" s="406"/>
      <c r="C114" s="406"/>
      <c r="D114" s="406"/>
      <c r="E114" s="406"/>
      <c r="F114" s="406"/>
      <c r="G114" s="406"/>
      <c r="H114" s="406"/>
      <c r="K114" s="406"/>
      <c r="L114" s="406"/>
      <c r="M114" s="406"/>
      <c r="N114" s="406"/>
      <c r="O114" s="406"/>
      <c r="P114" s="406"/>
      <c r="Q114" s="406"/>
      <c r="T114" s="406"/>
      <c r="U114" s="406"/>
      <c r="V114" s="406"/>
      <c r="W114" s="406"/>
      <c r="X114" s="406"/>
      <c r="Y114" s="406"/>
      <c r="Z114" s="406"/>
      <c r="AC114" s="406"/>
      <c r="AD114" s="406"/>
      <c r="AE114" s="406"/>
      <c r="AF114" s="406"/>
      <c r="AG114" s="406"/>
      <c r="AH114" s="406"/>
      <c r="AI114" s="406"/>
      <c r="AL114" s="434"/>
      <c r="AT114" t="s">
        <v>184</v>
      </c>
      <c r="AU114" s="427" t="s">
        <v>1703</v>
      </c>
      <c r="AV114" s="406"/>
      <c r="AW114" s="406"/>
      <c r="AX114" s="406"/>
      <c r="AY114" s="406"/>
      <c r="AZ114" s="406"/>
      <c r="BA114" s="406"/>
      <c r="BD114" s="406" t="s">
        <v>1994</v>
      </c>
      <c r="BE114" s="465"/>
      <c r="BF114" s="465"/>
      <c r="BG114" s="465"/>
      <c r="BH114" s="465"/>
      <c r="BI114" s="465"/>
      <c r="BJ114" s="406"/>
      <c r="BM114" s="427" t="s">
        <v>2191</v>
      </c>
      <c r="BN114" s="427"/>
      <c r="BO114" s="427"/>
      <c r="BP114" s="427"/>
      <c r="BQ114" s="427"/>
      <c r="BR114" s="427"/>
      <c r="BS114" s="427"/>
      <c r="BV114" s="406"/>
      <c r="BW114" s="406"/>
      <c r="BX114" s="406"/>
      <c r="BY114" s="406"/>
      <c r="BZ114" s="406"/>
      <c r="CA114" s="406"/>
      <c r="CB114" s="406"/>
      <c r="CE114" s="406"/>
      <c r="CF114" s="406"/>
      <c r="CG114" s="406"/>
      <c r="CH114" s="406"/>
      <c r="CI114" s="406"/>
      <c r="CJ114" s="406"/>
      <c r="CK114" s="406"/>
      <c r="CN114" s="406"/>
      <c r="CO114" s="406"/>
      <c r="CP114" s="406"/>
      <c r="CQ114" s="406"/>
      <c r="CR114" s="406"/>
      <c r="CS114" s="406"/>
      <c r="CT114" s="406"/>
      <c r="CW114" s="406"/>
      <c r="CX114" s="406"/>
      <c r="CY114" s="406"/>
      <c r="CZ114" s="406"/>
      <c r="DA114" s="406"/>
      <c r="DB114" s="406"/>
      <c r="DC114" s="406"/>
    </row>
    <row r="115" spans="2:108" ht="31.5" customHeight="1" x14ac:dyDescent="0.25">
      <c r="B115" s="406"/>
      <c r="C115" s="406"/>
      <c r="D115" s="406"/>
      <c r="E115" s="406"/>
      <c r="F115" s="406"/>
      <c r="G115" s="406"/>
      <c r="H115" s="406"/>
      <c r="K115" s="406"/>
      <c r="L115" s="406"/>
      <c r="M115" s="406"/>
      <c r="N115" s="406"/>
      <c r="O115" s="406"/>
      <c r="P115" s="406"/>
      <c r="Q115" s="406"/>
      <c r="T115" s="406"/>
      <c r="U115" s="406"/>
      <c r="V115" s="406"/>
      <c r="W115" s="406"/>
      <c r="X115" s="406"/>
      <c r="Y115" s="406"/>
      <c r="Z115" s="406"/>
      <c r="AC115" s="406"/>
      <c r="AD115" s="406"/>
      <c r="AE115" s="406"/>
      <c r="AF115" s="406"/>
      <c r="AG115" s="406"/>
      <c r="AH115" s="406"/>
      <c r="AI115" s="406"/>
      <c r="AL115" s="434"/>
      <c r="AU115" s="427" t="s">
        <v>1704</v>
      </c>
      <c r="AV115" s="406"/>
      <c r="AW115" s="406"/>
      <c r="AX115" s="406"/>
      <c r="AY115" s="406"/>
      <c r="AZ115" s="406"/>
      <c r="BA115" s="406"/>
      <c r="BD115" s="406" t="s">
        <v>1995</v>
      </c>
      <c r="BE115" s="465"/>
      <c r="BF115" s="465"/>
      <c r="BG115" s="465"/>
      <c r="BH115" s="465" t="s">
        <v>1996</v>
      </c>
      <c r="BI115" s="465"/>
      <c r="BJ115" s="406"/>
      <c r="BM115" s="427" t="s">
        <v>2192</v>
      </c>
      <c r="BN115" s="427" t="s">
        <v>2193</v>
      </c>
      <c r="BO115" s="427"/>
      <c r="BP115" s="427"/>
      <c r="BQ115" s="427"/>
      <c r="BR115" s="427"/>
      <c r="BS115" s="427"/>
      <c r="BV115" s="406"/>
      <c r="BW115" s="406"/>
      <c r="BX115" s="406"/>
      <c r="BY115" s="406"/>
      <c r="BZ115" s="406"/>
      <c r="CA115" s="406"/>
      <c r="CB115" s="406"/>
      <c r="CE115" s="406"/>
      <c r="CF115" s="406"/>
      <c r="CG115" s="406"/>
      <c r="CH115" s="406"/>
      <c r="CI115" s="406"/>
      <c r="CJ115" s="406"/>
      <c r="CK115" s="406"/>
      <c r="CN115" s="406"/>
      <c r="CO115" s="406"/>
      <c r="CP115" s="406"/>
      <c r="CQ115" s="406"/>
      <c r="CR115" s="406"/>
      <c r="CS115" s="406"/>
      <c r="CT115" s="406"/>
      <c r="CW115" s="406"/>
      <c r="CX115" s="406"/>
      <c r="CY115" s="406"/>
      <c r="CZ115" s="406"/>
      <c r="DA115" s="406"/>
      <c r="DB115" s="406"/>
      <c r="DC115" s="406"/>
    </row>
    <row r="116" spans="2:108" ht="31.5" customHeight="1" x14ac:dyDescent="0.25">
      <c r="B116" s="406"/>
      <c r="C116" s="406"/>
      <c r="D116" s="406"/>
      <c r="E116" s="406"/>
      <c r="F116" s="406"/>
      <c r="G116" s="406"/>
      <c r="H116" s="406"/>
      <c r="K116" s="406"/>
      <c r="L116" s="406"/>
      <c r="M116" s="406"/>
      <c r="N116" s="406"/>
      <c r="O116" s="406"/>
      <c r="P116" s="406"/>
      <c r="Q116" s="406"/>
      <c r="T116" s="406"/>
      <c r="U116" s="406"/>
      <c r="V116" s="406"/>
      <c r="W116" s="406"/>
      <c r="X116" s="406"/>
      <c r="Y116" s="406"/>
      <c r="Z116" s="406"/>
      <c r="AC116" s="406"/>
      <c r="AD116" s="406"/>
      <c r="AE116" s="406"/>
      <c r="AF116" s="406"/>
      <c r="AG116" s="406"/>
      <c r="AH116" s="406"/>
      <c r="AI116" s="406"/>
      <c r="AL116" s="434"/>
      <c r="AU116" s="427" t="s">
        <v>1705</v>
      </c>
      <c r="AV116" s="406"/>
      <c r="AW116" s="406"/>
      <c r="AX116" s="406"/>
      <c r="AY116" s="406"/>
      <c r="AZ116" s="406"/>
      <c r="BA116" s="406"/>
      <c r="BD116" s="406" t="s">
        <v>1997</v>
      </c>
      <c r="BE116" s="465" t="s">
        <v>1998</v>
      </c>
      <c r="BF116" s="465"/>
      <c r="BG116" s="465"/>
      <c r="BH116" s="465"/>
      <c r="BI116" s="465"/>
      <c r="BJ116" s="406"/>
      <c r="BM116" s="427" t="s">
        <v>2194</v>
      </c>
      <c r="BN116" s="427"/>
      <c r="BO116" s="427"/>
      <c r="BP116" s="427"/>
      <c r="BQ116" s="427"/>
      <c r="BR116" s="427"/>
      <c r="BS116" s="427"/>
      <c r="BV116" s="406"/>
      <c r="BW116" s="406"/>
      <c r="BX116" s="406"/>
      <c r="BY116" s="406"/>
      <c r="BZ116" s="406"/>
      <c r="CA116" s="406"/>
      <c r="CB116" s="406"/>
      <c r="CE116" s="406"/>
      <c r="CF116" s="406"/>
      <c r="CG116" s="406"/>
      <c r="CH116" s="406"/>
      <c r="CI116" s="406"/>
      <c r="CJ116" s="406"/>
      <c r="CK116" s="406"/>
      <c r="CN116" s="406"/>
      <c r="CO116" s="406"/>
      <c r="CP116" s="406"/>
      <c r="CQ116" s="406"/>
      <c r="CR116" s="406"/>
      <c r="CS116" s="406"/>
      <c r="CT116" s="406"/>
      <c r="CW116" s="406"/>
      <c r="CX116" s="406"/>
      <c r="CY116" s="406"/>
      <c r="CZ116" s="406"/>
      <c r="DA116" s="406"/>
      <c r="DB116" s="406"/>
      <c r="DC116" s="406"/>
    </row>
    <row r="117" spans="2:108" ht="31.5" customHeight="1" x14ac:dyDescent="0.25">
      <c r="B117" s="406"/>
      <c r="C117" s="406"/>
      <c r="D117" s="406"/>
      <c r="E117" s="406"/>
      <c r="F117" s="406"/>
      <c r="G117" s="406"/>
      <c r="H117" s="406"/>
      <c r="K117" s="406"/>
      <c r="L117" s="406"/>
      <c r="M117" s="406"/>
      <c r="N117" s="406"/>
      <c r="O117" s="406"/>
      <c r="P117" s="406"/>
      <c r="Q117" s="406"/>
      <c r="T117" s="406"/>
      <c r="U117" s="406"/>
      <c r="V117" s="406"/>
      <c r="W117" s="406"/>
      <c r="X117" s="406"/>
      <c r="Y117" s="406"/>
      <c r="Z117" s="406"/>
      <c r="AC117" s="406"/>
      <c r="AD117" s="406"/>
      <c r="AE117" s="406"/>
      <c r="AF117" s="406"/>
      <c r="AG117" s="406"/>
      <c r="AH117" s="406"/>
      <c r="AI117" s="406"/>
      <c r="AL117" s="434"/>
      <c r="AU117" s="427" t="s">
        <v>1706</v>
      </c>
      <c r="AV117" s="406"/>
      <c r="AW117" s="406"/>
      <c r="AX117" s="406"/>
      <c r="AY117" s="406"/>
      <c r="AZ117" s="406"/>
      <c r="BA117" s="406"/>
      <c r="BD117" s="406" t="s">
        <v>1999</v>
      </c>
      <c r="BE117" s="465"/>
      <c r="BF117" s="465"/>
      <c r="BG117" s="465"/>
      <c r="BH117" s="465"/>
      <c r="BI117" s="465"/>
      <c r="BJ117" s="406"/>
      <c r="BM117" s="427" t="s">
        <v>2195</v>
      </c>
      <c r="BN117" s="427"/>
      <c r="BO117" s="427"/>
      <c r="BP117" s="427"/>
      <c r="BQ117" s="427"/>
      <c r="BR117" s="427"/>
      <c r="BS117" s="427"/>
      <c r="BV117" s="406"/>
      <c r="BW117" s="406"/>
      <c r="BX117" s="406"/>
      <c r="BY117" s="406"/>
      <c r="BZ117" s="406"/>
      <c r="CA117" s="406"/>
      <c r="CB117" s="406"/>
      <c r="CE117" s="406"/>
      <c r="CF117" s="406"/>
      <c r="CG117" s="406"/>
      <c r="CH117" s="406"/>
      <c r="CI117" s="406"/>
      <c r="CJ117" s="406"/>
      <c r="CK117" s="406"/>
      <c r="CN117" s="406"/>
      <c r="CO117" s="406"/>
      <c r="CP117" s="406"/>
      <c r="CQ117" s="406"/>
      <c r="CR117" s="406"/>
      <c r="CS117" s="406"/>
      <c r="CT117" s="406"/>
      <c r="CW117" s="406"/>
      <c r="CX117" s="406"/>
      <c r="CY117" s="406"/>
      <c r="CZ117" s="406"/>
      <c r="DA117" s="406"/>
      <c r="DB117" s="406"/>
      <c r="DC117" s="406"/>
    </row>
    <row r="118" spans="2:108" ht="31.5" customHeight="1" x14ac:dyDescent="0.25">
      <c r="B118" s="406" t="s">
        <v>1356</v>
      </c>
      <c r="C118" s="406"/>
      <c r="D118" s="406"/>
      <c r="E118" s="406"/>
      <c r="F118" s="406"/>
      <c r="G118" s="406"/>
      <c r="H118" s="406"/>
      <c r="K118" s="406" t="s">
        <v>1356</v>
      </c>
      <c r="L118" s="406"/>
      <c r="M118" s="406"/>
      <c r="N118" s="406"/>
      <c r="O118" s="406"/>
      <c r="P118" s="406"/>
      <c r="Q118" s="406"/>
      <c r="T118" s="406" t="s">
        <v>1356</v>
      </c>
      <c r="U118" s="406"/>
      <c r="V118" s="406"/>
      <c r="W118" s="406"/>
      <c r="X118" s="406"/>
      <c r="Y118" s="406"/>
      <c r="Z118" s="406"/>
      <c r="AC118" s="406" t="s">
        <v>1356</v>
      </c>
      <c r="AD118" s="406"/>
      <c r="AE118" s="406"/>
      <c r="AF118" s="406"/>
      <c r="AG118" s="406"/>
      <c r="AH118" s="406"/>
      <c r="AI118" s="406"/>
      <c r="AL118" s="428" t="s">
        <v>1381</v>
      </c>
      <c r="AM118" s="428" t="s">
        <v>1385</v>
      </c>
      <c r="AN118" s="428" t="s">
        <v>1386</v>
      </c>
      <c r="AO118" s="428" t="s">
        <v>1382</v>
      </c>
      <c r="AP118" s="406"/>
      <c r="AQ118" s="405"/>
      <c r="AR118" s="405"/>
      <c r="AU118" s="427" t="s">
        <v>1707</v>
      </c>
      <c r="AV118" s="406"/>
      <c r="AW118" s="406"/>
      <c r="AX118" s="406"/>
      <c r="AY118" s="406"/>
      <c r="AZ118" s="406"/>
      <c r="BA118" s="406"/>
      <c r="BD118" s="406" t="s">
        <v>2000</v>
      </c>
      <c r="BE118" s="465"/>
      <c r="BF118" s="465"/>
      <c r="BG118" s="465"/>
      <c r="BH118" s="465"/>
      <c r="BI118" s="465"/>
      <c r="BJ118" s="406"/>
      <c r="BM118" s="427" t="s">
        <v>2196</v>
      </c>
      <c r="BN118" s="427"/>
      <c r="BO118" s="427"/>
      <c r="BP118" s="427"/>
      <c r="BQ118" s="427"/>
      <c r="BR118" s="427"/>
      <c r="BS118" s="427"/>
      <c r="BV118" s="406" t="s">
        <v>1356</v>
      </c>
      <c r="BW118" s="406"/>
      <c r="BX118" s="406"/>
      <c r="BY118" s="406"/>
      <c r="BZ118" s="406"/>
      <c r="CA118" s="406"/>
      <c r="CB118" s="406"/>
      <c r="CE118" s="406" t="s">
        <v>1356</v>
      </c>
      <c r="CF118" s="406"/>
      <c r="CG118" s="406"/>
      <c r="CH118" s="406"/>
      <c r="CI118" s="406"/>
      <c r="CJ118" s="406"/>
      <c r="CK118" s="406"/>
      <c r="CN118" s="406" t="s">
        <v>1356</v>
      </c>
      <c r="CO118" s="406"/>
      <c r="CP118" s="406"/>
      <c r="CQ118" s="406"/>
      <c r="CR118" s="406"/>
      <c r="CS118" s="406"/>
      <c r="CT118" s="406"/>
      <c r="CW118" s="406" t="s">
        <v>1356</v>
      </c>
      <c r="CX118" s="406"/>
      <c r="CY118" s="406"/>
      <c r="CZ118" s="406"/>
      <c r="DA118" s="406"/>
      <c r="DB118" s="406"/>
      <c r="DC118" s="406"/>
    </row>
    <row r="119" spans="2:108" ht="31.5" customHeight="1" x14ac:dyDescent="0.25">
      <c r="B119" s="406"/>
      <c r="C119" s="406"/>
      <c r="D119" s="406"/>
      <c r="E119" s="406"/>
      <c r="F119" s="406"/>
      <c r="G119" s="406"/>
      <c r="H119" s="406"/>
      <c r="K119" s="406"/>
      <c r="L119" s="406"/>
      <c r="M119" s="406"/>
      <c r="N119" s="406"/>
      <c r="O119" s="406"/>
      <c r="P119" s="406"/>
      <c r="Q119" s="406"/>
      <c r="T119" s="406"/>
      <c r="U119" s="406"/>
      <c r="V119" s="406"/>
      <c r="W119" s="406"/>
      <c r="X119" s="406"/>
      <c r="Y119" s="406"/>
      <c r="Z119" s="406"/>
      <c r="AC119" s="406"/>
      <c r="AD119" s="406"/>
      <c r="AE119" s="406"/>
      <c r="AF119" s="406"/>
      <c r="AG119" s="406"/>
      <c r="AH119" s="406"/>
      <c r="AI119" s="406"/>
      <c r="AL119" s="428" t="s">
        <v>1383</v>
      </c>
      <c r="AM119" s="429" t="s">
        <v>1387</v>
      </c>
      <c r="AN119" s="429" t="s">
        <v>1392</v>
      </c>
      <c r="AO119" s="429" t="s">
        <v>1388</v>
      </c>
      <c r="AP119" s="406"/>
      <c r="AQ119" s="406"/>
      <c r="AR119" s="406"/>
      <c r="AU119" s="427" t="s">
        <v>1708</v>
      </c>
      <c r="AV119" s="406"/>
      <c r="AW119" s="406"/>
      <c r="AX119" s="406"/>
      <c r="AY119" s="406"/>
      <c r="AZ119" s="406"/>
      <c r="BA119" s="406"/>
      <c r="BD119" s="406" t="s">
        <v>2001</v>
      </c>
      <c r="BE119" s="465"/>
      <c r="BF119" s="465"/>
      <c r="BG119" s="465"/>
      <c r="BH119" s="465"/>
      <c r="BI119" s="465"/>
      <c r="BJ119" s="406"/>
      <c r="BM119" s="427" t="s">
        <v>2197</v>
      </c>
      <c r="BN119" s="427"/>
      <c r="BO119" s="427"/>
      <c r="BP119" s="427"/>
      <c r="BQ119" s="427"/>
      <c r="BR119" s="427"/>
      <c r="BS119" s="427"/>
      <c r="BV119" s="406"/>
      <c r="BW119" s="406"/>
      <c r="BX119" s="406"/>
      <c r="BY119" s="406"/>
      <c r="BZ119" s="406"/>
      <c r="CA119" s="406"/>
      <c r="CB119" s="406"/>
      <c r="CE119" s="406"/>
      <c r="CF119" s="406"/>
      <c r="CG119" s="406"/>
      <c r="CH119" s="406"/>
      <c r="CI119" s="406"/>
      <c r="CJ119" s="406"/>
      <c r="CK119" s="406"/>
      <c r="CN119" s="406"/>
      <c r="CO119" s="406"/>
      <c r="CP119" s="406"/>
      <c r="CQ119" s="406"/>
      <c r="CR119" s="406"/>
      <c r="CS119" s="406"/>
      <c r="CT119" s="406"/>
      <c r="CW119" s="406"/>
      <c r="CX119" s="406"/>
      <c r="CY119" s="406"/>
      <c r="CZ119" s="406"/>
      <c r="DA119" s="406"/>
      <c r="DB119" s="406"/>
      <c r="DC119" s="406"/>
    </row>
    <row r="120" spans="2:108" ht="31.5" customHeight="1" x14ac:dyDescent="0.25">
      <c r="B120" s="406" t="s">
        <v>1229</v>
      </c>
      <c r="C120" s="406"/>
      <c r="D120" s="406"/>
      <c r="E120" s="406"/>
      <c r="F120" s="406"/>
      <c r="G120" s="406"/>
      <c r="H120" s="406"/>
      <c r="K120" s="406" t="s">
        <v>1229</v>
      </c>
      <c r="L120" s="406"/>
      <c r="M120" s="406"/>
      <c r="N120" s="406"/>
      <c r="O120" s="406"/>
      <c r="P120" s="406"/>
      <c r="Q120" s="406"/>
      <c r="T120" s="406" t="s">
        <v>1229</v>
      </c>
      <c r="U120" s="406"/>
      <c r="V120" s="406"/>
      <c r="W120" s="406"/>
      <c r="X120" s="406"/>
      <c r="Y120" s="406"/>
      <c r="Z120" s="406"/>
      <c r="AC120" s="406" t="s">
        <v>1229</v>
      </c>
      <c r="AD120" s="406"/>
      <c r="AE120" s="406"/>
      <c r="AF120" s="406"/>
      <c r="AG120" s="406"/>
      <c r="AH120" s="406"/>
      <c r="AI120" s="406"/>
      <c r="AL120" s="428" t="s">
        <v>1384</v>
      </c>
      <c r="AM120" s="429" t="s">
        <v>1389</v>
      </c>
      <c r="AN120" s="429" t="s">
        <v>1390</v>
      </c>
      <c r="AO120" s="429" t="s">
        <v>1391</v>
      </c>
      <c r="AP120" s="406"/>
      <c r="AQ120" s="406"/>
      <c r="AR120" s="406"/>
      <c r="BD120" s="406" t="s">
        <v>2002</v>
      </c>
      <c r="BE120" s="465"/>
      <c r="BF120" s="465"/>
      <c r="BG120" s="465"/>
      <c r="BH120" s="465"/>
      <c r="BI120" s="465"/>
      <c r="BJ120" s="406"/>
      <c r="BM120" s="427" t="s">
        <v>2198</v>
      </c>
      <c r="BN120" s="427"/>
      <c r="BO120" s="427"/>
      <c r="BP120" s="427"/>
      <c r="BQ120" s="427"/>
      <c r="BR120" s="427"/>
      <c r="BS120" s="427"/>
      <c r="BV120" s="406" t="s">
        <v>1229</v>
      </c>
      <c r="BW120" s="406"/>
      <c r="BX120" s="406"/>
      <c r="BY120" s="406"/>
      <c r="BZ120" s="406"/>
      <c r="CA120" s="406"/>
      <c r="CB120" s="406"/>
      <c r="CE120" s="406" t="s">
        <v>1229</v>
      </c>
      <c r="CF120" s="406"/>
      <c r="CG120" s="406"/>
      <c r="CH120" s="406"/>
      <c r="CI120" s="406"/>
      <c r="CJ120" s="406"/>
      <c r="CK120" s="406"/>
      <c r="CN120" s="406" t="s">
        <v>1229</v>
      </c>
      <c r="CO120" s="406"/>
      <c r="CP120" s="406"/>
      <c r="CQ120" s="406"/>
      <c r="CR120" s="406"/>
      <c r="CS120" s="406"/>
      <c r="CT120" s="406"/>
      <c r="CW120" s="406" t="s">
        <v>1229</v>
      </c>
      <c r="CX120" s="406"/>
      <c r="CY120" s="406"/>
      <c r="CZ120" s="406"/>
      <c r="DA120" s="406"/>
      <c r="DB120" s="406"/>
      <c r="DC120" s="406"/>
    </row>
    <row r="121" spans="2:108" ht="31.5" customHeight="1" x14ac:dyDescent="0.25">
      <c r="AL121" s="427"/>
      <c r="AM121" s="405"/>
      <c r="AN121" s="405"/>
      <c r="AO121" s="405"/>
      <c r="AP121" s="405"/>
      <c r="AQ121" s="406"/>
      <c r="AR121" s="406"/>
      <c r="BD121" s="406" t="s">
        <v>2003</v>
      </c>
      <c r="BE121" s="465"/>
      <c r="BF121" s="465"/>
      <c r="BG121" s="465"/>
      <c r="BH121" s="465"/>
      <c r="BI121" s="465"/>
      <c r="BJ121" s="406"/>
      <c r="BM121" s="427" t="s">
        <v>2199</v>
      </c>
      <c r="BN121" s="427"/>
      <c r="BO121" s="427"/>
      <c r="BP121" s="427"/>
      <c r="BQ121" s="427"/>
      <c r="BR121" s="427"/>
      <c r="BS121" s="427"/>
    </row>
    <row r="122" spans="2:108" ht="31.5" customHeight="1" x14ac:dyDescent="0.25">
      <c r="AL122" s="427"/>
      <c r="AM122" s="405"/>
      <c r="AN122" s="405"/>
      <c r="AO122" s="405"/>
      <c r="AP122" s="405"/>
      <c r="AQ122" s="406"/>
      <c r="AR122" s="406"/>
      <c r="AU122" s="436" t="str">
        <f>"  - 외주파트 : "&amp;TEXT(INDEX(정리base!E14:P14,MATCH(AU3,정리base!E3:P3,0)),"#,##0")&amp;"kW"</f>
        <v xml:space="preserve">  - 외주파트 : 1,814kW</v>
      </c>
      <c r="BD122" s="406" t="s">
        <v>2004</v>
      </c>
      <c r="BE122" s="465"/>
      <c r="BF122" s="465" t="s">
        <v>2005</v>
      </c>
      <c r="BG122" s="465"/>
      <c r="BH122" s="465"/>
      <c r="BI122" s="465"/>
      <c r="BJ122" s="406"/>
      <c r="BM122" s="427" t="s">
        <v>2200</v>
      </c>
      <c r="BN122" s="427"/>
      <c r="BO122" s="427"/>
      <c r="BP122" s="427"/>
      <c r="BQ122" s="427"/>
      <c r="BR122" s="427"/>
      <c r="BS122" s="427"/>
    </row>
    <row r="123" spans="2:108" ht="31.5" customHeight="1" x14ac:dyDescent="0.25">
      <c r="AL123" s="427"/>
      <c r="AM123" s="405"/>
      <c r="AN123" s="405"/>
      <c r="AO123" s="405"/>
      <c r="AP123" s="405"/>
      <c r="AQ123" s="406"/>
      <c r="AR123" s="406"/>
      <c r="AU123" s="444">
        <v>2026</v>
      </c>
      <c r="AV123" s="443" t="s">
        <v>1648</v>
      </c>
      <c r="AW123" s="443" t="s">
        <v>1649</v>
      </c>
      <c r="AX123" s="443" t="s">
        <v>1650</v>
      </c>
      <c r="AY123" s="443" t="s">
        <v>127</v>
      </c>
      <c r="AZ123" s="443" t="s">
        <v>128</v>
      </c>
      <c r="BA123" s="443" t="s">
        <v>129</v>
      </c>
      <c r="BD123" s="406" t="s">
        <v>2006</v>
      </c>
      <c r="BE123" s="465"/>
      <c r="BF123" s="465"/>
      <c r="BG123" s="465"/>
      <c r="BH123" s="465"/>
      <c r="BI123" s="465"/>
      <c r="BJ123" s="406"/>
      <c r="BM123" s="427"/>
      <c r="BN123" s="427" t="s">
        <v>2005</v>
      </c>
      <c r="BO123" s="427"/>
      <c r="BP123" s="427"/>
      <c r="BQ123" s="427"/>
      <c r="BR123" s="427"/>
      <c r="BS123" s="427"/>
    </row>
    <row r="124" spans="2:108" ht="31.5" customHeight="1" x14ac:dyDescent="0.25">
      <c r="AL124" s="427"/>
      <c r="AM124" s="405"/>
      <c r="AN124" s="405"/>
      <c r="AO124" s="405"/>
      <c r="AP124" s="405"/>
      <c r="AQ124" s="406"/>
      <c r="AR124" s="406"/>
      <c r="AU124" s="442" t="s">
        <v>1666</v>
      </c>
      <c r="AV124" s="442">
        <v>84</v>
      </c>
      <c r="AW124" s="442">
        <v>81</v>
      </c>
      <c r="AX124" s="442">
        <v>137</v>
      </c>
      <c r="AY124" s="442">
        <v>112</v>
      </c>
      <c r="AZ124" s="442">
        <v>93</v>
      </c>
      <c r="BA124" s="442">
        <v>93</v>
      </c>
      <c r="BD124" s="406" t="s">
        <v>2007</v>
      </c>
      <c r="BE124" s="465"/>
      <c r="BF124" s="465"/>
      <c r="BG124" s="465"/>
      <c r="BH124" s="465"/>
      <c r="BI124" s="465"/>
      <c r="BJ124" s="406"/>
      <c r="BK124" s="406"/>
      <c r="BM124" s="427" t="s">
        <v>2201</v>
      </c>
      <c r="BN124" s="427"/>
      <c r="BO124" s="427"/>
      <c r="BP124" s="427"/>
      <c r="BQ124" s="427"/>
      <c r="BR124" s="427"/>
      <c r="BS124" s="427"/>
    </row>
    <row r="125" spans="2:108" ht="31.5" customHeight="1" x14ac:dyDescent="0.25">
      <c r="B125" s="406" t="str">
        <f>"  - 입찰 : "&amp;TEXT(INDEX(정리base!E15:P15,MATCH(B3,정리base!E3:P3,0)),"#,##0")&amp;"kW"</f>
        <v xml:space="preserve">  - 입찰 : 249kW</v>
      </c>
      <c r="C125" s="406"/>
      <c r="D125" s="406"/>
      <c r="E125" s="406"/>
      <c r="F125" s="406"/>
      <c r="G125" s="406"/>
      <c r="H125" s="406"/>
      <c r="K125" s="406" t="str">
        <f>"  - 입찰 : "&amp;TEXT(INDEX(정리base!E15:P15,MATCH(K3,정리base!E3:P3,0)),"#,##0")&amp;"kW"</f>
        <v xml:space="preserve">  - 입찰 : 3,900kW</v>
      </c>
      <c r="L125" s="406"/>
      <c r="M125" s="406"/>
      <c r="N125" s="406"/>
      <c r="O125" s="406"/>
      <c r="P125" s="406"/>
      <c r="Q125" s="406"/>
      <c r="T125" s="406" t="str">
        <f>"  - 입찰 : "&amp;TEXT(INDEX(정리base!E15:P15,MATCH(T3,정리base!E3:P3,0)),"#,##0")&amp;"kW"</f>
        <v xml:space="preserve">  - 입찰 : 1,002kW</v>
      </c>
      <c r="U125" s="406"/>
      <c r="V125" s="406"/>
      <c r="W125" s="406"/>
      <c r="X125" s="406"/>
      <c r="Y125" s="406"/>
      <c r="Z125" s="406"/>
      <c r="AC125" s="406" t="str">
        <f>"  - 입찰 : "&amp;TEXT(INDEX(정리base!E15:P15,MATCH(AC3,정리base!E3:P3,0)),"#,##0")&amp;"kW"</f>
        <v xml:space="preserve">  - 입찰 : 850kW</v>
      </c>
      <c r="AD125" s="406"/>
      <c r="AE125" s="406"/>
      <c r="AF125" s="406"/>
      <c r="AG125" s="406"/>
      <c r="AH125" s="406"/>
      <c r="AI125" s="406"/>
      <c r="AL125" s="43" t="s">
        <v>1372</v>
      </c>
      <c r="AM125" s="406"/>
      <c r="AN125" s="406"/>
      <c r="AO125" s="406"/>
      <c r="AP125" s="406"/>
      <c r="AQ125" s="405"/>
      <c r="AR125" s="430"/>
      <c r="AU125" s="445" t="s">
        <v>1656</v>
      </c>
      <c r="AV125" s="445" t="s">
        <v>1657</v>
      </c>
      <c r="AW125" s="445" t="s">
        <v>1658</v>
      </c>
      <c r="AX125" s="445" t="s">
        <v>1658</v>
      </c>
      <c r="AY125" s="445" t="s">
        <v>1659</v>
      </c>
      <c r="AZ125" s="445" t="s">
        <v>1659</v>
      </c>
      <c r="BA125" s="445" t="s">
        <v>1660</v>
      </c>
      <c r="BD125" s="406" t="s">
        <v>2008</v>
      </c>
      <c r="BE125" s="465"/>
      <c r="BF125" s="465"/>
      <c r="BG125" s="465"/>
      <c r="BH125" s="465"/>
      <c r="BI125" s="465"/>
      <c r="BJ125" s="406"/>
      <c r="BK125" s="406"/>
      <c r="BM125" s="427" t="s">
        <v>2202</v>
      </c>
      <c r="BN125" s="427"/>
      <c r="BO125" s="427"/>
      <c r="BP125" s="427"/>
      <c r="BQ125" s="427"/>
      <c r="BR125" s="427"/>
      <c r="BS125" s="427"/>
      <c r="BT125" s="406"/>
      <c r="BW125" s="406" t="str">
        <f>"  - 입찰 : "&amp;TEXT(INDEX(정리base!E15:P15,MATCH(BV3,정리base!E3:P3,0)),"#,##0")&amp;"kW"</f>
        <v xml:space="preserve">  - 입찰 : 3,165kW</v>
      </c>
      <c r="BX125" s="406"/>
      <c r="BY125" s="406"/>
      <c r="BZ125" s="406"/>
      <c r="CA125" s="406"/>
      <c r="CB125" s="406"/>
      <c r="CC125" s="406"/>
      <c r="CF125" s="406" t="str">
        <f>"  - 입찰 : "&amp;TEXT(INDEX(정리base!E15:P15,MATCH(CE3,정리base!E3:P3,0)),"#,##0")&amp;"kW"</f>
        <v xml:space="preserve">  - 입찰 : 0kW</v>
      </c>
      <c r="CG125" s="406"/>
      <c r="CH125" s="406"/>
      <c r="CI125" s="406"/>
      <c r="CJ125" s="406"/>
      <c r="CK125" s="406"/>
      <c r="CL125" s="406"/>
      <c r="CO125" s="406" t="str">
        <f>"  - 입찰 : "&amp;TEXT(INDEX(정리base!E15:P15,MATCH(CN3,정리base!E3:P3,0)),"#,##0")&amp;"kW"</f>
        <v xml:space="preserve">  - 입찰 : 0kW</v>
      </c>
      <c r="CP125" s="406"/>
      <c r="CQ125" s="406"/>
      <c r="CR125" s="406"/>
      <c r="CS125" s="406"/>
      <c r="CT125" s="406"/>
      <c r="CU125" s="406"/>
      <c r="CX125" s="406" t="str">
        <f>"  - 입찰 : "&amp;TEXT(INDEX(정리base!E15:P15,MATCH(CW3,정리base!E3:P3,0)),"#,##0")&amp;"kW"</f>
        <v xml:space="preserve">  - 입찰 : 0kW</v>
      </c>
      <c r="CY125" s="406"/>
      <c r="CZ125" s="406"/>
      <c r="DA125" s="406"/>
      <c r="DB125" s="406"/>
      <c r="DC125" s="406"/>
      <c r="DD125" s="406"/>
    </row>
    <row r="126" spans="2:108" ht="31.5" customHeight="1" x14ac:dyDescent="0.25">
      <c r="B126" s="406" t="s">
        <v>1359</v>
      </c>
      <c r="C126" s="406"/>
      <c r="D126" s="406"/>
      <c r="E126" s="406"/>
      <c r="F126" s="406"/>
      <c r="G126" s="406"/>
      <c r="H126" s="406"/>
      <c r="K126" s="406" t="s">
        <v>1359</v>
      </c>
      <c r="L126" s="406"/>
      <c r="M126" s="406"/>
      <c r="N126" s="406"/>
      <c r="O126" s="406"/>
      <c r="P126" s="406"/>
      <c r="Q126" s="406"/>
      <c r="T126" s="406" t="s">
        <v>1359</v>
      </c>
      <c r="U126" s="406"/>
      <c r="V126" s="406"/>
      <c r="W126" s="406"/>
      <c r="X126" s="406"/>
      <c r="Y126" s="406"/>
      <c r="Z126" s="406"/>
      <c r="AC126" s="406" t="s">
        <v>1230</v>
      </c>
      <c r="AD126" s="406"/>
      <c r="AE126" s="406"/>
      <c r="AF126" s="406"/>
      <c r="AG126" s="406"/>
      <c r="AH126" s="406"/>
      <c r="AI126" s="406"/>
      <c r="AL126" s="432" t="s">
        <v>1431</v>
      </c>
      <c r="AU126" s="445" t="s">
        <v>19</v>
      </c>
      <c r="AV126" s="446">
        <v>2444</v>
      </c>
      <c r="AW126" s="446">
        <v>3194</v>
      </c>
      <c r="AX126" s="446">
        <v>4637</v>
      </c>
      <c r="AY126" s="446">
        <v>1590</v>
      </c>
      <c r="AZ126" s="446">
        <v>1367</v>
      </c>
      <c r="BA126" s="446">
        <v>1814</v>
      </c>
      <c r="BD126" s="406" t="s">
        <v>2009</v>
      </c>
      <c r="BE126" s="465"/>
      <c r="BF126" s="465"/>
      <c r="BG126" s="465"/>
      <c r="BH126" s="465"/>
      <c r="BI126" s="465"/>
      <c r="BJ126" s="406"/>
      <c r="BK126" s="406"/>
      <c r="BM126" s="427" t="s">
        <v>2203</v>
      </c>
      <c r="BN126" s="427"/>
      <c r="BO126" s="427"/>
      <c r="BP126" s="427"/>
      <c r="BQ126" s="427"/>
      <c r="BR126" s="427"/>
      <c r="BS126" s="427"/>
      <c r="BT126" s="406"/>
      <c r="BW126" s="406" t="s">
        <v>1359</v>
      </c>
      <c r="BX126" s="406"/>
      <c r="BY126" s="406"/>
      <c r="BZ126" s="406"/>
      <c r="CA126" s="406"/>
      <c r="CB126" s="406"/>
      <c r="CC126" s="406"/>
      <c r="CF126" s="406" t="s">
        <v>1359</v>
      </c>
      <c r="CG126" s="406"/>
      <c r="CH126" s="406"/>
      <c r="CI126" s="406"/>
      <c r="CJ126" s="406"/>
      <c r="CK126" s="406"/>
      <c r="CL126" s="406"/>
      <c r="CO126" s="406" t="s">
        <v>1359</v>
      </c>
      <c r="CP126" s="406"/>
      <c r="CQ126" s="406"/>
      <c r="CR126" s="406"/>
      <c r="CS126" s="406"/>
      <c r="CT126" s="406"/>
      <c r="CU126" s="406"/>
      <c r="CX126" s="406" t="s">
        <v>1359</v>
      </c>
      <c r="CY126" s="406"/>
      <c r="CZ126" s="406"/>
      <c r="DA126" s="406"/>
      <c r="DB126" s="406"/>
      <c r="DC126" s="406"/>
      <c r="DD126" s="406"/>
    </row>
    <row r="127" spans="2:108" ht="31.5" customHeight="1" x14ac:dyDescent="0.25">
      <c r="B127" s="406" t="s">
        <v>1360</v>
      </c>
      <c r="C127" s="406"/>
      <c r="D127" s="406"/>
      <c r="E127" s="406"/>
      <c r="F127" s="406"/>
      <c r="G127" s="406"/>
      <c r="H127" s="406"/>
      <c r="K127" s="406" t="s">
        <v>1360</v>
      </c>
      <c r="L127" s="406"/>
      <c r="M127" s="406"/>
      <c r="N127" s="406"/>
      <c r="O127" s="406"/>
      <c r="P127" s="406"/>
      <c r="Q127" s="406"/>
      <c r="T127" s="406" t="s">
        <v>1360</v>
      </c>
      <c r="U127" s="406"/>
      <c r="V127" s="406"/>
      <c r="W127" s="406"/>
      <c r="X127" s="406"/>
      <c r="Y127" s="406"/>
      <c r="Z127" s="406"/>
      <c r="AC127" s="406" t="s">
        <v>1231</v>
      </c>
      <c r="AD127" s="406"/>
      <c r="AE127" s="406"/>
      <c r="AF127" s="406"/>
      <c r="AG127" s="406"/>
      <c r="AH127" s="406"/>
      <c r="AI127" s="406"/>
      <c r="AL127" s="433"/>
      <c r="AM127" s="435" t="s">
        <v>1378</v>
      </c>
      <c r="AN127" s="435" t="s">
        <v>1420</v>
      </c>
      <c r="AO127" s="435" t="s">
        <v>1379</v>
      </c>
      <c r="AP127" s="435" t="s">
        <v>1380</v>
      </c>
      <c r="AQ127" s="406"/>
      <c r="AR127" s="431"/>
      <c r="AU127" s="445" t="s">
        <v>1661</v>
      </c>
      <c r="AV127" s="445" t="s">
        <v>1662</v>
      </c>
      <c r="AW127" s="445" t="s">
        <v>1663</v>
      </c>
      <c r="AX127" s="445" t="s">
        <v>1664</v>
      </c>
      <c r="AY127" s="445" t="s">
        <v>1665</v>
      </c>
      <c r="AZ127" s="445" t="s">
        <v>1662</v>
      </c>
      <c r="BA127" s="445" t="s">
        <v>1665</v>
      </c>
      <c r="BD127" s="406" t="s">
        <v>2010</v>
      </c>
      <c r="BE127" s="465"/>
      <c r="BF127" s="465"/>
      <c r="BG127" s="465"/>
      <c r="BH127" s="465"/>
      <c r="BI127" s="465"/>
      <c r="BJ127" s="406"/>
      <c r="BK127" s="406"/>
      <c r="BM127" s="427" t="s">
        <v>2204</v>
      </c>
      <c r="BN127" s="427"/>
      <c r="BO127" s="427"/>
      <c r="BP127" s="427"/>
      <c r="BQ127" s="427"/>
      <c r="BR127" s="427"/>
      <c r="BS127" s="427"/>
      <c r="BT127" s="406"/>
      <c r="BW127" s="406" t="s">
        <v>1360</v>
      </c>
      <c r="BX127" s="406"/>
      <c r="BY127" s="406"/>
      <c r="BZ127" s="406"/>
      <c r="CA127" s="406"/>
      <c r="CB127" s="406"/>
      <c r="CC127" s="406"/>
      <c r="CF127" s="406" t="s">
        <v>1360</v>
      </c>
      <c r="CG127" s="406"/>
      <c r="CH127" s="406"/>
      <c r="CI127" s="406"/>
      <c r="CJ127" s="406"/>
      <c r="CK127" s="406"/>
      <c r="CL127" s="406"/>
      <c r="CO127" s="406" t="s">
        <v>1360</v>
      </c>
      <c r="CP127" s="406"/>
      <c r="CQ127" s="406"/>
      <c r="CR127" s="406"/>
      <c r="CS127" s="406"/>
      <c r="CT127" s="406"/>
      <c r="CU127" s="406"/>
      <c r="CX127" s="406" t="s">
        <v>1360</v>
      </c>
      <c r="CY127" s="406"/>
      <c r="CZ127" s="406"/>
      <c r="DA127" s="406"/>
      <c r="DB127" s="406"/>
      <c r="DC127" s="406"/>
      <c r="DD127" s="406"/>
    </row>
    <row r="128" spans="2:108" ht="31.5" customHeight="1" x14ac:dyDescent="0.25">
      <c r="B128" s="406" t="s">
        <v>1355</v>
      </c>
      <c r="C128" s="406"/>
      <c r="D128" s="406"/>
      <c r="E128" s="406"/>
      <c r="F128" s="406"/>
      <c r="G128" s="406"/>
      <c r="H128" s="406"/>
      <c r="K128" s="406" t="s">
        <v>1355</v>
      </c>
      <c r="L128" s="406"/>
      <c r="M128" s="406"/>
      <c r="N128" s="406"/>
      <c r="O128" s="406"/>
      <c r="P128" s="406"/>
      <c r="Q128" s="406"/>
      <c r="T128" s="406" t="s">
        <v>1355</v>
      </c>
      <c r="U128" s="406"/>
      <c r="V128" s="406"/>
      <c r="W128" s="406"/>
      <c r="X128" s="406"/>
      <c r="Y128" s="406"/>
      <c r="Z128" s="406"/>
      <c r="AC128" s="406" t="s">
        <v>1232</v>
      </c>
      <c r="AD128" s="406"/>
      <c r="AE128" s="406"/>
      <c r="AF128" s="406"/>
      <c r="AG128" s="406"/>
      <c r="AH128" s="406"/>
      <c r="AI128" s="406"/>
      <c r="AL128" s="433" t="s">
        <v>1421</v>
      </c>
      <c r="AM128" s="433" t="s">
        <v>1422</v>
      </c>
      <c r="AN128" s="433" t="s">
        <v>1423</v>
      </c>
      <c r="AO128" s="433" t="s">
        <v>1424</v>
      </c>
      <c r="AP128" s="433" t="s">
        <v>1425</v>
      </c>
      <c r="AQ128" s="406"/>
      <c r="AR128" s="427"/>
      <c r="AU128" s="427"/>
      <c r="AV128" s="406"/>
      <c r="AW128" s="406"/>
      <c r="AX128" s="406"/>
      <c r="AY128" s="406"/>
      <c r="AZ128" s="406"/>
      <c r="BA128" s="406"/>
      <c r="BD128" s="406" t="s">
        <v>2011</v>
      </c>
      <c r="BE128" s="465"/>
      <c r="BF128" s="465"/>
      <c r="BG128" s="465"/>
      <c r="BH128" s="465"/>
      <c r="BI128" s="465"/>
      <c r="BJ128" s="406"/>
      <c r="BK128" s="406"/>
      <c r="BM128" s="427" t="s">
        <v>2205</v>
      </c>
      <c r="BN128" s="427"/>
      <c r="BO128" s="427"/>
      <c r="BP128" s="427"/>
      <c r="BQ128" s="427"/>
      <c r="BR128" s="427"/>
      <c r="BS128" s="427"/>
      <c r="BT128" s="406"/>
      <c r="BW128" s="406" t="s">
        <v>1355</v>
      </c>
      <c r="BX128" s="406"/>
      <c r="BY128" s="406"/>
      <c r="BZ128" s="406"/>
      <c r="CA128" s="406"/>
      <c r="CB128" s="406"/>
      <c r="CC128" s="406"/>
      <c r="CF128" s="406" t="s">
        <v>1355</v>
      </c>
      <c r="CG128" s="406"/>
      <c r="CH128" s="406"/>
      <c r="CI128" s="406"/>
      <c r="CJ128" s="406"/>
      <c r="CK128" s="406"/>
      <c r="CL128" s="406"/>
      <c r="CO128" s="406" t="s">
        <v>1355</v>
      </c>
      <c r="CP128" s="406"/>
      <c r="CQ128" s="406"/>
      <c r="CR128" s="406"/>
      <c r="CS128" s="406"/>
      <c r="CT128" s="406"/>
      <c r="CU128" s="406"/>
      <c r="CX128" s="406" t="s">
        <v>1355</v>
      </c>
      <c r="CY128" s="406"/>
      <c r="CZ128" s="406"/>
      <c r="DA128" s="406"/>
      <c r="DB128" s="406"/>
      <c r="DC128" s="406"/>
      <c r="DD128" s="406"/>
    </row>
    <row r="129" spans="2:108" ht="31.5" customHeight="1" x14ac:dyDescent="0.25">
      <c r="B129" s="406" t="s">
        <v>1356</v>
      </c>
      <c r="C129" s="406"/>
      <c r="D129" s="406"/>
      <c r="E129" s="406"/>
      <c r="F129" s="406"/>
      <c r="G129" s="406"/>
      <c r="H129" s="406"/>
      <c r="K129" s="406" t="s">
        <v>1356</v>
      </c>
      <c r="L129" s="406"/>
      <c r="M129" s="406"/>
      <c r="N129" s="406"/>
      <c r="O129" s="406"/>
      <c r="P129" s="406"/>
      <c r="Q129" s="406"/>
      <c r="T129" s="406" t="s">
        <v>1356</v>
      </c>
      <c r="U129" s="406"/>
      <c r="V129" s="406"/>
      <c r="W129" s="406"/>
      <c r="X129" s="406"/>
      <c r="Y129" s="406"/>
      <c r="Z129" s="406"/>
      <c r="AC129" s="406" t="s">
        <v>1233</v>
      </c>
      <c r="AD129" s="406"/>
      <c r="AE129" s="406"/>
      <c r="AF129" s="406"/>
      <c r="AG129" s="406"/>
      <c r="AH129" s="406"/>
      <c r="AI129" s="406"/>
      <c r="AL129" s="433" t="s">
        <v>1426</v>
      </c>
      <c r="AM129" s="433" t="s">
        <v>1427</v>
      </c>
      <c r="AN129" s="433" t="s">
        <v>1428</v>
      </c>
      <c r="AO129" s="433" t="s">
        <v>1429</v>
      </c>
      <c r="AP129" s="433" t="s">
        <v>1430</v>
      </c>
      <c r="AQ129" s="406"/>
      <c r="AR129" s="427"/>
      <c r="AU129" s="43" t="s">
        <v>1653</v>
      </c>
      <c r="AV129" s="406"/>
      <c r="AW129" s="406"/>
      <c r="AX129" s="406"/>
      <c r="AY129" s="406"/>
      <c r="AZ129" s="406"/>
      <c r="BA129" s="406"/>
      <c r="BD129" s="406" t="s">
        <v>2012</v>
      </c>
      <c r="BE129" s="465"/>
      <c r="BF129" s="465"/>
      <c r="BG129" s="465"/>
      <c r="BH129" s="465"/>
      <c r="BI129" s="465"/>
      <c r="BJ129" s="406"/>
      <c r="BK129" s="406"/>
      <c r="BM129" s="427" t="s">
        <v>2206</v>
      </c>
      <c r="BN129" s="427"/>
      <c r="BO129" s="427"/>
      <c r="BP129" s="427"/>
      <c r="BQ129" s="427"/>
      <c r="BR129" s="427"/>
      <c r="BS129" s="427"/>
      <c r="BT129" s="406"/>
      <c r="BW129" s="406" t="s">
        <v>1356</v>
      </c>
      <c r="BX129" s="406"/>
      <c r="BY129" s="406"/>
      <c r="BZ129" s="406"/>
      <c r="CA129" s="406"/>
      <c r="CB129" s="406"/>
      <c r="CC129" s="406"/>
      <c r="CF129" s="406" t="s">
        <v>1356</v>
      </c>
      <c r="CG129" s="406"/>
      <c r="CH129" s="406"/>
      <c r="CI129" s="406"/>
      <c r="CJ129" s="406"/>
      <c r="CK129" s="406"/>
      <c r="CL129" s="406"/>
      <c r="CO129" s="406" t="s">
        <v>1356</v>
      </c>
      <c r="CP129" s="406"/>
      <c r="CQ129" s="406"/>
      <c r="CR129" s="406"/>
      <c r="CS129" s="406"/>
      <c r="CT129" s="406"/>
      <c r="CU129" s="406"/>
      <c r="CX129" s="406" t="s">
        <v>1356</v>
      </c>
      <c r="CY129" s="406"/>
      <c r="CZ129" s="406"/>
      <c r="DA129" s="406"/>
      <c r="DB129" s="406"/>
      <c r="DC129" s="406"/>
      <c r="DD129" s="406"/>
    </row>
    <row r="130" spans="2:108" ht="31.5" customHeight="1" x14ac:dyDescent="0.25">
      <c r="B130" s="406"/>
      <c r="C130" s="406"/>
      <c r="D130" s="406"/>
      <c r="E130" s="406"/>
      <c r="F130" s="406"/>
      <c r="G130" s="406"/>
      <c r="H130" s="406"/>
      <c r="K130" s="406"/>
      <c r="L130" s="406"/>
      <c r="M130" s="406"/>
      <c r="N130" s="406"/>
      <c r="O130" s="406"/>
      <c r="P130" s="406"/>
      <c r="Q130" s="406"/>
      <c r="T130" s="406"/>
      <c r="U130" s="406"/>
      <c r="V130" s="406"/>
      <c r="W130" s="406"/>
      <c r="X130" s="406"/>
      <c r="Y130" s="406"/>
      <c r="Z130" s="406"/>
      <c r="AC130" s="406"/>
      <c r="AD130" s="406"/>
      <c r="AE130" s="406"/>
      <c r="AF130" s="406"/>
      <c r="AG130" s="406"/>
      <c r="AH130" s="406"/>
      <c r="AI130" s="406"/>
      <c r="AL130" s="430"/>
      <c r="AM130" s="427"/>
      <c r="AN130" s="427"/>
      <c r="AO130" s="427"/>
      <c r="AQ130" s="427"/>
      <c r="AR130" s="405"/>
      <c r="AU130" s="406" t="s">
        <v>1709</v>
      </c>
      <c r="AV130" s="406"/>
      <c r="AW130" s="406"/>
      <c r="AX130" s="406"/>
      <c r="AY130" s="406"/>
      <c r="AZ130" s="406"/>
      <c r="BA130" s="406"/>
      <c r="BD130" s="406" t="s">
        <v>2013</v>
      </c>
      <c r="BE130" s="465"/>
      <c r="BF130" s="465"/>
      <c r="BG130" s="465"/>
      <c r="BH130" s="465"/>
      <c r="BI130" s="465"/>
      <c r="BJ130" s="406"/>
      <c r="BK130" s="406"/>
      <c r="BM130" s="427" t="s">
        <v>2207</v>
      </c>
      <c r="BN130" s="427"/>
      <c r="BO130" s="427"/>
      <c r="BP130" s="427"/>
      <c r="BQ130" s="427"/>
      <c r="BR130" s="427"/>
      <c r="BS130" s="427"/>
      <c r="BT130" s="406"/>
      <c r="BW130" s="406"/>
      <c r="BX130" s="406"/>
      <c r="BY130" s="406"/>
      <c r="BZ130" s="406"/>
      <c r="CA130" s="406"/>
      <c r="CB130" s="406"/>
      <c r="CC130" s="406"/>
      <c r="CF130" s="406"/>
      <c r="CG130" s="406"/>
      <c r="CH130" s="406"/>
      <c r="CI130" s="406"/>
      <c r="CJ130" s="406"/>
      <c r="CK130" s="406"/>
      <c r="CL130" s="406"/>
      <c r="CO130" s="406"/>
      <c r="CP130" s="406"/>
      <c r="CQ130" s="406"/>
      <c r="CR130" s="406"/>
      <c r="CS130" s="406"/>
      <c r="CT130" s="406"/>
      <c r="CU130" s="406"/>
      <c r="CX130" s="406"/>
      <c r="CY130" s="406"/>
      <c r="CZ130" s="406"/>
      <c r="DA130" s="406"/>
      <c r="DB130" s="406"/>
      <c r="DC130" s="406"/>
      <c r="DD130" s="406"/>
    </row>
    <row r="131" spans="2:108" ht="31.5" customHeight="1" x14ac:dyDescent="0.25">
      <c r="B131" s="406"/>
      <c r="C131" s="406"/>
      <c r="D131" s="406"/>
      <c r="E131" s="406"/>
      <c r="F131" s="406"/>
      <c r="G131" s="406"/>
      <c r="H131" s="406"/>
      <c r="K131" s="406"/>
      <c r="L131" s="406"/>
      <c r="M131" s="406"/>
      <c r="N131" s="406"/>
      <c r="O131" s="406"/>
      <c r="P131" s="406"/>
      <c r="Q131" s="406"/>
      <c r="T131" s="406"/>
      <c r="U131" s="406"/>
      <c r="V131" s="406"/>
      <c r="W131" s="406"/>
      <c r="X131" s="406"/>
      <c r="Y131" s="406"/>
      <c r="Z131" s="406"/>
      <c r="AC131" s="406"/>
      <c r="AD131" s="406"/>
      <c r="AE131" s="406"/>
      <c r="AF131" s="406"/>
      <c r="AG131" s="406"/>
      <c r="AH131" s="406"/>
      <c r="AI131" s="406"/>
      <c r="AL131" s="43"/>
      <c r="AO131" s="427"/>
      <c r="AR131" s="406"/>
      <c r="AU131" s="406" t="s">
        <v>1710</v>
      </c>
      <c r="AV131" s="406"/>
      <c r="AW131" s="406"/>
      <c r="AX131" s="406"/>
      <c r="AY131" s="406"/>
      <c r="AZ131" s="406"/>
      <c r="BA131" s="406"/>
      <c r="BD131" s="406" t="s">
        <v>2014</v>
      </c>
      <c r="BE131" s="465"/>
      <c r="BF131" s="465"/>
      <c r="BG131" s="465"/>
      <c r="BH131" s="465"/>
      <c r="BI131" s="465"/>
      <c r="BJ131" s="406"/>
      <c r="BK131" s="406"/>
      <c r="BM131" s="427" t="s">
        <v>2208</v>
      </c>
      <c r="BN131" s="427"/>
      <c r="BO131" s="427"/>
      <c r="BP131" s="427"/>
      <c r="BQ131" s="427"/>
      <c r="BR131" s="427"/>
      <c r="BS131" s="427"/>
      <c r="BT131" s="406"/>
      <c r="BW131" s="406"/>
      <c r="BX131" s="406"/>
      <c r="BY131" s="406"/>
      <c r="BZ131" s="406"/>
      <c r="CA131" s="406"/>
      <c r="CB131" s="406"/>
      <c r="CC131" s="406"/>
      <c r="CF131" s="406"/>
      <c r="CG131" s="406"/>
      <c r="CH131" s="406"/>
      <c r="CI131" s="406"/>
      <c r="CJ131" s="406"/>
      <c r="CK131" s="406"/>
      <c r="CL131" s="406"/>
      <c r="CO131" s="406"/>
      <c r="CP131" s="406"/>
      <c r="CQ131" s="406"/>
      <c r="CR131" s="406"/>
      <c r="CS131" s="406"/>
      <c r="CT131" s="406"/>
      <c r="CU131" s="406"/>
      <c r="CX131" s="406"/>
      <c r="CY131" s="406"/>
      <c r="CZ131" s="406"/>
      <c r="DA131" s="406"/>
      <c r="DB131" s="406"/>
      <c r="DC131" s="406"/>
      <c r="DD131" s="406"/>
    </row>
    <row r="132" spans="2:108" ht="31.5" customHeight="1" x14ac:dyDescent="0.25">
      <c r="B132" s="406"/>
      <c r="C132" s="406"/>
      <c r="D132" s="406"/>
      <c r="E132" s="406"/>
      <c r="F132" s="406"/>
      <c r="G132" s="406"/>
      <c r="H132" s="406"/>
      <c r="K132" s="406"/>
      <c r="L132" s="406"/>
      <c r="M132" s="406"/>
      <c r="N132" s="406"/>
      <c r="O132" s="406"/>
      <c r="P132" s="406"/>
      <c r="Q132" s="406"/>
      <c r="T132" s="406"/>
      <c r="U132" s="406"/>
      <c r="V132" s="406"/>
      <c r="W132" s="406"/>
      <c r="X132" s="406"/>
      <c r="Y132" s="406"/>
      <c r="Z132" s="406"/>
      <c r="AC132" s="406"/>
      <c r="AD132" s="406"/>
      <c r="AE132" s="406"/>
      <c r="AF132" s="406"/>
      <c r="AG132" s="406"/>
      <c r="AH132" s="406"/>
      <c r="AI132" s="406"/>
      <c r="AL132" s="43" t="s">
        <v>1393</v>
      </c>
      <c r="AN132" s="406"/>
      <c r="AO132" s="406"/>
      <c r="AP132" s="406"/>
      <c r="AQ132" s="406"/>
      <c r="AR132" s="406"/>
      <c r="AU132" s="406" t="s">
        <v>1711</v>
      </c>
      <c r="AV132" s="406"/>
      <c r="AW132" s="406"/>
      <c r="AX132" s="406"/>
      <c r="AY132" s="406"/>
      <c r="AZ132" s="406"/>
      <c r="BA132" s="406"/>
      <c r="BD132" s="406" t="s">
        <v>2015</v>
      </c>
      <c r="BE132" s="465"/>
      <c r="BF132" s="465"/>
      <c r="BG132" s="465"/>
      <c r="BH132" s="465"/>
      <c r="BI132" s="465"/>
      <c r="BJ132" s="406"/>
      <c r="BM132" s="427" t="s">
        <v>2209</v>
      </c>
      <c r="BN132" s="427"/>
      <c r="BO132" s="427"/>
      <c r="BP132" s="427"/>
      <c r="BQ132" s="427"/>
      <c r="BR132" s="427"/>
      <c r="BS132" s="427"/>
      <c r="BV132" s="406"/>
      <c r="BW132" s="406"/>
      <c r="BX132" s="406"/>
      <c r="BY132" s="406"/>
      <c r="BZ132" s="406"/>
      <c r="CA132" s="406"/>
      <c r="CB132" s="406"/>
      <c r="CE132" s="406"/>
      <c r="CF132" s="406"/>
      <c r="CG132" s="406"/>
      <c r="CH132" s="406"/>
      <c r="CI132" s="406"/>
      <c r="CJ132" s="406"/>
      <c r="CK132" s="406"/>
      <c r="CN132" s="406"/>
      <c r="CO132" s="406"/>
      <c r="CP132" s="406"/>
      <c r="CQ132" s="406"/>
      <c r="CR132" s="406"/>
      <c r="CS132" s="406"/>
      <c r="CT132" s="406"/>
      <c r="CW132" s="406"/>
      <c r="CX132" s="406"/>
      <c r="CY132" s="406"/>
      <c r="CZ132" s="406"/>
      <c r="DA132" s="406"/>
      <c r="DB132" s="406"/>
      <c r="DC132" s="406"/>
    </row>
    <row r="133" spans="2:108" ht="31.5" customHeight="1" x14ac:dyDescent="0.25">
      <c r="B133" s="406"/>
      <c r="C133" s="406"/>
      <c r="D133" s="406"/>
      <c r="E133" s="406"/>
      <c r="F133" s="406"/>
      <c r="G133" s="406"/>
      <c r="H133" s="406"/>
      <c r="K133" s="406"/>
      <c r="L133" s="406"/>
      <c r="M133" s="406"/>
      <c r="N133" s="406"/>
      <c r="O133" s="406"/>
      <c r="P133" s="406"/>
      <c r="Q133" s="406"/>
      <c r="T133" s="406"/>
      <c r="U133" s="406"/>
      <c r="V133" s="406"/>
      <c r="W133" s="406"/>
      <c r="X133" s="406"/>
      <c r="Y133" s="406"/>
      <c r="Z133" s="406"/>
      <c r="AC133" s="406"/>
      <c r="AD133" s="406"/>
      <c r="AE133" s="406"/>
      <c r="AF133" s="406"/>
      <c r="AG133" s="406"/>
      <c r="AH133" s="406"/>
      <c r="AI133" s="406"/>
      <c r="AL133" s="427" t="s">
        <v>1394</v>
      </c>
      <c r="AN133" s="406"/>
      <c r="AO133" s="406"/>
      <c r="AP133" s="406"/>
      <c r="AQ133" s="406"/>
      <c r="AR133" s="406"/>
      <c r="AU133" s="406" t="s">
        <v>1712</v>
      </c>
      <c r="AV133" s="406"/>
      <c r="AW133" s="406"/>
      <c r="AX133" s="406"/>
      <c r="AY133" s="406"/>
      <c r="AZ133" s="406"/>
      <c r="BA133" s="406"/>
      <c r="BD133" s="406" t="s">
        <v>2016</v>
      </c>
      <c r="BE133" s="465"/>
      <c r="BF133" s="465"/>
      <c r="BG133" s="465"/>
      <c r="BH133" s="465"/>
      <c r="BI133" s="465"/>
      <c r="BJ133" s="406"/>
      <c r="BR133" s="406"/>
      <c r="BS133" s="406"/>
      <c r="BV133" s="406"/>
      <c r="BW133" s="406"/>
      <c r="BX133" s="406"/>
      <c r="BY133" s="406"/>
      <c r="BZ133" s="406"/>
      <c r="CA133" s="406"/>
      <c r="CB133" s="406"/>
      <c r="CE133" s="406"/>
      <c r="CF133" s="406"/>
      <c r="CG133" s="406"/>
      <c r="CH133" s="406"/>
      <c r="CI133" s="406"/>
      <c r="CJ133" s="406"/>
      <c r="CK133" s="406"/>
      <c r="CN133" s="406"/>
      <c r="CO133" s="406"/>
      <c r="CP133" s="406"/>
      <c r="CQ133" s="406"/>
      <c r="CR133" s="406"/>
      <c r="CS133" s="406"/>
      <c r="CT133" s="406"/>
      <c r="CW133" s="406"/>
      <c r="CX133" s="406"/>
      <c r="CY133" s="406"/>
      <c r="CZ133" s="406"/>
      <c r="DA133" s="406"/>
      <c r="DB133" s="406"/>
      <c r="DC133" s="406"/>
    </row>
    <row r="134" spans="2:108" ht="31.5" customHeight="1" x14ac:dyDescent="0.25">
      <c r="B134" s="406"/>
      <c r="C134" s="406"/>
      <c r="D134" s="406"/>
      <c r="E134" s="406"/>
      <c r="F134" s="406"/>
      <c r="G134" s="406"/>
      <c r="H134" s="406"/>
      <c r="K134" s="406"/>
      <c r="L134" s="406"/>
      <c r="M134" s="406"/>
      <c r="N134" s="406"/>
      <c r="O134" s="406"/>
      <c r="P134" s="406"/>
      <c r="Q134" s="406"/>
      <c r="T134" s="406"/>
      <c r="U134" s="406"/>
      <c r="V134" s="406"/>
      <c r="W134" s="406"/>
      <c r="X134" s="406"/>
      <c r="Y134" s="406"/>
      <c r="Z134" s="406"/>
      <c r="AC134" s="406"/>
      <c r="AD134" s="406"/>
      <c r="AE134" s="406"/>
      <c r="AF134" s="406"/>
      <c r="AG134" s="406"/>
      <c r="AH134" s="406"/>
      <c r="AI134" s="406"/>
      <c r="AL134" s="427" t="s">
        <v>1400</v>
      </c>
      <c r="AM134" s="406"/>
      <c r="AN134" s="406"/>
      <c r="AO134" s="406"/>
      <c r="AP134" s="406"/>
      <c r="AQ134" s="406"/>
      <c r="AR134" s="406"/>
      <c r="AT134" t="s">
        <v>184</v>
      </c>
      <c r="AU134" s="406"/>
      <c r="AV134" s="406"/>
      <c r="AW134" s="406"/>
      <c r="AX134" s="406"/>
      <c r="AY134" s="406"/>
      <c r="AZ134" s="406"/>
      <c r="BD134" s="406" t="s">
        <v>2017</v>
      </c>
      <c r="BE134" s="465"/>
      <c r="BF134" s="465"/>
      <c r="BG134" s="465"/>
      <c r="BH134" s="465"/>
      <c r="BI134" s="465"/>
      <c r="BJ134" s="406"/>
      <c r="BM134" s="406"/>
      <c r="BN134" s="406"/>
      <c r="BO134" s="406"/>
      <c r="BP134" s="406"/>
      <c r="BQ134" s="406"/>
      <c r="BR134" s="406"/>
      <c r="BS134" s="406"/>
      <c r="BV134" s="406"/>
      <c r="BW134" s="406"/>
      <c r="BX134" s="406"/>
      <c r="BY134" s="406"/>
      <c r="BZ134" s="406"/>
      <c r="CA134" s="406"/>
      <c r="CB134" s="406"/>
      <c r="CE134" s="406"/>
      <c r="CF134" s="406"/>
      <c r="CG134" s="406"/>
      <c r="CH134" s="406"/>
      <c r="CI134" s="406"/>
      <c r="CJ134" s="406"/>
      <c r="CK134" s="406"/>
      <c r="CN134" s="406"/>
      <c r="CO134" s="406"/>
      <c r="CP134" s="406"/>
      <c r="CQ134" s="406"/>
      <c r="CR134" s="406"/>
      <c r="CS134" s="406"/>
      <c r="CT134" s="406"/>
      <c r="CW134" s="406"/>
      <c r="CX134" s="406"/>
      <c r="CY134" s="406"/>
      <c r="CZ134" s="406"/>
      <c r="DA134" s="406"/>
      <c r="DB134" s="406"/>
      <c r="DC134" s="406"/>
    </row>
    <row r="135" spans="2:108" ht="31.5" customHeight="1" x14ac:dyDescent="0.25">
      <c r="B135" s="406"/>
      <c r="C135" s="406"/>
      <c r="D135" s="406"/>
      <c r="E135" s="406"/>
      <c r="F135" s="406"/>
      <c r="G135" s="406"/>
      <c r="H135" s="406"/>
      <c r="K135" s="406"/>
      <c r="L135" s="406"/>
      <c r="M135" s="406"/>
      <c r="N135" s="406"/>
      <c r="O135" s="406"/>
      <c r="P135" s="406"/>
      <c r="Q135" s="406"/>
      <c r="T135" s="406"/>
      <c r="U135" s="406"/>
      <c r="V135" s="406"/>
      <c r="W135" s="406"/>
      <c r="X135" s="406"/>
      <c r="Y135" s="406"/>
      <c r="Z135" s="406"/>
      <c r="AC135" s="406"/>
      <c r="AD135" s="406"/>
      <c r="AE135" s="406"/>
      <c r="AF135" s="406"/>
      <c r="AG135" s="406"/>
      <c r="AH135" s="406"/>
      <c r="AI135" s="406"/>
      <c r="AL135" s="406" t="s">
        <v>1395</v>
      </c>
      <c r="AM135" s="406"/>
      <c r="AN135" s="406"/>
      <c r="AO135" s="406"/>
      <c r="AP135" s="406"/>
      <c r="AQ135" s="406"/>
      <c r="AR135" s="406"/>
      <c r="AU135" s="406"/>
      <c r="AV135" s="406"/>
      <c r="AW135" s="406"/>
      <c r="AX135" s="406"/>
      <c r="AY135" s="406"/>
      <c r="AZ135" s="406"/>
      <c r="BA135" s="406"/>
      <c r="BD135" s="406" t="s">
        <v>2018</v>
      </c>
      <c r="BE135" s="465"/>
      <c r="BF135" s="465"/>
      <c r="BG135" s="465"/>
      <c r="BH135" s="465"/>
      <c r="BI135" s="465"/>
      <c r="BJ135" s="406"/>
      <c r="BM135" s="406"/>
      <c r="BN135" s="406"/>
      <c r="BO135" s="406"/>
      <c r="BP135" s="406"/>
      <c r="BQ135" s="406"/>
      <c r="BR135" s="406"/>
      <c r="BS135" s="406"/>
      <c r="BV135" s="406"/>
      <c r="BW135" s="406"/>
      <c r="BX135" s="406"/>
      <c r="BY135" s="406"/>
      <c r="BZ135" s="406"/>
      <c r="CA135" s="406"/>
      <c r="CB135" s="406"/>
      <c r="CE135" s="406"/>
      <c r="CF135" s="406"/>
      <c r="CG135" s="406"/>
      <c r="CH135" s="406"/>
      <c r="CI135" s="406"/>
      <c r="CJ135" s="406"/>
      <c r="CK135" s="406"/>
      <c r="CN135" s="406"/>
      <c r="CO135" s="406"/>
      <c r="CP135" s="406"/>
      <c r="CQ135" s="406"/>
      <c r="CR135" s="406"/>
      <c r="CS135" s="406"/>
      <c r="CT135" s="406"/>
      <c r="CW135" s="406"/>
      <c r="CX135" s="406"/>
      <c r="CY135" s="406"/>
      <c r="CZ135" s="406"/>
      <c r="DA135" s="406"/>
      <c r="DB135" s="406"/>
      <c r="DC135" s="406"/>
    </row>
    <row r="136" spans="2:108" ht="31.5" customHeight="1" x14ac:dyDescent="0.25">
      <c r="B136" s="406"/>
      <c r="C136" s="406"/>
      <c r="D136" s="406"/>
      <c r="E136" s="406"/>
      <c r="F136" s="406"/>
      <c r="G136" s="406"/>
      <c r="H136" s="406"/>
      <c r="K136" s="406"/>
      <c r="L136" s="406"/>
      <c r="M136" s="406"/>
      <c r="N136" s="406"/>
      <c r="O136" s="406"/>
      <c r="P136" s="406"/>
      <c r="Q136" s="406"/>
      <c r="T136" s="406"/>
      <c r="U136" s="406"/>
      <c r="V136" s="406"/>
      <c r="W136" s="406"/>
      <c r="X136" s="406"/>
      <c r="Y136" s="406"/>
      <c r="Z136" s="406"/>
      <c r="AC136" s="406"/>
      <c r="AD136" s="406"/>
      <c r="AE136" s="406"/>
      <c r="AF136" s="406"/>
      <c r="AG136" s="406"/>
      <c r="AH136" s="406"/>
      <c r="AI136" s="406"/>
      <c r="AL136" s="406" t="s">
        <v>1401</v>
      </c>
      <c r="AM136" s="406"/>
      <c r="AN136" s="406"/>
      <c r="AO136" s="406"/>
      <c r="AP136" s="406"/>
      <c r="AQ136" s="406"/>
      <c r="AR136" s="406"/>
      <c r="AU136" s="406"/>
      <c r="AV136" s="406"/>
      <c r="AW136" s="406"/>
      <c r="AX136" s="406"/>
      <c r="AY136" s="406"/>
      <c r="AZ136" s="406"/>
      <c r="BA136" s="406"/>
      <c r="BD136" s="406" t="s">
        <v>2019</v>
      </c>
      <c r="BE136" s="465"/>
      <c r="BF136" s="465"/>
      <c r="BG136" s="465"/>
      <c r="BH136" s="465"/>
      <c r="BI136" s="465"/>
      <c r="BJ136" s="406"/>
      <c r="BM136" s="406"/>
      <c r="BN136" s="406"/>
      <c r="BO136" s="406"/>
      <c r="BP136" s="406"/>
      <c r="BQ136" s="406"/>
      <c r="BR136" s="406"/>
      <c r="BS136" s="406"/>
      <c r="BV136" s="406"/>
      <c r="BW136" s="406"/>
      <c r="BX136" s="406"/>
      <c r="BY136" s="406"/>
      <c r="BZ136" s="406"/>
      <c r="CA136" s="406"/>
      <c r="CB136" s="406"/>
      <c r="CE136" s="406"/>
      <c r="CF136" s="406"/>
      <c r="CG136" s="406"/>
      <c r="CH136" s="406"/>
      <c r="CI136" s="406"/>
      <c r="CJ136" s="406"/>
      <c r="CK136" s="406"/>
      <c r="CN136" s="406"/>
      <c r="CO136" s="406"/>
      <c r="CP136" s="406"/>
      <c r="CQ136" s="406"/>
      <c r="CR136" s="406"/>
      <c r="CS136" s="406"/>
      <c r="CT136" s="406"/>
      <c r="CW136" s="406"/>
      <c r="CX136" s="406"/>
      <c r="CY136" s="406"/>
      <c r="CZ136" s="406"/>
      <c r="DA136" s="406"/>
      <c r="DB136" s="406"/>
      <c r="DC136" s="406"/>
    </row>
    <row r="137" spans="2:108" ht="31.5" customHeight="1" x14ac:dyDescent="0.25">
      <c r="B137" s="406"/>
      <c r="C137" s="406"/>
      <c r="D137" s="406"/>
      <c r="E137" s="406"/>
      <c r="F137" s="406"/>
      <c r="G137" s="406"/>
      <c r="H137" s="406"/>
      <c r="K137" s="406"/>
      <c r="L137" s="406"/>
      <c r="M137" s="406"/>
      <c r="N137" s="406"/>
      <c r="O137" s="406"/>
      <c r="P137" s="406"/>
      <c r="Q137" s="406"/>
      <c r="T137" s="406"/>
      <c r="U137" s="406"/>
      <c r="V137" s="406"/>
      <c r="W137" s="406"/>
      <c r="X137" s="406"/>
      <c r="Y137" s="406"/>
      <c r="Z137" s="406"/>
      <c r="AC137" s="406"/>
      <c r="AD137" s="406"/>
      <c r="AE137" s="406"/>
      <c r="AF137" s="406"/>
      <c r="AG137" s="406"/>
      <c r="AH137" s="406"/>
      <c r="AI137" s="406"/>
      <c r="AL137" s="406" t="s">
        <v>1396</v>
      </c>
      <c r="AM137" s="406"/>
      <c r="AN137" s="406"/>
      <c r="AO137" s="406"/>
      <c r="AP137" s="406"/>
      <c r="AQ137" s="406"/>
      <c r="AR137" s="406"/>
      <c r="AU137" s="436" t="s">
        <v>1675</v>
      </c>
      <c r="AV137" s="406"/>
      <c r="AW137" s="406"/>
      <c r="AX137" s="406"/>
      <c r="AY137" s="406"/>
      <c r="AZ137" s="406"/>
      <c r="BA137" s="406"/>
      <c r="BD137" s="406" t="s">
        <v>2020</v>
      </c>
      <c r="BE137" s="465"/>
      <c r="BF137" s="465"/>
      <c r="BG137" s="465"/>
      <c r="BH137" s="465"/>
      <c r="BI137" s="465"/>
      <c r="BJ137" s="406"/>
      <c r="BM137" s="406"/>
      <c r="BN137" s="406"/>
      <c r="BO137" s="406"/>
      <c r="BP137" s="406"/>
      <c r="BQ137" s="406"/>
      <c r="BR137" s="406"/>
      <c r="BS137" s="406"/>
      <c r="BV137" s="406"/>
      <c r="BW137" s="406"/>
      <c r="BX137" s="406"/>
      <c r="BY137" s="406"/>
      <c r="BZ137" s="406"/>
      <c r="CA137" s="406"/>
      <c r="CB137" s="406"/>
      <c r="CE137" s="406"/>
      <c r="CF137" s="406"/>
      <c r="CG137" s="406"/>
      <c r="CH137" s="406"/>
      <c r="CI137" s="406"/>
      <c r="CJ137" s="406"/>
      <c r="CK137" s="406"/>
      <c r="CN137" s="406"/>
      <c r="CO137" s="406"/>
      <c r="CP137" s="406"/>
      <c r="CQ137" s="406"/>
      <c r="CR137" s="406"/>
      <c r="CS137" s="406"/>
      <c r="CT137" s="406"/>
      <c r="CW137" s="406"/>
      <c r="CX137" s="406"/>
      <c r="CY137" s="406"/>
      <c r="CZ137" s="406"/>
      <c r="DA137" s="406"/>
      <c r="DB137" s="406"/>
      <c r="DC137" s="406"/>
    </row>
    <row r="138" spans="2:108" ht="31.5" customHeight="1" x14ac:dyDescent="0.25">
      <c r="B138" s="406"/>
      <c r="C138" s="406"/>
      <c r="D138" s="406"/>
      <c r="E138" s="406"/>
      <c r="F138" s="406"/>
      <c r="G138" s="406"/>
      <c r="H138" s="406"/>
      <c r="K138" s="406"/>
      <c r="L138" s="406"/>
      <c r="M138" s="406"/>
      <c r="N138" s="406"/>
      <c r="O138" s="406"/>
      <c r="P138" s="406"/>
      <c r="Q138" s="406"/>
      <c r="T138" s="406"/>
      <c r="U138" s="406"/>
      <c r="V138" s="406"/>
      <c r="W138" s="406"/>
      <c r="X138" s="406"/>
      <c r="Y138" s="406"/>
      <c r="Z138" s="406"/>
      <c r="AC138" s="406"/>
      <c r="AD138" s="406"/>
      <c r="AE138" s="406"/>
      <c r="AF138" s="406"/>
      <c r="AG138" s="406"/>
      <c r="AH138" s="406"/>
      <c r="AI138" s="406"/>
      <c r="AL138" s="406" t="s">
        <v>1397</v>
      </c>
      <c r="AM138" s="406"/>
      <c r="AN138" s="406"/>
      <c r="AO138" s="406"/>
      <c r="AP138" s="406"/>
      <c r="AQ138" s="406"/>
      <c r="AR138" s="406"/>
      <c r="AU138" s="441">
        <v>2026</v>
      </c>
      <c r="AV138" s="437" t="s">
        <v>1648</v>
      </c>
      <c r="AW138" s="437" t="s">
        <v>1649</v>
      </c>
      <c r="AX138" s="437" t="s">
        <v>1650</v>
      </c>
      <c r="AY138" s="437" t="s">
        <v>127</v>
      </c>
      <c r="AZ138" s="437" t="s">
        <v>128</v>
      </c>
      <c r="BA138" s="437" t="s">
        <v>129</v>
      </c>
      <c r="BD138" s="406" t="s">
        <v>2021</v>
      </c>
      <c r="BE138" s="465"/>
      <c r="BF138" s="465"/>
      <c r="BG138" s="465"/>
      <c r="BH138" s="465"/>
      <c r="BI138" s="465"/>
      <c r="BJ138" s="406"/>
      <c r="BM138" s="406"/>
      <c r="BN138" s="406"/>
      <c r="BO138" s="406"/>
      <c r="BP138" s="406"/>
      <c r="BQ138" s="406"/>
      <c r="BR138" s="406"/>
      <c r="BS138" s="406"/>
      <c r="BV138" s="406"/>
      <c r="BW138" s="406"/>
      <c r="BX138" s="406"/>
      <c r="BY138" s="406"/>
      <c r="BZ138" s="406"/>
      <c r="CA138" s="406"/>
      <c r="CB138" s="406"/>
      <c r="CE138" s="406"/>
      <c r="CF138" s="406"/>
      <c r="CG138" s="406"/>
      <c r="CH138" s="406"/>
      <c r="CI138" s="406"/>
      <c r="CJ138" s="406"/>
      <c r="CK138" s="406"/>
      <c r="CN138" s="406"/>
      <c r="CO138" s="406"/>
      <c r="CP138" s="406"/>
      <c r="CQ138" s="406"/>
      <c r="CR138" s="406"/>
      <c r="CS138" s="406"/>
      <c r="CT138" s="406"/>
      <c r="CW138" s="406"/>
      <c r="CX138" s="406"/>
      <c r="CY138" s="406"/>
      <c r="CZ138" s="406"/>
      <c r="DA138" s="406"/>
      <c r="DB138" s="406"/>
      <c r="DC138" s="406"/>
    </row>
    <row r="139" spans="2:108" ht="31.5" customHeight="1" x14ac:dyDescent="0.25">
      <c r="B139" s="406"/>
      <c r="C139" s="406"/>
      <c r="D139" s="406"/>
      <c r="E139" s="406"/>
      <c r="F139" s="406"/>
      <c r="G139" s="406"/>
      <c r="H139" s="406"/>
      <c r="K139" s="406"/>
      <c r="L139" s="406"/>
      <c r="M139" s="406"/>
      <c r="N139" s="406"/>
      <c r="O139" s="406"/>
      <c r="P139" s="406"/>
      <c r="Q139" s="406"/>
      <c r="T139" s="406"/>
      <c r="U139" s="406"/>
      <c r="V139" s="406"/>
      <c r="W139" s="406"/>
      <c r="X139" s="406"/>
      <c r="Y139" s="406"/>
      <c r="Z139" s="406"/>
      <c r="AC139" s="406"/>
      <c r="AD139" s="406"/>
      <c r="AE139" s="406"/>
      <c r="AF139" s="406"/>
      <c r="AG139" s="406"/>
      <c r="AH139" s="406"/>
      <c r="AI139" s="406"/>
      <c r="AL139" s="406" t="s">
        <v>1398</v>
      </c>
      <c r="AM139" s="406"/>
      <c r="AN139" s="406"/>
      <c r="AO139" s="406"/>
      <c r="AP139" s="406"/>
      <c r="AQ139" s="406"/>
      <c r="AR139" s="406"/>
      <c r="AU139" s="438" t="s">
        <v>1667</v>
      </c>
      <c r="AV139" s="438" t="s">
        <v>1670</v>
      </c>
      <c r="AW139" s="439">
        <v>46023</v>
      </c>
      <c r="AX139" s="439">
        <v>46025</v>
      </c>
      <c r="AY139" s="438">
        <v>2</v>
      </c>
      <c r="AZ139" s="438">
        <v>1</v>
      </c>
      <c r="BA139" s="438">
        <v>0</v>
      </c>
      <c r="BM139" s="406"/>
      <c r="BN139" s="406"/>
      <c r="BO139" s="406"/>
      <c r="BP139" s="406"/>
      <c r="BQ139" s="406"/>
      <c r="BR139" s="406"/>
      <c r="BS139" s="406"/>
      <c r="BV139" s="406"/>
      <c r="BW139" s="406"/>
      <c r="BX139" s="406"/>
      <c r="BY139" s="406"/>
      <c r="BZ139" s="406"/>
      <c r="CA139" s="406"/>
      <c r="CB139" s="406"/>
      <c r="CE139" s="406"/>
      <c r="CF139" s="406"/>
      <c r="CG139" s="406"/>
      <c r="CH139" s="406"/>
      <c r="CI139" s="406"/>
      <c r="CJ139" s="406"/>
      <c r="CK139" s="406"/>
      <c r="CN139" s="406"/>
      <c r="CO139" s="406"/>
      <c r="CP139" s="406"/>
      <c r="CQ139" s="406"/>
      <c r="CR139" s="406"/>
      <c r="CS139" s="406"/>
      <c r="CT139" s="406"/>
      <c r="CW139" s="406"/>
      <c r="CX139" s="406"/>
      <c r="CY139" s="406"/>
      <c r="CZ139" s="406"/>
      <c r="DA139" s="406"/>
      <c r="DB139" s="406"/>
      <c r="DC139" s="406"/>
    </row>
    <row r="140" spans="2:108" ht="31.5" customHeight="1" x14ac:dyDescent="0.25">
      <c r="AC140" s="406"/>
      <c r="AD140" s="406"/>
      <c r="AE140" s="406"/>
      <c r="AF140" s="406"/>
      <c r="AG140" s="406"/>
      <c r="AH140" s="406"/>
      <c r="AL140" s="406" t="s">
        <v>1399</v>
      </c>
      <c r="AM140" s="406"/>
      <c r="AN140" s="406"/>
      <c r="AO140" s="406"/>
      <c r="AP140" s="406"/>
      <c r="AQ140" s="406"/>
      <c r="AR140" s="406"/>
      <c r="AU140" s="438" t="s">
        <v>1668</v>
      </c>
      <c r="AV140" s="438" t="s">
        <v>1671</v>
      </c>
      <c r="AW140" s="438" t="s">
        <v>1672</v>
      </c>
      <c r="AX140" s="438" t="s">
        <v>1670</v>
      </c>
      <c r="AY140" s="438">
        <v>1</v>
      </c>
      <c r="AZ140" s="438">
        <v>0</v>
      </c>
      <c r="BA140" s="438">
        <v>1</v>
      </c>
    </row>
    <row r="141" spans="2:108" ht="31.5" customHeight="1" x14ac:dyDescent="0.25">
      <c r="AC141" s="406"/>
      <c r="AD141" s="406"/>
      <c r="AE141" s="406"/>
      <c r="AF141" s="406"/>
      <c r="AG141" s="406"/>
      <c r="AH141" s="406"/>
      <c r="AI141" s="406"/>
      <c r="AL141" s="406" t="s">
        <v>1402</v>
      </c>
      <c r="AM141" s="406"/>
      <c r="AN141" s="406"/>
      <c r="AO141" s="406"/>
      <c r="AP141" s="406"/>
      <c r="AQ141" s="406"/>
      <c r="AR141" s="406"/>
      <c r="AU141" s="438" t="s">
        <v>1669</v>
      </c>
      <c r="AV141" s="438" t="s">
        <v>1673</v>
      </c>
      <c r="AW141" s="438" t="s">
        <v>1671</v>
      </c>
      <c r="AX141" s="438" t="s">
        <v>1670</v>
      </c>
      <c r="AY141" s="438">
        <v>2</v>
      </c>
      <c r="AZ141" s="438">
        <v>1</v>
      </c>
      <c r="BA141" s="438">
        <v>2</v>
      </c>
    </row>
    <row r="142" spans="2:108" ht="31.5" customHeight="1" x14ac:dyDescent="0.25">
      <c r="AC142" s="406"/>
      <c r="AD142" s="406"/>
      <c r="AE142" s="406"/>
      <c r="AF142" s="406"/>
      <c r="AG142" s="406"/>
      <c r="AH142" s="406"/>
      <c r="AI142" s="406"/>
      <c r="AM142" s="406"/>
      <c r="AN142" s="406"/>
      <c r="AO142" s="406"/>
      <c r="AP142" s="406"/>
      <c r="AQ142" s="406"/>
      <c r="AR142" s="406"/>
      <c r="AU142" s="438" t="s">
        <v>1380</v>
      </c>
      <c r="AV142" s="438">
        <v>250</v>
      </c>
      <c r="AW142" s="440">
        <v>3900</v>
      </c>
      <c r="AX142" s="440">
        <v>1000</v>
      </c>
      <c r="AY142" s="438">
        <v>851</v>
      </c>
      <c r="AZ142" s="438" t="s">
        <v>1674</v>
      </c>
      <c r="BA142" s="438" t="s">
        <v>1674</v>
      </c>
    </row>
    <row r="143" spans="2:108" ht="31.5" customHeight="1" x14ac:dyDescent="0.25">
      <c r="AC143" s="406"/>
      <c r="AD143" s="406"/>
      <c r="AE143" s="406"/>
      <c r="AF143" s="406"/>
      <c r="AG143" s="406"/>
      <c r="AH143" s="406"/>
      <c r="AI143" s="406"/>
      <c r="AL143" s="436" t="s">
        <v>1433</v>
      </c>
      <c r="AM143" s="406"/>
      <c r="AN143" s="406"/>
      <c r="AO143" s="406"/>
      <c r="AP143" s="406"/>
      <c r="AQ143" s="406"/>
      <c r="AR143" s="406"/>
      <c r="AU143" s="406"/>
    </row>
    <row r="144" spans="2:108" ht="31.5" customHeight="1" x14ac:dyDescent="0.25">
      <c r="AC144" s="406"/>
      <c r="AD144" s="406"/>
      <c r="AE144" s="406"/>
      <c r="AF144" s="406"/>
      <c r="AG144" s="406"/>
      <c r="AH144" s="406"/>
      <c r="AI144" s="406"/>
      <c r="AL144" s="406" t="s">
        <v>1434</v>
      </c>
      <c r="AM144" s="406"/>
      <c r="AN144" s="406"/>
      <c r="AO144" s="406"/>
      <c r="AP144" s="406"/>
      <c r="AQ144" s="406"/>
      <c r="AR144" s="406"/>
      <c r="AU144" s="43" t="s">
        <v>1653</v>
      </c>
    </row>
    <row r="145" spans="4:104" ht="31.5" customHeight="1" x14ac:dyDescent="0.25">
      <c r="AL145" s="406" t="s">
        <v>1432</v>
      </c>
      <c r="AM145" s="406"/>
      <c r="AN145" s="406"/>
      <c r="AO145" s="406"/>
      <c r="AP145" s="406"/>
      <c r="AQ145" s="406"/>
      <c r="AR145" s="406"/>
      <c r="AU145" s="406" t="s">
        <v>1713</v>
      </c>
    </row>
    <row r="146" spans="4:104" ht="31.5" customHeight="1" x14ac:dyDescent="0.25">
      <c r="AL146" s="406" t="s">
        <v>1435</v>
      </c>
      <c r="AM146" s="406"/>
      <c r="AN146" s="406"/>
      <c r="AO146" s="406"/>
      <c r="AP146" s="406"/>
      <c r="AQ146" s="406"/>
      <c r="AR146" s="406"/>
      <c r="AU146" s="406" t="s">
        <v>1714</v>
      </c>
    </row>
    <row r="147" spans="4:104" ht="31.5" customHeight="1" x14ac:dyDescent="0.25">
      <c r="AL147" s="406" t="s">
        <v>1436</v>
      </c>
      <c r="AU147" s="406" t="s">
        <v>1715</v>
      </c>
    </row>
    <row r="148" spans="4:104" ht="31.5" customHeight="1" x14ac:dyDescent="0.25">
      <c r="AU148" s="406" t="s">
        <v>1716</v>
      </c>
    </row>
    <row r="149" spans="4:104" ht="31.5" customHeight="1" x14ac:dyDescent="0.25">
      <c r="AL149" s="43" t="s">
        <v>1403</v>
      </c>
      <c r="AU149" s="406" t="s">
        <v>1717</v>
      </c>
    </row>
    <row r="150" spans="4:104" ht="31.5" customHeight="1" x14ac:dyDescent="0.25">
      <c r="AL150" s="427" t="s">
        <v>1406</v>
      </c>
      <c r="AU150" s="406"/>
    </row>
    <row r="151" spans="4:104" ht="31.5" customHeight="1" x14ac:dyDescent="0.25">
      <c r="AL151" s="427" t="s">
        <v>1404</v>
      </c>
    </row>
    <row r="152" spans="4:104" ht="31.5" customHeight="1" x14ac:dyDescent="0.25">
      <c r="AL152" s="427" t="s">
        <v>1405</v>
      </c>
    </row>
    <row r="153" spans="4:104" ht="31.5" customHeight="1" x14ac:dyDescent="0.25"/>
    <row r="154" spans="4:104" ht="31.5" customHeight="1" x14ac:dyDescent="0.25">
      <c r="AU154" s="406"/>
    </row>
    <row r="155" spans="4:104" ht="31.5" customHeight="1" x14ac:dyDescent="0.25"/>
    <row r="156" spans="4:104" ht="31.5" customHeight="1" x14ac:dyDescent="0.25">
      <c r="AU156" s="43"/>
    </row>
    <row r="157" spans="4:104" ht="31.5" customHeight="1" x14ac:dyDescent="0.25">
      <c r="AU157" s="427"/>
    </row>
    <row r="158" spans="4:104" ht="31.5" customHeight="1" x14ac:dyDescent="0.25">
      <c r="AU158" s="427"/>
    </row>
    <row r="159" spans="4:104" ht="31.5" customHeight="1" x14ac:dyDescent="0.25">
      <c r="AC159" s="406"/>
      <c r="AD159" s="406"/>
      <c r="AE159" s="406"/>
      <c r="AF159" s="406"/>
      <c r="AG159" s="406"/>
      <c r="AH159" s="406"/>
      <c r="AI159" s="406"/>
      <c r="AU159" s="427"/>
    </row>
    <row r="160" spans="4:104" ht="30" customHeight="1" x14ac:dyDescent="0.25">
      <c r="D160" s="168" t="s">
        <v>132</v>
      </c>
      <c r="E160" s="168" t="s">
        <v>133</v>
      </c>
      <c r="M160" s="168" t="s">
        <v>132</v>
      </c>
      <c r="N160" s="168" t="s">
        <v>133</v>
      </c>
      <c r="V160" s="168" t="s">
        <v>132</v>
      </c>
      <c r="W160" s="168" t="s">
        <v>133</v>
      </c>
      <c r="AE160" s="168" t="s">
        <v>132</v>
      </c>
      <c r="AF160" s="168" t="s">
        <v>133</v>
      </c>
      <c r="AN160" s="168" t="s">
        <v>132</v>
      </c>
      <c r="AO160" s="168" t="s">
        <v>133</v>
      </c>
      <c r="BO160" s="168" t="s">
        <v>132</v>
      </c>
      <c r="BP160" s="168" t="s">
        <v>133</v>
      </c>
      <c r="BX160" s="168" t="s">
        <v>132</v>
      </c>
      <c r="BY160" s="168" t="s">
        <v>133</v>
      </c>
      <c r="CG160" s="168" t="s">
        <v>132</v>
      </c>
      <c r="CH160" s="168" t="s">
        <v>133</v>
      </c>
      <c r="CP160" s="168" t="s">
        <v>132</v>
      </c>
      <c r="CQ160" s="168" t="s">
        <v>133</v>
      </c>
      <c r="CY160" s="168" t="s">
        <v>132</v>
      </c>
      <c r="CZ160" s="168" t="s">
        <v>133</v>
      </c>
    </row>
    <row r="161" spans="3:104" ht="30" customHeight="1" x14ac:dyDescent="0.25">
      <c r="C161" s="169" t="s">
        <v>34</v>
      </c>
      <c r="D161" s="170">
        <f>C18*0.01</f>
        <v>121</v>
      </c>
      <c r="E161" s="170">
        <f>C20*0.01</f>
        <v>91.784549999999996</v>
      </c>
      <c r="L161" s="169" t="s">
        <v>34</v>
      </c>
      <c r="M161" s="170">
        <f>L18*0.01</f>
        <v>121</v>
      </c>
      <c r="N161" s="170">
        <f>L20*0.01</f>
        <v>91.784549999999996</v>
      </c>
      <c r="U161" s="169" t="s">
        <v>34</v>
      </c>
      <c r="V161" s="170">
        <f>U18*0.01</f>
        <v>121</v>
      </c>
      <c r="W161" s="170">
        <f>U20*0.01</f>
        <v>91.784549999999996</v>
      </c>
      <c r="AD161" s="169" t="s">
        <v>34</v>
      </c>
      <c r="AE161" s="170">
        <f>AD18*0.01</f>
        <v>121</v>
      </c>
      <c r="AF161" s="170">
        <f>AD20*0.01</f>
        <v>91.784549999999996</v>
      </c>
      <c r="AM161" s="169" t="s">
        <v>34</v>
      </c>
      <c r="AN161" s="170">
        <f>AM18*0.01</f>
        <v>121</v>
      </c>
      <c r="AO161" s="170">
        <f>AM20*0.01</f>
        <v>91.784549999999996</v>
      </c>
      <c r="BN161" s="169" t="s">
        <v>34</v>
      </c>
      <c r="BO161" s="170">
        <f>BN18*0.01</f>
        <v>121</v>
      </c>
      <c r="BP161" s="170">
        <f>BN20*0.01</f>
        <v>91.784549999999996</v>
      </c>
      <c r="BW161" s="169" t="s">
        <v>34</v>
      </c>
      <c r="BX161" s="170">
        <f>BW18*0.01</f>
        <v>121</v>
      </c>
      <c r="BY161" s="170">
        <f>BW20*0.01</f>
        <v>91.784549999999996</v>
      </c>
      <c r="CF161" s="169" t="s">
        <v>34</v>
      </c>
      <c r="CG161" s="170">
        <f>CF18*0.01</f>
        <v>121</v>
      </c>
      <c r="CH161" s="170">
        <f>CF20*0.01</f>
        <v>91.784549999999996</v>
      </c>
      <c r="CO161" s="169" t="s">
        <v>34</v>
      </c>
      <c r="CP161" s="170">
        <f>CO18*0.01</f>
        <v>121</v>
      </c>
      <c r="CQ161" s="170">
        <f>CO20*0.01</f>
        <v>91.784549999999996</v>
      </c>
      <c r="CX161" s="169" t="s">
        <v>34</v>
      </c>
      <c r="CY161" s="170">
        <f>CX18*0.01</f>
        <v>121</v>
      </c>
      <c r="CZ161" s="170">
        <f>CX20*0.01</f>
        <v>91.784549999999996</v>
      </c>
    </row>
    <row r="162" spans="3:104" ht="30" customHeight="1" x14ac:dyDescent="0.25">
      <c r="C162" s="169" t="s">
        <v>8</v>
      </c>
      <c r="D162" s="170">
        <f>D18*0.01</f>
        <v>126</v>
      </c>
      <c r="E162" s="170">
        <f>D20*0.01</f>
        <v>146.12200000000001</v>
      </c>
      <c r="L162" s="169" t="s">
        <v>8</v>
      </c>
      <c r="M162" s="170">
        <f>M18*0.01</f>
        <v>126</v>
      </c>
      <c r="N162" s="170">
        <f>M20*0.01</f>
        <v>146.12200000000001</v>
      </c>
      <c r="U162" s="169" t="s">
        <v>8</v>
      </c>
      <c r="V162" s="170">
        <f>V18*0.01</f>
        <v>126</v>
      </c>
      <c r="W162" s="170">
        <f>V20*0.01</f>
        <v>146.12200000000001</v>
      </c>
      <c r="AD162" s="169" t="s">
        <v>8</v>
      </c>
      <c r="AE162" s="170">
        <f>AE18*0.01</f>
        <v>126</v>
      </c>
      <c r="AF162" s="170">
        <f>AE20*0.01</f>
        <v>146.12200000000001</v>
      </c>
      <c r="AM162" s="169" t="s">
        <v>8</v>
      </c>
      <c r="AN162" s="170">
        <f>AN18*0.01</f>
        <v>126</v>
      </c>
      <c r="AO162" s="170">
        <f>AN20*0.01</f>
        <v>146.12200000000001</v>
      </c>
      <c r="BN162" s="169" t="s">
        <v>8</v>
      </c>
      <c r="BO162" s="170">
        <f>BO18*0.01</f>
        <v>126</v>
      </c>
      <c r="BP162" s="170">
        <f>BO20*0.01</f>
        <v>146.12200000000001</v>
      </c>
      <c r="BW162" s="169" t="s">
        <v>8</v>
      </c>
      <c r="BX162" s="170">
        <f>BX18*0.01</f>
        <v>126</v>
      </c>
      <c r="BY162" s="170">
        <f>BX20*0.01</f>
        <v>146.12200000000001</v>
      </c>
      <c r="CF162" s="169" t="s">
        <v>8</v>
      </c>
      <c r="CG162" s="170">
        <f>CG18*0.01</f>
        <v>126</v>
      </c>
      <c r="CH162" s="170">
        <f>CG20*0.01</f>
        <v>146.12200000000001</v>
      </c>
      <c r="CO162" s="169" t="s">
        <v>8</v>
      </c>
      <c r="CP162" s="170">
        <f>CP18*0.01</f>
        <v>126</v>
      </c>
      <c r="CQ162" s="170">
        <f>CP20*0.01</f>
        <v>146.12200000000001</v>
      </c>
      <c r="CX162" s="169" t="s">
        <v>8</v>
      </c>
      <c r="CY162" s="170">
        <f>CY18*0.01</f>
        <v>126</v>
      </c>
      <c r="CZ162" s="170">
        <f>CY20*0.01</f>
        <v>146.12200000000001</v>
      </c>
    </row>
    <row r="163" spans="3:104" ht="30" customHeight="1" x14ac:dyDescent="0.25">
      <c r="C163" s="169" t="s">
        <v>9</v>
      </c>
      <c r="D163" s="170">
        <f>E18*0.01</f>
        <v>146</v>
      </c>
      <c r="E163" s="170">
        <f>E20*0.01</f>
        <v>152.92274999999998</v>
      </c>
      <c r="L163" s="169" t="s">
        <v>9</v>
      </c>
      <c r="M163" s="170">
        <f>N18*0.01</f>
        <v>146</v>
      </c>
      <c r="N163" s="170">
        <f>N20*0.01</f>
        <v>152.92274999999998</v>
      </c>
      <c r="U163" s="169" t="s">
        <v>9</v>
      </c>
      <c r="V163" s="170">
        <f>W18*0.01</f>
        <v>146</v>
      </c>
      <c r="W163" s="170">
        <f>W20*0.01</f>
        <v>152.92274999999998</v>
      </c>
      <c r="AD163" s="169" t="s">
        <v>9</v>
      </c>
      <c r="AE163" s="170">
        <f>AF18*0.01</f>
        <v>146</v>
      </c>
      <c r="AF163" s="170">
        <f>AF20*0.01</f>
        <v>152.92274999999998</v>
      </c>
      <c r="AM163" s="169" t="s">
        <v>9</v>
      </c>
      <c r="AN163" s="170">
        <f>AO18*0.01</f>
        <v>146</v>
      </c>
      <c r="AO163" s="170">
        <f>AO20*0.01</f>
        <v>152.92274999999998</v>
      </c>
      <c r="BN163" s="169" t="s">
        <v>9</v>
      </c>
      <c r="BO163" s="170">
        <f>BP18*0.01</f>
        <v>146</v>
      </c>
      <c r="BP163" s="170">
        <f>BP20*0.01</f>
        <v>152.92274999999998</v>
      </c>
      <c r="BW163" s="169" t="s">
        <v>9</v>
      </c>
      <c r="BX163" s="170">
        <f>BY18*0.01</f>
        <v>146</v>
      </c>
      <c r="BY163" s="170">
        <f>BY20*0.01</f>
        <v>152.92274999999998</v>
      </c>
      <c r="CF163" s="169" t="s">
        <v>9</v>
      </c>
      <c r="CG163" s="170">
        <f>CH18*0.01</f>
        <v>146</v>
      </c>
      <c r="CH163" s="170">
        <f>CH20*0.01</f>
        <v>152.92274999999998</v>
      </c>
      <c r="CO163" s="169" t="s">
        <v>9</v>
      </c>
      <c r="CP163" s="170">
        <f>CQ18*0.01</f>
        <v>146</v>
      </c>
      <c r="CQ163" s="170">
        <f>CQ20*0.01</f>
        <v>152.92274999999998</v>
      </c>
      <c r="CX163" s="169" t="s">
        <v>9</v>
      </c>
      <c r="CY163" s="170">
        <f>CZ18*0.01</f>
        <v>146</v>
      </c>
      <c r="CZ163" s="170">
        <f>CZ20*0.01</f>
        <v>152.92274999999998</v>
      </c>
    </row>
    <row r="164" spans="3:104" ht="30" customHeight="1" x14ac:dyDescent="0.25">
      <c r="C164" s="169" t="s">
        <v>127</v>
      </c>
      <c r="D164" s="170">
        <f>F18*0.01</f>
        <v>134</v>
      </c>
      <c r="E164" s="170">
        <f>F20*0.01</f>
        <v>94.125349999999997</v>
      </c>
      <c r="L164" s="169" t="s">
        <v>127</v>
      </c>
      <c r="M164" s="170">
        <f>O18*0.01</f>
        <v>134</v>
      </c>
      <c r="N164" s="170">
        <f>O20*0.01</f>
        <v>94.125349999999997</v>
      </c>
      <c r="U164" s="169" t="s">
        <v>127</v>
      </c>
      <c r="V164" s="170">
        <f>X18*0.01</f>
        <v>134</v>
      </c>
      <c r="W164" s="170">
        <f>X20*0.01</f>
        <v>94.125349999999997</v>
      </c>
      <c r="AD164" s="169" t="s">
        <v>127</v>
      </c>
      <c r="AE164" s="170">
        <f>AG18*0.01</f>
        <v>134</v>
      </c>
      <c r="AF164" s="170">
        <f>AG20*0.01</f>
        <v>94.125349999999997</v>
      </c>
      <c r="AM164" s="169" t="s">
        <v>127</v>
      </c>
      <c r="AN164" s="170">
        <f>AP18*0.01</f>
        <v>134</v>
      </c>
      <c r="AO164" s="170">
        <f>AP20*0.01</f>
        <v>94.125349999999997</v>
      </c>
      <c r="BN164" s="169" t="s">
        <v>127</v>
      </c>
      <c r="BO164" s="170">
        <f>BQ18*0.01</f>
        <v>134</v>
      </c>
      <c r="BP164" s="170">
        <f>BQ20*0.01</f>
        <v>94.125349999999997</v>
      </c>
      <c r="BW164" s="169" t="s">
        <v>127</v>
      </c>
      <c r="BX164" s="170">
        <f>BZ18*0.01</f>
        <v>134</v>
      </c>
      <c r="BY164" s="170">
        <f>BZ20*0.01</f>
        <v>94.125349999999997</v>
      </c>
      <c r="CF164" s="169" t="s">
        <v>127</v>
      </c>
      <c r="CG164" s="170">
        <f>CI18*0.01</f>
        <v>134</v>
      </c>
      <c r="CH164" s="170">
        <f>CI20*0.01</f>
        <v>94.125349999999997</v>
      </c>
      <c r="CO164" s="169" t="s">
        <v>127</v>
      </c>
      <c r="CP164" s="170">
        <f>CR18*0.01</f>
        <v>134</v>
      </c>
      <c r="CQ164" s="170">
        <f>CR20*0.01</f>
        <v>94.125349999999997</v>
      </c>
      <c r="CX164" s="169" t="s">
        <v>127</v>
      </c>
      <c r="CY164" s="170">
        <f>DA18*0.01</f>
        <v>134</v>
      </c>
      <c r="CZ164" s="170">
        <f>DA20*0.01</f>
        <v>94.125349999999997</v>
      </c>
    </row>
    <row r="165" spans="3:104" ht="30" customHeight="1" x14ac:dyDescent="0.25">
      <c r="C165" s="169" t="s">
        <v>128</v>
      </c>
      <c r="D165" s="170">
        <f>G18*0.01</f>
        <v>134</v>
      </c>
      <c r="E165" s="170">
        <f>G20*0.01</f>
        <v>39.231150000000007</v>
      </c>
      <c r="L165" s="169" t="s">
        <v>128</v>
      </c>
      <c r="M165" s="170">
        <f>P18*0.01</f>
        <v>134</v>
      </c>
      <c r="N165" s="170">
        <f>P20*0.01</f>
        <v>39.231150000000007</v>
      </c>
      <c r="U165" s="169" t="s">
        <v>128</v>
      </c>
      <c r="V165" s="170">
        <f>Y18*0.01</f>
        <v>134</v>
      </c>
      <c r="W165" s="170">
        <f>Y20*0.01</f>
        <v>39.231150000000007</v>
      </c>
      <c r="AD165" s="169" t="s">
        <v>128</v>
      </c>
      <c r="AE165" s="170">
        <f>AH18*0.01</f>
        <v>134</v>
      </c>
      <c r="AF165" s="170">
        <f>AH20*0.01</f>
        <v>39.231150000000007</v>
      </c>
      <c r="AM165" s="169" t="s">
        <v>128</v>
      </c>
      <c r="AN165" s="170">
        <f>AQ18*0.01</f>
        <v>134</v>
      </c>
      <c r="AO165" s="170">
        <f>AQ20*0.01</f>
        <v>39.231150000000007</v>
      </c>
      <c r="BN165" s="169" t="s">
        <v>128</v>
      </c>
      <c r="BO165" s="170">
        <f>BR18*0.01</f>
        <v>134</v>
      </c>
      <c r="BP165" s="170">
        <f>BR20*0.01</f>
        <v>39.231150000000007</v>
      </c>
      <c r="BW165" s="169" t="s">
        <v>128</v>
      </c>
      <c r="BX165" s="170">
        <f>CA18*0.01</f>
        <v>134</v>
      </c>
      <c r="BY165" s="170">
        <f>CA20*0.01</f>
        <v>39.231150000000007</v>
      </c>
      <c r="CF165" s="169" t="s">
        <v>128</v>
      </c>
      <c r="CG165" s="170">
        <f>CJ18*0.01</f>
        <v>134</v>
      </c>
      <c r="CH165" s="170">
        <f>CJ20*0.01</f>
        <v>39.231150000000007</v>
      </c>
      <c r="CO165" s="169" t="s">
        <v>128</v>
      </c>
      <c r="CP165" s="170">
        <f>CS18*0.01</f>
        <v>134</v>
      </c>
      <c r="CQ165" s="170">
        <f>CS20*0.01</f>
        <v>39.231150000000007</v>
      </c>
      <c r="CX165" s="169" t="s">
        <v>128</v>
      </c>
      <c r="CY165" s="170">
        <f>DB18*0.01</f>
        <v>134</v>
      </c>
      <c r="CZ165" s="170">
        <f>DB20*0.01</f>
        <v>39.231150000000007</v>
      </c>
    </row>
    <row r="166" spans="3:104" ht="30" customHeight="1" x14ac:dyDescent="0.25">
      <c r="C166" s="169" t="s">
        <v>129</v>
      </c>
      <c r="D166" s="170">
        <f>H18*0.01</f>
        <v>144</v>
      </c>
      <c r="E166" s="170">
        <f>H20*0.01</f>
        <v>70.001850000000019</v>
      </c>
      <c r="L166" s="169" t="s">
        <v>129</v>
      </c>
      <c r="M166" s="170">
        <f>Q18*0.01</f>
        <v>144</v>
      </c>
      <c r="N166" s="170">
        <f>Q20*0.01</f>
        <v>70.001850000000019</v>
      </c>
      <c r="U166" s="169" t="s">
        <v>129</v>
      </c>
      <c r="V166" s="170">
        <f>Z18*0.01</f>
        <v>144</v>
      </c>
      <c r="W166" s="170">
        <f>Z20*0.01</f>
        <v>70.001850000000019</v>
      </c>
      <c r="AD166" s="169" t="s">
        <v>129</v>
      </c>
      <c r="AE166" s="170">
        <f>AI18*0.01</f>
        <v>144</v>
      </c>
      <c r="AF166" s="170">
        <f>AI20*0.01</f>
        <v>70.001850000000019</v>
      </c>
      <c r="AM166" s="169" t="s">
        <v>129</v>
      </c>
      <c r="AN166" s="170">
        <f>AR18*0.01</f>
        <v>144</v>
      </c>
      <c r="AO166" s="170">
        <f>AR20*0.01</f>
        <v>70.001850000000019</v>
      </c>
      <c r="BN166" s="169" t="s">
        <v>129</v>
      </c>
      <c r="BO166" s="170">
        <f>BS18*0.01</f>
        <v>144</v>
      </c>
      <c r="BP166" s="170">
        <f>BS20*0.01</f>
        <v>70.001850000000019</v>
      </c>
      <c r="BW166" s="169" t="s">
        <v>129</v>
      </c>
      <c r="BX166" s="170">
        <f>CB18*0.01</f>
        <v>144</v>
      </c>
      <c r="BY166" s="170">
        <f>CB20*0.01</f>
        <v>70.001850000000019</v>
      </c>
      <c r="CF166" s="169" t="s">
        <v>129</v>
      </c>
      <c r="CG166" s="170">
        <f>CK18*0.01</f>
        <v>144</v>
      </c>
      <c r="CH166" s="170">
        <f>CK20*0.01</f>
        <v>70.001850000000019</v>
      </c>
      <c r="CO166" s="169" t="s">
        <v>129</v>
      </c>
      <c r="CP166" s="170">
        <f>CT18*0.01</f>
        <v>144</v>
      </c>
      <c r="CQ166" s="170">
        <f>CT20*0.01</f>
        <v>70.001850000000019</v>
      </c>
      <c r="CX166" s="169" t="s">
        <v>129</v>
      </c>
      <c r="CY166" s="170">
        <f>DC18*0.01</f>
        <v>144</v>
      </c>
      <c r="CZ166" s="170">
        <f>DC20*0.01</f>
        <v>70.001850000000019</v>
      </c>
    </row>
    <row r="167" spans="3:104" ht="30" customHeight="1" x14ac:dyDescent="0.25">
      <c r="C167" s="169" t="s">
        <v>130</v>
      </c>
      <c r="D167" s="170">
        <f>C24*0.01</f>
        <v>108</v>
      </c>
      <c r="E167" s="170">
        <f>C26*0.01</f>
        <v>91.478100000000012</v>
      </c>
      <c r="L167" s="169" t="s">
        <v>130</v>
      </c>
      <c r="M167" s="170">
        <f>L24*0.01</f>
        <v>108</v>
      </c>
      <c r="N167" s="170">
        <f>L26*0.01</f>
        <v>91.478100000000012</v>
      </c>
      <c r="U167" s="169" t="s">
        <v>130</v>
      </c>
      <c r="V167" s="170">
        <f>U24*0.01</f>
        <v>108</v>
      </c>
      <c r="W167" s="170">
        <f>U26*0.01</f>
        <v>91.478100000000012</v>
      </c>
      <c r="AD167" s="169" t="s">
        <v>130</v>
      </c>
      <c r="AE167" s="170">
        <f>AD24*0.01</f>
        <v>108</v>
      </c>
      <c r="AF167" s="170">
        <f>AD26*0.01</f>
        <v>91.478100000000012</v>
      </c>
      <c r="AM167" s="169" t="s">
        <v>130</v>
      </c>
      <c r="AN167" s="170">
        <f>AM24*0.01</f>
        <v>108</v>
      </c>
      <c r="AO167" s="170">
        <f>AM26*0.01</f>
        <v>91.478100000000012</v>
      </c>
      <c r="BN167" s="169" t="s">
        <v>130</v>
      </c>
      <c r="BO167" s="170">
        <f>BN24*0.01</f>
        <v>108</v>
      </c>
      <c r="BP167" s="170">
        <f>BN26*0.01</f>
        <v>91.478100000000012</v>
      </c>
      <c r="BW167" s="169" t="s">
        <v>130</v>
      </c>
      <c r="BX167" s="170">
        <f>BW24*0.01</f>
        <v>108</v>
      </c>
      <c r="BY167" s="170">
        <f>BW26*0.01</f>
        <v>91.478100000000012</v>
      </c>
      <c r="CF167" s="169" t="s">
        <v>130</v>
      </c>
      <c r="CG167" s="170">
        <f>CF24*0.01</f>
        <v>108</v>
      </c>
      <c r="CH167" s="170">
        <f>CF26*0.01</f>
        <v>91.478100000000012</v>
      </c>
      <c r="CO167" s="169" t="s">
        <v>130</v>
      </c>
      <c r="CP167" s="170">
        <f>CO24*0.01</f>
        <v>108</v>
      </c>
      <c r="CQ167" s="170">
        <f>CO26*0.01</f>
        <v>91.478100000000012</v>
      </c>
      <c r="CX167" s="169" t="s">
        <v>130</v>
      </c>
      <c r="CY167" s="170">
        <f>CX24*0.01</f>
        <v>108</v>
      </c>
      <c r="CZ167" s="170">
        <f>CX26*0.01</f>
        <v>91.478100000000012</v>
      </c>
    </row>
    <row r="168" spans="3:104" ht="30" customHeight="1" x14ac:dyDescent="0.25">
      <c r="C168" s="169" t="s">
        <v>131</v>
      </c>
      <c r="D168" s="170">
        <f>D24*0.01</f>
        <v>108</v>
      </c>
      <c r="E168" s="170">
        <f>D26*0.01</f>
        <v>58.617599999999996</v>
      </c>
      <c r="L168" s="169" t="s">
        <v>131</v>
      </c>
      <c r="M168" s="170">
        <f>M24*0.01</f>
        <v>108</v>
      </c>
      <c r="N168" s="170">
        <f>M26*0.01</f>
        <v>58.617599999999996</v>
      </c>
      <c r="U168" s="169" t="s">
        <v>131</v>
      </c>
      <c r="V168" s="170">
        <f>V24*0.01</f>
        <v>108</v>
      </c>
      <c r="W168" s="170">
        <f>V26*0.01</f>
        <v>58.617599999999996</v>
      </c>
      <c r="AD168" s="169" t="s">
        <v>131</v>
      </c>
      <c r="AE168" s="170">
        <f>AE24*0.01</f>
        <v>108</v>
      </c>
      <c r="AF168" s="170">
        <f>AE26*0.01</f>
        <v>58.617599999999996</v>
      </c>
      <c r="AM168" s="169" t="s">
        <v>131</v>
      </c>
      <c r="AN168" s="170">
        <f>AN24*0.01</f>
        <v>108</v>
      </c>
      <c r="AO168" s="170">
        <f>AN26*0.01</f>
        <v>58.617599999999996</v>
      </c>
      <c r="BN168" s="169" t="s">
        <v>131</v>
      </c>
      <c r="BO168" s="170">
        <f>BO24*0.01</f>
        <v>108</v>
      </c>
      <c r="BP168" s="170">
        <f>BO26*0.01</f>
        <v>58.617599999999996</v>
      </c>
      <c r="BW168" s="169" t="s">
        <v>131</v>
      </c>
      <c r="BX168" s="170">
        <f>BX24*0.01</f>
        <v>108</v>
      </c>
      <c r="BY168" s="170">
        <f>BX26*0.01</f>
        <v>58.617599999999996</v>
      </c>
      <c r="CF168" s="169" t="s">
        <v>131</v>
      </c>
      <c r="CG168" s="170">
        <f>CG24*0.01</f>
        <v>108</v>
      </c>
      <c r="CH168" s="170">
        <f>CG26*0.01</f>
        <v>58.617599999999996</v>
      </c>
      <c r="CO168" s="169" t="s">
        <v>131</v>
      </c>
      <c r="CP168" s="170">
        <f>CP24*0.01</f>
        <v>108</v>
      </c>
      <c r="CQ168" s="170">
        <f>CP26*0.01</f>
        <v>58.617599999999996</v>
      </c>
      <c r="CX168" s="169" t="s">
        <v>131</v>
      </c>
      <c r="CY168" s="170">
        <f>CY24*0.01</f>
        <v>108</v>
      </c>
      <c r="CZ168" s="170">
        <f>CY26*0.01</f>
        <v>58.617599999999996</v>
      </c>
    </row>
    <row r="169" spans="3:104" ht="30" customHeight="1" x14ac:dyDescent="0.25">
      <c r="C169" s="169" t="s">
        <v>36</v>
      </c>
      <c r="D169" s="170">
        <f>E24*0.01</f>
        <v>121</v>
      </c>
      <c r="E169" s="170">
        <f>E26*0.01</f>
        <v>88.441999999999993</v>
      </c>
      <c r="L169" s="169" t="s">
        <v>36</v>
      </c>
      <c r="M169" s="170">
        <f>N24*0.01</f>
        <v>121</v>
      </c>
      <c r="N169" s="170">
        <f>N26*0.01</f>
        <v>88.441999999999993</v>
      </c>
      <c r="U169" s="169" t="s">
        <v>36</v>
      </c>
      <c r="V169" s="170">
        <f>W24*0.01</f>
        <v>121</v>
      </c>
      <c r="W169" s="170">
        <f>W26*0.01</f>
        <v>88.441999999999993</v>
      </c>
      <c r="AD169" s="169" t="s">
        <v>36</v>
      </c>
      <c r="AE169" s="170">
        <f>AF24*0.01</f>
        <v>121</v>
      </c>
      <c r="AF169" s="170">
        <f>AF26*0.01</f>
        <v>88.441999999999993</v>
      </c>
      <c r="AM169" s="169" t="s">
        <v>36</v>
      </c>
      <c r="AN169" s="170">
        <f>AO24*0.01</f>
        <v>121</v>
      </c>
      <c r="AO169" s="170">
        <f>AO26*0.01</f>
        <v>88.441999999999993</v>
      </c>
      <c r="BN169" s="169" t="s">
        <v>36</v>
      </c>
      <c r="BO169" s="170">
        <f>BP24*0.01</f>
        <v>121</v>
      </c>
      <c r="BP169" s="170">
        <f>BP26*0.01</f>
        <v>88.441999999999993</v>
      </c>
      <c r="BW169" s="169" t="s">
        <v>36</v>
      </c>
      <c r="BX169" s="170">
        <f>BY24*0.01</f>
        <v>121</v>
      </c>
      <c r="BY169" s="170">
        <f>BY26*0.01</f>
        <v>88.441999999999993</v>
      </c>
      <c r="CF169" s="169" t="s">
        <v>36</v>
      </c>
      <c r="CG169" s="170">
        <f>CH24*0.01</f>
        <v>121</v>
      </c>
      <c r="CH169" s="170">
        <f>CH26*0.01</f>
        <v>88.441999999999993</v>
      </c>
      <c r="CO169" s="169" t="s">
        <v>36</v>
      </c>
      <c r="CP169" s="170">
        <f>CQ24*0.01</f>
        <v>121</v>
      </c>
      <c r="CQ169" s="170">
        <f>CQ26*0.01</f>
        <v>88.441999999999993</v>
      </c>
      <c r="CX169" s="169" t="s">
        <v>36</v>
      </c>
      <c r="CY169" s="170">
        <f>CZ24*0.01</f>
        <v>121</v>
      </c>
      <c r="CZ169" s="170">
        <f>CZ26*0.01</f>
        <v>88.441999999999993</v>
      </c>
    </row>
    <row r="170" spans="3:104" ht="30" customHeight="1" x14ac:dyDescent="0.25">
      <c r="C170" s="169" t="s">
        <v>37</v>
      </c>
      <c r="D170" s="170">
        <f>F24*0.01</f>
        <v>131</v>
      </c>
      <c r="E170" s="170">
        <f>F26*0.01</f>
        <v>0</v>
      </c>
      <c r="L170" s="169" t="s">
        <v>37</v>
      </c>
      <c r="M170" s="170">
        <f>O24*0.01</f>
        <v>131</v>
      </c>
      <c r="N170" s="170">
        <f>O26*0.01</f>
        <v>0</v>
      </c>
      <c r="U170" s="169" t="s">
        <v>37</v>
      </c>
      <c r="V170" s="170">
        <f>X24*0.01</f>
        <v>131</v>
      </c>
      <c r="W170" s="170">
        <f>X26*0.01</f>
        <v>0</v>
      </c>
      <c r="AD170" s="169" t="s">
        <v>37</v>
      </c>
      <c r="AE170" s="170">
        <f>AG24*0.01</f>
        <v>131</v>
      </c>
      <c r="AF170" s="170">
        <f>AG26*0.01</f>
        <v>0</v>
      </c>
      <c r="AM170" s="169" t="s">
        <v>37</v>
      </c>
      <c r="AN170" s="170">
        <f>AP24*0.01</f>
        <v>131</v>
      </c>
      <c r="AO170" s="170">
        <f>AP26*0.01</f>
        <v>0</v>
      </c>
      <c r="BN170" s="169" t="s">
        <v>37</v>
      </c>
      <c r="BO170" s="170">
        <f>BQ24*0.01</f>
        <v>131</v>
      </c>
      <c r="BP170" s="170">
        <f>BQ26*0.01</f>
        <v>0</v>
      </c>
      <c r="BW170" s="169" t="s">
        <v>37</v>
      </c>
      <c r="BX170" s="170">
        <f>BZ24*0.01</f>
        <v>131</v>
      </c>
      <c r="BY170" s="170">
        <f>BZ26*0.01</f>
        <v>0</v>
      </c>
      <c r="CF170" s="169" t="s">
        <v>37</v>
      </c>
      <c r="CG170" s="170">
        <f>CI24*0.01</f>
        <v>131</v>
      </c>
      <c r="CH170" s="170">
        <f>CI26*0.01</f>
        <v>0</v>
      </c>
      <c r="CO170" s="169" t="s">
        <v>37</v>
      </c>
      <c r="CP170" s="170">
        <f>CR24*0.01</f>
        <v>131</v>
      </c>
      <c r="CQ170" s="170">
        <f>CR26*0.01</f>
        <v>0</v>
      </c>
      <c r="CX170" s="169" t="s">
        <v>37</v>
      </c>
      <c r="CY170" s="170">
        <f>DA24*0.01</f>
        <v>131</v>
      </c>
      <c r="CZ170" s="170">
        <f>DA26*0.01</f>
        <v>0</v>
      </c>
    </row>
    <row r="171" spans="3:104" ht="30" customHeight="1" x14ac:dyDescent="0.25">
      <c r="C171" s="169" t="s">
        <v>38</v>
      </c>
      <c r="D171" s="170">
        <f>G24*0.01</f>
        <v>121</v>
      </c>
      <c r="E171" s="170">
        <f>G26*0.01</f>
        <v>0</v>
      </c>
      <c r="L171" s="169" t="s">
        <v>38</v>
      </c>
      <c r="M171" s="170">
        <f>P24*0.01</f>
        <v>121</v>
      </c>
      <c r="N171" s="170">
        <f>P26*0.01</f>
        <v>0</v>
      </c>
      <c r="U171" s="169" t="s">
        <v>38</v>
      </c>
      <c r="V171" s="170">
        <f>Y24*0.01</f>
        <v>121</v>
      </c>
      <c r="W171" s="170">
        <f>Y26*0.01</f>
        <v>0</v>
      </c>
      <c r="AD171" s="169" t="s">
        <v>38</v>
      </c>
      <c r="AE171" s="170">
        <f>AH24*0.01</f>
        <v>121</v>
      </c>
      <c r="AF171" s="170">
        <f>AH26*0.01</f>
        <v>0</v>
      </c>
      <c r="AM171" s="169" t="s">
        <v>38</v>
      </c>
      <c r="AN171" s="170">
        <f>AQ24*0.01</f>
        <v>121</v>
      </c>
      <c r="AO171" s="170">
        <f>AQ26*0.01</f>
        <v>0</v>
      </c>
      <c r="BN171" s="169" t="s">
        <v>38</v>
      </c>
      <c r="BO171" s="170">
        <f>BR24*0.01</f>
        <v>121</v>
      </c>
      <c r="BP171" s="170">
        <f>BR26*0.01</f>
        <v>0</v>
      </c>
      <c r="BW171" s="169" t="s">
        <v>38</v>
      </c>
      <c r="BX171" s="170">
        <f>CA24*0.01</f>
        <v>121</v>
      </c>
      <c r="BY171" s="170">
        <f>CA26*0.01</f>
        <v>0</v>
      </c>
      <c r="CF171" s="169" t="s">
        <v>38</v>
      </c>
      <c r="CG171" s="170">
        <f>CJ24*0.01</f>
        <v>121</v>
      </c>
      <c r="CH171" s="170">
        <f>CJ26*0.01</f>
        <v>0</v>
      </c>
      <c r="CO171" s="169" t="s">
        <v>38</v>
      </c>
      <c r="CP171" s="170">
        <f>CS24*0.01</f>
        <v>121</v>
      </c>
      <c r="CQ171" s="170">
        <f>CS26*0.01</f>
        <v>0</v>
      </c>
      <c r="CX171" s="169" t="s">
        <v>38</v>
      </c>
      <c r="CY171" s="170">
        <f>DB24*0.01</f>
        <v>121</v>
      </c>
      <c r="CZ171" s="170">
        <f>DB26*0.01</f>
        <v>0</v>
      </c>
    </row>
    <row r="172" spans="3:104" ht="30" customHeight="1" x14ac:dyDescent="0.25">
      <c r="C172" s="169" t="s">
        <v>43</v>
      </c>
      <c r="D172" s="170">
        <f>H24*0.01</f>
        <v>106</v>
      </c>
      <c r="E172" s="170">
        <f>H26*0.01</f>
        <v>0</v>
      </c>
      <c r="L172" s="169" t="s">
        <v>43</v>
      </c>
      <c r="M172" s="170">
        <f>Q24*0.01</f>
        <v>106</v>
      </c>
      <c r="N172" s="170">
        <f>Q26*0.01</f>
        <v>0</v>
      </c>
      <c r="U172" s="169" t="s">
        <v>43</v>
      </c>
      <c r="V172" s="170">
        <f>Z24*0.01</f>
        <v>106</v>
      </c>
      <c r="W172" s="170">
        <f>Z26*0.01</f>
        <v>0</v>
      </c>
      <c r="AD172" s="169" t="s">
        <v>43</v>
      </c>
      <c r="AE172" s="170">
        <f>AI24*0.01</f>
        <v>106</v>
      </c>
      <c r="AF172" s="170">
        <f>AI26*0.01</f>
        <v>0</v>
      </c>
      <c r="AM172" s="169" t="s">
        <v>43</v>
      </c>
      <c r="AN172" s="170">
        <f>AR24*0.01</f>
        <v>106</v>
      </c>
      <c r="AO172" s="170">
        <f>AR26*0.01</f>
        <v>0</v>
      </c>
      <c r="BF172" s="168" t="s">
        <v>132</v>
      </c>
      <c r="BG172" s="168" t="s">
        <v>133</v>
      </c>
      <c r="BN172" s="169" t="s">
        <v>43</v>
      </c>
      <c r="BO172" s="170">
        <f>BS24*0.01</f>
        <v>106</v>
      </c>
      <c r="BP172" s="170">
        <f>BS26*0.01</f>
        <v>0</v>
      </c>
      <c r="BW172" s="169" t="s">
        <v>43</v>
      </c>
      <c r="BX172" s="170">
        <f>CB24*0.01</f>
        <v>106</v>
      </c>
      <c r="BY172" s="170">
        <f>CB26*0.01</f>
        <v>0</v>
      </c>
      <c r="CF172" s="169" t="s">
        <v>43</v>
      </c>
      <c r="CG172" s="170">
        <f>CK24*0.01</f>
        <v>106</v>
      </c>
      <c r="CH172" s="170">
        <f>CK26*0.01</f>
        <v>0</v>
      </c>
      <c r="CO172" s="169" t="s">
        <v>43</v>
      </c>
      <c r="CP172" s="170">
        <f>CT24*0.01</f>
        <v>106</v>
      </c>
      <c r="CQ172" s="170">
        <f>CT26*0.01</f>
        <v>0</v>
      </c>
      <c r="CX172" s="169" t="s">
        <v>43</v>
      </c>
      <c r="CY172" s="170">
        <f>DC24*0.01</f>
        <v>106</v>
      </c>
      <c r="CZ172" s="170">
        <f>DC26*0.01</f>
        <v>0</v>
      </c>
    </row>
    <row r="173" spans="3:104" ht="31.5" x14ac:dyDescent="0.25">
      <c r="BE173" s="169" t="s">
        <v>34</v>
      </c>
      <c r="BF173" s="170">
        <f>BE18*0.01</f>
        <v>121</v>
      </c>
      <c r="BG173" s="170">
        <f>BE20*0.01</f>
        <v>91.784549999999996</v>
      </c>
    </row>
    <row r="174" spans="3:104" ht="31.5" x14ac:dyDescent="0.25">
      <c r="BE174" s="169" t="s">
        <v>8</v>
      </c>
      <c r="BF174" s="170">
        <f>BF18*0.01</f>
        <v>126</v>
      </c>
      <c r="BG174" s="170">
        <f>BF20*0.01</f>
        <v>146.12200000000001</v>
      </c>
    </row>
    <row r="175" spans="3:104" ht="31.5" x14ac:dyDescent="0.25">
      <c r="BE175" s="169" t="s">
        <v>9</v>
      </c>
      <c r="BF175" s="170">
        <f>BG18*0.01</f>
        <v>146</v>
      </c>
      <c r="BG175" s="170">
        <f>BG20*0.01</f>
        <v>152.92274999999998</v>
      </c>
    </row>
    <row r="176" spans="3:104" ht="31.5" x14ac:dyDescent="0.25">
      <c r="BE176" s="169" t="s">
        <v>127</v>
      </c>
      <c r="BF176" s="170">
        <f>BH18*0.01</f>
        <v>134</v>
      </c>
      <c r="BG176" s="170">
        <f>BH20*0.01</f>
        <v>94.125349999999997</v>
      </c>
    </row>
    <row r="177" spans="48:62" ht="31.5" x14ac:dyDescent="0.25">
      <c r="BE177" s="169" t="s">
        <v>128</v>
      </c>
      <c r="BF177" s="170">
        <f>BI18*0.01</f>
        <v>134</v>
      </c>
      <c r="BG177" s="170">
        <f>BI20*0.01</f>
        <v>39.231150000000007</v>
      </c>
    </row>
    <row r="178" spans="48:62" ht="31.5" x14ac:dyDescent="0.25">
      <c r="BE178" s="169" t="s">
        <v>129</v>
      </c>
      <c r="BF178" s="170">
        <f>BJ18*0.01</f>
        <v>144</v>
      </c>
      <c r="BG178" s="170">
        <f>BJ20*0.01</f>
        <v>70.001850000000019</v>
      </c>
    </row>
    <row r="179" spans="48:62" ht="31.5" x14ac:dyDescent="0.25">
      <c r="BE179" s="169" t="s">
        <v>130</v>
      </c>
      <c r="BF179" s="170">
        <f>BE24*0.01</f>
        <v>108</v>
      </c>
      <c r="BG179" s="170">
        <f>BE26*0.01</f>
        <v>91.478100000000012</v>
      </c>
    </row>
    <row r="180" spans="48:62" ht="31.5" x14ac:dyDescent="0.25">
      <c r="BE180" s="169" t="s">
        <v>131</v>
      </c>
      <c r="BF180" s="170">
        <f>BF24*0.01</f>
        <v>108</v>
      </c>
      <c r="BG180" s="170">
        <f>BF26*0.01</f>
        <v>58.617599999999996</v>
      </c>
    </row>
    <row r="181" spans="48:62" ht="31.5" x14ac:dyDescent="0.25">
      <c r="BE181" s="169" t="s">
        <v>36</v>
      </c>
      <c r="BF181" s="170">
        <f>BG24*0.01</f>
        <v>121</v>
      </c>
      <c r="BG181" s="170">
        <f>BG26*0.01</f>
        <v>88.441999999999993</v>
      </c>
    </row>
    <row r="182" spans="48:62" ht="31.5" x14ac:dyDescent="0.25">
      <c r="BE182" s="169" t="s">
        <v>37</v>
      </c>
      <c r="BF182" s="170">
        <f>BH24*0.01</f>
        <v>131</v>
      </c>
      <c r="BG182" s="170">
        <f>BH26*0.01</f>
        <v>0</v>
      </c>
    </row>
    <row r="183" spans="48:62" ht="31.5" x14ac:dyDescent="0.25">
      <c r="BE183" s="169" t="s">
        <v>38</v>
      </c>
      <c r="BF183" s="170">
        <f>BI24*0.01</f>
        <v>121</v>
      </c>
      <c r="BG183" s="170">
        <f>BI26*0.01</f>
        <v>0</v>
      </c>
    </row>
    <row r="184" spans="48:62" ht="31.5" x14ac:dyDescent="0.25">
      <c r="AW184" s="168" t="s">
        <v>132</v>
      </c>
      <c r="AX184" s="168" t="s">
        <v>133</v>
      </c>
      <c r="BE184" s="169" t="s">
        <v>43</v>
      </c>
      <c r="BF184" s="170">
        <f>BJ24*0.01</f>
        <v>106</v>
      </c>
      <c r="BG184" s="170">
        <f>BJ26*0.01</f>
        <v>0</v>
      </c>
    </row>
    <row r="185" spans="48:62" ht="31.5" x14ac:dyDescent="0.25">
      <c r="AV185" s="169" t="s">
        <v>34</v>
      </c>
      <c r="AW185" s="170">
        <f>AV18*0.01</f>
        <v>121</v>
      </c>
      <c r="AX185" s="170">
        <f>AV20*0.01</f>
        <v>91.784549999999996</v>
      </c>
    </row>
    <row r="186" spans="48:62" ht="38.25" x14ac:dyDescent="0.25">
      <c r="AV186" s="169" t="s">
        <v>8</v>
      </c>
      <c r="AW186" s="170">
        <f>AW18*0.01</f>
        <v>126</v>
      </c>
      <c r="AX186" s="170">
        <f>AW20*0.01</f>
        <v>146.12200000000001</v>
      </c>
      <c r="BD186" s="406" t="str">
        <f>"1) 이번달 목표용량 : "&amp;TEXT(ROUNDDOWN(INDEX(정리base!E5:P5,MATCH(BD3,정리base!E3:P3,0))*0.001,1),"0.0")&amp;"MW / 수주용량 : "&amp;TEXT(ROUNDDOWN(INDEX(정리base!E12:P12,MATCH(BD3,정리base!E3:P3,0))*0.001,1),"0.0")&amp;"MW("&amp;INDEX(정리base!E17:P17,MATCH(BD3,정리base!E3:P3,0))&amp;"건) / 달성율 : "&amp;TEXT(INDEX(정리base!E9:P9,MATCH(BD3,정리base!E3:P3,0)),"0.0%")</f>
        <v>1) 이번달 목표용량 : 10.8MW / 수주용량 : 9.1MW(28건) / 달성율 : 84.7%</v>
      </c>
      <c r="BE186" s="406"/>
      <c r="BF186" s="406"/>
      <c r="BG186" s="406"/>
      <c r="BH186" s="406"/>
      <c r="BI186" s="406"/>
      <c r="BJ186" s="406"/>
    </row>
    <row r="187" spans="48:62" ht="38.25" x14ac:dyDescent="0.25">
      <c r="AV187" s="169" t="s">
        <v>9</v>
      </c>
      <c r="AW187" s="170">
        <f>AX18*0.01</f>
        <v>146</v>
      </c>
      <c r="AX187" s="170">
        <f>AX20*0.01</f>
        <v>152.92274999999998</v>
      </c>
      <c r="BD187" s="406" t="s">
        <v>1221</v>
      </c>
      <c r="BE187" s="406"/>
      <c r="BF187" s="406"/>
      <c r="BG187" s="406"/>
      <c r="BH187" s="406"/>
      <c r="BI187" s="406"/>
      <c r="BJ187" s="406"/>
    </row>
    <row r="188" spans="48:62" ht="38.25" x14ac:dyDescent="0.25">
      <c r="AV188" s="169" t="s">
        <v>127</v>
      </c>
      <c r="AW188" s="170">
        <f>AY18*0.01</f>
        <v>134</v>
      </c>
      <c r="AX188" s="170">
        <f>AY20*0.01</f>
        <v>94.125349999999997</v>
      </c>
      <c r="BD188" s="406" t="str">
        <f>"2) 누적 목표용량 : "&amp;TEXT(ROUNDDOWN(INDEX(정리base!E4:P4,MATCH(BD3,정리base!E3:P3,0))*0.001,1),"0.0")&amp;"MW / 수주용량 : "&amp;TEXT(ROUNDDOWN(INDEX(정리base!E11:P11,MATCH(BD3,정리base!E3:P3,0))*0.001,1),"0.0")&amp;"MW("&amp;INDEX(정리base!E16:P16,MATCH(BD3,정리base!E3:P3,0))&amp;"건) / 달성율 : "&amp;TEXT(INDEX(정리base!E10:P10,MATCH(BD3,정리base!E3:P3,0)),"0.0%")</f>
        <v>2) 누적 목표용량 : 91.3MW / 수주용량 : 68.5MW(229건) / 달성율 : 75.1%</v>
      </c>
      <c r="BE188" s="406"/>
      <c r="BF188" s="406"/>
      <c r="BG188" s="406"/>
      <c r="BH188" s="406"/>
      <c r="BI188" s="406"/>
      <c r="BJ188" s="406"/>
    </row>
    <row r="189" spans="48:62" ht="38.25" x14ac:dyDescent="0.25">
      <c r="AV189" s="169" t="s">
        <v>128</v>
      </c>
      <c r="AW189" s="170">
        <f>AZ18*0.01</f>
        <v>134</v>
      </c>
      <c r="AX189" s="170">
        <f>AZ20*0.01</f>
        <v>39.231150000000007</v>
      </c>
      <c r="BD189" s="406"/>
      <c r="BE189" s="406"/>
      <c r="BF189" s="406"/>
      <c r="BG189" s="406"/>
      <c r="BH189" s="406"/>
      <c r="BI189" s="406"/>
      <c r="BJ189" s="406"/>
    </row>
    <row r="190" spans="48:62" ht="38.25" x14ac:dyDescent="0.25">
      <c r="AV190" s="169" t="s">
        <v>129</v>
      </c>
      <c r="AW190" s="170">
        <f>BA18*0.01</f>
        <v>144</v>
      </c>
      <c r="AX190" s="170">
        <f>BA20*0.01</f>
        <v>70.001850000000019</v>
      </c>
      <c r="BD190" s="406" t="s">
        <v>1222</v>
      </c>
      <c r="BE190" s="406"/>
      <c r="BF190" s="406"/>
      <c r="BG190" s="406"/>
      <c r="BH190" s="406"/>
      <c r="BI190" s="406"/>
      <c r="BJ190" s="406"/>
    </row>
    <row r="191" spans="48:62" ht="38.25" x14ac:dyDescent="0.25">
      <c r="AV191" s="169" t="s">
        <v>130</v>
      </c>
      <c r="AW191" s="170">
        <f>AV24*0.01</f>
        <v>108</v>
      </c>
      <c r="AX191" s="170">
        <f>AV26*0.01</f>
        <v>91.478100000000012</v>
      </c>
      <c r="BD191" s="43" t="s">
        <v>1645</v>
      </c>
    </row>
    <row r="192" spans="48:62" ht="40.5" x14ac:dyDescent="0.25">
      <c r="AV192" s="169" t="s">
        <v>131</v>
      </c>
      <c r="AW192" s="170">
        <f>AW24*0.01</f>
        <v>108</v>
      </c>
      <c r="AX192" s="170">
        <f>AW26*0.01</f>
        <v>58.617599999999996</v>
      </c>
      <c r="BD192" s="447">
        <v>2026</v>
      </c>
      <c r="BE192" s="448" t="s">
        <v>1651</v>
      </c>
      <c r="BF192" s="448" t="s">
        <v>1646</v>
      </c>
      <c r="BG192" s="448" t="s">
        <v>1647</v>
      </c>
      <c r="BH192" s="449" t="s">
        <v>1654</v>
      </c>
      <c r="BI192" s="449" t="s">
        <v>1652</v>
      </c>
      <c r="BJ192" s="449" t="s">
        <v>1655</v>
      </c>
    </row>
    <row r="193" spans="48:62" ht="38.25" x14ac:dyDescent="0.25">
      <c r="AV193" s="169" t="s">
        <v>36</v>
      </c>
      <c r="AW193" s="170">
        <f>AX24*0.01</f>
        <v>121</v>
      </c>
      <c r="AX193" s="170">
        <f>AX26*0.01</f>
        <v>88.441999999999993</v>
      </c>
      <c r="BD193" s="450" t="s">
        <v>34</v>
      </c>
      <c r="BE193" s="451" t="s">
        <v>1676</v>
      </c>
      <c r="BF193" s="451">
        <v>36</v>
      </c>
      <c r="BG193" s="451">
        <v>31</v>
      </c>
      <c r="BH193" s="451" t="s">
        <v>1694</v>
      </c>
      <c r="BI193" s="451" t="s">
        <v>1678</v>
      </c>
      <c r="BJ193" s="451" t="s">
        <v>1679</v>
      </c>
    </row>
    <row r="194" spans="48:62" ht="38.25" x14ac:dyDescent="0.25">
      <c r="AV194" s="169" t="s">
        <v>37</v>
      </c>
      <c r="AW194" s="170">
        <f>AY24*0.01</f>
        <v>131</v>
      </c>
      <c r="AX194" s="170">
        <f>AY26*0.01</f>
        <v>0</v>
      </c>
      <c r="BD194" s="450" t="s">
        <v>8</v>
      </c>
      <c r="BE194" s="451" t="s">
        <v>1677</v>
      </c>
      <c r="BF194" s="451">
        <v>57</v>
      </c>
      <c r="BG194" s="451">
        <v>16</v>
      </c>
      <c r="BH194" s="451" t="s">
        <v>1682</v>
      </c>
      <c r="BI194" s="452" t="s">
        <v>1681</v>
      </c>
      <c r="BJ194" s="451" t="s">
        <v>1680</v>
      </c>
    </row>
    <row r="195" spans="48:62" ht="38.25" x14ac:dyDescent="0.25">
      <c r="AV195" s="169" t="s">
        <v>38</v>
      </c>
      <c r="AW195" s="170">
        <f>AZ24*0.01</f>
        <v>121</v>
      </c>
      <c r="AX195" s="170">
        <f>AZ26*0.01</f>
        <v>0</v>
      </c>
      <c r="BD195" s="450" t="s">
        <v>1650</v>
      </c>
      <c r="BE195" s="451" t="s">
        <v>1683</v>
      </c>
      <c r="BF195" s="451">
        <v>40</v>
      </c>
      <c r="BG195" s="451">
        <v>15</v>
      </c>
      <c r="BH195" s="451" t="s">
        <v>1695</v>
      </c>
      <c r="BI195" s="452" t="s">
        <v>1696</v>
      </c>
      <c r="BJ195" s="451" t="s">
        <v>1697</v>
      </c>
    </row>
    <row r="196" spans="48:62" ht="38.25" x14ac:dyDescent="0.25">
      <c r="AV196" s="169" t="s">
        <v>43</v>
      </c>
      <c r="AW196" s="170">
        <f>BA24*0.01</f>
        <v>106</v>
      </c>
      <c r="AX196" s="170">
        <f>BA26*0.01</f>
        <v>0</v>
      </c>
      <c r="BD196" s="450" t="s">
        <v>127</v>
      </c>
      <c r="BE196" s="453" t="s">
        <v>1684</v>
      </c>
      <c r="BF196" s="451">
        <v>30</v>
      </c>
      <c r="BG196" s="451">
        <v>13</v>
      </c>
      <c r="BH196" s="451" t="s">
        <v>1698</v>
      </c>
      <c r="BI196" s="451" t="s">
        <v>1699</v>
      </c>
      <c r="BJ196" s="451" t="s">
        <v>1685</v>
      </c>
    </row>
    <row r="197" spans="48:62" ht="38.25" x14ac:dyDescent="0.25">
      <c r="BD197" s="450" t="s">
        <v>128</v>
      </c>
      <c r="BE197" s="451" t="s">
        <v>1886</v>
      </c>
      <c r="BF197" s="451">
        <v>35</v>
      </c>
      <c r="BG197" s="451">
        <v>20</v>
      </c>
      <c r="BH197" s="451" t="s">
        <v>1887</v>
      </c>
      <c r="BI197" s="451" t="s">
        <v>1888</v>
      </c>
      <c r="BJ197" s="451" t="s">
        <v>1689</v>
      </c>
    </row>
    <row r="198" spans="48:62" ht="38.25" x14ac:dyDescent="0.25">
      <c r="BD198" s="450" t="s">
        <v>129</v>
      </c>
      <c r="BE198" s="451" t="s">
        <v>1889</v>
      </c>
      <c r="BF198" s="451">
        <v>40</v>
      </c>
      <c r="BG198" s="451">
        <v>18</v>
      </c>
      <c r="BH198" s="451" t="s">
        <v>1890</v>
      </c>
      <c r="BI198" s="451" t="s">
        <v>1891</v>
      </c>
      <c r="BJ198" s="451" t="s">
        <v>1892</v>
      </c>
    </row>
    <row r="199" spans="48:62" ht="38.25" x14ac:dyDescent="0.25">
      <c r="BD199" s="450" t="s">
        <v>13</v>
      </c>
      <c r="BE199" s="451" t="s">
        <v>1893</v>
      </c>
      <c r="BF199" s="451">
        <v>18</v>
      </c>
      <c r="BG199" s="451">
        <v>8</v>
      </c>
      <c r="BH199" s="451" t="s">
        <v>1894</v>
      </c>
      <c r="BI199" s="451" t="s">
        <v>1895</v>
      </c>
      <c r="BJ199" s="451" t="s">
        <v>1896</v>
      </c>
    </row>
    <row r="201" spans="48:62" ht="38.25" x14ac:dyDescent="0.25">
      <c r="BD201" s="43" t="s">
        <v>1897</v>
      </c>
      <c r="BE201" s="406"/>
      <c r="BF201" s="406"/>
      <c r="BG201" s="406"/>
      <c r="BH201" s="406"/>
      <c r="BI201" s="406"/>
      <c r="BJ201" s="406"/>
    </row>
    <row r="202" spans="48:62" ht="38.25" x14ac:dyDescent="0.25">
      <c r="BD202" s="406" t="s">
        <v>1898</v>
      </c>
      <c r="BE202" s="406"/>
      <c r="BF202" s="406"/>
      <c r="BG202" s="406"/>
      <c r="BH202" s="406"/>
      <c r="BI202" s="406"/>
      <c r="BJ202" s="406"/>
    </row>
    <row r="203" spans="48:62" ht="38.25" x14ac:dyDescent="0.25">
      <c r="BD203" s="427" t="s">
        <v>1899</v>
      </c>
      <c r="BE203" s="406"/>
      <c r="BF203" s="406"/>
      <c r="BG203" s="406"/>
      <c r="BH203" s="406"/>
      <c r="BI203" s="406"/>
      <c r="BJ203" s="406"/>
    </row>
    <row r="204" spans="48:62" ht="38.25" x14ac:dyDescent="0.25">
      <c r="BD204" s="427" t="s">
        <v>1900</v>
      </c>
      <c r="BE204" s="406"/>
      <c r="BF204" s="406"/>
      <c r="BG204" s="406"/>
      <c r="BH204" s="406"/>
      <c r="BI204" s="406"/>
      <c r="BJ204" s="406"/>
    </row>
    <row r="205" spans="48:62" ht="38.25" x14ac:dyDescent="0.25">
      <c r="BD205" s="427" t="s">
        <v>1901</v>
      </c>
      <c r="BE205" s="406"/>
      <c r="BF205" s="406"/>
      <c r="BG205" s="406"/>
      <c r="BH205" s="406"/>
      <c r="BI205" s="406"/>
      <c r="BJ205" s="406"/>
    </row>
    <row r="206" spans="48:62" ht="38.25" x14ac:dyDescent="0.25">
      <c r="BD206" s="427" t="s">
        <v>1902</v>
      </c>
      <c r="BE206" s="406"/>
      <c r="BF206" s="406"/>
      <c r="BG206" s="406"/>
      <c r="BH206" s="406"/>
      <c r="BI206" s="406"/>
      <c r="BJ206" s="406"/>
    </row>
    <row r="207" spans="48:62" ht="38.25" x14ac:dyDescent="0.25">
      <c r="BD207" s="427" t="s">
        <v>1903</v>
      </c>
      <c r="BE207" s="406"/>
      <c r="BF207" s="406"/>
      <c r="BG207" s="406"/>
      <c r="BH207" s="406"/>
      <c r="BI207" s="406"/>
      <c r="BJ207" s="406"/>
    </row>
    <row r="208" spans="48:62" ht="38.25" x14ac:dyDescent="0.25">
      <c r="BD208" s="427" t="s">
        <v>1957</v>
      </c>
      <c r="BE208" s="406"/>
      <c r="BF208" s="406"/>
      <c r="BG208" s="406"/>
      <c r="BH208" s="406"/>
      <c r="BI208" s="406"/>
    </row>
    <row r="209" spans="47:62" ht="38.25" x14ac:dyDescent="0.25">
      <c r="BD209" s="427" t="s">
        <v>1904</v>
      </c>
      <c r="BE209" s="406"/>
      <c r="BF209" s="406"/>
      <c r="BG209" s="406"/>
      <c r="BH209" s="406"/>
      <c r="BI209" s="406"/>
    </row>
    <row r="210" spans="47:62" ht="38.25" x14ac:dyDescent="0.25">
      <c r="BD210" s="427" t="s">
        <v>1905</v>
      </c>
      <c r="BE210" s="406"/>
      <c r="BF210" s="406"/>
      <c r="BG210" s="406"/>
      <c r="BH210" s="406"/>
      <c r="BI210" s="406"/>
    </row>
    <row r="212" spans="47:62" ht="38.25" x14ac:dyDescent="0.25">
      <c r="AU212" s="406" t="s">
        <v>1602</v>
      </c>
      <c r="AV212" s="406"/>
      <c r="AW212" s="406"/>
      <c r="AX212" s="406"/>
      <c r="AY212" s="406"/>
      <c r="AZ212" s="406"/>
      <c r="BA212" s="406"/>
    </row>
    <row r="213" spans="47:62" ht="38.25" x14ac:dyDescent="0.25">
      <c r="AU213" s="406" t="s">
        <v>1612</v>
      </c>
      <c r="AV213" s="406"/>
      <c r="AW213" s="406"/>
      <c r="AX213" s="406"/>
      <c r="AY213" s="406"/>
      <c r="AZ213" s="406"/>
      <c r="BA213" s="406"/>
      <c r="BD213" s="436" t="s">
        <v>1372</v>
      </c>
      <c r="BE213" s="406"/>
      <c r="BF213" s="406"/>
      <c r="BG213" s="406"/>
      <c r="BH213" s="406"/>
      <c r="BI213" s="406"/>
      <c r="BJ213" s="406"/>
    </row>
    <row r="214" spans="47:62" ht="38.25" x14ac:dyDescent="0.25">
      <c r="AU214" s="406" t="s">
        <v>1603</v>
      </c>
      <c r="AV214" s="406"/>
      <c r="AW214" s="406"/>
      <c r="AX214" s="406"/>
      <c r="AY214" s="406"/>
      <c r="AZ214" s="406"/>
      <c r="BA214" s="406"/>
      <c r="BD214" s="455">
        <v>2026</v>
      </c>
      <c r="BE214" s="455" t="s">
        <v>1954</v>
      </c>
      <c r="BF214" s="457" t="s">
        <v>1666</v>
      </c>
      <c r="BG214" s="458" t="s">
        <v>20</v>
      </c>
      <c r="BH214" s="458" t="s">
        <v>19</v>
      </c>
      <c r="BI214" s="459" t="s">
        <v>1953</v>
      </c>
      <c r="BJ214" s="406"/>
    </row>
    <row r="215" spans="47:62" ht="38.25" x14ac:dyDescent="0.25">
      <c r="AU215" s="406" t="s">
        <v>1355</v>
      </c>
      <c r="AV215" s="406" t="s">
        <v>1631</v>
      </c>
      <c r="AW215" s="406"/>
      <c r="AX215" s="406"/>
      <c r="AY215" s="406"/>
      <c r="AZ215" s="406"/>
      <c r="BA215" s="406"/>
      <c r="BD215" s="456" t="s">
        <v>34</v>
      </c>
      <c r="BE215" s="450">
        <v>107</v>
      </c>
      <c r="BF215" s="450">
        <v>105</v>
      </c>
      <c r="BG215" s="450">
        <v>9</v>
      </c>
      <c r="BH215" s="461">
        <v>2444</v>
      </c>
      <c r="BI215" s="460">
        <v>5</v>
      </c>
      <c r="BJ215" s="406"/>
    </row>
    <row r="216" spans="47:62" ht="38.25" x14ac:dyDescent="0.25">
      <c r="AU216" s="406"/>
      <c r="AV216" s="406" t="s">
        <v>1615</v>
      </c>
      <c r="AW216" s="406"/>
      <c r="AX216" s="406"/>
      <c r="AY216" s="406"/>
      <c r="AZ216" s="406"/>
      <c r="BA216" s="406"/>
      <c r="BD216" s="456" t="s">
        <v>8</v>
      </c>
      <c r="BE216" s="450">
        <v>88</v>
      </c>
      <c r="BF216" s="450">
        <v>87</v>
      </c>
      <c r="BG216" s="450">
        <v>14</v>
      </c>
      <c r="BH216" s="461">
        <v>3194</v>
      </c>
      <c r="BI216" s="460">
        <v>9</v>
      </c>
      <c r="BJ216" s="406"/>
    </row>
    <row r="217" spans="47:62" ht="38.25" x14ac:dyDescent="0.25">
      <c r="AU217" s="406"/>
      <c r="AV217" s="406" t="s">
        <v>1613</v>
      </c>
      <c r="AW217" s="406"/>
      <c r="AX217" s="406"/>
      <c r="AY217" s="406"/>
      <c r="AZ217" s="406"/>
      <c r="BA217" s="406"/>
      <c r="BD217" s="456" t="s">
        <v>1650</v>
      </c>
      <c r="BE217" s="450">
        <v>150</v>
      </c>
      <c r="BF217" s="450">
        <v>183</v>
      </c>
      <c r="BG217" s="450">
        <v>14</v>
      </c>
      <c r="BH217" s="461">
        <v>4637</v>
      </c>
      <c r="BI217" s="460">
        <v>4</v>
      </c>
      <c r="BJ217" s="406"/>
    </row>
    <row r="218" spans="47:62" ht="38.25" x14ac:dyDescent="0.25">
      <c r="AU218" s="406"/>
      <c r="AV218" s="406" t="s">
        <v>1614</v>
      </c>
      <c r="AW218" s="406"/>
      <c r="AX218" s="406"/>
      <c r="AY218" s="406"/>
      <c r="AZ218" s="406"/>
      <c r="BA218" s="406"/>
      <c r="BD218" s="456" t="s">
        <v>127</v>
      </c>
      <c r="BE218" s="450">
        <v>122</v>
      </c>
      <c r="BF218" s="450">
        <v>115</v>
      </c>
      <c r="BG218" s="450">
        <v>10</v>
      </c>
      <c r="BH218" s="461">
        <v>1590</v>
      </c>
      <c r="BI218" s="460">
        <v>6</v>
      </c>
      <c r="BJ218" s="406"/>
    </row>
    <row r="219" spans="47:62" ht="38.25" x14ac:dyDescent="0.25">
      <c r="AU219" s="406"/>
      <c r="AV219" s="406" t="s">
        <v>1632</v>
      </c>
      <c r="AW219" s="406"/>
      <c r="AX219" s="406"/>
      <c r="AY219" s="406"/>
      <c r="AZ219" s="406"/>
      <c r="BA219" s="406"/>
      <c r="BD219" s="456" t="s">
        <v>128</v>
      </c>
      <c r="BE219" s="450">
        <v>77</v>
      </c>
      <c r="BF219" s="450">
        <v>103</v>
      </c>
      <c r="BG219" s="450">
        <v>10</v>
      </c>
      <c r="BH219" s="461">
        <v>1367</v>
      </c>
      <c r="BI219" s="460">
        <v>5</v>
      </c>
      <c r="BJ219" s="406"/>
    </row>
    <row r="220" spans="47:62" ht="38.25" x14ac:dyDescent="0.25">
      <c r="AU220" s="406" t="s">
        <v>1356</v>
      </c>
      <c r="AV220" s="406"/>
      <c r="AW220" s="406"/>
      <c r="AX220" s="406"/>
      <c r="AY220" s="406"/>
      <c r="AZ220" s="406"/>
      <c r="BA220" s="406"/>
      <c r="BD220" s="456" t="s">
        <v>129</v>
      </c>
      <c r="BE220" s="450">
        <v>81</v>
      </c>
      <c r="BF220" s="450">
        <v>116</v>
      </c>
      <c r="BG220" s="450">
        <v>8</v>
      </c>
      <c r="BH220" s="461">
        <v>1814</v>
      </c>
      <c r="BI220" s="460">
        <v>6</v>
      </c>
      <c r="BJ220" s="406"/>
    </row>
    <row r="221" spans="47:62" ht="38.25" x14ac:dyDescent="0.25">
      <c r="AU221" s="406" t="s">
        <v>1607</v>
      </c>
      <c r="AV221" s="406"/>
      <c r="AW221" s="406"/>
      <c r="AX221" s="406"/>
      <c r="AY221" s="406"/>
      <c r="AZ221" s="406"/>
      <c r="BD221" s="456" t="s">
        <v>13</v>
      </c>
      <c r="BE221" s="450">
        <v>126</v>
      </c>
      <c r="BF221" s="450">
        <v>151</v>
      </c>
      <c r="BG221" s="450">
        <v>7</v>
      </c>
      <c r="BH221" s="461">
        <v>1880</v>
      </c>
      <c r="BI221" s="460">
        <v>6</v>
      </c>
      <c r="BJ221" s="406"/>
    </row>
    <row r="222" spans="47:62" ht="38.25" x14ac:dyDescent="0.25">
      <c r="AU222" s="406" t="s">
        <v>1604</v>
      </c>
      <c r="AV222" s="406"/>
      <c r="AW222" s="406"/>
      <c r="AX222" s="406"/>
      <c r="AY222" s="406"/>
      <c r="AZ222" s="406"/>
      <c r="BA222" s="406"/>
      <c r="BD222" s="406"/>
      <c r="BE222" s="406"/>
      <c r="BF222" s="406"/>
      <c r="BG222" s="406"/>
      <c r="BH222" s="406"/>
      <c r="BI222" s="406"/>
      <c r="BJ222" s="406"/>
    </row>
    <row r="223" spans="47:62" ht="38.25" x14ac:dyDescent="0.25">
      <c r="AU223" s="406" t="s">
        <v>1605</v>
      </c>
      <c r="BA223" s="406"/>
      <c r="BD223" s="406" t="s">
        <v>1944</v>
      </c>
      <c r="BE223" s="406"/>
      <c r="BF223" s="406"/>
      <c r="BG223" s="406"/>
      <c r="BH223" s="406"/>
      <c r="BI223" s="406"/>
      <c r="BJ223" s="406"/>
    </row>
    <row r="224" spans="47:62" ht="38.25" x14ac:dyDescent="0.25">
      <c r="AU224" s="406" t="s">
        <v>1606</v>
      </c>
      <c r="BA224" s="406"/>
      <c r="BD224" s="406" t="s">
        <v>1945</v>
      </c>
      <c r="BE224" s="406"/>
      <c r="BF224" s="406"/>
      <c r="BG224" s="406"/>
      <c r="BH224" s="406"/>
      <c r="BI224" s="406"/>
      <c r="BJ224" s="406"/>
    </row>
    <row r="225" spans="47:62" ht="38.25" x14ac:dyDescent="0.25">
      <c r="AU225" s="406" t="s">
        <v>1633</v>
      </c>
      <c r="BA225" s="406"/>
      <c r="BD225" s="406" t="s">
        <v>1355</v>
      </c>
      <c r="BE225" s="406"/>
      <c r="BF225" s="406"/>
      <c r="BG225" s="406"/>
      <c r="BH225" s="406"/>
      <c r="BI225" s="406"/>
      <c r="BJ225" s="406"/>
    </row>
    <row r="226" spans="47:62" ht="38.25" x14ac:dyDescent="0.25">
      <c r="AU226" s="406"/>
      <c r="BA226" s="406"/>
      <c r="BD226" s="454" t="s">
        <v>1951</v>
      </c>
      <c r="BE226" s="406"/>
      <c r="BF226" s="406"/>
      <c r="BG226" s="406"/>
      <c r="BH226" s="406"/>
      <c r="BI226" s="406"/>
      <c r="BJ226" s="406"/>
    </row>
    <row r="227" spans="47:62" ht="38.25" x14ac:dyDescent="0.25">
      <c r="AU227" s="436" t="str">
        <f>"  - 외주파트 : "&amp;TEXT(INDEX(정리base!E97:P97,MATCH(AU86,정리base!E86:P86,0)),"#,##0")&amp;"kW"</f>
        <v xml:space="preserve">  - 외주파트 : 0kW</v>
      </c>
      <c r="AV227" s="406"/>
      <c r="AW227" s="406"/>
      <c r="AX227" s="406"/>
      <c r="AY227" s="406"/>
      <c r="AZ227" s="406"/>
      <c r="BA227" s="406"/>
      <c r="BD227" s="454" t="s">
        <v>1952</v>
      </c>
      <c r="BE227" s="406"/>
      <c r="BF227" s="406"/>
      <c r="BG227" s="406"/>
      <c r="BH227" s="406"/>
      <c r="BI227" s="406"/>
      <c r="BJ227" s="406"/>
    </row>
    <row r="228" spans="47:62" ht="38.25" x14ac:dyDescent="0.25">
      <c r="AU228" s="406" t="s">
        <v>1623</v>
      </c>
      <c r="AV228" s="406"/>
      <c r="AW228" s="406"/>
      <c r="AX228" s="406"/>
      <c r="AY228" s="406"/>
      <c r="AZ228" s="406"/>
      <c r="BA228" s="406"/>
      <c r="BD228" s="462" t="s">
        <v>1955</v>
      </c>
      <c r="BE228" s="406"/>
      <c r="BF228" s="406"/>
      <c r="BG228" s="406"/>
      <c r="BH228" s="406"/>
      <c r="BI228" s="406"/>
      <c r="BJ228" s="406"/>
    </row>
    <row r="229" spans="47:62" ht="38.25" x14ac:dyDescent="0.25">
      <c r="AU229" s="406" t="s">
        <v>1624</v>
      </c>
      <c r="AV229" s="406"/>
      <c r="AW229" s="406"/>
      <c r="AX229" s="406"/>
      <c r="AY229" s="406"/>
      <c r="AZ229" s="406"/>
      <c r="BA229" s="406"/>
      <c r="BD229" s="462" t="s">
        <v>1956</v>
      </c>
      <c r="BE229" s="406"/>
      <c r="BF229" s="406"/>
      <c r="BG229" s="406"/>
      <c r="BH229" s="406"/>
      <c r="BI229" s="406"/>
      <c r="BJ229" s="406"/>
    </row>
    <row r="230" spans="47:62" ht="38.25" x14ac:dyDescent="0.25">
      <c r="AU230" s="406" t="s">
        <v>1355</v>
      </c>
      <c r="AV230" s="406" t="s">
        <v>1626</v>
      </c>
      <c r="AW230" s="406"/>
      <c r="AX230" s="406"/>
      <c r="AY230" s="406"/>
      <c r="AZ230" s="406"/>
      <c r="BA230" s="406"/>
      <c r="BD230" s="406" t="s">
        <v>1356</v>
      </c>
      <c r="BF230" s="406"/>
      <c r="BG230" s="406"/>
      <c r="BH230" s="406"/>
      <c r="BI230" s="406"/>
      <c r="BJ230" s="406"/>
    </row>
    <row r="231" spans="47:62" ht="38.25" x14ac:dyDescent="0.25">
      <c r="AU231" s="406"/>
      <c r="AV231" s="406" t="s">
        <v>1625</v>
      </c>
      <c r="AW231" s="406"/>
      <c r="AX231" s="406"/>
      <c r="AY231" s="406"/>
      <c r="AZ231" s="406"/>
      <c r="BA231" s="406"/>
      <c r="BD231" s="406" t="s">
        <v>1946</v>
      </c>
      <c r="BF231" s="406"/>
      <c r="BG231" s="406"/>
      <c r="BH231" s="406"/>
      <c r="BI231" s="406"/>
      <c r="BJ231" s="406"/>
    </row>
    <row r="232" spans="47:62" ht="38.25" x14ac:dyDescent="0.25">
      <c r="AU232" s="406" t="s">
        <v>1356</v>
      </c>
      <c r="AV232" s="406" t="s">
        <v>1628</v>
      </c>
      <c r="AW232" s="406"/>
      <c r="AX232" s="406"/>
      <c r="AY232" s="406"/>
      <c r="AZ232" s="406"/>
      <c r="BA232" s="406"/>
      <c r="BD232" s="406" t="s">
        <v>1947</v>
      </c>
      <c r="BF232" s="406"/>
      <c r="BG232" s="406"/>
      <c r="BH232" s="406"/>
      <c r="BI232" s="406"/>
      <c r="BJ232" s="406"/>
    </row>
    <row r="233" spans="47:62" ht="38.25" x14ac:dyDescent="0.25">
      <c r="AU233" s="406"/>
      <c r="AV233" s="406" t="s">
        <v>1627</v>
      </c>
      <c r="AW233" s="406"/>
      <c r="AX233" s="406"/>
      <c r="AY233" s="406"/>
      <c r="AZ233" s="406"/>
      <c r="BD233" s="406" t="s">
        <v>1948</v>
      </c>
      <c r="BF233" s="406"/>
      <c r="BG233" s="406"/>
      <c r="BH233" s="406"/>
      <c r="BI233" s="406"/>
      <c r="BJ233" s="406"/>
    </row>
    <row r="234" spans="47:62" ht="38.25" x14ac:dyDescent="0.25">
      <c r="AU234" s="406" t="s">
        <v>1229</v>
      </c>
      <c r="AV234" s="406" t="s">
        <v>1629</v>
      </c>
      <c r="AW234" s="406"/>
      <c r="AX234" s="406"/>
      <c r="AY234" s="406"/>
      <c r="AZ234" s="406"/>
      <c r="BA234" s="406"/>
      <c r="BD234" s="406" t="s">
        <v>1949</v>
      </c>
      <c r="BF234" s="406"/>
      <c r="BG234" s="406"/>
      <c r="BH234" s="406"/>
      <c r="BI234" s="406"/>
      <c r="BJ234" s="406"/>
    </row>
    <row r="235" spans="47:62" ht="38.25" x14ac:dyDescent="0.25">
      <c r="AU235" s="406"/>
      <c r="AV235" s="406" t="s">
        <v>1630</v>
      </c>
      <c r="AW235" s="406"/>
      <c r="AX235" s="406"/>
      <c r="AY235" s="406"/>
      <c r="AZ235" s="406"/>
      <c r="BA235" s="406"/>
      <c r="BD235" s="406" t="s">
        <v>1950</v>
      </c>
      <c r="BE235" s="406"/>
      <c r="BF235" s="406"/>
      <c r="BG235" s="406"/>
      <c r="BH235" s="406"/>
      <c r="BI235" s="406"/>
      <c r="BJ235" s="406"/>
    </row>
    <row r="236" spans="47:62" ht="38.25" x14ac:dyDescent="0.25">
      <c r="BA236" s="406"/>
    </row>
    <row r="237" spans="47:62" ht="38.25" x14ac:dyDescent="0.25">
      <c r="AU237" s="43" t="s">
        <v>1601</v>
      </c>
      <c r="AV237" s="406"/>
      <c r="AW237" s="406"/>
      <c r="AX237" s="406"/>
      <c r="AY237" s="406"/>
      <c r="AZ237" s="406"/>
      <c r="BA237" s="406"/>
      <c r="BD237" s="436" t="s">
        <v>1675</v>
      </c>
    </row>
    <row r="238" spans="47:62" ht="38.25" x14ac:dyDescent="0.25">
      <c r="AU238" s="427" t="s">
        <v>1634</v>
      </c>
      <c r="AV238" s="406"/>
      <c r="AW238" s="406"/>
      <c r="AX238" s="406"/>
      <c r="AY238" s="406"/>
      <c r="AZ238" s="406"/>
      <c r="BA238" s="406"/>
      <c r="BD238" s="455">
        <v>2026</v>
      </c>
      <c r="BE238" s="463" t="s">
        <v>1958</v>
      </c>
      <c r="BF238" s="463" t="s">
        <v>1959</v>
      </c>
      <c r="BG238" s="463" t="s">
        <v>1182</v>
      </c>
      <c r="BH238" s="464" t="s">
        <v>20</v>
      </c>
      <c r="BI238" s="464" t="s">
        <v>19</v>
      </c>
      <c r="BJ238" s="464" t="s">
        <v>1960</v>
      </c>
    </row>
    <row r="239" spans="47:62" ht="38.25" x14ac:dyDescent="0.25">
      <c r="AU239" s="427" t="s">
        <v>1620</v>
      </c>
      <c r="AV239" s="406"/>
      <c r="AW239" s="406"/>
      <c r="AX239" s="406"/>
      <c r="AY239" s="406"/>
      <c r="AZ239" s="406"/>
      <c r="BA239" s="406"/>
      <c r="BD239" s="456" t="s">
        <v>34</v>
      </c>
      <c r="BE239" s="450">
        <v>2</v>
      </c>
      <c r="BF239" s="450">
        <v>1</v>
      </c>
      <c r="BG239" s="450">
        <v>0</v>
      </c>
      <c r="BH239" s="450">
        <v>1</v>
      </c>
      <c r="BI239" s="461">
        <v>250</v>
      </c>
      <c r="BJ239" s="461">
        <v>0</v>
      </c>
    </row>
    <row r="240" spans="47:62" ht="38.25" x14ac:dyDescent="0.25">
      <c r="AU240" s="406" t="s">
        <v>1621</v>
      </c>
      <c r="AV240" s="406"/>
      <c r="AW240" s="406"/>
      <c r="AX240" s="406"/>
      <c r="AY240" s="406"/>
      <c r="AZ240" s="406"/>
      <c r="BA240" s="406"/>
      <c r="BD240" s="456" t="s">
        <v>8</v>
      </c>
      <c r="BE240" s="450">
        <v>1</v>
      </c>
      <c r="BF240" s="450">
        <v>3</v>
      </c>
      <c r="BG240" s="450">
        <v>1</v>
      </c>
      <c r="BH240" s="450">
        <v>1</v>
      </c>
      <c r="BI240" s="461">
        <v>3900</v>
      </c>
      <c r="BJ240" s="461" t="s">
        <v>1961</v>
      </c>
    </row>
    <row r="241" spans="47:62" ht="38.25" x14ac:dyDescent="0.25">
      <c r="AU241" s="406" t="s">
        <v>1616</v>
      </c>
      <c r="AV241" s="406"/>
      <c r="AW241" s="406"/>
      <c r="AX241" s="406"/>
      <c r="AY241" s="406"/>
      <c r="AZ241" s="406"/>
      <c r="BA241" s="406"/>
      <c r="BD241" s="456" t="s">
        <v>1650</v>
      </c>
      <c r="BE241" s="450">
        <v>0</v>
      </c>
      <c r="BF241" s="450">
        <v>0</v>
      </c>
      <c r="BG241" s="450">
        <v>3</v>
      </c>
      <c r="BH241" s="450">
        <v>2</v>
      </c>
      <c r="BI241" s="461">
        <v>1000</v>
      </c>
      <c r="BJ241" s="461">
        <v>0</v>
      </c>
    </row>
    <row r="242" spans="47:62" ht="38.25" x14ac:dyDescent="0.25">
      <c r="AU242" s="406" t="s">
        <v>1617</v>
      </c>
      <c r="AV242" s="406"/>
      <c r="AW242" s="406"/>
      <c r="AX242" s="406"/>
      <c r="AY242" s="406"/>
      <c r="AZ242" s="406"/>
      <c r="BA242" s="406"/>
      <c r="BD242" s="456" t="s">
        <v>127</v>
      </c>
      <c r="BE242" s="450">
        <v>2</v>
      </c>
      <c r="BF242" s="450">
        <v>1</v>
      </c>
      <c r="BG242" s="450">
        <v>1</v>
      </c>
      <c r="BH242" s="450">
        <v>2</v>
      </c>
      <c r="BI242" s="461">
        <v>851</v>
      </c>
      <c r="BJ242" s="461">
        <v>0</v>
      </c>
    </row>
    <row r="243" spans="47:62" ht="38.25" x14ac:dyDescent="0.25">
      <c r="AU243" s="406" t="s">
        <v>1618</v>
      </c>
      <c r="AV243" s="406"/>
      <c r="AW243" s="406"/>
      <c r="AX243" s="406"/>
      <c r="AY243" s="406"/>
      <c r="AZ243" s="406"/>
      <c r="BA243" s="406"/>
      <c r="BD243" s="456" t="s">
        <v>128</v>
      </c>
      <c r="BE243" s="450">
        <v>1</v>
      </c>
      <c r="BF243" s="450">
        <v>0</v>
      </c>
      <c r="BG243" s="450">
        <v>1</v>
      </c>
      <c r="BH243" s="461">
        <v>0</v>
      </c>
      <c r="BI243" s="461">
        <v>0</v>
      </c>
      <c r="BJ243" s="461" t="s">
        <v>1962</v>
      </c>
    </row>
    <row r="244" spans="47:62" ht="38.25" x14ac:dyDescent="0.25">
      <c r="AU244" s="406" t="s">
        <v>1619</v>
      </c>
      <c r="BD244" s="456" t="s">
        <v>129</v>
      </c>
      <c r="BE244" s="450">
        <v>2</v>
      </c>
      <c r="BF244" s="450">
        <v>1</v>
      </c>
      <c r="BG244" s="450">
        <v>0</v>
      </c>
      <c r="BH244" s="461">
        <v>0</v>
      </c>
      <c r="BI244" s="461">
        <v>0</v>
      </c>
      <c r="BJ244" s="461" t="s">
        <v>1963</v>
      </c>
    </row>
    <row r="245" spans="47:62" ht="38.25" x14ac:dyDescent="0.25">
      <c r="AU245" s="406" t="s">
        <v>1622</v>
      </c>
      <c r="BD245" s="456" t="s">
        <v>13</v>
      </c>
      <c r="BE245" s="450">
        <v>0</v>
      </c>
      <c r="BF245" s="450">
        <v>0</v>
      </c>
      <c r="BG245" s="450">
        <v>1</v>
      </c>
      <c r="BH245" s="461">
        <v>0</v>
      </c>
      <c r="BI245" s="461">
        <v>0</v>
      </c>
      <c r="BJ245" s="461">
        <v>0</v>
      </c>
    </row>
    <row r="246" spans="47:62" ht="38.25" x14ac:dyDescent="0.25">
      <c r="AU246" s="406"/>
      <c r="BD246" s="406" t="s">
        <v>1964</v>
      </c>
    </row>
    <row r="247" spans="47:62" ht="38.25" x14ac:dyDescent="0.25">
      <c r="BD247" s="406" t="s">
        <v>1965</v>
      </c>
      <c r="BE247" s="406"/>
      <c r="BF247" s="406"/>
      <c r="BG247" s="406"/>
      <c r="BH247" s="406"/>
      <c r="BI247" s="406"/>
      <c r="BJ247" s="406"/>
    </row>
    <row r="248" spans="47:62" ht="38.25" x14ac:dyDescent="0.25">
      <c r="AU248" s="436" t="s">
        <v>1611</v>
      </c>
      <c r="BD248" s="454" t="s">
        <v>1966</v>
      </c>
      <c r="BE248" s="405"/>
      <c r="BF248" s="405"/>
      <c r="BG248" s="405"/>
      <c r="BH248" s="405"/>
      <c r="BI248" s="405"/>
      <c r="BJ248" s="405"/>
    </row>
    <row r="249" spans="47:62" ht="38.25" x14ac:dyDescent="0.25">
      <c r="AU249" s="406" t="s">
        <v>1608</v>
      </c>
      <c r="BD249" s="454" t="s">
        <v>1967</v>
      </c>
      <c r="BE249" s="405"/>
      <c r="BF249" s="405"/>
      <c r="BG249" s="405"/>
      <c r="BH249" s="405"/>
      <c r="BI249" s="405"/>
      <c r="BJ249" s="405"/>
    </row>
    <row r="250" spans="47:62" ht="38.25" x14ac:dyDescent="0.25">
      <c r="AU250" s="406" t="s">
        <v>1609</v>
      </c>
      <c r="BD250" s="454" t="s">
        <v>1968</v>
      </c>
      <c r="BE250" s="405"/>
      <c r="BF250" s="405"/>
      <c r="BG250" s="405"/>
      <c r="BH250" s="405"/>
      <c r="BI250" s="405"/>
      <c r="BJ250" s="405"/>
    </row>
    <row r="251" spans="47:62" ht="38.25" x14ac:dyDescent="0.25">
      <c r="AU251" s="406" t="s">
        <v>1610</v>
      </c>
      <c r="BD251" s="454" t="s">
        <v>1969</v>
      </c>
      <c r="BE251" s="405"/>
      <c r="BF251" s="405"/>
      <c r="BG251" s="405"/>
      <c r="BH251" s="405"/>
      <c r="BI251" s="405"/>
      <c r="BJ251" s="405"/>
    </row>
    <row r="252" spans="47:62" ht="38.25" x14ac:dyDescent="0.25">
      <c r="AU252" s="406"/>
      <c r="BD252" s="454" t="s">
        <v>1970</v>
      </c>
      <c r="BE252" s="405"/>
      <c r="BF252" s="405"/>
      <c r="BG252" s="405"/>
      <c r="BH252" s="405"/>
      <c r="BI252" s="405"/>
      <c r="BJ252" s="405"/>
    </row>
    <row r="253" spans="47:62" ht="38.25" x14ac:dyDescent="0.25">
      <c r="BD253" s="454" t="s">
        <v>1971</v>
      </c>
      <c r="BE253" s="405"/>
      <c r="BF253" s="405"/>
      <c r="BG253" s="405"/>
      <c r="BH253" s="405"/>
      <c r="BI253" s="405"/>
      <c r="BJ253" s="405"/>
    </row>
    <row r="254" spans="47:62" ht="38.25" x14ac:dyDescent="0.25">
      <c r="AU254" s="43" t="s">
        <v>1403</v>
      </c>
      <c r="BD254" s="454" t="s">
        <v>1972</v>
      </c>
      <c r="BE254" s="405"/>
      <c r="BF254" s="405"/>
    </row>
    <row r="255" spans="47:62" ht="38.25" x14ac:dyDescent="0.25">
      <c r="AU255" s="427" t="s">
        <v>1635</v>
      </c>
      <c r="BD255" s="406" t="s">
        <v>1973</v>
      </c>
    </row>
    <row r="256" spans="47:62" ht="38.25" x14ac:dyDescent="0.25">
      <c r="AU256" s="427" t="s">
        <v>1404</v>
      </c>
      <c r="BD256" s="454" t="s">
        <v>1974</v>
      </c>
    </row>
    <row r="257" spans="47:56" ht="38.25" x14ac:dyDescent="0.25">
      <c r="AU257" s="427" t="s">
        <v>1405</v>
      </c>
      <c r="BD257" s="454" t="s">
        <v>1975</v>
      </c>
    </row>
    <row r="258" spans="47:56" ht="38.25" x14ac:dyDescent="0.25">
      <c r="BD258" s="454" t="s">
        <v>1976</v>
      </c>
    </row>
  </sheetData>
  <mergeCells count="12">
    <mergeCell ref="BD2:BJ2"/>
    <mergeCell ref="B2:H2"/>
    <mergeCell ref="K2:Q2"/>
    <mergeCell ref="T2:Z2"/>
    <mergeCell ref="AC2:AI2"/>
    <mergeCell ref="AU2:BA2"/>
    <mergeCell ref="AL2:AR2"/>
    <mergeCell ref="BM2:BS2"/>
    <mergeCell ref="BV2:CB2"/>
    <mergeCell ref="CE2:CK2"/>
    <mergeCell ref="CN2:CT2"/>
    <mergeCell ref="CW2:DC2"/>
  </mergeCells>
  <phoneticPr fontId="7" type="noConversion"/>
  <printOptions horizontalCentered="1"/>
  <pageMargins left="0.25" right="0.25" top="0.75" bottom="0.75" header="0.3" footer="0.3"/>
  <pageSetup paperSize="9" scale="35" fitToWidth="0" orientation="portrait" r:id="rId1"/>
  <rowBreaks count="3" manualBreakCount="3">
    <brk id="93" max="16383" man="1"/>
    <brk id="94" min="37" max="43" man="1"/>
    <brk id="94" min="46" max="5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04"/>
  <sheetViews>
    <sheetView zoomScale="85" zoomScaleNormal="85" workbookViewId="0">
      <selection activeCell="M15" sqref="M15"/>
    </sheetView>
  </sheetViews>
  <sheetFormatPr defaultRowHeight="13.5" x14ac:dyDescent="0.25"/>
  <cols>
    <col min="1" max="1" width="3.7109375" customWidth="1"/>
    <col min="2" max="3" width="5.7109375" customWidth="1"/>
    <col min="4" max="4" width="13.7109375" customWidth="1"/>
    <col min="5" max="5" width="14.85546875" customWidth="1"/>
    <col min="6" max="19" width="13.7109375" customWidth="1"/>
    <col min="20" max="20" width="14.140625" customWidth="1"/>
    <col min="21" max="21" width="15.140625" customWidth="1"/>
    <col min="22" max="22" width="12.7109375" customWidth="1"/>
    <col min="23" max="23" width="9.140625" customWidth="1"/>
    <col min="24" max="24" width="14.28515625" customWidth="1"/>
    <col min="25" max="25" width="16.28515625" customWidth="1"/>
    <col min="26" max="26" width="13.42578125" customWidth="1"/>
    <col min="27" max="28" width="9.140625" customWidth="1"/>
    <col min="29" max="31" width="9.140625" hidden="1" customWidth="1"/>
    <col min="32" max="32" width="9.140625" customWidth="1"/>
    <col min="33" max="36" width="12.7109375" customWidth="1"/>
    <col min="37" max="37" width="9.140625" customWidth="1"/>
    <col min="38" max="41" width="12.7109375" customWidth="1"/>
  </cols>
  <sheetData>
    <row r="1" spans="4:41" ht="21.75" customHeight="1" x14ac:dyDescent="0.25">
      <c r="L1" s="277">
        <v>130000</v>
      </c>
    </row>
    <row r="2" spans="4:41" ht="18" thickBot="1" x14ac:dyDescent="0.3">
      <c r="D2" s="26" t="s">
        <v>256</v>
      </c>
      <c r="E2" s="26"/>
      <c r="F2" s="229">
        <f>(E12+F12)/(E5+F5)</f>
        <v>0.96318441295546553</v>
      </c>
      <c r="G2" s="229"/>
      <c r="H2" s="229"/>
      <c r="I2" s="229"/>
      <c r="J2" s="229"/>
      <c r="K2" s="229"/>
      <c r="L2" s="278">
        <f>SUM(E12:L12)</f>
        <v>74428.334999999992</v>
      </c>
      <c r="M2" s="229"/>
      <c r="N2" s="229"/>
      <c r="O2" s="26"/>
      <c r="P2" s="26"/>
      <c r="Q2" s="26"/>
      <c r="R2" s="28"/>
      <c r="S2" s="27"/>
      <c r="X2">
        <v>1E-3</v>
      </c>
      <c r="AG2">
        <v>1E-3</v>
      </c>
      <c r="AH2" s="402">
        <v>8</v>
      </c>
      <c r="AL2">
        <v>1E-3</v>
      </c>
      <c r="AM2" s="402">
        <v>8</v>
      </c>
    </row>
    <row r="3" spans="4:41" ht="27.75" thickBot="1" x14ac:dyDescent="0.3">
      <c r="D3" s="25" t="s">
        <v>6</v>
      </c>
      <c r="E3" s="398">
        <v>1</v>
      </c>
      <c r="F3" s="399">
        <v>2</v>
      </c>
      <c r="G3" s="400">
        <v>3</v>
      </c>
      <c r="H3" s="399">
        <v>4</v>
      </c>
      <c r="I3" s="399">
        <v>5</v>
      </c>
      <c r="J3" s="399">
        <v>6</v>
      </c>
      <c r="K3" s="399">
        <v>7</v>
      </c>
      <c r="L3" s="399">
        <v>8</v>
      </c>
      <c r="M3" s="399">
        <v>9</v>
      </c>
      <c r="N3" s="399">
        <v>10</v>
      </c>
      <c r="O3" s="399">
        <v>11</v>
      </c>
      <c r="P3" s="399">
        <v>12</v>
      </c>
      <c r="Q3" s="1" t="s">
        <v>3</v>
      </c>
      <c r="R3" s="38" t="s">
        <v>41</v>
      </c>
      <c r="T3" s="2"/>
      <c r="X3" s="209"/>
      <c r="Y3" s="209" t="s">
        <v>1153</v>
      </c>
      <c r="Z3" s="391" t="s">
        <v>19</v>
      </c>
      <c r="AA3" s="209" t="s">
        <v>122</v>
      </c>
      <c r="AG3" s="209"/>
      <c r="AH3" s="195" t="s">
        <v>1158</v>
      </c>
      <c r="AI3" s="397" t="s">
        <v>1159</v>
      </c>
      <c r="AJ3" s="209" t="s">
        <v>122</v>
      </c>
      <c r="AL3" s="209"/>
      <c r="AM3" s="195" t="s">
        <v>1160</v>
      </c>
      <c r="AN3" s="397" t="s">
        <v>1161</v>
      </c>
      <c r="AO3" s="209" t="s">
        <v>122</v>
      </c>
    </row>
    <row r="4" spans="4:41" ht="27.75" thickTop="1" thickBot="1" x14ac:dyDescent="0.3">
      <c r="D4" s="411" t="s">
        <v>1236</v>
      </c>
      <c r="E4" s="412">
        <f>E5</f>
        <v>12100</v>
      </c>
      <c r="F4" s="412">
        <f>SUM(E5:F5)</f>
        <v>24700</v>
      </c>
      <c r="G4" s="412">
        <f>SUM(E5:G5)</f>
        <v>39300</v>
      </c>
      <c r="H4" s="412">
        <f>SUM(E5:H5)</f>
        <v>52700</v>
      </c>
      <c r="I4" s="412">
        <f>SUM(E5:I5)</f>
        <v>66100</v>
      </c>
      <c r="J4" s="412">
        <f>SUM(E5:J5)</f>
        <v>80500</v>
      </c>
      <c r="K4" s="412">
        <f>SUM(E5:K5)</f>
        <v>91300</v>
      </c>
      <c r="L4" s="412">
        <f>SUM(E5:L5)</f>
        <v>102100</v>
      </c>
      <c r="M4" s="412">
        <f>SUM(E5:M5)</f>
        <v>114200</v>
      </c>
      <c r="N4" s="412">
        <f>SUM(E5:N5)</f>
        <v>127300</v>
      </c>
      <c r="O4" s="412">
        <f>SUM(E5:O5)</f>
        <v>139400</v>
      </c>
      <c r="P4" s="412">
        <f>SUM(E5:P5)</f>
        <v>150000</v>
      </c>
      <c r="Q4" s="413"/>
      <c r="R4" s="38"/>
      <c r="T4" s="2"/>
      <c r="X4" s="392" t="s">
        <v>1154</v>
      </c>
      <c r="Y4" s="393">
        <f>IF(COUNT(E5:G5)=0,"",SUM(E5:G5)*X2)</f>
        <v>39.300000000000004</v>
      </c>
      <c r="Z4" s="393">
        <f>IF(COUNT(E12:G12)=0,"",SUM(E12:G12)*X2)</f>
        <v>39.08292999999999</v>
      </c>
      <c r="AA4" s="394">
        <f>Z4/Y4</f>
        <v>0.9944765903307885</v>
      </c>
      <c r="AG4" s="392" t="s">
        <v>181</v>
      </c>
      <c r="AH4" s="393">
        <f>IFERROR(INDEX(E5:P5, MATCH($AH$2, $E$3:$P$3, 0)) * $AG$2, "")</f>
        <v>10.8</v>
      </c>
      <c r="AI4" s="393">
        <f>IFERROR(INDEX(E12:P12, MATCH($AH$2, $E$3:$P$3, 0)) * $AG$2, "")</f>
        <v>5.8617599999999994</v>
      </c>
      <c r="AJ4" s="394">
        <f>AI4/AH4</f>
        <v>0.54275555555555544</v>
      </c>
      <c r="AL4" s="392" t="s">
        <v>181</v>
      </c>
      <c r="AM4" s="393">
        <f>IFERROR(SUM(INDEX(E5:P5,1):INDEX(E5:P5,MATCH($AM$2,$E$3:$P$3,0))) * $AL$2,"")</f>
        <v>102.10000000000001</v>
      </c>
      <c r="AN4" s="393">
        <f>IFERROR(SUM(INDEX(E12:P12,1):INDEX(E12:P12,MATCH($AM$2,$E$3:$P$3,0))) * $AL$2,"")</f>
        <v>74.42833499999999</v>
      </c>
      <c r="AO4" s="394">
        <f>AN4/AM4</f>
        <v>0.72897487757100865</v>
      </c>
    </row>
    <row r="5" spans="4:41" ht="21" customHeight="1" x14ac:dyDescent="0.25">
      <c r="D5" s="408" t="s">
        <v>121</v>
      </c>
      <c r="E5" s="409">
        <f t="shared" ref="E5:P5" si="0">SUM(E6:E8)</f>
        <v>12100</v>
      </c>
      <c r="F5" s="409">
        <f t="shared" si="0"/>
        <v>12600</v>
      </c>
      <c r="G5" s="409">
        <f t="shared" si="0"/>
        <v>14600</v>
      </c>
      <c r="H5" s="409">
        <f t="shared" si="0"/>
        <v>13400</v>
      </c>
      <c r="I5" s="409">
        <f t="shared" si="0"/>
        <v>13400</v>
      </c>
      <c r="J5" s="409">
        <f t="shared" si="0"/>
        <v>14400</v>
      </c>
      <c r="K5" s="409">
        <f t="shared" si="0"/>
        <v>10800</v>
      </c>
      <c r="L5" s="409">
        <f t="shared" si="0"/>
        <v>10800</v>
      </c>
      <c r="M5" s="409">
        <f t="shared" si="0"/>
        <v>12100</v>
      </c>
      <c r="N5" s="409">
        <f t="shared" si="0"/>
        <v>13100</v>
      </c>
      <c r="O5" s="409">
        <f t="shared" si="0"/>
        <v>12100</v>
      </c>
      <c r="P5" s="409">
        <f t="shared" si="0"/>
        <v>10600</v>
      </c>
      <c r="Q5" s="410">
        <f>SUM(E5:P5)</f>
        <v>150000</v>
      </c>
      <c r="R5" s="5"/>
      <c r="T5" s="2"/>
      <c r="X5" s="395" t="s">
        <v>1155</v>
      </c>
      <c r="Y5" s="393">
        <f>IF(COUNT(H5:J5)=0,"",SUM(H5:J5)*X2)</f>
        <v>41.2</v>
      </c>
      <c r="Z5" s="393">
        <f>IF(COUNT(H12:J12)=0,"",SUM(H12:J12)*X2)</f>
        <v>20.335834999999999</v>
      </c>
      <c r="AA5" s="394">
        <f>Z5/Y5</f>
        <v>0.49358822815533976</v>
      </c>
      <c r="AG5" s="395" t="s">
        <v>123</v>
      </c>
      <c r="AH5" s="393">
        <f>IFERROR(INDEX(E6:P6, MATCH($AH$2, $E$3:$P$3, 0)) * $AG$2, "")</f>
        <v>6</v>
      </c>
      <c r="AI5" s="393">
        <f>IFERROR(INDEX(E13:P13, MATCH($AH$2, $E$3:$P$3, 0)) * $AG$2, "")</f>
        <v>4.02867</v>
      </c>
      <c r="AJ5" s="394">
        <f>AI5/AH5</f>
        <v>0.67144499999999996</v>
      </c>
      <c r="AL5" s="395" t="s">
        <v>123</v>
      </c>
      <c r="AM5" s="393">
        <f>IFERROR(SUM(INDEX(E6:P6,1):INDEX(E6:P6,MATCH($AM$2,$E$3:$P$3,0))) * $AL$2,"")</f>
        <v>57</v>
      </c>
      <c r="AN5" s="393">
        <f>IFERROR(SUM(INDEX(E13:P13,1):INDEX(E13:P13,MATCH($AM$2,$E$3:$P$3,0))) * $AL$2,"")</f>
        <v>49.530760000000001</v>
      </c>
      <c r="AO5" s="394">
        <f>AN5/AM5</f>
        <v>0.868960701754386</v>
      </c>
    </row>
    <row r="6" spans="4:41" ht="21" customHeight="1" x14ac:dyDescent="0.25">
      <c r="D6" s="230" t="s">
        <v>123</v>
      </c>
      <c r="E6" s="231">
        <v>6000</v>
      </c>
      <c r="F6" s="231">
        <v>6000</v>
      </c>
      <c r="G6" s="231">
        <v>8000</v>
      </c>
      <c r="H6" s="231">
        <v>8000</v>
      </c>
      <c r="I6" s="231">
        <v>8000</v>
      </c>
      <c r="J6" s="231">
        <v>9000</v>
      </c>
      <c r="K6" s="231">
        <v>6000</v>
      </c>
      <c r="L6" s="231">
        <v>6000</v>
      </c>
      <c r="M6" s="231">
        <v>7000</v>
      </c>
      <c r="N6" s="231">
        <v>8000</v>
      </c>
      <c r="O6" s="231">
        <v>7000</v>
      </c>
      <c r="P6" s="231">
        <v>6000</v>
      </c>
      <c r="Q6" s="234">
        <f>SUM(E6:P6)</f>
        <v>85000</v>
      </c>
      <c r="R6" s="5"/>
      <c r="T6" s="2"/>
      <c r="X6" s="209" t="s">
        <v>1156</v>
      </c>
      <c r="Y6" s="393">
        <f>IF(COUNT(K5:M5)=0,"",SUM(K5:M5)*X2)</f>
        <v>33.700000000000003</v>
      </c>
      <c r="Z6" s="393">
        <f>IF(COUNTA(K12:M12)=0,"",SUM(K12:M12)*X2)</f>
        <v>23.853769999999997</v>
      </c>
      <c r="AA6" s="394">
        <f>Z6/Y6</f>
        <v>0.7078270029673589</v>
      </c>
      <c r="AG6" s="401" t="s">
        <v>125</v>
      </c>
      <c r="AH6" s="393">
        <f>IFERROR(INDEX(E7:P7, MATCH($AH$2, $E$3:$P$3, 0)) * $AG$2, "")</f>
        <v>1.8</v>
      </c>
      <c r="AI6" s="393">
        <f>IFERROR(INDEX(E14:P14, MATCH($AH$2, $E$3:$P$3, 0)) * $AG$2, "")</f>
        <v>1.8330899999999997</v>
      </c>
      <c r="AJ6" s="394">
        <f>AI6/AH6</f>
        <v>1.0183833333333332</v>
      </c>
      <c r="AL6" s="401" t="s">
        <v>125</v>
      </c>
      <c r="AM6" s="393">
        <f>IFERROR(SUM(INDEX(E7:P7,1):INDEX(E7:P7,MATCH($AM$2,$E$3:$P$3,0))) * $AL$2,"")</f>
        <v>21.6</v>
      </c>
      <c r="AN6" s="393">
        <f>IFERROR(SUM(INDEX(E14:P14,1):INDEX(E14:P14,MATCH($AM$2,$E$3:$P$3,0))) * $AL$2,"")</f>
        <v>18.896174999999999</v>
      </c>
      <c r="AO6" s="394">
        <f>AN6/AM6</f>
        <v>0.87482291666666656</v>
      </c>
    </row>
    <row r="7" spans="4:41" ht="21" customHeight="1" x14ac:dyDescent="0.25">
      <c r="D7" s="230" t="s">
        <v>125</v>
      </c>
      <c r="E7" s="231">
        <v>3600</v>
      </c>
      <c r="F7" s="231">
        <v>3600</v>
      </c>
      <c r="G7" s="231">
        <v>3600</v>
      </c>
      <c r="H7" s="231">
        <v>2400</v>
      </c>
      <c r="I7" s="231">
        <v>2400</v>
      </c>
      <c r="J7" s="231">
        <v>2400</v>
      </c>
      <c r="K7" s="231">
        <v>1800</v>
      </c>
      <c r="L7" s="231">
        <v>1800</v>
      </c>
      <c r="M7" s="231">
        <v>2100</v>
      </c>
      <c r="N7" s="231">
        <v>2100</v>
      </c>
      <c r="O7" s="231">
        <v>2100</v>
      </c>
      <c r="P7" s="231">
        <v>2100</v>
      </c>
      <c r="Q7" s="234">
        <f>SUM(E7:P7)</f>
        <v>30000</v>
      </c>
      <c r="X7" s="209" t="s">
        <v>1157</v>
      </c>
      <c r="Y7" s="393">
        <f>IF(COUNT(N5:P5)=0,"",SUM(N5:P5)*X2)</f>
        <v>35.800000000000004</v>
      </c>
      <c r="Z7" s="393">
        <f>IF(COUNT(N12:P12)=0,"",SUM(N12:P12)*X2)</f>
        <v>0</v>
      </c>
      <c r="AA7" s="394">
        <f>Z7/Y7</f>
        <v>0</v>
      </c>
      <c r="AG7" s="209" t="s">
        <v>124</v>
      </c>
      <c r="AH7" s="393">
        <f>IFERROR(INDEX(E8:P8, MATCH($AH$2, $E$3:$P$3, 0)) * $AG$2, "")</f>
        <v>3</v>
      </c>
      <c r="AI7" s="393">
        <f>IFERROR(INDEX(E15:P15, MATCH($AH$2, $E$3:$P$3, 0)) * $AG$2, "")</f>
        <v>0</v>
      </c>
      <c r="AJ7" s="394">
        <f>AI7/AH7</f>
        <v>0</v>
      </c>
      <c r="AL7" s="209" t="s">
        <v>124</v>
      </c>
      <c r="AM7" s="393">
        <f>IFERROR(SUM(INDEX(E8:P8,1):INDEX(E8:P8,MATCH($AM$2,$E$3:$P$3,0))) * $AL$2,"")</f>
        <v>23.5</v>
      </c>
      <c r="AN7" s="393">
        <f>IFERROR(SUM(INDEX(E15:P15,1):INDEX(E15:P15,MATCH($AM$2,$E$3:$P$3,0))) * $AL$2,"")</f>
        <v>6.0013999999999994</v>
      </c>
      <c r="AO7" s="394">
        <f>AN7/AM7</f>
        <v>0.25537872340425527</v>
      </c>
    </row>
    <row r="8" spans="4:41" ht="21" customHeight="1" thickBot="1" x14ac:dyDescent="0.3">
      <c r="D8" s="232" t="s">
        <v>124</v>
      </c>
      <c r="E8" s="233">
        <v>2500</v>
      </c>
      <c r="F8" s="233">
        <v>3000</v>
      </c>
      <c r="G8" s="233">
        <v>3000</v>
      </c>
      <c r="H8" s="233">
        <v>3000</v>
      </c>
      <c r="I8" s="233">
        <v>3000</v>
      </c>
      <c r="J8" s="233">
        <v>3000</v>
      </c>
      <c r="K8" s="233">
        <v>3000</v>
      </c>
      <c r="L8" s="233">
        <v>3000</v>
      </c>
      <c r="M8" s="233">
        <v>3000</v>
      </c>
      <c r="N8" s="233">
        <v>3000</v>
      </c>
      <c r="O8" s="233">
        <v>3000</v>
      </c>
      <c r="P8" s="233">
        <v>2500</v>
      </c>
      <c r="Q8" s="234">
        <f>SUM(E8:P8)</f>
        <v>35000</v>
      </c>
      <c r="W8" s="275"/>
      <c r="X8" s="209" t="s">
        <v>181</v>
      </c>
      <c r="Y8" s="396">
        <f>SUM(Y4:Y7)</f>
        <v>150</v>
      </c>
      <c r="Z8" s="396">
        <f>SUM(Z4:Z7)</f>
        <v>83.272534999999991</v>
      </c>
      <c r="AA8" s="394">
        <f>Z8/Y8</f>
        <v>0.55515023333333324</v>
      </c>
    </row>
    <row r="9" spans="4:41" ht="21" customHeight="1" thickBot="1" x14ac:dyDescent="0.3">
      <c r="D9" s="407" t="s">
        <v>1234</v>
      </c>
      <c r="E9" s="251">
        <f t="shared" ref="E9:Q9" si="1">IF(OR(E12="", E5="", E5=0), "", E12/E5)</f>
        <v>0.75854999999999995</v>
      </c>
      <c r="F9" s="251">
        <f t="shared" si="1"/>
        <v>1.1596984126984127</v>
      </c>
      <c r="G9" s="251">
        <f t="shared" si="1"/>
        <v>1.0474160958904108</v>
      </c>
      <c r="H9" s="251">
        <f t="shared" si="1"/>
        <v>0.70242798507462689</v>
      </c>
      <c r="I9" s="251">
        <f t="shared" si="1"/>
        <v>0.29276977611940302</v>
      </c>
      <c r="J9" s="251">
        <f t="shared" si="1"/>
        <v>0.48612395833333344</v>
      </c>
      <c r="K9" s="251">
        <f t="shared" si="1"/>
        <v>0.84701944444444455</v>
      </c>
      <c r="L9" s="251">
        <f t="shared" si="1"/>
        <v>0.54275555555555555</v>
      </c>
      <c r="M9" s="251">
        <f t="shared" si="1"/>
        <v>0.7309256198347106</v>
      </c>
      <c r="N9" s="251">
        <f t="shared" si="1"/>
        <v>0</v>
      </c>
      <c r="O9" s="251">
        <f t="shared" si="1"/>
        <v>0</v>
      </c>
      <c r="P9" s="251">
        <f t="shared" si="1"/>
        <v>0</v>
      </c>
      <c r="Q9" s="252">
        <f t="shared" si="1"/>
        <v>0.55515023333333324</v>
      </c>
    </row>
    <row r="10" spans="4:41" ht="24" customHeight="1" thickTop="1" thickBot="1" x14ac:dyDescent="0.3">
      <c r="D10" s="414" t="s">
        <v>1235</v>
      </c>
      <c r="E10" s="415">
        <f>E12/E5</f>
        <v>0.75854999999999995</v>
      </c>
      <c r="F10" s="416">
        <f>(E12+F12)/(E5+F5)</f>
        <v>0.96318441295546553</v>
      </c>
      <c r="G10" s="416">
        <f>(E12+F12+G12)/(E5+F5+G5)</f>
        <v>0.99447659033078861</v>
      </c>
      <c r="H10" s="416">
        <f>(E12+F12+G12+H12)/(E5+F5+G5+H5)</f>
        <v>0.92021755218216317</v>
      </c>
      <c r="I10" s="416">
        <f>(E12+F12+G12+H12+I12)/(E5+F5+G5+H5+I5)</f>
        <v>0.79301936459909217</v>
      </c>
      <c r="J10" s="416">
        <f>IF(SUM(E5:J5)=0, "", SUM(E12:J12)/SUM(E5:J5))</f>
        <v>0.73812130434782608</v>
      </c>
      <c r="K10" s="416">
        <f>IF(SUM(E5:K5)=0, "", SUM(E12:K12)/SUM(E5:K5))</f>
        <v>0.75100301204819275</v>
      </c>
      <c r="L10" s="416">
        <f>IF(SUM(E5:L5)=0, "", SUM(E12:L12)/SUM(E5:L5))</f>
        <v>0.72897487757100876</v>
      </c>
      <c r="M10" s="416">
        <f>IF(SUM(E5:M5)=0, "", SUM(E12:M12)/SUM(E5:M5))</f>
        <v>0.72918156742556905</v>
      </c>
      <c r="N10" s="416">
        <f>IF(SUM(E5:N5)=0, "", SUM(E12:N12)/SUM(E5:N5))</f>
        <v>0.65414402985074616</v>
      </c>
      <c r="O10" s="416">
        <f>IF(SUM(E5:O5)=0, "", SUM(E12:O12)/SUM(E5:O5))</f>
        <v>0.59736395265423237</v>
      </c>
      <c r="P10" s="416">
        <f>IF(SUM(E5:P5)=0, "", SUM(E12:P12)/SUM(E5:P5))</f>
        <v>0.55515023333333324</v>
      </c>
      <c r="Q10" s="417"/>
    </row>
    <row r="11" spans="4:41" ht="24" customHeight="1" thickBot="1" x14ac:dyDescent="0.3">
      <c r="D11" s="418" t="s">
        <v>1237</v>
      </c>
      <c r="E11" s="419">
        <f>E12</f>
        <v>9178.4549999999999</v>
      </c>
      <c r="F11" s="419">
        <f>SUM(E12:F12)</f>
        <v>23790.654999999999</v>
      </c>
      <c r="G11" s="419">
        <f>SUM(E12:G12)</f>
        <v>39082.929999999993</v>
      </c>
      <c r="H11" s="419">
        <f>SUM(E12:H12)</f>
        <v>48495.464999999997</v>
      </c>
      <c r="I11" s="419">
        <f>SUM(E12:I12)</f>
        <v>52418.579999999994</v>
      </c>
      <c r="J11" s="419">
        <f>SUM(E12:J12)</f>
        <v>59418.764999999999</v>
      </c>
      <c r="K11" s="419">
        <f>SUM(E12:K12)</f>
        <v>68566.574999999997</v>
      </c>
      <c r="L11" s="419">
        <f>SUM(E12:L12)</f>
        <v>74428.334999999992</v>
      </c>
      <c r="M11" s="419">
        <f>SUM(E12:M12)</f>
        <v>83272.534999999989</v>
      </c>
      <c r="N11" s="419">
        <f>SUM(E12:N12)</f>
        <v>83272.534999999989</v>
      </c>
      <c r="O11" s="419">
        <f>SUM(E12:O12)</f>
        <v>83272.534999999989</v>
      </c>
      <c r="P11" s="419">
        <f>SUM(E12:P12)</f>
        <v>83272.534999999989</v>
      </c>
      <c r="Q11" s="420"/>
    </row>
    <row r="12" spans="4:41" ht="21" customHeight="1" x14ac:dyDescent="0.25">
      <c r="D12" s="235" t="s">
        <v>35</v>
      </c>
      <c r="E12" s="236">
        <f>E28</f>
        <v>9178.4549999999999</v>
      </c>
      <c r="F12" s="236">
        <f>E34</f>
        <v>14612.2</v>
      </c>
      <c r="G12" s="236">
        <f>E40</f>
        <v>15292.274999999998</v>
      </c>
      <c r="H12" s="236">
        <f>E46</f>
        <v>9412.5349999999999</v>
      </c>
      <c r="I12" s="236">
        <f>E52</f>
        <v>3923.1150000000002</v>
      </c>
      <c r="J12" s="236">
        <f>E58</f>
        <v>7000.1850000000013</v>
      </c>
      <c r="K12" s="236">
        <f>E64</f>
        <v>9147.8100000000013</v>
      </c>
      <c r="L12" s="236">
        <f>E70</f>
        <v>5861.7599999999993</v>
      </c>
      <c r="M12" s="236">
        <f>E76</f>
        <v>8844.1999999999989</v>
      </c>
      <c r="N12" s="236">
        <f>E82</f>
        <v>0</v>
      </c>
      <c r="O12" s="236">
        <f>E88</f>
        <v>0</v>
      </c>
      <c r="P12" s="236">
        <f>E94</f>
        <v>0</v>
      </c>
      <c r="Q12" s="237">
        <f>SUM(E12:P12)</f>
        <v>83272.534999999989</v>
      </c>
      <c r="S12" s="276"/>
    </row>
    <row r="13" spans="4:41" ht="21" customHeight="1" x14ac:dyDescent="0.25">
      <c r="D13" s="238" t="s">
        <v>123</v>
      </c>
      <c r="E13" s="239">
        <f>F28</f>
        <v>6484.8300000000008</v>
      </c>
      <c r="F13" s="239">
        <f>F34</f>
        <v>7382.8050000000003</v>
      </c>
      <c r="G13" s="239">
        <f>F40</f>
        <v>9652.1549999999988</v>
      </c>
      <c r="H13" s="239">
        <f>F46</f>
        <v>6972.45</v>
      </c>
      <c r="I13" s="239">
        <f>F52</f>
        <v>2556.1349999999998</v>
      </c>
      <c r="J13" s="239">
        <f>F58</f>
        <v>5185.8000000000011</v>
      </c>
      <c r="K13" s="239">
        <f>F64</f>
        <v>7267.9150000000009</v>
      </c>
      <c r="L13" s="239">
        <f>F70</f>
        <v>4028.6699999999996</v>
      </c>
      <c r="M13" s="239">
        <f>F76</f>
        <v>4913.74</v>
      </c>
      <c r="N13" s="239">
        <f>F82</f>
        <v>0</v>
      </c>
      <c r="O13" s="239">
        <f>F88</f>
        <v>0</v>
      </c>
      <c r="P13" s="239">
        <f>F94</f>
        <v>0</v>
      </c>
      <c r="Q13" s="240">
        <f>SUM(E13:P13)</f>
        <v>54444.5</v>
      </c>
      <c r="R13" s="2"/>
      <c r="S13" s="171"/>
    </row>
    <row r="14" spans="4:41" ht="21" customHeight="1" x14ac:dyDescent="0.25">
      <c r="D14" s="238" t="s">
        <v>125</v>
      </c>
      <c r="E14" s="239">
        <f>G28</f>
        <v>2444.665</v>
      </c>
      <c r="F14" s="239">
        <f>G34</f>
        <v>3329.3950000000004</v>
      </c>
      <c r="G14" s="239">
        <f>G40</f>
        <v>4637.88</v>
      </c>
      <c r="H14" s="239">
        <f>G46</f>
        <v>1589.885</v>
      </c>
      <c r="I14" s="239">
        <f>G52</f>
        <v>1366.98</v>
      </c>
      <c r="J14" s="239">
        <f>G58</f>
        <v>1814.3850000000002</v>
      </c>
      <c r="K14" s="239">
        <f>G64</f>
        <v>1879.8950000000002</v>
      </c>
      <c r="L14" s="239">
        <f>G70</f>
        <v>1833.0899999999997</v>
      </c>
      <c r="M14" s="239">
        <f>G76</f>
        <v>765.61500000000001</v>
      </c>
      <c r="N14" s="239">
        <f>G82</f>
        <v>0</v>
      </c>
      <c r="O14" s="239">
        <f>G88</f>
        <v>0</v>
      </c>
      <c r="P14" s="239">
        <f>G94</f>
        <v>0</v>
      </c>
      <c r="Q14" s="240">
        <f>SUM(E14:P14)</f>
        <v>19661.79</v>
      </c>
      <c r="R14" s="2"/>
      <c r="S14" s="171"/>
    </row>
    <row r="15" spans="4:41" ht="21" customHeight="1" thickBot="1" x14ac:dyDescent="0.3">
      <c r="D15" s="241" t="s">
        <v>124</v>
      </c>
      <c r="E15" s="242">
        <f>H28</f>
        <v>248.96</v>
      </c>
      <c r="F15" s="242">
        <f>H34</f>
        <v>3900</v>
      </c>
      <c r="G15" s="242">
        <f>H40</f>
        <v>1002.24</v>
      </c>
      <c r="H15" s="242">
        <f>H46</f>
        <v>850.2</v>
      </c>
      <c r="I15" s="242">
        <f>H52</f>
        <v>0</v>
      </c>
      <c r="J15" s="242">
        <f>H58</f>
        <v>0</v>
      </c>
      <c r="K15" s="242">
        <f>H64</f>
        <v>0</v>
      </c>
      <c r="L15" s="242">
        <f>H70</f>
        <v>0</v>
      </c>
      <c r="M15" s="242">
        <f>H76</f>
        <v>3164.8449999999998</v>
      </c>
      <c r="N15" s="242">
        <f>H82</f>
        <v>0</v>
      </c>
      <c r="O15" s="242">
        <f>H88</f>
        <v>0</v>
      </c>
      <c r="P15" s="242">
        <f>H94</f>
        <v>0</v>
      </c>
      <c r="Q15" s="243">
        <f>SUM(E15:P15)</f>
        <v>9166.244999999999</v>
      </c>
      <c r="R15" s="2" t="s">
        <v>113</v>
      </c>
      <c r="S15" s="171" t="s">
        <v>134</v>
      </c>
    </row>
    <row r="16" spans="4:41" ht="21" customHeight="1" x14ac:dyDescent="0.25">
      <c r="D16" s="421" t="s">
        <v>1238</v>
      </c>
      <c r="E16" s="422">
        <f>E17</f>
        <v>31</v>
      </c>
      <c r="F16" s="423">
        <f>SUM(E17:F17)</f>
        <v>73</v>
      </c>
      <c r="G16" s="423">
        <f>SUM(E17:G17)</f>
        <v>117</v>
      </c>
      <c r="H16" s="423">
        <f>SUM(E17:H17)</f>
        <v>155</v>
      </c>
      <c r="I16" s="423">
        <f>SUM(E17:I17)</f>
        <v>173</v>
      </c>
      <c r="J16" s="423">
        <f>SUM(E17:J17)</f>
        <v>201</v>
      </c>
      <c r="K16" s="423">
        <f>SUM(E17:K17)</f>
        <v>229</v>
      </c>
      <c r="L16" s="423">
        <f>SUM(E17:L17)</f>
        <v>249</v>
      </c>
      <c r="M16" s="423">
        <f>SUM(E17:M17)</f>
        <v>267</v>
      </c>
      <c r="N16" s="423">
        <f>SUM(E17:N17)</f>
        <v>267</v>
      </c>
      <c r="O16" s="423">
        <f>SUM(E17:O17)</f>
        <v>267</v>
      </c>
      <c r="P16" s="423">
        <f>SUM(E17:P17)</f>
        <v>267</v>
      </c>
      <c r="Q16" s="424"/>
      <c r="R16" s="2"/>
      <c r="S16" s="171"/>
    </row>
    <row r="17" spans="1:41" ht="21" customHeight="1" x14ac:dyDescent="0.25">
      <c r="D17" s="238" t="s">
        <v>15</v>
      </c>
      <c r="E17" s="247">
        <f>J28</f>
        <v>31</v>
      </c>
      <c r="F17" s="248">
        <f>J34</f>
        <v>42</v>
      </c>
      <c r="G17" s="247">
        <f>J40</f>
        <v>44</v>
      </c>
      <c r="H17" s="248">
        <f>J46</f>
        <v>38</v>
      </c>
      <c r="I17" s="247">
        <f>J52</f>
        <v>18</v>
      </c>
      <c r="J17" s="248">
        <f>J58</f>
        <v>28</v>
      </c>
      <c r="K17" s="247">
        <f>J64</f>
        <v>28</v>
      </c>
      <c r="L17" s="248">
        <f>J70</f>
        <v>20</v>
      </c>
      <c r="M17" s="247">
        <f>J76</f>
        <v>18</v>
      </c>
      <c r="N17" s="248">
        <f>J82</f>
        <v>0</v>
      </c>
      <c r="O17" s="247">
        <f>J88</f>
        <v>0</v>
      </c>
      <c r="P17" s="248">
        <f>J94</f>
        <v>0</v>
      </c>
      <c r="Q17" s="244">
        <f>SUM(E17:P17)</f>
        <v>267</v>
      </c>
      <c r="R17" s="2" t="s">
        <v>113</v>
      </c>
      <c r="S17" s="5" t="s">
        <v>135</v>
      </c>
      <c r="U17" s="74"/>
    </row>
    <row r="18" spans="1:41" ht="17.25" thickBot="1" x14ac:dyDescent="0.3">
      <c r="D18" s="245" t="s">
        <v>29</v>
      </c>
      <c r="E18" s="249">
        <f>O28</f>
        <v>87.29</v>
      </c>
      <c r="F18" s="249">
        <f>O34</f>
        <v>145.20599999999996</v>
      </c>
      <c r="G18" s="249">
        <f>O40</f>
        <v>137.369</v>
      </c>
      <c r="H18" s="249">
        <f>O46</f>
        <v>93.966000000000008</v>
      </c>
      <c r="I18" s="249">
        <f>O52</f>
        <v>37.867999999999995</v>
      </c>
      <c r="J18" s="249">
        <f>O58</f>
        <v>58.04</v>
      </c>
      <c r="K18" s="249">
        <f>O64</f>
        <v>87.88</v>
      </c>
      <c r="L18" s="249">
        <f>O70</f>
        <v>59.28</v>
      </c>
      <c r="M18" s="249">
        <f>O76</f>
        <v>99.360000000000014</v>
      </c>
      <c r="N18" s="249">
        <f>O82</f>
        <v>0</v>
      </c>
      <c r="O18" s="249">
        <f>O88</f>
        <v>0</v>
      </c>
      <c r="P18" s="249">
        <f>O94</f>
        <v>0</v>
      </c>
      <c r="Q18" s="246">
        <f>SUM(E18:P18)</f>
        <v>806.25900000000001</v>
      </c>
      <c r="R18" s="2" t="s">
        <v>114</v>
      </c>
      <c r="U18" s="75"/>
    </row>
    <row r="19" spans="1:41" x14ac:dyDescent="0.25">
      <c r="H19" s="3"/>
      <c r="I19" s="3"/>
      <c r="J19" s="3"/>
      <c r="K19" s="2"/>
      <c r="L19" s="2"/>
      <c r="M19" s="3"/>
      <c r="N19" s="3"/>
      <c r="O19" s="3"/>
      <c r="P19" s="3"/>
      <c r="Q19" s="3"/>
      <c r="R19" s="3"/>
      <c r="S19" s="3"/>
    </row>
    <row r="20" spans="1:41" ht="24.95" customHeight="1" thickBot="1" x14ac:dyDescent="0.3">
      <c r="H20" s="3"/>
      <c r="I20" s="3"/>
      <c r="J20" s="3"/>
      <c r="K20" s="2"/>
      <c r="L20" s="2"/>
      <c r="M20" s="3"/>
      <c r="N20" s="3"/>
      <c r="O20" s="3"/>
      <c r="P20" s="3"/>
      <c r="Q20" s="3"/>
      <c r="R20" s="3"/>
      <c r="S20" s="3"/>
      <c r="AG20" s="403">
        <f>AJ4</f>
        <v>0.54275555555555544</v>
      </c>
      <c r="AH20" s="403">
        <f>AJ5</f>
        <v>0.67144499999999996</v>
      </c>
      <c r="AI20" s="403">
        <f>AJ6</f>
        <v>1.0183833333333332</v>
      </c>
      <c r="AJ20" s="403">
        <f>AJ7</f>
        <v>0</v>
      </c>
      <c r="AK20" s="404"/>
      <c r="AL20" s="403">
        <f>AO4</f>
        <v>0.72897487757100865</v>
      </c>
      <c r="AM20" s="403">
        <f>AO5</f>
        <v>0.868960701754386</v>
      </c>
      <c r="AN20" s="403">
        <f>AO6</f>
        <v>0.87482291666666656</v>
      </c>
      <c r="AO20" s="403">
        <f>AO7</f>
        <v>0.25537872340425527</v>
      </c>
    </row>
    <row r="21" spans="1:41" ht="27" thickBot="1" x14ac:dyDescent="0.3">
      <c r="B21" s="483" t="s">
        <v>3</v>
      </c>
      <c r="C21" s="484"/>
      <c r="D21" s="484"/>
      <c r="E21" s="484"/>
      <c r="F21" s="484"/>
      <c r="G21" s="484"/>
      <c r="H21" s="484"/>
      <c r="I21" s="484"/>
      <c r="J21" s="484"/>
      <c r="K21" s="484"/>
      <c r="L21" s="484"/>
      <c r="M21" s="484"/>
      <c r="N21" s="484"/>
      <c r="O21" s="484"/>
      <c r="P21" s="484"/>
      <c r="Q21" s="484"/>
      <c r="R21" s="484"/>
      <c r="S21" s="485"/>
    </row>
    <row r="22" spans="1:41" ht="42" thickTop="1" thickBot="1" x14ac:dyDescent="0.3">
      <c r="B22" s="491" t="s">
        <v>108</v>
      </c>
      <c r="C22" s="492"/>
      <c r="D22" s="133" t="s">
        <v>1</v>
      </c>
      <c r="E22" s="131" t="s">
        <v>109</v>
      </c>
      <c r="F22" s="71" t="s">
        <v>78</v>
      </c>
      <c r="G22" s="71" t="s">
        <v>77</v>
      </c>
      <c r="H22" s="71" t="s">
        <v>79</v>
      </c>
      <c r="I22" s="132" t="s">
        <v>80</v>
      </c>
      <c r="J22" s="127" t="s">
        <v>110</v>
      </c>
      <c r="K22" s="72" t="s">
        <v>78</v>
      </c>
      <c r="L22" s="72" t="s">
        <v>77</v>
      </c>
      <c r="M22" s="72" t="s">
        <v>79</v>
      </c>
      <c r="N22" s="128" t="s">
        <v>80</v>
      </c>
      <c r="O22" s="126" t="s">
        <v>111</v>
      </c>
      <c r="P22" s="73" t="s">
        <v>78</v>
      </c>
      <c r="Q22" s="73" t="s">
        <v>77</v>
      </c>
      <c r="R22" s="73" t="s">
        <v>79</v>
      </c>
      <c r="S22" s="145" t="s">
        <v>80</v>
      </c>
      <c r="U22" s="146"/>
      <c r="V22" s="147" t="s">
        <v>171</v>
      </c>
      <c r="W22" s="148"/>
    </row>
    <row r="23" spans="1:41" x14ac:dyDescent="0.25">
      <c r="A23">
        <v>1</v>
      </c>
      <c r="B23" s="486">
        <v>1</v>
      </c>
      <c r="C23" s="89">
        <v>1</v>
      </c>
      <c r="D23" s="95" t="s">
        <v>208</v>
      </c>
      <c r="E23" s="39">
        <f>'발전사업(A)'!AE3 + '자가소비(B)'!AE3 + 'PPA 사업(C)'!AE3 + '리스사업(D)'!AE3 + '임대사업(E)'!AE3 + '환경부사업(F)'!AE3 + '프로젝트(G)'!AE3 + '협력사 EPC(H)'!AE3 + '기타(Z)'!AE3</f>
        <v>4574.9400000000005</v>
      </c>
      <c r="F23" s="39">
        <f>'발전사업(A)'!AF3 + '자가소비(B)'!AF3 + 'PPA 사업(C)'!AF3 + '리스사업(D)'!AF3 + '임대사업(E)'!AF3 + '환경부사업(F)'!AF3 + '프로젝트(G)'!AF3 + '협력사 EPC(H)'!AF3 + '기타(Z)'!AF3</f>
        <v>3125.0250000000005</v>
      </c>
      <c r="G23" s="39">
        <f>'발전사업(A)'!AG3 + '자가소비(B)'!AG3 + 'PPA 사업(C)'!AG3 + '리스사업(D)'!AG3 + '임대사업(E)'!AG3 + '환경부사업(F)'!AG3 + '프로젝트(G)'!AG3 + '협력사 EPC(H)'!AG3 + '기타(Z)'!AG3</f>
        <v>1449.915</v>
      </c>
      <c r="H23" s="39">
        <f>'발전사업(A)'!AH3 + '자가소비(B)'!AH3 + 'PPA 사업(C)'!AH3 + '리스사업(D)'!AH3 + '임대사업(E)'!AH3 + '환경부사업(F)'!AH3 + '프로젝트(G)'!AH3 + '협력사 EPC(H)'!AH3 + '기타(Z)'!AH3</f>
        <v>0</v>
      </c>
      <c r="I23" s="125">
        <f>'발전사업(A)'!AI3 + '자가소비(B)'!AI3 + 'PPA 사업(C)'!AI3 + '리스사업(D)'!AI3 + '임대사업(E)'!AI3 + '환경부사업(F)'!AI3 + '프로젝트(G)'!AI3 + '협력사 EPC(H)'!AI3 + '기타(Z)'!AI3</f>
        <v>0</v>
      </c>
      <c r="J23" s="115">
        <f>'발전사업(A)'!AJ3 + '자가소비(B)'!AJ3 + 'PPA 사업(C)'!AJ3 + '리스사업(D)'!AJ3 + '임대사업(E)'!AJ3 + '환경부사업(F)'!AJ3 + '프로젝트(G)'!AJ3 + '협력사 EPC(H)'!AJ3 + '기타(Z)'!AJ3</f>
        <v>12</v>
      </c>
      <c r="K23" s="181">
        <f>'발전사업(A)'!AK3 + '자가소비(B)'!AK3 + 'PPA 사업(C)'!AK3 + '리스사업(D)'!AK3 + '임대사업(E)'!AK3 + '환경부사업(F)'!AK3 + '프로젝트(G)'!AK3 + '협력사 EPC(H)'!AK3 + '기타(Z)'!AK3</f>
        <v>8</v>
      </c>
      <c r="L23" s="181">
        <f>'발전사업(A)'!AL3 + '자가소비(B)'!AL3 + 'PPA 사업(C)'!AL3 + '리스사업(D)'!AL3 + '임대사업(E)'!AL3 + '환경부사업(F)'!AL3 + '프로젝트(G)'!AL3 + '협력사 EPC(H)'!AL3 + '기타(Z)'!AL3</f>
        <v>4</v>
      </c>
      <c r="M23" s="181">
        <f>'발전사업(A)'!AM3 + '자가소비(B)'!AM3 + 'PPA 사업(C)'!AM3 + '리스사업(D)'!AM3 + '임대사업(E)'!AM3 + '환경부사업(F)'!AM3 + '프로젝트(G)'!AM3 + '협력사 EPC(H)'!AM3 + '기타(Z)'!AM3</f>
        <v>0</v>
      </c>
      <c r="N23" s="182">
        <f>'발전사업(A)'!AN3 + '자가소비(B)'!AN3 + 'PPA 사업(C)'!AN3 + '리스사업(D)'!AN3 + '임대사업(E)'!AN3 + '환경부사업(F)'!AN3 + '프로젝트(G)'!AN3 + '협력사 EPC(H)'!AN3 + '기타(Z)'!AN3</f>
        <v>0</v>
      </c>
      <c r="O23" s="39">
        <f>'발전사업(A)'!AO3 + '자가소비(B)'!AO3 + 'PPA 사업(C)'!AO3 + '리스사업(D)'!AO3 + '임대사업(E)'!AO3 + '환경부사업(F)'!AO3 + '프로젝트(G)'!AO3 + '협력사 EPC(H)'!AO3 + '기타(Z)'!AO3 + '협력사 하도(I)'!AO3</f>
        <v>44.41</v>
      </c>
      <c r="P23" s="39">
        <f>'발전사업(A)'!AP3 + '자가소비(B)'!AP3 + 'PPA 사업(C)'!AP3 + '리스사업(D)'!AP3 + '임대사업(E)'!AP3 + '환경부사업(F)'!AP3 + '프로젝트(G)'!AP3 + '협력사 EPC(H)'!AP3 + '기타(Z)'!AP3 + '협력사 하도(I)'!AP3</f>
        <v>28.36</v>
      </c>
      <c r="Q23" s="39">
        <f>'발전사업(A)'!AQ3 + '자가소비(B)'!AQ3 + 'PPA 사업(C)'!AQ3 + '리스사업(D)'!AQ3 + '임대사업(E)'!AQ3 + '환경부사업(F)'!AQ3 + '프로젝트(G)'!AQ3 + '협력사 EPC(H)'!AQ3 + '기타(Z)'!AQ3 + '협력사 하도(I)'!AQ3</f>
        <v>16.05</v>
      </c>
      <c r="R23" s="39">
        <f>'발전사업(A)'!AR3 + '자가소비(B)'!AR3 + 'PPA 사업(C)'!AR3 + '리스사업(D)'!AR3 + '임대사업(E)'!AR3 + '환경부사업(F)'!AR3 + '프로젝트(G)'!AR3 + '협력사 EPC(H)'!AR3 + '기타(Z)'!AR3 + '협력사 하도(I)'!AR3</f>
        <v>0</v>
      </c>
      <c r="S23" s="130">
        <f>'발전사업(A)'!AS3 + '자가소비(B)'!AS3 + 'PPA 사업(C)'!AS3 + '리스사업(D)'!AS3 + '임대사업(E)'!AS3 + '환경부사업(F)'!AS3 + '프로젝트(G)'!AS3 + '협력사 EPC(H)'!AS3 + '기타(Z)'!AS3 + '협력사 하도(I)'!AS3</f>
        <v>0</v>
      </c>
      <c r="U23" s="149" t="s">
        <v>117</v>
      </c>
      <c r="V23" s="150" t="s">
        <v>118</v>
      </c>
      <c r="W23" s="163" t="s">
        <v>119</v>
      </c>
    </row>
    <row r="24" spans="1:41" x14ac:dyDescent="0.25">
      <c r="A24">
        <v>1</v>
      </c>
      <c r="B24" s="487"/>
      <c r="C24" s="90">
        <v>2</v>
      </c>
      <c r="D24" s="96" t="s">
        <v>209</v>
      </c>
      <c r="E24" s="39">
        <f>'발전사업(A)'!AE4 + '자가소비(B)'!AE4 + 'PPA 사업(C)'!AE4 + '리스사업(D)'!AE4 + '임대사업(E)'!AE4 + '환경부사업(F)'!AE4 + '프로젝트(G)'!AE4 + '협력사 EPC(H)'!AE4 + '기타(Z)'!AE4</f>
        <v>1437.06</v>
      </c>
      <c r="F24" s="39">
        <f>'발전사업(A)'!AF4 + '자가소비(B)'!AF4 + 'PPA 사업(C)'!AF4 + '리스사업(D)'!AF4 + '임대사업(E)'!AF4 + '환경부사업(F)'!AF4 + '프로젝트(G)'!AF4 + '협력사 EPC(H)'!AF4 + '기타(Z)'!AF4</f>
        <v>1162.29</v>
      </c>
      <c r="G24" s="39">
        <f>'발전사업(A)'!AG4 + '자가소비(B)'!AG4 + 'PPA 사업(C)'!AG4 + '리스사업(D)'!AG4 + '임대사업(E)'!AG4 + '환경부사업(F)'!AG4 + '프로젝트(G)'!AG4 + '협력사 EPC(H)'!AG4 + '기타(Z)'!AG4</f>
        <v>274.77</v>
      </c>
      <c r="H24" s="39">
        <f>'발전사업(A)'!AH4 + '자가소비(B)'!AH4 + 'PPA 사업(C)'!AH4 + '리스사업(D)'!AH4 + '임대사업(E)'!AH4 + '환경부사업(F)'!AH4 + '프로젝트(G)'!AH4 + '협력사 EPC(H)'!AH4 + '기타(Z)'!AH4</f>
        <v>0</v>
      </c>
      <c r="I24" s="125">
        <f>'발전사업(A)'!AI4 + '자가소비(B)'!AI4 + 'PPA 사업(C)'!AI4 + '리스사업(D)'!AI4 + '임대사업(E)'!AI4 + '환경부사업(F)'!AI4 + '프로젝트(G)'!AI4 + '협력사 EPC(H)'!AI4 + '기타(Z)'!AI4</f>
        <v>0</v>
      </c>
      <c r="J24" s="115">
        <f>'발전사업(A)'!AJ4 + '자가소비(B)'!AJ4 + 'PPA 사업(C)'!AJ4 + '리스사업(D)'!AJ4 + '임대사업(E)'!AJ4 + '환경부사업(F)'!AJ4 + '프로젝트(G)'!AJ4 + '협력사 EPC(H)'!AJ4 + '기타(Z)'!AJ4</f>
        <v>6</v>
      </c>
      <c r="K24" s="181">
        <f>'발전사업(A)'!AK4 + '자가소비(B)'!AK4 + 'PPA 사업(C)'!AK4 + '리스사업(D)'!AK4 + '임대사업(E)'!AK4 + '환경부사업(F)'!AK4 + '프로젝트(G)'!AK4 + '협력사 EPC(H)'!AK4 + '기타(Z)'!AK4</f>
        <v>5</v>
      </c>
      <c r="L24" s="181">
        <f>'발전사업(A)'!AL4 + '자가소비(B)'!AL4 + 'PPA 사업(C)'!AL4 + '리스사업(D)'!AL4 + '임대사업(E)'!AL4 + '환경부사업(F)'!AL4 + '프로젝트(G)'!AL4 + '협력사 EPC(H)'!AL4 + '기타(Z)'!AL4</f>
        <v>1</v>
      </c>
      <c r="M24" s="181">
        <f>'발전사업(A)'!AM4 + '자가소비(B)'!AM4 + 'PPA 사업(C)'!AM4 + '리스사업(D)'!AM4 + '임대사업(E)'!AM4 + '환경부사업(F)'!AM4 + '프로젝트(G)'!AM4 + '협력사 EPC(H)'!AM4 + '기타(Z)'!AM4</f>
        <v>0</v>
      </c>
      <c r="N24" s="182">
        <f>'발전사업(A)'!AN4 + '자가소비(B)'!AN4 + 'PPA 사업(C)'!AN4 + '리스사업(D)'!AN4 + '임대사업(E)'!AN4 + '환경부사업(F)'!AN4 + '프로젝트(G)'!AN4 + '협력사 EPC(H)'!AN4 + '기타(Z)'!AN4</f>
        <v>0</v>
      </c>
      <c r="O24" s="39">
        <f>'발전사업(A)'!AO4 + '자가소비(B)'!AO4 + 'PPA 사업(C)'!AO4 + '리스사업(D)'!AO4 + '임대사업(E)'!AO4 + '환경부사업(F)'!AO4 + '프로젝트(G)'!AO4 + '협력사 EPC(H)'!AO4 + '기타(Z)'!AO4 + '협력사 하도(I)'!AO4</f>
        <v>13.180000000000001</v>
      </c>
      <c r="P24" s="39">
        <f>'발전사업(A)'!AP4 + '자가소비(B)'!AP4 + 'PPA 사업(C)'!AP4 + '리스사업(D)'!AP4 + '임대사업(E)'!AP4 + '환경부사업(F)'!AP4 + '프로젝트(G)'!AP4 + '협력사 EPC(H)'!AP4 + '기타(Z)'!AP4 + '협력사 하도(I)'!AP4</f>
        <v>10.610000000000001</v>
      </c>
      <c r="Q24" s="39">
        <f>'발전사업(A)'!AQ4 + '자가소비(B)'!AQ4 + 'PPA 사업(C)'!AQ4 + '리스사업(D)'!AQ4 + '임대사업(E)'!AQ4 + '환경부사업(F)'!AQ4 + '프로젝트(G)'!AQ4 + '협력사 EPC(H)'!AQ4 + '기타(Z)'!AQ4 + '협력사 하도(I)'!AQ4</f>
        <v>2.57</v>
      </c>
      <c r="R24" s="39">
        <f>'발전사업(A)'!AR4 + '자가소비(B)'!AR4 + 'PPA 사업(C)'!AR4 + '리스사업(D)'!AR4 + '임대사업(E)'!AR4 + '환경부사업(F)'!AR4 + '프로젝트(G)'!AR4 + '협력사 EPC(H)'!AR4 + '기타(Z)'!AR4 + '협력사 하도(I)'!AR4</f>
        <v>0</v>
      </c>
      <c r="S24" s="130">
        <f>'발전사업(A)'!AS4 + '자가소비(B)'!AS4 + 'PPA 사업(C)'!AS4 + '리스사업(D)'!AS4 + '임대사업(E)'!AS4 + '환경부사업(F)'!AS4 + '프로젝트(G)'!AS4 + '협력사 EPC(H)'!AS4 + '기타(Z)'!AS4 + '협력사 하도(I)'!AS4</f>
        <v>0</v>
      </c>
      <c r="U24" s="152">
        <v>1</v>
      </c>
      <c r="V24" s="153">
        <f>'발전사업(A)'!AV4 + '자가소비(B)'!AV4 + 'PPA 사업(C)'!AV4 + '리스사업(D)'!AV4 + '임대사업(E)'!AV4 + '환경부사업(F)'!AV4 + '프로젝트(G)'!AV4 + '협력사 EPC(H)'!AV4 + '기타(Z)'!AV4</f>
        <v>25</v>
      </c>
      <c r="W24" s="164">
        <f>'발전사업(A)'!AW4 + '자가소비(B)'!AW4 + 'PPA 사업(C)'!AW4 + '리스사업(D)'!AW4 + '임대사업(E)'!AW4 + '환경부사업(F)'!AW4 + '프로젝트(G)'!AW4 + '협력사 EPC(H)'!AW4 + '기타(Z)'!AW4</f>
        <v>6</v>
      </c>
    </row>
    <row r="25" spans="1:41" x14ac:dyDescent="0.25">
      <c r="A25">
        <v>1</v>
      </c>
      <c r="B25" s="487"/>
      <c r="C25" s="90">
        <v>3</v>
      </c>
      <c r="D25" s="97" t="s">
        <v>210</v>
      </c>
      <c r="E25" s="39">
        <f>'발전사업(A)'!AE5 + '자가소비(B)'!AE5 + 'PPA 사업(C)'!AE5 + '리스사업(D)'!AE5 + '임대사업(E)'!AE5 + '환경부사업(F)'!AE5 + '프로젝트(G)'!AE5 + '협력사 EPC(H)'!AE5 + '기타(Z)'!AE5</f>
        <v>1903.5450000000001</v>
      </c>
      <c r="F25" s="39">
        <f>'발전사업(A)'!AF5 + '자가소비(B)'!AF5 + 'PPA 사업(C)'!AF5 + '리스사업(D)'!AF5 + '임대사업(E)'!AF5 + '환경부사업(F)'!AF5 + '프로젝트(G)'!AF5 + '협력사 EPC(H)'!AF5 + '기타(Z)'!AF5</f>
        <v>1219.05</v>
      </c>
      <c r="G25" s="39">
        <f>'발전사업(A)'!AG5 + '자가소비(B)'!AG5 + 'PPA 사업(C)'!AG5 + '리스사업(D)'!AG5 + '임대사업(E)'!AG5 + '환경부사업(F)'!AG5 + '프로젝트(G)'!AG5 + '협력사 EPC(H)'!AG5 + '기타(Z)'!AG5</f>
        <v>435.53499999999997</v>
      </c>
      <c r="H25" s="39">
        <f>'발전사업(A)'!AH5 + '자가소비(B)'!AH5 + 'PPA 사업(C)'!AH5 + '리스사업(D)'!AH5 + '임대사업(E)'!AH5 + '환경부사업(F)'!AH5 + '프로젝트(G)'!AH5 + '협력사 EPC(H)'!AH5 + '기타(Z)'!AH5</f>
        <v>248.96</v>
      </c>
      <c r="I25" s="125">
        <f>'발전사업(A)'!AI5 + '자가소비(B)'!AI5 + 'PPA 사업(C)'!AI5 + '리스사업(D)'!AI5 + '임대사업(E)'!AI5 + '환경부사업(F)'!AI5 + '프로젝트(G)'!AI5 + '협력사 EPC(H)'!AI5 + '기타(Z)'!AI5</f>
        <v>0</v>
      </c>
      <c r="J25" s="115">
        <f>'발전사업(A)'!AJ5 + '자가소비(B)'!AJ5 + 'PPA 사업(C)'!AJ5 + '리스사업(D)'!AJ5 + '임대사업(E)'!AJ5 + '환경부사업(F)'!AJ5 + '프로젝트(G)'!AJ5 + '협력사 EPC(H)'!AJ5 + '기타(Z)'!AJ5</f>
        <v>7</v>
      </c>
      <c r="K25" s="181">
        <f>'발전사업(A)'!AK5 + '자가소비(B)'!AK5 + 'PPA 사업(C)'!AK5 + '리스사업(D)'!AK5 + '임대사업(E)'!AK5 + '환경부사업(F)'!AK5 + '프로젝트(G)'!AK5 + '협력사 EPC(H)'!AK5 + '기타(Z)'!AK5</f>
        <v>4</v>
      </c>
      <c r="L25" s="181">
        <f>'발전사업(A)'!AL5 + '자가소비(B)'!AL5 + 'PPA 사업(C)'!AL5 + '리스사업(D)'!AL5 + '임대사업(E)'!AL5 + '환경부사업(F)'!AL5 + '프로젝트(G)'!AL5 + '협력사 EPC(H)'!AL5 + '기타(Z)'!AL5</f>
        <v>2</v>
      </c>
      <c r="M25" s="181">
        <f>'발전사업(A)'!AM5 + '자가소비(B)'!AM5 + 'PPA 사업(C)'!AM5 + '리스사업(D)'!AM5 + '임대사업(E)'!AM5 + '환경부사업(F)'!AM5 + '프로젝트(G)'!AM5 + '협력사 EPC(H)'!AM5 + '기타(Z)'!AM5</f>
        <v>1</v>
      </c>
      <c r="N25" s="182">
        <f>'발전사업(A)'!AN5 + '자가소비(B)'!AN5 + 'PPA 사업(C)'!AN5 + '리스사업(D)'!AN5 + '임대사업(E)'!AN5 + '환경부사업(F)'!AN5 + '프로젝트(G)'!AN5 + '협력사 EPC(H)'!AN5 + '기타(Z)'!AN5</f>
        <v>0</v>
      </c>
      <c r="O25" s="39">
        <f>'발전사업(A)'!AO5 + '자가소비(B)'!AO5 + 'PPA 사업(C)'!AO5 + '리스사업(D)'!AO5 + '임대사업(E)'!AO5 + '환경부사업(F)'!AO5 + '프로젝트(G)'!AO5 + '협력사 EPC(H)'!AO5 + '기타(Z)'!AO5 + '협력사 하도(I)'!AO5</f>
        <v>17.8</v>
      </c>
      <c r="P25" s="39">
        <f>'발전사업(A)'!AP5 + '자가소비(B)'!AP5 + 'PPA 사업(C)'!AP5 + '리스사업(D)'!AP5 + '임대사업(E)'!AP5 + '환경부사업(F)'!AP5 + '프로젝트(G)'!AP5 + '협력사 EPC(H)'!AP5 + '기타(Z)'!AP5 + '협력사 하도(I)'!AP5</f>
        <v>10.530000000000001</v>
      </c>
      <c r="Q25" s="39">
        <f>'발전사업(A)'!AQ5 + '자가소비(B)'!AQ5 + 'PPA 사업(C)'!AQ5 + '리스사업(D)'!AQ5 + '임대사업(E)'!AQ5 + '환경부사업(F)'!AQ5 + '프로젝트(G)'!AQ5 + '협력사 EPC(H)'!AQ5 + '기타(Z)'!AQ5 + '협력사 하도(I)'!AQ5</f>
        <v>4.37</v>
      </c>
      <c r="R25" s="39">
        <f>'발전사업(A)'!AR5 + '자가소비(B)'!AR5 + 'PPA 사업(C)'!AR5 + '리스사업(D)'!AR5 + '임대사업(E)'!AR5 + '환경부사업(F)'!AR5 + '프로젝트(G)'!AR5 + '협력사 EPC(H)'!AR5 + '기타(Z)'!AR5 + '협력사 하도(I)'!AR5</f>
        <v>2.9</v>
      </c>
      <c r="S25" s="130">
        <f>'발전사업(A)'!AS5 + '자가소비(B)'!AS5 + 'PPA 사업(C)'!AS5 + '리스사업(D)'!AS5 + '임대사업(E)'!AS5 + '환경부사업(F)'!AS5 + '프로젝트(G)'!AS5 + '협력사 EPC(H)'!AS5 + '기타(Z)'!AS5 + '협력사 하도(I)'!AS5</f>
        <v>0</v>
      </c>
      <c r="U25" s="152">
        <v>2</v>
      </c>
      <c r="V25" s="153">
        <f>'발전사업(A)'!AV5 + '자가소비(B)'!AV5 + 'PPA 사업(C)'!AV5 + '리스사업(D)'!AV5 + '임대사업(E)'!AV5 + '환경부사업(F)'!AV5 + '프로젝트(G)'!AV5 + '협력사 EPC(H)'!AV5 + '기타(Z)'!AV5</f>
        <v>29</v>
      </c>
      <c r="W25" s="164">
        <f>'발전사업(A)'!AW5 + '자가소비(B)'!AW5 + 'PPA 사업(C)'!AW5 + '리스사업(D)'!AW5 + '임대사업(E)'!AW5 + '환경부사업(F)'!AW5 + '프로젝트(G)'!AW5 + '협력사 EPC(H)'!AW5 + '기타(Z)'!AW5</f>
        <v>12</v>
      </c>
    </row>
    <row r="26" spans="1:41" x14ac:dyDescent="0.25">
      <c r="A26">
        <v>1</v>
      </c>
      <c r="B26" s="487"/>
      <c r="C26" s="90">
        <v>4</v>
      </c>
      <c r="D26" s="97" t="s">
        <v>211</v>
      </c>
      <c r="E26" s="39">
        <f>'발전사업(A)'!AE6 + '자가소비(B)'!AE6 + 'PPA 사업(C)'!AE6 + '리스사업(D)'!AE6 + '임대사업(E)'!AE6 + '환경부사업(F)'!AE6 + '프로젝트(G)'!AE6 + '협력사 EPC(H)'!AE6 + '기타(Z)'!AE6</f>
        <v>1262.9100000000001</v>
      </c>
      <c r="F26" s="39">
        <f>'발전사업(A)'!AF6 + '자가소비(B)'!AF6 + 'PPA 사업(C)'!AF6 + '리스사업(D)'!AF6 + '임대사업(E)'!AF6 + '환경부사업(F)'!AF6 + '프로젝트(G)'!AF6 + '협력사 EPC(H)'!AF6 + '기타(Z)'!AF6</f>
        <v>978.46500000000003</v>
      </c>
      <c r="G26" s="39">
        <f>'발전사업(A)'!AG6 + '자가소비(B)'!AG6 + 'PPA 사업(C)'!AG6 + '리스사업(D)'!AG6 + '임대사업(E)'!AG6 + '환경부사업(F)'!AG6 + '프로젝트(G)'!AG6 + '협력사 EPC(H)'!AG6 + '기타(Z)'!AG6</f>
        <v>284.44499999999999</v>
      </c>
      <c r="H26" s="39">
        <f>'발전사업(A)'!AH6 + '자가소비(B)'!AH6 + 'PPA 사업(C)'!AH6 + '리스사업(D)'!AH6 + '임대사업(E)'!AH6 + '환경부사업(F)'!AH6 + '프로젝트(G)'!AH6 + '협력사 EPC(H)'!AH6 + '기타(Z)'!AH6</f>
        <v>0</v>
      </c>
      <c r="I26" s="125">
        <f>'발전사업(A)'!AI6 + '자가소비(B)'!AI6 + 'PPA 사업(C)'!AI6 + '리스사업(D)'!AI6 + '임대사업(E)'!AI6 + '환경부사업(F)'!AI6 + '프로젝트(G)'!AI6 + '협력사 EPC(H)'!AI6 + '기타(Z)'!AI6</f>
        <v>0</v>
      </c>
      <c r="J26" s="115">
        <f>'발전사업(A)'!AJ6 + '자가소비(B)'!AJ6 + 'PPA 사업(C)'!AJ6 + '리스사업(D)'!AJ6 + '임대사업(E)'!AJ6 + '환경부사업(F)'!AJ6 + '프로젝트(G)'!AJ6 + '협력사 EPC(H)'!AJ6 + '기타(Z)'!AJ6</f>
        <v>6</v>
      </c>
      <c r="K26" s="181">
        <f>'발전사업(A)'!AK6 + '자가소비(B)'!AK6 + 'PPA 사업(C)'!AK6 + '리스사업(D)'!AK6 + '임대사업(E)'!AK6 + '환경부사업(F)'!AK6 + '프로젝트(G)'!AK6 + '협력사 EPC(H)'!AK6 + '기타(Z)'!AK6</f>
        <v>4</v>
      </c>
      <c r="L26" s="181">
        <f>'발전사업(A)'!AL6 + '자가소비(B)'!AL6 + 'PPA 사업(C)'!AL6 + '리스사업(D)'!AL6 + '임대사업(E)'!AL6 + '환경부사업(F)'!AL6 + '프로젝트(G)'!AL6 + '협력사 EPC(H)'!AL6 + '기타(Z)'!AL6</f>
        <v>2</v>
      </c>
      <c r="M26" s="181">
        <f>'발전사업(A)'!AM6 + '자가소비(B)'!AM6 + 'PPA 사업(C)'!AM6 + '리스사업(D)'!AM6 + '임대사업(E)'!AM6 + '환경부사업(F)'!AM6 + '프로젝트(G)'!AM6 + '협력사 EPC(H)'!AM6 + '기타(Z)'!AM6</f>
        <v>0</v>
      </c>
      <c r="N26" s="182">
        <f>'발전사업(A)'!AN6 + '자가소비(B)'!AN6 + 'PPA 사업(C)'!AN6 + '리스사업(D)'!AN6 + '임대사업(E)'!AN6 + '환경부사업(F)'!AN6 + '프로젝트(G)'!AN6 + '협력사 EPC(H)'!AN6 + '기타(Z)'!AN6</f>
        <v>0</v>
      </c>
      <c r="O26" s="39">
        <f>'발전사업(A)'!AO6 + '자가소비(B)'!AO6 + 'PPA 사업(C)'!AO6 + '리스사업(D)'!AO6 + '임대사업(E)'!AO6 + '환경부사업(F)'!AO6 + '프로젝트(G)'!AO6 + '협력사 EPC(H)'!AO6 + '기타(Z)'!AO6 + '협력사 하도(I)'!AO6</f>
        <v>11.899999999999999</v>
      </c>
      <c r="P26" s="39">
        <f>'발전사업(A)'!AP6 + '자가소비(B)'!AP6 + 'PPA 사업(C)'!AP6 + '리스사업(D)'!AP6 + '임대사업(E)'!AP6 + '환경부사업(F)'!AP6 + '프로젝트(G)'!AP6 + '협력사 EPC(H)'!AP6 + '기타(Z)'!AP6 + '협력사 하도(I)'!AP6</f>
        <v>9.0399999999999991</v>
      </c>
      <c r="Q26" s="39">
        <f>'발전사업(A)'!AQ6 + '자가소비(B)'!AQ6 + 'PPA 사업(C)'!AQ6 + '리스사업(D)'!AQ6 + '임대사업(E)'!AQ6 + '환경부사업(F)'!AQ6 + '프로젝트(G)'!AQ6 + '협력사 EPC(H)'!AQ6 + '기타(Z)'!AQ6 + '협력사 하도(I)'!AQ6</f>
        <v>2.8600000000000003</v>
      </c>
      <c r="R26" s="39">
        <f>'발전사업(A)'!AR6 + '자가소비(B)'!AR6 + 'PPA 사업(C)'!AR6 + '리스사업(D)'!AR6 + '임대사업(E)'!AR6 + '환경부사업(F)'!AR6 + '프로젝트(G)'!AR6 + '협력사 EPC(H)'!AR6 + '기타(Z)'!AR6 + '협력사 하도(I)'!AR6</f>
        <v>0</v>
      </c>
      <c r="S26" s="130">
        <f>'발전사업(A)'!AS6 + '자가소비(B)'!AS6 + 'PPA 사업(C)'!AS6 + '리스사업(D)'!AS6 + '임대사업(E)'!AS6 + '환경부사업(F)'!AS6 + '프로젝트(G)'!AS6 + '협력사 EPC(H)'!AS6 + '기타(Z)'!AS6 + '협력사 하도(I)'!AS6</f>
        <v>0</v>
      </c>
      <c r="U26" s="152">
        <v>3</v>
      </c>
      <c r="V26" s="153">
        <f>'발전사업(A)'!AV6 + '자가소비(B)'!AV6 + 'PPA 사업(C)'!AV6 + '리스사업(D)'!AV6 + '임대사업(E)'!AV6 + '환경부사업(F)'!AV6 + '프로젝트(G)'!AV6 + '협력사 EPC(H)'!AV6 + '기타(Z)'!AV6</f>
        <v>37</v>
      </c>
      <c r="W26" s="164">
        <f>'발전사업(A)'!AW6 + '자가소비(B)'!AW6 + 'PPA 사업(C)'!AW6 + '리스사업(D)'!AW6 + '임대사업(E)'!AW6 + '환경부사업(F)'!AW6 + '프로젝트(G)'!AW6 + '협력사 EPC(H)'!AW6 + '기타(Z)'!AW6</f>
        <v>7</v>
      </c>
    </row>
    <row r="27" spans="1:41" x14ac:dyDescent="0.25">
      <c r="A27">
        <v>1</v>
      </c>
      <c r="B27" s="487"/>
      <c r="C27" s="91">
        <v>5</v>
      </c>
      <c r="D27" s="97"/>
      <c r="E27" s="39">
        <f>'발전사업(A)'!AE7 + '자가소비(B)'!AE7 + 'PPA 사업(C)'!AE7 + '리스사업(D)'!AE7 + '임대사업(E)'!AE7 + '환경부사업(F)'!AE7 + '프로젝트(G)'!AE7 + '협력사 EPC(H)'!AE7 + '기타(Z)'!AE7</f>
        <v>0</v>
      </c>
      <c r="F27" s="39">
        <f>'발전사업(A)'!AF7 + '자가소비(B)'!AF7 + 'PPA 사업(C)'!AF7 + '리스사업(D)'!AF7 + '임대사업(E)'!AF7 + '환경부사업(F)'!AF7 + '프로젝트(G)'!AF7 + '협력사 EPC(H)'!AF7 + '기타(Z)'!AF7</f>
        <v>0</v>
      </c>
      <c r="G27" s="39">
        <f>'발전사업(A)'!AG7 + '자가소비(B)'!AG7 + 'PPA 사업(C)'!AG7 + '리스사업(D)'!AG7 + '임대사업(E)'!AG7 + '환경부사업(F)'!AG7 + '프로젝트(G)'!AG7 + '협력사 EPC(H)'!AG7 + '기타(Z)'!AG7</f>
        <v>0</v>
      </c>
      <c r="H27" s="39">
        <f>'발전사업(A)'!AH7 + '자가소비(B)'!AH7 + 'PPA 사업(C)'!AH7 + '리스사업(D)'!AH7 + '임대사업(E)'!AH7 + '환경부사업(F)'!AH7 + '프로젝트(G)'!AH7 + '협력사 EPC(H)'!AH7 + '기타(Z)'!AH7</f>
        <v>0</v>
      </c>
      <c r="I27" s="125">
        <f>'발전사업(A)'!AI7 + '자가소비(B)'!AI7 + 'PPA 사업(C)'!AI7 + '리스사업(D)'!AI7 + '임대사업(E)'!AI7 + '환경부사업(F)'!AI7 + '프로젝트(G)'!AI7 + '협력사 EPC(H)'!AI7 + '기타(Z)'!AI7</f>
        <v>0</v>
      </c>
      <c r="J27" s="115">
        <f>'발전사업(A)'!AJ7 + '자가소비(B)'!AJ7 + 'PPA 사업(C)'!AJ7 + '리스사업(D)'!AJ7 + '임대사업(E)'!AJ7 + '환경부사업(F)'!AJ7 + '프로젝트(G)'!AJ7 + '협력사 EPC(H)'!AJ7 + '기타(Z)'!AJ7</f>
        <v>0</v>
      </c>
      <c r="K27" s="181">
        <f>'발전사업(A)'!AK7 + '자가소비(B)'!AK7 + 'PPA 사업(C)'!AK7 + '리스사업(D)'!AK7 + '임대사업(E)'!AK7 + '환경부사업(F)'!AK7 + '프로젝트(G)'!AK7 + '협력사 EPC(H)'!AK7 + '기타(Z)'!AK7</f>
        <v>0</v>
      </c>
      <c r="L27" s="181">
        <f>'발전사업(A)'!AL7 + '자가소비(B)'!AL7 + 'PPA 사업(C)'!AL7 + '리스사업(D)'!AL7 + '임대사업(E)'!AL7 + '환경부사업(F)'!AL7 + '프로젝트(G)'!AL7 + '협력사 EPC(H)'!AL7 + '기타(Z)'!AL7</f>
        <v>0</v>
      </c>
      <c r="M27" s="181">
        <f>'발전사업(A)'!AM7 + '자가소비(B)'!AM7 + 'PPA 사업(C)'!AM7 + '리스사업(D)'!AM7 + '임대사업(E)'!AM7 + '환경부사업(F)'!AM7 + '프로젝트(G)'!AM7 + '협력사 EPC(H)'!AM7 + '기타(Z)'!AM7</f>
        <v>0</v>
      </c>
      <c r="N27" s="182">
        <f>'발전사업(A)'!AN7 + '자가소비(B)'!AN7 + 'PPA 사업(C)'!AN7 + '리스사업(D)'!AN7 + '임대사업(E)'!AN7 + '환경부사업(F)'!AN7 + '프로젝트(G)'!AN7 + '협력사 EPC(H)'!AN7 + '기타(Z)'!AN7</f>
        <v>0</v>
      </c>
      <c r="O27" s="39">
        <f>'발전사업(A)'!AO7 + '자가소비(B)'!AO7 + 'PPA 사업(C)'!AO7 + '리스사업(D)'!AO7 + '임대사업(E)'!AO7 + '환경부사업(F)'!AO7 + '프로젝트(G)'!AO7 + '협력사 EPC(H)'!AO7 + '기타(Z)'!AO7 + '협력사 하도(I)'!AO7</f>
        <v>0</v>
      </c>
      <c r="P27" s="39">
        <f>'발전사업(A)'!AP7 + '자가소비(B)'!AP7 + 'PPA 사업(C)'!AP7 + '리스사업(D)'!AP7 + '임대사업(E)'!AP7 + '환경부사업(F)'!AP7 + '프로젝트(G)'!AP7 + '협력사 EPC(H)'!AP7 + '기타(Z)'!AP7 + '협력사 하도(I)'!AP7</f>
        <v>0</v>
      </c>
      <c r="Q27" s="39">
        <f>'발전사업(A)'!AQ7 + '자가소비(B)'!AQ7 + 'PPA 사업(C)'!AQ7 + '리스사업(D)'!AQ7 + '임대사업(E)'!AQ7 + '환경부사업(F)'!AQ7 + '프로젝트(G)'!AQ7 + '협력사 EPC(H)'!AQ7 + '기타(Z)'!AQ7 + '협력사 하도(I)'!AQ7</f>
        <v>0</v>
      </c>
      <c r="R27" s="39">
        <f>'발전사업(A)'!AR7 + '자가소비(B)'!AR7 + 'PPA 사업(C)'!AR7 + '리스사업(D)'!AR7 + '임대사업(E)'!AR7 + '환경부사업(F)'!AR7 + '프로젝트(G)'!AR7 + '협력사 EPC(H)'!AR7 + '기타(Z)'!AR7 + '협력사 하도(I)'!AR7</f>
        <v>0</v>
      </c>
      <c r="S27" s="130">
        <f>'발전사업(A)'!AS7 + '자가소비(B)'!AS7 + 'PPA 사업(C)'!AS7 + '리스사업(D)'!AS7 + '임대사업(E)'!AS7 + '환경부사업(F)'!AS7 + '프로젝트(G)'!AS7 + '협력사 EPC(H)'!AS7 + '기타(Z)'!AS7 + '협력사 하도(I)'!AS7</f>
        <v>0</v>
      </c>
      <c r="U27" s="152">
        <v>4</v>
      </c>
      <c r="V27" s="153">
        <f>'발전사업(A)'!AV7 + '자가소비(B)'!AV7 + 'PPA 사업(C)'!AV7 + '리스사업(D)'!AV7 + '임대사업(E)'!AV7 + '환경부사업(F)'!AV7 + '프로젝트(G)'!AV7 + '협력사 EPC(H)'!AV7 + '기타(Z)'!AV7</f>
        <v>27</v>
      </c>
      <c r="W27" s="164">
        <f>'발전사업(A)'!AW7 + '자가소비(B)'!AW7 + 'PPA 사업(C)'!AW7 + '리스사업(D)'!AW7 + '임대사업(E)'!AW7 + '환경부사업(F)'!AW7 + '프로젝트(G)'!AW7 + '협력사 EPC(H)'!AW7 + '기타(Z)'!AW7</f>
        <v>8</v>
      </c>
    </row>
    <row r="28" spans="1:41" ht="14.25" thickBot="1" x14ac:dyDescent="0.3">
      <c r="A28">
        <v>1</v>
      </c>
      <c r="B28" s="488"/>
      <c r="C28" s="92" t="s">
        <v>3</v>
      </c>
      <c r="D28" s="98"/>
      <c r="E28" s="134">
        <f>'발전사업(A)'!AE8 + '자가소비(B)'!AE8 + 'PPA 사업(C)'!AE8 + '리스사업(D)'!AE8 + '임대사업(E)'!AE8 + '환경부사업(F)'!AE8 + '프로젝트(G)'!AE8 + '협력사 EPC(H)'!AE8 + '기타(Z)'!AE8</f>
        <v>9178.4549999999999</v>
      </c>
      <c r="F28" s="134">
        <f>'발전사업(A)'!AF8 + '자가소비(B)'!AF8 + 'PPA 사업(C)'!AF8 + '리스사업(D)'!AF8 + '임대사업(E)'!AF8 + '환경부사업(F)'!AF8 + '프로젝트(G)'!AF8 + '협력사 EPC(H)'!AF8 + '기타(Z)'!AF8</f>
        <v>6484.8300000000008</v>
      </c>
      <c r="G28" s="134">
        <f>'발전사업(A)'!AG8 + '자가소비(B)'!AG8 + 'PPA 사업(C)'!AG8 + '리스사업(D)'!AG8 + '임대사업(E)'!AG8 + '환경부사업(F)'!AG8 + '프로젝트(G)'!AG8 + '협력사 EPC(H)'!AG8 + '기타(Z)'!AG8</f>
        <v>2444.665</v>
      </c>
      <c r="H28" s="134">
        <f>'발전사업(A)'!AH8 + '자가소비(B)'!AH8 + 'PPA 사업(C)'!AH8 + '리스사업(D)'!AH8 + '임대사업(E)'!AH8 + '환경부사업(F)'!AH8 + '프로젝트(G)'!AH8 + '협력사 EPC(H)'!AH8 + '기타(Z)'!AH8</f>
        <v>248.96</v>
      </c>
      <c r="I28" s="135">
        <f>'발전사업(A)'!AI8 + '자가소비(B)'!AI8 + 'PPA 사업(C)'!AI8 + '리스사업(D)'!AI8 + '임대사업(E)'!AI8 + '환경부사업(F)'!AI8 + '프로젝트(G)'!AI8 + '협력사 EPC(H)'!AI8 + '기타(Z)'!AI8</f>
        <v>0</v>
      </c>
      <c r="J28" s="183">
        <f>'발전사업(A)'!AJ8 + '자가소비(B)'!AJ8 + 'PPA 사업(C)'!AJ8 + '리스사업(D)'!AJ8 + '임대사업(E)'!AJ8 + '환경부사업(F)'!AJ8 + '프로젝트(G)'!AJ8 + '협력사 EPC(H)'!AJ8 + '기타(Z)'!AJ8</f>
        <v>31</v>
      </c>
      <c r="K28" s="184">
        <f>'발전사업(A)'!AK8 + '자가소비(B)'!AK8 + 'PPA 사업(C)'!AK8 + '리스사업(D)'!AK8 + '임대사업(E)'!AK8 + '환경부사업(F)'!AK8 + '프로젝트(G)'!AK8 + '협력사 EPC(H)'!AK8 + '기타(Z)'!AK8</f>
        <v>21</v>
      </c>
      <c r="L28" s="184">
        <f>'발전사업(A)'!AL8 + '자가소비(B)'!AL8 + 'PPA 사업(C)'!AL8 + '리스사업(D)'!AL8 + '임대사업(E)'!AL8 + '환경부사업(F)'!AL8 + '프로젝트(G)'!AL8 + '협력사 EPC(H)'!AL8 + '기타(Z)'!AL8</f>
        <v>9</v>
      </c>
      <c r="M28" s="184">
        <f>'발전사업(A)'!AM8 + '자가소비(B)'!AM8 + 'PPA 사업(C)'!AM8 + '리스사업(D)'!AM8 + '임대사업(E)'!AM8 + '환경부사업(F)'!AM8 + '프로젝트(G)'!AM8 + '협력사 EPC(H)'!AM8 + '기타(Z)'!AM8</f>
        <v>1</v>
      </c>
      <c r="N28" s="185">
        <f>'발전사업(A)'!AN8 + '자가소비(B)'!AN8 + 'PPA 사업(C)'!AN8 + '리스사업(D)'!AN8 + '임대사업(E)'!AN8 + '환경부사업(F)'!AN8 + '프로젝트(G)'!AN8 + '협력사 EPC(H)'!AN8 + '기타(Z)'!AN8</f>
        <v>0</v>
      </c>
      <c r="O28" s="134">
        <f>'발전사업(A)'!AO8 + '자가소비(B)'!AO8 + 'PPA 사업(C)'!AO8 + '리스사업(D)'!AO8 + '임대사업(E)'!AO8 + '환경부사업(F)'!AO8 + '프로젝트(G)'!AO8 + '협력사 EPC(H)'!AO8 + '기타(Z)'!AO8 + '협력사 하도(I)'!AO8</f>
        <v>87.29</v>
      </c>
      <c r="P28" s="134">
        <f>'발전사업(A)'!AP8 + '자가소비(B)'!AP8 + 'PPA 사업(C)'!AP8 + '리스사업(D)'!AP8 + '임대사업(E)'!AP8 + '환경부사업(F)'!AP8 + '프로젝트(G)'!AP8 + '협력사 EPC(H)'!AP8 + '기타(Z)'!AP8 + '협력사 하도(I)'!AP8</f>
        <v>58.54</v>
      </c>
      <c r="Q28" s="134">
        <f>'발전사업(A)'!AQ8 + '자가소비(B)'!AQ8 + 'PPA 사업(C)'!AQ8 + '리스사업(D)'!AQ8 + '임대사업(E)'!AQ8 + '환경부사업(F)'!AQ8 + '프로젝트(G)'!AQ8 + '협력사 EPC(H)'!AQ8 + '기타(Z)'!AQ8 + '협력사 하도(I)'!AQ8</f>
        <v>25.85</v>
      </c>
      <c r="R28" s="134">
        <f>'발전사업(A)'!AR8 + '자가소비(B)'!AR8 + 'PPA 사업(C)'!AR8 + '리스사업(D)'!AR8 + '임대사업(E)'!AR8 + '환경부사업(F)'!AR8 + '프로젝트(G)'!AR8 + '협력사 EPC(H)'!AR8 + '기타(Z)'!AR8 + '협력사 하도(I)'!AR8</f>
        <v>2.9</v>
      </c>
      <c r="S28" s="136">
        <f>'발전사업(A)'!AS8 + '자가소비(B)'!AS8 + 'PPA 사업(C)'!AS8 + '리스사업(D)'!AS8 + '임대사업(E)'!AS8 + '환경부사업(F)'!AS8 + '프로젝트(G)'!AS8 + '협력사 EPC(H)'!AS8 + '기타(Z)'!AS8 + '협력사 하도(I)'!AS8</f>
        <v>0</v>
      </c>
      <c r="U28" s="152">
        <v>5</v>
      </c>
      <c r="V28" s="153">
        <f>'발전사업(A)'!AV8 + '자가소비(B)'!AV8 + 'PPA 사업(C)'!AV8 + '리스사업(D)'!AV8 + '임대사업(E)'!AV8 + '환경부사업(F)'!AV8 + '프로젝트(G)'!AV8 + '협력사 EPC(H)'!AV8 + '기타(Z)'!AV8</f>
        <v>12</v>
      </c>
      <c r="W28" s="164">
        <f>'발전사업(A)'!AW8 + '자가소비(B)'!AW8 + 'PPA 사업(C)'!AW8 + '리스사업(D)'!AW8 + '임대사업(E)'!AW8 + '환경부사업(F)'!AW8 + '프로젝트(G)'!AW8 + '협력사 EPC(H)'!AW8 + '기타(Z)'!AW8</f>
        <v>4</v>
      </c>
    </row>
    <row r="29" spans="1:41" ht="16.5" x14ac:dyDescent="0.25">
      <c r="A29">
        <v>2</v>
      </c>
      <c r="B29" s="486">
        <v>2</v>
      </c>
      <c r="C29" s="89">
        <v>1</v>
      </c>
      <c r="D29" s="373" t="s">
        <v>215</v>
      </c>
      <c r="E29" s="137">
        <f>'발전사업(A)'!AE9 + '자가소비(B)'!AE9 + 'PPA 사업(C)'!AE9 + '리스사업(D)'!AE9 + '임대사업(E)'!AE9 + '환경부사업(F)'!AE9 + '프로젝트(G)'!AE9 + '협력사 EPC(H)'!AE9 + '기타(Z)'!AE9</f>
        <v>2923.5349999999994</v>
      </c>
      <c r="F29" s="138">
        <f>'발전사업(A)'!AF9 + '자가소비(B)'!AF9 + 'PPA 사업(C)'!AF9 + '리스사업(D)'!AF9 + '임대사업(E)'!AF9 + '환경부사업(F)'!AF9 + '프로젝트(G)'!AF9 + '협력사 EPC(H)'!AF9 + '기타(Z)'!AF9</f>
        <v>2679.7249999999995</v>
      </c>
      <c r="G29" s="138">
        <f>'발전사업(A)'!AG9 + '자가소비(B)'!AG9 + 'PPA 사업(C)'!AG9 + '리스사업(D)'!AG9 + '임대사업(E)'!AG9 + '환경부사업(F)'!AG9 + '프로젝트(G)'!AG9 + '협력사 EPC(H)'!AG9 + '기타(Z)'!AG9</f>
        <v>243.81</v>
      </c>
      <c r="H29" s="138">
        <f>'발전사업(A)'!AH9 + '자가소비(B)'!AH9 + 'PPA 사업(C)'!AH9 + '리스사업(D)'!AH9 + '임대사업(E)'!AH9 + '환경부사업(F)'!AH9 + '프로젝트(G)'!AH9 + '협력사 EPC(H)'!AH9 + '기타(Z)'!AH9</f>
        <v>0</v>
      </c>
      <c r="I29" s="139">
        <f>'발전사업(A)'!AI9 + '자가소비(B)'!AI9 + 'PPA 사업(C)'!AI9 + '리스사업(D)'!AI9 + '임대사업(E)'!AI9 + '환경부사업(F)'!AI9 + '프로젝트(G)'!AI9 + '협력사 EPC(H)'!AI9 + '기타(Z)'!AI9</f>
        <v>0</v>
      </c>
      <c r="J29" s="186">
        <f>'발전사업(A)'!AJ9 + '자가소비(B)'!AJ9 + 'PPA 사업(C)'!AJ9 + '리스사업(D)'!AJ9 + '임대사업(E)'!AJ9 + '환경부사업(F)'!AJ9 + '프로젝트(G)'!AJ9 + '협력사 EPC(H)'!AJ9 + '기타(Z)'!AJ9</f>
        <v>13</v>
      </c>
      <c r="K29" s="187">
        <f>'발전사업(A)'!AK9 + '자가소비(B)'!AK9 + 'PPA 사업(C)'!AK9 + '리스사업(D)'!AK9 + '임대사업(E)'!AK9 + '환경부사업(F)'!AK9 + '프로젝트(G)'!AK9 + '협력사 EPC(H)'!AK9 + '기타(Z)'!AK9</f>
        <v>11</v>
      </c>
      <c r="L29" s="187">
        <f>'발전사업(A)'!AL9 + '자가소비(B)'!AL9 + 'PPA 사업(C)'!AL9 + '리스사업(D)'!AL9 + '임대사업(E)'!AL9 + '환경부사업(F)'!AL9 + '프로젝트(G)'!AL9 + '협력사 EPC(H)'!AL9 + '기타(Z)'!AL9</f>
        <v>2</v>
      </c>
      <c r="M29" s="187">
        <f>'발전사업(A)'!AM9 + '자가소비(B)'!AM9 + 'PPA 사업(C)'!AM9 + '리스사업(D)'!AM9 + '임대사업(E)'!AM9 + '환경부사업(F)'!AM9 + '프로젝트(G)'!AM9 + '협력사 EPC(H)'!AM9 + '기타(Z)'!AM9</f>
        <v>0</v>
      </c>
      <c r="N29" s="188">
        <f>'발전사업(A)'!AN9 + '자가소비(B)'!AN9 + 'PPA 사업(C)'!AN9 + '리스사업(D)'!AN9 + '임대사업(E)'!AN9 + '환경부사업(F)'!AN9 + '프로젝트(G)'!AN9 + '협력사 EPC(H)'!AN9 + '기타(Z)'!AN9</f>
        <v>0</v>
      </c>
      <c r="O29" s="138">
        <f>'발전사업(A)'!AO9 + '자가소비(B)'!AO9 + 'PPA 사업(C)'!AO9 + '리스사업(D)'!AO9 + '임대사업(E)'!AO9 + '환경부사업(F)'!AO9 + '프로젝트(G)'!AO9 + '협력사 EPC(H)'!AO9 + '기타(Z)'!AO9 + '협력사 하도(I)'!AO9</f>
        <v>28.017199999999995</v>
      </c>
      <c r="P29" s="138">
        <f>'발전사업(A)'!AP9 + '자가소비(B)'!AP9 + 'PPA 사업(C)'!AP9 + '리스사업(D)'!AP9 + '임대사업(E)'!AP9 + '환경부사업(F)'!AP9 + '프로젝트(G)'!AP9 + '협력사 EPC(H)'!AP9 + '기타(Z)'!AP9 + '협력사 하도(I)'!AP9</f>
        <v>25.159999999999997</v>
      </c>
      <c r="Q29" s="138">
        <f>'발전사업(A)'!AQ9 + '자가소비(B)'!AQ9 + 'PPA 사업(C)'!AQ9 + '리스사업(D)'!AQ9 + '임대사업(E)'!AQ9 + '환경부사업(F)'!AQ9 + '프로젝트(G)'!AQ9 + '협력사 EPC(H)'!AQ9 + '기타(Z)'!AQ9 + '협력사 하도(I)'!AQ9</f>
        <v>2.8571999999999997</v>
      </c>
      <c r="R29" s="138">
        <f>'발전사업(A)'!AR9 + '자가소비(B)'!AR9 + 'PPA 사업(C)'!AR9 + '리스사업(D)'!AR9 + '임대사업(E)'!AR9 + '환경부사업(F)'!AR9 + '프로젝트(G)'!AR9 + '협력사 EPC(H)'!AR9 + '기타(Z)'!AR9 + '협력사 하도(I)'!AR9</f>
        <v>0</v>
      </c>
      <c r="S29" s="140">
        <f>'발전사업(A)'!AS9 + '자가소비(B)'!AS9 + 'PPA 사업(C)'!AS9 + '리스사업(D)'!AS9 + '임대사업(E)'!AS9 + '환경부사업(F)'!AS9 + '프로젝트(G)'!AS9 + '협력사 EPC(H)'!AS9 + '기타(Z)'!AS9 + '협력사 하도(I)'!AS9</f>
        <v>0</v>
      </c>
      <c r="U29" s="152">
        <v>6</v>
      </c>
      <c r="V29" s="153">
        <f>'발전사업(A)'!AV9 + '자가소비(B)'!AV9 + 'PPA 사업(C)'!AV9 + '리스사업(D)'!AV9 + '임대사업(E)'!AV9 + '환경부사업(F)'!AV9 + '프로젝트(G)'!AV9 + '협력사 EPC(H)'!AV9 + '기타(Z)'!AV9</f>
        <v>21</v>
      </c>
      <c r="W29" s="164">
        <f>'발전사업(A)'!AW9 + '자가소비(B)'!AW9 + 'PPA 사업(C)'!AW9 + '리스사업(D)'!AW9 + '임대사업(E)'!AW9 + '환경부사업(F)'!AW9 + '프로젝트(G)'!AW9 + '협력사 EPC(H)'!AW9 + '기타(Z)'!AW9</f>
        <v>7</v>
      </c>
    </row>
    <row r="30" spans="1:41" x14ac:dyDescent="0.25">
      <c r="A30">
        <v>2</v>
      </c>
      <c r="B30" s="487"/>
      <c r="C30" s="90">
        <v>2</v>
      </c>
      <c r="D30" s="97" t="s">
        <v>212</v>
      </c>
      <c r="E30" s="129">
        <f>'발전사업(A)'!AE10 + '자가소비(B)'!AE10 + 'PPA 사업(C)'!AE10 + '리스사업(D)'!AE10 + '임대사업(E)'!AE10 + '환경부사업(F)'!AE10 + '프로젝트(G)'!AE10 + '협력사 EPC(H)'!AE10 + '기타(Z)'!AE10</f>
        <v>5118.1050000000005</v>
      </c>
      <c r="F30" s="39">
        <f>'발전사업(A)'!AF10 + '자가소비(B)'!AF10 + 'PPA 사업(C)'!AF10 + '리스사업(D)'!AF10 + '임대사업(E)'!AF10 + '환경부사업(F)'!AF10 + '프로젝트(G)'!AF10 + '협력사 EPC(H)'!AF10 + '기타(Z)'!AF10</f>
        <v>3400.86</v>
      </c>
      <c r="G30" s="39">
        <f>'발전사업(A)'!AG10 + '자가소비(B)'!AG10 + 'PPA 사업(C)'!AG10 + '리스사업(D)'!AG10 + '임대사업(E)'!AG10 + '환경부사업(F)'!AG10 + '프로젝트(G)'!AG10 + '협력사 EPC(H)'!AG10 + '기타(Z)'!AG10</f>
        <v>1717.2450000000003</v>
      </c>
      <c r="H30" s="39">
        <f>'발전사업(A)'!AH10 + '자가소비(B)'!AH10 + 'PPA 사업(C)'!AH10 + '리스사업(D)'!AH10 + '임대사업(E)'!AH10 + '환경부사업(F)'!AH10 + '프로젝트(G)'!AH10 + '협력사 EPC(H)'!AH10 + '기타(Z)'!AH10</f>
        <v>0</v>
      </c>
      <c r="I30" s="125">
        <f>'발전사업(A)'!AI10 + '자가소비(B)'!AI10 + 'PPA 사업(C)'!AI10 + '리스사업(D)'!AI10 + '임대사업(E)'!AI10 + '환경부사업(F)'!AI10 + '프로젝트(G)'!AI10 + '협력사 EPC(H)'!AI10 + '기타(Z)'!AI10</f>
        <v>0</v>
      </c>
      <c r="J30" s="115">
        <f>'발전사업(A)'!AJ10 + '자가소비(B)'!AJ10 + 'PPA 사업(C)'!AJ10 + '리스사업(D)'!AJ10 + '임대사업(E)'!AJ10 + '환경부사업(F)'!AJ10 + '프로젝트(G)'!AJ10 + '협력사 EPC(H)'!AJ10 + '기타(Z)'!AJ10</f>
        <v>17</v>
      </c>
      <c r="K30" s="181">
        <f>'발전사업(A)'!AK10 + '자가소비(B)'!AK10 + 'PPA 사업(C)'!AK10 + '리스사업(D)'!AK10 + '임대사업(E)'!AK10 + '환경부사업(F)'!AK10 + '프로젝트(G)'!AK10 + '협력사 EPC(H)'!AK10 + '기타(Z)'!AK10</f>
        <v>10</v>
      </c>
      <c r="L30" s="181">
        <f>'발전사업(A)'!AL10 + '자가소비(B)'!AL10 + 'PPA 사업(C)'!AL10 + '리스사업(D)'!AL10 + '임대사업(E)'!AL10 + '환경부사업(F)'!AL10 + '프로젝트(G)'!AL10 + '협력사 EPC(H)'!AL10 + '기타(Z)'!AL10</f>
        <v>7</v>
      </c>
      <c r="M30" s="181">
        <f>'발전사업(A)'!AM10 + '자가소비(B)'!AM10 + 'PPA 사업(C)'!AM10 + '리스사업(D)'!AM10 + '임대사업(E)'!AM10 + '환경부사업(F)'!AM10 + '프로젝트(G)'!AM10 + '협력사 EPC(H)'!AM10 + '기타(Z)'!AM10</f>
        <v>0</v>
      </c>
      <c r="N30" s="182">
        <f>'발전사업(A)'!AN10 + '자가소비(B)'!AN10 + 'PPA 사업(C)'!AN10 + '리스사업(D)'!AN10 + '임대사업(E)'!AN10 + '환경부사업(F)'!AN10 + '프로젝트(G)'!AN10 + '협력사 EPC(H)'!AN10 + '기타(Z)'!AN10</f>
        <v>0</v>
      </c>
      <c r="O30" s="39">
        <f>'발전사업(A)'!AO10 + '자가소비(B)'!AO10 + 'PPA 사업(C)'!AO10 + '리스사업(D)'!AO10 + '임대사업(E)'!AO10 + '환경부사업(F)'!AO10 + '프로젝트(G)'!AO10 + '협력사 EPC(H)'!AO10 + '기타(Z)'!AO10 + '협력사 하도(I)'!AO10</f>
        <v>49.86</v>
      </c>
      <c r="P30" s="39">
        <f>'발전사업(A)'!AP10 + '자가소비(B)'!AP10 + 'PPA 사업(C)'!AP10 + '리스사업(D)'!AP10 + '임대사업(E)'!AP10 + '환경부사업(F)'!AP10 + '프로젝트(G)'!AP10 + '협력사 EPC(H)'!AP10 + '기타(Z)'!AP10 + '협력사 하도(I)'!AP10</f>
        <v>33.840000000000003</v>
      </c>
      <c r="Q30" s="39">
        <f>'발전사업(A)'!AQ10 + '자가소비(B)'!AQ10 + 'PPA 사업(C)'!AQ10 + '리스사업(D)'!AQ10 + '임대사업(E)'!AQ10 + '환경부사업(F)'!AQ10 + '프로젝트(G)'!AQ10 + '협력사 EPC(H)'!AQ10 + '기타(Z)'!AQ10 + '협력사 하도(I)'!AQ10</f>
        <v>16.02</v>
      </c>
      <c r="R30" s="39">
        <f>'발전사업(A)'!AR10 + '자가소비(B)'!AR10 + 'PPA 사업(C)'!AR10 + '리스사업(D)'!AR10 + '임대사업(E)'!AR10 + '환경부사업(F)'!AR10 + '프로젝트(G)'!AR10 + '협력사 EPC(H)'!AR10 + '기타(Z)'!AR10 + '협력사 하도(I)'!AR10</f>
        <v>0</v>
      </c>
      <c r="S30" s="130">
        <f>'발전사업(A)'!AS10 + '자가소비(B)'!AS10 + 'PPA 사업(C)'!AS10 + '리스사업(D)'!AS10 + '임대사업(E)'!AS10 + '환경부사업(F)'!AS10 + '프로젝트(G)'!AS10 + '협력사 EPC(H)'!AS10 + '기타(Z)'!AS10 + '협력사 하도(I)'!AS10</f>
        <v>0</v>
      </c>
      <c r="U30" s="152">
        <v>7</v>
      </c>
      <c r="V30" s="153">
        <f>'발전사업(A)'!AV10 + '자가소비(B)'!AV10 + 'PPA 사업(C)'!AV10 + '리스사업(D)'!AV10 + '임대사업(E)'!AV10 + '환경부사업(F)'!AV10 + '프로젝트(G)'!AV10 + '협력사 EPC(H)'!AV10 + '기타(Z)'!AV10</f>
        <v>20</v>
      </c>
      <c r="W30" s="164">
        <f>'발전사업(A)'!AW10 + '자가소비(B)'!AW10 + 'PPA 사업(C)'!AW10 + '리스사업(D)'!AW10 + '임대사업(E)'!AW10 + '환경부사업(F)'!AW10 + '프로젝트(G)'!AW10 + '협력사 EPC(H)'!AW10 + '기타(Z)'!AW10</f>
        <v>8</v>
      </c>
    </row>
    <row r="31" spans="1:41" x14ac:dyDescent="0.25">
      <c r="A31">
        <v>2</v>
      </c>
      <c r="B31" s="487"/>
      <c r="C31" s="90">
        <v>3</v>
      </c>
      <c r="D31" s="97" t="s">
        <v>213</v>
      </c>
      <c r="E31" s="129">
        <f>'발전사업(A)'!AE11 + '자가소비(B)'!AE11 + 'PPA 사업(C)'!AE11 + '리스사업(D)'!AE11 + '임대사업(E)'!AE11 + '환경부사업(F)'!AE11 + '프로젝트(G)'!AE11 + '협력사 EPC(H)'!AE11 + '기타(Z)'!AE11</f>
        <v>1406.1</v>
      </c>
      <c r="F31" s="39">
        <f>'발전사업(A)'!AF11 + '자가소비(B)'!AF11 + 'PPA 사업(C)'!AF11 + '리스사업(D)'!AF11 + '임대사업(E)'!AF11 + '환경부사업(F)'!AF11 + '프로젝트(G)'!AF11 + '협력사 EPC(H)'!AF11 + '기타(Z)'!AF11</f>
        <v>524.38499999999999</v>
      </c>
      <c r="G31" s="39">
        <f>'발전사업(A)'!AG11 + '자가소비(B)'!AG11 + 'PPA 사업(C)'!AG11 + '리스사업(D)'!AG11 + '임대사업(E)'!AG11 + '환경부사업(F)'!AG11 + '프로젝트(G)'!AG11 + '협력사 EPC(H)'!AG11 + '기타(Z)'!AG11</f>
        <v>881.71500000000003</v>
      </c>
      <c r="H31" s="39">
        <f>'발전사업(A)'!AH11 + '자가소비(B)'!AH11 + 'PPA 사업(C)'!AH11 + '리스사업(D)'!AH11 + '임대사업(E)'!AH11 + '환경부사업(F)'!AH11 + '프로젝트(G)'!AH11 + '협력사 EPC(H)'!AH11 + '기타(Z)'!AH11</f>
        <v>0</v>
      </c>
      <c r="I31" s="125">
        <f>'발전사업(A)'!AI11 + '자가소비(B)'!AI11 + 'PPA 사업(C)'!AI11 + '리스사업(D)'!AI11 + '임대사업(E)'!AI11 + '환경부사업(F)'!AI11 + '프로젝트(G)'!AI11 + '협력사 EPC(H)'!AI11 + '기타(Z)'!AI11</f>
        <v>0</v>
      </c>
      <c r="J31" s="115">
        <f>'발전사업(A)'!AJ11 + '자가소비(B)'!AJ11 + 'PPA 사업(C)'!AJ11 + '리스사업(D)'!AJ11 + '임대사업(E)'!AJ11 + '환경부사업(F)'!AJ11 + '프로젝트(G)'!AJ11 + '협력사 EPC(H)'!AJ11 + '기타(Z)'!AJ11</f>
        <v>5</v>
      </c>
      <c r="K31" s="181">
        <f>'발전사업(A)'!AK11 + '자가소비(B)'!AK11 + 'PPA 사업(C)'!AK11 + '리스사업(D)'!AK11 + '임대사업(E)'!AK11 + '환경부사업(F)'!AK11 + '프로젝트(G)'!AK11 + '협력사 EPC(H)'!AK11 + '기타(Z)'!AK11</f>
        <v>2</v>
      </c>
      <c r="L31" s="181">
        <f>'발전사업(A)'!AL11 + '자가소비(B)'!AL11 + 'PPA 사업(C)'!AL11 + '리스사업(D)'!AL11 + '임대사업(E)'!AL11 + '환경부사업(F)'!AL11 + '프로젝트(G)'!AL11 + '협력사 EPC(H)'!AL11 + '기타(Z)'!AL11</f>
        <v>3</v>
      </c>
      <c r="M31" s="181">
        <f>'발전사업(A)'!AM11 + '자가소비(B)'!AM11 + 'PPA 사업(C)'!AM11 + '리스사업(D)'!AM11 + '임대사업(E)'!AM11 + '환경부사업(F)'!AM11 + '프로젝트(G)'!AM11 + '협력사 EPC(H)'!AM11 + '기타(Z)'!AM11</f>
        <v>0</v>
      </c>
      <c r="N31" s="182">
        <f>'발전사업(A)'!AN11 + '자가소비(B)'!AN11 + 'PPA 사업(C)'!AN11 + '리스사업(D)'!AN11 + '임대사업(E)'!AN11 + '환경부사업(F)'!AN11 + '프로젝트(G)'!AN11 + '협력사 EPC(H)'!AN11 + '기타(Z)'!AN11</f>
        <v>0</v>
      </c>
      <c r="O31" s="39">
        <f>'발전사업(A)'!AO11 + '자가소비(B)'!AO11 + 'PPA 사업(C)'!AO11 + '리스사업(D)'!AO11 + '임대사업(E)'!AO11 + '환경부사업(F)'!AO11 + '프로젝트(G)'!AO11 + '협력사 EPC(H)'!AO11 + '기타(Z)'!AO11 + '협력사 하도(I)'!AO11</f>
        <v>13.6</v>
      </c>
      <c r="P31" s="39">
        <f>'발전사업(A)'!AP11 + '자가소비(B)'!AP11 + 'PPA 사업(C)'!AP11 + '리스사업(D)'!AP11 + '임대사업(E)'!AP11 + '환경부사업(F)'!AP11 + '프로젝트(G)'!AP11 + '협력사 EPC(H)'!AP11 + '기타(Z)'!AP11 + '협력사 하도(I)'!AP11</f>
        <v>5.0600000000000005</v>
      </c>
      <c r="Q31" s="39">
        <f>'발전사업(A)'!AQ11 + '자가소비(B)'!AQ11 + 'PPA 사업(C)'!AQ11 + '리스사업(D)'!AQ11 + '임대사업(E)'!AQ11 + '환경부사업(F)'!AQ11 + '프로젝트(G)'!AQ11 + '협력사 EPC(H)'!AQ11 + '기타(Z)'!AQ11 + '협력사 하도(I)'!AQ11</f>
        <v>8.5399999999999991</v>
      </c>
      <c r="R31" s="39">
        <f>'발전사업(A)'!AR11 + '자가소비(B)'!AR11 + 'PPA 사업(C)'!AR11 + '리스사업(D)'!AR11 + '임대사업(E)'!AR11 + '환경부사업(F)'!AR11 + '프로젝트(G)'!AR11 + '협력사 EPC(H)'!AR11 + '기타(Z)'!AR11 + '협력사 하도(I)'!AR11</f>
        <v>0</v>
      </c>
      <c r="S31" s="130">
        <f>'발전사업(A)'!AS11 + '자가소비(B)'!AS11 + 'PPA 사업(C)'!AS11 + '리스사업(D)'!AS11 + '임대사업(E)'!AS11 + '환경부사업(F)'!AS11 + '프로젝트(G)'!AS11 + '협력사 EPC(H)'!AS11 + '기타(Z)'!AS11 + '협력사 하도(I)'!AS11</f>
        <v>0</v>
      </c>
      <c r="U31" s="152">
        <v>8</v>
      </c>
      <c r="V31" s="153">
        <f>'발전사업(A)'!AV11 + '자가소비(B)'!AV11 + 'PPA 사업(C)'!AV11 + '리스사업(D)'!AV11 + '임대사업(E)'!AV11 + '환경부사업(F)'!AV11 + '프로젝트(G)'!AV11 + '협력사 EPC(H)'!AV11 + '기타(Z)'!AV11</f>
        <v>11</v>
      </c>
      <c r="W31" s="164">
        <f>'발전사업(A)'!AW11 + '자가소비(B)'!AW11 + 'PPA 사업(C)'!AW11 + '리스사업(D)'!AW11 + '임대사업(E)'!AW11 + '환경부사업(F)'!AW11 + '프로젝트(G)'!AW11 + '협력사 EPC(H)'!AW11 + '기타(Z)'!AW11</f>
        <v>9</v>
      </c>
    </row>
    <row r="32" spans="1:41" x14ac:dyDescent="0.25">
      <c r="A32">
        <v>2</v>
      </c>
      <c r="B32" s="487"/>
      <c r="C32" s="90">
        <v>4</v>
      </c>
      <c r="D32" s="97" t="s">
        <v>214</v>
      </c>
      <c r="E32" s="129">
        <f>'발전사업(A)'!AE12 + '자가소비(B)'!AE12 + 'PPA 사업(C)'!AE12 + '리스사업(D)'!AE12 + '임대사업(E)'!AE12 + '환경부사업(F)'!AE12 + '프로젝트(G)'!AE12 + '협력사 EPC(H)'!AE12 + '기타(Z)'!AE12</f>
        <v>5164.46</v>
      </c>
      <c r="F32" s="39">
        <f>'발전사업(A)'!AF12 + '자가소비(B)'!AF12 + 'PPA 사업(C)'!AF12 + '리스사업(D)'!AF12 + '임대사업(E)'!AF12 + '환경부사업(F)'!AF12 + '프로젝트(G)'!AF12 + '협력사 EPC(H)'!AF12 + '기타(Z)'!AF12</f>
        <v>777.83500000000004</v>
      </c>
      <c r="G32" s="39">
        <f>'발전사업(A)'!AG12 + '자가소비(B)'!AG12 + 'PPA 사업(C)'!AG12 + '리스사업(D)'!AG12 + '임대사업(E)'!AG12 + '환경부사업(F)'!AG12 + '프로젝트(G)'!AG12 + '협력사 EPC(H)'!AG12 + '기타(Z)'!AG12</f>
        <v>486.625</v>
      </c>
      <c r="H32" s="39">
        <f>'발전사업(A)'!AH12 + '자가소비(B)'!AH12 + 'PPA 사업(C)'!AH12 + '리스사업(D)'!AH12 + '임대사업(E)'!AH12 + '환경부사업(F)'!AH12 + '프로젝트(G)'!AH12 + '협력사 EPC(H)'!AH12 + '기타(Z)'!AH12</f>
        <v>3900</v>
      </c>
      <c r="I32" s="125">
        <f>'발전사업(A)'!AI12 + '자가소비(B)'!AI12 + 'PPA 사업(C)'!AI12 + '리스사업(D)'!AI12 + '임대사업(E)'!AI12 + '환경부사업(F)'!AI12 + '프로젝트(G)'!AI12 + '협력사 EPC(H)'!AI12 + '기타(Z)'!AI12</f>
        <v>0</v>
      </c>
      <c r="J32" s="115">
        <f>'발전사업(A)'!AJ12 + '자가소비(B)'!AJ12 + 'PPA 사업(C)'!AJ12 + '리스사업(D)'!AJ12 + '임대사업(E)'!AJ12 + '환경부사업(F)'!AJ12 + '프로젝트(G)'!AJ12 + '협력사 EPC(H)'!AJ12 + '기타(Z)'!AJ12</f>
        <v>7</v>
      </c>
      <c r="K32" s="181">
        <f>'발전사업(A)'!AK12 + '자가소비(B)'!AK12 + 'PPA 사업(C)'!AK12 + '리스사업(D)'!AK12 + '임대사업(E)'!AK12 + '환경부사업(F)'!AK12 + '프로젝트(G)'!AK12 + '협력사 EPC(H)'!AK12 + '기타(Z)'!AK12</f>
        <v>4</v>
      </c>
      <c r="L32" s="181">
        <f>'발전사업(A)'!AL12 + '자가소비(B)'!AL12 + 'PPA 사업(C)'!AL12 + '리스사업(D)'!AL12 + '임대사업(E)'!AL12 + '환경부사업(F)'!AL12 + '프로젝트(G)'!AL12 + '협력사 EPC(H)'!AL12 + '기타(Z)'!AL12</f>
        <v>2</v>
      </c>
      <c r="M32" s="181">
        <f>'발전사업(A)'!AM12 + '자가소비(B)'!AM12 + 'PPA 사업(C)'!AM12 + '리스사업(D)'!AM12 + '임대사업(E)'!AM12 + '환경부사업(F)'!AM12 + '프로젝트(G)'!AM12 + '협력사 EPC(H)'!AM12 + '기타(Z)'!AM12</f>
        <v>1</v>
      </c>
      <c r="N32" s="182">
        <f>'발전사업(A)'!AN12 + '자가소비(B)'!AN12 + 'PPA 사업(C)'!AN12 + '리스사업(D)'!AN12 + '임대사업(E)'!AN12 + '환경부사업(F)'!AN12 + '프로젝트(G)'!AN12 + '협력사 EPC(H)'!AN12 + '기타(Z)'!AN12</f>
        <v>0</v>
      </c>
      <c r="O32" s="39">
        <f>'발전사업(A)'!AO12 + '자가소비(B)'!AO12 + 'PPA 사업(C)'!AO12 + '리스사업(D)'!AO12 + '임대사업(E)'!AO12 + '환경부사업(F)'!AO12 + '프로젝트(G)'!AO12 + '협력사 EPC(H)'!AO12 + '기타(Z)'!AO12 + '협력사 하도(I)'!AO12</f>
        <v>53.7288</v>
      </c>
      <c r="P32" s="39">
        <f>'발전사업(A)'!AP12 + '자가소비(B)'!AP12 + 'PPA 사업(C)'!AP12 + '리스사업(D)'!AP12 + '임대사업(E)'!AP12 + '환경부사업(F)'!AP12 + '프로젝트(G)'!AP12 + '협력사 EPC(H)'!AP12 + '기타(Z)'!AP12 + '협력사 하도(I)'!AP12</f>
        <v>2.88</v>
      </c>
      <c r="Q32" s="39">
        <f>'발전사업(A)'!AQ12 + '자가소비(B)'!AQ12 + 'PPA 사업(C)'!AQ12 + '리스사업(D)'!AQ12 + '임대사업(E)'!AQ12 + '환경부사업(F)'!AQ12 + '프로젝트(G)'!AQ12 + '협력사 EPC(H)'!AQ12 + '기타(Z)'!AQ12 + '협력사 하도(I)'!AQ12</f>
        <v>4.3188000000000004</v>
      </c>
      <c r="R32" s="39">
        <f>'발전사업(A)'!AR12 + '자가소비(B)'!AR12 + 'PPA 사업(C)'!AR12 + '리스사업(D)'!AR12 + '임대사업(E)'!AR12 + '환경부사업(F)'!AR12 + '프로젝트(G)'!AR12 + '협력사 EPC(H)'!AR12 + '기타(Z)'!AR12 + '협력사 하도(I)'!AR12</f>
        <v>46.53</v>
      </c>
      <c r="S32" s="130">
        <f>'발전사업(A)'!AS12 + '자가소비(B)'!AS12 + 'PPA 사업(C)'!AS12 + '리스사업(D)'!AS12 + '임대사업(E)'!AS12 + '환경부사업(F)'!AS12 + '프로젝트(G)'!AS12 + '협력사 EPC(H)'!AS12 + '기타(Z)'!AS12 + '협력사 하도(I)'!AS12</f>
        <v>0</v>
      </c>
      <c r="U32" s="152">
        <v>9</v>
      </c>
      <c r="V32" s="153">
        <f>'발전사업(A)'!AV12 + '자가소비(B)'!AV12 + 'PPA 사업(C)'!AV12 + '리스사업(D)'!AV12 + '임대사업(E)'!AV12 + '환경부사업(F)'!AV12 + '프로젝트(G)'!AV12 + '협력사 EPC(H)'!AV12 + '기타(Z)'!AV12</f>
        <v>14</v>
      </c>
      <c r="W32" s="164">
        <f>'발전사업(A)'!AW12 + '자가소비(B)'!AW12 + 'PPA 사업(C)'!AW12 + '리스사업(D)'!AW12 + '임대사업(E)'!AW12 + '환경부사업(F)'!AW12 + '프로젝트(G)'!AW12 + '협력사 EPC(H)'!AW12 + '기타(Z)'!AW12</f>
        <v>3</v>
      </c>
    </row>
    <row r="33" spans="1:23" x14ac:dyDescent="0.25">
      <c r="A33">
        <v>2</v>
      </c>
      <c r="B33" s="487"/>
      <c r="C33" s="91">
        <v>5</v>
      </c>
      <c r="D33" s="97"/>
      <c r="E33" s="129">
        <f>'발전사업(A)'!AE13 + '자가소비(B)'!AE13 + 'PPA 사업(C)'!AE13 + '리스사업(D)'!AE13 + '임대사업(E)'!AE13 + '환경부사업(F)'!AE13 + '프로젝트(G)'!AE13 + '협력사 EPC(H)'!AE13 + '기타(Z)'!AE13</f>
        <v>0</v>
      </c>
      <c r="F33" s="39">
        <f>'발전사업(A)'!AF13 + '자가소비(B)'!AF13 + 'PPA 사업(C)'!AF13 + '리스사업(D)'!AF13 + '임대사업(E)'!AF13 + '환경부사업(F)'!AF13 + '프로젝트(G)'!AF13 + '협력사 EPC(H)'!AF13 + '기타(Z)'!AF13</f>
        <v>0</v>
      </c>
      <c r="G33" s="39">
        <f>'발전사업(A)'!AG13 + '자가소비(B)'!AG13 + 'PPA 사업(C)'!AG13 + '리스사업(D)'!AG13 + '임대사업(E)'!AG13 + '환경부사업(F)'!AG13 + '프로젝트(G)'!AG13 + '협력사 EPC(H)'!AG13 + '기타(Z)'!AG13</f>
        <v>0</v>
      </c>
      <c r="H33" s="39">
        <f>'발전사업(A)'!AH13 + '자가소비(B)'!AH13 + 'PPA 사업(C)'!AH13 + '리스사업(D)'!AH13 + '임대사업(E)'!AH13 + '환경부사업(F)'!AH13 + '프로젝트(G)'!AH13 + '협력사 EPC(H)'!AH13 + '기타(Z)'!AH13</f>
        <v>0</v>
      </c>
      <c r="I33" s="125">
        <f>'발전사업(A)'!AI13 + '자가소비(B)'!AI13 + 'PPA 사업(C)'!AI13 + '리스사업(D)'!AI13 + '임대사업(E)'!AI13 + '환경부사업(F)'!AI13 + '프로젝트(G)'!AI13 + '협력사 EPC(H)'!AI13 + '기타(Z)'!AI13</f>
        <v>0</v>
      </c>
      <c r="J33" s="115">
        <f>'발전사업(A)'!AJ13 + '자가소비(B)'!AJ13 + 'PPA 사업(C)'!AJ13 + '리스사업(D)'!AJ13 + '임대사업(E)'!AJ13 + '환경부사업(F)'!AJ13 + '프로젝트(G)'!AJ13 + '협력사 EPC(H)'!AJ13 + '기타(Z)'!AJ13</f>
        <v>0</v>
      </c>
      <c r="K33" s="181">
        <f>'발전사업(A)'!AK13 + '자가소비(B)'!AK13 + 'PPA 사업(C)'!AK13 + '리스사업(D)'!AK13 + '임대사업(E)'!AK13 + '환경부사업(F)'!AK13 + '프로젝트(G)'!AK13 + '협력사 EPC(H)'!AK13 + '기타(Z)'!AK13</f>
        <v>0</v>
      </c>
      <c r="L33" s="181">
        <f>'발전사업(A)'!AL13 + '자가소비(B)'!AL13 + 'PPA 사업(C)'!AL13 + '리스사업(D)'!AL13 + '임대사업(E)'!AL13 + '환경부사업(F)'!AL13 + '프로젝트(G)'!AL13 + '협력사 EPC(H)'!AL13 + '기타(Z)'!AL13</f>
        <v>0</v>
      </c>
      <c r="M33" s="181">
        <f>'발전사업(A)'!AM13 + '자가소비(B)'!AM13 + 'PPA 사업(C)'!AM13 + '리스사업(D)'!AM13 + '임대사업(E)'!AM13 + '환경부사업(F)'!AM13 + '프로젝트(G)'!AM13 + '협력사 EPC(H)'!AM13 + '기타(Z)'!AM13</f>
        <v>0</v>
      </c>
      <c r="N33" s="182">
        <f>'발전사업(A)'!AN13 + '자가소비(B)'!AN13 + 'PPA 사업(C)'!AN13 + '리스사업(D)'!AN13 + '임대사업(E)'!AN13 + '환경부사업(F)'!AN13 + '프로젝트(G)'!AN13 + '협력사 EPC(H)'!AN13 + '기타(Z)'!AN13</f>
        <v>0</v>
      </c>
      <c r="O33" s="39">
        <f>'발전사업(A)'!AO13 + '자가소비(B)'!AO13 + 'PPA 사업(C)'!AO13 + '리스사업(D)'!AO13 + '임대사업(E)'!AO13 + '환경부사업(F)'!AO13 + '프로젝트(G)'!AO13 + '협력사 EPC(H)'!AO13 + '기타(Z)'!AO13 + '협력사 하도(I)'!AO13</f>
        <v>0</v>
      </c>
      <c r="P33" s="39">
        <f>'발전사업(A)'!AP13 + '자가소비(B)'!AP13 + 'PPA 사업(C)'!AP13 + '리스사업(D)'!AP13 + '임대사업(E)'!AP13 + '환경부사업(F)'!AP13 + '프로젝트(G)'!AP13 + '협력사 EPC(H)'!AP13 + '기타(Z)'!AP13 + '협력사 하도(I)'!AP13</f>
        <v>0</v>
      </c>
      <c r="Q33" s="39">
        <f>'발전사업(A)'!AQ13 + '자가소비(B)'!AQ13 + 'PPA 사업(C)'!AQ13 + '리스사업(D)'!AQ13 + '임대사업(E)'!AQ13 + '환경부사업(F)'!AQ13 + '프로젝트(G)'!AQ13 + '협력사 EPC(H)'!AQ13 + '기타(Z)'!AQ13 + '협력사 하도(I)'!AQ13</f>
        <v>0</v>
      </c>
      <c r="R33" s="39">
        <f>'발전사업(A)'!AR13 + '자가소비(B)'!AR13 + 'PPA 사업(C)'!AR13 + '리스사업(D)'!AR13 + '임대사업(E)'!AR13 + '환경부사업(F)'!AR13 + '프로젝트(G)'!AR13 + '협력사 EPC(H)'!AR13 + '기타(Z)'!AR13 + '협력사 하도(I)'!AR13</f>
        <v>0</v>
      </c>
      <c r="S33" s="130">
        <f>'발전사업(A)'!AS13 + '자가소비(B)'!AS13 + 'PPA 사업(C)'!AS13 + '리스사업(D)'!AS13 + '임대사업(E)'!AS13 + '환경부사업(F)'!AS13 + '프로젝트(G)'!AS13 + '협력사 EPC(H)'!AS13 + '기타(Z)'!AS13 + '협력사 하도(I)'!AS13</f>
        <v>0</v>
      </c>
      <c r="U33" s="152">
        <v>10</v>
      </c>
      <c r="V33" s="153">
        <f>'발전사업(A)'!AV13 + '자가소비(B)'!AV13 + 'PPA 사업(C)'!AV13 + '리스사업(D)'!AV13 + '임대사업(E)'!AV13 + '환경부사업(F)'!AV13 + '프로젝트(G)'!AV13 + '협력사 EPC(H)'!AV13 + '기타(Z)'!AV13</f>
        <v>0</v>
      </c>
      <c r="W33" s="164">
        <f>'발전사업(A)'!AW13 + '자가소비(B)'!AW13 + 'PPA 사업(C)'!AW13 + '리스사업(D)'!AW13 + '임대사업(E)'!AW13 + '환경부사업(F)'!AW13 + '프로젝트(G)'!AW13 + '협력사 EPC(H)'!AW13 + '기타(Z)'!AW13</f>
        <v>0</v>
      </c>
    </row>
    <row r="34" spans="1:23" ht="14.25" thickBot="1" x14ac:dyDescent="0.3">
      <c r="A34">
        <v>2</v>
      </c>
      <c r="B34" s="488"/>
      <c r="C34" s="92" t="s">
        <v>3</v>
      </c>
      <c r="D34" s="98"/>
      <c r="E34" s="141">
        <f>'발전사업(A)'!AE14 + '자가소비(B)'!AE14 + 'PPA 사업(C)'!AE14 + '리스사업(D)'!AE14 + '임대사업(E)'!AE14 + '환경부사업(F)'!AE14 + '프로젝트(G)'!AE14 + '협력사 EPC(H)'!AE14 + '기타(Z)'!AE14</f>
        <v>14612.2</v>
      </c>
      <c r="F34" s="142">
        <f>'발전사업(A)'!AF14 + '자가소비(B)'!AF14 + 'PPA 사업(C)'!AF14 + '리스사업(D)'!AF14 + '임대사업(E)'!AF14 + '환경부사업(F)'!AF14 + '프로젝트(G)'!AF14 + '협력사 EPC(H)'!AF14 + '기타(Z)'!AF14</f>
        <v>7382.8050000000003</v>
      </c>
      <c r="G34" s="142">
        <f>'발전사업(A)'!AG14 + '자가소비(B)'!AG14 + 'PPA 사업(C)'!AG14 + '리스사업(D)'!AG14 + '임대사업(E)'!AG14 + '환경부사업(F)'!AG14 + '프로젝트(G)'!AG14 + '협력사 EPC(H)'!AG14 + '기타(Z)'!AG14</f>
        <v>3329.3950000000004</v>
      </c>
      <c r="H34" s="142">
        <f>'발전사업(A)'!AH14 + '자가소비(B)'!AH14 + 'PPA 사업(C)'!AH14 + '리스사업(D)'!AH14 + '임대사업(E)'!AH14 + '환경부사업(F)'!AH14 + '프로젝트(G)'!AH14 + '협력사 EPC(H)'!AH14 + '기타(Z)'!AH14</f>
        <v>3900</v>
      </c>
      <c r="I34" s="143">
        <f>'발전사업(A)'!AI14 + '자가소비(B)'!AI14 + 'PPA 사업(C)'!AI14 + '리스사업(D)'!AI14 + '임대사업(E)'!AI14 + '환경부사업(F)'!AI14 + '프로젝트(G)'!AI14 + '협력사 EPC(H)'!AI14 + '기타(Z)'!AI14</f>
        <v>0</v>
      </c>
      <c r="J34" s="189">
        <f>'발전사업(A)'!AJ14 + '자가소비(B)'!AJ14 + 'PPA 사업(C)'!AJ14 + '리스사업(D)'!AJ14 + '임대사업(E)'!AJ14 + '환경부사업(F)'!AJ14 + '프로젝트(G)'!AJ14 + '협력사 EPC(H)'!AJ14 + '기타(Z)'!AJ14</f>
        <v>42</v>
      </c>
      <c r="K34" s="190">
        <f>'발전사업(A)'!AK14 + '자가소비(B)'!AK14 + 'PPA 사업(C)'!AK14 + '리스사업(D)'!AK14 + '임대사업(E)'!AK14 + '환경부사업(F)'!AK14 + '프로젝트(G)'!AK14 + '협력사 EPC(H)'!AK14 + '기타(Z)'!AK14</f>
        <v>27</v>
      </c>
      <c r="L34" s="190">
        <f>'발전사업(A)'!AL14 + '자가소비(B)'!AL14 + 'PPA 사업(C)'!AL14 + '리스사업(D)'!AL14 + '임대사업(E)'!AL14 + '환경부사업(F)'!AL14 + '프로젝트(G)'!AL14 + '협력사 EPC(H)'!AL14 + '기타(Z)'!AL14</f>
        <v>14</v>
      </c>
      <c r="M34" s="190">
        <f>'발전사업(A)'!AM14 + '자가소비(B)'!AM14 + 'PPA 사업(C)'!AM14 + '리스사업(D)'!AM14 + '임대사업(E)'!AM14 + '환경부사업(F)'!AM14 + '프로젝트(G)'!AM14 + '협력사 EPC(H)'!AM14 + '기타(Z)'!AM14</f>
        <v>1</v>
      </c>
      <c r="N34" s="191">
        <f>'발전사업(A)'!AN14 + '자가소비(B)'!AN14 + 'PPA 사업(C)'!AN14 + '리스사업(D)'!AN14 + '임대사업(E)'!AN14 + '환경부사업(F)'!AN14 + '프로젝트(G)'!AN14 + '협력사 EPC(H)'!AN14 + '기타(Z)'!AN14</f>
        <v>0</v>
      </c>
      <c r="O34" s="142">
        <f>'발전사업(A)'!AO14 + '자가소비(B)'!AO14 + 'PPA 사업(C)'!AO14 + '리스사업(D)'!AO14 + '임대사업(E)'!AO14 + '환경부사업(F)'!AO14 + '프로젝트(G)'!AO14 + '협력사 EPC(H)'!AO14 + '기타(Z)'!AO14 + '협력사 하도(I)'!AO14</f>
        <v>145.20599999999996</v>
      </c>
      <c r="P34" s="142">
        <f>'발전사업(A)'!AP14 + '자가소비(B)'!AP14 + 'PPA 사업(C)'!AP14 + '리스사업(D)'!AP14 + '임대사업(E)'!AP14 + '환경부사업(F)'!AP14 + '프로젝트(G)'!AP14 + '협력사 EPC(H)'!AP14 + '기타(Z)'!AP14 + '협력사 하도(I)'!AP14</f>
        <v>66.94</v>
      </c>
      <c r="Q34" s="142">
        <f>'발전사업(A)'!AQ14 + '자가소비(B)'!AQ14 + 'PPA 사업(C)'!AQ14 + '리스사업(D)'!AQ14 + '임대사업(E)'!AQ14 + '환경부사업(F)'!AQ14 + '프로젝트(G)'!AQ14 + '협력사 EPC(H)'!AQ14 + '기타(Z)'!AQ14 + '협력사 하도(I)'!AQ14</f>
        <v>31.735999999999997</v>
      </c>
      <c r="R34" s="142">
        <f>'발전사업(A)'!AR14 + '자가소비(B)'!AR14 + 'PPA 사업(C)'!AR14 + '리스사업(D)'!AR14 + '임대사업(E)'!AR14 + '환경부사업(F)'!AR14 + '프로젝트(G)'!AR14 + '협력사 EPC(H)'!AR14 + '기타(Z)'!AR14 + '협력사 하도(I)'!AR14</f>
        <v>46.53</v>
      </c>
      <c r="S34" s="144">
        <f>'발전사업(A)'!AS14 + '자가소비(B)'!AS14 + 'PPA 사업(C)'!AS14 + '리스사업(D)'!AS14 + '임대사업(E)'!AS14 + '환경부사업(F)'!AS14 + '프로젝트(G)'!AS14 + '협력사 EPC(H)'!AS14 + '기타(Z)'!AS14 + '협력사 하도(I)'!AS14</f>
        <v>0</v>
      </c>
      <c r="U34" s="152">
        <v>11</v>
      </c>
      <c r="V34" s="153">
        <f>'발전사업(A)'!AV14 + '자가소비(B)'!AV14 + 'PPA 사업(C)'!AV14 + '리스사업(D)'!AV14 + '임대사업(E)'!AV14 + '환경부사업(F)'!AV14 + '프로젝트(G)'!AV14 + '협력사 EPC(H)'!AV14 + '기타(Z)'!AV14</f>
        <v>0</v>
      </c>
      <c r="W34" s="164">
        <f>'발전사업(A)'!AW14 + '자가소비(B)'!AW14 + 'PPA 사업(C)'!AW14 + '리스사업(D)'!AW14 + '임대사업(E)'!AW14 + '환경부사업(F)'!AW14 + '프로젝트(G)'!AW14 + '협력사 EPC(H)'!AW14 + '기타(Z)'!AW14</f>
        <v>0</v>
      </c>
    </row>
    <row r="35" spans="1:23" ht="14.25" thickBot="1" x14ac:dyDescent="0.3">
      <c r="A35">
        <v>3</v>
      </c>
      <c r="B35" s="486">
        <v>3</v>
      </c>
      <c r="C35" s="89">
        <v>1</v>
      </c>
      <c r="D35" s="95" t="s">
        <v>216</v>
      </c>
      <c r="E35" s="39">
        <f>'발전사업(A)'!AE15 + '자가소비(B)'!AE15 + 'PPA 사업(C)'!AE15 + '리스사업(D)'!AE15 + '임대사업(E)'!AE15 + '환경부사업(F)'!AE15 + '프로젝트(G)'!AE15 + '협력사 EPC(H)'!AE15 + '기타(Z)'!AE15</f>
        <v>6239.0849999999991</v>
      </c>
      <c r="F35" s="39">
        <f>'발전사업(A)'!AF15 + '자가소비(B)'!AF15 + 'PPA 사업(C)'!AF15 + '리스사업(D)'!AF15 + '임대사업(E)'!AF15 + '환경부사업(F)'!AF15 + '프로젝트(G)'!AF15 + '협력사 EPC(H)'!AF15 + '기타(Z)'!AF15</f>
        <v>2851.5450000000001</v>
      </c>
      <c r="G35" s="39">
        <f>'발전사업(A)'!AG15 + '자가소비(B)'!AG15 + 'PPA 사업(C)'!AG15 + '리스사업(D)'!AG15 + '임대사업(E)'!AG15 + '환경부사업(F)'!AG15 + '프로젝트(G)'!AG15 + '협력사 EPC(H)'!AG15 + '기타(Z)'!AG15</f>
        <v>3387.54</v>
      </c>
      <c r="H35" s="39">
        <f>'발전사업(A)'!AH15 + '자가소비(B)'!AH15 + 'PPA 사업(C)'!AH15 + '리스사업(D)'!AH15 + '임대사업(E)'!AH15 + '환경부사업(F)'!AH15 + '프로젝트(G)'!AH15 + '협력사 EPC(H)'!AH15 + '기타(Z)'!AH15</f>
        <v>0</v>
      </c>
      <c r="I35" s="125">
        <f>'발전사업(A)'!AI15 + '자가소비(B)'!AI15 + 'PPA 사업(C)'!AI15 + '리스사업(D)'!AI15 + '임대사업(E)'!AI15 + '환경부사업(F)'!AI15 + '프로젝트(G)'!AI15 + '협력사 EPC(H)'!AI15 + '기타(Z)'!AI15</f>
        <v>0</v>
      </c>
      <c r="J35" s="115">
        <f>'발전사업(A)'!AJ15 + '자가소비(B)'!AJ15 + 'PPA 사업(C)'!AJ15 + '리스사업(D)'!AJ15 + '임대사업(E)'!AJ15 + '환경부사업(F)'!AJ15 + '프로젝트(G)'!AJ15 + '협력사 EPC(H)'!AJ15 + '기타(Z)'!AJ15</f>
        <v>18</v>
      </c>
      <c r="K35" s="181">
        <f>'발전사업(A)'!AK15 + '자가소비(B)'!AK15 + 'PPA 사업(C)'!AK15 + '리스사업(D)'!AK15 + '임대사업(E)'!AK15 + '환경부사업(F)'!AK15 + '프로젝트(G)'!AK15 + '협력사 EPC(H)'!AK15 + '기타(Z)'!AK15</f>
        <v>10</v>
      </c>
      <c r="L35" s="181">
        <f>'발전사업(A)'!AL15 + '자가소비(B)'!AL15 + 'PPA 사업(C)'!AL15 + '리스사업(D)'!AL15 + '임대사업(E)'!AL15 + '환경부사업(F)'!AL15 + '프로젝트(G)'!AL15 + '협력사 EPC(H)'!AL15 + '기타(Z)'!AL15</f>
        <v>8</v>
      </c>
      <c r="M35" s="181">
        <f>'발전사업(A)'!AM15 + '자가소비(B)'!AM15 + 'PPA 사업(C)'!AM15 + '리스사업(D)'!AM15 + '임대사업(E)'!AM15 + '환경부사업(F)'!AM15 + '프로젝트(G)'!AM15 + '협력사 EPC(H)'!AM15 + '기타(Z)'!AM15</f>
        <v>0</v>
      </c>
      <c r="N35" s="182">
        <f>'발전사업(A)'!AN15 + '자가소비(B)'!AN15 + 'PPA 사업(C)'!AN15 + '리스사업(D)'!AN15 + '임대사업(E)'!AN15 + '환경부사업(F)'!AN15 + '프로젝트(G)'!AN15 + '협력사 EPC(H)'!AN15 + '기타(Z)'!AN15</f>
        <v>0</v>
      </c>
      <c r="O35" s="39">
        <f>'발전사업(A)'!AO15 + '자가소비(B)'!AO15 + 'PPA 사업(C)'!AO15 + '리스사업(D)'!AO15 + '임대사업(E)'!AO15 + '환경부사업(F)'!AO15 + '프로젝트(G)'!AO15 + '협력사 EPC(H)'!AO15 + '기타(Z)'!AO15 + '협력사 하도(I)'!AO15</f>
        <v>57.118999999999993</v>
      </c>
      <c r="P35" s="39">
        <f>'발전사업(A)'!AP15 + '자가소비(B)'!AP15 + 'PPA 사업(C)'!AP15 + '리스사업(D)'!AP15 + '임대사업(E)'!AP15 + '환경부사업(F)'!AP15 + '프로젝트(G)'!AP15 + '협력사 EPC(H)'!AP15 + '기타(Z)'!AP15 + '협력사 하도(I)'!AP15</f>
        <v>26.939999999999998</v>
      </c>
      <c r="Q35" s="39">
        <f>'발전사업(A)'!AQ15 + '자가소비(B)'!AQ15 + 'PPA 사업(C)'!AQ15 + '리스사업(D)'!AQ15 + '임대사업(E)'!AQ15 + '환경부사업(F)'!AQ15 + '프로젝트(G)'!AQ15 + '협력사 EPC(H)'!AQ15 + '기타(Z)'!AQ15 + '협력사 하도(I)'!AQ15</f>
        <v>30.178999999999998</v>
      </c>
      <c r="R35" s="39">
        <f>'발전사업(A)'!AR15 + '자가소비(B)'!AR15 + 'PPA 사업(C)'!AR15 + '리스사업(D)'!AR15 + '임대사업(E)'!AR15 + '환경부사업(F)'!AR15 + '프로젝트(G)'!AR15 + '협력사 EPC(H)'!AR15 + '기타(Z)'!AR15 + '협력사 하도(I)'!AR15</f>
        <v>0</v>
      </c>
      <c r="S35" s="130">
        <f>'발전사업(A)'!AS15 + '자가소비(B)'!AS15 + 'PPA 사업(C)'!AS15 + '리스사업(D)'!AS15 + '임대사업(E)'!AS15 + '환경부사업(F)'!AS15 + '프로젝트(G)'!AS15 + '협력사 EPC(H)'!AS15 + '기타(Z)'!AS15 + '협력사 하도(I)'!AS15</f>
        <v>0</v>
      </c>
      <c r="U35" s="155">
        <v>12</v>
      </c>
      <c r="V35" s="160">
        <f>'발전사업(A)'!AV15 + '자가소비(B)'!AV15 + 'PPA 사업(C)'!AV15 + '리스사업(D)'!AV15 + '임대사업(E)'!AV15 + '환경부사업(F)'!AV15 + '프로젝트(G)'!AV15 + '협력사 EPC(H)'!AV15 + '기타(Z)'!AV15</f>
        <v>0</v>
      </c>
      <c r="W35" s="165">
        <f>'발전사업(A)'!AW15 + '자가소비(B)'!AW15 + 'PPA 사업(C)'!AW15 + '리스사업(D)'!AW15 + '임대사업(E)'!AW15 + '환경부사업(F)'!AW15 + '프로젝트(G)'!AW15 + '협력사 EPC(H)'!AW15 + '기타(Z)'!AW15</f>
        <v>0</v>
      </c>
    </row>
    <row r="36" spans="1:23" ht="14.25" thickBot="1" x14ac:dyDescent="0.3">
      <c r="A36">
        <v>3</v>
      </c>
      <c r="B36" s="487"/>
      <c r="C36" s="90">
        <v>2</v>
      </c>
      <c r="D36" s="96" t="s">
        <v>212</v>
      </c>
      <c r="E36" s="39">
        <f>'발전사업(A)'!AE16 + '자가소비(B)'!AE16 + 'PPA 사업(C)'!AE16 + '리스사업(D)'!AE16 + '임대사업(E)'!AE16 + '환경부사업(F)'!AE16 + '프로젝트(G)'!AE16 + '협력사 EPC(H)'!AE16 + '기타(Z)'!AE16</f>
        <v>2482.9349999999999</v>
      </c>
      <c r="F36" s="39">
        <f>'발전사업(A)'!AF16 + '자가소비(B)'!AF16 + 'PPA 사업(C)'!AF16 + '리스사업(D)'!AF16 + '임대사업(E)'!AF16 + '환경부사업(F)'!AF16 + '프로젝트(G)'!AF16 + '협력사 EPC(H)'!AF16 + '기타(Z)'!AF16</f>
        <v>1747.95</v>
      </c>
      <c r="G36" s="39">
        <f>'발전사업(A)'!AG16 + '자가소비(B)'!AG16 + 'PPA 사업(C)'!AG16 + '리스사업(D)'!AG16 + '임대사업(E)'!AG16 + '환경부사업(F)'!AG16 + '프로젝트(G)'!AG16 + '협력사 EPC(H)'!AG16 + '기타(Z)'!AG16</f>
        <v>734.98500000000001</v>
      </c>
      <c r="H36" s="39">
        <f>'발전사업(A)'!AH16 + '자가소비(B)'!AH16 + 'PPA 사업(C)'!AH16 + '리스사업(D)'!AH16 + '임대사업(E)'!AH16 + '환경부사업(F)'!AH16 + '프로젝트(G)'!AH16 + '협력사 EPC(H)'!AH16 + '기타(Z)'!AH16</f>
        <v>0</v>
      </c>
      <c r="I36" s="125">
        <f>'발전사업(A)'!AI16 + '자가소비(B)'!AI16 + 'PPA 사업(C)'!AI16 + '리스사업(D)'!AI16 + '임대사업(E)'!AI16 + '환경부사업(F)'!AI16 + '프로젝트(G)'!AI16 + '협력사 EPC(H)'!AI16 + '기타(Z)'!AI16</f>
        <v>0</v>
      </c>
      <c r="J36" s="115">
        <f>'발전사업(A)'!AJ16 + '자가소비(B)'!AJ16 + 'PPA 사업(C)'!AJ16 + '리스사업(D)'!AJ16 + '임대사업(E)'!AJ16 + '환경부사업(F)'!AJ16 + '프로젝트(G)'!AJ16 + '협력사 EPC(H)'!AJ16 + '기타(Z)'!AJ16</f>
        <v>8</v>
      </c>
      <c r="K36" s="181">
        <f>'발전사업(A)'!AK16 + '자가소비(B)'!AK16 + 'PPA 사업(C)'!AK16 + '리스사업(D)'!AK16 + '임대사업(E)'!AK16 + '환경부사업(F)'!AK16 + '프로젝트(G)'!AK16 + '협력사 EPC(H)'!AK16 + '기타(Z)'!AK16</f>
        <v>5</v>
      </c>
      <c r="L36" s="181">
        <f>'발전사업(A)'!AL16 + '자가소비(B)'!AL16 + 'PPA 사업(C)'!AL16 + '리스사업(D)'!AL16 + '임대사업(E)'!AL16 + '환경부사업(F)'!AL16 + '프로젝트(G)'!AL16 + '협력사 EPC(H)'!AL16 + '기타(Z)'!AL16</f>
        <v>3</v>
      </c>
      <c r="M36" s="181">
        <f>'발전사업(A)'!AM16 + '자가소비(B)'!AM16 + 'PPA 사업(C)'!AM16 + '리스사업(D)'!AM16 + '임대사업(E)'!AM16 + '환경부사업(F)'!AM16 + '프로젝트(G)'!AM16 + '협력사 EPC(H)'!AM16 + '기타(Z)'!AM16</f>
        <v>0</v>
      </c>
      <c r="N36" s="182">
        <f>'발전사업(A)'!AN16 + '자가소비(B)'!AN16 + 'PPA 사업(C)'!AN16 + '리스사업(D)'!AN16 + '임대사업(E)'!AN16 + '환경부사업(F)'!AN16 + '프로젝트(G)'!AN16 + '협력사 EPC(H)'!AN16 + '기타(Z)'!AN16</f>
        <v>0</v>
      </c>
      <c r="O36" s="39">
        <f>'발전사업(A)'!AO16 + '자가소비(B)'!AO16 + 'PPA 사업(C)'!AO16 + '리스사업(D)'!AO16 + '임대사업(E)'!AO16 + '환경부사업(F)'!AO16 + '프로젝트(G)'!AO16 + '협력사 EPC(H)'!AO16 + '기타(Z)'!AO16 + '협력사 하도(I)'!AO16</f>
        <v>22.35</v>
      </c>
      <c r="P36" s="39">
        <f>'발전사업(A)'!AP16 + '자가소비(B)'!AP16 + 'PPA 사업(C)'!AP16 + '리스사업(D)'!AP16 + '임대사업(E)'!AP16 + '환경부사업(F)'!AP16 + '프로젝트(G)'!AP16 + '협력사 EPC(H)'!AP16 + '기타(Z)'!AP16 + '협력사 하도(I)'!AP16</f>
        <v>18</v>
      </c>
      <c r="Q36" s="39">
        <f>'발전사업(A)'!AQ16 + '자가소비(B)'!AQ16 + 'PPA 사업(C)'!AQ16 + '리스사업(D)'!AQ16 + '임대사업(E)'!AQ16 + '환경부사업(F)'!AQ16 + '프로젝트(G)'!AQ16 + '협력사 EPC(H)'!AQ16 + '기타(Z)'!AQ16 + '협력사 하도(I)'!AQ16</f>
        <v>4.3500000000000005</v>
      </c>
      <c r="R36" s="39">
        <f>'발전사업(A)'!AR16 + '자가소비(B)'!AR16 + 'PPA 사업(C)'!AR16 + '리스사업(D)'!AR16 + '임대사업(E)'!AR16 + '환경부사업(F)'!AR16 + '프로젝트(G)'!AR16 + '협력사 EPC(H)'!AR16 + '기타(Z)'!AR16 + '협력사 하도(I)'!AR16</f>
        <v>0</v>
      </c>
      <c r="S36" s="130">
        <f>'발전사업(A)'!AS16 + '자가소비(B)'!AS16 + 'PPA 사업(C)'!AS16 + '리스사업(D)'!AS16 + '임대사업(E)'!AS16 + '환경부사업(F)'!AS16 + '프로젝트(G)'!AS16 + '협력사 EPC(H)'!AS16 + '기타(Z)'!AS16 + '협력사 하도(I)'!AS16</f>
        <v>0</v>
      </c>
      <c r="U36" s="156" t="s">
        <v>3</v>
      </c>
      <c r="V36" s="161">
        <f>'발전사업(A)'!AV16 + '자가소비(B)'!AV16 + 'PPA 사업(C)'!AV16 + '리스사업(D)'!AV16 + '임대사업(E)'!AV16 + '환경부사업(F)'!AV16 + '프로젝트(G)'!AV16 + '협력사 EPC(H)'!AV16 + '기타(Z)'!AV16</f>
        <v>196</v>
      </c>
      <c r="W36" s="162">
        <f>'발전사업(A)'!AW16 + '자가소비(B)'!AW16 + 'PPA 사업(C)'!AW16 + '리스사업(D)'!AW16 + '임대사업(E)'!AW16 + '환경부사업(F)'!AW16 + '프로젝트(G)'!AW16 + '협력사 EPC(H)'!AW16 + '기타(Z)'!AW16</f>
        <v>64</v>
      </c>
    </row>
    <row r="37" spans="1:23" ht="14.25" thickBot="1" x14ac:dyDescent="0.3">
      <c r="A37">
        <v>3</v>
      </c>
      <c r="B37" s="487"/>
      <c r="C37" s="90">
        <v>3</v>
      </c>
      <c r="D37" s="97" t="s">
        <v>213</v>
      </c>
      <c r="E37" s="39">
        <f>'발전사업(A)'!AE17 + '자가소비(B)'!AE17 + 'PPA 사업(C)'!AE17 + '리스사업(D)'!AE17 + '임대사업(E)'!AE17 + '환경부사업(F)'!AE17 + '프로젝트(G)'!AE17 + '협력사 EPC(H)'!AE17 + '기타(Z)'!AE17</f>
        <v>5450.625</v>
      </c>
      <c r="F37" s="39">
        <f>'발전사업(A)'!AF17 + '자가소비(B)'!AF17 + 'PPA 사업(C)'!AF17 + '리스사업(D)'!AF17 + '임대사업(E)'!AF17 + '환경부사업(F)'!AF17 + '프로젝트(G)'!AF17 + '협력사 EPC(H)'!AF17 + '기타(Z)'!AF17</f>
        <v>5052.66</v>
      </c>
      <c r="G37" s="39">
        <f>'발전사업(A)'!AG17 + '자가소비(B)'!AG17 + 'PPA 사업(C)'!AG17 + '리스사업(D)'!AG17 + '임대사업(E)'!AG17 + '환경부사업(F)'!AG17 + '프로젝트(G)'!AG17 + '협력사 EPC(H)'!AG17 + '기타(Z)'!AG17</f>
        <v>397.96500000000003</v>
      </c>
      <c r="H37" s="39">
        <f>'발전사업(A)'!AH17 + '자가소비(B)'!AH17 + 'PPA 사업(C)'!AH17 + '리스사업(D)'!AH17 + '임대사업(E)'!AH17 + '환경부사업(F)'!AH17 + '프로젝트(G)'!AH17 + '협력사 EPC(H)'!AH17 + '기타(Z)'!AH17</f>
        <v>0</v>
      </c>
      <c r="I37" s="125">
        <f>'발전사업(A)'!AI17 + '자가소비(B)'!AI17 + 'PPA 사업(C)'!AI17 + '리스사업(D)'!AI17 + '임대사업(E)'!AI17 + '환경부사업(F)'!AI17 + '프로젝트(G)'!AI17 + '협력사 EPC(H)'!AI17 + '기타(Z)'!AI17</f>
        <v>0</v>
      </c>
      <c r="J37" s="115">
        <f>'발전사업(A)'!AJ17 + '자가소비(B)'!AJ17 + 'PPA 사업(C)'!AJ17 + '리스사업(D)'!AJ17 + '임대사업(E)'!AJ17 + '환경부사업(F)'!AJ17 + '프로젝트(G)'!AJ17 + '협력사 EPC(H)'!AJ17 + '기타(Z)'!AJ17</f>
        <v>15</v>
      </c>
      <c r="K37" s="181">
        <f>'발전사업(A)'!AK17 + '자가소비(B)'!AK17 + 'PPA 사업(C)'!AK17 + '리스사업(D)'!AK17 + '임대사업(E)'!AK17 + '환경부사업(F)'!AK17 + '프로젝트(G)'!AK17 + '협력사 EPC(H)'!AK17 + '기타(Z)'!AK17</f>
        <v>13</v>
      </c>
      <c r="L37" s="181">
        <f>'발전사업(A)'!AL17 + '자가소비(B)'!AL17 + 'PPA 사업(C)'!AL17 + '리스사업(D)'!AL17 + '임대사업(E)'!AL17 + '환경부사업(F)'!AL17 + '프로젝트(G)'!AL17 + '협력사 EPC(H)'!AL17 + '기타(Z)'!AL17</f>
        <v>2</v>
      </c>
      <c r="M37" s="181">
        <f>'발전사업(A)'!AM17 + '자가소비(B)'!AM17 + 'PPA 사업(C)'!AM17 + '리스사업(D)'!AM17 + '임대사업(E)'!AM17 + '환경부사업(F)'!AM17 + '프로젝트(G)'!AM17 + '협력사 EPC(H)'!AM17 + '기타(Z)'!AM17</f>
        <v>0</v>
      </c>
      <c r="N37" s="182">
        <f>'발전사업(A)'!AN17 + '자가소비(B)'!AN17 + 'PPA 사업(C)'!AN17 + '리스사업(D)'!AN17 + '임대사업(E)'!AN17 + '환경부사업(F)'!AN17 + '프로젝트(G)'!AN17 + '협력사 EPC(H)'!AN17 + '기타(Z)'!AN17</f>
        <v>0</v>
      </c>
      <c r="O37" s="39">
        <f>'발전사업(A)'!AO17 + '자가소비(B)'!AO17 + 'PPA 사업(C)'!AO17 + '리스사업(D)'!AO17 + '임대사업(E)'!AO17 + '환경부사업(F)'!AO17 + '프로젝트(G)'!AO17 + '협력사 EPC(H)'!AO17 + '기타(Z)'!AO17 + '협력사 하도(I)'!AO17</f>
        <v>53.19</v>
      </c>
      <c r="P37" s="39">
        <f>'발전사업(A)'!AP17 + '자가소비(B)'!AP17 + 'PPA 사업(C)'!AP17 + '리스사업(D)'!AP17 + '임대사업(E)'!AP17 + '환경부사업(F)'!AP17 + '프로젝트(G)'!AP17 + '협력사 EPC(H)'!AP17 + '기타(Z)'!AP17 + '협력사 하도(I)'!AP17</f>
        <v>49.099999999999994</v>
      </c>
      <c r="Q37" s="39">
        <f>'발전사업(A)'!AQ17 + '자가소비(B)'!AQ17 + 'PPA 사업(C)'!AQ17 + '리스사업(D)'!AQ17 + '임대사업(E)'!AQ17 + '환경부사업(F)'!AQ17 + '프로젝트(G)'!AQ17 + '협력사 EPC(H)'!AQ17 + '기타(Z)'!AQ17 + '협력사 하도(I)'!AQ17</f>
        <v>4.09</v>
      </c>
      <c r="R37" s="39">
        <f>'발전사업(A)'!AR17 + '자가소비(B)'!AR17 + 'PPA 사업(C)'!AR17 + '리스사업(D)'!AR17 + '임대사업(E)'!AR17 + '환경부사업(F)'!AR17 + '프로젝트(G)'!AR17 + '협력사 EPC(H)'!AR17 + '기타(Z)'!AR17 + '협력사 하도(I)'!AR17</f>
        <v>0</v>
      </c>
      <c r="S37" s="130">
        <f>'발전사업(A)'!AS17 + '자가소비(B)'!AS17 + 'PPA 사업(C)'!AS17 + '리스사업(D)'!AS17 + '임대사업(E)'!AS17 + '환경부사업(F)'!AS17 + '프로젝트(G)'!AS17 + '협력사 EPC(H)'!AS17 + '기타(Z)'!AS17 + '협력사 하도(I)'!AS17</f>
        <v>0</v>
      </c>
      <c r="U37" s="156" t="s">
        <v>120</v>
      </c>
      <c r="V37" s="158">
        <f>V36/($V$36+$W$36)</f>
        <v>0.75384615384615383</v>
      </c>
      <c r="W37" s="159">
        <f>W36/($W$36+$V$36)</f>
        <v>0.24615384615384617</v>
      </c>
    </row>
    <row r="38" spans="1:23" x14ac:dyDescent="0.25">
      <c r="A38">
        <v>3</v>
      </c>
      <c r="B38" s="487"/>
      <c r="C38" s="90">
        <v>4</v>
      </c>
      <c r="D38" s="97" t="s">
        <v>214</v>
      </c>
      <c r="E38" s="39">
        <f>'발전사업(A)'!AE18 + '자가소비(B)'!AE18 + 'PPA 사업(C)'!AE18 + '리스사업(D)'!AE18 + '임대사업(E)'!AE18 + '환경부사업(F)'!AE18 + '프로젝트(G)'!AE18 + '협력사 EPC(H)'!AE18 + '기타(Z)'!AE18</f>
        <v>1119.6299999999999</v>
      </c>
      <c r="F38" s="39">
        <f>'발전사업(A)'!AF18 + '자가소비(B)'!AF18 + 'PPA 사업(C)'!AF18 + '리스사업(D)'!AF18 + '임대사업(E)'!AF18 + '환경부사업(F)'!AF18 + '프로젝트(G)'!AF18 + '협력사 EPC(H)'!AF18 + '기타(Z)'!AF18</f>
        <v>0</v>
      </c>
      <c r="G38" s="39">
        <f>'발전사업(A)'!AG18 + '자가소비(B)'!AG18 + 'PPA 사업(C)'!AG18 + '리스사업(D)'!AG18 + '임대사업(E)'!AG18 + '환경부사업(F)'!AG18 + '프로젝트(G)'!AG18 + '협력사 EPC(H)'!AG18 + '기타(Z)'!AG18</f>
        <v>117.39</v>
      </c>
      <c r="H38" s="39">
        <f>'발전사업(A)'!AH18 + '자가소비(B)'!AH18 + 'PPA 사업(C)'!AH18 + '리스사업(D)'!AH18 + '임대사업(E)'!AH18 + '환경부사업(F)'!AH18 + '프로젝트(G)'!AH18 + '협력사 EPC(H)'!AH18 + '기타(Z)'!AH18</f>
        <v>1002.24</v>
      </c>
      <c r="I38" s="125">
        <f>'발전사업(A)'!AI18 + '자가소비(B)'!AI18 + 'PPA 사업(C)'!AI18 + '리스사업(D)'!AI18 + '임대사업(E)'!AI18 + '환경부사업(F)'!AI18 + '프로젝트(G)'!AI18 + '협력사 EPC(H)'!AI18 + '기타(Z)'!AI18</f>
        <v>0</v>
      </c>
      <c r="J38" s="115">
        <f>'발전사업(A)'!AJ18 + '자가소비(B)'!AJ18 + 'PPA 사업(C)'!AJ18 + '리스사업(D)'!AJ18 + '임대사업(E)'!AJ18 + '환경부사업(F)'!AJ18 + '프로젝트(G)'!AJ18 + '협력사 EPC(H)'!AJ18 + '기타(Z)'!AJ18</f>
        <v>3</v>
      </c>
      <c r="K38" s="181">
        <f>'발전사업(A)'!AK18 + '자가소비(B)'!AK18 + 'PPA 사업(C)'!AK18 + '리스사업(D)'!AK18 + '임대사업(E)'!AK18 + '환경부사업(F)'!AK18 + '프로젝트(G)'!AK18 + '협력사 EPC(H)'!AK18 + '기타(Z)'!AK18</f>
        <v>0</v>
      </c>
      <c r="L38" s="181">
        <f>'발전사업(A)'!AL18 + '자가소비(B)'!AL18 + 'PPA 사업(C)'!AL18 + '리스사업(D)'!AL18 + '임대사업(E)'!AL18 + '환경부사업(F)'!AL18 + '프로젝트(G)'!AL18 + '협력사 EPC(H)'!AL18 + '기타(Z)'!AL18</f>
        <v>1</v>
      </c>
      <c r="M38" s="181">
        <f>'발전사업(A)'!AM18 + '자가소비(B)'!AM18 + 'PPA 사업(C)'!AM18 + '리스사업(D)'!AM18 + '임대사업(E)'!AM18 + '환경부사업(F)'!AM18 + '프로젝트(G)'!AM18 + '협력사 EPC(H)'!AM18 + '기타(Z)'!AM18</f>
        <v>2</v>
      </c>
      <c r="N38" s="182">
        <f>'발전사업(A)'!AN18 + '자가소비(B)'!AN18 + 'PPA 사업(C)'!AN18 + '리스사업(D)'!AN18 + '임대사업(E)'!AN18 + '환경부사업(F)'!AN18 + '프로젝트(G)'!AN18 + '협력사 EPC(H)'!AN18 + '기타(Z)'!AN18</f>
        <v>0</v>
      </c>
      <c r="O38" s="39">
        <f>'발전사업(A)'!AO18 + '자가소비(B)'!AO18 + 'PPA 사업(C)'!AO18 + '리스사업(D)'!AO18 + '임대사업(E)'!AO18 + '환경부사업(F)'!AO18 + '프로젝트(G)'!AO18 + '협력사 EPC(H)'!AO18 + '기타(Z)'!AO18 + '협력사 하도(I)'!AO18</f>
        <v>4.71</v>
      </c>
      <c r="P38" s="39">
        <f>'발전사업(A)'!AP18 + '자가소비(B)'!AP18 + 'PPA 사업(C)'!AP18 + '리스사업(D)'!AP18 + '임대사업(E)'!AP18 + '환경부사업(F)'!AP18 + '프로젝트(G)'!AP18 + '협력사 EPC(H)'!AP18 + '기타(Z)'!AP18 + '협력사 하도(I)'!AP18</f>
        <v>0</v>
      </c>
      <c r="Q38" s="39">
        <f>'발전사업(A)'!AQ18 + '자가소비(B)'!AQ18 + 'PPA 사업(C)'!AQ18 + '리스사업(D)'!AQ18 + '임대사업(E)'!AQ18 + '환경부사업(F)'!AQ18 + '프로젝트(G)'!AQ18 + '협력사 EPC(H)'!AQ18 + '기타(Z)'!AQ18 + '협력사 하도(I)'!AQ18</f>
        <v>1.21</v>
      </c>
      <c r="R38" s="39">
        <f>'발전사업(A)'!AR18 + '자가소비(B)'!AR18 + 'PPA 사업(C)'!AR18 + '리스사업(D)'!AR18 + '임대사업(E)'!AR18 + '환경부사업(F)'!AR18 + '프로젝트(G)'!AR18 + '협력사 EPC(H)'!AR18 + '기타(Z)'!AR18 + '협력사 하도(I)'!AR18</f>
        <v>3.5</v>
      </c>
      <c r="S38" s="130">
        <f>'발전사업(A)'!AS18 + '자가소비(B)'!AS18 + 'PPA 사업(C)'!AS18 + '리스사업(D)'!AS18 + '임대사업(E)'!AS18 + '환경부사업(F)'!AS18 + '프로젝트(G)'!AS18 + '협력사 EPC(H)'!AS18 + '기타(Z)'!AS18 + '협력사 하도(I)'!AS18</f>
        <v>0</v>
      </c>
    </row>
    <row r="39" spans="1:23" x14ac:dyDescent="0.25">
      <c r="A39">
        <v>3</v>
      </c>
      <c r="B39" s="487"/>
      <c r="C39" s="91">
        <v>5</v>
      </c>
      <c r="D39" s="97" t="s">
        <v>237</v>
      </c>
      <c r="E39" s="39">
        <f>'발전사업(A)'!AE19 + '자가소비(B)'!AE19 + 'PPA 사업(C)'!AE19 + '리스사업(D)'!AE19 + '임대사업(E)'!AE19 + '환경부사업(F)'!AE19 + '프로젝트(G)'!AE19 + '협력사 EPC(H)'!AE19 + '기타(Z)'!AE19</f>
        <v>0</v>
      </c>
      <c r="F39" s="39">
        <f>'발전사업(A)'!AF19 + '자가소비(B)'!AF19 + 'PPA 사업(C)'!AF19 + '리스사업(D)'!AF19 + '임대사업(E)'!AF19 + '환경부사업(F)'!AF19 + '프로젝트(G)'!AF19 + '협력사 EPC(H)'!AF19 + '기타(Z)'!AF19</f>
        <v>0</v>
      </c>
      <c r="G39" s="39">
        <f>'발전사업(A)'!AG19 + '자가소비(B)'!AG19 + 'PPA 사업(C)'!AG19 + '리스사업(D)'!AG19 + '임대사업(E)'!AG19 + '환경부사업(F)'!AG19 + '프로젝트(G)'!AG19 + '협력사 EPC(H)'!AG19 + '기타(Z)'!AG19</f>
        <v>0</v>
      </c>
      <c r="H39" s="39">
        <f>'발전사업(A)'!AH19 + '자가소비(B)'!AH19 + 'PPA 사업(C)'!AH19 + '리스사업(D)'!AH19 + '임대사업(E)'!AH19 + '환경부사업(F)'!AH19 + '프로젝트(G)'!AH19 + '협력사 EPC(H)'!AH19 + '기타(Z)'!AH19</f>
        <v>0</v>
      </c>
      <c r="I39" s="125">
        <f>'발전사업(A)'!AI19 + '자가소비(B)'!AI19 + 'PPA 사업(C)'!AI19 + '리스사업(D)'!AI19 + '임대사업(E)'!AI19 + '환경부사업(F)'!AI19 + '프로젝트(G)'!AI19 + '협력사 EPC(H)'!AI19 + '기타(Z)'!AI19</f>
        <v>0</v>
      </c>
      <c r="J39" s="115">
        <f>'발전사업(A)'!AJ19 + '자가소비(B)'!AJ19 + 'PPA 사업(C)'!AJ19 + '리스사업(D)'!AJ19 + '임대사업(E)'!AJ19 + '환경부사업(F)'!AJ19 + '프로젝트(G)'!AJ19 + '협력사 EPC(H)'!AJ19 + '기타(Z)'!AJ19</f>
        <v>0</v>
      </c>
      <c r="K39" s="181">
        <f>'발전사업(A)'!AK19 + '자가소비(B)'!AK19 + 'PPA 사업(C)'!AK19 + '리스사업(D)'!AK19 + '임대사업(E)'!AK19 + '환경부사업(F)'!AK19 + '프로젝트(G)'!AK19 + '협력사 EPC(H)'!AK19 + '기타(Z)'!AK19</f>
        <v>0</v>
      </c>
      <c r="L39" s="181">
        <f>'발전사업(A)'!AL19 + '자가소비(B)'!AL19 + 'PPA 사업(C)'!AL19 + '리스사업(D)'!AL19 + '임대사업(E)'!AL19 + '환경부사업(F)'!AL19 + '프로젝트(G)'!AL19 + '협력사 EPC(H)'!AL19 + '기타(Z)'!AL19</f>
        <v>0</v>
      </c>
      <c r="M39" s="181">
        <f>'발전사업(A)'!AM19 + '자가소비(B)'!AM19 + 'PPA 사업(C)'!AM19 + '리스사업(D)'!AM19 + '임대사업(E)'!AM19 + '환경부사업(F)'!AM19 + '프로젝트(G)'!AM19 + '협력사 EPC(H)'!AM19 + '기타(Z)'!AM19</f>
        <v>0</v>
      </c>
      <c r="N39" s="182">
        <f>'발전사업(A)'!AN19 + '자가소비(B)'!AN19 + 'PPA 사업(C)'!AN19 + '리스사업(D)'!AN19 + '임대사업(E)'!AN19 + '환경부사업(F)'!AN19 + '프로젝트(G)'!AN19 + '협력사 EPC(H)'!AN19 + '기타(Z)'!AN19</f>
        <v>0</v>
      </c>
      <c r="O39" s="39">
        <f>'발전사업(A)'!AO19 + '자가소비(B)'!AO19 + 'PPA 사업(C)'!AO19 + '리스사업(D)'!AO19 + '임대사업(E)'!AO19 + '환경부사업(F)'!AO19 + '프로젝트(G)'!AO19 + '협력사 EPC(H)'!AO19 + '기타(Z)'!AO19 + '협력사 하도(I)'!AO19</f>
        <v>0</v>
      </c>
      <c r="P39" s="39">
        <f>'발전사업(A)'!AP19 + '자가소비(B)'!AP19 + 'PPA 사업(C)'!AP19 + '리스사업(D)'!AP19 + '임대사업(E)'!AP19 + '환경부사업(F)'!AP19 + '프로젝트(G)'!AP19 + '협력사 EPC(H)'!AP19 + '기타(Z)'!AP19 + '협력사 하도(I)'!AP19</f>
        <v>0</v>
      </c>
      <c r="Q39" s="39">
        <f>'발전사업(A)'!AQ19 + '자가소비(B)'!AQ19 + 'PPA 사업(C)'!AQ19 + '리스사업(D)'!AQ19 + '임대사업(E)'!AQ19 + '환경부사업(F)'!AQ19 + '프로젝트(G)'!AQ19 + '협력사 EPC(H)'!AQ19 + '기타(Z)'!AQ19 + '협력사 하도(I)'!AQ19</f>
        <v>0</v>
      </c>
      <c r="R39" s="39">
        <f>'발전사업(A)'!AR19 + '자가소비(B)'!AR19 + 'PPA 사업(C)'!AR19 + '리스사업(D)'!AR19 + '임대사업(E)'!AR19 + '환경부사업(F)'!AR19 + '프로젝트(G)'!AR19 + '협력사 EPC(H)'!AR19 + '기타(Z)'!AR19 + '협력사 하도(I)'!AR19</f>
        <v>0</v>
      </c>
      <c r="S39" s="130">
        <f>'발전사업(A)'!AS19 + '자가소비(B)'!AS19 + 'PPA 사업(C)'!AS19 + '리스사업(D)'!AS19 + '임대사업(E)'!AS19 + '환경부사업(F)'!AS19 + '프로젝트(G)'!AS19 + '협력사 EPC(H)'!AS19 + '기타(Z)'!AS19 + '협력사 하도(I)'!AS19</f>
        <v>0</v>
      </c>
    </row>
    <row r="40" spans="1:23" ht="14.25" thickBot="1" x14ac:dyDescent="0.3">
      <c r="A40">
        <v>3</v>
      </c>
      <c r="B40" s="488"/>
      <c r="C40" s="92" t="s">
        <v>3</v>
      </c>
      <c r="D40" s="98"/>
      <c r="E40" s="134">
        <f>'발전사업(A)'!AE20 + '자가소비(B)'!AE20 + 'PPA 사업(C)'!AE20 + '리스사업(D)'!AE20 + '임대사업(E)'!AE20 + '환경부사업(F)'!AE20 + '프로젝트(G)'!AE20 + '협력사 EPC(H)'!AE20 + '기타(Z)'!AE20</f>
        <v>15292.274999999998</v>
      </c>
      <c r="F40" s="134">
        <f>'발전사업(A)'!AF20 + '자가소비(B)'!AF20 + 'PPA 사업(C)'!AF20 + '리스사업(D)'!AF20 + '임대사업(E)'!AF20 + '환경부사업(F)'!AF20 + '프로젝트(G)'!AF20 + '협력사 EPC(H)'!AF20 + '기타(Z)'!AF20</f>
        <v>9652.1549999999988</v>
      </c>
      <c r="G40" s="134">
        <f>'발전사업(A)'!AG20 + '자가소비(B)'!AG20 + 'PPA 사업(C)'!AG20 + '리스사업(D)'!AG20 + '임대사업(E)'!AG20 + '환경부사업(F)'!AG20 + '프로젝트(G)'!AG20 + '협력사 EPC(H)'!AG20 + '기타(Z)'!AG20</f>
        <v>4637.88</v>
      </c>
      <c r="H40" s="134">
        <f>'발전사업(A)'!AH20 + '자가소비(B)'!AH20 + 'PPA 사업(C)'!AH20 + '리스사업(D)'!AH20 + '임대사업(E)'!AH20 + '환경부사업(F)'!AH20 + '프로젝트(G)'!AH20 + '협력사 EPC(H)'!AH20 + '기타(Z)'!AH20</f>
        <v>1002.24</v>
      </c>
      <c r="I40" s="135">
        <f>'발전사업(A)'!AI20 + '자가소비(B)'!AI20 + 'PPA 사업(C)'!AI20 + '리스사업(D)'!AI20 + '임대사업(E)'!AI20 + '환경부사업(F)'!AI20 + '프로젝트(G)'!AI20 + '협력사 EPC(H)'!AI20 + '기타(Z)'!AI20</f>
        <v>0</v>
      </c>
      <c r="J40" s="183">
        <f>'발전사업(A)'!AJ20 + '자가소비(B)'!AJ20 + 'PPA 사업(C)'!AJ20 + '리스사업(D)'!AJ20 + '임대사업(E)'!AJ20 + '환경부사업(F)'!AJ20 + '프로젝트(G)'!AJ20 + '협력사 EPC(H)'!AJ20 + '기타(Z)'!AJ20</f>
        <v>44</v>
      </c>
      <c r="K40" s="184">
        <f>'발전사업(A)'!AK20 + '자가소비(B)'!AK20 + 'PPA 사업(C)'!AK20 + '리스사업(D)'!AK20 + '임대사업(E)'!AK20 + '환경부사업(F)'!AK20 + '프로젝트(G)'!AK20 + '협력사 EPC(H)'!AK20 + '기타(Z)'!AK20</f>
        <v>28</v>
      </c>
      <c r="L40" s="184">
        <f>'발전사업(A)'!AL20 + '자가소비(B)'!AL20 + 'PPA 사업(C)'!AL20 + '리스사업(D)'!AL20 + '임대사업(E)'!AL20 + '환경부사업(F)'!AL20 + '프로젝트(G)'!AL20 + '협력사 EPC(H)'!AL20 + '기타(Z)'!AL20</f>
        <v>14</v>
      </c>
      <c r="M40" s="184">
        <f>'발전사업(A)'!AM20 + '자가소비(B)'!AM20 + 'PPA 사업(C)'!AM20 + '리스사업(D)'!AM20 + '임대사업(E)'!AM20 + '환경부사업(F)'!AM20 + '프로젝트(G)'!AM20 + '협력사 EPC(H)'!AM20 + '기타(Z)'!AM20</f>
        <v>2</v>
      </c>
      <c r="N40" s="185">
        <f>'발전사업(A)'!AN20 + '자가소비(B)'!AN20 + 'PPA 사업(C)'!AN20 + '리스사업(D)'!AN20 + '임대사업(E)'!AN20 + '환경부사업(F)'!AN20 + '프로젝트(G)'!AN20 + '협력사 EPC(H)'!AN20 + '기타(Z)'!AN20</f>
        <v>0</v>
      </c>
      <c r="O40" s="134">
        <f>'발전사업(A)'!AO20 + '자가소비(B)'!AO20 + 'PPA 사업(C)'!AO20 + '리스사업(D)'!AO20 + '임대사업(E)'!AO20 + '환경부사업(F)'!AO20 + '프로젝트(G)'!AO20 + '협력사 EPC(H)'!AO20 + '기타(Z)'!AO20 + '협력사 하도(I)'!AO20</f>
        <v>137.369</v>
      </c>
      <c r="P40" s="134">
        <f>'발전사업(A)'!AP20 + '자가소비(B)'!AP20 + 'PPA 사업(C)'!AP20 + '리스사업(D)'!AP20 + '임대사업(E)'!AP20 + '환경부사업(F)'!AP20 + '프로젝트(G)'!AP20 + '협력사 EPC(H)'!AP20 + '기타(Z)'!AP20 + '협력사 하도(I)'!AP20</f>
        <v>94.04</v>
      </c>
      <c r="Q40" s="134">
        <f>'발전사업(A)'!AQ20 + '자가소비(B)'!AQ20 + 'PPA 사업(C)'!AQ20 + '리스사업(D)'!AQ20 + '임대사업(E)'!AQ20 + '환경부사업(F)'!AQ20 + '프로젝트(G)'!AQ20 + '협력사 EPC(H)'!AQ20 + '기타(Z)'!AQ20 + '협력사 하도(I)'!AQ20</f>
        <v>39.829000000000001</v>
      </c>
      <c r="R40" s="134">
        <f>'발전사업(A)'!AR20 + '자가소비(B)'!AR20 + 'PPA 사업(C)'!AR20 + '리스사업(D)'!AR20 + '임대사업(E)'!AR20 + '환경부사업(F)'!AR20 + '프로젝트(G)'!AR20 + '협력사 EPC(H)'!AR20 + '기타(Z)'!AR20 + '협력사 하도(I)'!AR20</f>
        <v>3.5</v>
      </c>
      <c r="S40" s="136">
        <f>'발전사업(A)'!AS20 + '자가소비(B)'!AS20 + 'PPA 사업(C)'!AS20 + '리스사업(D)'!AS20 + '임대사업(E)'!AS20 + '환경부사업(F)'!AS20 + '프로젝트(G)'!AS20 + '협력사 EPC(H)'!AS20 + '기타(Z)'!AS20 + '협력사 하도(I)'!AS20</f>
        <v>0</v>
      </c>
    </row>
    <row r="41" spans="1:23" x14ac:dyDescent="0.25">
      <c r="A41">
        <v>4</v>
      </c>
      <c r="B41" s="486">
        <v>4</v>
      </c>
      <c r="C41" s="89">
        <v>1</v>
      </c>
      <c r="D41" s="95" t="s">
        <v>237</v>
      </c>
      <c r="E41" s="137">
        <f>'발전사업(A)'!AE21 + '자가소비(B)'!AE21 + 'PPA 사업(C)'!AE21 + '리스사업(D)'!AE21 + '임대사업(E)'!AE21 + '환경부사업(F)'!AE21 + '프로젝트(G)'!AE21 + '협력사 EPC(H)'!AE21 + '기타(Z)'!AE21</f>
        <v>1833.6950000000002</v>
      </c>
      <c r="F41" s="138">
        <f>'발전사업(A)'!AF21 + '자가소비(B)'!AF21 + 'PPA 사업(C)'!AF21 + '리스사업(D)'!AF21 + '임대사업(E)'!AF21 + '환경부사업(F)'!AF21 + '프로젝트(G)'!AF21 + '협력사 EPC(H)'!AF21 + '기타(Z)'!AF21</f>
        <v>1045.5450000000001</v>
      </c>
      <c r="G41" s="138">
        <f>'발전사업(A)'!AG21 + '자가소비(B)'!AG21 + 'PPA 사업(C)'!AG21 + '리스사업(D)'!AG21 + '임대사업(E)'!AG21 + '환경부사업(F)'!AG21 + '프로젝트(G)'!AG21 + '협력사 EPC(H)'!AG21 + '기타(Z)'!AG21</f>
        <v>788.15000000000009</v>
      </c>
      <c r="H41" s="138">
        <f>'발전사업(A)'!AH21 + '자가소비(B)'!AH21 + 'PPA 사업(C)'!AH21 + '리스사업(D)'!AH21 + '임대사업(E)'!AH21 + '환경부사업(F)'!AH21 + '프로젝트(G)'!AH21 + '협력사 EPC(H)'!AH21 + '기타(Z)'!AH21</f>
        <v>0</v>
      </c>
      <c r="I41" s="139">
        <f>'발전사업(A)'!AI21 + '자가소비(B)'!AI21 + 'PPA 사업(C)'!AI21 + '리스사업(D)'!AI21 + '임대사업(E)'!AI21 + '환경부사업(F)'!AI21 + '프로젝트(G)'!AI21 + '협력사 EPC(H)'!AI21 + '기타(Z)'!AI21</f>
        <v>0</v>
      </c>
      <c r="J41" s="186">
        <f>'발전사업(A)'!AJ21 + '자가소비(B)'!AJ21 + 'PPA 사업(C)'!AJ21 + '리스사업(D)'!AJ21 + '임대사업(E)'!AJ21 + '환경부사업(F)'!AJ21 + '프로젝트(G)'!AJ21 + '협력사 EPC(H)'!AJ21 + '기타(Z)'!AJ21</f>
        <v>8</v>
      </c>
      <c r="K41" s="187">
        <f>'발전사업(A)'!AK21 + '자가소비(B)'!AK21 + 'PPA 사업(C)'!AK21 + '리스사업(D)'!AK21 + '임대사업(E)'!AK21 + '환경부사업(F)'!AK21 + '프로젝트(G)'!AK21 + '협력사 EPC(H)'!AK21 + '기타(Z)'!AK21</f>
        <v>4</v>
      </c>
      <c r="L41" s="187">
        <f>'발전사업(A)'!AL21 + '자가소비(B)'!AL21 + 'PPA 사업(C)'!AL21 + '리스사업(D)'!AL21 + '임대사업(E)'!AL21 + '환경부사업(F)'!AL21 + '프로젝트(G)'!AL21 + '협력사 EPC(H)'!AL21 + '기타(Z)'!AL21</f>
        <v>4</v>
      </c>
      <c r="M41" s="187">
        <f>'발전사업(A)'!AM21 + '자가소비(B)'!AM21 + 'PPA 사업(C)'!AM21 + '리스사업(D)'!AM21 + '임대사업(E)'!AM21 + '환경부사업(F)'!AM21 + '프로젝트(G)'!AM21 + '협력사 EPC(H)'!AM21 + '기타(Z)'!AM21</f>
        <v>0</v>
      </c>
      <c r="N41" s="188">
        <f>'발전사업(A)'!AN21 + '자가소비(B)'!AN21 + 'PPA 사업(C)'!AN21 + '리스사업(D)'!AN21 + '임대사업(E)'!AN21 + '환경부사업(F)'!AN21 + '프로젝트(G)'!AN21 + '협력사 EPC(H)'!AN21 + '기타(Z)'!AN21</f>
        <v>0</v>
      </c>
      <c r="O41" s="138">
        <f>'발전사업(A)'!AO21 + '자가소비(B)'!AO21 + 'PPA 사업(C)'!AO21 + '리스사업(D)'!AO21 + '임대사업(E)'!AO21 + '환경부사업(F)'!AO21 + '프로젝트(G)'!AO21 + '협력사 EPC(H)'!AO21 + '기타(Z)'!AO21 + '협력사 하도(I)'!AO21</f>
        <v>15.990000000000002</v>
      </c>
      <c r="P41" s="138">
        <f>'발전사업(A)'!AP21 + '자가소비(B)'!AP21 + 'PPA 사업(C)'!AP21 + '리스사업(D)'!AP21 + '임대사업(E)'!AP21 + '환경부사업(F)'!AP21 + '프로젝트(G)'!AP21 + '협력사 EPC(H)'!AP21 + '기타(Z)'!AP21 + '협력사 하도(I)'!AP21</f>
        <v>10.050000000000001</v>
      </c>
      <c r="Q41" s="138">
        <f>'발전사업(A)'!AQ21 + '자가소비(B)'!AQ21 + 'PPA 사업(C)'!AQ21 + '리스사업(D)'!AQ21 + '임대사업(E)'!AQ21 + '환경부사업(F)'!AQ21 + '프로젝트(G)'!AQ21 + '협력사 EPC(H)'!AQ21 + '기타(Z)'!AQ21 + '협력사 하도(I)'!AQ21</f>
        <v>5.94</v>
      </c>
      <c r="R41" s="138">
        <f>'발전사업(A)'!AR21 + '자가소비(B)'!AR21 + 'PPA 사업(C)'!AR21 + '리스사업(D)'!AR21 + '임대사업(E)'!AR21 + '환경부사업(F)'!AR21 + '프로젝트(G)'!AR21 + '협력사 EPC(H)'!AR21 + '기타(Z)'!AR21 + '협력사 하도(I)'!AR21</f>
        <v>0</v>
      </c>
      <c r="S41" s="140">
        <f>'발전사업(A)'!AS21 + '자가소비(B)'!AS21 + 'PPA 사업(C)'!AS21 + '리스사업(D)'!AS21 + '임대사업(E)'!AS21 + '환경부사업(F)'!AS21 + '프로젝트(G)'!AS21 + '협력사 EPC(H)'!AS21 + '기타(Z)'!AS21 + '협력사 하도(I)'!AS21</f>
        <v>0</v>
      </c>
    </row>
    <row r="42" spans="1:23" x14ac:dyDescent="0.25">
      <c r="A42">
        <v>4</v>
      </c>
      <c r="B42" s="487"/>
      <c r="C42" s="90">
        <v>2</v>
      </c>
      <c r="D42" s="97" t="s">
        <v>221</v>
      </c>
      <c r="E42" s="129">
        <f>'발전사업(A)'!AE22 + '자가소비(B)'!AE22 + 'PPA 사업(C)'!AE22 + '리스사업(D)'!AE22 + '임대사업(E)'!AE22 + '환경부사업(F)'!AE22 + '프로젝트(G)'!AE22 + '협력사 EPC(H)'!AE22 + '기타(Z)'!AE22</f>
        <v>4591.1099999999997</v>
      </c>
      <c r="F42" s="39">
        <f>'발전사업(A)'!AF22 + '자가소비(B)'!AF22 + 'PPA 사업(C)'!AF22 + '리스사업(D)'!AF22 + '임대사업(E)'!AF22 + '환경부사업(F)'!AF22 + '프로젝트(G)'!AF22 + '협력사 EPC(H)'!AF22 + '기타(Z)'!AF22</f>
        <v>4362.78</v>
      </c>
      <c r="G42" s="39">
        <f>'발전사업(A)'!AG22 + '자가소비(B)'!AG22 + 'PPA 사업(C)'!AG22 + '리스사업(D)'!AG22 + '임대사업(E)'!AG22 + '환경부사업(F)'!AG22 + '프로젝트(G)'!AG22 + '협력사 EPC(H)'!AG22 + '기타(Z)'!AG22</f>
        <v>228.32999999999998</v>
      </c>
      <c r="H42" s="39">
        <f>'발전사업(A)'!AH22 + '자가소비(B)'!AH22 + 'PPA 사업(C)'!AH22 + '리스사업(D)'!AH22 + '임대사업(E)'!AH22 + '환경부사업(F)'!AH22 + '프로젝트(G)'!AH22 + '협력사 EPC(H)'!AH22 + '기타(Z)'!AH22</f>
        <v>0</v>
      </c>
      <c r="I42" s="125">
        <f>'발전사업(A)'!AI22 + '자가소비(B)'!AI22 + 'PPA 사업(C)'!AI22 + '리스사업(D)'!AI22 + '임대사업(E)'!AI22 + '환경부사업(F)'!AI22 + '프로젝트(G)'!AI22 + '협력사 EPC(H)'!AI22 + '기타(Z)'!AI22</f>
        <v>0</v>
      </c>
      <c r="J42" s="115">
        <f>'발전사업(A)'!AJ22 + '자가소비(B)'!AJ22 + 'PPA 사업(C)'!AJ22 + '리스사업(D)'!AJ22 + '임대사업(E)'!AJ22 + '환경부사업(F)'!AJ22 + '프로젝트(G)'!AJ22 + '협력사 EPC(H)'!AJ22 + '기타(Z)'!AJ22</f>
        <v>12</v>
      </c>
      <c r="K42" s="181">
        <f>'발전사업(A)'!AK22 + '자가소비(B)'!AK22 + 'PPA 사업(C)'!AK22 + '리스사업(D)'!AK22 + '임대사업(E)'!AK22 + '환경부사업(F)'!AK22 + '프로젝트(G)'!AK22 + '협력사 EPC(H)'!AK22 + '기타(Z)'!AK22</f>
        <v>10</v>
      </c>
      <c r="L42" s="181">
        <f>'발전사업(A)'!AL22 + '자가소비(B)'!AL22 + 'PPA 사업(C)'!AL22 + '리스사업(D)'!AL22 + '임대사업(E)'!AL22 + '환경부사업(F)'!AL22 + '프로젝트(G)'!AL22 + '협력사 EPC(H)'!AL22 + '기타(Z)'!AL22</f>
        <v>2</v>
      </c>
      <c r="M42" s="181">
        <f>'발전사업(A)'!AM22 + '자가소비(B)'!AM22 + 'PPA 사업(C)'!AM22 + '리스사업(D)'!AM22 + '임대사업(E)'!AM22 + '환경부사업(F)'!AM22 + '프로젝트(G)'!AM22 + '협력사 EPC(H)'!AM22 + '기타(Z)'!AM22</f>
        <v>0</v>
      </c>
      <c r="N42" s="182">
        <f>'발전사업(A)'!AN22 + '자가소비(B)'!AN22 + 'PPA 사업(C)'!AN22 + '리스사업(D)'!AN22 + '임대사업(E)'!AN22 + '환경부사업(F)'!AN22 + '프로젝트(G)'!AN22 + '협력사 EPC(H)'!AN22 + '기타(Z)'!AN22</f>
        <v>0</v>
      </c>
      <c r="O42" s="39">
        <f>'발전사업(A)'!AO22 + '자가소비(B)'!AO22 + 'PPA 사업(C)'!AO22 + '리스사업(D)'!AO22 + '임대사업(E)'!AO22 + '환경부사업(F)'!AO22 + '프로젝트(G)'!AO22 + '협력사 EPC(H)'!AO22 + '기타(Z)'!AO22 + '협력사 하도(I)'!AO22</f>
        <v>44.019999999999996</v>
      </c>
      <c r="P42" s="39">
        <f>'발전사업(A)'!AP22 + '자가소비(B)'!AP22 + 'PPA 사업(C)'!AP22 + '리스사업(D)'!AP22 + '임대사업(E)'!AP22 + '환경부사업(F)'!AP22 + '프로젝트(G)'!AP22 + '협력사 EPC(H)'!AP22 + '기타(Z)'!AP22 + '협력사 하도(I)'!AP22</f>
        <v>41.279999999999994</v>
      </c>
      <c r="Q42" s="39">
        <f>'발전사업(A)'!AQ22 + '자가소비(B)'!AQ22 + 'PPA 사업(C)'!AQ22 + '리스사업(D)'!AQ22 + '임대사업(E)'!AQ22 + '환경부사업(F)'!AQ22 + '프로젝트(G)'!AQ22 + '협력사 EPC(H)'!AQ22 + '기타(Z)'!AQ22 + '협력사 하도(I)'!AQ22</f>
        <v>2.74</v>
      </c>
      <c r="R42" s="39">
        <f>'발전사업(A)'!AR22 + '자가소비(B)'!AR22 + 'PPA 사업(C)'!AR22 + '리스사업(D)'!AR22 + '임대사업(E)'!AR22 + '환경부사업(F)'!AR22 + '프로젝트(G)'!AR22 + '협력사 EPC(H)'!AR22 + '기타(Z)'!AR22 + '협력사 하도(I)'!AR22</f>
        <v>0</v>
      </c>
      <c r="S42" s="130">
        <f>'발전사업(A)'!AS22 + '자가소비(B)'!AS22 + 'PPA 사업(C)'!AS22 + '리스사업(D)'!AS22 + '임대사업(E)'!AS22 + '환경부사업(F)'!AS22 + '프로젝트(G)'!AS22 + '협력사 EPC(H)'!AS22 + '기타(Z)'!AS22 + '협력사 하도(I)'!AS22</f>
        <v>0</v>
      </c>
    </row>
    <row r="43" spans="1:23" x14ac:dyDescent="0.25">
      <c r="A43">
        <v>4</v>
      </c>
      <c r="B43" s="487"/>
      <c r="C43" s="90">
        <v>3</v>
      </c>
      <c r="D43" s="97" t="s">
        <v>218</v>
      </c>
      <c r="E43" s="129">
        <f>'발전사업(A)'!AE23 + '자가소비(B)'!AE23 + 'PPA 사업(C)'!AE23 + '리스사업(D)'!AE23 + '임대사업(E)'!AE23 + '환경부사업(F)'!AE23 + '프로젝트(G)'!AE23 + '협력사 EPC(H)'!AE23 + '기타(Z)'!AE23</f>
        <v>1573.1549999999997</v>
      </c>
      <c r="F43" s="39">
        <f>'발전사업(A)'!AF23 + '자가소비(B)'!AF23 + 'PPA 사업(C)'!AF23 + '리스사업(D)'!AF23 + '임대사업(E)'!AF23 + '환경부사업(F)'!AF23 + '프로젝트(G)'!AF23 + '협력사 EPC(H)'!AF23 + '기타(Z)'!AF23</f>
        <v>999.74999999999989</v>
      </c>
      <c r="G43" s="39">
        <f>'발전사업(A)'!AG23 + '자가소비(B)'!AG23 + 'PPA 사업(C)'!AG23 + '리스사업(D)'!AG23 + '임대사업(E)'!AG23 + '환경부사업(F)'!AG23 + '프로젝트(G)'!AG23 + '협력사 EPC(H)'!AG23 + '기타(Z)'!AG23</f>
        <v>573.40499999999997</v>
      </c>
      <c r="H43" s="39">
        <f>'발전사업(A)'!AH23 + '자가소비(B)'!AH23 + 'PPA 사업(C)'!AH23 + '리스사업(D)'!AH23 + '임대사업(E)'!AH23 + '환경부사업(F)'!AH23 + '프로젝트(G)'!AH23 + '협력사 EPC(H)'!AH23 + '기타(Z)'!AH23</f>
        <v>0</v>
      </c>
      <c r="I43" s="125">
        <f>'발전사업(A)'!AI23 + '자가소비(B)'!AI23 + 'PPA 사업(C)'!AI23 + '리스사업(D)'!AI23 + '임대사업(E)'!AI23 + '환경부사업(F)'!AI23 + '프로젝트(G)'!AI23 + '협력사 EPC(H)'!AI23 + '기타(Z)'!AI23</f>
        <v>0</v>
      </c>
      <c r="J43" s="115">
        <f>'발전사업(A)'!AJ23 + '자가소비(B)'!AJ23 + 'PPA 사업(C)'!AJ23 + '리스사업(D)'!AJ23 + '임대사업(E)'!AJ23 + '환경부사업(F)'!AJ23 + '프로젝트(G)'!AJ23 + '협력사 EPC(H)'!AJ23 + '기타(Z)'!AJ23</f>
        <v>11</v>
      </c>
      <c r="K43" s="181">
        <f>'발전사업(A)'!AK23 + '자가소비(B)'!AK23 + 'PPA 사업(C)'!AK23 + '리스사업(D)'!AK23 + '임대사업(E)'!AK23 + '환경부사업(F)'!AK23 + '프로젝트(G)'!AK23 + '협력사 EPC(H)'!AK23 + '기타(Z)'!AK23</f>
        <v>7</v>
      </c>
      <c r="L43" s="181">
        <f>'발전사업(A)'!AL23 + '자가소비(B)'!AL23 + 'PPA 사업(C)'!AL23 + '리스사업(D)'!AL23 + '임대사업(E)'!AL23 + '환경부사업(F)'!AL23 + '프로젝트(G)'!AL23 + '협력사 EPC(H)'!AL23 + '기타(Z)'!AL23</f>
        <v>4</v>
      </c>
      <c r="M43" s="181">
        <f>'발전사업(A)'!AM23 + '자가소비(B)'!AM23 + 'PPA 사업(C)'!AM23 + '리스사업(D)'!AM23 + '임대사업(E)'!AM23 + '환경부사업(F)'!AM23 + '프로젝트(G)'!AM23 + '협력사 EPC(H)'!AM23 + '기타(Z)'!AM23</f>
        <v>0</v>
      </c>
      <c r="N43" s="182">
        <f>'발전사업(A)'!AN23 + '자가소비(B)'!AN23 + 'PPA 사업(C)'!AN23 + '리스사업(D)'!AN23 + '임대사업(E)'!AN23 + '환경부사업(F)'!AN23 + '프로젝트(G)'!AN23 + '협력사 EPC(H)'!AN23 + '기타(Z)'!AN23</f>
        <v>0</v>
      </c>
      <c r="O43" s="39">
        <f>'발전사업(A)'!AO23 + '자가소비(B)'!AO23 + 'PPA 사업(C)'!AO23 + '리스사업(D)'!AO23 + '임대사업(E)'!AO23 + '환경부사업(F)'!AO23 + '프로젝트(G)'!AO23 + '협력사 EPC(H)'!AO23 + '기타(Z)'!AO23 + '협력사 하도(I)'!AO23</f>
        <v>16.490000000000002</v>
      </c>
      <c r="P43" s="39">
        <f>'발전사업(A)'!AP23 + '자가소비(B)'!AP23 + 'PPA 사업(C)'!AP23 + '리스사업(D)'!AP23 + '임대사업(E)'!AP23 + '환경부사업(F)'!AP23 + '프로젝트(G)'!AP23 + '협력사 EPC(H)'!AP23 + '기타(Z)'!AP23 + '협력사 하도(I)'!AP23</f>
        <v>10.19</v>
      </c>
      <c r="Q43" s="39">
        <f>'발전사업(A)'!AQ23 + '자가소비(B)'!AQ23 + 'PPA 사업(C)'!AQ23 + '리스사업(D)'!AQ23 + '임대사업(E)'!AQ23 + '환경부사업(F)'!AQ23 + '프로젝트(G)'!AQ23 + '협력사 EPC(H)'!AQ23 + '기타(Z)'!AQ23 + '협력사 하도(I)'!AQ23</f>
        <v>6.3000000000000007</v>
      </c>
      <c r="R43" s="39">
        <f>'발전사업(A)'!AR23 + '자가소비(B)'!AR23 + 'PPA 사업(C)'!AR23 + '리스사업(D)'!AR23 + '임대사업(E)'!AR23 + '환경부사업(F)'!AR23 + '프로젝트(G)'!AR23 + '협력사 EPC(H)'!AR23 + '기타(Z)'!AR23 + '협력사 하도(I)'!AR23</f>
        <v>0</v>
      </c>
      <c r="S43" s="130">
        <f>'발전사업(A)'!AS23 + '자가소비(B)'!AS23 + 'PPA 사업(C)'!AS23 + '리스사업(D)'!AS23 + '임대사업(E)'!AS23 + '환경부사업(F)'!AS23 + '프로젝트(G)'!AS23 + '협력사 EPC(H)'!AS23 + '기타(Z)'!AS23 + '협력사 하도(I)'!AS23</f>
        <v>0</v>
      </c>
    </row>
    <row r="44" spans="1:23" x14ac:dyDescent="0.25">
      <c r="A44">
        <v>4</v>
      </c>
      <c r="B44" s="487"/>
      <c r="C44" s="90">
        <v>4</v>
      </c>
      <c r="D44" s="97" t="s">
        <v>219</v>
      </c>
      <c r="E44" s="129">
        <f>'발전사업(A)'!AE24 + '자가소비(B)'!AE24 + 'PPA 사업(C)'!AE24 + '리스사업(D)'!AE24 + '임대사업(E)'!AE24 + '환경부사업(F)'!AE24 + '프로젝트(G)'!AE24 + '협력사 EPC(H)'!AE24 + '기타(Z)'!AE24</f>
        <v>412.68999999999994</v>
      </c>
      <c r="F44" s="39">
        <f>'발전사업(A)'!AF24 + '자가소비(B)'!AF24 + 'PPA 사업(C)'!AF24 + '리스사업(D)'!AF24 + '임대사업(E)'!AF24 + '환경부사업(F)'!AF24 + '프로젝트(G)'!AF24 + '협력사 EPC(H)'!AF24 + '기타(Z)'!AF24</f>
        <v>362.49</v>
      </c>
      <c r="G44" s="39">
        <f>'발전사업(A)'!AG24 + '자가소비(B)'!AG24 + 'PPA 사업(C)'!AG24 + '리스사업(D)'!AG24 + '임대사업(E)'!AG24 + '환경부사업(F)'!AG24 + '프로젝트(G)'!AG24 + '협력사 EPC(H)'!AG24 + '기타(Z)'!AG24</f>
        <v>0</v>
      </c>
      <c r="H44" s="39">
        <f>'발전사업(A)'!AH24 + '자가소비(B)'!AH24 + 'PPA 사업(C)'!AH24 + '리스사업(D)'!AH24 + '임대사업(E)'!AH24 + '환경부사업(F)'!AH24 + '프로젝트(G)'!AH24 + '협력사 EPC(H)'!AH24 + '기타(Z)'!AH24</f>
        <v>50.2</v>
      </c>
      <c r="I44" s="125">
        <f>'발전사업(A)'!AI24 + '자가소비(B)'!AI24 + 'PPA 사업(C)'!AI24 + '리스사업(D)'!AI24 + '임대사업(E)'!AI24 + '환경부사업(F)'!AI24 + '프로젝트(G)'!AI24 + '협력사 EPC(H)'!AI24 + '기타(Z)'!AI24</f>
        <v>0</v>
      </c>
      <c r="J44" s="115">
        <f>'발전사업(A)'!AJ24 + '자가소비(B)'!AJ24 + 'PPA 사업(C)'!AJ24 + '리스사업(D)'!AJ24 + '임대사업(E)'!AJ24 + '환경부사업(F)'!AJ24 + '프로젝트(G)'!AJ24 + '협력사 EPC(H)'!AJ24 + '기타(Z)'!AJ24</f>
        <v>5</v>
      </c>
      <c r="K44" s="181">
        <f>'발전사업(A)'!AK24 + '자가소비(B)'!AK24 + 'PPA 사업(C)'!AK24 + '리스사업(D)'!AK24 + '임대사업(E)'!AK24 + '환경부사업(F)'!AK24 + '프로젝트(G)'!AK24 + '협력사 EPC(H)'!AK24 + '기타(Z)'!AK24</f>
        <v>4</v>
      </c>
      <c r="L44" s="181">
        <f>'발전사업(A)'!AL24 + '자가소비(B)'!AL24 + 'PPA 사업(C)'!AL24 + '리스사업(D)'!AL24 + '임대사업(E)'!AL24 + '환경부사업(F)'!AL24 + '프로젝트(G)'!AL24 + '협력사 EPC(H)'!AL24 + '기타(Z)'!AL24</f>
        <v>0</v>
      </c>
      <c r="M44" s="181">
        <f>'발전사업(A)'!AM24 + '자가소비(B)'!AM24 + 'PPA 사업(C)'!AM24 + '리스사업(D)'!AM24 + '임대사업(E)'!AM24 + '환경부사업(F)'!AM24 + '프로젝트(G)'!AM24 + '협력사 EPC(H)'!AM24 + '기타(Z)'!AM24</f>
        <v>1</v>
      </c>
      <c r="N44" s="182">
        <f>'발전사업(A)'!AN24 + '자가소비(B)'!AN24 + 'PPA 사업(C)'!AN24 + '리스사업(D)'!AN24 + '임대사업(E)'!AN24 + '환경부사업(F)'!AN24 + '프로젝트(G)'!AN24 + '협력사 EPC(H)'!AN24 + '기타(Z)'!AN24</f>
        <v>0</v>
      </c>
      <c r="O44" s="39">
        <f>'발전사업(A)'!AO24 + '자가소비(B)'!AO24 + 'PPA 사업(C)'!AO24 + '리스사업(D)'!AO24 + '임대사업(E)'!AO24 + '환경부사업(F)'!AO24 + '프로젝트(G)'!AO24 + '협력사 EPC(H)'!AO24 + '기타(Z)'!AO24 + '협력사 하도(I)'!AO24</f>
        <v>4.75</v>
      </c>
      <c r="P44" s="39">
        <f>'발전사업(A)'!AP24 + '자가소비(B)'!AP24 + 'PPA 사업(C)'!AP24 + '리스사업(D)'!AP24 + '임대사업(E)'!AP24 + '환경부사업(F)'!AP24 + '프로젝트(G)'!AP24 + '협력사 EPC(H)'!AP24 + '기타(Z)'!AP24 + '협력사 하도(I)'!AP24</f>
        <v>3.72</v>
      </c>
      <c r="Q44" s="39">
        <f>'발전사업(A)'!AQ24 + '자가소비(B)'!AQ24 + 'PPA 사업(C)'!AQ24 + '리스사업(D)'!AQ24 + '임대사업(E)'!AQ24 + '환경부사업(F)'!AQ24 + '프로젝트(G)'!AQ24 + '협력사 EPC(H)'!AQ24 + '기타(Z)'!AQ24 + '협력사 하도(I)'!AQ24</f>
        <v>0</v>
      </c>
      <c r="R44" s="39">
        <f>'발전사업(A)'!AR24 + '자가소비(B)'!AR24 + 'PPA 사업(C)'!AR24 + '리스사업(D)'!AR24 + '임대사업(E)'!AR24 + '환경부사업(F)'!AR24 + '프로젝트(G)'!AR24 + '협력사 EPC(H)'!AR24 + '기타(Z)'!AR24 + '협력사 하도(I)'!AR24</f>
        <v>1.03</v>
      </c>
      <c r="S44" s="130">
        <f>'발전사업(A)'!AS24 + '자가소비(B)'!AS24 + 'PPA 사업(C)'!AS24 + '리스사업(D)'!AS24 + '임대사업(E)'!AS24 + '환경부사업(F)'!AS24 + '프로젝트(G)'!AS24 + '협력사 EPC(H)'!AS24 + '기타(Z)'!AS24 + '협력사 하도(I)'!AS24</f>
        <v>0</v>
      </c>
    </row>
    <row r="45" spans="1:23" x14ac:dyDescent="0.25">
      <c r="A45">
        <v>4</v>
      </c>
      <c r="B45" s="487"/>
      <c r="C45" s="91">
        <v>5</v>
      </c>
      <c r="D45" s="97" t="s">
        <v>220</v>
      </c>
      <c r="E45" s="129">
        <f>'발전사업(A)'!AE25 + '자가소비(B)'!AE25 + 'PPA 사업(C)'!AE25 + '리스사업(D)'!AE25 + '임대사업(E)'!AE25 + '환경부사업(F)'!AE25 + '프로젝트(G)'!AE25 + '협력사 EPC(H)'!AE25 + '기타(Z)'!AE25</f>
        <v>1001.885</v>
      </c>
      <c r="F45" s="39">
        <f>'발전사업(A)'!AF25 + '자가소비(B)'!AF25 + 'PPA 사업(C)'!AF25 + '리스사업(D)'!AF25 + '임대사업(E)'!AF25 + '환경부사업(F)'!AF25 + '프로젝트(G)'!AF25 + '협력사 EPC(H)'!AF25 + '기타(Z)'!AF25</f>
        <v>201.88499999999999</v>
      </c>
      <c r="G45" s="39">
        <f>'발전사업(A)'!AG25 + '자가소비(B)'!AG25 + 'PPA 사업(C)'!AG25 + '리스사업(D)'!AG25 + '임대사업(E)'!AG25 + '환경부사업(F)'!AG25 + '프로젝트(G)'!AG25 + '협력사 EPC(H)'!AG25 + '기타(Z)'!AG25</f>
        <v>0</v>
      </c>
      <c r="H45" s="39">
        <f>'발전사업(A)'!AH25 + '자가소비(B)'!AH25 + 'PPA 사업(C)'!AH25 + '리스사업(D)'!AH25 + '임대사업(E)'!AH25 + '환경부사업(F)'!AH25 + '프로젝트(G)'!AH25 + '협력사 EPC(H)'!AH25 + '기타(Z)'!AH25</f>
        <v>800</v>
      </c>
      <c r="I45" s="125">
        <f>'발전사업(A)'!AI25 + '자가소비(B)'!AI25 + 'PPA 사업(C)'!AI25 + '리스사업(D)'!AI25 + '임대사업(E)'!AI25 + '환경부사업(F)'!AI25 + '프로젝트(G)'!AI25 + '협력사 EPC(H)'!AI25 + '기타(Z)'!AI25</f>
        <v>0</v>
      </c>
      <c r="J45" s="115">
        <f>'발전사업(A)'!AJ25 + '자가소비(B)'!AJ25 + 'PPA 사업(C)'!AJ25 + '리스사업(D)'!AJ25 + '임대사업(E)'!AJ25 + '환경부사업(F)'!AJ25 + '프로젝트(G)'!AJ25 + '협력사 EPC(H)'!AJ25 + '기타(Z)'!AJ25</f>
        <v>2</v>
      </c>
      <c r="K45" s="181">
        <f>'발전사업(A)'!AK25 + '자가소비(B)'!AK25 + 'PPA 사업(C)'!AK25 + '리스사업(D)'!AK25 + '임대사업(E)'!AK25 + '환경부사업(F)'!AK25 + '프로젝트(G)'!AK25 + '협력사 EPC(H)'!AK25 + '기타(Z)'!AK25</f>
        <v>1</v>
      </c>
      <c r="L45" s="181">
        <f>'발전사업(A)'!AL25 + '자가소비(B)'!AL25 + 'PPA 사업(C)'!AL25 + '리스사업(D)'!AL25 + '임대사업(E)'!AL25 + '환경부사업(F)'!AL25 + '프로젝트(G)'!AL25 + '협력사 EPC(H)'!AL25 + '기타(Z)'!AL25</f>
        <v>0</v>
      </c>
      <c r="M45" s="181">
        <f>'발전사업(A)'!AM25 + '자가소비(B)'!AM25 + 'PPA 사업(C)'!AM25 + '리스사업(D)'!AM25 + '임대사업(E)'!AM25 + '환경부사업(F)'!AM25 + '프로젝트(G)'!AM25 + '협력사 EPC(H)'!AM25 + '기타(Z)'!AM25</f>
        <v>1</v>
      </c>
      <c r="N45" s="182">
        <f>'발전사업(A)'!AN25 + '자가소비(B)'!AN25 + 'PPA 사업(C)'!AN25 + '리스사업(D)'!AN25 + '임대사업(E)'!AN25 + '환경부사업(F)'!AN25 + '프로젝트(G)'!AN25 + '협력사 EPC(H)'!AN25 + '기타(Z)'!AN25</f>
        <v>0</v>
      </c>
      <c r="O45" s="39">
        <f>'발전사업(A)'!AO25 + '자가소비(B)'!AO25 + 'PPA 사업(C)'!AO25 + '리스사업(D)'!AO25 + '임대사업(E)'!AO25 + '환경부사업(F)'!AO25 + '프로젝트(G)'!AO25 + '협력사 EPC(H)'!AO25 + '기타(Z)'!AO25 + '협력사 하도(I)'!AO25</f>
        <v>12.716000000000001</v>
      </c>
      <c r="P45" s="39">
        <f>'발전사업(A)'!AP25 + '자가소비(B)'!AP25 + 'PPA 사업(C)'!AP25 + '리스사업(D)'!AP25 + '임대사업(E)'!AP25 + '환경부사업(F)'!AP25 + '프로젝트(G)'!AP25 + '협력사 EPC(H)'!AP25 + '기타(Z)'!AP25 + '협력사 하도(I)'!AP25</f>
        <v>1.97</v>
      </c>
      <c r="Q45" s="39">
        <f>'발전사업(A)'!AQ25 + '자가소비(B)'!AQ25 + 'PPA 사업(C)'!AQ25 + '리스사업(D)'!AQ25 + '임대사업(E)'!AQ25 + '환경부사업(F)'!AQ25 + '프로젝트(G)'!AQ25 + '협력사 EPC(H)'!AQ25 + '기타(Z)'!AQ25 + '협력사 하도(I)'!AQ25</f>
        <v>0</v>
      </c>
      <c r="R45" s="39">
        <f>'발전사업(A)'!AR25 + '자가소비(B)'!AR25 + 'PPA 사업(C)'!AR25 + '리스사업(D)'!AR25 + '임대사업(E)'!AR25 + '환경부사업(F)'!AR25 + '프로젝트(G)'!AR25 + '협력사 EPC(H)'!AR25 + '기타(Z)'!AR25 + '협력사 하도(I)'!AR25</f>
        <v>10.746</v>
      </c>
      <c r="S45" s="130">
        <f>'발전사업(A)'!AS25 + '자가소비(B)'!AS25 + 'PPA 사업(C)'!AS25 + '리스사업(D)'!AS25 + '임대사업(E)'!AS25 + '환경부사업(F)'!AS25 + '프로젝트(G)'!AS25 + '협력사 EPC(H)'!AS25 + '기타(Z)'!AS25 + '협력사 하도(I)'!AS25</f>
        <v>0</v>
      </c>
    </row>
    <row r="46" spans="1:23" ht="14.25" thickBot="1" x14ac:dyDescent="0.3">
      <c r="A46">
        <v>4</v>
      </c>
      <c r="B46" s="488"/>
      <c r="C46" s="92" t="s">
        <v>3</v>
      </c>
      <c r="D46" s="98"/>
      <c r="E46" s="141">
        <f>'발전사업(A)'!AE26 + '자가소비(B)'!AE26 + 'PPA 사업(C)'!AE26 + '리스사업(D)'!AE26 + '임대사업(E)'!AE26 + '환경부사업(F)'!AE26 + '프로젝트(G)'!AE26 + '협력사 EPC(H)'!AE26 + '기타(Z)'!AE26</f>
        <v>9412.5349999999999</v>
      </c>
      <c r="F46" s="142">
        <f>'발전사업(A)'!AF26 + '자가소비(B)'!AF26 + 'PPA 사업(C)'!AF26 + '리스사업(D)'!AF26 + '임대사업(E)'!AF26 + '환경부사업(F)'!AF26 + '프로젝트(G)'!AF26 + '협력사 EPC(H)'!AF26 + '기타(Z)'!AF26</f>
        <v>6972.45</v>
      </c>
      <c r="G46" s="142">
        <f>'발전사업(A)'!AG26 + '자가소비(B)'!AG26 + 'PPA 사업(C)'!AG26 + '리스사업(D)'!AG26 + '임대사업(E)'!AG26 + '환경부사업(F)'!AG26 + '프로젝트(G)'!AG26 + '협력사 EPC(H)'!AG26 + '기타(Z)'!AG26</f>
        <v>1589.885</v>
      </c>
      <c r="H46" s="142">
        <f>'발전사업(A)'!AH26 + '자가소비(B)'!AH26 + 'PPA 사업(C)'!AH26 + '리스사업(D)'!AH26 + '임대사업(E)'!AH26 + '환경부사업(F)'!AH26 + '프로젝트(G)'!AH26 + '협력사 EPC(H)'!AH26 + '기타(Z)'!AH26</f>
        <v>850.2</v>
      </c>
      <c r="I46" s="143">
        <f>'발전사업(A)'!AI26 + '자가소비(B)'!AI26 + 'PPA 사업(C)'!AI26 + '리스사업(D)'!AI26 + '임대사업(E)'!AI26 + '환경부사업(F)'!AI26 + '프로젝트(G)'!AI26 + '협력사 EPC(H)'!AI26 + '기타(Z)'!AI26</f>
        <v>0</v>
      </c>
      <c r="J46" s="189">
        <f>'발전사업(A)'!AJ26 + '자가소비(B)'!AJ26 + 'PPA 사업(C)'!AJ26 + '리스사업(D)'!AJ26 + '임대사업(E)'!AJ26 + '환경부사업(F)'!AJ26 + '프로젝트(G)'!AJ26 + '협력사 EPC(H)'!AJ26 + '기타(Z)'!AJ26</f>
        <v>38</v>
      </c>
      <c r="K46" s="190">
        <f>'발전사업(A)'!AK26 + '자가소비(B)'!AK26 + 'PPA 사업(C)'!AK26 + '리스사업(D)'!AK26 + '임대사업(E)'!AK26 + '환경부사업(F)'!AK26 + '프로젝트(G)'!AK26 + '협력사 EPC(H)'!AK26 + '기타(Z)'!AK26</f>
        <v>26</v>
      </c>
      <c r="L46" s="190">
        <f>'발전사업(A)'!AL26 + '자가소비(B)'!AL26 + 'PPA 사업(C)'!AL26 + '리스사업(D)'!AL26 + '임대사업(E)'!AL26 + '환경부사업(F)'!AL26 + '프로젝트(G)'!AL26 + '협력사 EPC(H)'!AL26 + '기타(Z)'!AL26</f>
        <v>10</v>
      </c>
      <c r="M46" s="190">
        <f>'발전사업(A)'!AM26 + '자가소비(B)'!AM26 + 'PPA 사업(C)'!AM26 + '리스사업(D)'!AM26 + '임대사업(E)'!AM26 + '환경부사업(F)'!AM26 + '프로젝트(G)'!AM26 + '협력사 EPC(H)'!AM26 + '기타(Z)'!AM26</f>
        <v>2</v>
      </c>
      <c r="N46" s="191">
        <f>'발전사업(A)'!AN26 + '자가소비(B)'!AN26 + 'PPA 사업(C)'!AN26 + '리스사업(D)'!AN26 + '임대사업(E)'!AN26 + '환경부사업(F)'!AN26 + '프로젝트(G)'!AN26 + '협력사 EPC(H)'!AN26 + '기타(Z)'!AN26</f>
        <v>0</v>
      </c>
      <c r="O46" s="142">
        <f>'발전사업(A)'!AO26 + '자가소비(B)'!AO26 + 'PPA 사업(C)'!AO26 + '리스사업(D)'!AO26 + '임대사업(E)'!AO26 + '환경부사업(F)'!AO26 + '프로젝트(G)'!AO26 + '협력사 EPC(H)'!AO26 + '기타(Z)'!AO26 + '협력사 하도(I)'!AO26</f>
        <v>93.966000000000008</v>
      </c>
      <c r="P46" s="142">
        <f>'발전사업(A)'!AP26 + '자가소비(B)'!AP26 + 'PPA 사업(C)'!AP26 + '리스사업(D)'!AP26 + '임대사업(E)'!AP26 + '환경부사업(F)'!AP26 + '프로젝트(G)'!AP26 + '협력사 EPC(H)'!AP26 + '기타(Z)'!AP26 + '협력사 하도(I)'!AP26</f>
        <v>67.209999999999994</v>
      </c>
      <c r="Q46" s="142">
        <f>'발전사업(A)'!AQ26 + '자가소비(B)'!AQ26 + 'PPA 사업(C)'!AQ26 + '리스사업(D)'!AQ26 + '임대사업(E)'!AQ26 + '환경부사업(F)'!AQ26 + '프로젝트(G)'!AQ26 + '협력사 EPC(H)'!AQ26 + '기타(Z)'!AQ26 + '협력사 하도(I)'!AQ26</f>
        <v>14.98</v>
      </c>
      <c r="R46" s="142">
        <f>'발전사업(A)'!AR26 + '자가소비(B)'!AR26 + 'PPA 사업(C)'!AR26 + '리스사업(D)'!AR26 + '임대사업(E)'!AR26 + '환경부사업(F)'!AR26 + '프로젝트(G)'!AR26 + '협력사 EPC(H)'!AR26 + '기타(Z)'!AR26 + '협력사 하도(I)'!AR26</f>
        <v>11.776</v>
      </c>
      <c r="S46" s="144">
        <f>'발전사업(A)'!AS26 + '자가소비(B)'!AS26 + 'PPA 사업(C)'!AS26 + '리스사업(D)'!AS26 + '임대사업(E)'!AS26 + '환경부사업(F)'!AS26 + '프로젝트(G)'!AS26 + '협력사 EPC(H)'!AS26 + '기타(Z)'!AS26 + '협력사 하도(I)'!AS26</f>
        <v>0</v>
      </c>
    </row>
    <row r="47" spans="1:23" x14ac:dyDescent="0.25">
      <c r="A47">
        <v>5</v>
      </c>
      <c r="B47" s="486">
        <v>5</v>
      </c>
      <c r="C47" s="89">
        <v>1</v>
      </c>
      <c r="D47" s="95" t="s">
        <v>222</v>
      </c>
      <c r="E47" s="39">
        <f>'발전사업(A)'!AE27 + '자가소비(B)'!AE27 + 'PPA 사업(C)'!AE27 + '리스사업(D)'!AE27 + '임대사업(E)'!AE27 + '환경부사업(F)'!AE27 + '프로젝트(G)'!AE27 + '협력사 EPC(H)'!AE27 + '기타(Z)'!AE27</f>
        <v>835.27499999999998</v>
      </c>
      <c r="F47" s="39">
        <f>'발전사업(A)'!AF27 + '자가소비(B)'!AF27 + 'PPA 사업(C)'!AF27 + '리스사업(D)'!AF27 + '임대사업(E)'!AF27 + '환경부사업(F)'!AF27 + '프로젝트(G)'!AF27 + '협력사 EPC(H)'!AF27 + '기타(Z)'!AF27</f>
        <v>652.74</v>
      </c>
      <c r="G47" s="39">
        <f>'발전사업(A)'!AG27 + '자가소비(B)'!AG27 + 'PPA 사업(C)'!AG27 + '리스사업(D)'!AG27 + '임대사업(E)'!AG27 + '환경부사업(F)'!AG27 + '프로젝트(G)'!AG27 + '협력사 EPC(H)'!AG27 + '기타(Z)'!AG27</f>
        <v>182.535</v>
      </c>
      <c r="H47" s="39">
        <f>'발전사업(A)'!AH27 + '자가소비(B)'!AH27 + 'PPA 사업(C)'!AH27 + '리스사업(D)'!AH27 + '임대사업(E)'!AH27 + '환경부사업(F)'!AH27 + '프로젝트(G)'!AH27 + '협력사 EPC(H)'!AH27 + '기타(Z)'!AH27</f>
        <v>0</v>
      </c>
      <c r="I47" s="125">
        <f>'발전사업(A)'!AI27 + '자가소비(B)'!AI27 + 'PPA 사업(C)'!AI27 + '리스사업(D)'!AI27 + '임대사업(E)'!AI27 + '환경부사업(F)'!AI27 + '프로젝트(G)'!AI27 + '협력사 EPC(H)'!AI27 + '기타(Z)'!AI27</f>
        <v>0</v>
      </c>
      <c r="J47" s="115">
        <f>'발전사업(A)'!AJ27 + '자가소비(B)'!AJ27 + 'PPA 사업(C)'!AJ27 + '리스사업(D)'!AJ27 + '임대사업(E)'!AJ27 + '환경부사업(F)'!AJ27 + '프로젝트(G)'!AJ27 + '협력사 EPC(H)'!AJ27 + '기타(Z)'!AJ27</f>
        <v>4</v>
      </c>
      <c r="K47" s="181">
        <f>'발전사업(A)'!AK27 + '자가소비(B)'!AK27 + 'PPA 사업(C)'!AK27 + '리스사업(D)'!AK27 + '임대사업(E)'!AK27 + '환경부사업(F)'!AK27 + '프로젝트(G)'!AK27 + '협력사 EPC(H)'!AK27 + '기타(Z)'!AK27</f>
        <v>2</v>
      </c>
      <c r="L47" s="181">
        <f>'발전사업(A)'!AL27 + '자가소비(B)'!AL27 + 'PPA 사업(C)'!AL27 + '리스사업(D)'!AL27 + '임대사업(E)'!AL27 + '환경부사업(F)'!AL27 + '프로젝트(G)'!AL27 + '협력사 EPC(H)'!AL27 + '기타(Z)'!AL27</f>
        <v>2</v>
      </c>
      <c r="M47" s="181">
        <f>'발전사업(A)'!AM27 + '자가소비(B)'!AM27 + 'PPA 사업(C)'!AM27 + '리스사업(D)'!AM27 + '임대사업(E)'!AM27 + '환경부사업(F)'!AM27 + '프로젝트(G)'!AM27 + '협력사 EPC(H)'!AM27 + '기타(Z)'!AM27</f>
        <v>0</v>
      </c>
      <c r="N47" s="182">
        <f>'발전사업(A)'!AN27 + '자가소비(B)'!AN27 + 'PPA 사업(C)'!AN27 + '리스사업(D)'!AN27 + '임대사업(E)'!AN27 + '환경부사업(F)'!AN27 + '프로젝트(G)'!AN27 + '협력사 EPC(H)'!AN27 + '기타(Z)'!AN27</f>
        <v>0</v>
      </c>
      <c r="O47" s="39">
        <f>'발전사업(A)'!AO27 + '자가소비(B)'!AO27 + 'PPA 사업(C)'!AO27 + '리스사업(D)'!AO27 + '임대사업(E)'!AO27 + '환경부사업(F)'!AO27 + '프로젝트(G)'!AO27 + '협력사 EPC(H)'!AO27 + '기타(Z)'!AO27 + '협력사 하도(I)'!AO27</f>
        <v>7.8979999999999997</v>
      </c>
      <c r="P47" s="39">
        <f>'발전사업(A)'!AP27 + '자가소비(B)'!AP27 + 'PPA 사업(C)'!AP27 + '리스사업(D)'!AP27 + '임대사업(E)'!AP27 + '환경부사업(F)'!AP27 + '프로젝트(G)'!AP27 + '협력사 EPC(H)'!AP27 + '기타(Z)'!AP27 + '협력사 하도(I)'!AP27</f>
        <v>5.92</v>
      </c>
      <c r="Q47" s="39">
        <f>'발전사업(A)'!AQ27 + '자가소비(B)'!AQ27 + 'PPA 사업(C)'!AQ27 + '리스사업(D)'!AQ27 + '임대사업(E)'!AQ27 + '환경부사업(F)'!AQ27 + '프로젝트(G)'!AQ27 + '협력사 EPC(H)'!AQ27 + '기타(Z)'!AQ27 + '협력사 하도(I)'!AQ27</f>
        <v>1.978</v>
      </c>
      <c r="R47" s="39">
        <f>'발전사업(A)'!AR27 + '자가소비(B)'!AR27 + 'PPA 사업(C)'!AR27 + '리스사업(D)'!AR27 + '임대사업(E)'!AR27 + '환경부사업(F)'!AR27 + '프로젝트(G)'!AR27 + '협력사 EPC(H)'!AR27 + '기타(Z)'!AR27 + '협력사 하도(I)'!AR27</f>
        <v>0</v>
      </c>
      <c r="S47" s="130">
        <f>'발전사업(A)'!AS27 + '자가소비(B)'!AS27 + 'PPA 사업(C)'!AS27 + '리스사업(D)'!AS27 + '임대사업(E)'!AS27 + '환경부사업(F)'!AS27 + '프로젝트(G)'!AS27 + '협력사 EPC(H)'!AS27 + '기타(Z)'!AS27 + '협력사 하도(I)'!AS27</f>
        <v>0</v>
      </c>
    </row>
    <row r="48" spans="1:23" x14ac:dyDescent="0.25">
      <c r="A48">
        <v>5</v>
      </c>
      <c r="B48" s="487"/>
      <c r="C48" s="90">
        <v>2</v>
      </c>
      <c r="D48" s="97" t="s">
        <v>223</v>
      </c>
      <c r="E48" s="39">
        <f>'발전사업(A)'!AE28 + '자가소비(B)'!AE28 + 'PPA 사업(C)'!AE28 + '리스사업(D)'!AE28 + '임대사업(E)'!AE28 + '환경부사업(F)'!AE28 + '프로젝트(G)'!AE28 + '협력사 EPC(H)'!AE28 + '기타(Z)'!AE28</f>
        <v>1627.56</v>
      </c>
      <c r="F48" s="39">
        <f>'발전사업(A)'!AF28 + '자가소비(B)'!AF28 + 'PPA 사업(C)'!AF28 + '리스사업(D)'!AF28 + '임대사업(E)'!AF28 + '환경부사업(F)'!AF28 + '프로젝트(G)'!AF28 + '협력사 EPC(H)'!AF28 + '기타(Z)'!AF28</f>
        <v>1180.9949999999999</v>
      </c>
      <c r="G48" s="39">
        <f>'발전사업(A)'!AG28 + '자가소비(B)'!AG28 + 'PPA 사업(C)'!AG28 + '리스사업(D)'!AG28 + '임대사업(E)'!AG28 + '환경부사업(F)'!AG28 + '프로젝트(G)'!AG28 + '협력사 EPC(H)'!AG28 + '기타(Z)'!AG28</f>
        <v>446.565</v>
      </c>
      <c r="H48" s="39">
        <f>'발전사업(A)'!AH28 + '자가소비(B)'!AH28 + 'PPA 사업(C)'!AH28 + '리스사업(D)'!AH28 + '임대사업(E)'!AH28 + '환경부사업(F)'!AH28 + '프로젝트(G)'!AH28 + '협력사 EPC(H)'!AH28 + '기타(Z)'!AH28</f>
        <v>0</v>
      </c>
      <c r="I48" s="125">
        <f>'발전사업(A)'!AI28 + '자가소비(B)'!AI28 + 'PPA 사업(C)'!AI28 + '리스사업(D)'!AI28 + '임대사업(E)'!AI28 + '환경부사업(F)'!AI28 + '프로젝트(G)'!AI28 + '협력사 EPC(H)'!AI28 + '기타(Z)'!AI28</f>
        <v>0</v>
      </c>
      <c r="J48" s="115">
        <f>'발전사업(A)'!AJ28 + '자가소비(B)'!AJ28 + 'PPA 사업(C)'!AJ28 + '리스사업(D)'!AJ28 + '임대사업(E)'!AJ28 + '환경부사업(F)'!AJ28 + '프로젝트(G)'!AJ28 + '협력사 EPC(H)'!AJ28 + '기타(Z)'!AJ28</f>
        <v>7</v>
      </c>
      <c r="K48" s="181">
        <f>'발전사업(A)'!AK28 + '자가소비(B)'!AK28 + 'PPA 사업(C)'!AK28 + '리스사업(D)'!AK28 + '임대사업(E)'!AK28 + '환경부사업(F)'!AK28 + '프로젝트(G)'!AK28 + '협력사 EPC(H)'!AK28 + '기타(Z)'!AK28</f>
        <v>3</v>
      </c>
      <c r="L48" s="181">
        <f>'발전사업(A)'!AL28 + '자가소비(B)'!AL28 + 'PPA 사업(C)'!AL28 + '리스사업(D)'!AL28 + '임대사업(E)'!AL28 + '환경부사업(F)'!AL28 + '프로젝트(G)'!AL28 + '협력사 EPC(H)'!AL28 + '기타(Z)'!AL28</f>
        <v>4</v>
      </c>
      <c r="M48" s="181">
        <f>'발전사업(A)'!AM28 + '자가소비(B)'!AM28 + 'PPA 사업(C)'!AM28 + '리스사업(D)'!AM28 + '임대사업(E)'!AM28 + '환경부사업(F)'!AM28 + '프로젝트(G)'!AM28 + '협력사 EPC(H)'!AM28 + '기타(Z)'!AM28</f>
        <v>0</v>
      </c>
      <c r="N48" s="182">
        <f>'발전사업(A)'!AN28 + '자가소비(B)'!AN28 + 'PPA 사업(C)'!AN28 + '리스사업(D)'!AN28 + '임대사업(E)'!AN28 + '환경부사업(F)'!AN28 + '프로젝트(G)'!AN28 + '협력사 EPC(H)'!AN28 + '기타(Z)'!AN28</f>
        <v>0</v>
      </c>
      <c r="O48" s="39">
        <f>'발전사업(A)'!AO28 + '자가소비(B)'!AO28 + 'PPA 사업(C)'!AO28 + '리스사업(D)'!AO28 + '임대사업(E)'!AO28 + '환경부사업(F)'!AO28 + '프로젝트(G)'!AO28 + '협력사 EPC(H)'!AO28 + '기타(Z)'!AO28 + '협력사 하도(I)'!AO28</f>
        <v>15.55</v>
      </c>
      <c r="P48" s="39">
        <f>'발전사업(A)'!AP28 + '자가소비(B)'!AP28 + 'PPA 사업(C)'!AP28 + '리스사업(D)'!AP28 + '임대사업(E)'!AP28 + '환경부사업(F)'!AP28 + '프로젝트(G)'!AP28 + '협력사 EPC(H)'!AP28 + '기타(Z)'!AP28 + '협력사 하도(I)'!AP28</f>
        <v>11.56</v>
      </c>
      <c r="Q48" s="39">
        <f>'발전사업(A)'!AQ28 + '자가소비(B)'!AQ28 + 'PPA 사업(C)'!AQ28 + '리스사업(D)'!AQ28 + '임대사업(E)'!AQ28 + '환경부사업(F)'!AQ28 + '프로젝트(G)'!AQ28 + '협력사 EPC(H)'!AQ28 + '기타(Z)'!AQ28 + '협력사 하도(I)'!AQ28</f>
        <v>3.99</v>
      </c>
      <c r="R48" s="39">
        <f>'발전사업(A)'!AR28 + '자가소비(B)'!AR28 + 'PPA 사업(C)'!AR28 + '리스사업(D)'!AR28 + '임대사업(E)'!AR28 + '환경부사업(F)'!AR28 + '프로젝트(G)'!AR28 + '협력사 EPC(H)'!AR28 + '기타(Z)'!AR28 + '협력사 하도(I)'!AR28</f>
        <v>0</v>
      </c>
      <c r="S48" s="130">
        <f>'발전사업(A)'!AS28 + '자가소비(B)'!AS28 + 'PPA 사업(C)'!AS28 + '리스사업(D)'!AS28 + '임대사업(E)'!AS28 + '환경부사업(F)'!AS28 + '프로젝트(G)'!AS28 + '협력사 EPC(H)'!AS28 + '기타(Z)'!AS28 + '협력사 하도(I)'!AS28</f>
        <v>0</v>
      </c>
    </row>
    <row r="49" spans="1:19" x14ac:dyDescent="0.25">
      <c r="A49">
        <v>5</v>
      </c>
      <c r="B49" s="487"/>
      <c r="C49" s="90">
        <v>3</v>
      </c>
      <c r="D49" s="97" t="s">
        <v>224</v>
      </c>
      <c r="E49" s="39">
        <f>'발전사업(A)'!AE29 + '자가소비(B)'!AE29 + 'PPA 사업(C)'!AE29 + '리스사업(D)'!AE29 + '임대사업(E)'!AE29 + '환경부사업(F)'!AE29 + '프로젝트(G)'!AE29 + '협력사 EPC(H)'!AE29 + '기타(Z)'!AE29</f>
        <v>1268.7149999999999</v>
      </c>
      <c r="F49" s="39">
        <f>'발전사업(A)'!AF29 + '자가소비(B)'!AF29 + 'PPA 사업(C)'!AF29 + '리스사업(D)'!AF29 + '임대사업(E)'!AF29 + '환경부사업(F)'!AF29 + '프로젝트(G)'!AF29 + '협력사 EPC(H)'!AF29 + '기타(Z)'!AF29</f>
        <v>620.49</v>
      </c>
      <c r="G49" s="39">
        <f>'발전사업(A)'!AG29 + '자가소비(B)'!AG29 + 'PPA 사업(C)'!AG29 + '리스사업(D)'!AG29 + '임대사업(E)'!AG29 + '환경부사업(F)'!AG29 + '프로젝트(G)'!AG29 + '협력사 EPC(H)'!AG29 + '기타(Z)'!AG29</f>
        <v>648.22499999999991</v>
      </c>
      <c r="H49" s="39">
        <f>'발전사업(A)'!AH29 + '자가소비(B)'!AH29 + 'PPA 사업(C)'!AH29 + '리스사업(D)'!AH29 + '임대사업(E)'!AH29 + '환경부사업(F)'!AH29 + '프로젝트(G)'!AH29 + '협력사 EPC(H)'!AH29 + '기타(Z)'!AH29</f>
        <v>0</v>
      </c>
      <c r="I49" s="125">
        <f>'발전사업(A)'!AI29 + '자가소비(B)'!AI29 + 'PPA 사업(C)'!AI29 + '리스사업(D)'!AI29 + '임대사업(E)'!AI29 + '환경부사업(F)'!AI29 + '프로젝트(G)'!AI29 + '협력사 EPC(H)'!AI29 + '기타(Z)'!AI29</f>
        <v>0</v>
      </c>
      <c r="J49" s="115">
        <f>'발전사업(A)'!AJ29 + '자가소비(B)'!AJ29 + 'PPA 사업(C)'!AJ29 + '리스사업(D)'!AJ29 + '임대사업(E)'!AJ29 + '환경부사업(F)'!AJ29 + '프로젝트(G)'!AJ29 + '협력사 EPC(H)'!AJ29 + '기타(Z)'!AJ29</f>
        <v>5</v>
      </c>
      <c r="K49" s="181">
        <f>'발전사업(A)'!AK29 + '자가소비(B)'!AK29 + 'PPA 사업(C)'!AK29 + '리스사업(D)'!AK29 + '임대사업(E)'!AK29 + '환경부사업(F)'!AK29 + '프로젝트(G)'!AK29 + '협력사 EPC(H)'!AK29 + '기타(Z)'!AK29</f>
        <v>2</v>
      </c>
      <c r="L49" s="181">
        <f>'발전사업(A)'!AL29 + '자가소비(B)'!AL29 + 'PPA 사업(C)'!AL29 + '리스사업(D)'!AL29 + '임대사업(E)'!AL29 + '환경부사업(F)'!AL29 + '프로젝트(G)'!AL29 + '협력사 EPC(H)'!AL29 + '기타(Z)'!AL29</f>
        <v>3</v>
      </c>
      <c r="M49" s="181">
        <f>'발전사업(A)'!AM29 + '자가소비(B)'!AM29 + 'PPA 사업(C)'!AM29 + '리스사업(D)'!AM29 + '임대사업(E)'!AM29 + '환경부사업(F)'!AM29 + '프로젝트(G)'!AM29 + '협력사 EPC(H)'!AM29 + '기타(Z)'!AM29</f>
        <v>0</v>
      </c>
      <c r="N49" s="182">
        <f>'발전사업(A)'!AN29 + '자가소비(B)'!AN29 + 'PPA 사업(C)'!AN29 + '리스사업(D)'!AN29 + '임대사업(E)'!AN29 + '환경부사업(F)'!AN29 + '프로젝트(G)'!AN29 + '협력사 EPC(H)'!AN29 + '기타(Z)'!AN29</f>
        <v>0</v>
      </c>
      <c r="O49" s="39">
        <f>'발전사업(A)'!AO29 + '자가소비(B)'!AO29 + 'PPA 사업(C)'!AO29 + '리스사업(D)'!AO29 + '임대사업(E)'!AO29 + '환경부사업(F)'!AO29 + '프로젝트(G)'!AO29 + '협력사 EPC(H)'!AO29 + '기타(Z)'!AO29 + '협력사 하도(I)'!AO29</f>
        <v>12.34</v>
      </c>
      <c r="P49" s="39">
        <f>'발전사업(A)'!AP29 + '자가소비(B)'!AP29 + 'PPA 사업(C)'!AP29 + '리스사업(D)'!AP29 + '임대사업(E)'!AP29 + '환경부사업(F)'!AP29 + '프로젝트(G)'!AP29 + '협력사 EPC(H)'!AP29 + '기타(Z)'!AP29 + '협력사 하도(I)'!AP29</f>
        <v>5.8000000000000007</v>
      </c>
      <c r="Q49" s="39">
        <f>'발전사업(A)'!AQ29 + '자가소비(B)'!AQ29 + 'PPA 사업(C)'!AQ29 + '리스사업(D)'!AQ29 + '임대사업(E)'!AQ29 + '환경부사업(F)'!AQ29 + '프로젝트(G)'!AQ29 + '협력사 EPC(H)'!AQ29 + '기타(Z)'!AQ29 + '협력사 하도(I)'!AQ29</f>
        <v>6.54</v>
      </c>
      <c r="R49" s="39">
        <f>'발전사업(A)'!AR29 + '자가소비(B)'!AR29 + 'PPA 사업(C)'!AR29 + '리스사업(D)'!AR29 + '임대사업(E)'!AR29 + '환경부사업(F)'!AR29 + '프로젝트(G)'!AR29 + '협력사 EPC(H)'!AR29 + '기타(Z)'!AR29 + '협력사 하도(I)'!AR29</f>
        <v>0</v>
      </c>
      <c r="S49" s="130">
        <f>'발전사업(A)'!AS29 + '자가소비(B)'!AS29 + 'PPA 사업(C)'!AS29 + '리스사업(D)'!AS29 + '임대사업(E)'!AS29 + '환경부사업(F)'!AS29 + '프로젝트(G)'!AS29 + '협력사 EPC(H)'!AS29 + '기타(Z)'!AS29 + '협력사 하도(I)'!AS29</f>
        <v>0</v>
      </c>
    </row>
    <row r="50" spans="1:19" x14ac:dyDescent="0.25">
      <c r="A50">
        <v>5</v>
      </c>
      <c r="B50" s="487"/>
      <c r="C50" s="90">
        <v>4</v>
      </c>
      <c r="D50" s="97" t="s">
        <v>225</v>
      </c>
      <c r="E50" s="39">
        <f>'발전사업(A)'!AE30 + '자가소비(B)'!AE30 + 'PPA 사업(C)'!AE30 + '리스사업(D)'!AE30 + '임대사업(E)'!AE30 + '환경부사업(F)'!AE30 + '프로젝트(G)'!AE30 + '협력사 EPC(H)'!AE30 + '기타(Z)'!AE30</f>
        <v>191.565</v>
      </c>
      <c r="F50" s="39">
        <f>'발전사업(A)'!AF30 + '자가소비(B)'!AF30 + 'PPA 사업(C)'!AF30 + '리스사업(D)'!AF30 + '임대사업(E)'!AF30 + '환경부사업(F)'!AF30 + '프로젝트(G)'!AF30 + '협력사 EPC(H)'!AF30 + '기타(Z)'!AF30</f>
        <v>101.91</v>
      </c>
      <c r="G50" s="39">
        <f>'발전사업(A)'!AG30 + '자가소비(B)'!AG30 + 'PPA 사업(C)'!AG30 + '리스사업(D)'!AG30 + '임대사업(E)'!AG30 + '환경부사업(F)'!AG30 + '프로젝트(G)'!AG30 + '협력사 EPC(H)'!AG30 + '기타(Z)'!AG30</f>
        <v>89.655000000000001</v>
      </c>
      <c r="H50" s="39">
        <f>'발전사업(A)'!AH30 + '자가소비(B)'!AH30 + 'PPA 사업(C)'!AH30 + '리스사업(D)'!AH30 + '임대사업(E)'!AH30 + '환경부사업(F)'!AH30 + '프로젝트(G)'!AH30 + '협력사 EPC(H)'!AH30 + '기타(Z)'!AH30</f>
        <v>0</v>
      </c>
      <c r="I50" s="125">
        <f>'발전사업(A)'!AI30 + '자가소비(B)'!AI30 + 'PPA 사업(C)'!AI30 + '리스사업(D)'!AI30 + '임대사업(E)'!AI30 + '환경부사업(F)'!AI30 + '프로젝트(G)'!AI30 + '협력사 EPC(H)'!AI30 + '기타(Z)'!AI30</f>
        <v>0</v>
      </c>
      <c r="J50" s="115">
        <f>'발전사업(A)'!AJ30 + '자가소비(B)'!AJ30 + 'PPA 사업(C)'!AJ30 + '리스사업(D)'!AJ30 + '임대사업(E)'!AJ30 + '환경부사업(F)'!AJ30 + '프로젝트(G)'!AJ30 + '협력사 EPC(H)'!AJ30 + '기타(Z)'!AJ30</f>
        <v>2</v>
      </c>
      <c r="K50" s="181">
        <f>'발전사업(A)'!AK30 + '자가소비(B)'!AK30 + 'PPA 사업(C)'!AK30 + '리스사업(D)'!AK30 + '임대사업(E)'!AK30 + '환경부사업(F)'!AK30 + '프로젝트(G)'!AK30 + '협력사 EPC(H)'!AK30 + '기타(Z)'!AK30</f>
        <v>1</v>
      </c>
      <c r="L50" s="181">
        <f>'발전사업(A)'!AL30 + '자가소비(B)'!AL30 + 'PPA 사업(C)'!AL30 + '리스사업(D)'!AL30 + '임대사업(E)'!AL30 + '환경부사업(F)'!AL30 + '프로젝트(G)'!AL30 + '협력사 EPC(H)'!AL30 + '기타(Z)'!AL30</f>
        <v>1</v>
      </c>
      <c r="M50" s="181">
        <f>'발전사업(A)'!AM30 + '자가소비(B)'!AM30 + 'PPA 사업(C)'!AM30 + '리스사업(D)'!AM30 + '임대사업(E)'!AM30 + '환경부사업(F)'!AM30 + '프로젝트(G)'!AM30 + '협력사 EPC(H)'!AM30 + '기타(Z)'!AM30</f>
        <v>0</v>
      </c>
      <c r="N50" s="182">
        <f>'발전사업(A)'!AN30 + '자가소비(B)'!AN30 + 'PPA 사업(C)'!AN30 + '리스사업(D)'!AN30 + '임대사업(E)'!AN30 + '환경부사업(F)'!AN30 + '프로젝트(G)'!AN30 + '협력사 EPC(H)'!AN30 + '기타(Z)'!AN30</f>
        <v>0</v>
      </c>
      <c r="O50" s="39">
        <f>'발전사업(A)'!AO30 + '자가소비(B)'!AO30 + 'PPA 사업(C)'!AO30 + '리스사업(D)'!AO30 + '임대사업(E)'!AO30 + '환경부사업(F)'!AO30 + '프로젝트(G)'!AO30 + '협력사 EPC(H)'!AO30 + '기타(Z)'!AO30 + '협력사 하도(I)'!AO30</f>
        <v>2.08</v>
      </c>
      <c r="P50" s="39">
        <f>'발전사업(A)'!AP30 + '자가소비(B)'!AP30 + 'PPA 사업(C)'!AP30 + '리스사업(D)'!AP30 + '임대사업(E)'!AP30 + '환경부사업(F)'!AP30 + '프로젝트(G)'!AP30 + '협력사 EPC(H)'!AP30 + '기타(Z)'!AP30 + '협력사 하도(I)'!AP30</f>
        <v>0.99</v>
      </c>
      <c r="Q50" s="39">
        <f>'발전사업(A)'!AQ30 + '자가소비(B)'!AQ30 + 'PPA 사업(C)'!AQ30 + '리스사업(D)'!AQ30 + '임대사업(E)'!AQ30 + '환경부사업(F)'!AQ30 + '프로젝트(G)'!AQ30 + '협력사 EPC(H)'!AQ30 + '기타(Z)'!AQ30 + '협력사 하도(I)'!AQ30</f>
        <v>1.0900000000000001</v>
      </c>
      <c r="R50" s="39">
        <f>'발전사업(A)'!AR30 + '자가소비(B)'!AR30 + 'PPA 사업(C)'!AR30 + '리스사업(D)'!AR30 + '임대사업(E)'!AR30 + '환경부사업(F)'!AR30 + '프로젝트(G)'!AR30 + '협력사 EPC(H)'!AR30 + '기타(Z)'!AR30 + '협력사 하도(I)'!AR30</f>
        <v>0</v>
      </c>
      <c r="S50" s="130">
        <f>'발전사업(A)'!AS30 + '자가소비(B)'!AS30 + 'PPA 사업(C)'!AS30 + '리스사업(D)'!AS30 + '임대사업(E)'!AS30 + '환경부사업(F)'!AS30 + '프로젝트(G)'!AS30 + '협력사 EPC(H)'!AS30 + '기타(Z)'!AS30 + '협력사 하도(I)'!AS30</f>
        <v>0</v>
      </c>
    </row>
    <row r="51" spans="1:19" x14ac:dyDescent="0.25">
      <c r="A51">
        <v>5</v>
      </c>
      <c r="B51" s="487"/>
      <c r="C51" s="91">
        <v>5</v>
      </c>
      <c r="D51" s="97"/>
      <c r="E51" s="39">
        <f>'발전사업(A)'!AE31 + '자가소비(B)'!AE31 + 'PPA 사업(C)'!AE31 + '리스사업(D)'!AE31 + '임대사업(E)'!AE31 + '환경부사업(F)'!AE31 + '프로젝트(G)'!AE31 + '협력사 EPC(H)'!AE31 + '기타(Z)'!AE31</f>
        <v>0</v>
      </c>
      <c r="F51" s="39">
        <f>'발전사업(A)'!AF31 + '자가소비(B)'!AF31 + 'PPA 사업(C)'!AF31 + '리스사업(D)'!AF31 + '임대사업(E)'!AF31 + '환경부사업(F)'!AF31 + '프로젝트(G)'!AF31 + '협력사 EPC(H)'!AF31 + '기타(Z)'!AF31</f>
        <v>0</v>
      </c>
      <c r="G51" s="39">
        <f>'발전사업(A)'!AG31 + '자가소비(B)'!AG31 + 'PPA 사업(C)'!AG31 + '리스사업(D)'!AG31 + '임대사업(E)'!AG31 + '환경부사업(F)'!AG31 + '프로젝트(G)'!AG31 + '협력사 EPC(H)'!AG31 + '기타(Z)'!AG31</f>
        <v>0</v>
      </c>
      <c r="H51" s="39">
        <f>'발전사업(A)'!AH31 + '자가소비(B)'!AH31 + 'PPA 사업(C)'!AH31 + '리스사업(D)'!AH31 + '임대사업(E)'!AH31 + '환경부사업(F)'!AH31 + '프로젝트(G)'!AH31 + '협력사 EPC(H)'!AH31 + '기타(Z)'!AH31</f>
        <v>0</v>
      </c>
      <c r="I51" s="125">
        <f>'발전사업(A)'!AI31 + '자가소비(B)'!AI31 + 'PPA 사업(C)'!AI31 + '리스사업(D)'!AI31 + '임대사업(E)'!AI31 + '환경부사업(F)'!AI31 + '프로젝트(G)'!AI31 + '협력사 EPC(H)'!AI31 + '기타(Z)'!AI31</f>
        <v>0</v>
      </c>
      <c r="J51" s="115">
        <f>'발전사업(A)'!AJ31 + '자가소비(B)'!AJ31 + 'PPA 사업(C)'!AJ31 + '리스사업(D)'!AJ31 + '임대사업(E)'!AJ31 + '환경부사업(F)'!AJ31 + '프로젝트(G)'!AJ31 + '협력사 EPC(H)'!AJ31 + '기타(Z)'!AJ31</f>
        <v>0</v>
      </c>
      <c r="K51" s="181">
        <f>'발전사업(A)'!AK31 + '자가소비(B)'!AK31 + 'PPA 사업(C)'!AK31 + '리스사업(D)'!AK31 + '임대사업(E)'!AK31 + '환경부사업(F)'!AK31 + '프로젝트(G)'!AK31 + '협력사 EPC(H)'!AK31 + '기타(Z)'!AK31</f>
        <v>0</v>
      </c>
      <c r="L51" s="181">
        <f>'발전사업(A)'!AL31 + '자가소비(B)'!AL31 + 'PPA 사업(C)'!AL31 + '리스사업(D)'!AL31 + '임대사업(E)'!AL31 + '환경부사업(F)'!AL31 + '프로젝트(G)'!AL31 + '협력사 EPC(H)'!AL31 + '기타(Z)'!AL31</f>
        <v>0</v>
      </c>
      <c r="M51" s="181">
        <f>'발전사업(A)'!AM31 + '자가소비(B)'!AM31 + 'PPA 사업(C)'!AM31 + '리스사업(D)'!AM31 + '임대사업(E)'!AM31 + '환경부사업(F)'!AM31 + '프로젝트(G)'!AM31 + '협력사 EPC(H)'!AM31 + '기타(Z)'!AM31</f>
        <v>0</v>
      </c>
      <c r="N51" s="182">
        <f>'발전사업(A)'!AN31 + '자가소비(B)'!AN31 + 'PPA 사업(C)'!AN31 + '리스사업(D)'!AN31 + '임대사업(E)'!AN31 + '환경부사업(F)'!AN31 + '프로젝트(G)'!AN31 + '협력사 EPC(H)'!AN31 + '기타(Z)'!AN31</f>
        <v>0</v>
      </c>
      <c r="O51" s="39">
        <f>'발전사업(A)'!AO31 + '자가소비(B)'!AO31 + 'PPA 사업(C)'!AO31 + '리스사업(D)'!AO31 + '임대사업(E)'!AO31 + '환경부사업(F)'!AO31 + '프로젝트(G)'!AO31 + '협력사 EPC(H)'!AO31 + '기타(Z)'!AO31 + '협력사 하도(I)'!AO31</f>
        <v>0</v>
      </c>
      <c r="P51" s="39">
        <f>'발전사업(A)'!AP31 + '자가소비(B)'!AP31 + 'PPA 사업(C)'!AP31 + '리스사업(D)'!AP31 + '임대사업(E)'!AP31 + '환경부사업(F)'!AP31 + '프로젝트(G)'!AP31 + '협력사 EPC(H)'!AP31 + '기타(Z)'!AP31 + '협력사 하도(I)'!AP31</f>
        <v>0</v>
      </c>
      <c r="Q51" s="39">
        <f>'발전사업(A)'!AQ31 + '자가소비(B)'!AQ31 + 'PPA 사업(C)'!AQ31 + '리스사업(D)'!AQ31 + '임대사업(E)'!AQ31 + '환경부사업(F)'!AQ31 + '프로젝트(G)'!AQ31 + '협력사 EPC(H)'!AQ31 + '기타(Z)'!AQ31 + '협력사 하도(I)'!AQ31</f>
        <v>0</v>
      </c>
      <c r="R51" s="39">
        <f>'발전사업(A)'!AR31 + '자가소비(B)'!AR31 + 'PPA 사업(C)'!AR31 + '리스사업(D)'!AR31 + '임대사업(E)'!AR31 + '환경부사업(F)'!AR31 + '프로젝트(G)'!AR31 + '협력사 EPC(H)'!AR31 + '기타(Z)'!AR31 + '협력사 하도(I)'!AR31</f>
        <v>0</v>
      </c>
      <c r="S51" s="130">
        <f>'발전사업(A)'!AS31 + '자가소비(B)'!AS31 + 'PPA 사업(C)'!AS31 + '리스사업(D)'!AS31 + '임대사업(E)'!AS31 + '환경부사업(F)'!AS31 + '프로젝트(G)'!AS31 + '협력사 EPC(H)'!AS31 + '기타(Z)'!AS31 + '협력사 하도(I)'!AS31</f>
        <v>0</v>
      </c>
    </row>
    <row r="52" spans="1:19" ht="14.25" thickBot="1" x14ac:dyDescent="0.3">
      <c r="A52">
        <v>5</v>
      </c>
      <c r="B52" s="488"/>
      <c r="C52" s="92" t="s">
        <v>3</v>
      </c>
      <c r="D52" s="98"/>
      <c r="E52" s="134">
        <f>'발전사업(A)'!AE32 + '자가소비(B)'!AE32 + 'PPA 사업(C)'!AE32 + '리스사업(D)'!AE32 + '임대사업(E)'!AE32 + '환경부사업(F)'!AE32 + '프로젝트(G)'!AE32 + '협력사 EPC(H)'!AE32 + '기타(Z)'!AE32</f>
        <v>3923.1150000000002</v>
      </c>
      <c r="F52" s="134">
        <f>'발전사업(A)'!AF32 + '자가소비(B)'!AF32 + 'PPA 사업(C)'!AF32 + '리스사업(D)'!AF32 + '임대사업(E)'!AF32 + '환경부사업(F)'!AF32 + '프로젝트(G)'!AF32 + '협력사 EPC(H)'!AF32 + '기타(Z)'!AF32</f>
        <v>2556.1349999999998</v>
      </c>
      <c r="G52" s="134">
        <f>'발전사업(A)'!AG32 + '자가소비(B)'!AG32 + 'PPA 사업(C)'!AG32 + '리스사업(D)'!AG32 + '임대사업(E)'!AG32 + '환경부사업(F)'!AG32 + '프로젝트(G)'!AG32 + '협력사 EPC(H)'!AG32 + '기타(Z)'!AG32</f>
        <v>1366.98</v>
      </c>
      <c r="H52" s="134">
        <f>'발전사업(A)'!AH32 + '자가소비(B)'!AH32 + 'PPA 사업(C)'!AH32 + '리스사업(D)'!AH32 + '임대사업(E)'!AH32 + '환경부사업(F)'!AH32 + '프로젝트(G)'!AH32 + '협력사 EPC(H)'!AH32 + '기타(Z)'!AH32</f>
        <v>0</v>
      </c>
      <c r="I52" s="135">
        <f>'발전사업(A)'!AI32 + '자가소비(B)'!AI32 + 'PPA 사업(C)'!AI32 + '리스사업(D)'!AI32 + '임대사업(E)'!AI32 + '환경부사업(F)'!AI32 + '프로젝트(G)'!AI32 + '협력사 EPC(H)'!AI32 + '기타(Z)'!AI32</f>
        <v>0</v>
      </c>
      <c r="J52" s="183">
        <f>'발전사업(A)'!AJ32 + '자가소비(B)'!AJ32 + 'PPA 사업(C)'!AJ32 + '리스사업(D)'!AJ32 + '임대사업(E)'!AJ32 + '환경부사업(F)'!AJ32 + '프로젝트(G)'!AJ32 + '협력사 EPC(H)'!AJ32 + '기타(Z)'!AJ32</f>
        <v>18</v>
      </c>
      <c r="K52" s="184">
        <f>'발전사업(A)'!AK32 + '자가소비(B)'!AK32 + 'PPA 사업(C)'!AK32 + '리스사업(D)'!AK32 + '임대사업(E)'!AK32 + '환경부사업(F)'!AK32 + '프로젝트(G)'!AK32 + '협력사 EPC(H)'!AK32 + '기타(Z)'!AK32</f>
        <v>8</v>
      </c>
      <c r="L52" s="184">
        <f>'발전사업(A)'!AL32 + '자가소비(B)'!AL32 + 'PPA 사업(C)'!AL32 + '리스사업(D)'!AL32 + '임대사업(E)'!AL32 + '환경부사업(F)'!AL32 + '프로젝트(G)'!AL32 + '협력사 EPC(H)'!AL32 + '기타(Z)'!AL32</f>
        <v>10</v>
      </c>
      <c r="M52" s="184">
        <f>'발전사업(A)'!AM32 + '자가소비(B)'!AM32 + 'PPA 사업(C)'!AM32 + '리스사업(D)'!AM32 + '임대사업(E)'!AM32 + '환경부사업(F)'!AM32 + '프로젝트(G)'!AM32 + '협력사 EPC(H)'!AM32 + '기타(Z)'!AM32</f>
        <v>0</v>
      </c>
      <c r="N52" s="185">
        <f>'발전사업(A)'!AN32 + '자가소비(B)'!AN32 + 'PPA 사업(C)'!AN32 + '리스사업(D)'!AN32 + '임대사업(E)'!AN32 + '환경부사업(F)'!AN32 + '프로젝트(G)'!AN32 + '협력사 EPC(H)'!AN32 + '기타(Z)'!AN32</f>
        <v>0</v>
      </c>
      <c r="O52" s="134">
        <f>'발전사업(A)'!AO32 + '자가소비(B)'!AO32 + 'PPA 사업(C)'!AO32 + '리스사업(D)'!AO32 + '임대사업(E)'!AO32 + '환경부사업(F)'!AO32 + '프로젝트(G)'!AO32 + '협력사 EPC(H)'!AO32 + '기타(Z)'!AO32 + '협력사 하도(I)'!AO32</f>
        <v>37.867999999999995</v>
      </c>
      <c r="P52" s="134">
        <f>'발전사업(A)'!AP32 + '자가소비(B)'!AP32 + 'PPA 사업(C)'!AP32 + '리스사업(D)'!AP32 + '임대사업(E)'!AP32 + '환경부사업(F)'!AP32 + '프로젝트(G)'!AP32 + '협력사 EPC(H)'!AP32 + '기타(Z)'!AP32 + '협력사 하도(I)'!AP32</f>
        <v>24.27</v>
      </c>
      <c r="Q52" s="134">
        <f>'발전사업(A)'!AQ32 + '자가소비(B)'!AQ32 + 'PPA 사업(C)'!AQ32 + '리스사업(D)'!AQ32 + '임대사업(E)'!AQ32 + '환경부사업(F)'!AQ32 + '프로젝트(G)'!AQ32 + '협력사 EPC(H)'!AQ32 + '기타(Z)'!AQ32 + '협력사 하도(I)'!AQ32</f>
        <v>13.597999999999999</v>
      </c>
      <c r="R52" s="134">
        <f>'발전사업(A)'!AR32 + '자가소비(B)'!AR32 + 'PPA 사업(C)'!AR32 + '리스사업(D)'!AR32 + '임대사업(E)'!AR32 + '환경부사업(F)'!AR32 + '프로젝트(G)'!AR32 + '협력사 EPC(H)'!AR32 + '기타(Z)'!AR32 + '협력사 하도(I)'!AR32</f>
        <v>0</v>
      </c>
      <c r="S52" s="136">
        <f>'발전사업(A)'!AS32 + '자가소비(B)'!AS32 + 'PPA 사업(C)'!AS32 + '리스사업(D)'!AS32 + '임대사업(E)'!AS32 + '환경부사업(F)'!AS32 + '프로젝트(G)'!AS32 + '협력사 EPC(H)'!AS32 + '기타(Z)'!AS32 + '협력사 하도(I)'!AS32</f>
        <v>0</v>
      </c>
    </row>
    <row r="53" spans="1:19" x14ac:dyDescent="0.25">
      <c r="A53">
        <v>6</v>
      </c>
      <c r="B53" s="486">
        <v>6</v>
      </c>
      <c r="C53" s="89">
        <v>1</v>
      </c>
      <c r="D53" s="95" t="s">
        <v>229</v>
      </c>
      <c r="E53" s="137">
        <f>'발전사업(A)'!AE33 + '자가소비(B)'!AE33 + 'PPA 사업(C)'!AE33 + '리스사업(D)'!AE33 + '임대사업(E)'!AE33 + '환경부사업(F)'!AE33 + '프로젝트(G)'!AE33 + '협력사 EPC(H)'!AE33 + '기타(Z)'!AE33</f>
        <v>2373.6000000000004</v>
      </c>
      <c r="F53" s="138">
        <f>'발전사업(A)'!AF33 + '자가소비(B)'!AF33 + 'PPA 사업(C)'!AF33 + '리스사업(D)'!AF33 + '임대사업(E)'!AF33 + '환경부사업(F)'!AF33 + '프로젝트(G)'!AF33 + '협력사 EPC(H)'!AF33 + '기타(Z)'!AF33</f>
        <v>1835.0250000000001</v>
      </c>
      <c r="G53" s="138">
        <f>'발전사업(A)'!AG33 + '자가소비(B)'!AG33 + 'PPA 사업(C)'!AG33 + '리스사업(D)'!AG33 + '임대사업(E)'!AG33 + '환경부사업(F)'!AG33 + '프로젝트(G)'!AG33 + '협력사 EPC(H)'!AG33 + '기타(Z)'!AG33</f>
        <v>538.57500000000005</v>
      </c>
      <c r="H53" s="138">
        <f>'발전사업(A)'!AH33 + '자가소비(B)'!AH33 + 'PPA 사업(C)'!AH33 + '리스사업(D)'!AH33 + '임대사업(E)'!AH33 + '환경부사업(F)'!AH33 + '프로젝트(G)'!AH33 + '협력사 EPC(H)'!AH33 + '기타(Z)'!AH33</f>
        <v>0</v>
      </c>
      <c r="I53" s="139">
        <f>'발전사업(A)'!AI33 + '자가소비(B)'!AI33 + 'PPA 사업(C)'!AI33 + '리스사업(D)'!AI33 + '임대사업(E)'!AI33 + '환경부사업(F)'!AI33 + '프로젝트(G)'!AI33 + '협력사 EPC(H)'!AI33 + '기타(Z)'!AI33</f>
        <v>0</v>
      </c>
      <c r="J53" s="186">
        <f>'발전사업(A)'!AJ33 + '자가소비(B)'!AJ33 + 'PPA 사업(C)'!AJ33 + '리스사업(D)'!AJ33 + '임대사업(E)'!AJ33 + '환경부사업(F)'!AJ33 + '프로젝트(G)'!AJ33 + '협력사 EPC(H)'!AJ33 + '기타(Z)'!AJ33</f>
        <v>9</v>
      </c>
      <c r="K53" s="187">
        <f>'발전사업(A)'!AK33 + '자가소비(B)'!AK33 + 'PPA 사업(C)'!AK33 + '리스사업(D)'!AK33 + '임대사업(E)'!AK33 + '환경부사업(F)'!AK33 + '프로젝트(G)'!AK33 + '협력사 EPC(H)'!AK33 + '기타(Z)'!AK33</f>
        <v>7</v>
      </c>
      <c r="L53" s="187">
        <f>'발전사업(A)'!AL33 + '자가소비(B)'!AL33 + 'PPA 사업(C)'!AL33 + '리스사업(D)'!AL33 + '임대사업(E)'!AL33 + '환경부사업(F)'!AL33 + '프로젝트(G)'!AL33 + '협력사 EPC(H)'!AL33 + '기타(Z)'!AL33</f>
        <v>2</v>
      </c>
      <c r="M53" s="187">
        <f>'발전사업(A)'!AM33 + '자가소비(B)'!AM33 + 'PPA 사업(C)'!AM33 + '리스사업(D)'!AM33 + '임대사업(E)'!AM33 + '환경부사업(F)'!AM33 + '프로젝트(G)'!AM33 + '협력사 EPC(H)'!AM33 + '기타(Z)'!AM33</f>
        <v>0</v>
      </c>
      <c r="N53" s="188">
        <f>'발전사업(A)'!AN33 + '자가소비(B)'!AN33 + 'PPA 사업(C)'!AN33 + '리스사업(D)'!AN33 + '임대사업(E)'!AN33 + '환경부사업(F)'!AN33 + '프로젝트(G)'!AN33 + '협력사 EPC(H)'!AN33 + '기타(Z)'!AN33</f>
        <v>0</v>
      </c>
      <c r="O53" s="138">
        <f>'발전사업(A)'!AO33 + '자가소비(B)'!AO33 + 'PPA 사업(C)'!AO33 + '리스사업(D)'!AO33 + '임대사업(E)'!AO33 + '환경부사업(F)'!AO33 + '프로젝트(G)'!AO33 + '협력사 EPC(H)'!AO33 + '기타(Z)'!AO33 + '협력사 하도(I)'!AO33</f>
        <v>23.000000000000004</v>
      </c>
      <c r="P53" s="138">
        <f>'발전사업(A)'!AP33 + '자가소비(B)'!AP33 + 'PPA 사업(C)'!AP33 + '리스사업(D)'!AP33 + '임대사업(E)'!AP33 + '환경부사업(F)'!AP33 + '프로젝트(G)'!AP33 + '협력사 EPC(H)'!AP33 + '기타(Z)'!AP33 + '협력사 하도(I)'!AP33</f>
        <v>17.610000000000003</v>
      </c>
      <c r="Q53" s="138">
        <f>'발전사업(A)'!AQ33 + '자가소비(B)'!AQ33 + 'PPA 사업(C)'!AQ33 + '리스사업(D)'!AQ33 + '임대사업(E)'!AQ33 + '환경부사업(F)'!AQ33 + '프로젝트(G)'!AQ33 + '협력사 EPC(H)'!AQ33 + '기타(Z)'!AQ33 + '협력사 하도(I)'!AQ33</f>
        <v>5.3900000000000006</v>
      </c>
      <c r="R53" s="138">
        <f>'발전사업(A)'!AR33 + '자가소비(B)'!AR33 + 'PPA 사업(C)'!AR33 + '리스사업(D)'!AR33 + '임대사업(E)'!AR33 + '환경부사업(F)'!AR33 + '프로젝트(G)'!AR33 + '협력사 EPC(H)'!AR33 + '기타(Z)'!AR33 + '협력사 하도(I)'!AR33</f>
        <v>0</v>
      </c>
      <c r="S53" s="140">
        <f>'발전사업(A)'!AS33 + '자가소비(B)'!AS33 + 'PPA 사업(C)'!AS33 + '리스사업(D)'!AS33 + '임대사업(E)'!AS33 + '환경부사업(F)'!AS33 + '프로젝트(G)'!AS33 + '협력사 EPC(H)'!AS33 + '기타(Z)'!AS33 + '협력사 하도(I)'!AS33</f>
        <v>0</v>
      </c>
    </row>
    <row r="54" spans="1:19" x14ac:dyDescent="0.25">
      <c r="A54">
        <v>6</v>
      </c>
      <c r="B54" s="487"/>
      <c r="C54" s="90">
        <v>2</v>
      </c>
      <c r="D54" s="97" t="s">
        <v>226</v>
      </c>
      <c r="E54" s="129">
        <f>'발전사업(A)'!AE34 + '자가소비(B)'!AE34 + 'PPA 사업(C)'!AE34 + '리스사업(D)'!AE34 + '임대사업(E)'!AE34 + '환경부사업(F)'!AE34 + '프로젝트(G)'!AE34 + '협력사 EPC(H)'!AE34 + '기타(Z)'!AE34</f>
        <v>2366.5050000000001</v>
      </c>
      <c r="F54" s="39">
        <f>'발전사업(A)'!AF34 + '자가소비(B)'!AF34 + 'PPA 사업(C)'!AF34 + '리스사업(D)'!AF34 + '임대사업(E)'!AF34 + '환경부사업(F)'!AF34 + '프로젝트(G)'!AF34 + '협력사 EPC(H)'!AF34 + '기타(Z)'!AF34</f>
        <v>1926.615</v>
      </c>
      <c r="G54" s="39">
        <f>'발전사업(A)'!AG34 + '자가소비(B)'!AG34 + 'PPA 사업(C)'!AG34 + '리스사업(D)'!AG34 + '임대사업(E)'!AG34 + '환경부사업(F)'!AG34 + '프로젝트(G)'!AG34 + '협력사 EPC(H)'!AG34 + '기타(Z)'!AG34</f>
        <v>439.89</v>
      </c>
      <c r="H54" s="39">
        <f>'발전사업(A)'!AH34 + '자가소비(B)'!AH34 + 'PPA 사업(C)'!AH34 + '리스사업(D)'!AH34 + '임대사업(E)'!AH34 + '환경부사업(F)'!AH34 + '프로젝트(G)'!AH34 + '협력사 EPC(H)'!AH34 + '기타(Z)'!AH34</f>
        <v>0</v>
      </c>
      <c r="I54" s="125">
        <f>'발전사업(A)'!AI34 + '자가소비(B)'!AI34 + 'PPA 사업(C)'!AI34 + '리스사업(D)'!AI34 + '임대사업(E)'!AI34 + '환경부사업(F)'!AI34 + '프로젝트(G)'!AI34 + '협력사 EPC(H)'!AI34 + '기타(Z)'!AI34</f>
        <v>0</v>
      </c>
      <c r="J54" s="115">
        <f>'발전사업(A)'!AJ34 + '자가소비(B)'!AJ34 + 'PPA 사업(C)'!AJ34 + '리스사업(D)'!AJ34 + '임대사업(E)'!AJ34 + '환경부사업(F)'!AJ34 + '프로젝트(G)'!AJ34 + '협력사 EPC(H)'!AJ34 + '기타(Z)'!AJ34</f>
        <v>9</v>
      </c>
      <c r="K54" s="181">
        <f>'발전사업(A)'!AK34 + '자가소비(B)'!AK34 + 'PPA 사업(C)'!AK34 + '리스사업(D)'!AK34 + '임대사업(E)'!AK34 + '환경부사업(F)'!AK34 + '프로젝트(G)'!AK34 + '협력사 EPC(H)'!AK34 + '기타(Z)'!AK34</f>
        <v>7</v>
      </c>
      <c r="L54" s="181">
        <f>'발전사업(A)'!AL34 + '자가소비(B)'!AL34 + 'PPA 사업(C)'!AL34 + '리스사업(D)'!AL34 + '임대사업(E)'!AL34 + '환경부사업(F)'!AL34 + '프로젝트(G)'!AL34 + '협력사 EPC(H)'!AL34 + '기타(Z)'!AL34</f>
        <v>2</v>
      </c>
      <c r="M54" s="181">
        <f>'발전사업(A)'!AM34 + '자가소비(B)'!AM34 + 'PPA 사업(C)'!AM34 + '리스사업(D)'!AM34 + '임대사업(E)'!AM34 + '환경부사업(F)'!AM34 + '프로젝트(G)'!AM34 + '협력사 EPC(H)'!AM34 + '기타(Z)'!AM34</f>
        <v>0</v>
      </c>
      <c r="N54" s="182">
        <f>'발전사업(A)'!AN34 + '자가소비(B)'!AN34 + 'PPA 사업(C)'!AN34 + '리스사업(D)'!AN34 + '임대사업(E)'!AN34 + '환경부사업(F)'!AN34 + '프로젝트(G)'!AN34 + '협력사 EPC(H)'!AN34 + '기타(Z)'!AN34</f>
        <v>0</v>
      </c>
      <c r="O54" s="39">
        <f>'발전사업(A)'!AO34 + '자가소비(B)'!AO34 + 'PPA 사업(C)'!AO34 + '리스사업(D)'!AO34 + '임대사업(E)'!AO34 + '환경부사업(F)'!AO34 + '프로젝트(G)'!AO34 + '협력사 EPC(H)'!AO34 + '기타(Z)'!AO34 + '협력사 하도(I)'!AO34</f>
        <v>20.52</v>
      </c>
      <c r="P54" s="39">
        <f>'발전사업(A)'!AP34 + '자가소비(B)'!AP34 + 'PPA 사업(C)'!AP34 + '리스사업(D)'!AP34 + '임대사업(E)'!AP34 + '환경부사업(F)'!AP34 + '프로젝트(G)'!AP34 + '협력사 EPC(H)'!AP34 + '기타(Z)'!AP34 + '협력사 하도(I)'!AP34</f>
        <v>16.13</v>
      </c>
      <c r="Q54" s="39">
        <f>'발전사업(A)'!AQ34 + '자가소비(B)'!AQ34 + 'PPA 사업(C)'!AQ34 + '리스사업(D)'!AQ34 + '임대사업(E)'!AQ34 + '환경부사업(F)'!AQ34 + '프로젝트(G)'!AQ34 + '협력사 EPC(H)'!AQ34 + '기타(Z)'!AQ34 + '협력사 하도(I)'!AQ34</f>
        <v>4.3900000000000006</v>
      </c>
      <c r="R54" s="39">
        <f>'발전사업(A)'!AR34 + '자가소비(B)'!AR34 + 'PPA 사업(C)'!AR34 + '리스사업(D)'!AR34 + '임대사업(E)'!AR34 + '환경부사업(F)'!AR34 + '프로젝트(G)'!AR34 + '협력사 EPC(H)'!AR34 + '기타(Z)'!AR34 + '협력사 하도(I)'!AR34</f>
        <v>0</v>
      </c>
      <c r="S54" s="130">
        <f>'발전사업(A)'!AS34 + '자가소비(B)'!AS34 + 'PPA 사업(C)'!AS34 + '리스사업(D)'!AS34 + '임대사업(E)'!AS34 + '환경부사업(F)'!AS34 + '프로젝트(G)'!AS34 + '협력사 EPC(H)'!AS34 + '기타(Z)'!AS34 + '협력사 하도(I)'!AS34</f>
        <v>0</v>
      </c>
    </row>
    <row r="55" spans="1:19" x14ac:dyDescent="0.25">
      <c r="A55">
        <v>6</v>
      </c>
      <c r="B55" s="487"/>
      <c r="C55" s="90">
        <v>3</v>
      </c>
      <c r="D55" s="97" t="s">
        <v>227</v>
      </c>
      <c r="E55" s="129">
        <f>'발전사업(A)'!AE35 + '자가소비(B)'!AE35 + 'PPA 사업(C)'!AE35 + '리스사업(D)'!AE35 + '임대사업(E)'!AE35 + '환경부사업(F)'!AE35 + '프로젝트(G)'!AE35 + '협력사 EPC(H)'!AE35 + '기타(Z)'!AE35</f>
        <v>608.23500000000001</v>
      </c>
      <c r="F55" s="39">
        <f>'발전사업(A)'!AF35 + '자가소비(B)'!AF35 + 'PPA 사업(C)'!AF35 + '리스사업(D)'!AF35 + '임대사업(E)'!AF35 + '환경부사업(F)'!AF35 + '프로젝트(G)'!AF35 + '협력사 EPC(H)'!AF35 + '기타(Z)'!AF35</f>
        <v>453.43500000000006</v>
      </c>
      <c r="G55" s="39">
        <f>'발전사업(A)'!AG35 + '자가소비(B)'!AG35 + 'PPA 사업(C)'!AG35 + '리스사업(D)'!AG35 + '임대사업(E)'!AG35 + '환경부사업(F)'!AG35 + '프로젝트(G)'!AG35 + '협력사 EPC(H)'!AG35 + '기타(Z)'!AG35</f>
        <v>154.80000000000001</v>
      </c>
      <c r="H55" s="39">
        <f>'발전사업(A)'!AH35 + '자가소비(B)'!AH35 + 'PPA 사업(C)'!AH35 + '리스사업(D)'!AH35 + '임대사업(E)'!AH35 + '환경부사업(F)'!AH35 + '프로젝트(G)'!AH35 + '협력사 EPC(H)'!AH35 + '기타(Z)'!AH35</f>
        <v>0</v>
      </c>
      <c r="I55" s="125">
        <f>'발전사업(A)'!AI35 + '자가소비(B)'!AI35 + 'PPA 사업(C)'!AI35 + '리스사업(D)'!AI35 + '임대사업(E)'!AI35 + '환경부사업(F)'!AI35 + '프로젝트(G)'!AI35 + '협력사 EPC(H)'!AI35 + '기타(Z)'!AI35</f>
        <v>0</v>
      </c>
      <c r="J55" s="115">
        <f>'발전사업(A)'!AJ35 + '자가소비(B)'!AJ35 + 'PPA 사업(C)'!AJ35 + '리스사업(D)'!AJ35 + '임대사업(E)'!AJ35 + '환경부사업(F)'!AJ35 + '프로젝트(G)'!AJ35 + '협력사 EPC(H)'!AJ35 + '기타(Z)'!AJ35</f>
        <v>4</v>
      </c>
      <c r="K55" s="181">
        <f>'발전사업(A)'!AK35 + '자가소비(B)'!AK35 + 'PPA 사업(C)'!AK35 + '리스사업(D)'!AK35 + '임대사업(E)'!AK35 + '환경부사업(F)'!AK35 + '프로젝트(G)'!AK35 + '협력사 EPC(H)'!AK35 + '기타(Z)'!AK35</f>
        <v>3</v>
      </c>
      <c r="L55" s="181">
        <f>'발전사업(A)'!AL35 + '자가소비(B)'!AL35 + 'PPA 사업(C)'!AL35 + '리스사업(D)'!AL35 + '임대사업(E)'!AL35 + '환경부사업(F)'!AL35 + '프로젝트(G)'!AL35 + '협력사 EPC(H)'!AL35 + '기타(Z)'!AL35</f>
        <v>1</v>
      </c>
      <c r="M55" s="181">
        <f>'발전사업(A)'!AM35 + '자가소비(B)'!AM35 + 'PPA 사업(C)'!AM35 + '리스사업(D)'!AM35 + '임대사업(E)'!AM35 + '환경부사업(F)'!AM35 + '프로젝트(G)'!AM35 + '협력사 EPC(H)'!AM35 + '기타(Z)'!AM35</f>
        <v>0</v>
      </c>
      <c r="N55" s="182">
        <f>'발전사업(A)'!AN35 + '자가소비(B)'!AN35 + 'PPA 사업(C)'!AN35 + '리스사업(D)'!AN35 + '임대사업(E)'!AN35 + '환경부사업(F)'!AN35 + '프로젝트(G)'!AN35 + '협력사 EPC(H)'!AN35 + '기타(Z)'!AN35</f>
        <v>0</v>
      </c>
      <c r="O55" s="39">
        <f>'발전사업(A)'!AO35 + '자가소비(B)'!AO35 + 'PPA 사업(C)'!AO35 + '리스사업(D)'!AO35 + '임대사업(E)'!AO35 + '환경부사업(F)'!AO35 + '프로젝트(G)'!AO35 + '협력사 EPC(H)'!AO35 + '기타(Z)'!AO35 + '협력사 하도(I)'!AO35</f>
        <v>3.1500000000000004</v>
      </c>
      <c r="P55" s="39">
        <f>'발전사업(A)'!AP35 + '자가소비(B)'!AP35 + 'PPA 사업(C)'!AP35 + '리스사업(D)'!AP35 + '임대사업(E)'!AP35 + '환경부사업(F)'!AP35 + '프로젝트(G)'!AP35 + '협력사 EPC(H)'!AP35 + '기타(Z)'!AP35 + '협력사 하도(I)'!AP35</f>
        <v>1.55</v>
      </c>
      <c r="Q55" s="39">
        <f>'발전사업(A)'!AQ35 + '자가소비(B)'!AQ35 + 'PPA 사업(C)'!AQ35 + '리스사업(D)'!AQ35 + '임대사업(E)'!AQ35 + '환경부사업(F)'!AQ35 + '프로젝트(G)'!AQ35 + '협력사 EPC(H)'!AQ35 + '기타(Z)'!AQ35 + '협력사 하도(I)'!AQ35</f>
        <v>1.6</v>
      </c>
      <c r="R55" s="39">
        <f>'발전사업(A)'!AR35 + '자가소비(B)'!AR35 + 'PPA 사업(C)'!AR35 + '리스사업(D)'!AR35 + '임대사업(E)'!AR35 + '환경부사업(F)'!AR35 + '프로젝트(G)'!AR35 + '협력사 EPC(H)'!AR35 + '기타(Z)'!AR35 + '협력사 하도(I)'!AR35</f>
        <v>0</v>
      </c>
      <c r="S55" s="130">
        <f>'발전사업(A)'!AS35 + '자가소비(B)'!AS35 + 'PPA 사업(C)'!AS35 + '리스사업(D)'!AS35 + '임대사업(E)'!AS35 + '환경부사업(F)'!AS35 + '프로젝트(G)'!AS35 + '협력사 EPC(H)'!AS35 + '기타(Z)'!AS35 + '협력사 하도(I)'!AS35</f>
        <v>0</v>
      </c>
    </row>
    <row r="56" spans="1:19" x14ac:dyDescent="0.25">
      <c r="A56">
        <v>6</v>
      </c>
      <c r="B56" s="487"/>
      <c r="C56" s="90">
        <v>4</v>
      </c>
      <c r="D56" s="97" t="s">
        <v>228</v>
      </c>
      <c r="E56" s="129">
        <f>'발전사업(A)'!AE36 + '자가소비(B)'!AE36 + 'PPA 사업(C)'!AE36 + '리스사업(D)'!AE36 + '임대사업(E)'!AE36 + '환경부사업(F)'!AE36 + '프로젝트(G)'!AE36 + '협력사 EPC(H)'!AE36 + '기타(Z)'!AE36</f>
        <v>1651.845</v>
      </c>
      <c r="F56" s="39">
        <f>'발전사업(A)'!AF36 + '자가소비(B)'!AF36 + 'PPA 사업(C)'!AF36 + '리스사업(D)'!AF36 + '임대사업(E)'!AF36 + '환경부사업(F)'!AF36 + '프로젝트(G)'!AF36 + '협력사 EPC(H)'!AF36 + '기타(Z)'!AF36</f>
        <v>970.72500000000002</v>
      </c>
      <c r="G56" s="39">
        <f>'발전사업(A)'!AG36 + '자가소비(B)'!AG36 + 'PPA 사업(C)'!AG36 + '리스사업(D)'!AG36 + '임대사업(E)'!AG36 + '환경부사업(F)'!AG36 + '프로젝트(G)'!AG36 + '협력사 EPC(H)'!AG36 + '기타(Z)'!AG36</f>
        <v>681.12</v>
      </c>
      <c r="H56" s="39">
        <f>'발전사업(A)'!AH36 + '자가소비(B)'!AH36 + 'PPA 사업(C)'!AH36 + '리스사업(D)'!AH36 + '임대사업(E)'!AH36 + '환경부사업(F)'!AH36 + '프로젝트(G)'!AH36 + '협력사 EPC(H)'!AH36 + '기타(Z)'!AH36</f>
        <v>0</v>
      </c>
      <c r="I56" s="125">
        <f>'발전사업(A)'!AI36 + '자가소비(B)'!AI36 + 'PPA 사업(C)'!AI36 + '리스사업(D)'!AI36 + '임대사업(E)'!AI36 + '환경부사업(F)'!AI36 + '프로젝트(G)'!AI36 + '협력사 EPC(H)'!AI36 + '기타(Z)'!AI36</f>
        <v>0</v>
      </c>
      <c r="J56" s="115">
        <f>'발전사업(A)'!AJ36 + '자가소비(B)'!AJ36 + 'PPA 사업(C)'!AJ36 + '리스사업(D)'!AJ36 + '임대사업(E)'!AJ36 + '환경부사업(F)'!AJ36 + '프로젝트(G)'!AJ36 + '협력사 EPC(H)'!AJ36 + '기타(Z)'!AJ36</f>
        <v>6</v>
      </c>
      <c r="K56" s="181">
        <f>'발전사업(A)'!AK36 + '자가소비(B)'!AK36 + 'PPA 사업(C)'!AK36 + '리스사업(D)'!AK36 + '임대사업(E)'!AK36 + '환경부사업(F)'!AK36 + '프로젝트(G)'!AK36 + '협력사 EPC(H)'!AK36 + '기타(Z)'!AK36</f>
        <v>3</v>
      </c>
      <c r="L56" s="181">
        <f>'발전사업(A)'!AL36 + '자가소비(B)'!AL36 + 'PPA 사업(C)'!AL36 + '리스사업(D)'!AL36 + '임대사업(E)'!AL36 + '환경부사업(F)'!AL36 + '프로젝트(G)'!AL36 + '협력사 EPC(H)'!AL36 + '기타(Z)'!AL36</f>
        <v>3</v>
      </c>
      <c r="M56" s="181">
        <f>'발전사업(A)'!AM36 + '자가소비(B)'!AM36 + 'PPA 사업(C)'!AM36 + '리스사업(D)'!AM36 + '임대사업(E)'!AM36 + '환경부사업(F)'!AM36 + '프로젝트(G)'!AM36 + '협력사 EPC(H)'!AM36 + '기타(Z)'!AM36</f>
        <v>0</v>
      </c>
      <c r="N56" s="182">
        <f>'발전사업(A)'!AN36 + '자가소비(B)'!AN36 + 'PPA 사업(C)'!AN36 + '리스사업(D)'!AN36 + '임대사업(E)'!AN36 + '환경부사업(F)'!AN36 + '프로젝트(G)'!AN36 + '협력사 EPC(H)'!AN36 + '기타(Z)'!AN36</f>
        <v>0</v>
      </c>
      <c r="O56" s="39">
        <f>'발전사업(A)'!AO36 + '자가소비(B)'!AO36 + 'PPA 사업(C)'!AO36 + '리스사업(D)'!AO36 + '임대사업(E)'!AO36 + '환경부사업(F)'!AO36 + '프로젝트(G)'!AO36 + '협력사 EPC(H)'!AO36 + '기타(Z)'!AO36 + '협력사 하도(I)'!AO36</f>
        <v>11.37</v>
      </c>
      <c r="P56" s="39">
        <f>'발전사업(A)'!AP36 + '자가소비(B)'!AP36 + 'PPA 사업(C)'!AP36 + '리스사업(D)'!AP36 + '임대사업(E)'!AP36 + '환경부사업(F)'!AP36 + '프로젝트(G)'!AP36 + '협력사 EPC(H)'!AP36 + '기타(Z)'!AP36 + '협력사 하도(I)'!AP36</f>
        <v>4.3499999999999996</v>
      </c>
      <c r="Q56" s="39">
        <f>'발전사업(A)'!AQ36 + '자가소비(B)'!AQ36 + 'PPA 사업(C)'!AQ36 + '리스사업(D)'!AQ36 + '임대사업(E)'!AQ36 + '환경부사업(F)'!AQ36 + '프로젝트(G)'!AQ36 + '협력사 EPC(H)'!AQ36 + '기타(Z)'!AQ36 + '협력사 하도(I)'!AQ36</f>
        <v>7.02</v>
      </c>
      <c r="R56" s="39">
        <f>'발전사업(A)'!AR36 + '자가소비(B)'!AR36 + 'PPA 사업(C)'!AR36 + '리스사업(D)'!AR36 + '임대사업(E)'!AR36 + '환경부사업(F)'!AR36 + '프로젝트(G)'!AR36 + '협력사 EPC(H)'!AR36 + '기타(Z)'!AR36 + '협력사 하도(I)'!AR36</f>
        <v>0</v>
      </c>
      <c r="S56" s="130">
        <f>'발전사업(A)'!AS36 + '자가소비(B)'!AS36 + 'PPA 사업(C)'!AS36 + '리스사업(D)'!AS36 + '임대사업(E)'!AS36 + '환경부사업(F)'!AS36 + '프로젝트(G)'!AS36 + '협력사 EPC(H)'!AS36 + '기타(Z)'!AS36 + '협력사 하도(I)'!AS36</f>
        <v>0</v>
      </c>
    </row>
    <row r="57" spans="1:19" x14ac:dyDescent="0.25">
      <c r="A57">
        <v>6</v>
      </c>
      <c r="B57" s="487"/>
      <c r="C57" s="91">
        <v>5</v>
      </c>
      <c r="D57" s="97"/>
      <c r="E57" s="129">
        <f>'발전사업(A)'!AE37 + '자가소비(B)'!AE37 + 'PPA 사업(C)'!AE37 + '리스사업(D)'!AE37 + '임대사업(E)'!AE37 + '환경부사업(F)'!AE37 + '프로젝트(G)'!AE37 + '협력사 EPC(H)'!AE37 + '기타(Z)'!AE37</f>
        <v>0</v>
      </c>
      <c r="F57" s="39">
        <f>'발전사업(A)'!AF37 + '자가소비(B)'!AF37 + 'PPA 사업(C)'!AF37 + '리스사업(D)'!AF37 + '임대사업(E)'!AF37 + '환경부사업(F)'!AF37 + '프로젝트(G)'!AF37 + '협력사 EPC(H)'!AF37 + '기타(Z)'!AF37</f>
        <v>0</v>
      </c>
      <c r="G57" s="39">
        <f>'발전사업(A)'!AG37 + '자가소비(B)'!AG37 + 'PPA 사업(C)'!AG37 + '리스사업(D)'!AG37 + '임대사업(E)'!AG37 + '환경부사업(F)'!AG37 + '프로젝트(G)'!AG37 + '협력사 EPC(H)'!AG37 + '기타(Z)'!AG37</f>
        <v>0</v>
      </c>
      <c r="H57" s="39">
        <f>'발전사업(A)'!AH37 + '자가소비(B)'!AH37 + 'PPA 사업(C)'!AH37 + '리스사업(D)'!AH37 + '임대사업(E)'!AH37 + '환경부사업(F)'!AH37 + '프로젝트(G)'!AH37 + '협력사 EPC(H)'!AH37 + '기타(Z)'!AH37</f>
        <v>0</v>
      </c>
      <c r="I57" s="125">
        <f>'발전사업(A)'!AI37 + '자가소비(B)'!AI37 + 'PPA 사업(C)'!AI37 + '리스사업(D)'!AI37 + '임대사업(E)'!AI37 + '환경부사업(F)'!AI37 + '프로젝트(G)'!AI37 + '협력사 EPC(H)'!AI37 + '기타(Z)'!AI37</f>
        <v>0</v>
      </c>
      <c r="J57" s="115">
        <f>'발전사업(A)'!AJ37 + '자가소비(B)'!AJ37 + 'PPA 사업(C)'!AJ37 + '리스사업(D)'!AJ37 + '임대사업(E)'!AJ37 + '환경부사업(F)'!AJ37 + '프로젝트(G)'!AJ37 + '협력사 EPC(H)'!AJ37 + '기타(Z)'!AJ37</f>
        <v>0</v>
      </c>
      <c r="K57" s="181">
        <f>'발전사업(A)'!AK37 + '자가소비(B)'!AK37 + 'PPA 사업(C)'!AK37 + '리스사업(D)'!AK37 + '임대사업(E)'!AK37 + '환경부사업(F)'!AK37 + '프로젝트(G)'!AK37 + '협력사 EPC(H)'!AK37 + '기타(Z)'!AK37</f>
        <v>0</v>
      </c>
      <c r="L57" s="181">
        <f>'발전사업(A)'!AL37 + '자가소비(B)'!AL37 + 'PPA 사업(C)'!AL37 + '리스사업(D)'!AL37 + '임대사업(E)'!AL37 + '환경부사업(F)'!AL37 + '프로젝트(G)'!AL37 + '협력사 EPC(H)'!AL37 + '기타(Z)'!AL37</f>
        <v>0</v>
      </c>
      <c r="M57" s="181">
        <f>'발전사업(A)'!AM37 + '자가소비(B)'!AM37 + 'PPA 사업(C)'!AM37 + '리스사업(D)'!AM37 + '임대사업(E)'!AM37 + '환경부사업(F)'!AM37 + '프로젝트(G)'!AM37 + '협력사 EPC(H)'!AM37 + '기타(Z)'!AM37</f>
        <v>0</v>
      </c>
      <c r="N57" s="182">
        <f>'발전사업(A)'!AN37 + '자가소비(B)'!AN37 + 'PPA 사업(C)'!AN37 + '리스사업(D)'!AN37 + '임대사업(E)'!AN37 + '환경부사업(F)'!AN37 + '프로젝트(G)'!AN37 + '협력사 EPC(H)'!AN37 + '기타(Z)'!AN37</f>
        <v>0</v>
      </c>
      <c r="O57" s="39">
        <f>'발전사업(A)'!AO37 + '자가소비(B)'!AO37 + 'PPA 사업(C)'!AO37 + '리스사업(D)'!AO37 + '임대사업(E)'!AO37 + '환경부사업(F)'!AO37 + '프로젝트(G)'!AO37 + '협력사 EPC(H)'!AO37 + '기타(Z)'!AO37 + '협력사 하도(I)'!AO37</f>
        <v>0</v>
      </c>
      <c r="P57" s="39">
        <f>'발전사업(A)'!AP37 + '자가소비(B)'!AP37 + 'PPA 사업(C)'!AP37 + '리스사업(D)'!AP37 + '임대사업(E)'!AP37 + '환경부사업(F)'!AP37 + '프로젝트(G)'!AP37 + '협력사 EPC(H)'!AP37 + '기타(Z)'!AP37 + '협력사 하도(I)'!AP37</f>
        <v>0</v>
      </c>
      <c r="Q57" s="39">
        <f>'발전사업(A)'!AQ37 + '자가소비(B)'!AQ37 + 'PPA 사업(C)'!AQ37 + '리스사업(D)'!AQ37 + '임대사업(E)'!AQ37 + '환경부사업(F)'!AQ37 + '프로젝트(G)'!AQ37 + '협력사 EPC(H)'!AQ37 + '기타(Z)'!AQ37 + '협력사 하도(I)'!AQ37</f>
        <v>0</v>
      </c>
      <c r="R57" s="39">
        <f>'발전사업(A)'!AR37 + '자가소비(B)'!AR37 + 'PPA 사업(C)'!AR37 + '리스사업(D)'!AR37 + '임대사업(E)'!AR37 + '환경부사업(F)'!AR37 + '프로젝트(G)'!AR37 + '협력사 EPC(H)'!AR37 + '기타(Z)'!AR37 + '협력사 하도(I)'!AR37</f>
        <v>0</v>
      </c>
      <c r="S57" s="130">
        <f>'발전사업(A)'!AS37 + '자가소비(B)'!AS37 + 'PPA 사업(C)'!AS37 + '리스사업(D)'!AS37 + '임대사업(E)'!AS37 + '환경부사업(F)'!AS37 + '프로젝트(G)'!AS37 + '협력사 EPC(H)'!AS37 + '기타(Z)'!AS37 + '협력사 하도(I)'!AS37</f>
        <v>0</v>
      </c>
    </row>
    <row r="58" spans="1:19" ht="14.25" thickBot="1" x14ac:dyDescent="0.3">
      <c r="A58">
        <v>6</v>
      </c>
      <c r="B58" s="488"/>
      <c r="C58" s="92" t="s">
        <v>3</v>
      </c>
      <c r="D58" s="98"/>
      <c r="E58" s="141">
        <f>'발전사업(A)'!AE38 + '자가소비(B)'!AE38 + 'PPA 사업(C)'!AE38 + '리스사업(D)'!AE38 + '임대사업(E)'!AE38 + '환경부사업(F)'!AE38 + '프로젝트(G)'!AE38 + '협력사 EPC(H)'!AE38 + '기타(Z)'!AE38</f>
        <v>7000.1850000000013</v>
      </c>
      <c r="F58" s="142">
        <f>'발전사업(A)'!AF38 + '자가소비(B)'!AF38 + 'PPA 사업(C)'!AF38 + '리스사업(D)'!AF38 + '임대사업(E)'!AF38 + '환경부사업(F)'!AF38 + '프로젝트(G)'!AF38 + '협력사 EPC(H)'!AF38 + '기타(Z)'!AF38</f>
        <v>5185.8000000000011</v>
      </c>
      <c r="G58" s="142">
        <f>'발전사업(A)'!AG38 + '자가소비(B)'!AG38 + 'PPA 사업(C)'!AG38 + '리스사업(D)'!AG38 + '임대사업(E)'!AG38 + '환경부사업(F)'!AG38 + '프로젝트(G)'!AG38 + '협력사 EPC(H)'!AG38 + '기타(Z)'!AG38</f>
        <v>1814.3850000000002</v>
      </c>
      <c r="H58" s="142">
        <f>'발전사업(A)'!AH38 + '자가소비(B)'!AH38 + 'PPA 사업(C)'!AH38 + '리스사업(D)'!AH38 + '임대사업(E)'!AH38 + '환경부사업(F)'!AH38 + '프로젝트(G)'!AH38 + '협력사 EPC(H)'!AH38 + '기타(Z)'!AH38</f>
        <v>0</v>
      </c>
      <c r="I58" s="143">
        <f>'발전사업(A)'!AI38 + '자가소비(B)'!AI38 + 'PPA 사업(C)'!AI38 + '리스사업(D)'!AI38 + '임대사업(E)'!AI38 + '환경부사업(F)'!AI38 + '프로젝트(G)'!AI38 + '협력사 EPC(H)'!AI38 + '기타(Z)'!AI38</f>
        <v>0</v>
      </c>
      <c r="J58" s="189">
        <f>'발전사업(A)'!AJ38 + '자가소비(B)'!AJ38 + 'PPA 사업(C)'!AJ38 + '리스사업(D)'!AJ38 + '임대사업(E)'!AJ38 + '환경부사업(F)'!AJ38 + '프로젝트(G)'!AJ38 + '협력사 EPC(H)'!AJ38 + '기타(Z)'!AJ38</f>
        <v>28</v>
      </c>
      <c r="K58" s="190">
        <f>'발전사업(A)'!AK38 + '자가소비(B)'!AK38 + 'PPA 사업(C)'!AK38 + '리스사업(D)'!AK38 + '임대사업(E)'!AK38 + '환경부사업(F)'!AK38 + '프로젝트(G)'!AK38 + '협력사 EPC(H)'!AK38 + '기타(Z)'!AK38</f>
        <v>20</v>
      </c>
      <c r="L58" s="190">
        <f>'발전사업(A)'!AL38 + '자가소비(B)'!AL38 + 'PPA 사업(C)'!AL38 + '리스사업(D)'!AL38 + '임대사업(E)'!AL38 + '환경부사업(F)'!AL38 + '프로젝트(G)'!AL38 + '협력사 EPC(H)'!AL38 + '기타(Z)'!AL38</f>
        <v>8</v>
      </c>
      <c r="M58" s="190">
        <f>'발전사업(A)'!AM38 + '자가소비(B)'!AM38 + 'PPA 사업(C)'!AM38 + '리스사업(D)'!AM38 + '임대사업(E)'!AM38 + '환경부사업(F)'!AM38 + '프로젝트(G)'!AM38 + '협력사 EPC(H)'!AM38 + '기타(Z)'!AM38</f>
        <v>0</v>
      </c>
      <c r="N58" s="191">
        <f>'발전사업(A)'!AN38 + '자가소비(B)'!AN38 + 'PPA 사업(C)'!AN38 + '리스사업(D)'!AN38 + '임대사업(E)'!AN38 + '환경부사업(F)'!AN38 + '프로젝트(G)'!AN38 + '협력사 EPC(H)'!AN38 + '기타(Z)'!AN38</f>
        <v>0</v>
      </c>
      <c r="O58" s="167">
        <f>'발전사업(A)'!AO38 + '자가소비(B)'!AO38 + 'PPA 사업(C)'!AO38 + '리스사업(D)'!AO38 + '임대사업(E)'!AO38 + '환경부사업(F)'!AO38 + '프로젝트(G)'!AO38 + '협력사 EPC(H)'!AO38 + '기타(Z)'!AO38 + '협력사 하도(I)'!AO38</f>
        <v>58.04</v>
      </c>
      <c r="P58" s="142">
        <f>'발전사업(A)'!AP38 + '자가소비(B)'!AP38 + 'PPA 사업(C)'!AP38 + '리스사업(D)'!AP38 + '임대사업(E)'!AP38 + '환경부사업(F)'!AP38 + '프로젝트(G)'!AP38 + '협력사 EPC(H)'!AP38 + '기타(Z)'!AP38 + '협력사 하도(I)'!AP38</f>
        <v>39.64</v>
      </c>
      <c r="Q58" s="142">
        <f>'발전사업(A)'!AQ38 + '자가소비(B)'!AQ38 + 'PPA 사업(C)'!AQ38 + '리스사업(D)'!AQ38 + '임대사업(E)'!AQ38 + '환경부사업(F)'!AQ38 + '프로젝트(G)'!AQ38 + '협력사 EPC(H)'!AQ38 + '기타(Z)'!AQ38 + '협력사 하도(I)'!AQ38</f>
        <v>18.399999999999999</v>
      </c>
      <c r="R58" s="142">
        <f>'발전사업(A)'!AR38 + '자가소비(B)'!AR38 + 'PPA 사업(C)'!AR38 + '리스사업(D)'!AR38 + '임대사업(E)'!AR38 + '환경부사업(F)'!AR38 + '프로젝트(G)'!AR38 + '협력사 EPC(H)'!AR38 + '기타(Z)'!AR38 + '협력사 하도(I)'!AR38</f>
        <v>0</v>
      </c>
      <c r="S58" s="144">
        <f>'발전사업(A)'!AS38 + '자가소비(B)'!AS38 + 'PPA 사업(C)'!AS38 + '리스사업(D)'!AS38 + '임대사업(E)'!AS38 + '환경부사업(F)'!AS38 + '프로젝트(G)'!AS38 + '협력사 EPC(H)'!AS38 + '기타(Z)'!AS38 + '협력사 하도(I)'!AS38</f>
        <v>0</v>
      </c>
    </row>
    <row r="59" spans="1:19" x14ac:dyDescent="0.25">
      <c r="A59">
        <v>7</v>
      </c>
      <c r="B59" s="486">
        <v>7</v>
      </c>
      <c r="C59" s="89">
        <v>1</v>
      </c>
      <c r="D59" s="95" t="s">
        <v>238</v>
      </c>
      <c r="E59" s="39">
        <f>'발전사업(A)'!AE39 + '자가소비(B)'!AE39 + 'PPA 사업(C)'!AE39 + '리스사업(D)'!AE39 + '임대사업(E)'!AE39 + '환경부사업(F)'!AE39 + '프로젝트(G)'!AE39 + '협력사 EPC(H)'!AE39 + '기타(Z)'!AE39</f>
        <v>2764.4850000000001</v>
      </c>
      <c r="F59" s="39">
        <f>'발전사업(A)'!AF39 + '자가소비(B)'!AF39 + 'PPA 사업(C)'!AF39 + '리스사업(D)'!AF39 + '임대사업(E)'!AF39 + '환경부사업(F)'!AF39 + '프로젝트(G)'!AF39 + '협력사 EPC(H)'!AF39 + '기타(Z)'!AF39</f>
        <v>2282.0250000000001</v>
      </c>
      <c r="G59" s="39">
        <f>'발전사업(A)'!AG39 + '자가소비(B)'!AG39 + 'PPA 사업(C)'!AG39 + '리스사업(D)'!AG39 + '임대사업(E)'!AG39 + '환경부사업(F)'!AG39 + '프로젝트(G)'!AG39 + '협력사 EPC(H)'!AG39 + '기타(Z)'!AG39</f>
        <v>482.46000000000004</v>
      </c>
      <c r="H59" s="39">
        <f>'발전사업(A)'!AH39 + '자가소비(B)'!AH39 + 'PPA 사업(C)'!AH39 + '리스사업(D)'!AH39 + '임대사업(E)'!AH39 + '환경부사업(F)'!AH39 + '프로젝트(G)'!AH39 + '협력사 EPC(H)'!AH39 + '기타(Z)'!AH39</f>
        <v>0</v>
      </c>
      <c r="I59" s="125">
        <f>'발전사업(A)'!AI39 + '자가소비(B)'!AI39 + 'PPA 사업(C)'!AI39 + '리스사업(D)'!AI39 + '임대사업(E)'!AI39 + '환경부사업(F)'!AI39 + '프로젝트(G)'!AI39 + '협력사 EPC(H)'!AI39 + '기타(Z)'!AI39</f>
        <v>0</v>
      </c>
      <c r="J59" s="115">
        <f>'발전사업(A)'!AJ39 + '자가소비(B)'!AJ39 + 'PPA 사업(C)'!AJ39 + '리스사업(D)'!AJ39 + '임대사업(E)'!AJ39 + '환경부사업(F)'!AJ39 + '프로젝트(G)'!AJ39 + '협력사 EPC(H)'!AJ39 + '기타(Z)'!AJ39</f>
        <v>7</v>
      </c>
      <c r="K59" s="181">
        <f>'발전사업(A)'!AK39 + '자가소비(B)'!AK39 + 'PPA 사업(C)'!AK39 + '리스사업(D)'!AK39 + '임대사업(E)'!AK39 + '환경부사업(F)'!AK39 + '프로젝트(G)'!AK39 + '협력사 EPC(H)'!AK39 + '기타(Z)'!AK39</f>
        <v>5</v>
      </c>
      <c r="L59" s="181">
        <f>'발전사업(A)'!AL39 + '자가소비(B)'!AL39 + 'PPA 사업(C)'!AL39 + '리스사업(D)'!AL39 + '임대사업(E)'!AL39 + '환경부사업(F)'!AL39 + '프로젝트(G)'!AL39 + '협력사 EPC(H)'!AL39 + '기타(Z)'!AL39</f>
        <v>2</v>
      </c>
      <c r="M59" s="181">
        <f>'발전사업(A)'!AM39 + '자가소비(B)'!AM39 + 'PPA 사업(C)'!AM39 + '리스사업(D)'!AM39 + '임대사업(E)'!AM39 + '환경부사업(F)'!AM39 + '프로젝트(G)'!AM39 + '협력사 EPC(H)'!AM39 + '기타(Z)'!AM39</f>
        <v>0</v>
      </c>
      <c r="N59" s="182">
        <f>'발전사업(A)'!AN39 + '자가소비(B)'!AN39 + 'PPA 사업(C)'!AN39 + '리스사업(D)'!AN39 + '임대사업(E)'!AN39 + '환경부사업(F)'!AN39 + '프로젝트(G)'!AN39 + '협력사 EPC(H)'!AN39 + '기타(Z)'!AN39</f>
        <v>0</v>
      </c>
      <c r="O59" s="39">
        <f>'발전사업(A)'!AO39 + '자가소비(B)'!AO39 + 'PPA 사업(C)'!AO39 + '리스사업(D)'!AO39 + '임대사업(E)'!AO39 + '환경부사업(F)'!AO39 + '프로젝트(G)'!AO39 + '협력사 EPC(H)'!AO39 + '기타(Z)'!AO39 + '협력사 하도(I)'!AO39</f>
        <v>28.35</v>
      </c>
      <c r="P59" s="39">
        <f>'발전사업(A)'!AP39 + '자가소비(B)'!AP39 + 'PPA 사업(C)'!AP39 + '리스사업(D)'!AP39 + '임대사업(E)'!AP39 + '환경부사업(F)'!AP39 + '프로젝트(G)'!AP39 + '협력사 EPC(H)'!AP39 + '기타(Z)'!AP39 + '협력사 하도(I)'!AP39</f>
        <v>23.28</v>
      </c>
      <c r="Q59" s="39">
        <f>'발전사업(A)'!AQ39 + '자가소비(B)'!AQ39 + 'PPA 사업(C)'!AQ39 + '리스사업(D)'!AQ39 + '임대사업(E)'!AQ39 + '환경부사업(F)'!AQ39 + '프로젝트(G)'!AQ39 + '협력사 EPC(H)'!AQ39 + '기타(Z)'!AQ39 + '협력사 하도(I)'!AQ39</f>
        <v>5.07</v>
      </c>
      <c r="R59" s="39">
        <f>'발전사업(A)'!AR39 + '자가소비(B)'!AR39 + 'PPA 사업(C)'!AR39 + '리스사업(D)'!AR39 + '임대사업(E)'!AR39 + '환경부사업(F)'!AR39 + '프로젝트(G)'!AR39 + '협력사 EPC(H)'!AR39 + '기타(Z)'!AR39 + '협력사 하도(I)'!AR39</f>
        <v>0</v>
      </c>
      <c r="S59" s="130">
        <f>'발전사업(A)'!AS39 + '자가소비(B)'!AS39 + 'PPA 사업(C)'!AS39 + '리스사업(D)'!AS39 + '임대사업(E)'!AS39 + '환경부사업(F)'!AS39 + '프로젝트(G)'!AS39 + '협력사 EPC(H)'!AS39 + '기타(Z)'!AS39 + '협력사 하도(I)'!AS39</f>
        <v>0</v>
      </c>
    </row>
    <row r="60" spans="1:19" x14ac:dyDescent="0.25">
      <c r="A60">
        <v>7</v>
      </c>
      <c r="B60" s="487"/>
      <c r="C60" s="90">
        <v>2</v>
      </c>
      <c r="D60" s="97" t="s">
        <v>217</v>
      </c>
      <c r="E60" s="39">
        <f>'발전사업(A)'!AE40 + '자가소비(B)'!AE40 + 'PPA 사업(C)'!AE40 + '리스사업(D)'!AE40 + '임대사업(E)'!AE40 + '환경부사업(F)'!AE40 + '프로젝트(G)'!AE40 + '협력사 EPC(H)'!AE40 + '기타(Z)'!AE40</f>
        <v>2456.8050000000003</v>
      </c>
      <c r="F60" s="39">
        <f>'발전사업(A)'!AF40 + '자가소비(B)'!AF40 + 'PPA 사업(C)'!AF40 + '리스사업(D)'!AF40 + '임대사업(E)'!AF40 + '환경부사업(F)'!AF40 + '프로젝트(G)'!AF40 + '협력사 EPC(H)'!AF40 + '기타(Z)'!AF40</f>
        <v>1774.395</v>
      </c>
      <c r="G60" s="39">
        <f>'발전사업(A)'!AG40 + '자가소비(B)'!AG40 + 'PPA 사업(C)'!AG40 + '리스사업(D)'!AG40 + '임대사업(E)'!AG40 + '환경부사업(F)'!AG40 + '프로젝트(G)'!AG40 + '협력사 EPC(H)'!AG40 + '기타(Z)'!AG40</f>
        <v>682.41000000000008</v>
      </c>
      <c r="H60" s="39">
        <f>'발전사업(A)'!AH40 + '자가소비(B)'!AH40 + 'PPA 사업(C)'!AH40 + '리스사업(D)'!AH40 + '임대사업(E)'!AH40 + '환경부사업(F)'!AH40 + '프로젝트(G)'!AH40 + '협력사 EPC(H)'!AH40 + '기타(Z)'!AH40</f>
        <v>0</v>
      </c>
      <c r="I60" s="125">
        <f>'발전사업(A)'!AI40 + '자가소비(B)'!AI40 + 'PPA 사업(C)'!AI40 + '리스사업(D)'!AI40 + '임대사업(E)'!AI40 + '환경부사업(F)'!AI40 + '프로젝트(G)'!AI40 + '협력사 EPC(H)'!AI40 + '기타(Z)'!AI40</f>
        <v>0</v>
      </c>
      <c r="J60" s="115">
        <f>'발전사업(A)'!AJ40 + '자가소비(B)'!AJ40 + 'PPA 사업(C)'!AJ40 + '리스사업(D)'!AJ40 + '임대사업(E)'!AJ40 + '환경부사업(F)'!AJ40 + '프로젝트(G)'!AJ40 + '협력사 EPC(H)'!AJ40 + '기타(Z)'!AJ40</f>
        <v>9</v>
      </c>
      <c r="K60" s="181">
        <f>'발전사업(A)'!AK40 + '자가소비(B)'!AK40 + 'PPA 사업(C)'!AK40 + '리스사업(D)'!AK40 + '임대사업(E)'!AK40 + '환경부사업(F)'!AK40 + '프로젝트(G)'!AK40 + '협력사 EPC(H)'!AK40 + '기타(Z)'!AK40</f>
        <v>7</v>
      </c>
      <c r="L60" s="181">
        <f>'발전사업(A)'!AL40 + '자가소비(B)'!AL40 + 'PPA 사업(C)'!AL40 + '리스사업(D)'!AL40 + '임대사업(E)'!AL40 + '환경부사업(F)'!AL40 + '프로젝트(G)'!AL40 + '협력사 EPC(H)'!AL40 + '기타(Z)'!AL40</f>
        <v>2</v>
      </c>
      <c r="M60" s="181">
        <f>'발전사업(A)'!AM40 + '자가소비(B)'!AM40 + 'PPA 사업(C)'!AM40 + '리스사업(D)'!AM40 + '임대사업(E)'!AM40 + '환경부사업(F)'!AM40 + '프로젝트(G)'!AM40 + '협력사 EPC(H)'!AM40 + '기타(Z)'!AM40</f>
        <v>0</v>
      </c>
      <c r="N60" s="182">
        <f>'발전사업(A)'!AN40 + '자가소비(B)'!AN40 + 'PPA 사업(C)'!AN40 + '리스사업(D)'!AN40 + '임대사업(E)'!AN40 + '환경부사업(F)'!AN40 + '프로젝트(G)'!AN40 + '협력사 EPC(H)'!AN40 + '기타(Z)'!AN40</f>
        <v>0</v>
      </c>
      <c r="O60" s="39">
        <f>'발전사업(A)'!AO40 + '자가소비(B)'!AO40 + 'PPA 사업(C)'!AO40 + '리스사업(D)'!AO40 + '임대사업(E)'!AO40 + '환경부사업(F)'!AO40 + '프로젝트(G)'!AO40 + '협력사 EPC(H)'!AO40 + '기타(Z)'!AO40 + '협력사 하도(I)'!AO40</f>
        <v>23.32</v>
      </c>
      <c r="P60" s="39">
        <f>'발전사업(A)'!AP40 + '자가소비(B)'!AP40 + 'PPA 사업(C)'!AP40 + '리스사업(D)'!AP40 + '임대사업(E)'!AP40 + '환경부사업(F)'!AP40 + '프로젝트(G)'!AP40 + '협력사 EPC(H)'!AP40 + '기타(Z)'!AP40 + '협력사 하도(I)'!AP40</f>
        <v>16.96</v>
      </c>
      <c r="Q60" s="39">
        <f>'발전사업(A)'!AQ40 + '자가소비(B)'!AQ40 + 'PPA 사업(C)'!AQ40 + '리스사업(D)'!AQ40 + '임대사업(E)'!AQ40 + '환경부사업(F)'!AQ40 + '프로젝트(G)'!AQ40 + '협력사 EPC(H)'!AQ40 + '기타(Z)'!AQ40 + '협력사 하도(I)'!AQ40</f>
        <v>6.3599999999999994</v>
      </c>
      <c r="R60" s="39">
        <f>'발전사업(A)'!AR40 + '자가소비(B)'!AR40 + 'PPA 사업(C)'!AR40 + '리스사업(D)'!AR40 + '임대사업(E)'!AR40 + '환경부사업(F)'!AR40 + '프로젝트(G)'!AR40 + '협력사 EPC(H)'!AR40 + '기타(Z)'!AR40 + '협력사 하도(I)'!AR40</f>
        <v>0</v>
      </c>
      <c r="S60" s="130">
        <f>'발전사업(A)'!AS40 + '자가소비(B)'!AS40 + 'PPA 사업(C)'!AS40 + '리스사업(D)'!AS40 + '임대사업(E)'!AS40 + '환경부사업(F)'!AS40 + '프로젝트(G)'!AS40 + '협력사 EPC(H)'!AS40 + '기타(Z)'!AS40 + '협력사 하도(I)'!AS40</f>
        <v>0</v>
      </c>
    </row>
    <row r="61" spans="1:19" x14ac:dyDescent="0.25">
      <c r="A61">
        <v>7</v>
      </c>
      <c r="B61" s="487"/>
      <c r="C61" s="90">
        <v>3</v>
      </c>
      <c r="D61" s="97" t="s">
        <v>218</v>
      </c>
      <c r="E61" s="39">
        <f>'발전사업(A)'!AE41 + '자가소비(B)'!AE41 + 'PPA 사업(C)'!AE41 + '리스사업(D)'!AE41 + '임대사업(E)'!AE41 + '환경부사업(F)'!AE41 + '프로젝트(G)'!AE41 + '협력사 EPC(H)'!AE41 + '기타(Z)'!AE41</f>
        <v>2629.5550000000003</v>
      </c>
      <c r="F61" s="39">
        <f>'발전사업(A)'!AF41 + '자가소비(B)'!AF41 + 'PPA 사업(C)'!AF41 + '리스사업(D)'!AF41 + '임대사업(E)'!AF41 + '환경부사업(F)'!AF41 + '프로젝트(G)'!AF41 + '협력사 EPC(H)'!AF41 + '기타(Z)'!AF41</f>
        <v>2629.5550000000003</v>
      </c>
      <c r="G61" s="39">
        <f>'발전사업(A)'!AG41 + '자가소비(B)'!AG41 + 'PPA 사업(C)'!AG41 + '리스사업(D)'!AG41 + '임대사업(E)'!AG41 + '환경부사업(F)'!AG41 + '프로젝트(G)'!AG41 + '협력사 EPC(H)'!AG41 + '기타(Z)'!AG41</f>
        <v>0</v>
      </c>
      <c r="H61" s="39">
        <f>'발전사업(A)'!AH41 + '자가소비(B)'!AH41 + 'PPA 사업(C)'!AH41 + '리스사업(D)'!AH41 + '임대사업(E)'!AH41 + '환경부사업(F)'!AH41 + '프로젝트(G)'!AH41 + '협력사 EPC(H)'!AH41 + '기타(Z)'!AH41</f>
        <v>0</v>
      </c>
      <c r="I61" s="125">
        <f>'발전사업(A)'!AI41 + '자가소비(B)'!AI41 + 'PPA 사업(C)'!AI41 + '리스사업(D)'!AI41 + '임대사업(E)'!AI41 + '환경부사업(F)'!AI41 + '프로젝트(G)'!AI41 + '협력사 EPC(H)'!AI41 + '기타(Z)'!AI41</f>
        <v>0</v>
      </c>
      <c r="J61" s="115">
        <f>'발전사업(A)'!AJ41 + '자가소비(B)'!AJ41 + 'PPA 사업(C)'!AJ41 + '리스사업(D)'!AJ41 + '임대사업(E)'!AJ41 + '환경부사업(F)'!AJ41 + '프로젝트(G)'!AJ41 + '협력사 EPC(H)'!AJ41 + '기타(Z)'!AJ41</f>
        <v>6</v>
      </c>
      <c r="K61" s="181">
        <f>'발전사업(A)'!AK41 + '자가소비(B)'!AK41 + 'PPA 사업(C)'!AK41 + '리스사업(D)'!AK41 + '임대사업(E)'!AK41 + '환경부사업(F)'!AK41 + '프로젝트(G)'!AK41 + '협력사 EPC(H)'!AK41 + '기타(Z)'!AK41</f>
        <v>6</v>
      </c>
      <c r="L61" s="181">
        <f>'발전사업(A)'!AL41 + '자가소비(B)'!AL41 + 'PPA 사업(C)'!AL41 + '리스사업(D)'!AL41 + '임대사업(E)'!AL41 + '환경부사업(F)'!AL41 + '프로젝트(G)'!AL41 + '협력사 EPC(H)'!AL41 + '기타(Z)'!AL41</f>
        <v>0</v>
      </c>
      <c r="M61" s="181">
        <f>'발전사업(A)'!AM41 + '자가소비(B)'!AM41 + 'PPA 사업(C)'!AM41 + '리스사업(D)'!AM41 + '임대사업(E)'!AM41 + '환경부사업(F)'!AM41 + '프로젝트(G)'!AM41 + '협력사 EPC(H)'!AM41 + '기타(Z)'!AM41</f>
        <v>0</v>
      </c>
      <c r="N61" s="182">
        <f>'발전사업(A)'!AN41 + '자가소비(B)'!AN41 + 'PPA 사업(C)'!AN41 + '리스사업(D)'!AN41 + '임대사업(E)'!AN41 + '환경부사업(F)'!AN41 + '프로젝트(G)'!AN41 + '협력사 EPC(H)'!AN41 + '기타(Z)'!AN41</f>
        <v>0</v>
      </c>
      <c r="O61" s="39">
        <f>'발전사업(A)'!AO41 + '자가소비(B)'!AO41 + 'PPA 사업(C)'!AO41 + '리스사업(D)'!AO41 + '임대사업(E)'!AO41 + '환경부사업(F)'!AO41 + '프로젝트(G)'!AO41 + '협력사 EPC(H)'!AO41 + '기타(Z)'!AO41 + '협력사 하도(I)'!AO41</f>
        <v>27.659999999999997</v>
      </c>
      <c r="P61" s="39">
        <f>'발전사업(A)'!AP41 + '자가소비(B)'!AP41 + 'PPA 사업(C)'!AP41 + '리스사업(D)'!AP41 + '임대사업(E)'!AP41 + '환경부사업(F)'!AP41 + '프로젝트(G)'!AP41 + '협력사 EPC(H)'!AP41 + '기타(Z)'!AP41 + '협력사 하도(I)'!AP41</f>
        <v>27.659999999999997</v>
      </c>
      <c r="Q61" s="39">
        <f>'발전사업(A)'!AQ41 + '자가소비(B)'!AQ41 + 'PPA 사업(C)'!AQ41 + '리스사업(D)'!AQ41 + '임대사업(E)'!AQ41 + '환경부사업(F)'!AQ41 + '프로젝트(G)'!AQ41 + '협력사 EPC(H)'!AQ41 + '기타(Z)'!AQ41 + '협력사 하도(I)'!AQ41</f>
        <v>0</v>
      </c>
      <c r="R61" s="39">
        <f>'발전사업(A)'!AR41 + '자가소비(B)'!AR41 + 'PPA 사업(C)'!AR41 + '리스사업(D)'!AR41 + '임대사업(E)'!AR41 + '환경부사업(F)'!AR41 + '프로젝트(G)'!AR41 + '협력사 EPC(H)'!AR41 + '기타(Z)'!AR41 + '협력사 하도(I)'!AR41</f>
        <v>0</v>
      </c>
      <c r="S61" s="130">
        <f>'발전사업(A)'!AS41 + '자가소비(B)'!AS41 + 'PPA 사업(C)'!AS41 + '리스사업(D)'!AS41 + '임대사업(E)'!AS41 + '환경부사업(F)'!AS41 + '프로젝트(G)'!AS41 + '협력사 EPC(H)'!AS41 + '기타(Z)'!AS41 + '협력사 하도(I)'!AS41</f>
        <v>0</v>
      </c>
    </row>
    <row r="62" spans="1:19" x14ac:dyDescent="0.25">
      <c r="A62">
        <v>7</v>
      </c>
      <c r="B62" s="487"/>
      <c r="C62" s="90">
        <v>4</v>
      </c>
      <c r="D62" s="97" t="s">
        <v>219</v>
      </c>
      <c r="E62" s="39">
        <f>'발전사업(A)'!AE42 + '자가소비(B)'!AE42 + 'PPA 사업(C)'!AE42 + '리스사업(D)'!AE42 + '임대사업(E)'!AE42 + '환경부사업(F)'!AE42 + '프로젝트(G)'!AE42 + '협력사 EPC(H)'!AE42 + '기타(Z)'!AE42</f>
        <v>651.6</v>
      </c>
      <c r="F62" s="39">
        <f>'발전사업(A)'!AF42 + '자가소비(B)'!AF42 + 'PPA 사업(C)'!AF42 + '리스사업(D)'!AF42 + '임대사업(E)'!AF42 + '환경부사업(F)'!AF42 + '프로젝트(G)'!AF42 + '협력사 EPC(H)'!AF42 + '기타(Z)'!AF42</f>
        <v>581.94000000000005</v>
      </c>
      <c r="G62" s="39">
        <f>'발전사업(A)'!AG42 + '자가소비(B)'!AG42 + 'PPA 사업(C)'!AG42 + '리스사업(D)'!AG42 + '임대사업(E)'!AG42 + '환경부사업(F)'!AG42 + '프로젝트(G)'!AG42 + '협력사 EPC(H)'!AG42 + '기타(Z)'!AG42</f>
        <v>69.66</v>
      </c>
      <c r="H62" s="39">
        <f>'발전사업(A)'!AH42 + '자가소비(B)'!AH42 + 'PPA 사업(C)'!AH42 + '리스사업(D)'!AH42 + '임대사업(E)'!AH42 + '환경부사업(F)'!AH42 + '프로젝트(G)'!AH42 + '협력사 EPC(H)'!AH42 + '기타(Z)'!AH42</f>
        <v>0</v>
      </c>
      <c r="I62" s="125">
        <f>'발전사업(A)'!AI42 + '자가소비(B)'!AI42 + 'PPA 사업(C)'!AI42 + '리스사업(D)'!AI42 + '임대사업(E)'!AI42 + '환경부사업(F)'!AI42 + '프로젝트(G)'!AI42 + '협력사 EPC(H)'!AI42 + '기타(Z)'!AI42</f>
        <v>0</v>
      </c>
      <c r="J62" s="115">
        <f>'발전사업(A)'!AJ42 + '자가소비(B)'!AJ42 + 'PPA 사업(C)'!AJ42 + '리스사업(D)'!AJ42 + '임대사업(E)'!AJ42 + '환경부사업(F)'!AJ42 + '프로젝트(G)'!AJ42 + '협력사 EPC(H)'!AJ42 + '기타(Z)'!AJ42</f>
        <v>4</v>
      </c>
      <c r="K62" s="181">
        <f>'발전사업(A)'!AK42 + '자가소비(B)'!AK42 + 'PPA 사업(C)'!AK42 + '리스사업(D)'!AK42 + '임대사업(E)'!AK42 + '환경부사업(F)'!AK42 + '프로젝트(G)'!AK42 + '협력사 EPC(H)'!AK42 + '기타(Z)'!AK42</f>
        <v>3</v>
      </c>
      <c r="L62" s="181">
        <f>'발전사업(A)'!AL42 + '자가소비(B)'!AL42 + 'PPA 사업(C)'!AL42 + '리스사업(D)'!AL42 + '임대사업(E)'!AL42 + '환경부사업(F)'!AL42 + '프로젝트(G)'!AL42 + '협력사 EPC(H)'!AL42 + '기타(Z)'!AL42</f>
        <v>1</v>
      </c>
      <c r="M62" s="181">
        <f>'발전사업(A)'!AM42 + '자가소비(B)'!AM42 + 'PPA 사업(C)'!AM42 + '리스사업(D)'!AM42 + '임대사업(E)'!AM42 + '환경부사업(F)'!AM42 + '프로젝트(G)'!AM42 + '협력사 EPC(H)'!AM42 + '기타(Z)'!AM42</f>
        <v>0</v>
      </c>
      <c r="N62" s="182">
        <f>'발전사업(A)'!AN42 + '자가소비(B)'!AN42 + 'PPA 사업(C)'!AN42 + '리스사업(D)'!AN42 + '임대사업(E)'!AN42 + '환경부사업(F)'!AN42 + '프로젝트(G)'!AN42 + '협력사 EPC(H)'!AN42 + '기타(Z)'!AN42</f>
        <v>0</v>
      </c>
      <c r="O62" s="39">
        <f>'발전사업(A)'!AO42 + '자가소비(B)'!AO42 + 'PPA 사업(C)'!AO42 + '리스사업(D)'!AO42 + '임대사업(E)'!AO42 + '환경부사업(F)'!AO42 + '프로젝트(G)'!AO42 + '협력사 EPC(H)'!AO42 + '기타(Z)'!AO42 + '협력사 하도(I)'!AO42</f>
        <v>6.41</v>
      </c>
      <c r="P62" s="39">
        <f>'발전사업(A)'!AP42 + '자가소비(B)'!AP42 + 'PPA 사업(C)'!AP42 + '리스사업(D)'!AP42 + '임대사업(E)'!AP42 + '환경부사업(F)'!AP42 + '프로젝트(G)'!AP42 + '협력사 EPC(H)'!AP42 + '기타(Z)'!AP42 + '협력사 하도(I)'!AP42</f>
        <v>5.55</v>
      </c>
      <c r="Q62" s="39">
        <f>'발전사업(A)'!AQ42 + '자가소비(B)'!AQ42 + 'PPA 사업(C)'!AQ42 + '리스사업(D)'!AQ42 + '임대사업(E)'!AQ42 + '환경부사업(F)'!AQ42 + '프로젝트(G)'!AQ42 + '협력사 EPC(H)'!AQ42 + '기타(Z)'!AQ42 + '협력사 하도(I)'!AQ42</f>
        <v>0.86</v>
      </c>
      <c r="R62" s="39">
        <f>'발전사업(A)'!AR42 + '자가소비(B)'!AR42 + 'PPA 사업(C)'!AR42 + '리스사업(D)'!AR42 + '임대사업(E)'!AR42 + '환경부사업(F)'!AR42 + '프로젝트(G)'!AR42 + '협력사 EPC(H)'!AR42 + '기타(Z)'!AR42 + '협력사 하도(I)'!AR42</f>
        <v>0</v>
      </c>
      <c r="S62" s="130">
        <f>'발전사업(A)'!AS42 + '자가소비(B)'!AS42 + 'PPA 사업(C)'!AS42 + '리스사업(D)'!AS42 + '임대사업(E)'!AS42 + '환경부사업(F)'!AS42 + '프로젝트(G)'!AS42 + '협력사 EPC(H)'!AS42 + '기타(Z)'!AS42 + '협력사 하도(I)'!AS42</f>
        <v>0</v>
      </c>
    </row>
    <row r="63" spans="1:19" x14ac:dyDescent="0.25">
      <c r="A63">
        <v>7</v>
      </c>
      <c r="B63" s="487"/>
      <c r="C63" s="91">
        <v>5</v>
      </c>
      <c r="D63" s="97" t="s">
        <v>220</v>
      </c>
      <c r="E63" s="39">
        <f>'발전사업(A)'!AE43 + '자가소비(B)'!AE43 + 'PPA 사업(C)'!AE43 + '리스사업(D)'!AE43 + '임대사업(E)'!AE43 + '환경부사업(F)'!AE43 + '프로젝트(G)'!AE43 + '협력사 EPC(H)'!AE43 + '기타(Z)'!AE43</f>
        <v>645.36500000000001</v>
      </c>
      <c r="F63" s="39">
        <f>'발전사업(A)'!AF43 + '자가소비(B)'!AF43 + 'PPA 사업(C)'!AF43 + '리스사업(D)'!AF43 + '임대사업(E)'!AF43 + '환경부사업(F)'!AF43 + '프로젝트(G)'!AF43 + '협력사 EPC(H)'!AF43 + '기타(Z)'!AF43</f>
        <v>0</v>
      </c>
      <c r="G63" s="39">
        <f>'발전사업(A)'!AG43 + '자가소비(B)'!AG43 + 'PPA 사업(C)'!AG43 + '리스사업(D)'!AG43 + '임대사업(E)'!AG43 + '환경부사업(F)'!AG43 + '프로젝트(G)'!AG43 + '협력사 EPC(H)'!AG43 + '기타(Z)'!AG43</f>
        <v>645.36500000000001</v>
      </c>
      <c r="H63" s="39">
        <f>'발전사업(A)'!AH43 + '자가소비(B)'!AH43 + 'PPA 사업(C)'!AH43 + '리스사업(D)'!AH43 + '임대사업(E)'!AH43 + '환경부사업(F)'!AH43 + '프로젝트(G)'!AH43 + '협력사 EPC(H)'!AH43 + '기타(Z)'!AH43</f>
        <v>0</v>
      </c>
      <c r="I63" s="125">
        <f>'발전사업(A)'!AI43 + '자가소비(B)'!AI43 + 'PPA 사업(C)'!AI43 + '리스사업(D)'!AI43 + '임대사업(E)'!AI43 + '환경부사업(F)'!AI43 + '프로젝트(G)'!AI43 + '협력사 EPC(H)'!AI43 + '기타(Z)'!AI43</f>
        <v>0</v>
      </c>
      <c r="J63" s="115">
        <f>'발전사업(A)'!AJ43 + '자가소비(B)'!AJ43 + 'PPA 사업(C)'!AJ43 + '리스사업(D)'!AJ43 + '임대사업(E)'!AJ43 + '환경부사업(F)'!AJ43 + '프로젝트(G)'!AJ43 + '협력사 EPC(H)'!AJ43 + '기타(Z)'!AJ43</f>
        <v>2</v>
      </c>
      <c r="K63" s="181">
        <f>'발전사업(A)'!AK43 + '자가소비(B)'!AK43 + 'PPA 사업(C)'!AK43 + '리스사업(D)'!AK43 + '임대사업(E)'!AK43 + '환경부사업(F)'!AK43 + '프로젝트(G)'!AK43 + '협력사 EPC(H)'!AK43 + '기타(Z)'!AK43</f>
        <v>0</v>
      </c>
      <c r="L63" s="181">
        <f>'발전사업(A)'!AL43 + '자가소비(B)'!AL43 + 'PPA 사업(C)'!AL43 + '리스사업(D)'!AL43 + '임대사업(E)'!AL43 + '환경부사업(F)'!AL43 + '프로젝트(G)'!AL43 + '협력사 EPC(H)'!AL43 + '기타(Z)'!AL43</f>
        <v>2</v>
      </c>
      <c r="M63" s="181">
        <f>'발전사업(A)'!AM43 + '자가소비(B)'!AM43 + 'PPA 사업(C)'!AM43 + '리스사업(D)'!AM43 + '임대사업(E)'!AM43 + '환경부사업(F)'!AM43 + '프로젝트(G)'!AM43 + '협력사 EPC(H)'!AM43 + '기타(Z)'!AM43</f>
        <v>0</v>
      </c>
      <c r="N63" s="182">
        <f>'발전사업(A)'!AN43 + '자가소비(B)'!AN43 + 'PPA 사업(C)'!AN43 + '리스사업(D)'!AN43 + '임대사업(E)'!AN43 + '환경부사업(F)'!AN43 + '프로젝트(G)'!AN43 + '협력사 EPC(H)'!AN43 + '기타(Z)'!AN43</f>
        <v>0</v>
      </c>
      <c r="O63" s="39">
        <f>'발전사업(A)'!AO43 + '자가소비(B)'!AO43 + 'PPA 사업(C)'!AO43 + '리스사업(D)'!AO43 + '임대사업(E)'!AO43 + '환경부사업(F)'!AO43 + '프로젝트(G)'!AO43 + '협력사 EPC(H)'!AO43 + '기타(Z)'!AO43 + '협력사 하도(I)'!AO43</f>
        <v>2.14</v>
      </c>
      <c r="P63" s="39">
        <f>'발전사업(A)'!AP43 + '자가소비(B)'!AP43 + 'PPA 사업(C)'!AP43 + '리스사업(D)'!AP43 + '임대사업(E)'!AP43 + '환경부사업(F)'!AP43 + '프로젝트(G)'!AP43 + '협력사 EPC(H)'!AP43 + '기타(Z)'!AP43 + '협력사 하도(I)'!AP43</f>
        <v>0</v>
      </c>
      <c r="Q63" s="39">
        <f>'발전사업(A)'!AQ43 + '자가소비(B)'!AQ43 + 'PPA 사업(C)'!AQ43 + '리스사업(D)'!AQ43 + '임대사업(E)'!AQ43 + '환경부사업(F)'!AQ43 + '프로젝트(G)'!AQ43 + '협력사 EPC(H)'!AQ43 + '기타(Z)'!AQ43 + '협력사 하도(I)'!AQ43</f>
        <v>2.14</v>
      </c>
      <c r="R63" s="39">
        <f>'발전사업(A)'!AR43 + '자가소비(B)'!AR43 + 'PPA 사업(C)'!AR43 + '리스사업(D)'!AR43 + '임대사업(E)'!AR43 + '환경부사업(F)'!AR43 + '프로젝트(G)'!AR43 + '협력사 EPC(H)'!AR43 + '기타(Z)'!AR43 + '협력사 하도(I)'!AR43</f>
        <v>0</v>
      </c>
      <c r="S63" s="130">
        <f>'발전사업(A)'!AS43 + '자가소비(B)'!AS43 + 'PPA 사업(C)'!AS43 + '리스사업(D)'!AS43 + '임대사업(E)'!AS43 + '환경부사업(F)'!AS43 + '프로젝트(G)'!AS43 + '협력사 EPC(H)'!AS43 + '기타(Z)'!AS43 + '협력사 하도(I)'!AS43</f>
        <v>0</v>
      </c>
    </row>
    <row r="64" spans="1:19" ht="14.25" thickBot="1" x14ac:dyDescent="0.3">
      <c r="A64">
        <v>7</v>
      </c>
      <c r="B64" s="488"/>
      <c r="C64" s="92" t="s">
        <v>3</v>
      </c>
      <c r="D64" s="101"/>
      <c r="E64" s="134">
        <f>'발전사업(A)'!AE44 + '자가소비(B)'!AE44 + 'PPA 사업(C)'!AE44 + '리스사업(D)'!AE44 + '임대사업(E)'!AE44 + '환경부사업(F)'!AE44 + '프로젝트(G)'!AE44 + '협력사 EPC(H)'!AE44 + '기타(Z)'!AE44</f>
        <v>9147.8100000000013</v>
      </c>
      <c r="F64" s="134">
        <f>'발전사업(A)'!AF44 + '자가소비(B)'!AF44 + 'PPA 사업(C)'!AF44 + '리스사업(D)'!AF44 + '임대사업(E)'!AF44 + '환경부사업(F)'!AF44 + '프로젝트(G)'!AF44 + '협력사 EPC(H)'!AF44 + '기타(Z)'!AF44</f>
        <v>7267.9150000000009</v>
      </c>
      <c r="G64" s="134">
        <f>'발전사업(A)'!AG44 + '자가소비(B)'!AG44 + 'PPA 사업(C)'!AG44 + '리스사업(D)'!AG44 + '임대사업(E)'!AG44 + '환경부사업(F)'!AG44 + '프로젝트(G)'!AG44 + '협력사 EPC(H)'!AG44 + '기타(Z)'!AG44</f>
        <v>1879.8950000000002</v>
      </c>
      <c r="H64" s="134">
        <f>'발전사업(A)'!AH44 + '자가소비(B)'!AH44 + 'PPA 사업(C)'!AH44 + '리스사업(D)'!AH44 + '임대사업(E)'!AH44 + '환경부사업(F)'!AH44 + '프로젝트(G)'!AH44 + '협력사 EPC(H)'!AH44 + '기타(Z)'!AH44</f>
        <v>0</v>
      </c>
      <c r="I64" s="135">
        <f>'발전사업(A)'!AI44 + '자가소비(B)'!AI44 + 'PPA 사업(C)'!AI44 + '리스사업(D)'!AI44 + '임대사업(E)'!AI44 + '환경부사업(F)'!AI44 + '프로젝트(G)'!AI44 + '협력사 EPC(H)'!AI44 + '기타(Z)'!AI44</f>
        <v>0</v>
      </c>
      <c r="J64" s="183">
        <f>'발전사업(A)'!AJ44 + '자가소비(B)'!AJ44 + 'PPA 사업(C)'!AJ44 + '리스사업(D)'!AJ44 + '임대사업(E)'!AJ44 + '환경부사업(F)'!AJ44 + '프로젝트(G)'!AJ44 + '협력사 EPC(H)'!AJ44 + '기타(Z)'!AJ44</f>
        <v>28</v>
      </c>
      <c r="K64" s="184">
        <f>'발전사업(A)'!AK44 + '자가소비(B)'!AK44 + 'PPA 사업(C)'!AK44 + '리스사업(D)'!AK44 + '임대사업(E)'!AK44 + '환경부사업(F)'!AK44 + '프로젝트(G)'!AK44 + '협력사 EPC(H)'!AK44 + '기타(Z)'!AK44</f>
        <v>21</v>
      </c>
      <c r="L64" s="184">
        <f>'발전사업(A)'!AL44 + '자가소비(B)'!AL44 + 'PPA 사업(C)'!AL44 + '리스사업(D)'!AL44 + '임대사업(E)'!AL44 + '환경부사업(F)'!AL44 + '프로젝트(G)'!AL44 + '협력사 EPC(H)'!AL44 + '기타(Z)'!AL44</f>
        <v>7</v>
      </c>
      <c r="M64" s="184">
        <f>'발전사업(A)'!AM44 + '자가소비(B)'!AM44 + 'PPA 사업(C)'!AM44 + '리스사업(D)'!AM44 + '임대사업(E)'!AM44 + '환경부사업(F)'!AM44 + '프로젝트(G)'!AM44 + '협력사 EPC(H)'!AM44 + '기타(Z)'!AM44</f>
        <v>0</v>
      </c>
      <c r="N64" s="185">
        <f>'발전사업(A)'!AN44 + '자가소비(B)'!AN44 + 'PPA 사업(C)'!AN44 + '리스사업(D)'!AN44 + '임대사업(E)'!AN44 + '환경부사업(F)'!AN44 + '프로젝트(G)'!AN44 + '협력사 EPC(H)'!AN44 + '기타(Z)'!AN44</f>
        <v>0</v>
      </c>
      <c r="O64" s="167">
        <f>'발전사업(A)'!AO44 + '자가소비(B)'!AO44 + 'PPA 사업(C)'!AO44 + '리스사업(D)'!AO44 + '임대사업(E)'!AO44 + '환경부사업(F)'!AO44 + '프로젝트(G)'!AO44 + '협력사 EPC(H)'!AO44 + '기타(Z)'!AO44 + '협력사 하도(I)'!AO44</f>
        <v>87.88</v>
      </c>
      <c r="P64" s="134">
        <f>'발전사업(A)'!AP44 + '자가소비(B)'!AP44 + 'PPA 사업(C)'!AP44 + '리스사업(D)'!AP44 + '임대사업(E)'!AP44 + '환경부사업(F)'!AP44 + '프로젝트(G)'!AP44 + '협력사 EPC(H)'!AP44 + '기타(Z)'!AP44 + '협력사 하도(I)'!AP44</f>
        <v>73.449999999999989</v>
      </c>
      <c r="Q64" s="134">
        <f>'발전사업(A)'!AQ44 + '자가소비(B)'!AQ44 + 'PPA 사업(C)'!AQ44 + '리스사업(D)'!AQ44 + '임대사업(E)'!AQ44 + '환경부사업(F)'!AQ44 + '프로젝트(G)'!AQ44 + '협력사 EPC(H)'!AQ44 + '기타(Z)'!AQ44 + '협력사 하도(I)'!AQ44</f>
        <v>14.43</v>
      </c>
      <c r="R64" s="134">
        <f>'발전사업(A)'!AR44 + '자가소비(B)'!AR44 + 'PPA 사업(C)'!AR44 + '리스사업(D)'!AR44 + '임대사업(E)'!AR44 + '환경부사업(F)'!AR44 + '프로젝트(G)'!AR44 + '협력사 EPC(H)'!AR44 + '기타(Z)'!AR44 + '협력사 하도(I)'!AR44</f>
        <v>0</v>
      </c>
      <c r="S64" s="136">
        <f>'발전사업(A)'!AS44 + '자가소비(B)'!AS44 + 'PPA 사업(C)'!AS44 + '리스사업(D)'!AS44 + '임대사업(E)'!AS44 + '환경부사업(F)'!AS44 + '프로젝트(G)'!AS44 + '협력사 EPC(H)'!AS44 + '기타(Z)'!AS44 + '협력사 하도(I)'!AS44</f>
        <v>0</v>
      </c>
    </row>
    <row r="65" spans="1:19" x14ac:dyDescent="0.25">
      <c r="A65">
        <v>8</v>
      </c>
      <c r="B65" s="486">
        <v>8</v>
      </c>
      <c r="C65" s="89">
        <v>1</v>
      </c>
      <c r="D65" s="95" t="s">
        <v>239</v>
      </c>
      <c r="E65" s="137">
        <f>'발전사업(A)'!AE45 + '자가소비(B)'!AE45 + 'PPA 사업(C)'!AE45 + '리스사업(D)'!AE45 + '임대사업(E)'!AE45 + '환경부사업(F)'!AE45 + '프로젝트(G)'!AE45 + '협력사 EPC(H)'!AE45 + '기타(Z)'!AE45</f>
        <v>3882.2549999999997</v>
      </c>
      <c r="F65" s="138">
        <f>'발전사업(A)'!AF45 + '자가소비(B)'!AF45 + 'PPA 사업(C)'!AF45 + '리스사업(D)'!AF45 + '임대사업(E)'!AF45 + '환경부사업(F)'!AF45 + '프로젝트(G)'!AF45 + '협력사 EPC(H)'!AF45 + '기타(Z)'!AF45</f>
        <v>2174.9399999999996</v>
      </c>
      <c r="G65" s="138">
        <f>'발전사업(A)'!AG45 + '자가소비(B)'!AG45 + 'PPA 사업(C)'!AG45 + '리스사업(D)'!AG45 + '임대사업(E)'!AG45 + '환경부사업(F)'!AG45 + '프로젝트(G)'!AG45 + '협력사 EPC(H)'!AG45 + '기타(Z)'!AG45</f>
        <v>1707.3149999999998</v>
      </c>
      <c r="H65" s="138">
        <f>'발전사업(A)'!AH45 + '자가소비(B)'!AH45 + 'PPA 사업(C)'!AH45 + '리스사업(D)'!AH45 + '임대사업(E)'!AH45 + '환경부사업(F)'!AH45 + '프로젝트(G)'!AH45 + '협력사 EPC(H)'!AH45 + '기타(Z)'!AH45</f>
        <v>0</v>
      </c>
      <c r="I65" s="139">
        <f>'발전사업(A)'!AI45 + '자가소비(B)'!AI45 + 'PPA 사업(C)'!AI45 + '리스사업(D)'!AI45 + '임대사업(E)'!AI45 + '환경부사업(F)'!AI45 + '프로젝트(G)'!AI45 + '협력사 EPC(H)'!AI45 + '기타(Z)'!AI45</f>
        <v>0</v>
      </c>
      <c r="J65" s="186">
        <f>'발전사업(A)'!AJ45 + '자가소비(B)'!AJ45 + 'PPA 사업(C)'!AJ45 + '리스사업(D)'!AJ45 + '임대사업(E)'!AJ45 + '환경부사업(F)'!AJ45 + '프로젝트(G)'!AJ45 + '협력사 EPC(H)'!AJ45 + '기타(Z)'!AJ45</f>
        <v>9</v>
      </c>
      <c r="K65" s="187">
        <f>'발전사업(A)'!AK45 + '자가소비(B)'!AK45 + 'PPA 사업(C)'!AK45 + '리스사업(D)'!AK45 + '임대사업(E)'!AK45 + '환경부사업(F)'!AK45 + '프로젝트(G)'!AK45 + '협력사 EPC(H)'!AK45 + '기타(Z)'!AK45</f>
        <v>5</v>
      </c>
      <c r="L65" s="187">
        <f>'발전사업(A)'!AL45 + '자가소비(B)'!AL45 + 'PPA 사업(C)'!AL45 + '리스사업(D)'!AL45 + '임대사업(E)'!AL45 + '환경부사업(F)'!AL45 + '프로젝트(G)'!AL45 + '협력사 EPC(H)'!AL45 + '기타(Z)'!AL45</f>
        <v>4</v>
      </c>
      <c r="M65" s="187">
        <f>'발전사업(A)'!AM45 + '자가소비(B)'!AM45 + 'PPA 사업(C)'!AM45 + '리스사업(D)'!AM45 + '임대사업(E)'!AM45 + '환경부사업(F)'!AM45 + '프로젝트(G)'!AM45 + '협력사 EPC(H)'!AM45 + '기타(Z)'!AM45</f>
        <v>0</v>
      </c>
      <c r="N65" s="188">
        <f>'발전사업(A)'!AN45 + '자가소비(B)'!AN45 + 'PPA 사업(C)'!AN45 + '리스사업(D)'!AN45 + '임대사업(E)'!AN45 + '환경부사업(F)'!AN45 + '프로젝트(G)'!AN45 + '협력사 EPC(H)'!AN45 + '기타(Z)'!AN45</f>
        <v>0</v>
      </c>
      <c r="O65" s="39">
        <f>'발전사업(A)'!AO45 + '자가소비(B)'!AO45 + 'PPA 사업(C)'!AO45 + '리스사업(D)'!AO45 + '임대사업(E)'!AO45 + '환경부사업(F)'!AO45 + '프로젝트(G)'!AO45 + '협력사 EPC(H)'!AO45 + '기타(Z)'!AO45 + '협력사 하도(I)'!AO45</f>
        <v>38.339999999999996</v>
      </c>
      <c r="P65" s="138">
        <f>'발전사업(A)'!AP45 + '자가소비(B)'!AP45 + 'PPA 사업(C)'!AP45 + '리스사업(D)'!AP45 + '임대사업(E)'!AP45 + '환경부사업(F)'!AP45 + '프로젝트(G)'!AP45 + '협력사 EPC(H)'!AP45 + '기타(Z)'!AP45 + '협력사 하도(I)'!AP45</f>
        <v>19.899999999999999</v>
      </c>
      <c r="Q65" s="138">
        <f>'발전사업(A)'!AQ45 + '자가소비(B)'!AQ45 + 'PPA 사업(C)'!AQ45 + '리스사업(D)'!AQ45 + '임대사업(E)'!AQ45 + '환경부사업(F)'!AQ45 + '프로젝트(G)'!AQ45 + '협력사 EPC(H)'!AQ45 + '기타(Z)'!AQ45 + '협력사 하도(I)'!AQ45</f>
        <v>18.439999999999998</v>
      </c>
      <c r="R65" s="138">
        <f>'발전사업(A)'!AR45 + '자가소비(B)'!AR45 + 'PPA 사업(C)'!AR45 + '리스사업(D)'!AR45 + '임대사업(E)'!AR45 + '환경부사업(F)'!AR45 + '프로젝트(G)'!AR45 + '협력사 EPC(H)'!AR45 + '기타(Z)'!AR45 + '협력사 하도(I)'!AR45</f>
        <v>0</v>
      </c>
      <c r="S65" s="140">
        <f>'발전사업(A)'!AS45 + '자가소비(B)'!AS45 + 'PPA 사업(C)'!AS45 + '리스사업(D)'!AS45 + '임대사업(E)'!AS45 + '환경부사업(F)'!AS45 + '프로젝트(G)'!AS45 + '협력사 EPC(H)'!AS45 + '기타(Z)'!AS45 + '협력사 하도(I)'!AS45</f>
        <v>0</v>
      </c>
    </row>
    <row r="66" spans="1:19" x14ac:dyDescent="0.25">
      <c r="A66">
        <v>8</v>
      </c>
      <c r="B66" s="487"/>
      <c r="C66" s="90">
        <v>2</v>
      </c>
      <c r="D66" s="97" t="s">
        <v>230</v>
      </c>
      <c r="E66" s="129">
        <f>'발전사업(A)'!AE46 + '자가소비(B)'!AE46 + 'PPA 사업(C)'!AE46 + '리스사업(D)'!AE46 + '임대사업(E)'!AE46 + '환경부사업(F)'!AE46 + '프로젝트(G)'!AE46 + '협력사 EPC(H)'!AE46 + '기타(Z)'!AE46</f>
        <v>448.27500000000003</v>
      </c>
      <c r="F66" s="39">
        <f>'발전사업(A)'!AF46 + '자가소비(B)'!AF46 + 'PPA 사업(C)'!AF46 + '리스사업(D)'!AF46 + '임대사업(E)'!AF46 + '환경부사업(F)'!AF46 + '프로젝트(G)'!AF46 + '협력사 EPC(H)'!AF46 + '기타(Z)'!AF46</f>
        <v>356.04</v>
      </c>
      <c r="G66" s="39">
        <f>'발전사업(A)'!AG46 + '자가소비(B)'!AG46 + 'PPA 사업(C)'!AG46 + '리스사업(D)'!AG46 + '임대사업(E)'!AG46 + '환경부사업(F)'!AG46 + '프로젝트(G)'!AG46 + '협력사 EPC(H)'!AG46 + '기타(Z)'!AG46</f>
        <v>92.234999999999999</v>
      </c>
      <c r="H66" s="39">
        <f>'발전사업(A)'!AH46 + '자가소비(B)'!AH46 + 'PPA 사업(C)'!AH46 + '리스사업(D)'!AH46 + '임대사업(E)'!AH46 + '환경부사업(F)'!AH46 + '프로젝트(G)'!AH46 + '협력사 EPC(H)'!AH46 + '기타(Z)'!AH46</f>
        <v>0</v>
      </c>
      <c r="I66" s="125">
        <f>'발전사업(A)'!AI46 + '자가소비(B)'!AI46 + 'PPA 사업(C)'!AI46 + '리스사업(D)'!AI46 + '임대사업(E)'!AI46 + '환경부사업(F)'!AI46 + '프로젝트(G)'!AI46 + '협력사 EPC(H)'!AI46 + '기타(Z)'!AI46</f>
        <v>0</v>
      </c>
      <c r="J66" s="115">
        <f>'발전사업(A)'!AJ46 + '자가소비(B)'!AJ46 + 'PPA 사업(C)'!AJ46 + '리스사업(D)'!AJ46 + '임대사업(E)'!AJ46 + '환경부사업(F)'!AJ46 + '프로젝트(G)'!AJ46 + '협력사 EPC(H)'!AJ46 + '기타(Z)'!AJ46</f>
        <v>3</v>
      </c>
      <c r="K66" s="181">
        <f>'발전사업(A)'!AK46 + '자가소비(B)'!AK46 + 'PPA 사업(C)'!AK46 + '리스사업(D)'!AK46 + '임대사업(E)'!AK46 + '환경부사업(F)'!AK46 + '프로젝트(G)'!AK46 + '협력사 EPC(H)'!AK46 + '기타(Z)'!AK46</f>
        <v>2</v>
      </c>
      <c r="L66" s="181">
        <f>'발전사업(A)'!AL46 + '자가소비(B)'!AL46 + 'PPA 사업(C)'!AL46 + '리스사업(D)'!AL46 + '임대사업(E)'!AL46 + '환경부사업(F)'!AL46 + '프로젝트(G)'!AL46 + '협력사 EPC(H)'!AL46 + '기타(Z)'!AL46</f>
        <v>1</v>
      </c>
      <c r="M66" s="181">
        <f>'발전사업(A)'!AM46 + '자가소비(B)'!AM46 + 'PPA 사업(C)'!AM46 + '리스사업(D)'!AM46 + '임대사업(E)'!AM46 + '환경부사업(F)'!AM46 + '프로젝트(G)'!AM46 + '협력사 EPC(H)'!AM46 + '기타(Z)'!AM46</f>
        <v>0</v>
      </c>
      <c r="N66" s="182">
        <f>'발전사업(A)'!AN46 + '자가소비(B)'!AN46 + 'PPA 사업(C)'!AN46 + '리스사업(D)'!AN46 + '임대사업(E)'!AN46 + '환경부사업(F)'!AN46 + '프로젝트(G)'!AN46 + '협력사 EPC(H)'!AN46 + '기타(Z)'!AN46</f>
        <v>0</v>
      </c>
      <c r="O66" s="39">
        <f>'발전사업(A)'!AO46 + '자가소비(B)'!AO46 + 'PPA 사업(C)'!AO46 + '리스사업(D)'!AO46 + '임대사업(E)'!AO46 + '환경부사업(F)'!AO46 + '프로젝트(G)'!AO46 + '협력사 EPC(H)'!AO46 + '기타(Z)'!AO46 + '협력사 하도(I)'!AO46</f>
        <v>4.62</v>
      </c>
      <c r="P66" s="39">
        <f>'발전사업(A)'!AP46 + '자가소비(B)'!AP46 + 'PPA 사업(C)'!AP46 + '리스사업(D)'!AP46 + '임대사업(E)'!AP46 + '환경부사업(F)'!AP46 + '프로젝트(G)'!AP46 + '협력사 EPC(H)'!AP46 + '기타(Z)'!AP46 + '협력사 하도(I)'!AP46</f>
        <v>3.58</v>
      </c>
      <c r="Q66" s="39">
        <f>'발전사업(A)'!AQ46 + '자가소비(B)'!AQ46 + 'PPA 사업(C)'!AQ46 + '리스사업(D)'!AQ46 + '임대사업(E)'!AQ46 + '환경부사업(F)'!AQ46 + '프로젝트(G)'!AQ46 + '협력사 EPC(H)'!AQ46 + '기타(Z)'!AQ46 + '협력사 하도(I)'!AQ46</f>
        <v>1.04</v>
      </c>
      <c r="R66" s="39">
        <f>'발전사업(A)'!AR46 + '자가소비(B)'!AR46 + 'PPA 사업(C)'!AR46 + '리스사업(D)'!AR46 + '임대사업(E)'!AR46 + '환경부사업(F)'!AR46 + '프로젝트(G)'!AR46 + '협력사 EPC(H)'!AR46 + '기타(Z)'!AR46 + '협력사 하도(I)'!AR46</f>
        <v>0</v>
      </c>
      <c r="S66" s="130">
        <f>'발전사업(A)'!AS46 + '자가소비(B)'!AS46 + 'PPA 사업(C)'!AS46 + '리스사업(D)'!AS46 + '임대사업(E)'!AS46 + '환경부사업(F)'!AS46 + '프로젝트(G)'!AS46 + '협력사 EPC(H)'!AS46 + '기타(Z)'!AS46 + '협력사 하도(I)'!AS46</f>
        <v>0</v>
      </c>
    </row>
    <row r="67" spans="1:19" x14ac:dyDescent="0.25">
      <c r="A67">
        <v>8</v>
      </c>
      <c r="B67" s="487"/>
      <c r="C67" s="90">
        <v>3</v>
      </c>
      <c r="D67" s="97" t="s">
        <v>231</v>
      </c>
      <c r="E67" s="129">
        <f>'발전사업(A)'!AE47 + '자가소비(B)'!AE47 + 'PPA 사업(C)'!AE47 + '리스사업(D)'!AE47 + '임대사업(E)'!AE47 + '환경부사업(F)'!AE47 + '프로젝트(G)'!AE47 + '협력사 EPC(H)'!AE47 + '기타(Z)'!AE47</f>
        <v>228.33</v>
      </c>
      <c r="F67" s="39">
        <f>'발전사업(A)'!AF47 + '자가소비(B)'!AF47 + 'PPA 사업(C)'!AF47 + '리스사업(D)'!AF47 + '임대사업(E)'!AF47 + '환경부사업(F)'!AF47 + '프로젝트(G)'!AF47 + '협력사 EPC(H)'!AF47 + '기타(Z)'!AF47</f>
        <v>194.79000000000002</v>
      </c>
      <c r="G67" s="39">
        <f>'발전사업(A)'!AG47 + '자가소비(B)'!AG47 + 'PPA 사업(C)'!AG47 + '리스사업(D)'!AG47 + '임대사업(E)'!AG47 + '환경부사업(F)'!AG47 + '프로젝트(G)'!AG47 + '협력사 EPC(H)'!AG47 + '기타(Z)'!AG47</f>
        <v>33.54</v>
      </c>
      <c r="H67" s="39">
        <f>'발전사업(A)'!AH47 + '자가소비(B)'!AH47 + 'PPA 사업(C)'!AH47 + '리스사업(D)'!AH47 + '임대사업(E)'!AH47 + '환경부사업(F)'!AH47 + '프로젝트(G)'!AH47 + '협력사 EPC(H)'!AH47 + '기타(Z)'!AH47</f>
        <v>0</v>
      </c>
      <c r="I67" s="125">
        <f>'발전사업(A)'!AI47 + '자가소비(B)'!AI47 + 'PPA 사업(C)'!AI47 + '리스사업(D)'!AI47 + '임대사업(E)'!AI47 + '환경부사업(F)'!AI47 + '프로젝트(G)'!AI47 + '협력사 EPC(H)'!AI47 + '기타(Z)'!AI47</f>
        <v>0</v>
      </c>
      <c r="J67" s="115">
        <f>'발전사업(A)'!AJ47 + '자가소비(B)'!AJ47 + 'PPA 사업(C)'!AJ47 + '리스사업(D)'!AJ47 + '임대사업(E)'!AJ47 + '환경부사업(F)'!AJ47 + '프로젝트(G)'!AJ47 + '협력사 EPC(H)'!AJ47 + '기타(Z)'!AJ47</f>
        <v>3</v>
      </c>
      <c r="K67" s="181">
        <f>'발전사업(A)'!AK47 + '자가소비(B)'!AK47 + 'PPA 사업(C)'!AK47 + '리스사업(D)'!AK47 + '임대사업(E)'!AK47 + '환경부사업(F)'!AK47 + '프로젝트(G)'!AK47 + '협력사 EPC(H)'!AK47 + '기타(Z)'!AK47</f>
        <v>2</v>
      </c>
      <c r="L67" s="181">
        <f>'발전사업(A)'!AL47 + '자가소비(B)'!AL47 + 'PPA 사업(C)'!AL47 + '리스사업(D)'!AL47 + '임대사업(E)'!AL47 + '환경부사업(F)'!AL47 + '프로젝트(G)'!AL47 + '협력사 EPC(H)'!AL47 + '기타(Z)'!AL47</f>
        <v>1</v>
      </c>
      <c r="M67" s="181">
        <f>'발전사업(A)'!AM47 + '자가소비(B)'!AM47 + 'PPA 사업(C)'!AM47 + '리스사업(D)'!AM47 + '임대사업(E)'!AM47 + '환경부사업(F)'!AM47 + '프로젝트(G)'!AM47 + '협력사 EPC(H)'!AM47 + '기타(Z)'!AM47</f>
        <v>0</v>
      </c>
      <c r="N67" s="182">
        <f>'발전사업(A)'!AN47 + '자가소비(B)'!AN47 + 'PPA 사업(C)'!AN47 + '리스사업(D)'!AN47 + '임대사업(E)'!AN47 + '환경부사업(F)'!AN47 + '프로젝트(G)'!AN47 + '협력사 EPC(H)'!AN47 + '기타(Z)'!AN47</f>
        <v>0</v>
      </c>
      <c r="O67" s="39">
        <f>'발전사업(A)'!AO47 + '자가소비(B)'!AO47 + 'PPA 사업(C)'!AO47 + '리스사업(D)'!AO47 + '임대사업(E)'!AO47 + '환경부사업(F)'!AO47 + '프로젝트(G)'!AO47 + '협력사 EPC(H)'!AO47 + '기타(Z)'!AO47 + '협력사 하도(I)'!AO47</f>
        <v>2.5200000000000005</v>
      </c>
      <c r="P67" s="39">
        <f>'발전사업(A)'!AP47 + '자가소비(B)'!AP47 + 'PPA 사업(C)'!AP47 + '리스사업(D)'!AP47 + '임대사업(E)'!AP47 + '환경부사업(F)'!AP47 + '프로젝트(G)'!AP47 + '협력사 EPC(H)'!AP47 + '기타(Z)'!AP47 + '협력사 하도(I)'!AP47</f>
        <v>2.0700000000000003</v>
      </c>
      <c r="Q67" s="39">
        <f>'발전사업(A)'!AQ47 + '자가소비(B)'!AQ47 + 'PPA 사업(C)'!AQ47 + '리스사업(D)'!AQ47 + '임대사업(E)'!AQ47 + '환경부사업(F)'!AQ47 + '프로젝트(G)'!AQ47 + '협력사 EPC(H)'!AQ47 + '기타(Z)'!AQ47 + '협력사 하도(I)'!AQ47</f>
        <v>0.45</v>
      </c>
      <c r="R67" s="39">
        <f>'발전사업(A)'!AR47 + '자가소비(B)'!AR47 + 'PPA 사업(C)'!AR47 + '리스사업(D)'!AR47 + '임대사업(E)'!AR47 + '환경부사업(F)'!AR47 + '프로젝트(G)'!AR47 + '협력사 EPC(H)'!AR47 + '기타(Z)'!AR47 + '협력사 하도(I)'!AR47</f>
        <v>0</v>
      </c>
      <c r="S67" s="130">
        <f>'발전사업(A)'!AS47 + '자가소비(B)'!AS47 + 'PPA 사업(C)'!AS47 + '리스사업(D)'!AS47 + '임대사업(E)'!AS47 + '환경부사업(F)'!AS47 + '프로젝트(G)'!AS47 + '협력사 EPC(H)'!AS47 + '기타(Z)'!AS47 + '협력사 하도(I)'!AS47</f>
        <v>0</v>
      </c>
    </row>
    <row r="68" spans="1:19" x14ac:dyDescent="0.25">
      <c r="A68">
        <v>8</v>
      </c>
      <c r="B68" s="487"/>
      <c r="C68" s="90">
        <v>4</v>
      </c>
      <c r="D68" s="97" t="s">
        <v>232</v>
      </c>
      <c r="E68" s="129">
        <f>'발전사업(A)'!AE48 + '자가소비(B)'!AE48 + 'PPA 사업(C)'!AE48 + '리스사업(D)'!AE48 + '임대사업(E)'!AE48 + '환경부사업(F)'!AE48 + '프로젝트(G)'!AE48 + '협력사 EPC(H)'!AE48 + '기타(Z)'!AE48</f>
        <v>1302.9000000000001</v>
      </c>
      <c r="F68" s="39">
        <f>'발전사업(A)'!AF48 + '자가소비(B)'!AF48 + 'PPA 사업(C)'!AF48 + '리스사업(D)'!AF48 + '임대사업(E)'!AF48 + '환경부사업(F)'!AF48 + '프로젝트(G)'!AF48 + '협력사 EPC(H)'!AF48 + '기타(Z)'!AF48</f>
        <v>1302.9000000000001</v>
      </c>
      <c r="G68" s="39">
        <f>'발전사업(A)'!AG48 + '자가소비(B)'!AG48 + 'PPA 사업(C)'!AG48 + '리스사업(D)'!AG48 + '임대사업(E)'!AG48 + '환경부사업(F)'!AG48 + '프로젝트(G)'!AG48 + '협력사 EPC(H)'!AG48 + '기타(Z)'!AG48</f>
        <v>0</v>
      </c>
      <c r="H68" s="39">
        <f>'발전사업(A)'!AH48 + '자가소비(B)'!AH48 + 'PPA 사업(C)'!AH48 + '리스사업(D)'!AH48 + '임대사업(E)'!AH48 + '환경부사업(F)'!AH48 + '프로젝트(G)'!AH48 + '협력사 EPC(H)'!AH48 + '기타(Z)'!AH48</f>
        <v>0</v>
      </c>
      <c r="I68" s="125">
        <f>'발전사업(A)'!AI48 + '자가소비(B)'!AI48 + 'PPA 사업(C)'!AI48 + '리스사업(D)'!AI48 + '임대사업(E)'!AI48 + '환경부사업(F)'!AI48 + '프로젝트(G)'!AI48 + '협력사 EPC(H)'!AI48 + '기타(Z)'!AI48</f>
        <v>0</v>
      </c>
      <c r="J68" s="115">
        <f>'발전사업(A)'!AJ48 + '자가소비(B)'!AJ48 + 'PPA 사업(C)'!AJ48 + '리스사업(D)'!AJ48 + '임대사업(E)'!AJ48 + '환경부사업(F)'!AJ48 + '프로젝트(G)'!AJ48 + '협력사 EPC(H)'!AJ48 + '기타(Z)'!AJ48</f>
        <v>5</v>
      </c>
      <c r="K68" s="181">
        <f>'발전사업(A)'!AK48 + '자가소비(B)'!AK48 + 'PPA 사업(C)'!AK48 + '리스사업(D)'!AK48 + '임대사업(E)'!AK48 + '환경부사업(F)'!AK48 + '프로젝트(G)'!AK48 + '협력사 EPC(H)'!AK48 + '기타(Z)'!AK48</f>
        <v>5</v>
      </c>
      <c r="L68" s="181">
        <f>'발전사업(A)'!AL48 + '자가소비(B)'!AL48 + 'PPA 사업(C)'!AL48 + '리스사업(D)'!AL48 + '임대사업(E)'!AL48 + '환경부사업(F)'!AL48 + '프로젝트(G)'!AL48 + '협력사 EPC(H)'!AL48 + '기타(Z)'!AL48</f>
        <v>0</v>
      </c>
      <c r="M68" s="181">
        <f>'발전사업(A)'!AM48 + '자가소비(B)'!AM48 + 'PPA 사업(C)'!AM48 + '리스사업(D)'!AM48 + '임대사업(E)'!AM48 + '환경부사업(F)'!AM48 + '프로젝트(G)'!AM48 + '협력사 EPC(H)'!AM48 + '기타(Z)'!AM48</f>
        <v>0</v>
      </c>
      <c r="N68" s="182">
        <f>'발전사업(A)'!AN48 + '자가소비(B)'!AN48 + 'PPA 사업(C)'!AN48 + '리스사업(D)'!AN48 + '임대사업(E)'!AN48 + '환경부사업(F)'!AN48 + '프로젝트(G)'!AN48 + '협력사 EPC(H)'!AN48 + '기타(Z)'!AN48</f>
        <v>0</v>
      </c>
      <c r="O68" s="39">
        <f>'발전사업(A)'!AO48 + '자가소비(B)'!AO48 + 'PPA 사업(C)'!AO48 + '리스사업(D)'!AO48 + '임대사업(E)'!AO48 + '환경부사업(F)'!AO48 + '프로젝트(G)'!AO48 + '협력사 EPC(H)'!AO48 + '기타(Z)'!AO48 + '협력사 하도(I)'!AO48</f>
        <v>13.8</v>
      </c>
      <c r="P68" s="39">
        <f>'발전사업(A)'!AP48 + '자가소비(B)'!AP48 + 'PPA 사업(C)'!AP48 + '리스사업(D)'!AP48 + '임대사업(E)'!AP48 + '환경부사업(F)'!AP48 + '프로젝트(G)'!AP48 + '협력사 EPC(H)'!AP48 + '기타(Z)'!AP48 + '협력사 하도(I)'!AP48</f>
        <v>13.8</v>
      </c>
      <c r="Q68" s="39">
        <f>'발전사업(A)'!AQ48 + '자가소비(B)'!AQ48 + 'PPA 사업(C)'!AQ48 + '리스사업(D)'!AQ48 + '임대사업(E)'!AQ48 + '환경부사업(F)'!AQ48 + '프로젝트(G)'!AQ48 + '협력사 EPC(H)'!AQ48 + '기타(Z)'!AQ48 + '협력사 하도(I)'!AQ48</f>
        <v>0</v>
      </c>
      <c r="R68" s="39">
        <f>'발전사업(A)'!AR48 + '자가소비(B)'!AR48 + 'PPA 사업(C)'!AR48 + '리스사업(D)'!AR48 + '임대사업(E)'!AR48 + '환경부사업(F)'!AR48 + '프로젝트(G)'!AR48 + '협력사 EPC(H)'!AR48 + '기타(Z)'!AR48 + '협력사 하도(I)'!AR48</f>
        <v>0</v>
      </c>
      <c r="S68" s="130">
        <f>'발전사업(A)'!AS48 + '자가소비(B)'!AS48 + 'PPA 사업(C)'!AS48 + '리스사업(D)'!AS48 + '임대사업(E)'!AS48 + '환경부사업(F)'!AS48 + '프로젝트(G)'!AS48 + '협력사 EPC(H)'!AS48 + '기타(Z)'!AS48 + '협력사 하도(I)'!AS48</f>
        <v>0</v>
      </c>
    </row>
    <row r="69" spans="1:19" x14ac:dyDescent="0.25">
      <c r="A69">
        <v>8</v>
      </c>
      <c r="B69" s="487"/>
      <c r="C69" s="91">
        <v>5</v>
      </c>
      <c r="D69" s="100"/>
      <c r="E69" s="129">
        <f>'발전사업(A)'!AE49 + '자가소비(B)'!AE49 + 'PPA 사업(C)'!AE49 + '리스사업(D)'!AE49 + '임대사업(E)'!AE49 + '환경부사업(F)'!AE49 + '프로젝트(G)'!AE49 + '협력사 EPC(H)'!AE49 + '기타(Z)'!AE49</f>
        <v>0</v>
      </c>
      <c r="F69" s="39">
        <f>'발전사업(A)'!AF49 + '자가소비(B)'!AF49 + 'PPA 사업(C)'!AF49 + '리스사업(D)'!AF49 + '임대사업(E)'!AF49 + '환경부사업(F)'!AF49 + '프로젝트(G)'!AF49 + '협력사 EPC(H)'!AF49 + '기타(Z)'!AF49</f>
        <v>0</v>
      </c>
      <c r="G69" s="39">
        <f>'발전사업(A)'!AG49 + '자가소비(B)'!AG49 + 'PPA 사업(C)'!AG49 + '리스사업(D)'!AG49 + '임대사업(E)'!AG49 + '환경부사업(F)'!AG49 + '프로젝트(G)'!AG49 + '협력사 EPC(H)'!AG49 + '기타(Z)'!AG49</f>
        <v>0</v>
      </c>
      <c r="H69" s="39">
        <f>'발전사업(A)'!AH49 + '자가소비(B)'!AH49 + 'PPA 사업(C)'!AH49 + '리스사업(D)'!AH49 + '임대사업(E)'!AH49 + '환경부사업(F)'!AH49 + '프로젝트(G)'!AH49 + '협력사 EPC(H)'!AH49 + '기타(Z)'!AH49</f>
        <v>0</v>
      </c>
      <c r="I69" s="125">
        <f>'발전사업(A)'!AI49 + '자가소비(B)'!AI49 + 'PPA 사업(C)'!AI49 + '리스사업(D)'!AI49 + '임대사업(E)'!AI49 + '환경부사업(F)'!AI49 + '프로젝트(G)'!AI49 + '협력사 EPC(H)'!AI49 + '기타(Z)'!AI49</f>
        <v>0</v>
      </c>
      <c r="J69" s="115">
        <f>'발전사업(A)'!AJ49 + '자가소비(B)'!AJ49 + 'PPA 사업(C)'!AJ49 + '리스사업(D)'!AJ49 + '임대사업(E)'!AJ49 + '환경부사업(F)'!AJ49 + '프로젝트(G)'!AJ49 + '협력사 EPC(H)'!AJ49 + '기타(Z)'!AJ49</f>
        <v>0</v>
      </c>
      <c r="K69" s="181">
        <f>'발전사업(A)'!AK49 + '자가소비(B)'!AK49 + 'PPA 사업(C)'!AK49 + '리스사업(D)'!AK49 + '임대사업(E)'!AK49 + '환경부사업(F)'!AK49 + '프로젝트(G)'!AK49 + '협력사 EPC(H)'!AK49 + '기타(Z)'!AK49</f>
        <v>0</v>
      </c>
      <c r="L69" s="181">
        <f>'발전사업(A)'!AL49 + '자가소비(B)'!AL49 + 'PPA 사업(C)'!AL49 + '리스사업(D)'!AL49 + '임대사업(E)'!AL49 + '환경부사업(F)'!AL49 + '프로젝트(G)'!AL49 + '협력사 EPC(H)'!AL49 + '기타(Z)'!AL49</f>
        <v>0</v>
      </c>
      <c r="M69" s="181">
        <f>'발전사업(A)'!AM49 + '자가소비(B)'!AM49 + 'PPA 사업(C)'!AM49 + '리스사업(D)'!AM49 + '임대사업(E)'!AM49 + '환경부사업(F)'!AM49 + '프로젝트(G)'!AM49 + '협력사 EPC(H)'!AM49 + '기타(Z)'!AM49</f>
        <v>0</v>
      </c>
      <c r="N69" s="182">
        <f>'발전사업(A)'!AN49 + '자가소비(B)'!AN49 + 'PPA 사업(C)'!AN49 + '리스사업(D)'!AN49 + '임대사업(E)'!AN49 + '환경부사업(F)'!AN49 + '프로젝트(G)'!AN49 + '협력사 EPC(H)'!AN49 + '기타(Z)'!AN49</f>
        <v>0</v>
      </c>
      <c r="O69" s="39">
        <f>'발전사업(A)'!AO49 + '자가소비(B)'!AO49 + 'PPA 사업(C)'!AO49 + '리스사업(D)'!AO49 + '임대사업(E)'!AO49 + '환경부사업(F)'!AO49 + '프로젝트(G)'!AO49 + '협력사 EPC(H)'!AO49 + '기타(Z)'!AO49 + '협력사 하도(I)'!AO49</f>
        <v>0</v>
      </c>
      <c r="P69" s="39">
        <f>'발전사업(A)'!AP49 + '자가소비(B)'!AP49 + 'PPA 사업(C)'!AP49 + '리스사업(D)'!AP49 + '임대사업(E)'!AP49 + '환경부사업(F)'!AP49 + '프로젝트(G)'!AP49 + '협력사 EPC(H)'!AP49 + '기타(Z)'!AP49 + '협력사 하도(I)'!AP49</f>
        <v>0</v>
      </c>
      <c r="Q69" s="39">
        <f>'발전사업(A)'!AQ49 + '자가소비(B)'!AQ49 + 'PPA 사업(C)'!AQ49 + '리스사업(D)'!AQ49 + '임대사업(E)'!AQ49 + '환경부사업(F)'!AQ49 + '프로젝트(G)'!AQ49 + '협력사 EPC(H)'!AQ49 + '기타(Z)'!AQ49 + '협력사 하도(I)'!AQ49</f>
        <v>0</v>
      </c>
      <c r="R69" s="39">
        <f>'발전사업(A)'!AR49 + '자가소비(B)'!AR49 + 'PPA 사업(C)'!AR49 + '리스사업(D)'!AR49 + '임대사업(E)'!AR49 + '환경부사업(F)'!AR49 + '프로젝트(G)'!AR49 + '협력사 EPC(H)'!AR49 + '기타(Z)'!AR49 + '협력사 하도(I)'!AR49</f>
        <v>0</v>
      </c>
      <c r="S69" s="130">
        <f>'발전사업(A)'!AS49 + '자가소비(B)'!AS49 + 'PPA 사업(C)'!AS49 + '리스사업(D)'!AS49 + '임대사업(E)'!AS49 + '환경부사업(F)'!AS49 + '프로젝트(G)'!AS49 + '협력사 EPC(H)'!AS49 + '기타(Z)'!AS49 + '협력사 하도(I)'!AS49</f>
        <v>0</v>
      </c>
    </row>
    <row r="70" spans="1:19" ht="14.25" thickBot="1" x14ac:dyDescent="0.3">
      <c r="A70">
        <v>8</v>
      </c>
      <c r="B70" s="488"/>
      <c r="C70" s="92" t="s">
        <v>3</v>
      </c>
      <c r="D70" s="101"/>
      <c r="E70" s="141">
        <f>'발전사업(A)'!AE50 + '자가소비(B)'!AE50 + 'PPA 사업(C)'!AE50 + '리스사업(D)'!AE50 + '임대사업(E)'!AE50 + '환경부사업(F)'!AE50 + '프로젝트(G)'!AE50 + '협력사 EPC(H)'!AE50 + '기타(Z)'!AE50</f>
        <v>5861.7599999999993</v>
      </c>
      <c r="F70" s="142">
        <f>'발전사업(A)'!AF50 + '자가소비(B)'!AF50 + 'PPA 사업(C)'!AF50 + '리스사업(D)'!AF50 + '임대사업(E)'!AF50 + '환경부사업(F)'!AF50 + '프로젝트(G)'!AF50 + '협력사 EPC(H)'!AF50 + '기타(Z)'!AF50</f>
        <v>4028.6699999999996</v>
      </c>
      <c r="G70" s="142">
        <f>'발전사업(A)'!AG50 + '자가소비(B)'!AG50 + 'PPA 사업(C)'!AG50 + '리스사업(D)'!AG50 + '임대사업(E)'!AG50 + '환경부사업(F)'!AG50 + '프로젝트(G)'!AG50 + '협력사 EPC(H)'!AG50 + '기타(Z)'!AG50</f>
        <v>1833.0899999999997</v>
      </c>
      <c r="H70" s="142">
        <f>'발전사업(A)'!AH50 + '자가소비(B)'!AH50 + 'PPA 사업(C)'!AH50 + '리스사업(D)'!AH50 + '임대사업(E)'!AH50 + '환경부사업(F)'!AH50 + '프로젝트(G)'!AH50 + '협력사 EPC(H)'!AH50 + '기타(Z)'!AH50</f>
        <v>0</v>
      </c>
      <c r="I70" s="143">
        <f>'발전사업(A)'!AI50 + '자가소비(B)'!AI50 + 'PPA 사업(C)'!AI50 + '리스사업(D)'!AI50 + '임대사업(E)'!AI50 + '환경부사업(F)'!AI50 + '프로젝트(G)'!AI50 + '협력사 EPC(H)'!AI50 + '기타(Z)'!AI50</f>
        <v>0</v>
      </c>
      <c r="J70" s="189">
        <f>'발전사업(A)'!AJ50 + '자가소비(B)'!AJ50 + 'PPA 사업(C)'!AJ50 + '리스사업(D)'!AJ50 + '임대사업(E)'!AJ50 + '환경부사업(F)'!AJ50 + '프로젝트(G)'!AJ50 + '협력사 EPC(H)'!AJ50 + '기타(Z)'!AJ50</f>
        <v>20</v>
      </c>
      <c r="K70" s="190">
        <f>'발전사업(A)'!AK50 + '자가소비(B)'!AK50 + 'PPA 사업(C)'!AK50 + '리스사업(D)'!AK50 + '임대사업(E)'!AK50 + '환경부사업(F)'!AK50 + '프로젝트(G)'!AK50 + '협력사 EPC(H)'!AK50 + '기타(Z)'!AK50</f>
        <v>14</v>
      </c>
      <c r="L70" s="190">
        <f>'발전사업(A)'!AL50 + '자가소비(B)'!AL50 + 'PPA 사업(C)'!AL50 + '리스사업(D)'!AL50 + '임대사업(E)'!AL50 + '환경부사업(F)'!AL50 + '프로젝트(G)'!AL50 + '협력사 EPC(H)'!AL50 + '기타(Z)'!AL50</f>
        <v>6</v>
      </c>
      <c r="M70" s="190">
        <f>'발전사업(A)'!AM50 + '자가소비(B)'!AM50 + 'PPA 사업(C)'!AM50 + '리스사업(D)'!AM50 + '임대사업(E)'!AM50 + '환경부사업(F)'!AM50 + '프로젝트(G)'!AM50 + '협력사 EPC(H)'!AM50 + '기타(Z)'!AM50</f>
        <v>0</v>
      </c>
      <c r="N70" s="191">
        <f>'발전사업(A)'!AN50 + '자가소비(B)'!AN50 + 'PPA 사업(C)'!AN50 + '리스사업(D)'!AN50 + '임대사업(E)'!AN50 + '환경부사업(F)'!AN50 + '프로젝트(G)'!AN50 + '협력사 EPC(H)'!AN50 + '기타(Z)'!AN50</f>
        <v>0</v>
      </c>
      <c r="O70" s="167">
        <f>'발전사업(A)'!AO50 + '자가소비(B)'!AO50 + 'PPA 사업(C)'!AO50 + '리스사업(D)'!AO50 + '임대사업(E)'!AO50 + '환경부사업(F)'!AO50 + '프로젝트(G)'!AO50 + '협력사 EPC(H)'!AO50 + '기타(Z)'!AO50 + '협력사 하도(I)'!AO50</f>
        <v>59.28</v>
      </c>
      <c r="P70" s="142">
        <f>'발전사업(A)'!AP50 + '자가소비(B)'!AP50 + 'PPA 사업(C)'!AP50 + '리스사업(D)'!AP50 + '임대사업(E)'!AP50 + '환경부사업(F)'!AP50 + '프로젝트(G)'!AP50 + '협력사 EPC(H)'!AP50 + '기타(Z)'!AP50 + '협력사 하도(I)'!AP50</f>
        <v>39.349999999999994</v>
      </c>
      <c r="Q70" s="142">
        <f>'발전사업(A)'!AQ50 + '자가소비(B)'!AQ50 + 'PPA 사업(C)'!AQ50 + '리스사업(D)'!AQ50 + '임대사업(E)'!AQ50 + '환경부사업(F)'!AQ50 + '프로젝트(G)'!AQ50 + '협력사 EPC(H)'!AQ50 + '기타(Z)'!AQ50 + '협력사 하도(I)'!AQ50</f>
        <v>19.929999999999996</v>
      </c>
      <c r="R70" s="142">
        <f>'발전사업(A)'!AR50 + '자가소비(B)'!AR50 + 'PPA 사업(C)'!AR50 + '리스사업(D)'!AR50 + '임대사업(E)'!AR50 + '환경부사업(F)'!AR50 + '프로젝트(G)'!AR50 + '협력사 EPC(H)'!AR50 + '기타(Z)'!AR50 + '협력사 하도(I)'!AR50</f>
        <v>0</v>
      </c>
      <c r="S70" s="144">
        <f>'발전사업(A)'!AS50 + '자가소비(B)'!AS50 + 'PPA 사업(C)'!AS50 + '리스사업(D)'!AS50 + '임대사업(E)'!AS50 + '환경부사업(F)'!AS50 + '프로젝트(G)'!AS50 + '협력사 EPC(H)'!AS50 + '기타(Z)'!AS50 + '협력사 하도(I)'!AS50</f>
        <v>0</v>
      </c>
    </row>
    <row r="71" spans="1:19" x14ac:dyDescent="0.25">
      <c r="A71">
        <v>9</v>
      </c>
      <c r="B71" s="486">
        <v>9</v>
      </c>
      <c r="C71" s="89">
        <v>1</v>
      </c>
      <c r="D71" s="95" t="s">
        <v>240</v>
      </c>
      <c r="E71" s="39">
        <f>'발전사업(A)'!AE51 + '자가소비(B)'!AE51 + 'PPA 사업(C)'!AE51 + '리스사업(D)'!AE51 + '임대사업(E)'!AE51 + '환경부사업(F)'!AE51 + '프로젝트(G)'!AE51 + '협력사 EPC(H)'!AE51 + '기타(Z)'!AE51</f>
        <v>1472.5350000000001</v>
      </c>
      <c r="F71" s="39">
        <f>'발전사업(A)'!AF51 + '자가소비(B)'!AF51 + 'PPA 사업(C)'!AF51 + '리스사업(D)'!AF51 + '임대사업(E)'!AF51 + '환경부사업(F)'!AF51 + '프로젝트(G)'!AF51 + '협력사 EPC(H)'!AF51 + '기타(Z)'!AF51</f>
        <v>1383.5250000000001</v>
      </c>
      <c r="G71" s="39">
        <f>'발전사업(A)'!AG51 + '자가소비(B)'!AG51 + 'PPA 사업(C)'!AG51 + '리스사업(D)'!AG51 + '임대사업(E)'!AG51 + '환경부사업(F)'!AG51 + '프로젝트(G)'!AG51 + '협력사 EPC(H)'!AG51 + '기타(Z)'!AG51</f>
        <v>89.01</v>
      </c>
      <c r="H71" s="39">
        <f>'발전사업(A)'!AH51 + '자가소비(B)'!AH51 + 'PPA 사업(C)'!AH51 + '리스사업(D)'!AH51 + '임대사업(E)'!AH51 + '환경부사업(F)'!AH51 + '프로젝트(G)'!AH51 + '협력사 EPC(H)'!AH51 + '기타(Z)'!AH51</f>
        <v>0</v>
      </c>
      <c r="I71" s="125">
        <f>'발전사업(A)'!AI51 + '자가소비(B)'!AI51 + 'PPA 사업(C)'!AI51 + '리스사업(D)'!AI51 + '임대사업(E)'!AI51 + '환경부사업(F)'!AI51 + '프로젝트(G)'!AI51 + '협력사 EPC(H)'!AI51 + '기타(Z)'!AI51</f>
        <v>0</v>
      </c>
      <c r="J71" s="115">
        <f>'발전사업(A)'!AJ51 + '자가소비(B)'!AJ51 + 'PPA 사업(C)'!AJ51 + '리스사업(D)'!AJ51 + '임대사업(E)'!AJ51 + '환경부사업(F)'!AJ51 + '프로젝트(G)'!AJ51 + '협력사 EPC(H)'!AJ51 + '기타(Z)'!AJ51</f>
        <v>5</v>
      </c>
      <c r="K71" s="181">
        <f>'발전사업(A)'!AK51 + '자가소비(B)'!AK51 + 'PPA 사업(C)'!AK51 + '리스사업(D)'!AK51 + '임대사업(E)'!AK51 + '환경부사업(F)'!AK51 + '프로젝트(G)'!AK51 + '협력사 EPC(H)'!AK51 + '기타(Z)'!AK51</f>
        <v>4</v>
      </c>
      <c r="L71" s="181">
        <f>'발전사업(A)'!AL51 + '자가소비(B)'!AL51 + 'PPA 사업(C)'!AL51 + '리스사업(D)'!AL51 + '임대사업(E)'!AL51 + '환경부사업(F)'!AL51 + '프로젝트(G)'!AL51 + '협력사 EPC(H)'!AL51 + '기타(Z)'!AL51</f>
        <v>1</v>
      </c>
      <c r="M71" s="181">
        <f>'발전사업(A)'!AM51 + '자가소비(B)'!AM51 + 'PPA 사업(C)'!AM51 + '리스사업(D)'!AM51 + '임대사업(E)'!AM51 + '환경부사업(F)'!AM51 + '프로젝트(G)'!AM51 + '협력사 EPC(H)'!AM51 + '기타(Z)'!AM51</f>
        <v>0</v>
      </c>
      <c r="N71" s="182">
        <f>'발전사업(A)'!AN51 + '자가소비(B)'!AN51 + 'PPA 사업(C)'!AN51 + '리스사업(D)'!AN51 + '임대사업(E)'!AN51 + '환경부사업(F)'!AN51 + '프로젝트(G)'!AN51 + '협력사 EPC(H)'!AN51 + '기타(Z)'!AN51</f>
        <v>0</v>
      </c>
      <c r="O71" s="39">
        <f>'발전사업(A)'!AO51 + '자가소비(B)'!AO51 + 'PPA 사업(C)'!AO51 + '리스사업(D)'!AO51 + '임대사업(E)'!AO51 + '환경부사업(F)'!AO51 + '프로젝트(G)'!AO51 + '협력사 EPC(H)'!AO51 + '기타(Z)'!AO51 + '협력사 하도(I)'!AO51</f>
        <v>13.66</v>
      </c>
      <c r="P71" s="39">
        <f>'발전사업(A)'!AP51 + '자가소비(B)'!AP51 + 'PPA 사업(C)'!AP51 + '리스사업(D)'!AP51 + '임대사업(E)'!AP51 + '환경부사업(F)'!AP51 + '프로젝트(G)'!AP51 + '협력사 EPC(H)'!AP51 + '기타(Z)'!AP51 + '협력사 하도(I)'!AP51</f>
        <v>12.66</v>
      </c>
      <c r="Q71" s="39">
        <f>'발전사업(A)'!AQ51 + '자가소비(B)'!AQ51 + 'PPA 사업(C)'!AQ51 + '리스사업(D)'!AQ51 + '임대사업(E)'!AQ51 + '환경부사업(F)'!AQ51 + '프로젝트(G)'!AQ51 + '협력사 EPC(H)'!AQ51 + '기타(Z)'!AQ51 + '협력사 하도(I)'!AQ51</f>
        <v>1</v>
      </c>
      <c r="R71" s="39">
        <f>'발전사업(A)'!AR51 + '자가소비(B)'!AR51 + 'PPA 사업(C)'!AR51 + '리스사업(D)'!AR51 + '임대사업(E)'!AR51 + '환경부사업(F)'!AR51 + '프로젝트(G)'!AR51 + '협력사 EPC(H)'!AR51 + '기타(Z)'!AR51 + '협력사 하도(I)'!AR51</f>
        <v>0</v>
      </c>
      <c r="S71" s="130">
        <f>'발전사업(A)'!AS51 + '자가소비(B)'!AS51 + 'PPA 사업(C)'!AS51 + '리스사업(D)'!AS51 + '임대사업(E)'!AS51 + '환경부사업(F)'!AS51 + '프로젝트(G)'!AS51 + '협력사 EPC(H)'!AS51 + '기타(Z)'!AS51 + '협력사 하도(I)'!AS51</f>
        <v>0</v>
      </c>
    </row>
    <row r="72" spans="1:19" x14ac:dyDescent="0.25">
      <c r="A72">
        <v>9</v>
      </c>
      <c r="B72" s="487"/>
      <c r="C72" s="90">
        <v>2</v>
      </c>
      <c r="D72" s="97" t="s">
        <v>233</v>
      </c>
      <c r="E72" s="39">
        <f>'발전사업(A)'!AE52 + '자가소비(B)'!AE52 + 'PPA 사업(C)'!AE52 + '리스사업(D)'!AE52 + '임대사업(E)'!AE52 + '환경부사업(F)'!AE52 + '프로젝트(G)'!AE52 + '협력사 EPC(H)'!AE52 + '기타(Z)'!AE52</f>
        <v>388.28999999999996</v>
      </c>
      <c r="F72" s="39">
        <f>'발전사업(A)'!AF52 + '자가소비(B)'!AF52 + 'PPA 사업(C)'!AF52 + '리스사업(D)'!AF52 + '임대사업(E)'!AF52 + '환경부사업(F)'!AF52 + '프로젝트(G)'!AF52 + '협력사 EPC(H)'!AF52 + '기타(Z)'!AF52</f>
        <v>263.15999999999997</v>
      </c>
      <c r="G72" s="39">
        <f>'발전사업(A)'!AG52 + '자가소비(B)'!AG52 + 'PPA 사업(C)'!AG52 + '리스사업(D)'!AG52 + '임대사업(E)'!AG52 + '환경부사업(F)'!AG52 + '프로젝트(G)'!AG52 + '협력사 EPC(H)'!AG52 + '기타(Z)'!AG52</f>
        <v>125.13</v>
      </c>
      <c r="H72" s="39">
        <f>'발전사업(A)'!AH52 + '자가소비(B)'!AH52 + 'PPA 사업(C)'!AH52 + '리스사업(D)'!AH52 + '임대사업(E)'!AH52 + '환경부사업(F)'!AH52 + '프로젝트(G)'!AH52 + '협력사 EPC(H)'!AH52 + '기타(Z)'!AH52</f>
        <v>0</v>
      </c>
      <c r="I72" s="125">
        <f>'발전사업(A)'!AI52 + '자가소비(B)'!AI52 + 'PPA 사업(C)'!AI52 + '리스사업(D)'!AI52 + '임대사업(E)'!AI52 + '환경부사업(F)'!AI52 + '프로젝트(G)'!AI52 + '협력사 EPC(H)'!AI52 + '기타(Z)'!AI52</f>
        <v>0</v>
      </c>
      <c r="J72" s="115">
        <f>'발전사업(A)'!AJ52 + '자가소비(B)'!AJ52 + 'PPA 사업(C)'!AJ52 + '리스사업(D)'!AJ52 + '임대사업(E)'!AJ52 + '환경부사업(F)'!AJ52 + '프로젝트(G)'!AJ52 + '협력사 EPC(H)'!AJ52 + '기타(Z)'!AJ52</f>
        <v>3</v>
      </c>
      <c r="K72" s="181">
        <f>'발전사업(A)'!AK52 + '자가소비(B)'!AK52 + 'PPA 사업(C)'!AK52 + '리스사업(D)'!AK52 + '임대사업(E)'!AK52 + '환경부사업(F)'!AK52 + '프로젝트(G)'!AK52 + '협력사 EPC(H)'!AK52 + '기타(Z)'!AK52</f>
        <v>2</v>
      </c>
      <c r="L72" s="181">
        <f>'발전사업(A)'!AL52 + '자가소비(B)'!AL52 + 'PPA 사업(C)'!AL52 + '리스사업(D)'!AL52 + '임대사업(E)'!AL52 + '환경부사업(F)'!AL52 + '프로젝트(G)'!AL52 + '협력사 EPC(H)'!AL52 + '기타(Z)'!AL52</f>
        <v>1</v>
      </c>
      <c r="M72" s="181">
        <f>'발전사업(A)'!AM52 + '자가소비(B)'!AM52 + 'PPA 사업(C)'!AM52 + '리스사업(D)'!AM52 + '임대사업(E)'!AM52 + '환경부사업(F)'!AM52 + '프로젝트(G)'!AM52 + '협력사 EPC(H)'!AM52 + '기타(Z)'!AM52</f>
        <v>0</v>
      </c>
      <c r="N72" s="182">
        <f>'발전사업(A)'!AN52 + '자가소비(B)'!AN52 + 'PPA 사업(C)'!AN52 + '리스사업(D)'!AN52 + '임대사업(E)'!AN52 + '환경부사업(F)'!AN52 + '프로젝트(G)'!AN52 + '협력사 EPC(H)'!AN52 + '기타(Z)'!AN52</f>
        <v>0</v>
      </c>
      <c r="O72" s="39">
        <f>'발전사업(A)'!AO52 + '자가소비(B)'!AO52 + 'PPA 사업(C)'!AO52 + '리스사업(D)'!AO52 + '임대사업(E)'!AO52 + '환경부사업(F)'!AO52 + '프로젝트(G)'!AO52 + '협력사 EPC(H)'!AO52 + '기타(Z)'!AO52 + '협력사 하도(I)'!AO52</f>
        <v>2.6</v>
      </c>
      <c r="P72" s="39">
        <f>'발전사업(A)'!AP52 + '자가소비(B)'!AP52 + 'PPA 사업(C)'!AP52 + '리스사업(D)'!AP52 + '임대사업(E)'!AP52 + '환경부사업(F)'!AP52 + '프로젝트(G)'!AP52 + '협력사 EPC(H)'!AP52 + '기타(Z)'!AP52 + '협력사 하도(I)'!AP52</f>
        <v>2.6</v>
      </c>
      <c r="Q72" s="39">
        <f>'발전사업(A)'!AQ52 + '자가소비(B)'!AQ52 + 'PPA 사업(C)'!AQ52 + '리스사업(D)'!AQ52 + '임대사업(E)'!AQ52 + '환경부사업(F)'!AQ52 + '프로젝트(G)'!AQ52 + '협력사 EPC(H)'!AQ52 + '기타(Z)'!AQ52 + '협력사 하도(I)'!AQ52</f>
        <v>0</v>
      </c>
      <c r="R72" s="39">
        <f>'발전사업(A)'!AR52 + '자가소비(B)'!AR52 + 'PPA 사업(C)'!AR52 + '리스사업(D)'!AR52 + '임대사업(E)'!AR52 + '환경부사업(F)'!AR52 + '프로젝트(G)'!AR52 + '협력사 EPC(H)'!AR52 + '기타(Z)'!AR52 + '협력사 하도(I)'!AR52</f>
        <v>0</v>
      </c>
      <c r="S72" s="130">
        <f>'발전사업(A)'!AS52 + '자가소비(B)'!AS52 + 'PPA 사업(C)'!AS52 + '리스사업(D)'!AS52 + '임대사업(E)'!AS52 + '환경부사업(F)'!AS52 + '프로젝트(G)'!AS52 + '협력사 EPC(H)'!AS52 + '기타(Z)'!AS52 + '협력사 하도(I)'!AS52</f>
        <v>0</v>
      </c>
    </row>
    <row r="73" spans="1:19" x14ac:dyDescent="0.25">
      <c r="A73">
        <v>9</v>
      </c>
      <c r="B73" s="487"/>
      <c r="C73" s="90">
        <v>3</v>
      </c>
      <c r="D73" s="97" t="s">
        <v>234</v>
      </c>
      <c r="E73" s="39">
        <f>'발전사업(A)'!AE53 + '자가소비(B)'!AE53 + 'PPA 사업(C)'!AE53 + '리스사업(D)'!AE53 + '임대사업(E)'!AE53 + '환경부사업(F)'!AE53 + '프로젝트(G)'!AE53 + '협력사 EPC(H)'!AE53 + '기타(Z)'!AE53</f>
        <v>4559.4650000000001</v>
      </c>
      <c r="F73" s="39">
        <f>'발전사업(A)'!AF53 + '자가소비(B)'!AF53 + 'PPA 사업(C)'!AF53 + '리스사업(D)'!AF53 + '임대사업(E)'!AF53 + '환경부사업(F)'!AF53 + '프로젝트(G)'!AF53 + '협력사 EPC(H)'!AF53 + '기타(Z)'!AF53</f>
        <v>3267.0550000000003</v>
      </c>
      <c r="G73" s="39">
        <f>'발전사업(A)'!AG53 + '자가소비(B)'!AG53 + 'PPA 사업(C)'!AG53 + '리스사업(D)'!AG53 + '임대사업(E)'!AG53 + '환경부사업(F)'!AG53 + '프로젝트(G)'!AG53 + '협력사 EPC(H)'!AG53 + '기타(Z)'!AG53</f>
        <v>276.70500000000004</v>
      </c>
      <c r="H73" s="39">
        <f>'발전사업(A)'!AH53 + '자가소비(B)'!AH53 + 'PPA 사업(C)'!AH53 + '리스사업(D)'!AH53 + '임대사업(E)'!AH53 + '환경부사업(F)'!AH53 + '프로젝트(G)'!AH53 + '협력사 EPC(H)'!AH53 + '기타(Z)'!AH53</f>
        <v>1015.705</v>
      </c>
      <c r="I73" s="125">
        <f>'발전사업(A)'!AI53 + '자가소비(B)'!AI53 + 'PPA 사업(C)'!AI53 + '리스사업(D)'!AI53 + '임대사업(E)'!AI53 + '환경부사업(F)'!AI53 + '프로젝트(G)'!AI53 + '협력사 EPC(H)'!AI53 + '기타(Z)'!AI53</f>
        <v>0</v>
      </c>
      <c r="J73" s="115">
        <f>'발전사업(A)'!AJ53 + '자가소비(B)'!AJ53 + 'PPA 사업(C)'!AJ53 + '리스사업(D)'!AJ53 + '임대사업(E)'!AJ53 + '환경부사업(F)'!AJ53 + '프로젝트(G)'!AJ53 + '협력사 EPC(H)'!AJ53 + '기타(Z)'!AJ53</f>
        <v>8</v>
      </c>
      <c r="K73" s="181">
        <f>'발전사업(A)'!AK53 + '자가소비(B)'!AK53 + 'PPA 사업(C)'!AK53 + '리스사업(D)'!AK53 + '임대사업(E)'!AK53 + '환경부사업(F)'!AK53 + '프로젝트(G)'!AK53 + '협력사 EPC(H)'!AK53 + '기타(Z)'!AK53</f>
        <v>4</v>
      </c>
      <c r="L73" s="181">
        <f>'발전사업(A)'!AL53 + '자가소비(B)'!AL53 + 'PPA 사업(C)'!AL53 + '리스사업(D)'!AL53 + '임대사업(E)'!AL53 + '환경부사업(F)'!AL53 + '프로젝트(G)'!AL53 + '협력사 EPC(H)'!AL53 + '기타(Z)'!AL53</f>
        <v>2</v>
      </c>
      <c r="M73" s="181">
        <f>'발전사업(A)'!AM53 + '자가소비(B)'!AM53 + 'PPA 사업(C)'!AM53 + '리스사업(D)'!AM53 + '임대사업(E)'!AM53 + '환경부사업(F)'!AM53 + '프로젝트(G)'!AM53 + '협력사 EPC(H)'!AM53 + '기타(Z)'!AM53</f>
        <v>2</v>
      </c>
      <c r="N73" s="182">
        <f>'발전사업(A)'!AN53 + '자가소비(B)'!AN53 + 'PPA 사업(C)'!AN53 + '리스사업(D)'!AN53 + '임대사업(E)'!AN53 + '환경부사업(F)'!AN53 + '프로젝트(G)'!AN53 + '협력사 EPC(H)'!AN53 + '기타(Z)'!AN53</f>
        <v>0</v>
      </c>
      <c r="O73" s="39">
        <f>'발전사업(A)'!AO53 + '자가소비(B)'!AO53 + 'PPA 사업(C)'!AO53 + '리스사업(D)'!AO53 + '임대사업(E)'!AO53 + '환경부사업(F)'!AO53 + '프로젝트(G)'!AO53 + '협력사 EPC(H)'!AO53 + '기타(Z)'!AO53 + '협력사 하도(I)'!AO53</f>
        <v>49.63</v>
      </c>
      <c r="P73" s="39">
        <f>'발전사업(A)'!AP53 + '자가소비(B)'!AP53 + 'PPA 사업(C)'!AP53 + '리스사업(D)'!AP53 + '임대사업(E)'!AP53 + '환경부사업(F)'!AP53 + '프로젝트(G)'!AP53 + '협력사 EPC(H)'!AP53 + '기타(Z)'!AP53 + '협력사 하도(I)'!AP53</f>
        <v>34.42</v>
      </c>
      <c r="Q73" s="39">
        <f>'발전사업(A)'!AQ53 + '자가소비(B)'!AQ53 + 'PPA 사업(C)'!AQ53 + '리스사업(D)'!AQ53 + '임대사업(E)'!AQ53 + '환경부사업(F)'!AQ53 + '프로젝트(G)'!AQ53 + '협력사 EPC(H)'!AQ53 + '기타(Z)'!AQ53 + '협력사 하도(I)'!AQ53</f>
        <v>3.08</v>
      </c>
      <c r="R73" s="39">
        <f>'발전사업(A)'!AR53 + '자가소비(B)'!AR53 + 'PPA 사업(C)'!AR53 + '리스사업(D)'!AR53 + '임대사업(E)'!AR53 + '환경부사업(F)'!AR53 + '프로젝트(G)'!AR53 + '협력사 EPC(H)'!AR53 + '기타(Z)'!AR53 + '협력사 하도(I)'!AR53</f>
        <v>12.129999999999999</v>
      </c>
      <c r="S73" s="130">
        <f>'발전사업(A)'!AS53 + '자가소비(B)'!AS53 + 'PPA 사업(C)'!AS53 + '리스사업(D)'!AS53 + '임대사업(E)'!AS53 + '환경부사업(F)'!AS53 + '프로젝트(G)'!AS53 + '협력사 EPC(H)'!AS53 + '기타(Z)'!AS53 + '협력사 하도(I)'!AS53</f>
        <v>0</v>
      </c>
    </row>
    <row r="74" spans="1:19" x14ac:dyDescent="0.25">
      <c r="A74">
        <v>9</v>
      </c>
      <c r="B74" s="487"/>
      <c r="C74" s="90">
        <v>4</v>
      </c>
      <c r="D74" s="97" t="s">
        <v>235</v>
      </c>
      <c r="E74" s="39">
        <f>'발전사업(A)'!AE54 + '자가소비(B)'!AE54 + 'PPA 사업(C)'!AE54 + '리스사업(D)'!AE54 + '임대사업(E)'!AE54 + '환경부사업(F)'!AE54 + '프로젝트(G)'!AE54 + '협력사 EPC(H)'!AE54 + '기타(Z)'!AE54</f>
        <v>274.77</v>
      </c>
      <c r="F74" s="39">
        <f>'발전사업(A)'!AF54 + '자가소비(B)'!AF54 + 'PPA 사업(C)'!AF54 + '리스사업(D)'!AF54 + '임대사업(E)'!AF54 + '환경부사업(F)'!AF54 + '프로젝트(G)'!AF54 + '협력사 EPC(H)'!AF54 + '기타(Z)'!AF54</f>
        <v>0</v>
      </c>
      <c r="G74" s="39">
        <f>'발전사업(A)'!AG54 + '자가소비(B)'!AG54 + 'PPA 사업(C)'!AG54 + '리스사업(D)'!AG54 + '임대사업(E)'!AG54 + '환경부사업(F)'!AG54 + '프로젝트(G)'!AG54 + '협력사 EPC(H)'!AG54 + '기타(Z)'!AG54</f>
        <v>274.77</v>
      </c>
      <c r="H74" s="39">
        <f>'발전사업(A)'!AH54 + '자가소비(B)'!AH54 + 'PPA 사업(C)'!AH54 + '리스사업(D)'!AH54 + '임대사업(E)'!AH54 + '환경부사업(F)'!AH54 + '프로젝트(G)'!AH54 + '협력사 EPC(H)'!AH54 + '기타(Z)'!AH54</f>
        <v>0</v>
      </c>
      <c r="I74" s="125">
        <f>'발전사업(A)'!AI54 + '자가소비(B)'!AI54 + 'PPA 사업(C)'!AI54 + '리스사업(D)'!AI54 + '임대사업(E)'!AI54 + '환경부사업(F)'!AI54 + '프로젝트(G)'!AI54 + '협력사 EPC(H)'!AI54 + '기타(Z)'!AI54</f>
        <v>0</v>
      </c>
      <c r="J74" s="115">
        <f>'발전사업(A)'!AJ54 + '자가소비(B)'!AJ54 + 'PPA 사업(C)'!AJ54 + '리스사업(D)'!AJ54 + '임대사업(E)'!AJ54 + '환경부사업(F)'!AJ54 + '프로젝트(G)'!AJ54 + '협력사 EPC(H)'!AJ54 + '기타(Z)'!AJ54</f>
        <v>1</v>
      </c>
      <c r="K74" s="181">
        <f>'발전사업(A)'!AK54 + '자가소비(B)'!AK54 + 'PPA 사업(C)'!AK54 + '리스사업(D)'!AK54 + '임대사업(E)'!AK54 + '환경부사업(F)'!AK54 + '프로젝트(G)'!AK54 + '협력사 EPC(H)'!AK54 + '기타(Z)'!AK54</f>
        <v>0</v>
      </c>
      <c r="L74" s="181">
        <f>'발전사업(A)'!AL54 + '자가소비(B)'!AL54 + 'PPA 사업(C)'!AL54 + '리스사업(D)'!AL54 + '임대사업(E)'!AL54 + '환경부사업(F)'!AL54 + '프로젝트(G)'!AL54 + '협력사 EPC(H)'!AL54 + '기타(Z)'!AL54</f>
        <v>1</v>
      </c>
      <c r="M74" s="181">
        <f>'발전사업(A)'!AM54 + '자가소비(B)'!AM54 + 'PPA 사업(C)'!AM54 + '리스사업(D)'!AM54 + '임대사업(E)'!AM54 + '환경부사업(F)'!AM54 + '프로젝트(G)'!AM54 + '협력사 EPC(H)'!AM54 + '기타(Z)'!AM54</f>
        <v>0</v>
      </c>
      <c r="N74" s="182">
        <f>'발전사업(A)'!AN54 + '자가소비(B)'!AN54 + 'PPA 사업(C)'!AN54 + '리스사업(D)'!AN54 + '임대사업(E)'!AN54 + '환경부사업(F)'!AN54 + '프로젝트(G)'!AN54 + '협력사 EPC(H)'!AN54 + '기타(Z)'!AN54</f>
        <v>0</v>
      </c>
      <c r="O74" s="39">
        <f>'발전사업(A)'!AO54 + '자가소비(B)'!AO54 + 'PPA 사업(C)'!AO54 + '리스사업(D)'!AO54 + '임대사업(E)'!AO54 + '환경부사업(F)'!AO54 + '프로젝트(G)'!AO54 + '협력사 EPC(H)'!AO54 + '기타(Z)'!AO54 + '협력사 하도(I)'!AO54</f>
        <v>2.77</v>
      </c>
      <c r="P74" s="39">
        <f>'발전사업(A)'!AP54 + '자가소비(B)'!AP54 + 'PPA 사업(C)'!AP54 + '리스사업(D)'!AP54 + '임대사업(E)'!AP54 + '환경부사업(F)'!AP54 + '프로젝트(G)'!AP54 + '협력사 EPC(H)'!AP54 + '기타(Z)'!AP54 + '협력사 하도(I)'!AP54</f>
        <v>0</v>
      </c>
      <c r="Q74" s="39">
        <f>'발전사업(A)'!AQ54 + '자가소비(B)'!AQ54 + 'PPA 사업(C)'!AQ54 + '리스사업(D)'!AQ54 + '임대사업(E)'!AQ54 + '환경부사업(F)'!AQ54 + '프로젝트(G)'!AQ54 + '협력사 EPC(H)'!AQ54 + '기타(Z)'!AQ54 + '협력사 하도(I)'!AQ54</f>
        <v>2.77</v>
      </c>
      <c r="R74" s="39">
        <f>'발전사업(A)'!AR54 + '자가소비(B)'!AR54 + 'PPA 사업(C)'!AR54 + '리스사업(D)'!AR54 + '임대사업(E)'!AR54 + '환경부사업(F)'!AR54 + '프로젝트(G)'!AR54 + '협력사 EPC(H)'!AR54 + '기타(Z)'!AR54 + '협력사 하도(I)'!AR54</f>
        <v>0</v>
      </c>
      <c r="S74" s="130">
        <f>'발전사업(A)'!AS54 + '자가소비(B)'!AS54 + 'PPA 사업(C)'!AS54 + '리스사업(D)'!AS54 + '임대사업(E)'!AS54 + '환경부사업(F)'!AS54 + '프로젝트(G)'!AS54 + '협력사 EPC(H)'!AS54 + '기타(Z)'!AS54 + '협력사 하도(I)'!AS54</f>
        <v>0</v>
      </c>
    </row>
    <row r="75" spans="1:19" x14ac:dyDescent="0.25">
      <c r="A75">
        <v>9</v>
      </c>
      <c r="B75" s="487"/>
      <c r="C75" s="91">
        <v>5</v>
      </c>
      <c r="D75" s="100" t="s">
        <v>241</v>
      </c>
      <c r="E75" s="39">
        <f>'발전사업(A)'!AE55 + '자가소비(B)'!AE55 + 'PPA 사업(C)'!AE55 + '리스사업(D)'!AE55 + '임대사업(E)'!AE55 + '환경부사업(F)'!AE55 + '프로젝트(G)'!AE55 + '협력사 EPC(H)'!AE55 + '기타(Z)'!AE55</f>
        <v>2149.14</v>
      </c>
      <c r="F75" s="39">
        <f>'발전사업(A)'!AF55 + '자가소비(B)'!AF55 + 'PPA 사업(C)'!AF55 + '리스사업(D)'!AF55 + '임대사업(E)'!AF55 + '환경부사업(F)'!AF55 + '프로젝트(G)'!AF55 + '협력사 EPC(H)'!AF55 + '기타(Z)'!AF55</f>
        <v>0</v>
      </c>
      <c r="G75" s="39">
        <f>'발전사업(A)'!AG55 + '자가소비(B)'!AG55 + 'PPA 사업(C)'!AG55 + '리스사업(D)'!AG55 + '임대사업(E)'!AG55 + '환경부사업(F)'!AG55 + '프로젝트(G)'!AG55 + '협력사 EPC(H)'!AG55 + '기타(Z)'!AG55</f>
        <v>0</v>
      </c>
      <c r="H75" s="39">
        <f>'발전사업(A)'!AH55 + '자가소비(B)'!AH55 + 'PPA 사업(C)'!AH55 + '리스사업(D)'!AH55 + '임대사업(E)'!AH55 + '환경부사업(F)'!AH55 + '프로젝트(G)'!AH55 + '협력사 EPC(H)'!AH55 + '기타(Z)'!AH55</f>
        <v>2149.14</v>
      </c>
      <c r="I75" s="125">
        <f>'발전사업(A)'!AI55 + '자가소비(B)'!AI55 + 'PPA 사업(C)'!AI55 + '리스사업(D)'!AI55 + '임대사업(E)'!AI55 + '환경부사업(F)'!AI55 + '프로젝트(G)'!AI55 + '협력사 EPC(H)'!AI55 + '기타(Z)'!AI55</f>
        <v>0</v>
      </c>
      <c r="J75" s="115">
        <f>'발전사업(A)'!AJ55 + '자가소비(B)'!AJ55 + 'PPA 사업(C)'!AJ55 + '리스사업(D)'!AJ55 + '임대사업(E)'!AJ55 + '환경부사업(F)'!AJ55 + '프로젝트(G)'!AJ55 + '협력사 EPC(H)'!AJ55 + '기타(Z)'!AJ55</f>
        <v>1</v>
      </c>
      <c r="K75" s="181">
        <f>'발전사업(A)'!AK55 + '자가소비(B)'!AK55 + 'PPA 사업(C)'!AK55 + '리스사업(D)'!AK55 + '임대사업(E)'!AK55 + '환경부사업(F)'!AK55 + '프로젝트(G)'!AK55 + '협력사 EPC(H)'!AK55 + '기타(Z)'!AK55</f>
        <v>0</v>
      </c>
      <c r="L75" s="181">
        <f>'발전사업(A)'!AL55 + '자가소비(B)'!AL55 + 'PPA 사업(C)'!AL55 + '리스사업(D)'!AL55 + '임대사업(E)'!AL55 + '환경부사업(F)'!AL55 + '프로젝트(G)'!AL55 + '협력사 EPC(H)'!AL55 + '기타(Z)'!AL55</f>
        <v>0</v>
      </c>
      <c r="M75" s="181">
        <f>'발전사업(A)'!AM55 + '자가소비(B)'!AM55 + 'PPA 사업(C)'!AM55 + '리스사업(D)'!AM55 + '임대사업(E)'!AM55 + '환경부사업(F)'!AM55 + '프로젝트(G)'!AM55 + '협력사 EPC(H)'!AM55 + '기타(Z)'!AM55</f>
        <v>1</v>
      </c>
      <c r="N75" s="182">
        <f>'발전사업(A)'!AN55 + '자가소비(B)'!AN55 + 'PPA 사업(C)'!AN55 + '리스사업(D)'!AN55 + '임대사업(E)'!AN55 + '환경부사업(F)'!AN55 + '프로젝트(G)'!AN55 + '협력사 EPC(H)'!AN55 + '기타(Z)'!AN55</f>
        <v>0</v>
      </c>
      <c r="O75" s="39">
        <f>'발전사업(A)'!AO55 + '자가소비(B)'!AO55 + 'PPA 사업(C)'!AO55 + '리스사업(D)'!AO55 + '임대사업(E)'!AO55 + '환경부사업(F)'!AO55 + '프로젝트(G)'!AO55 + '협력사 EPC(H)'!AO55 + '기타(Z)'!AO55 + '협력사 하도(I)'!AO55</f>
        <v>30.7</v>
      </c>
      <c r="P75" s="39">
        <f>'발전사업(A)'!AP55 + '자가소비(B)'!AP55 + 'PPA 사업(C)'!AP55 + '리스사업(D)'!AP55 + '임대사업(E)'!AP55 + '환경부사업(F)'!AP55 + '프로젝트(G)'!AP55 + '협력사 EPC(H)'!AP55 + '기타(Z)'!AP55 + '협력사 하도(I)'!AP55</f>
        <v>0</v>
      </c>
      <c r="Q75" s="39">
        <f>'발전사업(A)'!AQ55 + '자가소비(B)'!AQ55 + 'PPA 사업(C)'!AQ55 + '리스사업(D)'!AQ55 + '임대사업(E)'!AQ55 + '환경부사업(F)'!AQ55 + '프로젝트(G)'!AQ55 + '협력사 EPC(H)'!AQ55 + '기타(Z)'!AQ55 + '협력사 하도(I)'!AQ55</f>
        <v>0</v>
      </c>
      <c r="R75" s="39">
        <f>'발전사업(A)'!AR55 + '자가소비(B)'!AR55 + 'PPA 사업(C)'!AR55 + '리스사업(D)'!AR55 + '임대사업(E)'!AR55 + '환경부사업(F)'!AR55 + '프로젝트(G)'!AR55 + '협력사 EPC(H)'!AR55 + '기타(Z)'!AR55 + '협력사 하도(I)'!AR55</f>
        <v>30.7</v>
      </c>
      <c r="S75" s="130">
        <f>'발전사업(A)'!AS55 + '자가소비(B)'!AS55 + 'PPA 사업(C)'!AS55 + '리스사업(D)'!AS55 + '임대사업(E)'!AS55 + '환경부사업(F)'!AS55 + '프로젝트(G)'!AS55 + '협력사 EPC(H)'!AS55 + '기타(Z)'!AS55 + '협력사 하도(I)'!AS55</f>
        <v>0</v>
      </c>
    </row>
    <row r="76" spans="1:19" ht="14.25" thickBot="1" x14ac:dyDescent="0.3">
      <c r="A76">
        <v>9</v>
      </c>
      <c r="B76" s="488"/>
      <c r="C76" s="92" t="s">
        <v>3</v>
      </c>
      <c r="D76" s="101"/>
      <c r="E76" s="134">
        <f>'발전사업(A)'!AE56 + '자가소비(B)'!AE56 + 'PPA 사업(C)'!AE56 + '리스사업(D)'!AE56 + '임대사업(E)'!AE56 + '환경부사업(F)'!AE56 + '프로젝트(G)'!AE56 + '협력사 EPC(H)'!AE56 + '기타(Z)'!AE56</f>
        <v>8844.1999999999989</v>
      </c>
      <c r="F76" s="134">
        <f>'발전사업(A)'!AF56 + '자가소비(B)'!AF56 + 'PPA 사업(C)'!AF56 + '리스사업(D)'!AF56 + '임대사업(E)'!AF56 + '환경부사업(F)'!AF56 + '프로젝트(G)'!AF56 + '협력사 EPC(H)'!AF56 + '기타(Z)'!AF56</f>
        <v>4913.74</v>
      </c>
      <c r="G76" s="134">
        <f>'발전사업(A)'!AG56 + '자가소비(B)'!AG56 + 'PPA 사업(C)'!AG56 + '리스사업(D)'!AG56 + '임대사업(E)'!AG56 + '환경부사업(F)'!AG56 + '프로젝트(G)'!AG56 + '협력사 EPC(H)'!AG56 + '기타(Z)'!AG56</f>
        <v>765.61500000000001</v>
      </c>
      <c r="H76" s="134">
        <f>'발전사업(A)'!AH56 + '자가소비(B)'!AH56 + 'PPA 사업(C)'!AH56 + '리스사업(D)'!AH56 + '임대사업(E)'!AH56 + '환경부사업(F)'!AH56 + '프로젝트(G)'!AH56 + '협력사 EPC(H)'!AH56 + '기타(Z)'!AH56</f>
        <v>3164.8449999999998</v>
      </c>
      <c r="I76" s="135">
        <f>'발전사업(A)'!AI56 + '자가소비(B)'!AI56 + 'PPA 사업(C)'!AI56 + '리스사업(D)'!AI56 + '임대사업(E)'!AI56 + '환경부사업(F)'!AI56 + '프로젝트(G)'!AI56 + '협력사 EPC(H)'!AI56 + '기타(Z)'!AI56</f>
        <v>0</v>
      </c>
      <c r="J76" s="183">
        <f>'발전사업(A)'!AJ56 + '자가소비(B)'!AJ56 + 'PPA 사업(C)'!AJ56 + '리스사업(D)'!AJ56 + '임대사업(E)'!AJ56 + '환경부사업(F)'!AJ56 + '프로젝트(G)'!AJ56 + '협력사 EPC(H)'!AJ56 + '기타(Z)'!AJ56</f>
        <v>18</v>
      </c>
      <c r="K76" s="184">
        <f>'발전사업(A)'!AK56 + '자가소비(B)'!AK56 + 'PPA 사업(C)'!AK56 + '리스사업(D)'!AK56 + '임대사업(E)'!AK56 + '환경부사업(F)'!AK56 + '프로젝트(G)'!AK56 + '협력사 EPC(H)'!AK56 + '기타(Z)'!AK56</f>
        <v>10</v>
      </c>
      <c r="L76" s="184">
        <f>'발전사업(A)'!AL56 + '자가소비(B)'!AL56 + 'PPA 사업(C)'!AL56 + '리스사업(D)'!AL56 + '임대사업(E)'!AL56 + '환경부사업(F)'!AL56 + '프로젝트(G)'!AL56 + '협력사 EPC(H)'!AL56 + '기타(Z)'!AL56</f>
        <v>5</v>
      </c>
      <c r="M76" s="184">
        <f>'발전사업(A)'!AM56 + '자가소비(B)'!AM56 + 'PPA 사업(C)'!AM56 + '리스사업(D)'!AM56 + '임대사업(E)'!AM56 + '환경부사업(F)'!AM56 + '프로젝트(G)'!AM56 + '협력사 EPC(H)'!AM56 + '기타(Z)'!AM56</f>
        <v>3</v>
      </c>
      <c r="N76" s="185">
        <f>'발전사업(A)'!AN56 + '자가소비(B)'!AN56 + 'PPA 사업(C)'!AN56 + '리스사업(D)'!AN56 + '임대사업(E)'!AN56 + '환경부사업(F)'!AN56 + '프로젝트(G)'!AN56 + '협력사 EPC(H)'!AN56 + '기타(Z)'!AN56</f>
        <v>0</v>
      </c>
      <c r="O76" s="167">
        <f>'발전사업(A)'!AO56 + '자가소비(B)'!AO56 + 'PPA 사업(C)'!AO56 + '리스사업(D)'!AO56 + '임대사업(E)'!AO56 + '환경부사업(F)'!AO56 + '프로젝트(G)'!AO56 + '협력사 EPC(H)'!AO56 + '기타(Z)'!AO56 + '협력사 하도(I)'!AO56</f>
        <v>99.360000000000014</v>
      </c>
      <c r="P76" s="134">
        <f>'발전사업(A)'!AP56 + '자가소비(B)'!AP56 + 'PPA 사업(C)'!AP56 + '리스사업(D)'!AP56 + '임대사업(E)'!AP56 + '환경부사업(F)'!AP56 + '프로젝트(G)'!AP56 + '협력사 EPC(H)'!AP56 + '기타(Z)'!AP56 + '협력사 하도(I)'!AP56</f>
        <v>49.68</v>
      </c>
      <c r="Q76" s="134">
        <f>'발전사업(A)'!AQ56 + '자가소비(B)'!AQ56 + 'PPA 사업(C)'!AQ56 + '리스사업(D)'!AQ56 + '임대사업(E)'!AQ56 + '환경부사업(F)'!AQ56 + '프로젝트(G)'!AQ56 + '협력사 EPC(H)'!AQ56 + '기타(Z)'!AQ56 + '협력사 하도(I)'!AQ56</f>
        <v>6.85</v>
      </c>
      <c r="R76" s="134">
        <f>'발전사업(A)'!AR56 + '자가소비(B)'!AR56 + 'PPA 사업(C)'!AR56 + '리스사업(D)'!AR56 + '임대사업(E)'!AR56 + '환경부사업(F)'!AR56 + '프로젝트(G)'!AR56 + '협력사 EPC(H)'!AR56 + '기타(Z)'!AR56 + '협력사 하도(I)'!AR56</f>
        <v>42.83</v>
      </c>
      <c r="S76" s="136">
        <f>'발전사업(A)'!AS56 + '자가소비(B)'!AS56 + 'PPA 사업(C)'!AS56 + '리스사업(D)'!AS56 + '임대사업(E)'!AS56 + '환경부사업(F)'!AS56 + '프로젝트(G)'!AS56 + '협력사 EPC(H)'!AS56 + '기타(Z)'!AS56 + '협력사 하도(I)'!AS56</f>
        <v>0</v>
      </c>
    </row>
    <row r="77" spans="1:19" x14ac:dyDescent="0.25">
      <c r="A77">
        <v>10</v>
      </c>
      <c r="B77" s="486">
        <v>10</v>
      </c>
      <c r="C77" s="89">
        <v>1</v>
      </c>
      <c r="D77" s="95" t="s">
        <v>208</v>
      </c>
      <c r="E77" s="137">
        <f>'발전사업(A)'!AE57 + '자가소비(B)'!AE57 + 'PPA 사업(C)'!AE57 + '리스사업(D)'!AE57 + '임대사업(E)'!AE57 + '환경부사업(F)'!AE57 + '프로젝트(G)'!AE57 + '협력사 EPC(H)'!AE57 + '기타(Z)'!AE57</f>
        <v>0</v>
      </c>
      <c r="F77" s="138">
        <f>'발전사업(A)'!AF57 + '자가소비(B)'!AF57 + 'PPA 사업(C)'!AF57 + '리스사업(D)'!AF57 + '임대사업(E)'!AF57 + '환경부사업(F)'!AF57 + '프로젝트(G)'!AF57 + '협력사 EPC(H)'!AF57 + '기타(Z)'!AF57</f>
        <v>0</v>
      </c>
      <c r="G77" s="138">
        <f>'발전사업(A)'!AG57 + '자가소비(B)'!AG57 + 'PPA 사업(C)'!AG57 + '리스사업(D)'!AG57 + '임대사업(E)'!AG57 + '환경부사업(F)'!AG57 + '프로젝트(G)'!AG57 + '협력사 EPC(H)'!AG57 + '기타(Z)'!AG57</f>
        <v>0</v>
      </c>
      <c r="H77" s="138">
        <f>'발전사업(A)'!AH57 + '자가소비(B)'!AH57 + 'PPA 사업(C)'!AH57 + '리스사업(D)'!AH57 + '임대사업(E)'!AH57 + '환경부사업(F)'!AH57 + '프로젝트(G)'!AH57 + '협력사 EPC(H)'!AH57 + '기타(Z)'!AH57</f>
        <v>0</v>
      </c>
      <c r="I77" s="139">
        <f>'발전사업(A)'!AI57 + '자가소비(B)'!AI57 + 'PPA 사업(C)'!AI57 + '리스사업(D)'!AI57 + '임대사업(E)'!AI57 + '환경부사업(F)'!AI57 + '프로젝트(G)'!AI57 + '협력사 EPC(H)'!AI57 + '기타(Z)'!AI57</f>
        <v>0</v>
      </c>
      <c r="J77" s="186">
        <f>'발전사업(A)'!AJ57 + '자가소비(B)'!AJ57 + 'PPA 사업(C)'!AJ57 + '리스사업(D)'!AJ57 + '임대사업(E)'!AJ57 + '환경부사업(F)'!AJ57 + '프로젝트(G)'!AJ57 + '협력사 EPC(H)'!AJ57 + '기타(Z)'!AJ57</f>
        <v>0</v>
      </c>
      <c r="K77" s="187">
        <f>'발전사업(A)'!AK57 + '자가소비(B)'!AK57 + 'PPA 사업(C)'!AK57 + '리스사업(D)'!AK57 + '임대사업(E)'!AK57 + '환경부사업(F)'!AK57 + '프로젝트(G)'!AK57 + '협력사 EPC(H)'!AK57 + '기타(Z)'!AK57</f>
        <v>0</v>
      </c>
      <c r="L77" s="187">
        <f>'발전사업(A)'!AL57 + '자가소비(B)'!AL57 + 'PPA 사업(C)'!AL57 + '리스사업(D)'!AL57 + '임대사업(E)'!AL57 + '환경부사업(F)'!AL57 + '프로젝트(G)'!AL57 + '협력사 EPC(H)'!AL57 + '기타(Z)'!AL57</f>
        <v>0</v>
      </c>
      <c r="M77" s="187">
        <f>'발전사업(A)'!AM57 + '자가소비(B)'!AM57 + 'PPA 사업(C)'!AM57 + '리스사업(D)'!AM57 + '임대사업(E)'!AM57 + '환경부사업(F)'!AM57 + '프로젝트(G)'!AM57 + '협력사 EPC(H)'!AM57 + '기타(Z)'!AM57</f>
        <v>0</v>
      </c>
      <c r="N77" s="188">
        <f>'발전사업(A)'!AN57 + '자가소비(B)'!AN57 + 'PPA 사업(C)'!AN57 + '리스사업(D)'!AN57 + '임대사업(E)'!AN57 + '환경부사업(F)'!AN57 + '프로젝트(G)'!AN57 + '협력사 EPC(H)'!AN57 + '기타(Z)'!AN57</f>
        <v>0</v>
      </c>
      <c r="O77" s="39">
        <f>'발전사업(A)'!AO57 + '자가소비(B)'!AO57 + 'PPA 사업(C)'!AO57 + '리스사업(D)'!AO57 + '임대사업(E)'!AO57 + '환경부사업(F)'!AO57 + '프로젝트(G)'!AO57 + '협력사 EPC(H)'!AO57 + '기타(Z)'!AO57 + '협력사 하도(I)'!AO57</f>
        <v>0</v>
      </c>
      <c r="P77" s="138">
        <f>'발전사업(A)'!AP57 + '자가소비(B)'!AP57 + 'PPA 사업(C)'!AP57 + '리스사업(D)'!AP57 + '임대사업(E)'!AP57 + '환경부사업(F)'!AP57 + '프로젝트(G)'!AP57 + '협력사 EPC(H)'!AP57 + '기타(Z)'!AP57 + '협력사 하도(I)'!AP57</f>
        <v>0</v>
      </c>
      <c r="Q77" s="138">
        <f>'발전사업(A)'!AQ57 + '자가소비(B)'!AQ57 + 'PPA 사업(C)'!AQ57 + '리스사업(D)'!AQ57 + '임대사업(E)'!AQ57 + '환경부사업(F)'!AQ57 + '프로젝트(G)'!AQ57 + '협력사 EPC(H)'!AQ57 + '기타(Z)'!AQ57 + '협력사 하도(I)'!AQ57</f>
        <v>0</v>
      </c>
      <c r="R77" s="138">
        <f>'발전사업(A)'!AR57 + '자가소비(B)'!AR57 + 'PPA 사업(C)'!AR57 + '리스사업(D)'!AR57 + '임대사업(E)'!AR57 + '환경부사업(F)'!AR57 + '프로젝트(G)'!AR57 + '협력사 EPC(H)'!AR57 + '기타(Z)'!AR57 + '협력사 하도(I)'!AR57</f>
        <v>0</v>
      </c>
      <c r="S77" s="140">
        <f>'발전사업(A)'!AS57 + '자가소비(B)'!AS57 + 'PPA 사업(C)'!AS57 + '리스사업(D)'!AS57 + '임대사업(E)'!AS57 + '환경부사업(F)'!AS57 + '프로젝트(G)'!AS57 + '협력사 EPC(H)'!AS57 + '기타(Z)'!AS57 + '협력사 하도(I)'!AS57</f>
        <v>0</v>
      </c>
    </row>
    <row r="78" spans="1:19" x14ac:dyDescent="0.25">
      <c r="A78">
        <v>10</v>
      </c>
      <c r="B78" s="487"/>
      <c r="C78" s="90">
        <v>2</v>
      </c>
      <c r="D78" s="96" t="s">
        <v>209</v>
      </c>
      <c r="E78" s="129">
        <f>'발전사업(A)'!AE58 + '자가소비(B)'!AE58 + 'PPA 사업(C)'!AE58 + '리스사업(D)'!AE58 + '임대사업(E)'!AE58 + '환경부사업(F)'!AE58 + '프로젝트(G)'!AE58 + '협력사 EPC(H)'!AE58 + '기타(Z)'!AE58</f>
        <v>0</v>
      </c>
      <c r="F78" s="39">
        <f>'발전사업(A)'!AF58 + '자가소비(B)'!AF58 + 'PPA 사업(C)'!AF58 + '리스사업(D)'!AF58 + '임대사업(E)'!AF58 + '환경부사업(F)'!AF58 + '프로젝트(G)'!AF58 + '협력사 EPC(H)'!AF58 + '기타(Z)'!AF58</f>
        <v>0</v>
      </c>
      <c r="G78" s="39">
        <f>'발전사업(A)'!AG58 + '자가소비(B)'!AG58 + 'PPA 사업(C)'!AG58 + '리스사업(D)'!AG58 + '임대사업(E)'!AG58 + '환경부사업(F)'!AG58 + '프로젝트(G)'!AG58 + '협력사 EPC(H)'!AG58 + '기타(Z)'!AG58</f>
        <v>0</v>
      </c>
      <c r="H78" s="39">
        <f>'발전사업(A)'!AH58 + '자가소비(B)'!AH58 + 'PPA 사업(C)'!AH58 + '리스사업(D)'!AH58 + '임대사업(E)'!AH58 + '환경부사업(F)'!AH58 + '프로젝트(G)'!AH58 + '협력사 EPC(H)'!AH58 + '기타(Z)'!AH58</f>
        <v>0</v>
      </c>
      <c r="I78" s="125">
        <f>'발전사업(A)'!AI58 + '자가소비(B)'!AI58 + 'PPA 사업(C)'!AI58 + '리스사업(D)'!AI58 + '임대사업(E)'!AI58 + '환경부사업(F)'!AI58 + '프로젝트(G)'!AI58 + '협력사 EPC(H)'!AI58 + '기타(Z)'!AI58</f>
        <v>0</v>
      </c>
      <c r="J78" s="115">
        <f>'발전사업(A)'!AJ58 + '자가소비(B)'!AJ58 + 'PPA 사업(C)'!AJ58 + '리스사업(D)'!AJ58 + '임대사업(E)'!AJ58 + '환경부사업(F)'!AJ58 + '프로젝트(G)'!AJ58 + '협력사 EPC(H)'!AJ58 + '기타(Z)'!AJ58</f>
        <v>0</v>
      </c>
      <c r="K78" s="181">
        <f>'발전사업(A)'!AK58 + '자가소비(B)'!AK58 + 'PPA 사업(C)'!AK58 + '리스사업(D)'!AK58 + '임대사업(E)'!AK58 + '환경부사업(F)'!AK58 + '프로젝트(G)'!AK58 + '협력사 EPC(H)'!AK58 + '기타(Z)'!AK58</f>
        <v>0</v>
      </c>
      <c r="L78" s="181">
        <f>'발전사업(A)'!AL58 + '자가소비(B)'!AL58 + 'PPA 사업(C)'!AL58 + '리스사업(D)'!AL58 + '임대사업(E)'!AL58 + '환경부사업(F)'!AL58 + '프로젝트(G)'!AL58 + '협력사 EPC(H)'!AL58 + '기타(Z)'!AL58</f>
        <v>0</v>
      </c>
      <c r="M78" s="181">
        <f>'발전사업(A)'!AM58 + '자가소비(B)'!AM58 + 'PPA 사업(C)'!AM58 + '리스사업(D)'!AM58 + '임대사업(E)'!AM58 + '환경부사업(F)'!AM58 + '프로젝트(G)'!AM58 + '협력사 EPC(H)'!AM58 + '기타(Z)'!AM58</f>
        <v>0</v>
      </c>
      <c r="N78" s="182">
        <f>'발전사업(A)'!AN58 + '자가소비(B)'!AN58 + 'PPA 사업(C)'!AN58 + '리스사업(D)'!AN58 + '임대사업(E)'!AN58 + '환경부사업(F)'!AN58 + '프로젝트(G)'!AN58 + '협력사 EPC(H)'!AN58 + '기타(Z)'!AN58</f>
        <v>0</v>
      </c>
      <c r="O78" s="39">
        <f>'발전사업(A)'!AO58 + '자가소비(B)'!AO58 + 'PPA 사업(C)'!AO58 + '리스사업(D)'!AO58 + '임대사업(E)'!AO58 + '환경부사업(F)'!AO58 + '프로젝트(G)'!AO58 + '협력사 EPC(H)'!AO58 + '기타(Z)'!AO58 + '협력사 하도(I)'!AO58</f>
        <v>0</v>
      </c>
      <c r="P78" s="39">
        <f>'발전사업(A)'!AP58 + '자가소비(B)'!AP58 + 'PPA 사업(C)'!AP58 + '리스사업(D)'!AP58 + '임대사업(E)'!AP58 + '환경부사업(F)'!AP58 + '프로젝트(G)'!AP58 + '협력사 EPC(H)'!AP58 + '기타(Z)'!AP58 + '협력사 하도(I)'!AP58</f>
        <v>0</v>
      </c>
      <c r="Q78" s="39">
        <f>'발전사업(A)'!AQ58 + '자가소비(B)'!AQ58 + 'PPA 사업(C)'!AQ58 + '리스사업(D)'!AQ58 + '임대사업(E)'!AQ58 + '환경부사업(F)'!AQ58 + '프로젝트(G)'!AQ58 + '협력사 EPC(H)'!AQ58 + '기타(Z)'!AQ58 + '협력사 하도(I)'!AQ58</f>
        <v>0</v>
      </c>
      <c r="R78" s="39">
        <f>'발전사업(A)'!AR58 + '자가소비(B)'!AR58 + 'PPA 사업(C)'!AR58 + '리스사업(D)'!AR58 + '임대사업(E)'!AR58 + '환경부사업(F)'!AR58 + '프로젝트(G)'!AR58 + '협력사 EPC(H)'!AR58 + '기타(Z)'!AR58 + '협력사 하도(I)'!AR58</f>
        <v>0</v>
      </c>
      <c r="S78" s="130">
        <f>'발전사업(A)'!AS58 + '자가소비(B)'!AS58 + 'PPA 사업(C)'!AS58 + '리스사업(D)'!AS58 + '임대사업(E)'!AS58 + '환경부사업(F)'!AS58 + '프로젝트(G)'!AS58 + '협력사 EPC(H)'!AS58 + '기타(Z)'!AS58 + '협력사 하도(I)'!AS58</f>
        <v>0</v>
      </c>
    </row>
    <row r="79" spans="1:19" x14ac:dyDescent="0.25">
      <c r="A79">
        <v>10</v>
      </c>
      <c r="B79" s="487"/>
      <c r="C79" s="90">
        <v>3</v>
      </c>
      <c r="D79" s="97" t="s">
        <v>210</v>
      </c>
      <c r="E79" s="129">
        <f>'발전사업(A)'!AE59 + '자가소비(B)'!AE59 + 'PPA 사업(C)'!AE59 + '리스사업(D)'!AE59 + '임대사업(E)'!AE59 + '환경부사업(F)'!AE59 + '프로젝트(G)'!AE59 + '협력사 EPC(H)'!AE59 + '기타(Z)'!AE59</f>
        <v>0</v>
      </c>
      <c r="F79" s="39">
        <f>'발전사업(A)'!AF59 + '자가소비(B)'!AF59 + 'PPA 사업(C)'!AF59 + '리스사업(D)'!AF59 + '임대사업(E)'!AF59 + '환경부사업(F)'!AF59 + '프로젝트(G)'!AF59 + '협력사 EPC(H)'!AF59 + '기타(Z)'!AF59</f>
        <v>0</v>
      </c>
      <c r="G79" s="39">
        <f>'발전사업(A)'!AG59 + '자가소비(B)'!AG59 + 'PPA 사업(C)'!AG59 + '리스사업(D)'!AG59 + '임대사업(E)'!AG59 + '환경부사업(F)'!AG59 + '프로젝트(G)'!AG59 + '협력사 EPC(H)'!AG59 + '기타(Z)'!AG59</f>
        <v>0</v>
      </c>
      <c r="H79" s="39">
        <f>'발전사업(A)'!AH59 + '자가소비(B)'!AH59 + 'PPA 사업(C)'!AH59 + '리스사업(D)'!AH59 + '임대사업(E)'!AH59 + '환경부사업(F)'!AH59 + '프로젝트(G)'!AH59 + '협력사 EPC(H)'!AH59 + '기타(Z)'!AH59</f>
        <v>0</v>
      </c>
      <c r="I79" s="125">
        <f>'발전사업(A)'!AI59 + '자가소비(B)'!AI59 + 'PPA 사업(C)'!AI59 + '리스사업(D)'!AI59 + '임대사업(E)'!AI59 + '환경부사업(F)'!AI59 + '프로젝트(G)'!AI59 + '협력사 EPC(H)'!AI59 + '기타(Z)'!AI59</f>
        <v>0</v>
      </c>
      <c r="J79" s="115">
        <f>'발전사업(A)'!AJ59 + '자가소비(B)'!AJ59 + 'PPA 사업(C)'!AJ59 + '리스사업(D)'!AJ59 + '임대사업(E)'!AJ59 + '환경부사업(F)'!AJ59 + '프로젝트(G)'!AJ59 + '협력사 EPC(H)'!AJ59 + '기타(Z)'!AJ59</f>
        <v>0</v>
      </c>
      <c r="K79" s="181">
        <f>'발전사업(A)'!AK59 + '자가소비(B)'!AK59 + 'PPA 사업(C)'!AK59 + '리스사업(D)'!AK59 + '임대사업(E)'!AK59 + '환경부사업(F)'!AK59 + '프로젝트(G)'!AK59 + '협력사 EPC(H)'!AK59 + '기타(Z)'!AK59</f>
        <v>0</v>
      </c>
      <c r="L79" s="181">
        <f>'발전사업(A)'!AL59 + '자가소비(B)'!AL59 + 'PPA 사업(C)'!AL59 + '리스사업(D)'!AL59 + '임대사업(E)'!AL59 + '환경부사업(F)'!AL59 + '프로젝트(G)'!AL59 + '협력사 EPC(H)'!AL59 + '기타(Z)'!AL59</f>
        <v>0</v>
      </c>
      <c r="M79" s="181">
        <f>'발전사업(A)'!AM59 + '자가소비(B)'!AM59 + 'PPA 사업(C)'!AM59 + '리스사업(D)'!AM59 + '임대사업(E)'!AM59 + '환경부사업(F)'!AM59 + '프로젝트(G)'!AM59 + '협력사 EPC(H)'!AM59 + '기타(Z)'!AM59</f>
        <v>0</v>
      </c>
      <c r="N79" s="182">
        <f>'발전사업(A)'!AN59 + '자가소비(B)'!AN59 + 'PPA 사업(C)'!AN59 + '리스사업(D)'!AN59 + '임대사업(E)'!AN59 + '환경부사업(F)'!AN59 + '프로젝트(G)'!AN59 + '협력사 EPC(H)'!AN59 + '기타(Z)'!AN59</f>
        <v>0</v>
      </c>
      <c r="O79" s="39">
        <f>'발전사업(A)'!AO59 + '자가소비(B)'!AO59 + 'PPA 사업(C)'!AO59 + '리스사업(D)'!AO59 + '임대사업(E)'!AO59 + '환경부사업(F)'!AO59 + '프로젝트(G)'!AO59 + '협력사 EPC(H)'!AO59 + '기타(Z)'!AO59 + '협력사 하도(I)'!AO59</f>
        <v>0</v>
      </c>
      <c r="P79" s="39">
        <f>'발전사업(A)'!AP59 + '자가소비(B)'!AP59 + 'PPA 사업(C)'!AP59 + '리스사업(D)'!AP59 + '임대사업(E)'!AP59 + '환경부사업(F)'!AP59 + '프로젝트(G)'!AP59 + '협력사 EPC(H)'!AP59 + '기타(Z)'!AP59 + '협력사 하도(I)'!AP59</f>
        <v>0</v>
      </c>
      <c r="Q79" s="39">
        <f>'발전사업(A)'!AQ59 + '자가소비(B)'!AQ59 + 'PPA 사업(C)'!AQ59 + '리스사업(D)'!AQ59 + '임대사업(E)'!AQ59 + '환경부사업(F)'!AQ59 + '프로젝트(G)'!AQ59 + '협력사 EPC(H)'!AQ59 + '기타(Z)'!AQ59 + '협력사 하도(I)'!AQ59</f>
        <v>0</v>
      </c>
      <c r="R79" s="39">
        <f>'발전사업(A)'!AR59 + '자가소비(B)'!AR59 + 'PPA 사업(C)'!AR59 + '리스사업(D)'!AR59 + '임대사업(E)'!AR59 + '환경부사업(F)'!AR59 + '프로젝트(G)'!AR59 + '협력사 EPC(H)'!AR59 + '기타(Z)'!AR59 + '협력사 하도(I)'!AR59</f>
        <v>0</v>
      </c>
      <c r="S79" s="130">
        <f>'발전사업(A)'!AS59 + '자가소비(B)'!AS59 + 'PPA 사업(C)'!AS59 + '리스사업(D)'!AS59 + '임대사업(E)'!AS59 + '환경부사업(F)'!AS59 + '프로젝트(G)'!AS59 + '협력사 EPC(H)'!AS59 + '기타(Z)'!AS59 + '협력사 하도(I)'!AS59</f>
        <v>0</v>
      </c>
    </row>
    <row r="80" spans="1:19" x14ac:dyDescent="0.25">
      <c r="A80">
        <v>10</v>
      </c>
      <c r="B80" s="487"/>
      <c r="C80" s="90">
        <v>4</v>
      </c>
      <c r="D80" s="97" t="s">
        <v>211</v>
      </c>
      <c r="E80" s="129">
        <f>'발전사업(A)'!AE60 + '자가소비(B)'!AE60 + 'PPA 사업(C)'!AE60 + '리스사업(D)'!AE60 + '임대사업(E)'!AE60 + '환경부사업(F)'!AE60 + '프로젝트(G)'!AE60 + '협력사 EPC(H)'!AE60 + '기타(Z)'!AE60</f>
        <v>0</v>
      </c>
      <c r="F80" s="39">
        <f>'발전사업(A)'!AF60 + '자가소비(B)'!AF60 + 'PPA 사업(C)'!AF60 + '리스사업(D)'!AF60 + '임대사업(E)'!AF60 + '환경부사업(F)'!AF60 + '프로젝트(G)'!AF60 + '협력사 EPC(H)'!AF60 + '기타(Z)'!AF60</f>
        <v>0</v>
      </c>
      <c r="G80" s="39">
        <f>'발전사업(A)'!AG60 + '자가소비(B)'!AG60 + 'PPA 사업(C)'!AG60 + '리스사업(D)'!AG60 + '임대사업(E)'!AG60 + '환경부사업(F)'!AG60 + '프로젝트(G)'!AG60 + '협력사 EPC(H)'!AG60 + '기타(Z)'!AG60</f>
        <v>0</v>
      </c>
      <c r="H80" s="39">
        <f>'발전사업(A)'!AH60 + '자가소비(B)'!AH60 + 'PPA 사업(C)'!AH60 + '리스사업(D)'!AH60 + '임대사업(E)'!AH60 + '환경부사업(F)'!AH60 + '프로젝트(G)'!AH60 + '협력사 EPC(H)'!AH60 + '기타(Z)'!AH60</f>
        <v>0</v>
      </c>
      <c r="I80" s="125">
        <f>'발전사업(A)'!AI60 + '자가소비(B)'!AI60 + 'PPA 사업(C)'!AI60 + '리스사업(D)'!AI60 + '임대사업(E)'!AI60 + '환경부사업(F)'!AI60 + '프로젝트(G)'!AI60 + '협력사 EPC(H)'!AI60 + '기타(Z)'!AI60</f>
        <v>0</v>
      </c>
      <c r="J80" s="115">
        <f>'발전사업(A)'!AJ60 + '자가소비(B)'!AJ60 + 'PPA 사업(C)'!AJ60 + '리스사업(D)'!AJ60 + '임대사업(E)'!AJ60 + '환경부사업(F)'!AJ60 + '프로젝트(G)'!AJ60 + '협력사 EPC(H)'!AJ60 + '기타(Z)'!AJ60</f>
        <v>0</v>
      </c>
      <c r="K80" s="181">
        <f>'발전사업(A)'!AK60 + '자가소비(B)'!AK60 + 'PPA 사업(C)'!AK60 + '리스사업(D)'!AK60 + '임대사업(E)'!AK60 + '환경부사업(F)'!AK60 + '프로젝트(G)'!AK60 + '협력사 EPC(H)'!AK60 + '기타(Z)'!AK60</f>
        <v>0</v>
      </c>
      <c r="L80" s="181">
        <f>'발전사업(A)'!AL60 + '자가소비(B)'!AL60 + 'PPA 사업(C)'!AL60 + '리스사업(D)'!AL60 + '임대사업(E)'!AL60 + '환경부사업(F)'!AL60 + '프로젝트(G)'!AL60 + '협력사 EPC(H)'!AL60 + '기타(Z)'!AL60</f>
        <v>0</v>
      </c>
      <c r="M80" s="181">
        <f>'발전사업(A)'!AM60 + '자가소비(B)'!AM60 + 'PPA 사업(C)'!AM60 + '리스사업(D)'!AM60 + '임대사업(E)'!AM60 + '환경부사업(F)'!AM60 + '프로젝트(G)'!AM60 + '협력사 EPC(H)'!AM60 + '기타(Z)'!AM60</f>
        <v>0</v>
      </c>
      <c r="N80" s="182">
        <f>'발전사업(A)'!AN60 + '자가소비(B)'!AN60 + 'PPA 사업(C)'!AN60 + '리스사업(D)'!AN60 + '임대사업(E)'!AN60 + '환경부사업(F)'!AN60 + '프로젝트(G)'!AN60 + '협력사 EPC(H)'!AN60 + '기타(Z)'!AN60</f>
        <v>0</v>
      </c>
      <c r="O80" s="39">
        <f>'발전사업(A)'!AO60 + '자가소비(B)'!AO60 + 'PPA 사업(C)'!AO60 + '리스사업(D)'!AO60 + '임대사업(E)'!AO60 + '환경부사업(F)'!AO60 + '프로젝트(G)'!AO60 + '협력사 EPC(H)'!AO60 + '기타(Z)'!AO60 + '협력사 하도(I)'!AO60</f>
        <v>0</v>
      </c>
      <c r="P80" s="39">
        <f>'발전사업(A)'!AP60 + '자가소비(B)'!AP60 + 'PPA 사업(C)'!AP60 + '리스사업(D)'!AP60 + '임대사업(E)'!AP60 + '환경부사업(F)'!AP60 + '프로젝트(G)'!AP60 + '협력사 EPC(H)'!AP60 + '기타(Z)'!AP60 + '협력사 하도(I)'!AP60</f>
        <v>0</v>
      </c>
      <c r="Q80" s="39">
        <f>'발전사업(A)'!AQ60 + '자가소비(B)'!AQ60 + 'PPA 사업(C)'!AQ60 + '리스사업(D)'!AQ60 + '임대사업(E)'!AQ60 + '환경부사업(F)'!AQ60 + '프로젝트(G)'!AQ60 + '협력사 EPC(H)'!AQ60 + '기타(Z)'!AQ60 + '협력사 하도(I)'!AQ60</f>
        <v>0</v>
      </c>
      <c r="R80" s="39">
        <f>'발전사업(A)'!AR60 + '자가소비(B)'!AR60 + 'PPA 사업(C)'!AR60 + '리스사업(D)'!AR60 + '임대사업(E)'!AR60 + '환경부사업(F)'!AR60 + '프로젝트(G)'!AR60 + '협력사 EPC(H)'!AR60 + '기타(Z)'!AR60 + '협력사 하도(I)'!AR60</f>
        <v>0</v>
      </c>
      <c r="S80" s="130">
        <f>'발전사업(A)'!AS60 + '자가소비(B)'!AS60 + 'PPA 사업(C)'!AS60 + '리스사업(D)'!AS60 + '임대사업(E)'!AS60 + '환경부사업(F)'!AS60 + '프로젝트(G)'!AS60 + '협력사 EPC(H)'!AS60 + '기타(Z)'!AS60 + '협력사 하도(I)'!AS60</f>
        <v>0</v>
      </c>
    </row>
    <row r="81" spans="1:19" x14ac:dyDescent="0.25">
      <c r="A81">
        <v>10</v>
      </c>
      <c r="B81" s="487"/>
      <c r="C81" s="91">
        <v>5</v>
      </c>
      <c r="D81" s="51"/>
      <c r="E81" s="129">
        <f>'발전사업(A)'!AE61 + '자가소비(B)'!AE61 + 'PPA 사업(C)'!AE61 + '리스사업(D)'!AE61 + '임대사업(E)'!AE61 + '환경부사업(F)'!AE61 + '프로젝트(G)'!AE61 + '협력사 EPC(H)'!AE61 + '기타(Z)'!AE61</f>
        <v>0</v>
      </c>
      <c r="F81" s="39">
        <f>'발전사업(A)'!AF61 + '자가소비(B)'!AF61 + 'PPA 사업(C)'!AF61 + '리스사업(D)'!AF61 + '임대사업(E)'!AF61 + '환경부사업(F)'!AF61 + '프로젝트(G)'!AF61 + '협력사 EPC(H)'!AF61 + '기타(Z)'!AF61</f>
        <v>0</v>
      </c>
      <c r="G81" s="39">
        <f>'발전사업(A)'!AG61 + '자가소비(B)'!AG61 + 'PPA 사업(C)'!AG61 + '리스사업(D)'!AG61 + '임대사업(E)'!AG61 + '환경부사업(F)'!AG61 + '프로젝트(G)'!AG61 + '협력사 EPC(H)'!AG61 + '기타(Z)'!AG61</f>
        <v>0</v>
      </c>
      <c r="H81" s="39">
        <f>'발전사업(A)'!AH61 + '자가소비(B)'!AH61 + 'PPA 사업(C)'!AH61 + '리스사업(D)'!AH61 + '임대사업(E)'!AH61 + '환경부사업(F)'!AH61 + '프로젝트(G)'!AH61 + '협력사 EPC(H)'!AH61 + '기타(Z)'!AH61</f>
        <v>0</v>
      </c>
      <c r="I81" s="125">
        <f>'발전사업(A)'!AI61 + '자가소비(B)'!AI61 + 'PPA 사업(C)'!AI61 + '리스사업(D)'!AI61 + '임대사업(E)'!AI61 + '환경부사업(F)'!AI61 + '프로젝트(G)'!AI61 + '협력사 EPC(H)'!AI61 + '기타(Z)'!AI61</f>
        <v>0</v>
      </c>
      <c r="J81" s="115">
        <f>'발전사업(A)'!AJ61 + '자가소비(B)'!AJ61 + 'PPA 사업(C)'!AJ61 + '리스사업(D)'!AJ61 + '임대사업(E)'!AJ61 + '환경부사업(F)'!AJ61 + '프로젝트(G)'!AJ61 + '협력사 EPC(H)'!AJ61 + '기타(Z)'!AJ61</f>
        <v>0</v>
      </c>
      <c r="K81" s="181">
        <f>'발전사업(A)'!AK61 + '자가소비(B)'!AK61 + 'PPA 사업(C)'!AK61 + '리스사업(D)'!AK61 + '임대사업(E)'!AK61 + '환경부사업(F)'!AK61 + '프로젝트(G)'!AK61 + '협력사 EPC(H)'!AK61 + '기타(Z)'!AK61</f>
        <v>0</v>
      </c>
      <c r="L81" s="181">
        <f>'발전사업(A)'!AL61 + '자가소비(B)'!AL61 + 'PPA 사업(C)'!AL61 + '리스사업(D)'!AL61 + '임대사업(E)'!AL61 + '환경부사업(F)'!AL61 + '프로젝트(G)'!AL61 + '협력사 EPC(H)'!AL61 + '기타(Z)'!AL61</f>
        <v>0</v>
      </c>
      <c r="M81" s="181">
        <f>'발전사업(A)'!AM61 + '자가소비(B)'!AM61 + 'PPA 사업(C)'!AM61 + '리스사업(D)'!AM61 + '임대사업(E)'!AM61 + '환경부사업(F)'!AM61 + '프로젝트(G)'!AM61 + '협력사 EPC(H)'!AM61 + '기타(Z)'!AM61</f>
        <v>0</v>
      </c>
      <c r="N81" s="182">
        <f>'발전사업(A)'!AN61 + '자가소비(B)'!AN61 + 'PPA 사업(C)'!AN61 + '리스사업(D)'!AN61 + '임대사업(E)'!AN61 + '환경부사업(F)'!AN61 + '프로젝트(G)'!AN61 + '협력사 EPC(H)'!AN61 + '기타(Z)'!AN61</f>
        <v>0</v>
      </c>
      <c r="O81" s="39">
        <f>'발전사업(A)'!AO61 + '자가소비(B)'!AO61 + 'PPA 사업(C)'!AO61 + '리스사업(D)'!AO61 + '임대사업(E)'!AO61 + '환경부사업(F)'!AO61 + '프로젝트(G)'!AO61 + '협력사 EPC(H)'!AO61 + '기타(Z)'!AO61 + '협력사 하도(I)'!AO61</f>
        <v>0</v>
      </c>
      <c r="P81" s="39">
        <f>'발전사업(A)'!AP61 + '자가소비(B)'!AP61 + 'PPA 사업(C)'!AP61 + '리스사업(D)'!AP61 + '임대사업(E)'!AP61 + '환경부사업(F)'!AP61 + '프로젝트(G)'!AP61 + '협력사 EPC(H)'!AP61 + '기타(Z)'!AP61 + '협력사 하도(I)'!AP61</f>
        <v>0</v>
      </c>
      <c r="Q81" s="39">
        <f>'발전사업(A)'!AQ61 + '자가소비(B)'!AQ61 + 'PPA 사업(C)'!AQ61 + '리스사업(D)'!AQ61 + '임대사업(E)'!AQ61 + '환경부사업(F)'!AQ61 + '프로젝트(G)'!AQ61 + '협력사 EPC(H)'!AQ61 + '기타(Z)'!AQ61 + '협력사 하도(I)'!AQ61</f>
        <v>0</v>
      </c>
      <c r="R81" s="39">
        <f>'발전사업(A)'!AR61 + '자가소비(B)'!AR61 + 'PPA 사업(C)'!AR61 + '리스사업(D)'!AR61 + '임대사업(E)'!AR61 + '환경부사업(F)'!AR61 + '프로젝트(G)'!AR61 + '협력사 EPC(H)'!AR61 + '기타(Z)'!AR61 + '협력사 하도(I)'!AR61</f>
        <v>0</v>
      </c>
      <c r="S81" s="130">
        <f>'발전사업(A)'!AS61 + '자가소비(B)'!AS61 + 'PPA 사업(C)'!AS61 + '리스사업(D)'!AS61 + '임대사업(E)'!AS61 + '환경부사업(F)'!AS61 + '프로젝트(G)'!AS61 + '협력사 EPC(H)'!AS61 + '기타(Z)'!AS61 + '협력사 하도(I)'!AS61</f>
        <v>0</v>
      </c>
    </row>
    <row r="82" spans="1:19" ht="14.25" thickBot="1" x14ac:dyDescent="0.3">
      <c r="A82">
        <v>10</v>
      </c>
      <c r="B82" s="488"/>
      <c r="C82" s="92" t="s">
        <v>3</v>
      </c>
      <c r="D82" s="101"/>
      <c r="E82" s="141">
        <f>'발전사업(A)'!AE62 + '자가소비(B)'!AE62 + 'PPA 사업(C)'!AE62 + '리스사업(D)'!AE62 + '임대사업(E)'!AE62 + '환경부사업(F)'!AE62 + '프로젝트(G)'!AE62 + '협력사 EPC(H)'!AE62 + '기타(Z)'!AE62</f>
        <v>0</v>
      </c>
      <c r="F82" s="142">
        <f>'발전사업(A)'!AF62 + '자가소비(B)'!AF62 + 'PPA 사업(C)'!AF62 + '리스사업(D)'!AF62 + '임대사업(E)'!AF62 + '환경부사업(F)'!AF62 + '프로젝트(G)'!AF62 + '협력사 EPC(H)'!AF62 + '기타(Z)'!AF62</f>
        <v>0</v>
      </c>
      <c r="G82" s="142">
        <f>'발전사업(A)'!AG62 + '자가소비(B)'!AG62 + 'PPA 사업(C)'!AG62 + '리스사업(D)'!AG62 + '임대사업(E)'!AG62 + '환경부사업(F)'!AG62 + '프로젝트(G)'!AG62 + '협력사 EPC(H)'!AG62 + '기타(Z)'!AG62</f>
        <v>0</v>
      </c>
      <c r="H82" s="142">
        <f>'발전사업(A)'!AH62 + '자가소비(B)'!AH62 + 'PPA 사업(C)'!AH62 + '리스사업(D)'!AH62 + '임대사업(E)'!AH62 + '환경부사업(F)'!AH62 + '프로젝트(G)'!AH62 + '협력사 EPC(H)'!AH62 + '기타(Z)'!AH62</f>
        <v>0</v>
      </c>
      <c r="I82" s="143">
        <f>'발전사업(A)'!AI62 + '자가소비(B)'!AI62 + 'PPA 사업(C)'!AI62 + '리스사업(D)'!AI62 + '임대사업(E)'!AI62 + '환경부사업(F)'!AI62 + '프로젝트(G)'!AI62 + '협력사 EPC(H)'!AI62 + '기타(Z)'!AI62</f>
        <v>0</v>
      </c>
      <c r="J82" s="189">
        <f>'발전사업(A)'!AJ62 + '자가소비(B)'!AJ62 + 'PPA 사업(C)'!AJ62 + '리스사업(D)'!AJ62 + '임대사업(E)'!AJ62 + '환경부사업(F)'!AJ62 + '프로젝트(G)'!AJ62 + '협력사 EPC(H)'!AJ62 + '기타(Z)'!AJ62</f>
        <v>0</v>
      </c>
      <c r="K82" s="190">
        <f>'발전사업(A)'!AK62 + '자가소비(B)'!AK62 + 'PPA 사업(C)'!AK62 + '리스사업(D)'!AK62 + '임대사업(E)'!AK62 + '환경부사업(F)'!AK62 + '프로젝트(G)'!AK62 + '협력사 EPC(H)'!AK62 + '기타(Z)'!AK62</f>
        <v>0</v>
      </c>
      <c r="L82" s="190">
        <f>'발전사업(A)'!AL62 + '자가소비(B)'!AL62 + 'PPA 사업(C)'!AL62 + '리스사업(D)'!AL62 + '임대사업(E)'!AL62 + '환경부사업(F)'!AL62 + '프로젝트(G)'!AL62 + '협력사 EPC(H)'!AL62 + '기타(Z)'!AL62</f>
        <v>0</v>
      </c>
      <c r="M82" s="190">
        <f>'발전사업(A)'!AM62 + '자가소비(B)'!AM62 + 'PPA 사업(C)'!AM62 + '리스사업(D)'!AM62 + '임대사업(E)'!AM62 + '환경부사업(F)'!AM62 + '프로젝트(G)'!AM62 + '협력사 EPC(H)'!AM62 + '기타(Z)'!AM62</f>
        <v>0</v>
      </c>
      <c r="N82" s="191">
        <f>'발전사업(A)'!AN62 + '자가소비(B)'!AN62 + 'PPA 사업(C)'!AN62 + '리스사업(D)'!AN62 + '임대사업(E)'!AN62 + '환경부사업(F)'!AN62 + '프로젝트(G)'!AN62 + '협력사 EPC(H)'!AN62 + '기타(Z)'!AN62</f>
        <v>0</v>
      </c>
      <c r="O82" s="167">
        <f>'발전사업(A)'!AO62 + '자가소비(B)'!AO62 + 'PPA 사업(C)'!AO62 + '리스사업(D)'!AO62 + '임대사업(E)'!AO62 + '환경부사업(F)'!AO62 + '프로젝트(G)'!AO62 + '협력사 EPC(H)'!AO62 + '기타(Z)'!AO62 + '협력사 하도(I)'!AO62</f>
        <v>0</v>
      </c>
      <c r="P82" s="142">
        <f>'발전사업(A)'!AP62 + '자가소비(B)'!AP62 + 'PPA 사업(C)'!AP62 + '리스사업(D)'!AP62 + '임대사업(E)'!AP62 + '환경부사업(F)'!AP62 + '프로젝트(G)'!AP62 + '협력사 EPC(H)'!AP62 + '기타(Z)'!AP62 + '협력사 하도(I)'!AP62</f>
        <v>0</v>
      </c>
      <c r="Q82" s="142">
        <f>'발전사업(A)'!AQ62 + '자가소비(B)'!AQ62 + 'PPA 사업(C)'!AQ62 + '리스사업(D)'!AQ62 + '임대사업(E)'!AQ62 + '환경부사업(F)'!AQ62 + '프로젝트(G)'!AQ62 + '협력사 EPC(H)'!AQ62 + '기타(Z)'!AQ62 + '협력사 하도(I)'!AQ62</f>
        <v>0</v>
      </c>
      <c r="R82" s="142">
        <f>'발전사업(A)'!AR62 + '자가소비(B)'!AR62 + 'PPA 사업(C)'!AR62 + '리스사업(D)'!AR62 + '임대사업(E)'!AR62 + '환경부사업(F)'!AR62 + '프로젝트(G)'!AR62 + '협력사 EPC(H)'!AR62 + '기타(Z)'!AR62 + '협력사 하도(I)'!AR62</f>
        <v>0</v>
      </c>
      <c r="S82" s="144">
        <f>'발전사업(A)'!AS62 + '자가소비(B)'!AS62 + 'PPA 사업(C)'!AS62 + '리스사업(D)'!AS62 + '임대사업(E)'!AS62 + '환경부사업(F)'!AS62 + '프로젝트(G)'!AS62 + '협력사 EPC(H)'!AS62 + '기타(Z)'!AS62 + '협력사 하도(I)'!AS62</f>
        <v>0</v>
      </c>
    </row>
    <row r="83" spans="1:19" x14ac:dyDescent="0.25">
      <c r="A83">
        <v>11</v>
      </c>
      <c r="B83" s="486">
        <v>11</v>
      </c>
      <c r="C83" s="89">
        <v>1</v>
      </c>
      <c r="D83" s="95" t="s">
        <v>242</v>
      </c>
      <c r="E83" s="39">
        <f>'발전사업(A)'!AE63 + '자가소비(B)'!AE63 + 'PPA 사업(C)'!AE63 + '리스사업(D)'!AE63 + '임대사업(E)'!AE63 + '환경부사업(F)'!AE63 + '프로젝트(G)'!AE63 + '협력사 EPC(H)'!AE63 + '기타(Z)'!AE63</f>
        <v>0</v>
      </c>
      <c r="F83" s="39">
        <f>'발전사업(A)'!AF63 + '자가소비(B)'!AF63 + 'PPA 사업(C)'!AF63 + '리스사업(D)'!AF63 + '임대사업(E)'!AF63 + '환경부사업(F)'!AF63 + '프로젝트(G)'!AF63 + '협력사 EPC(H)'!AF63 + '기타(Z)'!AF63</f>
        <v>0</v>
      </c>
      <c r="G83" s="39">
        <f>'발전사업(A)'!AG63 + '자가소비(B)'!AG63 + 'PPA 사업(C)'!AG63 + '리스사업(D)'!AG63 + '임대사업(E)'!AG63 + '환경부사업(F)'!AG63 + '프로젝트(G)'!AG63 + '협력사 EPC(H)'!AG63 + '기타(Z)'!AG63</f>
        <v>0</v>
      </c>
      <c r="H83" s="39">
        <f>'발전사업(A)'!AH63 + '자가소비(B)'!AH63 + 'PPA 사업(C)'!AH63 + '리스사업(D)'!AH63 + '임대사업(E)'!AH63 + '환경부사업(F)'!AH63 + '프로젝트(G)'!AH63 + '협력사 EPC(H)'!AH63 + '기타(Z)'!AH63</f>
        <v>0</v>
      </c>
      <c r="I83" s="125">
        <f>'발전사업(A)'!AI63 + '자가소비(B)'!AI63 + 'PPA 사업(C)'!AI63 + '리스사업(D)'!AI63 + '임대사업(E)'!AI63 + '환경부사업(F)'!AI63 + '프로젝트(G)'!AI63 + '협력사 EPC(H)'!AI63 + '기타(Z)'!AI63</f>
        <v>0</v>
      </c>
      <c r="J83" s="115">
        <f>'발전사업(A)'!AJ63 + '자가소비(B)'!AJ63 + 'PPA 사업(C)'!AJ63 + '리스사업(D)'!AJ63 + '임대사업(E)'!AJ63 + '환경부사업(F)'!AJ63 + '프로젝트(G)'!AJ63 + '협력사 EPC(H)'!AJ63 + '기타(Z)'!AJ63</f>
        <v>0</v>
      </c>
      <c r="K83" s="181">
        <f>'발전사업(A)'!AK63 + '자가소비(B)'!AK63 + 'PPA 사업(C)'!AK63 + '리스사업(D)'!AK63 + '임대사업(E)'!AK63 + '환경부사업(F)'!AK63 + '프로젝트(G)'!AK63 + '협력사 EPC(H)'!AK63 + '기타(Z)'!AK63</f>
        <v>0</v>
      </c>
      <c r="L83" s="181">
        <f>'발전사업(A)'!AL63 + '자가소비(B)'!AL63 + 'PPA 사업(C)'!AL63 + '리스사업(D)'!AL63 + '임대사업(E)'!AL63 + '환경부사업(F)'!AL63 + '프로젝트(G)'!AL63 + '협력사 EPC(H)'!AL63 + '기타(Z)'!AL63</f>
        <v>0</v>
      </c>
      <c r="M83" s="181">
        <f>'발전사업(A)'!AM63 + '자가소비(B)'!AM63 + 'PPA 사업(C)'!AM63 + '리스사업(D)'!AM63 + '임대사업(E)'!AM63 + '환경부사업(F)'!AM63 + '프로젝트(G)'!AM63 + '협력사 EPC(H)'!AM63 + '기타(Z)'!AM63</f>
        <v>0</v>
      </c>
      <c r="N83" s="182">
        <f>'발전사업(A)'!AN63 + '자가소비(B)'!AN63 + 'PPA 사업(C)'!AN63 + '리스사업(D)'!AN63 + '임대사업(E)'!AN63 + '환경부사업(F)'!AN63 + '프로젝트(G)'!AN63 + '협력사 EPC(H)'!AN63 + '기타(Z)'!AN63</f>
        <v>0</v>
      </c>
      <c r="O83" s="39">
        <f>'발전사업(A)'!AO63 + '자가소비(B)'!AO63 + 'PPA 사업(C)'!AO63 + '리스사업(D)'!AO63 + '임대사업(E)'!AO63 + '환경부사업(F)'!AO63 + '프로젝트(G)'!AO63 + '협력사 EPC(H)'!AO63 + '기타(Z)'!AO63 + '협력사 하도(I)'!AO63</f>
        <v>0</v>
      </c>
      <c r="P83" s="39">
        <f>'발전사업(A)'!AP63 + '자가소비(B)'!AP63 + 'PPA 사업(C)'!AP63 + '리스사업(D)'!AP63 + '임대사업(E)'!AP63 + '환경부사업(F)'!AP63 + '프로젝트(G)'!AP63 + '협력사 EPC(H)'!AP63 + '기타(Z)'!AP63 + '협력사 하도(I)'!AP63</f>
        <v>0</v>
      </c>
      <c r="Q83" s="39">
        <f>'발전사업(A)'!AQ63 + '자가소비(B)'!AQ63 + 'PPA 사업(C)'!AQ63 + '리스사업(D)'!AQ63 + '임대사업(E)'!AQ63 + '환경부사업(F)'!AQ63 + '프로젝트(G)'!AQ63 + '협력사 EPC(H)'!AQ63 + '기타(Z)'!AQ63 + '협력사 하도(I)'!AQ63</f>
        <v>0</v>
      </c>
      <c r="R83" s="39">
        <f>'발전사업(A)'!AR63 + '자가소비(B)'!AR63 + 'PPA 사업(C)'!AR63 + '리스사업(D)'!AR63 + '임대사업(E)'!AR63 + '환경부사업(F)'!AR63 + '프로젝트(G)'!AR63 + '협력사 EPC(H)'!AR63 + '기타(Z)'!AR63 + '협력사 하도(I)'!AR63</f>
        <v>0</v>
      </c>
      <c r="S83" s="130">
        <f>'발전사업(A)'!AS63 + '자가소비(B)'!AS63 + 'PPA 사업(C)'!AS63 + '리스사업(D)'!AS63 + '임대사업(E)'!AS63 + '환경부사업(F)'!AS63 + '프로젝트(G)'!AS63 + '협력사 EPC(H)'!AS63 + '기타(Z)'!AS63 + '협력사 하도(I)'!AS63</f>
        <v>0</v>
      </c>
    </row>
    <row r="84" spans="1:19" x14ac:dyDescent="0.25">
      <c r="A84">
        <v>11</v>
      </c>
      <c r="B84" s="487"/>
      <c r="C84" s="90">
        <v>2</v>
      </c>
      <c r="D84" s="97" t="s">
        <v>212</v>
      </c>
      <c r="E84" s="39">
        <f>'발전사업(A)'!AE64 + '자가소비(B)'!AE64 + 'PPA 사업(C)'!AE64 + '리스사업(D)'!AE64 + '임대사업(E)'!AE64 + '환경부사업(F)'!AE64 + '프로젝트(G)'!AE64 + '협력사 EPC(H)'!AE64 + '기타(Z)'!AE64</f>
        <v>0</v>
      </c>
      <c r="F84" s="39">
        <f>'발전사업(A)'!AF64 + '자가소비(B)'!AF64 + 'PPA 사업(C)'!AF64 + '리스사업(D)'!AF64 + '임대사업(E)'!AF64 + '환경부사업(F)'!AF64 + '프로젝트(G)'!AF64 + '협력사 EPC(H)'!AF64 + '기타(Z)'!AF64</f>
        <v>0</v>
      </c>
      <c r="G84" s="39">
        <f>'발전사업(A)'!AG64 + '자가소비(B)'!AG64 + 'PPA 사업(C)'!AG64 + '리스사업(D)'!AG64 + '임대사업(E)'!AG64 + '환경부사업(F)'!AG64 + '프로젝트(G)'!AG64 + '협력사 EPC(H)'!AG64 + '기타(Z)'!AG64</f>
        <v>0</v>
      </c>
      <c r="H84" s="39">
        <f>'발전사업(A)'!AH64 + '자가소비(B)'!AH64 + 'PPA 사업(C)'!AH64 + '리스사업(D)'!AH64 + '임대사업(E)'!AH64 + '환경부사업(F)'!AH64 + '프로젝트(G)'!AH64 + '협력사 EPC(H)'!AH64 + '기타(Z)'!AH64</f>
        <v>0</v>
      </c>
      <c r="I84" s="125">
        <f>'발전사업(A)'!AI64 + '자가소비(B)'!AI64 + 'PPA 사업(C)'!AI64 + '리스사업(D)'!AI64 + '임대사업(E)'!AI64 + '환경부사업(F)'!AI64 + '프로젝트(G)'!AI64 + '협력사 EPC(H)'!AI64 + '기타(Z)'!AI64</f>
        <v>0</v>
      </c>
      <c r="J84" s="115">
        <f>'발전사업(A)'!AJ64 + '자가소비(B)'!AJ64 + 'PPA 사업(C)'!AJ64 + '리스사업(D)'!AJ64 + '임대사업(E)'!AJ64 + '환경부사업(F)'!AJ64 + '프로젝트(G)'!AJ64 + '협력사 EPC(H)'!AJ64 + '기타(Z)'!AJ64</f>
        <v>0</v>
      </c>
      <c r="K84" s="181">
        <f>'발전사업(A)'!AK64 + '자가소비(B)'!AK64 + 'PPA 사업(C)'!AK64 + '리스사업(D)'!AK64 + '임대사업(E)'!AK64 + '환경부사업(F)'!AK64 + '프로젝트(G)'!AK64 + '협력사 EPC(H)'!AK64 + '기타(Z)'!AK64</f>
        <v>0</v>
      </c>
      <c r="L84" s="181">
        <f>'발전사업(A)'!AL64 + '자가소비(B)'!AL64 + 'PPA 사업(C)'!AL64 + '리스사업(D)'!AL64 + '임대사업(E)'!AL64 + '환경부사업(F)'!AL64 + '프로젝트(G)'!AL64 + '협력사 EPC(H)'!AL64 + '기타(Z)'!AL64</f>
        <v>0</v>
      </c>
      <c r="M84" s="181">
        <f>'발전사업(A)'!AM64 + '자가소비(B)'!AM64 + 'PPA 사업(C)'!AM64 + '리스사업(D)'!AM64 + '임대사업(E)'!AM64 + '환경부사업(F)'!AM64 + '프로젝트(G)'!AM64 + '협력사 EPC(H)'!AM64 + '기타(Z)'!AM64</f>
        <v>0</v>
      </c>
      <c r="N84" s="182">
        <f>'발전사업(A)'!AN64 + '자가소비(B)'!AN64 + 'PPA 사업(C)'!AN64 + '리스사업(D)'!AN64 + '임대사업(E)'!AN64 + '환경부사업(F)'!AN64 + '프로젝트(G)'!AN64 + '협력사 EPC(H)'!AN64 + '기타(Z)'!AN64</f>
        <v>0</v>
      </c>
      <c r="O84" s="39">
        <f>'발전사업(A)'!AO64 + '자가소비(B)'!AO64 + 'PPA 사업(C)'!AO64 + '리스사업(D)'!AO64 + '임대사업(E)'!AO64 + '환경부사업(F)'!AO64 + '프로젝트(G)'!AO64 + '협력사 EPC(H)'!AO64 + '기타(Z)'!AO64 + '협력사 하도(I)'!AO64</f>
        <v>0</v>
      </c>
      <c r="P84" s="39">
        <f>'발전사업(A)'!AP64 + '자가소비(B)'!AP64 + 'PPA 사업(C)'!AP64 + '리스사업(D)'!AP64 + '임대사업(E)'!AP64 + '환경부사업(F)'!AP64 + '프로젝트(G)'!AP64 + '협력사 EPC(H)'!AP64 + '기타(Z)'!AP64 + '협력사 하도(I)'!AP64</f>
        <v>0</v>
      </c>
      <c r="Q84" s="39">
        <f>'발전사업(A)'!AQ64 + '자가소비(B)'!AQ64 + 'PPA 사업(C)'!AQ64 + '리스사업(D)'!AQ64 + '임대사업(E)'!AQ64 + '환경부사업(F)'!AQ64 + '프로젝트(G)'!AQ64 + '협력사 EPC(H)'!AQ64 + '기타(Z)'!AQ64 + '협력사 하도(I)'!AQ64</f>
        <v>0</v>
      </c>
      <c r="R84" s="39">
        <f>'발전사업(A)'!AR64 + '자가소비(B)'!AR64 + 'PPA 사업(C)'!AR64 + '리스사업(D)'!AR64 + '임대사업(E)'!AR64 + '환경부사업(F)'!AR64 + '프로젝트(G)'!AR64 + '협력사 EPC(H)'!AR64 + '기타(Z)'!AR64 + '협력사 하도(I)'!AR64</f>
        <v>0</v>
      </c>
      <c r="S84" s="130">
        <f>'발전사업(A)'!AS64 + '자가소비(B)'!AS64 + 'PPA 사업(C)'!AS64 + '리스사업(D)'!AS64 + '임대사업(E)'!AS64 + '환경부사업(F)'!AS64 + '프로젝트(G)'!AS64 + '협력사 EPC(H)'!AS64 + '기타(Z)'!AS64 + '협력사 하도(I)'!AS64</f>
        <v>0</v>
      </c>
    </row>
    <row r="85" spans="1:19" x14ac:dyDescent="0.25">
      <c r="A85">
        <v>11</v>
      </c>
      <c r="B85" s="487"/>
      <c r="C85" s="90">
        <v>3</v>
      </c>
      <c r="D85" s="97" t="s">
        <v>213</v>
      </c>
      <c r="E85" s="39">
        <f>'발전사업(A)'!AE65 + '자가소비(B)'!AE65 + 'PPA 사업(C)'!AE65 + '리스사업(D)'!AE65 + '임대사업(E)'!AE65 + '환경부사업(F)'!AE65 + '프로젝트(G)'!AE65 + '협력사 EPC(H)'!AE65 + '기타(Z)'!AE65</f>
        <v>0</v>
      </c>
      <c r="F85" s="39">
        <f>'발전사업(A)'!AF65 + '자가소비(B)'!AF65 + 'PPA 사업(C)'!AF65 + '리스사업(D)'!AF65 + '임대사업(E)'!AF65 + '환경부사업(F)'!AF65 + '프로젝트(G)'!AF65 + '협력사 EPC(H)'!AF65 + '기타(Z)'!AF65</f>
        <v>0</v>
      </c>
      <c r="G85" s="39">
        <f>'발전사업(A)'!AG65 + '자가소비(B)'!AG65 + 'PPA 사업(C)'!AG65 + '리스사업(D)'!AG65 + '임대사업(E)'!AG65 + '환경부사업(F)'!AG65 + '프로젝트(G)'!AG65 + '협력사 EPC(H)'!AG65 + '기타(Z)'!AG65</f>
        <v>0</v>
      </c>
      <c r="H85" s="39">
        <f>'발전사업(A)'!AH65 + '자가소비(B)'!AH65 + 'PPA 사업(C)'!AH65 + '리스사업(D)'!AH65 + '임대사업(E)'!AH65 + '환경부사업(F)'!AH65 + '프로젝트(G)'!AH65 + '협력사 EPC(H)'!AH65 + '기타(Z)'!AH65</f>
        <v>0</v>
      </c>
      <c r="I85" s="125">
        <f>'발전사업(A)'!AI65 + '자가소비(B)'!AI65 + 'PPA 사업(C)'!AI65 + '리스사업(D)'!AI65 + '임대사업(E)'!AI65 + '환경부사업(F)'!AI65 + '프로젝트(G)'!AI65 + '협력사 EPC(H)'!AI65 + '기타(Z)'!AI65</f>
        <v>0</v>
      </c>
      <c r="J85" s="115">
        <f>'발전사업(A)'!AJ65 + '자가소비(B)'!AJ65 + 'PPA 사업(C)'!AJ65 + '리스사업(D)'!AJ65 + '임대사업(E)'!AJ65 + '환경부사업(F)'!AJ65 + '프로젝트(G)'!AJ65 + '협력사 EPC(H)'!AJ65 + '기타(Z)'!AJ65</f>
        <v>0</v>
      </c>
      <c r="K85" s="181">
        <f>'발전사업(A)'!AK65 + '자가소비(B)'!AK65 + 'PPA 사업(C)'!AK65 + '리스사업(D)'!AK65 + '임대사업(E)'!AK65 + '환경부사업(F)'!AK65 + '프로젝트(G)'!AK65 + '협력사 EPC(H)'!AK65 + '기타(Z)'!AK65</f>
        <v>0</v>
      </c>
      <c r="L85" s="181">
        <f>'발전사업(A)'!AL65 + '자가소비(B)'!AL65 + 'PPA 사업(C)'!AL65 + '리스사업(D)'!AL65 + '임대사업(E)'!AL65 + '환경부사업(F)'!AL65 + '프로젝트(G)'!AL65 + '협력사 EPC(H)'!AL65 + '기타(Z)'!AL65</f>
        <v>0</v>
      </c>
      <c r="M85" s="181">
        <f>'발전사업(A)'!AM65 + '자가소비(B)'!AM65 + 'PPA 사업(C)'!AM65 + '리스사업(D)'!AM65 + '임대사업(E)'!AM65 + '환경부사업(F)'!AM65 + '프로젝트(G)'!AM65 + '협력사 EPC(H)'!AM65 + '기타(Z)'!AM65</f>
        <v>0</v>
      </c>
      <c r="N85" s="182">
        <f>'발전사업(A)'!AN65 + '자가소비(B)'!AN65 + 'PPA 사업(C)'!AN65 + '리스사업(D)'!AN65 + '임대사업(E)'!AN65 + '환경부사업(F)'!AN65 + '프로젝트(G)'!AN65 + '협력사 EPC(H)'!AN65 + '기타(Z)'!AN65</f>
        <v>0</v>
      </c>
      <c r="O85" s="39">
        <f>'발전사업(A)'!AO65 + '자가소비(B)'!AO65 + 'PPA 사업(C)'!AO65 + '리스사업(D)'!AO65 + '임대사업(E)'!AO65 + '환경부사업(F)'!AO65 + '프로젝트(G)'!AO65 + '협력사 EPC(H)'!AO65 + '기타(Z)'!AO65 + '협력사 하도(I)'!AO65</f>
        <v>0</v>
      </c>
      <c r="P85" s="39">
        <f>'발전사업(A)'!AP65 + '자가소비(B)'!AP65 + 'PPA 사업(C)'!AP65 + '리스사업(D)'!AP65 + '임대사업(E)'!AP65 + '환경부사업(F)'!AP65 + '프로젝트(G)'!AP65 + '협력사 EPC(H)'!AP65 + '기타(Z)'!AP65 + '협력사 하도(I)'!AP65</f>
        <v>0</v>
      </c>
      <c r="Q85" s="39">
        <f>'발전사업(A)'!AQ65 + '자가소비(B)'!AQ65 + 'PPA 사업(C)'!AQ65 + '리스사업(D)'!AQ65 + '임대사업(E)'!AQ65 + '환경부사업(F)'!AQ65 + '프로젝트(G)'!AQ65 + '협력사 EPC(H)'!AQ65 + '기타(Z)'!AQ65 + '협력사 하도(I)'!AQ65</f>
        <v>0</v>
      </c>
      <c r="R85" s="39">
        <f>'발전사업(A)'!AR65 + '자가소비(B)'!AR65 + 'PPA 사업(C)'!AR65 + '리스사업(D)'!AR65 + '임대사업(E)'!AR65 + '환경부사업(F)'!AR65 + '프로젝트(G)'!AR65 + '협력사 EPC(H)'!AR65 + '기타(Z)'!AR65 + '협력사 하도(I)'!AR65</f>
        <v>0</v>
      </c>
      <c r="S85" s="130">
        <f>'발전사업(A)'!AS65 + '자가소비(B)'!AS65 + 'PPA 사업(C)'!AS65 + '리스사업(D)'!AS65 + '임대사업(E)'!AS65 + '환경부사업(F)'!AS65 + '프로젝트(G)'!AS65 + '협력사 EPC(H)'!AS65 + '기타(Z)'!AS65 + '협력사 하도(I)'!AS65</f>
        <v>0</v>
      </c>
    </row>
    <row r="86" spans="1:19" x14ac:dyDescent="0.25">
      <c r="A86">
        <v>11</v>
      </c>
      <c r="B86" s="487"/>
      <c r="C86" s="90">
        <v>4</v>
      </c>
      <c r="D86" s="97" t="s">
        <v>214</v>
      </c>
      <c r="E86" s="39">
        <f>'발전사업(A)'!AE66 + '자가소비(B)'!AE66 + 'PPA 사업(C)'!AE66 + '리스사업(D)'!AE66 + '임대사업(E)'!AE66 + '환경부사업(F)'!AE66 + '프로젝트(G)'!AE66 + '협력사 EPC(H)'!AE66 + '기타(Z)'!AE66</f>
        <v>0</v>
      </c>
      <c r="F86" s="39">
        <f>'발전사업(A)'!AF66 + '자가소비(B)'!AF66 + 'PPA 사업(C)'!AF66 + '리스사업(D)'!AF66 + '임대사업(E)'!AF66 + '환경부사업(F)'!AF66 + '프로젝트(G)'!AF66 + '협력사 EPC(H)'!AF66 + '기타(Z)'!AF66</f>
        <v>0</v>
      </c>
      <c r="G86" s="39">
        <f>'발전사업(A)'!AG66 + '자가소비(B)'!AG66 + 'PPA 사업(C)'!AG66 + '리스사업(D)'!AG66 + '임대사업(E)'!AG66 + '환경부사업(F)'!AG66 + '프로젝트(G)'!AG66 + '협력사 EPC(H)'!AG66 + '기타(Z)'!AG66</f>
        <v>0</v>
      </c>
      <c r="H86" s="39">
        <f>'발전사업(A)'!AH66 + '자가소비(B)'!AH66 + 'PPA 사업(C)'!AH66 + '리스사업(D)'!AH66 + '임대사업(E)'!AH66 + '환경부사업(F)'!AH66 + '프로젝트(G)'!AH66 + '협력사 EPC(H)'!AH66 + '기타(Z)'!AH66</f>
        <v>0</v>
      </c>
      <c r="I86" s="125">
        <f>'발전사업(A)'!AI66 + '자가소비(B)'!AI66 + 'PPA 사업(C)'!AI66 + '리스사업(D)'!AI66 + '임대사업(E)'!AI66 + '환경부사업(F)'!AI66 + '프로젝트(G)'!AI66 + '협력사 EPC(H)'!AI66 + '기타(Z)'!AI66</f>
        <v>0</v>
      </c>
      <c r="J86" s="115">
        <f>'발전사업(A)'!AJ66 + '자가소비(B)'!AJ66 + 'PPA 사업(C)'!AJ66 + '리스사업(D)'!AJ66 + '임대사업(E)'!AJ66 + '환경부사업(F)'!AJ66 + '프로젝트(G)'!AJ66 + '협력사 EPC(H)'!AJ66 + '기타(Z)'!AJ66</f>
        <v>0</v>
      </c>
      <c r="K86" s="181">
        <f>'발전사업(A)'!AK66 + '자가소비(B)'!AK66 + 'PPA 사업(C)'!AK66 + '리스사업(D)'!AK66 + '임대사업(E)'!AK66 + '환경부사업(F)'!AK66 + '프로젝트(G)'!AK66 + '협력사 EPC(H)'!AK66 + '기타(Z)'!AK66</f>
        <v>0</v>
      </c>
      <c r="L86" s="181">
        <f>'발전사업(A)'!AL66 + '자가소비(B)'!AL66 + 'PPA 사업(C)'!AL66 + '리스사업(D)'!AL66 + '임대사업(E)'!AL66 + '환경부사업(F)'!AL66 + '프로젝트(G)'!AL66 + '협력사 EPC(H)'!AL66 + '기타(Z)'!AL66</f>
        <v>0</v>
      </c>
      <c r="M86" s="181">
        <f>'발전사업(A)'!AM66 + '자가소비(B)'!AM66 + 'PPA 사업(C)'!AM66 + '리스사업(D)'!AM66 + '임대사업(E)'!AM66 + '환경부사업(F)'!AM66 + '프로젝트(G)'!AM66 + '협력사 EPC(H)'!AM66 + '기타(Z)'!AM66</f>
        <v>0</v>
      </c>
      <c r="N86" s="182">
        <f>'발전사업(A)'!AN66 + '자가소비(B)'!AN66 + 'PPA 사업(C)'!AN66 + '리스사업(D)'!AN66 + '임대사업(E)'!AN66 + '환경부사업(F)'!AN66 + '프로젝트(G)'!AN66 + '협력사 EPC(H)'!AN66 + '기타(Z)'!AN66</f>
        <v>0</v>
      </c>
      <c r="O86" s="39">
        <f>'발전사업(A)'!AO66 + '자가소비(B)'!AO66 + 'PPA 사업(C)'!AO66 + '리스사업(D)'!AO66 + '임대사업(E)'!AO66 + '환경부사업(F)'!AO66 + '프로젝트(G)'!AO66 + '협력사 EPC(H)'!AO66 + '기타(Z)'!AO66 + '협력사 하도(I)'!AO66</f>
        <v>0</v>
      </c>
      <c r="P86" s="39">
        <f>'발전사업(A)'!AP66 + '자가소비(B)'!AP66 + 'PPA 사업(C)'!AP66 + '리스사업(D)'!AP66 + '임대사업(E)'!AP66 + '환경부사업(F)'!AP66 + '프로젝트(G)'!AP66 + '협력사 EPC(H)'!AP66 + '기타(Z)'!AP66 + '협력사 하도(I)'!AP66</f>
        <v>0</v>
      </c>
      <c r="Q86" s="39">
        <f>'발전사업(A)'!AQ66 + '자가소비(B)'!AQ66 + 'PPA 사업(C)'!AQ66 + '리스사업(D)'!AQ66 + '임대사업(E)'!AQ66 + '환경부사업(F)'!AQ66 + '프로젝트(G)'!AQ66 + '협력사 EPC(H)'!AQ66 + '기타(Z)'!AQ66 + '협력사 하도(I)'!AQ66</f>
        <v>0</v>
      </c>
      <c r="R86" s="39">
        <f>'발전사업(A)'!AR66 + '자가소비(B)'!AR66 + 'PPA 사업(C)'!AR66 + '리스사업(D)'!AR66 + '임대사업(E)'!AR66 + '환경부사업(F)'!AR66 + '프로젝트(G)'!AR66 + '협력사 EPC(H)'!AR66 + '기타(Z)'!AR66 + '협력사 하도(I)'!AR66</f>
        <v>0</v>
      </c>
      <c r="S86" s="130">
        <f>'발전사업(A)'!AS66 + '자가소비(B)'!AS66 + 'PPA 사업(C)'!AS66 + '리스사업(D)'!AS66 + '임대사업(E)'!AS66 + '환경부사업(F)'!AS66 + '프로젝트(G)'!AS66 + '협력사 EPC(H)'!AS66 + '기타(Z)'!AS66 + '협력사 하도(I)'!AS66</f>
        <v>0</v>
      </c>
    </row>
    <row r="87" spans="1:19" x14ac:dyDescent="0.25">
      <c r="A87">
        <v>11</v>
      </c>
      <c r="B87" s="487"/>
      <c r="C87" s="91">
        <v>5</v>
      </c>
      <c r="D87" s="100"/>
      <c r="E87" s="39">
        <f>'발전사업(A)'!AE67 + '자가소비(B)'!AE67 + 'PPA 사업(C)'!AE67 + '리스사업(D)'!AE67 + '임대사업(E)'!AE67 + '환경부사업(F)'!AE67 + '프로젝트(G)'!AE67 + '협력사 EPC(H)'!AE67 + '기타(Z)'!AE67</f>
        <v>0</v>
      </c>
      <c r="F87" s="39">
        <f>'발전사업(A)'!AF67 + '자가소비(B)'!AF67 + 'PPA 사업(C)'!AF67 + '리스사업(D)'!AF67 + '임대사업(E)'!AF67 + '환경부사업(F)'!AF67 + '프로젝트(G)'!AF67 + '협력사 EPC(H)'!AF67 + '기타(Z)'!AF67</f>
        <v>0</v>
      </c>
      <c r="G87" s="39">
        <f>'발전사업(A)'!AG67 + '자가소비(B)'!AG67 + 'PPA 사업(C)'!AG67 + '리스사업(D)'!AG67 + '임대사업(E)'!AG67 + '환경부사업(F)'!AG67 + '프로젝트(G)'!AG67 + '협력사 EPC(H)'!AG67 + '기타(Z)'!AG67</f>
        <v>0</v>
      </c>
      <c r="H87" s="39">
        <f>'발전사업(A)'!AH67 + '자가소비(B)'!AH67 + 'PPA 사업(C)'!AH67 + '리스사업(D)'!AH67 + '임대사업(E)'!AH67 + '환경부사업(F)'!AH67 + '프로젝트(G)'!AH67 + '협력사 EPC(H)'!AH67 + '기타(Z)'!AH67</f>
        <v>0</v>
      </c>
      <c r="I87" s="125">
        <f>'발전사업(A)'!AI67 + '자가소비(B)'!AI67 + 'PPA 사업(C)'!AI67 + '리스사업(D)'!AI67 + '임대사업(E)'!AI67 + '환경부사업(F)'!AI67 + '프로젝트(G)'!AI67 + '협력사 EPC(H)'!AI67 + '기타(Z)'!AI67</f>
        <v>0</v>
      </c>
      <c r="J87" s="115">
        <f>'발전사업(A)'!AJ67 + '자가소비(B)'!AJ67 + 'PPA 사업(C)'!AJ67 + '리스사업(D)'!AJ67 + '임대사업(E)'!AJ67 + '환경부사업(F)'!AJ67 + '프로젝트(G)'!AJ67 + '협력사 EPC(H)'!AJ67 + '기타(Z)'!AJ67</f>
        <v>0</v>
      </c>
      <c r="K87" s="181">
        <f>'발전사업(A)'!AK67 + '자가소비(B)'!AK67 + 'PPA 사업(C)'!AK67 + '리스사업(D)'!AK67 + '임대사업(E)'!AK67 + '환경부사업(F)'!AK67 + '프로젝트(G)'!AK67 + '협력사 EPC(H)'!AK67 + '기타(Z)'!AK67</f>
        <v>0</v>
      </c>
      <c r="L87" s="181">
        <f>'발전사업(A)'!AL67 + '자가소비(B)'!AL67 + 'PPA 사업(C)'!AL67 + '리스사업(D)'!AL67 + '임대사업(E)'!AL67 + '환경부사업(F)'!AL67 + '프로젝트(G)'!AL67 + '협력사 EPC(H)'!AL67 + '기타(Z)'!AL67</f>
        <v>0</v>
      </c>
      <c r="M87" s="181">
        <f>'발전사업(A)'!AM67 + '자가소비(B)'!AM67 + 'PPA 사업(C)'!AM67 + '리스사업(D)'!AM67 + '임대사업(E)'!AM67 + '환경부사업(F)'!AM67 + '프로젝트(G)'!AM67 + '협력사 EPC(H)'!AM67 + '기타(Z)'!AM67</f>
        <v>0</v>
      </c>
      <c r="N87" s="182">
        <f>'발전사업(A)'!AN67 + '자가소비(B)'!AN67 + 'PPA 사업(C)'!AN67 + '리스사업(D)'!AN67 + '임대사업(E)'!AN67 + '환경부사업(F)'!AN67 + '프로젝트(G)'!AN67 + '협력사 EPC(H)'!AN67 + '기타(Z)'!AN67</f>
        <v>0</v>
      </c>
      <c r="O87" s="39">
        <f>'발전사업(A)'!AO67 + '자가소비(B)'!AO67 + 'PPA 사업(C)'!AO67 + '리스사업(D)'!AO67 + '임대사업(E)'!AO67 + '환경부사업(F)'!AO67 + '프로젝트(G)'!AO67 + '협력사 EPC(H)'!AO67 + '기타(Z)'!AO67 + '협력사 하도(I)'!AO67</f>
        <v>0</v>
      </c>
      <c r="P87" s="39">
        <f>'발전사업(A)'!AP67 + '자가소비(B)'!AP67 + 'PPA 사업(C)'!AP67 + '리스사업(D)'!AP67 + '임대사업(E)'!AP67 + '환경부사업(F)'!AP67 + '프로젝트(G)'!AP67 + '협력사 EPC(H)'!AP67 + '기타(Z)'!AP67 + '협력사 하도(I)'!AP67</f>
        <v>0</v>
      </c>
      <c r="Q87" s="39">
        <f>'발전사업(A)'!AQ67 + '자가소비(B)'!AQ67 + 'PPA 사업(C)'!AQ67 + '리스사업(D)'!AQ67 + '임대사업(E)'!AQ67 + '환경부사업(F)'!AQ67 + '프로젝트(G)'!AQ67 + '협력사 EPC(H)'!AQ67 + '기타(Z)'!AQ67 + '협력사 하도(I)'!AQ67</f>
        <v>0</v>
      </c>
      <c r="R87" s="39">
        <f>'발전사업(A)'!AR67 + '자가소비(B)'!AR67 + 'PPA 사업(C)'!AR67 + '리스사업(D)'!AR67 + '임대사업(E)'!AR67 + '환경부사업(F)'!AR67 + '프로젝트(G)'!AR67 + '협력사 EPC(H)'!AR67 + '기타(Z)'!AR67 + '협력사 하도(I)'!AR67</f>
        <v>0</v>
      </c>
      <c r="S87" s="130">
        <f>'발전사업(A)'!AS67 + '자가소비(B)'!AS67 + 'PPA 사업(C)'!AS67 + '리스사업(D)'!AS67 + '임대사업(E)'!AS67 + '환경부사업(F)'!AS67 + '프로젝트(G)'!AS67 + '협력사 EPC(H)'!AS67 + '기타(Z)'!AS67 + '협력사 하도(I)'!AS67</f>
        <v>0</v>
      </c>
    </row>
    <row r="88" spans="1:19" ht="14.25" thickBot="1" x14ac:dyDescent="0.3">
      <c r="A88">
        <v>11</v>
      </c>
      <c r="B88" s="488"/>
      <c r="C88" s="92" t="s">
        <v>3</v>
      </c>
      <c r="D88" s="101"/>
      <c r="E88" s="134">
        <f>'발전사업(A)'!AE68 + '자가소비(B)'!AE68 + 'PPA 사업(C)'!AE68 + '리스사업(D)'!AE68 + '임대사업(E)'!AE68 + '환경부사업(F)'!AE68 + '프로젝트(G)'!AE68 + '협력사 EPC(H)'!AE68 + '기타(Z)'!AE68</f>
        <v>0</v>
      </c>
      <c r="F88" s="134">
        <f>'발전사업(A)'!AF68 + '자가소비(B)'!AF68 + 'PPA 사업(C)'!AF68 + '리스사업(D)'!AF68 + '임대사업(E)'!AF68 + '환경부사업(F)'!AF68 + '프로젝트(G)'!AF68 + '협력사 EPC(H)'!AF68 + '기타(Z)'!AF68</f>
        <v>0</v>
      </c>
      <c r="G88" s="134">
        <f>'발전사업(A)'!AG68 + '자가소비(B)'!AG68 + 'PPA 사업(C)'!AG68 + '리스사업(D)'!AG68 + '임대사업(E)'!AG68 + '환경부사업(F)'!AG68 + '프로젝트(G)'!AG68 + '협력사 EPC(H)'!AG68 + '기타(Z)'!AG68</f>
        <v>0</v>
      </c>
      <c r="H88" s="134">
        <f>'발전사업(A)'!AH68 + '자가소비(B)'!AH68 + 'PPA 사업(C)'!AH68 + '리스사업(D)'!AH68 + '임대사업(E)'!AH68 + '환경부사업(F)'!AH68 + '프로젝트(G)'!AH68 + '협력사 EPC(H)'!AH68 + '기타(Z)'!AH68</f>
        <v>0</v>
      </c>
      <c r="I88" s="135">
        <f>'발전사업(A)'!AI68 + '자가소비(B)'!AI68 + 'PPA 사업(C)'!AI68 + '리스사업(D)'!AI68 + '임대사업(E)'!AI68 + '환경부사업(F)'!AI68 + '프로젝트(G)'!AI68 + '협력사 EPC(H)'!AI68 + '기타(Z)'!AI68</f>
        <v>0</v>
      </c>
      <c r="J88" s="183">
        <f>'발전사업(A)'!AJ68 + '자가소비(B)'!AJ68 + 'PPA 사업(C)'!AJ68 + '리스사업(D)'!AJ68 + '임대사업(E)'!AJ68 + '환경부사업(F)'!AJ68 + '프로젝트(G)'!AJ68 + '협력사 EPC(H)'!AJ68 + '기타(Z)'!AJ68</f>
        <v>0</v>
      </c>
      <c r="K88" s="184">
        <f>'발전사업(A)'!AK68 + '자가소비(B)'!AK68 + 'PPA 사업(C)'!AK68 + '리스사업(D)'!AK68 + '임대사업(E)'!AK68 + '환경부사업(F)'!AK68 + '프로젝트(G)'!AK68 + '협력사 EPC(H)'!AK68 + '기타(Z)'!AK68</f>
        <v>0</v>
      </c>
      <c r="L88" s="184">
        <f>'발전사업(A)'!AL68 + '자가소비(B)'!AL68 + 'PPA 사업(C)'!AL68 + '리스사업(D)'!AL68 + '임대사업(E)'!AL68 + '환경부사업(F)'!AL68 + '프로젝트(G)'!AL68 + '협력사 EPC(H)'!AL68 + '기타(Z)'!AL68</f>
        <v>0</v>
      </c>
      <c r="M88" s="184">
        <f>'발전사업(A)'!AM68 + '자가소비(B)'!AM68 + 'PPA 사업(C)'!AM68 + '리스사업(D)'!AM68 + '임대사업(E)'!AM68 + '환경부사업(F)'!AM68 + '프로젝트(G)'!AM68 + '협력사 EPC(H)'!AM68 + '기타(Z)'!AM68</f>
        <v>0</v>
      </c>
      <c r="N88" s="185">
        <f>'발전사업(A)'!AN68 + '자가소비(B)'!AN68 + 'PPA 사업(C)'!AN68 + '리스사업(D)'!AN68 + '임대사업(E)'!AN68 + '환경부사업(F)'!AN68 + '프로젝트(G)'!AN68 + '협력사 EPC(H)'!AN68 + '기타(Z)'!AN68</f>
        <v>0</v>
      </c>
      <c r="O88" s="167">
        <f>'발전사업(A)'!AO68 + '자가소비(B)'!AO68 + 'PPA 사업(C)'!AO68 + '리스사업(D)'!AO68 + '임대사업(E)'!AO68 + '환경부사업(F)'!AO68 + '프로젝트(G)'!AO68 + '협력사 EPC(H)'!AO68 + '기타(Z)'!AO68 + '협력사 하도(I)'!AO68</f>
        <v>0</v>
      </c>
      <c r="P88" s="134">
        <f>'발전사업(A)'!AP68 + '자가소비(B)'!AP68 + 'PPA 사업(C)'!AP68 + '리스사업(D)'!AP68 + '임대사업(E)'!AP68 + '환경부사업(F)'!AP68 + '프로젝트(G)'!AP68 + '협력사 EPC(H)'!AP68 + '기타(Z)'!AP68 + '협력사 하도(I)'!AP68</f>
        <v>0</v>
      </c>
      <c r="Q88" s="134">
        <f>'발전사업(A)'!AQ68 + '자가소비(B)'!AQ68 + 'PPA 사업(C)'!AQ68 + '리스사업(D)'!AQ68 + '임대사업(E)'!AQ68 + '환경부사업(F)'!AQ68 + '프로젝트(G)'!AQ68 + '협력사 EPC(H)'!AQ68 + '기타(Z)'!AQ68 + '협력사 하도(I)'!AQ68</f>
        <v>0</v>
      </c>
      <c r="R88" s="134">
        <f>'발전사업(A)'!AR68 + '자가소비(B)'!AR68 + 'PPA 사업(C)'!AR68 + '리스사업(D)'!AR68 + '임대사업(E)'!AR68 + '환경부사업(F)'!AR68 + '프로젝트(G)'!AR68 + '협력사 EPC(H)'!AR68 + '기타(Z)'!AR68 + '협력사 하도(I)'!AR68</f>
        <v>0</v>
      </c>
      <c r="S88" s="136">
        <f>'발전사업(A)'!AS68 + '자가소비(B)'!AS68 + 'PPA 사업(C)'!AS68 + '리스사업(D)'!AS68 + '임대사업(E)'!AS68 + '환경부사업(F)'!AS68 + '프로젝트(G)'!AS68 + '협력사 EPC(H)'!AS68 + '기타(Z)'!AS68 + '협력사 하도(I)'!AS68</f>
        <v>0</v>
      </c>
    </row>
    <row r="89" spans="1:19" x14ac:dyDescent="0.25">
      <c r="A89">
        <v>12</v>
      </c>
      <c r="B89" s="493">
        <v>12</v>
      </c>
      <c r="C89" s="93">
        <v>1</v>
      </c>
      <c r="D89" s="102" t="s">
        <v>243</v>
      </c>
      <c r="E89" s="137">
        <f>'발전사업(A)'!AE69 + '자가소비(B)'!AE69 + 'PPA 사업(C)'!AE69 + '리스사업(D)'!AE69 + '임대사업(E)'!AE69 + '환경부사업(F)'!AE69 + '프로젝트(G)'!AE69 + '협력사 EPC(H)'!AE69 + '기타(Z)'!AE69</f>
        <v>0</v>
      </c>
      <c r="F89" s="138">
        <f>'발전사업(A)'!AF69 + '자가소비(B)'!AF69 + 'PPA 사업(C)'!AF69 + '리스사업(D)'!AF69 + '임대사업(E)'!AF69 + '환경부사업(F)'!AF69 + '프로젝트(G)'!AF69 + '협력사 EPC(H)'!AF69 + '기타(Z)'!AF69</f>
        <v>0</v>
      </c>
      <c r="G89" s="138">
        <f>'발전사업(A)'!AG69 + '자가소비(B)'!AG69 + 'PPA 사업(C)'!AG69 + '리스사업(D)'!AG69 + '임대사업(E)'!AG69 + '환경부사업(F)'!AG69 + '프로젝트(G)'!AG69 + '협력사 EPC(H)'!AG69 + '기타(Z)'!AG69</f>
        <v>0</v>
      </c>
      <c r="H89" s="138">
        <f>'발전사업(A)'!AH69 + '자가소비(B)'!AH69 + 'PPA 사업(C)'!AH69 + '리스사업(D)'!AH69 + '임대사업(E)'!AH69 + '환경부사업(F)'!AH69 + '프로젝트(G)'!AH69 + '협력사 EPC(H)'!AH69 + '기타(Z)'!AH69</f>
        <v>0</v>
      </c>
      <c r="I89" s="139">
        <f>'발전사업(A)'!AI69 + '자가소비(B)'!AI69 + 'PPA 사업(C)'!AI69 + '리스사업(D)'!AI69 + '임대사업(E)'!AI69 + '환경부사업(F)'!AI69 + '프로젝트(G)'!AI69 + '협력사 EPC(H)'!AI69 + '기타(Z)'!AI69</f>
        <v>0</v>
      </c>
      <c r="J89" s="186">
        <f>'발전사업(A)'!AJ69 + '자가소비(B)'!AJ69 + 'PPA 사업(C)'!AJ69 + '리스사업(D)'!AJ69 + '임대사업(E)'!AJ69 + '환경부사업(F)'!AJ69 + '프로젝트(G)'!AJ69 + '협력사 EPC(H)'!AJ69 + '기타(Z)'!AJ69</f>
        <v>0</v>
      </c>
      <c r="K89" s="187">
        <f>'발전사업(A)'!AK69 + '자가소비(B)'!AK69 + 'PPA 사업(C)'!AK69 + '리스사업(D)'!AK69 + '임대사업(E)'!AK69 + '환경부사업(F)'!AK69 + '프로젝트(G)'!AK69 + '협력사 EPC(H)'!AK69 + '기타(Z)'!AK69</f>
        <v>0</v>
      </c>
      <c r="L89" s="187">
        <f>'발전사업(A)'!AL69 + '자가소비(B)'!AL69 + 'PPA 사업(C)'!AL69 + '리스사업(D)'!AL69 + '임대사업(E)'!AL69 + '환경부사업(F)'!AL69 + '프로젝트(G)'!AL69 + '협력사 EPC(H)'!AL69 + '기타(Z)'!AL69</f>
        <v>0</v>
      </c>
      <c r="M89" s="187">
        <f>'발전사업(A)'!AM69 + '자가소비(B)'!AM69 + 'PPA 사업(C)'!AM69 + '리스사업(D)'!AM69 + '임대사업(E)'!AM69 + '환경부사업(F)'!AM69 + '프로젝트(G)'!AM69 + '협력사 EPC(H)'!AM69 + '기타(Z)'!AM69</f>
        <v>0</v>
      </c>
      <c r="N89" s="188">
        <f>'발전사업(A)'!AN69 + '자가소비(B)'!AN69 + 'PPA 사업(C)'!AN69 + '리스사업(D)'!AN69 + '임대사업(E)'!AN69 + '환경부사업(F)'!AN69 + '프로젝트(G)'!AN69 + '협력사 EPC(H)'!AN69 + '기타(Z)'!AN69</f>
        <v>0</v>
      </c>
      <c r="O89" s="39">
        <f>'발전사업(A)'!AO69 + '자가소비(B)'!AO69 + 'PPA 사업(C)'!AO69 + '리스사업(D)'!AO69 + '임대사업(E)'!AO69 + '환경부사업(F)'!AO69 + '프로젝트(G)'!AO69 + '협력사 EPC(H)'!AO69 + '기타(Z)'!AO69 + '협력사 하도(I)'!AO69</f>
        <v>0</v>
      </c>
      <c r="P89" s="138">
        <f>'발전사업(A)'!AP69 + '자가소비(B)'!AP69 + 'PPA 사업(C)'!AP69 + '리스사업(D)'!AP69 + '임대사업(E)'!AP69 + '환경부사업(F)'!AP69 + '프로젝트(G)'!AP69 + '협력사 EPC(H)'!AP69 + '기타(Z)'!AP69 + '협력사 하도(I)'!AP69</f>
        <v>0</v>
      </c>
      <c r="Q89" s="138">
        <f>'발전사업(A)'!AQ69 + '자가소비(B)'!AQ69 + 'PPA 사업(C)'!AQ69 + '리스사업(D)'!AQ69 + '임대사업(E)'!AQ69 + '환경부사업(F)'!AQ69 + '프로젝트(G)'!AQ69 + '협력사 EPC(H)'!AQ69 + '기타(Z)'!AQ69 + '협력사 하도(I)'!AQ69</f>
        <v>0</v>
      </c>
      <c r="R89" s="138">
        <f>'발전사업(A)'!AR69 + '자가소비(B)'!AR69 + 'PPA 사업(C)'!AR69 + '리스사업(D)'!AR69 + '임대사업(E)'!AR69 + '환경부사업(F)'!AR69 + '프로젝트(G)'!AR69 + '협력사 EPC(H)'!AR69 + '기타(Z)'!AR69 + '협력사 하도(I)'!AR69</f>
        <v>0</v>
      </c>
      <c r="S89" s="140">
        <f>'발전사업(A)'!AS69 + '자가소비(B)'!AS69 + 'PPA 사업(C)'!AS69 + '리스사업(D)'!AS69 + '임대사업(E)'!AS69 + '환경부사업(F)'!AS69 + '프로젝트(G)'!AS69 + '협력사 EPC(H)'!AS69 + '기타(Z)'!AS69 + '협력사 하도(I)'!AS69</f>
        <v>0</v>
      </c>
    </row>
    <row r="90" spans="1:19" x14ac:dyDescent="0.25">
      <c r="A90">
        <v>12</v>
      </c>
      <c r="B90" s="487"/>
      <c r="C90" s="90">
        <v>2</v>
      </c>
      <c r="D90" s="97" t="s">
        <v>233</v>
      </c>
      <c r="E90" s="129">
        <f>'발전사업(A)'!AE70 + '자가소비(B)'!AE70 + 'PPA 사업(C)'!AE70 + '리스사업(D)'!AE70 + '임대사업(E)'!AE70 + '환경부사업(F)'!AE70 + '프로젝트(G)'!AE70 + '협력사 EPC(H)'!AE70 + '기타(Z)'!AE70</f>
        <v>0</v>
      </c>
      <c r="F90" s="39">
        <f>'발전사업(A)'!AF70 + '자가소비(B)'!AF70 + 'PPA 사업(C)'!AF70 + '리스사업(D)'!AF70 + '임대사업(E)'!AF70 + '환경부사업(F)'!AF70 + '프로젝트(G)'!AF70 + '협력사 EPC(H)'!AF70 + '기타(Z)'!AF70</f>
        <v>0</v>
      </c>
      <c r="G90" s="39">
        <f>'발전사업(A)'!AG70 + '자가소비(B)'!AG70 + 'PPA 사업(C)'!AG70 + '리스사업(D)'!AG70 + '임대사업(E)'!AG70 + '환경부사업(F)'!AG70 + '프로젝트(G)'!AG70 + '협력사 EPC(H)'!AG70 + '기타(Z)'!AG70</f>
        <v>0</v>
      </c>
      <c r="H90" s="39">
        <f>'발전사업(A)'!AH70 + '자가소비(B)'!AH70 + 'PPA 사업(C)'!AH70 + '리스사업(D)'!AH70 + '임대사업(E)'!AH70 + '환경부사업(F)'!AH70 + '프로젝트(G)'!AH70 + '협력사 EPC(H)'!AH70 + '기타(Z)'!AH70</f>
        <v>0</v>
      </c>
      <c r="I90" s="125">
        <f>'발전사업(A)'!AI70 + '자가소비(B)'!AI70 + 'PPA 사업(C)'!AI70 + '리스사업(D)'!AI70 + '임대사업(E)'!AI70 + '환경부사업(F)'!AI70 + '프로젝트(G)'!AI70 + '협력사 EPC(H)'!AI70 + '기타(Z)'!AI70</f>
        <v>0</v>
      </c>
      <c r="J90" s="115">
        <f>'발전사업(A)'!AJ70 + '자가소비(B)'!AJ70 + 'PPA 사업(C)'!AJ70 + '리스사업(D)'!AJ70 + '임대사업(E)'!AJ70 + '환경부사업(F)'!AJ70 + '프로젝트(G)'!AJ70 + '협력사 EPC(H)'!AJ70 + '기타(Z)'!AJ70</f>
        <v>0</v>
      </c>
      <c r="K90" s="181">
        <f>'발전사업(A)'!AK70 + '자가소비(B)'!AK70 + 'PPA 사업(C)'!AK70 + '리스사업(D)'!AK70 + '임대사업(E)'!AK70 + '환경부사업(F)'!AK70 + '프로젝트(G)'!AK70 + '협력사 EPC(H)'!AK70 + '기타(Z)'!AK70</f>
        <v>0</v>
      </c>
      <c r="L90" s="181">
        <f>'발전사업(A)'!AL70 + '자가소비(B)'!AL70 + 'PPA 사업(C)'!AL70 + '리스사업(D)'!AL70 + '임대사업(E)'!AL70 + '환경부사업(F)'!AL70 + '프로젝트(G)'!AL70 + '협력사 EPC(H)'!AL70 + '기타(Z)'!AL70</f>
        <v>0</v>
      </c>
      <c r="M90" s="181">
        <f>'발전사업(A)'!AM70 + '자가소비(B)'!AM70 + 'PPA 사업(C)'!AM70 + '리스사업(D)'!AM70 + '임대사업(E)'!AM70 + '환경부사업(F)'!AM70 + '프로젝트(G)'!AM70 + '협력사 EPC(H)'!AM70 + '기타(Z)'!AM70</f>
        <v>0</v>
      </c>
      <c r="N90" s="182">
        <f>'발전사업(A)'!AN70 + '자가소비(B)'!AN70 + 'PPA 사업(C)'!AN70 + '리스사업(D)'!AN70 + '임대사업(E)'!AN70 + '환경부사업(F)'!AN70 + '프로젝트(G)'!AN70 + '협력사 EPC(H)'!AN70 + '기타(Z)'!AN70</f>
        <v>0</v>
      </c>
      <c r="O90" s="39">
        <f>'발전사업(A)'!AO70 + '자가소비(B)'!AO70 + 'PPA 사업(C)'!AO70 + '리스사업(D)'!AO70 + '임대사업(E)'!AO70 + '환경부사업(F)'!AO70 + '프로젝트(G)'!AO70 + '협력사 EPC(H)'!AO70 + '기타(Z)'!AO70 + '협력사 하도(I)'!AO70</f>
        <v>0</v>
      </c>
      <c r="P90" s="39">
        <f>'발전사업(A)'!AP70 + '자가소비(B)'!AP70 + 'PPA 사업(C)'!AP70 + '리스사업(D)'!AP70 + '임대사업(E)'!AP70 + '환경부사업(F)'!AP70 + '프로젝트(G)'!AP70 + '협력사 EPC(H)'!AP70 + '기타(Z)'!AP70 + '협력사 하도(I)'!AP70</f>
        <v>0</v>
      </c>
      <c r="Q90" s="39">
        <f>'발전사업(A)'!AQ70 + '자가소비(B)'!AQ70 + 'PPA 사업(C)'!AQ70 + '리스사업(D)'!AQ70 + '임대사업(E)'!AQ70 + '환경부사업(F)'!AQ70 + '프로젝트(G)'!AQ70 + '협력사 EPC(H)'!AQ70 + '기타(Z)'!AQ70 + '협력사 하도(I)'!AQ70</f>
        <v>0</v>
      </c>
      <c r="R90" s="39">
        <f>'발전사업(A)'!AR70 + '자가소비(B)'!AR70 + 'PPA 사업(C)'!AR70 + '리스사업(D)'!AR70 + '임대사업(E)'!AR70 + '환경부사업(F)'!AR70 + '프로젝트(G)'!AR70 + '협력사 EPC(H)'!AR70 + '기타(Z)'!AR70 + '협력사 하도(I)'!AR70</f>
        <v>0</v>
      </c>
      <c r="S90" s="130">
        <f>'발전사업(A)'!AS70 + '자가소비(B)'!AS70 + 'PPA 사업(C)'!AS70 + '리스사업(D)'!AS70 + '임대사업(E)'!AS70 + '환경부사업(F)'!AS70 + '프로젝트(G)'!AS70 + '협력사 EPC(H)'!AS70 + '기타(Z)'!AS70 + '협력사 하도(I)'!AS70</f>
        <v>0</v>
      </c>
    </row>
    <row r="91" spans="1:19" x14ac:dyDescent="0.25">
      <c r="A91">
        <v>12</v>
      </c>
      <c r="B91" s="487"/>
      <c r="C91" s="90">
        <v>3</v>
      </c>
      <c r="D91" s="97" t="s">
        <v>234</v>
      </c>
      <c r="E91" s="129">
        <f>'발전사업(A)'!AE71 + '자가소비(B)'!AE71 + 'PPA 사업(C)'!AE71 + '리스사업(D)'!AE71 + '임대사업(E)'!AE71 + '환경부사업(F)'!AE71 + '프로젝트(G)'!AE71 + '협력사 EPC(H)'!AE71 + '기타(Z)'!AE71</f>
        <v>0</v>
      </c>
      <c r="F91" s="39">
        <f>'발전사업(A)'!AF71 + '자가소비(B)'!AF71 + 'PPA 사업(C)'!AF71 + '리스사업(D)'!AF71 + '임대사업(E)'!AF71 + '환경부사업(F)'!AF71 + '프로젝트(G)'!AF71 + '협력사 EPC(H)'!AF71 + '기타(Z)'!AF71</f>
        <v>0</v>
      </c>
      <c r="G91" s="39">
        <f>'발전사업(A)'!AG71 + '자가소비(B)'!AG71 + 'PPA 사업(C)'!AG71 + '리스사업(D)'!AG71 + '임대사업(E)'!AG71 + '환경부사업(F)'!AG71 + '프로젝트(G)'!AG71 + '협력사 EPC(H)'!AG71 + '기타(Z)'!AG71</f>
        <v>0</v>
      </c>
      <c r="H91" s="39">
        <f>'발전사업(A)'!AH71 + '자가소비(B)'!AH71 + 'PPA 사업(C)'!AH71 + '리스사업(D)'!AH71 + '임대사업(E)'!AH71 + '환경부사업(F)'!AH71 + '프로젝트(G)'!AH71 + '협력사 EPC(H)'!AH71 + '기타(Z)'!AH71</f>
        <v>0</v>
      </c>
      <c r="I91" s="125">
        <f>'발전사업(A)'!AI71 + '자가소비(B)'!AI71 + 'PPA 사업(C)'!AI71 + '리스사업(D)'!AI71 + '임대사업(E)'!AI71 + '환경부사업(F)'!AI71 + '프로젝트(G)'!AI71 + '협력사 EPC(H)'!AI71 + '기타(Z)'!AI71</f>
        <v>0</v>
      </c>
      <c r="J91" s="115">
        <f>'발전사업(A)'!AJ71 + '자가소비(B)'!AJ71 + 'PPA 사업(C)'!AJ71 + '리스사업(D)'!AJ71 + '임대사업(E)'!AJ71 + '환경부사업(F)'!AJ71 + '프로젝트(G)'!AJ71 + '협력사 EPC(H)'!AJ71 + '기타(Z)'!AJ71</f>
        <v>0</v>
      </c>
      <c r="K91" s="181">
        <f>'발전사업(A)'!AK71 + '자가소비(B)'!AK71 + 'PPA 사업(C)'!AK71 + '리스사업(D)'!AK71 + '임대사업(E)'!AK71 + '환경부사업(F)'!AK71 + '프로젝트(G)'!AK71 + '협력사 EPC(H)'!AK71 + '기타(Z)'!AK71</f>
        <v>0</v>
      </c>
      <c r="L91" s="181">
        <f>'발전사업(A)'!AL71 + '자가소비(B)'!AL71 + 'PPA 사업(C)'!AL71 + '리스사업(D)'!AL71 + '임대사업(E)'!AL71 + '환경부사업(F)'!AL71 + '프로젝트(G)'!AL71 + '협력사 EPC(H)'!AL71 + '기타(Z)'!AL71</f>
        <v>0</v>
      </c>
      <c r="M91" s="181">
        <f>'발전사업(A)'!AM71 + '자가소비(B)'!AM71 + 'PPA 사업(C)'!AM71 + '리스사업(D)'!AM71 + '임대사업(E)'!AM71 + '환경부사업(F)'!AM71 + '프로젝트(G)'!AM71 + '협력사 EPC(H)'!AM71 + '기타(Z)'!AM71</f>
        <v>0</v>
      </c>
      <c r="N91" s="182">
        <f>'발전사업(A)'!AN71 + '자가소비(B)'!AN71 + 'PPA 사업(C)'!AN71 + '리스사업(D)'!AN71 + '임대사업(E)'!AN71 + '환경부사업(F)'!AN71 + '프로젝트(G)'!AN71 + '협력사 EPC(H)'!AN71 + '기타(Z)'!AN71</f>
        <v>0</v>
      </c>
      <c r="O91" s="39">
        <f>'발전사업(A)'!AO71 + '자가소비(B)'!AO71 + 'PPA 사업(C)'!AO71 + '리스사업(D)'!AO71 + '임대사업(E)'!AO71 + '환경부사업(F)'!AO71 + '프로젝트(G)'!AO71 + '협력사 EPC(H)'!AO71 + '기타(Z)'!AO71 + '협력사 하도(I)'!AO71</f>
        <v>0</v>
      </c>
      <c r="P91" s="39">
        <f>'발전사업(A)'!AP71 + '자가소비(B)'!AP71 + 'PPA 사업(C)'!AP71 + '리스사업(D)'!AP71 + '임대사업(E)'!AP71 + '환경부사업(F)'!AP71 + '프로젝트(G)'!AP71 + '협력사 EPC(H)'!AP71 + '기타(Z)'!AP71 + '협력사 하도(I)'!AP71</f>
        <v>0</v>
      </c>
      <c r="Q91" s="39">
        <f>'발전사업(A)'!AQ71 + '자가소비(B)'!AQ71 + 'PPA 사업(C)'!AQ71 + '리스사업(D)'!AQ71 + '임대사업(E)'!AQ71 + '환경부사업(F)'!AQ71 + '프로젝트(G)'!AQ71 + '협력사 EPC(H)'!AQ71 + '기타(Z)'!AQ71 + '협력사 하도(I)'!AQ71</f>
        <v>0</v>
      </c>
      <c r="R91" s="39">
        <f>'발전사업(A)'!AR71 + '자가소비(B)'!AR71 + 'PPA 사업(C)'!AR71 + '리스사업(D)'!AR71 + '임대사업(E)'!AR71 + '환경부사업(F)'!AR71 + '프로젝트(G)'!AR71 + '협력사 EPC(H)'!AR71 + '기타(Z)'!AR71 + '협력사 하도(I)'!AR71</f>
        <v>0</v>
      </c>
      <c r="S91" s="130">
        <f>'발전사업(A)'!AS71 + '자가소비(B)'!AS71 + 'PPA 사업(C)'!AS71 + '리스사업(D)'!AS71 + '임대사업(E)'!AS71 + '환경부사업(F)'!AS71 + '프로젝트(G)'!AS71 + '협력사 EPC(H)'!AS71 + '기타(Z)'!AS71 + '협력사 하도(I)'!AS71</f>
        <v>0</v>
      </c>
    </row>
    <row r="92" spans="1:19" x14ac:dyDescent="0.25">
      <c r="A92">
        <v>12</v>
      </c>
      <c r="B92" s="487"/>
      <c r="C92" s="90">
        <v>4</v>
      </c>
      <c r="D92" s="97" t="s">
        <v>235</v>
      </c>
      <c r="E92" s="129">
        <f>'발전사업(A)'!AE72 + '자가소비(B)'!AE72 + 'PPA 사업(C)'!AE72 + '리스사업(D)'!AE72 + '임대사업(E)'!AE72 + '환경부사업(F)'!AE72 + '프로젝트(G)'!AE72 + '협력사 EPC(H)'!AE72 + '기타(Z)'!AE72</f>
        <v>0</v>
      </c>
      <c r="F92" s="39">
        <f>'발전사업(A)'!AF72 + '자가소비(B)'!AF72 + 'PPA 사업(C)'!AF72 + '리스사업(D)'!AF72 + '임대사업(E)'!AF72 + '환경부사업(F)'!AF72 + '프로젝트(G)'!AF72 + '협력사 EPC(H)'!AF72 + '기타(Z)'!AF72</f>
        <v>0</v>
      </c>
      <c r="G92" s="39">
        <f>'발전사업(A)'!AG72 + '자가소비(B)'!AG72 + 'PPA 사업(C)'!AG72 + '리스사업(D)'!AG72 + '임대사업(E)'!AG72 + '환경부사업(F)'!AG72 + '프로젝트(G)'!AG72 + '협력사 EPC(H)'!AG72 + '기타(Z)'!AG72</f>
        <v>0</v>
      </c>
      <c r="H92" s="39">
        <f>'발전사업(A)'!AH72 + '자가소비(B)'!AH72 + 'PPA 사업(C)'!AH72 + '리스사업(D)'!AH72 + '임대사업(E)'!AH72 + '환경부사업(F)'!AH72 + '프로젝트(G)'!AH72 + '협력사 EPC(H)'!AH72 + '기타(Z)'!AH72</f>
        <v>0</v>
      </c>
      <c r="I92" s="125">
        <f>'발전사업(A)'!AI72 + '자가소비(B)'!AI72 + 'PPA 사업(C)'!AI72 + '리스사업(D)'!AI72 + '임대사업(E)'!AI72 + '환경부사업(F)'!AI72 + '프로젝트(G)'!AI72 + '협력사 EPC(H)'!AI72 + '기타(Z)'!AI72</f>
        <v>0</v>
      </c>
      <c r="J92" s="115">
        <f>'발전사업(A)'!AJ72 + '자가소비(B)'!AJ72 + 'PPA 사업(C)'!AJ72 + '리스사업(D)'!AJ72 + '임대사업(E)'!AJ72 + '환경부사업(F)'!AJ72 + '프로젝트(G)'!AJ72 + '협력사 EPC(H)'!AJ72 + '기타(Z)'!AJ72</f>
        <v>0</v>
      </c>
      <c r="K92" s="181">
        <f>'발전사업(A)'!AK72 + '자가소비(B)'!AK72 + 'PPA 사업(C)'!AK72 + '리스사업(D)'!AK72 + '임대사업(E)'!AK72 + '환경부사업(F)'!AK72 + '프로젝트(G)'!AK72 + '협력사 EPC(H)'!AK72 + '기타(Z)'!AK72</f>
        <v>0</v>
      </c>
      <c r="L92" s="181">
        <f>'발전사업(A)'!AL72 + '자가소비(B)'!AL72 + 'PPA 사업(C)'!AL72 + '리스사업(D)'!AL72 + '임대사업(E)'!AL72 + '환경부사업(F)'!AL72 + '프로젝트(G)'!AL72 + '협력사 EPC(H)'!AL72 + '기타(Z)'!AL72</f>
        <v>0</v>
      </c>
      <c r="M92" s="181">
        <f>'발전사업(A)'!AM72 + '자가소비(B)'!AM72 + 'PPA 사업(C)'!AM72 + '리스사업(D)'!AM72 + '임대사업(E)'!AM72 + '환경부사업(F)'!AM72 + '프로젝트(G)'!AM72 + '협력사 EPC(H)'!AM72 + '기타(Z)'!AM72</f>
        <v>0</v>
      </c>
      <c r="N92" s="182">
        <f>'발전사업(A)'!AN72 + '자가소비(B)'!AN72 + 'PPA 사업(C)'!AN72 + '리스사업(D)'!AN72 + '임대사업(E)'!AN72 + '환경부사업(F)'!AN72 + '프로젝트(G)'!AN72 + '협력사 EPC(H)'!AN72 + '기타(Z)'!AN72</f>
        <v>0</v>
      </c>
      <c r="O92" s="39">
        <f>'발전사업(A)'!AO72 + '자가소비(B)'!AO72 + 'PPA 사업(C)'!AO72 + '리스사업(D)'!AO72 + '임대사업(E)'!AO72 + '환경부사업(F)'!AO72 + '프로젝트(G)'!AO72 + '협력사 EPC(H)'!AO72 + '기타(Z)'!AO72 + '협력사 하도(I)'!AO72</f>
        <v>0</v>
      </c>
      <c r="P92" s="39">
        <f>'발전사업(A)'!AP72 + '자가소비(B)'!AP72 + 'PPA 사업(C)'!AP72 + '리스사업(D)'!AP72 + '임대사업(E)'!AP72 + '환경부사업(F)'!AP72 + '프로젝트(G)'!AP72 + '협력사 EPC(H)'!AP72 + '기타(Z)'!AP72 + '협력사 하도(I)'!AP72</f>
        <v>0</v>
      </c>
      <c r="Q92" s="39">
        <f>'발전사업(A)'!AQ72 + '자가소비(B)'!AQ72 + 'PPA 사업(C)'!AQ72 + '리스사업(D)'!AQ72 + '임대사업(E)'!AQ72 + '환경부사업(F)'!AQ72 + '프로젝트(G)'!AQ72 + '협력사 EPC(H)'!AQ72 + '기타(Z)'!AQ72 + '협력사 하도(I)'!AQ72</f>
        <v>0</v>
      </c>
      <c r="R92" s="39">
        <f>'발전사업(A)'!AR72 + '자가소비(B)'!AR72 + 'PPA 사업(C)'!AR72 + '리스사업(D)'!AR72 + '임대사업(E)'!AR72 + '환경부사업(F)'!AR72 + '프로젝트(G)'!AR72 + '협력사 EPC(H)'!AR72 + '기타(Z)'!AR72 + '협력사 하도(I)'!AR72</f>
        <v>0</v>
      </c>
      <c r="S92" s="130">
        <f>'발전사업(A)'!AS72 + '자가소비(B)'!AS72 + 'PPA 사업(C)'!AS72 + '리스사업(D)'!AS72 + '임대사업(E)'!AS72 + '환경부사업(F)'!AS72 + '프로젝트(G)'!AS72 + '협력사 EPC(H)'!AS72 + '기타(Z)'!AS72 + '협력사 하도(I)'!AS72</f>
        <v>0</v>
      </c>
    </row>
    <row r="93" spans="1:19" x14ac:dyDescent="0.25">
      <c r="A93">
        <v>12</v>
      </c>
      <c r="B93" s="487"/>
      <c r="C93" s="91">
        <v>5</v>
      </c>
      <c r="D93" s="100" t="s">
        <v>236</v>
      </c>
      <c r="E93" s="129">
        <f>'발전사업(A)'!AE73 + '자가소비(B)'!AE73 + 'PPA 사업(C)'!AE73 + '리스사업(D)'!AE73 + '임대사업(E)'!AE73 + '환경부사업(F)'!AE73 + '프로젝트(G)'!AE73 + '협력사 EPC(H)'!AE73 + '기타(Z)'!AE73</f>
        <v>0</v>
      </c>
      <c r="F93" s="39">
        <f>'발전사업(A)'!AF73 + '자가소비(B)'!AF73 + 'PPA 사업(C)'!AF73 + '리스사업(D)'!AF73 + '임대사업(E)'!AF73 + '환경부사업(F)'!AF73 + '프로젝트(G)'!AF73 + '협력사 EPC(H)'!AF73 + '기타(Z)'!AF73</f>
        <v>0</v>
      </c>
      <c r="G93" s="39">
        <f>'발전사업(A)'!AG73 + '자가소비(B)'!AG73 + 'PPA 사업(C)'!AG73 + '리스사업(D)'!AG73 + '임대사업(E)'!AG73 + '환경부사업(F)'!AG73 + '프로젝트(G)'!AG73 + '협력사 EPC(H)'!AG73 + '기타(Z)'!AG73</f>
        <v>0</v>
      </c>
      <c r="H93" s="39">
        <f>'발전사업(A)'!AH73 + '자가소비(B)'!AH73 + 'PPA 사업(C)'!AH73 + '리스사업(D)'!AH73 + '임대사업(E)'!AH73 + '환경부사업(F)'!AH73 + '프로젝트(G)'!AH73 + '협력사 EPC(H)'!AH73 + '기타(Z)'!AH73</f>
        <v>0</v>
      </c>
      <c r="I93" s="125">
        <f>'발전사업(A)'!AI73 + '자가소비(B)'!AI73 + 'PPA 사업(C)'!AI73 + '리스사업(D)'!AI73 + '임대사업(E)'!AI73 + '환경부사업(F)'!AI73 + '프로젝트(G)'!AI73 + '협력사 EPC(H)'!AI73 + '기타(Z)'!AI73</f>
        <v>0</v>
      </c>
      <c r="J93" s="115">
        <f>'발전사업(A)'!AJ73 + '자가소비(B)'!AJ73 + 'PPA 사업(C)'!AJ73 + '리스사업(D)'!AJ73 + '임대사업(E)'!AJ73 + '환경부사업(F)'!AJ73 + '프로젝트(G)'!AJ73 + '협력사 EPC(H)'!AJ73 + '기타(Z)'!AJ73</f>
        <v>0</v>
      </c>
      <c r="K93" s="181">
        <f>'발전사업(A)'!AK73 + '자가소비(B)'!AK73 + 'PPA 사업(C)'!AK73 + '리스사업(D)'!AK73 + '임대사업(E)'!AK73 + '환경부사업(F)'!AK73 + '프로젝트(G)'!AK73 + '협력사 EPC(H)'!AK73 + '기타(Z)'!AK73</f>
        <v>0</v>
      </c>
      <c r="L93" s="181">
        <f>'발전사업(A)'!AL73 + '자가소비(B)'!AL73 + 'PPA 사업(C)'!AL73 + '리스사업(D)'!AL73 + '임대사업(E)'!AL73 + '환경부사업(F)'!AL73 + '프로젝트(G)'!AL73 + '협력사 EPC(H)'!AL73 + '기타(Z)'!AL73</f>
        <v>0</v>
      </c>
      <c r="M93" s="181">
        <f>'발전사업(A)'!AM73 + '자가소비(B)'!AM73 + 'PPA 사업(C)'!AM73 + '리스사업(D)'!AM73 + '임대사업(E)'!AM73 + '환경부사업(F)'!AM73 + '프로젝트(G)'!AM73 + '협력사 EPC(H)'!AM73 + '기타(Z)'!AM73</f>
        <v>0</v>
      </c>
      <c r="N93" s="182">
        <f>'발전사업(A)'!AN73 + '자가소비(B)'!AN73 + 'PPA 사업(C)'!AN73 + '리스사업(D)'!AN73 + '임대사업(E)'!AN73 + '환경부사업(F)'!AN73 + '프로젝트(G)'!AN73 + '협력사 EPC(H)'!AN73 + '기타(Z)'!AN73</f>
        <v>0</v>
      </c>
      <c r="O93" s="39">
        <f>'발전사업(A)'!AO73 + '자가소비(B)'!AO73 + 'PPA 사업(C)'!AO73 + '리스사업(D)'!AO73 + '임대사업(E)'!AO73 + '환경부사업(F)'!AO73 + '프로젝트(G)'!AO73 + '협력사 EPC(H)'!AO73 + '기타(Z)'!AO73 + '협력사 하도(I)'!AO73</f>
        <v>0</v>
      </c>
      <c r="P93" s="39">
        <f>'발전사업(A)'!AP73 + '자가소비(B)'!AP73 + 'PPA 사업(C)'!AP73 + '리스사업(D)'!AP73 + '임대사업(E)'!AP73 + '환경부사업(F)'!AP73 + '프로젝트(G)'!AP73 + '협력사 EPC(H)'!AP73 + '기타(Z)'!AP73 + '협력사 하도(I)'!AP73</f>
        <v>0</v>
      </c>
      <c r="Q93" s="39">
        <f>'발전사업(A)'!AQ73 + '자가소비(B)'!AQ73 + 'PPA 사업(C)'!AQ73 + '리스사업(D)'!AQ73 + '임대사업(E)'!AQ73 + '환경부사업(F)'!AQ73 + '프로젝트(G)'!AQ73 + '협력사 EPC(H)'!AQ73 + '기타(Z)'!AQ73 + '협력사 하도(I)'!AQ73</f>
        <v>0</v>
      </c>
      <c r="R93" s="39">
        <f>'발전사업(A)'!AR73 + '자가소비(B)'!AR73 + 'PPA 사업(C)'!AR73 + '리스사업(D)'!AR73 + '임대사업(E)'!AR73 + '환경부사업(F)'!AR73 + '프로젝트(G)'!AR73 + '협력사 EPC(H)'!AR73 + '기타(Z)'!AR73 + '협력사 하도(I)'!AR73</f>
        <v>0</v>
      </c>
      <c r="S93" s="130">
        <f>'발전사업(A)'!AS73 + '자가소비(B)'!AS73 + 'PPA 사업(C)'!AS73 + '리스사업(D)'!AS73 + '임대사업(E)'!AS73 + '환경부사업(F)'!AS73 + '프로젝트(G)'!AS73 + '협력사 EPC(H)'!AS73 + '기타(Z)'!AS73 + '협력사 하도(I)'!AS73</f>
        <v>0</v>
      </c>
    </row>
    <row r="94" spans="1:19" ht="14.25" thickBot="1" x14ac:dyDescent="0.3">
      <c r="A94">
        <v>12</v>
      </c>
      <c r="B94" s="488"/>
      <c r="C94" s="92" t="s">
        <v>3</v>
      </c>
      <c r="D94" s="101"/>
      <c r="E94" s="141">
        <f>'발전사업(A)'!AE74 + '자가소비(B)'!AE74 + 'PPA 사업(C)'!AE74 + '리스사업(D)'!AE74 + '임대사업(E)'!AE74 + '환경부사업(F)'!AE74 + '프로젝트(G)'!AE74 + '협력사 EPC(H)'!AE74 + '기타(Z)'!AE74</f>
        <v>0</v>
      </c>
      <c r="F94" s="142">
        <f>'발전사업(A)'!AF74 + '자가소비(B)'!AF74 + 'PPA 사업(C)'!AF74 + '리스사업(D)'!AF74 + '임대사업(E)'!AF74 + '환경부사업(F)'!AF74 + '프로젝트(G)'!AF74 + '협력사 EPC(H)'!AF74 + '기타(Z)'!AF74</f>
        <v>0</v>
      </c>
      <c r="G94" s="142">
        <f>'발전사업(A)'!AG74 + '자가소비(B)'!AG74 + 'PPA 사업(C)'!AG74 + '리스사업(D)'!AG74 + '임대사업(E)'!AG74 + '환경부사업(F)'!AG74 + '프로젝트(G)'!AG74 + '협력사 EPC(H)'!AG74 + '기타(Z)'!AG74</f>
        <v>0</v>
      </c>
      <c r="H94" s="142">
        <f>'발전사업(A)'!AH74 + '자가소비(B)'!AH74 + 'PPA 사업(C)'!AH74 + '리스사업(D)'!AH74 + '임대사업(E)'!AH74 + '환경부사업(F)'!AH74 + '프로젝트(G)'!AH74 + '협력사 EPC(H)'!AH74 + '기타(Z)'!AH74</f>
        <v>0</v>
      </c>
      <c r="I94" s="143">
        <f>'발전사업(A)'!AI74 + '자가소비(B)'!AI74 + 'PPA 사업(C)'!AI74 + '리스사업(D)'!AI74 + '임대사업(E)'!AI74 + '환경부사업(F)'!AI74 + '프로젝트(G)'!AI74 + '협력사 EPC(H)'!AI74 + '기타(Z)'!AI74</f>
        <v>0</v>
      </c>
      <c r="J94" s="189">
        <f>'발전사업(A)'!AJ74 + '자가소비(B)'!AJ74 + 'PPA 사업(C)'!AJ74 + '리스사업(D)'!AJ74 + '임대사업(E)'!AJ74 + '환경부사업(F)'!AJ74 + '프로젝트(G)'!AJ74 + '협력사 EPC(H)'!AJ74 + '기타(Z)'!AJ74</f>
        <v>0</v>
      </c>
      <c r="K94" s="190">
        <f>'발전사업(A)'!AK74 + '자가소비(B)'!AK74 + 'PPA 사업(C)'!AK74 + '리스사업(D)'!AK74 + '임대사업(E)'!AK74 + '환경부사업(F)'!AK74 + '프로젝트(G)'!AK74 + '협력사 EPC(H)'!AK74 + '기타(Z)'!AK74</f>
        <v>0</v>
      </c>
      <c r="L94" s="190">
        <f>'발전사업(A)'!AL74 + '자가소비(B)'!AL74 + 'PPA 사업(C)'!AL74 + '리스사업(D)'!AL74 + '임대사업(E)'!AL74 + '환경부사업(F)'!AL74 + '프로젝트(G)'!AL74 + '협력사 EPC(H)'!AL74 + '기타(Z)'!AL74</f>
        <v>0</v>
      </c>
      <c r="M94" s="190">
        <f>'발전사업(A)'!AM74 + '자가소비(B)'!AM74 + 'PPA 사업(C)'!AM74 + '리스사업(D)'!AM74 + '임대사업(E)'!AM74 + '환경부사업(F)'!AM74 + '프로젝트(G)'!AM74 + '협력사 EPC(H)'!AM74 + '기타(Z)'!AM74</f>
        <v>0</v>
      </c>
      <c r="N94" s="191">
        <f>'발전사업(A)'!AN74 + '자가소비(B)'!AN74 + 'PPA 사업(C)'!AN74 + '리스사업(D)'!AN74 + '임대사업(E)'!AN74 + '환경부사업(F)'!AN74 + '프로젝트(G)'!AN74 + '협력사 EPC(H)'!AN74 + '기타(Z)'!AN74</f>
        <v>0</v>
      </c>
      <c r="O94" s="167">
        <f>'발전사업(A)'!AO74 + '자가소비(B)'!AO74 + 'PPA 사업(C)'!AO74 + '리스사업(D)'!AO74 + '임대사업(E)'!AO74 + '환경부사업(F)'!AO74 + '프로젝트(G)'!AO74 + '협력사 EPC(H)'!AO74 + '기타(Z)'!AO74 + '협력사 하도(I)'!AO74</f>
        <v>0</v>
      </c>
      <c r="P94" s="142">
        <f>'발전사업(A)'!AP74 + '자가소비(B)'!AP74 + 'PPA 사업(C)'!AP74 + '리스사업(D)'!AP74 + '임대사업(E)'!AP74 + '환경부사업(F)'!AP74 + '프로젝트(G)'!AP74 + '협력사 EPC(H)'!AP74 + '기타(Z)'!AP74 + '협력사 하도(I)'!AP74</f>
        <v>0</v>
      </c>
      <c r="Q94" s="142">
        <f>'발전사업(A)'!AQ74 + '자가소비(B)'!AQ74 + 'PPA 사업(C)'!AQ74 + '리스사업(D)'!AQ74 + '임대사업(E)'!AQ74 + '환경부사업(F)'!AQ74 + '프로젝트(G)'!AQ74 + '협력사 EPC(H)'!AQ74 + '기타(Z)'!AQ74 + '협력사 하도(I)'!AQ74</f>
        <v>0</v>
      </c>
      <c r="R94" s="142">
        <f>'발전사업(A)'!AR74 + '자가소비(B)'!AR74 + 'PPA 사업(C)'!AR74 + '리스사업(D)'!AR74 + '임대사업(E)'!AR74 + '환경부사업(F)'!AR74 + '프로젝트(G)'!AR74 + '협력사 EPC(H)'!AR74 + '기타(Z)'!AR74 + '협력사 하도(I)'!AR74</f>
        <v>0</v>
      </c>
      <c r="S94" s="144">
        <f>'발전사업(A)'!AS74 + '자가소비(B)'!AS74 + 'PPA 사업(C)'!AS74 + '리스사업(D)'!AS74 + '임대사업(E)'!AS74 + '환경부사업(F)'!AS74 + '프로젝트(G)'!AS74 + '협력사 EPC(H)'!AS74 + '기타(Z)'!AS74 + '협력사 하도(I)'!AS74</f>
        <v>0</v>
      </c>
    </row>
    <row r="95" spans="1:19" ht="17.25" thickBot="1" x14ac:dyDescent="0.3">
      <c r="B95" s="489" t="s">
        <v>31</v>
      </c>
      <c r="C95" s="490"/>
      <c r="D95" s="103"/>
      <c r="E95" s="85">
        <f t="shared" ref="E95:K95" si="2">E28+E34+E40+E46+E52+E58+E64+E70+E76+E82+E88+E94</f>
        <v>83272.534999999989</v>
      </c>
      <c r="F95" s="85">
        <f t="shared" si="2"/>
        <v>54444.5</v>
      </c>
      <c r="G95" s="85">
        <f t="shared" si="2"/>
        <v>19661.79</v>
      </c>
      <c r="H95" s="228">
        <f t="shared" si="2"/>
        <v>9166.244999999999</v>
      </c>
      <c r="I95" s="86">
        <f t="shared" si="2"/>
        <v>0</v>
      </c>
      <c r="J95" s="121">
        <f t="shared" si="2"/>
        <v>267</v>
      </c>
      <c r="K95" s="122">
        <f t="shared" si="2"/>
        <v>175</v>
      </c>
      <c r="L95" s="122">
        <f t="shared" ref="L95:S95" si="3">L28+L34+L40+L46+L52+L58+L64+L70+L76+L82+L88+L94</f>
        <v>83</v>
      </c>
      <c r="M95" s="122">
        <f t="shared" si="3"/>
        <v>9</v>
      </c>
      <c r="N95" s="122">
        <f t="shared" si="3"/>
        <v>0</v>
      </c>
      <c r="O95" s="227">
        <f t="shared" si="3"/>
        <v>806.25900000000001</v>
      </c>
      <c r="P95" s="227">
        <f t="shared" si="3"/>
        <v>513.11999999999989</v>
      </c>
      <c r="Q95" s="227">
        <f t="shared" si="3"/>
        <v>185.60300000000001</v>
      </c>
      <c r="R95" s="227">
        <f t="shared" si="3"/>
        <v>107.536</v>
      </c>
      <c r="S95" s="227">
        <f t="shared" si="3"/>
        <v>0</v>
      </c>
    </row>
    <row r="98" spans="5:17" x14ac:dyDescent="0.25">
      <c r="E98" s="3"/>
    </row>
    <row r="104" spans="5:17" x14ac:dyDescent="0.25"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</row>
  </sheetData>
  <mergeCells count="15">
    <mergeCell ref="B21:S21"/>
    <mergeCell ref="B23:B28"/>
    <mergeCell ref="B95:C95"/>
    <mergeCell ref="B22:C22"/>
    <mergeCell ref="B29:B34"/>
    <mergeCell ref="B35:B40"/>
    <mergeCell ref="B41:B46"/>
    <mergeCell ref="B47:B52"/>
    <mergeCell ref="B53:B58"/>
    <mergeCell ref="B89:B94"/>
    <mergeCell ref="B59:B64"/>
    <mergeCell ref="B65:B70"/>
    <mergeCell ref="B71:B76"/>
    <mergeCell ref="B77:B82"/>
    <mergeCell ref="B83:B88"/>
  </mergeCells>
  <phoneticPr fontId="7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B1:AW351"/>
  <sheetViews>
    <sheetView topLeftCell="B1" zoomScale="85" zoomScaleNormal="85" workbookViewId="0">
      <pane ySplit="2" topLeftCell="A198" activePane="bottomLeft" state="frozen"/>
      <selection activeCell="W3" sqref="W3"/>
      <selection pane="bottomLeft" activeCell="F230" sqref="F230"/>
    </sheetView>
  </sheetViews>
  <sheetFormatPr defaultRowHeight="13.5" x14ac:dyDescent="0.25"/>
  <cols>
    <col min="1" max="1" width="3.7109375" customWidth="1"/>
    <col min="2" max="3" width="10.7109375" customWidth="1"/>
    <col min="4" max="4" width="14.5703125" style="5" bestFit="1" customWidth="1"/>
    <col min="5" max="5" width="10.7109375" style="384" customWidth="1"/>
    <col min="6" max="6" width="12.7109375" style="382" customWidth="1"/>
    <col min="7" max="8" width="10.7109375" customWidth="1"/>
    <col min="9" max="9" width="11.85546875" customWidth="1"/>
    <col min="10" max="11" width="15.7109375" style="4" customWidth="1"/>
    <col min="12" max="12" width="15.7109375" style="36" customWidth="1"/>
    <col min="13" max="13" width="15.7109375" style="4" customWidth="1"/>
    <col min="14" max="14" width="15.7109375" customWidth="1"/>
    <col min="15" max="15" width="21.42578125" customWidth="1"/>
    <col min="16" max="17" width="6" customWidth="1"/>
    <col min="18" max="18" width="44.42578125" style="20" customWidth="1"/>
    <col min="19" max="19" width="20.7109375" customWidth="1"/>
    <col min="20" max="20" width="13.42578125" customWidth="1"/>
    <col min="21" max="21" width="9.140625" style="32" customWidth="1"/>
    <col min="22" max="22" width="47" style="5" customWidth="1"/>
    <col min="23" max="23" width="9.140625" style="5" customWidth="1"/>
    <col min="24" max="24" width="9.140625" style="32"/>
    <col min="30" max="30" width="11.140625" customWidth="1"/>
    <col min="31" max="35" width="11.7109375" customWidth="1"/>
    <col min="36" max="40" width="11.7109375" style="124" customWidth="1"/>
    <col min="41" max="45" width="11.7109375" customWidth="1"/>
  </cols>
  <sheetData>
    <row r="1" spans="2:49" ht="27" thickBot="1" x14ac:dyDescent="0.3">
      <c r="B1" s="31"/>
      <c r="C1" s="31"/>
      <c r="D1" s="253"/>
      <c r="E1" s="68"/>
      <c r="F1" s="17"/>
      <c r="G1" s="6"/>
      <c r="H1" s="6"/>
      <c r="I1" s="22"/>
      <c r="J1" s="7"/>
      <c r="K1" s="7"/>
      <c r="L1" s="33"/>
      <c r="M1" s="7"/>
      <c r="N1" s="7"/>
      <c r="U1" s="42"/>
      <c r="X1" s="42"/>
      <c r="AB1" s="494" t="s">
        <v>3</v>
      </c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6"/>
    </row>
    <row r="2" spans="2:49" ht="43.5" customHeight="1" thickTop="1" thickBot="1" x14ac:dyDescent="0.3">
      <c r="B2" s="14" t="s">
        <v>0</v>
      </c>
      <c r="C2" s="66" t="s">
        <v>66</v>
      </c>
      <c r="D2" s="66" t="s">
        <v>67</v>
      </c>
      <c r="E2" s="69" t="s">
        <v>68</v>
      </c>
      <c r="F2" s="18" t="s">
        <v>1</v>
      </c>
      <c r="G2" s="10" t="s">
        <v>18</v>
      </c>
      <c r="H2" s="10" t="s">
        <v>17</v>
      </c>
      <c r="I2" s="11" t="s">
        <v>2</v>
      </c>
      <c r="J2" s="12" t="s">
        <v>16</v>
      </c>
      <c r="K2" s="12" t="s">
        <v>21</v>
      </c>
      <c r="L2" s="34" t="s">
        <v>44</v>
      </c>
      <c r="M2" s="37" t="s">
        <v>25</v>
      </c>
      <c r="N2" s="10" t="s">
        <v>22</v>
      </c>
      <c r="O2" s="10" t="s">
        <v>24</v>
      </c>
      <c r="P2" s="10" t="s">
        <v>42</v>
      </c>
      <c r="Q2" s="10" t="s">
        <v>206</v>
      </c>
      <c r="R2" s="10" t="s">
        <v>23</v>
      </c>
      <c r="S2" s="13" t="s">
        <v>5</v>
      </c>
      <c r="T2" s="23" t="s">
        <v>33</v>
      </c>
      <c r="U2" s="198" t="s">
        <v>48</v>
      </c>
      <c r="V2" s="14" t="s">
        <v>32</v>
      </c>
      <c r="W2" s="14" t="s">
        <v>1152</v>
      </c>
      <c r="X2" s="198" t="s">
        <v>149</v>
      </c>
      <c r="Y2" s="103" t="s">
        <v>161</v>
      </c>
      <c r="AB2" s="491" t="s">
        <v>108</v>
      </c>
      <c r="AC2" s="492"/>
      <c r="AD2" s="106" t="s">
        <v>1</v>
      </c>
      <c r="AE2" s="107" t="s">
        <v>109</v>
      </c>
      <c r="AF2" s="108" t="s">
        <v>78</v>
      </c>
      <c r="AG2" s="108" t="s">
        <v>77</v>
      </c>
      <c r="AH2" s="108" t="s">
        <v>79</v>
      </c>
      <c r="AI2" s="109" t="s">
        <v>80</v>
      </c>
      <c r="AJ2" s="112" t="s">
        <v>110</v>
      </c>
      <c r="AK2" s="113" t="s">
        <v>78</v>
      </c>
      <c r="AL2" s="113" t="s">
        <v>77</v>
      </c>
      <c r="AM2" s="113" t="s">
        <v>79</v>
      </c>
      <c r="AN2" s="114" t="s">
        <v>80</v>
      </c>
      <c r="AO2" s="110" t="s">
        <v>111</v>
      </c>
      <c r="AP2" s="111" t="s">
        <v>78</v>
      </c>
      <c r="AQ2" s="111" t="s">
        <v>77</v>
      </c>
      <c r="AR2" s="111" t="s">
        <v>79</v>
      </c>
      <c r="AS2" s="111" t="s">
        <v>80</v>
      </c>
      <c r="AU2" s="146"/>
      <c r="AV2" s="147" t="s">
        <v>116</v>
      </c>
      <c r="AW2" s="148"/>
    </row>
    <row r="3" spans="2:49" s="8" customFormat="1" ht="13.5" customHeight="1" x14ac:dyDescent="0.25">
      <c r="B3" s="15">
        <v>1</v>
      </c>
      <c r="C3" s="8" t="s">
        <v>245</v>
      </c>
      <c r="D3" s="5" t="s">
        <v>246</v>
      </c>
      <c r="E3" s="383">
        <v>1</v>
      </c>
      <c r="F3" s="380">
        <v>46020</v>
      </c>
      <c r="G3" s="8">
        <v>1</v>
      </c>
      <c r="H3" s="8">
        <v>1</v>
      </c>
      <c r="I3" s="8">
        <v>373.76</v>
      </c>
      <c r="J3" s="9">
        <v>458000000</v>
      </c>
      <c r="K3" s="9">
        <f>J3*1.1</f>
        <v>503800000.00000006</v>
      </c>
      <c r="L3" s="35">
        <f>J3*0.00000001</f>
        <v>4.58</v>
      </c>
      <c r="M3" s="2" t="s">
        <v>146</v>
      </c>
      <c r="N3" t="s">
        <v>146</v>
      </c>
      <c r="O3" s="19" t="s">
        <v>247</v>
      </c>
      <c r="P3" s="19">
        <v>1</v>
      </c>
      <c r="Q3" s="19" t="s">
        <v>248</v>
      </c>
      <c r="R3" s="21" t="s">
        <v>249</v>
      </c>
      <c r="S3" s="46" t="s">
        <v>250</v>
      </c>
      <c r="T3" s="376" t="s">
        <v>251</v>
      </c>
      <c r="U3" s="377" t="s">
        <v>252</v>
      </c>
      <c r="V3" s="378" t="s">
        <v>253</v>
      </c>
      <c r="W3" s="78"/>
      <c r="X3" s="379" t="s">
        <v>254</v>
      </c>
      <c r="Y3" s="15" t="s">
        <v>255</v>
      </c>
      <c r="AA3">
        <v>1</v>
      </c>
      <c r="AB3" s="486">
        <v>1</v>
      </c>
      <c r="AC3" s="89">
        <v>1</v>
      </c>
      <c r="AD3" s="95" t="s">
        <v>81</v>
      </c>
      <c r="AE3" s="39">
        <f>SUM(AF3:AI3)</f>
        <v>4574.9400000000005</v>
      </c>
      <c r="AF3" s="65">
        <f>SUMIFS($I:$I,$C:$C, $AF$2,$G:$G, $AA3,$H:$H, $AC3)</f>
        <v>3125.0250000000005</v>
      </c>
      <c r="AG3" s="65">
        <f>SUMIFS($I:$I,$C:$C, $AG$2,$G:$G, $AA3,$H:$H, $AC3)</f>
        <v>1449.915</v>
      </c>
      <c r="AH3" s="65">
        <f>SUMIFS($I:$I,$C:$C, $AH$2,$G:$G, $AA3,$H:$H, $AC3)</f>
        <v>0</v>
      </c>
      <c r="AI3" s="104">
        <f>SUMIFS($I:$I,$C:$C, $AI$2,$G:$G, $AA3,$H:$H, $AC3)</f>
        <v>0</v>
      </c>
      <c r="AJ3" s="115">
        <f>SUM(AK3:AN3)</f>
        <v>12</v>
      </c>
      <c r="AK3" s="116">
        <f>COUNTIFS($C:$C, $AK$2,$G:$G, $AA3,$H:$H, $AC3)</f>
        <v>8</v>
      </c>
      <c r="AL3" s="116">
        <f>COUNTIFS($C:$C, $AL$2,$G:$G, $AA3,$H:$H, $AC3)</f>
        <v>4</v>
      </c>
      <c r="AM3" s="116">
        <f>COUNTIFS($C:$C, $AM$2,$G:$G, $AA3,$H:$H, $AC3)</f>
        <v>0</v>
      </c>
      <c r="AN3" s="117">
        <f>COUNTIFS($C:$C, $AN$2,$G:$G, $AA3,$H:$H, $AC3)</f>
        <v>0</v>
      </c>
      <c r="AO3" s="39">
        <f>SUM(AP3:AS3)</f>
        <v>44.41</v>
      </c>
      <c r="AP3" s="65">
        <f>SUMIFS($L:$L,$C:$C, $AP$2,$G:$G, $AA3,$H:$H, $AC3)</f>
        <v>28.36</v>
      </c>
      <c r="AQ3" s="65">
        <f>SUMIFS($L:$L,$C:$C, $AQ$2,$G:$G, $AA3,$H:$H, $AC3)</f>
        <v>16.05</v>
      </c>
      <c r="AR3" s="65">
        <f>SUMIFS($L:$L,$C:$C, $AR$2,$G:$G, $AA3,$H:$H, $AC3)</f>
        <v>0</v>
      </c>
      <c r="AS3" s="65">
        <f>SUMIFS($L:$L,$C:$C, $AS$2,$G:$G, $AA3,$H:$H, $AC3)</f>
        <v>0</v>
      </c>
      <c r="AU3" s="149" t="s">
        <v>117</v>
      </c>
      <c r="AV3" s="150" t="s">
        <v>118</v>
      </c>
      <c r="AW3" s="151" t="s">
        <v>119</v>
      </c>
    </row>
    <row r="4" spans="2:49" s="8" customFormat="1" ht="13.5" customHeight="1" x14ac:dyDescent="0.25">
      <c r="B4" s="15">
        <v>2</v>
      </c>
      <c r="C4" s="8" t="s">
        <v>245</v>
      </c>
      <c r="D4" s="5" t="s">
        <v>246</v>
      </c>
      <c r="E4" s="383">
        <v>2</v>
      </c>
      <c r="F4" s="380">
        <v>46020</v>
      </c>
      <c r="G4" s="8">
        <v>1</v>
      </c>
      <c r="H4" s="8">
        <v>1</v>
      </c>
      <c r="I4" s="8">
        <v>289.27999999999997</v>
      </c>
      <c r="J4" s="9">
        <v>383000000</v>
      </c>
      <c r="K4" s="9">
        <f>J4*1.1</f>
        <v>421300000.00000006</v>
      </c>
      <c r="L4" s="35">
        <f>J4*0.00000001</f>
        <v>3.83</v>
      </c>
      <c r="M4" s="2" t="s">
        <v>146</v>
      </c>
      <c r="N4" t="s">
        <v>146</v>
      </c>
      <c r="O4" s="19" t="s">
        <v>296</v>
      </c>
      <c r="P4" s="19">
        <v>1</v>
      </c>
      <c r="Q4" s="19" t="s">
        <v>190</v>
      </c>
      <c r="R4" s="21" t="s">
        <v>249</v>
      </c>
      <c r="S4" s="46" t="s">
        <v>250</v>
      </c>
      <c r="T4" s="44" t="s">
        <v>251</v>
      </c>
      <c r="U4" s="374" t="s">
        <v>252</v>
      </c>
      <c r="V4" s="24" t="s">
        <v>253</v>
      </c>
      <c r="W4" s="24"/>
      <c r="X4" s="375" t="s">
        <v>254</v>
      </c>
      <c r="Y4" s="15" t="s">
        <v>255</v>
      </c>
      <c r="AA4">
        <v>1</v>
      </c>
      <c r="AB4" s="487"/>
      <c r="AC4" s="90">
        <v>2</v>
      </c>
      <c r="AD4" s="96" t="s">
        <v>54</v>
      </c>
      <c r="AE4" s="39">
        <f t="shared" ref="AE4:AE67" si="0">SUM(AF4:AI4)</f>
        <v>1288.71</v>
      </c>
      <c r="AF4" s="65">
        <f>SUMIFS($I:$I,$C:$C, $AF$2,$G:$G, $AA4,$H:$H, $AC4)</f>
        <v>1013.94</v>
      </c>
      <c r="AG4" s="65">
        <f>SUMIFS($I:$I,$C:$C, $AG$2,$G:$G, $AA4,$H:$H, $AC4)</f>
        <v>274.77</v>
      </c>
      <c r="AH4" s="65">
        <f>SUMIFS($I:$I,$C:$C, $AH$2,$G:$G, $AA4,$H:$H, $AC4)</f>
        <v>0</v>
      </c>
      <c r="AI4" s="104">
        <f>SUMIFS($I:$I,$C:$C, $AI$2,$G:$G, $AA4,$H:$H, $AC4)</f>
        <v>0</v>
      </c>
      <c r="AJ4" s="115">
        <f t="shared" ref="AJ4:AJ67" si="1">SUM(AK4:AN4)</f>
        <v>5</v>
      </c>
      <c r="AK4" s="116">
        <f>COUNTIFS($C:$C, $AK$2,$G:$G, $AA4,$H:$H, $AC4)</f>
        <v>4</v>
      </c>
      <c r="AL4" s="116">
        <f>COUNTIFS($C:$C, $AL$2,$G:$G, $AA4,$H:$H, $AC4)</f>
        <v>1</v>
      </c>
      <c r="AM4" s="116">
        <f>COUNTIFS($C:$C, $AM$2,$G:$G, $AA4,$H:$H, $AC4)</f>
        <v>0</v>
      </c>
      <c r="AN4" s="117">
        <f>COUNTIFS($C:$C, $AN$2,$G:$G, $AA4,$H:$H, $AC4)</f>
        <v>0</v>
      </c>
      <c r="AO4" s="39">
        <f t="shared" ref="AO4:AO67" si="2">SUM(AP4:AS4)</f>
        <v>11.530000000000001</v>
      </c>
      <c r="AP4" s="65">
        <f>SUMIFS($L:$L,$C:$C, $AP$2,$G:$G, $AA4,$H:$H, $AC4)</f>
        <v>8.9600000000000009</v>
      </c>
      <c r="AQ4" s="65">
        <f>SUMIFS($L:$L,$C:$C, $AQ$2,$G:$G, $AA4,$H:$H, $AC4)</f>
        <v>2.57</v>
      </c>
      <c r="AR4" s="65">
        <f>SUMIFS($L:$L,$C:$C, $AR$2,$G:$G, $AA4,$H:$H, $AC4)</f>
        <v>0</v>
      </c>
      <c r="AS4" s="65">
        <f>SUMIFS($L:$L,$C:$C, $AS$2,$G:$G, $AA4,$H:$H, $AC4)</f>
        <v>0</v>
      </c>
      <c r="AU4" s="152">
        <v>1</v>
      </c>
      <c r="AV4" s="153">
        <f t="shared" ref="AV4:AV15" si="3">COUNTIFS($U:$U,$AV$3,$G:$G,$AU4)</f>
        <v>23</v>
      </c>
      <c r="AW4" s="154">
        <f t="shared" ref="AW4:AW15" si="4">COUNTIFS($U:$U,$AW$3,$G:$G,$AU4)</f>
        <v>6</v>
      </c>
    </row>
    <row r="5" spans="2:49" s="8" customFormat="1" ht="13.5" customHeight="1" x14ac:dyDescent="0.25">
      <c r="B5" s="15">
        <v>3</v>
      </c>
      <c r="C5" s="8" t="s">
        <v>112</v>
      </c>
      <c r="D5" s="5" t="s">
        <v>246</v>
      </c>
      <c r="E5" s="383">
        <v>1</v>
      </c>
      <c r="F5" s="380">
        <v>46015</v>
      </c>
      <c r="G5" s="8">
        <v>1</v>
      </c>
      <c r="H5" s="8">
        <v>1</v>
      </c>
      <c r="I5" s="8">
        <v>958.48</v>
      </c>
      <c r="J5" s="9">
        <v>880000000</v>
      </c>
      <c r="K5" s="9">
        <f>J5*1.1</f>
        <v>968000000.00000012</v>
      </c>
      <c r="L5" s="35">
        <f>J5*0.00000001</f>
        <v>8.8000000000000007</v>
      </c>
      <c r="M5" s="2" t="s">
        <v>259</v>
      </c>
      <c r="N5" t="s">
        <v>27</v>
      </c>
      <c r="O5" s="19" t="s">
        <v>261</v>
      </c>
      <c r="P5" s="19">
        <v>2</v>
      </c>
      <c r="Q5" s="19" t="s">
        <v>200</v>
      </c>
      <c r="R5" s="21" t="s">
        <v>263</v>
      </c>
      <c r="S5" s="46" t="s">
        <v>250</v>
      </c>
      <c r="T5" s="44" t="s">
        <v>266</v>
      </c>
      <c r="U5" s="76" t="s">
        <v>252</v>
      </c>
      <c r="V5" s="24" t="s">
        <v>268</v>
      </c>
      <c r="W5" s="24"/>
      <c r="X5" s="193" t="s">
        <v>152</v>
      </c>
      <c r="Y5" s="15" t="s">
        <v>255</v>
      </c>
      <c r="AA5">
        <v>1</v>
      </c>
      <c r="AB5" s="487"/>
      <c r="AC5" s="90">
        <v>3</v>
      </c>
      <c r="AD5" s="97" t="s">
        <v>55</v>
      </c>
      <c r="AE5" s="39">
        <f t="shared" si="0"/>
        <v>1654.585</v>
      </c>
      <c r="AF5" s="65">
        <f>SUMIFS($I:$I,$C:$C, $AF$2,$G:$G, $AA5,$H:$H, $AC5)</f>
        <v>1219.05</v>
      </c>
      <c r="AG5" s="65">
        <f>SUMIFS($I:$I,$C:$C, $AG$2,$G:$G, $AA5,$H:$H, $AC5)</f>
        <v>435.53499999999997</v>
      </c>
      <c r="AH5" s="65">
        <f>SUMIFS($I:$I,$C:$C, $AH$2,$G:$G, $AA5,$H:$H, $AC5)</f>
        <v>0</v>
      </c>
      <c r="AI5" s="104">
        <f>SUMIFS($I:$I,$C:$C, $AI$2,$G:$G, $AA5,$H:$H, $AC5)</f>
        <v>0</v>
      </c>
      <c r="AJ5" s="115">
        <f t="shared" si="1"/>
        <v>6</v>
      </c>
      <c r="AK5" s="116">
        <f>COUNTIFS($C:$C, $AK$2,$G:$G, $AA5,$H:$H, $AC5)</f>
        <v>4</v>
      </c>
      <c r="AL5" s="116">
        <f>COUNTIFS($C:$C, $AL$2,$G:$G, $AA5,$H:$H, $AC5)</f>
        <v>2</v>
      </c>
      <c r="AM5" s="116">
        <f>COUNTIFS($C:$C, $AM$2,$G:$G, $AA5,$H:$H, $AC5)</f>
        <v>0</v>
      </c>
      <c r="AN5" s="117">
        <f>COUNTIFS($C:$C, $AN$2,$G:$G, $AA5,$H:$H, $AC5)</f>
        <v>0</v>
      </c>
      <c r="AO5" s="39">
        <f t="shared" si="2"/>
        <v>14.900000000000002</v>
      </c>
      <c r="AP5" s="65">
        <f>SUMIFS($L:$L,$C:$C, $AP$2,$G:$G, $AA5,$H:$H, $AC5)</f>
        <v>10.530000000000001</v>
      </c>
      <c r="AQ5" s="65">
        <f>SUMIFS($L:$L,$C:$C, $AQ$2,$G:$G, $AA5,$H:$H, $AC5)</f>
        <v>4.37</v>
      </c>
      <c r="AR5" s="65">
        <f>SUMIFS($L:$L,$C:$C, $AR$2,$G:$G, $AA5,$H:$H, $AC5)</f>
        <v>0</v>
      </c>
      <c r="AS5" s="65">
        <f>SUMIFS($L:$L,$C:$C, $AS$2,$G:$G, $AA5,$H:$H, $AC5)</f>
        <v>0</v>
      </c>
      <c r="AU5" s="152">
        <v>2</v>
      </c>
      <c r="AV5" s="153">
        <f t="shared" si="3"/>
        <v>22</v>
      </c>
      <c r="AW5" s="154">
        <f t="shared" si="4"/>
        <v>10</v>
      </c>
    </row>
    <row r="6" spans="2:49" s="8" customFormat="1" ht="13.5" customHeight="1" x14ac:dyDescent="0.25">
      <c r="B6" s="15">
        <v>4</v>
      </c>
      <c r="C6" s="8" t="s">
        <v>112</v>
      </c>
      <c r="D6" s="5" t="s">
        <v>246</v>
      </c>
      <c r="E6" s="383">
        <v>3</v>
      </c>
      <c r="F6" s="380">
        <v>46021</v>
      </c>
      <c r="G6" s="8">
        <v>1</v>
      </c>
      <c r="H6" s="8">
        <v>1</v>
      </c>
      <c r="I6" s="8">
        <v>1203.2</v>
      </c>
      <c r="J6" s="9">
        <v>1070000000</v>
      </c>
      <c r="K6" s="9">
        <f>J6*1.1</f>
        <v>1177000000</v>
      </c>
      <c r="L6" s="35">
        <f>J6*0.00000001</f>
        <v>10.700000000000001</v>
      </c>
      <c r="M6" s="2" t="s">
        <v>260</v>
      </c>
      <c r="N6" t="s">
        <v>27</v>
      </c>
      <c r="O6" s="19" t="s">
        <v>262</v>
      </c>
      <c r="P6" s="19">
        <v>3</v>
      </c>
      <c r="Q6" s="19" t="s">
        <v>200</v>
      </c>
      <c r="R6" s="21" t="s">
        <v>264</v>
      </c>
      <c r="S6" s="46" t="s">
        <v>250</v>
      </c>
      <c r="T6" s="44" t="s">
        <v>265</v>
      </c>
      <c r="U6" s="76" t="s">
        <v>267</v>
      </c>
      <c r="V6" s="24" t="s">
        <v>269</v>
      </c>
      <c r="W6" s="24" t="s">
        <v>1174</v>
      </c>
      <c r="X6" s="193" t="s">
        <v>151</v>
      </c>
      <c r="Y6" s="15" t="s">
        <v>255</v>
      </c>
      <c r="AA6">
        <v>1</v>
      </c>
      <c r="AB6" s="487"/>
      <c r="AC6" s="90">
        <v>4</v>
      </c>
      <c r="AD6" s="97" t="s">
        <v>56</v>
      </c>
      <c r="AE6" s="39">
        <f t="shared" si="0"/>
        <v>1262.9100000000001</v>
      </c>
      <c r="AF6" s="65">
        <f>SUMIFS($I:$I,$C:$C, $AF$2,$G:$G, $AA6,$H:$H, $AC6)</f>
        <v>978.46500000000003</v>
      </c>
      <c r="AG6" s="65">
        <f>SUMIFS($I:$I,$C:$C, $AG$2,$G:$G, $AA6,$H:$H, $AC6)</f>
        <v>284.44499999999999</v>
      </c>
      <c r="AH6" s="65">
        <f>SUMIFS($I:$I,$C:$C, $AH$2,$G:$G, $AA6,$H:$H, $AC6)</f>
        <v>0</v>
      </c>
      <c r="AI6" s="104">
        <f>SUMIFS($I:$I,$C:$C, $AI$2,$G:$G, $AA6,$H:$H, $AC6)</f>
        <v>0</v>
      </c>
      <c r="AJ6" s="115">
        <f t="shared" si="1"/>
        <v>6</v>
      </c>
      <c r="AK6" s="116">
        <f>COUNTIFS($C:$C, $AK$2,$G:$G, $AA6,$H:$H, $AC6)</f>
        <v>4</v>
      </c>
      <c r="AL6" s="116">
        <f>COUNTIFS($C:$C, $AL$2,$G:$G, $AA6,$H:$H, $AC6)</f>
        <v>2</v>
      </c>
      <c r="AM6" s="116">
        <f>COUNTIFS($C:$C, $AM$2,$G:$G, $AA6,$H:$H, $AC6)</f>
        <v>0</v>
      </c>
      <c r="AN6" s="117">
        <f>COUNTIFS($C:$C, $AN$2,$G:$G, $AA6,$H:$H, $AC6)</f>
        <v>0</v>
      </c>
      <c r="AO6" s="39">
        <f t="shared" si="2"/>
        <v>11.899999999999999</v>
      </c>
      <c r="AP6" s="65">
        <f>SUMIFS($L:$L,$C:$C, $AP$2,$G:$G, $AA6,$H:$H, $AC6)</f>
        <v>9.0399999999999991</v>
      </c>
      <c r="AQ6" s="65">
        <f>SUMIFS($L:$L,$C:$C, $AQ$2,$G:$G, $AA6,$H:$H, $AC6)</f>
        <v>2.8600000000000003</v>
      </c>
      <c r="AR6" s="65">
        <f>SUMIFS($L:$L,$C:$C, $AR$2,$G:$G, $AA6,$H:$H, $AC6)</f>
        <v>0</v>
      </c>
      <c r="AS6" s="65">
        <f>SUMIFS($L:$L,$C:$C, $AS$2,$G:$G, $AA6,$H:$H, $AC6)</f>
        <v>0</v>
      </c>
      <c r="AU6" s="152">
        <v>3</v>
      </c>
      <c r="AV6" s="153">
        <f t="shared" si="3"/>
        <v>30</v>
      </c>
      <c r="AW6" s="154">
        <f t="shared" si="4"/>
        <v>2</v>
      </c>
    </row>
    <row r="7" spans="2:49" s="8" customFormat="1" ht="13.5" customHeight="1" x14ac:dyDescent="0.25">
      <c r="B7" s="15">
        <v>5</v>
      </c>
      <c r="C7" s="8" t="s">
        <v>112</v>
      </c>
      <c r="D7" s="5" t="s">
        <v>246</v>
      </c>
      <c r="E7" s="383">
        <v>2</v>
      </c>
      <c r="F7" s="380">
        <v>46021</v>
      </c>
      <c r="G7" s="8">
        <v>1</v>
      </c>
      <c r="H7" s="8">
        <v>1</v>
      </c>
      <c r="I7" s="8">
        <v>284.16000000000003</v>
      </c>
      <c r="J7" s="9">
        <v>270000000</v>
      </c>
      <c r="K7" s="9">
        <f t="shared" ref="K7:K20" si="5">J7*1.1</f>
        <v>297000000</v>
      </c>
      <c r="L7" s="35">
        <f t="shared" ref="L7:L20" si="6">J7*0.00000001</f>
        <v>2.7</v>
      </c>
      <c r="M7" s="2" t="s">
        <v>259</v>
      </c>
      <c r="N7" t="s">
        <v>28</v>
      </c>
      <c r="O7" s="19" t="s">
        <v>270</v>
      </c>
      <c r="P7" s="19">
        <v>4</v>
      </c>
      <c r="Q7" s="19" t="s">
        <v>271</v>
      </c>
      <c r="R7" s="21" t="s">
        <v>272</v>
      </c>
      <c r="S7" s="46" t="s">
        <v>250</v>
      </c>
      <c r="T7" s="44" t="s">
        <v>273</v>
      </c>
      <c r="U7" s="76" t="s">
        <v>252</v>
      </c>
      <c r="V7" s="24" t="s">
        <v>268</v>
      </c>
      <c r="W7" s="24"/>
      <c r="X7" s="193" t="s">
        <v>152</v>
      </c>
      <c r="Y7" s="15" t="s">
        <v>255</v>
      </c>
      <c r="AA7">
        <v>1</v>
      </c>
      <c r="AB7" s="487"/>
      <c r="AC7" s="91">
        <v>5</v>
      </c>
      <c r="AD7" s="97" t="s">
        <v>57</v>
      </c>
      <c r="AE7" s="39">
        <f t="shared" si="0"/>
        <v>0</v>
      </c>
      <c r="AF7" s="65">
        <f>SUMIFS($I:$I,$C:$C, $AF$2,$G:$G, $AA7,$H:$H, $AC7)</f>
        <v>0</v>
      </c>
      <c r="AG7" s="65">
        <f>SUMIFS($I:$I,$C:$C, $AG$2,$G:$G, $AA7,$H:$H, $AC7)</f>
        <v>0</v>
      </c>
      <c r="AH7" s="65">
        <f>SUMIFS($I:$I,$C:$C, $AH$2,$G:$G, $AA7,$H:$H, $AC7)</f>
        <v>0</v>
      </c>
      <c r="AI7" s="104">
        <f>SUMIFS($I:$I,$C:$C, $AI$2,$G:$G, $AA7,$H:$H, $AC7)</f>
        <v>0</v>
      </c>
      <c r="AJ7" s="115">
        <f t="shared" si="1"/>
        <v>0</v>
      </c>
      <c r="AK7" s="116">
        <f>COUNTIFS($C:$C, $AK$2,$G:$G, $AA7,$H:$H, $AC7)</f>
        <v>0</v>
      </c>
      <c r="AL7" s="116">
        <f>COUNTIFS($C:$C, $AL$2,$G:$G, $AA7,$H:$H, $AC7)</f>
        <v>0</v>
      </c>
      <c r="AM7" s="116">
        <f>COUNTIFS($C:$C, $AM$2,$G:$G, $AA7,$H:$H, $AC7)</f>
        <v>0</v>
      </c>
      <c r="AN7" s="117">
        <f>COUNTIFS($C:$C, $AN$2,$G:$G, $AA7,$H:$H, $AC7)</f>
        <v>0</v>
      </c>
      <c r="AO7" s="39">
        <f t="shared" si="2"/>
        <v>0</v>
      </c>
      <c r="AP7" s="65">
        <f>SUMIFS($L:$L,$C:$C, $AP$2,$G:$G, $AA7,$H:$H, $AC7)</f>
        <v>0</v>
      </c>
      <c r="AQ7" s="65">
        <f>SUMIFS($L:$L,$C:$C, $AQ$2,$G:$G, $AA7,$H:$H, $AC7)</f>
        <v>0</v>
      </c>
      <c r="AR7" s="65">
        <f>SUMIFS($L:$L,$C:$C, $AR$2,$G:$G, $AA7,$H:$H, $AC7)</f>
        <v>0</v>
      </c>
      <c r="AS7" s="65">
        <f>SUMIFS($L:$L,$C:$C, $AS$2,$G:$G, $AA7,$H:$H, $AC7)</f>
        <v>0</v>
      </c>
      <c r="AU7" s="152">
        <v>4</v>
      </c>
      <c r="AV7" s="153">
        <f t="shared" si="3"/>
        <v>18</v>
      </c>
      <c r="AW7" s="154">
        <f t="shared" si="4"/>
        <v>7</v>
      </c>
    </row>
    <row r="8" spans="2:49" s="8" customFormat="1" ht="13.5" customHeight="1" thickBot="1" x14ac:dyDescent="0.3">
      <c r="B8" s="15">
        <v>6</v>
      </c>
      <c r="C8" s="8" t="s">
        <v>112</v>
      </c>
      <c r="D8" s="5" t="s">
        <v>246</v>
      </c>
      <c r="E8" s="383">
        <v>5</v>
      </c>
      <c r="F8" s="380">
        <v>46027</v>
      </c>
      <c r="G8" s="8">
        <v>1</v>
      </c>
      <c r="H8" s="8">
        <v>1</v>
      </c>
      <c r="I8" s="8">
        <v>77.400000000000006</v>
      </c>
      <c r="J8" s="9">
        <v>79000000</v>
      </c>
      <c r="K8" s="9">
        <f t="shared" si="5"/>
        <v>86900000</v>
      </c>
      <c r="L8" s="35">
        <f t="shared" si="6"/>
        <v>0.79</v>
      </c>
      <c r="M8" s="2" t="s">
        <v>279</v>
      </c>
      <c r="N8" t="s">
        <v>275</v>
      </c>
      <c r="O8" s="19" t="s">
        <v>276</v>
      </c>
      <c r="P8" s="19">
        <v>5</v>
      </c>
      <c r="Q8" s="19" t="s">
        <v>196</v>
      </c>
      <c r="R8" s="21" t="s">
        <v>277</v>
      </c>
      <c r="S8" s="46" t="s">
        <v>250</v>
      </c>
      <c r="T8" s="44" t="s">
        <v>278</v>
      </c>
      <c r="U8" s="76" t="s">
        <v>252</v>
      </c>
      <c r="V8" s="24" t="s">
        <v>268</v>
      </c>
      <c r="W8" s="24"/>
      <c r="X8" s="193" t="s">
        <v>152</v>
      </c>
      <c r="Y8" s="15" t="s">
        <v>255</v>
      </c>
      <c r="AA8">
        <v>1</v>
      </c>
      <c r="AB8" s="488"/>
      <c r="AC8" s="92" t="s">
        <v>3</v>
      </c>
      <c r="AD8" s="98"/>
      <c r="AE8" s="94">
        <f t="shared" ref="AE8:AS8" si="7">SUM(AE3:AE7)</f>
        <v>8781.1450000000004</v>
      </c>
      <c r="AF8" s="94">
        <f t="shared" si="7"/>
        <v>6336.4800000000005</v>
      </c>
      <c r="AG8" s="94">
        <f t="shared" si="7"/>
        <v>2444.665</v>
      </c>
      <c r="AH8" s="94">
        <f t="shared" si="7"/>
        <v>0</v>
      </c>
      <c r="AI8" s="105">
        <f t="shared" si="7"/>
        <v>0</v>
      </c>
      <c r="AJ8" s="118">
        <f t="shared" si="7"/>
        <v>29</v>
      </c>
      <c r="AK8" s="119">
        <f t="shared" si="7"/>
        <v>20</v>
      </c>
      <c r="AL8" s="119">
        <f t="shared" si="7"/>
        <v>9</v>
      </c>
      <c r="AM8" s="119">
        <f t="shared" si="7"/>
        <v>0</v>
      </c>
      <c r="AN8" s="120">
        <f t="shared" si="7"/>
        <v>0</v>
      </c>
      <c r="AO8" s="94">
        <f t="shared" si="7"/>
        <v>82.740000000000009</v>
      </c>
      <c r="AP8" s="94">
        <f t="shared" si="7"/>
        <v>56.89</v>
      </c>
      <c r="AQ8" s="94">
        <f t="shared" si="7"/>
        <v>25.85</v>
      </c>
      <c r="AR8" s="94">
        <f t="shared" si="7"/>
        <v>0</v>
      </c>
      <c r="AS8" s="94">
        <f t="shared" si="7"/>
        <v>0</v>
      </c>
      <c r="AU8" s="152">
        <v>5</v>
      </c>
      <c r="AV8" s="153">
        <f t="shared" si="3"/>
        <v>11</v>
      </c>
      <c r="AW8" s="154">
        <f t="shared" si="4"/>
        <v>4</v>
      </c>
    </row>
    <row r="9" spans="2:49" s="8" customFormat="1" ht="13.5" customHeight="1" x14ac:dyDescent="0.25">
      <c r="B9" s="15">
        <v>7</v>
      </c>
      <c r="C9" s="8" t="s">
        <v>112</v>
      </c>
      <c r="D9" s="5" t="s">
        <v>246</v>
      </c>
      <c r="E9" s="383">
        <v>6</v>
      </c>
      <c r="F9" s="380">
        <v>46027</v>
      </c>
      <c r="G9" s="8">
        <v>1</v>
      </c>
      <c r="H9" s="8">
        <v>1</v>
      </c>
      <c r="I9" s="8">
        <v>330.24</v>
      </c>
      <c r="J9" s="9">
        <v>268000000</v>
      </c>
      <c r="K9" s="9">
        <f t="shared" si="5"/>
        <v>294800000</v>
      </c>
      <c r="L9" s="35">
        <f t="shared" si="6"/>
        <v>2.68</v>
      </c>
      <c r="M9" s="2" t="s">
        <v>284</v>
      </c>
      <c r="N9" t="s">
        <v>275</v>
      </c>
      <c r="O9" s="19" t="s">
        <v>280</v>
      </c>
      <c r="P9" s="19">
        <v>6</v>
      </c>
      <c r="Q9" s="19" t="s">
        <v>281</v>
      </c>
      <c r="R9" s="21" t="s">
        <v>282</v>
      </c>
      <c r="S9" s="46" t="s">
        <v>250</v>
      </c>
      <c r="T9" s="44" t="s">
        <v>283</v>
      </c>
      <c r="U9" s="76" t="s">
        <v>252</v>
      </c>
      <c r="V9" s="24" t="s">
        <v>268</v>
      </c>
      <c r="W9" s="24"/>
      <c r="X9" s="193" t="s">
        <v>153</v>
      </c>
      <c r="Y9" s="15" t="s">
        <v>255</v>
      </c>
      <c r="AA9">
        <v>2</v>
      </c>
      <c r="AB9" s="486">
        <v>2</v>
      </c>
      <c r="AC9" s="89">
        <v>1</v>
      </c>
      <c r="AD9" s="99" t="s">
        <v>82</v>
      </c>
      <c r="AE9" s="39">
        <f t="shared" si="0"/>
        <v>2824.2049999999995</v>
      </c>
      <c r="AF9" s="65">
        <f>SUMIFS($I:$I,$C:$C, $AF$2,$G:$G, $AA9,$H:$H, $AC9)</f>
        <v>2580.3949999999995</v>
      </c>
      <c r="AG9" s="65">
        <f>SUMIFS($I:$I,$C:$C, $AG$2,$G:$G, $AA9,$H:$H, $AC9)</f>
        <v>243.81</v>
      </c>
      <c r="AH9" s="65">
        <f>SUMIFS($I:$I,$C:$C, $AH$2,$G:$G, $AA9,$H:$H, $AC9)</f>
        <v>0</v>
      </c>
      <c r="AI9" s="104">
        <f>SUMIFS($I:$I,$C:$C, $AI$2,$G:$G, $AA9,$H:$H, $AC9)</f>
        <v>0</v>
      </c>
      <c r="AJ9" s="115">
        <f t="shared" si="1"/>
        <v>12</v>
      </c>
      <c r="AK9" s="116">
        <f>COUNTIFS($C:$C, $AK$2,$G:$G, $AA9,$H:$H, $AC9)</f>
        <v>10</v>
      </c>
      <c r="AL9" s="116">
        <f>COUNTIFS($C:$C, $AL$2,$G:$G, $AA9,$H:$H, $AC9)</f>
        <v>2</v>
      </c>
      <c r="AM9" s="116">
        <f>COUNTIFS($C:$C, $AM$2,$G:$G, $AA9,$H:$H, $AC9)</f>
        <v>0</v>
      </c>
      <c r="AN9" s="117">
        <f>COUNTIFS($C:$C, $AN$2,$G:$G, $AA9,$H:$H, $AC9)</f>
        <v>0</v>
      </c>
      <c r="AO9" s="39">
        <f t="shared" si="2"/>
        <v>26.727199999999996</v>
      </c>
      <c r="AP9" s="65">
        <f>SUMIFS($L:$L,$C:$C, $AP$2,$G:$G, $AA9,$H:$H, $AC9)</f>
        <v>23.869999999999997</v>
      </c>
      <c r="AQ9" s="65">
        <f>SUMIFS($L:$L,$C:$C, $AQ$2,$G:$G, $AA9,$H:$H, $AC9)</f>
        <v>2.8571999999999997</v>
      </c>
      <c r="AR9" s="65">
        <f>SUMIFS($L:$L,$C:$C, $AR$2,$G:$G, $AA9,$H:$H, $AC9)</f>
        <v>0</v>
      </c>
      <c r="AS9" s="65">
        <f>SUMIFS($L:$L,$C:$C, $AS$2,$G:$G, $AA9,$H:$H, $AC9)</f>
        <v>0</v>
      </c>
      <c r="AU9" s="152">
        <v>6</v>
      </c>
      <c r="AV9" s="153">
        <f t="shared" si="3"/>
        <v>18</v>
      </c>
      <c r="AW9" s="154">
        <f t="shared" si="4"/>
        <v>7</v>
      </c>
    </row>
    <row r="10" spans="2:49" s="8" customFormat="1" ht="13.5" customHeight="1" x14ac:dyDescent="0.25">
      <c r="B10" s="15">
        <v>8</v>
      </c>
      <c r="C10" s="8" t="s">
        <v>112</v>
      </c>
      <c r="D10" s="5" t="s">
        <v>246</v>
      </c>
      <c r="E10" s="383">
        <v>7</v>
      </c>
      <c r="F10" s="380">
        <v>46027</v>
      </c>
      <c r="G10" s="8">
        <v>1</v>
      </c>
      <c r="H10" s="8">
        <v>1</v>
      </c>
      <c r="I10" s="8">
        <v>63.21</v>
      </c>
      <c r="J10" s="9">
        <v>67000000</v>
      </c>
      <c r="K10" s="9">
        <f t="shared" si="5"/>
        <v>73700000</v>
      </c>
      <c r="L10" s="35">
        <f t="shared" si="6"/>
        <v>0.67</v>
      </c>
      <c r="M10" s="2" t="s">
        <v>288</v>
      </c>
      <c r="N10" t="s">
        <v>275</v>
      </c>
      <c r="O10" s="19" t="s">
        <v>285</v>
      </c>
      <c r="P10" s="19">
        <v>7</v>
      </c>
      <c r="Q10" s="19" t="s">
        <v>271</v>
      </c>
      <c r="R10" s="21" t="s">
        <v>286</v>
      </c>
      <c r="S10" s="46" t="s">
        <v>250</v>
      </c>
      <c r="T10" s="82" t="s">
        <v>287</v>
      </c>
      <c r="U10" s="76" t="s">
        <v>252</v>
      </c>
      <c r="V10" s="24" t="s">
        <v>268</v>
      </c>
      <c r="W10" s="24"/>
      <c r="X10" s="193" t="s">
        <v>155</v>
      </c>
      <c r="Y10" s="15" t="s">
        <v>255</v>
      </c>
      <c r="AA10">
        <v>2</v>
      </c>
      <c r="AB10" s="487"/>
      <c r="AC10" s="90">
        <v>2</v>
      </c>
      <c r="AD10" s="97" t="s">
        <v>58</v>
      </c>
      <c r="AE10" s="39">
        <f t="shared" si="0"/>
        <v>2574.6150000000002</v>
      </c>
      <c r="AF10" s="65">
        <f>SUMIFS($I:$I,$C:$C, $AF$2,$G:$G, $AA10,$H:$H, $AC10)</f>
        <v>907.29</v>
      </c>
      <c r="AG10" s="65">
        <f>SUMIFS($I:$I,$C:$C, $AG$2,$G:$G, $AA10,$H:$H, $AC10)</f>
        <v>1667.3250000000003</v>
      </c>
      <c r="AH10" s="65">
        <f>SUMIFS($I:$I,$C:$C, $AH$2,$G:$G, $AA10,$H:$H, $AC10)</f>
        <v>0</v>
      </c>
      <c r="AI10" s="104">
        <f>SUMIFS($I:$I,$C:$C, $AI$2,$G:$G, $AA10,$H:$H, $AC10)</f>
        <v>0</v>
      </c>
      <c r="AJ10" s="115">
        <f t="shared" si="1"/>
        <v>11</v>
      </c>
      <c r="AK10" s="116">
        <f>COUNTIFS($C:$C, $AK$2,$G:$G, $AA10,$H:$H, $AC10)</f>
        <v>5</v>
      </c>
      <c r="AL10" s="116">
        <f>COUNTIFS($C:$C, $AL$2,$G:$G, $AA10,$H:$H, $AC10)</f>
        <v>6</v>
      </c>
      <c r="AM10" s="116">
        <f>COUNTIFS($C:$C, $AM$2,$G:$G, $AA10,$H:$H, $AC10)</f>
        <v>0</v>
      </c>
      <c r="AN10" s="117">
        <f>COUNTIFS($C:$C, $AN$2,$G:$G, $AA10,$H:$H, $AC10)</f>
        <v>0</v>
      </c>
      <c r="AO10" s="39">
        <f t="shared" si="2"/>
        <v>24.310000000000002</v>
      </c>
      <c r="AP10" s="65">
        <f>SUMIFS($L:$L,$C:$C, $AP$2,$G:$G, $AA10,$H:$H, $AC10)</f>
        <v>8.2900000000000009</v>
      </c>
      <c r="AQ10" s="65">
        <f>SUMIFS($L:$L,$C:$C, $AQ$2,$G:$G, $AA10,$H:$H, $AC10)</f>
        <v>16.02</v>
      </c>
      <c r="AR10" s="65">
        <f>SUMIFS($L:$L,$C:$C, $AR$2,$G:$G, $AA10,$H:$H, $AC10)</f>
        <v>0</v>
      </c>
      <c r="AS10" s="65">
        <f>SUMIFS($L:$L,$C:$C, $AS$2,$G:$G, $AA10,$H:$H, $AC10)</f>
        <v>0</v>
      </c>
      <c r="AU10" s="152">
        <v>7</v>
      </c>
      <c r="AV10" s="153">
        <f t="shared" si="3"/>
        <v>17</v>
      </c>
      <c r="AW10" s="154">
        <f t="shared" si="4"/>
        <v>6</v>
      </c>
    </row>
    <row r="11" spans="2:49" s="8" customFormat="1" ht="13.5" customHeight="1" x14ac:dyDescent="0.25">
      <c r="B11" s="15">
        <v>9</v>
      </c>
      <c r="C11" s="8" t="s">
        <v>112</v>
      </c>
      <c r="D11" s="5" t="s">
        <v>246</v>
      </c>
      <c r="E11" s="383">
        <v>8</v>
      </c>
      <c r="F11" s="380">
        <v>46029</v>
      </c>
      <c r="G11" s="8">
        <v>1</v>
      </c>
      <c r="H11" s="8">
        <v>1</v>
      </c>
      <c r="I11" s="8">
        <v>123.19499999999999</v>
      </c>
      <c r="J11" s="9">
        <v>120000000</v>
      </c>
      <c r="K11" s="9">
        <f t="shared" si="5"/>
        <v>132000000.00000001</v>
      </c>
      <c r="L11" s="35">
        <f t="shared" si="6"/>
        <v>1.2</v>
      </c>
      <c r="M11" s="2" t="s">
        <v>260</v>
      </c>
      <c r="N11" t="s">
        <v>27</v>
      </c>
      <c r="O11" s="19" t="s">
        <v>289</v>
      </c>
      <c r="P11" s="19">
        <v>8</v>
      </c>
      <c r="Q11" s="19" t="s">
        <v>201</v>
      </c>
      <c r="R11" s="21" t="s">
        <v>290</v>
      </c>
      <c r="S11" s="46" t="s">
        <v>250</v>
      </c>
      <c r="T11" s="44" t="s">
        <v>291</v>
      </c>
      <c r="U11" s="76" t="s">
        <v>119</v>
      </c>
      <c r="V11" s="24" t="s">
        <v>292</v>
      </c>
      <c r="W11" s="24"/>
      <c r="X11" s="193" t="s">
        <v>154</v>
      </c>
      <c r="Y11" s="15" t="s">
        <v>255</v>
      </c>
      <c r="AA11">
        <v>2</v>
      </c>
      <c r="AB11" s="487"/>
      <c r="AC11" s="90">
        <v>3</v>
      </c>
      <c r="AD11" s="97" t="s">
        <v>59</v>
      </c>
      <c r="AE11" s="39">
        <f t="shared" si="0"/>
        <v>1406.1</v>
      </c>
      <c r="AF11" s="65">
        <f>SUMIFS($I:$I,$C:$C, $AF$2,$G:$G, $AA11,$H:$H, $AC11)</f>
        <v>524.38499999999999</v>
      </c>
      <c r="AG11" s="65">
        <f>SUMIFS($I:$I,$C:$C, $AG$2,$G:$G, $AA11,$H:$H, $AC11)</f>
        <v>881.71500000000003</v>
      </c>
      <c r="AH11" s="65">
        <f>SUMIFS($I:$I,$C:$C, $AH$2,$G:$G, $AA11,$H:$H, $AC11)</f>
        <v>0</v>
      </c>
      <c r="AI11" s="104">
        <f>SUMIFS($I:$I,$C:$C, $AI$2,$G:$G, $AA11,$H:$H, $AC11)</f>
        <v>0</v>
      </c>
      <c r="AJ11" s="115">
        <f t="shared" si="1"/>
        <v>5</v>
      </c>
      <c r="AK11" s="116">
        <f>COUNTIFS($C:$C, $AK$2,$G:$G, $AA11,$H:$H, $AC11)</f>
        <v>2</v>
      </c>
      <c r="AL11" s="116">
        <f>COUNTIFS($C:$C, $AL$2,$G:$G, $AA11,$H:$H, $AC11)</f>
        <v>3</v>
      </c>
      <c r="AM11" s="116">
        <f>COUNTIFS($C:$C, $AM$2,$G:$G, $AA11,$H:$H, $AC11)</f>
        <v>0</v>
      </c>
      <c r="AN11" s="117">
        <f>COUNTIFS($C:$C, $AN$2,$G:$G, $AA11,$H:$H, $AC11)</f>
        <v>0</v>
      </c>
      <c r="AO11" s="39">
        <f t="shared" si="2"/>
        <v>13.6</v>
      </c>
      <c r="AP11" s="65">
        <f>SUMIFS($L:$L,$C:$C, $AP$2,$G:$G, $AA11,$H:$H, $AC11)</f>
        <v>5.0600000000000005</v>
      </c>
      <c r="AQ11" s="65">
        <f>SUMIFS($L:$L,$C:$C, $AQ$2,$G:$G, $AA11,$H:$H, $AC11)</f>
        <v>8.5399999999999991</v>
      </c>
      <c r="AR11" s="65">
        <f>SUMIFS($L:$L,$C:$C, $AR$2,$G:$G, $AA11,$H:$H, $AC11)</f>
        <v>0</v>
      </c>
      <c r="AS11" s="65">
        <f>SUMIFS($L:$L,$C:$C, $AS$2,$G:$G, $AA11,$H:$H, $AC11)</f>
        <v>0</v>
      </c>
      <c r="AU11" s="152">
        <v>8</v>
      </c>
      <c r="AV11" s="153">
        <f t="shared" si="3"/>
        <v>10</v>
      </c>
      <c r="AW11" s="154">
        <f t="shared" si="4"/>
        <v>9</v>
      </c>
    </row>
    <row r="12" spans="2:49" s="8" customFormat="1" ht="13.5" customHeight="1" x14ac:dyDescent="0.25">
      <c r="B12" s="15">
        <v>10</v>
      </c>
      <c r="C12" s="8" t="s">
        <v>112</v>
      </c>
      <c r="D12" s="5" t="s">
        <v>246</v>
      </c>
      <c r="E12" s="383">
        <v>4</v>
      </c>
      <c r="F12" s="380">
        <v>46013</v>
      </c>
      <c r="G12" s="8">
        <v>1</v>
      </c>
      <c r="H12" s="8">
        <v>1</v>
      </c>
      <c r="I12" s="8">
        <v>85.14</v>
      </c>
      <c r="J12" s="9">
        <v>82000000</v>
      </c>
      <c r="K12" s="9">
        <f t="shared" si="5"/>
        <v>90200000</v>
      </c>
      <c r="L12" s="35">
        <f t="shared" si="6"/>
        <v>0.82000000000000006</v>
      </c>
      <c r="M12" s="2" t="s">
        <v>259</v>
      </c>
      <c r="N12" t="s">
        <v>26</v>
      </c>
      <c r="O12" s="19" t="s">
        <v>293</v>
      </c>
      <c r="P12" s="19">
        <v>9</v>
      </c>
      <c r="Q12" s="19" t="s">
        <v>248</v>
      </c>
      <c r="R12" s="21" t="s">
        <v>294</v>
      </c>
      <c r="S12" s="46" t="s">
        <v>250</v>
      </c>
      <c r="T12" s="44" t="s">
        <v>295</v>
      </c>
      <c r="U12" s="76" t="s">
        <v>252</v>
      </c>
      <c r="V12" s="24" t="s">
        <v>268</v>
      </c>
      <c r="W12" s="24"/>
      <c r="X12" s="193" t="s">
        <v>152</v>
      </c>
      <c r="Y12" s="15" t="s">
        <v>255</v>
      </c>
      <c r="AA12">
        <v>2</v>
      </c>
      <c r="AB12" s="487"/>
      <c r="AC12" s="90">
        <v>4</v>
      </c>
      <c r="AD12" s="97" t="s">
        <v>60</v>
      </c>
      <c r="AE12" s="39">
        <f t="shared" si="0"/>
        <v>735.59500000000003</v>
      </c>
      <c r="AF12" s="65">
        <f>SUMIFS($I:$I,$C:$C, $AF$2,$G:$G, $AA12,$H:$H, $AC12)</f>
        <v>277.995</v>
      </c>
      <c r="AG12" s="65">
        <f>SUMIFS($I:$I,$C:$C, $AG$2,$G:$G, $AA12,$H:$H, $AC12)</f>
        <v>457.6</v>
      </c>
      <c r="AH12" s="65">
        <f>SUMIFS($I:$I,$C:$C, $AH$2,$G:$G, $AA12,$H:$H, $AC12)</f>
        <v>0</v>
      </c>
      <c r="AI12" s="104">
        <f>SUMIFS($I:$I,$C:$C, $AI$2,$G:$G, $AA12,$H:$H, $AC12)</f>
        <v>0</v>
      </c>
      <c r="AJ12" s="115">
        <f t="shared" si="1"/>
        <v>4</v>
      </c>
      <c r="AK12" s="116">
        <f>COUNTIFS($C:$C, $AK$2,$G:$G, $AA12,$H:$H, $AC12)</f>
        <v>3</v>
      </c>
      <c r="AL12" s="116">
        <f>COUNTIFS($C:$C, $AL$2,$G:$G, $AA12,$H:$H, $AC12)</f>
        <v>1</v>
      </c>
      <c r="AM12" s="116">
        <f>COUNTIFS($C:$C, $AM$2,$G:$G, $AA12,$H:$H, $AC12)</f>
        <v>0</v>
      </c>
      <c r="AN12" s="117">
        <f>COUNTIFS($C:$C, $AN$2,$G:$G, $AA12,$H:$H, $AC12)</f>
        <v>0</v>
      </c>
      <c r="AO12" s="39">
        <f t="shared" si="2"/>
        <v>6.9088000000000003</v>
      </c>
      <c r="AP12" s="65">
        <f>SUMIFS($L:$L,$C:$C, $AP$2,$G:$G, $AA12,$H:$H, $AC12)</f>
        <v>2.88</v>
      </c>
      <c r="AQ12" s="65">
        <f>SUMIFS($L:$L,$C:$C, $AQ$2,$G:$G, $AA12,$H:$H, $AC12)</f>
        <v>4.0288000000000004</v>
      </c>
      <c r="AR12" s="65">
        <f>SUMIFS($L:$L,$C:$C, $AR$2,$G:$G, $AA12,$H:$H, $AC12)</f>
        <v>0</v>
      </c>
      <c r="AS12" s="65">
        <f>SUMIFS($L:$L,$C:$C, $AS$2,$G:$G, $AA12,$H:$H, $AC12)</f>
        <v>0</v>
      </c>
      <c r="AU12" s="152">
        <v>9</v>
      </c>
      <c r="AV12" s="153">
        <f t="shared" si="3"/>
        <v>11</v>
      </c>
      <c r="AW12" s="154">
        <f t="shared" si="4"/>
        <v>3</v>
      </c>
    </row>
    <row r="13" spans="2:49" s="8" customFormat="1" ht="13.5" customHeight="1" x14ac:dyDescent="0.25">
      <c r="B13" s="15">
        <v>11</v>
      </c>
      <c r="C13" s="8" t="s">
        <v>245</v>
      </c>
      <c r="D13" s="5" t="s">
        <v>246</v>
      </c>
      <c r="E13" s="383">
        <v>3</v>
      </c>
      <c r="F13" s="380">
        <v>46029</v>
      </c>
      <c r="G13" s="8">
        <v>1</v>
      </c>
      <c r="H13" s="8">
        <v>1</v>
      </c>
      <c r="I13" s="8">
        <v>370.875</v>
      </c>
      <c r="J13" s="9">
        <v>378000000</v>
      </c>
      <c r="K13" s="9">
        <f t="shared" si="5"/>
        <v>415800000.00000006</v>
      </c>
      <c r="L13" s="35">
        <f t="shared" si="6"/>
        <v>3.7800000000000002</v>
      </c>
      <c r="M13" s="2" t="s">
        <v>298</v>
      </c>
      <c r="N13" t="s">
        <v>146</v>
      </c>
      <c r="O13" s="19" t="s">
        <v>312</v>
      </c>
      <c r="P13" s="19">
        <v>10</v>
      </c>
      <c r="Q13" s="19" t="s">
        <v>200</v>
      </c>
      <c r="R13" s="21" t="s">
        <v>297</v>
      </c>
      <c r="S13" s="46" t="s">
        <v>250</v>
      </c>
      <c r="T13" s="44" t="s">
        <v>299</v>
      </c>
      <c r="U13" s="76" t="s">
        <v>252</v>
      </c>
      <c r="V13" s="24" t="s">
        <v>300</v>
      </c>
      <c r="W13" s="24"/>
      <c r="X13" s="193" t="s">
        <v>160</v>
      </c>
      <c r="Y13" s="15" t="s">
        <v>168</v>
      </c>
      <c r="AA13">
        <v>2</v>
      </c>
      <c r="AB13" s="487"/>
      <c r="AC13" s="91">
        <v>5</v>
      </c>
      <c r="AD13" s="97"/>
      <c r="AE13" s="39">
        <f t="shared" si="0"/>
        <v>0</v>
      </c>
      <c r="AF13" s="65">
        <f>SUMIFS($I:$I,$C:$C, $AF$2,$G:$G, $AA13,$H:$H, $AC13)</f>
        <v>0</v>
      </c>
      <c r="AG13" s="65">
        <f>SUMIFS($I:$I,$C:$C, $AG$2,$G:$G, $AA13,$H:$H, $AC13)</f>
        <v>0</v>
      </c>
      <c r="AH13" s="65">
        <f>SUMIFS($I:$I,$C:$C, $AH$2,$G:$G, $AA13,$H:$H, $AC13)</f>
        <v>0</v>
      </c>
      <c r="AI13" s="104">
        <f>SUMIFS($I:$I,$C:$C, $AI$2,$G:$G, $AA13,$H:$H, $AC13)</f>
        <v>0</v>
      </c>
      <c r="AJ13" s="115">
        <f t="shared" si="1"/>
        <v>0</v>
      </c>
      <c r="AK13" s="116">
        <f>COUNTIFS($C:$C, $AK$2,$G:$G, $AA13,$H:$H, $AC13)</f>
        <v>0</v>
      </c>
      <c r="AL13" s="116">
        <f>COUNTIFS($C:$C, $AL$2,$G:$G, $AA13,$H:$H, $AC13)</f>
        <v>0</v>
      </c>
      <c r="AM13" s="116">
        <f>COUNTIFS($C:$C, $AM$2,$G:$G, $AA13,$H:$H, $AC13)</f>
        <v>0</v>
      </c>
      <c r="AN13" s="117">
        <f>COUNTIFS($C:$C, $AN$2,$G:$G, $AA13,$H:$H, $AC13)</f>
        <v>0</v>
      </c>
      <c r="AO13" s="39">
        <f t="shared" si="2"/>
        <v>0</v>
      </c>
      <c r="AP13" s="65">
        <f>SUMIFS($L:$L,$C:$C, $AP$2,$G:$G, $AA13,$H:$H, $AC13)</f>
        <v>0</v>
      </c>
      <c r="AQ13" s="65">
        <f>SUMIFS($L:$L,$C:$C, $AQ$2,$G:$G, $AA13,$H:$H, $AC13)</f>
        <v>0</v>
      </c>
      <c r="AR13" s="65">
        <f>SUMIFS($L:$L,$C:$C, $AR$2,$G:$G, $AA13,$H:$H, $AC13)</f>
        <v>0</v>
      </c>
      <c r="AS13" s="65">
        <f>SUMIFS($L:$L,$C:$C, $AS$2,$G:$G, $AA13,$H:$H, $AC13)</f>
        <v>0</v>
      </c>
      <c r="AU13" s="152">
        <v>10</v>
      </c>
      <c r="AV13" s="153">
        <f t="shared" si="3"/>
        <v>0</v>
      </c>
      <c r="AW13" s="154">
        <f t="shared" si="4"/>
        <v>0</v>
      </c>
    </row>
    <row r="14" spans="2:49" s="8" customFormat="1" ht="13.5" customHeight="1" thickBot="1" x14ac:dyDescent="0.3">
      <c r="B14" s="15">
        <v>12</v>
      </c>
      <c r="C14" s="8" t="s">
        <v>245</v>
      </c>
      <c r="D14" s="5" t="s">
        <v>246</v>
      </c>
      <c r="E14" s="383">
        <v>4</v>
      </c>
      <c r="F14" s="380">
        <v>46029</v>
      </c>
      <c r="G14" s="8">
        <v>1</v>
      </c>
      <c r="H14" s="8">
        <v>1</v>
      </c>
      <c r="I14" s="8">
        <v>416</v>
      </c>
      <c r="J14" s="9">
        <v>386000000</v>
      </c>
      <c r="K14" s="9">
        <f t="shared" si="5"/>
        <v>424600000.00000006</v>
      </c>
      <c r="L14" s="35">
        <f t="shared" si="6"/>
        <v>3.86</v>
      </c>
      <c r="M14" s="2" t="s">
        <v>298</v>
      </c>
      <c r="N14" t="s">
        <v>146</v>
      </c>
      <c r="O14" s="19" t="s">
        <v>313</v>
      </c>
      <c r="P14" s="19">
        <v>11</v>
      </c>
      <c r="Q14" s="19" t="s">
        <v>196</v>
      </c>
      <c r="R14" s="21" t="s">
        <v>301</v>
      </c>
      <c r="S14" s="46" t="s">
        <v>250</v>
      </c>
      <c r="T14" s="44" t="s">
        <v>302</v>
      </c>
      <c r="U14" s="76" t="s">
        <v>118</v>
      </c>
      <c r="V14" s="29" t="s">
        <v>303</v>
      </c>
      <c r="W14" s="24"/>
      <c r="X14" s="193" t="s">
        <v>153</v>
      </c>
      <c r="Y14" s="15" t="s">
        <v>168</v>
      </c>
      <c r="AA14">
        <v>2</v>
      </c>
      <c r="AB14" s="488"/>
      <c r="AC14" s="92" t="s">
        <v>3</v>
      </c>
      <c r="AD14" s="98"/>
      <c r="AE14" s="94">
        <f t="shared" ref="AE14:AS14" si="8">SUM(AE9:AE13)</f>
        <v>7540.5150000000003</v>
      </c>
      <c r="AF14" s="94">
        <f t="shared" si="8"/>
        <v>4290.0649999999996</v>
      </c>
      <c r="AG14" s="94">
        <f t="shared" si="8"/>
        <v>3250.4500000000003</v>
      </c>
      <c r="AH14" s="94">
        <f t="shared" si="8"/>
        <v>0</v>
      </c>
      <c r="AI14" s="105">
        <f t="shared" si="8"/>
        <v>0</v>
      </c>
      <c r="AJ14" s="118">
        <f t="shared" si="8"/>
        <v>32</v>
      </c>
      <c r="AK14" s="119">
        <f t="shared" si="8"/>
        <v>20</v>
      </c>
      <c r="AL14" s="119">
        <f t="shared" si="8"/>
        <v>12</v>
      </c>
      <c r="AM14" s="119">
        <f t="shared" si="8"/>
        <v>0</v>
      </c>
      <c r="AN14" s="120">
        <f t="shared" si="8"/>
        <v>0</v>
      </c>
      <c r="AO14" s="94">
        <f t="shared" si="8"/>
        <v>71.545999999999992</v>
      </c>
      <c r="AP14" s="94">
        <f t="shared" si="8"/>
        <v>40.1</v>
      </c>
      <c r="AQ14" s="94">
        <f t="shared" si="8"/>
        <v>31.445999999999998</v>
      </c>
      <c r="AR14" s="94">
        <f t="shared" si="8"/>
        <v>0</v>
      </c>
      <c r="AS14" s="94">
        <f t="shared" si="8"/>
        <v>0</v>
      </c>
      <c r="AU14" s="152">
        <v>11</v>
      </c>
      <c r="AV14" s="153">
        <f t="shared" si="3"/>
        <v>0</v>
      </c>
      <c r="AW14" s="154">
        <f t="shared" si="4"/>
        <v>0</v>
      </c>
    </row>
    <row r="15" spans="2:49" s="8" customFormat="1" ht="13.5" customHeight="1" thickBot="1" x14ac:dyDescent="0.3">
      <c r="B15" s="15">
        <v>13</v>
      </c>
      <c r="C15" s="8" t="s">
        <v>112</v>
      </c>
      <c r="D15" s="5" t="s">
        <v>246</v>
      </c>
      <c r="E15" s="383">
        <v>9</v>
      </c>
      <c r="F15" s="380">
        <v>46022</v>
      </c>
      <c r="G15" s="8">
        <v>1</v>
      </c>
      <c r="H15" s="8">
        <v>2</v>
      </c>
      <c r="I15" s="8">
        <v>218.01</v>
      </c>
      <c r="J15" s="9">
        <v>206000000</v>
      </c>
      <c r="K15" s="9">
        <f t="shared" si="5"/>
        <v>226600000.00000003</v>
      </c>
      <c r="L15" s="35">
        <f t="shared" si="6"/>
        <v>2.06</v>
      </c>
      <c r="M15" s="2" t="s">
        <v>260</v>
      </c>
      <c r="N15" t="s">
        <v>28</v>
      </c>
      <c r="O15" s="19" t="s">
        <v>304</v>
      </c>
      <c r="P15" s="19">
        <v>12</v>
      </c>
      <c r="Q15" s="19" t="s">
        <v>196</v>
      </c>
      <c r="R15" s="21" t="s">
        <v>305</v>
      </c>
      <c r="S15" s="46" t="s">
        <v>250</v>
      </c>
      <c r="T15" s="44" t="s">
        <v>306</v>
      </c>
      <c r="U15" s="76" t="s">
        <v>252</v>
      </c>
      <c r="V15" s="30" t="s">
        <v>268</v>
      </c>
      <c r="W15" s="24"/>
      <c r="X15" s="193" t="s">
        <v>156</v>
      </c>
      <c r="Y15" s="15" t="s">
        <v>168</v>
      </c>
      <c r="AA15">
        <v>3</v>
      </c>
      <c r="AB15" s="486">
        <v>3</v>
      </c>
      <c r="AC15" s="89">
        <v>1</v>
      </c>
      <c r="AD15" s="95" t="s">
        <v>83</v>
      </c>
      <c r="AE15" s="39">
        <f t="shared" si="0"/>
        <v>5901.1049999999996</v>
      </c>
      <c r="AF15" s="65">
        <f>SUMIFS($I:$I,$C:$C, $AF$2,$G:$G, $AA15,$H:$H, $AC15)</f>
        <v>2513.5650000000001</v>
      </c>
      <c r="AG15" s="65">
        <f>SUMIFS($I:$I,$C:$C, $AG$2,$G:$G, $AA15,$H:$H, $AC15)</f>
        <v>3387.54</v>
      </c>
      <c r="AH15" s="65">
        <f>SUMIFS($I:$I,$C:$C, $AH$2,$G:$G, $AA15,$H:$H, $AC15)</f>
        <v>0</v>
      </c>
      <c r="AI15" s="104">
        <f>SUMIFS($I:$I,$C:$C, $AI$2,$G:$G, $AA15,$H:$H, $AC15)</f>
        <v>0</v>
      </c>
      <c r="AJ15" s="115">
        <f t="shared" si="1"/>
        <v>17</v>
      </c>
      <c r="AK15" s="116">
        <f>COUNTIFS($C:$C, $AK$2,$G:$G, $AA15,$H:$H, $AC15)</f>
        <v>9</v>
      </c>
      <c r="AL15" s="116">
        <f>COUNTIFS($C:$C, $AL$2,$G:$G, $AA15,$H:$H, $AC15)</f>
        <v>8</v>
      </c>
      <c r="AM15" s="116">
        <f>COUNTIFS($C:$C, $AM$2,$G:$G, $AA15,$H:$H, $AC15)</f>
        <v>0</v>
      </c>
      <c r="AN15" s="117">
        <f>COUNTIFS($C:$C, $AN$2,$G:$G, $AA15,$H:$H, $AC15)</f>
        <v>0</v>
      </c>
      <c r="AO15" s="39">
        <f t="shared" si="2"/>
        <v>53.718999999999994</v>
      </c>
      <c r="AP15" s="65">
        <f>SUMIFS($L:$L,$C:$C, $AP$2,$G:$G, $AA15,$H:$H, $AC15)</f>
        <v>23.54</v>
      </c>
      <c r="AQ15" s="65">
        <f>SUMIFS($L:$L,$C:$C, $AQ$2,$G:$G, $AA15,$H:$H, $AC15)</f>
        <v>30.178999999999998</v>
      </c>
      <c r="AR15" s="65">
        <f>SUMIFS($L:$L,$C:$C, $AR$2,$G:$G, $AA15,$H:$H, $AC15)</f>
        <v>0</v>
      </c>
      <c r="AS15" s="65">
        <f>SUMIFS($L:$L,$C:$C, $AS$2,$G:$G, $AA15,$H:$H, $AC15)</f>
        <v>0</v>
      </c>
      <c r="AU15" s="155">
        <v>12</v>
      </c>
      <c r="AV15" s="153">
        <f t="shared" si="3"/>
        <v>0</v>
      </c>
      <c r="AW15" s="154">
        <f t="shared" si="4"/>
        <v>0</v>
      </c>
    </row>
    <row r="16" spans="2:49" s="8" customFormat="1" ht="13.5" customHeight="1" thickBot="1" x14ac:dyDescent="0.3">
      <c r="B16" s="15">
        <v>14</v>
      </c>
      <c r="C16" s="8" t="s">
        <v>112</v>
      </c>
      <c r="D16" s="5" t="s">
        <v>246</v>
      </c>
      <c r="E16" s="383">
        <v>10</v>
      </c>
      <c r="F16" s="380">
        <v>46030</v>
      </c>
      <c r="G16" s="8">
        <v>1</v>
      </c>
      <c r="H16" s="8">
        <v>2</v>
      </c>
      <c r="I16" s="8">
        <v>318.63</v>
      </c>
      <c r="J16" s="9">
        <v>280000000</v>
      </c>
      <c r="K16" s="9">
        <f t="shared" si="5"/>
        <v>308000000</v>
      </c>
      <c r="L16" s="35">
        <f t="shared" si="6"/>
        <v>2.8000000000000003</v>
      </c>
      <c r="M16" s="2" t="s">
        <v>284</v>
      </c>
      <c r="N16" t="s">
        <v>28</v>
      </c>
      <c r="O16" s="19" t="s">
        <v>308</v>
      </c>
      <c r="P16" s="19">
        <v>13</v>
      </c>
      <c r="Q16" s="19" t="s">
        <v>271</v>
      </c>
      <c r="R16" s="21" t="s">
        <v>307</v>
      </c>
      <c r="S16" s="46" t="s">
        <v>250</v>
      </c>
      <c r="T16" s="44" t="s">
        <v>309</v>
      </c>
      <c r="U16" s="76" t="s">
        <v>252</v>
      </c>
      <c r="V16" s="30" t="s">
        <v>268</v>
      </c>
      <c r="W16" s="24"/>
      <c r="X16" s="193" t="s">
        <v>254</v>
      </c>
      <c r="Y16" s="15" t="s">
        <v>168</v>
      </c>
      <c r="AA16">
        <v>3</v>
      </c>
      <c r="AB16" s="487"/>
      <c r="AC16" s="90">
        <v>2</v>
      </c>
      <c r="AD16" s="96" t="s">
        <v>58</v>
      </c>
      <c r="AE16" s="39">
        <f t="shared" si="0"/>
        <v>654.03</v>
      </c>
      <c r="AF16" s="65">
        <f>SUMIFS($I:$I,$C:$C, $AF$2,$G:$G, $AA16,$H:$H, $AC16)</f>
        <v>207.04499999999999</v>
      </c>
      <c r="AG16" s="65">
        <f>SUMIFS($I:$I,$C:$C, $AG$2,$G:$G, $AA16,$H:$H, $AC16)</f>
        <v>446.98500000000001</v>
      </c>
      <c r="AH16" s="65">
        <f>SUMIFS($I:$I,$C:$C, $AH$2,$G:$G, $AA16,$H:$H, $AC16)</f>
        <v>0</v>
      </c>
      <c r="AI16" s="104">
        <f>SUMIFS($I:$I,$C:$C, $AI$2,$G:$G, $AA16,$H:$H, $AC16)</f>
        <v>0</v>
      </c>
      <c r="AJ16" s="115">
        <f t="shared" si="1"/>
        <v>2</v>
      </c>
      <c r="AK16" s="116">
        <f>COUNTIFS($C:$C, $AK$2,$G:$G, $AA16,$H:$H, $AC16)</f>
        <v>1</v>
      </c>
      <c r="AL16" s="116">
        <f>COUNTIFS($C:$C, $AL$2,$G:$G, $AA16,$H:$H, $AC16)</f>
        <v>1</v>
      </c>
      <c r="AM16" s="116">
        <f>COUNTIFS($C:$C, $AM$2,$G:$G, $AA16,$H:$H, $AC16)</f>
        <v>0</v>
      </c>
      <c r="AN16" s="117">
        <f>COUNTIFS($C:$C, $AN$2,$G:$G, $AA16,$H:$H, $AC16)</f>
        <v>0</v>
      </c>
      <c r="AO16" s="39">
        <f t="shared" si="2"/>
        <v>6.2500000000000009</v>
      </c>
      <c r="AP16" s="65">
        <f>SUMIFS($L:$L,$C:$C, $AP$2,$G:$G, $AA16,$H:$H, $AC16)</f>
        <v>1.9000000000000001</v>
      </c>
      <c r="AQ16" s="65">
        <f>SUMIFS($L:$L,$C:$C, $AQ$2,$G:$G, $AA16,$H:$H, $AC16)</f>
        <v>4.3500000000000005</v>
      </c>
      <c r="AR16" s="65">
        <f>SUMIFS($L:$L,$C:$C, $AR$2,$G:$G, $AA16,$H:$H, $AC16)</f>
        <v>0</v>
      </c>
      <c r="AS16" s="65">
        <f>SUMIFS($L:$L,$C:$C, $AS$2,$G:$G, $AA16,$H:$H, $AC16)</f>
        <v>0</v>
      </c>
      <c r="AU16" s="156" t="s">
        <v>3</v>
      </c>
      <c r="AV16" s="157">
        <f>SUM(AV4:AV15)</f>
        <v>160</v>
      </c>
      <c r="AW16" s="157">
        <f>SUM(AW4:AW15)</f>
        <v>54</v>
      </c>
    </row>
    <row r="17" spans="2:49" s="8" customFormat="1" ht="13.5" customHeight="1" thickBot="1" x14ac:dyDescent="0.3">
      <c r="B17" s="15">
        <v>15</v>
      </c>
      <c r="C17" s="8" t="s">
        <v>112</v>
      </c>
      <c r="D17" s="5" t="s">
        <v>246</v>
      </c>
      <c r="E17" s="383">
        <v>12</v>
      </c>
      <c r="F17" s="380">
        <v>46035</v>
      </c>
      <c r="G17" s="8">
        <v>1</v>
      </c>
      <c r="H17" s="8">
        <v>2</v>
      </c>
      <c r="I17" s="8">
        <v>332.82</v>
      </c>
      <c r="J17" s="9">
        <v>280000000</v>
      </c>
      <c r="K17" s="9">
        <f t="shared" si="5"/>
        <v>308000000</v>
      </c>
      <c r="L17" s="35">
        <f t="shared" si="6"/>
        <v>2.8000000000000003</v>
      </c>
      <c r="M17" s="2" t="s">
        <v>260</v>
      </c>
      <c r="N17" t="s">
        <v>27</v>
      </c>
      <c r="O17" s="19" t="s">
        <v>314</v>
      </c>
      <c r="P17" s="19">
        <v>14</v>
      </c>
      <c r="Q17" s="19" t="s">
        <v>200</v>
      </c>
      <c r="R17" s="21" t="s">
        <v>315</v>
      </c>
      <c r="S17" s="46" t="s">
        <v>250</v>
      </c>
      <c r="T17" s="83" t="s">
        <v>316</v>
      </c>
      <c r="U17" s="76" t="s">
        <v>119</v>
      </c>
      <c r="V17" s="30" t="s">
        <v>317</v>
      </c>
      <c r="W17" s="24">
        <v>1111</v>
      </c>
      <c r="X17" s="193" t="s">
        <v>151</v>
      </c>
      <c r="Y17" s="15" t="s">
        <v>168</v>
      </c>
      <c r="AA17">
        <v>3</v>
      </c>
      <c r="AB17" s="487"/>
      <c r="AC17" s="90">
        <v>3</v>
      </c>
      <c r="AD17" s="97" t="s">
        <v>59</v>
      </c>
      <c r="AE17" s="39">
        <f t="shared" si="0"/>
        <v>4913.6099999999997</v>
      </c>
      <c r="AF17" s="65">
        <f>SUMIFS($I:$I,$C:$C, $AF$2,$G:$G, $AA17,$H:$H, $AC17)</f>
        <v>4515.6449999999995</v>
      </c>
      <c r="AG17" s="65">
        <f>SUMIFS($I:$I,$C:$C, $AG$2,$G:$G, $AA17,$H:$H, $AC17)</f>
        <v>397.96500000000003</v>
      </c>
      <c r="AH17" s="65">
        <f>SUMIFS($I:$I,$C:$C, $AH$2,$G:$G, $AA17,$H:$H, $AC17)</f>
        <v>0</v>
      </c>
      <c r="AI17" s="104">
        <f>SUMIFS($I:$I,$C:$C, $AI$2,$G:$G, $AA17,$H:$H, $AC17)</f>
        <v>0</v>
      </c>
      <c r="AJ17" s="115">
        <f t="shared" si="1"/>
        <v>12</v>
      </c>
      <c r="AK17" s="116">
        <f>COUNTIFS($C:$C, $AK$2,$G:$G, $AA17,$H:$H, $AC17)</f>
        <v>10</v>
      </c>
      <c r="AL17" s="116">
        <f>COUNTIFS($C:$C, $AL$2,$G:$G, $AA17,$H:$H, $AC17)</f>
        <v>2</v>
      </c>
      <c r="AM17" s="116">
        <f>COUNTIFS($C:$C, $AM$2,$G:$G, $AA17,$H:$H, $AC17)</f>
        <v>0</v>
      </c>
      <c r="AN17" s="117">
        <f>COUNTIFS($C:$C, $AN$2,$G:$G, $AA17,$H:$H, $AC17)</f>
        <v>0</v>
      </c>
      <c r="AO17" s="39">
        <f t="shared" si="2"/>
        <v>47</v>
      </c>
      <c r="AP17" s="65">
        <f>SUMIFS($L:$L,$C:$C, $AP$2,$G:$G, $AA17,$H:$H, $AC17)</f>
        <v>42.91</v>
      </c>
      <c r="AQ17" s="65">
        <f>SUMIFS($L:$L,$C:$C, $AQ$2,$G:$G, $AA17,$H:$H, $AC17)</f>
        <v>4.09</v>
      </c>
      <c r="AR17" s="65">
        <f>SUMIFS($L:$L,$C:$C, $AR$2,$G:$G, $AA17,$H:$H, $AC17)</f>
        <v>0</v>
      </c>
      <c r="AS17" s="65">
        <f>SUMIFS($L:$L,$C:$C, $AS$2,$G:$G, $AA17,$H:$H, $AC17)</f>
        <v>0</v>
      </c>
      <c r="AU17" s="156" t="s">
        <v>120</v>
      </c>
      <c r="AV17" s="158">
        <f>AV16/($AV$16+$AW$16)</f>
        <v>0.74766355140186913</v>
      </c>
      <c r="AW17" s="159">
        <f>AW16/($AW$16+$AV$16)</f>
        <v>0.25233644859813081</v>
      </c>
    </row>
    <row r="18" spans="2:49" s="8" customFormat="1" ht="13.5" customHeight="1" x14ac:dyDescent="0.25">
      <c r="B18" s="15">
        <v>16</v>
      </c>
      <c r="C18" s="8" t="s">
        <v>112</v>
      </c>
      <c r="D18" s="5" t="s">
        <v>246</v>
      </c>
      <c r="E18" s="383">
        <v>11</v>
      </c>
      <c r="F18" s="380">
        <v>46034</v>
      </c>
      <c r="G18" s="8">
        <v>1</v>
      </c>
      <c r="H18" s="8">
        <v>2</v>
      </c>
      <c r="I18" s="8">
        <v>144.47999999999999</v>
      </c>
      <c r="J18" s="9">
        <v>130000000</v>
      </c>
      <c r="K18" s="9">
        <f t="shared" si="5"/>
        <v>143000000</v>
      </c>
      <c r="L18" s="35">
        <f t="shared" si="6"/>
        <v>1.3</v>
      </c>
      <c r="M18" s="2" t="s">
        <v>279</v>
      </c>
      <c r="N18" t="s">
        <v>26</v>
      </c>
      <c r="O18" s="19" t="s">
        <v>318</v>
      </c>
      <c r="P18" s="19">
        <v>15</v>
      </c>
      <c r="Q18" s="19" t="s">
        <v>200</v>
      </c>
      <c r="R18" s="21" t="s">
        <v>319</v>
      </c>
      <c r="S18" s="46" t="s">
        <v>250</v>
      </c>
      <c r="T18" s="44" t="s">
        <v>320</v>
      </c>
      <c r="U18" s="76" t="s">
        <v>118</v>
      </c>
      <c r="V18" s="24" t="s">
        <v>321</v>
      </c>
      <c r="W18" s="24"/>
      <c r="X18" s="193" t="s">
        <v>151</v>
      </c>
      <c r="Y18" s="15" t="s">
        <v>168</v>
      </c>
      <c r="AA18">
        <v>3</v>
      </c>
      <c r="AB18" s="487"/>
      <c r="AC18" s="90">
        <v>4</v>
      </c>
      <c r="AD18" s="97" t="s">
        <v>60</v>
      </c>
      <c r="AE18" s="39">
        <f t="shared" si="0"/>
        <v>117.39</v>
      </c>
      <c r="AF18" s="65">
        <f>SUMIFS($I:$I,$C:$C, $AF$2,$G:$G, $AA18,$H:$H, $AC18)</f>
        <v>0</v>
      </c>
      <c r="AG18" s="65">
        <f>SUMIFS($I:$I,$C:$C, $AG$2,$G:$G, $AA18,$H:$H, $AC18)</f>
        <v>117.39</v>
      </c>
      <c r="AH18" s="65">
        <f>SUMIFS($I:$I,$C:$C, $AH$2,$G:$G, $AA18,$H:$H, $AC18)</f>
        <v>0</v>
      </c>
      <c r="AI18" s="104">
        <f>SUMIFS($I:$I,$C:$C, $AI$2,$G:$G, $AA18,$H:$H, $AC18)</f>
        <v>0</v>
      </c>
      <c r="AJ18" s="115">
        <f t="shared" si="1"/>
        <v>1</v>
      </c>
      <c r="AK18" s="116">
        <f>COUNTIFS($C:$C, $AK$2,$G:$G, $AA18,$H:$H, $AC18)</f>
        <v>0</v>
      </c>
      <c r="AL18" s="116">
        <f>COUNTIFS($C:$C, $AL$2,$G:$G, $AA18,$H:$H, $AC18)</f>
        <v>1</v>
      </c>
      <c r="AM18" s="116">
        <f>COUNTIFS($C:$C, $AM$2,$G:$G, $AA18,$H:$H, $AC18)</f>
        <v>0</v>
      </c>
      <c r="AN18" s="117">
        <f>COUNTIFS($C:$C, $AN$2,$G:$G, $AA18,$H:$H, $AC18)</f>
        <v>0</v>
      </c>
      <c r="AO18" s="39">
        <f t="shared" si="2"/>
        <v>1.21</v>
      </c>
      <c r="AP18" s="65">
        <f>SUMIFS($L:$L,$C:$C, $AP$2,$G:$G, $AA18,$H:$H, $AC18)</f>
        <v>0</v>
      </c>
      <c r="AQ18" s="65">
        <f>SUMIFS($L:$L,$C:$C, $AQ$2,$G:$G, $AA18,$H:$H, $AC18)</f>
        <v>1.21</v>
      </c>
      <c r="AR18" s="65">
        <f>SUMIFS($L:$L,$C:$C, $AR$2,$G:$G, $AA18,$H:$H, $AC18)</f>
        <v>0</v>
      </c>
      <c r="AS18" s="65">
        <f>SUMIFS($L:$L,$C:$C, $AS$2,$G:$G, $AA18,$H:$H, $AC18)</f>
        <v>0</v>
      </c>
    </row>
    <row r="19" spans="2:49" s="8" customFormat="1" ht="13.5" customHeight="1" x14ac:dyDescent="0.25">
      <c r="B19" s="15">
        <v>17</v>
      </c>
      <c r="C19" s="8" t="s">
        <v>245</v>
      </c>
      <c r="D19" s="5" t="s">
        <v>246</v>
      </c>
      <c r="E19" s="383">
        <v>5</v>
      </c>
      <c r="F19" s="380">
        <v>46037</v>
      </c>
      <c r="G19" s="8">
        <v>1</v>
      </c>
      <c r="H19" s="8">
        <v>2</v>
      </c>
      <c r="I19" s="8">
        <v>274.77</v>
      </c>
      <c r="J19" s="9">
        <v>257000000</v>
      </c>
      <c r="K19" s="9">
        <f t="shared" si="5"/>
        <v>282700000</v>
      </c>
      <c r="L19" s="35">
        <f t="shared" si="6"/>
        <v>2.57</v>
      </c>
      <c r="M19" s="2" t="s">
        <v>298</v>
      </c>
      <c r="N19" t="s">
        <v>146</v>
      </c>
      <c r="O19" s="19" t="s">
        <v>322</v>
      </c>
      <c r="P19" s="19">
        <v>16</v>
      </c>
      <c r="Q19" s="19" t="s">
        <v>323</v>
      </c>
      <c r="R19" s="21" t="s">
        <v>324</v>
      </c>
      <c r="S19" s="46" t="s">
        <v>250</v>
      </c>
      <c r="T19" s="44" t="s">
        <v>325</v>
      </c>
      <c r="U19" s="76" t="s">
        <v>252</v>
      </c>
      <c r="V19" s="24" t="s">
        <v>326</v>
      </c>
      <c r="W19" s="24"/>
      <c r="X19" s="193" t="s">
        <v>254</v>
      </c>
      <c r="Y19" s="15" t="s">
        <v>168</v>
      </c>
      <c r="AA19">
        <v>3</v>
      </c>
      <c r="AB19" s="487"/>
      <c r="AC19" s="91">
        <v>5</v>
      </c>
      <c r="AD19" s="97"/>
      <c r="AE19" s="39">
        <f t="shared" si="0"/>
        <v>0</v>
      </c>
      <c r="AF19" s="65">
        <f>SUMIFS($I:$I,$C:$C, $AF$2,$G:$G, $AA19,$H:$H, $AC19)</f>
        <v>0</v>
      </c>
      <c r="AG19" s="65">
        <f>SUMIFS($I:$I,$C:$C, $AG$2,$G:$G, $AA19,$H:$H, $AC19)</f>
        <v>0</v>
      </c>
      <c r="AH19" s="65">
        <f>SUMIFS($I:$I,$C:$C, $AH$2,$G:$G, $AA19,$H:$H, $AC19)</f>
        <v>0</v>
      </c>
      <c r="AI19" s="104">
        <f>SUMIFS($I:$I,$C:$C, $AI$2,$G:$G, $AA19,$H:$H, $AC19)</f>
        <v>0</v>
      </c>
      <c r="AJ19" s="115">
        <f t="shared" si="1"/>
        <v>0</v>
      </c>
      <c r="AK19" s="116">
        <f>COUNTIFS($C:$C, $AK$2,$G:$G, $AA19,$H:$H, $AC19)</f>
        <v>0</v>
      </c>
      <c r="AL19" s="116">
        <f>COUNTIFS($C:$C, $AL$2,$G:$G, $AA19,$H:$H, $AC19)</f>
        <v>0</v>
      </c>
      <c r="AM19" s="116">
        <f>COUNTIFS($C:$C, $AM$2,$G:$G, $AA19,$H:$H, $AC19)</f>
        <v>0</v>
      </c>
      <c r="AN19" s="117">
        <f>COUNTIFS($C:$C, $AN$2,$G:$G, $AA19,$H:$H, $AC19)</f>
        <v>0</v>
      </c>
      <c r="AO19" s="39">
        <f t="shared" si="2"/>
        <v>0</v>
      </c>
      <c r="AP19" s="65">
        <f>SUMIFS($L:$L,$C:$C, $AP$2,$G:$G, $AA19,$H:$H, $AC19)</f>
        <v>0</v>
      </c>
      <c r="AQ19" s="65">
        <f>SUMIFS($L:$L,$C:$C, $AQ$2,$G:$G, $AA19,$H:$H, $AC19)</f>
        <v>0</v>
      </c>
      <c r="AR19" s="65">
        <f>SUMIFS($L:$L,$C:$C, $AR$2,$G:$G, $AA19,$H:$H, $AC19)</f>
        <v>0</v>
      </c>
      <c r="AS19" s="65">
        <f>SUMIFS($L:$L,$C:$C, $AS$2,$G:$G, $AA19,$H:$H, $AC19)</f>
        <v>0</v>
      </c>
    </row>
    <row r="20" spans="2:49" s="8" customFormat="1" ht="13.5" customHeight="1" thickBot="1" x14ac:dyDescent="0.3">
      <c r="B20" s="15">
        <v>18</v>
      </c>
      <c r="C20" s="8" t="s">
        <v>112</v>
      </c>
      <c r="D20" s="5" t="s">
        <v>246</v>
      </c>
      <c r="E20" s="383">
        <v>13</v>
      </c>
      <c r="F20" s="380">
        <v>46041</v>
      </c>
      <c r="G20" s="8">
        <v>1</v>
      </c>
      <c r="H20" s="8">
        <v>3</v>
      </c>
      <c r="I20" s="8">
        <v>499.875</v>
      </c>
      <c r="J20" s="9">
        <v>423000000</v>
      </c>
      <c r="K20" s="9">
        <f t="shared" si="5"/>
        <v>465300000.00000006</v>
      </c>
      <c r="L20" s="35">
        <f t="shared" si="6"/>
        <v>4.2300000000000004</v>
      </c>
      <c r="M20" s="2" t="s">
        <v>327</v>
      </c>
      <c r="N20" t="s">
        <v>328</v>
      </c>
      <c r="O20" s="19" t="s">
        <v>329</v>
      </c>
      <c r="P20" s="19">
        <v>17</v>
      </c>
      <c r="Q20" s="19" t="s">
        <v>330</v>
      </c>
      <c r="R20" s="21" t="s">
        <v>331</v>
      </c>
      <c r="S20" s="46" t="s">
        <v>250</v>
      </c>
      <c r="T20" s="44" t="s">
        <v>332</v>
      </c>
      <c r="U20" s="76" t="s">
        <v>333</v>
      </c>
      <c r="V20" s="24" t="s">
        <v>334</v>
      </c>
      <c r="W20" s="24">
        <v>1111</v>
      </c>
      <c r="X20" s="193" t="s">
        <v>335</v>
      </c>
      <c r="Y20" s="15" t="s">
        <v>336</v>
      </c>
      <c r="AA20">
        <v>3</v>
      </c>
      <c r="AB20" s="488"/>
      <c r="AC20" s="92" t="s">
        <v>3</v>
      </c>
      <c r="AD20" s="98"/>
      <c r="AE20" s="94">
        <f t="shared" ref="AE20:AS20" si="9">SUM(AE15:AE19)</f>
        <v>11586.134999999998</v>
      </c>
      <c r="AF20" s="94">
        <f t="shared" si="9"/>
        <v>7236.2549999999992</v>
      </c>
      <c r="AG20" s="94">
        <f t="shared" si="9"/>
        <v>4349.88</v>
      </c>
      <c r="AH20" s="94">
        <f t="shared" si="9"/>
        <v>0</v>
      </c>
      <c r="AI20" s="105">
        <f t="shared" si="9"/>
        <v>0</v>
      </c>
      <c r="AJ20" s="118">
        <f t="shared" si="9"/>
        <v>32</v>
      </c>
      <c r="AK20" s="119">
        <f t="shared" si="9"/>
        <v>20</v>
      </c>
      <c r="AL20" s="119">
        <f t="shared" si="9"/>
        <v>12</v>
      </c>
      <c r="AM20" s="119">
        <f t="shared" si="9"/>
        <v>0</v>
      </c>
      <c r="AN20" s="120">
        <f t="shared" si="9"/>
        <v>0</v>
      </c>
      <c r="AO20" s="94">
        <f t="shared" si="9"/>
        <v>108.17899999999999</v>
      </c>
      <c r="AP20" s="94">
        <f t="shared" si="9"/>
        <v>68.349999999999994</v>
      </c>
      <c r="AQ20" s="94">
        <f t="shared" si="9"/>
        <v>39.829000000000001</v>
      </c>
      <c r="AR20" s="94">
        <f t="shared" si="9"/>
        <v>0</v>
      </c>
      <c r="AS20" s="94">
        <f t="shared" si="9"/>
        <v>0</v>
      </c>
    </row>
    <row r="21" spans="2:49" s="8" customFormat="1" ht="13.5" customHeight="1" x14ac:dyDescent="0.25">
      <c r="B21" s="15">
        <v>19</v>
      </c>
      <c r="C21" s="8" t="s">
        <v>112</v>
      </c>
      <c r="D21" s="5" t="s">
        <v>246</v>
      </c>
      <c r="E21" s="383">
        <v>14</v>
      </c>
      <c r="F21" s="380">
        <v>46041</v>
      </c>
      <c r="G21" s="8">
        <v>1</v>
      </c>
      <c r="H21" s="8">
        <v>3</v>
      </c>
      <c r="I21" s="8">
        <v>499.875</v>
      </c>
      <c r="J21" s="9">
        <v>423000000</v>
      </c>
      <c r="K21" s="9">
        <f>J21*1.1</f>
        <v>465300000.00000006</v>
      </c>
      <c r="L21" s="35">
        <f>J21*0.00000001</f>
        <v>4.2300000000000004</v>
      </c>
      <c r="M21" s="2" t="s">
        <v>327</v>
      </c>
      <c r="N21" t="s">
        <v>328</v>
      </c>
      <c r="O21" s="19" t="s">
        <v>337</v>
      </c>
      <c r="P21" s="19">
        <v>18</v>
      </c>
      <c r="Q21" s="19" t="s">
        <v>330</v>
      </c>
      <c r="R21" s="21" t="s">
        <v>338</v>
      </c>
      <c r="S21" s="46" t="s">
        <v>250</v>
      </c>
      <c r="T21" s="44" t="s">
        <v>332</v>
      </c>
      <c r="U21" s="76" t="s">
        <v>333</v>
      </c>
      <c r="V21" s="24" t="s">
        <v>334</v>
      </c>
      <c r="W21" s="24">
        <v>1111</v>
      </c>
      <c r="X21" s="193" t="s">
        <v>160</v>
      </c>
      <c r="Y21" s="15" t="s">
        <v>168</v>
      </c>
      <c r="AA21">
        <v>4</v>
      </c>
      <c r="AB21" s="486">
        <v>4</v>
      </c>
      <c r="AC21" s="89">
        <v>1</v>
      </c>
      <c r="AD21" s="95" t="s">
        <v>84</v>
      </c>
      <c r="AE21" s="39">
        <f t="shared" si="0"/>
        <v>1663.4550000000002</v>
      </c>
      <c r="AF21" s="65">
        <f>SUMIFS($I:$I,$C:$C, $AF$2,$G:$G, $AA21,$H:$H, $AC21)</f>
        <v>1045.5450000000001</v>
      </c>
      <c r="AG21" s="65">
        <f>SUMIFS($I:$I,$C:$C, $AG$2,$G:$G, $AA21,$H:$H, $AC21)</f>
        <v>617.91000000000008</v>
      </c>
      <c r="AH21" s="65">
        <f>SUMIFS($I:$I,$C:$C, $AH$2,$G:$G, $AA21,$H:$H, $AC21)</f>
        <v>0</v>
      </c>
      <c r="AI21" s="104">
        <f>SUMIFS($I:$I,$C:$C, $AI$2,$G:$G, $AA21,$H:$H, $AC21)</f>
        <v>0</v>
      </c>
      <c r="AJ21" s="115">
        <f t="shared" si="1"/>
        <v>6</v>
      </c>
      <c r="AK21" s="116">
        <f>COUNTIFS($C:$C, $AK$2,$G:$G, $AA21,$H:$H, $AC21)</f>
        <v>4</v>
      </c>
      <c r="AL21" s="116">
        <f>COUNTIFS($C:$C, $AL$2,$G:$G, $AA21,$H:$H, $AC21)</f>
        <v>2</v>
      </c>
      <c r="AM21" s="116">
        <f>COUNTIFS($C:$C, $AM$2,$G:$G, $AA21,$H:$H, $AC21)</f>
        <v>0</v>
      </c>
      <c r="AN21" s="117">
        <f>COUNTIFS($C:$C, $AN$2,$G:$G, $AA21,$H:$H, $AC21)</f>
        <v>0</v>
      </c>
      <c r="AO21" s="39">
        <f t="shared" si="2"/>
        <v>15.990000000000002</v>
      </c>
      <c r="AP21" s="65">
        <f>SUMIFS($L:$L,$C:$C, $AP$2,$G:$G, $AA21,$H:$H, $AC21)</f>
        <v>10.050000000000001</v>
      </c>
      <c r="AQ21" s="65">
        <f>SUMIFS($L:$L,$C:$C, $AQ$2,$G:$G, $AA21,$H:$H, $AC21)</f>
        <v>5.94</v>
      </c>
      <c r="AR21" s="65">
        <f>SUMIFS($L:$L,$C:$C, $AR$2,$G:$G, $AA21,$H:$H, $AC21)</f>
        <v>0</v>
      </c>
      <c r="AS21" s="65">
        <f>SUMIFS($L:$L,$C:$C, $AS$2,$G:$G, $AA21,$H:$H, $AC21)</f>
        <v>0</v>
      </c>
    </row>
    <row r="22" spans="2:49" s="8" customFormat="1" ht="13.5" customHeight="1" x14ac:dyDescent="0.25">
      <c r="B22" s="15">
        <v>20</v>
      </c>
      <c r="C22" s="8" t="s">
        <v>112</v>
      </c>
      <c r="D22" s="5" t="s">
        <v>246</v>
      </c>
      <c r="E22" s="383">
        <v>15</v>
      </c>
      <c r="F22" s="380">
        <v>46042</v>
      </c>
      <c r="G22" s="8">
        <v>1</v>
      </c>
      <c r="H22" s="8">
        <v>3</v>
      </c>
      <c r="I22" s="8">
        <v>47.73</v>
      </c>
      <c r="J22" s="9">
        <v>50000000</v>
      </c>
      <c r="K22" s="9">
        <f t="shared" ref="K22:K64" si="10">J22*1.1</f>
        <v>55000000.000000007</v>
      </c>
      <c r="L22" s="35">
        <f t="shared" ref="L22:L64" si="11">J22*0.00000001</f>
        <v>0.5</v>
      </c>
      <c r="M22" s="2" t="s">
        <v>339</v>
      </c>
      <c r="N22" t="s">
        <v>340</v>
      </c>
      <c r="O22" s="19" t="s">
        <v>341</v>
      </c>
      <c r="P22" s="19">
        <v>19</v>
      </c>
      <c r="Q22" s="19" t="s">
        <v>342</v>
      </c>
      <c r="R22" s="21" t="s">
        <v>343</v>
      </c>
      <c r="S22" s="46" t="s">
        <v>250</v>
      </c>
      <c r="T22" s="44" t="s">
        <v>344</v>
      </c>
      <c r="U22" s="76" t="s">
        <v>345</v>
      </c>
      <c r="V22" s="24" t="s">
        <v>346</v>
      </c>
      <c r="W22" s="24"/>
      <c r="X22" s="193" t="s">
        <v>347</v>
      </c>
      <c r="Y22" s="15" t="s">
        <v>168</v>
      </c>
      <c r="AA22">
        <v>4</v>
      </c>
      <c r="AB22" s="487"/>
      <c r="AC22" s="90">
        <v>2</v>
      </c>
      <c r="AD22" s="97" t="s">
        <v>61</v>
      </c>
      <c r="AE22" s="39">
        <f t="shared" si="0"/>
        <v>3592.6499999999996</v>
      </c>
      <c r="AF22" s="65">
        <f>SUMIFS($I:$I,$C:$C, $AF$2,$G:$G, $AA22,$H:$H, $AC22)</f>
        <v>3364.3199999999997</v>
      </c>
      <c r="AG22" s="65">
        <f>SUMIFS($I:$I,$C:$C, $AG$2,$G:$G, $AA22,$H:$H, $AC22)</f>
        <v>228.32999999999998</v>
      </c>
      <c r="AH22" s="65">
        <f>SUMIFS($I:$I,$C:$C, $AH$2,$G:$G, $AA22,$H:$H, $AC22)</f>
        <v>0</v>
      </c>
      <c r="AI22" s="104">
        <f>SUMIFS($I:$I,$C:$C, $AI$2,$G:$G, $AA22,$H:$H, $AC22)</f>
        <v>0</v>
      </c>
      <c r="AJ22" s="115">
        <f t="shared" si="1"/>
        <v>11</v>
      </c>
      <c r="AK22" s="116">
        <f>COUNTIFS($C:$C, $AK$2,$G:$G, $AA22,$H:$H, $AC22)</f>
        <v>9</v>
      </c>
      <c r="AL22" s="116">
        <f>COUNTIFS($C:$C, $AL$2,$G:$G, $AA22,$H:$H, $AC22)</f>
        <v>2</v>
      </c>
      <c r="AM22" s="116">
        <f>COUNTIFS($C:$C, $AM$2,$G:$G, $AA22,$H:$H, $AC22)</f>
        <v>0</v>
      </c>
      <c r="AN22" s="117">
        <f>COUNTIFS($C:$C, $AN$2,$G:$G, $AA22,$H:$H, $AC22)</f>
        <v>0</v>
      </c>
      <c r="AO22" s="39">
        <f t="shared" si="2"/>
        <v>33.019999999999996</v>
      </c>
      <c r="AP22" s="65">
        <f>SUMIFS($L:$L,$C:$C, $AP$2,$G:$G, $AA22,$H:$H, $AC22)</f>
        <v>30.279999999999994</v>
      </c>
      <c r="AQ22" s="65">
        <f>SUMIFS($L:$L,$C:$C, $AQ$2,$G:$G, $AA22,$H:$H, $AC22)</f>
        <v>2.74</v>
      </c>
      <c r="AR22" s="65">
        <f>SUMIFS($L:$L,$C:$C, $AR$2,$G:$G, $AA22,$H:$H, $AC22)</f>
        <v>0</v>
      </c>
      <c r="AS22" s="65">
        <f>SUMIFS($L:$L,$C:$C, $AS$2,$G:$G, $AA22,$H:$H, $AC22)</f>
        <v>0</v>
      </c>
    </row>
    <row r="23" spans="2:49" s="8" customFormat="1" ht="13.5" customHeight="1" x14ac:dyDescent="0.25">
      <c r="B23" s="15">
        <v>21</v>
      </c>
      <c r="C23" s="8" t="s">
        <v>245</v>
      </c>
      <c r="D23" s="5" t="s">
        <v>246</v>
      </c>
      <c r="E23" s="383">
        <v>6</v>
      </c>
      <c r="F23" s="380">
        <v>46043</v>
      </c>
      <c r="G23" s="8">
        <v>1</v>
      </c>
      <c r="H23" s="8">
        <v>3</v>
      </c>
      <c r="I23" s="8">
        <v>290.89499999999998</v>
      </c>
      <c r="J23" s="9">
        <v>302000000</v>
      </c>
      <c r="K23" s="9">
        <f t="shared" si="10"/>
        <v>332200000</v>
      </c>
      <c r="L23" s="35">
        <f t="shared" si="11"/>
        <v>3.02</v>
      </c>
      <c r="M23" s="2" t="s">
        <v>348</v>
      </c>
      <c r="N23" s="2" t="s">
        <v>349</v>
      </c>
      <c r="O23" s="19" t="s">
        <v>350</v>
      </c>
      <c r="P23" s="19">
        <v>20</v>
      </c>
      <c r="Q23" s="19" t="s">
        <v>351</v>
      </c>
      <c r="R23" s="21" t="s">
        <v>352</v>
      </c>
      <c r="S23" s="46" t="s">
        <v>250</v>
      </c>
      <c r="T23" s="44" t="s">
        <v>353</v>
      </c>
      <c r="U23" s="76" t="s">
        <v>252</v>
      </c>
      <c r="V23" s="24" t="s">
        <v>354</v>
      </c>
      <c r="W23" s="24">
        <v>1111</v>
      </c>
      <c r="X23" s="193" t="s">
        <v>355</v>
      </c>
      <c r="Y23" s="15" t="s">
        <v>356</v>
      </c>
      <c r="AA23">
        <v>4</v>
      </c>
      <c r="AB23" s="487"/>
      <c r="AC23" s="90">
        <v>3</v>
      </c>
      <c r="AD23" s="97" t="s">
        <v>62</v>
      </c>
      <c r="AE23" s="39">
        <f t="shared" si="0"/>
        <v>956.53499999999985</v>
      </c>
      <c r="AF23" s="65">
        <f>SUMIFS($I:$I,$C:$C, $AF$2,$G:$G, $AA23,$H:$H, $AC23)</f>
        <v>850.75499999999988</v>
      </c>
      <c r="AG23" s="65">
        <f>SUMIFS($I:$I,$C:$C, $AG$2,$G:$G, $AA23,$H:$H, $AC23)</f>
        <v>105.78</v>
      </c>
      <c r="AH23" s="65">
        <f>SUMIFS($I:$I,$C:$C, $AH$2,$G:$G, $AA23,$H:$H, $AC23)</f>
        <v>0</v>
      </c>
      <c r="AI23" s="104">
        <f>SUMIFS($I:$I,$C:$C, $AI$2,$G:$G, $AA23,$H:$H, $AC23)</f>
        <v>0</v>
      </c>
      <c r="AJ23" s="115">
        <f t="shared" si="1"/>
        <v>5</v>
      </c>
      <c r="AK23" s="116">
        <f>COUNTIFS($C:$C, $AK$2,$G:$G, $AA23,$H:$H, $AC23)</f>
        <v>4</v>
      </c>
      <c r="AL23" s="116">
        <f>COUNTIFS($C:$C, $AL$2,$G:$G, $AA23,$H:$H, $AC23)</f>
        <v>1</v>
      </c>
      <c r="AM23" s="116">
        <f>COUNTIFS($C:$C, $AM$2,$G:$G, $AA23,$H:$H, $AC23)</f>
        <v>0</v>
      </c>
      <c r="AN23" s="117">
        <f>COUNTIFS($C:$C, $AN$2,$G:$G, $AA23,$H:$H, $AC23)</f>
        <v>0</v>
      </c>
      <c r="AO23" s="39">
        <f t="shared" si="2"/>
        <v>9.08</v>
      </c>
      <c r="AP23" s="65">
        <f>SUMIFS($L:$L,$C:$C, $AP$2,$G:$G, $AA23,$H:$H, $AC23)</f>
        <v>7.9799999999999995</v>
      </c>
      <c r="AQ23" s="65">
        <f>SUMIFS($L:$L,$C:$C, $AQ$2,$G:$G, $AA23,$H:$H, $AC23)</f>
        <v>1.1000000000000001</v>
      </c>
      <c r="AR23" s="65">
        <f>SUMIFS($L:$L,$C:$C, $AR$2,$G:$G, $AA23,$H:$H, $AC23)</f>
        <v>0</v>
      </c>
      <c r="AS23" s="65">
        <f>SUMIFS($L:$L,$C:$C, $AS$2,$G:$G, $AA23,$H:$H, $AC23)</f>
        <v>0</v>
      </c>
    </row>
    <row r="24" spans="2:49" s="8" customFormat="1" ht="13.5" customHeight="1" x14ac:dyDescent="0.25">
      <c r="B24" s="15">
        <v>22</v>
      </c>
      <c r="C24" s="8" t="s">
        <v>245</v>
      </c>
      <c r="D24" s="5" t="s">
        <v>246</v>
      </c>
      <c r="E24" s="383">
        <v>7</v>
      </c>
      <c r="F24" s="380">
        <v>46043</v>
      </c>
      <c r="G24" s="8">
        <v>1</v>
      </c>
      <c r="H24" s="8">
        <v>3</v>
      </c>
      <c r="I24" s="8">
        <v>144.63999999999999</v>
      </c>
      <c r="J24" s="9">
        <v>135000000</v>
      </c>
      <c r="K24" s="9">
        <f t="shared" si="10"/>
        <v>148500000</v>
      </c>
      <c r="L24" s="35">
        <f t="shared" si="11"/>
        <v>1.35</v>
      </c>
      <c r="M24" s="2" t="s">
        <v>357</v>
      </c>
      <c r="N24" s="2" t="s">
        <v>357</v>
      </c>
      <c r="O24" s="19" t="s">
        <v>358</v>
      </c>
      <c r="P24" s="19">
        <v>21</v>
      </c>
      <c r="Q24" s="19" t="s">
        <v>359</v>
      </c>
      <c r="R24" s="21" t="s">
        <v>360</v>
      </c>
      <c r="S24" s="46" t="s">
        <v>250</v>
      </c>
      <c r="T24" s="44" t="s">
        <v>361</v>
      </c>
      <c r="U24" s="76" t="s">
        <v>252</v>
      </c>
      <c r="V24" s="24" t="s">
        <v>362</v>
      </c>
      <c r="W24" s="24">
        <v>1111</v>
      </c>
      <c r="X24" s="193" t="s">
        <v>363</v>
      </c>
      <c r="Y24" s="15" t="s">
        <v>364</v>
      </c>
      <c r="AA24">
        <v>4</v>
      </c>
      <c r="AB24" s="487"/>
      <c r="AC24" s="90">
        <v>4</v>
      </c>
      <c r="AD24" s="97" t="s">
        <v>63</v>
      </c>
      <c r="AE24" s="39">
        <f t="shared" si="0"/>
        <v>292.83</v>
      </c>
      <c r="AF24" s="65">
        <f>SUMIFS($I:$I,$C:$C, $AF$2,$G:$G, $AA24,$H:$H, $AC24)</f>
        <v>292.83</v>
      </c>
      <c r="AG24" s="65">
        <f>SUMIFS($I:$I,$C:$C, $AG$2,$G:$G, $AA24,$H:$H, $AC24)</f>
        <v>0</v>
      </c>
      <c r="AH24" s="65">
        <f>SUMIFS($I:$I,$C:$C, $AH$2,$G:$G, $AA24,$H:$H, $AC24)</f>
        <v>0</v>
      </c>
      <c r="AI24" s="104">
        <f>SUMIFS($I:$I,$C:$C, $AI$2,$G:$G, $AA24,$H:$H, $AC24)</f>
        <v>0</v>
      </c>
      <c r="AJ24" s="115">
        <f t="shared" si="1"/>
        <v>3</v>
      </c>
      <c r="AK24" s="116">
        <f>COUNTIFS($C:$C, $AK$2,$G:$G, $AA24,$H:$H, $AC24)</f>
        <v>3</v>
      </c>
      <c r="AL24" s="116">
        <f>COUNTIFS($C:$C, $AL$2,$G:$G, $AA24,$H:$H, $AC24)</f>
        <v>0</v>
      </c>
      <c r="AM24" s="116">
        <f>COUNTIFS($C:$C, $AM$2,$G:$G, $AA24,$H:$H, $AC24)</f>
        <v>0</v>
      </c>
      <c r="AN24" s="117">
        <f>COUNTIFS($C:$C, $AN$2,$G:$G, $AA24,$H:$H, $AC24)</f>
        <v>0</v>
      </c>
      <c r="AO24" s="39">
        <f t="shared" si="2"/>
        <v>2.95</v>
      </c>
      <c r="AP24" s="65">
        <f>SUMIFS($L:$L,$C:$C, $AP$2,$G:$G, $AA24,$H:$H, $AC24)</f>
        <v>2.95</v>
      </c>
      <c r="AQ24" s="65">
        <f>SUMIFS($L:$L,$C:$C, $AQ$2,$G:$G, $AA24,$H:$H, $AC24)</f>
        <v>0</v>
      </c>
      <c r="AR24" s="65">
        <f>SUMIFS($L:$L,$C:$C, $AR$2,$G:$G, $AA24,$H:$H, $AC24)</f>
        <v>0</v>
      </c>
      <c r="AS24" s="65">
        <f>SUMIFS($L:$L,$C:$C, $AS$2,$G:$G, $AA24,$H:$H, $AC24)</f>
        <v>0</v>
      </c>
      <c r="AU24" s="194" t="s">
        <v>149</v>
      </c>
      <c r="AV24" s="194" t="s">
        <v>150</v>
      </c>
      <c r="AW24" s="194" t="s">
        <v>120</v>
      </c>
    </row>
    <row r="25" spans="2:49" s="8" customFormat="1" ht="13.5" customHeight="1" x14ac:dyDescent="0.25">
      <c r="B25" s="15">
        <v>23</v>
      </c>
      <c r="C25" s="8" t="s">
        <v>112</v>
      </c>
      <c r="D25" s="5" t="s">
        <v>246</v>
      </c>
      <c r="E25" s="383">
        <v>16</v>
      </c>
      <c r="F25" s="380">
        <v>46043</v>
      </c>
      <c r="G25" s="8">
        <v>1</v>
      </c>
      <c r="H25" s="8">
        <v>3</v>
      </c>
      <c r="I25" s="8">
        <v>171.57</v>
      </c>
      <c r="J25" s="9">
        <v>157000000</v>
      </c>
      <c r="K25" s="9">
        <f t="shared" si="10"/>
        <v>172700000</v>
      </c>
      <c r="L25" s="35">
        <f t="shared" si="11"/>
        <v>1.57</v>
      </c>
      <c r="M25" s="2" t="s">
        <v>366</v>
      </c>
      <c r="N25" t="s">
        <v>365</v>
      </c>
      <c r="O25" s="19" t="s">
        <v>367</v>
      </c>
      <c r="P25" s="19">
        <v>22</v>
      </c>
      <c r="Q25" s="19" t="s">
        <v>271</v>
      </c>
      <c r="R25" s="21" t="s">
        <v>368</v>
      </c>
      <c r="S25" s="46" t="s">
        <v>250</v>
      </c>
      <c r="T25" s="44" t="s">
        <v>369</v>
      </c>
      <c r="U25" s="76" t="s">
        <v>252</v>
      </c>
      <c r="V25" s="24" t="s">
        <v>268</v>
      </c>
      <c r="W25" s="24"/>
      <c r="X25" s="193" t="s">
        <v>153</v>
      </c>
      <c r="Y25" s="15" t="s">
        <v>255</v>
      </c>
      <c r="AA25">
        <v>4</v>
      </c>
      <c r="AB25" s="487"/>
      <c r="AC25" s="91">
        <v>5</v>
      </c>
      <c r="AD25" s="97" t="s">
        <v>85</v>
      </c>
      <c r="AE25" s="39">
        <f t="shared" si="0"/>
        <v>201.88499999999999</v>
      </c>
      <c r="AF25" s="65">
        <f>SUMIFS($I:$I,$C:$C, $AF$2,$G:$G, $AA25,$H:$H, $AC25)</f>
        <v>201.88499999999999</v>
      </c>
      <c r="AG25" s="65">
        <f>SUMIFS($I:$I,$C:$C, $AG$2,$G:$G, $AA25,$H:$H, $AC25)</f>
        <v>0</v>
      </c>
      <c r="AH25" s="65">
        <f>SUMIFS($I:$I,$C:$C, $AH$2,$G:$G, $AA25,$H:$H, $AC25)</f>
        <v>0</v>
      </c>
      <c r="AI25" s="104">
        <f>SUMIFS($I:$I,$C:$C, $AI$2,$G:$G, $AA25,$H:$H, $AC25)</f>
        <v>0</v>
      </c>
      <c r="AJ25" s="115">
        <f t="shared" si="1"/>
        <v>1</v>
      </c>
      <c r="AK25" s="116">
        <f>COUNTIFS($C:$C, $AK$2,$G:$G, $AA25,$H:$H, $AC25)</f>
        <v>1</v>
      </c>
      <c r="AL25" s="116">
        <f>COUNTIFS($C:$C, $AL$2,$G:$G, $AA25,$H:$H, $AC25)</f>
        <v>0</v>
      </c>
      <c r="AM25" s="116">
        <f>COUNTIFS($C:$C, $AM$2,$G:$G, $AA25,$H:$H, $AC25)</f>
        <v>0</v>
      </c>
      <c r="AN25" s="117">
        <f>COUNTIFS($C:$C, $AN$2,$G:$G, $AA25,$H:$H, $AC25)</f>
        <v>0</v>
      </c>
      <c r="AO25" s="39">
        <f t="shared" si="2"/>
        <v>1.97</v>
      </c>
      <c r="AP25" s="65">
        <f>SUMIFS($L:$L,$C:$C, $AP$2,$G:$G, $AA25,$H:$H, $AC25)</f>
        <v>1.97</v>
      </c>
      <c r="AQ25" s="65">
        <f>SUMIFS($L:$L,$C:$C, $AQ$2,$G:$G, $AA25,$H:$H, $AC25)</f>
        <v>0</v>
      </c>
      <c r="AR25" s="65">
        <f>SUMIFS($L:$L,$C:$C, $AR$2,$G:$G, $AA25,$H:$H, $AC25)</f>
        <v>0</v>
      </c>
      <c r="AS25" s="65">
        <f>SUMIFS($L:$L,$C:$C, $AS$2,$G:$G, $AA25,$H:$H, $AC25)</f>
        <v>0</v>
      </c>
      <c r="AU25" s="195" t="s">
        <v>160</v>
      </c>
      <c r="AV25" s="195">
        <f t="shared" ref="AV25:AV32" si="12">COUNTIF($X:$X, AU25)</f>
        <v>49</v>
      </c>
      <c r="AW25" s="196">
        <f>AV25/$AV$33</f>
        <v>0.22790697674418606</v>
      </c>
    </row>
    <row r="26" spans="2:49" s="8" customFormat="1" ht="13.5" customHeight="1" thickBot="1" x14ac:dyDescent="0.3">
      <c r="B26" s="15">
        <v>24</v>
      </c>
      <c r="C26" s="8" t="s">
        <v>245</v>
      </c>
      <c r="D26" s="5" t="s">
        <v>246</v>
      </c>
      <c r="E26" s="383">
        <v>8</v>
      </c>
      <c r="F26" s="380">
        <v>46045</v>
      </c>
      <c r="G26" s="8">
        <v>1</v>
      </c>
      <c r="H26" s="8">
        <v>4</v>
      </c>
      <c r="I26" s="8">
        <v>235.42500000000001</v>
      </c>
      <c r="J26" s="9">
        <v>230000000</v>
      </c>
      <c r="K26" s="9">
        <f t="shared" si="10"/>
        <v>253000000.00000003</v>
      </c>
      <c r="L26" s="35">
        <f t="shared" si="11"/>
        <v>2.3000000000000003</v>
      </c>
      <c r="M26" s="2" t="s">
        <v>370</v>
      </c>
      <c r="N26" t="s">
        <v>371</v>
      </c>
      <c r="O26" s="19" t="s">
        <v>372</v>
      </c>
      <c r="P26" s="19">
        <v>23</v>
      </c>
      <c r="Q26" s="19" t="s">
        <v>373</v>
      </c>
      <c r="R26" s="21" t="s">
        <v>374</v>
      </c>
      <c r="S26" s="46" t="s">
        <v>250</v>
      </c>
      <c r="T26" s="44" t="s">
        <v>375</v>
      </c>
      <c r="U26" s="76" t="s">
        <v>376</v>
      </c>
      <c r="V26" s="24" t="s">
        <v>377</v>
      </c>
      <c r="W26" s="24">
        <v>1111</v>
      </c>
      <c r="X26" s="193" t="s">
        <v>378</v>
      </c>
      <c r="Y26" s="15" t="s">
        <v>379</v>
      </c>
      <c r="AA26">
        <v>4</v>
      </c>
      <c r="AB26" s="488"/>
      <c r="AC26" s="92" t="s">
        <v>3</v>
      </c>
      <c r="AD26" s="98"/>
      <c r="AE26" s="94">
        <f t="shared" ref="AE26:AS26" si="13">SUM(AE21:AE25)</f>
        <v>6707.3549999999996</v>
      </c>
      <c r="AF26" s="94">
        <f t="shared" si="13"/>
        <v>5755.335</v>
      </c>
      <c r="AG26" s="94">
        <f t="shared" si="13"/>
        <v>952.02</v>
      </c>
      <c r="AH26" s="94">
        <f t="shared" si="13"/>
        <v>0</v>
      </c>
      <c r="AI26" s="105">
        <f t="shared" si="13"/>
        <v>0</v>
      </c>
      <c r="AJ26" s="118">
        <f t="shared" si="13"/>
        <v>26</v>
      </c>
      <c r="AK26" s="119">
        <f t="shared" si="13"/>
        <v>21</v>
      </c>
      <c r="AL26" s="119">
        <f t="shared" si="13"/>
        <v>5</v>
      </c>
      <c r="AM26" s="119">
        <f t="shared" si="13"/>
        <v>0</v>
      </c>
      <c r="AN26" s="120">
        <f t="shared" si="13"/>
        <v>0</v>
      </c>
      <c r="AO26" s="94">
        <f t="shared" si="13"/>
        <v>63.01</v>
      </c>
      <c r="AP26" s="94">
        <f t="shared" si="13"/>
        <v>53.23</v>
      </c>
      <c r="AQ26" s="94">
        <f t="shared" si="13"/>
        <v>9.7799999999999994</v>
      </c>
      <c r="AR26" s="94">
        <f t="shared" si="13"/>
        <v>0</v>
      </c>
      <c r="AS26" s="94">
        <f t="shared" si="13"/>
        <v>0</v>
      </c>
      <c r="AU26" s="195" t="s">
        <v>152</v>
      </c>
      <c r="AV26" s="195">
        <f t="shared" si="12"/>
        <v>98</v>
      </c>
      <c r="AW26" s="196">
        <f t="shared" ref="AW26:AW33" si="14">AV26/$AV$33</f>
        <v>0.45581395348837211</v>
      </c>
    </row>
    <row r="27" spans="2:49" s="8" customFormat="1" ht="13.5" customHeight="1" x14ac:dyDescent="0.25">
      <c r="B27" s="15">
        <v>25</v>
      </c>
      <c r="C27" s="8" t="s">
        <v>245</v>
      </c>
      <c r="D27" s="5" t="s">
        <v>246</v>
      </c>
      <c r="E27" s="383">
        <v>9</v>
      </c>
      <c r="F27" s="380">
        <v>46045</v>
      </c>
      <c r="G27" s="8">
        <v>1</v>
      </c>
      <c r="H27" s="8">
        <v>4</v>
      </c>
      <c r="I27" s="8">
        <v>49.02</v>
      </c>
      <c r="J27" s="9">
        <v>56000000</v>
      </c>
      <c r="K27" s="9">
        <f t="shared" si="10"/>
        <v>61600000.000000007</v>
      </c>
      <c r="L27" s="35">
        <f t="shared" si="11"/>
        <v>0.56000000000000005</v>
      </c>
      <c r="M27" s="2" t="s">
        <v>384</v>
      </c>
      <c r="N27" t="s">
        <v>146</v>
      </c>
      <c r="O27" s="19" t="s">
        <v>385</v>
      </c>
      <c r="P27" s="19">
        <v>24</v>
      </c>
      <c r="Q27" s="19" t="s">
        <v>386</v>
      </c>
      <c r="R27" s="21" t="s">
        <v>387</v>
      </c>
      <c r="S27" s="46" t="s">
        <v>250</v>
      </c>
      <c r="T27" s="44" t="s">
        <v>388</v>
      </c>
      <c r="U27" s="76" t="s">
        <v>118</v>
      </c>
      <c r="V27" s="24" t="s">
        <v>253</v>
      </c>
      <c r="W27" s="24">
        <v>1111</v>
      </c>
      <c r="X27" s="193" t="s">
        <v>389</v>
      </c>
      <c r="Y27" s="15" t="s">
        <v>168</v>
      </c>
      <c r="AA27">
        <v>5</v>
      </c>
      <c r="AB27" s="486">
        <v>5</v>
      </c>
      <c r="AC27" s="89">
        <v>1</v>
      </c>
      <c r="AD27" s="95" t="s">
        <v>86</v>
      </c>
      <c r="AE27" s="39">
        <f t="shared" si="0"/>
        <v>835.27499999999998</v>
      </c>
      <c r="AF27" s="65">
        <f>SUMIFS($I:$I,$C:$C, $AF$2,$G:$G, $AA27,$H:$H, $AC27)</f>
        <v>652.74</v>
      </c>
      <c r="AG27" s="65">
        <f>SUMIFS($I:$I,$C:$C, $AG$2,$G:$G, $AA27,$H:$H, $AC27)</f>
        <v>182.535</v>
      </c>
      <c r="AH27" s="65">
        <f>SUMIFS($I:$I,$C:$C, $AH$2,$G:$G, $AA27,$H:$H, $AC27)</f>
        <v>0</v>
      </c>
      <c r="AI27" s="104">
        <f>SUMIFS($I:$I,$C:$C, $AI$2,$G:$G, $AA27,$H:$H, $AC27)</f>
        <v>0</v>
      </c>
      <c r="AJ27" s="115">
        <f t="shared" si="1"/>
        <v>4</v>
      </c>
      <c r="AK27" s="116">
        <f>COUNTIFS($C:$C, $AK$2,$G:$G, $AA27,$H:$H, $AC27)</f>
        <v>2</v>
      </c>
      <c r="AL27" s="116">
        <f>COUNTIFS($C:$C, $AL$2,$G:$G, $AA27,$H:$H, $AC27)</f>
        <v>2</v>
      </c>
      <c r="AM27" s="116">
        <f>COUNTIFS($C:$C, $AM$2,$G:$G, $AA27,$H:$H, $AC27)</f>
        <v>0</v>
      </c>
      <c r="AN27" s="117">
        <f>COUNTIFS($C:$C, $AN$2,$G:$G, $AA27,$H:$H, $AC27)</f>
        <v>0</v>
      </c>
      <c r="AO27" s="39">
        <f t="shared" si="2"/>
        <v>7.8979999999999997</v>
      </c>
      <c r="AP27" s="65">
        <f>SUMIFS($L:$L,$C:$C, $AP$2,$G:$G, $AA27,$H:$H, $AC27)</f>
        <v>5.92</v>
      </c>
      <c r="AQ27" s="65">
        <f>SUMIFS($L:$L,$C:$C, $AQ$2,$G:$G, $AA27,$H:$H, $AC27)</f>
        <v>1.978</v>
      </c>
      <c r="AR27" s="65">
        <f>SUMIFS($L:$L,$C:$C, $AR$2,$G:$G, $AA27,$H:$H, $AC27)</f>
        <v>0</v>
      </c>
      <c r="AS27" s="65">
        <f>SUMIFS($L:$L,$C:$C, $AS$2,$G:$G, $AA27,$H:$H, $AC27)</f>
        <v>0</v>
      </c>
      <c r="AU27" s="195" t="s">
        <v>153</v>
      </c>
      <c r="AV27" s="195">
        <f t="shared" si="12"/>
        <v>8</v>
      </c>
      <c r="AW27" s="196">
        <f t="shared" si="14"/>
        <v>3.7209302325581395E-2</v>
      </c>
    </row>
    <row r="28" spans="2:49" s="8" customFormat="1" ht="13.5" customHeight="1" x14ac:dyDescent="0.25">
      <c r="B28" s="15">
        <v>26</v>
      </c>
      <c r="C28" s="8" t="s">
        <v>112</v>
      </c>
      <c r="D28" s="5" t="s">
        <v>246</v>
      </c>
      <c r="E28" s="383">
        <v>17</v>
      </c>
      <c r="F28" s="380">
        <v>46044</v>
      </c>
      <c r="G28" s="8">
        <v>1</v>
      </c>
      <c r="H28" s="8">
        <v>4</v>
      </c>
      <c r="I28" s="8">
        <v>279.28500000000003</v>
      </c>
      <c r="J28" s="9">
        <v>260000000</v>
      </c>
      <c r="K28" s="9">
        <f t="shared" si="10"/>
        <v>286000000</v>
      </c>
      <c r="L28" s="35">
        <f t="shared" si="11"/>
        <v>2.6</v>
      </c>
      <c r="M28" s="2" t="s">
        <v>390</v>
      </c>
      <c r="N28" t="s">
        <v>391</v>
      </c>
      <c r="O28" s="19" t="s">
        <v>392</v>
      </c>
      <c r="P28" s="19">
        <v>25</v>
      </c>
      <c r="Q28" s="19" t="s">
        <v>271</v>
      </c>
      <c r="R28" s="21" t="s">
        <v>393</v>
      </c>
      <c r="S28" s="46" t="s">
        <v>250</v>
      </c>
      <c r="T28" s="44" t="s">
        <v>394</v>
      </c>
      <c r="U28" s="76" t="s">
        <v>267</v>
      </c>
      <c r="V28" s="24" t="s">
        <v>395</v>
      </c>
      <c r="W28" s="24"/>
      <c r="X28" s="193" t="s">
        <v>152</v>
      </c>
      <c r="Y28" s="15" t="s">
        <v>255</v>
      </c>
      <c r="AA28">
        <v>5</v>
      </c>
      <c r="AB28" s="487"/>
      <c r="AC28" s="90">
        <v>2</v>
      </c>
      <c r="AD28" s="97" t="s">
        <v>87</v>
      </c>
      <c r="AE28" s="39">
        <f t="shared" si="0"/>
        <v>1573.8</v>
      </c>
      <c r="AF28" s="65">
        <f>SUMIFS($I:$I,$C:$C, $AF$2,$G:$G, $AA28,$H:$H, $AC28)</f>
        <v>1180.9949999999999</v>
      </c>
      <c r="AG28" s="65">
        <f>SUMIFS($I:$I,$C:$C, $AG$2,$G:$G, $AA28,$H:$H, $AC28)</f>
        <v>392.80500000000001</v>
      </c>
      <c r="AH28" s="65">
        <f>SUMIFS($I:$I,$C:$C, $AH$2,$G:$G, $AA28,$H:$H, $AC28)</f>
        <v>0</v>
      </c>
      <c r="AI28" s="104">
        <f>SUMIFS($I:$I,$C:$C, $AI$2,$G:$G, $AA28,$H:$H, $AC28)</f>
        <v>0</v>
      </c>
      <c r="AJ28" s="115">
        <f t="shared" si="1"/>
        <v>6</v>
      </c>
      <c r="AK28" s="116">
        <f>COUNTIFS($C:$C, $AK$2,$G:$G, $AA28,$H:$H, $AC28)</f>
        <v>3</v>
      </c>
      <c r="AL28" s="116">
        <f>COUNTIFS($C:$C, $AL$2,$G:$G, $AA28,$H:$H, $AC28)</f>
        <v>3</v>
      </c>
      <c r="AM28" s="116">
        <f>COUNTIFS($C:$C, $AM$2,$G:$G, $AA28,$H:$H, $AC28)</f>
        <v>0</v>
      </c>
      <c r="AN28" s="117">
        <f>COUNTIFS($C:$C, $AN$2,$G:$G, $AA28,$H:$H, $AC28)</f>
        <v>0</v>
      </c>
      <c r="AO28" s="39">
        <f t="shared" si="2"/>
        <v>15.55</v>
      </c>
      <c r="AP28" s="65">
        <f>SUMIFS($L:$L,$C:$C, $AP$2,$G:$G, $AA28,$H:$H, $AC28)</f>
        <v>11.56</v>
      </c>
      <c r="AQ28" s="65">
        <f>SUMIFS($L:$L,$C:$C, $AQ$2,$G:$G, $AA28,$H:$H, $AC28)</f>
        <v>3.99</v>
      </c>
      <c r="AR28" s="65">
        <f>SUMIFS($L:$L,$C:$C, $AR$2,$G:$G, $AA28,$H:$H, $AC28)</f>
        <v>0</v>
      </c>
      <c r="AS28" s="65">
        <f>SUMIFS($L:$L,$C:$C, $AS$2,$G:$G, $AA28,$H:$H, $AC28)</f>
        <v>0</v>
      </c>
      <c r="AU28" s="195" t="s">
        <v>154</v>
      </c>
      <c r="AV28" s="195">
        <f t="shared" si="12"/>
        <v>13</v>
      </c>
      <c r="AW28" s="196">
        <f t="shared" si="14"/>
        <v>6.0465116279069767E-2</v>
      </c>
    </row>
    <row r="29" spans="2:49" s="8" customFormat="1" ht="13.5" customHeight="1" x14ac:dyDescent="0.25">
      <c r="B29" s="15">
        <v>27</v>
      </c>
      <c r="C29" s="8" t="s">
        <v>112</v>
      </c>
      <c r="D29" s="5" t="s">
        <v>246</v>
      </c>
      <c r="E29" s="383">
        <v>18</v>
      </c>
      <c r="F29" s="380">
        <v>46045</v>
      </c>
      <c r="G29" s="8">
        <v>1</v>
      </c>
      <c r="H29" s="8">
        <v>4</v>
      </c>
      <c r="I29" s="8">
        <v>189.63</v>
      </c>
      <c r="J29" s="9">
        <v>170000000</v>
      </c>
      <c r="K29" s="9">
        <f t="shared" si="10"/>
        <v>187000000.00000003</v>
      </c>
      <c r="L29" s="35">
        <f t="shared" si="11"/>
        <v>1.7</v>
      </c>
      <c r="M29" s="2" t="s">
        <v>396</v>
      </c>
      <c r="N29" t="s">
        <v>397</v>
      </c>
      <c r="O29" s="19" t="s">
        <v>398</v>
      </c>
      <c r="P29" s="19">
        <v>26</v>
      </c>
      <c r="Q29" s="19" t="s">
        <v>399</v>
      </c>
      <c r="R29" s="21" t="s">
        <v>400</v>
      </c>
      <c r="S29" s="46" t="s">
        <v>250</v>
      </c>
      <c r="T29" s="44" t="s">
        <v>401</v>
      </c>
      <c r="U29" s="76" t="s">
        <v>402</v>
      </c>
      <c r="V29" s="24" t="s">
        <v>403</v>
      </c>
      <c r="W29" s="24">
        <v>1111</v>
      </c>
      <c r="X29" s="193" t="s">
        <v>152</v>
      </c>
      <c r="Y29" s="15" t="s">
        <v>404</v>
      </c>
      <c r="AA29">
        <v>5</v>
      </c>
      <c r="AB29" s="487"/>
      <c r="AC29" s="90">
        <v>3</v>
      </c>
      <c r="AD29" s="97" t="s">
        <v>88</v>
      </c>
      <c r="AE29" s="39">
        <f t="shared" si="0"/>
        <v>1268.7149999999999</v>
      </c>
      <c r="AF29" s="65">
        <f>SUMIFS($I:$I,$C:$C, $AF$2,$G:$G, $AA29,$H:$H, $AC29)</f>
        <v>620.49</v>
      </c>
      <c r="AG29" s="65">
        <f>SUMIFS($I:$I,$C:$C, $AG$2,$G:$G, $AA29,$H:$H, $AC29)</f>
        <v>648.22499999999991</v>
      </c>
      <c r="AH29" s="65">
        <f>SUMIFS($I:$I,$C:$C, $AH$2,$G:$G, $AA29,$H:$H, $AC29)</f>
        <v>0</v>
      </c>
      <c r="AI29" s="104">
        <f>SUMIFS($I:$I,$C:$C, $AI$2,$G:$G, $AA29,$H:$H, $AC29)</f>
        <v>0</v>
      </c>
      <c r="AJ29" s="115">
        <f t="shared" si="1"/>
        <v>5</v>
      </c>
      <c r="AK29" s="116">
        <f>COUNTIFS($C:$C, $AK$2,$G:$G, $AA29,$H:$H, $AC29)</f>
        <v>2</v>
      </c>
      <c r="AL29" s="116">
        <f>COUNTIFS($C:$C, $AL$2,$G:$G, $AA29,$H:$H, $AC29)</f>
        <v>3</v>
      </c>
      <c r="AM29" s="116">
        <f>COUNTIFS($C:$C, $AM$2,$G:$G, $AA29,$H:$H, $AC29)</f>
        <v>0</v>
      </c>
      <c r="AN29" s="117">
        <f>COUNTIFS($C:$C, $AN$2,$G:$G, $AA29,$H:$H, $AC29)</f>
        <v>0</v>
      </c>
      <c r="AO29" s="39">
        <f t="shared" si="2"/>
        <v>12.34</v>
      </c>
      <c r="AP29" s="65">
        <f>SUMIFS($L:$L,$C:$C, $AP$2,$G:$G, $AA29,$H:$H, $AC29)</f>
        <v>5.8000000000000007</v>
      </c>
      <c r="AQ29" s="65">
        <f>SUMIFS($L:$L,$C:$C, $AQ$2,$G:$G, $AA29,$H:$H, $AC29)</f>
        <v>6.54</v>
      </c>
      <c r="AR29" s="65">
        <f>SUMIFS($L:$L,$C:$C, $AR$2,$G:$G, $AA29,$H:$H, $AC29)</f>
        <v>0</v>
      </c>
      <c r="AS29" s="65">
        <f>SUMIFS($L:$L,$C:$C, $AS$2,$G:$G, $AA29,$H:$H, $AC29)</f>
        <v>0</v>
      </c>
      <c r="AU29" s="195" t="s">
        <v>155</v>
      </c>
      <c r="AV29" s="195">
        <f t="shared" si="12"/>
        <v>40</v>
      </c>
      <c r="AW29" s="196">
        <f t="shared" si="14"/>
        <v>0.18604651162790697</v>
      </c>
    </row>
    <row r="30" spans="2:49" s="8" customFormat="1" ht="13.5" customHeight="1" x14ac:dyDescent="0.25">
      <c r="B30" s="15">
        <v>28</v>
      </c>
      <c r="C30" s="8" t="s">
        <v>112</v>
      </c>
      <c r="D30" s="5" t="s">
        <v>246</v>
      </c>
      <c r="E30" s="383">
        <v>19</v>
      </c>
      <c r="F30" s="380">
        <v>46045</v>
      </c>
      <c r="G30" s="8">
        <v>1</v>
      </c>
      <c r="H30" s="8">
        <v>4</v>
      </c>
      <c r="I30" s="8">
        <v>219.3</v>
      </c>
      <c r="J30" s="9">
        <v>204000000</v>
      </c>
      <c r="K30" s="9">
        <f t="shared" si="10"/>
        <v>224400000.00000003</v>
      </c>
      <c r="L30" s="35">
        <f t="shared" si="11"/>
        <v>2.04</v>
      </c>
      <c r="M30" s="2" t="s">
        <v>396</v>
      </c>
      <c r="N30" t="s">
        <v>28</v>
      </c>
      <c r="O30" s="19" t="s">
        <v>405</v>
      </c>
      <c r="P30" s="19">
        <v>27</v>
      </c>
      <c r="Q30" s="19" t="s">
        <v>271</v>
      </c>
      <c r="R30" s="21" t="s">
        <v>406</v>
      </c>
      <c r="S30" s="46" t="s">
        <v>250</v>
      </c>
      <c r="T30" s="44" t="s">
        <v>407</v>
      </c>
      <c r="U30" s="76" t="s">
        <v>118</v>
      </c>
      <c r="V30" s="24" t="s">
        <v>268</v>
      </c>
      <c r="W30" s="24"/>
      <c r="X30" s="193" t="s">
        <v>408</v>
      </c>
      <c r="Y30" s="15" t="s">
        <v>409</v>
      </c>
      <c r="AA30">
        <v>5</v>
      </c>
      <c r="AB30" s="487"/>
      <c r="AC30" s="90">
        <v>4</v>
      </c>
      <c r="AD30" s="97" t="s">
        <v>89</v>
      </c>
      <c r="AE30" s="39">
        <f t="shared" si="0"/>
        <v>191.565</v>
      </c>
      <c r="AF30" s="65">
        <f>SUMIFS($I:$I,$C:$C, $AF$2,$G:$G, $AA30,$H:$H, $AC30)</f>
        <v>101.91</v>
      </c>
      <c r="AG30" s="65">
        <f>SUMIFS($I:$I,$C:$C, $AG$2,$G:$G, $AA30,$H:$H, $AC30)</f>
        <v>89.655000000000001</v>
      </c>
      <c r="AH30" s="65">
        <f>SUMIFS($I:$I,$C:$C, $AH$2,$G:$G, $AA30,$H:$H, $AC30)</f>
        <v>0</v>
      </c>
      <c r="AI30" s="104">
        <f>SUMIFS($I:$I,$C:$C, $AI$2,$G:$G, $AA30,$H:$H, $AC30)</f>
        <v>0</v>
      </c>
      <c r="AJ30" s="115">
        <f t="shared" si="1"/>
        <v>2</v>
      </c>
      <c r="AK30" s="116">
        <f>COUNTIFS($C:$C, $AK$2,$G:$G, $AA30,$H:$H, $AC30)</f>
        <v>1</v>
      </c>
      <c r="AL30" s="116">
        <f>COUNTIFS($C:$C, $AL$2,$G:$G, $AA30,$H:$H, $AC30)</f>
        <v>1</v>
      </c>
      <c r="AM30" s="116">
        <f>COUNTIFS($C:$C, $AM$2,$G:$G, $AA30,$H:$H, $AC30)</f>
        <v>0</v>
      </c>
      <c r="AN30" s="117">
        <f>COUNTIFS($C:$C, $AN$2,$G:$G, $AA30,$H:$H, $AC30)</f>
        <v>0</v>
      </c>
      <c r="AO30" s="39">
        <f t="shared" si="2"/>
        <v>2.08</v>
      </c>
      <c r="AP30" s="65">
        <f>SUMIFS($L:$L,$C:$C, $AP$2,$G:$G, $AA30,$H:$H, $AC30)</f>
        <v>0.99</v>
      </c>
      <c r="AQ30" s="65">
        <f>SUMIFS($L:$L,$C:$C, $AQ$2,$G:$G, $AA30,$H:$H, $AC30)</f>
        <v>1.0900000000000001</v>
      </c>
      <c r="AR30" s="65">
        <f>SUMIFS($L:$L,$C:$C, $AR$2,$G:$G, $AA30,$H:$H, $AC30)</f>
        <v>0</v>
      </c>
      <c r="AS30" s="65">
        <f>SUMIFS($L:$L,$C:$C, $AS$2,$G:$G, $AA30,$H:$H, $AC30)</f>
        <v>0</v>
      </c>
      <c r="AU30" s="195" t="s">
        <v>156</v>
      </c>
      <c r="AV30" s="195">
        <f t="shared" si="12"/>
        <v>6</v>
      </c>
      <c r="AW30" s="196">
        <f t="shared" si="14"/>
        <v>2.7906976744186046E-2</v>
      </c>
    </row>
    <row r="31" spans="2:49" s="8" customFormat="1" ht="13.5" customHeight="1" x14ac:dyDescent="0.25">
      <c r="B31" s="15">
        <v>29</v>
      </c>
      <c r="C31" s="8" t="s">
        <v>112</v>
      </c>
      <c r="D31" s="5" t="s">
        <v>246</v>
      </c>
      <c r="E31" s="383">
        <v>20</v>
      </c>
      <c r="F31" s="380">
        <v>46049</v>
      </c>
      <c r="G31" s="8">
        <v>1</v>
      </c>
      <c r="H31" s="8">
        <v>4</v>
      </c>
      <c r="I31" s="8">
        <v>290.25</v>
      </c>
      <c r="J31" s="9">
        <v>270000000</v>
      </c>
      <c r="K31" s="9">
        <f t="shared" si="10"/>
        <v>297000000</v>
      </c>
      <c r="L31" s="35">
        <f t="shared" si="11"/>
        <v>2.7</v>
      </c>
      <c r="M31" s="2" t="s">
        <v>410</v>
      </c>
      <c r="N31" t="s">
        <v>411</v>
      </c>
      <c r="O31" s="19" t="s">
        <v>412</v>
      </c>
      <c r="P31" s="19">
        <v>28</v>
      </c>
      <c r="Q31" s="19" t="s">
        <v>413</v>
      </c>
      <c r="R31" s="21" t="s">
        <v>414</v>
      </c>
      <c r="S31" s="46" t="s">
        <v>250</v>
      </c>
      <c r="T31" s="44" t="s">
        <v>415</v>
      </c>
      <c r="U31" s="76" t="s">
        <v>416</v>
      </c>
      <c r="V31" s="24" t="s">
        <v>417</v>
      </c>
      <c r="W31" s="24"/>
      <c r="X31" s="193" t="s">
        <v>154</v>
      </c>
      <c r="Y31" s="15" t="s">
        <v>255</v>
      </c>
      <c r="AA31">
        <v>5</v>
      </c>
      <c r="AB31" s="487"/>
      <c r="AC31" s="91">
        <v>5</v>
      </c>
      <c r="AD31" s="97"/>
      <c r="AE31" s="39">
        <f t="shared" si="0"/>
        <v>0</v>
      </c>
      <c r="AF31" s="65">
        <f>SUMIFS($I:$I,$C:$C, $AF$2,$G:$G, $AA31,$H:$H, $AC31)</f>
        <v>0</v>
      </c>
      <c r="AG31" s="65">
        <f>SUMIFS($I:$I,$C:$C, $AG$2,$G:$G, $AA31,$H:$H, $AC31)</f>
        <v>0</v>
      </c>
      <c r="AH31" s="65">
        <f>SUMIFS($I:$I,$C:$C, $AH$2,$G:$G, $AA31,$H:$H, $AC31)</f>
        <v>0</v>
      </c>
      <c r="AI31" s="104">
        <f>SUMIFS($I:$I,$C:$C, $AI$2,$G:$G, $AA31,$H:$H, $AC31)</f>
        <v>0</v>
      </c>
      <c r="AJ31" s="115">
        <f t="shared" si="1"/>
        <v>0</v>
      </c>
      <c r="AK31" s="116">
        <f>COUNTIFS($C:$C, $AK$2,$G:$G, $AA31,$H:$H, $AC31)</f>
        <v>0</v>
      </c>
      <c r="AL31" s="116">
        <f>COUNTIFS($C:$C, $AL$2,$G:$G, $AA31,$H:$H, $AC31)</f>
        <v>0</v>
      </c>
      <c r="AM31" s="116">
        <f>COUNTIFS($C:$C, $AM$2,$G:$G, $AA31,$H:$H, $AC31)</f>
        <v>0</v>
      </c>
      <c r="AN31" s="117">
        <f>COUNTIFS($C:$C, $AN$2,$G:$G, $AA31,$H:$H, $AC31)</f>
        <v>0</v>
      </c>
      <c r="AO31" s="39">
        <f t="shared" si="2"/>
        <v>0</v>
      </c>
      <c r="AP31" s="65">
        <f>SUMIFS($L:$L,$C:$C, $AP$2,$G:$G, $AA31,$H:$H, $AC31)</f>
        <v>0</v>
      </c>
      <c r="AQ31" s="65">
        <f>SUMIFS($L:$L,$C:$C, $AQ$2,$G:$G, $AA31,$H:$H, $AC31)</f>
        <v>0</v>
      </c>
      <c r="AR31" s="65">
        <f>SUMIFS($L:$L,$C:$C, $AR$2,$G:$G, $AA31,$H:$H, $AC31)</f>
        <v>0</v>
      </c>
      <c r="AS31" s="65">
        <f>SUMIFS($L:$L,$C:$C, $AS$2,$G:$G, $AA31,$H:$H, $AC31)</f>
        <v>0</v>
      </c>
      <c r="AU31" s="195" t="s">
        <v>157</v>
      </c>
      <c r="AV31" s="195">
        <f t="shared" si="12"/>
        <v>0</v>
      </c>
      <c r="AW31" s="196">
        <f t="shared" si="14"/>
        <v>0</v>
      </c>
    </row>
    <row r="32" spans="2:49" s="8" customFormat="1" ht="13.5" customHeight="1" thickBot="1" x14ac:dyDescent="0.3">
      <c r="B32" s="15">
        <v>30</v>
      </c>
      <c r="C32" s="8" t="s">
        <v>418</v>
      </c>
      <c r="D32" s="5" t="s">
        <v>419</v>
      </c>
      <c r="E32" s="383">
        <v>21</v>
      </c>
      <c r="F32" s="380">
        <v>46052</v>
      </c>
      <c r="G32" s="8">
        <v>2</v>
      </c>
      <c r="H32" s="8">
        <v>1</v>
      </c>
      <c r="I32" s="8">
        <v>463.36</v>
      </c>
      <c r="J32" s="9">
        <v>387000000</v>
      </c>
      <c r="K32" s="9">
        <f t="shared" si="10"/>
        <v>425700000.00000006</v>
      </c>
      <c r="L32" s="35">
        <f t="shared" si="11"/>
        <v>3.87</v>
      </c>
      <c r="M32" s="2" t="s">
        <v>420</v>
      </c>
      <c r="N32" t="s">
        <v>421</v>
      </c>
      <c r="O32" s="19" t="s">
        <v>422</v>
      </c>
      <c r="P32" s="19">
        <v>29</v>
      </c>
      <c r="Q32" s="19" t="s">
        <v>271</v>
      </c>
      <c r="R32" s="21" t="s">
        <v>424</v>
      </c>
      <c r="S32" s="46" t="s">
        <v>250</v>
      </c>
      <c r="T32" s="44" t="s">
        <v>426</v>
      </c>
      <c r="U32" s="76" t="s">
        <v>252</v>
      </c>
      <c r="V32" s="24"/>
      <c r="W32" s="24"/>
      <c r="X32" s="193" t="s">
        <v>152</v>
      </c>
      <c r="Y32" s="15" t="s">
        <v>255</v>
      </c>
      <c r="AA32">
        <v>5</v>
      </c>
      <c r="AB32" s="488"/>
      <c r="AC32" s="92" t="s">
        <v>3</v>
      </c>
      <c r="AD32" s="98"/>
      <c r="AE32" s="94">
        <f t="shared" ref="AE32:AS32" si="15">SUM(AE27:AE31)</f>
        <v>3869.355</v>
      </c>
      <c r="AF32" s="94">
        <f t="shared" si="15"/>
        <v>2556.1349999999998</v>
      </c>
      <c r="AG32" s="94">
        <f t="shared" si="15"/>
        <v>1313.22</v>
      </c>
      <c r="AH32" s="94">
        <f t="shared" si="15"/>
        <v>0</v>
      </c>
      <c r="AI32" s="105">
        <f t="shared" si="15"/>
        <v>0</v>
      </c>
      <c r="AJ32" s="118">
        <f t="shared" si="15"/>
        <v>17</v>
      </c>
      <c r="AK32" s="119">
        <f t="shared" si="15"/>
        <v>8</v>
      </c>
      <c r="AL32" s="119">
        <f t="shared" si="15"/>
        <v>9</v>
      </c>
      <c r="AM32" s="119">
        <f t="shared" si="15"/>
        <v>0</v>
      </c>
      <c r="AN32" s="120">
        <f t="shared" si="15"/>
        <v>0</v>
      </c>
      <c r="AO32" s="94">
        <f t="shared" si="15"/>
        <v>37.867999999999995</v>
      </c>
      <c r="AP32" s="94">
        <f t="shared" si="15"/>
        <v>24.27</v>
      </c>
      <c r="AQ32" s="94">
        <f t="shared" si="15"/>
        <v>13.597999999999999</v>
      </c>
      <c r="AR32" s="94">
        <f t="shared" si="15"/>
        <v>0</v>
      </c>
      <c r="AS32" s="94">
        <f t="shared" si="15"/>
        <v>0</v>
      </c>
      <c r="AU32" s="195" t="s">
        <v>158</v>
      </c>
      <c r="AV32" s="195">
        <f t="shared" si="12"/>
        <v>1</v>
      </c>
      <c r="AW32" s="196">
        <f t="shared" si="14"/>
        <v>4.6511627906976744E-3</v>
      </c>
    </row>
    <row r="33" spans="2:49" s="8" customFormat="1" ht="13.5" customHeight="1" x14ac:dyDescent="0.25">
      <c r="B33" s="15">
        <v>31</v>
      </c>
      <c r="C33" s="8" t="s">
        <v>112</v>
      </c>
      <c r="D33" s="5" t="s">
        <v>246</v>
      </c>
      <c r="E33" s="383">
        <v>22</v>
      </c>
      <c r="F33" s="380">
        <v>46052</v>
      </c>
      <c r="G33" s="8">
        <v>2</v>
      </c>
      <c r="H33" s="8">
        <v>1</v>
      </c>
      <c r="I33" s="8">
        <v>629.76</v>
      </c>
      <c r="J33" s="9">
        <v>577000000</v>
      </c>
      <c r="K33" s="9">
        <f t="shared" si="10"/>
        <v>634700000</v>
      </c>
      <c r="L33" s="35">
        <f t="shared" si="11"/>
        <v>5.7700000000000005</v>
      </c>
      <c r="M33" s="2" t="s">
        <v>420</v>
      </c>
      <c r="N33" t="s">
        <v>421</v>
      </c>
      <c r="O33" s="19" t="s">
        <v>423</v>
      </c>
      <c r="P33" s="19">
        <v>30</v>
      </c>
      <c r="Q33" s="19" t="s">
        <v>271</v>
      </c>
      <c r="R33" s="21" t="s">
        <v>425</v>
      </c>
      <c r="S33" s="46" t="s">
        <v>250</v>
      </c>
      <c r="T33" s="44" t="s">
        <v>426</v>
      </c>
      <c r="U33" s="76" t="s">
        <v>252</v>
      </c>
      <c r="V33" s="24"/>
      <c r="W33" s="24"/>
      <c r="X33" s="193" t="s">
        <v>152</v>
      </c>
      <c r="Y33" s="15" t="s">
        <v>255</v>
      </c>
      <c r="AA33">
        <v>6</v>
      </c>
      <c r="AB33" s="486">
        <v>6</v>
      </c>
      <c r="AC33" s="89">
        <v>1</v>
      </c>
      <c r="AD33" s="95" t="s">
        <v>90</v>
      </c>
      <c r="AE33" s="39">
        <f t="shared" si="0"/>
        <v>2373.6000000000004</v>
      </c>
      <c r="AF33" s="65">
        <f>SUMIFS($I:$I,$C:$C, $AF$2,$G:$G, $AA33,$H:$H, $AC33)</f>
        <v>1835.0250000000001</v>
      </c>
      <c r="AG33" s="65">
        <f>SUMIFS($I:$I,$C:$C, $AG$2,$G:$G, $AA33,$H:$H, $AC33)</f>
        <v>538.57500000000005</v>
      </c>
      <c r="AH33" s="65">
        <f>SUMIFS($I:$I,$C:$C, $AH$2,$G:$G, $AA33,$H:$H, $AC33)</f>
        <v>0</v>
      </c>
      <c r="AI33" s="104">
        <f>SUMIFS($I:$I,$C:$C, $AI$2,$G:$G, $AA33,$H:$H, $AC33)</f>
        <v>0</v>
      </c>
      <c r="AJ33" s="115">
        <f t="shared" si="1"/>
        <v>9</v>
      </c>
      <c r="AK33" s="116">
        <f>COUNTIFS($C:$C, $AK$2,$G:$G, $AA33,$H:$H, $AC33)</f>
        <v>7</v>
      </c>
      <c r="AL33" s="116">
        <f>COUNTIFS($C:$C, $AL$2,$G:$G, $AA33,$H:$H, $AC33)</f>
        <v>2</v>
      </c>
      <c r="AM33" s="116">
        <f>COUNTIFS($C:$C, $AM$2,$G:$G, $AA33,$H:$H, $AC33)</f>
        <v>0</v>
      </c>
      <c r="AN33" s="117">
        <f>COUNTIFS($C:$C, $AN$2,$G:$G, $AA33,$H:$H, $AC33)</f>
        <v>0</v>
      </c>
      <c r="AO33" s="39">
        <f t="shared" si="2"/>
        <v>23.000000000000004</v>
      </c>
      <c r="AP33" s="65">
        <f>SUMIFS($L:$L,$C:$C, $AP$2,$G:$G, $AA33,$H:$H, $AC33)</f>
        <v>17.610000000000003</v>
      </c>
      <c r="AQ33" s="65">
        <f>SUMIFS($L:$L,$C:$C, $AQ$2,$G:$G, $AA33,$H:$H, $AC33)</f>
        <v>5.3900000000000006</v>
      </c>
      <c r="AR33" s="65">
        <f>SUMIFS($L:$L,$C:$C, $AR$2,$G:$G, $AA33,$H:$H, $AC33)</f>
        <v>0</v>
      </c>
      <c r="AS33" s="65">
        <f>SUMIFS($L:$L,$C:$C, $AS$2,$G:$G, $AA33,$H:$H, $AC33)</f>
        <v>0</v>
      </c>
      <c r="AU33" s="194" t="s">
        <v>159</v>
      </c>
      <c r="AV33" s="194">
        <f>SUM(AV25:AV32)</f>
        <v>215</v>
      </c>
      <c r="AW33" s="197">
        <f t="shared" si="14"/>
        <v>1</v>
      </c>
    </row>
    <row r="34" spans="2:49" s="8" customFormat="1" ht="13.5" customHeight="1" x14ac:dyDescent="0.25">
      <c r="B34" s="15">
        <v>32</v>
      </c>
      <c r="C34" s="8" t="s">
        <v>112</v>
      </c>
      <c r="D34" s="5" t="s">
        <v>246</v>
      </c>
      <c r="E34" s="383">
        <v>23</v>
      </c>
      <c r="F34" s="380">
        <v>46052</v>
      </c>
      <c r="G34" s="8">
        <v>2</v>
      </c>
      <c r="H34" s="8">
        <v>1</v>
      </c>
      <c r="I34" s="8">
        <v>210.27</v>
      </c>
      <c r="J34" s="9">
        <v>217000000</v>
      </c>
      <c r="K34" s="9">
        <f t="shared" si="10"/>
        <v>238700000.00000003</v>
      </c>
      <c r="L34" s="35">
        <f t="shared" si="11"/>
        <v>2.17</v>
      </c>
      <c r="M34" s="2" t="s">
        <v>427</v>
      </c>
      <c r="N34" t="s">
        <v>428</v>
      </c>
      <c r="O34" s="19" t="s">
        <v>429</v>
      </c>
      <c r="P34" s="19">
        <v>31</v>
      </c>
      <c r="Q34" s="19" t="s">
        <v>430</v>
      </c>
      <c r="R34" s="21" t="s">
        <v>431</v>
      </c>
      <c r="S34" s="46" t="s">
        <v>250</v>
      </c>
      <c r="T34" s="44" t="s">
        <v>432</v>
      </c>
      <c r="U34" s="76" t="s">
        <v>252</v>
      </c>
      <c r="V34" s="24" t="s">
        <v>433</v>
      </c>
      <c r="W34" s="24"/>
      <c r="X34" s="193" t="s">
        <v>152</v>
      </c>
      <c r="Y34" s="15" t="s">
        <v>434</v>
      </c>
      <c r="AA34">
        <v>6</v>
      </c>
      <c r="AB34" s="487"/>
      <c r="AC34" s="90">
        <v>2</v>
      </c>
      <c r="AD34" s="97" t="s">
        <v>91</v>
      </c>
      <c r="AE34" s="39">
        <f t="shared" si="0"/>
        <v>2125.92</v>
      </c>
      <c r="AF34" s="65">
        <f>SUMIFS($I:$I,$C:$C, $AF$2,$G:$G, $AA34,$H:$H, $AC34)</f>
        <v>1686.03</v>
      </c>
      <c r="AG34" s="65">
        <f>SUMIFS($I:$I,$C:$C, $AG$2,$G:$G, $AA34,$H:$H, $AC34)</f>
        <v>439.89</v>
      </c>
      <c r="AH34" s="65">
        <f>SUMIFS($I:$I,$C:$C, $AH$2,$G:$G, $AA34,$H:$H, $AC34)</f>
        <v>0</v>
      </c>
      <c r="AI34" s="104">
        <f>SUMIFS($I:$I,$C:$C, $AI$2,$G:$G, $AA34,$H:$H, $AC34)</f>
        <v>0</v>
      </c>
      <c r="AJ34" s="115">
        <f t="shared" si="1"/>
        <v>8</v>
      </c>
      <c r="AK34" s="116">
        <f>COUNTIFS($C:$C, $AK$2,$G:$G, $AA34,$H:$H, $AC34)</f>
        <v>6</v>
      </c>
      <c r="AL34" s="116">
        <f>COUNTIFS($C:$C, $AL$2,$G:$G, $AA34,$H:$H, $AC34)</f>
        <v>2</v>
      </c>
      <c r="AM34" s="116">
        <f>COUNTIFS($C:$C, $AM$2,$G:$G, $AA34,$H:$H, $AC34)</f>
        <v>0</v>
      </c>
      <c r="AN34" s="117">
        <f>COUNTIFS($C:$C, $AN$2,$G:$G, $AA34,$H:$H, $AC34)</f>
        <v>0</v>
      </c>
      <c r="AO34" s="39">
        <f t="shared" si="2"/>
        <v>20.52</v>
      </c>
      <c r="AP34" s="65">
        <f>SUMIFS($L:$L,$C:$C, $AP$2,$G:$G, $AA34,$H:$H, $AC34)</f>
        <v>16.13</v>
      </c>
      <c r="AQ34" s="65">
        <f>SUMIFS($L:$L,$C:$C, $AQ$2,$G:$G, $AA34,$H:$H, $AC34)</f>
        <v>4.3900000000000006</v>
      </c>
      <c r="AR34" s="65">
        <f>SUMIFS($L:$L,$C:$C, $AR$2,$G:$G, $AA34,$H:$H, $AC34)</f>
        <v>0</v>
      </c>
      <c r="AS34" s="65">
        <f>SUMIFS($L:$L,$C:$C, $AS$2,$G:$G, $AA34,$H:$H, $AC34)</f>
        <v>0</v>
      </c>
    </row>
    <row r="35" spans="2:49" s="8" customFormat="1" ht="13.5" customHeight="1" x14ac:dyDescent="0.25">
      <c r="B35" s="15">
        <v>33</v>
      </c>
      <c r="C35" s="8" t="s">
        <v>112</v>
      </c>
      <c r="D35" s="5" t="s">
        <v>246</v>
      </c>
      <c r="E35" s="383">
        <v>24</v>
      </c>
      <c r="F35" s="380">
        <v>46055</v>
      </c>
      <c r="G35" s="8">
        <v>2</v>
      </c>
      <c r="H35" s="8">
        <v>1</v>
      </c>
      <c r="I35" s="8">
        <v>230.91</v>
      </c>
      <c r="J35" s="9">
        <v>210000000</v>
      </c>
      <c r="K35" s="9">
        <f t="shared" si="10"/>
        <v>231000000.00000003</v>
      </c>
      <c r="L35" s="35">
        <f t="shared" si="11"/>
        <v>2.1</v>
      </c>
      <c r="M35" s="2" t="s">
        <v>437</v>
      </c>
      <c r="N35" t="s">
        <v>438</v>
      </c>
      <c r="O35" s="19" t="s">
        <v>439</v>
      </c>
      <c r="P35" s="19">
        <v>32</v>
      </c>
      <c r="Q35" s="19" t="s">
        <v>442</v>
      </c>
      <c r="R35" s="21" t="s">
        <v>443</v>
      </c>
      <c r="S35" s="46" t="s">
        <v>250</v>
      </c>
      <c r="T35" s="44" t="s">
        <v>447</v>
      </c>
      <c r="U35" s="76" t="s">
        <v>449</v>
      </c>
      <c r="V35" s="24" t="s">
        <v>450</v>
      </c>
      <c r="W35" s="24">
        <v>1111</v>
      </c>
      <c r="X35" s="193" t="s">
        <v>151</v>
      </c>
      <c r="Y35" s="15" t="s">
        <v>255</v>
      </c>
      <c r="AA35">
        <v>6</v>
      </c>
      <c r="AB35" s="487"/>
      <c r="AC35" s="90">
        <v>3</v>
      </c>
      <c r="AD35" s="97" t="s">
        <v>92</v>
      </c>
      <c r="AE35" s="39">
        <f t="shared" si="0"/>
        <v>298.63499999999999</v>
      </c>
      <c r="AF35" s="65">
        <f>SUMIFS($I:$I,$C:$C, $AF$2,$G:$G, $AA35,$H:$H, $AC35)</f>
        <v>143.83500000000001</v>
      </c>
      <c r="AG35" s="65">
        <f>SUMIFS($I:$I,$C:$C, $AG$2,$G:$G, $AA35,$H:$H, $AC35)</f>
        <v>154.80000000000001</v>
      </c>
      <c r="AH35" s="65">
        <f>SUMIFS($I:$I,$C:$C, $AH$2,$G:$G, $AA35,$H:$H, $AC35)</f>
        <v>0</v>
      </c>
      <c r="AI35" s="104">
        <f>SUMIFS($I:$I,$C:$C, $AI$2,$G:$G, $AA35,$H:$H, $AC35)</f>
        <v>0</v>
      </c>
      <c r="AJ35" s="115">
        <f t="shared" si="1"/>
        <v>3</v>
      </c>
      <c r="AK35" s="116">
        <f>COUNTIFS($C:$C, $AK$2,$G:$G, $AA35,$H:$H, $AC35)</f>
        <v>2</v>
      </c>
      <c r="AL35" s="116">
        <f>COUNTIFS($C:$C, $AL$2,$G:$G, $AA35,$H:$H, $AC35)</f>
        <v>1</v>
      </c>
      <c r="AM35" s="116">
        <f>COUNTIFS($C:$C, $AM$2,$G:$G, $AA35,$H:$H, $AC35)</f>
        <v>0</v>
      </c>
      <c r="AN35" s="117">
        <f>COUNTIFS($C:$C, $AN$2,$G:$G, $AA35,$H:$H, $AC35)</f>
        <v>0</v>
      </c>
      <c r="AO35" s="39">
        <f t="shared" si="2"/>
        <v>3.1500000000000004</v>
      </c>
      <c r="AP35" s="65">
        <f>SUMIFS($L:$L,$C:$C, $AP$2,$G:$G, $AA35,$H:$H, $AC35)</f>
        <v>1.55</v>
      </c>
      <c r="AQ35" s="65">
        <f>SUMIFS($L:$L,$C:$C, $AQ$2,$G:$G, $AA35,$H:$H, $AC35)</f>
        <v>1.6</v>
      </c>
      <c r="AR35" s="65">
        <f>SUMIFS($L:$L,$C:$C, $AR$2,$G:$G, $AA35,$H:$H, $AC35)</f>
        <v>0</v>
      </c>
      <c r="AS35" s="65">
        <f>SUMIFS($L:$L,$C:$C, $AS$2,$G:$G, $AA35,$H:$H, $AC35)</f>
        <v>0</v>
      </c>
    </row>
    <row r="36" spans="2:49" s="8" customFormat="1" ht="13.5" customHeight="1" x14ac:dyDescent="0.25">
      <c r="B36" s="15">
        <v>34</v>
      </c>
      <c r="C36" s="8" t="s">
        <v>112</v>
      </c>
      <c r="D36" s="5" t="s">
        <v>246</v>
      </c>
      <c r="E36" s="383">
        <v>25</v>
      </c>
      <c r="F36" s="380">
        <v>46055</v>
      </c>
      <c r="G36" s="8">
        <v>2</v>
      </c>
      <c r="H36" s="8">
        <v>1</v>
      </c>
      <c r="I36" s="8">
        <v>199.95</v>
      </c>
      <c r="J36" s="9">
        <v>180000000</v>
      </c>
      <c r="K36" s="9">
        <f t="shared" si="10"/>
        <v>198000000.00000003</v>
      </c>
      <c r="L36" s="35">
        <f t="shared" si="11"/>
        <v>1.8</v>
      </c>
      <c r="M36" s="2" t="s">
        <v>437</v>
      </c>
      <c r="N36" t="s">
        <v>438</v>
      </c>
      <c r="O36" s="19" t="s">
        <v>440</v>
      </c>
      <c r="P36" s="19">
        <v>33</v>
      </c>
      <c r="Q36" s="19" t="s">
        <v>442</v>
      </c>
      <c r="R36" s="21" t="s">
        <v>444</v>
      </c>
      <c r="S36" s="46" t="s">
        <v>250</v>
      </c>
      <c r="T36" s="44" t="s">
        <v>446</v>
      </c>
      <c r="U36" s="76" t="s">
        <v>449</v>
      </c>
      <c r="V36" s="24" t="s">
        <v>451</v>
      </c>
      <c r="W36" s="24">
        <v>1111</v>
      </c>
      <c r="X36" s="193" t="s">
        <v>151</v>
      </c>
      <c r="Y36" s="15" t="s">
        <v>255</v>
      </c>
      <c r="AA36">
        <v>6</v>
      </c>
      <c r="AB36" s="487"/>
      <c r="AC36" s="90">
        <v>4</v>
      </c>
      <c r="AD36" s="97" t="s">
        <v>93</v>
      </c>
      <c r="AE36" s="39">
        <f t="shared" si="0"/>
        <v>1151.97</v>
      </c>
      <c r="AF36" s="65">
        <f>SUMIFS($I:$I,$C:$C, $AF$2,$G:$G, $AA36,$H:$H, $AC36)</f>
        <v>470.85</v>
      </c>
      <c r="AG36" s="65">
        <f>SUMIFS($I:$I,$C:$C, $AG$2,$G:$G, $AA36,$H:$H, $AC36)</f>
        <v>681.12</v>
      </c>
      <c r="AH36" s="65">
        <f>SUMIFS($I:$I,$C:$C, $AH$2,$G:$G, $AA36,$H:$H, $AC36)</f>
        <v>0</v>
      </c>
      <c r="AI36" s="104">
        <f>SUMIFS($I:$I,$C:$C, $AI$2,$G:$G, $AA36,$H:$H, $AC36)</f>
        <v>0</v>
      </c>
      <c r="AJ36" s="115">
        <f t="shared" si="1"/>
        <v>5</v>
      </c>
      <c r="AK36" s="116">
        <f>COUNTIFS($C:$C, $AK$2,$G:$G, $AA36,$H:$H, $AC36)</f>
        <v>2</v>
      </c>
      <c r="AL36" s="116">
        <f>COUNTIFS($C:$C, $AL$2,$G:$G, $AA36,$H:$H, $AC36)</f>
        <v>3</v>
      </c>
      <c r="AM36" s="116">
        <f>COUNTIFS($C:$C, $AM$2,$G:$G, $AA36,$H:$H, $AC36)</f>
        <v>0</v>
      </c>
      <c r="AN36" s="117">
        <f>COUNTIFS($C:$C, $AN$2,$G:$G, $AA36,$H:$H, $AC36)</f>
        <v>0</v>
      </c>
      <c r="AO36" s="39">
        <f t="shared" si="2"/>
        <v>11.37</v>
      </c>
      <c r="AP36" s="65">
        <f>SUMIFS($L:$L,$C:$C, $AP$2,$G:$G, $AA36,$H:$H, $AC36)</f>
        <v>4.3499999999999996</v>
      </c>
      <c r="AQ36" s="65">
        <f>SUMIFS($L:$L,$C:$C, $AQ$2,$G:$G, $AA36,$H:$H, $AC36)</f>
        <v>7.02</v>
      </c>
      <c r="AR36" s="65">
        <f>SUMIFS($L:$L,$C:$C, $AR$2,$G:$G, $AA36,$H:$H, $AC36)</f>
        <v>0</v>
      </c>
      <c r="AS36" s="65">
        <f>SUMIFS($L:$L,$C:$C, $AS$2,$G:$G, $AA36,$H:$H, $AC36)</f>
        <v>0</v>
      </c>
    </row>
    <row r="37" spans="2:49" s="8" customFormat="1" ht="13.5" customHeight="1" x14ac:dyDescent="0.25">
      <c r="B37" s="15">
        <v>35</v>
      </c>
      <c r="C37" s="8" t="s">
        <v>112</v>
      </c>
      <c r="D37" s="5" t="s">
        <v>246</v>
      </c>
      <c r="E37" s="383">
        <v>26</v>
      </c>
      <c r="F37" s="380">
        <v>46055</v>
      </c>
      <c r="G37" s="8">
        <v>2</v>
      </c>
      <c r="H37" s="8">
        <v>1</v>
      </c>
      <c r="I37" s="8">
        <v>59.984999999999999</v>
      </c>
      <c r="J37" s="9">
        <v>65000000</v>
      </c>
      <c r="K37" s="9">
        <f t="shared" si="10"/>
        <v>71500000</v>
      </c>
      <c r="L37" s="35">
        <f t="shared" si="11"/>
        <v>0.65</v>
      </c>
      <c r="M37" s="2" t="s">
        <v>437</v>
      </c>
      <c r="N37" t="s">
        <v>438</v>
      </c>
      <c r="O37" s="19" t="s">
        <v>441</v>
      </c>
      <c r="P37" s="19">
        <v>34</v>
      </c>
      <c r="Q37" s="19" t="s">
        <v>442</v>
      </c>
      <c r="R37" s="21" t="s">
        <v>445</v>
      </c>
      <c r="S37" s="46" t="s">
        <v>250</v>
      </c>
      <c r="T37" s="250" t="s">
        <v>448</v>
      </c>
      <c r="U37" s="76" t="s">
        <v>449</v>
      </c>
      <c r="V37" s="24" t="s">
        <v>451</v>
      </c>
      <c r="W37" s="24">
        <v>1111</v>
      </c>
      <c r="X37" s="193" t="s">
        <v>151</v>
      </c>
      <c r="Y37" s="15" t="s">
        <v>255</v>
      </c>
      <c r="AA37">
        <v>6</v>
      </c>
      <c r="AB37" s="487"/>
      <c r="AC37" s="91">
        <v>5</v>
      </c>
      <c r="AD37" s="97"/>
      <c r="AE37" s="39">
        <f t="shared" si="0"/>
        <v>0</v>
      </c>
      <c r="AF37" s="65">
        <f>SUMIFS($I:$I,$C:$C, $AF$2,$G:$G, $AA37,$H:$H, $AC37)</f>
        <v>0</v>
      </c>
      <c r="AG37" s="65">
        <f>SUMIFS($I:$I,$C:$C, $AG$2,$G:$G, $AA37,$H:$H, $AC37)</f>
        <v>0</v>
      </c>
      <c r="AH37" s="65">
        <f>SUMIFS($I:$I,$C:$C, $AH$2,$G:$G, $AA37,$H:$H, $AC37)</f>
        <v>0</v>
      </c>
      <c r="AI37" s="104">
        <f>SUMIFS($I:$I,$C:$C, $AI$2,$G:$G, $AA37,$H:$H, $AC37)</f>
        <v>0</v>
      </c>
      <c r="AJ37" s="115">
        <f t="shared" si="1"/>
        <v>0</v>
      </c>
      <c r="AK37" s="116">
        <f>COUNTIFS($C:$C, $AK$2,$G:$G, $AA37,$H:$H, $AC37)</f>
        <v>0</v>
      </c>
      <c r="AL37" s="116">
        <f>COUNTIFS($C:$C, $AL$2,$G:$G, $AA37,$H:$H, $AC37)</f>
        <v>0</v>
      </c>
      <c r="AM37" s="116">
        <f>COUNTIFS($C:$C, $AM$2,$G:$G, $AA37,$H:$H, $AC37)</f>
        <v>0</v>
      </c>
      <c r="AN37" s="117">
        <f>COUNTIFS($C:$C, $AN$2,$G:$G, $AA37,$H:$H, $AC37)</f>
        <v>0</v>
      </c>
      <c r="AO37" s="39">
        <f t="shared" si="2"/>
        <v>0</v>
      </c>
      <c r="AP37" s="65">
        <f>SUMIFS($L:$L,$C:$C, $AP$2,$G:$G, $AA37,$H:$H, $AC37)</f>
        <v>0</v>
      </c>
      <c r="AQ37" s="65">
        <f>SUMIFS($L:$L,$C:$C, $AQ$2,$G:$G, $AA37,$H:$H, $AC37)</f>
        <v>0</v>
      </c>
      <c r="AR37" s="65">
        <f>SUMIFS($L:$L,$C:$C, $AR$2,$G:$G, $AA37,$H:$H, $AC37)</f>
        <v>0</v>
      </c>
      <c r="AS37" s="65">
        <f>SUMIFS($L:$L,$C:$C, $AS$2,$G:$G, $AA37,$H:$H, $AC37)</f>
        <v>0</v>
      </c>
      <c r="AU37" s="194" t="s">
        <v>149</v>
      </c>
      <c r="AV37" s="194" t="s">
        <v>150</v>
      </c>
      <c r="AW37" s="194" t="s">
        <v>120</v>
      </c>
    </row>
    <row r="38" spans="2:49" s="8" customFormat="1" ht="13.5" customHeight="1" thickBot="1" x14ac:dyDescent="0.3">
      <c r="B38" s="15">
        <v>36</v>
      </c>
      <c r="C38" s="8" t="s">
        <v>112</v>
      </c>
      <c r="D38" s="5" t="s">
        <v>246</v>
      </c>
      <c r="E38" s="383">
        <v>27</v>
      </c>
      <c r="F38" s="380">
        <v>46055</v>
      </c>
      <c r="G38" s="8">
        <v>2</v>
      </c>
      <c r="H38" s="8">
        <v>1</v>
      </c>
      <c r="I38" s="8">
        <v>205.11</v>
      </c>
      <c r="J38" s="9">
        <v>200000000</v>
      </c>
      <c r="K38" s="9">
        <f t="shared" si="10"/>
        <v>220000000.00000003</v>
      </c>
      <c r="L38" s="35">
        <f t="shared" si="11"/>
        <v>2</v>
      </c>
      <c r="M38" s="2" t="s">
        <v>452</v>
      </c>
      <c r="N38" t="s">
        <v>453</v>
      </c>
      <c r="O38" s="19" t="s">
        <v>454</v>
      </c>
      <c r="P38" s="19">
        <v>35</v>
      </c>
      <c r="Q38" s="19" t="s">
        <v>455</v>
      </c>
      <c r="R38" s="21" t="s">
        <v>456</v>
      </c>
      <c r="S38" s="46" t="s">
        <v>250</v>
      </c>
      <c r="T38" s="44" t="s">
        <v>457</v>
      </c>
      <c r="U38" s="76" t="s">
        <v>119</v>
      </c>
      <c r="V38" s="24" t="s">
        <v>458</v>
      </c>
      <c r="W38" s="24"/>
      <c r="X38" s="193" t="s">
        <v>152</v>
      </c>
      <c r="Y38" s="15" t="s">
        <v>168</v>
      </c>
      <c r="AA38">
        <v>6</v>
      </c>
      <c r="AB38" s="488"/>
      <c r="AC38" s="92" t="s">
        <v>3</v>
      </c>
      <c r="AD38" s="98"/>
      <c r="AE38" s="94">
        <f t="shared" ref="AE38:AS38" si="16">SUM(AE33:AE37)</f>
        <v>5950.1250000000009</v>
      </c>
      <c r="AF38" s="94">
        <f t="shared" si="16"/>
        <v>4135.7400000000007</v>
      </c>
      <c r="AG38" s="94">
        <f t="shared" si="16"/>
        <v>1814.3850000000002</v>
      </c>
      <c r="AH38" s="94">
        <f t="shared" si="16"/>
        <v>0</v>
      </c>
      <c r="AI38" s="105">
        <f t="shared" si="16"/>
        <v>0</v>
      </c>
      <c r="AJ38" s="118">
        <f t="shared" si="16"/>
        <v>25</v>
      </c>
      <c r="AK38" s="119">
        <f t="shared" si="16"/>
        <v>17</v>
      </c>
      <c r="AL38" s="119">
        <f t="shared" si="16"/>
        <v>8</v>
      </c>
      <c r="AM38" s="119">
        <f t="shared" si="16"/>
        <v>0</v>
      </c>
      <c r="AN38" s="120">
        <f t="shared" si="16"/>
        <v>0</v>
      </c>
      <c r="AO38" s="94">
        <f t="shared" si="16"/>
        <v>58.04</v>
      </c>
      <c r="AP38" s="94">
        <f t="shared" si="16"/>
        <v>39.64</v>
      </c>
      <c r="AQ38" s="94">
        <f t="shared" si="16"/>
        <v>18.399999999999999</v>
      </c>
      <c r="AR38" s="94">
        <f t="shared" si="16"/>
        <v>0</v>
      </c>
      <c r="AS38" s="94">
        <f t="shared" si="16"/>
        <v>0</v>
      </c>
      <c r="AU38" s="195" t="s">
        <v>151</v>
      </c>
      <c r="AV38" s="195">
        <f>SUM('발전사업(A):기타(Z)'!AV25)</f>
        <v>62</v>
      </c>
      <c r="AW38" s="196">
        <f>AV38/$AV$46</f>
        <v>0.23664122137404581</v>
      </c>
    </row>
    <row r="39" spans="2:49" s="8" customFormat="1" ht="13.5" customHeight="1" x14ac:dyDescent="0.25">
      <c r="B39" s="15">
        <v>37</v>
      </c>
      <c r="C39" s="8" t="s">
        <v>112</v>
      </c>
      <c r="D39" s="5" t="s">
        <v>246</v>
      </c>
      <c r="E39" s="383">
        <v>28</v>
      </c>
      <c r="F39" s="380">
        <v>46056</v>
      </c>
      <c r="G39" s="8">
        <v>2</v>
      </c>
      <c r="H39" s="8">
        <v>1</v>
      </c>
      <c r="I39" s="8">
        <v>70.95</v>
      </c>
      <c r="J39" s="9">
        <v>70000000</v>
      </c>
      <c r="K39" s="9">
        <f t="shared" si="10"/>
        <v>77000000</v>
      </c>
      <c r="L39" s="35">
        <f t="shared" si="11"/>
        <v>0.70000000000000007</v>
      </c>
      <c r="M39" s="2" t="s">
        <v>284</v>
      </c>
      <c r="N39" t="s">
        <v>459</v>
      </c>
      <c r="O39" s="19" t="s">
        <v>460</v>
      </c>
      <c r="P39" s="19">
        <v>36</v>
      </c>
      <c r="Q39" s="19" t="s">
        <v>191</v>
      </c>
      <c r="R39" s="21" t="s">
        <v>461</v>
      </c>
      <c r="S39" s="46" t="s">
        <v>250</v>
      </c>
      <c r="T39" s="44" t="s">
        <v>462</v>
      </c>
      <c r="U39" s="76" t="s">
        <v>267</v>
      </c>
      <c r="V39" s="24" t="s">
        <v>463</v>
      </c>
      <c r="W39" s="24"/>
      <c r="X39" s="193" t="s">
        <v>464</v>
      </c>
      <c r="Y39" s="15" t="s">
        <v>255</v>
      </c>
      <c r="AA39">
        <v>7</v>
      </c>
      <c r="AB39" s="486">
        <v>7</v>
      </c>
      <c r="AC39" s="89">
        <v>1</v>
      </c>
      <c r="AD39" s="95" t="s">
        <v>94</v>
      </c>
      <c r="AE39" s="39">
        <f t="shared" si="0"/>
        <v>1766.0250000000001</v>
      </c>
      <c r="AF39" s="65">
        <f>SUMIFS($I:$I,$C:$C, $AF$2,$G:$G, $AA39,$H:$H, $AC39)</f>
        <v>1283.5650000000001</v>
      </c>
      <c r="AG39" s="65">
        <f>SUMIFS($I:$I,$C:$C, $AG$2,$G:$G, $AA39,$H:$H, $AC39)</f>
        <v>482.46000000000004</v>
      </c>
      <c r="AH39" s="65">
        <f>SUMIFS($I:$I,$C:$C, $AH$2,$G:$G, $AA39,$H:$H, $AC39)</f>
        <v>0</v>
      </c>
      <c r="AI39" s="104">
        <f>SUMIFS($I:$I,$C:$C, $AI$2,$G:$G, $AA39,$H:$H, $AC39)</f>
        <v>0</v>
      </c>
      <c r="AJ39" s="115">
        <f t="shared" si="1"/>
        <v>6</v>
      </c>
      <c r="AK39" s="116">
        <f>COUNTIFS($C:$C, $AK$2,$G:$G, $AA39,$H:$H, $AC39)</f>
        <v>4</v>
      </c>
      <c r="AL39" s="116">
        <f>COUNTIFS($C:$C, $AL$2,$G:$G, $AA39,$H:$H, $AC39)</f>
        <v>2</v>
      </c>
      <c r="AM39" s="116">
        <f>COUNTIFS($C:$C, $AM$2,$G:$G, $AA39,$H:$H, $AC39)</f>
        <v>0</v>
      </c>
      <c r="AN39" s="117">
        <f>COUNTIFS($C:$C, $AN$2,$G:$G, $AA39,$H:$H, $AC39)</f>
        <v>0</v>
      </c>
      <c r="AO39" s="39">
        <f t="shared" si="2"/>
        <v>17.350000000000001</v>
      </c>
      <c r="AP39" s="65">
        <f>SUMIFS($L:$L,$C:$C, $AP$2,$G:$G, $AA39,$H:$H, $AC39)</f>
        <v>12.280000000000001</v>
      </c>
      <c r="AQ39" s="65">
        <f>SUMIFS($L:$L,$C:$C, $AQ$2,$G:$G, $AA39,$H:$H, $AC39)</f>
        <v>5.07</v>
      </c>
      <c r="AR39" s="65">
        <f>SUMIFS($L:$L,$C:$C, $AR$2,$G:$G, $AA39,$H:$H, $AC39)</f>
        <v>0</v>
      </c>
      <c r="AS39" s="65">
        <f>SUMIFS($L:$L,$C:$C, $AS$2,$G:$G, $AA39,$H:$H, $AC39)</f>
        <v>0</v>
      </c>
      <c r="AU39" s="195" t="s">
        <v>152</v>
      </c>
      <c r="AV39" s="195">
        <f>SUM('발전사업(A):기타(Z)'!AV26)</f>
        <v>127</v>
      </c>
      <c r="AW39" s="196">
        <f t="shared" ref="AW39:AW46" si="17">AV39/$AV$46</f>
        <v>0.48473282442748089</v>
      </c>
    </row>
    <row r="40" spans="2:49" s="8" customFormat="1" ht="13.5" customHeight="1" x14ac:dyDescent="0.25">
      <c r="B40" s="15">
        <v>38</v>
      </c>
      <c r="C40" s="8" t="s">
        <v>245</v>
      </c>
      <c r="D40" s="5" t="s">
        <v>246</v>
      </c>
      <c r="E40" s="383">
        <v>10</v>
      </c>
      <c r="F40" s="380">
        <v>46056</v>
      </c>
      <c r="G40" s="8">
        <v>2</v>
      </c>
      <c r="H40" s="8">
        <v>1</v>
      </c>
      <c r="I40" s="8">
        <v>218.01</v>
      </c>
      <c r="J40" s="9">
        <v>240000000</v>
      </c>
      <c r="K40" s="9">
        <f t="shared" si="10"/>
        <v>264000000.00000003</v>
      </c>
      <c r="L40" s="35">
        <f t="shared" si="11"/>
        <v>2.4</v>
      </c>
      <c r="M40" s="2" t="s">
        <v>465</v>
      </c>
      <c r="N40" t="s">
        <v>466</v>
      </c>
      <c r="O40" s="19" t="s">
        <v>467</v>
      </c>
      <c r="P40" s="19">
        <v>37</v>
      </c>
      <c r="Q40" s="19" t="s">
        <v>469</v>
      </c>
      <c r="R40" s="21" t="s">
        <v>468</v>
      </c>
      <c r="S40" s="46" t="s">
        <v>250</v>
      </c>
      <c r="T40" s="44" t="s">
        <v>470</v>
      </c>
      <c r="U40" s="76" t="s">
        <v>252</v>
      </c>
      <c r="V40" s="24" t="s">
        <v>471</v>
      </c>
      <c r="W40" s="24">
        <v>1111</v>
      </c>
      <c r="X40" s="193" t="s">
        <v>473</v>
      </c>
      <c r="Y40" s="15" t="s">
        <v>472</v>
      </c>
      <c r="AA40">
        <v>7</v>
      </c>
      <c r="AB40" s="487"/>
      <c r="AC40" s="90">
        <v>2</v>
      </c>
      <c r="AD40" s="97" t="s">
        <v>61</v>
      </c>
      <c r="AE40" s="39">
        <f t="shared" si="0"/>
        <v>2456.8050000000003</v>
      </c>
      <c r="AF40" s="65">
        <f>SUMIFS($I:$I,$C:$C, $AF$2,$G:$G, $AA40,$H:$H, $AC40)</f>
        <v>1774.395</v>
      </c>
      <c r="AG40" s="65">
        <f>SUMIFS($I:$I,$C:$C, $AG$2,$G:$G, $AA40,$H:$H, $AC40)</f>
        <v>682.41000000000008</v>
      </c>
      <c r="AH40" s="65">
        <f>SUMIFS($I:$I,$C:$C, $AH$2,$G:$G, $AA40,$H:$H, $AC40)</f>
        <v>0</v>
      </c>
      <c r="AI40" s="104">
        <f>SUMIFS($I:$I,$C:$C, $AI$2,$G:$G, $AA40,$H:$H, $AC40)</f>
        <v>0</v>
      </c>
      <c r="AJ40" s="115">
        <f t="shared" si="1"/>
        <v>9</v>
      </c>
      <c r="AK40" s="116">
        <f>COUNTIFS($C:$C, $AK$2,$G:$G, $AA40,$H:$H, $AC40)</f>
        <v>7</v>
      </c>
      <c r="AL40" s="116">
        <f>COUNTIFS($C:$C, $AL$2,$G:$G, $AA40,$H:$H, $AC40)</f>
        <v>2</v>
      </c>
      <c r="AM40" s="116">
        <f>COUNTIFS($C:$C, $AM$2,$G:$G, $AA40,$H:$H, $AC40)</f>
        <v>0</v>
      </c>
      <c r="AN40" s="117">
        <f>COUNTIFS($C:$C, $AN$2,$G:$G, $AA40,$H:$H, $AC40)</f>
        <v>0</v>
      </c>
      <c r="AO40" s="39">
        <f t="shared" si="2"/>
        <v>23.32</v>
      </c>
      <c r="AP40" s="65">
        <f>SUMIFS($L:$L,$C:$C, $AP$2,$G:$G, $AA40,$H:$H, $AC40)</f>
        <v>16.96</v>
      </c>
      <c r="AQ40" s="65">
        <f>SUMIFS($L:$L,$C:$C, $AQ$2,$G:$G, $AA40,$H:$H, $AC40)</f>
        <v>6.3599999999999994</v>
      </c>
      <c r="AR40" s="65">
        <f>SUMIFS($L:$L,$C:$C, $AR$2,$G:$G, $AA40,$H:$H, $AC40)</f>
        <v>0</v>
      </c>
      <c r="AS40" s="65">
        <f>SUMIFS($L:$L,$C:$C, $AS$2,$G:$G, $AA40,$H:$H, $AC40)</f>
        <v>0</v>
      </c>
      <c r="AU40" s="195" t="s">
        <v>153</v>
      </c>
      <c r="AV40" s="195">
        <f>SUM('발전사업(A):기타(Z)'!AV27)</f>
        <v>8</v>
      </c>
      <c r="AW40" s="196">
        <f t="shared" si="17"/>
        <v>3.0534351145038167E-2</v>
      </c>
    </row>
    <row r="41" spans="2:49" s="8" customFormat="1" ht="13.5" customHeight="1" x14ac:dyDescent="0.25">
      <c r="B41" s="15">
        <v>39</v>
      </c>
      <c r="C41" s="8" t="s">
        <v>245</v>
      </c>
      <c r="D41" s="5" t="s">
        <v>246</v>
      </c>
      <c r="E41" s="383">
        <v>11</v>
      </c>
      <c r="F41" s="380">
        <v>46056</v>
      </c>
      <c r="G41" s="8">
        <v>2</v>
      </c>
      <c r="H41" s="8">
        <v>1</v>
      </c>
      <c r="I41" s="8">
        <v>25.8</v>
      </c>
      <c r="J41" s="9">
        <v>45720000</v>
      </c>
      <c r="K41" s="9">
        <f t="shared" si="10"/>
        <v>50292000.000000007</v>
      </c>
      <c r="L41" s="35">
        <f t="shared" si="11"/>
        <v>0.4572</v>
      </c>
      <c r="M41" s="2" t="s">
        <v>474</v>
      </c>
      <c r="N41" t="s">
        <v>466</v>
      </c>
      <c r="O41" s="19" t="s">
        <v>475</v>
      </c>
      <c r="P41" s="19">
        <v>38</v>
      </c>
      <c r="Q41" s="19" t="s">
        <v>476</v>
      </c>
      <c r="R41" s="21" t="s">
        <v>477</v>
      </c>
      <c r="S41" s="46" t="s">
        <v>250</v>
      </c>
      <c r="T41" s="44" t="s">
        <v>478</v>
      </c>
      <c r="U41" s="76" t="s">
        <v>252</v>
      </c>
      <c r="V41" s="24" t="s">
        <v>479</v>
      </c>
      <c r="W41" s="24">
        <v>1111</v>
      </c>
      <c r="X41" s="193" t="s">
        <v>480</v>
      </c>
      <c r="Y41" s="15" t="s">
        <v>472</v>
      </c>
      <c r="AA41">
        <v>7</v>
      </c>
      <c r="AB41" s="487"/>
      <c r="AC41" s="90">
        <v>3</v>
      </c>
      <c r="AD41" s="97" t="s">
        <v>62</v>
      </c>
      <c r="AE41" s="39">
        <f t="shared" si="0"/>
        <v>1715.0550000000001</v>
      </c>
      <c r="AF41" s="65">
        <f>SUMIFS($I:$I,$C:$C, $AF$2,$G:$G, $AA41,$H:$H, $AC41)</f>
        <v>1715.0550000000001</v>
      </c>
      <c r="AG41" s="65">
        <f>SUMIFS($I:$I,$C:$C, $AG$2,$G:$G, $AA41,$H:$H, $AC41)</f>
        <v>0</v>
      </c>
      <c r="AH41" s="65">
        <f>SUMIFS($I:$I,$C:$C, $AH$2,$G:$G, $AA41,$H:$H, $AC41)</f>
        <v>0</v>
      </c>
      <c r="AI41" s="104">
        <f>SUMIFS($I:$I,$C:$C, $AI$2,$G:$G, $AA41,$H:$H, $AC41)</f>
        <v>0</v>
      </c>
      <c r="AJ41" s="115">
        <f t="shared" si="1"/>
        <v>5</v>
      </c>
      <c r="AK41" s="116">
        <f>COUNTIFS($C:$C, $AK$2,$G:$G, $AA41,$H:$H, $AC41)</f>
        <v>5</v>
      </c>
      <c r="AL41" s="116">
        <f>COUNTIFS($C:$C, $AL$2,$G:$G, $AA41,$H:$H, $AC41)</f>
        <v>0</v>
      </c>
      <c r="AM41" s="116">
        <f>COUNTIFS($C:$C, $AM$2,$G:$G, $AA41,$H:$H, $AC41)</f>
        <v>0</v>
      </c>
      <c r="AN41" s="117">
        <f>COUNTIFS($C:$C, $AN$2,$G:$G, $AA41,$H:$H, $AC41)</f>
        <v>0</v>
      </c>
      <c r="AO41" s="39">
        <f t="shared" si="2"/>
        <v>16.809999999999999</v>
      </c>
      <c r="AP41" s="65">
        <f>SUMIFS($L:$L,$C:$C, $AP$2,$G:$G, $AA41,$H:$H, $AC41)</f>
        <v>16.809999999999999</v>
      </c>
      <c r="AQ41" s="65">
        <f>SUMIFS($L:$L,$C:$C, $AQ$2,$G:$G, $AA41,$H:$H, $AC41)</f>
        <v>0</v>
      </c>
      <c r="AR41" s="65">
        <f>SUMIFS($L:$L,$C:$C, $AR$2,$G:$G, $AA41,$H:$H, $AC41)</f>
        <v>0</v>
      </c>
      <c r="AS41" s="65">
        <f>SUMIFS($L:$L,$C:$C, $AS$2,$G:$G, $AA41,$H:$H, $AC41)</f>
        <v>0</v>
      </c>
      <c r="AU41" s="195" t="s">
        <v>154</v>
      </c>
      <c r="AV41" s="195">
        <f>SUM('발전사업(A):기타(Z)'!AV28)</f>
        <v>14</v>
      </c>
      <c r="AW41" s="196">
        <f t="shared" si="17"/>
        <v>5.3435114503816793E-2</v>
      </c>
    </row>
    <row r="42" spans="2:49" s="8" customFormat="1" ht="13.5" customHeight="1" x14ac:dyDescent="0.25">
      <c r="B42" s="15">
        <v>40</v>
      </c>
      <c r="C42" s="8" t="s">
        <v>112</v>
      </c>
      <c r="D42" s="5" t="s">
        <v>246</v>
      </c>
      <c r="E42" s="383">
        <v>29</v>
      </c>
      <c r="F42" s="380">
        <v>46057</v>
      </c>
      <c r="G42" s="8">
        <v>2</v>
      </c>
      <c r="H42" s="8">
        <v>1</v>
      </c>
      <c r="I42" s="8">
        <v>424.96</v>
      </c>
      <c r="J42" s="9">
        <v>400000000</v>
      </c>
      <c r="K42" s="9">
        <f t="shared" si="10"/>
        <v>440000000.00000006</v>
      </c>
      <c r="L42" s="35">
        <f t="shared" si="11"/>
        <v>4</v>
      </c>
      <c r="M42" s="2" t="s">
        <v>485</v>
      </c>
      <c r="N42" t="s">
        <v>486</v>
      </c>
      <c r="O42" s="19" t="s">
        <v>487</v>
      </c>
      <c r="P42" s="19">
        <v>39</v>
      </c>
      <c r="Q42" s="19" t="s">
        <v>488</v>
      </c>
      <c r="R42" s="21" t="s">
        <v>489</v>
      </c>
      <c r="S42" s="46" t="s">
        <v>250</v>
      </c>
      <c r="T42" s="44" t="s">
        <v>490</v>
      </c>
      <c r="U42" s="76" t="s">
        <v>252</v>
      </c>
      <c r="V42" s="24" t="s">
        <v>491</v>
      </c>
      <c r="W42" s="24"/>
      <c r="X42" s="193" t="s">
        <v>152</v>
      </c>
      <c r="Y42" s="15" t="s">
        <v>255</v>
      </c>
      <c r="AA42">
        <v>7</v>
      </c>
      <c r="AB42" s="487"/>
      <c r="AC42" s="90">
        <v>4</v>
      </c>
      <c r="AD42" s="97" t="s">
        <v>63</v>
      </c>
      <c r="AE42" s="39">
        <f t="shared" si="0"/>
        <v>350.70000000000005</v>
      </c>
      <c r="AF42" s="65">
        <f>SUMIFS($I:$I,$C:$C, $AF$2,$G:$G, $AA42,$H:$H, $AC42)</f>
        <v>281.04000000000002</v>
      </c>
      <c r="AG42" s="65">
        <f>SUMIFS($I:$I,$C:$C, $AG$2,$G:$G, $AA42,$H:$H, $AC42)</f>
        <v>69.66</v>
      </c>
      <c r="AH42" s="65">
        <f>SUMIFS($I:$I,$C:$C, $AH$2,$G:$G, $AA42,$H:$H, $AC42)</f>
        <v>0</v>
      </c>
      <c r="AI42" s="104">
        <f>SUMIFS($I:$I,$C:$C, $AI$2,$G:$G, $AA42,$H:$H, $AC42)</f>
        <v>0</v>
      </c>
      <c r="AJ42" s="115">
        <f t="shared" si="1"/>
        <v>3</v>
      </c>
      <c r="AK42" s="116">
        <f>COUNTIFS($C:$C, $AK$2,$G:$G, $AA42,$H:$H, $AC42)</f>
        <v>2</v>
      </c>
      <c r="AL42" s="116">
        <f>COUNTIFS($C:$C, $AL$2,$G:$G, $AA42,$H:$H, $AC42)</f>
        <v>1</v>
      </c>
      <c r="AM42" s="116">
        <f>COUNTIFS($C:$C, $AM$2,$G:$G, $AA42,$H:$H, $AC42)</f>
        <v>0</v>
      </c>
      <c r="AN42" s="117">
        <f>COUNTIFS($C:$C, $AN$2,$G:$G, $AA42,$H:$H, $AC42)</f>
        <v>0</v>
      </c>
      <c r="AO42" s="39">
        <f t="shared" si="2"/>
        <v>3.4099999999999997</v>
      </c>
      <c r="AP42" s="65">
        <f>SUMIFS($L:$L,$C:$C, $AP$2,$G:$G, $AA42,$H:$H, $AC42)</f>
        <v>2.5499999999999998</v>
      </c>
      <c r="AQ42" s="65">
        <f>SUMIFS($L:$L,$C:$C, $AQ$2,$G:$G, $AA42,$H:$H, $AC42)</f>
        <v>0.86</v>
      </c>
      <c r="AR42" s="65">
        <f>SUMIFS($L:$L,$C:$C, $AR$2,$G:$G, $AA42,$H:$H, $AC42)</f>
        <v>0</v>
      </c>
      <c r="AS42" s="65">
        <f>SUMIFS($L:$L,$C:$C, $AS$2,$G:$G, $AA42,$H:$H, $AC42)</f>
        <v>0</v>
      </c>
      <c r="AU42" s="195" t="s">
        <v>155</v>
      </c>
      <c r="AV42" s="195">
        <f>SUM('발전사업(A):기타(Z)'!AV29)</f>
        <v>43</v>
      </c>
      <c r="AW42" s="196">
        <f t="shared" si="17"/>
        <v>0.16412213740458015</v>
      </c>
    </row>
    <row r="43" spans="2:49" x14ac:dyDescent="0.25">
      <c r="B43" s="15">
        <v>41</v>
      </c>
      <c r="C43" s="8" t="s">
        <v>112</v>
      </c>
      <c r="D43" s="5" t="s">
        <v>246</v>
      </c>
      <c r="E43" s="383">
        <v>30</v>
      </c>
      <c r="F43" s="380">
        <v>46058</v>
      </c>
      <c r="G43" s="8">
        <v>2</v>
      </c>
      <c r="H43" s="8">
        <v>1</v>
      </c>
      <c r="I43" s="8">
        <v>85.14</v>
      </c>
      <c r="J43" s="9">
        <v>81000000</v>
      </c>
      <c r="K43" s="9">
        <f t="shared" si="10"/>
        <v>89100000</v>
      </c>
      <c r="L43" s="35">
        <f t="shared" si="11"/>
        <v>0.81</v>
      </c>
      <c r="M43" s="2" t="s">
        <v>492</v>
      </c>
      <c r="N43" t="s">
        <v>493</v>
      </c>
      <c r="O43" s="19" t="s">
        <v>494</v>
      </c>
      <c r="P43" s="19">
        <v>40</v>
      </c>
      <c r="Q43" s="19" t="s">
        <v>495</v>
      </c>
      <c r="R43" s="21" t="s">
        <v>496</v>
      </c>
      <c r="S43" s="46" t="s">
        <v>250</v>
      </c>
      <c r="T43" s="44" t="s">
        <v>497</v>
      </c>
      <c r="U43" s="77" t="s">
        <v>252</v>
      </c>
      <c r="V43" s="30" t="s">
        <v>498</v>
      </c>
      <c r="W43" s="24"/>
      <c r="X43" s="193" t="s">
        <v>153</v>
      </c>
      <c r="Y43" s="15" t="s">
        <v>255</v>
      </c>
      <c r="AA43">
        <v>7</v>
      </c>
      <c r="AB43" s="487"/>
      <c r="AC43" s="91">
        <v>5</v>
      </c>
      <c r="AD43" s="100" t="s">
        <v>95</v>
      </c>
      <c r="AE43" s="39">
        <f t="shared" si="0"/>
        <v>0</v>
      </c>
      <c r="AF43" s="65">
        <f>SUMIFS($I:$I,$C:$C, $AF$2,$G:$G, $AA43,$H:$H, $AC43)</f>
        <v>0</v>
      </c>
      <c r="AG43" s="65">
        <f>SUMIFS($I:$I,$C:$C, $AG$2,$G:$G, $AA43,$H:$H, $AC43)</f>
        <v>0</v>
      </c>
      <c r="AH43" s="65">
        <f>SUMIFS($I:$I,$C:$C, $AH$2,$G:$G, $AA43,$H:$H, $AC43)</f>
        <v>0</v>
      </c>
      <c r="AI43" s="104">
        <f>SUMIFS($I:$I,$C:$C, $AI$2,$G:$G, $AA43,$H:$H, $AC43)</f>
        <v>0</v>
      </c>
      <c r="AJ43" s="115">
        <f t="shared" si="1"/>
        <v>0</v>
      </c>
      <c r="AK43" s="116">
        <f>COUNTIFS($C:$C, $AK$2,$G:$G, $AA43,$H:$H, $AC43)</f>
        <v>0</v>
      </c>
      <c r="AL43" s="116">
        <f>COUNTIFS($C:$C, $AL$2,$G:$G, $AA43,$H:$H, $AC43)</f>
        <v>0</v>
      </c>
      <c r="AM43" s="116">
        <f>COUNTIFS($C:$C, $AM$2,$G:$G, $AA43,$H:$H, $AC43)</f>
        <v>0</v>
      </c>
      <c r="AN43" s="117">
        <f>COUNTIFS($C:$C, $AN$2,$G:$G, $AA43,$H:$H, $AC43)</f>
        <v>0</v>
      </c>
      <c r="AO43" s="39">
        <f t="shared" si="2"/>
        <v>0</v>
      </c>
      <c r="AP43" s="65">
        <f>SUMIFS($L:$L,$C:$C, $AP$2,$G:$G, $AA43,$H:$H, $AC43)</f>
        <v>0</v>
      </c>
      <c r="AQ43" s="65">
        <f>SUMIFS($L:$L,$C:$C, $AQ$2,$G:$G, $AA43,$H:$H, $AC43)</f>
        <v>0</v>
      </c>
      <c r="AR43" s="65">
        <f>SUMIFS($L:$L,$C:$C, $AR$2,$G:$G, $AA43,$H:$H, $AC43)</f>
        <v>0</v>
      </c>
      <c r="AS43" s="65">
        <f>SUMIFS($L:$L,$C:$C, $AS$2,$G:$G, $AA43,$H:$H, $AC43)</f>
        <v>0</v>
      </c>
      <c r="AU43" s="195" t="s">
        <v>156</v>
      </c>
      <c r="AV43" s="195">
        <f>SUM('발전사업(A):기타(Z)'!AV30)</f>
        <v>7</v>
      </c>
      <c r="AW43" s="196">
        <f t="shared" si="17"/>
        <v>2.6717557251908396E-2</v>
      </c>
    </row>
    <row r="44" spans="2:49" ht="14.25" thickBot="1" x14ac:dyDescent="0.3">
      <c r="B44" s="15">
        <v>42</v>
      </c>
      <c r="C44" s="8" t="s">
        <v>112</v>
      </c>
      <c r="D44" s="5" t="s">
        <v>246</v>
      </c>
      <c r="E44" s="383">
        <v>31</v>
      </c>
      <c r="F44" s="380">
        <v>46058</v>
      </c>
      <c r="G44" s="8">
        <v>2</v>
      </c>
      <c r="H44" s="8">
        <v>2</v>
      </c>
      <c r="I44" s="8">
        <v>120.61499999999999</v>
      </c>
      <c r="J44" s="9">
        <v>115000000</v>
      </c>
      <c r="K44" s="9">
        <f t="shared" si="10"/>
        <v>126500000.00000001</v>
      </c>
      <c r="L44" s="35">
        <f t="shared" si="11"/>
        <v>1.1500000000000001</v>
      </c>
      <c r="M44" s="2" t="s">
        <v>499</v>
      </c>
      <c r="N44" t="s">
        <v>500</v>
      </c>
      <c r="O44" s="19" t="s">
        <v>501</v>
      </c>
      <c r="P44" s="19">
        <v>41</v>
      </c>
      <c r="Q44" s="19" t="s">
        <v>502</v>
      </c>
      <c r="R44" s="21" t="s">
        <v>503</v>
      </c>
      <c r="S44" s="46" t="s">
        <v>250</v>
      </c>
      <c r="T44" s="44" t="s">
        <v>504</v>
      </c>
      <c r="U44" s="77" t="s">
        <v>505</v>
      </c>
      <c r="V44" s="30" t="s">
        <v>506</v>
      </c>
      <c r="W44" s="24">
        <v>1111</v>
      </c>
      <c r="X44" s="193" t="s">
        <v>507</v>
      </c>
      <c r="Y44" s="15" t="s">
        <v>508</v>
      </c>
      <c r="AA44">
        <v>7</v>
      </c>
      <c r="AB44" s="488"/>
      <c r="AC44" s="92" t="s">
        <v>3</v>
      </c>
      <c r="AD44" s="101"/>
      <c r="AE44" s="94">
        <f t="shared" ref="AE44:AS44" si="18">SUM(AE39:AE43)</f>
        <v>6288.585</v>
      </c>
      <c r="AF44" s="94">
        <f t="shared" si="18"/>
        <v>5054.0550000000003</v>
      </c>
      <c r="AG44" s="94">
        <f t="shared" si="18"/>
        <v>1234.5300000000002</v>
      </c>
      <c r="AH44" s="94">
        <f t="shared" si="18"/>
        <v>0</v>
      </c>
      <c r="AI44" s="105">
        <f t="shared" si="18"/>
        <v>0</v>
      </c>
      <c r="AJ44" s="118">
        <f t="shared" si="18"/>
        <v>23</v>
      </c>
      <c r="AK44" s="119">
        <f t="shared" si="18"/>
        <v>18</v>
      </c>
      <c r="AL44" s="119">
        <f t="shared" si="18"/>
        <v>5</v>
      </c>
      <c r="AM44" s="119">
        <f t="shared" si="18"/>
        <v>0</v>
      </c>
      <c r="AN44" s="120">
        <f t="shared" si="18"/>
        <v>0</v>
      </c>
      <c r="AO44" s="94">
        <f t="shared" si="18"/>
        <v>60.89</v>
      </c>
      <c r="AP44" s="94">
        <f t="shared" si="18"/>
        <v>48.599999999999994</v>
      </c>
      <c r="AQ44" s="94">
        <f t="shared" si="18"/>
        <v>12.29</v>
      </c>
      <c r="AR44" s="94">
        <f t="shared" si="18"/>
        <v>0</v>
      </c>
      <c r="AS44" s="94">
        <f t="shared" si="18"/>
        <v>0</v>
      </c>
      <c r="AU44" s="195" t="s">
        <v>157</v>
      </c>
      <c r="AV44" s="195">
        <f>SUM('발전사업(A):기타(Z)'!AV31)</f>
        <v>0</v>
      </c>
      <c r="AW44" s="196">
        <f t="shared" si="17"/>
        <v>0</v>
      </c>
    </row>
    <row r="45" spans="2:49" x14ac:dyDescent="0.25">
      <c r="B45" s="15">
        <v>43</v>
      </c>
      <c r="C45" s="8" t="s">
        <v>245</v>
      </c>
      <c r="D45" s="5" t="s">
        <v>246</v>
      </c>
      <c r="E45" s="383">
        <v>12</v>
      </c>
      <c r="F45" s="380">
        <v>46059</v>
      </c>
      <c r="G45" s="8">
        <v>2</v>
      </c>
      <c r="H45" s="8">
        <v>2</v>
      </c>
      <c r="I45" s="8">
        <v>941.7</v>
      </c>
      <c r="J45" s="9">
        <v>850000000</v>
      </c>
      <c r="K45" s="9">
        <f t="shared" si="10"/>
        <v>935000000.00000012</v>
      </c>
      <c r="L45" s="35">
        <f t="shared" si="11"/>
        <v>8.5</v>
      </c>
      <c r="M45" s="2" t="s">
        <v>513</v>
      </c>
      <c r="N45" t="s">
        <v>513</v>
      </c>
      <c r="O45" s="19" t="s">
        <v>514</v>
      </c>
      <c r="P45" s="19">
        <v>42</v>
      </c>
      <c r="Q45" s="19" t="s">
        <v>515</v>
      </c>
      <c r="R45" s="21" t="s">
        <v>516</v>
      </c>
      <c r="S45" s="46" t="s">
        <v>250</v>
      </c>
      <c r="T45" s="44" t="s">
        <v>517</v>
      </c>
      <c r="U45" s="77" t="s">
        <v>252</v>
      </c>
      <c r="V45" s="30" t="s">
        <v>599</v>
      </c>
      <c r="W45" s="24">
        <v>1111</v>
      </c>
      <c r="X45" s="193" t="s">
        <v>151</v>
      </c>
      <c r="Y45" s="15" t="s">
        <v>255</v>
      </c>
      <c r="AA45">
        <v>8</v>
      </c>
      <c r="AB45" s="486">
        <v>8</v>
      </c>
      <c r="AC45" s="89">
        <v>1</v>
      </c>
      <c r="AD45" s="95" t="s">
        <v>96</v>
      </c>
      <c r="AE45" s="39">
        <f t="shared" si="0"/>
        <v>3840.9749999999995</v>
      </c>
      <c r="AF45" s="65">
        <f>SUMIFS($I:$I,$C:$C, $AF$2,$G:$G, $AA45,$H:$H, $AC45)</f>
        <v>2174.9399999999996</v>
      </c>
      <c r="AG45" s="65">
        <f>SUMIFS($I:$I,$C:$C, $AG$2,$G:$G, $AA45,$H:$H, $AC45)</f>
        <v>1666.0349999999999</v>
      </c>
      <c r="AH45" s="65">
        <f>SUMIFS($I:$I,$C:$C, $AH$2,$G:$G, $AA45,$H:$H, $AC45)</f>
        <v>0</v>
      </c>
      <c r="AI45" s="104">
        <f>SUMIFS($I:$I,$C:$C, $AI$2,$G:$G, $AA45,$H:$H, $AC45)</f>
        <v>0</v>
      </c>
      <c r="AJ45" s="115">
        <f t="shared" si="1"/>
        <v>8</v>
      </c>
      <c r="AK45" s="116">
        <f>COUNTIFS($C:$C, $AK$2,$G:$G, $AA45,$H:$H, $AC45)</f>
        <v>5</v>
      </c>
      <c r="AL45" s="116">
        <f>COUNTIFS($C:$C, $AL$2,$G:$G, $AA45,$H:$H, $AC45)</f>
        <v>3</v>
      </c>
      <c r="AM45" s="116">
        <f>COUNTIFS($C:$C, $AM$2,$G:$G, $AA45,$H:$H, $AC45)</f>
        <v>0</v>
      </c>
      <c r="AN45" s="117">
        <f>COUNTIFS($C:$C, $AN$2,$G:$G, $AA45,$H:$H, $AC45)</f>
        <v>0</v>
      </c>
      <c r="AO45" s="39">
        <f t="shared" si="2"/>
        <v>38.01</v>
      </c>
      <c r="AP45" s="65">
        <f>SUMIFS($L:$L,$C:$C, $AP$2,$G:$G, $AA45,$H:$H, $AC45)</f>
        <v>19.899999999999999</v>
      </c>
      <c r="AQ45" s="65">
        <f>SUMIFS($L:$L,$C:$C, $AQ$2,$G:$G, $AA45,$H:$H, $AC45)</f>
        <v>18.11</v>
      </c>
      <c r="AR45" s="65">
        <f>SUMIFS($L:$L,$C:$C, $AR$2,$G:$G, $AA45,$H:$H, $AC45)</f>
        <v>0</v>
      </c>
      <c r="AS45" s="65">
        <f>SUMIFS($L:$L,$C:$C, $AS$2,$G:$G, $AA45,$H:$H, $AC45)</f>
        <v>0</v>
      </c>
      <c r="AU45" s="195" t="s">
        <v>158</v>
      </c>
      <c r="AV45" s="195">
        <f>SUM('발전사업(A):기타(Z)'!AV32)</f>
        <v>1</v>
      </c>
      <c r="AW45" s="196">
        <f t="shared" si="17"/>
        <v>3.8167938931297708E-3</v>
      </c>
    </row>
    <row r="46" spans="2:49" x14ac:dyDescent="0.25">
      <c r="B46" s="15">
        <v>44</v>
      </c>
      <c r="C46" s="8" t="s">
        <v>112</v>
      </c>
      <c r="D46" s="5" t="s">
        <v>246</v>
      </c>
      <c r="E46" s="383">
        <v>32</v>
      </c>
      <c r="F46" s="380">
        <v>46059</v>
      </c>
      <c r="G46" s="8">
        <v>2</v>
      </c>
      <c r="H46" s="8">
        <v>2</v>
      </c>
      <c r="I46" s="8">
        <v>89.655000000000001</v>
      </c>
      <c r="J46" s="9">
        <v>84000000</v>
      </c>
      <c r="K46" s="9">
        <f t="shared" si="10"/>
        <v>92400000.000000015</v>
      </c>
      <c r="L46" s="35">
        <f t="shared" si="11"/>
        <v>0.84</v>
      </c>
      <c r="M46" s="2" t="s">
        <v>519</v>
      </c>
      <c r="N46" t="s">
        <v>518</v>
      </c>
      <c r="O46" s="19" t="s">
        <v>520</v>
      </c>
      <c r="P46" s="19">
        <v>43</v>
      </c>
      <c r="Q46" s="19" t="s">
        <v>521</v>
      </c>
      <c r="R46" s="21" t="s">
        <v>522</v>
      </c>
      <c r="S46" s="46" t="s">
        <v>250</v>
      </c>
      <c r="T46" s="44" t="s">
        <v>523</v>
      </c>
      <c r="U46" s="77" t="s">
        <v>252</v>
      </c>
      <c r="V46" s="24" t="s">
        <v>268</v>
      </c>
      <c r="W46" s="24"/>
      <c r="X46" s="193" t="s">
        <v>155</v>
      </c>
      <c r="Y46" s="15" t="s">
        <v>255</v>
      </c>
      <c r="AA46">
        <v>8</v>
      </c>
      <c r="AB46" s="487"/>
      <c r="AC46" s="90">
        <v>2</v>
      </c>
      <c r="AD46" s="97" t="s">
        <v>97</v>
      </c>
      <c r="AE46" s="39">
        <f t="shared" si="0"/>
        <v>448.27500000000003</v>
      </c>
      <c r="AF46" s="65">
        <f>SUMIFS($I:$I,$C:$C, $AF$2,$G:$G, $AA46,$H:$H, $AC46)</f>
        <v>356.04</v>
      </c>
      <c r="AG46" s="65">
        <f>SUMIFS($I:$I,$C:$C, $AG$2,$G:$G, $AA46,$H:$H, $AC46)</f>
        <v>92.234999999999999</v>
      </c>
      <c r="AH46" s="65">
        <f>SUMIFS($I:$I,$C:$C, $AH$2,$G:$G, $AA46,$H:$H, $AC46)</f>
        <v>0</v>
      </c>
      <c r="AI46" s="104">
        <f>SUMIFS($I:$I,$C:$C, $AI$2,$G:$G, $AA46,$H:$H, $AC46)</f>
        <v>0</v>
      </c>
      <c r="AJ46" s="115">
        <f t="shared" si="1"/>
        <v>3</v>
      </c>
      <c r="AK46" s="116">
        <f>COUNTIFS($C:$C, $AK$2,$G:$G, $AA46,$H:$H, $AC46)</f>
        <v>2</v>
      </c>
      <c r="AL46" s="116">
        <f>COUNTIFS($C:$C, $AL$2,$G:$G, $AA46,$H:$H, $AC46)</f>
        <v>1</v>
      </c>
      <c r="AM46" s="116">
        <f>COUNTIFS($C:$C, $AM$2,$G:$G, $AA46,$H:$H, $AC46)</f>
        <v>0</v>
      </c>
      <c r="AN46" s="117">
        <f>COUNTIFS($C:$C, $AN$2,$G:$G, $AA46,$H:$H, $AC46)</f>
        <v>0</v>
      </c>
      <c r="AO46" s="39">
        <f t="shared" si="2"/>
        <v>4.62</v>
      </c>
      <c r="AP46" s="65">
        <f>SUMIFS($L:$L,$C:$C, $AP$2,$G:$G, $AA46,$H:$H, $AC46)</f>
        <v>3.58</v>
      </c>
      <c r="AQ46" s="65">
        <f>SUMIFS($L:$L,$C:$C, $AQ$2,$G:$G, $AA46,$H:$H, $AC46)</f>
        <v>1.04</v>
      </c>
      <c r="AR46" s="65">
        <f>SUMIFS($L:$L,$C:$C, $AR$2,$G:$G, $AA46,$H:$H, $AC46)</f>
        <v>0</v>
      </c>
      <c r="AS46" s="65">
        <f>SUMIFS($L:$L,$C:$C, $AS$2,$G:$G, $AA46,$H:$H, $AC46)</f>
        <v>0</v>
      </c>
      <c r="AU46" s="194" t="s">
        <v>159</v>
      </c>
      <c r="AV46" s="194">
        <f>SUM(AV38:AV45)</f>
        <v>262</v>
      </c>
      <c r="AW46" s="197">
        <f t="shared" si="17"/>
        <v>1</v>
      </c>
    </row>
    <row r="47" spans="2:49" x14ac:dyDescent="0.25">
      <c r="B47" s="15">
        <v>45</v>
      </c>
      <c r="C47" s="8" t="s">
        <v>245</v>
      </c>
      <c r="D47" s="5" t="s">
        <v>246</v>
      </c>
      <c r="E47" s="383">
        <v>13</v>
      </c>
      <c r="F47" s="380">
        <v>46062</v>
      </c>
      <c r="G47" s="8">
        <v>2</v>
      </c>
      <c r="H47" s="8">
        <v>2</v>
      </c>
      <c r="I47" s="8">
        <v>69.66</v>
      </c>
      <c r="J47" s="9">
        <v>84000000</v>
      </c>
      <c r="K47" s="9">
        <f t="shared" si="10"/>
        <v>92400000.000000015</v>
      </c>
      <c r="L47" s="35">
        <f t="shared" si="11"/>
        <v>0.84</v>
      </c>
      <c r="M47" s="2" t="s">
        <v>532</v>
      </c>
      <c r="N47" t="s">
        <v>524</v>
      </c>
      <c r="O47" s="19" t="s">
        <v>531</v>
      </c>
      <c r="P47" s="19">
        <v>44</v>
      </c>
      <c r="Q47" s="19" t="s">
        <v>271</v>
      </c>
      <c r="R47" s="21" t="s">
        <v>529</v>
      </c>
      <c r="S47" s="46" t="s">
        <v>250</v>
      </c>
      <c r="T47" s="44" t="s">
        <v>530</v>
      </c>
      <c r="U47" s="77" t="s">
        <v>252</v>
      </c>
      <c r="V47" s="24" t="s">
        <v>354</v>
      </c>
      <c r="W47" s="24">
        <v>1111</v>
      </c>
      <c r="X47" s="193" t="s">
        <v>155</v>
      </c>
      <c r="Y47" s="15" t="s">
        <v>533</v>
      </c>
      <c r="AA47">
        <v>8</v>
      </c>
      <c r="AB47" s="487"/>
      <c r="AC47" s="90">
        <v>3</v>
      </c>
      <c r="AD47" s="97" t="s">
        <v>98</v>
      </c>
      <c r="AE47" s="39">
        <f t="shared" si="0"/>
        <v>228.33</v>
      </c>
      <c r="AF47" s="65">
        <f>SUMIFS($I:$I,$C:$C, $AF$2,$G:$G, $AA47,$H:$H, $AC47)</f>
        <v>194.79000000000002</v>
      </c>
      <c r="AG47" s="65">
        <f>SUMIFS($I:$I,$C:$C, $AG$2,$G:$G, $AA47,$H:$H, $AC47)</f>
        <v>33.54</v>
      </c>
      <c r="AH47" s="65">
        <f>SUMIFS($I:$I,$C:$C, $AH$2,$G:$G, $AA47,$H:$H, $AC47)</f>
        <v>0</v>
      </c>
      <c r="AI47" s="104">
        <f>SUMIFS($I:$I,$C:$C, $AI$2,$G:$G, $AA47,$H:$H, $AC47)</f>
        <v>0</v>
      </c>
      <c r="AJ47" s="115">
        <f t="shared" si="1"/>
        <v>3</v>
      </c>
      <c r="AK47" s="116">
        <f>COUNTIFS($C:$C, $AK$2,$G:$G, $AA47,$H:$H, $AC47)</f>
        <v>2</v>
      </c>
      <c r="AL47" s="116">
        <f>COUNTIFS($C:$C, $AL$2,$G:$G, $AA47,$H:$H, $AC47)</f>
        <v>1</v>
      </c>
      <c r="AM47" s="116">
        <f>COUNTIFS($C:$C, $AM$2,$G:$G, $AA47,$H:$H, $AC47)</f>
        <v>0</v>
      </c>
      <c r="AN47" s="117">
        <f>COUNTIFS($C:$C, $AN$2,$G:$G, $AA47,$H:$H, $AC47)</f>
        <v>0</v>
      </c>
      <c r="AO47" s="39">
        <f t="shared" si="2"/>
        <v>2.5200000000000005</v>
      </c>
      <c r="AP47" s="65">
        <f>SUMIFS($L:$L,$C:$C, $AP$2,$G:$G, $AA47,$H:$H, $AC47)</f>
        <v>2.0700000000000003</v>
      </c>
      <c r="AQ47" s="65">
        <f>SUMIFS($L:$L,$C:$C, $AQ$2,$G:$G, $AA47,$H:$H, $AC47)</f>
        <v>0.45</v>
      </c>
      <c r="AR47" s="65">
        <f>SUMIFS($L:$L,$C:$C, $AR$2,$G:$G, $AA47,$H:$H, $AC47)</f>
        <v>0</v>
      </c>
      <c r="AS47" s="65">
        <f>SUMIFS($L:$L,$C:$C, $AS$2,$G:$G, $AA47,$H:$H, $AC47)</f>
        <v>0</v>
      </c>
    </row>
    <row r="48" spans="2:49" x14ac:dyDescent="0.25">
      <c r="B48" s="15">
        <v>46</v>
      </c>
      <c r="C48" s="8" t="s">
        <v>245</v>
      </c>
      <c r="D48" s="5" t="s">
        <v>246</v>
      </c>
      <c r="E48" s="383">
        <v>14</v>
      </c>
      <c r="F48" s="380">
        <v>46062</v>
      </c>
      <c r="G48" s="8">
        <v>2</v>
      </c>
      <c r="H48" s="8">
        <v>2</v>
      </c>
      <c r="I48" s="8">
        <v>122.55</v>
      </c>
      <c r="J48" s="9">
        <v>120000000</v>
      </c>
      <c r="K48" s="9">
        <f t="shared" si="10"/>
        <v>132000000.00000001</v>
      </c>
      <c r="L48" s="35">
        <f t="shared" si="11"/>
        <v>1.2</v>
      </c>
      <c r="M48" s="2" t="s">
        <v>524</v>
      </c>
      <c r="N48" t="s">
        <v>524</v>
      </c>
      <c r="O48" s="19" t="s">
        <v>525</v>
      </c>
      <c r="P48" s="19">
        <v>45</v>
      </c>
      <c r="Q48" s="19" t="s">
        <v>526</v>
      </c>
      <c r="R48" s="21" t="s">
        <v>527</v>
      </c>
      <c r="S48" s="46" t="s">
        <v>250</v>
      </c>
      <c r="T48" s="44" t="s">
        <v>528</v>
      </c>
      <c r="U48" s="77" t="s">
        <v>252</v>
      </c>
      <c r="V48" s="24" t="s">
        <v>600</v>
      </c>
      <c r="W48" s="24">
        <v>1111</v>
      </c>
      <c r="X48" s="193" t="s">
        <v>154</v>
      </c>
      <c r="Y48" s="15" t="s">
        <v>533</v>
      </c>
      <c r="AA48">
        <v>8</v>
      </c>
      <c r="AB48" s="487"/>
      <c r="AC48" s="90">
        <v>4</v>
      </c>
      <c r="AD48" s="97" t="s">
        <v>99</v>
      </c>
      <c r="AE48" s="39">
        <f t="shared" si="0"/>
        <v>1302.9000000000001</v>
      </c>
      <c r="AF48" s="65">
        <f>SUMIFS($I:$I,$C:$C, $AF$2,$G:$G, $AA48,$H:$H, $AC48)</f>
        <v>1302.9000000000001</v>
      </c>
      <c r="AG48" s="65">
        <f>SUMIFS($I:$I,$C:$C, $AG$2,$G:$G, $AA48,$H:$H, $AC48)</f>
        <v>0</v>
      </c>
      <c r="AH48" s="65">
        <f>SUMIFS($I:$I,$C:$C, $AH$2,$G:$G, $AA48,$H:$H, $AC48)</f>
        <v>0</v>
      </c>
      <c r="AI48" s="104">
        <f>SUMIFS($I:$I,$C:$C, $AI$2,$G:$G, $AA48,$H:$H, $AC48)</f>
        <v>0</v>
      </c>
      <c r="AJ48" s="115">
        <f t="shared" si="1"/>
        <v>5</v>
      </c>
      <c r="AK48" s="116">
        <f>COUNTIFS($C:$C, $AK$2,$G:$G, $AA48,$H:$H, $AC48)</f>
        <v>5</v>
      </c>
      <c r="AL48" s="116">
        <f>COUNTIFS($C:$C, $AL$2,$G:$G, $AA48,$H:$H, $AC48)</f>
        <v>0</v>
      </c>
      <c r="AM48" s="116">
        <f>COUNTIFS($C:$C, $AM$2,$G:$G, $AA48,$H:$H, $AC48)</f>
        <v>0</v>
      </c>
      <c r="AN48" s="117">
        <f>COUNTIFS($C:$C, $AN$2,$G:$G, $AA48,$H:$H, $AC48)</f>
        <v>0</v>
      </c>
      <c r="AO48" s="39">
        <f t="shared" si="2"/>
        <v>13.8</v>
      </c>
      <c r="AP48" s="65">
        <f>SUMIFS($L:$L,$C:$C, $AP$2,$G:$G, $AA48,$H:$H, $AC48)</f>
        <v>13.8</v>
      </c>
      <c r="AQ48" s="65">
        <f>SUMIFS($L:$L,$C:$C, $AQ$2,$G:$G, $AA48,$H:$H, $AC48)</f>
        <v>0</v>
      </c>
      <c r="AR48" s="65">
        <f>SUMIFS($L:$L,$C:$C, $AR$2,$G:$G, $AA48,$H:$H, $AC48)</f>
        <v>0</v>
      </c>
      <c r="AS48" s="65">
        <f>SUMIFS($L:$L,$C:$C, $AS$2,$G:$G, $AA48,$H:$H, $AC48)</f>
        <v>0</v>
      </c>
    </row>
    <row r="49" spans="2:45" x14ac:dyDescent="0.25">
      <c r="B49" s="15">
        <v>47</v>
      </c>
      <c r="C49" s="8" t="s">
        <v>112</v>
      </c>
      <c r="D49" s="5" t="s">
        <v>246</v>
      </c>
      <c r="E49" s="383">
        <v>33</v>
      </c>
      <c r="F49" s="380">
        <v>46063</v>
      </c>
      <c r="G49" s="8">
        <v>2</v>
      </c>
      <c r="H49" s="8">
        <v>2</v>
      </c>
      <c r="I49" s="8">
        <v>183.18</v>
      </c>
      <c r="J49" s="4">
        <v>170000000</v>
      </c>
      <c r="K49" s="9">
        <f t="shared" si="10"/>
        <v>187000000.00000003</v>
      </c>
      <c r="L49" s="35">
        <f t="shared" si="11"/>
        <v>1.7</v>
      </c>
      <c r="M49" s="2" t="s">
        <v>534</v>
      </c>
      <c r="N49" t="s">
        <v>535</v>
      </c>
      <c r="O49" s="19" t="s">
        <v>536</v>
      </c>
      <c r="P49" s="19">
        <v>46</v>
      </c>
      <c r="Q49" s="19" t="s">
        <v>537</v>
      </c>
      <c r="R49" s="21" t="s">
        <v>538</v>
      </c>
      <c r="S49" s="46" t="s">
        <v>250</v>
      </c>
      <c r="T49" s="44" t="s">
        <v>539</v>
      </c>
      <c r="U49" s="77" t="s">
        <v>540</v>
      </c>
      <c r="V49" s="30" t="s">
        <v>541</v>
      </c>
      <c r="W49" s="24">
        <v>1111</v>
      </c>
      <c r="X49" s="193" t="s">
        <v>151</v>
      </c>
      <c r="Y49" s="15" t="s">
        <v>255</v>
      </c>
      <c r="AA49">
        <v>8</v>
      </c>
      <c r="AB49" s="487"/>
      <c r="AC49" s="91">
        <v>5</v>
      </c>
      <c r="AD49" s="100"/>
      <c r="AE49" s="39">
        <f t="shared" si="0"/>
        <v>0</v>
      </c>
      <c r="AF49" s="65">
        <f>SUMIFS($I:$I,$C:$C, $AF$2,$G:$G, $AA49,$H:$H, $AC49)</f>
        <v>0</v>
      </c>
      <c r="AG49" s="65">
        <f>SUMIFS($I:$I,$C:$C, $AG$2,$G:$G, $AA49,$H:$H, $AC49)</f>
        <v>0</v>
      </c>
      <c r="AH49" s="65">
        <f>SUMIFS($I:$I,$C:$C, $AH$2,$G:$G, $AA49,$H:$H, $AC49)</f>
        <v>0</v>
      </c>
      <c r="AI49" s="104">
        <f>SUMIFS($I:$I,$C:$C, $AI$2,$G:$G, $AA49,$H:$H, $AC49)</f>
        <v>0</v>
      </c>
      <c r="AJ49" s="115">
        <f t="shared" si="1"/>
        <v>0</v>
      </c>
      <c r="AK49" s="116">
        <f>COUNTIFS($C:$C, $AK$2,$G:$G, $AA49,$H:$H, $AC49)</f>
        <v>0</v>
      </c>
      <c r="AL49" s="116">
        <f>COUNTIFS($C:$C, $AL$2,$G:$G, $AA49,$H:$H, $AC49)</f>
        <v>0</v>
      </c>
      <c r="AM49" s="116">
        <f>COUNTIFS($C:$C, $AM$2,$G:$G, $AA49,$H:$H, $AC49)</f>
        <v>0</v>
      </c>
      <c r="AN49" s="117">
        <f>COUNTIFS($C:$C, $AN$2,$G:$G, $AA49,$H:$H, $AC49)</f>
        <v>0</v>
      </c>
      <c r="AO49" s="39">
        <f t="shared" si="2"/>
        <v>0</v>
      </c>
      <c r="AP49" s="65">
        <f>SUMIFS($L:$L,$C:$C, $AP$2,$G:$G, $AA49,$H:$H, $AC49)</f>
        <v>0</v>
      </c>
      <c r="AQ49" s="65">
        <f>SUMIFS($L:$L,$C:$C, $AQ$2,$G:$G, $AA49,$H:$H, $AC49)</f>
        <v>0</v>
      </c>
      <c r="AR49" s="65">
        <f>SUMIFS($L:$L,$C:$C, $AR$2,$G:$G, $AA49,$H:$H, $AC49)</f>
        <v>0</v>
      </c>
      <c r="AS49" s="65">
        <f>SUMIFS($L:$L,$C:$C, $AS$2,$G:$G, $AA49,$H:$H, $AC49)</f>
        <v>0</v>
      </c>
    </row>
    <row r="50" spans="2:45" ht="14.25" thickBot="1" x14ac:dyDescent="0.3">
      <c r="B50" s="15">
        <v>48</v>
      </c>
      <c r="C50" s="8" t="s">
        <v>112</v>
      </c>
      <c r="D50" s="5" t="s">
        <v>246</v>
      </c>
      <c r="E50" s="383">
        <v>34</v>
      </c>
      <c r="F50" s="380">
        <v>46063</v>
      </c>
      <c r="G50" s="8">
        <v>2</v>
      </c>
      <c r="H50" s="8">
        <v>2</v>
      </c>
      <c r="I50" s="8">
        <v>65.564999999999998</v>
      </c>
      <c r="J50" s="9">
        <v>70000000</v>
      </c>
      <c r="K50" s="9">
        <f t="shared" si="10"/>
        <v>77000000</v>
      </c>
      <c r="L50" s="35">
        <f t="shared" si="11"/>
        <v>0.70000000000000007</v>
      </c>
      <c r="M50" s="2" t="s">
        <v>542</v>
      </c>
      <c r="N50" t="s">
        <v>543</v>
      </c>
      <c r="O50" s="19" t="s">
        <v>544</v>
      </c>
      <c r="P50" s="19">
        <v>47</v>
      </c>
      <c r="Q50" s="19" t="s">
        <v>545</v>
      </c>
      <c r="R50" s="21" t="s">
        <v>546</v>
      </c>
      <c r="S50" s="46" t="s">
        <v>250</v>
      </c>
      <c r="T50" s="44" t="s">
        <v>547</v>
      </c>
      <c r="U50" s="77" t="s">
        <v>267</v>
      </c>
      <c r="V50" s="30" t="s">
        <v>548</v>
      </c>
      <c r="W50" s="24"/>
      <c r="X50" s="193" t="s">
        <v>155</v>
      </c>
      <c r="Y50" s="15" t="s">
        <v>255</v>
      </c>
      <c r="AA50">
        <v>8</v>
      </c>
      <c r="AB50" s="488"/>
      <c r="AC50" s="92" t="s">
        <v>3</v>
      </c>
      <c r="AD50" s="101"/>
      <c r="AE50" s="94">
        <f t="shared" ref="AE50:AS50" si="19">SUM(AE45:AE49)</f>
        <v>5820.48</v>
      </c>
      <c r="AF50" s="94">
        <f t="shared" si="19"/>
        <v>4028.6699999999996</v>
      </c>
      <c r="AG50" s="94">
        <f t="shared" si="19"/>
        <v>1791.8099999999997</v>
      </c>
      <c r="AH50" s="94">
        <f t="shared" si="19"/>
        <v>0</v>
      </c>
      <c r="AI50" s="105">
        <f t="shared" si="19"/>
        <v>0</v>
      </c>
      <c r="AJ50" s="118">
        <f t="shared" si="19"/>
        <v>19</v>
      </c>
      <c r="AK50" s="119">
        <f t="shared" si="19"/>
        <v>14</v>
      </c>
      <c r="AL50" s="119">
        <f t="shared" si="19"/>
        <v>5</v>
      </c>
      <c r="AM50" s="119">
        <f t="shared" si="19"/>
        <v>0</v>
      </c>
      <c r="AN50" s="120">
        <f t="shared" si="19"/>
        <v>0</v>
      </c>
      <c r="AO50" s="94">
        <f t="shared" si="19"/>
        <v>58.95</v>
      </c>
      <c r="AP50" s="94">
        <f t="shared" si="19"/>
        <v>39.349999999999994</v>
      </c>
      <c r="AQ50" s="94">
        <f t="shared" si="19"/>
        <v>19.599999999999998</v>
      </c>
      <c r="AR50" s="94">
        <f t="shared" si="19"/>
        <v>0</v>
      </c>
      <c r="AS50" s="94">
        <f t="shared" si="19"/>
        <v>0</v>
      </c>
    </row>
    <row r="51" spans="2:45" x14ac:dyDescent="0.25">
      <c r="B51" s="15">
        <v>49</v>
      </c>
      <c r="C51" s="8" t="s">
        <v>112</v>
      </c>
      <c r="D51" s="5" t="s">
        <v>246</v>
      </c>
      <c r="E51" s="383">
        <v>35</v>
      </c>
      <c r="F51" s="380">
        <v>46063</v>
      </c>
      <c r="G51" s="8">
        <v>2</v>
      </c>
      <c r="H51" s="8">
        <v>2</v>
      </c>
      <c r="I51" s="8">
        <v>448.27499999999998</v>
      </c>
      <c r="J51" s="9">
        <v>390000000</v>
      </c>
      <c r="K51" s="9">
        <f t="shared" si="10"/>
        <v>429000000.00000006</v>
      </c>
      <c r="L51" s="35">
        <f t="shared" si="11"/>
        <v>3.9</v>
      </c>
      <c r="M51" s="2" t="s">
        <v>542</v>
      </c>
      <c r="N51" t="s">
        <v>543</v>
      </c>
      <c r="O51" s="19" t="s">
        <v>549</v>
      </c>
      <c r="P51" s="19">
        <v>48</v>
      </c>
      <c r="Q51" s="19" t="s">
        <v>545</v>
      </c>
      <c r="R51" s="21" t="s">
        <v>550</v>
      </c>
      <c r="S51" s="46" t="s">
        <v>250</v>
      </c>
      <c r="T51" s="44" t="s">
        <v>551</v>
      </c>
      <c r="U51" s="77" t="s">
        <v>267</v>
      </c>
      <c r="V51" s="30" t="s">
        <v>548</v>
      </c>
      <c r="W51" s="24"/>
      <c r="X51" s="193" t="s">
        <v>152</v>
      </c>
      <c r="Y51" s="15" t="s">
        <v>255</v>
      </c>
      <c r="AA51">
        <v>9</v>
      </c>
      <c r="AB51" s="486">
        <v>9</v>
      </c>
      <c r="AC51" s="89">
        <v>1</v>
      </c>
      <c r="AD51" s="95" t="s">
        <v>100</v>
      </c>
      <c r="AE51" s="39">
        <f t="shared" si="0"/>
        <v>1472.5350000000001</v>
      </c>
      <c r="AF51" s="65">
        <f>SUMIFS($I:$I,$C:$C, $AF$2,$G:$G, $AA51,$H:$H, $AC51)</f>
        <v>1383.5250000000001</v>
      </c>
      <c r="AG51" s="65">
        <f>SUMIFS($I:$I,$C:$C, $AG$2,$G:$G, $AA51,$H:$H, $AC51)</f>
        <v>89.01</v>
      </c>
      <c r="AH51" s="65">
        <f>SUMIFS($I:$I,$C:$C, $AH$2,$G:$G, $AA51,$H:$H, $AC51)</f>
        <v>0</v>
      </c>
      <c r="AI51" s="104">
        <f>SUMIFS($I:$I,$C:$C, $AI$2,$G:$G, $AA51,$H:$H, $AC51)</f>
        <v>0</v>
      </c>
      <c r="AJ51" s="115">
        <f t="shared" si="1"/>
        <v>5</v>
      </c>
      <c r="AK51" s="116">
        <f>COUNTIFS($C:$C, $AK$2,$G:$G, $AA51,$H:$H, $AC51)</f>
        <v>4</v>
      </c>
      <c r="AL51" s="116">
        <f>COUNTIFS($C:$C, $AL$2,$G:$G, $AA51,$H:$H, $AC51)</f>
        <v>1</v>
      </c>
      <c r="AM51" s="116">
        <f>COUNTIFS($C:$C, $AM$2,$G:$G, $AA51,$H:$H, $AC51)</f>
        <v>0</v>
      </c>
      <c r="AN51" s="117">
        <f>COUNTIFS($C:$C, $AN$2,$G:$G, $AA51,$H:$H, $AC51)</f>
        <v>0</v>
      </c>
      <c r="AO51" s="39">
        <f t="shared" si="2"/>
        <v>13.66</v>
      </c>
      <c r="AP51" s="65">
        <f>SUMIFS($L:$L,$C:$C, $AP$2,$G:$G, $AA51,$H:$H, $AC51)</f>
        <v>12.66</v>
      </c>
      <c r="AQ51" s="65">
        <f>SUMIFS($L:$L,$C:$C, $AQ$2,$G:$G, $AA51,$H:$H, $AC51)</f>
        <v>1</v>
      </c>
      <c r="AR51" s="65">
        <f>SUMIFS($L:$L,$C:$C, $AR$2,$G:$G, $AA51,$H:$H, $AC51)</f>
        <v>0</v>
      </c>
      <c r="AS51" s="65">
        <f>SUMIFS($L:$L,$C:$C, $AS$2,$G:$G, $AA51,$H:$H, $AC51)</f>
        <v>0</v>
      </c>
    </row>
    <row r="52" spans="2:45" ht="13.5" customHeight="1" x14ac:dyDescent="0.25">
      <c r="B52" s="15">
        <v>50</v>
      </c>
      <c r="C52" s="8" t="s">
        <v>245</v>
      </c>
      <c r="D52" s="5" t="s">
        <v>246</v>
      </c>
      <c r="E52" s="383">
        <v>15</v>
      </c>
      <c r="F52" s="380">
        <v>46064</v>
      </c>
      <c r="G52" s="8">
        <v>2</v>
      </c>
      <c r="H52" s="8">
        <v>2</v>
      </c>
      <c r="I52" s="8">
        <v>183.82499999999999</v>
      </c>
      <c r="J52" s="9">
        <v>193000000</v>
      </c>
      <c r="K52" s="9">
        <f t="shared" si="10"/>
        <v>212300000.00000003</v>
      </c>
      <c r="L52" s="35">
        <f t="shared" si="11"/>
        <v>1.93</v>
      </c>
      <c r="M52" s="2" t="s">
        <v>562</v>
      </c>
      <c r="N52" t="s">
        <v>561</v>
      </c>
      <c r="O52" s="19" t="s">
        <v>559</v>
      </c>
      <c r="P52" s="19">
        <v>49</v>
      </c>
      <c r="Q52" s="19" t="s">
        <v>563</v>
      </c>
      <c r="R52" s="21" t="s">
        <v>565</v>
      </c>
      <c r="S52" s="46" t="s">
        <v>250</v>
      </c>
      <c r="T52" s="44" t="s">
        <v>570</v>
      </c>
      <c r="U52" s="77" t="s">
        <v>252</v>
      </c>
      <c r="V52" s="30" t="s">
        <v>601</v>
      </c>
      <c r="W52" s="24">
        <v>1111</v>
      </c>
      <c r="X52" s="193" t="s">
        <v>569</v>
      </c>
      <c r="Y52" s="15" t="s">
        <v>255</v>
      </c>
      <c r="AA52">
        <v>9</v>
      </c>
      <c r="AB52" s="487"/>
      <c r="AC52" s="90">
        <v>2</v>
      </c>
      <c r="AD52" s="97" t="s">
        <v>101</v>
      </c>
      <c r="AE52" s="39">
        <f t="shared" si="0"/>
        <v>263.15999999999997</v>
      </c>
      <c r="AF52" s="65">
        <f>SUMIFS($I:$I,$C:$C, $AF$2,$G:$G, $AA52,$H:$H, $AC52)</f>
        <v>263.15999999999997</v>
      </c>
      <c r="AG52" s="65">
        <f>SUMIFS($I:$I,$C:$C, $AG$2,$G:$G, $AA52,$H:$H, $AC52)</f>
        <v>0</v>
      </c>
      <c r="AH52" s="65">
        <f>SUMIFS($I:$I,$C:$C, $AH$2,$G:$G, $AA52,$H:$H, $AC52)</f>
        <v>0</v>
      </c>
      <c r="AI52" s="104">
        <f>SUMIFS($I:$I,$C:$C, $AI$2,$G:$G, $AA52,$H:$H, $AC52)</f>
        <v>0</v>
      </c>
      <c r="AJ52" s="115">
        <f t="shared" si="1"/>
        <v>2</v>
      </c>
      <c r="AK52" s="116">
        <f>COUNTIFS($C:$C, $AK$2,$G:$G, $AA52,$H:$H, $AC52)</f>
        <v>2</v>
      </c>
      <c r="AL52" s="116">
        <f>COUNTIFS($C:$C, $AL$2,$G:$G, $AA52,$H:$H, $AC52)</f>
        <v>0</v>
      </c>
      <c r="AM52" s="116">
        <f>COUNTIFS($C:$C, $AM$2,$G:$G, $AA52,$H:$H, $AC52)</f>
        <v>0</v>
      </c>
      <c r="AN52" s="117">
        <f>COUNTIFS($C:$C, $AN$2,$G:$G, $AA52,$H:$H, $AC52)</f>
        <v>0</v>
      </c>
      <c r="AO52" s="39">
        <f t="shared" si="2"/>
        <v>2.6</v>
      </c>
      <c r="AP52" s="65">
        <f>SUMIFS($L:$L,$C:$C, $AP$2,$G:$G, $AA52,$H:$H, $AC52)</f>
        <v>2.6</v>
      </c>
      <c r="AQ52" s="65">
        <f>SUMIFS($L:$L,$C:$C, $AQ$2,$G:$G, $AA52,$H:$H, $AC52)</f>
        <v>0</v>
      </c>
      <c r="AR52" s="65">
        <f>SUMIFS($L:$L,$C:$C, $AR$2,$G:$G, $AA52,$H:$H, $AC52)</f>
        <v>0</v>
      </c>
      <c r="AS52" s="65">
        <f>SUMIFS($L:$L,$C:$C, $AS$2,$G:$G, $AA52,$H:$H, $AC52)</f>
        <v>0</v>
      </c>
    </row>
    <row r="53" spans="2:45" x14ac:dyDescent="0.25">
      <c r="B53" s="15">
        <v>51</v>
      </c>
      <c r="C53" s="8" t="s">
        <v>245</v>
      </c>
      <c r="D53" s="5" t="s">
        <v>246</v>
      </c>
      <c r="E53" s="383">
        <v>16</v>
      </c>
      <c r="F53" s="380">
        <v>46064</v>
      </c>
      <c r="G53" s="8">
        <v>2</v>
      </c>
      <c r="H53" s="8">
        <v>2</v>
      </c>
      <c r="I53" s="8">
        <v>312.18</v>
      </c>
      <c r="J53" s="9">
        <v>310000000</v>
      </c>
      <c r="K53" s="9">
        <f t="shared" si="10"/>
        <v>341000000</v>
      </c>
      <c r="L53" s="35">
        <f t="shared" si="11"/>
        <v>3.1</v>
      </c>
      <c r="M53" s="2" t="s">
        <v>561</v>
      </c>
      <c r="N53" t="s">
        <v>561</v>
      </c>
      <c r="O53" s="19" t="s">
        <v>560</v>
      </c>
      <c r="P53" s="19">
        <v>50</v>
      </c>
      <c r="Q53" s="19" t="s">
        <v>564</v>
      </c>
      <c r="R53" s="21" t="s">
        <v>566</v>
      </c>
      <c r="S53" s="46" t="s">
        <v>250</v>
      </c>
      <c r="T53" s="44" t="s">
        <v>571</v>
      </c>
      <c r="U53" s="77" t="s">
        <v>252</v>
      </c>
      <c r="V53" s="30" t="s">
        <v>600</v>
      </c>
      <c r="W53" s="24">
        <v>1111</v>
      </c>
      <c r="X53" s="193" t="s">
        <v>567</v>
      </c>
      <c r="Y53" s="15" t="s">
        <v>568</v>
      </c>
      <c r="AA53">
        <v>9</v>
      </c>
      <c r="AB53" s="487"/>
      <c r="AC53" s="90">
        <v>3</v>
      </c>
      <c r="AD53" s="97" t="s">
        <v>102</v>
      </c>
      <c r="AE53" s="39">
        <f t="shared" si="0"/>
        <v>2630.14</v>
      </c>
      <c r="AF53" s="65">
        <f>SUMIFS($I:$I,$C:$C, $AF$2,$G:$G, $AA53,$H:$H, $AC53)</f>
        <v>1933.0650000000001</v>
      </c>
      <c r="AG53" s="65">
        <f>SUMIFS($I:$I,$C:$C, $AG$2,$G:$G, $AA53,$H:$H, $AC53)</f>
        <v>276.70500000000004</v>
      </c>
      <c r="AH53" s="65">
        <f>SUMIFS($I:$I,$C:$C, $AH$2,$G:$G, $AA53,$H:$H, $AC53)</f>
        <v>420.37</v>
      </c>
      <c r="AI53" s="104">
        <f>SUMIFS($I:$I,$C:$C, $AI$2,$G:$G, $AA53,$H:$H, $AC53)</f>
        <v>0</v>
      </c>
      <c r="AJ53" s="115">
        <f t="shared" si="1"/>
        <v>6</v>
      </c>
      <c r="AK53" s="116">
        <f>COUNTIFS($C:$C, $AK$2,$G:$G, $AA53,$H:$H, $AC53)</f>
        <v>3</v>
      </c>
      <c r="AL53" s="116">
        <f>COUNTIFS($C:$C, $AL$2,$G:$G, $AA53,$H:$H, $AC53)</f>
        <v>2</v>
      </c>
      <c r="AM53" s="116">
        <f>COUNTIFS($C:$C, $AM$2,$G:$G, $AA53,$H:$H, $AC53)</f>
        <v>1</v>
      </c>
      <c r="AN53" s="117">
        <f>COUNTIFS($C:$C, $AN$2,$G:$G, $AA53,$H:$H, $AC53)</f>
        <v>0</v>
      </c>
      <c r="AO53" s="39">
        <f t="shared" si="2"/>
        <v>28.62</v>
      </c>
      <c r="AP53" s="65">
        <f>SUMIFS($L:$L,$C:$C, $AP$2,$G:$G, $AA53,$H:$H, $AC53)</f>
        <v>19.95</v>
      </c>
      <c r="AQ53" s="65">
        <f>SUMIFS($L:$L,$C:$C, $AQ$2,$G:$G, $AA53,$H:$H, $AC53)</f>
        <v>3.08</v>
      </c>
      <c r="AR53" s="65">
        <f>SUMIFS($L:$L,$C:$C, $AR$2,$G:$G, $AA53,$H:$H, $AC53)</f>
        <v>5.59</v>
      </c>
      <c r="AS53" s="65">
        <f>SUMIFS($L:$L,$C:$C, $AS$2,$G:$G, $AA53,$H:$H, $AC53)</f>
        <v>0</v>
      </c>
    </row>
    <row r="54" spans="2:45" x14ac:dyDescent="0.25">
      <c r="B54" s="15">
        <v>52</v>
      </c>
      <c r="C54" s="8" t="s">
        <v>245</v>
      </c>
      <c r="D54" s="5" t="s">
        <v>246</v>
      </c>
      <c r="E54" s="383">
        <v>17</v>
      </c>
      <c r="F54" s="380">
        <v>46064</v>
      </c>
      <c r="G54" s="8">
        <v>2</v>
      </c>
      <c r="H54" s="8">
        <v>2</v>
      </c>
      <c r="I54" s="8">
        <v>37.409999999999997</v>
      </c>
      <c r="J54" s="9">
        <v>45000000</v>
      </c>
      <c r="K54" s="9">
        <f t="shared" si="10"/>
        <v>49500000.000000007</v>
      </c>
      <c r="L54" s="35">
        <f t="shared" si="11"/>
        <v>0.45</v>
      </c>
      <c r="M54" s="2" t="s">
        <v>561</v>
      </c>
      <c r="N54" t="s">
        <v>561</v>
      </c>
      <c r="O54" s="19" t="s">
        <v>572</v>
      </c>
      <c r="P54" s="19">
        <v>51</v>
      </c>
      <c r="Q54" s="19" t="s">
        <v>573</v>
      </c>
      <c r="R54" s="21" t="s">
        <v>574</v>
      </c>
      <c r="S54" s="46" t="s">
        <v>250</v>
      </c>
      <c r="T54" s="44" t="s">
        <v>575</v>
      </c>
      <c r="U54" s="77" t="s">
        <v>252</v>
      </c>
      <c r="V54" s="30" t="s">
        <v>602</v>
      </c>
      <c r="W54" s="24">
        <v>1111</v>
      </c>
      <c r="X54" s="193" t="s">
        <v>576</v>
      </c>
      <c r="Y54" s="15" t="s">
        <v>568</v>
      </c>
      <c r="AA54">
        <v>9</v>
      </c>
      <c r="AB54" s="487"/>
      <c r="AC54" s="90">
        <v>4</v>
      </c>
      <c r="AD54" s="97" t="s">
        <v>103</v>
      </c>
      <c r="AE54" s="39">
        <f t="shared" si="0"/>
        <v>274.77</v>
      </c>
      <c r="AF54" s="65">
        <f>SUMIFS($I:$I,$C:$C, $AF$2,$G:$G, $AA54,$H:$H, $AC54)</f>
        <v>0</v>
      </c>
      <c r="AG54" s="65">
        <f>SUMIFS($I:$I,$C:$C, $AG$2,$G:$G, $AA54,$H:$H, $AC54)</f>
        <v>274.77</v>
      </c>
      <c r="AH54" s="65">
        <f>SUMIFS($I:$I,$C:$C, $AH$2,$G:$G, $AA54,$H:$H, $AC54)</f>
        <v>0</v>
      </c>
      <c r="AI54" s="104">
        <f>SUMIFS($I:$I,$C:$C, $AI$2,$G:$G, $AA54,$H:$H, $AC54)</f>
        <v>0</v>
      </c>
      <c r="AJ54" s="115">
        <f t="shared" si="1"/>
        <v>1</v>
      </c>
      <c r="AK54" s="116">
        <f>COUNTIFS($C:$C, $AK$2,$G:$G, $AA54,$H:$H, $AC54)</f>
        <v>0</v>
      </c>
      <c r="AL54" s="116">
        <f>COUNTIFS($C:$C, $AL$2,$G:$G, $AA54,$H:$H, $AC54)</f>
        <v>1</v>
      </c>
      <c r="AM54" s="116">
        <f>COUNTIFS($C:$C, $AM$2,$G:$G, $AA54,$H:$H, $AC54)</f>
        <v>0</v>
      </c>
      <c r="AN54" s="117">
        <f>COUNTIFS($C:$C, $AN$2,$G:$G, $AA54,$H:$H, $AC54)</f>
        <v>0</v>
      </c>
      <c r="AO54" s="39">
        <f t="shared" si="2"/>
        <v>2.77</v>
      </c>
      <c r="AP54" s="65">
        <f>SUMIFS($L:$L,$C:$C, $AP$2,$G:$G, $AA54,$H:$H, $AC54)</f>
        <v>0</v>
      </c>
      <c r="AQ54" s="65">
        <f>SUMIFS($L:$L,$C:$C, $AQ$2,$G:$G, $AA54,$H:$H, $AC54)</f>
        <v>2.77</v>
      </c>
      <c r="AR54" s="65">
        <f>SUMIFS($L:$L,$C:$C, $AR$2,$G:$G, $AA54,$H:$H, $AC54)</f>
        <v>0</v>
      </c>
      <c r="AS54" s="65">
        <f>SUMIFS($L:$L,$C:$C, $AS$2,$G:$G, $AA54,$H:$H, $AC54)</f>
        <v>0</v>
      </c>
    </row>
    <row r="55" spans="2:45" ht="18" customHeight="1" x14ac:dyDescent="0.25">
      <c r="B55" s="15">
        <v>53</v>
      </c>
      <c r="C55" s="8" t="s">
        <v>112</v>
      </c>
      <c r="D55" s="5" t="s">
        <v>246</v>
      </c>
      <c r="E55" s="383">
        <v>37</v>
      </c>
      <c r="F55" s="380" t="s">
        <v>580</v>
      </c>
      <c r="G55" s="8">
        <v>2</v>
      </c>
      <c r="H55" s="8">
        <v>3</v>
      </c>
      <c r="I55" s="8">
        <v>123.84</v>
      </c>
      <c r="J55" s="9">
        <v>124000000</v>
      </c>
      <c r="K55" s="9">
        <f t="shared" si="10"/>
        <v>136400000</v>
      </c>
      <c r="L55" s="35">
        <f t="shared" si="11"/>
        <v>1.24</v>
      </c>
      <c r="M55" s="2" t="s">
        <v>581</v>
      </c>
      <c r="N55" t="s">
        <v>582</v>
      </c>
      <c r="O55" s="19" t="s">
        <v>583</v>
      </c>
      <c r="P55" s="19">
        <v>52</v>
      </c>
      <c r="Q55" s="19" t="s">
        <v>271</v>
      </c>
      <c r="R55" s="21" t="s">
        <v>584</v>
      </c>
      <c r="S55" s="46" t="s">
        <v>250</v>
      </c>
      <c r="T55" s="44" t="s">
        <v>585</v>
      </c>
      <c r="U55" s="77" t="s">
        <v>252</v>
      </c>
      <c r="V55" s="24" t="s">
        <v>268</v>
      </c>
      <c r="W55" s="24"/>
      <c r="X55" s="193" t="s">
        <v>155</v>
      </c>
      <c r="Y55" s="15" t="s">
        <v>255</v>
      </c>
      <c r="AA55">
        <v>9</v>
      </c>
      <c r="AB55" s="487"/>
      <c r="AC55" s="91">
        <v>5</v>
      </c>
      <c r="AD55" s="100"/>
      <c r="AE55" s="39">
        <f t="shared" si="0"/>
        <v>0</v>
      </c>
      <c r="AF55" s="65">
        <f>SUMIFS($I:$I,$C:$C, $AF$2,$G:$G, $AA55,$H:$H, $AC55)</f>
        <v>0</v>
      </c>
      <c r="AG55" s="65">
        <f>SUMIFS($I:$I,$C:$C, $AG$2,$G:$G, $AA55,$H:$H, $AC55)</f>
        <v>0</v>
      </c>
      <c r="AH55" s="65">
        <f>SUMIFS($I:$I,$C:$C, $AH$2,$G:$G, $AA55,$H:$H, $AC55)</f>
        <v>0</v>
      </c>
      <c r="AI55" s="104">
        <f>SUMIFS($I:$I,$C:$C, $AI$2,$G:$G, $AA55,$H:$H, $AC55)</f>
        <v>0</v>
      </c>
      <c r="AJ55" s="115">
        <f t="shared" si="1"/>
        <v>0</v>
      </c>
      <c r="AK55" s="116">
        <f>COUNTIFS($C:$C, $AK$2,$G:$G, $AA55,$H:$H, $AC55)</f>
        <v>0</v>
      </c>
      <c r="AL55" s="116">
        <f>COUNTIFS($C:$C, $AL$2,$G:$G, $AA55,$H:$H, $AC55)</f>
        <v>0</v>
      </c>
      <c r="AM55" s="116">
        <f>COUNTIFS($C:$C, $AM$2,$G:$G, $AA55,$H:$H, $AC55)</f>
        <v>0</v>
      </c>
      <c r="AN55" s="117">
        <f>COUNTIFS($C:$C, $AN$2,$G:$G, $AA55,$H:$H, $AC55)</f>
        <v>0</v>
      </c>
      <c r="AO55" s="39">
        <f t="shared" si="2"/>
        <v>0</v>
      </c>
      <c r="AP55" s="65">
        <f>SUMIFS($L:$L,$C:$C, $AP$2,$G:$G, $AA55,$H:$H, $AC55)</f>
        <v>0</v>
      </c>
      <c r="AQ55" s="65">
        <f>SUMIFS($L:$L,$C:$C, $AQ$2,$G:$G, $AA55,$H:$H, $AC55)</f>
        <v>0</v>
      </c>
      <c r="AR55" s="65">
        <f>SUMIFS($L:$L,$C:$C, $AR$2,$G:$G, $AA55,$H:$H, $AC55)</f>
        <v>0</v>
      </c>
      <c r="AS55" s="65">
        <f>SUMIFS($L:$L,$C:$C, $AS$2,$G:$G, $AA55,$H:$H, $AC55)</f>
        <v>0</v>
      </c>
    </row>
    <row r="56" spans="2:45" ht="14.25" thickBot="1" x14ac:dyDescent="0.3">
      <c r="B56" s="15">
        <v>54</v>
      </c>
      <c r="C56" s="8" t="s">
        <v>245</v>
      </c>
      <c r="D56" s="5" t="s">
        <v>246</v>
      </c>
      <c r="E56" s="383">
        <v>18</v>
      </c>
      <c r="F56" s="380">
        <v>46066</v>
      </c>
      <c r="G56" s="8">
        <v>2</v>
      </c>
      <c r="H56" s="8">
        <v>3</v>
      </c>
      <c r="I56" s="8">
        <v>206.4</v>
      </c>
      <c r="J56" s="9">
        <v>202000000</v>
      </c>
      <c r="K56" s="9">
        <f t="shared" si="10"/>
        <v>222200000.00000003</v>
      </c>
      <c r="L56" s="35">
        <f t="shared" si="11"/>
        <v>2.02</v>
      </c>
      <c r="M56" s="4" t="s">
        <v>586</v>
      </c>
      <c r="N56" t="s">
        <v>587</v>
      </c>
      <c r="O56" s="19" t="s">
        <v>588</v>
      </c>
      <c r="P56" s="19">
        <v>53</v>
      </c>
      <c r="Q56" s="19" t="s">
        <v>590</v>
      </c>
      <c r="R56" s="21" t="s">
        <v>591</v>
      </c>
      <c r="S56" s="46" t="s">
        <v>250</v>
      </c>
      <c r="T56" s="44" t="s">
        <v>593</v>
      </c>
      <c r="U56" s="77" t="s">
        <v>252</v>
      </c>
      <c r="V56" s="24" t="s">
        <v>253</v>
      </c>
      <c r="W56" s="24">
        <v>1111</v>
      </c>
      <c r="X56" s="193" t="s">
        <v>156</v>
      </c>
      <c r="Y56" s="15" t="s">
        <v>595</v>
      </c>
      <c r="AA56">
        <v>9</v>
      </c>
      <c r="AB56" s="488"/>
      <c r="AC56" s="92" t="s">
        <v>3</v>
      </c>
      <c r="AD56" s="101"/>
      <c r="AE56" s="94">
        <f t="shared" ref="AE56:AS56" si="20">SUM(AE51:AE55)</f>
        <v>4640.6049999999996</v>
      </c>
      <c r="AF56" s="94">
        <f t="shared" si="20"/>
        <v>3579.75</v>
      </c>
      <c r="AG56" s="94">
        <f t="shared" si="20"/>
        <v>640.48500000000001</v>
      </c>
      <c r="AH56" s="94">
        <f t="shared" si="20"/>
        <v>420.37</v>
      </c>
      <c r="AI56" s="105">
        <f t="shared" si="20"/>
        <v>0</v>
      </c>
      <c r="AJ56" s="118">
        <f t="shared" si="20"/>
        <v>14</v>
      </c>
      <c r="AK56" s="119">
        <f t="shared" si="20"/>
        <v>9</v>
      </c>
      <c r="AL56" s="119">
        <f t="shared" si="20"/>
        <v>4</v>
      </c>
      <c r="AM56" s="119">
        <f t="shared" si="20"/>
        <v>1</v>
      </c>
      <c r="AN56" s="120">
        <f t="shared" si="20"/>
        <v>0</v>
      </c>
      <c r="AO56" s="94">
        <f t="shared" si="20"/>
        <v>47.650000000000006</v>
      </c>
      <c r="AP56" s="94">
        <f t="shared" si="20"/>
        <v>35.21</v>
      </c>
      <c r="AQ56" s="94">
        <f t="shared" si="20"/>
        <v>6.85</v>
      </c>
      <c r="AR56" s="94">
        <f t="shared" si="20"/>
        <v>5.59</v>
      </c>
      <c r="AS56" s="94">
        <f t="shared" si="20"/>
        <v>0</v>
      </c>
    </row>
    <row r="57" spans="2:45" x14ac:dyDescent="0.25">
      <c r="B57" s="15">
        <v>55</v>
      </c>
      <c r="C57" s="8" t="s">
        <v>245</v>
      </c>
      <c r="D57" s="5" t="s">
        <v>246</v>
      </c>
      <c r="E57" s="383">
        <v>19</v>
      </c>
      <c r="F57" s="380">
        <v>46066</v>
      </c>
      <c r="G57" s="8">
        <v>2</v>
      </c>
      <c r="H57" s="8">
        <v>3</v>
      </c>
      <c r="I57" s="8">
        <v>211.56</v>
      </c>
      <c r="J57" s="9">
        <v>208000000</v>
      </c>
      <c r="K57" s="9">
        <f t="shared" si="10"/>
        <v>228800000.00000003</v>
      </c>
      <c r="L57" s="35">
        <f t="shared" si="11"/>
        <v>2.08</v>
      </c>
      <c r="M57" s="2" t="s">
        <v>586</v>
      </c>
      <c r="N57" t="s">
        <v>587</v>
      </c>
      <c r="O57" s="19" t="s">
        <v>589</v>
      </c>
      <c r="P57" s="19">
        <v>53</v>
      </c>
      <c r="Q57" s="19" t="s">
        <v>590</v>
      </c>
      <c r="R57" s="21" t="s">
        <v>592</v>
      </c>
      <c r="S57" s="46" t="s">
        <v>250</v>
      </c>
      <c r="T57" s="44" t="s">
        <v>594</v>
      </c>
      <c r="U57" s="77" t="s">
        <v>252</v>
      </c>
      <c r="V57" s="24" t="s">
        <v>253</v>
      </c>
      <c r="W57" s="24">
        <v>1111</v>
      </c>
      <c r="X57" s="193" t="s">
        <v>156</v>
      </c>
      <c r="Y57" s="15" t="s">
        <v>595</v>
      </c>
      <c r="AA57">
        <v>10</v>
      </c>
      <c r="AB57" s="486">
        <v>10</v>
      </c>
      <c r="AC57" s="89">
        <v>1</v>
      </c>
      <c r="AD57" s="95" t="s">
        <v>104</v>
      </c>
      <c r="AE57" s="39">
        <f t="shared" si="0"/>
        <v>0</v>
      </c>
      <c r="AF57" s="65">
        <f>SUMIFS($I:$I,$C:$C, $AF$2,$G:$G, $AA57,$H:$H, $AC57)</f>
        <v>0</v>
      </c>
      <c r="AG57" s="65">
        <f>SUMIFS($I:$I,$C:$C, $AG$2,$G:$G, $AA57,$H:$H, $AC57)</f>
        <v>0</v>
      </c>
      <c r="AH57" s="65">
        <f>SUMIFS($I:$I,$C:$C, $AH$2,$G:$G, $AA57,$H:$H, $AC57)</f>
        <v>0</v>
      </c>
      <c r="AI57" s="104">
        <f>SUMIFS($I:$I,$C:$C, $AI$2,$G:$G, $AA57,$H:$H, $AC57)</f>
        <v>0</v>
      </c>
      <c r="AJ57" s="115">
        <f t="shared" si="1"/>
        <v>0</v>
      </c>
      <c r="AK57" s="116">
        <f>COUNTIFS($C:$C, $AK$2,$G:$G, $AA57,$H:$H, $AC57)</f>
        <v>0</v>
      </c>
      <c r="AL57" s="116">
        <f>COUNTIFS($C:$C, $AL$2,$G:$G, $AA57,$H:$H, $AC57)</f>
        <v>0</v>
      </c>
      <c r="AM57" s="116">
        <f>COUNTIFS($C:$C, $AM$2,$G:$G, $AA57,$H:$H, $AC57)</f>
        <v>0</v>
      </c>
      <c r="AN57" s="117">
        <f>COUNTIFS($C:$C, $AN$2,$G:$G, $AA57,$H:$H, $AC57)</f>
        <v>0</v>
      </c>
      <c r="AO57" s="39">
        <f t="shared" si="2"/>
        <v>0</v>
      </c>
      <c r="AP57" s="65">
        <f>SUMIFS($L:$L,$C:$C, $AP$2,$G:$G, $AA57,$H:$H, $AC57)</f>
        <v>0</v>
      </c>
      <c r="AQ57" s="65">
        <f>SUMIFS($L:$L,$C:$C, $AQ$2,$G:$G, $AA57,$H:$H, $AC57)</f>
        <v>0</v>
      </c>
      <c r="AR57" s="65">
        <f>SUMIFS($L:$L,$C:$C, $AR$2,$G:$G, $AA57,$H:$H, $AC57)</f>
        <v>0</v>
      </c>
      <c r="AS57" s="65">
        <f>SUMIFS($L:$L,$C:$C, $AS$2,$G:$G, $AA57,$H:$H, $AC57)</f>
        <v>0</v>
      </c>
    </row>
    <row r="58" spans="2:45" x14ac:dyDescent="0.25">
      <c r="B58" s="15">
        <v>56</v>
      </c>
      <c r="C58" s="8" t="s">
        <v>245</v>
      </c>
      <c r="D58" s="5" t="s">
        <v>246</v>
      </c>
      <c r="E58" s="383">
        <v>20</v>
      </c>
      <c r="F58" s="380">
        <v>46066</v>
      </c>
      <c r="G58" s="8">
        <v>2</v>
      </c>
      <c r="H58" s="8">
        <v>3</v>
      </c>
      <c r="I58" s="8">
        <v>463.755</v>
      </c>
      <c r="J58" s="9">
        <v>444000000</v>
      </c>
      <c r="K58" s="9">
        <f t="shared" si="10"/>
        <v>488400000.00000006</v>
      </c>
      <c r="L58" s="35">
        <f t="shared" si="11"/>
        <v>4.4400000000000004</v>
      </c>
      <c r="M58" s="2" t="s">
        <v>596</v>
      </c>
      <c r="N58" t="s">
        <v>146</v>
      </c>
      <c r="O58" s="19" t="s">
        <v>597</v>
      </c>
      <c r="P58" s="19">
        <v>54</v>
      </c>
      <c r="Q58" s="19" t="s">
        <v>603</v>
      </c>
      <c r="R58" s="21" t="s">
        <v>604</v>
      </c>
      <c r="S58" s="46" t="s">
        <v>250</v>
      </c>
      <c r="T58" s="44" t="s">
        <v>605</v>
      </c>
      <c r="U58" s="77" t="s">
        <v>252</v>
      </c>
      <c r="V58" s="30" t="s">
        <v>598</v>
      </c>
      <c r="W58" s="24">
        <v>1111</v>
      </c>
      <c r="X58" s="193" t="s">
        <v>153</v>
      </c>
      <c r="Y58" s="15" t="s">
        <v>606</v>
      </c>
      <c r="AA58">
        <v>10</v>
      </c>
      <c r="AB58" s="487"/>
      <c r="AC58" s="90">
        <v>2</v>
      </c>
      <c r="AD58" s="96" t="s">
        <v>54</v>
      </c>
      <c r="AE58" s="39">
        <f t="shared" si="0"/>
        <v>0</v>
      </c>
      <c r="AF58" s="65">
        <f>SUMIFS($I:$I,$C:$C, $AF$2,$G:$G, $AA58,$H:$H, $AC58)</f>
        <v>0</v>
      </c>
      <c r="AG58" s="65">
        <f>SUMIFS($I:$I,$C:$C, $AG$2,$G:$G, $AA58,$H:$H, $AC58)</f>
        <v>0</v>
      </c>
      <c r="AH58" s="65">
        <f>SUMIFS($I:$I,$C:$C, $AH$2,$G:$G, $AA58,$H:$H, $AC58)</f>
        <v>0</v>
      </c>
      <c r="AI58" s="104">
        <f>SUMIFS($I:$I,$C:$C, $AI$2,$G:$G, $AA58,$H:$H, $AC58)</f>
        <v>0</v>
      </c>
      <c r="AJ58" s="115">
        <f t="shared" si="1"/>
        <v>0</v>
      </c>
      <c r="AK58" s="116">
        <f>COUNTIFS($C:$C, $AK$2,$G:$G, $AA58,$H:$H, $AC58)</f>
        <v>0</v>
      </c>
      <c r="AL58" s="116">
        <f>COUNTIFS($C:$C, $AL$2,$G:$G, $AA58,$H:$H, $AC58)</f>
        <v>0</v>
      </c>
      <c r="AM58" s="116">
        <f>COUNTIFS($C:$C, $AM$2,$G:$G, $AA58,$H:$H, $AC58)</f>
        <v>0</v>
      </c>
      <c r="AN58" s="117">
        <f>COUNTIFS($C:$C, $AN$2,$G:$G, $AA58,$H:$H, $AC58)</f>
        <v>0</v>
      </c>
      <c r="AO58" s="39">
        <f t="shared" si="2"/>
        <v>0</v>
      </c>
      <c r="AP58" s="65">
        <f>SUMIFS($L:$L,$C:$C, $AP$2,$G:$G, $AA58,$H:$H, $AC58)</f>
        <v>0</v>
      </c>
      <c r="AQ58" s="65">
        <f>SUMIFS($L:$L,$C:$C, $AQ$2,$G:$G, $AA58,$H:$H, $AC58)</f>
        <v>0</v>
      </c>
      <c r="AR58" s="65">
        <f>SUMIFS($L:$L,$C:$C, $AR$2,$G:$G, $AA58,$H:$H, $AC58)</f>
        <v>0</v>
      </c>
      <c r="AS58" s="65">
        <f>SUMIFS($L:$L,$C:$C, $AS$2,$G:$G, $AA58,$H:$H, $AC58)</f>
        <v>0</v>
      </c>
    </row>
    <row r="59" spans="2:45" x14ac:dyDescent="0.25">
      <c r="B59" s="15">
        <v>57</v>
      </c>
      <c r="C59" s="8" t="s">
        <v>112</v>
      </c>
      <c r="D59" s="5" t="s">
        <v>246</v>
      </c>
      <c r="E59" s="383">
        <v>36</v>
      </c>
      <c r="F59" s="380" t="s">
        <v>607</v>
      </c>
      <c r="G59" s="8">
        <v>2</v>
      </c>
      <c r="H59" s="8">
        <v>3</v>
      </c>
      <c r="I59" s="8">
        <v>400.54500000000002</v>
      </c>
      <c r="J59" s="9">
        <v>382000000</v>
      </c>
      <c r="K59" s="9">
        <f t="shared" si="10"/>
        <v>420200000.00000006</v>
      </c>
      <c r="L59" s="35">
        <f t="shared" si="11"/>
        <v>3.8200000000000003</v>
      </c>
      <c r="M59" s="2" t="s">
        <v>259</v>
      </c>
      <c r="N59" t="s">
        <v>275</v>
      </c>
      <c r="O59" s="19" t="s">
        <v>608</v>
      </c>
      <c r="P59" s="19">
        <v>55</v>
      </c>
      <c r="Q59" s="19" t="s">
        <v>609</v>
      </c>
      <c r="R59" s="21" t="s">
        <v>610</v>
      </c>
      <c r="S59" s="46" t="s">
        <v>250</v>
      </c>
      <c r="T59" s="44" t="s">
        <v>611</v>
      </c>
      <c r="U59" s="77" t="s">
        <v>252</v>
      </c>
      <c r="V59" s="30" t="s">
        <v>612</v>
      </c>
      <c r="W59" s="24"/>
      <c r="X59" s="193" t="s">
        <v>613</v>
      </c>
      <c r="Y59" s="15" t="s">
        <v>614</v>
      </c>
      <c r="AA59">
        <v>10</v>
      </c>
      <c r="AB59" s="487"/>
      <c r="AC59" s="90">
        <v>3</v>
      </c>
      <c r="AD59" s="97" t="s">
        <v>55</v>
      </c>
      <c r="AE59" s="39">
        <f t="shared" si="0"/>
        <v>0</v>
      </c>
      <c r="AF59" s="65">
        <f>SUMIFS($I:$I,$C:$C, $AF$2,$G:$G, $AA59,$H:$H, $AC59)</f>
        <v>0</v>
      </c>
      <c r="AG59" s="65">
        <f>SUMIFS($I:$I,$C:$C, $AG$2,$G:$G, $AA59,$H:$H, $AC59)</f>
        <v>0</v>
      </c>
      <c r="AH59" s="65">
        <f>SUMIFS($I:$I,$C:$C, $AH$2,$G:$G, $AA59,$H:$H, $AC59)</f>
        <v>0</v>
      </c>
      <c r="AI59" s="104">
        <f>SUMIFS($I:$I,$C:$C, $AI$2,$G:$G, $AA59,$H:$H, $AC59)</f>
        <v>0</v>
      </c>
      <c r="AJ59" s="115">
        <f t="shared" si="1"/>
        <v>0</v>
      </c>
      <c r="AK59" s="116">
        <f>COUNTIFS($C:$C, $AK$2,$G:$G, $AA59,$H:$H, $AC59)</f>
        <v>0</v>
      </c>
      <c r="AL59" s="116">
        <f>COUNTIFS($C:$C, $AL$2,$G:$G, $AA59,$H:$H, $AC59)</f>
        <v>0</v>
      </c>
      <c r="AM59" s="116">
        <f>COUNTIFS($C:$C, $AM$2,$G:$G, $AA59,$H:$H, $AC59)</f>
        <v>0</v>
      </c>
      <c r="AN59" s="117">
        <f>COUNTIFS($C:$C, $AN$2,$G:$G, $AA59,$H:$H, $AC59)</f>
        <v>0</v>
      </c>
      <c r="AO59" s="39">
        <f t="shared" si="2"/>
        <v>0</v>
      </c>
      <c r="AP59" s="65">
        <f>SUMIFS($L:$L,$C:$C, $AP$2,$G:$G, $AA59,$H:$H, $AC59)</f>
        <v>0</v>
      </c>
      <c r="AQ59" s="65">
        <f>SUMIFS($L:$L,$C:$C, $AQ$2,$G:$G, $AA59,$H:$H, $AC59)</f>
        <v>0</v>
      </c>
      <c r="AR59" s="65">
        <f>SUMIFS($L:$L,$C:$C, $AR$2,$G:$G, $AA59,$H:$H, $AC59)</f>
        <v>0</v>
      </c>
      <c r="AS59" s="65">
        <f>SUMIFS($L:$L,$C:$C, $AS$2,$G:$G, $AA59,$H:$H, $AC59)</f>
        <v>0</v>
      </c>
    </row>
    <row r="60" spans="2:45" x14ac:dyDescent="0.25">
      <c r="B60" s="15">
        <v>58</v>
      </c>
      <c r="C60" s="8" t="s">
        <v>112</v>
      </c>
      <c r="D60" s="5" t="s">
        <v>246</v>
      </c>
      <c r="E60" s="383">
        <v>38</v>
      </c>
      <c r="F60" s="380" t="s">
        <v>619</v>
      </c>
      <c r="G60" s="8">
        <v>2</v>
      </c>
      <c r="H60" s="8">
        <v>4</v>
      </c>
      <c r="I60" s="8">
        <v>82.56</v>
      </c>
      <c r="J60" s="9">
        <v>80000000</v>
      </c>
      <c r="K60" s="9">
        <f t="shared" si="10"/>
        <v>88000000</v>
      </c>
      <c r="L60" s="35">
        <f t="shared" si="11"/>
        <v>0.8</v>
      </c>
      <c r="M60" s="2" t="s">
        <v>620</v>
      </c>
      <c r="N60" t="s">
        <v>621</v>
      </c>
      <c r="O60" s="19" t="s">
        <v>622</v>
      </c>
      <c r="P60" s="19">
        <v>56</v>
      </c>
      <c r="Q60" s="19" t="s">
        <v>623</v>
      </c>
      <c r="R60" s="21" t="s">
        <v>624</v>
      </c>
      <c r="S60" s="46" t="s">
        <v>250</v>
      </c>
      <c r="T60" s="44" t="s">
        <v>625</v>
      </c>
      <c r="U60" s="77" t="s">
        <v>626</v>
      </c>
      <c r="V60" s="30" t="s">
        <v>627</v>
      </c>
      <c r="W60" s="24"/>
      <c r="X60" s="193" t="s">
        <v>155</v>
      </c>
      <c r="Y60" s="15" t="s">
        <v>628</v>
      </c>
      <c r="AA60">
        <v>10</v>
      </c>
      <c r="AB60" s="487"/>
      <c r="AC60" s="90">
        <v>4</v>
      </c>
      <c r="AD60" s="97" t="s">
        <v>56</v>
      </c>
      <c r="AE60" s="39">
        <f t="shared" si="0"/>
        <v>0</v>
      </c>
      <c r="AF60" s="65">
        <f>SUMIFS($I:$I,$C:$C, $AF$2,$G:$G, $AA60,$H:$H, $AC60)</f>
        <v>0</v>
      </c>
      <c r="AG60" s="65">
        <f>SUMIFS($I:$I,$C:$C, $AG$2,$G:$G, $AA60,$H:$H, $AC60)</f>
        <v>0</v>
      </c>
      <c r="AH60" s="65">
        <f>SUMIFS($I:$I,$C:$C, $AH$2,$G:$G, $AA60,$H:$H, $AC60)</f>
        <v>0</v>
      </c>
      <c r="AI60" s="104">
        <f>SUMIFS($I:$I,$C:$C, $AI$2,$G:$G, $AA60,$H:$H, $AC60)</f>
        <v>0</v>
      </c>
      <c r="AJ60" s="115">
        <f t="shared" si="1"/>
        <v>0</v>
      </c>
      <c r="AK60" s="116">
        <f>COUNTIFS($C:$C, $AK$2,$G:$G, $AA60,$H:$H, $AC60)</f>
        <v>0</v>
      </c>
      <c r="AL60" s="116">
        <f>COUNTIFS($C:$C, $AL$2,$G:$G, $AA60,$H:$H, $AC60)</f>
        <v>0</v>
      </c>
      <c r="AM60" s="116">
        <f>COUNTIFS($C:$C, $AM$2,$G:$G, $AA60,$H:$H, $AC60)</f>
        <v>0</v>
      </c>
      <c r="AN60" s="117">
        <f>COUNTIFS($C:$C, $AN$2,$G:$G, $AA60,$H:$H, $AC60)</f>
        <v>0</v>
      </c>
      <c r="AO60" s="39">
        <f t="shared" si="2"/>
        <v>0</v>
      </c>
      <c r="AP60" s="65">
        <f>SUMIFS($L:$L,$C:$C, $AP$2,$G:$G, $AA60,$H:$H, $AC60)</f>
        <v>0</v>
      </c>
      <c r="AQ60" s="65">
        <f>SUMIFS($L:$L,$C:$C, $AQ$2,$G:$G, $AA60,$H:$H, $AC60)</f>
        <v>0</v>
      </c>
      <c r="AR60" s="65">
        <f>SUMIFS($L:$L,$C:$C, $AR$2,$G:$G, $AA60,$H:$H, $AC60)</f>
        <v>0</v>
      </c>
      <c r="AS60" s="65">
        <f>SUMIFS($L:$L,$C:$C, $AS$2,$G:$G, $AA60,$H:$H, $AC60)</f>
        <v>0</v>
      </c>
    </row>
    <row r="61" spans="2:45" x14ac:dyDescent="0.25">
      <c r="B61" s="15">
        <v>59</v>
      </c>
      <c r="C61" s="8" t="s">
        <v>112</v>
      </c>
      <c r="D61" s="5" t="s">
        <v>246</v>
      </c>
      <c r="E61" s="383">
        <v>39</v>
      </c>
      <c r="F61" s="380" t="s">
        <v>630</v>
      </c>
      <c r="G61" s="8">
        <v>2</v>
      </c>
      <c r="H61" s="8">
        <v>4</v>
      </c>
      <c r="I61" s="8">
        <v>74.819999999999993</v>
      </c>
      <c r="J61" s="9">
        <v>83000000</v>
      </c>
      <c r="K61" s="9">
        <f t="shared" si="10"/>
        <v>91300000</v>
      </c>
      <c r="L61" s="35">
        <f t="shared" si="11"/>
        <v>0.83000000000000007</v>
      </c>
      <c r="M61" s="2" t="s">
        <v>631</v>
      </c>
      <c r="N61" t="s">
        <v>632</v>
      </c>
      <c r="O61" s="19" t="s">
        <v>633</v>
      </c>
      <c r="P61" s="19">
        <v>57</v>
      </c>
      <c r="Q61" s="19" t="s">
        <v>634</v>
      </c>
      <c r="R61" s="21" t="s">
        <v>635</v>
      </c>
      <c r="S61" s="46" t="s">
        <v>250</v>
      </c>
      <c r="T61" s="44" t="s">
        <v>636</v>
      </c>
      <c r="U61" s="77" t="s">
        <v>252</v>
      </c>
      <c r="V61" s="30" t="s">
        <v>268</v>
      </c>
      <c r="W61" s="24"/>
      <c r="X61" s="193" t="s">
        <v>155</v>
      </c>
      <c r="Y61" s="15" t="s">
        <v>255</v>
      </c>
      <c r="AA61">
        <v>10</v>
      </c>
      <c r="AB61" s="487"/>
      <c r="AC61" s="91">
        <v>5</v>
      </c>
      <c r="AD61" s="51" t="s">
        <v>57</v>
      </c>
      <c r="AE61" s="39">
        <f t="shared" si="0"/>
        <v>0</v>
      </c>
      <c r="AF61" s="65">
        <f>SUMIFS($I:$I,$C:$C, $AF$2,$G:$G, $AA61,$H:$H, $AC61)</f>
        <v>0</v>
      </c>
      <c r="AG61" s="65">
        <f>SUMIFS($I:$I,$C:$C, $AG$2,$G:$G, $AA61,$H:$H, $AC61)</f>
        <v>0</v>
      </c>
      <c r="AH61" s="65">
        <f>SUMIFS($I:$I,$C:$C, $AH$2,$G:$G, $AA61,$H:$H, $AC61)</f>
        <v>0</v>
      </c>
      <c r="AI61" s="104">
        <f>SUMIFS($I:$I,$C:$C, $AI$2,$G:$G, $AA61,$H:$H, $AC61)</f>
        <v>0</v>
      </c>
      <c r="AJ61" s="115">
        <f t="shared" si="1"/>
        <v>0</v>
      </c>
      <c r="AK61" s="116">
        <f>COUNTIFS($C:$C, $AK$2,$G:$G, $AA61,$H:$H, $AC61)</f>
        <v>0</v>
      </c>
      <c r="AL61" s="116">
        <f>COUNTIFS($C:$C, $AL$2,$G:$G, $AA61,$H:$H, $AC61)</f>
        <v>0</v>
      </c>
      <c r="AM61" s="116">
        <f>COUNTIFS($C:$C, $AM$2,$G:$G, $AA61,$H:$H, $AC61)</f>
        <v>0</v>
      </c>
      <c r="AN61" s="117">
        <f>COUNTIFS($C:$C, $AN$2,$G:$G, $AA61,$H:$H, $AC61)</f>
        <v>0</v>
      </c>
      <c r="AO61" s="39">
        <f t="shared" si="2"/>
        <v>0</v>
      </c>
      <c r="AP61" s="65">
        <f>SUMIFS($L:$L,$C:$C, $AP$2,$G:$G, $AA61,$H:$H, $AC61)</f>
        <v>0</v>
      </c>
      <c r="AQ61" s="65">
        <f>SUMIFS($L:$L,$C:$C, $AQ$2,$G:$G, $AA61,$H:$H, $AC61)</f>
        <v>0</v>
      </c>
      <c r="AR61" s="65">
        <f>SUMIFS($L:$L,$C:$C, $AR$2,$G:$G, $AA61,$H:$H, $AC61)</f>
        <v>0</v>
      </c>
      <c r="AS61" s="65">
        <f>SUMIFS($L:$L,$C:$C, $AS$2,$G:$G, $AA61,$H:$H, $AC61)</f>
        <v>0</v>
      </c>
    </row>
    <row r="62" spans="2:45" ht="14.25" thickBot="1" x14ac:dyDescent="0.3">
      <c r="B62" s="15">
        <v>60</v>
      </c>
      <c r="C62" s="8" t="s">
        <v>112</v>
      </c>
      <c r="D62" s="5" t="s">
        <v>246</v>
      </c>
      <c r="E62" s="383">
        <v>40</v>
      </c>
      <c r="F62" s="380" t="s">
        <v>637</v>
      </c>
      <c r="G62" s="8">
        <v>2</v>
      </c>
      <c r="H62" s="8">
        <v>4</v>
      </c>
      <c r="I62" s="8">
        <v>120.61499999999999</v>
      </c>
      <c r="J62" s="9">
        <v>125000000</v>
      </c>
      <c r="K62" s="9">
        <f t="shared" si="10"/>
        <v>137500000</v>
      </c>
      <c r="L62" s="35">
        <f t="shared" si="11"/>
        <v>1.25</v>
      </c>
      <c r="M62" s="2" t="s">
        <v>279</v>
      </c>
      <c r="N62" t="s">
        <v>147</v>
      </c>
      <c r="O62" s="19" t="s">
        <v>638</v>
      </c>
      <c r="P62" s="19">
        <v>58</v>
      </c>
      <c r="Q62" s="19" t="s">
        <v>639</v>
      </c>
      <c r="R62" s="21" t="s">
        <v>640</v>
      </c>
      <c r="S62" s="46" t="s">
        <v>250</v>
      </c>
      <c r="T62" s="44" t="s">
        <v>641</v>
      </c>
      <c r="U62" s="77" t="s">
        <v>252</v>
      </c>
      <c r="V62" s="30" t="s">
        <v>268</v>
      </c>
      <c r="W62" s="24"/>
      <c r="X62" s="193" t="s">
        <v>155</v>
      </c>
      <c r="Y62" s="15" t="s">
        <v>255</v>
      </c>
      <c r="AA62">
        <v>10</v>
      </c>
      <c r="AB62" s="488"/>
      <c r="AC62" s="92" t="s">
        <v>3</v>
      </c>
      <c r="AD62" s="101"/>
      <c r="AE62" s="94">
        <f t="shared" ref="AE62:AS62" si="21">SUM(AE57:AE61)</f>
        <v>0</v>
      </c>
      <c r="AF62" s="94">
        <f t="shared" si="21"/>
        <v>0</v>
      </c>
      <c r="AG62" s="94">
        <f t="shared" si="21"/>
        <v>0</v>
      </c>
      <c r="AH62" s="94">
        <f t="shared" si="21"/>
        <v>0</v>
      </c>
      <c r="AI62" s="105">
        <f t="shared" si="21"/>
        <v>0</v>
      </c>
      <c r="AJ62" s="118">
        <f t="shared" si="21"/>
        <v>0</v>
      </c>
      <c r="AK62" s="119">
        <f t="shared" si="21"/>
        <v>0</v>
      </c>
      <c r="AL62" s="119">
        <f t="shared" si="21"/>
        <v>0</v>
      </c>
      <c r="AM62" s="119">
        <f t="shared" si="21"/>
        <v>0</v>
      </c>
      <c r="AN62" s="120">
        <f t="shared" si="21"/>
        <v>0</v>
      </c>
      <c r="AO62" s="94">
        <f t="shared" si="21"/>
        <v>0</v>
      </c>
      <c r="AP62" s="94">
        <f t="shared" si="21"/>
        <v>0</v>
      </c>
      <c r="AQ62" s="94">
        <f t="shared" si="21"/>
        <v>0</v>
      </c>
      <c r="AR62" s="94">
        <f t="shared" si="21"/>
        <v>0</v>
      </c>
      <c r="AS62" s="94">
        <f t="shared" si="21"/>
        <v>0</v>
      </c>
    </row>
    <row r="63" spans="2:45" x14ac:dyDescent="0.25">
      <c r="B63" s="15">
        <v>61</v>
      </c>
      <c r="C63" s="8" t="s">
        <v>245</v>
      </c>
      <c r="D63" s="5" t="s">
        <v>246</v>
      </c>
      <c r="E63" s="383">
        <v>21</v>
      </c>
      <c r="F63" s="380">
        <v>46077</v>
      </c>
      <c r="G63" s="8">
        <v>2</v>
      </c>
      <c r="H63" s="8">
        <v>4</v>
      </c>
      <c r="I63" s="8">
        <v>457.6</v>
      </c>
      <c r="J63" s="9">
        <v>402880000</v>
      </c>
      <c r="K63" s="9">
        <f t="shared" si="10"/>
        <v>443168000.00000006</v>
      </c>
      <c r="L63" s="35">
        <f t="shared" si="11"/>
        <v>4.0288000000000004</v>
      </c>
      <c r="M63" s="2" t="s">
        <v>650</v>
      </c>
      <c r="N63" t="s">
        <v>651</v>
      </c>
      <c r="O63" s="19" t="s">
        <v>652</v>
      </c>
      <c r="P63" s="19">
        <v>59</v>
      </c>
      <c r="Q63" s="19" t="s">
        <v>653</v>
      </c>
      <c r="R63" s="21" t="s">
        <v>654</v>
      </c>
      <c r="S63" s="46" t="s">
        <v>250</v>
      </c>
      <c r="T63" s="44" t="s">
        <v>655</v>
      </c>
      <c r="U63" s="77" t="s">
        <v>252</v>
      </c>
      <c r="V63" s="30" t="s">
        <v>656</v>
      </c>
      <c r="W63" s="24">
        <v>1111</v>
      </c>
      <c r="X63" s="193" t="s">
        <v>657</v>
      </c>
      <c r="Y63" s="15" t="s">
        <v>658</v>
      </c>
      <c r="AA63">
        <v>11</v>
      </c>
      <c r="AB63" s="486">
        <v>11</v>
      </c>
      <c r="AC63" s="89">
        <v>1</v>
      </c>
      <c r="AD63" s="95" t="s">
        <v>105</v>
      </c>
      <c r="AE63" s="39">
        <f t="shared" si="0"/>
        <v>0</v>
      </c>
      <c r="AF63" s="65">
        <f>SUMIFS($I:$I,$C:$C, $AF$2,$G:$G, $AA63,$H:$H, $AC63)</f>
        <v>0</v>
      </c>
      <c r="AG63" s="65">
        <f>SUMIFS($I:$I,$C:$C, $AG$2,$G:$G, $AA63,$H:$H, $AC63)</f>
        <v>0</v>
      </c>
      <c r="AH63" s="65">
        <f>SUMIFS($I:$I,$C:$C, $AH$2,$G:$G, $AA63,$H:$H, $AC63)</f>
        <v>0</v>
      </c>
      <c r="AI63" s="104">
        <f>SUMIFS($I:$I,$C:$C, $AI$2,$G:$G, $AA63,$H:$H, $AC63)</f>
        <v>0</v>
      </c>
      <c r="AJ63" s="115">
        <f t="shared" si="1"/>
        <v>0</v>
      </c>
      <c r="AK63" s="116">
        <f>COUNTIFS($C:$C, $AK$2,$G:$G, $AA63,$H:$H, $AC63)</f>
        <v>0</v>
      </c>
      <c r="AL63" s="116">
        <f>COUNTIFS($C:$C, $AL$2,$G:$G, $AA63,$H:$H, $AC63)</f>
        <v>0</v>
      </c>
      <c r="AM63" s="116">
        <f>COUNTIFS($C:$C, $AM$2,$G:$G, $AA63,$H:$H, $AC63)</f>
        <v>0</v>
      </c>
      <c r="AN63" s="117">
        <f>COUNTIFS($C:$C, $AN$2,$G:$G, $AA63,$H:$H, $AC63)</f>
        <v>0</v>
      </c>
      <c r="AO63" s="39">
        <f t="shared" si="2"/>
        <v>0</v>
      </c>
      <c r="AP63" s="65">
        <f>SUMIFS($L:$L,$C:$C, $AP$2,$G:$G, $AA63,$H:$H, $AC63)</f>
        <v>0</v>
      </c>
      <c r="AQ63" s="65">
        <f>SUMIFS($L:$L,$C:$C, $AQ$2,$G:$G, $AA63,$H:$H, $AC63)</f>
        <v>0</v>
      </c>
      <c r="AR63" s="65">
        <f>SUMIFS($L:$L,$C:$C, $AR$2,$G:$G, $AA63,$H:$H, $AC63)</f>
        <v>0</v>
      </c>
      <c r="AS63" s="65">
        <f>SUMIFS($L:$L,$C:$C, $AS$2,$G:$G, $AA63,$H:$H, $AC63)</f>
        <v>0</v>
      </c>
    </row>
    <row r="64" spans="2:45" x14ac:dyDescent="0.25">
      <c r="B64" s="15">
        <v>62</v>
      </c>
      <c r="C64" s="8" t="s">
        <v>112</v>
      </c>
      <c r="D64" s="5" t="s">
        <v>246</v>
      </c>
      <c r="E64" s="384">
        <v>41</v>
      </c>
      <c r="F64" s="382" t="s">
        <v>669</v>
      </c>
      <c r="G64" s="8">
        <v>3</v>
      </c>
      <c r="H64" s="8">
        <v>1</v>
      </c>
      <c r="I64" s="8">
        <v>72.239999999999995</v>
      </c>
      <c r="J64" s="4">
        <v>80000000</v>
      </c>
      <c r="K64" s="4">
        <f t="shared" si="10"/>
        <v>88000000</v>
      </c>
      <c r="L64" s="36">
        <f t="shared" si="11"/>
        <v>0.8</v>
      </c>
      <c r="M64" s="4" t="s">
        <v>670</v>
      </c>
      <c r="N64" t="s">
        <v>671</v>
      </c>
      <c r="O64" s="19" t="s">
        <v>672</v>
      </c>
      <c r="P64" s="19">
        <v>60</v>
      </c>
      <c r="Q64" s="19" t="s">
        <v>673</v>
      </c>
      <c r="R64" s="21" t="s">
        <v>674</v>
      </c>
      <c r="S64" s="46" t="s">
        <v>250</v>
      </c>
      <c r="T64" s="44" t="s">
        <v>675</v>
      </c>
      <c r="U64" s="77" t="s">
        <v>252</v>
      </c>
      <c r="V64" s="30" t="s">
        <v>676</v>
      </c>
      <c r="W64" s="24"/>
      <c r="X64" s="193" t="s">
        <v>152</v>
      </c>
      <c r="Y64" s="15" t="s">
        <v>255</v>
      </c>
      <c r="AA64">
        <v>11</v>
      </c>
      <c r="AB64" s="487"/>
      <c r="AC64" s="90">
        <v>2</v>
      </c>
      <c r="AD64" s="97" t="s">
        <v>58</v>
      </c>
      <c r="AE64" s="39">
        <f t="shared" si="0"/>
        <v>0</v>
      </c>
      <c r="AF64" s="65">
        <f>SUMIFS($I:$I,$C:$C, $AF$2,$G:$G, $AA64,$H:$H, $AC64)</f>
        <v>0</v>
      </c>
      <c r="AG64" s="65">
        <f>SUMIFS($I:$I,$C:$C, $AG$2,$G:$G, $AA64,$H:$H, $AC64)</f>
        <v>0</v>
      </c>
      <c r="AH64" s="65">
        <f>SUMIFS($I:$I,$C:$C, $AH$2,$G:$G, $AA64,$H:$H, $AC64)</f>
        <v>0</v>
      </c>
      <c r="AI64" s="104">
        <f>SUMIFS($I:$I,$C:$C, $AI$2,$G:$G, $AA64,$H:$H, $AC64)</f>
        <v>0</v>
      </c>
      <c r="AJ64" s="115">
        <f t="shared" si="1"/>
        <v>0</v>
      </c>
      <c r="AK64" s="116">
        <f>COUNTIFS($C:$C, $AK$2,$G:$G, $AA64,$H:$H, $AC64)</f>
        <v>0</v>
      </c>
      <c r="AL64" s="116">
        <f>COUNTIFS($C:$C, $AL$2,$G:$G, $AA64,$H:$H, $AC64)</f>
        <v>0</v>
      </c>
      <c r="AM64" s="116">
        <f>COUNTIFS($C:$C, $AM$2,$G:$G, $AA64,$H:$H, $AC64)</f>
        <v>0</v>
      </c>
      <c r="AN64" s="117">
        <f>COUNTIFS($C:$C, $AN$2,$G:$G, $AA64,$H:$H, $AC64)</f>
        <v>0</v>
      </c>
      <c r="AO64" s="39">
        <f t="shared" si="2"/>
        <v>0</v>
      </c>
      <c r="AP64" s="65">
        <f>SUMIFS($L:$L,$C:$C, $AP$2,$G:$G, $AA64,$H:$H, $AC64)</f>
        <v>0</v>
      </c>
      <c r="AQ64" s="65">
        <f>SUMIFS($L:$L,$C:$C, $AQ$2,$G:$G, $AA64,$H:$H, $AC64)</f>
        <v>0</v>
      </c>
      <c r="AR64" s="65">
        <f>SUMIFS($L:$L,$C:$C, $AR$2,$G:$G, $AA64,$H:$H, $AC64)</f>
        <v>0</v>
      </c>
      <c r="AS64" s="65">
        <f>SUMIFS($L:$L,$C:$C, $AS$2,$G:$G, $AA64,$H:$H, $AC64)</f>
        <v>0</v>
      </c>
    </row>
    <row r="65" spans="2:45" x14ac:dyDescent="0.25">
      <c r="B65" s="15">
        <v>63</v>
      </c>
      <c r="C65" s="8" t="s">
        <v>112</v>
      </c>
      <c r="D65" s="5" t="s">
        <v>246</v>
      </c>
      <c r="E65" s="383">
        <v>42</v>
      </c>
      <c r="F65" s="380" t="s">
        <v>669</v>
      </c>
      <c r="G65" s="8">
        <v>3</v>
      </c>
      <c r="H65" s="8">
        <v>1</v>
      </c>
      <c r="I65" s="8">
        <v>73.53</v>
      </c>
      <c r="J65" s="9">
        <v>82000000</v>
      </c>
      <c r="K65" s="9">
        <f t="shared" ref="K65:K70" si="22">J65*1.1</f>
        <v>90200000</v>
      </c>
      <c r="L65" s="35">
        <f t="shared" ref="L65:L70" si="23">J65*0.00000001</f>
        <v>0.82000000000000006</v>
      </c>
      <c r="M65" s="2" t="s">
        <v>259</v>
      </c>
      <c r="N65" t="s">
        <v>275</v>
      </c>
      <c r="O65" s="19" t="s">
        <v>677</v>
      </c>
      <c r="P65" s="19">
        <v>61</v>
      </c>
      <c r="Q65" s="19" t="s">
        <v>271</v>
      </c>
      <c r="R65" s="21" t="s">
        <v>678</v>
      </c>
      <c r="S65" s="46" t="s">
        <v>250</v>
      </c>
      <c r="T65" s="44" t="s">
        <v>679</v>
      </c>
      <c r="U65" s="77" t="s">
        <v>252</v>
      </c>
      <c r="V65" s="30" t="s">
        <v>676</v>
      </c>
      <c r="W65" s="24"/>
      <c r="X65" s="193" t="s">
        <v>152</v>
      </c>
      <c r="Y65" s="15" t="s">
        <v>255</v>
      </c>
      <c r="AA65">
        <v>11</v>
      </c>
      <c r="AB65" s="487"/>
      <c r="AC65" s="90">
        <v>3</v>
      </c>
      <c r="AD65" s="97" t="s">
        <v>59</v>
      </c>
      <c r="AE65" s="39">
        <f t="shared" si="0"/>
        <v>0</v>
      </c>
      <c r="AF65" s="65">
        <f>SUMIFS($I:$I,$C:$C, $AF$2,$G:$G, $AA65,$H:$H, $AC65)</f>
        <v>0</v>
      </c>
      <c r="AG65" s="65">
        <f>SUMIFS($I:$I,$C:$C, $AG$2,$G:$G, $AA65,$H:$H, $AC65)</f>
        <v>0</v>
      </c>
      <c r="AH65" s="65">
        <f>SUMIFS($I:$I,$C:$C, $AH$2,$G:$G, $AA65,$H:$H, $AC65)</f>
        <v>0</v>
      </c>
      <c r="AI65" s="104">
        <f>SUMIFS($I:$I,$C:$C, $AI$2,$G:$G, $AA65,$H:$H, $AC65)</f>
        <v>0</v>
      </c>
      <c r="AJ65" s="115">
        <f t="shared" si="1"/>
        <v>0</v>
      </c>
      <c r="AK65" s="116">
        <f>COUNTIFS($C:$C, $AK$2,$G:$G, $AA65,$H:$H, $AC65)</f>
        <v>0</v>
      </c>
      <c r="AL65" s="116">
        <f>COUNTIFS($C:$C, $AL$2,$G:$G, $AA65,$H:$H, $AC65)</f>
        <v>0</v>
      </c>
      <c r="AM65" s="116">
        <f>COUNTIFS($C:$C, $AM$2,$G:$G, $AA65,$H:$H, $AC65)</f>
        <v>0</v>
      </c>
      <c r="AN65" s="117">
        <f>COUNTIFS($C:$C, $AN$2,$G:$G, $AA65,$H:$H, $AC65)</f>
        <v>0</v>
      </c>
      <c r="AO65" s="39">
        <f t="shared" si="2"/>
        <v>0</v>
      </c>
      <c r="AP65" s="65">
        <f>SUMIFS($L:$L,$C:$C, $AP$2,$G:$G, $AA65,$H:$H, $AC65)</f>
        <v>0</v>
      </c>
      <c r="AQ65" s="65">
        <f>SUMIFS($L:$L,$C:$C, $AQ$2,$G:$G, $AA65,$H:$H, $AC65)</f>
        <v>0</v>
      </c>
      <c r="AR65" s="65">
        <f>SUMIFS($L:$L,$C:$C, $AR$2,$G:$G, $AA65,$H:$H, $AC65)</f>
        <v>0</v>
      </c>
      <c r="AS65" s="65">
        <f>SUMIFS($L:$L,$C:$C, $AS$2,$G:$G, $AA65,$H:$H, $AC65)</f>
        <v>0</v>
      </c>
    </row>
    <row r="66" spans="2:45" x14ac:dyDescent="0.25">
      <c r="B66" s="15">
        <v>64</v>
      </c>
      <c r="C66" s="8" t="s">
        <v>112</v>
      </c>
      <c r="D66" s="5" t="s">
        <v>246</v>
      </c>
      <c r="E66" s="383">
        <v>43</v>
      </c>
      <c r="F66" s="380" t="s">
        <v>680</v>
      </c>
      <c r="G66" s="8">
        <v>3</v>
      </c>
      <c r="H66" s="8">
        <v>1</v>
      </c>
      <c r="I66" s="8">
        <v>478.59</v>
      </c>
      <c r="J66" s="9">
        <v>410000000</v>
      </c>
      <c r="K66" s="9">
        <f t="shared" si="22"/>
        <v>451000000.00000006</v>
      </c>
      <c r="L66" s="35">
        <f t="shared" si="23"/>
        <v>4.0999999999999996</v>
      </c>
      <c r="M66" s="2" t="s">
        <v>681</v>
      </c>
      <c r="N66" t="s">
        <v>682</v>
      </c>
      <c r="O66" s="19" t="s">
        <v>683</v>
      </c>
      <c r="P66" s="19">
        <v>62</v>
      </c>
      <c r="Q66" s="19" t="s">
        <v>684</v>
      </c>
      <c r="R66" s="21" t="s">
        <v>685</v>
      </c>
      <c r="S66" s="46" t="s">
        <v>250</v>
      </c>
      <c r="T66" s="44" t="s">
        <v>686</v>
      </c>
      <c r="U66" s="77" t="s">
        <v>687</v>
      </c>
      <c r="V66" s="30" t="s">
        <v>688</v>
      </c>
      <c r="W66" s="24">
        <v>1111</v>
      </c>
      <c r="X66" s="193" t="s">
        <v>689</v>
      </c>
      <c r="Y66" s="15" t="s">
        <v>690</v>
      </c>
      <c r="AA66">
        <v>11</v>
      </c>
      <c r="AB66" s="487"/>
      <c r="AC66" s="90">
        <v>4</v>
      </c>
      <c r="AD66" s="97" t="s">
        <v>60</v>
      </c>
      <c r="AE66" s="39">
        <f t="shared" si="0"/>
        <v>0</v>
      </c>
      <c r="AF66" s="65">
        <f>SUMIFS($I:$I,$C:$C, $AF$2,$G:$G, $AA66,$H:$H, $AC66)</f>
        <v>0</v>
      </c>
      <c r="AG66" s="65">
        <f>SUMIFS($I:$I,$C:$C, $AG$2,$G:$G, $AA66,$H:$H, $AC66)</f>
        <v>0</v>
      </c>
      <c r="AH66" s="65">
        <f>SUMIFS($I:$I,$C:$C, $AH$2,$G:$G, $AA66,$H:$H, $AC66)</f>
        <v>0</v>
      </c>
      <c r="AI66" s="104">
        <f>SUMIFS($I:$I,$C:$C, $AI$2,$G:$G, $AA66,$H:$H, $AC66)</f>
        <v>0</v>
      </c>
      <c r="AJ66" s="115">
        <f t="shared" si="1"/>
        <v>0</v>
      </c>
      <c r="AK66" s="116">
        <f>COUNTIFS($C:$C, $AK$2,$G:$G, $AA66,$H:$H, $AC66)</f>
        <v>0</v>
      </c>
      <c r="AL66" s="116">
        <f>COUNTIFS($C:$C, $AL$2,$G:$G, $AA66,$H:$H, $AC66)</f>
        <v>0</v>
      </c>
      <c r="AM66" s="116">
        <f>COUNTIFS($C:$C, $AM$2,$G:$G, $AA66,$H:$H, $AC66)</f>
        <v>0</v>
      </c>
      <c r="AN66" s="117">
        <f>COUNTIFS($C:$C, $AN$2,$G:$G, $AA66,$H:$H, $AC66)</f>
        <v>0</v>
      </c>
      <c r="AO66" s="39">
        <f t="shared" si="2"/>
        <v>0</v>
      </c>
      <c r="AP66" s="65">
        <f>SUMIFS($L:$L,$C:$C, $AP$2,$G:$G, $AA66,$H:$H, $AC66)</f>
        <v>0</v>
      </c>
      <c r="AQ66" s="65">
        <f>SUMIFS($L:$L,$C:$C, $AQ$2,$G:$G, $AA66,$H:$H, $AC66)</f>
        <v>0</v>
      </c>
      <c r="AR66" s="65">
        <f>SUMIFS($L:$L,$C:$C, $AR$2,$G:$G, $AA66,$H:$H, $AC66)</f>
        <v>0</v>
      </c>
      <c r="AS66" s="65">
        <f>SUMIFS($L:$L,$C:$C, $AS$2,$G:$G, $AA66,$H:$H, $AC66)</f>
        <v>0</v>
      </c>
    </row>
    <row r="67" spans="2:45" x14ac:dyDescent="0.25">
      <c r="B67" s="15">
        <v>65</v>
      </c>
      <c r="C67" s="8" t="s">
        <v>112</v>
      </c>
      <c r="D67" s="5" t="s">
        <v>246</v>
      </c>
      <c r="E67" s="383">
        <v>44</v>
      </c>
      <c r="F67" s="380" t="s">
        <v>680</v>
      </c>
      <c r="G67" s="8">
        <v>3</v>
      </c>
      <c r="H67" s="8">
        <v>1</v>
      </c>
      <c r="I67" s="8">
        <v>260.58</v>
      </c>
      <c r="J67" s="9">
        <v>240000000</v>
      </c>
      <c r="K67" s="9">
        <f t="shared" si="22"/>
        <v>264000000.00000003</v>
      </c>
      <c r="L67" s="35">
        <f t="shared" si="23"/>
        <v>2.4</v>
      </c>
      <c r="M67" s="2" t="s">
        <v>681</v>
      </c>
      <c r="N67" t="s">
        <v>682</v>
      </c>
      <c r="O67" s="19" t="s">
        <v>691</v>
      </c>
      <c r="P67" s="19"/>
      <c r="Q67" s="19" t="s">
        <v>693</v>
      </c>
      <c r="R67" s="21" t="s">
        <v>694</v>
      </c>
      <c r="S67" s="46" t="s">
        <v>250</v>
      </c>
      <c r="T67" s="44" t="s">
        <v>686</v>
      </c>
      <c r="U67" s="77" t="s">
        <v>687</v>
      </c>
      <c r="V67" s="30" t="s">
        <v>688</v>
      </c>
      <c r="W67" s="24">
        <v>1111</v>
      </c>
      <c r="X67" s="193" t="s">
        <v>689</v>
      </c>
      <c r="Y67" s="15" t="s">
        <v>690</v>
      </c>
      <c r="AA67">
        <v>11</v>
      </c>
      <c r="AB67" s="487"/>
      <c r="AC67" s="91">
        <v>5</v>
      </c>
      <c r="AD67" s="100"/>
      <c r="AE67" s="39">
        <f t="shared" si="0"/>
        <v>0</v>
      </c>
      <c r="AF67" s="65">
        <f>SUMIFS($I:$I,$C:$C, $AF$2,$G:$G, $AA67,$H:$H, $AC67)</f>
        <v>0</v>
      </c>
      <c r="AG67" s="65">
        <f>SUMIFS($I:$I,$C:$C, $AG$2,$G:$G, $AA67,$H:$H, $AC67)</f>
        <v>0</v>
      </c>
      <c r="AH67" s="65">
        <f>SUMIFS($I:$I,$C:$C, $AH$2,$G:$G, $AA67,$H:$H, $AC67)</f>
        <v>0</v>
      </c>
      <c r="AI67" s="104">
        <f>SUMIFS($I:$I,$C:$C, $AI$2,$G:$G, $AA67,$H:$H, $AC67)</f>
        <v>0</v>
      </c>
      <c r="AJ67" s="115">
        <f t="shared" si="1"/>
        <v>0</v>
      </c>
      <c r="AK67" s="116">
        <f>COUNTIFS($C:$C, $AK$2,$G:$G, $AA67,$H:$H, $AC67)</f>
        <v>0</v>
      </c>
      <c r="AL67" s="116">
        <f>COUNTIFS($C:$C, $AL$2,$G:$G, $AA67,$H:$H, $AC67)</f>
        <v>0</v>
      </c>
      <c r="AM67" s="116">
        <f>COUNTIFS($C:$C, $AM$2,$G:$G, $AA67,$H:$H, $AC67)</f>
        <v>0</v>
      </c>
      <c r="AN67" s="117">
        <f>COUNTIFS($C:$C, $AN$2,$G:$G, $AA67,$H:$H, $AC67)</f>
        <v>0</v>
      </c>
      <c r="AO67" s="39">
        <f t="shared" si="2"/>
        <v>0</v>
      </c>
      <c r="AP67" s="65">
        <f>SUMIFS($L:$L,$C:$C, $AP$2,$G:$G, $AA67,$H:$H, $AC67)</f>
        <v>0</v>
      </c>
      <c r="AQ67" s="65">
        <f>SUMIFS($L:$L,$C:$C, $AQ$2,$G:$G, $AA67,$H:$H, $AC67)</f>
        <v>0</v>
      </c>
      <c r="AR67" s="65">
        <f>SUMIFS($L:$L,$C:$C, $AR$2,$G:$G, $AA67,$H:$H, $AC67)</f>
        <v>0</v>
      </c>
      <c r="AS67" s="65">
        <f>SUMIFS($L:$L,$C:$C, $AS$2,$G:$G, $AA67,$H:$H, $AC67)</f>
        <v>0</v>
      </c>
    </row>
    <row r="68" spans="2:45" ht="14.25" thickBot="1" x14ac:dyDescent="0.3">
      <c r="B68" s="15">
        <v>66</v>
      </c>
      <c r="C68" s="8" t="s">
        <v>112</v>
      </c>
      <c r="D68" s="5" t="s">
        <v>246</v>
      </c>
      <c r="E68" s="383">
        <v>45</v>
      </c>
      <c r="F68" s="380" t="s">
        <v>680</v>
      </c>
      <c r="G68" s="8">
        <v>3</v>
      </c>
      <c r="H68" s="8">
        <v>1</v>
      </c>
      <c r="I68" s="8">
        <v>439.245</v>
      </c>
      <c r="J68" s="9">
        <v>380000000</v>
      </c>
      <c r="K68" s="9">
        <f t="shared" si="22"/>
        <v>418000000.00000006</v>
      </c>
      <c r="L68" s="35">
        <f t="shared" si="23"/>
        <v>3.8000000000000003</v>
      </c>
      <c r="M68" s="2" t="s">
        <v>681</v>
      </c>
      <c r="N68" t="s">
        <v>682</v>
      </c>
      <c r="O68" s="19" t="s">
        <v>692</v>
      </c>
      <c r="P68" s="19"/>
      <c r="Q68" s="19" t="s">
        <v>693</v>
      </c>
      <c r="R68" s="21" t="s">
        <v>695</v>
      </c>
      <c r="S68" s="46" t="s">
        <v>250</v>
      </c>
      <c r="T68" s="44" t="s">
        <v>686</v>
      </c>
      <c r="U68" s="77" t="s">
        <v>687</v>
      </c>
      <c r="V68" s="30" t="s">
        <v>688</v>
      </c>
      <c r="W68" s="24">
        <v>1111</v>
      </c>
      <c r="X68" s="193" t="s">
        <v>689</v>
      </c>
      <c r="Y68" s="15" t="s">
        <v>690</v>
      </c>
      <c r="AA68">
        <v>11</v>
      </c>
      <c r="AB68" s="488"/>
      <c r="AC68" s="92" t="s">
        <v>3</v>
      </c>
      <c r="AD68" s="101"/>
      <c r="AE68" s="94">
        <f t="shared" ref="AE68:AS68" si="24">SUM(AE63:AE67)</f>
        <v>0</v>
      </c>
      <c r="AF68" s="94">
        <f t="shared" si="24"/>
        <v>0</v>
      </c>
      <c r="AG68" s="94">
        <f t="shared" si="24"/>
        <v>0</v>
      </c>
      <c r="AH68" s="94">
        <f t="shared" si="24"/>
        <v>0</v>
      </c>
      <c r="AI68" s="105">
        <f t="shared" si="24"/>
        <v>0</v>
      </c>
      <c r="AJ68" s="118">
        <f t="shared" si="24"/>
        <v>0</v>
      </c>
      <c r="AK68" s="119">
        <f t="shared" si="24"/>
        <v>0</v>
      </c>
      <c r="AL68" s="119">
        <f t="shared" si="24"/>
        <v>0</v>
      </c>
      <c r="AM68" s="119">
        <f t="shared" si="24"/>
        <v>0</v>
      </c>
      <c r="AN68" s="120">
        <f t="shared" si="24"/>
        <v>0</v>
      </c>
      <c r="AO68" s="94">
        <f t="shared" si="24"/>
        <v>0</v>
      </c>
      <c r="AP68" s="94">
        <f t="shared" si="24"/>
        <v>0</v>
      </c>
      <c r="AQ68" s="94">
        <f t="shared" si="24"/>
        <v>0</v>
      </c>
      <c r="AR68" s="94">
        <f t="shared" si="24"/>
        <v>0</v>
      </c>
      <c r="AS68" s="94">
        <f t="shared" si="24"/>
        <v>0</v>
      </c>
    </row>
    <row r="69" spans="2:45" x14ac:dyDescent="0.25">
      <c r="B69" s="15">
        <v>67</v>
      </c>
      <c r="C69" s="8" t="s">
        <v>245</v>
      </c>
      <c r="D69" s="5" t="s">
        <v>246</v>
      </c>
      <c r="E69" s="383">
        <v>22</v>
      </c>
      <c r="F69" s="380">
        <v>46084</v>
      </c>
      <c r="G69" s="8">
        <v>3</v>
      </c>
      <c r="H69" s="8">
        <v>1</v>
      </c>
      <c r="I69" s="8">
        <v>303.14999999999998</v>
      </c>
      <c r="J69" s="9">
        <v>295000000</v>
      </c>
      <c r="K69" s="9">
        <f t="shared" si="22"/>
        <v>324500000</v>
      </c>
      <c r="L69" s="35">
        <f t="shared" si="23"/>
        <v>2.95</v>
      </c>
      <c r="M69" s="2" t="s">
        <v>712</v>
      </c>
      <c r="N69" t="s">
        <v>713</v>
      </c>
      <c r="O69" s="19" t="s">
        <v>706</v>
      </c>
      <c r="P69" s="19">
        <v>63</v>
      </c>
      <c r="Q69" s="19" t="s">
        <v>707</v>
      </c>
      <c r="R69" s="21" t="s">
        <v>708</v>
      </c>
      <c r="S69" s="46" t="s">
        <v>250</v>
      </c>
      <c r="T69" s="44" t="s">
        <v>709</v>
      </c>
      <c r="U69" s="77" t="s">
        <v>118</v>
      </c>
      <c r="V69" s="30" t="s">
        <v>599</v>
      </c>
      <c r="W69" s="24">
        <v>1111</v>
      </c>
      <c r="X69" s="193" t="s">
        <v>710</v>
      </c>
      <c r="Y69" s="15" t="s">
        <v>711</v>
      </c>
      <c r="AA69">
        <v>12</v>
      </c>
      <c r="AB69" s="493">
        <v>12</v>
      </c>
      <c r="AC69" s="93">
        <v>1</v>
      </c>
      <c r="AD69" s="102" t="s">
        <v>106</v>
      </c>
      <c r="AE69" s="39">
        <f>SUM(AF69:AI69)</f>
        <v>0</v>
      </c>
      <c r="AF69" s="65">
        <f>SUMIFS($I:$I,$C:$C, $AF$2,$G:$G, $AA69,$H:$H, $AC69)</f>
        <v>0</v>
      </c>
      <c r="AG69" s="65">
        <f>SUMIFS($I:$I,$C:$C, $AG$2,$G:$G, $AA69,$H:$H, $AC69)</f>
        <v>0</v>
      </c>
      <c r="AH69" s="65">
        <f>SUMIFS($I:$I,$C:$C, $AH$2,$G:$G, $AA69,$H:$H, $AC69)</f>
        <v>0</v>
      </c>
      <c r="AI69" s="104">
        <f>SUMIFS($I:$I,$C:$C, $AI$2,$G:$G, $AA69,$H:$H, $AC69)</f>
        <v>0</v>
      </c>
      <c r="AJ69" s="115">
        <f>SUM(AK69:AN69)</f>
        <v>0</v>
      </c>
      <c r="AK69" s="116">
        <f>COUNTIFS($C:$C, $AK$2,$G:$G, $AA69,$H:$H, $AC69)</f>
        <v>0</v>
      </c>
      <c r="AL69" s="116">
        <f>COUNTIFS($C:$C, $AL$2,$G:$G, $AA69,$H:$H, $AC69)</f>
        <v>0</v>
      </c>
      <c r="AM69" s="116">
        <f>COUNTIFS($C:$C, $AM$2,$G:$G, $AA69,$H:$H, $AC69)</f>
        <v>0</v>
      </c>
      <c r="AN69" s="117">
        <f>COUNTIFS($C:$C, $AN$2,$G:$G, $AA69,$H:$H, $AC69)</f>
        <v>0</v>
      </c>
      <c r="AO69" s="39">
        <f>SUM(AP69:AS69)</f>
        <v>0</v>
      </c>
      <c r="AP69" s="65">
        <f>SUMIFS($L:$L,$C:$C, $AP$2,$G:$G, $AA69,$H:$H, $AC69)</f>
        <v>0</v>
      </c>
      <c r="AQ69" s="65">
        <f>SUMIFS($L:$L,$C:$C, $AQ$2,$G:$G, $AA69,$H:$H, $AC69)</f>
        <v>0</v>
      </c>
      <c r="AR69" s="65">
        <f>SUMIFS($L:$L,$C:$C, $AR$2,$G:$G, $AA69,$H:$H, $AC69)</f>
        <v>0</v>
      </c>
      <c r="AS69" s="65">
        <f>SUMIFS($L:$L,$C:$C, $AS$2,$G:$G, $AA69,$H:$H, $AC69)</f>
        <v>0</v>
      </c>
    </row>
    <row r="70" spans="2:45" x14ac:dyDescent="0.25">
      <c r="B70" s="15">
        <v>68</v>
      </c>
      <c r="C70" s="8" t="s">
        <v>112</v>
      </c>
      <c r="D70" s="5" t="s">
        <v>246</v>
      </c>
      <c r="E70" s="383">
        <v>46</v>
      </c>
      <c r="F70" s="380">
        <v>46084</v>
      </c>
      <c r="G70" s="8">
        <v>3</v>
      </c>
      <c r="H70" s="8">
        <v>1</v>
      </c>
      <c r="I70" s="8">
        <v>136.74</v>
      </c>
      <c r="J70" s="9">
        <v>132000000</v>
      </c>
      <c r="K70" s="9">
        <f t="shared" si="22"/>
        <v>145200000</v>
      </c>
      <c r="L70" s="35">
        <f t="shared" si="23"/>
        <v>1.32</v>
      </c>
      <c r="M70" s="2" t="s">
        <v>714</v>
      </c>
      <c r="N70" t="s">
        <v>715</v>
      </c>
      <c r="O70" s="19" t="s">
        <v>716</v>
      </c>
      <c r="P70" s="19">
        <v>64</v>
      </c>
      <c r="Q70" s="19" t="s">
        <v>190</v>
      </c>
      <c r="R70" s="21" t="s">
        <v>717</v>
      </c>
      <c r="S70" s="46" t="s">
        <v>250</v>
      </c>
      <c r="T70" s="44" t="s">
        <v>718</v>
      </c>
      <c r="U70" s="77" t="s">
        <v>252</v>
      </c>
      <c r="V70" s="30" t="s">
        <v>719</v>
      </c>
      <c r="W70" s="24">
        <v>1111</v>
      </c>
      <c r="X70" s="193" t="s">
        <v>151</v>
      </c>
      <c r="Y70" s="15" t="s">
        <v>255</v>
      </c>
      <c r="AA70">
        <v>12</v>
      </c>
      <c r="AB70" s="487"/>
      <c r="AC70" s="90">
        <v>2</v>
      </c>
      <c r="AD70" s="97" t="s">
        <v>101</v>
      </c>
      <c r="AE70" s="39">
        <f>SUM(AF70:AI70)</f>
        <v>0</v>
      </c>
      <c r="AF70" s="65">
        <f>SUMIFS($I:$I,$C:$C, $AF$2,$G:$G, $AA70,$H:$H, $AC70)</f>
        <v>0</v>
      </c>
      <c r="AG70" s="65">
        <f>SUMIFS($I:$I,$C:$C, $AG$2,$G:$G, $AA70,$H:$H, $AC70)</f>
        <v>0</v>
      </c>
      <c r="AH70" s="65">
        <f>SUMIFS($I:$I,$C:$C, $AH$2,$G:$G, $AA70,$H:$H, $AC70)</f>
        <v>0</v>
      </c>
      <c r="AI70" s="104">
        <f>SUMIFS($I:$I,$C:$C, $AI$2,$G:$G, $AA70,$H:$H, $AC70)</f>
        <v>0</v>
      </c>
      <c r="AJ70" s="115">
        <f>SUM(AK70:AN70)</f>
        <v>0</v>
      </c>
      <c r="AK70" s="116">
        <f>COUNTIFS($C:$C, $AK$2,$G:$G, $AA70,$H:$H, $AC70)</f>
        <v>0</v>
      </c>
      <c r="AL70" s="116">
        <f>COUNTIFS($C:$C, $AL$2,$G:$G, $AA70,$H:$H, $AC70)</f>
        <v>0</v>
      </c>
      <c r="AM70" s="116">
        <f>COUNTIFS($C:$C, $AM$2,$G:$G, $AA70,$H:$H, $AC70)</f>
        <v>0</v>
      </c>
      <c r="AN70" s="117">
        <f>COUNTIFS($C:$C, $AN$2,$G:$G, $AA70,$H:$H, $AC70)</f>
        <v>0</v>
      </c>
      <c r="AO70" s="39">
        <f>SUM(AP70:AS70)</f>
        <v>0</v>
      </c>
      <c r="AP70" s="65">
        <f>SUMIFS($L:$L,$C:$C, $AP$2,$G:$G, $AA70,$H:$H, $AC70)</f>
        <v>0</v>
      </c>
      <c r="AQ70" s="65">
        <f>SUMIFS($L:$L,$C:$C, $AQ$2,$G:$G, $AA70,$H:$H, $AC70)</f>
        <v>0</v>
      </c>
      <c r="AR70" s="65">
        <f>SUMIFS($L:$L,$C:$C, $AR$2,$G:$G, $AA70,$H:$H, $AC70)</f>
        <v>0</v>
      </c>
      <c r="AS70" s="65">
        <f>SUMIFS($L:$L,$C:$C, $AS$2,$G:$G, $AA70,$H:$H, $AC70)</f>
        <v>0</v>
      </c>
    </row>
    <row r="71" spans="2:45" x14ac:dyDescent="0.25">
      <c r="B71" s="15">
        <v>69</v>
      </c>
      <c r="C71" s="8" t="s">
        <v>112</v>
      </c>
      <c r="D71" s="5" t="s">
        <v>246</v>
      </c>
      <c r="E71" s="383">
        <v>47</v>
      </c>
      <c r="F71" s="380">
        <v>46084</v>
      </c>
      <c r="G71" s="8">
        <v>3</v>
      </c>
      <c r="H71" s="8">
        <v>1</v>
      </c>
      <c r="I71" s="8">
        <v>352.17</v>
      </c>
      <c r="J71" s="9">
        <v>325000000</v>
      </c>
      <c r="K71" s="9">
        <f t="shared" ref="K71:K134" si="25">J71*1.1</f>
        <v>357500000</v>
      </c>
      <c r="L71" s="35">
        <f t="shared" ref="L71:L134" si="26">J71*0.00000001</f>
        <v>3.25</v>
      </c>
      <c r="M71" s="2" t="s">
        <v>720</v>
      </c>
      <c r="N71" t="s">
        <v>721</v>
      </c>
      <c r="O71" s="19" t="s">
        <v>722</v>
      </c>
      <c r="P71" s="19">
        <v>65</v>
      </c>
      <c r="Q71" s="19" t="s">
        <v>725</v>
      </c>
      <c r="R71" s="21" t="s">
        <v>727</v>
      </c>
      <c r="S71" s="46" t="s">
        <v>250</v>
      </c>
      <c r="T71" s="44" t="s">
        <v>732</v>
      </c>
      <c r="U71" s="77" t="s">
        <v>252</v>
      </c>
      <c r="V71" s="30" t="s">
        <v>268</v>
      </c>
      <c r="W71" s="24"/>
      <c r="X71" s="193" t="s">
        <v>153</v>
      </c>
      <c r="Y71" s="15" t="s">
        <v>255</v>
      </c>
      <c r="AA71">
        <v>12</v>
      </c>
      <c r="AB71" s="487"/>
      <c r="AC71" s="90">
        <v>3</v>
      </c>
      <c r="AD71" s="97" t="s">
        <v>102</v>
      </c>
      <c r="AE71" s="39">
        <f>SUM(AF71:AI71)</f>
        <v>0</v>
      </c>
      <c r="AF71" s="65">
        <f>SUMIFS($I:$I,$C:$C, $AF$2,$G:$G, $AA71,$H:$H, $AC71)</f>
        <v>0</v>
      </c>
      <c r="AG71" s="65">
        <f>SUMIFS($I:$I,$C:$C, $AG$2,$G:$G, $AA71,$H:$H, $AC71)</f>
        <v>0</v>
      </c>
      <c r="AH71" s="65">
        <f>SUMIFS($I:$I,$C:$C, $AH$2,$G:$G, $AA71,$H:$H, $AC71)</f>
        <v>0</v>
      </c>
      <c r="AI71" s="104">
        <f>SUMIFS($I:$I,$C:$C, $AI$2,$G:$G, $AA71,$H:$H, $AC71)</f>
        <v>0</v>
      </c>
      <c r="AJ71" s="115">
        <f>SUM(AK71:AN71)</f>
        <v>0</v>
      </c>
      <c r="AK71" s="116">
        <f>COUNTIFS($C:$C, $AK$2,$G:$G, $AA71,$H:$H, $AC71)</f>
        <v>0</v>
      </c>
      <c r="AL71" s="116">
        <f>COUNTIFS($C:$C, $AL$2,$G:$G, $AA71,$H:$H, $AC71)</f>
        <v>0</v>
      </c>
      <c r="AM71" s="116">
        <f>COUNTIFS($C:$C, $AM$2,$G:$G, $AA71,$H:$H, $AC71)</f>
        <v>0</v>
      </c>
      <c r="AN71" s="117">
        <f>COUNTIFS($C:$C, $AN$2,$G:$G, $AA71,$H:$H, $AC71)</f>
        <v>0</v>
      </c>
      <c r="AO71" s="39">
        <f>SUM(AP71:AS71)</f>
        <v>0</v>
      </c>
      <c r="AP71" s="65">
        <f>SUMIFS($L:$L,$C:$C, $AP$2,$G:$G, $AA71,$H:$H, $AC71)</f>
        <v>0</v>
      </c>
      <c r="AQ71" s="65">
        <f>SUMIFS($L:$L,$C:$C, $AQ$2,$G:$G, $AA71,$H:$H, $AC71)</f>
        <v>0</v>
      </c>
      <c r="AR71" s="65">
        <f>SUMIFS($L:$L,$C:$C, $AR$2,$G:$G, $AA71,$H:$H, $AC71)</f>
        <v>0</v>
      </c>
      <c r="AS71" s="65">
        <f>SUMIFS($L:$L,$C:$C, $AS$2,$G:$G, $AA71,$H:$H, $AC71)</f>
        <v>0</v>
      </c>
    </row>
    <row r="72" spans="2:45" x14ac:dyDescent="0.25">
      <c r="B72" s="15">
        <v>70</v>
      </c>
      <c r="C72" s="8" t="s">
        <v>112</v>
      </c>
      <c r="D72" s="5" t="s">
        <v>246</v>
      </c>
      <c r="E72" s="383">
        <v>48</v>
      </c>
      <c r="F72" s="380">
        <v>46084</v>
      </c>
      <c r="G72" s="8">
        <v>3</v>
      </c>
      <c r="H72" s="8">
        <v>1</v>
      </c>
      <c r="I72" s="8">
        <v>119.97</v>
      </c>
      <c r="J72" s="9">
        <v>115000000</v>
      </c>
      <c r="K72" s="9">
        <f t="shared" si="25"/>
        <v>126500000.00000001</v>
      </c>
      <c r="L72" s="35">
        <f t="shared" si="26"/>
        <v>1.1500000000000001</v>
      </c>
      <c r="M72" s="2" t="s">
        <v>720</v>
      </c>
      <c r="N72" t="s">
        <v>721</v>
      </c>
      <c r="O72" s="19" t="s">
        <v>723</v>
      </c>
      <c r="P72" s="19"/>
      <c r="Q72" s="19" t="s">
        <v>725</v>
      </c>
      <c r="R72" s="21" t="s">
        <v>728</v>
      </c>
      <c r="S72" s="46" t="s">
        <v>250</v>
      </c>
      <c r="T72" s="44" t="s">
        <v>731</v>
      </c>
      <c r="U72" s="77" t="s">
        <v>252</v>
      </c>
      <c r="V72" s="30" t="s">
        <v>268</v>
      </c>
      <c r="W72" s="24"/>
      <c r="X72" s="193" t="s">
        <v>155</v>
      </c>
      <c r="Y72" s="15" t="s">
        <v>255</v>
      </c>
      <c r="AA72">
        <v>12</v>
      </c>
      <c r="AB72" s="487"/>
      <c r="AC72" s="90">
        <v>4</v>
      </c>
      <c r="AD72" s="97" t="s">
        <v>103</v>
      </c>
      <c r="AE72" s="39">
        <f>SUM(AF72:AI72)</f>
        <v>0</v>
      </c>
      <c r="AF72" s="65">
        <f>SUMIFS($I:$I,$C:$C, $AF$2,$G:$G, $AA72,$H:$H, $AC72)</f>
        <v>0</v>
      </c>
      <c r="AG72" s="65">
        <f>SUMIFS($I:$I,$C:$C, $AG$2,$G:$G, $AA72,$H:$H, $AC72)</f>
        <v>0</v>
      </c>
      <c r="AH72" s="65">
        <f>SUMIFS($I:$I,$C:$C, $AH$2,$G:$G, $AA72,$H:$H, $AC72)</f>
        <v>0</v>
      </c>
      <c r="AI72" s="104">
        <f>SUMIFS($I:$I,$C:$C, $AI$2,$G:$G, $AA72,$H:$H, $AC72)</f>
        <v>0</v>
      </c>
      <c r="AJ72" s="115">
        <f>SUM(AK72:AN72)</f>
        <v>0</v>
      </c>
      <c r="AK72" s="116">
        <f>COUNTIFS($C:$C, $AK$2,$G:$G, $AA72,$H:$H, $AC72)</f>
        <v>0</v>
      </c>
      <c r="AL72" s="116">
        <f>COUNTIFS($C:$C, $AL$2,$G:$G, $AA72,$H:$H, $AC72)</f>
        <v>0</v>
      </c>
      <c r="AM72" s="116">
        <f>COUNTIFS($C:$C, $AM$2,$G:$G, $AA72,$H:$H, $AC72)</f>
        <v>0</v>
      </c>
      <c r="AN72" s="117">
        <f>COUNTIFS($C:$C, $AN$2,$G:$G, $AA72,$H:$H, $AC72)</f>
        <v>0</v>
      </c>
      <c r="AO72" s="39">
        <f>SUM(AP72:AS72)</f>
        <v>0</v>
      </c>
      <c r="AP72" s="65">
        <f>SUMIFS($L:$L,$C:$C, $AP$2,$G:$G, $AA72,$H:$H, $AC72)</f>
        <v>0</v>
      </c>
      <c r="AQ72" s="65">
        <f>SUMIFS($L:$L,$C:$C, $AQ$2,$G:$G, $AA72,$H:$H, $AC72)</f>
        <v>0</v>
      </c>
      <c r="AR72" s="65">
        <f>SUMIFS($L:$L,$C:$C, $AR$2,$G:$G, $AA72,$H:$H, $AC72)</f>
        <v>0</v>
      </c>
      <c r="AS72" s="65">
        <f>SUMIFS($L:$L,$C:$C, $AS$2,$G:$G, $AA72,$H:$H, $AC72)</f>
        <v>0</v>
      </c>
    </row>
    <row r="73" spans="2:45" x14ac:dyDescent="0.25">
      <c r="B73" s="15">
        <v>71</v>
      </c>
      <c r="C73" s="8" t="s">
        <v>112</v>
      </c>
      <c r="D73" s="5" t="s">
        <v>246</v>
      </c>
      <c r="E73" s="383">
        <v>49</v>
      </c>
      <c r="F73" s="380">
        <v>46084</v>
      </c>
      <c r="G73" s="8">
        <v>3</v>
      </c>
      <c r="H73" s="8">
        <v>1</v>
      </c>
      <c r="I73" s="8">
        <v>580.5</v>
      </c>
      <c r="J73" s="9">
        <v>590000000</v>
      </c>
      <c r="K73" s="9">
        <f t="shared" si="25"/>
        <v>649000000</v>
      </c>
      <c r="L73" s="35">
        <f t="shared" si="26"/>
        <v>5.9</v>
      </c>
      <c r="M73" s="2" t="s">
        <v>720</v>
      </c>
      <c r="N73" t="s">
        <v>721</v>
      </c>
      <c r="O73" s="19" t="s">
        <v>724</v>
      </c>
      <c r="P73" s="19"/>
      <c r="Q73" s="19" t="s">
        <v>726</v>
      </c>
      <c r="R73" s="21" t="s">
        <v>729</v>
      </c>
      <c r="S73" s="46" t="s">
        <v>250</v>
      </c>
      <c r="T73" s="44" t="s">
        <v>730</v>
      </c>
      <c r="U73" s="77" t="s">
        <v>252</v>
      </c>
      <c r="V73" s="30" t="s">
        <v>268</v>
      </c>
      <c r="W73" s="24"/>
      <c r="X73" s="193" t="s">
        <v>151</v>
      </c>
      <c r="Y73" s="15" t="s">
        <v>255</v>
      </c>
      <c r="AA73">
        <v>12</v>
      </c>
      <c r="AB73" s="487"/>
      <c r="AC73" s="91">
        <v>5</v>
      </c>
      <c r="AD73" s="100" t="s">
        <v>107</v>
      </c>
      <c r="AE73" s="39">
        <f>SUM(AF73:AI73)</f>
        <v>0</v>
      </c>
      <c r="AF73" s="65">
        <f>SUMIFS($I:$I,$C:$C, $AF$2,$G:$G, $AA73,$H:$H, $AC73)</f>
        <v>0</v>
      </c>
      <c r="AG73" s="65">
        <f>SUMIFS($I:$I,$C:$C, $AG$2,$G:$G, $AA73,$H:$H, $AC73)</f>
        <v>0</v>
      </c>
      <c r="AH73" s="65">
        <f>SUMIFS($I:$I,$C:$C, $AH$2,$G:$G, $AA73,$H:$H, $AC73)</f>
        <v>0</v>
      </c>
      <c r="AI73" s="104">
        <f>SUMIFS($I:$I,$C:$C, $AI$2,$G:$G, $AA73,$H:$H, $AC73)</f>
        <v>0</v>
      </c>
      <c r="AJ73" s="115">
        <f>SUM(AK73:AN73)</f>
        <v>0</v>
      </c>
      <c r="AK73" s="116">
        <f>COUNTIFS($C:$C, $AK$2,$G:$G, $AA73,$H:$H, $AC73)</f>
        <v>0</v>
      </c>
      <c r="AL73" s="116">
        <f>COUNTIFS($C:$C, $AL$2,$G:$G, $AA73,$H:$H, $AC73)</f>
        <v>0</v>
      </c>
      <c r="AM73" s="116">
        <f>COUNTIFS($C:$C, $AM$2,$G:$G, $AA73,$H:$H, $AC73)</f>
        <v>0</v>
      </c>
      <c r="AN73" s="117">
        <f>COUNTIFS($C:$C, $AN$2,$G:$G, $AA73,$H:$H, $AC73)</f>
        <v>0</v>
      </c>
      <c r="AO73" s="39">
        <f>SUM(AP73:AS73)</f>
        <v>0</v>
      </c>
      <c r="AP73" s="65">
        <f>SUMIFS($L:$L,$C:$C, $AP$2,$G:$G, $AA73,$H:$H, $AC73)</f>
        <v>0</v>
      </c>
      <c r="AQ73" s="65">
        <f>SUMIFS($L:$L,$C:$C, $AQ$2,$G:$G, $AA73,$H:$H, $AC73)</f>
        <v>0</v>
      </c>
      <c r="AR73" s="65">
        <f>SUMIFS($L:$L,$C:$C, $AR$2,$G:$G, $AA73,$H:$H, $AC73)</f>
        <v>0</v>
      </c>
      <c r="AS73" s="65">
        <f>SUMIFS($L:$L,$C:$C, $AS$2,$G:$G, $AA73,$H:$H, $AC73)</f>
        <v>0</v>
      </c>
    </row>
    <row r="74" spans="2:45" ht="14.25" thickBot="1" x14ac:dyDescent="0.3">
      <c r="B74" s="15">
        <v>72</v>
      </c>
      <c r="C74" s="8" t="s">
        <v>245</v>
      </c>
      <c r="D74" s="5" t="s">
        <v>246</v>
      </c>
      <c r="E74" s="383">
        <v>23</v>
      </c>
      <c r="F74" s="380">
        <v>46086</v>
      </c>
      <c r="G74" s="8">
        <v>3</v>
      </c>
      <c r="H74" s="8">
        <v>1</v>
      </c>
      <c r="I74" s="8">
        <v>234.13499999999999</v>
      </c>
      <c r="J74" s="9">
        <v>234000000</v>
      </c>
      <c r="K74" s="9">
        <f t="shared" si="25"/>
        <v>257400000.00000003</v>
      </c>
      <c r="L74" s="35">
        <f t="shared" si="26"/>
        <v>2.34</v>
      </c>
      <c r="M74" s="2" t="s">
        <v>733</v>
      </c>
      <c r="N74" t="s">
        <v>734</v>
      </c>
      <c r="O74" s="19" t="s">
        <v>735</v>
      </c>
      <c r="P74" s="19">
        <v>66</v>
      </c>
      <c r="Q74" s="19" t="s">
        <v>736</v>
      </c>
      <c r="R74" s="21" t="s">
        <v>737</v>
      </c>
      <c r="S74" s="46" t="s">
        <v>250</v>
      </c>
      <c r="T74" s="44" t="s">
        <v>767</v>
      </c>
      <c r="U74" s="77" t="s">
        <v>252</v>
      </c>
      <c r="V74" s="24" t="s">
        <v>738</v>
      </c>
      <c r="W74" s="24">
        <v>1111</v>
      </c>
      <c r="X74" s="193" t="s">
        <v>151</v>
      </c>
      <c r="Y74" s="15" t="s">
        <v>255</v>
      </c>
      <c r="AA74">
        <v>12</v>
      </c>
      <c r="AB74" s="488"/>
      <c r="AC74" s="92" t="s">
        <v>3</v>
      </c>
      <c r="AD74" s="101"/>
      <c r="AE74" s="94">
        <f>SUM(AE69:AE73)</f>
        <v>0</v>
      </c>
      <c r="AF74" s="94">
        <f t="shared" ref="AF74:AS74" si="27">SUM(AF69:AF73)</f>
        <v>0</v>
      </c>
      <c r="AG74" s="94">
        <f t="shared" si="27"/>
        <v>0</v>
      </c>
      <c r="AH74" s="94">
        <f t="shared" si="27"/>
        <v>0</v>
      </c>
      <c r="AI74" s="105">
        <f t="shared" si="27"/>
        <v>0</v>
      </c>
      <c r="AJ74" s="118">
        <f t="shared" si="27"/>
        <v>0</v>
      </c>
      <c r="AK74" s="119">
        <f t="shared" si="27"/>
        <v>0</v>
      </c>
      <c r="AL74" s="119">
        <f t="shared" si="27"/>
        <v>0</v>
      </c>
      <c r="AM74" s="119">
        <f t="shared" si="27"/>
        <v>0</v>
      </c>
      <c r="AN74" s="120">
        <f t="shared" si="27"/>
        <v>0</v>
      </c>
      <c r="AO74" s="94">
        <f t="shared" si="27"/>
        <v>0</v>
      </c>
      <c r="AP74" s="94">
        <f t="shared" si="27"/>
        <v>0</v>
      </c>
      <c r="AQ74" s="94">
        <f t="shared" si="27"/>
        <v>0</v>
      </c>
      <c r="AR74" s="94">
        <f t="shared" si="27"/>
        <v>0</v>
      </c>
      <c r="AS74" s="94">
        <f t="shared" si="27"/>
        <v>0</v>
      </c>
    </row>
    <row r="75" spans="2:45" ht="17.25" thickBot="1" x14ac:dyDescent="0.3">
      <c r="B75" s="15">
        <v>73</v>
      </c>
      <c r="C75" s="8" t="s">
        <v>245</v>
      </c>
      <c r="D75" s="5" t="s">
        <v>246</v>
      </c>
      <c r="E75" s="383">
        <v>24</v>
      </c>
      <c r="F75" s="380">
        <v>46086</v>
      </c>
      <c r="G75" s="8">
        <v>3</v>
      </c>
      <c r="H75" s="8">
        <v>1</v>
      </c>
      <c r="I75" s="8">
        <v>242.52</v>
      </c>
      <c r="J75" s="9">
        <v>242000000</v>
      </c>
      <c r="K75" s="9">
        <f t="shared" si="25"/>
        <v>266200000.00000003</v>
      </c>
      <c r="L75" s="35">
        <f t="shared" si="26"/>
        <v>2.42</v>
      </c>
      <c r="M75" s="2" t="s">
        <v>733</v>
      </c>
      <c r="N75" t="s">
        <v>734</v>
      </c>
      <c r="O75" s="19" t="s">
        <v>739</v>
      </c>
      <c r="P75" s="19"/>
      <c r="Q75" s="19" t="s">
        <v>736</v>
      </c>
      <c r="R75" s="21" t="s">
        <v>740</v>
      </c>
      <c r="S75" s="46" t="s">
        <v>250</v>
      </c>
      <c r="T75" s="44" t="s">
        <v>741</v>
      </c>
      <c r="U75" s="77" t="s">
        <v>252</v>
      </c>
      <c r="V75" s="24" t="s">
        <v>738</v>
      </c>
      <c r="W75" s="24">
        <v>1111</v>
      </c>
      <c r="X75" s="193" t="s">
        <v>151</v>
      </c>
      <c r="Y75" s="15" t="s">
        <v>255</v>
      </c>
      <c r="AB75" s="489" t="s">
        <v>31</v>
      </c>
      <c r="AC75" s="490"/>
      <c r="AD75" s="103"/>
      <c r="AE75" s="85">
        <f>SUM(AE8,AE14,AE20,AE26,AE32,AE38,AE44,AE50,AE56,AE62,AE68,AE74)</f>
        <v>61184.299999999988</v>
      </c>
      <c r="AF75" s="85"/>
      <c r="AG75" s="85"/>
      <c r="AH75" s="86"/>
      <c r="AI75" s="86"/>
      <c r="AJ75" s="121"/>
      <c r="AK75" s="122"/>
      <c r="AL75" s="122"/>
      <c r="AM75" s="122"/>
      <c r="AN75" s="123"/>
      <c r="AO75" s="87"/>
      <c r="AP75" s="87"/>
      <c r="AQ75" s="87"/>
      <c r="AR75" s="87"/>
      <c r="AS75" s="88"/>
    </row>
    <row r="76" spans="2:45" x14ac:dyDescent="0.25">
      <c r="B76" s="15">
        <v>74</v>
      </c>
      <c r="C76" s="8" t="s">
        <v>245</v>
      </c>
      <c r="D76" s="5" t="s">
        <v>246</v>
      </c>
      <c r="E76" s="383">
        <v>25</v>
      </c>
      <c r="F76" s="380">
        <v>46086</v>
      </c>
      <c r="G76" s="8">
        <v>3</v>
      </c>
      <c r="H76" s="8">
        <v>1</v>
      </c>
      <c r="I76" s="8">
        <v>196.72499999999999</v>
      </c>
      <c r="J76" s="9">
        <v>196900000</v>
      </c>
      <c r="K76" s="9">
        <f t="shared" si="25"/>
        <v>216590000.00000003</v>
      </c>
      <c r="L76" s="35">
        <f t="shared" si="26"/>
        <v>1.9690000000000001</v>
      </c>
      <c r="M76" s="2" t="s">
        <v>734</v>
      </c>
      <c r="N76" t="s">
        <v>734</v>
      </c>
      <c r="O76" s="19" t="s">
        <v>742</v>
      </c>
      <c r="P76" s="19">
        <v>67</v>
      </c>
      <c r="Q76" s="19" t="s">
        <v>747</v>
      </c>
      <c r="R76" s="21" t="s">
        <v>748</v>
      </c>
      <c r="S76" s="46" t="s">
        <v>250</v>
      </c>
      <c r="T76" s="44" t="s">
        <v>749</v>
      </c>
      <c r="U76" s="77" t="s">
        <v>252</v>
      </c>
      <c r="V76" s="30" t="s">
        <v>750</v>
      </c>
      <c r="W76" s="24">
        <v>1111</v>
      </c>
      <c r="X76" s="193" t="s">
        <v>151</v>
      </c>
      <c r="Y76" s="15" t="s">
        <v>255</v>
      </c>
    </row>
    <row r="77" spans="2:45" x14ac:dyDescent="0.25">
      <c r="B77" s="15">
        <v>75</v>
      </c>
      <c r="C77" s="8" t="s">
        <v>245</v>
      </c>
      <c r="D77" s="5" t="s">
        <v>246</v>
      </c>
      <c r="E77" s="383">
        <v>26</v>
      </c>
      <c r="F77" s="380">
        <v>46086</v>
      </c>
      <c r="G77" s="8">
        <v>3</v>
      </c>
      <c r="H77" s="8">
        <v>1</v>
      </c>
      <c r="I77" s="8">
        <v>245.1</v>
      </c>
      <c r="J77" s="9">
        <v>225000000</v>
      </c>
      <c r="K77" s="9">
        <f t="shared" si="25"/>
        <v>247500000.00000003</v>
      </c>
      <c r="L77" s="35">
        <f t="shared" si="26"/>
        <v>2.25</v>
      </c>
      <c r="M77" s="2" t="s">
        <v>734</v>
      </c>
      <c r="N77" t="s">
        <v>734</v>
      </c>
      <c r="O77" s="19" t="s">
        <v>743</v>
      </c>
      <c r="P77" s="19"/>
      <c r="Q77" s="19" t="s">
        <v>747</v>
      </c>
      <c r="R77" s="21" t="s">
        <v>752</v>
      </c>
      <c r="S77" s="46" t="s">
        <v>250</v>
      </c>
      <c r="T77" s="44" t="s">
        <v>751</v>
      </c>
      <c r="U77" s="77" t="s">
        <v>252</v>
      </c>
      <c r="V77" s="30" t="s">
        <v>750</v>
      </c>
      <c r="W77" s="24">
        <v>1111</v>
      </c>
      <c r="X77" s="193" t="s">
        <v>151</v>
      </c>
      <c r="Y77" s="15" t="s">
        <v>255</v>
      </c>
    </row>
    <row r="78" spans="2:45" x14ac:dyDescent="0.25">
      <c r="B78" s="15">
        <v>76</v>
      </c>
      <c r="C78" s="8" t="s">
        <v>245</v>
      </c>
      <c r="D78" s="5" t="s">
        <v>246</v>
      </c>
      <c r="E78" s="383">
        <v>27</v>
      </c>
      <c r="F78" s="380">
        <v>46086</v>
      </c>
      <c r="G78" s="8">
        <v>3</v>
      </c>
      <c r="H78" s="8">
        <v>1</v>
      </c>
      <c r="I78" s="8">
        <v>203.17500000000001</v>
      </c>
      <c r="J78" s="9">
        <v>189000000</v>
      </c>
      <c r="K78" s="9">
        <f t="shared" si="25"/>
        <v>207900000.00000003</v>
      </c>
      <c r="L78" s="35">
        <f t="shared" si="26"/>
        <v>1.8900000000000001</v>
      </c>
      <c r="M78" s="2" t="s">
        <v>734</v>
      </c>
      <c r="N78" t="s">
        <v>734</v>
      </c>
      <c r="O78" s="19" t="s">
        <v>744</v>
      </c>
      <c r="P78" s="19"/>
      <c r="Q78" s="19" t="s">
        <v>747</v>
      </c>
      <c r="R78" s="21" t="s">
        <v>752</v>
      </c>
      <c r="S78" s="46" t="s">
        <v>250</v>
      </c>
      <c r="T78" s="44" t="s">
        <v>751</v>
      </c>
      <c r="U78" s="77" t="s">
        <v>252</v>
      </c>
      <c r="V78" s="30" t="s">
        <v>750</v>
      </c>
      <c r="W78" s="24">
        <v>1111</v>
      </c>
      <c r="X78" s="193" t="s">
        <v>151</v>
      </c>
      <c r="Y78" s="15" t="s">
        <v>255</v>
      </c>
    </row>
    <row r="79" spans="2:45" x14ac:dyDescent="0.25">
      <c r="B79" s="15">
        <v>77</v>
      </c>
      <c r="C79" s="8" t="s">
        <v>245</v>
      </c>
      <c r="D79" s="5" t="s">
        <v>246</v>
      </c>
      <c r="E79" s="383">
        <v>28</v>
      </c>
      <c r="F79" s="380">
        <v>46086</v>
      </c>
      <c r="G79" s="8">
        <v>3</v>
      </c>
      <c r="H79" s="8">
        <v>1</v>
      </c>
      <c r="I79" s="8">
        <v>1726.665</v>
      </c>
      <c r="J79" s="9">
        <v>1423000000</v>
      </c>
      <c r="K79" s="9">
        <f t="shared" si="25"/>
        <v>1565300000.0000002</v>
      </c>
      <c r="L79" s="35">
        <f t="shared" si="26"/>
        <v>14.23</v>
      </c>
      <c r="M79" s="2" t="s">
        <v>734</v>
      </c>
      <c r="N79" t="s">
        <v>734</v>
      </c>
      <c r="O79" s="19" t="s">
        <v>745</v>
      </c>
      <c r="P79" s="19"/>
      <c r="Q79" s="19" t="s">
        <v>747</v>
      </c>
      <c r="R79" s="21" t="s">
        <v>753</v>
      </c>
      <c r="S79" s="46" t="s">
        <v>250</v>
      </c>
      <c r="T79" s="44" t="s">
        <v>751</v>
      </c>
      <c r="U79" s="77" t="s">
        <v>252</v>
      </c>
      <c r="V79" s="30" t="s">
        <v>750</v>
      </c>
      <c r="W79" s="24">
        <v>1111</v>
      </c>
      <c r="X79" s="193" t="s">
        <v>151</v>
      </c>
      <c r="Y79" s="15" t="s">
        <v>255</v>
      </c>
    </row>
    <row r="80" spans="2:45" x14ac:dyDescent="0.25">
      <c r="B80" s="15">
        <v>78</v>
      </c>
      <c r="C80" s="8" t="s">
        <v>245</v>
      </c>
      <c r="D80" s="5" t="s">
        <v>246</v>
      </c>
      <c r="E80" s="383">
        <v>29</v>
      </c>
      <c r="F80" s="380">
        <v>46086</v>
      </c>
      <c r="G80" s="8">
        <v>3</v>
      </c>
      <c r="H80" s="8">
        <v>1</v>
      </c>
      <c r="I80" s="8">
        <v>236.07</v>
      </c>
      <c r="J80" s="9">
        <v>213000000</v>
      </c>
      <c r="K80" s="9">
        <f t="shared" si="25"/>
        <v>234300000.00000003</v>
      </c>
      <c r="L80" s="35">
        <f t="shared" si="26"/>
        <v>2.13</v>
      </c>
      <c r="M80" s="2" t="s">
        <v>734</v>
      </c>
      <c r="N80" t="s">
        <v>734</v>
      </c>
      <c r="O80" s="19" t="s">
        <v>746</v>
      </c>
      <c r="P80" s="19"/>
      <c r="Q80" s="19" t="s">
        <v>747</v>
      </c>
      <c r="R80" s="21" t="s">
        <v>754</v>
      </c>
      <c r="S80" s="46" t="s">
        <v>250</v>
      </c>
      <c r="T80" s="44" t="s">
        <v>751</v>
      </c>
      <c r="U80" s="77" t="s">
        <v>252</v>
      </c>
      <c r="V80" s="30" t="s">
        <v>750</v>
      </c>
      <c r="W80" s="24">
        <v>1111</v>
      </c>
      <c r="X80" s="193" t="s">
        <v>151</v>
      </c>
      <c r="Y80" s="15" t="s">
        <v>255</v>
      </c>
    </row>
    <row r="81" spans="2:25" x14ac:dyDescent="0.25">
      <c r="B81" s="15">
        <v>79</v>
      </c>
      <c r="C81" s="8" t="s">
        <v>245</v>
      </c>
      <c r="D81" s="5" t="s">
        <v>246</v>
      </c>
      <c r="E81" s="383">
        <v>30</v>
      </c>
      <c r="F81" s="380">
        <v>46087</v>
      </c>
      <c r="G81" s="8">
        <v>3</v>
      </c>
      <c r="H81" s="8">
        <v>2</v>
      </c>
      <c r="I81" s="8">
        <v>446.98500000000001</v>
      </c>
      <c r="J81" s="9">
        <v>435000000</v>
      </c>
      <c r="K81" s="9">
        <f t="shared" si="25"/>
        <v>478500000.00000006</v>
      </c>
      <c r="L81" s="35">
        <f t="shared" si="26"/>
        <v>4.3500000000000005</v>
      </c>
      <c r="M81" s="2" t="s">
        <v>760</v>
      </c>
      <c r="N81" t="s">
        <v>761</v>
      </c>
      <c r="O81" s="19" t="s">
        <v>762</v>
      </c>
      <c r="P81" s="19">
        <v>68</v>
      </c>
      <c r="Q81" s="19" t="s">
        <v>763</v>
      </c>
      <c r="R81" s="21" t="s">
        <v>764</v>
      </c>
      <c r="S81" s="46" t="s">
        <v>250</v>
      </c>
      <c r="T81" s="44" t="s">
        <v>765</v>
      </c>
      <c r="U81" s="77" t="s">
        <v>252</v>
      </c>
      <c r="V81" s="24" t="s">
        <v>766</v>
      </c>
      <c r="W81" s="24">
        <v>1111</v>
      </c>
      <c r="X81" s="193" t="s">
        <v>151</v>
      </c>
      <c r="Y81" s="15" t="s">
        <v>255</v>
      </c>
    </row>
    <row r="82" spans="2:25" x14ac:dyDescent="0.25">
      <c r="B82" s="15">
        <v>80</v>
      </c>
      <c r="C82" s="8" t="s">
        <v>112</v>
      </c>
      <c r="D82" s="5" t="s">
        <v>246</v>
      </c>
      <c r="E82" s="383">
        <v>50</v>
      </c>
      <c r="F82" s="380" t="s">
        <v>773</v>
      </c>
      <c r="G82" s="8">
        <v>3</v>
      </c>
      <c r="H82" s="8">
        <v>2</v>
      </c>
      <c r="I82" s="8">
        <v>207.04499999999999</v>
      </c>
      <c r="J82" s="9">
        <v>190000000</v>
      </c>
      <c r="K82" s="9">
        <f t="shared" si="25"/>
        <v>209000000.00000003</v>
      </c>
      <c r="L82" s="35">
        <f t="shared" si="26"/>
        <v>1.9000000000000001</v>
      </c>
      <c r="M82" s="2" t="s">
        <v>774</v>
      </c>
      <c r="N82" t="s">
        <v>775</v>
      </c>
      <c r="O82" s="19" t="s">
        <v>776</v>
      </c>
      <c r="P82" s="19">
        <v>69</v>
      </c>
      <c r="Q82" s="19" t="s">
        <v>777</v>
      </c>
      <c r="R82" s="21" t="s">
        <v>778</v>
      </c>
      <c r="S82" s="46" t="s">
        <v>250</v>
      </c>
      <c r="T82" s="44" t="s">
        <v>779</v>
      </c>
      <c r="U82" s="77" t="s">
        <v>780</v>
      </c>
      <c r="V82" s="30" t="s">
        <v>781</v>
      </c>
      <c r="W82" s="24"/>
      <c r="X82" s="193" t="s">
        <v>782</v>
      </c>
      <c r="Y82" s="15" t="s">
        <v>255</v>
      </c>
    </row>
    <row r="83" spans="2:25" x14ac:dyDescent="0.25">
      <c r="B83" s="15">
        <v>81</v>
      </c>
      <c r="C83" s="8" t="s">
        <v>245</v>
      </c>
      <c r="D83" s="5" t="s">
        <v>246</v>
      </c>
      <c r="E83" s="383">
        <v>31</v>
      </c>
      <c r="F83" s="380">
        <v>46094</v>
      </c>
      <c r="G83" s="8">
        <v>3</v>
      </c>
      <c r="H83" s="8">
        <v>3</v>
      </c>
      <c r="I83" s="8">
        <v>88.364999999999995</v>
      </c>
      <c r="J83" s="9">
        <v>100000000</v>
      </c>
      <c r="K83" s="9">
        <f t="shared" si="25"/>
        <v>110000000.00000001</v>
      </c>
      <c r="L83" s="35">
        <f t="shared" si="26"/>
        <v>1</v>
      </c>
      <c r="M83" s="2" t="s">
        <v>798</v>
      </c>
      <c r="N83" t="s">
        <v>799</v>
      </c>
      <c r="O83" s="19" t="s">
        <v>800</v>
      </c>
      <c r="P83" s="19">
        <v>70</v>
      </c>
      <c r="Q83" s="19" t="s">
        <v>801</v>
      </c>
      <c r="R83" s="21" t="s">
        <v>802</v>
      </c>
      <c r="S83" s="46" t="s">
        <v>250</v>
      </c>
      <c r="T83" s="44" t="s">
        <v>803</v>
      </c>
      <c r="U83" s="77" t="s">
        <v>252</v>
      </c>
      <c r="V83" s="24" t="s">
        <v>804</v>
      </c>
      <c r="W83" s="24">
        <v>1111</v>
      </c>
      <c r="X83" s="193" t="s">
        <v>155</v>
      </c>
      <c r="Y83" s="15" t="s">
        <v>255</v>
      </c>
    </row>
    <row r="84" spans="2:25" x14ac:dyDescent="0.25">
      <c r="B84" s="15">
        <v>82</v>
      </c>
      <c r="C84" s="8" t="s">
        <v>245</v>
      </c>
      <c r="D84" s="5" t="s">
        <v>246</v>
      </c>
      <c r="E84" s="383">
        <v>32</v>
      </c>
      <c r="F84" s="380">
        <v>46094</v>
      </c>
      <c r="G84" s="8">
        <v>3</v>
      </c>
      <c r="H84" s="8">
        <v>3</v>
      </c>
      <c r="I84" s="8">
        <v>309.60000000000002</v>
      </c>
      <c r="J84" s="9">
        <v>309000000</v>
      </c>
      <c r="K84" s="9">
        <f t="shared" si="25"/>
        <v>339900000</v>
      </c>
      <c r="L84" s="35">
        <f t="shared" si="26"/>
        <v>3.09</v>
      </c>
      <c r="M84" s="2" t="s">
        <v>798</v>
      </c>
      <c r="N84" t="s">
        <v>799</v>
      </c>
      <c r="O84" s="19" t="s">
        <v>805</v>
      </c>
      <c r="P84" s="19">
        <v>71</v>
      </c>
      <c r="Q84" s="19" t="s">
        <v>806</v>
      </c>
      <c r="R84" s="21" t="s">
        <v>807</v>
      </c>
      <c r="S84" s="46" t="s">
        <v>250</v>
      </c>
      <c r="T84" s="44" t="s">
        <v>808</v>
      </c>
      <c r="U84" s="77" t="s">
        <v>252</v>
      </c>
      <c r="V84" s="24" t="s">
        <v>809</v>
      </c>
      <c r="W84" s="24">
        <v>1111</v>
      </c>
      <c r="X84" s="193" t="s">
        <v>151</v>
      </c>
      <c r="Y84" s="15" t="s">
        <v>255</v>
      </c>
    </row>
    <row r="85" spans="2:25" x14ac:dyDescent="0.25">
      <c r="B85" s="15">
        <v>83</v>
      </c>
      <c r="C85" s="8" t="s">
        <v>112</v>
      </c>
      <c r="D85" s="5" t="s">
        <v>246</v>
      </c>
      <c r="E85" s="383">
        <v>51</v>
      </c>
      <c r="F85" s="380" t="s">
        <v>810</v>
      </c>
      <c r="G85" s="8">
        <v>3</v>
      </c>
      <c r="H85" s="8">
        <v>3</v>
      </c>
      <c r="I85" s="8">
        <v>122.55</v>
      </c>
      <c r="J85" s="9">
        <v>125000000</v>
      </c>
      <c r="K85" s="9">
        <f t="shared" si="25"/>
        <v>137500000</v>
      </c>
      <c r="L85" s="35">
        <f t="shared" si="26"/>
        <v>1.25</v>
      </c>
      <c r="M85" s="2" t="s">
        <v>259</v>
      </c>
      <c r="N85" t="s">
        <v>275</v>
      </c>
      <c r="O85" s="19" t="s">
        <v>811</v>
      </c>
      <c r="P85" s="19">
        <v>72</v>
      </c>
      <c r="Q85" s="19" t="s">
        <v>813</v>
      </c>
      <c r="R85" s="21" t="s">
        <v>814</v>
      </c>
      <c r="S85" s="46" t="s">
        <v>250</v>
      </c>
      <c r="T85" s="44" t="s">
        <v>816</v>
      </c>
      <c r="U85" s="77" t="s">
        <v>817</v>
      </c>
      <c r="V85" s="24" t="s">
        <v>818</v>
      </c>
      <c r="W85" s="24"/>
      <c r="X85" s="193" t="s">
        <v>152</v>
      </c>
      <c r="Y85" s="15" t="s">
        <v>255</v>
      </c>
    </row>
    <row r="86" spans="2:25" x14ac:dyDescent="0.25">
      <c r="B86" s="15">
        <v>84</v>
      </c>
      <c r="C86" s="8" t="s">
        <v>112</v>
      </c>
      <c r="D86" s="5" t="s">
        <v>246</v>
      </c>
      <c r="E86" s="383">
        <v>52</v>
      </c>
      <c r="F86" s="380" t="s">
        <v>810</v>
      </c>
      <c r="G86" s="8">
        <v>3</v>
      </c>
      <c r="H86" s="8">
        <v>3</v>
      </c>
      <c r="I86" s="8">
        <v>50.31</v>
      </c>
      <c r="J86" s="9">
        <v>57000000</v>
      </c>
      <c r="K86" s="9">
        <f t="shared" si="25"/>
        <v>62700000.000000007</v>
      </c>
      <c r="L86" s="35">
        <f t="shared" si="26"/>
        <v>0.57000000000000006</v>
      </c>
      <c r="M86" s="2" t="s">
        <v>259</v>
      </c>
      <c r="N86" t="s">
        <v>275</v>
      </c>
      <c r="O86" s="19" t="s">
        <v>812</v>
      </c>
      <c r="P86" s="19">
        <v>73</v>
      </c>
      <c r="Q86" s="19" t="s">
        <v>813</v>
      </c>
      <c r="R86" s="21" t="s">
        <v>815</v>
      </c>
      <c r="S86" s="46" t="s">
        <v>250</v>
      </c>
      <c r="T86" s="44" t="s">
        <v>816</v>
      </c>
      <c r="U86" s="77" t="s">
        <v>817</v>
      </c>
      <c r="V86" s="24" t="s">
        <v>818</v>
      </c>
      <c r="W86" s="24"/>
      <c r="X86" s="193" t="s">
        <v>152</v>
      </c>
      <c r="Y86" s="15" t="s">
        <v>255</v>
      </c>
    </row>
    <row r="87" spans="2:25" x14ac:dyDescent="0.25">
      <c r="B87" s="15">
        <v>85</v>
      </c>
      <c r="C87" s="8" t="s">
        <v>112</v>
      </c>
      <c r="D87" s="5" t="s">
        <v>246</v>
      </c>
      <c r="E87" s="383">
        <v>53</v>
      </c>
      <c r="F87" s="380" t="s">
        <v>810</v>
      </c>
      <c r="G87" s="8">
        <v>3</v>
      </c>
      <c r="H87" s="8">
        <v>3</v>
      </c>
      <c r="I87" s="8">
        <v>1748.595</v>
      </c>
      <c r="J87" s="9">
        <v>1725000000</v>
      </c>
      <c r="K87" s="9">
        <f t="shared" si="25"/>
        <v>1897500000.0000002</v>
      </c>
      <c r="L87" s="35">
        <f t="shared" si="26"/>
        <v>17.25</v>
      </c>
      <c r="M87" s="2" t="s">
        <v>819</v>
      </c>
      <c r="N87" t="s">
        <v>820</v>
      </c>
      <c r="O87" s="19" t="s">
        <v>821</v>
      </c>
      <c r="P87" s="19">
        <v>74</v>
      </c>
      <c r="Q87" s="19" t="s">
        <v>822</v>
      </c>
      <c r="R87" s="21" t="s">
        <v>823</v>
      </c>
      <c r="S87" s="46" t="s">
        <v>250</v>
      </c>
      <c r="T87" s="44" t="s">
        <v>824</v>
      </c>
      <c r="U87" s="77" t="s">
        <v>267</v>
      </c>
      <c r="V87" s="24" t="s">
        <v>825</v>
      </c>
      <c r="W87" s="24"/>
      <c r="X87" s="193" t="s">
        <v>152</v>
      </c>
      <c r="Y87" s="15" t="s">
        <v>255</v>
      </c>
    </row>
    <row r="88" spans="2:25" x14ac:dyDescent="0.25">
      <c r="B88" s="15">
        <v>86</v>
      </c>
      <c r="C88" s="8" t="s">
        <v>112</v>
      </c>
      <c r="D88" s="5" t="s">
        <v>246</v>
      </c>
      <c r="E88" s="383">
        <v>54</v>
      </c>
      <c r="F88" s="380" t="s">
        <v>826</v>
      </c>
      <c r="G88" s="8">
        <v>3</v>
      </c>
      <c r="H88" s="8">
        <v>3</v>
      </c>
      <c r="I88" s="8">
        <v>309.60000000000002</v>
      </c>
      <c r="J88" s="9">
        <v>270000000</v>
      </c>
      <c r="K88" s="9">
        <f t="shared" si="25"/>
        <v>297000000</v>
      </c>
      <c r="L88" s="35">
        <f t="shared" si="26"/>
        <v>2.7</v>
      </c>
      <c r="M88" s="2" t="s">
        <v>827</v>
      </c>
      <c r="N88" t="s">
        <v>828</v>
      </c>
      <c r="O88" s="19" t="s">
        <v>829</v>
      </c>
      <c r="P88" s="19">
        <v>75</v>
      </c>
      <c r="Q88" s="19" t="s">
        <v>830</v>
      </c>
      <c r="R88" s="21" t="s">
        <v>831</v>
      </c>
      <c r="S88" s="46" t="s">
        <v>250</v>
      </c>
      <c r="T88" s="44" t="s">
        <v>832</v>
      </c>
      <c r="U88" s="77" t="s">
        <v>252</v>
      </c>
      <c r="V88" s="30" t="s">
        <v>833</v>
      </c>
      <c r="W88" s="24">
        <v>1111</v>
      </c>
      <c r="X88" s="193" t="s">
        <v>151</v>
      </c>
      <c r="Y88" s="15" t="s">
        <v>255</v>
      </c>
    </row>
    <row r="89" spans="2:25" x14ac:dyDescent="0.25">
      <c r="B89" s="15">
        <v>87</v>
      </c>
      <c r="C89" s="8" t="s">
        <v>112</v>
      </c>
      <c r="D89" s="5" t="s">
        <v>246</v>
      </c>
      <c r="E89" s="383">
        <v>55</v>
      </c>
      <c r="F89" s="380" t="s">
        <v>826</v>
      </c>
      <c r="G89" s="8">
        <v>3</v>
      </c>
      <c r="H89" s="8">
        <v>3</v>
      </c>
      <c r="I89" s="8">
        <v>416.02499999999998</v>
      </c>
      <c r="J89" s="9">
        <v>391000000</v>
      </c>
      <c r="K89" s="9">
        <f t="shared" si="25"/>
        <v>430100000.00000006</v>
      </c>
      <c r="L89" s="35">
        <f t="shared" si="26"/>
        <v>3.91</v>
      </c>
      <c r="M89" s="2" t="s">
        <v>834</v>
      </c>
      <c r="N89" t="s">
        <v>835</v>
      </c>
      <c r="O89" s="19" t="s">
        <v>836</v>
      </c>
      <c r="P89" s="19">
        <v>76</v>
      </c>
      <c r="Q89" s="19" t="s">
        <v>271</v>
      </c>
      <c r="R89" s="21" t="s">
        <v>837</v>
      </c>
      <c r="S89" s="46" t="s">
        <v>250</v>
      </c>
      <c r="T89" s="44" t="s">
        <v>838</v>
      </c>
      <c r="U89" s="77" t="s">
        <v>252</v>
      </c>
      <c r="V89" s="30" t="s">
        <v>268</v>
      </c>
      <c r="W89" s="24"/>
      <c r="X89" s="193" t="s">
        <v>839</v>
      </c>
      <c r="Y89" s="15" t="s">
        <v>840</v>
      </c>
    </row>
    <row r="90" spans="2:25" x14ac:dyDescent="0.25">
      <c r="B90" s="15">
        <v>88</v>
      </c>
      <c r="C90" s="8" t="s">
        <v>112</v>
      </c>
      <c r="D90" s="5" t="s">
        <v>246</v>
      </c>
      <c r="E90" s="383">
        <v>56</v>
      </c>
      <c r="F90" s="380" t="s">
        <v>841</v>
      </c>
      <c r="G90" s="8">
        <v>3</v>
      </c>
      <c r="H90" s="8">
        <v>3</v>
      </c>
      <c r="I90" s="8">
        <v>499.23</v>
      </c>
      <c r="J90" s="9">
        <v>450000000</v>
      </c>
      <c r="K90" s="9">
        <f t="shared" si="25"/>
        <v>495000000.00000006</v>
      </c>
      <c r="L90" s="35">
        <f t="shared" si="26"/>
        <v>4.5</v>
      </c>
      <c r="M90" s="2" t="s">
        <v>842</v>
      </c>
      <c r="N90" t="s">
        <v>843</v>
      </c>
      <c r="O90" s="19" t="s">
        <v>844</v>
      </c>
      <c r="P90" s="19">
        <v>77</v>
      </c>
      <c r="Q90" s="19" t="s">
        <v>845</v>
      </c>
      <c r="R90" s="21" t="s">
        <v>846</v>
      </c>
      <c r="S90" s="46" t="s">
        <v>250</v>
      </c>
      <c r="T90" s="44" t="s">
        <v>847</v>
      </c>
      <c r="U90" s="77" t="s">
        <v>848</v>
      </c>
      <c r="V90" s="24" t="s">
        <v>849</v>
      </c>
      <c r="W90" s="24"/>
      <c r="X90" s="193" t="s">
        <v>151</v>
      </c>
      <c r="Y90" s="15" t="s">
        <v>255</v>
      </c>
    </row>
    <row r="91" spans="2:25" x14ac:dyDescent="0.25">
      <c r="B91" s="15">
        <v>89</v>
      </c>
      <c r="C91" s="8" t="s">
        <v>112</v>
      </c>
      <c r="D91" s="5" t="s">
        <v>246</v>
      </c>
      <c r="E91" s="383">
        <v>57</v>
      </c>
      <c r="F91" s="380" t="s">
        <v>841</v>
      </c>
      <c r="G91" s="8">
        <v>3</v>
      </c>
      <c r="H91" s="8">
        <v>3</v>
      </c>
      <c r="I91" s="8">
        <v>681.76499999999999</v>
      </c>
      <c r="J91" s="9">
        <v>650000000</v>
      </c>
      <c r="K91" s="9">
        <f t="shared" si="25"/>
        <v>715000000</v>
      </c>
      <c r="L91" s="35">
        <f t="shared" si="26"/>
        <v>6.5</v>
      </c>
      <c r="M91" s="2" t="s">
        <v>842</v>
      </c>
      <c r="N91" t="s">
        <v>843</v>
      </c>
      <c r="O91" s="19" t="s">
        <v>853</v>
      </c>
      <c r="P91" s="19"/>
      <c r="Q91" s="19" t="s">
        <v>845</v>
      </c>
      <c r="R91" s="21" t="s">
        <v>854</v>
      </c>
      <c r="S91" s="46" t="s">
        <v>250</v>
      </c>
      <c r="T91" s="44" t="s">
        <v>850</v>
      </c>
      <c r="U91" s="77" t="s">
        <v>848</v>
      </c>
      <c r="V91" s="24" t="s">
        <v>268</v>
      </c>
      <c r="W91" s="24"/>
      <c r="X91" s="193" t="s">
        <v>851</v>
      </c>
      <c r="Y91" s="15" t="s">
        <v>852</v>
      </c>
    </row>
    <row r="92" spans="2:25" x14ac:dyDescent="0.25">
      <c r="B92" s="15">
        <v>90</v>
      </c>
      <c r="C92" s="8" t="s">
        <v>112</v>
      </c>
      <c r="D92" s="5" t="s">
        <v>246</v>
      </c>
      <c r="E92" s="383">
        <v>58</v>
      </c>
      <c r="F92" s="380" t="s">
        <v>855</v>
      </c>
      <c r="G92" s="8">
        <v>3</v>
      </c>
      <c r="H92" s="8">
        <v>3</v>
      </c>
      <c r="I92" s="8">
        <v>139.32</v>
      </c>
      <c r="J92" s="9">
        <v>140000000</v>
      </c>
      <c r="K92" s="9">
        <f t="shared" si="25"/>
        <v>154000000</v>
      </c>
      <c r="L92" s="35">
        <f t="shared" si="26"/>
        <v>1.4000000000000001</v>
      </c>
      <c r="M92" s="2" t="s">
        <v>856</v>
      </c>
      <c r="N92" t="s">
        <v>857</v>
      </c>
      <c r="O92" s="19" t="s">
        <v>858</v>
      </c>
      <c r="P92" s="19">
        <v>78</v>
      </c>
      <c r="Q92" s="19" t="s">
        <v>859</v>
      </c>
      <c r="R92" s="21" t="s">
        <v>860</v>
      </c>
      <c r="S92" s="46" t="s">
        <v>250</v>
      </c>
      <c r="T92" s="44" t="s">
        <v>861</v>
      </c>
      <c r="U92" s="77" t="s">
        <v>252</v>
      </c>
      <c r="V92" s="24" t="s">
        <v>268</v>
      </c>
      <c r="W92" s="24"/>
      <c r="X92" s="193" t="s">
        <v>155</v>
      </c>
      <c r="Y92" s="15" t="s">
        <v>255</v>
      </c>
    </row>
    <row r="93" spans="2:25" x14ac:dyDescent="0.25">
      <c r="B93" s="15">
        <v>91</v>
      </c>
      <c r="C93" s="8" t="s">
        <v>112</v>
      </c>
      <c r="D93" s="5" t="s">
        <v>246</v>
      </c>
      <c r="E93" s="383">
        <v>59</v>
      </c>
      <c r="F93" s="380" t="s">
        <v>862</v>
      </c>
      <c r="G93" s="8">
        <v>3</v>
      </c>
      <c r="H93" s="8">
        <v>3</v>
      </c>
      <c r="I93" s="8">
        <v>406.35</v>
      </c>
      <c r="J93" s="9">
        <v>340000000</v>
      </c>
      <c r="K93" s="9">
        <f t="shared" si="25"/>
        <v>374000000.00000006</v>
      </c>
      <c r="L93" s="35">
        <f t="shared" si="26"/>
        <v>3.4</v>
      </c>
      <c r="M93" s="2" t="s">
        <v>863</v>
      </c>
      <c r="N93" t="s">
        <v>864</v>
      </c>
      <c r="O93" s="19" t="s">
        <v>865</v>
      </c>
      <c r="P93" s="19">
        <v>79</v>
      </c>
      <c r="Q93" s="19" t="s">
        <v>866</v>
      </c>
      <c r="R93" s="21" t="s">
        <v>867</v>
      </c>
      <c r="S93" s="46" t="s">
        <v>250</v>
      </c>
      <c r="T93" s="44" t="s">
        <v>868</v>
      </c>
      <c r="U93" s="77" t="s">
        <v>869</v>
      </c>
      <c r="V93" s="24" t="s">
        <v>268</v>
      </c>
      <c r="W93" s="24">
        <v>1111</v>
      </c>
      <c r="X93" s="193" t="s">
        <v>870</v>
      </c>
      <c r="Y93" s="15" t="s">
        <v>871</v>
      </c>
    </row>
    <row r="94" spans="2:25" x14ac:dyDescent="0.25">
      <c r="B94" s="15">
        <v>92</v>
      </c>
      <c r="C94" s="8" t="s">
        <v>112</v>
      </c>
      <c r="D94" s="5" t="s">
        <v>246</v>
      </c>
      <c r="E94" s="383">
        <v>60</v>
      </c>
      <c r="F94" s="380" t="s">
        <v>872</v>
      </c>
      <c r="G94" s="8">
        <v>3</v>
      </c>
      <c r="H94" s="8">
        <v>3</v>
      </c>
      <c r="I94" s="8">
        <v>141.9</v>
      </c>
      <c r="J94" s="9">
        <v>143000000</v>
      </c>
      <c r="K94" s="9">
        <f t="shared" si="25"/>
        <v>157300000</v>
      </c>
      <c r="L94" s="35">
        <f t="shared" si="26"/>
        <v>1.43</v>
      </c>
      <c r="M94" s="2" t="s">
        <v>873</v>
      </c>
      <c r="N94" t="s">
        <v>874</v>
      </c>
      <c r="O94" s="19" t="s">
        <v>875</v>
      </c>
      <c r="P94" s="19">
        <v>80</v>
      </c>
      <c r="Q94" s="19" t="s">
        <v>876</v>
      </c>
      <c r="R94" s="21" t="s">
        <v>877</v>
      </c>
      <c r="S94" s="46" t="s">
        <v>250</v>
      </c>
      <c r="T94" s="44" t="s">
        <v>878</v>
      </c>
      <c r="U94" s="77" t="s">
        <v>252</v>
      </c>
      <c r="V94" s="24" t="s">
        <v>879</v>
      </c>
      <c r="W94" s="24"/>
      <c r="X94" s="193" t="s">
        <v>880</v>
      </c>
      <c r="Y94" s="15" t="s">
        <v>881</v>
      </c>
    </row>
    <row r="95" spans="2:25" x14ac:dyDescent="0.25">
      <c r="B95" s="15">
        <v>93</v>
      </c>
      <c r="C95" s="8" t="s">
        <v>245</v>
      </c>
      <c r="D95" s="5" t="s">
        <v>246</v>
      </c>
      <c r="E95" s="383">
        <v>33</v>
      </c>
      <c r="F95" s="380">
        <v>46104</v>
      </c>
      <c r="G95" s="8">
        <v>3</v>
      </c>
      <c r="H95" s="8">
        <v>4</v>
      </c>
      <c r="I95" s="8">
        <v>117.39</v>
      </c>
      <c r="J95" s="9">
        <v>121000000</v>
      </c>
      <c r="K95" s="9">
        <f t="shared" si="25"/>
        <v>133100000.00000001</v>
      </c>
      <c r="L95" s="35">
        <f t="shared" si="26"/>
        <v>1.21</v>
      </c>
      <c r="M95" s="2" t="s">
        <v>899</v>
      </c>
      <c r="N95" t="s">
        <v>900</v>
      </c>
      <c r="O95" s="19" t="s">
        <v>901</v>
      </c>
      <c r="P95" s="19">
        <v>81</v>
      </c>
      <c r="Q95" s="19" t="s">
        <v>902</v>
      </c>
      <c r="R95" s="46" t="s">
        <v>903</v>
      </c>
      <c r="S95" s="46" t="s">
        <v>250</v>
      </c>
      <c r="T95" s="44" t="s">
        <v>904</v>
      </c>
      <c r="U95" s="77" t="s">
        <v>905</v>
      </c>
      <c r="V95" s="30" t="s">
        <v>906</v>
      </c>
      <c r="W95" s="24">
        <v>1111</v>
      </c>
      <c r="X95" s="193" t="s">
        <v>152</v>
      </c>
      <c r="Y95" s="15" t="s">
        <v>907</v>
      </c>
    </row>
    <row r="96" spans="2:25" x14ac:dyDescent="0.25">
      <c r="B96" s="15">
        <v>94</v>
      </c>
      <c r="C96" s="8" t="s">
        <v>112</v>
      </c>
      <c r="D96" s="5" t="s">
        <v>246</v>
      </c>
      <c r="E96" s="383">
        <v>61</v>
      </c>
      <c r="F96" s="380" t="s">
        <v>931</v>
      </c>
      <c r="G96" s="8">
        <v>4</v>
      </c>
      <c r="H96" s="8">
        <v>1</v>
      </c>
      <c r="I96" s="8">
        <v>239.94</v>
      </c>
      <c r="J96" s="9">
        <v>220000000</v>
      </c>
      <c r="K96" s="9">
        <f t="shared" si="25"/>
        <v>242000000.00000003</v>
      </c>
      <c r="L96" s="35">
        <f t="shared" si="26"/>
        <v>2.2000000000000002</v>
      </c>
      <c r="M96" s="2" t="s">
        <v>932</v>
      </c>
      <c r="N96" t="s">
        <v>933</v>
      </c>
      <c r="O96" s="19" t="s">
        <v>934</v>
      </c>
      <c r="P96" s="19">
        <v>82</v>
      </c>
      <c r="Q96" s="19" t="s">
        <v>935</v>
      </c>
      <c r="R96" s="254" t="s">
        <v>936</v>
      </c>
      <c r="S96" s="46" t="s">
        <v>250</v>
      </c>
      <c r="T96" s="44" t="s">
        <v>937</v>
      </c>
      <c r="U96" s="77" t="s">
        <v>938</v>
      </c>
      <c r="V96" s="30" t="s">
        <v>939</v>
      </c>
      <c r="W96" s="24">
        <v>1111</v>
      </c>
      <c r="X96" s="193" t="s">
        <v>940</v>
      </c>
      <c r="Y96" s="15" t="s">
        <v>941</v>
      </c>
    </row>
    <row r="97" spans="2:26" x14ac:dyDescent="0.25">
      <c r="B97" s="15">
        <v>95</v>
      </c>
      <c r="C97" s="8" t="s">
        <v>112</v>
      </c>
      <c r="D97" s="5" t="s">
        <v>246</v>
      </c>
      <c r="E97" s="383">
        <v>63</v>
      </c>
      <c r="F97" s="380" t="s">
        <v>930</v>
      </c>
      <c r="G97" s="8">
        <v>4</v>
      </c>
      <c r="H97" s="8">
        <v>1</v>
      </c>
      <c r="I97" s="8">
        <v>238.65</v>
      </c>
      <c r="J97" s="9">
        <v>220000000</v>
      </c>
      <c r="K97" s="9">
        <f t="shared" si="25"/>
        <v>242000000.00000003</v>
      </c>
      <c r="L97" s="35">
        <f t="shared" si="26"/>
        <v>2.2000000000000002</v>
      </c>
      <c r="M97" s="2" t="s">
        <v>942</v>
      </c>
      <c r="N97" t="s">
        <v>933</v>
      </c>
      <c r="O97" s="19" t="s">
        <v>943</v>
      </c>
      <c r="P97" s="19">
        <v>82</v>
      </c>
      <c r="Q97" s="19" t="s">
        <v>944</v>
      </c>
      <c r="R97" s="21" t="s">
        <v>945</v>
      </c>
      <c r="S97" s="46" t="s">
        <v>250</v>
      </c>
      <c r="T97" s="44" t="s">
        <v>946</v>
      </c>
      <c r="U97" s="77" t="s">
        <v>938</v>
      </c>
      <c r="V97" s="24" t="s">
        <v>947</v>
      </c>
      <c r="W97" s="24">
        <v>1111</v>
      </c>
      <c r="X97" s="193" t="s">
        <v>948</v>
      </c>
      <c r="Y97" s="15" t="s">
        <v>941</v>
      </c>
    </row>
    <row r="98" spans="2:26" x14ac:dyDescent="0.25">
      <c r="B98" s="15">
        <v>96</v>
      </c>
      <c r="C98" s="8" t="s">
        <v>112</v>
      </c>
      <c r="D98" s="5" t="s">
        <v>246</v>
      </c>
      <c r="E98" s="383">
        <v>62</v>
      </c>
      <c r="F98" s="380" t="s">
        <v>949</v>
      </c>
      <c r="G98" s="8">
        <v>4</v>
      </c>
      <c r="H98" s="8">
        <v>1</v>
      </c>
      <c r="I98" s="8">
        <v>104.49</v>
      </c>
      <c r="J98" s="9">
        <v>100000000</v>
      </c>
      <c r="K98" s="9">
        <f t="shared" si="25"/>
        <v>110000000.00000001</v>
      </c>
      <c r="L98" s="35">
        <f t="shared" si="26"/>
        <v>1</v>
      </c>
      <c r="M98" s="2" t="s">
        <v>952</v>
      </c>
      <c r="N98" t="s">
        <v>950</v>
      </c>
      <c r="O98" s="19" t="s">
        <v>951</v>
      </c>
      <c r="P98" s="19"/>
      <c r="Q98" s="19" t="s">
        <v>953</v>
      </c>
      <c r="R98" s="21" t="s">
        <v>954</v>
      </c>
      <c r="S98" s="46" t="s">
        <v>250</v>
      </c>
      <c r="T98" s="44" t="s">
        <v>956</v>
      </c>
      <c r="U98" s="77" t="s">
        <v>252</v>
      </c>
      <c r="V98" s="24" t="s">
        <v>955</v>
      </c>
      <c r="W98" s="24"/>
      <c r="X98" s="193" t="s">
        <v>153</v>
      </c>
      <c r="Y98" s="15" t="s">
        <v>255</v>
      </c>
    </row>
    <row r="99" spans="2:26" x14ac:dyDescent="0.25">
      <c r="B99" s="15">
        <v>97</v>
      </c>
      <c r="C99" s="8" t="s">
        <v>112</v>
      </c>
      <c r="D99" s="5" t="s">
        <v>246</v>
      </c>
      <c r="E99" s="383">
        <v>64</v>
      </c>
      <c r="F99" s="380" t="s">
        <v>957</v>
      </c>
      <c r="G99" s="8">
        <v>4</v>
      </c>
      <c r="H99" s="8">
        <v>1</v>
      </c>
      <c r="I99" s="8">
        <v>462.46499999999997</v>
      </c>
      <c r="J99" s="9">
        <v>465000000</v>
      </c>
      <c r="K99" s="9">
        <f t="shared" si="25"/>
        <v>511500000.00000006</v>
      </c>
      <c r="L99" s="35">
        <f t="shared" si="26"/>
        <v>4.6500000000000004</v>
      </c>
      <c r="M99" s="2" t="s">
        <v>958</v>
      </c>
      <c r="N99" t="s">
        <v>959</v>
      </c>
      <c r="O99" s="19" t="s">
        <v>960</v>
      </c>
      <c r="P99" s="19">
        <v>83</v>
      </c>
      <c r="Q99" s="19" t="s">
        <v>961</v>
      </c>
      <c r="R99" s="21" t="s">
        <v>962</v>
      </c>
      <c r="S99" s="46" t="s">
        <v>250</v>
      </c>
      <c r="T99" s="44" t="s">
        <v>963</v>
      </c>
      <c r="U99" s="77" t="s">
        <v>964</v>
      </c>
      <c r="V99" s="24" t="s">
        <v>965</v>
      </c>
      <c r="W99" s="24">
        <v>1111</v>
      </c>
      <c r="X99" s="193" t="s">
        <v>966</v>
      </c>
      <c r="Y99" s="15" t="s">
        <v>967</v>
      </c>
    </row>
    <row r="100" spans="2:26" x14ac:dyDescent="0.25">
      <c r="B100" s="15">
        <v>98</v>
      </c>
      <c r="C100" s="8" t="s">
        <v>245</v>
      </c>
      <c r="D100" s="5" t="s">
        <v>246</v>
      </c>
      <c r="E100" s="383">
        <v>34</v>
      </c>
      <c r="F100" s="380">
        <v>46114</v>
      </c>
      <c r="G100" s="8">
        <v>4</v>
      </c>
      <c r="H100" s="8">
        <v>1</v>
      </c>
      <c r="I100" s="8">
        <v>312.18</v>
      </c>
      <c r="J100" s="9">
        <v>303000000</v>
      </c>
      <c r="K100" s="9">
        <f t="shared" si="25"/>
        <v>333300000</v>
      </c>
      <c r="L100" s="35">
        <f t="shared" si="26"/>
        <v>3.0300000000000002</v>
      </c>
      <c r="M100" s="2" t="s">
        <v>968</v>
      </c>
      <c r="N100" t="s">
        <v>968</v>
      </c>
      <c r="O100" s="19" t="s">
        <v>969</v>
      </c>
      <c r="P100" s="19">
        <v>84</v>
      </c>
      <c r="Q100" s="19" t="s">
        <v>971</v>
      </c>
      <c r="R100" s="21" t="s">
        <v>970</v>
      </c>
      <c r="S100" s="46" t="s">
        <v>250</v>
      </c>
      <c r="T100" s="44" t="s">
        <v>972</v>
      </c>
      <c r="U100" s="77" t="s">
        <v>973</v>
      </c>
      <c r="V100" s="24" t="s">
        <v>974</v>
      </c>
      <c r="W100" s="24">
        <v>1111</v>
      </c>
      <c r="X100" s="193" t="s">
        <v>975</v>
      </c>
      <c r="Y100" s="15" t="s">
        <v>976</v>
      </c>
    </row>
    <row r="101" spans="2:26" x14ac:dyDescent="0.25">
      <c r="B101" s="15">
        <v>99</v>
      </c>
      <c r="C101" s="8" t="s">
        <v>245</v>
      </c>
      <c r="D101" s="5" t="s">
        <v>246</v>
      </c>
      <c r="E101" s="383">
        <v>35</v>
      </c>
      <c r="F101" s="380">
        <v>46114</v>
      </c>
      <c r="G101" s="8">
        <v>4</v>
      </c>
      <c r="H101" s="8">
        <v>1</v>
      </c>
      <c r="I101" s="8">
        <v>305.73</v>
      </c>
      <c r="J101" s="9">
        <v>291000000</v>
      </c>
      <c r="K101" s="9">
        <f t="shared" si="25"/>
        <v>320100000</v>
      </c>
      <c r="L101" s="35">
        <f t="shared" si="26"/>
        <v>2.91</v>
      </c>
      <c r="M101" s="2" t="s">
        <v>977</v>
      </c>
      <c r="N101" t="s">
        <v>978</v>
      </c>
      <c r="O101" s="19" t="s">
        <v>979</v>
      </c>
      <c r="P101" s="19">
        <v>85</v>
      </c>
      <c r="Q101" s="19" t="s">
        <v>980</v>
      </c>
      <c r="R101" s="21" t="s">
        <v>981</v>
      </c>
      <c r="S101" s="46" t="s">
        <v>250</v>
      </c>
      <c r="T101" s="44" t="s">
        <v>982</v>
      </c>
      <c r="U101" s="77" t="s">
        <v>983</v>
      </c>
      <c r="V101" s="24" t="s">
        <v>984</v>
      </c>
      <c r="W101" s="24">
        <v>1111</v>
      </c>
      <c r="X101" s="193" t="s">
        <v>985</v>
      </c>
      <c r="Y101" s="15" t="s">
        <v>986</v>
      </c>
    </row>
    <row r="102" spans="2:26" x14ac:dyDescent="0.25">
      <c r="B102" s="15">
        <v>100</v>
      </c>
      <c r="C102" s="8" t="s">
        <v>112</v>
      </c>
      <c r="D102" s="5" t="s">
        <v>246</v>
      </c>
      <c r="E102" s="383">
        <v>65</v>
      </c>
      <c r="F102" s="380">
        <v>46114</v>
      </c>
      <c r="G102" s="8">
        <v>4</v>
      </c>
      <c r="H102" s="8">
        <v>2</v>
      </c>
      <c r="I102" s="8">
        <v>1137.78</v>
      </c>
      <c r="J102" s="9">
        <v>1000000000</v>
      </c>
      <c r="K102" s="9">
        <f t="shared" si="25"/>
        <v>1100000000</v>
      </c>
      <c r="L102" s="35">
        <f t="shared" si="26"/>
        <v>10</v>
      </c>
      <c r="M102" s="2" t="s">
        <v>987</v>
      </c>
      <c r="N102" t="s">
        <v>988</v>
      </c>
      <c r="O102" s="19" t="s">
        <v>989</v>
      </c>
      <c r="P102" s="19">
        <v>86</v>
      </c>
      <c r="Q102" s="19" t="s">
        <v>990</v>
      </c>
      <c r="R102" s="21" t="s">
        <v>998</v>
      </c>
      <c r="S102" s="46" t="s">
        <v>250</v>
      </c>
      <c r="T102" s="44" t="s">
        <v>991</v>
      </c>
      <c r="U102" s="77" t="s">
        <v>992</v>
      </c>
      <c r="V102" s="24" t="s">
        <v>993</v>
      </c>
      <c r="W102" s="24">
        <v>1111</v>
      </c>
      <c r="X102" s="193" t="s">
        <v>151</v>
      </c>
      <c r="Y102" s="15" t="s">
        <v>994</v>
      </c>
      <c r="Z102" s="199" t="s">
        <v>172</v>
      </c>
    </row>
    <row r="103" spans="2:26" x14ac:dyDescent="0.25">
      <c r="B103" s="15">
        <v>101</v>
      </c>
      <c r="C103" s="8" t="s">
        <v>112</v>
      </c>
      <c r="D103" s="5" t="s">
        <v>246</v>
      </c>
      <c r="E103" s="383">
        <v>66</v>
      </c>
      <c r="F103" s="380">
        <v>46114</v>
      </c>
      <c r="G103" s="8">
        <v>4</v>
      </c>
      <c r="H103" s="8">
        <v>2</v>
      </c>
      <c r="I103" s="8">
        <v>497.94</v>
      </c>
      <c r="J103" s="9">
        <v>420000000</v>
      </c>
      <c r="K103" s="9">
        <f t="shared" si="25"/>
        <v>462000000.00000006</v>
      </c>
      <c r="L103" s="35">
        <f t="shared" si="26"/>
        <v>4.2</v>
      </c>
      <c r="M103" s="2" t="s">
        <v>995</v>
      </c>
      <c r="N103" t="s">
        <v>988</v>
      </c>
      <c r="O103" s="19" t="s">
        <v>996</v>
      </c>
      <c r="P103" s="19">
        <v>87</v>
      </c>
      <c r="Q103" s="19" t="s">
        <v>990</v>
      </c>
      <c r="R103" s="21" t="s">
        <v>999</v>
      </c>
      <c r="S103" s="46" t="s">
        <v>250</v>
      </c>
      <c r="T103" s="44" t="s">
        <v>1001</v>
      </c>
      <c r="U103" s="77" t="s">
        <v>1002</v>
      </c>
      <c r="V103" s="30" t="s">
        <v>1003</v>
      </c>
      <c r="W103" s="24">
        <v>1111</v>
      </c>
      <c r="X103" s="193" t="s">
        <v>1004</v>
      </c>
      <c r="Y103" s="15" t="s">
        <v>994</v>
      </c>
    </row>
    <row r="104" spans="2:26" x14ac:dyDescent="0.25">
      <c r="B104" s="15">
        <v>102</v>
      </c>
      <c r="C104" s="8" t="s">
        <v>112</v>
      </c>
      <c r="D104" s="5" t="s">
        <v>246</v>
      </c>
      <c r="E104" s="383">
        <v>67</v>
      </c>
      <c r="F104" s="380">
        <v>46114</v>
      </c>
      <c r="G104" s="8">
        <v>4</v>
      </c>
      <c r="H104" s="8">
        <v>2</v>
      </c>
      <c r="I104" s="8">
        <v>246.39</v>
      </c>
      <c r="J104" s="9">
        <v>220000000</v>
      </c>
      <c r="K104" s="9">
        <f t="shared" si="25"/>
        <v>242000000.00000003</v>
      </c>
      <c r="L104" s="35">
        <f t="shared" si="26"/>
        <v>2.2000000000000002</v>
      </c>
      <c r="M104" s="2" t="s">
        <v>995</v>
      </c>
      <c r="N104" t="s">
        <v>988</v>
      </c>
      <c r="O104" s="19" t="s">
        <v>997</v>
      </c>
      <c r="P104" s="19"/>
      <c r="Q104" s="19" t="s">
        <v>990</v>
      </c>
      <c r="R104" s="21" t="s">
        <v>1000</v>
      </c>
      <c r="S104" s="46" t="s">
        <v>250</v>
      </c>
      <c r="T104" s="44" t="s">
        <v>1001</v>
      </c>
      <c r="U104" s="77" t="s">
        <v>1002</v>
      </c>
      <c r="V104" s="30" t="s">
        <v>1003</v>
      </c>
      <c r="W104" s="24">
        <v>1111</v>
      </c>
      <c r="X104" s="193" t="s">
        <v>1004</v>
      </c>
      <c r="Y104" s="15" t="s">
        <v>994</v>
      </c>
    </row>
    <row r="105" spans="2:26" x14ac:dyDescent="0.25">
      <c r="B105" s="15">
        <v>103</v>
      </c>
      <c r="C105" s="8" t="s">
        <v>112</v>
      </c>
      <c r="D105" s="5" t="s">
        <v>246</v>
      </c>
      <c r="E105" s="383">
        <v>68</v>
      </c>
      <c r="F105" s="380">
        <v>46114</v>
      </c>
      <c r="G105" s="8">
        <v>4</v>
      </c>
      <c r="H105" s="8">
        <v>2</v>
      </c>
      <c r="I105" s="8">
        <v>384.42</v>
      </c>
      <c r="J105" s="9">
        <v>358000000</v>
      </c>
      <c r="K105" s="9">
        <f t="shared" si="25"/>
        <v>393800000.00000006</v>
      </c>
      <c r="L105" s="35">
        <f t="shared" si="26"/>
        <v>3.58</v>
      </c>
      <c r="M105" s="2" t="s">
        <v>1005</v>
      </c>
      <c r="N105" t="s">
        <v>1006</v>
      </c>
      <c r="O105" s="19" t="s">
        <v>1026</v>
      </c>
      <c r="P105" s="19">
        <v>88</v>
      </c>
      <c r="Q105" s="19" t="s">
        <v>1007</v>
      </c>
      <c r="R105" s="21" t="s">
        <v>1008</v>
      </c>
      <c r="S105" s="46" t="s">
        <v>250</v>
      </c>
      <c r="T105" s="44" t="s">
        <v>1009</v>
      </c>
      <c r="U105" s="77" t="s">
        <v>252</v>
      </c>
      <c r="V105" s="24" t="s">
        <v>268</v>
      </c>
      <c r="W105" s="24"/>
      <c r="X105" s="193" t="s">
        <v>1010</v>
      </c>
      <c r="Y105" s="15" t="s">
        <v>168</v>
      </c>
    </row>
    <row r="106" spans="2:26" x14ac:dyDescent="0.25">
      <c r="B106" s="15">
        <v>104</v>
      </c>
      <c r="C106" s="8" t="s">
        <v>112</v>
      </c>
      <c r="D106" s="5" t="s">
        <v>246</v>
      </c>
      <c r="E106" s="383">
        <v>70</v>
      </c>
      <c r="F106" s="381">
        <v>46115</v>
      </c>
      <c r="G106" s="8">
        <v>4</v>
      </c>
      <c r="H106" s="8">
        <v>2</v>
      </c>
      <c r="I106" s="8">
        <v>149.63999999999999</v>
      </c>
      <c r="J106" s="9">
        <v>140000000</v>
      </c>
      <c r="K106" s="9">
        <f t="shared" si="25"/>
        <v>154000000</v>
      </c>
      <c r="L106" s="35">
        <f t="shared" si="26"/>
        <v>1.4000000000000001</v>
      </c>
      <c r="M106" s="2" t="s">
        <v>1011</v>
      </c>
      <c r="N106" t="s">
        <v>1012</v>
      </c>
      <c r="O106" s="19" t="s">
        <v>1013</v>
      </c>
      <c r="P106" s="19">
        <v>89</v>
      </c>
      <c r="Q106" s="19" t="s">
        <v>1014</v>
      </c>
      <c r="R106" s="21" t="s">
        <v>1015</v>
      </c>
      <c r="S106" s="46" t="s">
        <v>250</v>
      </c>
      <c r="T106" s="44" t="s">
        <v>1016</v>
      </c>
      <c r="U106" s="77" t="s">
        <v>252</v>
      </c>
      <c r="V106" s="24" t="s">
        <v>268</v>
      </c>
      <c r="W106" s="24">
        <v>1111</v>
      </c>
      <c r="X106" s="193" t="s">
        <v>254</v>
      </c>
      <c r="Y106" s="15" t="s">
        <v>255</v>
      </c>
    </row>
    <row r="107" spans="2:26" x14ac:dyDescent="0.25">
      <c r="B107" s="15">
        <v>105</v>
      </c>
      <c r="C107" s="8" t="s">
        <v>112</v>
      </c>
      <c r="D107" s="5" t="s">
        <v>246</v>
      </c>
      <c r="E107" s="383">
        <v>71</v>
      </c>
      <c r="F107" s="380">
        <v>46118</v>
      </c>
      <c r="G107" s="8">
        <v>4</v>
      </c>
      <c r="H107" s="8">
        <v>2</v>
      </c>
      <c r="I107" s="8">
        <v>39.99</v>
      </c>
      <c r="J107" s="9">
        <v>45000000</v>
      </c>
      <c r="K107" s="9">
        <f t="shared" si="25"/>
        <v>49500000.000000007</v>
      </c>
      <c r="L107" s="35">
        <f t="shared" si="26"/>
        <v>0.45</v>
      </c>
      <c r="M107" s="2" t="s">
        <v>1017</v>
      </c>
      <c r="N107" t="s">
        <v>1018</v>
      </c>
      <c r="O107" s="19" t="s">
        <v>1019</v>
      </c>
      <c r="P107" s="19">
        <v>90</v>
      </c>
      <c r="Q107" s="19" t="s">
        <v>1020</v>
      </c>
      <c r="R107" s="21" t="s">
        <v>1021</v>
      </c>
      <c r="S107" s="46" t="s">
        <v>250</v>
      </c>
      <c r="T107" s="44" t="s">
        <v>1022</v>
      </c>
      <c r="U107" s="77" t="s">
        <v>1023</v>
      </c>
      <c r="V107" s="24" t="s">
        <v>1024</v>
      </c>
      <c r="W107" s="24">
        <v>1111</v>
      </c>
      <c r="X107" s="193" t="s">
        <v>155</v>
      </c>
      <c r="Y107" s="15" t="s">
        <v>1025</v>
      </c>
    </row>
    <row r="108" spans="2:26" x14ac:dyDescent="0.25">
      <c r="B108" s="15">
        <v>106</v>
      </c>
      <c r="C108" s="8" t="s">
        <v>112</v>
      </c>
      <c r="D108" s="5" t="s">
        <v>246</v>
      </c>
      <c r="E108" s="383">
        <v>72</v>
      </c>
      <c r="F108" s="380">
        <v>46118</v>
      </c>
      <c r="G108" s="8">
        <v>4</v>
      </c>
      <c r="H108" s="8">
        <v>2</v>
      </c>
      <c r="I108" s="8">
        <v>499.875</v>
      </c>
      <c r="J108" s="9">
        <v>463000000</v>
      </c>
      <c r="K108" s="9">
        <f t="shared" si="25"/>
        <v>509300000.00000006</v>
      </c>
      <c r="L108" s="35">
        <f t="shared" si="26"/>
        <v>4.63</v>
      </c>
      <c r="M108" s="2" t="s">
        <v>1027</v>
      </c>
      <c r="N108" t="s">
        <v>1028</v>
      </c>
      <c r="O108" s="19" t="s">
        <v>1029</v>
      </c>
      <c r="P108" s="19">
        <v>91</v>
      </c>
      <c r="Q108" s="19" t="s">
        <v>1031</v>
      </c>
      <c r="R108" s="21" t="s">
        <v>1030</v>
      </c>
      <c r="S108" s="46" t="s">
        <v>250</v>
      </c>
      <c r="T108" s="44" t="s">
        <v>1032</v>
      </c>
      <c r="U108" s="77" t="s">
        <v>118</v>
      </c>
      <c r="V108" s="24" t="s">
        <v>268</v>
      </c>
      <c r="W108" s="24"/>
      <c r="X108" s="193" t="s">
        <v>254</v>
      </c>
      <c r="Y108" s="15" t="s">
        <v>168</v>
      </c>
    </row>
    <row r="109" spans="2:26" x14ac:dyDescent="0.25">
      <c r="B109" s="15">
        <v>107</v>
      </c>
      <c r="C109" s="8" t="s">
        <v>112</v>
      </c>
      <c r="D109" s="5" t="s">
        <v>246</v>
      </c>
      <c r="E109" s="383">
        <v>69</v>
      </c>
      <c r="F109" s="380">
        <v>46115</v>
      </c>
      <c r="G109" s="8">
        <v>4</v>
      </c>
      <c r="H109" s="8">
        <v>2</v>
      </c>
      <c r="I109" s="8">
        <v>227.04</v>
      </c>
      <c r="J109" s="9">
        <v>212000000</v>
      </c>
      <c r="K109" s="9">
        <f t="shared" si="25"/>
        <v>233200000.00000003</v>
      </c>
      <c r="L109" s="35">
        <f t="shared" si="26"/>
        <v>2.12</v>
      </c>
      <c r="M109" s="2" t="s">
        <v>1033</v>
      </c>
      <c r="N109" t="s">
        <v>1034</v>
      </c>
      <c r="O109" s="19" t="s">
        <v>1035</v>
      </c>
      <c r="P109" s="19">
        <v>92</v>
      </c>
      <c r="Q109" s="19" t="s">
        <v>1036</v>
      </c>
      <c r="R109" s="21" t="s">
        <v>1037</v>
      </c>
      <c r="S109" s="46" t="s">
        <v>250</v>
      </c>
      <c r="T109" s="44" t="s">
        <v>1038</v>
      </c>
      <c r="U109" s="77" t="s">
        <v>118</v>
      </c>
      <c r="V109" s="24" t="s">
        <v>268</v>
      </c>
      <c r="W109" s="24"/>
      <c r="X109" s="193" t="s">
        <v>1039</v>
      </c>
      <c r="Y109" s="15" t="s">
        <v>1040</v>
      </c>
    </row>
    <row r="110" spans="2:26" x14ac:dyDescent="0.25">
      <c r="B110" s="15">
        <v>108</v>
      </c>
      <c r="C110" s="8" t="s">
        <v>245</v>
      </c>
      <c r="D110" s="5" t="s">
        <v>246</v>
      </c>
      <c r="E110" s="383">
        <v>36</v>
      </c>
      <c r="F110" s="380">
        <v>46120</v>
      </c>
      <c r="G110" s="8">
        <v>4</v>
      </c>
      <c r="H110" s="8">
        <v>2</v>
      </c>
      <c r="I110" s="8">
        <v>76.11</v>
      </c>
      <c r="J110" s="9">
        <v>101000000</v>
      </c>
      <c r="K110" s="9">
        <f t="shared" si="25"/>
        <v>111100000.00000001</v>
      </c>
      <c r="L110" s="35">
        <f t="shared" si="26"/>
        <v>1.01</v>
      </c>
      <c r="M110" s="2" t="s">
        <v>1041</v>
      </c>
      <c r="N110" t="s">
        <v>1042</v>
      </c>
      <c r="O110" s="19" t="s">
        <v>1043</v>
      </c>
      <c r="P110" s="19">
        <v>93</v>
      </c>
      <c r="Q110" s="19" t="s">
        <v>271</v>
      </c>
      <c r="R110" s="21" t="s">
        <v>1044</v>
      </c>
      <c r="S110" s="46" t="s">
        <v>250</v>
      </c>
      <c r="T110" s="44" t="s">
        <v>1045</v>
      </c>
      <c r="U110" s="77" t="s">
        <v>252</v>
      </c>
      <c r="V110" s="30" t="s">
        <v>1046</v>
      </c>
      <c r="W110" s="24">
        <v>1111</v>
      </c>
      <c r="X110" s="193" t="s">
        <v>1047</v>
      </c>
      <c r="Y110" s="15" t="s">
        <v>1048</v>
      </c>
    </row>
    <row r="111" spans="2:26" x14ac:dyDescent="0.25">
      <c r="B111" s="15">
        <v>109</v>
      </c>
      <c r="C111" s="8" t="s">
        <v>245</v>
      </c>
      <c r="D111" s="5" t="s">
        <v>246</v>
      </c>
      <c r="E111" s="383">
        <v>37</v>
      </c>
      <c r="F111" s="380">
        <v>46120</v>
      </c>
      <c r="G111" s="8">
        <v>4</v>
      </c>
      <c r="H111" s="8">
        <v>2</v>
      </c>
      <c r="I111" s="8">
        <v>152.22</v>
      </c>
      <c r="J111" s="9">
        <v>173000000</v>
      </c>
      <c r="K111" s="9">
        <f t="shared" si="25"/>
        <v>190300000.00000003</v>
      </c>
      <c r="L111" s="35">
        <f t="shared" si="26"/>
        <v>1.73</v>
      </c>
      <c r="M111" s="2" t="s">
        <v>1049</v>
      </c>
      <c r="N111" t="s">
        <v>1050</v>
      </c>
      <c r="O111" s="19" t="s">
        <v>1051</v>
      </c>
      <c r="P111" s="19">
        <v>94</v>
      </c>
      <c r="Q111" s="19" t="s">
        <v>1052</v>
      </c>
      <c r="R111" s="21" t="s">
        <v>1053</v>
      </c>
      <c r="S111" s="46" t="s">
        <v>250</v>
      </c>
      <c r="T111" s="44" t="s">
        <v>1045</v>
      </c>
      <c r="U111" s="77" t="s">
        <v>252</v>
      </c>
      <c r="V111" s="30" t="s">
        <v>354</v>
      </c>
      <c r="W111" s="24">
        <v>1111</v>
      </c>
      <c r="X111" s="193" t="s">
        <v>1054</v>
      </c>
      <c r="Y111" s="15" t="s">
        <v>1055</v>
      </c>
    </row>
    <row r="112" spans="2:26" x14ac:dyDescent="0.25">
      <c r="B112" s="15">
        <v>110</v>
      </c>
      <c r="C112" s="8" t="s">
        <v>112</v>
      </c>
      <c r="D112" s="5" t="s">
        <v>246</v>
      </c>
      <c r="E112" s="383">
        <v>73</v>
      </c>
      <c r="F112" s="380">
        <v>46120</v>
      </c>
      <c r="G112" s="8">
        <v>4</v>
      </c>
      <c r="H112" s="8">
        <v>2</v>
      </c>
      <c r="I112" s="8">
        <v>181.245</v>
      </c>
      <c r="J112" s="9">
        <v>170000000</v>
      </c>
      <c r="K112" s="9">
        <f t="shared" si="25"/>
        <v>187000000.00000003</v>
      </c>
      <c r="L112" s="35">
        <f t="shared" si="26"/>
        <v>1.7</v>
      </c>
      <c r="M112" s="2" t="s">
        <v>1056</v>
      </c>
      <c r="N112" t="s">
        <v>1057</v>
      </c>
      <c r="O112" s="19" t="s">
        <v>1058</v>
      </c>
      <c r="P112" s="19">
        <v>95</v>
      </c>
      <c r="Q112" s="19" t="s">
        <v>1059</v>
      </c>
      <c r="R112" s="21" t="s">
        <v>1060</v>
      </c>
      <c r="S112" s="46" t="s">
        <v>250</v>
      </c>
      <c r="T112" s="44" t="s">
        <v>1061</v>
      </c>
      <c r="U112" s="77" t="s">
        <v>1062</v>
      </c>
      <c r="V112" s="24" t="s">
        <v>268</v>
      </c>
      <c r="W112" s="24"/>
      <c r="X112" s="193" t="s">
        <v>1063</v>
      </c>
      <c r="Y112" s="15" t="s">
        <v>1064</v>
      </c>
    </row>
    <row r="113" spans="2:25" x14ac:dyDescent="0.25">
      <c r="B113" s="15">
        <v>111</v>
      </c>
      <c r="C113" s="8" t="s">
        <v>112</v>
      </c>
      <c r="D113" s="5" t="s">
        <v>246</v>
      </c>
      <c r="E113" s="383">
        <v>74</v>
      </c>
      <c r="F113" s="380">
        <v>46122</v>
      </c>
      <c r="G113" s="8">
        <v>4</v>
      </c>
      <c r="H113" s="8">
        <v>3</v>
      </c>
      <c r="I113" s="8">
        <v>199.95</v>
      </c>
      <c r="J113" s="9">
        <v>174000000</v>
      </c>
      <c r="K113" s="9">
        <f t="shared" si="25"/>
        <v>191400000.00000003</v>
      </c>
      <c r="L113" s="35">
        <f t="shared" si="26"/>
        <v>1.74</v>
      </c>
      <c r="M113" s="2" t="s">
        <v>1068</v>
      </c>
      <c r="N113" t="s">
        <v>1069</v>
      </c>
      <c r="O113" s="19" t="s">
        <v>1070</v>
      </c>
      <c r="P113" s="19">
        <v>96</v>
      </c>
      <c r="Q113" s="19" t="s">
        <v>1071</v>
      </c>
      <c r="R113" s="21" t="s">
        <v>1072</v>
      </c>
      <c r="S113" s="46" t="s">
        <v>250</v>
      </c>
      <c r="T113" s="44" t="s">
        <v>1073</v>
      </c>
      <c r="U113" s="77" t="s">
        <v>1074</v>
      </c>
      <c r="V113" s="24" t="s">
        <v>1075</v>
      </c>
      <c r="W113" s="24"/>
      <c r="X113" s="193" t="s">
        <v>151</v>
      </c>
      <c r="Y113" s="15" t="s">
        <v>1076</v>
      </c>
    </row>
    <row r="114" spans="2:25" x14ac:dyDescent="0.25">
      <c r="B114" s="15">
        <v>112</v>
      </c>
      <c r="C114" s="8" t="s">
        <v>245</v>
      </c>
      <c r="D114" s="5" t="s">
        <v>246</v>
      </c>
      <c r="E114" s="383">
        <v>38</v>
      </c>
      <c r="F114" s="380">
        <v>46125</v>
      </c>
      <c r="G114" s="8">
        <v>4</v>
      </c>
      <c r="H114" s="8">
        <v>3</v>
      </c>
      <c r="I114" s="8">
        <v>105.78</v>
      </c>
      <c r="J114" s="9">
        <v>110000000</v>
      </c>
      <c r="K114" s="9">
        <f t="shared" si="25"/>
        <v>121000000.00000001</v>
      </c>
      <c r="L114" s="35">
        <f t="shared" si="26"/>
        <v>1.1000000000000001</v>
      </c>
      <c r="M114" s="2" t="s">
        <v>1077</v>
      </c>
      <c r="N114" t="s">
        <v>1078</v>
      </c>
      <c r="O114" s="19" t="s">
        <v>1079</v>
      </c>
      <c r="P114" s="19">
        <v>97</v>
      </c>
      <c r="Q114" s="19" t="s">
        <v>1080</v>
      </c>
      <c r="R114" s="21" t="s">
        <v>1081</v>
      </c>
      <c r="S114" s="46" t="s">
        <v>250</v>
      </c>
      <c r="T114" s="44" t="s">
        <v>1082</v>
      </c>
      <c r="U114" s="77" t="s">
        <v>1083</v>
      </c>
      <c r="V114" s="24" t="s">
        <v>1084</v>
      </c>
      <c r="W114" s="24">
        <v>1111</v>
      </c>
      <c r="X114" s="193" t="s">
        <v>1085</v>
      </c>
      <c r="Y114" s="15" t="s">
        <v>1086</v>
      </c>
    </row>
    <row r="115" spans="2:25" x14ac:dyDescent="0.25">
      <c r="B115" s="15">
        <v>113</v>
      </c>
      <c r="C115" s="8" t="s">
        <v>112</v>
      </c>
      <c r="D115" s="5" t="s">
        <v>246</v>
      </c>
      <c r="E115" s="383">
        <v>75</v>
      </c>
      <c r="F115" s="380">
        <v>46125</v>
      </c>
      <c r="G115" s="8">
        <v>4</v>
      </c>
      <c r="H115" s="8">
        <v>3</v>
      </c>
      <c r="I115" s="8">
        <v>230.91</v>
      </c>
      <c r="J115" s="9">
        <v>214000000</v>
      </c>
      <c r="K115" s="9">
        <f t="shared" si="25"/>
        <v>235400000.00000003</v>
      </c>
      <c r="L115" s="35">
        <f t="shared" si="26"/>
        <v>2.14</v>
      </c>
      <c r="M115" s="2" t="s">
        <v>1087</v>
      </c>
      <c r="N115" t="s">
        <v>1088</v>
      </c>
      <c r="O115" s="19" t="s">
        <v>1089</v>
      </c>
      <c r="P115" s="19">
        <v>98</v>
      </c>
      <c r="Q115" s="19" t="s">
        <v>1090</v>
      </c>
      <c r="R115" s="21" t="s">
        <v>1091</v>
      </c>
      <c r="S115" s="46" t="s">
        <v>250</v>
      </c>
      <c r="T115" s="44" t="s">
        <v>1092</v>
      </c>
      <c r="U115" s="77" t="s">
        <v>252</v>
      </c>
      <c r="V115" s="24" t="s">
        <v>268</v>
      </c>
      <c r="W115" s="24">
        <v>1111</v>
      </c>
      <c r="X115" s="193" t="s">
        <v>1093</v>
      </c>
      <c r="Y115" s="15" t="s">
        <v>1094</v>
      </c>
    </row>
    <row r="116" spans="2:25" x14ac:dyDescent="0.25">
      <c r="B116" s="15">
        <v>114</v>
      </c>
      <c r="C116" s="8" t="s">
        <v>112</v>
      </c>
      <c r="D116" s="5" t="s">
        <v>246</v>
      </c>
      <c r="E116" s="383">
        <v>76</v>
      </c>
      <c r="F116" s="380">
        <v>46125</v>
      </c>
      <c r="G116" s="8">
        <v>4</v>
      </c>
      <c r="H116" s="8">
        <v>3</v>
      </c>
      <c r="I116" s="8">
        <v>248.32499999999999</v>
      </c>
      <c r="J116" s="9">
        <v>240000000</v>
      </c>
      <c r="K116" s="9">
        <f t="shared" si="25"/>
        <v>264000000.00000003</v>
      </c>
      <c r="L116" s="35">
        <f t="shared" si="26"/>
        <v>2.4</v>
      </c>
      <c r="M116" s="2" t="s">
        <v>1095</v>
      </c>
      <c r="N116" t="s">
        <v>275</v>
      </c>
      <c r="O116" s="19" t="s">
        <v>1096</v>
      </c>
      <c r="P116" s="19">
        <v>99</v>
      </c>
      <c r="Q116" s="19" t="s">
        <v>1098</v>
      </c>
      <c r="R116" s="21" t="s">
        <v>1099</v>
      </c>
      <c r="S116" s="46" t="s">
        <v>250</v>
      </c>
      <c r="T116" s="44" t="s">
        <v>1101</v>
      </c>
      <c r="U116" s="77" t="s">
        <v>252</v>
      </c>
      <c r="V116" s="24" t="s">
        <v>268</v>
      </c>
      <c r="W116" s="24"/>
      <c r="X116" s="193" t="s">
        <v>1102</v>
      </c>
      <c r="Y116" s="15" t="s">
        <v>1103</v>
      </c>
    </row>
    <row r="117" spans="2:25" x14ac:dyDescent="0.25">
      <c r="B117" s="15">
        <v>115</v>
      </c>
      <c r="C117" s="8" t="s">
        <v>112</v>
      </c>
      <c r="D117" s="5" t="s">
        <v>246</v>
      </c>
      <c r="E117" s="383">
        <v>77</v>
      </c>
      <c r="F117" s="380">
        <v>46125</v>
      </c>
      <c r="G117" s="8">
        <v>4</v>
      </c>
      <c r="H117" s="8">
        <v>3</v>
      </c>
      <c r="I117" s="8">
        <v>171.57</v>
      </c>
      <c r="J117" s="9">
        <v>170000000</v>
      </c>
      <c r="K117" s="9">
        <f t="shared" si="25"/>
        <v>187000000.00000003</v>
      </c>
      <c r="L117" s="35">
        <f t="shared" si="26"/>
        <v>1.7</v>
      </c>
      <c r="M117" s="2" t="s">
        <v>1095</v>
      </c>
      <c r="N117" t="s">
        <v>275</v>
      </c>
      <c r="O117" s="19" t="s">
        <v>1097</v>
      </c>
      <c r="P117" s="19">
        <v>100</v>
      </c>
      <c r="Q117" s="19" t="s">
        <v>1098</v>
      </c>
      <c r="R117" s="21" t="s">
        <v>1100</v>
      </c>
      <c r="S117" s="46" t="s">
        <v>250</v>
      </c>
      <c r="T117" s="44" t="s">
        <v>1101</v>
      </c>
      <c r="U117" s="77" t="s">
        <v>252</v>
      </c>
      <c r="V117" s="24" t="s">
        <v>268</v>
      </c>
      <c r="W117" s="24"/>
      <c r="X117" s="193" t="s">
        <v>1102</v>
      </c>
      <c r="Y117" s="15" t="s">
        <v>1103</v>
      </c>
    </row>
    <row r="118" spans="2:25" x14ac:dyDescent="0.25">
      <c r="B118" s="15">
        <v>116</v>
      </c>
      <c r="C118" s="8" t="s">
        <v>112</v>
      </c>
      <c r="D118" s="5" t="s">
        <v>246</v>
      </c>
      <c r="E118" s="383">
        <v>78</v>
      </c>
      <c r="F118" s="380" t="s">
        <v>1121</v>
      </c>
      <c r="G118" s="8">
        <v>4</v>
      </c>
      <c r="H118" s="8">
        <v>4</v>
      </c>
      <c r="I118" s="8">
        <v>119.97</v>
      </c>
      <c r="J118" s="9">
        <v>120000000</v>
      </c>
      <c r="K118" s="9">
        <f t="shared" si="25"/>
        <v>132000000.00000001</v>
      </c>
      <c r="L118" s="35">
        <f t="shared" si="26"/>
        <v>1.2</v>
      </c>
      <c r="M118" s="2" t="s">
        <v>1113</v>
      </c>
      <c r="N118" t="s">
        <v>1114</v>
      </c>
      <c r="O118" s="19" t="s">
        <v>1115</v>
      </c>
      <c r="P118" s="19">
        <v>101</v>
      </c>
      <c r="Q118" s="19" t="s">
        <v>1116</v>
      </c>
      <c r="R118" s="21" t="s">
        <v>1117</v>
      </c>
      <c r="S118" s="46" t="s">
        <v>250</v>
      </c>
      <c r="T118" s="44" t="s">
        <v>1118</v>
      </c>
      <c r="U118" s="77" t="s">
        <v>252</v>
      </c>
      <c r="V118" s="24" t="s">
        <v>268</v>
      </c>
      <c r="W118" s="24"/>
      <c r="X118" s="193" t="s">
        <v>1119</v>
      </c>
      <c r="Y118" s="15" t="s">
        <v>1120</v>
      </c>
    </row>
    <row r="119" spans="2:25" x14ac:dyDescent="0.25">
      <c r="B119" s="15">
        <v>117</v>
      </c>
      <c r="C119" s="8" t="s">
        <v>112</v>
      </c>
      <c r="D119" s="5" t="s">
        <v>246</v>
      </c>
      <c r="E119" s="383">
        <v>79</v>
      </c>
      <c r="F119" s="380" t="s">
        <v>1125</v>
      </c>
      <c r="G119" s="8">
        <v>4</v>
      </c>
      <c r="H119" s="8">
        <v>4</v>
      </c>
      <c r="I119" s="8">
        <v>51.6</v>
      </c>
      <c r="J119" s="9">
        <v>53000000</v>
      </c>
      <c r="K119" s="9">
        <f t="shared" si="25"/>
        <v>58300000.000000007</v>
      </c>
      <c r="L119" s="35">
        <f t="shared" si="26"/>
        <v>0.53</v>
      </c>
      <c r="M119" s="2" t="s">
        <v>259</v>
      </c>
      <c r="N119" t="s">
        <v>147</v>
      </c>
      <c r="O119" s="19" t="s">
        <v>1126</v>
      </c>
      <c r="P119" s="19">
        <v>102</v>
      </c>
      <c r="Q119" s="19" t="s">
        <v>271</v>
      </c>
      <c r="R119" s="21" t="s">
        <v>1127</v>
      </c>
      <c r="S119" s="46" t="s">
        <v>250</v>
      </c>
      <c r="T119" s="44" t="s">
        <v>1128</v>
      </c>
      <c r="U119" s="77" t="s">
        <v>252</v>
      </c>
      <c r="V119" s="30" t="s">
        <v>268</v>
      </c>
      <c r="W119" s="24"/>
      <c r="X119" s="193" t="s">
        <v>155</v>
      </c>
      <c r="Y119" s="15" t="s">
        <v>168</v>
      </c>
    </row>
    <row r="120" spans="2:25" x14ac:dyDescent="0.25">
      <c r="B120" s="15">
        <v>118</v>
      </c>
      <c r="C120" s="8" t="s">
        <v>112</v>
      </c>
      <c r="D120" s="5" t="s">
        <v>246</v>
      </c>
      <c r="E120" s="383">
        <v>80</v>
      </c>
      <c r="F120" s="380" t="s">
        <v>1125</v>
      </c>
      <c r="G120" s="8">
        <v>4</v>
      </c>
      <c r="H120" s="8">
        <v>4</v>
      </c>
      <c r="I120" s="8">
        <v>121.26</v>
      </c>
      <c r="J120" s="9">
        <v>122000000</v>
      </c>
      <c r="K120" s="9">
        <f t="shared" si="25"/>
        <v>134200000.00000001</v>
      </c>
      <c r="L120" s="35">
        <f t="shared" si="26"/>
        <v>1.22</v>
      </c>
      <c r="M120" s="2" t="s">
        <v>1135</v>
      </c>
      <c r="N120" t="s">
        <v>1136</v>
      </c>
      <c r="O120" s="19" t="s">
        <v>1137</v>
      </c>
      <c r="P120" s="19">
        <v>103</v>
      </c>
      <c r="Q120" s="19" t="s">
        <v>1138</v>
      </c>
      <c r="R120" s="21" t="s">
        <v>1139</v>
      </c>
      <c r="S120" s="46" t="s">
        <v>250</v>
      </c>
      <c r="T120" s="44" t="s">
        <v>1140</v>
      </c>
      <c r="U120" s="77" t="s">
        <v>267</v>
      </c>
      <c r="V120" s="24" t="s">
        <v>1141</v>
      </c>
      <c r="W120" s="24"/>
      <c r="X120" s="193" t="s">
        <v>1142</v>
      </c>
      <c r="Y120" s="15" t="s">
        <v>1143</v>
      </c>
    </row>
    <row r="121" spans="2:25" x14ac:dyDescent="0.25">
      <c r="B121" s="15">
        <v>119</v>
      </c>
      <c r="C121" s="8" t="s">
        <v>112</v>
      </c>
      <c r="D121" s="5" t="s">
        <v>246</v>
      </c>
      <c r="E121" s="383">
        <v>81</v>
      </c>
      <c r="F121" s="382" t="s">
        <v>1144</v>
      </c>
      <c r="G121" s="8">
        <v>4</v>
      </c>
      <c r="H121" s="8">
        <v>5</v>
      </c>
      <c r="I121" s="8">
        <v>201.88499999999999</v>
      </c>
      <c r="J121" s="9">
        <v>197000000</v>
      </c>
      <c r="K121" s="9">
        <f t="shared" si="25"/>
        <v>216700000.00000003</v>
      </c>
      <c r="L121" s="35">
        <f t="shared" si="26"/>
        <v>1.97</v>
      </c>
      <c r="M121" s="2" t="s">
        <v>1145</v>
      </c>
      <c r="N121" t="s">
        <v>1146</v>
      </c>
      <c r="O121" s="19" t="s">
        <v>1147</v>
      </c>
      <c r="P121" s="19">
        <v>104</v>
      </c>
      <c r="Q121" s="19" t="s">
        <v>1148</v>
      </c>
      <c r="R121" s="21" t="s">
        <v>1149</v>
      </c>
      <c r="S121" s="46" t="s">
        <v>250</v>
      </c>
      <c r="T121" s="44" t="s">
        <v>1150</v>
      </c>
      <c r="U121" s="77" t="s">
        <v>252</v>
      </c>
      <c r="V121" s="30" t="s">
        <v>268</v>
      </c>
      <c r="W121" s="24">
        <v>1111</v>
      </c>
      <c r="X121" s="193" t="s">
        <v>1151</v>
      </c>
      <c r="Y121" s="15" t="s">
        <v>168</v>
      </c>
    </row>
    <row r="122" spans="2:25" x14ac:dyDescent="0.25">
      <c r="B122" s="15">
        <v>120</v>
      </c>
      <c r="C122" s="8" t="s">
        <v>112</v>
      </c>
      <c r="D122" s="5" t="s">
        <v>246</v>
      </c>
      <c r="E122" s="383">
        <v>82</v>
      </c>
      <c r="F122" s="380" t="s">
        <v>1165</v>
      </c>
      <c r="G122" s="8">
        <v>5</v>
      </c>
      <c r="H122" s="8">
        <v>1</v>
      </c>
      <c r="I122" s="8">
        <v>239.94</v>
      </c>
      <c r="J122" s="9">
        <v>225000000</v>
      </c>
      <c r="K122" s="9">
        <f t="shared" si="25"/>
        <v>247500000.00000003</v>
      </c>
      <c r="L122" s="35">
        <f t="shared" si="26"/>
        <v>2.25</v>
      </c>
      <c r="M122" s="2" t="s">
        <v>1166</v>
      </c>
      <c r="N122" t="s">
        <v>1167</v>
      </c>
      <c r="O122" s="19" t="s">
        <v>1168</v>
      </c>
      <c r="P122" s="19">
        <v>105</v>
      </c>
      <c r="Q122" s="19" t="s">
        <v>1169</v>
      </c>
      <c r="R122" s="21" t="s">
        <v>1170</v>
      </c>
      <c r="S122" s="46" t="s">
        <v>1171</v>
      </c>
      <c r="T122" s="44" t="s">
        <v>1172</v>
      </c>
      <c r="U122" s="77" t="s">
        <v>252</v>
      </c>
      <c r="V122" s="24" t="s">
        <v>1173</v>
      </c>
      <c r="W122" s="24">
        <v>1111</v>
      </c>
      <c r="X122" s="193" t="s">
        <v>152</v>
      </c>
      <c r="Y122" s="15" t="s">
        <v>255</v>
      </c>
    </row>
    <row r="123" spans="2:25" x14ac:dyDescent="0.25">
      <c r="B123" s="15">
        <v>121</v>
      </c>
      <c r="C123" s="8" t="s">
        <v>112</v>
      </c>
      <c r="D123" s="5" t="s">
        <v>246</v>
      </c>
      <c r="E123" s="383">
        <v>83</v>
      </c>
      <c r="F123" s="380" t="s">
        <v>1175</v>
      </c>
      <c r="G123" s="8">
        <v>5</v>
      </c>
      <c r="H123" s="8">
        <v>1</v>
      </c>
      <c r="I123" s="8">
        <v>412.8</v>
      </c>
      <c r="J123" s="9">
        <v>367000000</v>
      </c>
      <c r="K123" s="9">
        <f t="shared" si="25"/>
        <v>403700000.00000006</v>
      </c>
      <c r="L123" s="35">
        <f t="shared" si="26"/>
        <v>3.67</v>
      </c>
      <c r="M123" s="2" t="s">
        <v>1176</v>
      </c>
      <c r="N123" t="s">
        <v>1177</v>
      </c>
      <c r="O123" s="19" t="s">
        <v>1178</v>
      </c>
      <c r="P123" s="19">
        <v>106</v>
      </c>
      <c r="Q123" s="19" t="s">
        <v>1179</v>
      </c>
      <c r="R123" s="21" t="s">
        <v>1180</v>
      </c>
      <c r="S123" s="46" t="s">
        <v>558</v>
      </c>
      <c r="T123" s="44" t="s">
        <v>1181</v>
      </c>
      <c r="U123" s="77" t="s">
        <v>252</v>
      </c>
      <c r="V123" s="24" t="s">
        <v>1182</v>
      </c>
      <c r="W123" s="24"/>
      <c r="X123" s="193" t="s">
        <v>1183</v>
      </c>
      <c r="Y123" s="15" t="s">
        <v>1184</v>
      </c>
    </row>
    <row r="124" spans="2:25" x14ac:dyDescent="0.25">
      <c r="B124" s="15">
        <v>122</v>
      </c>
      <c r="C124" s="8" t="s">
        <v>245</v>
      </c>
      <c r="D124" s="5" t="s">
        <v>246</v>
      </c>
      <c r="E124" s="383">
        <v>39</v>
      </c>
      <c r="F124" s="380">
        <v>46148</v>
      </c>
      <c r="G124" s="8">
        <v>5</v>
      </c>
      <c r="H124" s="8">
        <v>1</v>
      </c>
      <c r="I124" s="8">
        <v>114.81</v>
      </c>
      <c r="J124" s="9">
        <v>124000000</v>
      </c>
      <c r="K124" s="9">
        <f t="shared" si="25"/>
        <v>136400000</v>
      </c>
      <c r="L124" s="35">
        <f t="shared" si="26"/>
        <v>1.24</v>
      </c>
      <c r="M124" s="2" t="s">
        <v>1185</v>
      </c>
      <c r="N124" t="s">
        <v>1186</v>
      </c>
      <c r="O124" s="19" t="s">
        <v>1187</v>
      </c>
      <c r="P124" s="19">
        <v>107</v>
      </c>
      <c r="Q124" s="19" t="s">
        <v>1188</v>
      </c>
      <c r="R124" s="21" t="s">
        <v>1189</v>
      </c>
      <c r="S124" s="46" t="s">
        <v>250</v>
      </c>
      <c r="T124" s="44" t="s">
        <v>1190</v>
      </c>
      <c r="U124" s="77" t="s">
        <v>1191</v>
      </c>
      <c r="V124" s="24" t="s">
        <v>1192</v>
      </c>
      <c r="W124" s="24">
        <v>1111</v>
      </c>
      <c r="X124" s="193" t="s">
        <v>152</v>
      </c>
      <c r="Y124" s="15" t="s">
        <v>255</v>
      </c>
    </row>
    <row r="125" spans="2:25" x14ac:dyDescent="0.25">
      <c r="B125" s="15">
        <v>123</v>
      </c>
      <c r="C125" s="8" t="s">
        <v>245</v>
      </c>
      <c r="D125" s="5" t="s">
        <v>246</v>
      </c>
      <c r="E125" s="383">
        <v>40</v>
      </c>
      <c r="F125" s="380" t="s">
        <v>1193</v>
      </c>
      <c r="G125" s="8">
        <v>5</v>
      </c>
      <c r="H125" s="8">
        <v>1</v>
      </c>
      <c r="I125" s="8">
        <v>67.724999999999994</v>
      </c>
      <c r="J125" s="9">
        <v>73800000</v>
      </c>
      <c r="K125" s="9">
        <f t="shared" si="25"/>
        <v>81180000</v>
      </c>
      <c r="L125" s="35">
        <f t="shared" si="26"/>
        <v>0.73799999999999999</v>
      </c>
      <c r="M125" s="2" t="s">
        <v>1194</v>
      </c>
      <c r="N125" t="s">
        <v>1195</v>
      </c>
      <c r="O125" s="19" t="s">
        <v>1196</v>
      </c>
      <c r="P125" s="19">
        <v>108</v>
      </c>
      <c r="Q125" s="19" t="s">
        <v>1197</v>
      </c>
      <c r="R125" s="21" t="s">
        <v>1198</v>
      </c>
      <c r="S125" s="46" t="s">
        <v>250</v>
      </c>
      <c r="T125" s="44" t="s">
        <v>1199</v>
      </c>
      <c r="U125" s="77" t="s">
        <v>252</v>
      </c>
      <c r="V125" s="30" t="s">
        <v>1200</v>
      </c>
      <c r="W125" s="24">
        <v>1111</v>
      </c>
      <c r="X125" s="193" t="s">
        <v>155</v>
      </c>
      <c r="Y125" s="15" t="s">
        <v>255</v>
      </c>
    </row>
    <row r="126" spans="2:25" x14ac:dyDescent="0.25">
      <c r="B126" s="15">
        <v>124</v>
      </c>
      <c r="C126" s="8" t="s">
        <v>112</v>
      </c>
      <c r="D126" s="5" t="s">
        <v>246</v>
      </c>
      <c r="E126" s="383">
        <v>84</v>
      </c>
      <c r="F126" s="380" t="s">
        <v>1201</v>
      </c>
      <c r="G126" s="8">
        <v>5</v>
      </c>
      <c r="H126" s="8">
        <v>2</v>
      </c>
      <c r="I126" s="8">
        <v>988.14</v>
      </c>
      <c r="J126" s="9">
        <v>960000000</v>
      </c>
      <c r="K126" s="9">
        <f t="shared" si="25"/>
        <v>1056000000.0000001</v>
      </c>
      <c r="L126" s="35">
        <f t="shared" si="26"/>
        <v>9.6</v>
      </c>
      <c r="M126" s="2" t="s">
        <v>1202</v>
      </c>
      <c r="N126" t="s">
        <v>1203</v>
      </c>
      <c r="O126" s="19" t="s">
        <v>1204</v>
      </c>
      <c r="P126" s="19">
        <v>109</v>
      </c>
      <c r="Q126" s="19" t="s">
        <v>271</v>
      </c>
      <c r="R126" s="21" t="s">
        <v>1205</v>
      </c>
      <c r="S126" s="46" t="s">
        <v>250</v>
      </c>
      <c r="T126" s="44" t="s">
        <v>1206</v>
      </c>
      <c r="U126" s="77" t="s">
        <v>1207</v>
      </c>
      <c r="V126" s="30" t="s">
        <v>1208</v>
      </c>
      <c r="W126" s="24" t="s">
        <v>1820</v>
      </c>
      <c r="X126" s="193" t="s">
        <v>1209</v>
      </c>
      <c r="Y126" s="15" t="s">
        <v>1210</v>
      </c>
    </row>
    <row r="127" spans="2:25" x14ac:dyDescent="0.25">
      <c r="B127" s="15">
        <v>125</v>
      </c>
      <c r="C127" s="8" t="s">
        <v>1211</v>
      </c>
      <c r="D127" s="5" t="s">
        <v>246</v>
      </c>
      <c r="E127" s="383">
        <v>85</v>
      </c>
      <c r="F127" s="380" t="s">
        <v>1212</v>
      </c>
      <c r="G127" s="8">
        <v>5</v>
      </c>
      <c r="H127" s="8">
        <v>2</v>
      </c>
      <c r="I127" s="8">
        <v>143.19</v>
      </c>
      <c r="J127" s="9">
        <v>140000000</v>
      </c>
      <c r="K127" s="9">
        <f t="shared" si="25"/>
        <v>154000000</v>
      </c>
      <c r="L127" s="35">
        <f t="shared" si="26"/>
        <v>1.4000000000000001</v>
      </c>
      <c r="M127" s="2" t="s">
        <v>279</v>
      </c>
      <c r="N127" t="s">
        <v>1213</v>
      </c>
      <c r="O127" s="19" t="s">
        <v>1214</v>
      </c>
      <c r="P127" s="19">
        <v>110</v>
      </c>
      <c r="Q127" s="19" t="s">
        <v>1215</v>
      </c>
      <c r="R127" s="21" t="s">
        <v>1216</v>
      </c>
      <c r="S127" s="46" t="s">
        <v>250</v>
      </c>
      <c r="T127" s="44" t="s">
        <v>1217</v>
      </c>
      <c r="U127" s="77" t="s">
        <v>1218</v>
      </c>
      <c r="V127" s="24" t="s">
        <v>1219</v>
      </c>
      <c r="W127" s="24">
        <v>1111</v>
      </c>
      <c r="X127" s="193" t="s">
        <v>1220</v>
      </c>
      <c r="Y127" s="15" t="s">
        <v>255</v>
      </c>
    </row>
    <row r="128" spans="2:25" x14ac:dyDescent="0.25">
      <c r="B128" s="15">
        <v>126</v>
      </c>
      <c r="C128" s="8" t="s">
        <v>245</v>
      </c>
      <c r="D128" s="5" t="s">
        <v>246</v>
      </c>
      <c r="E128" s="383">
        <v>41</v>
      </c>
      <c r="F128" s="380">
        <v>46149</v>
      </c>
      <c r="G128" s="8">
        <v>5</v>
      </c>
      <c r="H128" s="8">
        <v>2</v>
      </c>
      <c r="I128" s="8">
        <v>152.86500000000001</v>
      </c>
      <c r="J128" s="9">
        <v>150000000</v>
      </c>
      <c r="K128" s="9">
        <f t="shared" si="25"/>
        <v>165000000</v>
      </c>
      <c r="L128" s="35">
        <f t="shared" si="26"/>
        <v>1.5</v>
      </c>
      <c r="M128" s="2" t="s">
        <v>146</v>
      </c>
      <c r="N128" t="s">
        <v>146</v>
      </c>
      <c r="O128" s="19" t="s">
        <v>1239</v>
      </c>
      <c r="P128" s="19">
        <v>111</v>
      </c>
      <c r="Q128" s="19" t="s">
        <v>515</v>
      </c>
      <c r="R128" s="21" t="s">
        <v>1240</v>
      </c>
      <c r="S128" s="46" t="s">
        <v>250</v>
      </c>
      <c r="T128" s="44" t="s">
        <v>1241</v>
      </c>
      <c r="U128" s="77" t="s">
        <v>929</v>
      </c>
      <c r="V128" s="24" t="s">
        <v>600</v>
      </c>
      <c r="W128" s="24">
        <v>1111</v>
      </c>
      <c r="X128" s="193" t="s">
        <v>567</v>
      </c>
      <c r="Y128" s="15" t="s">
        <v>168</v>
      </c>
    </row>
    <row r="129" spans="2:25" x14ac:dyDescent="0.25">
      <c r="B129" s="15">
        <v>127</v>
      </c>
      <c r="C129" s="8" t="s">
        <v>245</v>
      </c>
      <c r="D129" s="5" t="s">
        <v>246</v>
      </c>
      <c r="E129" s="383">
        <v>42</v>
      </c>
      <c r="F129" s="380">
        <v>46155</v>
      </c>
      <c r="G129" s="8">
        <v>5</v>
      </c>
      <c r="H129" s="8">
        <v>2</v>
      </c>
      <c r="I129" s="8">
        <v>41.28</v>
      </c>
      <c r="J129" s="9">
        <v>49000000</v>
      </c>
      <c r="K129" s="9">
        <f t="shared" si="25"/>
        <v>53900000.000000007</v>
      </c>
      <c r="L129" s="35">
        <f t="shared" si="26"/>
        <v>0.49</v>
      </c>
      <c r="M129" s="2" t="s">
        <v>146</v>
      </c>
      <c r="N129" t="s">
        <v>1248</v>
      </c>
      <c r="O129" s="19" t="s">
        <v>1249</v>
      </c>
      <c r="P129" s="19">
        <v>112</v>
      </c>
      <c r="Q129" s="19" t="s">
        <v>1250</v>
      </c>
      <c r="R129" s="21" t="s">
        <v>1251</v>
      </c>
      <c r="S129" s="46" t="s">
        <v>250</v>
      </c>
      <c r="T129" s="44" t="s">
        <v>1252</v>
      </c>
      <c r="U129" s="77" t="s">
        <v>1253</v>
      </c>
      <c r="V129" s="24" t="s">
        <v>600</v>
      </c>
      <c r="W129" s="24">
        <v>1111</v>
      </c>
      <c r="X129" s="193" t="s">
        <v>1254</v>
      </c>
      <c r="Y129" s="15" t="s">
        <v>1255</v>
      </c>
    </row>
    <row r="130" spans="2:25" x14ac:dyDescent="0.25">
      <c r="B130" s="15">
        <v>128</v>
      </c>
      <c r="C130" s="8" t="s">
        <v>245</v>
      </c>
      <c r="D130" s="5" t="s">
        <v>246</v>
      </c>
      <c r="E130" s="383">
        <v>43</v>
      </c>
      <c r="F130" s="380">
        <v>46155</v>
      </c>
      <c r="G130" s="8">
        <v>5</v>
      </c>
      <c r="H130" s="8">
        <v>2</v>
      </c>
      <c r="I130" s="8">
        <v>198.66</v>
      </c>
      <c r="J130" s="9">
        <v>200000000</v>
      </c>
      <c r="K130" s="9">
        <f t="shared" si="25"/>
        <v>220000000.00000003</v>
      </c>
      <c r="L130" s="35">
        <f t="shared" si="26"/>
        <v>2</v>
      </c>
      <c r="M130" s="2" t="s">
        <v>146</v>
      </c>
      <c r="N130" t="s">
        <v>146</v>
      </c>
      <c r="O130" s="19" t="s">
        <v>1259</v>
      </c>
      <c r="P130" s="19">
        <v>113</v>
      </c>
      <c r="Q130" s="19" t="s">
        <v>1256</v>
      </c>
      <c r="R130" s="21" t="s">
        <v>1257</v>
      </c>
      <c r="S130" s="46" t="s">
        <v>250</v>
      </c>
      <c r="T130" s="44" t="s">
        <v>1258</v>
      </c>
      <c r="U130" s="77" t="s">
        <v>252</v>
      </c>
      <c r="V130" s="24" t="s">
        <v>600</v>
      </c>
      <c r="W130" s="24">
        <v>1111</v>
      </c>
      <c r="X130" s="193" t="s">
        <v>567</v>
      </c>
      <c r="Y130" s="15" t="s">
        <v>168</v>
      </c>
    </row>
    <row r="131" spans="2:25" x14ac:dyDescent="0.25">
      <c r="B131" s="15">
        <v>129</v>
      </c>
      <c r="C131" s="8" t="s">
        <v>112</v>
      </c>
      <c r="D131" s="5" t="s">
        <v>246</v>
      </c>
      <c r="E131" s="383">
        <v>86</v>
      </c>
      <c r="F131" s="380" t="s">
        <v>1260</v>
      </c>
      <c r="G131" s="8">
        <v>5</v>
      </c>
      <c r="H131" s="8">
        <v>2</v>
      </c>
      <c r="I131" s="8">
        <v>49.664999999999999</v>
      </c>
      <c r="J131" s="9">
        <v>56000000</v>
      </c>
      <c r="K131" s="9">
        <f t="shared" si="25"/>
        <v>61600000.000000007</v>
      </c>
      <c r="L131" s="35">
        <f t="shared" si="26"/>
        <v>0.56000000000000005</v>
      </c>
      <c r="M131" s="2" t="s">
        <v>1261</v>
      </c>
      <c r="N131" t="s">
        <v>1262</v>
      </c>
      <c r="O131" s="19" t="s">
        <v>1263</v>
      </c>
      <c r="P131" s="19">
        <v>114</v>
      </c>
      <c r="Q131" s="19" t="s">
        <v>271</v>
      </c>
      <c r="R131" s="21" t="s">
        <v>1264</v>
      </c>
      <c r="S131" s="46" t="s">
        <v>250</v>
      </c>
      <c r="T131" s="44" t="s">
        <v>1265</v>
      </c>
      <c r="U131" s="77" t="s">
        <v>252</v>
      </c>
      <c r="V131" s="24" t="s">
        <v>1266</v>
      </c>
      <c r="W131" s="24">
        <v>1111</v>
      </c>
      <c r="X131" s="193" t="s">
        <v>155</v>
      </c>
      <c r="Y131" s="15" t="s">
        <v>255</v>
      </c>
    </row>
    <row r="132" spans="2:25" x14ac:dyDescent="0.25">
      <c r="B132" s="15">
        <v>130</v>
      </c>
      <c r="C132" s="8" t="s">
        <v>112</v>
      </c>
      <c r="D132" s="5" t="s">
        <v>246</v>
      </c>
      <c r="E132" s="383">
        <v>87</v>
      </c>
      <c r="F132" s="380" t="s">
        <v>1267</v>
      </c>
      <c r="G132" s="8">
        <v>5</v>
      </c>
      <c r="H132" s="8">
        <v>3</v>
      </c>
      <c r="I132" s="8">
        <v>367.005</v>
      </c>
      <c r="J132" s="9">
        <v>345000000</v>
      </c>
      <c r="K132" s="9">
        <f t="shared" si="25"/>
        <v>379500000.00000006</v>
      </c>
      <c r="L132" s="35">
        <f t="shared" si="26"/>
        <v>3.45</v>
      </c>
      <c r="M132" s="2" t="s">
        <v>1268</v>
      </c>
      <c r="N132" t="s">
        <v>1269</v>
      </c>
      <c r="O132" s="19" t="s">
        <v>1270</v>
      </c>
      <c r="P132" s="19">
        <v>115</v>
      </c>
      <c r="Q132" s="19" t="s">
        <v>1271</v>
      </c>
      <c r="R132" s="21" t="s">
        <v>1272</v>
      </c>
      <c r="S132" s="46" t="s">
        <v>250</v>
      </c>
      <c r="T132" s="44" t="s">
        <v>1273</v>
      </c>
      <c r="U132" s="77" t="s">
        <v>1274</v>
      </c>
      <c r="V132" s="24" t="s">
        <v>1275</v>
      </c>
      <c r="W132" s="24"/>
      <c r="X132" s="193" t="s">
        <v>151</v>
      </c>
      <c r="Y132" s="15" t="s">
        <v>255</v>
      </c>
    </row>
    <row r="133" spans="2:25" x14ac:dyDescent="0.25">
      <c r="B133" s="15">
        <v>131</v>
      </c>
      <c r="C133" s="8" t="s">
        <v>245</v>
      </c>
      <c r="D133" s="5" t="s">
        <v>246</v>
      </c>
      <c r="E133" s="383">
        <v>44</v>
      </c>
      <c r="F133" s="380">
        <v>46160</v>
      </c>
      <c r="G133" s="8">
        <v>5</v>
      </c>
      <c r="H133" s="8">
        <v>3</v>
      </c>
      <c r="I133" s="8">
        <v>55.47</v>
      </c>
      <c r="J133" s="9">
        <v>69000000</v>
      </c>
      <c r="K133" s="9">
        <f t="shared" si="25"/>
        <v>75900000</v>
      </c>
      <c r="L133" s="35">
        <f t="shared" si="26"/>
        <v>0.69000000000000006</v>
      </c>
      <c r="M133" s="2" t="s">
        <v>1277</v>
      </c>
      <c r="N133" t="s">
        <v>1278</v>
      </c>
      <c r="O133" s="19" t="s">
        <v>1279</v>
      </c>
      <c r="P133" s="19">
        <v>116</v>
      </c>
      <c r="Q133" s="19" t="s">
        <v>1280</v>
      </c>
      <c r="R133" s="21" t="s">
        <v>1281</v>
      </c>
      <c r="S133" s="46" t="s">
        <v>250</v>
      </c>
      <c r="T133" s="44" t="s">
        <v>1282</v>
      </c>
      <c r="U133" s="77" t="s">
        <v>1283</v>
      </c>
      <c r="V133" s="24" t="s">
        <v>1284</v>
      </c>
      <c r="W133" s="24">
        <v>1111</v>
      </c>
      <c r="X133" s="193" t="s">
        <v>1285</v>
      </c>
      <c r="Y133" s="15" t="s">
        <v>1286</v>
      </c>
    </row>
    <row r="134" spans="2:25" x14ac:dyDescent="0.25">
      <c r="B134" s="15">
        <v>132</v>
      </c>
      <c r="C134" s="8" t="s">
        <v>112</v>
      </c>
      <c r="D134" s="5" t="s">
        <v>246</v>
      </c>
      <c r="E134" s="383">
        <v>88</v>
      </c>
      <c r="F134" s="380" t="s">
        <v>1287</v>
      </c>
      <c r="G134" s="8">
        <v>5</v>
      </c>
      <c r="H134" s="8">
        <v>3</v>
      </c>
      <c r="I134" s="8">
        <v>253.48500000000001</v>
      </c>
      <c r="J134" s="9">
        <v>235000000</v>
      </c>
      <c r="K134" s="9">
        <f t="shared" si="25"/>
        <v>258500000.00000003</v>
      </c>
      <c r="L134" s="35">
        <f t="shared" si="26"/>
        <v>2.35</v>
      </c>
      <c r="M134" s="2" t="s">
        <v>1288</v>
      </c>
      <c r="N134" t="s">
        <v>1289</v>
      </c>
      <c r="O134" s="19" t="s">
        <v>1290</v>
      </c>
      <c r="P134" s="19">
        <v>117</v>
      </c>
      <c r="Q134" s="19" t="s">
        <v>1291</v>
      </c>
      <c r="R134" s="21" t="s">
        <v>1292</v>
      </c>
      <c r="S134" s="46" t="s">
        <v>250</v>
      </c>
      <c r="T134" s="44" t="s">
        <v>1293</v>
      </c>
      <c r="U134" s="77" t="s">
        <v>1294</v>
      </c>
      <c r="V134" s="24" t="s">
        <v>1295</v>
      </c>
      <c r="W134" s="24">
        <v>1111</v>
      </c>
      <c r="X134" s="193" t="s">
        <v>151</v>
      </c>
      <c r="Y134" s="15" t="s">
        <v>255</v>
      </c>
    </row>
    <row r="135" spans="2:25" x14ac:dyDescent="0.25">
      <c r="B135" s="15">
        <v>132</v>
      </c>
      <c r="C135" s="8" t="s">
        <v>245</v>
      </c>
      <c r="D135" s="5" t="s">
        <v>246</v>
      </c>
      <c r="E135" s="383">
        <v>45</v>
      </c>
      <c r="F135" s="380" t="s">
        <v>1296</v>
      </c>
      <c r="G135" s="8">
        <v>5</v>
      </c>
      <c r="H135" s="8">
        <v>3</v>
      </c>
      <c r="I135" s="8">
        <v>243.16499999999999</v>
      </c>
      <c r="J135" s="9">
        <v>240000000</v>
      </c>
      <c r="K135" s="9">
        <f t="shared" ref="K135:K198" si="28">J135*1.1</f>
        <v>264000000.00000003</v>
      </c>
      <c r="L135" s="35">
        <f t="shared" ref="L135:L198" si="29">J135*0.00000001</f>
        <v>2.4</v>
      </c>
      <c r="M135" s="2" t="s">
        <v>1298</v>
      </c>
      <c r="N135" t="s">
        <v>1297</v>
      </c>
      <c r="O135" s="19" t="s">
        <v>1299</v>
      </c>
      <c r="P135" s="19">
        <v>118</v>
      </c>
      <c r="Q135" s="19" t="s">
        <v>190</v>
      </c>
      <c r="R135" s="21" t="s">
        <v>1300</v>
      </c>
      <c r="S135" s="46" t="s">
        <v>250</v>
      </c>
      <c r="T135" s="44" t="s">
        <v>1301</v>
      </c>
      <c r="U135" s="77" t="s">
        <v>252</v>
      </c>
      <c r="V135" s="24" t="s">
        <v>1302</v>
      </c>
      <c r="W135" s="24">
        <v>1111</v>
      </c>
      <c r="X135" s="193" t="s">
        <v>151</v>
      </c>
      <c r="Y135" s="15" t="s">
        <v>255</v>
      </c>
    </row>
    <row r="136" spans="2:25" x14ac:dyDescent="0.25">
      <c r="B136" s="15">
        <v>133</v>
      </c>
      <c r="C136" s="8" t="s">
        <v>245</v>
      </c>
      <c r="D136" s="5" t="s">
        <v>246</v>
      </c>
      <c r="E136" s="383">
        <v>46</v>
      </c>
      <c r="F136" s="380" t="s">
        <v>1296</v>
      </c>
      <c r="G136" s="8">
        <v>5</v>
      </c>
      <c r="H136" s="8">
        <v>3</v>
      </c>
      <c r="I136" s="8">
        <v>349.59</v>
      </c>
      <c r="J136" s="9">
        <v>345000000</v>
      </c>
      <c r="K136" s="9">
        <f t="shared" si="28"/>
        <v>379500000.00000006</v>
      </c>
      <c r="L136" s="35">
        <f t="shared" si="29"/>
        <v>3.45</v>
      </c>
      <c r="M136" s="2" t="s">
        <v>1298</v>
      </c>
      <c r="N136" t="s">
        <v>1297</v>
      </c>
      <c r="O136" s="19" t="s">
        <v>1303</v>
      </c>
      <c r="P136" s="19">
        <v>119</v>
      </c>
      <c r="Q136" s="19" t="s">
        <v>1304</v>
      </c>
      <c r="R136" s="21" t="s">
        <v>1305</v>
      </c>
      <c r="S136" s="46" t="s">
        <v>250</v>
      </c>
      <c r="T136" s="44" t="s">
        <v>1306</v>
      </c>
      <c r="U136" s="77" t="s">
        <v>252</v>
      </c>
      <c r="V136" s="24" t="s">
        <v>1302</v>
      </c>
      <c r="W136" s="24">
        <v>1111</v>
      </c>
      <c r="X136" s="193" t="s">
        <v>151</v>
      </c>
      <c r="Y136" s="15" t="s">
        <v>255</v>
      </c>
    </row>
    <row r="137" spans="2:25" x14ac:dyDescent="0.25">
      <c r="B137" s="15">
        <v>134</v>
      </c>
      <c r="C137" s="8" t="s">
        <v>245</v>
      </c>
      <c r="D137" s="5" t="s">
        <v>246</v>
      </c>
      <c r="E137" s="383">
        <v>47</v>
      </c>
      <c r="F137" s="380">
        <v>46169</v>
      </c>
      <c r="G137" s="8">
        <v>5</v>
      </c>
      <c r="H137" s="8">
        <v>4</v>
      </c>
      <c r="I137" s="8">
        <v>89.655000000000001</v>
      </c>
      <c r="J137" s="4">
        <v>109000000</v>
      </c>
      <c r="K137" s="9">
        <f t="shared" si="28"/>
        <v>119900000.00000001</v>
      </c>
      <c r="L137" s="35">
        <f t="shared" si="29"/>
        <v>1.0900000000000001</v>
      </c>
      <c r="M137" s="2" t="s">
        <v>298</v>
      </c>
      <c r="N137" t="s">
        <v>146</v>
      </c>
      <c r="O137" s="19" t="s">
        <v>1307</v>
      </c>
      <c r="P137" s="19">
        <v>120</v>
      </c>
      <c r="Q137" s="19" t="s">
        <v>1309</v>
      </c>
      <c r="R137" s="20" t="s">
        <v>1308</v>
      </c>
      <c r="S137" s="46" t="s">
        <v>250</v>
      </c>
      <c r="T137" s="44" t="s">
        <v>1310</v>
      </c>
      <c r="U137" s="77" t="s">
        <v>252</v>
      </c>
      <c r="V137" s="24" t="s">
        <v>1311</v>
      </c>
      <c r="W137" s="24">
        <v>1111</v>
      </c>
      <c r="X137" s="193" t="s">
        <v>1312</v>
      </c>
      <c r="Y137" s="15" t="s">
        <v>255</v>
      </c>
    </row>
    <row r="138" spans="2:25" x14ac:dyDescent="0.25">
      <c r="B138" s="15">
        <v>135</v>
      </c>
      <c r="C138" s="8" t="s">
        <v>112</v>
      </c>
      <c r="D138" s="5" t="s">
        <v>246</v>
      </c>
      <c r="E138" s="383">
        <v>89</v>
      </c>
      <c r="F138" s="380" t="s">
        <v>1313</v>
      </c>
      <c r="G138" s="8">
        <v>5</v>
      </c>
      <c r="H138" s="8">
        <v>4</v>
      </c>
      <c r="I138" s="8">
        <v>101.91</v>
      </c>
      <c r="J138" s="4">
        <v>99000000</v>
      </c>
      <c r="K138" s="9">
        <f t="shared" si="28"/>
        <v>108900000.00000001</v>
      </c>
      <c r="L138" s="35">
        <f t="shared" si="29"/>
        <v>0.99</v>
      </c>
      <c r="M138" s="2" t="s">
        <v>1314</v>
      </c>
      <c r="N138" t="s">
        <v>1315</v>
      </c>
      <c r="O138" s="19" t="s">
        <v>1316</v>
      </c>
      <c r="P138" s="19">
        <v>121</v>
      </c>
      <c r="Q138" s="19" t="s">
        <v>1317</v>
      </c>
      <c r="R138" s="20" t="s">
        <v>1318</v>
      </c>
      <c r="S138" s="46" t="s">
        <v>250</v>
      </c>
      <c r="T138" s="44" t="s">
        <v>1319</v>
      </c>
      <c r="U138" s="77" t="s">
        <v>252</v>
      </c>
      <c r="V138" s="24" t="s">
        <v>1320</v>
      </c>
      <c r="W138" s="24">
        <v>1111</v>
      </c>
      <c r="X138" s="193" t="s">
        <v>1321</v>
      </c>
      <c r="Y138" s="15" t="s">
        <v>1322</v>
      </c>
    </row>
    <row r="139" spans="2:25" x14ac:dyDescent="0.25">
      <c r="B139" s="15">
        <v>136</v>
      </c>
      <c r="C139" s="8" t="s">
        <v>112</v>
      </c>
      <c r="D139" s="5" t="s">
        <v>246</v>
      </c>
      <c r="E139" s="383">
        <v>90</v>
      </c>
      <c r="F139" s="380" t="s">
        <v>1323</v>
      </c>
      <c r="G139" s="8">
        <v>6</v>
      </c>
      <c r="H139" s="8">
        <v>1</v>
      </c>
      <c r="I139" s="8">
        <v>114.16500000000001</v>
      </c>
      <c r="J139" s="4">
        <v>106000000</v>
      </c>
      <c r="K139" s="9">
        <f t="shared" si="28"/>
        <v>116600000.00000001</v>
      </c>
      <c r="L139" s="35">
        <f t="shared" si="29"/>
        <v>1.06</v>
      </c>
      <c r="M139" s="2" t="s">
        <v>1324</v>
      </c>
      <c r="N139" t="s">
        <v>1325</v>
      </c>
      <c r="O139" s="19" t="s">
        <v>1326</v>
      </c>
      <c r="P139" s="19">
        <v>122</v>
      </c>
      <c r="Q139" s="19" t="s">
        <v>1329</v>
      </c>
      <c r="R139" s="20" t="s">
        <v>1331</v>
      </c>
      <c r="S139" s="46" t="s">
        <v>250</v>
      </c>
      <c r="T139" s="44" t="s">
        <v>1334</v>
      </c>
      <c r="U139" s="77" t="s">
        <v>252</v>
      </c>
      <c r="V139" s="24" t="s">
        <v>1338</v>
      </c>
      <c r="W139" s="24">
        <v>1111</v>
      </c>
      <c r="X139" s="193" t="s">
        <v>1340</v>
      </c>
      <c r="Y139" s="15" t="s">
        <v>1341</v>
      </c>
    </row>
    <row r="140" spans="2:25" x14ac:dyDescent="0.25">
      <c r="B140" s="15">
        <v>138</v>
      </c>
      <c r="C140" s="8" t="s">
        <v>112</v>
      </c>
      <c r="D140" s="5" t="s">
        <v>246</v>
      </c>
      <c r="E140" s="383">
        <v>91</v>
      </c>
      <c r="F140" s="380" t="s">
        <v>1323</v>
      </c>
      <c r="G140" s="8">
        <v>6</v>
      </c>
      <c r="H140" s="8">
        <v>1</v>
      </c>
      <c r="I140" s="8">
        <v>994.59</v>
      </c>
      <c r="J140" s="9">
        <v>955000000</v>
      </c>
      <c r="K140" s="9">
        <f t="shared" si="28"/>
        <v>1050500000.0000001</v>
      </c>
      <c r="L140" s="35">
        <f t="shared" si="29"/>
        <v>9.5500000000000007</v>
      </c>
      <c r="M140" s="2" t="s">
        <v>1324</v>
      </c>
      <c r="N140" t="s">
        <v>1325</v>
      </c>
      <c r="O140" s="19" t="s">
        <v>1327</v>
      </c>
      <c r="P140" s="19">
        <v>123</v>
      </c>
      <c r="Q140" s="19" t="s">
        <v>1330</v>
      </c>
      <c r="R140" s="21" t="s">
        <v>1332</v>
      </c>
      <c r="S140" s="46" t="s">
        <v>250</v>
      </c>
      <c r="T140" s="44" t="s">
        <v>1335</v>
      </c>
      <c r="U140" s="77" t="s">
        <v>252</v>
      </c>
      <c r="V140" s="24" t="s">
        <v>1339</v>
      </c>
      <c r="W140" s="24">
        <v>1111</v>
      </c>
      <c r="X140" s="193" t="s">
        <v>1340</v>
      </c>
      <c r="Y140" s="15" t="s">
        <v>1341</v>
      </c>
    </row>
    <row r="141" spans="2:25" x14ac:dyDescent="0.25">
      <c r="B141" s="15">
        <v>139</v>
      </c>
      <c r="C141" s="8" t="s">
        <v>112</v>
      </c>
      <c r="D141" s="5" t="s">
        <v>246</v>
      </c>
      <c r="E141" s="383">
        <v>92</v>
      </c>
      <c r="F141" s="380" t="s">
        <v>1323</v>
      </c>
      <c r="G141" s="8">
        <v>6</v>
      </c>
      <c r="H141" s="8">
        <v>1</v>
      </c>
      <c r="I141" s="8">
        <v>30.96</v>
      </c>
      <c r="J141" s="9">
        <v>32000000</v>
      </c>
      <c r="K141" s="9">
        <f t="shared" si="28"/>
        <v>35200000</v>
      </c>
      <c r="L141" s="35">
        <f t="shared" si="29"/>
        <v>0.32</v>
      </c>
      <c r="M141" s="2" t="s">
        <v>1324</v>
      </c>
      <c r="N141" t="s">
        <v>1325</v>
      </c>
      <c r="O141" s="19" t="s">
        <v>1328</v>
      </c>
      <c r="P141" s="19">
        <v>124</v>
      </c>
      <c r="Q141" s="19" t="s">
        <v>1330</v>
      </c>
      <c r="R141" s="21" t="s">
        <v>1333</v>
      </c>
      <c r="S141" s="46" t="s">
        <v>250</v>
      </c>
      <c r="T141" s="44" t="s">
        <v>1336</v>
      </c>
      <c r="U141" s="77" t="s">
        <v>1337</v>
      </c>
      <c r="V141" s="30" t="s">
        <v>1337</v>
      </c>
      <c r="W141" s="24">
        <v>1111</v>
      </c>
      <c r="X141" s="193" t="s">
        <v>155</v>
      </c>
      <c r="Y141" s="15" t="s">
        <v>1341</v>
      </c>
    </row>
    <row r="142" spans="2:25" x14ac:dyDescent="0.25">
      <c r="B142" s="15">
        <v>140</v>
      </c>
      <c r="C142" s="8" t="s">
        <v>112</v>
      </c>
      <c r="D142" s="5" t="s">
        <v>246</v>
      </c>
      <c r="E142" s="383">
        <v>93</v>
      </c>
      <c r="F142" s="380" t="s">
        <v>1342</v>
      </c>
      <c r="G142" s="8">
        <v>6</v>
      </c>
      <c r="H142" s="8">
        <v>1</v>
      </c>
      <c r="I142" s="8">
        <v>221.23500000000001</v>
      </c>
      <c r="J142" s="9">
        <v>215000000</v>
      </c>
      <c r="K142" s="9">
        <f t="shared" si="28"/>
        <v>236500000.00000003</v>
      </c>
      <c r="L142" s="35">
        <f t="shared" si="29"/>
        <v>2.15</v>
      </c>
      <c r="M142" s="2" t="s">
        <v>1343</v>
      </c>
      <c r="N142" t="s">
        <v>1344</v>
      </c>
      <c r="O142" s="19" t="s">
        <v>1345</v>
      </c>
      <c r="P142" s="19">
        <v>125</v>
      </c>
      <c r="Q142" s="19" t="s">
        <v>1346</v>
      </c>
      <c r="R142" s="21" t="s">
        <v>1347</v>
      </c>
      <c r="S142" s="46" t="s">
        <v>250</v>
      </c>
      <c r="T142" s="44" t="s">
        <v>1348</v>
      </c>
      <c r="U142" s="77" t="s">
        <v>1349</v>
      </c>
      <c r="V142" s="30"/>
      <c r="W142" s="24">
        <v>1111</v>
      </c>
      <c r="X142" s="193" t="s">
        <v>1350</v>
      </c>
      <c r="Y142" s="15" t="s">
        <v>1351</v>
      </c>
    </row>
    <row r="143" spans="2:25" x14ac:dyDescent="0.25">
      <c r="B143" s="15">
        <v>141</v>
      </c>
      <c r="C143" s="8" t="s">
        <v>245</v>
      </c>
      <c r="D143" s="5" t="s">
        <v>246</v>
      </c>
      <c r="E143" s="383">
        <v>48</v>
      </c>
      <c r="F143" s="380">
        <v>46174</v>
      </c>
      <c r="G143" s="8">
        <v>6</v>
      </c>
      <c r="H143" s="8">
        <v>1</v>
      </c>
      <c r="I143" s="8">
        <v>202.53</v>
      </c>
      <c r="J143" s="9">
        <v>209000000</v>
      </c>
      <c r="K143" s="9">
        <f t="shared" si="28"/>
        <v>229900000.00000003</v>
      </c>
      <c r="L143" s="35">
        <f t="shared" si="29"/>
        <v>2.09</v>
      </c>
      <c r="M143" s="2" t="s">
        <v>1361</v>
      </c>
      <c r="N143" t="s">
        <v>1362</v>
      </c>
      <c r="O143" s="19" t="s">
        <v>1370</v>
      </c>
      <c r="P143" s="19">
        <v>126</v>
      </c>
      <c r="Q143" s="19" t="s">
        <v>1363</v>
      </c>
      <c r="R143" s="21" t="s">
        <v>1364</v>
      </c>
      <c r="S143" s="46" t="s">
        <v>250</v>
      </c>
      <c r="T143" s="44" t="s">
        <v>1365</v>
      </c>
      <c r="U143" s="77" t="s">
        <v>1366</v>
      </c>
      <c r="V143" s="24" t="s">
        <v>1367</v>
      </c>
      <c r="W143" s="24">
        <v>1111</v>
      </c>
      <c r="X143" s="193" t="s">
        <v>1368</v>
      </c>
      <c r="Y143" s="15" t="s">
        <v>1369</v>
      </c>
    </row>
    <row r="144" spans="2:25" x14ac:dyDescent="0.25">
      <c r="B144" s="15">
        <v>142</v>
      </c>
      <c r="C144" s="8" t="s">
        <v>112</v>
      </c>
      <c r="D144" s="5" t="s">
        <v>246</v>
      </c>
      <c r="E144" s="383">
        <v>94</v>
      </c>
      <c r="F144" s="380" t="s">
        <v>1437</v>
      </c>
      <c r="G144" s="8">
        <v>6</v>
      </c>
      <c r="H144" s="8">
        <v>1</v>
      </c>
      <c r="I144" s="8">
        <v>74.819999999999993</v>
      </c>
      <c r="J144" s="9">
        <v>78000000</v>
      </c>
      <c r="K144" s="9">
        <f t="shared" si="28"/>
        <v>85800000</v>
      </c>
      <c r="L144" s="35">
        <f t="shared" si="29"/>
        <v>0.78</v>
      </c>
      <c r="M144" s="2" t="s">
        <v>1438</v>
      </c>
      <c r="N144" t="s">
        <v>1440</v>
      </c>
      <c r="O144" s="19" t="s">
        <v>1441</v>
      </c>
      <c r="P144" s="19">
        <v>127</v>
      </c>
      <c r="Q144" s="19" t="s">
        <v>1443</v>
      </c>
      <c r="R144" s="21" t="s">
        <v>1444</v>
      </c>
      <c r="S144" s="46" t="s">
        <v>250</v>
      </c>
      <c r="T144" s="44" t="s">
        <v>1446</v>
      </c>
      <c r="U144" s="77" t="s">
        <v>118</v>
      </c>
      <c r="V144" s="24"/>
      <c r="W144" s="24">
        <v>1111</v>
      </c>
      <c r="X144" s="193" t="s">
        <v>1448</v>
      </c>
      <c r="Y144" s="15" t="s">
        <v>1449</v>
      </c>
    </row>
    <row r="145" spans="2:25" x14ac:dyDescent="0.25">
      <c r="B145" s="15">
        <v>143</v>
      </c>
      <c r="C145" s="8" t="s">
        <v>112</v>
      </c>
      <c r="D145" s="5" t="s">
        <v>246</v>
      </c>
      <c r="E145" s="383">
        <v>95</v>
      </c>
      <c r="F145" s="380" t="s">
        <v>1437</v>
      </c>
      <c r="G145" s="8">
        <v>6</v>
      </c>
      <c r="H145" s="8">
        <v>1</v>
      </c>
      <c r="I145" s="8">
        <v>180.6</v>
      </c>
      <c r="J145" s="9">
        <v>165000000</v>
      </c>
      <c r="K145" s="9">
        <f t="shared" si="28"/>
        <v>181500000</v>
      </c>
      <c r="L145" s="35">
        <f t="shared" si="29"/>
        <v>1.6500000000000001</v>
      </c>
      <c r="M145" s="2" t="s">
        <v>1439</v>
      </c>
      <c r="N145" t="s">
        <v>1440</v>
      </c>
      <c r="O145" s="19" t="s">
        <v>1442</v>
      </c>
      <c r="P145" s="19">
        <v>128</v>
      </c>
      <c r="Q145" s="19" t="s">
        <v>1443</v>
      </c>
      <c r="R145" s="21" t="s">
        <v>1445</v>
      </c>
      <c r="S145" s="46" t="s">
        <v>250</v>
      </c>
      <c r="T145" s="44" t="s">
        <v>1447</v>
      </c>
      <c r="U145" s="77" t="s">
        <v>118</v>
      </c>
      <c r="V145" s="24"/>
      <c r="W145" s="24"/>
      <c r="X145" s="193" t="s">
        <v>1448</v>
      </c>
      <c r="Y145" s="15" t="s">
        <v>1449</v>
      </c>
    </row>
    <row r="146" spans="2:25" x14ac:dyDescent="0.25">
      <c r="B146" s="15">
        <v>144</v>
      </c>
      <c r="C146" s="8" t="s">
        <v>112</v>
      </c>
      <c r="D146" s="5" t="s">
        <v>246</v>
      </c>
      <c r="E146" s="383">
        <v>96</v>
      </c>
      <c r="F146" s="380" t="s">
        <v>1450</v>
      </c>
      <c r="G146" s="8">
        <v>6</v>
      </c>
      <c r="H146" s="8">
        <v>1</v>
      </c>
      <c r="I146" s="8">
        <v>218.655</v>
      </c>
      <c r="J146" s="9">
        <v>210000000</v>
      </c>
      <c r="K146" s="9">
        <f t="shared" si="28"/>
        <v>231000000.00000003</v>
      </c>
      <c r="L146" s="35">
        <f t="shared" si="29"/>
        <v>2.1</v>
      </c>
      <c r="M146" s="2" t="s">
        <v>1451</v>
      </c>
      <c r="N146" t="s">
        <v>1452</v>
      </c>
      <c r="O146" s="19" t="s">
        <v>1465</v>
      </c>
      <c r="P146" s="19">
        <v>129</v>
      </c>
      <c r="Q146" s="19" t="s">
        <v>1453</v>
      </c>
      <c r="R146" s="21" t="s">
        <v>1454</v>
      </c>
      <c r="S146" s="46" t="s">
        <v>250</v>
      </c>
      <c r="T146" s="44" t="s">
        <v>1455</v>
      </c>
      <c r="U146" s="77" t="s">
        <v>1456</v>
      </c>
      <c r="V146" s="24" t="s">
        <v>1457</v>
      </c>
      <c r="W146" s="24">
        <v>1111</v>
      </c>
      <c r="X146" s="193" t="s">
        <v>154</v>
      </c>
      <c r="Y146" s="15" t="s">
        <v>255</v>
      </c>
    </row>
    <row r="147" spans="2:25" x14ac:dyDescent="0.25">
      <c r="B147" s="15">
        <v>145</v>
      </c>
      <c r="C147" s="8" t="s">
        <v>245</v>
      </c>
      <c r="D147" s="5" t="s">
        <v>246</v>
      </c>
      <c r="E147" s="383">
        <v>49</v>
      </c>
      <c r="F147" s="380" t="s">
        <v>1458</v>
      </c>
      <c r="G147" s="8">
        <v>6</v>
      </c>
      <c r="H147" s="8">
        <v>1</v>
      </c>
      <c r="I147" s="8">
        <v>336.04500000000002</v>
      </c>
      <c r="J147" s="9">
        <v>330000000</v>
      </c>
      <c r="K147" s="9">
        <f t="shared" si="28"/>
        <v>363000000</v>
      </c>
      <c r="L147" s="35">
        <f t="shared" si="29"/>
        <v>3.3000000000000003</v>
      </c>
      <c r="M147" s="2" t="s">
        <v>1459</v>
      </c>
      <c r="N147" t="s">
        <v>1460</v>
      </c>
      <c r="O147" s="19" t="s">
        <v>1461</v>
      </c>
      <c r="P147" s="19">
        <v>130</v>
      </c>
      <c r="Q147" s="19" t="s">
        <v>526</v>
      </c>
      <c r="R147" s="21" t="s">
        <v>1462</v>
      </c>
      <c r="S147" s="46" t="s">
        <v>250</v>
      </c>
      <c r="T147" s="44" t="s">
        <v>1463</v>
      </c>
      <c r="U147" s="77" t="s">
        <v>252</v>
      </c>
      <c r="V147" s="24" t="s">
        <v>1464</v>
      </c>
      <c r="W147" s="24">
        <v>1111</v>
      </c>
      <c r="X147" s="193" t="s">
        <v>152</v>
      </c>
      <c r="Y147" s="15" t="s">
        <v>255</v>
      </c>
    </row>
    <row r="148" spans="2:25" x14ac:dyDescent="0.25">
      <c r="B148" s="15">
        <v>146</v>
      </c>
      <c r="C148" s="8" t="s">
        <v>112</v>
      </c>
      <c r="D148" s="5" t="s">
        <v>246</v>
      </c>
      <c r="E148" s="383">
        <v>97</v>
      </c>
      <c r="F148" s="380" t="s">
        <v>1466</v>
      </c>
      <c r="G148" s="8">
        <v>6</v>
      </c>
      <c r="H148" s="8">
        <v>2</v>
      </c>
      <c r="I148" s="8">
        <v>167.05500000000001</v>
      </c>
      <c r="J148" s="9">
        <v>158000000</v>
      </c>
      <c r="K148" s="9">
        <f t="shared" si="28"/>
        <v>173800000</v>
      </c>
      <c r="L148" s="35">
        <f t="shared" si="29"/>
        <v>1.58</v>
      </c>
      <c r="M148" s="2" t="s">
        <v>1467</v>
      </c>
      <c r="N148" t="s">
        <v>1468</v>
      </c>
      <c r="O148" s="19" t="s">
        <v>1469</v>
      </c>
      <c r="P148" s="19">
        <v>131</v>
      </c>
      <c r="Q148" s="19" t="s">
        <v>1470</v>
      </c>
      <c r="R148" s="21" t="s">
        <v>1471</v>
      </c>
      <c r="S148" s="46" t="s">
        <v>250</v>
      </c>
      <c r="T148" s="44" t="s">
        <v>1472</v>
      </c>
      <c r="U148" s="77" t="s">
        <v>252</v>
      </c>
      <c r="V148" s="30"/>
      <c r="W148" s="24">
        <v>1111</v>
      </c>
      <c r="X148" s="193" t="s">
        <v>1473</v>
      </c>
      <c r="Y148" s="15" t="s">
        <v>1474</v>
      </c>
    </row>
    <row r="149" spans="2:25" x14ac:dyDescent="0.25">
      <c r="B149" s="15">
        <v>147</v>
      </c>
      <c r="C149" s="8" t="s">
        <v>245</v>
      </c>
      <c r="D149" s="5" t="s">
        <v>246</v>
      </c>
      <c r="E149" s="383">
        <v>50</v>
      </c>
      <c r="F149" s="380">
        <v>46178</v>
      </c>
      <c r="G149" s="8">
        <v>6</v>
      </c>
      <c r="H149" s="8">
        <v>2</v>
      </c>
      <c r="I149" s="8">
        <v>60.63</v>
      </c>
      <c r="J149" s="4">
        <v>73000000</v>
      </c>
      <c r="K149" s="9">
        <f t="shared" si="28"/>
        <v>80300000</v>
      </c>
      <c r="L149" s="35">
        <f t="shared" si="29"/>
        <v>0.73</v>
      </c>
      <c r="M149" s="4" t="s">
        <v>1475</v>
      </c>
      <c r="N149" t="s">
        <v>1476</v>
      </c>
      <c r="O149" s="19" t="s">
        <v>1477</v>
      </c>
      <c r="P149" s="19">
        <v>132</v>
      </c>
      <c r="Q149" s="19" t="s">
        <v>1478</v>
      </c>
      <c r="R149" s="20" t="s">
        <v>1479</v>
      </c>
      <c r="S149" s="46" t="s">
        <v>250</v>
      </c>
      <c r="T149" s="44" t="s">
        <v>1480</v>
      </c>
      <c r="U149" s="77" t="s">
        <v>1481</v>
      </c>
      <c r="V149" s="79" t="s">
        <v>1482</v>
      </c>
      <c r="W149" s="24">
        <v>1111</v>
      </c>
      <c r="X149" s="193" t="s">
        <v>156</v>
      </c>
      <c r="Y149" s="15" t="s">
        <v>1483</v>
      </c>
    </row>
    <row r="150" spans="2:25" x14ac:dyDescent="0.25">
      <c r="B150" s="15">
        <v>148</v>
      </c>
      <c r="C150" s="8" t="s">
        <v>112</v>
      </c>
      <c r="D150" s="5" t="s">
        <v>246</v>
      </c>
      <c r="E150" s="383">
        <v>98</v>
      </c>
      <c r="F150" s="380" t="s">
        <v>1484</v>
      </c>
      <c r="G150" s="8">
        <v>6</v>
      </c>
      <c r="H150" s="8">
        <v>2</v>
      </c>
      <c r="I150" s="8">
        <v>772.06500000000005</v>
      </c>
      <c r="J150" s="9">
        <v>740000000</v>
      </c>
      <c r="K150" s="9">
        <f t="shared" si="28"/>
        <v>814000000.00000012</v>
      </c>
      <c r="L150" s="35">
        <f t="shared" si="29"/>
        <v>7.4</v>
      </c>
      <c r="M150" s="2" t="s">
        <v>1485</v>
      </c>
      <c r="N150" t="s">
        <v>1486</v>
      </c>
      <c r="O150" s="19" t="s">
        <v>1487</v>
      </c>
      <c r="P150" s="19">
        <v>133</v>
      </c>
      <c r="Q150" s="19" t="s">
        <v>1490</v>
      </c>
      <c r="R150" s="21" t="s">
        <v>1491</v>
      </c>
      <c r="S150" s="46" t="s">
        <v>250</v>
      </c>
      <c r="T150" s="44" t="s">
        <v>1494</v>
      </c>
      <c r="U150" s="77" t="s">
        <v>1495</v>
      </c>
      <c r="V150" s="79" t="s">
        <v>1496</v>
      </c>
      <c r="W150" s="24">
        <v>1111</v>
      </c>
      <c r="X150" s="193" t="s">
        <v>254</v>
      </c>
      <c r="Y150" s="15" t="s">
        <v>168</v>
      </c>
    </row>
    <row r="151" spans="2:25" x14ac:dyDescent="0.25">
      <c r="B151" s="15">
        <v>149</v>
      </c>
      <c r="C151" s="8" t="s">
        <v>112</v>
      </c>
      <c r="D151" s="5" t="s">
        <v>246</v>
      </c>
      <c r="E151" s="383">
        <v>99</v>
      </c>
      <c r="F151" s="380" t="s">
        <v>1484</v>
      </c>
      <c r="G151" s="8">
        <v>6</v>
      </c>
      <c r="H151" s="8">
        <v>2</v>
      </c>
      <c r="I151" s="8">
        <v>291.54000000000002</v>
      </c>
      <c r="J151" s="9">
        <v>270000000</v>
      </c>
      <c r="K151" s="9">
        <f t="shared" si="28"/>
        <v>297000000</v>
      </c>
      <c r="L151" s="35">
        <f t="shared" si="29"/>
        <v>2.7</v>
      </c>
      <c r="M151" s="2" t="s">
        <v>1485</v>
      </c>
      <c r="N151" t="s">
        <v>1486</v>
      </c>
      <c r="O151" s="19" t="s">
        <v>1488</v>
      </c>
      <c r="P151" s="19">
        <v>134</v>
      </c>
      <c r="Q151" s="19" t="s">
        <v>1490</v>
      </c>
      <c r="R151" s="21" t="s">
        <v>1492</v>
      </c>
      <c r="S151" s="46" t="s">
        <v>250</v>
      </c>
      <c r="T151" s="44" t="s">
        <v>1494</v>
      </c>
      <c r="U151" s="77" t="s">
        <v>1495</v>
      </c>
      <c r="V151" s="79" t="s">
        <v>1496</v>
      </c>
      <c r="W151" s="24">
        <v>1111</v>
      </c>
      <c r="X151" s="193" t="s">
        <v>254</v>
      </c>
      <c r="Y151" s="15" t="s">
        <v>168</v>
      </c>
    </row>
    <row r="152" spans="2:25" x14ac:dyDescent="0.25">
      <c r="B152" s="15">
        <v>150</v>
      </c>
      <c r="C152" s="8" t="s">
        <v>112</v>
      </c>
      <c r="D152" s="5" t="s">
        <v>246</v>
      </c>
      <c r="E152" s="383">
        <v>100</v>
      </c>
      <c r="F152" s="380" t="s">
        <v>1484</v>
      </c>
      <c r="G152" s="8">
        <v>6</v>
      </c>
      <c r="H152" s="8">
        <v>2</v>
      </c>
      <c r="I152" s="8">
        <v>65.790000000000006</v>
      </c>
      <c r="J152" s="9">
        <v>70000000</v>
      </c>
      <c r="K152" s="9">
        <f t="shared" si="28"/>
        <v>77000000</v>
      </c>
      <c r="L152" s="35">
        <f t="shared" si="29"/>
        <v>0.70000000000000007</v>
      </c>
      <c r="M152" s="2" t="s">
        <v>1485</v>
      </c>
      <c r="N152" t="s">
        <v>1486</v>
      </c>
      <c r="O152" s="19" t="s">
        <v>1489</v>
      </c>
      <c r="P152" s="19">
        <v>135</v>
      </c>
      <c r="Q152" s="19" t="s">
        <v>1490</v>
      </c>
      <c r="R152" s="21" t="s">
        <v>1493</v>
      </c>
      <c r="S152" s="46" t="s">
        <v>250</v>
      </c>
      <c r="T152" s="44" t="s">
        <v>1494</v>
      </c>
      <c r="U152" s="77" t="s">
        <v>1495</v>
      </c>
      <c r="V152" s="79" t="s">
        <v>1496</v>
      </c>
      <c r="W152" s="24">
        <v>1111</v>
      </c>
      <c r="X152" s="193" t="s">
        <v>254</v>
      </c>
      <c r="Y152" s="15" t="s">
        <v>168</v>
      </c>
    </row>
    <row r="153" spans="2:25" x14ac:dyDescent="0.25">
      <c r="B153" s="15">
        <v>151</v>
      </c>
      <c r="C153" s="8" t="s">
        <v>245</v>
      </c>
      <c r="D153" s="5" t="s">
        <v>246</v>
      </c>
      <c r="E153" s="383">
        <v>51</v>
      </c>
      <c r="F153" s="380">
        <v>46181</v>
      </c>
      <c r="G153" s="8">
        <v>6</v>
      </c>
      <c r="H153" s="8">
        <v>2</v>
      </c>
      <c r="I153" s="8">
        <v>379.26</v>
      </c>
      <c r="J153" s="9">
        <v>366000000</v>
      </c>
      <c r="K153" s="9">
        <f t="shared" si="28"/>
        <v>402600000.00000006</v>
      </c>
      <c r="L153" s="35">
        <f t="shared" si="29"/>
        <v>3.66</v>
      </c>
      <c r="M153" s="2" t="s">
        <v>1502</v>
      </c>
      <c r="N153" t="s">
        <v>1503</v>
      </c>
      <c r="O153" s="19" t="s">
        <v>1504</v>
      </c>
      <c r="P153" s="19">
        <v>136</v>
      </c>
      <c r="Q153" s="19" t="s">
        <v>1505</v>
      </c>
      <c r="R153" s="21" t="s">
        <v>1506</v>
      </c>
      <c r="S153" s="46" t="s">
        <v>250</v>
      </c>
      <c r="T153" s="44" t="s">
        <v>1507</v>
      </c>
      <c r="U153" s="77" t="s">
        <v>1508</v>
      </c>
      <c r="V153" s="24" t="s">
        <v>1509</v>
      </c>
      <c r="W153" s="24">
        <v>1111</v>
      </c>
      <c r="X153" s="193" t="s">
        <v>1510</v>
      </c>
      <c r="Y153" s="15" t="s">
        <v>1511</v>
      </c>
    </row>
    <row r="154" spans="2:25" x14ac:dyDescent="0.25">
      <c r="B154" s="15">
        <v>152</v>
      </c>
      <c r="C154" s="8" t="s">
        <v>112</v>
      </c>
      <c r="D154" s="5" t="s">
        <v>246</v>
      </c>
      <c r="E154" s="383">
        <v>101</v>
      </c>
      <c r="F154" s="380" t="s">
        <v>1512</v>
      </c>
      <c r="G154" s="8">
        <v>6</v>
      </c>
      <c r="H154" s="8">
        <v>2</v>
      </c>
      <c r="I154" s="8">
        <v>335.4</v>
      </c>
      <c r="J154" s="9">
        <v>315000000</v>
      </c>
      <c r="K154" s="9">
        <f t="shared" si="28"/>
        <v>346500000</v>
      </c>
      <c r="L154" s="35">
        <f t="shared" si="29"/>
        <v>3.15</v>
      </c>
      <c r="M154" s="2" t="s">
        <v>1513</v>
      </c>
      <c r="N154" t="s">
        <v>275</v>
      </c>
      <c r="O154" s="19" t="s">
        <v>1516</v>
      </c>
      <c r="P154" s="19">
        <v>137</v>
      </c>
      <c r="Q154" s="19" t="s">
        <v>1517</v>
      </c>
      <c r="R154" s="21" t="s">
        <v>1518</v>
      </c>
      <c r="S154" s="46" t="s">
        <v>250</v>
      </c>
      <c r="T154" s="44" t="s">
        <v>1521</v>
      </c>
      <c r="U154" s="77" t="s">
        <v>118</v>
      </c>
      <c r="V154" s="24" t="s">
        <v>1520</v>
      </c>
      <c r="W154" s="24">
        <v>1111</v>
      </c>
      <c r="X154" s="193" t="s">
        <v>254</v>
      </c>
      <c r="Y154" s="15" t="s">
        <v>168</v>
      </c>
    </row>
    <row r="155" spans="2:25" x14ac:dyDescent="0.25">
      <c r="B155" s="15">
        <v>153</v>
      </c>
      <c r="C155" s="8" t="s">
        <v>112</v>
      </c>
      <c r="D155" s="5" t="s">
        <v>246</v>
      </c>
      <c r="E155" s="383">
        <v>102</v>
      </c>
      <c r="F155" s="380" t="s">
        <v>1512</v>
      </c>
      <c r="G155" s="8">
        <v>6</v>
      </c>
      <c r="H155" s="8">
        <v>2</v>
      </c>
      <c r="I155" s="8">
        <v>54.18</v>
      </c>
      <c r="J155" s="9">
        <v>60000000</v>
      </c>
      <c r="K155" s="9">
        <f t="shared" si="28"/>
        <v>66000000.000000007</v>
      </c>
      <c r="L155" s="35">
        <f t="shared" si="29"/>
        <v>0.6</v>
      </c>
      <c r="M155" s="2" t="s">
        <v>1514</v>
      </c>
      <c r="N155" t="s">
        <v>275</v>
      </c>
      <c r="O155" s="19" t="s">
        <v>1515</v>
      </c>
      <c r="P155" s="19">
        <v>138</v>
      </c>
      <c r="Q155" s="19" t="s">
        <v>1517</v>
      </c>
      <c r="R155" s="21" t="s">
        <v>1519</v>
      </c>
      <c r="S155" s="46" t="s">
        <v>250</v>
      </c>
      <c r="T155" s="44" t="s">
        <v>1522</v>
      </c>
      <c r="U155" s="77" t="s">
        <v>118</v>
      </c>
      <c r="V155" s="30" t="s">
        <v>1520</v>
      </c>
      <c r="W155" s="24">
        <v>1111</v>
      </c>
      <c r="X155" s="193" t="s">
        <v>254</v>
      </c>
      <c r="Y155" s="15" t="s">
        <v>168</v>
      </c>
    </row>
    <row r="156" spans="2:25" x14ac:dyDescent="0.25">
      <c r="B156" s="15">
        <v>154</v>
      </c>
      <c r="C156" s="8" t="s">
        <v>245</v>
      </c>
      <c r="D156" s="5" t="s">
        <v>246</v>
      </c>
      <c r="E156" s="383">
        <v>52</v>
      </c>
      <c r="F156" s="380">
        <v>46185</v>
      </c>
      <c r="G156" s="8">
        <v>6</v>
      </c>
      <c r="H156" s="8">
        <v>3</v>
      </c>
      <c r="I156" s="8">
        <v>154.80000000000001</v>
      </c>
      <c r="J156" s="9">
        <v>160000000</v>
      </c>
      <c r="K156" s="9">
        <f t="shared" si="28"/>
        <v>176000000</v>
      </c>
      <c r="L156" s="35">
        <f t="shared" si="29"/>
        <v>1.6</v>
      </c>
      <c r="M156" s="2" t="s">
        <v>1530</v>
      </c>
      <c r="N156" t="s">
        <v>1531</v>
      </c>
      <c r="O156" s="19" t="s">
        <v>1532</v>
      </c>
      <c r="P156" s="19">
        <v>139</v>
      </c>
      <c r="Q156" s="19" t="s">
        <v>1533</v>
      </c>
      <c r="R156" s="21" t="s">
        <v>1534</v>
      </c>
      <c r="S156" s="46" t="s">
        <v>250</v>
      </c>
      <c r="T156" s="44" t="s">
        <v>1535</v>
      </c>
      <c r="U156" s="77" t="s">
        <v>252</v>
      </c>
      <c r="V156" s="24" t="s">
        <v>599</v>
      </c>
      <c r="W156" s="24">
        <v>1111</v>
      </c>
      <c r="X156" s="193" t="s">
        <v>1536</v>
      </c>
      <c r="Y156" s="15" t="s">
        <v>1537</v>
      </c>
    </row>
    <row r="157" spans="2:25" x14ac:dyDescent="0.25">
      <c r="B157" s="15">
        <v>155</v>
      </c>
      <c r="C157" s="8" t="s">
        <v>112</v>
      </c>
      <c r="D157" s="5" t="s">
        <v>246</v>
      </c>
      <c r="E157" s="383">
        <v>103</v>
      </c>
      <c r="F157" s="380" t="s">
        <v>1538</v>
      </c>
      <c r="G157" s="8">
        <v>6</v>
      </c>
      <c r="H157" s="8">
        <v>3</v>
      </c>
      <c r="I157" s="8">
        <v>61.92</v>
      </c>
      <c r="J157" s="9">
        <v>70000000</v>
      </c>
      <c r="K157" s="9">
        <f t="shared" si="28"/>
        <v>77000000</v>
      </c>
      <c r="L157" s="35">
        <f t="shared" si="29"/>
        <v>0.70000000000000007</v>
      </c>
      <c r="M157" s="2" t="s">
        <v>1539</v>
      </c>
      <c r="N157" t="s">
        <v>1540</v>
      </c>
      <c r="O157" s="19" t="s">
        <v>1544</v>
      </c>
      <c r="P157" s="19">
        <v>140</v>
      </c>
      <c r="Q157" s="19" t="s">
        <v>634</v>
      </c>
      <c r="R157" s="21" t="s">
        <v>1541</v>
      </c>
      <c r="S157" s="46" t="s">
        <v>250</v>
      </c>
      <c r="T157" s="44" t="s">
        <v>1542</v>
      </c>
      <c r="U157" s="77" t="s">
        <v>1543</v>
      </c>
      <c r="V157" s="24"/>
      <c r="W157" s="24">
        <v>1111</v>
      </c>
      <c r="X157" s="193" t="s">
        <v>155</v>
      </c>
      <c r="Y157" s="15" t="s">
        <v>255</v>
      </c>
    </row>
    <row r="158" spans="2:25" x14ac:dyDescent="0.25">
      <c r="B158" s="15">
        <v>156</v>
      </c>
      <c r="C158" s="8" t="s">
        <v>112</v>
      </c>
      <c r="D158" s="5" t="s">
        <v>246</v>
      </c>
      <c r="E158" s="383">
        <v>104</v>
      </c>
      <c r="F158" s="380" t="s">
        <v>1546</v>
      </c>
      <c r="G158" s="8">
        <v>6</v>
      </c>
      <c r="H158" s="8">
        <v>3</v>
      </c>
      <c r="I158" s="8">
        <v>81.915000000000006</v>
      </c>
      <c r="J158" s="9">
        <v>85000000</v>
      </c>
      <c r="K158" s="9">
        <f t="shared" si="28"/>
        <v>93500000.000000015</v>
      </c>
      <c r="L158" s="35">
        <f t="shared" si="29"/>
        <v>0.85</v>
      </c>
      <c r="M158" s="2" t="s">
        <v>1547</v>
      </c>
      <c r="N158" t="s">
        <v>1548</v>
      </c>
      <c r="O158" s="19" t="s">
        <v>1549</v>
      </c>
      <c r="P158" s="19">
        <v>141</v>
      </c>
      <c r="Q158" s="19" t="s">
        <v>1550</v>
      </c>
      <c r="R158" s="21" t="s">
        <v>1551</v>
      </c>
      <c r="S158" s="46" t="s">
        <v>250</v>
      </c>
      <c r="T158" s="44" t="s">
        <v>1552</v>
      </c>
      <c r="U158" s="77" t="s">
        <v>1553</v>
      </c>
      <c r="V158" s="24" t="s">
        <v>1554</v>
      </c>
      <c r="W158" s="24">
        <v>1111</v>
      </c>
      <c r="X158" s="193" t="s">
        <v>254</v>
      </c>
      <c r="Y158" s="15" t="s">
        <v>168</v>
      </c>
    </row>
    <row r="159" spans="2:25" x14ac:dyDescent="0.25">
      <c r="B159" s="15">
        <v>157</v>
      </c>
      <c r="C159" s="8" t="s">
        <v>112</v>
      </c>
      <c r="D159" s="5" t="s">
        <v>246</v>
      </c>
      <c r="E159" s="383">
        <v>105</v>
      </c>
      <c r="F159" s="380" t="s">
        <v>1555</v>
      </c>
      <c r="G159" s="8">
        <v>6</v>
      </c>
      <c r="H159" s="8">
        <v>4</v>
      </c>
      <c r="I159" s="8">
        <v>66.435000000000002</v>
      </c>
      <c r="J159" s="9">
        <v>75000000</v>
      </c>
      <c r="K159" s="9">
        <f t="shared" si="28"/>
        <v>82500000</v>
      </c>
      <c r="L159" s="35">
        <f t="shared" si="29"/>
        <v>0.75</v>
      </c>
      <c r="M159" s="2" t="s">
        <v>1556</v>
      </c>
      <c r="N159" t="s">
        <v>1557</v>
      </c>
      <c r="O159" s="19" t="s">
        <v>1592</v>
      </c>
      <c r="P159" s="19">
        <v>142</v>
      </c>
      <c r="Q159" s="19" t="s">
        <v>1558</v>
      </c>
      <c r="R159" s="21" t="s">
        <v>1559</v>
      </c>
      <c r="S159" s="46" t="s">
        <v>250</v>
      </c>
      <c r="T159" s="44" t="s">
        <v>1560</v>
      </c>
      <c r="U159" s="77" t="s">
        <v>118</v>
      </c>
      <c r="V159" s="24" t="s">
        <v>1561</v>
      </c>
      <c r="W159" s="24">
        <v>1111</v>
      </c>
      <c r="X159" s="193" t="s">
        <v>254</v>
      </c>
      <c r="Y159" s="15" t="s">
        <v>168</v>
      </c>
    </row>
    <row r="160" spans="2:25" x14ac:dyDescent="0.25">
      <c r="B160" s="15">
        <v>158</v>
      </c>
      <c r="C160" s="8" t="s">
        <v>245</v>
      </c>
      <c r="D160" s="5" t="s">
        <v>246</v>
      </c>
      <c r="E160" s="383">
        <v>53</v>
      </c>
      <c r="F160" s="380">
        <v>46196</v>
      </c>
      <c r="G160" s="8">
        <v>6</v>
      </c>
      <c r="H160" s="8">
        <v>4</v>
      </c>
      <c r="I160" s="8">
        <v>239.94</v>
      </c>
      <c r="J160" s="9">
        <v>235000000</v>
      </c>
      <c r="K160" s="9">
        <f t="shared" si="28"/>
        <v>258500000.00000003</v>
      </c>
      <c r="L160" s="35">
        <f t="shared" si="29"/>
        <v>2.35</v>
      </c>
      <c r="M160" s="2" t="s">
        <v>1569</v>
      </c>
      <c r="N160" t="s">
        <v>1570</v>
      </c>
      <c r="O160" s="19" t="s">
        <v>1571</v>
      </c>
      <c r="P160" s="19">
        <v>143</v>
      </c>
      <c r="Q160" s="19" t="s">
        <v>1572</v>
      </c>
      <c r="R160" s="21" t="s">
        <v>1573</v>
      </c>
      <c r="S160" s="46" t="s">
        <v>250</v>
      </c>
      <c r="T160" s="44" t="s">
        <v>1574</v>
      </c>
      <c r="U160" s="77" t="s">
        <v>252</v>
      </c>
      <c r="V160" s="24" t="s">
        <v>599</v>
      </c>
      <c r="W160" s="24">
        <v>1111</v>
      </c>
      <c r="X160" s="193" t="s">
        <v>1575</v>
      </c>
      <c r="Y160" s="15" t="s">
        <v>1576</v>
      </c>
    </row>
    <row r="161" spans="2:25" x14ac:dyDescent="0.25">
      <c r="B161" s="15">
        <v>159</v>
      </c>
      <c r="C161" s="8" t="s">
        <v>245</v>
      </c>
      <c r="D161" s="5" t="s">
        <v>246</v>
      </c>
      <c r="E161" s="383">
        <v>54</v>
      </c>
      <c r="F161" s="380">
        <v>46196</v>
      </c>
      <c r="G161" s="8">
        <v>6</v>
      </c>
      <c r="H161" s="8">
        <v>4</v>
      </c>
      <c r="I161" s="8">
        <v>224.46</v>
      </c>
      <c r="J161" s="9">
        <v>215000000</v>
      </c>
      <c r="K161" s="9">
        <f t="shared" si="28"/>
        <v>236500000.00000003</v>
      </c>
      <c r="L161" s="35">
        <f t="shared" si="29"/>
        <v>2.15</v>
      </c>
      <c r="M161" s="2" t="s">
        <v>1577</v>
      </c>
      <c r="N161" t="s">
        <v>1578</v>
      </c>
      <c r="O161" s="19" t="s">
        <v>1579</v>
      </c>
      <c r="P161" s="19">
        <v>144</v>
      </c>
      <c r="Q161" s="19" t="s">
        <v>1580</v>
      </c>
      <c r="R161" s="21" t="s">
        <v>1581</v>
      </c>
      <c r="S161" s="46" t="s">
        <v>250</v>
      </c>
      <c r="T161" s="44" t="s">
        <v>1582</v>
      </c>
      <c r="U161" s="77" t="s">
        <v>252</v>
      </c>
      <c r="V161" s="24" t="s">
        <v>599</v>
      </c>
      <c r="W161" s="24">
        <v>1111</v>
      </c>
      <c r="X161" s="193" t="s">
        <v>254</v>
      </c>
      <c r="Y161" s="15" t="s">
        <v>168</v>
      </c>
    </row>
    <row r="162" spans="2:25" x14ac:dyDescent="0.25">
      <c r="B162" s="15">
        <v>160</v>
      </c>
      <c r="C162" s="8" t="s">
        <v>112</v>
      </c>
      <c r="D162" s="5" t="s">
        <v>246</v>
      </c>
      <c r="E162" s="383">
        <v>106</v>
      </c>
      <c r="F162" s="380" t="s">
        <v>1583</v>
      </c>
      <c r="G162" s="8">
        <v>6</v>
      </c>
      <c r="H162" s="8">
        <v>4</v>
      </c>
      <c r="I162" s="8">
        <v>404.41500000000002</v>
      </c>
      <c r="J162" s="9">
        <v>360000000</v>
      </c>
      <c r="K162" s="9">
        <f t="shared" si="28"/>
        <v>396000000.00000006</v>
      </c>
      <c r="L162" s="35">
        <f t="shared" si="29"/>
        <v>3.6</v>
      </c>
      <c r="M162" s="2" t="s">
        <v>1584</v>
      </c>
      <c r="N162" t="s">
        <v>1585</v>
      </c>
      <c r="O162" s="19" t="s">
        <v>1586</v>
      </c>
      <c r="P162" s="19">
        <v>145</v>
      </c>
      <c r="Q162" s="19" t="s">
        <v>1587</v>
      </c>
      <c r="R162" s="21" t="s">
        <v>1588</v>
      </c>
      <c r="S162" s="46" t="s">
        <v>250</v>
      </c>
      <c r="T162" s="44" t="s">
        <v>1589</v>
      </c>
      <c r="U162" s="77" t="s">
        <v>1590</v>
      </c>
      <c r="V162" s="30" t="s">
        <v>1591</v>
      </c>
      <c r="W162" s="24">
        <v>1111</v>
      </c>
      <c r="X162" s="193" t="s">
        <v>151</v>
      </c>
      <c r="Y162" s="15" t="s">
        <v>168</v>
      </c>
    </row>
    <row r="163" spans="2:25" x14ac:dyDescent="0.25">
      <c r="B163" s="15">
        <v>161</v>
      </c>
      <c r="C163" s="8" t="s">
        <v>245</v>
      </c>
      <c r="D163" s="5" t="s">
        <v>246</v>
      </c>
      <c r="E163" s="383">
        <v>55</v>
      </c>
      <c r="F163" s="380">
        <v>46197</v>
      </c>
      <c r="G163" s="8">
        <v>6</v>
      </c>
      <c r="H163" s="8">
        <v>4</v>
      </c>
      <c r="I163" s="8">
        <v>216.72</v>
      </c>
      <c r="J163" s="9">
        <v>252000000</v>
      </c>
      <c r="K163" s="9">
        <f t="shared" si="28"/>
        <v>277200000</v>
      </c>
      <c r="L163" s="35">
        <f t="shared" si="29"/>
        <v>2.52</v>
      </c>
      <c r="M163" s="2" t="s">
        <v>1593</v>
      </c>
      <c r="N163" t="s">
        <v>1593</v>
      </c>
      <c r="O163" s="19" t="s">
        <v>1594</v>
      </c>
      <c r="P163" s="19">
        <v>146</v>
      </c>
      <c r="Q163" s="19" t="s">
        <v>1595</v>
      </c>
      <c r="R163" s="21" t="s">
        <v>1596</v>
      </c>
      <c r="S163" s="46" t="s">
        <v>250</v>
      </c>
      <c r="T163" s="44" t="s">
        <v>1597</v>
      </c>
      <c r="U163" s="77" t="s">
        <v>252</v>
      </c>
      <c r="V163" s="30" t="s">
        <v>1600</v>
      </c>
      <c r="W163" s="24">
        <v>1111</v>
      </c>
      <c r="X163" s="193" t="s">
        <v>1598</v>
      </c>
      <c r="Y163" s="15" t="s">
        <v>1599</v>
      </c>
    </row>
    <row r="164" spans="2:25" x14ac:dyDescent="0.25">
      <c r="B164" s="15">
        <v>162</v>
      </c>
      <c r="C164" s="8" t="s">
        <v>112</v>
      </c>
      <c r="D164" s="5" t="s">
        <v>246</v>
      </c>
      <c r="E164" s="383">
        <v>107</v>
      </c>
      <c r="F164" s="380" t="s">
        <v>1636</v>
      </c>
      <c r="G164" s="8">
        <v>7</v>
      </c>
      <c r="H164" s="8">
        <v>1</v>
      </c>
      <c r="I164" s="8">
        <v>285.73500000000001</v>
      </c>
      <c r="J164" s="9">
        <v>265000000</v>
      </c>
      <c r="K164" s="9">
        <f t="shared" si="28"/>
        <v>291500000</v>
      </c>
      <c r="L164" s="35">
        <f t="shared" si="29"/>
        <v>2.65</v>
      </c>
      <c r="M164" s="2" t="s">
        <v>1637</v>
      </c>
      <c r="N164" t="s">
        <v>1638</v>
      </c>
      <c r="O164" s="19" t="s">
        <v>1639</v>
      </c>
      <c r="P164" s="19">
        <v>147</v>
      </c>
      <c r="Q164" s="19" t="s">
        <v>1640</v>
      </c>
      <c r="R164" s="21" t="s">
        <v>1641</v>
      </c>
      <c r="S164" s="46" t="s">
        <v>250</v>
      </c>
      <c r="T164" s="44" t="s">
        <v>1642</v>
      </c>
      <c r="U164" s="77" t="s">
        <v>1643</v>
      </c>
      <c r="V164" s="30" t="s">
        <v>1644</v>
      </c>
      <c r="W164" s="24">
        <v>1111</v>
      </c>
      <c r="X164" s="193" t="s">
        <v>155</v>
      </c>
      <c r="Y164" s="15" t="s">
        <v>255</v>
      </c>
    </row>
    <row r="165" spans="2:25" x14ac:dyDescent="0.25">
      <c r="B165" s="15">
        <v>163</v>
      </c>
      <c r="C165" s="8" t="s">
        <v>245</v>
      </c>
      <c r="D165" s="5" t="s">
        <v>246</v>
      </c>
      <c r="E165" s="383">
        <v>56</v>
      </c>
      <c r="F165" s="380">
        <v>46203</v>
      </c>
      <c r="G165" s="8">
        <v>7</v>
      </c>
      <c r="H165" s="8">
        <v>1</v>
      </c>
      <c r="I165" s="8">
        <v>159.96</v>
      </c>
      <c r="J165" s="9">
        <v>175000000</v>
      </c>
      <c r="K165" s="9">
        <f t="shared" si="28"/>
        <v>192500000.00000003</v>
      </c>
      <c r="L165" s="35">
        <f t="shared" si="29"/>
        <v>1.75</v>
      </c>
      <c r="M165" s="2" t="s">
        <v>1718</v>
      </c>
      <c r="N165" t="s">
        <v>1719</v>
      </c>
      <c r="O165" s="19" t="s">
        <v>1720</v>
      </c>
      <c r="P165" s="19">
        <v>148</v>
      </c>
      <c r="Q165" s="19" t="s">
        <v>1721</v>
      </c>
      <c r="R165" s="21" t="s">
        <v>1722</v>
      </c>
      <c r="S165" s="46" t="s">
        <v>250</v>
      </c>
      <c r="T165" s="44" t="s">
        <v>1723</v>
      </c>
      <c r="U165" s="77" t="s">
        <v>252</v>
      </c>
      <c r="V165" s="24" t="s">
        <v>1724</v>
      </c>
      <c r="W165" s="24">
        <v>1111</v>
      </c>
      <c r="X165" s="193" t="s">
        <v>1725</v>
      </c>
      <c r="Y165" s="15" t="s">
        <v>1726</v>
      </c>
    </row>
    <row r="166" spans="2:25" x14ac:dyDescent="0.25">
      <c r="B166" s="15">
        <v>164</v>
      </c>
      <c r="C166" s="8" t="s">
        <v>112</v>
      </c>
      <c r="D166" s="5" t="s">
        <v>246</v>
      </c>
      <c r="E166" s="383">
        <v>108</v>
      </c>
      <c r="F166" s="380" t="s">
        <v>1727</v>
      </c>
      <c r="G166" s="8">
        <v>7</v>
      </c>
      <c r="H166" s="8">
        <v>1</v>
      </c>
      <c r="I166" s="8">
        <v>81.27</v>
      </c>
      <c r="J166" s="9">
        <v>83000000</v>
      </c>
      <c r="K166" s="9">
        <f t="shared" si="28"/>
        <v>91300000</v>
      </c>
      <c r="L166" s="35">
        <f t="shared" si="29"/>
        <v>0.83000000000000007</v>
      </c>
      <c r="M166" s="2" t="s">
        <v>1728</v>
      </c>
      <c r="N166" t="s">
        <v>1729</v>
      </c>
      <c r="O166" s="19" t="s">
        <v>1730</v>
      </c>
      <c r="P166" s="19">
        <v>149</v>
      </c>
      <c r="Q166" s="19" t="s">
        <v>1731</v>
      </c>
      <c r="R166" s="21" t="s">
        <v>1732</v>
      </c>
      <c r="S166" s="46" t="s">
        <v>250</v>
      </c>
      <c r="T166" s="44" t="s">
        <v>1733</v>
      </c>
      <c r="U166" s="77" t="s">
        <v>1734</v>
      </c>
      <c r="V166" s="24" t="s">
        <v>1735</v>
      </c>
      <c r="W166" s="24">
        <v>1111</v>
      </c>
      <c r="X166" s="193" t="s">
        <v>155</v>
      </c>
      <c r="Y166" s="15" t="s">
        <v>255</v>
      </c>
    </row>
    <row r="167" spans="2:25" x14ac:dyDescent="0.25">
      <c r="B167" s="15">
        <v>165</v>
      </c>
      <c r="C167" s="8" t="s">
        <v>112</v>
      </c>
      <c r="D167" s="5" t="s">
        <v>246</v>
      </c>
      <c r="E167" s="383">
        <v>109</v>
      </c>
      <c r="F167" s="380" t="s">
        <v>1739</v>
      </c>
      <c r="G167" s="8">
        <v>7</v>
      </c>
      <c r="H167" s="8">
        <v>1</v>
      </c>
      <c r="I167" s="8">
        <v>423.12</v>
      </c>
      <c r="J167" s="9">
        <v>380000000</v>
      </c>
      <c r="K167" s="9">
        <f t="shared" si="28"/>
        <v>418000000.00000006</v>
      </c>
      <c r="L167" s="35">
        <f t="shared" si="29"/>
        <v>3.8000000000000003</v>
      </c>
      <c r="M167" s="2" t="s">
        <v>1740</v>
      </c>
      <c r="N167" t="s">
        <v>1741</v>
      </c>
      <c r="O167" s="19" t="s">
        <v>1742</v>
      </c>
      <c r="P167" s="19">
        <v>150</v>
      </c>
      <c r="Q167" s="19" t="s">
        <v>271</v>
      </c>
      <c r="R167" s="21" t="s">
        <v>1743</v>
      </c>
      <c r="S167" s="46" t="s">
        <v>250</v>
      </c>
      <c r="T167" s="44" t="s">
        <v>1744</v>
      </c>
      <c r="U167" s="77" t="s">
        <v>267</v>
      </c>
      <c r="V167" s="24" t="s">
        <v>1745</v>
      </c>
      <c r="W167" s="24">
        <v>1111</v>
      </c>
      <c r="X167" s="193" t="s">
        <v>254</v>
      </c>
      <c r="Y167" s="15" t="s">
        <v>168</v>
      </c>
    </row>
    <row r="168" spans="2:25" x14ac:dyDescent="0.25">
      <c r="B168" s="15">
        <v>166</v>
      </c>
      <c r="C168" s="8" t="s">
        <v>112</v>
      </c>
      <c r="D168" s="5" t="s">
        <v>246</v>
      </c>
      <c r="E168" s="383">
        <v>110</v>
      </c>
      <c r="F168" s="380" t="s">
        <v>1746</v>
      </c>
      <c r="G168" s="8">
        <v>7</v>
      </c>
      <c r="H168" s="8">
        <v>1</v>
      </c>
      <c r="I168" s="8">
        <v>493.44</v>
      </c>
      <c r="J168" s="9">
        <v>500000000</v>
      </c>
      <c r="K168" s="9">
        <f t="shared" si="28"/>
        <v>550000000</v>
      </c>
      <c r="L168" s="35">
        <f t="shared" si="29"/>
        <v>5</v>
      </c>
      <c r="M168" s="2" t="s">
        <v>1747</v>
      </c>
      <c r="N168" t="s">
        <v>1748</v>
      </c>
      <c r="O168" s="19" t="s">
        <v>1755</v>
      </c>
      <c r="P168" s="19">
        <v>151</v>
      </c>
      <c r="Q168" s="19" t="s">
        <v>1749</v>
      </c>
      <c r="R168" s="21" t="s">
        <v>1750</v>
      </c>
      <c r="S168" s="46" t="s">
        <v>250</v>
      </c>
      <c r="T168" s="44" t="s">
        <v>1751</v>
      </c>
      <c r="U168" s="77" t="s">
        <v>252</v>
      </c>
      <c r="V168" s="24" t="s">
        <v>1752</v>
      </c>
      <c r="W168" s="24"/>
      <c r="X168" s="193" t="s">
        <v>1753</v>
      </c>
      <c r="Y168" s="15" t="s">
        <v>1754</v>
      </c>
    </row>
    <row r="169" spans="2:25" x14ac:dyDescent="0.25">
      <c r="B169" s="15">
        <v>167</v>
      </c>
      <c r="C169" s="8" t="s">
        <v>245</v>
      </c>
      <c r="D169" s="5" t="s">
        <v>246</v>
      </c>
      <c r="E169" s="383">
        <v>57</v>
      </c>
      <c r="F169" s="380" t="s">
        <v>1756</v>
      </c>
      <c r="G169" s="8">
        <v>7</v>
      </c>
      <c r="H169" s="8">
        <v>1</v>
      </c>
      <c r="I169" s="8">
        <v>322.5</v>
      </c>
      <c r="J169" s="9">
        <v>332000000</v>
      </c>
      <c r="K169" s="9">
        <f t="shared" si="28"/>
        <v>365200000</v>
      </c>
      <c r="L169" s="35">
        <f t="shared" si="29"/>
        <v>3.3200000000000003</v>
      </c>
      <c r="M169" s="2" t="s">
        <v>1757</v>
      </c>
      <c r="N169" t="s">
        <v>1758</v>
      </c>
      <c r="O169" s="19" t="s">
        <v>1759</v>
      </c>
      <c r="P169" s="19">
        <v>152</v>
      </c>
      <c r="Q169" s="19" t="s">
        <v>1760</v>
      </c>
      <c r="R169" s="21" t="s">
        <v>1761</v>
      </c>
      <c r="S169" s="46" t="s">
        <v>250</v>
      </c>
      <c r="T169" s="44" t="s">
        <v>1762</v>
      </c>
      <c r="U169" s="77" t="s">
        <v>252</v>
      </c>
      <c r="V169" s="30" t="s">
        <v>1763</v>
      </c>
      <c r="W169" s="24">
        <v>1111</v>
      </c>
      <c r="X169" s="193" t="s">
        <v>152</v>
      </c>
      <c r="Y169" s="15" t="s">
        <v>255</v>
      </c>
    </row>
    <row r="170" spans="2:25" x14ac:dyDescent="0.25">
      <c r="B170" s="15">
        <v>168</v>
      </c>
      <c r="C170" s="8" t="s">
        <v>112</v>
      </c>
      <c r="D170" s="5" t="s">
        <v>246</v>
      </c>
      <c r="E170" s="383">
        <v>111</v>
      </c>
      <c r="F170" s="380" t="s">
        <v>1764</v>
      </c>
      <c r="G170" s="8">
        <v>7</v>
      </c>
      <c r="H170" s="8">
        <v>2</v>
      </c>
      <c r="I170" s="8">
        <v>431.505</v>
      </c>
      <c r="J170" s="9">
        <v>400000000</v>
      </c>
      <c r="K170" s="9">
        <f t="shared" si="28"/>
        <v>440000000.00000006</v>
      </c>
      <c r="L170" s="35">
        <f t="shared" si="29"/>
        <v>4</v>
      </c>
      <c r="M170" s="2" t="s">
        <v>1765</v>
      </c>
      <c r="N170" t="s">
        <v>1766</v>
      </c>
      <c r="O170" s="19" t="s">
        <v>1767</v>
      </c>
      <c r="P170" s="19">
        <v>153</v>
      </c>
      <c r="Q170" s="19" t="s">
        <v>1768</v>
      </c>
      <c r="R170" s="21" t="s">
        <v>1769</v>
      </c>
      <c r="S170" s="46" t="s">
        <v>250</v>
      </c>
      <c r="T170" s="44" t="s">
        <v>1770</v>
      </c>
      <c r="U170" s="77" t="s">
        <v>252</v>
      </c>
      <c r="V170" s="24" t="s">
        <v>268</v>
      </c>
      <c r="W170" s="24">
        <v>1111</v>
      </c>
      <c r="X170" s="193" t="s">
        <v>1771</v>
      </c>
      <c r="Y170" s="15" t="s">
        <v>1772</v>
      </c>
    </row>
    <row r="171" spans="2:25" x14ac:dyDescent="0.25">
      <c r="B171" s="15">
        <v>169</v>
      </c>
      <c r="C171" s="8" t="s">
        <v>112</v>
      </c>
      <c r="D171" s="5" t="s">
        <v>246</v>
      </c>
      <c r="E171" s="383">
        <v>112</v>
      </c>
      <c r="F171" s="380" t="s">
        <v>1773</v>
      </c>
      <c r="G171" s="8">
        <v>7</v>
      </c>
      <c r="H171" s="8">
        <v>2</v>
      </c>
      <c r="I171" s="8">
        <v>205.755</v>
      </c>
      <c r="J171" s="9">
        <v>180000000</v>
      </c>
      <c r="K171" s="9">
        <f t="shared" si="28"/>
        <v>198000000.00000003</v>
      </c>
      <c r="L171" s="35">
        <f t="shared" si="29"/>
        <v>1.8</v>
      </c>
      <c r="M171" s="2" t="s">
        <v>1774</v>
      </c>
      <c r="N171" t="s">
        <v>1775</v>
      </c>
      <c r="O171" s="19" t="s">
        <v>1776</v>
      </c>
      <c r="P171" s="19">
        <v>154</v>
      </c>
      <c r="Q171" s="19" t="s">
        <v>1777</v>
      </c>
      <c r="R171" s="21" t="s">
        <v>1778</v>
      </c>
      <c r="S171" s="46" t="s">
        <v>250</v>
      </c>
      <c r="T171" s="44" t="s">
        <v>1779</v>
      </c>
      <c r="U171" s="77" t="s">
        <v>1780</v>
      </c>
      <c r="V171" s="24" t="s">
        <v>1775</v>
      </c>
      <c r="W171" s="24">
        <v>1111</v>
      </c>
      <c r="X171" s="193" t="s">
        <v>1781</v>
      </c>
      <c r="Y171" s="15" t="s">
        <v>1782</v>
      </c>
    </row>
    <row r="172" spans="2:25" x14ac:dyDescent="0.25">
      <c r="B172" s="15">
        <v>170</v>
      </c>
      <c r="C172" s="8" t="s">
        <v>112</v>
      </c>
      <c r="D172" s="5" t="s">
        <v>246</v>
      </c>
      <c r="E172" s="383">
        <v>113</v>
      </c>
      <c r="F172" s="380" t="s">
        <v>1773</v>
      </c>
      <c r="G172" s="8">
        <v>7</v>
      </c>
      <c r="H172" s="8">
        <v>2</v>
      </c>
      <c r="I172" s="8">
        <v>428.28</v>
      </c>
      <c r="J172" s="9">
        <v>434000000</v>
      </c>
      <c r="K172" s="9">
        <f t="shared" si="28"/>
        <v>477400000.00000006</v>
      </c>
      <c r="L172" s="35">
        <f t="shared" si="29"/>
        <v>4.34</v>
      </c>
      <c r="M172" s="2" t="s">
        <v>1783</v>
      </c>
      <c r="N172" t="s">
        <v>1784</v>
      </c>
      <c r="O172" s="19" t="s">
        <v>1785</v>
      </c>
      <c r="P172" s="19">
        <v>155</v>
      </c>
      <c r="Q172" s="19" t="s">
        <v>1786</v>
      </c>
      <c r="R172" s="21" t="s">
        <v>1787</v>
      </c>
      <c r="S172" s="46" t="s">
        <v>250</v>
      </c>
      <c r="T172" s="44" t="s">
        <v>1788</v>
      </c>
      <c r="U172" s="77" t="s">
        <v>119</v>
      </c>
      <c r="V172" s="24" t="s">
        <v>1789</v>
      </c>
      <c r="W172" s="24">
        <v>1111</v>
      </c>
      <c r="X172" s="193" t="s">
        <v>160</v>
      </c>
      <c r="Y172" s="15" t="s">
        <v>168</v>
      </c>
    </row>
    <row r="173" spans="2:25" x14ac:dyDescent="0.25">
      <c r="B173" s="15">
        <v>171</v>
      </c>
      <c r="C173" s="8" t="s">
        <v>245</v>
      </c>
      <c r="D173" s="5" t="s">
        <v>246</v>
      </c>
      <c r="E173" s="383">
        <v>58</v>
      </c>
      <c r="F173" s="380">
        <v>46211</v>
      </c>
      <c r="G173" s="8">
        <v>7</v>
      </c>
      <c r="H173" s="8">
        <v>2</v>
      </c>
      <c r="I173" s="8">
        <v>428.92500000000001</v>
      </c>
      <c r="J173" s="9">
        <v>386000000</v>
      </c>
      <c r="K173" s="9">
        <f t="shared" si="28"/>
        <v>424600000.00000006</v>
      </c>
      <c r="L173" s="35">
        <f t="shared" si="29"/>
        <v>3.86</v>
      </c>
      <c r="M173" s="2" t="s">
        <v>1796</v>
      </c>
      <c r="N173" t="s">
        <v>1793</v>
      </c>
      <c r="O173" s="19" t="s">
        <v>1792</v>
      </c>
      <c r="P173" s="19">
        <v>156</v>
      </c>
      <c r="Q173" s="19" t="s">
        <v>1794</v>
      </c>
      <c r="R173" s="21" t="s">
        <v>1795</v>
      </c>
      <c r="S173" s="46" t="s">
        <v>250</v>
      </c>
      <c r="T173" s="44" t="s">
        <v>1797</v>
      </c>
      <c r="U173" s="77" t="s">
        <v>252</v>
      </c>
      <c r="V173" s="24" t="s">
        <v>1798</v>
      </c>
      <c r="W173" s="24">
        <v>1111</v>
      </c>
      <c r="X173" s="193" t="s">
        <v>160</v>
      </c>
      <c r="Y173" s="15" t="s">
        <v>168</v>
      </c>
    </row>
    <row r="174" spans="2:25" x14ac:dyDescent="0.25">
      <c r="B174" s="15">
        <v>172</v>
      </c>
      <c r="C174" s="8" t="s">
        <v>245</v>
      </c>
      <c r="D174" s="5" t="s">
        <v>246</v>
      </c>
      <c r="E174" s="383">
        <v>59</v>
      </c>
      <c r="F174" s="380">
        <v>46211</v>
      </c>
      <c r="G174" s="8">
        <v>7</v>
      </c>
      <c r="H174" s="8">
        <v>2</v>
      </c>
      <c r="I174" s="8">
        <v>253.48500000000001</v>
      </c>
      <c r="J174" s="9">
        <v>250000000</v>
      </c>
      <c r="K174" s="9">
        <f t="shared" si="28"/>
        <v>275000000</v>
      </c>
      <c r="L174" s="35">
        <f t="shared" si="29"/>
        <v>2.5</v>
      </c>
      <c r="M174" s="2" t="s">
        <v>1796</v>
      </c>
      <c r="N174" t="s">
        <v>1793</v>
      </c>
      <c r="O174" s="19" t="s">
        <v>1799</v>
      </c>
      <c r="P174" s="19">
        <v>157</v>
      </c>
      <c r="Q174" s="19" t="s">
        <v>1801</v>
      </c>
      <c r="R174" s="21" t="s">
        <v>1800</v>
      </c>
      <c r="S174" s="46" t="s">
        <v>250</v>
      </c>
      <c r="T174" s="44" t="s">
        <v>1802</v>
      </c>
      <c r="U174" s="77" t="s">
        <v>252</v>
      </c>
      <c r="V174" s="24" t="s">
        <v>1798</v>
      </c>
      <c r="W174" s="24">
        <v>1111</v>
      </c>
      <c r="X174" s="193" t="s">
        <v>160</v>
      </c>
      <c r="Y174" s="15" t="s">
        <v>168</v>
      </c>
    </row>
    <row r="175" spans="2:25" x14ac:dyDescent="0.25">
      <c r="B175" s="15">
        <v>173</v>
      </c>
      <c r="C175" s="8" t="s">
        <v>112</v>
      </c>
      <c r="D175" s="5" t="s">
        <v>246</v>
      </c>
      <c r="E175" s="383">
        <v>114</v>
      </c>
      <c r="F175" s="380" t="s">
        <v>1803</v>
      </c>
      <c r="G175" s="8">
        <v>7</v>
      </c>
      <c r="H175" s="8">
        <v>2</v>
      </c>
      <c r="I175" s="8">
        <v>85.784999999999997</v>
      </c>
      <c r="J175" s="9">
        <v>86000000</v>
      </c>
      <c r="K175" s="9">
        <f t="shared" si="28"/>
        <v>94600000.000000015</v>
      </c>
      <c r="L175" s="35">
        <f t="shared" si="29"/>
        <v>0.86</v>
      </c>
      <c r="M175" s="2" t="s">
        <v>1804</v>
      </c>
      <c r="N175" t="s">
        <v>1805</v>
      </c>
      <c r="O175" s="19" t="s">
        <v>1807</v>
      </c>
      <c r="P175" s="19">
        <v>158</v>
      </c>
      <c r="Q175" s="19" t="s">
        <v>1809</v>
      </c>
      <c r="R175" s="21" t="s">
        <v>1810</v>
      </c>
      <c r="S175" s="46" t="s">
        <v>250</v>
      </c>
      <c r="T175" s="44" t="s">
        <v>1811</v>
      </c>
      <c r="U175" s="77" t="s">
        <v>252</v>
      </c>
      <c r="V175" s="24" t="s">
        <v>1812</v>
      </c>
      <c r="W175" s="24">
        <v>1111</v>
      </c>
      <c r="X175" s="193" t="s">
        <v>155</v>
      </c>
      <c r="Y175" s="15" t="s">
        <v>168</v>
      </c>
    </row>
    <row r="176" spans="2:25" x14ac:dyDescent="0.25">
      <c r="B176" s="15">
        <v>174</v>
      </c>
      <c r="C176" s="8" t="s">
        <v>112</v>
      </c>
      <c r="D176" s="5" t="s">
        <v>246</v>
      </c>
      <c r="E176" s="383">
        <v>115</v>
      </c>
      <c r="F176" s="380" t="s">
        <v>1803</v>
      </c>
      <c r="G176" s="8">
        <v>7</v>
      </c>
      <c r="H176" s="8">
        <v>2</v>
      </c>
      <c r="I176" s="8">
        <v>72.885000000000005</v>
      </c>
      <c r="J176" s="9">
        <v>76000000</v>
      </c>
      <c r="K176" s="9">
        <f t="shared" si="28"/>
        <v>83600000</v>
      </c>
      <c r="L176" s="35">
        <f t="shared" si="29"/>
        <v>0.76</v>
      </c>
      <c r="M176" s="2" t="s">
        <v>1804</v>
      </c>
      <c r="N176" t="s">
        <v>1805</v>
      </c>
      <c r="O176" s="19" t="s">
        <v>1806</v>
      </c>
      <c r="P176" s="19">
        <v>159</v>
      </c>
      <c r="Q176" s="19" t="s">
        <v>1809</v>
      </c>
      <c r="R176" s="21" t="s">
        <v>1808</v>
      </c>
      <c r="S176" s="46" t="s">
        <v>250</v>
      </c>
      <c r="T176" s="44" t="s">
        <v>1811</v>
      </c>
      <c r="U176" s="77" t="s">
        <v>252</v>
      </c>
      <c r="V176" s="30" t="s">
        <v>1812</v>
      </c>
      <c r="W176" s="24">
        <v>1111</v>
      </c>
      <c r="X176" s="193" t="s">
        <v>155</v>
      </c>
      <c r="Y176" s="15" t="s">
        <v>168</v>
      </c>
    </row>
    <row r="177" spans="2:25" x14ac:dyDescent="0.25">
      <c r="B177" s="15">
        <v>175</v>
      </c>
      <c r="C177" s="8" t="s">
        <v>112</v>
      </c>
      <c r="D177" s="5" t="s">
        <v>246</v>
      </c>
      <c r="E177" s="383">
        <v>116</v>
      </c>
      <c r="F177" s="380">
        <v>46211</v>
      </c>
      <c r="G177" s="8">
        <v>7</v>
      </c>
      <c r="H177" s="8">
        <v>2</v>
      </c>
      <c r="I177" s="8">
        <v>327.01499999999999</v>
      </c>
      <c r="J177" s="9">
        <v>310000000</v>
      </c>
      <c r="K177" s="9">
        <f t="shared" si="28"/>
        <v>341000000</v>
      </c>
      <c r="L177" s="35">
        <f t="shared" si="29"/>
        <v>3.1</v>
      </c>
      <c r="M177" s="2" t="s">
        <v>396</v>
      </c>
      <c r="N177" t="s">
        <v>1813</v>
      </c>
      <c r="O177" s="19" t="s">
        <v>1814</v>
      </c>
      <c r="P177" s="19">
        <v>160</v>
      </c>
      <c r="Q177" s="19" t="s">
        <v>196</v>
      </c>
      <c r="R177" s="21" t="s">
        <v>1816</v>
      </c>
      <c r="S177" s="46" t="s">
        <v>250</v>
      </c>
      <c r="T177" s="44" t="s">
        <v>1819</v>
      </c>
      <c r="U177" s="77" t="s">
        <v>252</v>
      </c>
      <c r="V177" s="24" t="s">
        <v>1182</v>
      </c>
      <c r="W177" s="24" t="s">
        <v>1820</v>
      </c>
      <c r="X177" s="193" t="s">
        <v>152</v>
      </c>
      <c r="Y177" s="15" t="s">
        <v>255</v>
      </c>
    </row>
    <row r="178" spans="2:25" x14ac:dyDescent="0.25">
      <c r="B178" s="15">
        <v>176</v>
      </c>
      <c r="C178" s="8" t="s">
        <v>112</v>
      </c>
      <c r="D178" s="5" t="s">
        <v>246</v>
      </c>
      <c r="E178" s="383">
        <v>117</v>
      </c>
      <c r="F178" s="380">
        <v>46211</v>
      </c>
      <c r="G178" s="8">
        <v>7</v>
      </c>
      <c r="H178" s="8">
        <v>2</v>
      </c>
      <c r="I178" s="8">
        <v>223.17</v>
      </c>
      <c r="J178" s="9">
        <v>210000000</v>
      </c>
      <c r="K178" s="9">
        <f t="shared" si="28"/>
        <v>231000000.00000003</v>
      </c>
      <c r="L178" s="35">
        <f t="shared" si="29"/>
        <v>2.1</v>
      </c>
      <c r="M178" s="2" t="s">
        <v>396</v>
      </c>
      <c r="N178" t="s">
        <v>1813</v>
      </c>
      <c r="O178" s="19" t="s">
        <v>1815</v>
      </c>
      <c r="P178" s="19">
        <v>160</v>
      </c>
      <c r="Q178" s="19" t="s">
        <v>196</v>
      </c>
      <c r="R178" s="21" t="s">
        <v>1817</v>
      </c>
      <c r="S178" s="46" t="s">
        <v>250</v>
      </c>
      <c r="T178" s="44" t="s">
        <v>1818</v>
      </c>
      <c r="U178" s="77" t="s">
        <v>252</v>
      </c>
      <c r="V178" s="30" t="s">
        <v>1182</v>
      </c>
      <c r="W178" s="24" t="s">
        <v>1820</v>
      </c>
      <c r="X178" s="193" t="s">
        <v>152</v>
      </c>
      <c r="Y178" s="15" t="s">
        <v>255</v>
      </c>
    </row>
    <row r="179" spans="2:25" x14ac:dyDescent="0.25">
      <c r="B179" s="15">
        <v>177</v>
      </c>
      <c r="C179" s="8" t="s">
        <v>112</v>
      </c>
      <c r="D179" s="5" t="s">
        <v>246</v>
      </c>
      <c r="E179" s="383">
        <v>118</v>
      </c>
      <c r="F179" s="380" t="s">
        <v>1821</v>
      </c>
      <c r="G179" s="8">
        <v>7</v>
      </c>
      <c r="H179" s="8">
        <v>3</v>
      </c>
      <c r="I179" s="8">
        <v>236.715</v>
      </c>
      <c r="J179" s="9">
        <v>214000000</v>
      </c>
      <c r="K179" s="9">
        <f t="shared" si="28"/>
        <v>235400000.00000003</v>
      </c>
      <c r="L179" s="35">
        <f t="shared" si="29"/>
        <v>2.14</v>
      </c>
      <c r="M179" s="2" t="s">
        <v>1822</v>
      </c>
      <c r="N179" t="s">
        <v>1823</v>
      </c>
      <c r="O179" s="19" t="s">
        <v>1824</v>
      </c>
      <c r="P179" s="19">
        <v>161</v>
      </c>
      <c r="Q179" s="19" t="s">
        <v>1825</v>
      </c>
      <c r="R179" s="21" t="s">
        <v>1826</v>
      </c>
      <c r="S179" s="46" t="s">
        <v>250</v>
      </c>
      <c r="T179" s="44" t="s">
        <v>1827</v>
      </c>
      <c r="U179" s="77" t="s">
        <v>1828</v>
      </c>
      <c r="V179" s="24" t="s">
        <v>1829</v>
      </c>
      <c r="W179" s="24"/>
      <c r="X179" s="193" t="s">
        <v>152</v>
      </c>
      <c r="Y179" s="15" t="s">
        <v>255</v>
      </c>
    </row>
    <row r="180" spans="2:25" x14ac:dyDescent="0.25">
      <c r="B180" s="15">
        <v>178</v>
      </c>
      <c r="C180" s="8" t="s">
        <v>112</v>
      </c>
      <c r="D180" s="5" t="s">
        <v>246</v>
      </c>
      <c r="E180" s="383">
        <v>119</v>
      </c>
      <c r="F180" s="380" t="s">
        <v>1843</v>
      </c>
      <c r="G180" s="8">
        <v>7</v>
      </c>
      <c r="H180" s="8">
        <v>3</v>
      </c>
      <c r="I180" s="8">
        <v>149.63999999999999</v>
      </c>
      <c r="J180" s="9">
        <v>152000000</v>
      </c>
      <c r="K180" s="9">
        <f t="shared" si="28"/>
        <v>167200000</v>
      </c>
      <c r="L180" s="35">
        <f>J180*0.00000001</f>
        <v>1.52</v>
      </c>
      <c r="M180" s="2" t="s">
        <v>260</v>
      </c>
      <c r="N180" t="s">
        <v>275</v>
      </c>
      <c r="O180" s="19" t="s">
        <v>1841</v>
      </c>
      <c r="P180" s="19">
        <v>162</v>
      </c>
      <c r="Q180" s="19" t="s">
        <v>1845</v>
      </c>
      <c r="R180" s="21" t="s">
        <v>1846</v>
      </c>
      <c r="S180" s="46" t="s">
        <v>250</v>
      </c>
      <c r="T180" s="44" t="s">
        <v>1844</v>
      </c>
      <c r="U180" s="77" t="s">
        <v>252</v>
      </c>
      <c r="V180" s="24" t="s">
        <v>1182</v>
      </c>
      <c r="W180" s="24">
        <v>1111</v>
      </c>
      <c r="X180" s="193" t="s">
        <v>155</v>
      </c>
      <c r="Y180" s="15" t="s">
        <v>255</v>
      </c>
    </row>
    <row r="181" spans="2:25" x14ac:dyDescent="0.25">
      <c r="B181" s="15">
        <v>179</v>
      </c>
      <c r="C181" s="8" t="s">
        <v>112</v>
      </c>
      <c r="D181" s="5" t="s">
        <v>246</v>
      </c>
      <c r="E181" s="383">
        <v>120</v>
      </c>
      <c r="F181" s="380" t="s">
        <v>1843</v>
      </c>
      <c r="G181" s="8">
        <v>7</v>
      </c>
      <c r="H181" s="8">
        <v>3</v>
      </c>
      <c r="I181" s="8">
        <v>82.56</v>
      </c>
      <c r="J181" s="9">
        <v>88000000</v>
      </c>
      <c r="K181" s="9">
        <f t="shared" si="28"/>
        <v>96800000.000000015</v>
      </c>
      <c r="L181" s="35">
        <f>J181*0.00000001</f>
        <v>0.88</v>
      </c>
      <c r="M181" s="2" t="s">
        <v>260</v>
      </c>
      <c r="N181" t="s">
        <v>275</v>
      </c>
      <c r="O181" s="19" t="s">
        <v>1842</v>
      </c>
      <c r="P181" s="19">
        <v>163</v>
      </c>
      <c r="Q181" s="19" t="s">
        <v>1845</v>
      </c>
      <c r="R181" s="21" t="s">
        <v>1847</v>
      </c>
      <c r="S181" s="46" t="s">
        <v>250</v>
      </c>
      <c r="T181" s="44" t="s">
        <v>1844</v>
      </c>
      <c r="U181" s="77" t="s">
        <v>252</v>
      </c>
      <c r="V181" s="24" t="s">
        <v>1182</v>
      </c>
      <c r="W181" s="24">
        <v>1111</v>
      </c>
      <c r="X181" s="193" t="s">
        <v>155</v>
      </c>
      <c r="Y181" s="15" t="s">
        <v>255</v>
      </c>
    </row>
    <row r="182" spans="2:25" x14ac:dyDescent="0.25">
      <c r="B182" s="15">
        <v>180</v>
      </c>
      <c r="C182" s="8" t="s">
        <v>112</v>
      </c>
      <c r="D182" s="5" t="s">
        <v>246</v>
      </c>
      <c r="E182" s="383">
        <v>121</v>
      </c>
      <c r="F182" s="380" t="s">
        <v>1835</v>
      </c>
      <c r="G182" s="8">
        <v>7</v>
      </c>
      <c r="H182" s="8">
        <v>3</v>
      </c>
      <c r="I182" s="8">
        <v>803.02499999999998</v>
      </c>
      <c r="J182" s="9">
        <v>805000000</v>
      </c>
      <c r="K182" s="9">
        <f>J182*1.1</f>
        <v>885500000.00000012</v>
      </c>
      <c r="L182" s="35">
        <f>J182*0.00000001</f>
        <v>8.0500000000000007</v>
      </c>
      <c r="M182" s="2" t="s">
        <v>396</v>
      </c>
      <c r="N182" t="s">
        <v>28</v>
      </c>
      <c r="O182" s="19" t="s">
        <v>1838</v>
      </c>
      <c r="P182" s="19">
        <v>162</v>
      </c>
      <c r="Q182" s="19" t="s">
        <v>634</v>
      </c>
      <c r="R182" s="21" t="s">
        <v>1836</v>
      </c>
      <c r="S182" s="46" t="s">
        <v>250</v>
      </c>
      <c r="T182" s="44" t="s">
        <v>1840</v>
      </c>
      <c r="U182" s="77" t="s">
        <v>252</v>
      </c>
      <c r="V182" s="24" t="s">
        <v>268</v>
      </c>
      <c r="W182" s="24">
        <v>1111</v>
      </c>
      <c r="X182" s="193" t="s">
        <v>152</v>
      </c>
      <c r="Y182" s="15" t="s">
        <v>255</v>
      </c>
    </row>
    <row r="183" spans="2:25" x14ac:dyDescent="0.25">
      <c r="B183" s="15">
        <v>181</v>
      </c>
      <c r="C183" s="8" t="s">
        <v>112</v>
      </c>
      <c r="D183" s="5" t="s">
        <v>246</v>
      </c>
      <c r="E183" s="383">
        <v>122</v>
      </c>
      <c r="F183" s="380" t="s">
        <v>1835</v>
      </c>
      <c r="G183" s="8">
        <v>7</v>
      </c>
      <c r="H183" s="8">
        <v>3</v>
      </c>
      <c r="I183" s="8">
        <v>443.11500000000001</v>
      </c>
      <c r="J183" s="9">
        <v>422000000</v>
      </c>
      <c r="K183" s="9">
        <f>J183*1.1</f>
        <v>464200000.00000006</v>
      </c>
      <c r="L183" s="35">
        <f>J183*0.00000001</f>
        <v>4.22</v>
      </c>
      <c r="M183" s="2" t="s">
        <v>396</v>
      </c>
      <c r="N183" t="s">
        <v>28</v>
      </c>
      <c r="O183" s="19" t="s">
        <v>1839</v>
      </c>
      <c r="P183" s="19">
        <v>163</v>
      </c>
      <c r="Q183" s="19" t="s">
        <v>634</v>
      </c>
      <c r="R183" s="21" t="s">
        <v>1837</v>
      </c>
      <c r="S183" s="46" t="s">
        <v>250</v>
      </c>
      <c r="T183" s="44" t="s">
        <v>1840</v>
      </c>
      <c r="U183" s="77" t="s">
        <v>252</v>
      </c>
      <c r="V183" s="24" t="s">
        <v>268</v>
      </c>
      <c r="W183" s="24">
        <v>1111</v>
      </c>
      <c r="X183" s="193" t="s">
        <v>152</v>
      </c>
      <c r="Y183" s="15" t="s">
        <v>255</v>
      </c>
    </row>
    <row r="184" spans="2:25" x14ac:dyDescent="0.25">
      <c r="B184" s="15">
        <v>182</v>
      </c>
      <c r="C184" s="8" t="s">
        <v>245</v>
      </c>
      <c r="D184" s="5" t="s">
        <v>246</v>
      </c>
      <c r="E184" s="383">
        <v>60</v>
      </c>
      <c r="F184" s="380">
        <v>46223</v>
      </c>
      <c r="G184" s="8">
        <v>7</v>
      </c>
      <c r="H184" s="8">
        <v>4</v>
      </c>
      <c r="I184" s="8">
        <v>69.66</v>
      </c>
      <c r="J184" s="9">
        <v>86000000</v>
      </c>
      <c r="K184" s="9">
        <f t="shared" si="28"/>
        <v>94600000.000000015</v>
      </c>
      <c r="L184" s="35">
        <f t="shared" si="29"/>
        <v>0.86</v>
      </c>
      <c r="M184" s="2" t="s">
        <v>1853</v>
      </c>
      <c r="N184" t="s">
        <v>1854</v>
      </c>
      <c r="O184" s="19" t="s">
        <v>1855</v>
      </c>
      <c r="P184" s="19">
        <v>164</v>
      </c>
      <c r="Q184" s="19" t="s">
        <v>1856</v>
      </c>
      <c r="R184" s="21" t="s">
        <v>1857</v>
      </c>
      <c r="S184" s="46" t="s">
        <v>250</v>
      </c>
      <c r="T184" s="44" t="s">
        <v>1859</v>
      </c>
      <c r="U184" s="77" t="s">
        <v>252</v>
      </c>
      <c r="V184" s="30" t="s">
        <v>1858</v>
      </c>
      <c r="W184" s="24">
        <v>1111</v>
      </c>
      <c r="X184" s="193" t="s">
        <v>152</v>
      </c>
      <c r="Y184" s="15" t="s">
        <v>255</v>
      </c>
    </row>
    <row r="185" spans="2:25" x14ac:dyDescent="0.25">
      <c r="B185" s="15">
        <v>183</v>
      </c>
      <c r="C185" s="8" t="s">
        <v>112</v>
      </c>
      <c r="D185" s="5" t="s">
        <v>246</v>
      </c>
      <c r="E185" s="383">
        <v>123</v>
      </c>
      <c r="F185" s="380" t="s">
        <v>1860</v>
      </c>
      <c r="G185" s="8">
        <v>8</v>
      </c>
      <c r="H185" s="8">
        <v>1</v>
      </c>
      <c r="I185" s="8">
        <v>1799.55</v>
      </c>
      <c r="J185" s="9">
        <v>1620000000</v>
      </c>
      <c r="K185" s="9">
        <f t="shared" si="28"/>
        <v>1782000000.0000002</v>
      </c>
      <c r="L185" s="35">
        <f t="shared" si="29"/>
        <v>16.2</v>
      </c>
      <c r="M185" s="2" t="s">
        <v>1861</v>
      </c>
      <c r="N185" t="s">
        <v>1862</v>
      </c>
      <c r="O185" s="19" t="s">
        <v>1863</v>
      </c>
      <c r="P185" s="19">
        <v>165</v>
      </c>
      <c r="Q185" s="19" t="s">
        <v>1864</v>
      </c>
      <c r="R185" s="21" t="s">
        <v>1865</v>
      </c>
      <c r="S185" s="46" t="s">
        <v>250</v>
      </c>
      <c r="T185" s="44" t="s">
        <v>1866</v>
      </c>
      <c r="U185" s="77" t="s">
        <v>1867</v>
      </c>
      <c r="V185" s="30" t="s">
        <v>1868</v>
      </c>
      <c r="W185" s="24"/>
      <c r="X185" s="193" t="s">
        <v>151</v>
      </c>
      <c r="Y185" s="15" t="s">
        <v>255</v>
      </c>
    </row>
    <row r="186" spans="2:25" x14ac:dyDescent="0.25">
      <c r="B186" s="15">
        <v>184</v>
      </c>
      <c r="C186" s="8" t="s">
        <v>112</v>
      </c>
      <c r="D186" s="5" t="s">
        <v>246</v>
      </c>
      <c r="E186" s="383">
        <v>124</v>
      </c>
      <c r="F186" s="380" t="s">
        <v>1877</v>
      </c>
      <c r="G186" s="8">
        <v>7</v>
      </c>
      <c r="H186" s="8">
        <v>4</v>
      </c>
      <c r="I186" s="8">
        <v>196.08</v>
      </c>
      <c r="J186" s="9">
        <v>172000000</v>
      </c>
      <c r="K186" s="9">
        <f t="shared" si="28"/>
        <v>189200000.00000003</v>
      </c>
      <c r="L186" s="35">
        <f t="shared" si="29"/>
        <v>1.72</v>
      </c>
      <c r="M186" s="2" t="s">
        <v>1869</v>
      </c>
      <c r="N186" t="s">
        <v>1870</v>
      </c>
      <c r="O186" s="19" t="s">
        <v>1871</v>
      </c>
      <c r="P186" s="19">
        <v>166</v>
      </c>
      <c r="Q186" s="19" t="s">
        <v>1872</v>
      </c>
      <c r="R186" s="21" t="s">
        <v>1873</v>
      </c>
      <c r="S186" s="46" t="s">
        <v>250</v>
      </c>
      <c r="T186" s="44" t="s">
        <v>1874</v>
      </c>
      <c r="U186" s="77" t="s">
        <v>252</v>
      </c>
      <c r="V186" s="30" t="s">
        <v>1875</v>
      </c>
      <c r="W186" s="24">
        <v>1111</v>
      </c>
      <c r="X186" s="193" t="s">
        <v>151</v>
      </c>
      <c r="Y186" s="15" t="s">
        <v>255</v>
      </c>
    </row>
    <row r="187" spans="2:25" x14ac:dyDescent="0.25">
      <c r="B187" s="15">
        <v>185</v>
      </c>
      <c r="C187" s="8" t="s">
        <v>112</v>
      </c>
      <c r="D187" s="5" t="s">
        <v>246</v>
      </c>
      <c r="E187" s="383">
        <v>125</v>
      </c>
      <c r="F187" s="380" t="s">
        <v>1876</v>
      </c>
      <c r="G187" s="8">
        <v>7</v>
      </c>
      <c r="H187" s="8">
        <v>4</v>
      </c>
      <c r="I187" s="8">
        <v>84.96</v>
      </c>
      <c r="J187" s="9">
        <v>83000000</v>
      </c>
      <c r="K187" s="9">
        <f t="shared" si="28"/>
        <v>91300000</v>
      </c>
      <c r="L187" s="35">
        <f t="shared" si="29"/>
        <v>0.83000000000000007</v>
      </c>
      <c r="M187" s="2" t="s">
        <v>1878</v>
      </c>
      <c r="N187" t="s">
        <v>1879</v>
      </c>
      <c r="O187" s="19" t="s">
        <v>1880</v>
      </c>
      <c r="P187" s="19">
        <v>167</v>
      </c>
      <c r="Q187" s="19" t="s">
        <v>190</v>
      </c>
      <c r="R187" s="21" t="s">
        <v>1881</v>
      </c>
      <c r="S187" s="46" t="s">
        <v>250</v>
      </c>
      <c r="T187" s="44" t="s">
        <v>1882</v>
      </c>
      <c r="U187" s="77" t="s">
        <v>252</v>
      </c>
      <c r="V187" s="24" t="s">
        <v>1883</v>
      </c>
      <c r="W187" s="24"/>
      <c r="X187" s="193" t="s">
        <v>1884</v>
      </c>
      <c r="Y187" s="15" t="s">
        <v>1885</v>
      </c>
    </row>
    <row r="188" spans="2:25" x14ac:dyDescent="0.25">
      <c r="B188" s="15">
        <v>186</v>
      </c>
      <c r="C188" s="8" t="s">
        <v>112</v>
      </c>
      <c r="D188" s="5" t="s">
        <v>246</v>
      </c>
      <c r="E188" s="383">
        <v>126</v>
      </c>
      <c r="F188" s="380" t="s">
        <v>1906</v>
      </c>
      <c r="G188" s="8">
        <v>8</v>
      </c>
      <c r="H188" s="8">
        <v>1</v>
      </c>
      <c r="I188" s="8">
        <v>145.125</v>
      </c>
      <c r="J188" s="9">
        <v>145000000</v>
      </c>
      <c r="K188" s="9">
        <f t="shared" si="28"/>
        <v>159500000</v>
      </c>
      <c r="L188" s="35">
        <f t="shared" si="29"/>
        <v>1.45</v>
      </c>
      <c r="M188" s="2" t="s">
        <v>1907</v>
      </c>
      <c r="N188" t="s">
        <v>1908</v>
      </c>
      <c r="O188" s="19" t="s">
        <v>1909</v>
      </c>
      <c r="P188" s="19">
        <v>168</v>
      </c>
      <c r="Q188" s="19" t="s">
        <v>281</v>
      </c>
      <c r="R188" s="21" t="s">
        <v>1910</v>
      </c>
      <c r="S188" s="46" t="s">
        <v>250</v>
      </c>
      <c r="T188" s="44" t="s">
        <v>1911</v>
      </c>
      <c r="U188" s="77" t="s">
        <v>1912</v>
      </c>
      <c r="V188" s="24" t="s">
        <v>1913</v>
      </c>
      <c r="W188" s="24"/>
      <c r="X188" s="193" t="s">
        <v>1914</v>
      </c>
      <c r="Y188" s="15" t="s">
        <v>1915</v>
      </c>
    </row>
    <row r="189" spans="2:25" x14ac:dyDescent="0.25">
      <c r="B189" s="15">
        <v>187</v>
      </c>
      <c r="C189" s="8" t="s">
        <v>112</v>
      </c>
      <c r="D189" s="5" t="s">
        <v>246</v>
      </c>
      <c r="E189" s="383">
        <v>127</v>
      </c>
      <c r="F189" s="380" t="s">
        <v>1906</v>
      </c>
      <c r="G189" s="8">
        <v>8</v>
      </c>
      <c r="H189" s="8">
        <v>1</v>
      </c>
      <c r="I189" s="8">
        <v>88.364999999999995</v>
      </c>
      <c r="J189" s="9">
        <v>85000000</v>
      </c>
      <c r="K189" s="9">
        <f t="shared" si="28"/>
        <v>93500000.000000015</v>
      </c>
      <c r="L189" s="35">
        <f t="shared" si="29"/>
        <v>0.85</v>
      </c>
      <c r="M189" s="2" t="s">
        <v>1916</v>
      </c>
      <c r="N189" t="s">
        <v>1917</v>
      </c>
      <c r="O189" s="19" t="s">
        <v>1918</v>
      </c>
      <c r="P189" s="19">
        <v>169</v>
      </c>
      <c r="Q189" s="19" t="s">
        <v>190</v>
      </c>
      <c r="R189" s="21" t="s">
        <v>1919</v>
      </c>
      <c r="S189" s="46" t="s">
        <v>250</v>
      </c>
      <c r="T189" s="44" t="s">
        <v>1920</v>
      </c>
      <c r="U189" s="77" t="s">
        <v>1921</v>
      </c>
      <c r="V189" s="24" t="s">
        <v>1922</v>
      </c>
      <c r="W189" s="24"/>
      <c r="X189" s="193" t="s">
        <v>1923</v>
      </c>
      <c r="Y189" s="15" t="s">
        <v>255</v>
      </c>
    </row>
    <row r="190" spans="2:25" x14ac:dyDescent="0.25">
      <c r="B190" s="15">
        <v>188</v>
      </c>
      <c r="C190" s="8" t="s">
        <v>112</v>
      </c>
      <c r="D190" s="5" t="s">
        <v>246</v>
      </c>
      <c r="E190" s="383">
        <v>128</v>
      </c>
      <c r="F190" s="380" t="s">
        <v>1906</v>
      </c>
      <c r="G190" s="8">
        <v>8</v>
      </c>
      <c r="H190" s="8">
        <v>1</v>
      </c>
      <c r="I190" s="8">
        <v>54.18</v>
      </c>
      <c r="J190" s="9">
        <v>56000000</v>
      </c>
      <c r="K190" s="9">
        <f t="shared" si="28"/>
        <v>61600000.000000007</v>
      </c>
      <c r="L190" s="35">
        <f t="shared" si="29"/>
        <v>0.56000000000000005</v>
      </c>
      <c r="M190" s="2" t="s">
        <v>1916</v>
      </c>
      <c r="N190" t="s">
        <v>1917</v>
      </c>
      <c r="O190" s="19" t="s">
        <v>1924</v>
      </c>
      <c r="P190" s="19">
        <v>170</v>
      </c>
      <c r="Q190" s="19" t="s">
        <v>1925</v>
      </c>
      <c r="R190" s="279" t="s">
        <v>1926</v>
      </c>
      <c r="S190" s="46" t="s">
        <v>250</v>
      </c>
      <c r="T190" s="44" t="s">
        <v>1927</v>
      </c>
      <c r="U190" s="77" t="s">
        <v>1921</v>
      </c>
      <c r="V190" s="24" t="s">
        <v>1922</v>
      </c>
      <c r="W190" s="24"/>
      <c r="X190" s="193" t="s">
        <v>155</v>
      </c>
      <c r="Y190" s="15" t="s">
        <v>255</v>
      </c>
    </row>
    <row r="191" spans="2:25" x14ac:dyDescent="0.25">
      <c r="B191" s="15">
        <v>189</v>
      </c>
      <c r="C191" s="8" t="s">
        <v>112</v>
      </c>
      <c r="D191" s="5" t="s">
        <v>246</v>
      </c>
      <c r="E191" s="383">
        <v>129</v>
      </c>
      <c r="F191" s="380" t="s">
        <v>1906</v>
      </c>
      <c r="G191" s="8">
        <v>8</v>
      </c>
      <c r="H191" s="8">
        <v>1</v>
      </c>
      <c r="I191" s="8">
        <v>87.72</v>
      </c>
      <c r="J191" s="9">
        <v>84000000</v>
      </c>
      <c r="K191" s="9">
        <f t="shared" si="28"/>
        <v>92400000.000000015</v>
      </c>
      <c r="L191" s="35">
        <f t="shared" si="29"/>
        <v>0.84</v>
      </c>
      <c r="M191" s="2" t="s">
        <v>1916</v>
      </c>
      <c r="N191" t="s">
        <v>1917</v>
      </c>
      <c r="O191" s="19" t="s">
        <v>1928</v>
      </c>
      <c r="P191" s="19">
        <v>171</v>
      </c>
      <c r="Q191" s="19" t="s">
        <v>1929</v>
      </c>
      <c r="R191" s="21" t="s">
        <v>1930</v>
      </c>
      <c r="S191" s="46" t="s">
        <v>250</v>
      </c>
      <c r="T191" s="44" t="s">
        <v>1931</v>
      </c>
      <c r="U191" s="77" t="s">
        <v>1921</v>
      </c>
      <c r="V191" s="24" t="s">
        <v>1922</v>
      </c>
      <c r="W191" s="24"/>
      <c r="X191" s="193" t="s">
        <v>152</v>
      </c>
      <c r="Y191" s="15" t="s">
        <v>255</v>
      </c>
    </row>
    <row r="192" spans="2:25" x14ac:dyDescent="0.25">
      <c r="B192" s="15">
        <v>190</v>
      </c>
      <c r="C192" s="8" t="s">
        <v>245</v>
      </c>
      <c r="D192" s="5" t="s">
        <v>246</v>
      </c>
      <c r="E192" s="383">
        <v>61</v>
      </c>
      <c r="F192" s="380">
        <v>46234</v>
      </c>
      <c r="G192" s="8">
        <v>8</v>
      </c>
      <c r="H192" s="8">
        <v>1</v>
      </c>
      <c r="I192" s="8">
        <v>405.70499999999998</v>
      </c>
      <c r="J192" s="9">
        <v>423000000</v>
      </c>
      <c r="K192" s="9">
        <f t="shared" si="28"/>
        <v>465300000.00000006</v>
      </c>
      <c r="L192" s="35">
        <f t="shared" si="29"/>
        <v>4.2300000000000004</v>
      </c>
      <c r="M192" s="2" t="s">
        <v>2022</v>
      </c>
      <c r="N192" t="s">
        <v>2023</v>
      </c>
      <c r="O192" s="19" t="s">
        <v>2069</v>
      </c>
      <c r="P192" s="19">
        <v>172</v>
      </c>
      <c r="Q192" s="19" t="s">
        <v>2024</v>
      </c>
      <c r="R192" s="21" t="s">
        <v>2025</v>
      </c>
      <c r="S192" s="46" t="s">
        <v>250</v>
      </c>
      <c r="T192" s="44" t="s">
        <v>2026</v>
      </c>
      <c r="U192" s="77" t="s">
        <v>252</v>
      </c>
      <c r="V192" s="24" t="s">
        <v>1464</v>
      </c>
      <c r="W192" s="24">
        <v>1111</v>
      </c>
      <c r="X192" s="193" t="s">
        <v>152</v>
      </c>
      <c r="Y192" s="15" t="s">
        <v>255</v>
      </c>
    </row>
    <row r="193" spans="2:25" x14ac:dyDescent="0.25">
      <c r="B193" s="15">
        <v>191</v>
      </c>
      <c r="C193" s="8" t="s">
        <v>245</v>
      </c>
      <c r="D193" s="5" t="s">
        <v>246</v>
      </c>
      <c r="E193" s="383">
        <v>62</v>
      </c>
      <c r="F193" s="380">
        <v>46234</v>
      </c>
      <c r="G193" s="8">
        <v>8</v>
      </c>
      <c r="H193" s="8">
        <v>1</v>
      </c>
      <c r="I193" s="8">
        <v>370.23</v>
      </c>
      <c r="J193" s="9">
        <v>389000000</v>
      </c>
      <c r="K193" s="9">
        <f t="shared" si="28"/>
        <v>427900000.00000006</v>
      </c>
      <c r="L193" s="35">
        <f t="shared" si="29"/>
        <v>3.89</v>
      </c>
      <c r="M193" s="2" t="s">
        <v>2022</v>
      </c>
      <c r="N193" t="s">
        <v>2023</v>
      </c>
      <c r="O193" s="19" t="s">
        <v>2070</v>
      </c>
      <c r="P193" s="19"/>
      <c r="Q193" s="19" t="s">
        <v>2024</v>
      </c>
      <c r="R193" s="21" t="s">
        <v>2029</v>
      </c>
      <c r="S193" s="46" t="s">
        <v>250</v>
      </c>
      <c r="T193" s="44" t="s">
        <v>2028</v>
      </c>
      <c r="U193" s="77" t="s">
        <v>252</v>
      </c>
      <c r="V193" s="24" t="s">
        <v>1464</v>
      </c>
      <c r="W193" s="24">
        <v>1111</v>
      </c>
      <c r="X193" s="193" t="s">
        <v>152</v>
      </c>
      <c r="Y193" s="15" t="s">
        <v>255</v>
      </c>
    </row>
    <row r="194" spans="2:25" x14ac:dyDescent="0.25">
      <c r="B194" s="15">
        <v>192</v>
      </c>
      <c r="C194" s="8" t="s">
        <v>245</v>
      </c>
      <c r="D194" s="5" t="s">
        <v>246</v>
      </c>
      <c r="E194" s="383">
        <v>63</v>
      </c>
      <c r="F194" s="380">
        <v>46234</v>
      </c>
      <c r="G194" s="8">
        <v>8</v>
      </c>
      <c r="H194" s="8">
        <v>1</v>
      </c>
      <c r="I194" s="8">
        <v>890.1</v>
      </c>
      <c r="J194" s="9">
        <v>999000000</v>
      </c>
      <c r="K194" s="9">
        <f t="shared" si="28"/>
        <v>1098900000</v>
      </c>
      <c r="L194" s="35">
        <f t="shared" si="29"/>
        <v>9.99</v>
      </c>
      <c r="M194" s="2" t="s">
        <v>2022</v>
      </c>
      <c r="N194" t="s">
        <v>2023</v>
      </c>
      <c r="O194" s="19" t="s">
        <v>2071</v>
      </c>
      <c r="P194" s="19"/>
      <c r="Q194" s="19" t="s">
        <v>2030</v>
      </c>
      <c r="R194" s="21" t="s">
        <v>2031</v>
      </c>
      <c r="S194" s="46" t="s">
        <v>250</v>
      </c>
      <c r="T194" s="44" t="s">
        <v>2027</v>
      </c>
      <c r="U194" s="77" t="s">
        <v>252</v>
      </c>
      <c r="V194" s="24" t="s">
        <v>1464</v>
      </c>
      <c r="W194" s="24">
        <v>1111</v>
      </c>
      <c r="X194" s="193" t="s">
        <v>152</v>
      </c>
      <c r="Y194" s="15" t="s">
        <v>255</v>
      </c>
    </row>
    <row r="195" spans="2:25" x14ac:dyDescent="0.25">
      <c r="B195" s="15">
        <v>193</v>
      </c>
      <c r="C195" s="8" t="s">
        <v>112</v>
      </c>
      <c r="D195" s="5" t="s">
        <v>246</v>
      </c>
      <c r="E195" s="383">
        <v>130</v>
      </c>
      <c r="F195" s="380" t="s">
        <v>2032</v>
      </c>
      <c r="G195" s="8">
        <v>8</v>
      </c>
      <c r="H195" s="8">
        <v>2</v>
      </c>
      <c r="I195" s="8">
        <v>54.18</v>
      </c>
      <c r="J195" s="9">
        <v>60000000</v>
      </c>
      <c r="K195" s="9">
        <f t="shared" si="28"/>
        <v>66000000.000000007</v>
      </c>
      <c r="L195" s="35">
        <f t="shared" si="29"/>
        <v>0.6</v>
      </c>
      <c r="M195" s="2" t="s">
        <v>2033</v>
      </c>
      <c r="N195" t="s">
        <v>2034</v>
      </c>
      <c r="O195" s="19" t="s">
        <v>2035</v>
      </c>
      <c r="P195" s="19">
        <v>173</v>
      </c>
      <c r="Q195" s="19" t="s">
        <v>190</v>
      </c>
      <c r="R195" s="21" t="s">
        <v>2036</v>
      </c>
      <c r="S195" s="46" t="s">
        <v>250</v>
      </c>
      <c r="T195" s="44" t="s">
        <v>2037</v>
      </c>
      <c r="U195" s="77" t="s">
        <v>2038</v>
      </c>
      <c r="V195" s="24" t="s">
        <v>2039</v>
      </c>
      <c r="W195" s="24"/>
      <c r="X195" s="193" t="s">
        <v>155</v>
      </c>
      <c r="Y195" s="15" t="s">
        <v>255</v>
      </c>
    </row>
    <row r="196" spans="2:25" x14ac:dyDescent="0.25">
      <c r="B196" s="15">
        <v>194</v>
      </c>
      <c r="C196" s="8" t="s">
        <v>245</v>
      </c>
      <c r="D196" s="5" t="s">
        <v>246</v>
      </c>
      <c r="E196" s="383">
        <v>64</v>
      </c>
      <c r="F196" s="380">
        <v>46246</v>
      </c>
      <c r="G196" s="8">
        <v>8</v>
      </c>
      <c r="H196" s="8">
        <v>2</v>
      </c>
      <c r="I196" s="8">
        <v>92.234999999999999</v>
      </c>
      <c r="J196" s="9">
        <v>104000000</v>
      </c>
      <c r="K196" s="9">
        <f t="shared" si="28"/>
        <v>114400000.00000001</v>
      </c>
      <c r="L196" s="35">
        <f t="shared" si="29"/>
        <v>1.04</v>
      </c>
      <c r="M196" s="2" t="s">
        <v>2043</v>
      </c>
      <c r="N196" t="s">
        <v>2044</v>
      </c>
      <c r="O196" s="19" t="s">
        <v>2045</v>
      </c>
      <c r="P196" s="19">
        <v>174</v>
      </c>
      <c r="Q196" s="19" t="s">
        <v>2046</v>
      </c>
      <c r="R196" s="21" t="s">
        <v>2047</v>
      </c>
      <c r="S196" s="46" t="s">
        <v>250</v>
      </c>
      <c r="T196" s="44" t="s">
        <v>2048</v>
      </c>
      <c r="U196" s="77" t="s">
        <v>2049</v>
      </c>
      <c r="V196" s="24" t="s">
        <v>2050</v>
      </c>
      <c r="W196" s="24">
        <v>1111</v>
      </c>
      <c r="X196" s="193" t="s">
        <v>2051</v>
      </c>
      <c r="Y196" s="15" t="s">
        <v>2052</v>
      </c>
    </row>
    <row r="197" spans="2:25" x14ac:dyDescent="0.25">
      <c r="B197" s="15">
        <v>195</v>
      </c>
      <c r="C197" s="8" t="s">
        <v>112</v>
      </c>
      <c r="D197" s="5" t="s">
        <v>246</v>
      </c>
      <c r="E197" s="383">
        <v>131</v>
      </c>
      <c r="F197" s="380" t="s">
        <v>2053</v>
      </c>
      <c r="G197" s="8">
        <v>8</v>
      </c>
      <c r="H197" s="8">
        <v>2</v>
      </c>
      <c r="I197" s="8">
        <v>301.86</v>
      </c>
      <c r="J197" s="9">
        <v>298000000</v>
      </c>
      <c r="K197" s="9">
        <f t="shared" si="28"/>
        <v>327800000</v>
      </c>
      <c r="L197" s="35">
        <f t="shared" si="29"/>
        <v>2.98</v>
      </c>
      <c r="M197" s="2" t="s">
        <v>2059</v>
      </c>
      <c r="N197" t="s">
        <v>2055</v>
      </c>
      <c r="O197" s="19" t="s">
        <v>2056</v>
      </c>
      <c r="P197" s="19">
        <v>175</v>
      </c>
      <c r="Q197" s="19" t="s">
        <v>2060</v>
      </c>
      <c r="R197" s="21" t="s">
        <v>2062</v>
      </c>
      <c r="S197" s="46" t="s">
        <v>250</v>
      </c>
      <c r="T197" s="44" t="s">
        <v>2066</v>
      </c>
      <c r="U197" s="77" t="s">
        <v>119</v>
      </c>
      <c r="V197" s="24" t="s">
        <v>2063</v>
      </c>
      <c r="W197" s="24">
        <v>1111</v>
      </c>
      <c r="X197" s="193" t="s">
        <v>2067</v>
      </c>
      <c r="Y197" s="15" t="s">
        <v>168</v>
      </c>
    </row>
    <row r="198" spans="2:25" x14ac:dyDescent="0.25">
      <c r="B198" s="15">
        <v>196</v>
      </c>
      <c r="C198" s="8" t="s">
        <v>112</v>
      </c>
      <c r="D198" s="5" t="s">
        <v>246</v>
      </c>
      <c r="E198" s="383">
        <v>132</v>
      </c>
      <c r="F198" s="380" t="s">
        <v>2054</v>
      </c>
      <c r="G198" s="8">
        <v>8</v>
      </c>
      <c r="H198" s="8">
        <v>3</v>
      </c>
      <c r="I198" s="8">
        <v>75.465000000000003</v>
      </c>
      <c r="J198" s="9">
        <v>82000000</v>
      </c>
      <c r="K198" s="9">
        <f t="shared" si="28"/>
        <v>90200000</v>
      </c>
      <c r="L198" s="35">
        <f t="shared" si="29"/>
        <v>0.82000000000000006</v>
      </c>
      <c r="M198" s="2" t="s">
        <v>2058</v>
      </c>
      <c r="N198" t="s">
        <v>2055</v>
      </c>
      <c r="O198" s="19" t="s">
        <v>2057</v>
      </c>
      <c r="P198" s="19">
        <v>176</v>
      </c>
      <c r="Q198" s="19" t="s">
        <v>2060</v>
      </c>
      <c r="R198" s="21" t="s">
        <v>2061</v>
      </c>
      <c r="S198" s="46" t="s">
        <v>250</v>
      </c>
      <c r="T198" s="44" t="s">
        <v>2065</v>
      </c>
      <c r="U198" s="77" t="s">
        <v>119</v>
      </c>
      <c r="V198" s="24" t="s">
        <v>2064</v>
      </c>
      <c r="W198" s="24"/>
      <c r="X198" s="193" t="s">
        <v>2068</v>
      </c>
      <c r="Y198" s="15" t="s">
        <v>168</v>
      </c>
    </row>
    <row r="199" spans="2:25" x14ac:dyDescent="0.25">
      <c r="B199" s="15">
        <v>197</v>
      </c>
      <c r="C199" s="8" t="s">
        <v>112</v>
      </c>
      <c r="D199" s="5" t="s">
        <v>246</v>
      </c>
      <c r="E199" s="383">
        <v>133</v>
      </c>
      <c r="F199" s="380" t="s">
        <v>2072</v>
      </c>
      <c r="G199" s="8">
        <v>8</v>
      </c>
      <c r="H199" s="8">
        <v>4</v>
      </c>
      <c r="I199" s="8">
        <v>110.94</v>
      </c>
      <c r="J199" s="9">
        <v>105000000</v>
      </c>
      <c r="K199" s="9">
        <f t="shared" ref="K199:K262" si="30">J199*1.1</f>
        <v>115500000.00000001</v>
      </c>
      <c r="L199" s="35">
        <f t="shared" ref="L199:L262" si="31">J199*0.00000001</f>
        <v>1.05</v>
      </c>
      <c r="M199" s="2" t="s">
        <v>2073</v>
      </c>
      <c r="N199" t="s">
        <v>2074</v>
      </c>
      <c r="O199" s="19" t="s">
        <v>2075</v>
      </c>
      <c r="P199" s="19">
        <v>177</v>
      </c>
      <c r="Q199" s="19" t="s">
        <v>2076</v>
      </c>
      <c r="R199" s="21" t="s">
        <v>2077</v>
      </c>
      <c r="S199" s="46" t="s">
        <v>250</v>
      </c>
      <c r="T199" s="44" t="s">
        <v>2078</v>
      </c>
      <c r="U199" s="77" t="s">
        <v>119</v>
      </c>
      <c r="V199" s="24" t="s">
        <v>2079</v>
      </c>
      <c r="W199" s="24">
        <v>1111</v>
      </c>
      <c r="X199" s="193" t="s">
        <v>2080</v>
      </c>
      <c r="Y199" s="15" t="s">
        <v>2081</v>
      </c>
    </row>
    <row r="200" spans="2:25" x14ac:dyDescent="0.25">
      <c r="B200" s="15">
        <v>198</v>
      </c>
      <c r="C200" s="8" t="s">
        <v>112</v>
      </c>
      <c r="D200" s="5" t="s">
        <v>246</v>
      </c>
      <c r="E200" s="383">
        <v>134</v>
      </c>
      <c r="F200" s="380" t="s">
        <v>2082</v>
      </c>
      <c r="G200" s="8">
        <v>8</v>
      </c>
      <c r="H200" s="8">
        <v>4</v>
      </c>
      <c r="I200" s="8">
        <v>87.72</v>
      </c>
      <c r="J200" s="9">
        <v>95000000</v>
      </c>
      <c r="K200" s="9">
        <f t="shared" si="30"/>
        <v>104500000.00000001</v>
      </c>
      <c r="L200" s="35">
        <f t="shared" si="31"/>
        <v>0.95000000000000007</v>
      </c>
      <c r="M200" s="2" t="s">
        <v>2083</v>
      </c>
      <c r="N200" t="s">
        <v>2084</v>
      </c>
      <c r="O200" s="19" t="s">
        <v>2085</v>
      </c>
      <c r="P200" s="19">
        <v>178</v>
      </c>
      <c r="Q200" s="19" t="s">
        <v>2086</v>
      </c>
      <c r="R200" s="21" t="s">
        <v>2087</v>
      </c>
      <c r="S200" s="46" t="s">
        <v>250</v>
      </c>
      <c r="T200" s="44" t="s">
        <v>2088</v>
      </c>
      <c r="U200" s="77" t="s">
        <v>118</v>
      </c>
      <c r="V200" s="30" t="s">
        <v>2089</v>
      </c>
      <c r="W200" s="24"/>
      <c r="X200" s="193" t="s">
        <v>155</v>
      </c>
      <c r="Y200" s="15" t="s">
        <v>168</v>
      </c>
    </row>
    <row r="201" spans="2:25" x14ac:dyDescent="0.25">
      <c r="B201" s="15">
        <v>199</v>
      </c>
      <c r="C201" s="8" t="s">
        <v>112</v>
      </c>
      <c r="D201" s="5" t="s">
        <v>246</v>
      </c>
      <c r="E201" s="383">
        <v>135</v>
      </c>
      <c r="F201" s="380">
        <v>46253</v>
      </c>
      <c r="G201" s="8">
        <v>8</v>
      </c>
      <c r="H201" s="8">
        <v>3</v>
      </c>
      <c r="I201" s="8">
        <v>119.325</v>
      </c>
      <c r="J201" s="9">
        <v>125000000</v>
      </c>
      <c r="K201" s="9">
        <f t="shared" si="30"/>
        <v>137500000</v>
      </c>
      <c r="L201" s="35">
        <f t="shared" si="31"/>
        <v>1.25</v>
      </c>
      <c r="M201" s="2" t="s">
        <v>2090</v>
      </c>
      <c r="N201" t="s">
        <v>2091</v>
      </c>
      <c r="O201" s="19" t="s">
        <v>2092</v>
      </c>
      <c r="P201" s="19">
        <v>179</v>
      </c>
      <c r="Q201" s="19" t="s">
        <v>2093</v>
      </c>
      <c r="R201" s="21" t="s">
        <v>2094</v>
      </c>
      <c r="S201" s="46" t="s">
        <v>250</v>
      </c>
      <c r="T201" s="44" t="s">
        <v>2095</v>
      </c>
      <c r="U201" s="77" t="s">
        <v>2096</v>
      </c>
      <c r="V201" s="30" t="s">
        <v>2097</v>
      </c>
      <c r="W201" s="24"/>
      <c r="X201" s="193" t="s">
        <v>2098</v>
      </c>
      <c r="Y201" s="15" t="s">
        <v>2099</v>
      </c>
    </row>
    <row r="202" spans="2:25" x14ac:dyDescent="0.25">
      <c r="B202" s="15">
        <v>200</v>
      </c>
      <c r="C202" s="8" t="s">
        <v>245</v>
      </c>
      <c r="D202" s="5" t="s">
        <v>246</v>
      </c>
      <c r="E202" s="383">
        <v>65</v>
      </c>
      <c r="F202" s="380">
        <v>46254</v>
      </c>
      <c r="G202" s="8">
        <v>8</v>
      </c>
      <c r="H202" s="8">
        <v>3</v>
      </c>
      <c r="I202" s="8">
        <v>33.54</v>
      </c>
      <c r="J202" s="9">
        <v>45000000</v>
      </c>
      <c r="K202" s="9">
        <f t="shared" si="30"/>
        <v>49500000.000000007</v>
      </c>
      <c r="L202" s="35">
        <f t="shared" si="31"/>
        <v>0.45</v>
      </c>
      <c r="M202" s="2" t="s">
        <v>2100</v>
      </c>
      <c r="N202" t="s">
        <v>2101</v>
      </c>
      <c r="O202" s="19" t="s">
        <v>2102</v>
      </c>
      <c r="P202" s="19">
        <v>180</v>
      </c>
      <c r="Q202" s="19" t="s">
        <v>2103</v>
      </c>
      <c r="R202" s="21" t="s">
        <v>2104</v>
      </c>
      <c r="S202" s="46" t="s">
        <v>250</v>
      </c>
      <c r="T202" s="44" t="s">
        <v>2105</v>
      </c>
      <c r="U202" s="77" t="s">
        <v>2106</v>
      </c>
      <c r="V202" s="30" t="s">
        <v>2107</v>
      </c>
      <c r="W202" s="24"/>
      <c r="X202" s="193" t="s">
        <v>155</v>
      </c>
      <c r="Y202" s="15" t="s">
        <v>2108</v>
      </c>
    </row>
    <row r="203" spans="2:25" x14ac:dyDescent="0.25">
      <c r="B203" s="15">
        <v>201</v>
      </c>
      <c r="C203" s="8" t="s">
        <v>112</v>
      </c>
      <c r="D203" s="5" t="s">
        <v>246</v>
      </c>
      <c r="E203" s="383">
        <v>136</v>
      </c>
      <c r="F203" s="380" t="s">
        <v>2109</v>
      </c>
      <c r="G203" s="8">
        <v>8</v>
      </c>
      <c r="H203" s="8">
        <v>4</v>
      </c>
      <c r="I203" s="8">
        <v>344.43</v>
      </c>
      <c r="J203" s="9">
        <v>310000000</v>
      </c>
      <c r="K203" s="9">
        <f t="shared" si="30"/>
        <v>341000000</v>
      </c>
      <c r="L203" s="35">
        <f t="shared" si="31"/>
        <v>3.1</v>
      </c>
      <c r="M203" s="2" t="s">
        <v>2110</v>
      </c>
      <c r="N203" t="s">
        <v>2111</v>
      </c>
      <c r="O203" s="19" t="s">
        <v>2112</v>
      </c>
      <c r="P203" s="19">
        <v>181</v>
      </c>
      <c r="Q203" s="19" t="s">
        <v>2113</v>
      </c>
      <c r="R203" s="21" t="s">
        <v>2114</v>
      </c>
      <c r="S203" s="46" t="s">
        <v>250</v>
      </c>
      <c r="T203" s="44" t="s">
        <v>2115</v>
      </c>
      <c r="U203" s="77" t="s">
        <v>2116</v>
      </c>
      <c r="V203" s="24" t="s">
        <v>2117</v>
      </c>
      <c r="W203" s="24"/>
      <c r="X203" s="193" t="s">
        <v>2118</v>
      </c>
      <c r="Y203" s="15" t="s">
        <v>2119</v>
      </c>
    </row>
    <row r="204" spans="2:25" x14ac:dyDescent="0.25">
      <c r="B204" s="15">
        <v>202</v>
      </c>
      <c r="C204" s="8" t="s">
        <v>112</v>
      </c>
      <c r="D204" s="5" t="s">
        <v>246</v>
      </c>
      <c r="E204" s="383">
        <v>137</v>
      </c>
      <c r="F204" s="380" t="s">
        <v>2120</v>
      </c>
      <c r="G204" s="8">
        <v>8</v>
      </c>
      <c r="H204" s="8">
        <v>4</v>
      </c>
      <c r="I204" s="8">
        <v>135.44999999999999</v>
      </c>
      <c r="J204" s="9">
        <v>155000000</v>
      </c>
      <c r="K204" s="9">
        <f t="shared" si="30"/>
        <v>170500000</v>
      </c>
      <c r="L204" s="35">
        <f t="shared" si="31"/>
        <v>1.55</v>
      </c>
      <c r="M204" s="2" t="s">
        <v>2121</v>
      </c>
      <c r="N204" t="s">
        <v>2122</v>
      </c>
      <c r="O204" s="19" t="s">
        <v>2123</v>
      </c>
      <c r="P204" s="19">
        <v>182</v>
      </c>
      <c r="Q204" s="19" t="s">
        <v>2124</v>
      </c>
      <c r="R204" s="21" t="s">
        <v>2125</v>
      </c>
      <c r="S204" s="46" t="s">
        <v>250</v>
      </c>
      <c r="T204" s="44" t="s">
        <v>2126</v>
      </c>
      <c r="U204" s="77" t="s">
        <v>118</v>
      </c>
      <c r="V204" s="24" t="s">
        <v>268</v>
      </c>
      <c r="W204" s="24"/>
      <c r="X204" s="193" t="s">
        <v>2127</v>
      </c>
      <c r="Y204" s="15" t="s">
        <v>2128</v>
      </c>
    </row>
    <row r="205" spans="2:25" x14ac:dyDescent="0.25">
      <c r="B205" s="15">
        <v>203</v>
      </c>
      <c r="C205" s="8" t="s">
        <v>112</v>
      </c>
      <c r="D205" s="5" t="s">
        <v>246</v>
      </c>
      <c r="E205" s="383">
        <v>138</v>
      </c>
      <c r="F205" s="380" t="s">
        <v>2129</v>
      </c>
      <c r="G205" s="8">
        <v>8</v>
      </c>
      <c r="H205" s="8">
        <v>4</v>
      </c>
      <c r="I205" s="8">
        <v>624.36</v>
      </c>
      <c r="J205" s="9">
        <v>715000000</v>
      </c>
      <c r="K205" s="9">
        <f t="shared" si="30"/>
        <v>786500000.00000012</v>
      </c>
      <c r="L205" s="35">
        <f t="shared" si="31"/>
        <v>7.15</v>
      </c>
      <c r="M205" s="2" t="s">
        <v>2130</v>
      </c>
      <c r="N205" t="s">
        <v>2131</v>
      </c>
      <c r="O205" s="19" t="s">
        <v>2132</v>
      </c>
      <c r="P205" s="19">
        <v>183</v>
      </c>
      <c r="Q205" s="19" t="s">
        <v>2133</v>
      </c>
      <c r="R205" s="21" t="s">
        <v>2134</v>
      </c>
      <c r="S205" s="46" t="s">
        <v>250</v>
      </c>
      <c r="T205" s="44" t="s">
        <v>2135</v>
      </c>
      <c r="U205" s="77" t="s">
        <v>2136</v>
      </c>
      <c r="V205" s="24" t="s">
        <v>2137</v>
      </c>
      <c r="W205" s="24"/>
      <c r="X205" s="193" t="s">
        <v>156</v>
      </c>
      <c r="Y205" s="15" t="s">
        <v>255</v>
      </c>
    </row>
    <row r="206" spans="2:25" x14ac:dyDescent="0.25">
      <c r="B206" s="15">
        <v>204</v>
      </c>
      <c r="C206" s="8" t="s">
        <v>112</v>
      </c>
      <c r="D206" s="5" t="s">
        <v>246</v>
      </c>
      <c r="E206" s="383">
        <v>139</v>
      </c>
      <c r="F206" s="380" t="s">
        <v>2138</v>
      </c>
      <c r="G206" s="8">
        <v>9</v>
      </c>
      <c r="H206" s="8">
        <v>1</v>
      </c>
      <c r="I206" s="8">
        <v>999.75</v>
      </c>
      <c r="J206" s="9">
        <v>880000000</v>
      </c>
      <c r="K206" s="9">
        <f t="shared" si="30"/>
        <v>968000000.00000012</v>
      </c>
      <c r="L206" s="35">
        <f t="shared" si="31"/>
        <v>8.8000000000000007</v>
      </c>
      <c r="M206" s="2" t="s">
        <v>2139</v>
      </c>
      <c r="N206" t="s">
        <v>2140</v>
      </c>
      <c r="O206" s="19" t="s">
        <v>2141</v>
      </c>
      <c r="P206" s="19">
        <v>184</v>
      </c>
      <c r="Q206" s="19" t="s">
        <v>2142</v>
      </c>
      <c r="R206" s="21" t="s">
        <v>2143</v>
      </c>
      <c r="S206" s="46" t="s">
        <v>250</v>
      </c>
      <c r="T206" s="44" t="s">
        <v>2144</v>
      </c>
      <c r="U206" s="77" t="s">
        <v>252</v>
      </c>
      <c r="V206" s="24" t="s">
        <v>2145</v>
      </c>
      <c r="W206" s="24"/>
      <c r="X206" s="193" t="s">
        <v>2146</v>
      </c>
      <c r="Y206" s="15" t="s">
        <v>2147</v>
      </c>
    </row>
    <row r="207" spans="2:25" x14ac:dyDescent="0.25">
      <c r="B207" s="15">
        <v>205</v>
      </c>
      <c r="C207" s="8" t="s">
        <v>112</v>
      </c>
      <c r="D207" s="5" t="s">
        <v>246</v>
      </c>
      <c r="E207" s="383">
        <v>140</v>
      </c>
      <c r="F207" s="380">
        <v>46261</v>
      </c>
      <c r="G207" s="8">
        <v>9</v>
      </c>
      <c r="H207" s="8">
        <v>1</v>
      </c>
      <c r="I207" s="8">
        <v>44.505000000000003</v>
      </c>
      <c r="J207" s="9">
        <v>51000000</v>
      </c>
      <c r="K207" s="9">
        <f t="shared" si="30"/>
        <v>56100000.000000007</v>
      </c>
      <c r="L207" s="35">
        <f t="shared" si="31"/>
        <v>0.51</v>
      </c>
      <c r="M207" s="2" t="s">
        <v>2148</v>
      </c>
      <c r="N207" t="s">
        <v>2149</v>
      </c>
      <c r="O207" s="19" t="s">
        <v>2150</v>
      </c>
      <c r="P207" s="19">
        <v>185</v>
      </c>
      <c r="Q207" s="19" t="s">
        <v>2151</v>
      </c>
      <c r="R207" s="21" t="s">
        <v>2152</v>
      </c>
      <c r="S207" s="46" t="s">
        <v>250</v>
      </c>
      <c r="T207" s="44" t="s">
        <v>2153</v>
      </c>
      <c r="U207" s="77" t="s">
        <v>2154</v>
      </c>
      <c r="V207" s="24" t="s">
        <v>2155</v>
      </c>
      <c r="W207" s="24"/>
      <c r="X207" s="193" t="s">
        <v>2156</v>
      </c>
      <c r="Y207" s="15" t="s">
        <v>2157</v>
      </c>
    </row>
    <row r="208" spans="2:25" x14ac:dyDescent="0.25">
      <c r="B208" s="15">
        <v>206</v>
      </c>
      <c r="C208" s="8" t="s">
        <v>112</v>
      </c>
      <c r="D208" s="5" t="s">
        <v>246</v>
      </c>
      <c r="E208" s="383">
        <v>141</v>
      </c>
      <c r="F208" s="380" t="s">
        <v>2158</v>
      </c>
      <c r="G208" s="8">
        <v>9</v>
      </c>
      <c r="H208" s="8">
        <v>1</v>
      </c>
      <c r="I208" s="8">
        <v>162.54</v>
      </c>
      <c r="J208" s="9">
        <v>170000000</v>
      </c>
      <c r="K208" s="9">
        <v>187000000</v>
      </c>
      <c r="L208" s="35">
        <v>1.7</v>
      </c>
      <c r="M208" s="2" t="s">
        <v>2159</v>
      </c>
      <c r="N208" t="s">
        <v>2160</v>
      </c>
      <c r="O208" s="19" t="s">
        <v>2161</v>
      </c>
      <c r="P208" s="19">
        <v>186</v>
      </c>
      <c r="Q208" s="19" t="s">
        <v>455</v>
      </c>
      <c r="R208" s="21" t="s">
        <v>2162</v>
      </c>
      <c r="S208" s="46" t="s">
        <v>250</v>
      </c>
      <c r="T208" s="44" t="s">
        <v>2163</v>
      </c>
      <c r="U208" s="77" t="s">
        <v>267</v>
      </c>
      <c r="V208" s="30" t="s">
        <v>2164</v>
      </c>
      <c r="W208" s="24"/>
      <c r="X208" s="193" t="s">
        <v>155</v>
      </c>
      <c r="Y208" s="15" t="s">
        <v>255</v>
      </c>
    </row>
    <row r="209" spans="2:25" x14ac:dyDescent="0.25">
      <c r="B209" s="15">
        <v>207</v>
      </c>
      <c r="C209" s="8" t="s">
        <v>112</v>
      </c>
      <c r="D209" s="5" t="s">
        <v>246</v>
      </c>
      <c r="E209" s="383">
        <v>142</v>
      </c>
      <c r="F209" s="380" t="s">
        <v>2158</v>
      </c>
      <c r="G209" s="8">
        <v>9</v>
      </c>
      <c r="H209" s="8">
        <v>1</v>
      </c>
      <c r="I209" s="8">
        <v>176.73</v>
      </c>
      <c r="J209" s="9">
        <v>165000000</v>
      </c>
      <c r="K209" s="9">
        <f t="shared" ref="K209" si="32">J209*1.1</f>
        <v>181500000</v>
      </c>
      <c r="L209" s="35">
        <f t="shared" ref="L209" si="33">J209*0.00000001</f>
        <v>1.6500000000000001</v>
      </c>
      <c r="M209" s="2" t="s">
        <v>2165</v>
      </c>
      <c r="N209" t="s">
        <v>2166</v>
      </c>
      <c r="O209" s="19" t="s">
        <v>2167</v>
      </c>
      <c r="P209" s="19">
        <v>187</v>
      </c>
      <c r="Q209" s="19" t="s">
        <v>2168</v>
      </c>
      <c r="R209" s="21" t="s">
        <v>2169</v>
      </c>
      <c r="S209" s="46" t="s">
        <v>250</v>
      </c>
      <c r="T209" s="44" t="s">
        <v>2170</v>
      </c>
      <c r="U209" s="77" t="s">
        <v>2171</v>
      </c>
      <c r="V209" s="30" t="s">
        <v>2172</v>
      </c>
      <c r="W209" s="24">
        <v>1111</v>
      </c>
      <c r="X209" s="193" t="s">
        <v>2173</v>
      </c>
      <c r="Y209" s="15" t="s">
        <v>2174</v>
      </c>
    </row>
    <row r="210" spans="2:25" x14ac:dyDescent="0.25">
      <c r="B210" s="15">
        <v>208</v>
      </c>
      <c r="C210" s="8" t="s">
        <v>245</v>
      </c>
      <c r="D210" s="5" t="s">
        <v>246</v>
      </c>
      <c r="E210" s="383">
        <v>66</v>
      </c>
      <c r="F210" s="380">
        <v>46267</v>
      </c>
      <c r="G210" s="8">
        <v>9</v>
      </c>
      <c r="H210" s="8">
        <v>1</v>
      </c>
      <c r="I210" s="8">
        <v>89.01</v>
      </c>
      <c r="J210" s="9">
        <v>100000000</v>
      </c>
      <c r="K210" s="9">
        <f t="shared" si="30"/>
        <v>110000000.00000001</v>
      </c>
      <c r="L210" s="35">
        <f t="shared" si="31"/>
        <v>1</v>
      </c>
      <c r="M210" s="2" t="s">
        <v>2210</v>
      </c>
      <c r="N210" t="s">
        <v>2211</v>
      </c>
      <c r="O210" s="19" t="s">
        <v>2254</v>
      </c>
      <c r="P210" s="19">
        <v>188</v>
      </c>
      <c r="Q210" s="19" t="s">
        <v>2212</v>
      </c>
      <c r="R210" s="21" t="s">
        <v>2213</v>
      </c>
      <c r="S210" s="46" t="s">
        <v>250</v>
      </c>
      <c r="T210" s="44" t="s">
        <v>2214</v>
      </c>
      <c r="U210" s="77" t="s">
        <v>252</v>
      </c>
      <c r="V210" s="24" t="s">
        <v>2215</v>
      </c>
      <c r="W210" s="24"/>
      <c r="X210" s="193" t="s">
        <v>152</v>
      </c>
      <c r="Y210" s="15" t="s">
        <v>255</v>
      </c>
    </row>
    <row r="211" spans="2:25" x14ac:dyDescent="0.25">
      <c r="B211" s="15">
        <v>209</v>
      </c>
      <c r="C211" s="8" t="s">
        <v>112</v>
      </c>
      <c r="D211" s="5" t="s">
        <v>246</v>
      </c>
      <c r="E211" s="383">
        <v>143</v>
      </c>
      <c r="F211" s="380" t="s">
        <v>2216</v>
      </c>
      <c r="G211" s="8">
        <v>9</v>
      </c>
      <c r="H211" s="8">
        <v>2</v>
      </c>
      <c r="I211" s="8">
        <v>105.78</v>
      </c>
      <c r="J211" s="9">
        <v>106000000</v>
      </c>
      <c r="K211" s="9">
        <v>116600000</v>
      </c>
      <c r="L211" s="35">
        <v>1.06</v>
      </c>
      <c r="M211" s="2" t="s">
        <v>2217</v>
      </c>
      <c r="N211" t="s">
        <v>2160</v>
      </c>
      <c r="O211" s="19" t="s">
        <v>2218</v>
      </c>
      <c r="P211" s="19">
        <v>189</v>
      </c>
      <c r="Q211" s="19" t="s">
        <v>190</v>
      </c>
      <c r="R211" s="21" t="s">
        <v>2219</v>
      </c>
      <c r="S211" s="46" t="s">
        <v>250</v>
      </c>
      <c r="T211" s="44" t="s">
        <v>2220</v>
      </c>
      <c r="U211" s="77" t="s">
        <v>267</v>
      </c>
      <c r="V211" s="24" t="s">
        <v>2221</v>
      </c>
      <c r="W211" s="24"/>
      <c r="X211" s="193" t="s">
        <v>152</v>
      </c>
      <c r="Y211" s="15" t="s">
        <v>255</v>
      </c>
    </row>
    <row r="212" spans="2:25" x14ac:dyDescent="0.25">
      <c r="B212" s="15">
        <v>210</v>
      </c>
      <c r="C212" s="8" t="s">
        <v>112</v>
      </c>
      <c r="D212" s="5" t="s">
        <v>246</v>
      </c>
      <c r="E212" s="383">
        <v>144</v>
      </c>
      <c r="F212" s="380" t="s">
        <v>2216</v>
      </c>
      <c r="G212" s="8">
        <v>9</v>
      </c>
      <c r="H212" s="8">
        <v>2</v>
      </c>
      <c r="I212" s="8">
        <v>157.38</v>
      </c>
      <c r="J212" s="9">
        <v>154000000</v>
      </c>
      <c r="K212" s="9">
        <v>169400000</v>
      </c>
      <c r="L212" s="35">
        <v>1.54</v>
      </c>
      <c r="M212" s="2" t="s">
        <v>2222</v>
      </c>
      <c r="N212" t="s">
        <v>2160</v>
      </c>
      <c r="O212" s="19" t="s">
        <v>2223</v>
      </c>
      <c r="P212" s="19">
        <v>190</v>
      </c>
      <c r="Q212" s="19" t="s">
        <v>455</v>
      </c>
      <c r="R212" s="21" t="s">
        <v>2224</v>
      </c>
      <c r="S212" s="46" t="s">
        <v>250</v>
      </c>
      <c r="T212" s="44" t="s">
        <v>2225</v>
      </c>
      <c r="U212" s="77" t="s">
        <v>267</v>
      </c>
      <c r="V212" s="24" t="s">
        <v>2226</v>
      </c>
      <c r="W212" s="24"/>
      <c r="X212" s="193" t="s">
        <v>151</v>
      </c>
      <c r="Y212" s="15" t="s">
        <v>255</v>
      </c>
    </row>
    <row r="213" spans="2:25" x14ac:dyDescent="0.25">
      <c r="B213" s="15">
        <v>211</v>
      </c>
      <c r="C213" s="8" t="s">
        <v>112</v>
      </c>
      <c r="D213" s="5" t="s">
        <v>246</v>
      </c>
      <c r="E213" s="383">
        <v>145</v>
      </c>
      <c r="F213" s="380" t="s">
        <v>2236</v>
      </c>
      <c r="G213" s="8">
        <v>9</v>
      </c>
      <c r="H213" s="8">
        <v>3</v>
      </c>
      <c r="I213" s="8">
        <v>110.94</v>
      </c>
      <c r="J213" s="9">
        <v>115000000</v>
      </c>
      <c r="K213" s="9">
        <f t="shared" si="30"/>
        <v>126500000.00000001</v>
      </c>
      <c r="L213" s="35">
        <f t="shared" si="31"/>
        <v>1.1500000000000001</v>
      </c>
      <c r="M213" s="2" t="s">
        <v>2237</v>
      </c>
      <c r="N213" t="s">
        <v>2238</v>
      </c>
      <c r="O213" s="19" t="s">
        <v>2240</v>
      </c>
      <c r="P213" s="19">
        <v>191</v>
      </c>
      <c r="Q213" s="19" t="s">
        <v>2241</v>
      </c>
      <c r="R213" s="21" t="s">
        <v>2239</v>
      </c>
      <c r="S213" s="46" t="s">
        <v>250</v>
      </c>
      <c r="T213" s="44" t="s">
        <v>2242</v>
      </c>
      <c r="U213" s="77" t="s">
        <v>252</v>
      </c>
      <c r="V213" s="24" t="s">
        <v>2243</v>
      </c>
      <c r="W213" s="24"/>
      <c r="X213" s="193" t="s">
        <v>152</v>
      </c>
      <c r="Y213" s="15" t="s">
        <v>255</v>
      </c>
    </row>
    <row r="214" spans="2:25" x14ac:dyDescent="0.25">
      <c r="B214" s="15">
        <v>212</v>
      </c>
      <c r="C214" s="8" t="s">
        <v>112</v>
      </c>
      <c r="D214" s="5" t="s">
        <v>246</v>
      </c>
      <c r="E214" s="383">
        <v>146</v>
      </c>
      <c r="F214" s="380">
        <v>46280</v>
      </c>
      <c r="G214" s="8">
        <v>9</v>
      </c>
      <c r="H214" s="8">
        <v>3</v>
      </c>
      <c r="I214" s="8">
        <v>87.72</v>
      </c>
      <c r="J214" s="9">
        <v>89000000</v>
      </c>
      <c r="K214" s="9">
        <f t="shared" si="30"/>
        <v>97900000.000000015</v>
      </c>
      <c r="L214" s="35">
        <f t="shared" si="31"/>
        <v>0.89</v>
      </c>
      <c r="M214" s="2" t="s">
        <v>2245</v>
      </c>
      <c r="N214" t="s">
        <v>2246</v>
      </c>
      <c r="O214" s="19" t="s">
        <v>2247</v>
      </c>
      <c r="P214" s="19">
        <v>192</v>
      </c>
      <c r="Q214" s="19" t="s">
        <v>2248</v>
      </c>
      <c r="R214" s="21" t="s">
        <v>2249</v>
      </c>
      <c r="S214" s="46" t="s">
        <v>250</v>
      </c>
      <c r="T214" s="44" t="s">
        <v>2250</v>
      </c>
      <c r="U214" s="77" t="s">
        <v>252</v>
      </c>
      <c r="V214" s="24" t="s">
        <v>2251</v>
      </c>
      <c r="W214" s="24"/>
      <c r="X214" s="193" t="s">
        <v>2252</v>
      </c>
      <c r="Y214" s="15" t="s">
        <v>2253</v>
      </c>
    </row>
    <row r="215" spans="2:25" x14ac:dyDescent="0.25">
      <c r="B215" s="15">
        <v>213</v>
      </c>
      <c r="C215" s="8" t="s">
        <v>245</v>
      </c>
      <c r="D215" s="5" t="s">
        <v>246</v>
      </c>
      <c r="E215" s="383">
        <v>67</v>
      </c>
      <c r="F215" s="380">
        <v>46282</v>
      </c>
      <c r="G215" s="8">
        <v>9</v>
      </c>
      <c r="H215" s="8">
        <v>3</v>
      </c>
      <c r="I215" s="8">
        <v>147.06</v>
      </c>
      <c r="J215" s="9">
        <v>171000000</v>
      </c>
      <c r="K215" s="9">
        <f t="shared" si="30"/>
        <v>188100000.00000003</v>
      </c>
      <c r="L215" s="35">
        <f t="shared" si="31"/>
        <v>1.71</v>
      </c>
      <c r="M215" s="2" t="s">
        <v>2255</v>
      </c>
      <c r="N215" t="s">
        <v>2255</v>
      </c>
      <c r="O215" s="19" t="s">
        <v>2256</v>
      </c>
      <c r="P215" s="19">
        <v>193</v>
      </c>
      <c r="Q215" s="19" t="s">
        <v>2257</v>
      </c>
      <c r="R215" s="21" t="s">
        <v>2258</v>
      </c>
      <c r="S215" s="46" t="s">
        <v>250</v>
      </c>
      <c r="T215" s="44" t="s">
        <v>2259</v>
      </c>
      <c r="U215" s="77" t="s">
        <v>2260</v>
      </c>
      <c r="V215" s="30" t="s">
        <v>2261</v>
      </c>
      <c r="W215" s="24"/>
      <c r="X215" s="193" t="s">
        <v>152</v>
      </c>
      <c r="Y215" s="15" t="s">
        <v>2262</v>
      </c>
    </row>
    <row r="216" spans="2:25" ht="27" x14ac:dyDescent="0.25">
      <c r="B216" s="15">
        <v>214</v>
      </c>
      <c r="C216" s="8" t="s">
        <v>380</v>
      </c>
      <c r="D216" s="5" t="s">
        <v>246</v>
      </c>
      <c r="E216" s="383">
        <v>2</v>
      </c>
      <c r="F216" s="380">
        <v>46281</v>
      </c>
      <c r="G216" s="8">
        <v>9</v>
      </c>
      <c r="H216" s="8">
        <v>3</v>
      </c>
      <c r="I216" s="8">
        <v>420.37</v>
      </c>
      <c r="J216" s="9">
        <v>559000000</v>
      </c>
      <c r="K216" s="9">
        <f t="shared" si="30"/>
        <v>614900000</v>
      </c>
      <c r="L216" s="35">
        <f t="shared" si="31"/>
        <v>5.59</v>
      </c>
      <c r="M216" s="2" t="s">
        <v>2266</v>
      </c>
      <c r="N216" t="s">
        <v>2266</v>
      </c>
      <c r="O216" s="19" t="s">
        <v>2267</v>
      </c>
      <c r="P216" s="19">
        <v>194</v>
      </c>
      <c r="Q216" s="19" t="s">
        <v>271</v>
      </c>
      <c r="R216" s="21" t="s">
        <v>2268</v>
      </c>
      <c r="S216" s="46" t="s">
        <v>250</v>
      </c>
      <c r="T216" s="44"/>
      <c r="U216" s="77" t="s">
        <v>252</v>
      </c>
      <c r="V216" s="30" t="s">
        <v>2269</v>
      </c>
      <c r="W216" s="24"/>
      <c r="X216" s="193"/>
      <c r="Y216" s="15" t="s">
        <v>255</v>
      </c>
    </row>
    <row r="217" spans="2:25" x14ac:dyDescent="0.25">
      <c r="B217" s="15">
        <v>215</v>
      </c>
      <c r="C217" s="8" t="s">
        <v>245</v>
      </c>
      <c r="D217" s="5" t="s">
        <v>246</v>
      </c>
      <c r="E217" s="383">
        <v>68</v>
      </c>
      <c r="F217" s="380" t="s">
        <v>2270</v>
      </c>
      <c r="G217" s="8">
        <v>9</v>
      </c>
      <c r="H217" s="8">
        <v>3</v>
      </c>
      <c r="I217" s="8">
        <v>129.64500000000001</v>
      </c>
      <c r="J217" s="9">
        <v>137000000</v>
      </c>
      <c r="K217" s="9">
        <v>150700000</v>
      </c>
      <c r="L217" s="35">
        <f t="shared" si="31"/>
        <v>1.37</v>
      </c>
      <c r="M217" s="2" t="s">
        <v>2271</v>
      </c>
      <c r="N217" t="s">
        <v>2272</v>
      </c>
      <c r="O217" s="19" t="s">
        <v>2273</v>
      </c>
      <c r="P217" s="19">
        <v>195</v>
      </c>
      <c r="Q217" s="19" t="s">
        <v>526</v>
      </c>
      <c r="R217" s="21" t="s">
        <v>2274</v>
      </c>
      <c r="S217" s="46" t="s">
        <v>250</v>
      </c>
      <c r="T217" s="44" t="s">
        <v>2275</v>
      </c>
      <c r="U217" s="77" t="s">
        <v>252</v>
      </c>
      <c r="V217" s="30" t="s">
        <v>2276</v>
      </c>
      <c r="W217" s="24"/>
      <c r="X217" s="193"/>
      <c r="Y217" s="15"/>
    </row>
    <row r="218" spans="2:25" x14ac:dyDescent="0.25">
      <c r="B218" s="15">
        <v>216</v>
      </c>
      <c r="C218" s="8" t="s">
        <v>112</v>
      </c>
      <c r="D218" s="5" t="s">
        <v>246</v>
      </c>
      <c r="E218" s="383">
        <v>147</v>
      </c>
      <c r="F218" s="380">
        <v>46282</v>
      </c>
      <c r="G218" s="8">
        <v>9</v>
      </c>
      <c r="H218" s="8">
        <v>3</v>
      </c>
      <c r="I218" s="8">
        <v>1734.405</v>
      </c>
      <c r="J218" s="9">
        <v>1791000000</v>
      </c>
      <c r="K218" s="9">
        <f t="shared" ref="K218" si="34">J218*1.1</f>
        <v>1970100000.0000002</v>
      </c>
      <c r="L218" s="35">
        <f t="shared" ref="L218" si="35">J218*0.00000001</f>
        <v>17.91</v>
      </c>
      <c r="M218" s="2" t="s">
        <v>279</v>
      </c>
      <c r="N218" t="s">
        <v>28</v>
      </c>
      <c r="O218" s="19" t="s">
        <v>2277</v>
      </c>
      <c r="P218" s="19">
        <v>196</v>
      </c>
      <c r="Q218" s="19" t="s">
        <v>271</v>
      </c>
      <c r="R218" s="21" t="s">
        <v>2281</v>
      </c>
      <c r="S218" s="46" t="s">
        <v>250</v>
      </c>
      <c r="T218" s="44" t="s">
        <v>2278</v>
      </c>
      <c r="U218" s="77" t="s">
        <v>252</v>
      </c>
      <c r="V218" s="24" t="s">
        <v>268</v>
      </c>
      <c r="W218" s="24"/>
      <c r="X218" s="193" t="s">
        <v>152</v>
      </c>
      <c r="Y218" s="15" t="s">
        <v>255</v>
      </c>
    </row>
    <row r="219" spans="2:25" x14ac:dyDescent="0.25">
      <c r="B219" s="15">
        <v>217</v>
      </c>
      <c r="C219" s="8" t="s">
        <v>245</v>
      </c>
      <c r="D219" s="5" t="s">
        <v>246</v>
      </c>
      <c r="E219" s="383">
        <v>69</v>
      </c>
      <c r="F219" s="380">
        <v>46286</v>
      </c>
      <c r="G219" s="8">
        <v>9</v>
      </c>
      <c r="H219" s="8">
        <v>4</v>
      </c>
      <c r="I219" s="8">
        <v>274.77</v>
      </c>
      <c r="J219" s="9">
        <v>277000000</v>
      </c>
      <c r="K219" s="9">
        <f t="shared" si="30"/>
        <v>304700000</v>
      </c>
      <c r="L219" s="35">
        <f t="shared" si="31"/>
        <v>2.77</v>
      </c>
      <c r="M219" s="2" t="s">
        <v>2284</v>
      </c>
      <c r="N219" t="s">
        <v>2285</v>
      </c>
      <c r="O219" s="19" t="s">
        <v>2286</v>
      </c>
      <c r="P219" s="19">
        <v>197</v>
      </c>
      <c r="Q219" s="19" t="s">
        <v>2287</v>
      </c>
      <c r="R219" s="21" t="s">
        <v>2288</v>
      </c>
      <c r="S219" s="46" t="s">
        <v>250</v>
      </c>
      <c r="T219" s="44" t="s">
        <v>2289</v>
      </c>
      <c r="U219" s="77" t="s">
        <v>2290</v>
      </c>
      <c r="V219" s="30" t="s">
        <v>2291</v>
      </c>
      <c r="W219" s="24">
        <v>1111</v>
      </c>
      <c r="X219" s="193" t="s">
        <v>2292</v>
      </c>
      <c r="Y219" s="15" t="s">
        <v>255</v>
      </c>
    </row>
    <row r="220" spans="2:25" x14ac:dyDescent="0.25">
      <c r="B220" s="15">
        <v>218</v>
      </c>
      <c r="C220" s="8"/>
      <c r="E220" s="383"/>
      <c r="F220" s="380"/>
      <c r="G220" s="8"/>
      <c r="H220" s="8"/>
      <c r="I220" s="8"/>
      <c r="J220" s="9"/>
      <c r="K220" s="9">
        <f t="shared" si="30"/>
        <v>0</v>
      </c>
      <c r="L220" s="35">
        <f t="shared" si="31"/>
        <v>0</v>
      </c>
      <c r="M220" s="2"/>
      <c r="O220" s="19"/>
      <c r="P220" s="19"/>
      <c r="Q220" s="19"/>
      <c r="R220" s="21"/>
      <c r="S220" s="46"/>
      <c r="T220" s="44"/>
      <c r="U220" s="77"/>
      <c r="V220" s="30"/>
      <c r="W220" s="24"/>
      <c r="X220" s="193"/>
      <c r="Y220" s="15"/>
    </row>
    <row r="221" spans="2:25" x14ac:dyDescent="0.25">
      <c r="B221" s="15">
        <v>219</v>
      </c>
      <c r="C221" s="8"/>
      <c r="E221" s="383"/>
      <c r="F221" s="380"/>
      <c r="G221" s="8"/>
      <c r="H221" s="8"/>
      <c r="I221" s="8"/>
      <c r="J221" s="9"/>
      <c r="K221" s="9">
        <f t="shared" si="30"/>
        <v>0</v>
      </c>
      <c r="L221" s="35">
        <f t="shared" si="31"/>
        <v>0</v>
      </c>
      <c r="M221" s="2"/>
      <c r="O221" s="19"/>
      <c r="P221" s="19"/>
      <c r="Q221" s="19"/>
      <c r="R221" s="21"/>
      <c r="S221" s="46"/>
      <c r="T221" s="44"/>
      <c r="U221" s="77"/>
      <c r="V221" s="24"/>
      <c r="W221" s="24"/>
      <c r="X221" s="193"/>
      <c r="Y221" s="15"/>
    </row>
    <row r="222" spans="2:25" x14ac:dyDescent="0.25">
      <c r="B222" s="15">
        <v>220</v>
      </c>
      <c r="C222" s="8"/>
      <c r="E222" s="383"/>
      <c r="F222" s="380"/>
      <c r="G222" s="8"/>
      <c r="H222" s="8"/>
      <c r="I222" s="8"/>
      <c r="J222" s="9"/>
      <c r="K222" s="9">
        <f t="shared" si="30"/>
        <v>0</v>
      </c>
      <c r="L222" s="35">
        <f t="shared" si="31"/>
        <v>0</v>
      </c>
      <c r="M222" s="2"/>
      <c r="O222" s="19"/>
      <c r="P222" s="19"/>
      <c r="Q222" s="19"/>
      <c r="R222" s="21"/>
      <c r="S222" s="46"/>
      <c r="T222" s="44"/>
      <c r="U222" s="77"/>
      <c r="V222" s="24"/>
      <c r="W222" s="24"/>
      <c r="X222" s="193"/>
      <c r="Y222" s="15"/>
    </row>
    <row r="223" spans="2:25" x14ac:dyDescent="0.25">
      <c r="B223" s="15">
        <v>221</v>
      </c>
      <c r="C223" s="8"/>
      <c r="E223" s="383"/>
      <c r="F223" s="380"/>
      <c r="G223" s="8"/>
      <c r="H223" s="8"/>
      <c r="I223" s="8"/>
      <c r="J223" s="9"/>
      <c r="K223" s="9">
        <f t="shared" si="30"/>
        <v>0</v>
      </c>
      <c r="L223" s="35">
        <f t="shared" si="31"/>
        <v>0</v>
      </c>
      <c r="M223" s="2"/>
      <c r="O223" s="19"/>
      <c r="P223" s="19"/>
      <c r="Q223" s="19"/>
      <c r="R223" s="21"/>
      <c r="S223" s="46"/>
      <c r="T223" s="44"/>
      <c r="U223" s="77"/>
      <c r="V223" s="24"/>
      <c r="W223" s="24"/>
      <c r="X223" s="193"/>
      <c r="Y223" s="15"/>
    </row>
    <row r="224" spans="2:25" x14ac:dyDescent="0.25">
      <c r="B224" s="15">
        <v>222</v>
      </c>
      <c r="C224" s="8"/>
      <c r="E224" s="383"/>
      <c r="F224" s="380"/>
      <c r="G224" s="8"/>
      <c r="H224" s="8"/>
      <c r="I224" s="8"/>
      <c r="J224" s="9"/>
      <c r="K224" s="9">
        <f t="shared" si="30"/>
        <v>0</v>
      </c>
      <c r="L224" s="35">
        <f t="shared" si="31"/>
        <v>0</v>
      </c>
      <c r="M224" s="2"/>
      <c r="O224" s="19"/>
      <c r="P224" s="19"/>
      <c r="Q224" s="19"/>
      <c r="R224" s="21"/>
      <c r="S224" s="46"/>
      <c r="T224" s="44"/>
      <c r="U224" s="77"/>
      <c r="V224" s="30"/>
      <c r="W224" s="24"/>
      <c r="X224" s="193"/>
      <c r="Y224" s="15"/>
    </row>
    <row r="225" spans="2:25" x14ac:dyDescent="0.25">
      <c r="B225" s="15">
        <v>223</v>
      </c>
      <c r="C225" s="8"/>
      <c r="E225" s="383"/>
      <c r="F225" s="380"/>
      <c r="G225" s="8"/>
      <c r="H225" s="8"/>
      <c r="I225" s="8"/>
      <c r="J225" s="9"/>
      <c r="K225" s="9">
        <f t="shared" si="30"/>
        <v>0</v>
      </c>
      <c r="L225" s="35">
        <f t="shared" si="31"/>
        <v>0</v>
      </c>
      <c r="M225" s="2"/>
      <c r="O225" s="19"/>
      <c r="P225" s="19"/>
      <c r="Q225" s="19"/>
      <c r="R225" s="21"/>
      <c r="S225" s="46"/>
      <c r="T225" s="44"/>
      <c r="U225" s="77"/>
      <c r="V225" s="30"/>
      <c r="W225" s="24"/>
      <c r="X225" s="193"/>
      <c r="Y225" s="15"/>
    </row>
    <row r="226" spans="2:25" x14ac:dyDescent="0.25">
      <c r="B226" s="15">
        <v>224</v>
      </c>
      <c r="C226" s="8"/>
      <c r="E226" s="383"/>
      <c r="F226" s="380"/>
      <c r="G226" s="8"/>
      <c r="H226" s="8"/>
      <c r="I226" s="8"/>
      <c r="J226" s="9"/>
      <c r="K226" s="9">
        <f t="shared" si="30"/>
        <v>0</v>
      </c>
      <c r="L226" s="35">
        <f t="shared" si="31"/>
        <v>0</v>
      </c>
      <c r="M226" s="2"/>
      <c r="O226" s="19"/>
      <c r="P226" s="19"/>
      <c r="Q226" s="19"/>
      <c r="R226" s="21"/>
      <c r="S226" s="46"/>
      <c r="T226" s="44"/>
      <c r="U226" s="77"/>
      <c r="V226" s="24"/>
      <c r="W226" s="24"/>
      <c r="X226" s="193"/>
      <c r="Y226" s="15"/>
    </row>
    <row r="227" spans="2:25" x14ac:dyDescent="0.25">
      <c r="B227" s="15">
        <v>225</v>
      </c>
      <c r="C227" s="8"/>
      <c r="E227" s="383"/>
      <c r="F227" s="380"/>
      <c r="G227" s="8"/>
      <c r="H227" s="8"/>
      <c r="I227" s="8"/>
      <c r="J227" s="9"/>
      <c r="K227" s="9">
        <f t="shared" si="30"/>
        <v>0</v>
      </c>
      <c r="L227" s="35">
        <f t="shared" si="31"/>
        <v>0</v>
      </c>
      <c r="M227" s="2"/>
      <c r="O227" s="19"/>
      <c r="P227" s="19"/>
      <c r="Q227" s="19"/>
      <c r="R227" s="21"/>
      <c r="S227" s="46"/>
      <c r="T227" s="44"/>
      <c r="U227" s="77"/>
      <c r="V227" s="24"/>
      <c r="W227" s="24"/>
      <c r="X227" s="193"/>
      <c r="Y227" s="15"/>
    </row>
    <row r="228" spans="2:25" x14ac:dyDescent="0.25">
      <c r="B228" s="15">
        <v>226</v>
      </c>
      <c r="C228" s="8"/>
      <c r="E228" s="383"/>
      <c r="F228" s="380"/>
      <c r="G228" s="8"/>
      <c r="H228" s="8"/>
      <c r="I228" s="8"/>
      <c r="J228" s="9"/>
      <c r="K228" s="9">
        <f t="shared" si="30"/>
        <v>0</v>
      </c>
      <c r="L228" s="35">
        <f t="shared" si="31"/>
        <v>0</v>
      </c>
      <c r="M228" s="2"/>
      <c r="O228" s="19"/>
      <c r="P228" s="19"/>
      <c r="Q228" s="19"/>
      <c r="R228" s="21"/>
      <c r="S228" s="46"/>
      <c r="T228" s="44"/>
      <c r="U228" s="77"/>
      <c r="V228" s="24"/>
      <c r="W228" s="24"/>
      <c r="X228" s="193"/>
      <c r="Y228" s="15"/>
    </row>
    <row r="229" spans="2:25" x14ac:dyDescent="0.25">
      <c r="B229" s="15">
        <v>227</v>
      </c>
      <c r="C229" s="8"/>
      <c r="E229" s="383"/>
      <c r="F229" s="380"/>
      <c r="G229" s="8"/>
      <c r="H229" s="8"/>
      <c r="I229" s="8"/>
      <c r="J229" s="9"/>
      <c r="K229" s="9">
        <f t="shared" si="30"/>
        <v>0</v>
      </c>
      <c r="L229" s="35">
        <f t="shared" si="31"/>
        <v>0</v>
      </c>
      <c r="M229" s="2"/>
      <c r="O229" s="19"/>
      <c r="P229" s="19"/>
      <c r="Q229" s="19"/>
      <c r="R229" s="21"/>
      <c r="S229" s="46"/>
      <c r="T229" s="44"/>
      <c r="U229" s="77"/>
      <c r="V229" s="24"/>
      <c r="W229" s="24"/>
      <c r="X229" s="193"/>
      <c r="Y229" s="15"/>
    </row>
    <row r="230" spans="2:25" x14ac:dyDescent="0.25">
      <c r="B230" s="15">
        <v>228</v>
      </c>
      <c r="C230" s="8"/>
      <c r="E230" s="383"/>
      <c r="F230" s="380"/>
      <c r="G230" s="8"/>
      <c r="H230" s="8"/>
      <c r="I230" s="8"/>
      <c r="J230" s="9"/>
      <c r="K230" s="9">
        <f t="shared" si="30"/>
        <v>0</v>
      </c>
      <c r="L230" s="35">
        <f t="shared" si="31"/>
        <v>0</v>
      </c>
      <c r="M230" s="2"/>
      <c r="O230" s="19"/>
      <c r="P230" s="19"/>
      <c r="Q230" s="19"/>
      <c r="R230" s="21"/>
      <c r="S230" s="46"/>
      <c r="T230" s="44"/>
      <c r="U230" s="77"/>
      <c r="V230" s="30"/>
      <c r="W230" s="24"/>
      <c r="X230" s="193"/>
      <c r="Y230" s="15"/>
    </row>
    <row r="231" spans="2:25" x14ac:dyDescent="0.25">
      <c r="B231" s="15">
        <v>229</v>
      </c>
      <c r="C231" s="8"/>
      <c r="E231" s="383"/>
      <c r="F231" s="380"/>
      <c r="G231" s="8"/>
      <c r="H231" s="8"/>
      <c r="I231" s="8"/>
      <c r="J231" s="9"/>
      <c r="K231" s="9">
        <f t="shared" si="30"/>
        <v>0</v>
      </c>
      <c r="L231" s="35">
        <f t="shared" si="31"/>
        <v>0</v>
      </c>
      <c r="M231" s="2"/>
      <c r="O231" s="19"/>
      <c r="P231" s="19"/>
      <c r="Q231" s="19"/>
      <c r="R231" s="21"/>
      <c r="S231" s="46"/>
      <c r="T231" s="44"/>
      <c r="U231" s="77"/>
      <c r="V231" s="30"/>
      <c r="W231" s="24"/>
      <c r="X231" s="193"/>
      <c r="Y231" s="15"/>
    </row>
    <row r="232" spans="2:25" x14ac:dyDescent="0.25">
      <c r="B232" s="15">
        <v>230</v>
      </c>
      <c r="C232" s="8"/>
      <c r="E232" s="383"/>
      <c r="F232" s="380"/>
      <c r="G232" s="8"/>
      <c r="H232" s="8"/>
      <c r="I232" s="8"/>
      <c r="J232" s="9"/>
      <c r="K232" s="9">
        <f t="shared" si="30"/>
        <v>0</v>
      </c>
      <c r="L232" s="35">
        <f t="shared" si="31"/>
        <v>0</v>
      </c>
      <c r="M232" s="2"/>
      <c r="O232" s="19"/>
      <c r="P232" s="19"/>
      <c r="Q232" s="19"/>
      <c r="R232" s="21"/>
      <c r="S232" s="46"/>
      <c r="T232" s="44"/>
      <c r="U232" s="77"/>
      <c r="V232" s="24"/>
      <c r="W232" s="24"/>
      <c r="X232" s="193"/>
      <c r="Y232" s="15"/>
    </row>
    <row r="233" spans="2:25" x14ac:dyDescent="0.25">
      <c r="B233" s="15">
        <v>231</v>
      </c>
      <c r="C233" s="8"/>
      <c r="E233" s="383"/>
      <c r="F233" s="380"/>
      <c r="G233" s="8"/>
      <c r="H233" s="8"/>
      <c r="I233" s="8"/>
      <c r="J233" s="9"/>
      <c r="K233" s="9">
        <f t="shared" si="30"/>
        <v>0</v>
      </c>
      <c r="L233" s="35">
        <f t="shared" si="31"/>
        <v>0</v>
      </c>
      <c r="M233" s="2"/>
      <c r="O233" s="19"/>
      <c r="P233" s="19"/>
      <c r="Q233" s="19"/>
      <c r="R233" s="21"/>
      <c r="S233" s="46"/>
      <c r="T233" s="44"/>
      <c r="U233" s="77"/>
      <c r="V233" s="24"/>
      <c r="W233" s="24"/>
      <c r="X233" s="193"/>
      <c r="Y233" s="15"/>
    </row>
    <row r="234" spans="2:25" x14ac:dyDescent="0.25">
      <c r="B234" s="15">
        <v>232</v>
      </c>
      <c r="C234" s="8"/>
      <c r="E234" s="383"/>
      <c r="F234" s="380"/>
      <c r="G234" s="8"/>
      <c r="H234" s="8"/>
      <c r="I234" s="8"/>
      <c r="J234" s="9"/>
      <c r="K234" s="9">
        <f t="shared" si="30"/>
        <v>0</v>
      </c>
      <c r="L234" s="35">
        <f t="shared" si="31"/>
        <v>0</v>
      </c>
      <c r="M234" s="2"/>
      <c r="O234" s="19"/>
      <c r="P234" s="19"/>
      <c r="Q234" s="19"/>
      <c r="R234" s="21"/>
      <c r="S234" s="46"/>
      <c r="T234" s="44"/>
      <c r="U234" s="77"/>
      <c r="V234" s="24"/>
      <c r="W234" s="24"/>
      <c r="X234" s="193"/>
      <c r="Y234" s="15"/>
    </row>
    <row r="235" spans="2:25" x14ac:dyDescent="0.25">
      <c r="B235" s="15">
        <v>233</v>
      </c>
      <c r="C235" s="8"/>
      <c r="E235" s="383"/>
      <c r="F235" s="380"/>
      <c r="G235" s="8"/>
      <c r="H235" s="8"/>
      <c r="I235" s="8"/>
      <c r="J235" s="9"/>
      <c r="K235" s="9">
        <f t="shared" si="30"/>
        <v>0</v>
      </c>
      <c r="L235" s="35">
        <f t="shared" si="31"/>
        <v>0</v>
      </c>
      <c r="M235" s="2"/>
      <c r="O235" s="19"/>
      <c r="P235" s="19"/>
      <c r="Q235" s="19"/>
      <c r="R235" s="21"/>
      <c r="S235" s="46"/>
      <c r="T235" s="44"/>
      <c r="U235" s="77"/>
      <c r="V235" s="24"/>
      <c r="W235" s="24"/>
      <c r="X235" s="193"/>
      <c r="Y235" s="15"/>
    </row>
    <row r="236" spans="2:25" x14ac:dyDescent="0.25">
      <c r="B236" s="15">
        <v>234</v>
      </c>
      <c r="C236" s="8"/>
      <c r="E236" s="383"/>
      <c r="F236" s="380"/>
      <c r="G236" s="8"/>
      <c r="H236" s="8"/>
      <c r="I236" s="8"/>
      <c r="J236" s="9"/>
      <c r="K236" s="9">
        <f t="shared" si="30"/>
        <v>0</v>
      </c>
      <c r="L236" s="35">
        <f t="shared" si="31"/>
        <v>0</v>
      </c>
      <c r="M236" s="2"/>
      <c r="O236" s="19"/>
      <c r="P236" s="19"/>
      <c r="Q236" s="19"/>
      <c r="R236" s="21"/>
      <c r="S236" s="46"/>
      <c r="T236" s="44"/>
      <c r="U236" s="77"/>
      <c r="V236" s="24"/>
      <c r="W236" s="24"/>
      <c r="X236" s="193"/>
      <c r="Y236" s="15"/>
    </row>
    <row r="237" spans="2:25" x14ac:dyDescent="0.25">
      <c r="B237" s="15">
        <v>235</v>
      </c>
      <c r="C237" s="8"/>
      <c r="E237" s="383"/>
      <c r="F237" s="380"/>
      <c r="G237" s="8"/>
      <c r="H237" s="8"/>
      <c r="I237" s="8"/>
      <c r="J237" s="9"/>
      <c r="K237" s="9">
        <f t="shared" si="30"/>
        <v>0</v>
      </c>
      <c r="L237" s="35">
        <f t="shared" si="31"/>
        <v>0</v>
      </c>
      <c r="M237" s="2"/>
      <c r="O237" s="19"/>
      <c r="P237" s="19"/>
      <c r="Q237" s="19"/>
      <c r="R237" s="21"/>
      <c r="S237" s="46"/>
      <c r="T237" s="44"/>
      <c r="U237" s="77"/>
      <c r="V237" s="24"/>
      <c r="W237" s="24"/>
      <c r="X237" s="193"/>
      <c r="Y237" s="15"/>
    </row>
    <row r="238" spans="2:25" x14ac:dyDescent="0.25">
      <c r="B238" s="15">
        <v>236</v>
      </c>
      <c r="C238" s="8"/>
      <c r="E238" s="383"/>
      <c r="F238" s="380"/>
      <c r="G238" s="8"/>
      <c r="H238" s="8"/>
      <c r="I238" s="8"/>
      <c r="J238" s="9"/>
      <c r="K238" s="9">
        <f t="shared" si="30"/>
        <v>0</v>
      </c>
      <c r="L238" s="35">
        <f t="shared" si="31"/>
        <v>0</v>
      </c>
      <c r="M238" s="2"/>
      <c r="O238" s="19"/>
      <c r="P238" s="19"/>
      <c r="Q238" s="19"/>
      <c r="R238" s="21"/>
      <c r="S238" s="46"/>
      <c r="T238" s="44"/>
      <c r="U238" s="77"/>
      <c r="V238" s="30"/>
      <c r="W238" s="24"/>
      <c r="X238" s="193"/>
      <c r="Y238" s="15"/>
    </row>
    <row r="239" spans="2:25" x14ac:dyDescent="0.25">
      <c r="B239" s="15">
        <v>235</v>
      </c>
      <c r="C239" s="8"/>
      <c r="E239" s="383"/>
      <c r="F239" s="380"/>
      <c r="G239" s="8"/>
      <c r="H239" s="8"/>
      <c r="I239" s="8"/>
      <c r="J239" s="9"/>
      <c r="K239" s="9">
        <f t="shared" si="30"/>
        <v>0</v>
      </c>
      <c r="L239" s="35">
        <f t="shared" si="31"/>
        <v>0</v>
      </c>
      <c r="M239" s="2"/>
      <c r="O239" s="19"/>
      <c r="P239" s="19"/>
      <c r="Q239" s="19"/>
      <c r="R239" s="21"/>
      <c r="S239" s="46"/>
      <c r="T239" s="44"/>
      <c r="U239" s="77"/>
      <c r="V239" s="24"/>
      <c r="W239" s="24"/>
      <c r="X239" s="193"/>
      <c r="Y239" s="15"/>
    </row>
    <row r="240" spans="2:25" x14ac:dyDescent="0.25">
      <c r="B240" s="15">
        <v>238</v>
      </c>
      <c r="C240" s="8"/>
      <c r="E240" s="383"/>
      <c r="F240" s="380"/>
      <c r="G240" s="8"/>
      <c r="H240" s="8"/>
      <c r="I240" s="8"/>
      <c r="J240" s="9"/>
      <c r="K240" s="9">
        <f t="shared" si="30"/>
        <v>0</v>
      </c>
      <c r="L240" s="35">
        <f t="shared" si="31"/>
        <v>0</v>
      </c>
      <c r="M240" s="2"/>
      <c r="O240" s="19"/>
      <c r="P240" s="19"/>
      <c r="Q240" s="19"/>
      <c r="R240" s="21"/>
      <c r="S240" s="46"/>
      <c r="T240" s="44"/>
      <c r="U240" s="77"/>
      <c r="V240" s="24"/>
      <c r="W240" s="24"/>
      <c r="X240" s="193"/>
      <c r="Y240" s="15"/>
    </row>
    <row r="241" spans="2:25" x14ac:dyDescent="0.25">
      <c r="B241" s="15">
        <v>239</v>
      </c>
      <c r="C241" s="8"/>
      <c r="E241" s="383"/>
      <c r="F241" s="380"/>
      <c r="G241" s="8"/>
      <c r="H241" s="8"/>
      <c r="I241" s="8"/>
      <c r="J241" s="9"/>
      <c r="K241" s="9">
        <f t="shared" si="30"/>
        <v>0</v>
      </c>
      <c r="L241" s="35">
        <f t="shared" si="31"/>
        <v>0</v>
      </c>
      <c r="M241" s="2"/>
      <c r="O241" s="19"/>
      <c r="P241" s="19"/>
      <c r="Q241" s="19"/>
      <c r="R241" s="21"/>
      <c r="S241" s="46"/>
      <c r="T241" s="44"/>
      <c r="U241" s="77"/>
      <c r="V241" s="24"/>
      <c r="W241" s="24"/>
      <c r="X241" s="193"/>
      <c r="Y241" s="15"/>
    </row>
    <row r="242" spans="2:25" x14ac:dyDescent="0.25">
      <c r="B242" s="15">
        <v>240</v>
      </c>
      <c r="C242" s="8"/>
      <c r="E242" s="383"/>
      <c r="F242" s="380"/>
      <c r="G242" s="8"/>
      <c r="H242" s="8"/>
      <c r="I242" s="8"/>
      <c r="J242" s="9"/>
      <c r="K242" s="9">
        <f t="shared" si="30"/>
        <v>0</v>
      </c>
      <c r="L242" s="35">
        <f t="shared" si="31"/>
        <v>0</v>
      </c>
      <c r="M242" s="2"/>
      <c r="O242" s="19"/>
      <c r="P242" s="19"/>
      <c r="Q242" s="19"/>
      <c r="R242" s="21"/>
      <c r="S242" s="46"/>
      <c r="T242" s="44"/>
      <c r="U242" s="77"/>
      <c r="V242" s="24"/>
      <c r="W242" s="24"/>
      <c r="X242" s="193"/>
      <c r="Y242" s="15"/>
    </row>
    <row r="243" spans="2:25" x14ac:dyDescent="0.25">
      <c r="B243" s="15">
        <v>241</v>
      </c>
      <c r="C243" s="8"/>
      <c r="E243" s="383"/>
      <c r="F243" s="380"/>
      <c r="G243" s="8"/>
      <c r="H243" s="8"/>
      <c r="I243" s="8"/>
      <c r="J243" s="9"/>
      <c r="K243" s="9">
        <f t="shared" si="30"/>
        <v>0</v>
      </c>
      <c r="L243" s="35">
        <f t="shared" si="31"/>
        <v>0</v>
      </c>
      <c r="M243" s="2"/>
      <c r="O243" s="19"/>
      <c r="P243" s="19"/>
      <c r="Q243" s="19"/>
      <c r="R243" s="21"/>
      <c r="S243" s="46"/>
      <c r="T243" s="44"/>
      <c r="U243" s="77"/>
      <c r="V243" s="24"/>
      <c r="W243" s="24"/>
      <c r="X243" s="193"/>
      <c r="Y243" s="15"/>
    </row>
    <row r="244" spans="2:25" x14ac:dyDescent="0.25">
      <c r="B244" s="15">
        <v>242</v>
      </c>
      <c r="C244" s="8"/>
      <c r="E244" s="383"/>
      <c r="F244" s="380"/>
      <c r="G244" s="8"/>
      <c r="H244" s="8"/>
      <c r="I244" s="8"/>
      <c r="J244" s="9"/>
      <c r="K244" s="9">
        <f t="shared" si="30"/>
        <v>0</v>
      </c>
      <c r="L244" s="35">
        <f t="shared" si="31"/>
        <v>0</v>
      </c>
      <c r="M244" s="2"/>
      <c r="O244" s="19"/>
      <c r="P244" s="19"/>
      <c r="Q244" s="19"/>
      <c r="R244" s="21"/>
      <c r="S244" s="46"/>
      <c r="T244" s="44"/>
      <c r="U244" s="77"/>
      <c r="V244" s="30"/>
      <c r="W244" s="24"/>
      <c r="X244" s="193"/>
      <c r="Y244" s="15"/>
    </row>
    <row r="245" spans="2:25" x14ac:dyDescent="0.25">
      <c r="B245" s="15">
        <v>243</v>
      </c>
      <c r="C245" s="8"/>
      <c r="E245" s="383"/>
      <c r="F245" s="380"/>
      <c r="G245" s="8"/>
      <c r="H245" s="8"/>
      <c r="I245" s="8"/>
      <c r="J245" s="9"/>
      <c r="K245" s="9">
        <f t="shared" si="30"/>
        <v>0</v>
      </c>
      <c r="L245" s="35">
        <f t="shared" si="31"/>
        <v>0</v>
      </c>
      <c r="M245" s="2"/>
      <c r="O245" s="19"/>
      <c r="P245" s="19"/>
      <c r="Q245" s="19"/>
      <c r="R245" s="21"/>
      <c r="S245" s="46"/>
      <c r="T245" s="44"/>
      <c r="U245" s="77"/>
      <c r="V245" s="30"/>
      <c r="W245" s="24"/>
      <c r="X245" s="193"/>
      <c r="Y245" s="15"/>
    </row>
    <row r="246" spans="2:25" x14ac:dyDescent="0.25">
      <c r="B246" s="15">
        <v>244</v>
      </c>
      <c r="C246" s="8"/>
      <c r="E246" s="383"/>
      <c r="F246" s="380"/>
      <c r="G246" s="8"/>
      <c r="H246" s="8"/>
      <c r="I246" s="8"/>
      <c r="J246" s="9"/>
      <c r="K246" s="9">
        <f t="shared" si="30"/>
        <v>0</v>
      </c>
      <c r="L246" s="35">
        <f t="shared" si="31"/>
        <v>0</v>
      </c>
      <c r="M246" s="2"/>
      <c r="O246" s="19"/>
      <c r="P246" s="19"/>
      <c r="Q246" s="19"/>
      <c r="R246" s="21"/>
      <c r="S246" s="46"/>
      <c r="T246" s="44"/>
      <c r="U246" s="77"/>
      <c r="V246" s="30"/>
      <c r="W246" s="24"/>
      <c r="X246" s="193"/>
      <c r="Y246" s="15"/>
    </row>
    <row r="247" spans="2:25" x14ac:dyDescent="0.25">
      <c r="B247" s="15">
        <v>245</v>
      </c>
      <c r="C247" s="8"/>
      <c r="E247" s="383"/>
      <c r="F247" s="380"/>
      <c r="G247" s="8"/>
      <c r="H247" s="8"/>
      <c r="I247" s="8"/>
      <c r="J247" s="9"/>
      <c r="K247" s="9">
        <f t="shared" si="30"/>
        <v>0</v>
      </c>
      <c r="L247" s="35">
        <f t="shared" si="31"/>
        <v>0</v>
      </c>
      <c r="M247" s="2"/>
      <c r="O247" s="19"/>
      <c r="P247" s="19"/>
      <c r="Q247" s="19"/>
      <c r="R247" s="21"/>
      <c r="S247" s="46"/>
      <c r="T247" s="44"/>
      <c r="U247" s="77"/>
      <c r="V247" s="30"/>
      <c r="W247" s="24"/>
      <c r="X247" s="193"/>
      <c r="Y247" s="15"/>
    </row>
    <row r="248" spans="2:25" x14ac:dyDescent="0.25">
      <c r="B248" s="15">
        <v>246</v>
      </c>
      <c r="C248" s="8"/>
      <c r="E248" s="383"/>
      <c r="F248" s="380"/>
      <c r="G248" s="8"/>
      <c r="H248" s="8"/>
      <c r="I248" s="8"/>
      <c r="J248" s="9"/>
      <c r="K248" s="9">
        <f t="shared" si="30"/>
        <v>0</v>
      </c>
      <c r="L248" s="35">
        <f t="shared" si="31"/>
        <v>0</v>
      </c>
      <c r="M248" s="2"/>
      <c r="O248" s="19"/>
      <c r="P248" s="19"/>
      <c r="Q248" s="19"/>
      <c r="R248" s="21"/>
      <c r="S248" s="46"/>
      <c r="T248" s="44"/>
      <c r="U248" s="77"/>
      <c r="V248" s="24"/>
      <c r="W248" s="24"/>
      <c r="X248" s="193"/>
      <c r="Y248" s="15"/>
    </row>
    <row r="249" spans="2:25" x14ac:dyDescent="0.25">
      <c r="B249" s="15">
        <v>247</v>
      </c>
      <c r="C249" s="8"/>
      <c r="E249" s="383"/>
      <c r="F249" s="380"/>
      <c r="G249" s="8"/>
      <c r="H249" s="8"/>
      <c r="I249" s="8"/>
      <c r="J249" s="9"/>
      <c r="K249" s="9">
        <f t="shared" si="30"/>
        <v>0</v>
      </c>
      <c r="L249" s="35">
        <f t="shared" si="31"/>
        <v>0</v>
      </c>
      <c r="M249" s="2"/>
      <c r="O249" s="19"/>
      <c r="P249" s="19"/>
      <c r="Q249" s="19"/>
      <c r="R249" s="21"/>
      <c r="S249" s="46"/>
      <c r="T249" s="44"/>
      <c r="U249" s="77"/>
      <c r="V249" s="24"/>
      <c r="W249" s="24"/>
      <c r="X249" s="193"/>
      <c r="Y249" s="15"/>
    </row>
    <row r="250" spans="2:25" x14ac:dyDescent="0.25">
      <c r="B250" s="15">
        <v>246</v>
      </c>
      <c r="C250" s="8"/>
      <c r="E250" s="383"/>
      <c r="F250" s="380"/>
      <c r="G250" s="8"/>
      <c r="H250" s="8"/>
      <c r="I250" s="8"/>
      <c r="J250" s="9"/>
      <c r="K250" s="9">
        <f t="shared" si="30"/>
        <v>0</v>
      </c>
      <c r="L250" s="35">
        <f t="shared" si="31"/>
        <v>0</v>
      </c>
      <c r="M250" s="2"/>
      <c r="O250" s="19"/>
      <c r="P250" s="19"/>
      <c r="Q250" s="19"/>
      <c r="R250" s="21"/>
      <c r="S250" s="46"/>
      <c r="T250" s="44"/>
      <c r="U250" s="77"/>
      <c r="V250" s="24"/>
      <c r="W250" s="24"/>
      <c r="X250" s="193"/>
      <c r="Y250" s="15"/>
    </row>
    <row r="251" spans="2:25" x14ac:dyDescent="0.25">
      <c r="B251" s="15">
        <v>249</v>
      </c>
      <c r="C251" s="8"/>
      <c r="E251" s="383"/>
      <c r="F251" s="380"/>
      <c r="G251" s="8"/>
      <c r="H251" s="8"/>
      <c r="I251" s="8"/>
      <c r="J251" s="9"/>
      <c r="K251" s="9">
        <f t="shared" si="30"/>
        <v>0</v>
      </c>
      <c r="L251" s="35">
        <f t="shared" si="31"/>
        <v>0</v>
      </c>
      <c r="M251" s="2"/>
      <c r="O251" s="19"/>
      <c r="P251" s="19"/>
      <c r="Q251" s="19"/>
      <c r="R251" s="21"/>
      <c r="S251" s="46"/>
      <c r="T251" s="44"/>
      <c r="U251" s="77"/>
      <c r="V251" s="24"/>
      <c r="W251" s="24"/>
      <c r="X251" s="193"/>
      <c r="Y251" s="15"/>
    </row>
    <row r="252" spans="2:25" x14ac:dyDescent="0.25">
      <c r="B252" s="15">
        <v>250</v>
      </c>
      <c r="C252" s="8"/>
      <c r="E252" s="383"/>
      <c r="F252" s="380"/>
      <c r="G252" s="8"/>
      <c r="H252" s="8"/>
      <c r="I252" s="8"/>
      <c r="J252" s="9"/>
      <c r="K252" s="9">
        <f t="shared" si="30"/>
        <v>0</v>
      </c>
      <c r="L252" s="35">
        <f t="shared" si="31"/>
        <v>0</v>
      </c>
      <c r="M252" s="2"/>
      <c r="O252" s="19"/>
      <c r="P252" s="19"/>
      <c r="Q252" s="19"/>
      <c r="R252" s="21"/>
      <c r="S252" s="46"/>
      <c r="T252" s="44"/>
      <c r="U252" s="77"/>
      <c r="V252" s="30"/>
      <c r="W252" s="24"/>
      <c r="X252" s="193"/>
      <c r="Y252" s="15"/>
    </row>
    <row r="253" spans="2:25" x14ac:dyDescent="0.25">
      <c r="B253" s="15">
        <v>251</v>
      </c>
      <c r="C253" s="8"/>
      <c r="E253" s="383"/>
      <c r="F253" s="380"/>
      <c r="G253" s="8"/>
      <c r="H253" s="8"/>
      <c r="I253" s="8"/>
      <c r="J253" s="9"/>
      <c r="K253" s="9">
        <f t="shared" si="30"/>
        <v>0</v>
      </c>
      <c r="L253" s="35">
        <f t="shared" si="31"/>
        <v>0</v>
      </c>
      <c r="M253" s="2"/>
      <c r="O253" s="19"/>
      <c r="P253" s="19"/>
      <c r="Q253" s="19"/>
      <c r="R253" s="21"/>
      <c r="S253" s="46"/>
      <c r="T253" s="44"/>
      <c r="U253" s="77"/>
      <c r="V253" s="30"/>
      <c r="W253" s="24"/>
      <c r="X253" s="193"/>
      <c r="Y253" s="15"/>
    </row>
    <row r="254" spans="2:25" x14ac:dyDescent="0.25">
      <c r="B254" s="15">
        <v>252</v>
      </c>
      <c r="C254" s="8"/>
      <c r="E254" s="383"/>
      <c r="F254" s="380"/>
      <c r="G254" s="8"/>
      <c r="H254" s="8"/>
      <c r="I254" s="8"/>
      <c r="J254" s="9"/>
      <c r="K254" s="9">
        <f t="shared" si="30"/>
        <v>0</v>
      </c>
      <c r="L254" s="35">
        <f t="shared" si="31"/>
        <v>0</v>
      </c>
      <c r="M254" s="2"/>
      <c r="O254" s="19"/>
      <c r="P254" s="19"/>
      <c r="Q254" s="19"/>
      <c r="R254" s="21"/>
      <c r="S254" s="46"/>
      <c r="T254" s="44"/>
      <c r="U254" s="77"/>
      <c r="V254" s="24"/>
      <c r="W254" s="24"/>
      <c r="X254" s="193"/>
      <c r="Y254" s="15"/>
    </row>
    <row r="255" spans="2:25" x14ac:dyDescent="0.25">
      <c r="B255" s="15">
        <v>253</v>
      </c>
      <c r="C255" s="8"/>
      <c r="E255" s="383"/>
      <c r="F255" s="380"/>
      <c r="G255" s="8"/>
      <c r="H255" s="8"/>
      <c r="I255" s="8"/>
      <c r="J255" s="9"/>
      <c r="K255" s="9">
        <f t="shared" si="30"/>
        <v>0</v>
      </c>
      <c r="L255" s="35">
        <f t="shared" si="31"/>
        <v>0</v>
      </c>
      <c r="M255" s="2"/>
      <c r="O255" s="19"/>
      <c r="P255" s="19"/>
      <c r="Q255" s="19"/>
      <c r="R255" s="21"/>
      <c r="S255" s="46"/>
      <c r="T255" s="44"/>
      <c r="U255" s="77"/>
      <c r="V255" s="30"/>
      <c r="W255" s="24"/>
      <c r="X255" s="193"/>
      <c r="Y255" s="15"/>
    </row>
    <row r="256" spans="2:25" x14ac:dyDescent="0.25">
      <c r="B256" s="15">
        <v>254</v>
      </c>
      <c r="C256" s="8"/>
      <c r="E256" s="383"/>
      <c r="F256" s="380"/>
      <c r="G256" s="8"/>
      <c r="H256" s="8"/>
      <c r="I256" s="8"/>
      <c r="J256" s="9"/>
      <c r="K256" s="9">
        <f t="shared" si="30"/>
        <v>0</v>
      </c>
      <c r="L256" s="35">
        <f t="shared" si="31"/>
        <v>0</v>
      </c>
      <c r="M256" s="2"/>
      <c r="O256" s="19"/>
      <c r="P256" s="19"/>
      <c r="Q256" s="19"/>
      <c r="R256" s="21"/>
      <c r="S256" s="46"/>
      <c r="T256" s="44"/>
      <c r="U256" s="77"/>
      <c r="V256" s="24"/>
      <c r="W256" s="24"/>
      <c r="X256" s="193"/>
      <c r="Y256" s="15"/>
    </row>
    <row r="257" spans="2:25" x14ac:dyDescent="0.25">
      <c r="B257" s="15">
        <v>255</v>
      </c>
      <c r="C257" s="8"/>
      <c r="E257" s="383"/>
      <c r="F257" s="380"/>
      <c r="G257" s="8"/>
      <c r="H257" s="8"/>
      <c r="I257" s="8"/>
      <c r="J257" s="9"/>
      <c r="K257" s="9">
        <f t="shared" si="30"/>
        <v>0</v>
      </c>
      <c r="L257" s="35">
        <f t="shared" si="31"/>
        <v>0</v>
      </c>
      <c r="M257" s="2"/>
      <c r="O257" s="19"/>
      <c r="P257" s="19"/>
      <c r="Q257" s="19"/>
      <c r="R257" s="21"/>
      <c r="S257" s="46"/>
      <c r="T257" s="44"/>
      <c r="U257" s="77"/>
      <c r="V257" s="24"/>
      <c r="W257" s="24"/>
      <c r="X257" s="193"/>
      <c r="Y257" s="15"/>
    </row>
    <row r="258" spans="2:25" x14ac:dyDescent="0.25">
      <c r="B258" s="15">
        <v>256</v>
      </c>
      <c r="C258" s="8"/>
      <c r="E258" s="383"/>
      <c r="F258" s="380"/>
      <c r="G258" s="8"/>
      <c r="H258" s="8"/>
      <c r="I258" s="8"/>
      <c r="J258" s="9"/>
      <c r="K258" s="9">
        <f t="shared" si="30"/>
        <v>0</v>
      </c>
      <c r="L258" s="35">
        <f t="shared" si="31"/>
        <v>0</v>
      </c>
      <c r="M258" s="2"/>
      <c r="O258" s="19"/>
      <c r="P258" s="19"/>
      <c r="Q258" s="19"/>
      <c r="R258" s="21"/>
      <c r="S258" s="46"/>
      <c r="T258" s="44"/>
      <c r="U258" s="77"/>
      <c r="V258" s="24"/>
      <c r="W258" s="24"/>
      <c r="X258" s="193"/>
      <c r="Y258" s="15"/>
    </row>
    <row r="259" spans="2:25" x14ac:dyDescent="0.25">
      <c r="B259" s="15">
        <v>257</v>
      </c>
      <c r="C259" s="8"/>
      <c r="E259" s="383"/>
      <c r="F259" s="380"/>
      <c r="G259" s="8"/>
      <c r="H259" s="8"/>
      <c r="I259" s="8"/>
      <c r="J259" s="9"/>
      <c r="K259" s="9">
        <f t="shared" si="30"/>
        <v>0</v>
      </c>
      <c r="L259" s="35">
        <f t="shared" si="31"/>
        <v>0</v>
      </c>
      <c r="M259" s="2"/>
      <c r="O259" s="19"/>
      <c r="P259" s="19"/>
      <c r="Q259" s="19"/>
      <c r="R259" s="21"/>
      <c r="S259" s="46"/>
      <c r="T259" s="44"/>
      <c r="U259" s="77"/>
      <c r="V259" s="30"/>
      <c r="W259" s="24"/>
      <c r="X259" s="193"/>
      <c r="Y259" s="15"/>
    </row>
    <row r="260" spans="2:25" x14ac:dyDescent="0.25">
      <c r="B260" s="15">
        <v>258</v>
      </c>
      <c r="C260" s="8"/>
      <c r="E260" s="383"/>
      <c r="F260" s="380"/>
      <c r="G260" s="8"/>
      <c r="H260" s="8"/>
      <c r="I260" s="8"/>
      <c r="J260" s="9"/>
      <c r="K260" s="9">
        <f t="shared" si="30"/>
        <v>0</v>
      </c>
      <c r="L260" s="35">
        <f t="shared" si="31"/>
        <v>0</v>
      </c>
      <c r="M260" s="2"/>
      <c r="O260" s="19"/>
      <c r="P260" s="19"/>
      <c r="Q260" s="19"/>
      <c r="R260" s="21"/>
      <c r="S260" s="46"/>
      <c r="T260" s="44"/>
      <c r="U260" s="77"/>
      <c r="V260" s="30"/>
      <c r="W260" s="24"/>
      <c r="X260" s="193"/>
      <c r="Y260" s="15"/>
    </row>
    <row r="261" spans="2:25" x14ac:dyDescent="0.25">
      <c r="B261" s="15">
        <v>259</v>
      </c>
      <c r="C261" s="8"/>
      <c r="E261" s="383"/>
      <c r="F261" s="380"/>
      <c r="G261" s="8"/>
      <c r="H261" s="8"/>
      <c r="I261" s="8"/>
      <c r="J261" s="9"/>
      <c r="K261" s="9">
        <f t="shared" si="30"/>
        <v>0</v>
      </c>
      <c r="L261" s="35">
        <f t="shared" si="31"/>
        <v>0</v>
      </c>
      <c r="M261" s="2"/>
      <c r="O261" s="19"/>
      <c r="P261" s="19"/>
      <c r="Q261" s="19"/>
      <c r="R261" s="21"/>
      <c r="S261" s="46"/>
      <c r="T261" s="44"/>
      <c r="U261" s="77"/>
      <c r="V261" s="24"/>
      <c r="W261" s="24"/>
      <c r="X261" s="193"/>
      <c r="Y261" s="15"/>
    </row>
    <row r="262" spans="2:25" x14ac:dyDescent="0.25">
      <c r="B262" s="15">
        <v>260</v>
      </c>
      <c r="C262" s="8"/>
      <c r="E262" s="383"/>
      <c r="F262" s="380"/>
      <c r="G262" s="8"/>
      <c r="H262" s="8"/>
      <c r="I262" s="8"/>
      <c r="J262" s="9"/>
      <c r="K262" s="9">
        <f t="shared" si="30"/>
        <v>0</v>
      </c>
      <c r="L262" s="35">
        <f t="shared" si="31"/>
        <v>0</v>
      </c>
      <c r="M262" s="2"/>
      <c r="O262" s="19"/>
      <c r="P262" s="19"/>
      <c r="Q262" s="19"/>
      <c r="R262" s="21"/>
      <c r="S262" s="46"/>
      <c r="T262" s="44"/>
      <c r="U262" s="77"/>
      <c r="V262" s="24"/>
      <c r="W262" s="24"/>
      <c r="X262" s="193"/>
      <c r="Y262" s="15"/>
    </row>
    <row r="263" spans="2:25" x14ac:dyDescent="0.25">
      <c r="B263" s="15">
        <v>261</v>
      </c>
      <c r="C263" s="8"/>
      <c r="E263" s="383"/>
      <c r="F263" s="380"/>
      <c r="G263" s="8"/>
      <c r="H263" s="8"/>
      <c r="I263" s="8"/>
      <c r="J263" s="9"/>
      <c r="K263" s="9">
        <f t="shared" ref="K263:K323" si="36">J263*1.1</f>
        <v>0</v>
      </c>
      <c r="L263" s="35">
        <f t="shared" ref="L263:L323" si="37">J263*0.00000001</f>
        <v>0</v>
      </c>
      <c r="M263" s="2"/>
      <c r="O263" s="19"/>
      <c r="P263" s="19"/>
      <c r="Q263" s="19"/>
      <c r="R263" s="21"/>
      <c r="S263" s="46"/>
      <c r="T263" s="44"/>
      <c r="U263" s="77"/>
      <c r="V263" s="24"/>
      <c r="W263" s="24"/>
      <c r="X263" s="193"/>
      <c r="Y263" s="15"/>
    </row>
    <row r="264" spans="2:25" x14ac:dyDescent="0.25">
      <c r="B264" s="15">
        <v>262</v>
      </c>
      <c r="C264" s="8"/>
      <c r="E264" s="383"/>
      <c r="F264" s="380"/>
      <c r="G264" s="8"/>
      <c r="H264" s="8"/>
      <c r="I264" s="8"/>
      <c r="J264" s="9"/>
      <c r="K264" s="9">
        <f t="shared" si="36"/>
        <v>0</v>
      </c>
      <c r="L264" s="35">
        <f t="shared" si="37"/>
        <v>0</v>
      </c>
      <c r="M264" s="2"/>
      <c r="O264" s="19"/>
      <c r="P264" s="19"/>
      <c r="Q264" s="19"/>
      <c r="R264" s="21"/>
      <c r="S264" s="46"/>
      <c r="T264" s="44"/>
      <c r="U264" s="77"/>
      <c r="V264" s="24"/>
      <c r="W264" s="24"/>
      <c r="X264" s="193"/>
      <c r="Y264" s="15"/>
    </row>
    <row r="265" spans="2:25" x14ac:dyDescent="0.25">
      <c r="B265" s="15">
        <v>263</v>
      </c>
      <c r="C265" s="8"/>
      <c r="E265" s="383"/>
      <c r="F265" s="380"/>
      <c r="G265" s="8"/>
      <c r="H265" s="8"/>
      <c r="I265" s="8"/>
      <c r="J265" s="9"/>
      <c r="K265" s="9">
        <f t="shared" si="36"/>
        <v>0</v>
      </c>
      <c r="L265" s="35">
        <f t="shared" si="37"/>
        <v>0</v>
      </c>
      <c r="M265" s="2"/>
      <c r="O265" s="19"/>
      <c r="P265" s="19"/>
      <c r="Q265" s="19"/>
      <c r="R265" s="21"/>
      <c r="S265" s="46"/>
      <c r="T265" s="44"/>
      <c r="U265" s="77"/>
      <c r="V265" s="24"/>
      <c r="W265" s="24"/>
      <c r="X265" s="193"/>
      <c r="Y265" s="15"/>
    </row>
    <row r="266" spans="2:25" x14ac:dyDescent="0.25">
      <c r="B266" s="15">
        <v>264</v>
      </c>
      <c r="C266" s="8"/>
      <c r="E266" s="383"/>
      <c r="F266" s="380"/>
      <c r="G266" s="8"/>
      <c r="H266" s="8"/>
      <c r="I266" s="8"/>
      <c r="J266" s="9"/>
      <c r="K266" s="9">
        <f t="shared" si="36"/>
        <v>0</v>
      </c>
      <c r="L266" s="35">
        <f t="shared" si="37"/>
        <v>0</v>
      </c>
      <c r="M266" s="2"/>
      <c r="O266" s="19"/>
      <c r="P266" s="19"/>
      <c r="Q266" s="19"/>
      <c r="R266" s="21"/>
      <c r="S266" s="46"/>
      <c r="T266" s="44"/>
      <c r="U266" s="77"/>
      <c r="V266" s="30"/>
      <c r="W266" s="24"/>
      <c r="X266" s="193"/>
      <c r="Y266" s="15"/>
    </row>
    <row r="267" spans="2:25" x14ac:dyDescent="0.25">
      <c r="B267" s="15">
        <v>265</v>
      </c>
      <c r="C267" s="8"/>
      <c r="E267" s="383"/>
      <c r="F267" s="380"/>
      <c r="G267" s="8"/>
      <c r="H267" s="8"/>
      <c r="I267" s="8"/>
      <c r="J267" s="9"/>
      <c r="K267" s="9">
        <f t="shared" si="36"/>
        <v>0</v>
      </c>
      <c r="L267" s="35">
        <f t="shared" si="37"/>
        <v>0</v>
      </c>
      <c r="M267" s="2"/>
      <c r="O267" s="19"/>
      <c r="P267" s="19"/>
      <c r="Q267" s="19"/>
      <c r="R267" s="21"/>
      <c r="S267" s="46"/>
      <c r="T267" s="44"/>
      <c r="U267" s="77"/>
      <c r="V267" s="30"/>
      <c r="W267" s="24"/>
      <c r="X267" s="193"/>
      <c r="Y267" s="15"/>
    </row>
    <row r="268" spans="2:25" x14ac:dyDescent="0.25">
      <c r="B268" s="15">
        <v>266</v>
      </c>
      <c r="C268" s="8"/>
      <c r="E268" s="383"/>
      <c r="F268" s="380"/>
      <c r="G268" s="8"/>
      <c r="H268" s="8"/>
      <c r="I268" s="8"/>
      <c r="J268" s="9"/>
      <c r="K268" s="9">
        <f t="shared" si="36"/>
        <v>0</v>
      </c>
      <c r="L268" s="35">
        <f t="shared" si="37"/>
        <v>0</v>
      </c>
      <c r="M268" s="2"/>
      <c r="O268" s="19"/>
      <c r="P268" s="19"/>
      <c r="Q268" s="19"/>
      <c r="R268" s="21"/>
      <c r="S268" s="46"/>
      <c r="T268" s="44"/>
      <c r="U268" s="77"/>
      <c r="V268" s="30"/>
      <c r="W268" s="24"/>
      <c r="X268" s="193"/>
      <c r="Y268" s="15"/>
    </row>
    <row r="269" spans="2:25" x14ac:dyDescent="0.25">
      <c r="B269" s="15">
        <v>267</v>
      </c>
      <c r="C269" s="8"/>
      <c r="E269" s="383"/>
      <c r="F269" s="380"/>
      <c r="G269" s="8"/>
      <c r="H269" s="8"/>
      <c r="I269" s="8"/>
      <c r="J269" s="9"/>
      <c r="K269" s="9">
        <f t="shared" si="36"/>
        <v>0</v>
      </c>
      <c r="L269" s="35">
        <f t="shared" si="37"/>
        <v>0</v>
      </c>
      <c r="M269" s="2"/>
      <c r="O269" s="19"/>
      <c r="P269" s="19"/>
      <c r="Q269" s="19"/>
      <c r="R269" s="21"/>
      <c r="S269" s="46"/>
      <c r="T269" s="44"/>
      <c r="U269" s="77"/>
      <c r="V269" s="30"/>
      <c r="W269" s="24"/>
      <c r="X269" s="193"/>
      <c r="Y269" s="15"/>
    </row>
    <row r="270" spans="2:25" x14ac:dyDescent="0.25">
      <c r="B270" s="15">
        <v>268</v>
      </c>
      <c r="C270" s="8"/>
      <c r="E270" s="383"/>
      <c r="F270" s="380"/>
      <c r="G270" s="8"/>
      <c r="H270" s="8"/>
      <c r="I270" s="8"/>
      <c r="J270" s="9"/>
      <c r="K270" s="9">
        <f t="shared" si="36"/>
        <v>0</v>
      </c>
      <c r="L270" s="35">
        <f t="shared" si="37"/>
        <v>0</v>
      </c>
      <c r="M270" s="2"/>
      <c r="O270" s="19"/>
      <c r="P270" s="19"/>
      <c r="Q270" s="19"/>
      <c r="R270" s="21"/>
      <c r="S270" s="46"/>
      <c r="T270" s="44"/>
      <c r="U270" s="77"/>
      <c r="V270" s="24"/>
      <c r="W270" s="24"/>
      <c r="X270" s="193"/>
      <c r="Y270" s="15"/>
    </row>
    <row r="271" spans="2:25" x14ac:dyDescent="0.25">
      <c r="B271" s="15">
        <v>269</v>
      </c>
      <c r="C271" s="8"/>
      <c r="E271" s="383"/>
      <c r="F271" s="380"/>
      <c r="G271" s="8"/>
      <c r="H271" s="8"/>
      <c r="I271" s="8"/>
      <c r="J271" s="9"/>
      <c r="K271" s="9">
        <f t="shared" si="36"/>
        <v>0</v>
      </c>
      <c r="L271" s="35">
        <f t="shared" si="37"/>
        <v>0</v>
      </c>
      <c r="M271" s="2"/>
      <c r="O271" s="19"/>
      <c r="P271" s="19"/>
      <c r="Q271" s="19"/>
      <c r="R271" s="21"/>
      <c r="S271" s="46"/>
      <c r="T271" s="44"/>
      <c r="U271" s="77"/>
      <c r="V271" s="24"/>
      <c r="W271" s="24"/>
      <c r="X271" s="193"/>
      <c r="Y271" s="15"/>
    </row>
    <row r="272" spans="2:25" x14ac:dyDescent="0.25">
      <c r="B272" s="15">
        <v>270</v>
      </c>
      <c r="C272" s="8"/>
      <c r="E272" s="383"/>
      <c r="F272" s="380"/>
      <c r="G272" s="8"/>
      <c r="H272" s="8"/>
      <c r="I272" s="8"/>
      <c r="J272" s="9"/>
      <c r="K272" s="9">
        <f t="shared" si="36"/>
        <v>0</v>
      </c>
      <c r="L272" s="35">
        <f t="shared" si="37"/>
        <v>0</v>
      </c>
      <c r="M272" s="2"/>
      <c r="O272" s="19"/>
      <c r="P272" s="19"/>
      <c r="Q272" s="19"/>
      <c r="R272" s="21"/>
      <c r="S272" s="46"/>
      <c r="T272" s="44"/>
      <c r="U272" s="77"/>
      <c r="V272" s="24"/>
      <c r="W272" s="24"/>
      <c r="X272" s="193"/>
      <c r="Y272" s="15"/>
    </row>
    <row r="273" spans="2:25" x14ac:dyDescent="0.25">
      <c r="B273" s="15">
        <v>271</v>
      </c>
      <c r="C273" s="8"/>
      <c r="E273" s="383"/>
      <c r="F273" s="380"/>
      <c r="G273" s="8"/>
      <c r="H273" s="8"/>
      <c r="I273" s="8"/>
      <c r="J273" s="9"/>
      <c r="K273" s="9">
        <f t="shared" si="36"/>
        <v>0</v>
      </c>
      <c r="L273" s="35">
        <f t="shared" si="37"/>
        <v>0</v>
      </c>
      <c r="M273" s="2"/>
      <c r="O273" s="19"/>
      <c r="P273" s="19"/>
      <c r="Q273" s="19"/>
      <c r="R273" s="21"/>
      <c r="S273" s="46"/>
      <c r="T273" s="44"/>
      <c r="U273" s="77"/>
      <c r="V273" s="24"/>
      <c r="W273" s="24"/>
      <c r="X273" s="193"/>
      <c r="Y273" s="15"/>
    </row>
    <row r="274" spans="2:25" x14ac:dyDescent="0.25">
      <c r="B274" s="15">
        <v>272</v>
      </c>
      <c r="C274" s="8"/>
      <c r="E274" s="383"/>
      <c r="F274" s="380"/>
      <c r="G274" s="8"/>
      <c r="H274" s="8"/>
      <c r="I274" s="8"/>
      <c r="J274" s="9"/>
      <c r="K274" s="9">
        <f t="shared" si="36"/>
        <v>0</v>
      </c>
      <c r="L274" s="35">
        <f t="shared" si="37"/>
        <v>0</v>
      </c>
      <c r="M274" s="2"/>
      <c r="O274" s="19"/>
      <c r="P274" s="19"/>
      <c r="Q274" s="19"/>
      <c r="R274" s="21"/>
      <c r="S274" s="46"/>
      <c r="T274" s="44"/>
      <c r="U274" s="77"/>
      <c r="V274" s="24"/>
      <c r="W274" s="24"/>
      <c r="X274" s="193"/>
      <c r="Y274" s="15"/>
    </row>
    <row r="275" spans="2:25" x14ac:dyDescent="0.25">
      <c r="B275" s="15">
        <v>273</v>
      </c>
      <c r="C275" s="8"/>
      <c r="E275" s="383"/>
      <c r="F275" s="380"/>
      <c r="G275" s="8"/>
      <c r="H275" s="8"/>
      <c r="I275" s="8"/>
      <c r="J275" s="9"/>
      <c r="K275" s="9">
        <f t="shared" si="36"/>
        <v>0</v>
      </c>
      <c r="L275" s="35">
        <f t="shared" si="37"/>
        <v>0</v>
      </c>
      <c r="M275" s="2"/>
      <c r="O275" s="19"/>
      <c r="P275" s="19"/>
      <c r="Q275" s="19"/>
      <c r="R275" s="21"/>
      <c r="S275" s="46"/>
      <c r="T275" s="44"/>
      <c r="U275" s="77"/>
      <c r="V275" s="30"/>
      <c r="W275" s="24"/>
      <c r="X275" s="193"/>
      <c r="Y275" s="15"/>
    </row>
    <row r="276" spans="2:25" x14ac:dyDescent="0.25">
      <c r="B276" s="15">
        <v>274</v>
      </c>
      <c r="C276" s="8"/>
      <c r="E276" s="383"/>
      <c r="F276" s="380"/>
      <c r="G276" s="8"/>
      <c r="H276" s="8"/>
      <c r="I276" s="8"/>
      <c r="J276" s="9"/>
      <c r="K276" s="9">
        <f t="shared" si="36"/>
        <v>0</v>
      </c>
      <c r="L276" s="35">
        <f t="shared" si="37"/>
        <v>0</v>
      </c>
      <c r="M276" s="2"/>
      <c r="O276" s="19"/>
      <c r="P276" s="19"/>
      <c r="Q276" s="19"/>
      <c r="R276" s="21"/>
      <c r="S276" s="46"/>
      <c r="T276" s="44"/>
      <c r="U276" s="77"/>
      <c r="V276" s="30"/>
      <c r="W276" s="24"/>
      <c r="X276" s="193"/>
      <c r="Y276" s="15"/>
    </row>
    <row r="277" spans="2:25" x14ac:dyDescent="0.25">
      <c r="B277" s="15">
        <v>275</v>
      </c>
      <c r="C277" s="8"/>
      <c r="E277" s="383"/>
      <c r="F277" s="380"/>
      <c r="G277" s="8"/>
      <c r="H277" s="8"/>
      <c r="I277" s="8"/>
      <c r="J277" s="9"/>
      <c r="K277" s="9">
        <f t="shared" si="36"/>
        <v>0</v>
      </c>
      <c r="L277" s="35">
        <f t="shared" si="37"/>
        <v>0</v>
      </c>
      <c r="M277" s="2"/>
      <c r="O277" s="19"/>
      <c r="P277" s="19"/>
      <c r="Q277" s="19"/>
      <c r="R277" s="21"/>
      <c r="S277" s="46"/>
      <c r="T277" s="44"/>
      <c r="U277" s="77"/>
      <c r="V277" s="24"/>
      <c r="W277" s="24"/>
      <c r="X277" s="193"/>
      <c r="Y277" s="15"/>
    </row>
    <row r="278" spans="2:25" x14ac:dyDescent="0.25">
      <c r="B278" s="15">
        <v>276</v>
      </c>
      <c r="C278" s="8"/>
      <c r="E278" s="383"/>
      <c r="F278" s="380"/>
      <c r="G278" s="8"/>
      <c r="H278" s="8"/>
      <c r="I278" s="8"/>
      <c r="J278" s="9"/>
      <c r="K278" s="9">
        <f t="shared" si="36"/>
        <v>0</v>
      </c>
      <c r="L278" s="35">
        <f t="shared" si="37"/>
        <v>0</v>
      </c>
      <c r="M278" s="2"/>
      <c r="O278" s="19"/>
      <c r="P278" s="19"/>
      <c r="Q278" s="19"/>
      <c r="R278" s="21"/>
      <c r="S278" s="46"/>
      <c r="T278" s="44"/>
      <c r="U278" s="77"/>
      <c r="V278" s="24"/>
      <c r="W278" s="24"/>
      <c r="X278" s="193"/>
      <c r="Y278" s="15"/>
    </row>
    <row r="279" spans="2:25" x14ac:dyDescent="0.25">
      <c r="B279" s="15">
        <v>277</v>
      </c>
      <c r="C279" s="8"/>
      <c r="E279" s="383"/>
      <c r="F279" s="380"/>
      <c r="G279" s="8"/>
      <c r="H279" s="8"/>
      <c r="I279" s="8"/>
      <c r="J279" s="9"/>
      <c r="K279" s="9">
        <f t="shared" si="36"/>
        <v>0</v>
      </c>
      <c r="L279" s="35">
        <f t="shared" si="37"/>
        <v>0</v>
      </c>
      <c r="M279" s="2"/>
      <c r="O279" s="19"/>
      <c r="P279" s="19"/>
      <c r="Q279" s="19"/>
      <c r="R279" s="21"/>
      <c r="S279" s="46"/>
      <c r="T279" s="44"/>
      <c r="U279" s="77"/>
      <c r="V279" s="24"/>
      <c r="W279" s="24"/>
      <c r="X279" s="193"/>
      <c r="Y279" s="15"/>
    </row>
    <row r="280" spans="2:25" x14ac:dyDescent="0.25">
      <c r="B280" s="15">
        <v>278</v>
      </c>
      <c r="C280" s="8"/>
      <c r="E280" s="383"/>
      <c r="F280" s="380"/>
      <c r="G280" s="8"/>
      <c r="H280" s="8"/>
      <c r="I280" s="8"/>
      <c r="J280" s="9"/>
      <c r="K280" s="9">
        <f t="shared" si="36"/>
        <v>0</v>
      </c>
      <c r="L280" s="35">
        <f t="shared" si="37"/>
        <v>0</v>
      </c>
      <c r="M280" s="2"/>
      <c r="O280" s="19"/>
      <c r="P280" s="19"/>
      <c r="Q280" s="19"/>
      <c r="R280" s="21"/>
      <c r="S280" s="46"/>
      <c r="T280" s="44"/>
      <c r="U280" s="77"/>
      <c r="V280" s="24"/>
      <c r="W280" s="24"/>
      <c r="X280" s="193"/>
      <c r="Y280" s="15"/>
    </row>
    <row r="281" spans="2:25" x14ac:dyDescent="0.25">
      <c r="B281" s="15">
        <v>279</v>
      </c>
      <c r="C281" s="8"/>
      <c r="E281" s="383"/>
      <c r="F281" s="380"/>
      <c r="G281" s="8"/>
      <c r="H281" s="8"/>
      <c r="I281" s="8"/>
      <c r="J281" s="9"/>
      <c r="K281" s="9">
        <f t="shared" si="36"/>
        <v>0</v>
      </c>
      <c r="L281" s="35">
        <f t="shared" si="37"/>
        <v>0</v>
      </c>
      <c r="M281" s="2"/>
      <c r="O281" s="19"/>
      <c r="P281" s="19"/>
      <c r="Q281" s="19"/>
      <c r="R281" s="21"/>
      <c r="S281" s="46"/>
      <c r="T281" s="44"/>
      <c r="U281" s="77"/>
      <c r="V281" s="24"/>
      <c r="W281" s="24"/>
      <c r="X281" s="193"/>
      <c r="Y281" s="15"/>
    </row>
    <row r="282" spans="2:25" x14ac:dyDescent="0.25">
      <c r="B282" s="15">
        <v>280</v>
      </c>
      <c r="C282" s="8"/>
      <c r="E282" s="383"/>
      <c r="F282" s="380"/>
      <c r="G282" s="8"/>
      <c r="H282" s="8"/>
      <c r="I282" s="8"/>
      <c r="J282" s="9"/>
      <c r="K282" s="9">
        <f t="shared" si="36"/>
        <v>0</v>
      </c>
      <c r="L282" s="35">
        <f t="shared" si="37"/>
        <v>0</v>
      </c>
      <c r="M282" s="2"/>
      <c r="O282" s="19"/>
      <c r="P282" s="19"/>
      <c r="Q282" s="19"/>
      <c r="R282" s="21"/>
      <c r="S282" s="46"/>
      <c r="T282" s="44"/>
      <c r="U282" s="77"/>
      <c r="V282" s="30"/>
      <c r="W282" s="24"/>
      <c r="X282" s="193"/>
      <c r="Y282" s="15"/>
    </row>
    <row r="283" spans="2:25" x14ac:dyDescent="0.25">
      <c r="B283" s="15">
        <v>281</v>
      </c>
      <c r="C283" s="8"/>
      <c r="E283" s="383"/>
      <c r="F283" s="380"/>
      <c r="G283" s="8"/>
      <c r="H283" s="8"/>
      <c r="I283" s="8"/>
      <c r="J283" s="9"/>
      <c r="K283" s="9">
        <f t="shared" si="36"/>
        <v>0</v>
      </c>
      <c r="L283" s="35">
        <f t="shared" si="37"/>
        <v>0</v>
      </c>
      <c r="M283" s="2"/>
      <c r="O283" s="19"/>
      <c r="P283" s="19"/>
      <c r="Q283" s="19"/>
      <c r="R283" s="21"/>
      <c r="S283" s="46"/>
      <c r="T283" s="44"/>
      <c r="U283" s="77"/>
      <c r="V283" s="30"/>
      <c r="W283" s="24"/>
      <c r="X283" s="193"/>
      <c r="Y283" s="15"/>
    </row>
    <row r="284" spans="2:25" x14ac:dyDescent="0.25">
      <c r="B284" s="15">
        <v>282</v>
      </c>
      <c r="C284" s="8"/>
      <c r="E284" s="383"/>
      <c r="F284" s="380"/>
      <c r="G284" s="8"/>
      <c r="H284" s="8"/>
      <c r="I284" s="8"/>
      <c r="J284" s="9"/>
      <c r="K284" s="9">
        <f t="shared" si="36"/>
        <v>0</v>
      </c>
      <c r="L284" s="35">
        <f t="shared" si="37"/>
        <v>0</v>
      </c>
      <c r="M284" s="2"/>
      <c r="O284" s="19"/>
      <c r="P284" s="19"/>
      <c r="Q284" s="19"/>
      <c r="R284" s="21"/>
      <c r="S284" s="46"/>
      <c r="T284" s="44"/>
      <c r="U284" s="77"/>
      <c r="V284" s="30"/>
      <c r="W284" s="24"/>
      <c r="X284" s="193"/>
      <c r="Y284" s="15"/>
    </row>
    <row r="285" spans="2:25" x14ac:dyDescent="0.25">
      <c r="B285" s="15">
        <v>283</v>
      </c>
      <c r="C285" s="8"/>
      <c r="E285" s="383"/>
      <c r="K285" s="9">
        <f t="shared" si="36"/>
        <v>0</v>
      </c>
      <c r="L285" s="35">
        <f t="shared" si="37"/>
        <v>0</v>
      </c>
      <c r="S285" s="5"/>
      <c r="T285" s="44"/>
      <c r="U285" s="77"/>
      <c r="V285" s="79"/>
      <c r="W285" s="24"/>
      <c r="X285" s="193"/>
      <c r="Y285" s="15"/>
    </row>
    <row r="286" spans="2:25" x14ac:dyDescent="0.25">
      <c r="B286" s="15">
        <v>284</v>
      </c>
      <c r="C286" s="8"/>
      <c r="K286" s="9">
        <f t="shared" si="36"/>
        <v>0</v>
      </c>
      <c r="L286" s="35">
        <f t="shared" si="37"/>
        <v>0</v>
      </c>
      <c r="T286" s="44"/>
      <c r="U286" s="77"/>
      <c r="V286" s="79"/>
      <c r="W286" s="24"/>
      <c r="X286" s="193"/>
      <c r="Y286" s="15"/>
    </row>
    <row r="287" spans="2:25" x14ac:dyDescent="0.25">
      <c r="B287" s="15">
        <v>285</v>
      </c>
      <c r="C287" s="8"/>
      <c r="K287" s="9">
        <f t="shared" si="36"/>
        <v>0</v>
      </c>
      <c r="L287" s="35">
        <f t="shared" si="37"/>
        <v>0</v>
      </c>
      <c r="T287" s="44"/>
      <c r="U287" s="77"/>
      <c r="V287" s="79"/>
      <c r="W287" s="24"/>
      <c r="X287" s="193"/>
      <c r="Y287" s="15"/>
    </row>
    <row r="288" spans="2:25" x14ac:dyDescent="0.25">
      <c r="B288" s="15">
        <v>286</v>
      </c>
      <c r="C288" s="8"/>
      <c r="K288" s="9">
        <f t="shared" si="36"/>
        <v>0</v>
      </c>
      <c r="L288" s="35">
        <f t="shared" si="37"/>
        <v>0</v>
      </c>
      <c r="T288" s="44"/>
      <c r="U288" s="77"/>
      <c r="V288" s="79"/>
      <c r="W288" s="24"/>
      <c r="X288" s="193"/>
      <c r="Y288" s="15"/>
    </row>
    <row r="289" spans="2:25" x14ac:dyDescent="0.25">
      <c r="B289" s="15">
        <v>287</v>
      </c>
      <c r="C289" s="8"/>
      <c r="K289" s="9">
        <f t="shared" si="36"/>
        <v>0</v>
      </c>
      <c r="L289" s="35">
        <f t="shared" si="37"/>
        <v>0</v>
      </c>
      <c r="T289" s="44"/>
      <c r="U289" s="77"/>
      <c r="V289" s="79"/>
      <c r="W289" s="24"/>
      <c r="X289" s="193"/>
      <c r="Y289" s="15"/>
    </row>
    <row r="290" spans="2:25" x14ac:dyDescent="0.25">
      <c r="B290" s="15">
        <v>288</v>
      </c>
      <c r="C290" s="8"/>
      <c r="K290" s="9">
        <f t="shared" si="36"/>
        <v>0</v>
      </c>
      <c r="L290" s="35">
        <f t="shared" si="37"/>
        <v>0</v>
      </c>
      <c r="T290" s="44"/>
      <c r="U290" s="77"/>
      <c r="V290" s="79"/>
      <c r="W290" s="24"/>
      <c r="X290" s="193"/>
      <c r="Y290" s="15"/>
    </row>
    <row r="291" spans="2:25" x14ac:dyDescent="0.25">
      <c r="B291" s="15">
        <v>289</v>
      </c>
      <c r="C291" s="8"/>
      <c r="K291" s="9">
        <f t="shared" si="36"/>
        <v>0</v>
      </c>
      <c r="L291" s="35">
        <f t="shared" si="37"/>
        <v>0</v>
      </c>
      <c r="T291" s="44"/>
      <c r="U291" s="77"/>
      <c r="V291" s="79"/>
      <c r="W291" s="24"/>
      <c r="X291" s="193"/>
      <c r="Y291" s="15"/>
    </row>
    <row r="292" spans="2:25" x14ac:dyDescent="0.25">
      <c r="B292" s="15">
        <v>290</v>
      </c>
      <c r="C292" s="8"/>
      <c r="K292" s="9">
        <f t="shared" si="36"/>
        <v>0</v>
      </c>
      <c r="L292" s="35">
        <f t="shared" si="37"/>
        <v>0</v>
      </c>
      <c r="T292" s="44"/>
      <c r="U292" s="77"/>
      <c r="V292" s="79"/>
      <c r="W292" s="24"/>
      <c r="X292" s="193"/>
      <c r="Y292" s="15"/>
    </row>
    <row r="293" spans="2:25" x14ac:dyDescent="0.25">
      <c r="B293" s="15">
        <v>291</v>
      </c>
      <c r="C293" s="8"/>
      <c r="K293" s="9">
        <f t="shared" si="36"/>
        <v>0</v>
      </c>
      <c r="L293" s="35">
        <f t="shared" si="37"/>
        <v>0</v>
      </c>
      <c r="T293" s="44"/>
      <c r="U293" s="77"/>
      <c r="V293" s="79"/>
      <c r="W293" s="24"/>
      <c r="X293" s="193"/>
      <c r="Y293" s="15"/>
    </row>
    <row r="294" spans="2:25" x14ac:dyDescent="0.25">
      <c r="B294" s="15">
        <v>292</v>
      </c>
      <c r="C294" s="8"/>
      <c r="K294" s="9">
        <f t="shared" si="36"/>
        <v>0</v>
      </c>
      <c r="L294" s="35">
        <f t="shared" si="37"/>
        <v>0</v>
      </c>
      <c r="T294" s="44"/>
      <c r="U294" s="77"/>
      <c r="V294" s="79"/>
      <c r="W294" s="24"/>
      <c r="X294" s="193"/>
      <c r="Y294" s="15"/>
    </row>
    <row r="295" spans="2:25" x14ac:dyDescent="0.25">
      <c r="B295" s="15">
        <v>293</v>
      </c>
      <c r="C295" s="8"/>
      <c r="K295" s="9">
        <f t="shared" si="36"/>
        <v>0</v>
      </c>
      <c r="L295" s="35">
        <f t="shared" si="37"/>
        <v>0</v>
      </c>
      <c r="T295" s="44"/>
      <c r="U295" s="77"/>
      <c r="V295" s="79"/>
      <c r="W295" s="24"/>
      <c r="X295" s="193"/>
      <c r="Y295" s="15"/>
    </row>
    <row r="296" spans="2:25" x14ac:dyDescent="0.25">
      <c r="B296" s="15">
        <v>294</v>
      </c>
      <c r="C296" s="8"/>
      <c r="K296" s="9">
        <f t="shared" si="36"/>
        <v>0</v>
      </c>
      <c r="L296" s="35">
        <f t="shared" si="37"/>
        <v>0</v>
      </c>
      <c r="T296" s="44"/>
      <c r="U296" s="77"/>
      <c r="V296" s="79"/>
      <c r="W296" s="24"/>
      <c r="X296" s="193"/>
      <c r="Y296" s="15"/>
    </row>
    <row r="297" spans="2:25" x14ac:dyDescent="0.25">
      <c r="B297" s="15">
        <v>295</v>
      </c>
      <c r="C297" s="8"/>
      <c r="K297" s="9">
        <f t="shared" si="36"/>
        <v>0</v>
      </c>
      <c r="L297" s="35">
        <f t="shared" si="37"/>
        <v>0</v>
      </c>
      <c r="T297" s="44"/>
      <c r="U297" s="77"/>
      <c r="V297" s="79"/>
      <c r="W297" s="24"/>
      <c r="X297" s="193"/>
      <c r="Y297" s="15"/>
    </row>
    <row r="298" spans="2:25" x14ac:dyDescent="0.25">
      <c r="B298" s="15">
        <v>296</v>
      </c>
      <c r="C298" s="8"/>
      <c r="K298" s="9">
        <f t="shared" si="36"/>
        <v>0</v>
      </c>
      <c r="L298" s="35">
        <f t="shared" si="37"/>
        <v>0</v>
      </c>
      <c r="T298" s="44"/>
      <c r="U298" s="77"/>
      <c r="V298" s="79"/>
      <c r="W298" s="24"/>
      <c r="X298" s="193"/>
      <c r="Y298" s="15"/>
    </row>
    <row r="299" spans="2:25" x14ac:dyDescent="0.25">
      <c r="B299" s="15">
        <v>297</v>
      </c>
      <c r="C299" s="8"/>
      <c r="K299" s="9">
        <f t="shared" si="36"/>
        <v>0</v>
      </c>
      <c r="L299" s="35">
        <f t="shared" si="37"/>
        <v>0</v>
      </c>
      <c r="T299" s="44"/>
      <c r="U299" s="77"/>
      <c r="V299" s="79"/>
      <c r="W299" s="24"/>
      <c r="X299" s="193"/>
      <c r="Y299" s="15"/>
    </row>
    <row r="300" spans="2:25" x14ac:dyDescent="0.25">
      <c r="B300" s="15">
        <v>298</v>
      </c>
      <c r="C300" s="8"/>
      <c r="K300" s="9">
        <f t="shared" si="36"/>
        <v>0</v>
      </c>
      <c r="L300" s="35">
        <f t="shared" si="37"/>
        <v>0</v>
      </c>
      <c r="T300" s="44"/>
      <c r="U300" s="77"/>
      <c r="V300" s="79"/>
      <c r="W300" s="24"/>
      <c r="X300" s="193"/>
      <c r="Y300" s="15"/>
    </row>
    <row r="301" spans="2:25" x14ac:dyDescent="0.25">
      <c r="B301" s="15">
        <v>298</v>
      </c>
      <c r="C301" s="8"/>
      <c r="K301" s="9">
        <f t="shared" si="36"/>
        <v>0</v>
      </c>
      <c r="L301" s="35">
        <f t="shared" si="37"/>
        <v>0</v>
      </c>
      <c r="T301" s="44"/>
      <c r="U301" s="77"/>
      <c r="V301" s="79"/>
      <c r="W301" s="24"/>
      <c r="X301" s="193"/>
      <c r="Y301" s="15"/>
    </row>
    <row r="302" spans="2:25" x14ac:dyDescent="0.25">
      <c r="B302" s="15">
        <v>298</v>
      </c>
      <c r="C302" s="8"/>
      <c r="E302" s="383"/>
      <c r="F302" s="380"/>
      <c r="G302" s="8"/>
      <c r="H302" s="8"/>
      <c r="I302" s="8"/>
      <c r="J302" s="9"/>
      <c r="K302" s="9">
        <f t="shared" si="36"/>
        <v>0</v>
      </c>
      <c r="L302" s="35">
        <f t="shared" si="37"/>
        <v>0</v>
      </c>
      <c r="M302" s="2"/>
      <c r="O302" s="19"/>
      <c r="P302" s="19"/>
      <c r="Q302" s="19"/>
      <c r="R302" s="21"/>
      <c r="S302" s="46"/>
      <c r="T302" s="44"/>
      <c r="U302" s="77"/>
      <c r="V302" s="24"/>
      <c r="W302" s="24"/>
      <c r="X302" s="193"/>
      <c r="Y302" s="15"/>
    </row>
    <row r="303" spans="2:25" x14ac:dyDescent="0.25">
      <c r="B303" s="15">
        <v>298</v>
      </c>
      <c r="C303" s="8"/>
      <c r="E303" s="383"/>
      <c r="F303" s="380"/>
      <c r="G303" s="8"/>
      <c r="H303" s="8"/>
      <c r="I303" s="8"/>
      <c r="J303" s="9"/>
      <c r="K303" s="9">
        <f t="shared" si="36"/>
        <v>0</v>
      </c>
      <c r="L303" s="35">
        <f t="shared" si="37"/>
        <v>0</v>
      </c>
      <c r="M303" s="2"/>
      <c r="O303" s="19"/>
      <c r="P303" s="19"/>
      <c r="Q303" s="19"/>
      <c r="R303" s="21"/>
      <c r="S303" s="46"/>
      <c r="T303" s="44"/>
      <c r="U303" s="77"/>
      <c r="V303" s="24"/>
      <c r="W303" s="24"/>
      <c r="X303" s="193"/>
      <c r="Y303" s="15"/>
    </row>
    <row r="304" spans="2:25" x14ac:dyDescent="0.25">
      <c r="B304" s="15">
        <v>298</v>
      </c>
      <c r="C304" s="8"/>
      <c r="E304" s="383"/>
      <c r="F304" s="380"/>
      <c r="G304" s="8"/>
      <c r="H304" s="8"/>
      <c r="I304" s="8"/>
      <c r="J304" s="9"/>
      <c r="K304" s="9">
        <f t="shared" si="36"/>
        <v>0</v>
      </c>
      <c r="L304" s="35">
        <f t="shared" si="37"/>
        <v>0</v>
      </c>
      <c r="M304" s="2"/>
      <c r="O304" s="19"/>
      <c r="P304" s="19"/>
      <c r="Q304" s="19"/>
      <c r="R304" s="21"/>
      <c r="S304" s="46"/>
      <c r="T304" s="44"/>
      <c r="U304" s="77"/>
      <c r="V304" s="24"/>
      <c r="W304" s="24"/>
      <c r="X304" s="193"/>
      <c r="Y304" s="15"/>
    </row>
    <row r="305" spans="2:25" x14ac:dyDescent="0.25">
      <c r="B305" s="15">
        <v>298</v>
      </c>
      <c r="C305" s="8"/>
      <c r="E305" s="383"/>
      <c r="F305" s="380"/>
      <c r="G305" s="8"/>
      <c r="H305" s="8"/>
      <c r="I305" s="8"/>
      <c r="J305" s="9"/>
      <c r="K305" s="9">
        <f t="shared" si="36"/>
        <v>0</v>
      </c>
      <c r="L305" s="35">
        <f t="shared" si="37"/>
        <v>0</v>
      </c>
      <c r="M305" s="2"/>
      <c r="O305" s="19"/>
      <c r="P305" s="19"/>
      <c r="Q305" s="19"/>
      <c r="R305" s="21"/>
      <c r="S305" s="46"/>
      <c r="T305" s="44"/>
      <c r="U305" s="77"/>
      <c r="V305" s="24"/>
      <c r="W305" s="24"/>
      <c r="X305" s="193"/>
      <c r="Y305" s="15"/>
    </row>
    <row r="306" spans="2:25" x14ac:dyDescent="0.25">
      <c r="B306" s="15">
        <v>298</v>
      </c>
      <c r="C306" s="8"/>
      <c r="E306" s="383"/>
      <c r="F306" s="380"/>
      <c r="G306" s="8"/>
      <c r="H306" s="8"/>
      <c r="I306" s="8"/>
      <c r="J306" s="9"/>
      <c r="K306" s="9">
        <f t="shared" si="36"/>
        <v>0</v>
      </c>
      <c r="L306" s="35">
        <f t="shared" si="37"/>
        <v>0</v>
      </c>
      <c r="M306" s="2"/>
      <c r="O306" s="19"/>
      <c r="P306" s="19"/>
      <c r="Q306" s="19"/>
      <c r="R306" s="21"/>
      <c r="S306" s="46"/>
      <c r="T306" s="44"/>
      <c r="U306" s="77"/>
      <c r="V306" s="24"/>
      <c r="W306" s="24"/>
      <c r="X306" s="193"/>
      <c r="Y306" s="15"/>
    </row>
    <row r="307" spans="2:25" x14ac:dyDescent="0.25">
      <c r="B307" s="15">
        <v>235</v>
      </c>
      <c r="C307" s="8"/>
      <c r="E307" s="383"/>
      <c r="F307" s="380"/>
      <c r="G307" s="8"/>
      <c r="H307" s="8"/>
      <c r="I307" s="8"/>
      <c r="J307" s="9"/>
      <c r="K307" s="9">
        <f t="shared" si="36"/>
        <v>0</v>
      </c>
      <c r="L307" s="35">
        <f t="shared" si="37"/>
        <v>0</v>
      </c>
      <c r="M307" s="2"/>
      <c r="O307" s="19"/>
      <c r="P307" s="19"/>
      <c r="Q307" s="19"/>
      <c r="R307" s="21"/>
      <c r="S307" s="46"/>
      <c r="T307" s="44"/>
      <c r="U307" s="77"/>
      <c r="V307" s="24"/>
      <c r="W307" s="24"/>
      <c r="X307" s="193"/>
      <c r="Y307" s="15"/>
    </row>
    <row r="308" spans="2:25" x14ac:dyDescent="0.25">
      <c r="B308" s="15">
        <v>235</v>
      </c>
      <c r="C308" s="8"/>
      <c r="E308" s="383"/>
      <c r="F308" s="380"/>
      <c r="G308" s="8"/>
      <c r="H308" s="8"/>
      <c r="I308" s="8"/>
      <c r="J308" s="9"/>
      <c r="K308" s="9">
        <f t="shared" si="36"/>
        <v>0</v>
      </c>
      <c r="L308" s="35">
        <f t="shared" si="37"/>
        <v>0</v>
      </c>
      <c r="M308" s="2"/>
      <c r="O308" s="19"/>
      <c r="P308" s="19"/>
      <c r="Q308" s="19"/>
      <c r="R308" s="21"/>
      <c r="S308" s="46"/>
      <c r="T308" s="44"/>
      <c r="U308" s="77"/>
      <c r="V308" s="24"/>
      <c r="W308" s="24"/>
      <c r="X308" s="193"/>
      <c r="Y308" s="15"/>
    </row>
    <row r="309" spans="2:25" x14ac:dyDescent="0.25">
      <c r="B309" s="15">
        <v>235</v>
      </c>
      <c r="C309" s="8"/>
      <c r="E309" s="383"/>
      <c r="F309" s="380"/>
      <c r="G309" s="8"/>
      <c r="H309" s="8"/>
      <c r="I309" s="8"/>
      <c r="J309" s="9"/>
      <c r="K309" s="9">
        <f t="shared" si="36"/>
        <v>0</v>
      </c>
      <c r="L309" s="35">
        <f t="shared" si="37"/>
        <v>0</v>
      </c>
      <c r="M309" s="2"/>
      <c r="O309" s="19"/>
      <c r="P309" s="19"/>
      <c r="Q309" s="19"/>
      <c r="R309" s="21"/>
      <c r="S309" s="46"/>
      <c r="T309" s="44"/>
      <c r="U309" s="77"/>
      <c r="V309" s="24"/>
      <c r="W309" s="24"/>
      <c r="X309" s="193"/>
      <c r="Y309" s="15"/>
    </row>
    <row r="310" spans="2:25" x14ac:dyDescent="0.25">
      <c r="B310" s="15">
        <v>235</v>
      </c>
      <c r="C310" s="8"/>
      <c r="E310" s="383"/>
      <c r="F310" s="380"/>
      <c r="G310" s="8"/>
      <c r="H310" s="8"/>
      <c r="I310" s="8"/>
      <c r="J310" s="9"/>
      <c r="K310" s="9">
        <f t="shared" si="36"/>
        <v>0</v>
      </c>
      <c r="L310" s="35">
        <f t="shared" si="37"/>
        <v>0</v>
      </c>
      <c r="M310" s="2"/>
      <c r="O310" s="19"/>
      <c r="P310" s="19"/>
      <c r="Q310" s="19"/>
      <c r="R310" s="21"/>
      <c r="S310" s="46"/>
      <c r="T310" s="44"/>
      <c r="U310" s="77"/>
      <c r="V310" s="24"/>
      <c r="W310" s="24"/>
      <c r="X310" s="193"/>
      <c r="Y310" s="15"/>
    </row>
    <row r="311" spans="2:25" x14ac:dyDescent="0.25">
      <c r="B311" s="15">
        <v>235</v>
      </c>
      <c r="C311" s="8"/>
      <c r="E311" s="383"/>
      <c r="F311" s="380"/>
      <c r="G311" s="8"/>
      <c r="H311" s="8"/>
      <c r="I311" s="8"/>
      <c r="J311" s="9"/>
      <c r="K311" s="9">
        <f t="shared" si="36"/>
        <v>0</v>
      </c>
      <c r="L311" s="35">
        <f t="shared" si="37"/>
        <v>0</v>
      </c>
      <c r="M311" s="2"/>
      <c r="O311" s="19"/>
      <c r="P311" s="19"/>
      <c r="Q311" s="19"/>
      <c r="R311" s="21"/>
      <c r="S311" s="46"/>
      <c r="T311" s="44"/>
      <c r="U311" s="77"/>
      <c r="V311" s="24"/>
      <c r="W311" s="24"/>
      <c r="X311" s="193"/>
      <c r="Y311" s="15"/>
    </row>
    <row r="312" spans="2:25" x14ac:dyDescent="0.25">
      <c r="B312" s="15">
        <v>235</v>
      </c>
      <c r="C312" s="8"/>
      <c r="E312" s="383"/>
      <c r="F312" s="380"/>
      <c r="G312" s="8"/>
      <c r="H312" s="8"/>
      <c r="I312" s="8"/>
      <c r="J312" s="9"/>
      <c r="K312" s="9">
        <f t="shared" si="36"/>
        <v>0</v>
      </c>
      <c r="L312" s="35">
        <f t="shared" si="37"/>
        <v>0</v>
      </c>
      <c r="M312" s="2"/>
      <c r="O312" s="19"/>
      <c r="P312" s="19"/>
      <c r="Q312" s="19"/>
      <c r="R312" s="21"/>
      <c r="S312" s="46"/>
      <c r="T312" s="44"/>
      <c r="U312" s="77"/>
      <c r="V312" s="24"/>
      <c r="W312" s="24"/>
      <c r="X312" s="193"/>
      <c r="Y312" s="15"/>
    </row>
    <row r="313" spans="2:25" x14ac:dyDescent="0.25">
      <c r="B313" s="15">
        <v>235</v>
      </c>
      <c r="C313" s="8"/>
      <c r="E313" s="383"/>
      <c r="F313" s="380"/>
      <c r="G313" s="8"/>
      <c r="H313" s="8"/>
      <c r="I313" s="8"/>
      <c r="J313" s="9"/>
      <c r="K313" s="9">
        <f t="shared" si="36"/>
        <v>0</v>
      </c>
      <c r="L313" s="35">
        <f t="shared" si="37"/>
        <v>0</v>
      </c>
      <c r="M313" s="2"/>
      <c r="O313" s="19"/>
      <c r="P313" s="19"/>
      <c r="Q313" s="19"/>
      <c r="R313" s="21"/>
      <c r="S313" s="46"/>
      <c r="T313" s="44"/>
      <c r="U313" s="77"/>
      <c r="V313" s="24"/>
      <c r="W313" s="24"/>
      <c r="X313" s="193"/>
      <c r="Y313" s="15"/>
    </row>
    <row r="314" spans="2:25" x14ac:dyDescent="0.25">
      <c r="B314" s="15">
        <v>235</v>
      </c>
      <c r="C314" s="8"/>
      <c r="E314" s="383"/>
      <c r="F314" s="380"/>
      <c r="G314" s="8"/>
      <c r="H314" s="8"/>
      <c r="I314" s="8"/>
      <c r="J314" s="9"/>
      <c r="K314" s="9">
        <f t="shared" si="36"/>
        <v>0</v>
      </c>
      <c r="L314" s="35">
        <f t="shared" si="37"/>
        <v>0</v>
      </c>
      <c r="M314" s="2"/>
      <c r="O314" s="19"/>
      <c r="P314" s="19"/>
      <c r="Q314" s="19"/>
      <c r="R314" s="21"/>
      <c r="S314" s="46"/>
      <c r="T314" s="44"/>
      <c r="U314" s="77"/>
      <c r="V314" s="24"/>
      <c r="W314" s="24"/>
      <c r="X314" s="193"/>
      <c r="Y314" s="15"/>
    </row>
    <row r="315" spans="2:25" x14ac:dyDescent="0.25">
      <c r="B315" s="15">
        <v>235</v>
      </c>
      <c r="C315" s="8"/>
      <c r="E315" s="383"/>
      <c r="F315" s="380"/>
      <c r="G315" s="8"/>
      <c r="H315" s="8"/>
      <c r="I315" s="8"/>
      <c r="J315" s="9"/>
      <c r="K315" s="9">
        <f t="shared" si="36"/>
        <v>0</v>
      </c>
      <c r="L315" s="35">
        <f t="shared" si="37"/>
        <v>0</v>
      </c>
      <c r="M315" s="2"/>
      <c r="O315" s="19"/>
      <c r="P315" s="19"/>
      <c r="Q315" s="19"/>
      <c r="R315" s="21"/>
      <c r="S315" s="46"/>
      <c r="T315" s="44"/>
      <c r="U315" s="77"/>
      <c r="V315" s="24"/>
      <c r="W315" s="24"/>
      <c r="X315" s="193"/>
      <c r="Y315" s="15"/>
    </row>
    <row r="316" spans="2:25" x14ac:dyDescent="0.25">
      <c r="B316" s="15">
        <v>235</v>
      </c>
      <c r="C316" s="8"/>
      <c r="E316" s="383"/>
      <c r="F316" s="380"/>
      <c r="G316" s="8"/>
      <c r="H316" s="8"/>
      <c r="I316" s="8"/>
      <c r="J316" s="9"/>
      <c r="K316" s="9">
        <f t="shared" si="36"/>
        <v>0</v>
      </c>
      <c r="L316" s="35">
        <f t="shared" si="37"/>
        <v>0</v>
      </c>
      <c r="M316" s="2"/>
      <c r="O316" s="19"/>
      <c r="P316" s="19"/>
      <c r="Q316" s="19"/>
      <c r="R316" s="21"/>
      <c r="S316" s="46"/>
      <c r="T316" s="44"/>
      <c r="U316" s="77"/>
      <c r="V316" s="24"/>
      <c r="W316" s="24"/>
      <c r="X316" s="193"/>
      <c r="Y316" s="15"/>
    </row>
    <row r="317" spans="2:25" x14ac:dyDescent="0.25">
      <c r="B317" s="15">
        <v>235</v>
      </c>
      <c r="C317" s="8"/>
      <c r="E317" s="383"/>
      <c r="F317" s="380"/>
      <c r="G317" s="8"/>
      <c r="H317" s="8"/>
      <c r="I317" s="8"/>
      <c r="J317" s="9"/>
      <c r="K317" s="9">
        <f t="shared" si="36"/>
        <v>0</v>
      </c>
      <c r="L317" s="35">
        <f t="shared" si="37"/>
        <v>0</v>
      </c>
      <c r="M317" s="2"/>
      <c r="O317" s="19"/>
      <c r="P317" s="19"/>
      <c r="Q317" s="19"/>
      <c r="R317" s="21"/>
      <c r="S317" s="46"/>
      <c r="T317" s="44"/>
      <c r="U317" s="77"/>
      <c r="V317" s="24"/>
      <c r="W317" s="24"/>
      <c r="X317" s="193"/>
      <c r="Y317" s="15"/>
    </row>
    <row r="318" spans="2:25" x14ac:dyDescent="0.25">
      <c r="B318" s="15">
        <v>235</v>
      </c>
      <c r="C318" s="8"/>
      <c r="E318" s="383"/>
      <c r="F318" s="380"/>
      <c r="G318" s="8"/>
      <c r="H318" s="8"/>
      <c r="I318" s="8"/>
      <c r="J318" s="9"/>
      <c r="K318" s="9">
        <f t="shared" si="36"/>
        <v>0</v>
      </c>
      <c r="L318" s="35">
        <f t="shared" si="37"/>
        <v>0</v>
      </c>
      <c r="M318" s="2"/>
      <c r="O318" s="19"/>
      <c r="P318" s="19"/>
      <c r="Q318" s="19"/>
      <c r="R318" s="21"/>
      <c r="S318" s="46"/>
      <c r="T318" s="44"/>
      <c r="U318" s="77"/>
      <c r="V318" s="24"/>
      <c r="W318" s="24"/>
      <c r="X318" s="193"/>
      <c r="Y318" s="15"/>
    </row>
    <row r="319" spans="2:25" x14ac:dyDescent="0.25">
      <c r="B319" s="15">
        <v>235</v>
      </c>
      <c r="C319" s="8"/>
      <c r="E319" s="383"/>
      <c r="F319" s="380"/>
      <c r="G319" s="8"/>
      <c r="H319" s="8"/>
      <c r="I319" s="8"/>
      <c r="J319" s="9"/>
      <c r="K319" s="9">
        <f t="shared" si="36"/>
        <v>0</v>
      </c>
      <c r="L319" s="35">
        <f t="shared" si="37"/>
        <v>0</v>
      </c>
      <c r="M319" s="2"/>
      <c r="O319" s="19"/>
      <c r="P319" s="19"/>
      <c r="Q319" s="19"/>
      <c r="R319" s="21"/>
      <c r="S319" s="46"/>
      <c r="T319" s="44"/>
      <c r="U319" s="77"/>
      <c r="V319" s="24"/>
      <c r="W319" s="24"/>
      <c r="X319" s="193"/>
      <c r="Y319" s="15"/>
    </row>
    <row r="320" spans="2:25" x14ac:dyDescent="0.25">
      <c r="B320" s="15">
        <v>235</v>
      </c>
      <c r="C320" s="8"/>
      <c r="E320" s="383"/>
      <c r="F320" s="380"/>
      <c r="G320" s="8"/>
      <c r="H320" s="8"/>
      <c r="I320" s="8"/>
      <c r="J320" s="9"/>
      <c r="K320" s="9">
        <f t="shared" si="36"/>
        <v>0</v>
      </c>
      <c r="L320" s="35">
        <f t="shared" si="37"/>
        <v>0</v>
      </c>
      <c r="M320" s="2"/>
      <c r="O320" s="19"/>
      <c r="P320" s="19"/>
      <c r="Q320" s="19"/>
      <c r="R320" s="21"/>
      <c r="S320" s="46"/>
      <c r="T320" s="44"/>
      <c r="U320" s="77"/>
      <c r="V320" s="24"/>
      <c r="W320" s="24"/>
      <c r="X320" s="193"/>
      <c r="Y320" s="15"/>
    </row>
    <row r="321" spans="2:25" x14ac:dyDescent="0.25">
      <c r="B321" s="15">
        <v>235</v>
      </c>
      <c r="C321" s="8"/>
      <c r="E321" s="383"/>
      <c r="F321" s="380"/>
      <c r="G321" s="8"/>
      <c r="H321" s="8"/>
      <c r="I321" s="8"/>
      <c r="J321" s="9"/>
      <c r="K321" s="9">
        <f t="shared" si="36"/>
        <v>0</v>
      </c>
      <c r="L321" s="35">
        <f t="shared" si="37"/>
        <v>0</v>
      </c>
      <c r="M321" s="2"/>
      <c r="O321" s="19"/>
      <c r="P321" s="19"/>
      <c r="Q321" s="19"/>
      <c r="R321" s="21"/>
      <c r="S321" s="46"/>
      <c r="T321" s="44"/>
      <c r="U321" s="77"/>
      <c r="V321" s="24"/>
      <c r="W321" s="24"/>
      <c r="X321" s="193"/>
      <c r="Y321" s="15"/>
    </row>
    <row r="322" spans="2:25" x14ac:dyDescent="0.25">
      <c r="B322" s="15">
        <v>235</v>
      </c>
      <c r="C322" s="8"/>
      <c r="E322" s="383"/>
      <c r="F322" s="380"/>
      <c r="G322" s="8"/>
      <c r="H322" s="8"/>
      <c r="I322" s="8"/>
      <c r="J322" s="9"/>
      <c r="K322" s="9">
        <f t="shared" si="36"/>
        <v>0</v>
      </c>
      <c r="L322" s="35">
        <f t="shared" si="37"/>
        <v>0</v>
      </c>
      <c r="M322" s="2"/>
      <c r="O322" s="19"/>
      <c r="P322" s="19"/>
      <c r="Q322" s="19"/>
      <c r="R322" s="21"/>
      <c r="S322" s="46"/>
      <c r="T322" s="44"/>
      <c r="U322" s="77"/>
      <c r="V322" s="24"/>
      <c r="W322" s="24"/>
      <c r="X322" s="193"/>
      <c r="Y322" s="15"/>
    </row>
    <row r="323" spans="2:25" x14ac:dyDescent="0.25">
      <c r="B323" s="15">
        <v>235</v>
      </c>
      <c r="C323" s="8"/>
      <c r="E323" s="383"/>
      <c r="F323" s="380"/>
      <c r="G323" s="8"/>
      <c r="H323" s="8"/>
      <c r="I323" s="8"/>
      <c r="J323" s="9"/>
      <c r="K323" s="9">
        <f t="shared" si="36"/>
        <v>0</v>
      </c>
      <c r="L323" s="35">
        <f t="shared" si="37"/>
        <v>0</v>
      </c>
      <c r="M323" s="2"/>
      <c r="O323" s="19"/>
      <c r="P323" s="19"/>
      <c r="Q323" s="19"/>
      <c r="R323" s="21"/>
      <c r="S323" s="46"/>
      <c r="T323" s="44"/>
      <c r="U323" s="77"/>
      <c r="V323" s="24"/>
      <c r="W323" s="24"/>
      <c r="X323" s="193"/>
      <c r="Y323" s="15"/>
    </row>
    <row r="324" spans="2:25" x14ac:dyDescent="0.25">
      <c r="B324" s="15">
        <v>235</v>
      </c>
      <c r="C324" s="8"/>
      <c r="E324" s="383"/>
      <c r="F324" s="380"/>
      <c r="G324" s="8"/>
      <c r="H324" s="8"/>
      <c r="I324" s="8"/>
      <c r="J324" s="9"/>
      <c r="K324" s="9">
        <f t="shared" ref="K324:K351" si="38">J324*1.1</f>
        <v>0</v>
      </c>
      <c r="L324" s="35">
        <f t="shared" ref="L324:L351" si="39">J324*0.00000001</f>
        <v>0</v>
      </c>
      <c r="M324" s="2"/>
      <c r="O324" s="19"/>
      <c r="P324" s="19"/>
      <c r="Q324" s="19"/>
      <c r="R324" s="21"/>
      <c r="S324" s="46"/>
      <c r="T324" s="44"/>
      <c r="U324" s="77"/>
      <c r="V324" s="24"/>
      <c r="W324" s="24"/>
      <c r="X324" s="193"/>
      <c r="Y324" s="15"/>
    </row>
    <row r="325" spans="2:25" x14ac:dyDescent="0.25">
      <c r="B325" s="15">
        <v>235</v>
      </c>
      <c r="C325" s="8"/>
      <c r="E325" s="383"/>
      <c r="F325" s="380"/>
      <c r="G325" s="8"/>
      <c r="H325" s="8"/>
      <c r="I325" s="8"/>
      <c r="J325" s="9"/>
      <c r="K325" s="9">
        <f t="shared" si="38"/>
        <v>0</v>
      </c>
      <c r="L325" s="35">
        <f t="shared" si="39"/>
        <v>0</v>
      </c>
      <c r="M325" s="2"/>
      <c r="O325" s="19"/>
      <c r="P325" s="19"/>
      <c r="Q325" s="19"/>
      <c r="R325" s="21"/>
      <c r="S325" s="46"/>
      <c r="T325" s="44"/>
      <c r="U325" s="77"/>
      <c r="V325" s="24"/>
      <c r="W325" s="24"/>
      <c r="X325" s="193"/>
      <c r="Y325" s="15"/>
    </row>
    <row r="326" spans="2:25" x14ac:dyDescent="0.25">
      <c r="B326" s="15">
        <v>235</v>
      </c>
      <c r="K326" s="9">
        <f t="shared" si="38"/>
        <v>0</v>
      </c>
      <c r="L326" s="35">
        <f t="shared" si="39"/>
        <v>0</v>
      </c>
      <c r="T326" s="44"/>
      <c r="U326" s="77"/>
      <c r="V326" s="24"/>
      <c r="W326" s="24"/>
      <c r="X326" s="193"/>
      <c r="Y326" s="15"/>
    </row>
    <row r="327" spans="2:25" x14ac:dyDescent="0.25">
      <c r="B327" s="15">
        <v>235</v>
      </c>
      <c r="K327" s="9">
        <f t="shared" si="38"/>
        <v>0</v>
      </c>
      <c r="L327" s="35">
        <f t="shared" si="39"/>
        <v>0</v>
      </c>
      <c r="T327" s="44"/>
      <c r="U327" s="77"/>
      <c r="V327" s="24"/>
      <c r="W327" s="24"/>
      <c r="X327" s="193"/>
      <c r="Y327" s="15"/>
    </row>
    <row r="328" spans="2:25" x14ac:dyDescent="0.25">
      <c r="B328" s="15">
        <v>235</v>
      </c>
      <c r="K328" s="9">
        <f t="shared" si="38"/>
        <v>0</v>
      </c>
      <c r="L328" s="35">
        <f t="shared" si="39"/>
        <v>0</v>
      </c>
      <c r="T328" s="44"/>
      <c r="U328" s="77"/>
      <c r="V328" s="24"/>
      <c r="W328" s="24"/>
      <c r="X328" s="193"/>
      <c r="Y328" s="15"/>
    </row>
    <row r="329" spans="2:25" x14ac:dyDescent="0.25">
      <c r="B329" s="15">
        <v>235</v>
      </c>
      <c r="K329" s="9">
        <f t="shared" si="38"/>
        <v>0</v>
      </c>
      <c r="L329" s="35">
        <f t="shared" si="39"/>
        <v>0</v>
      </c>
      <c r="T329" s="44"/>
      <c r="U329" s="77"/>
      <c r="V329" s="24"/>
      <c r="W329" s="24"/>
      <c r="X329" s="193"/>
      <c r="Y329" s="15"/>
    </row>
    <row r="330" spans="2:25" x14ac:dyDescent="0.25">
      <c r="B330" s="15">
        <v>235</v>
      </c>
      <c r="K330" s="9">
        <f t="shared" si="38"/>
        <v>0</v>
      </c>
      <c r="L330" s="35">
        <f t="shared" si="39"/>
        <v>0</v>
      </c>
      <c r="T330" s="44"/>
      <c r="U330" s="77"/>
      <c r="V330" s="24"/>
      <c r="W330" s="24"/>
      <c r="X330" s="193"/>
      <c r="Y330" s="15"/>
    </row>
    <row r="331" spans="2:25" x14ac:dyDescent="0.25">
      <c r="B331" s="15">
        <v>235</v>
      </c>
      <c r="K331" s="9">
        <f t="shared" si="38"/>
        <v>0</v>
      </c>
      <c r="L331" s="35">
        <f t="shared" si="39"/>
        <v>0</v>
      </c>
      <c r="T331" s="44"/>
      <c r="U331" s="77"/>
      <c r="V331" s="24"/>
      <c r="W331" s="24"/>
      <c r="X331" s="193"/>
      <c r="Y331" s="15"/>
    </row>
    <row r="332" spans="2:25" x14ac:dyDescent="0.25">
      <c r="B332" s="15">
        <v>235</v>
      </c>
      <c r="K332" s="9">
        <f t="shared" si="38"/>
        <v>0</v>
      </c>
      <c r="L332" s="35">
        <f t="shared" si="39"/>
        <v>0</v>
      </c>
      <c r="T332" s="44"/>
      <c r="U332" s="77"/>
      <c r="V332" s="24"/>
      <c r="W332" s="24"/>
      <c r="X332" s="193"/>
      <c r="Y332" s="15"/>
    </row>
    <row r="333" spans="2:25" x14ac:dyDescent="0.25">
      <c r="B333" t="s">
        <v>184</v>
      </c>
      <c r="K333" s="9">
        <f t="shared" si="38"/>
        <v>0</v>
      </c>
      <c r="L333" s="35">
        <f t="shared" si="39"/>
        <v>0</v>
      </c>
      <c r="T333" s="44"/>
      <c r="U333" s="77"/>
      <c r="V333" s="24"/>
      <c r="W333" s="24"/>
      <c r="X333" s="193"/>
      <c r="Y333" s="15"/>
    </row>
    <row r="334" spans="2:25" x14ac:dyDescent="0.25">
      <c r="B334" s="15">
        <v>247</v>
      </c>
      <c r="C334" s="8"/>
      <c r="E334" s="383"/>
      <c r="F334" s="380"/>
      <c r="G334" s="8"/>
      <c r="H334" s="8"/>
      <c r="I334" s="8"/>
      <c r="J334" s="9"/>
      <c r="K334" s="9">
        <f t="shared" si="38"/>
        <v>0</v>
      </c>
      <c r="L334" s="35">
        <f t="shared" si="39"/>
        <v>0</v>
      </c>
      <c r="M334" s="2"/>
      <c r="O334" s="19"/>
      <c r="P334" s="19"/>
      <c r="Q334" s="19"/>
      <c r="R334" s="21"/>
      <c r="S334" s="46"/>
      <c r="T334" s="44"/>
      <c r="U334" s="77"/>
      <c r="V334" s="24"/>
      <c r="W334" s="24"/>
      <c r="X334" s="193"/>
      <c r="Y334" s="15"/>
    </row>
    <row r="335" spans="2:25" x14ac:dyDescent="0.25">
      <c r="B335" s="15"/>
      <c r="C335" s="8"/>
      <c r="E335" s="383"/>
      <c r="F335" s="380"/>
      <c r="G335" s="8"/>
      <c r="H335" s="8"/>
      <c r="I335" s="8"/>
      <c r="J335" s="9"/>
      <c r="K335" s="9">
        <f t="shared" si="38"/>
        <v>0</v>
      </c>
      <c r="L335" s="35">
        <f t="shared" si="39"/>
        <v>0</v>
      </c>
      <c r="M335" s="2"/>
      <c r="O335" s="19"/>
      <c r="P335" s="19"/>
      <c r="Q335" s="19"/>
      <c r="R335" s="21"/>
      <c r="S335" s="46"/>
      <c r="T335" s="44"/>
      <c r="U335" s="77"/>
      <c r="V335" s="24"/>
      <c r="W335" s="24"/>
      <c r="X335" s="193"/>
      <c r="Y335" s="15"/>
    </row>
    <row r="336" spans="2:25" x14ac:dyDescent="0.25">
      <c r="B336" s="15"/>
      <c r="C336" s="8"/>
      <c r="E336" s="383"/>
      <c r="F336" s="380"/>
      <c r="G336" s="8"/>
      <c r="H336" s="8"/>
      <c r="I336" s="8"/>
      <c r="J336" s="9"/>
      <c r="K336" s="9">
        <f t="shared" si="38"/>
        <v>0</v>
      </c>
      <c r="L336" s="35">
        <f t="shared" si="39"/>
        <v>0</v>
      </c>
      <c r="M336" s="2"/>
      <c r="O336" s="19"/>
      <c r="P336" s="19"/>
      <c r="Q336" s="19"/>
      <c r="R336" s="21"/>
      <c r="S336" s="46"/>
      <c r="T336" s="44"/>
      <c r="U336" s="77"/>
      <c r="V336" s="24"/>
      <c r="W336" s="24"/>
      <c r="X336" s="193"/>
      <c r="Y336" s="15"/>
    </row>
    <row r="337" spans="2:25" x14ac:dyDescent="0.25">
      <c r="B337" s="15"/>
      <c r="C337" s="8"/>
      <c r="E337" s="383"/>
      <c r="F337" s="380"/>
      <c r="G337" s="8"/>
      <c r="H337" s="8"/>
      <c r="I337" s="8"/>
      <c r="J337" s="9"/>
      <c r="K337" s="9">
        <f t="shared" si="38"/>
        <v>0</v>
      </c>
      <c r="L337" s="35">
        <f t="shared" si="39"/>
        <v>0</v>
      </c>
      <c r="M337" s="2"/>
      <c r="O337" s="19"/>
      <c r="P337" s="19"/>
      <c r="Q337" s="19"/>
      <c r="R337" s="21"/>
      <c r="S337" s="46"/>
      <c r="T337" s="44"/>
      <c r="U337" s="77"/>
      <c r="V337" s="24"/>
      <c r="W337" s="24"/>
      <c r="X337" s="193"/>
      <c r="Y337" s="15"/>
    </row>
    <row r="338" spans="2:25" x14ac:dyDescent="0.25">
      <c r="B338" s="15"/>
      <c r="C338" s="8"/>
      <c r="E338" s="383"/>
      <c r="F338" s="380"/>
      <c r="G338" s="8"/>
      <c r="H338" s="8"/>
      <c r="I338" s="8"/>
      <c r="J338" s="9"/>
      <c r="K338" s="9">
        <f t="shared" si="38"/>
        <v>0</v>
      </c>
      <c r="L338" s="35">
        <f t="shared" si="39"/>
        <v>0</v>
      </c>
      <c r="M338" s="2"/>
      <c r="O338" s="19"/>
      <c r="P338" s="19"/>
      <c r="Q338" s="19"/>
      <c r="R338" s="21"/>
      <c r="S338" s="46"/>
      <c r="T338" s="44"/>
      <c r="U338" s="77"/>
      <c r="V338" s="24"/>
      <c r="W338" s="24"/>
      <c r="X338" s="193"/>
      <c r="Y338" s="15"/>
    </row>
    <row r="339" spans="2:25" x14ac:dyDescent="0.25">
      <c r="B339" s="15"/>
      <c r="C339" s="8"/>
      <c r="E339" s="383"/>
      <c r="F339" s="380"/>
      <c r="G339" s="8"/>
      <c r="H339" s="8"/>
      <c r="I339" s="8"/>
      <c r="J339" s="9"/>
      <c r="K339" s="9">
        <f t="shared" si="38"/>
        <v>0</v>
      </c>
      <c r="L339" s="35">
        <f t="shared" si="39"/>
        <v>0</v>
      </c>
      <c r="M339" s="2"/>
      <c r="O339" s="19"/>
      <c r="P339" s="19"/>
      <c r="Q339" s="19"/>
      <c r="R339" s="21"/>
      <c r="S339" s="46"/>
      <c r="T339" s="44"/>
      <c r="U339" s="77"/>
      <c r="V339" s="24"/>
      <c r="W339" s="24"/>
      <c r="X339" s="193"/>
      <c r="Y339" s="15"/>
    </row>
    <row r="340" spans="2:25" x14ac:dyDescent="0.25">
      <c r="B340" s="15"/>
      <c r="C340" s="8"/>
      <c r="E340" s="383"/>
      <c r="F340" s="380"/>
      <c r="G340" s="8"/>
      <c r="H340" s="8"/>
      <c r="I340" s="8"/>
      <c r="J340" s="9"/>
      <c r="K340" s="9">
        <f t="shared" si="38"/>
        <v>0</v>
      </c>
      <c r="L340" s="35">
        <f t="shared" si="39"/>
        <v>0</v>
      </c>
      <c r="M340" s="2"/>
      <c r="O340" s="19"/>
      <c r="P340" s="19"/>
      <c r="Q340" s="19"/>
      <c r="R340" s="21"/>
      <c r="S340" s="46"/>
      <c r="T340" s="44"/>
      <c r="U340" s="77"/>
      <c r="V340" s="24"/>
      <c r="W340" s="24"/>
      <c r="X340" s="193"/>
      <c r="Y340" s="15"/>
    </row>
    <row r="341" spans="2:25" x14ac:dyDescent="0.25">
      <c r="B341" s="15"/>
      <c r="C341" s="8"/>
      <c r="E341" s="383"/>
      <c r="F341" s="380"/>
      <c r="G341" s="8"/>
      <c r="H341" s="8"/>
      <c r="I341" s="8"/>
      <c r="J341" s="9"/>
      <c r="K341" s="9">
        <f t="shared" si="38"/>
        <v>0</v>
      </c>
      <c r="L341" s="35">
        <f t="shared" si="39"/>
        <v>0</v>
      </c>
      <c r="M341" s="2"/>
      <c r="O341" s="19"/>
      <c r="P341" s="19"/>
      <c r="Q341" s="19"/>
      <c r="R341" s="21"/>
      <c r="S341" s="46"/>
      <c r="T341" s="44"/>
      <c r="U341" s="77"/>
      <c r="V341" s="24"/>
      <c r="W341" s="24"/>
      <c r="X341" s="193"/>
      <c r="Y341" s="15"/>
    </row>
    <row r="342" spans="2:25" x14ac:dyDescent="0.25">
      <c r="B342" s="15"/>
      <c r="C342" s="8"/>
      <c r="E342" s="383"/>
      <c r="F342" s="380"/>
      <c r="G342" s="8"/>
      <c r="H342" s="8"/>
      <c r="I342" s="8"/>
      <c r="J342" s="9"/>
      <c r="K342" s="9">
        <f t="shared" si="38"/>
        <v>0</v>
      </c>
      <c r="L342" s="35">
        <f t="shared" si="39"/>
        <v>0</v>
      </c>
      <c r="M342" s="2"/>
      <c r="O342" s="19"/>
      <c r="P342" s="19"/>
      <c r="Q342" s="19"/>
      <c r="R342" s="21"/>
      <c r="S342" s="46"/>
      <c r="T342" s="44"/>
      <c r="U342" s="77"/>
      <c r="V342" s="24"/>
      <c r="W342" s="24"/>
      <c r="X342" s="193"/>
      <c r="Y342" s="15"/>
    </row>
    <row r="343" spans="2:25" x14ac:dyDescent="0.25">
      <c r="B343" s="15"/>
      <c r="C343" s="8"/>
      <c r="E343" s="383"/>
      <c r="F343" s="380"/>
      <c r="G343" s="8"/>
      <c r="H343" s="8"/>
      <c r="I343" s="8"/>
      <c r="J343" s="9"/>
      <c r="K343" s="9">
        <f t="shared" si="38"/>
        <v>0</v>
      </c>
      <c r="L343" s="35">
        <f t="shared" si="39"/>
        <v>0</v>
      </c>
      <c r="M343" s="2"/>
      <c r="O343" s="19"/>
      <c r="P343" s="19"/>
      <c r="Q343" s="19"/>
      <c r="R343" s="21"/>
      <c r="S343" s="46"/>
      <c r="T343" s="44"/>
      <c r="U343" s="77"/>
      <c r="V343" s="24"/>
      <c r="W343" s="24"/>
      <c r="X343" s="193"/>
      <c r="Y343" s="15"/>
    </row>
    <row r="344" spans="2:25" x14ac:dyDescent="0.25">
      <c r="B344" s="15"/>
      <c r="C344" s="8"/>
      <c r="E344" s="383"/>
      <c r="F344" s="380"/>
      <c r="G344" s="8"/>
      <c r="H344" s="8"/>
      <c r="I344" s="8"/>
      <c r="J344" s="9"/>
      <c r="K344" s="9">
        <f t="shared" si="38"/>
        <v>0</v>
      </c>
      <c r="L344" s="35">
        <f t="shared" si="39"/>
        <v>0</v>
      </c>
      <c r="M344" s="2"/>
      <c r="O344" s="19"/>
      <c r="P344" s="19"/>
      <c r="Q344" s="19"/>
      <c r="R344" s="21"/>
      <c r="S344" s="46"/>
      <c r="T344" s="44"/>
      <c r="U344" s="77"/>
      <c r="V344" s="24"/>
      <c r="W344" s="24"/>
      <c r="X344" s="193"/>
      <c r="Y344" s="15"/>
    </row>
    <row r="345" spans="2:25" x14ac:dyDescent="0.25">
      <c r="B345" s="15"/>
      <c r="C345" s="8"/>
      <c r="E345" s="383"/>
      <c r="F345" s="380"/>
      <c r="G345" s="8"/>
      <c r="H345" s="8"/>
      <c r="I345" s="8"/>
      <c r="J345" s="9"/>
      <c r="K345" s="9">
        <f t="shared" si="38"/>
        <v>0</v>
      </c>
      <c r="L345" s="35">
        <f t="shared" si="39"/>
        <v>0</v>
      </c>
      <c r="M345" s="2"/>
      <c r="O345" s="19"/>
      <c r="P345" s="19"/>
      <c r="Q345" s="19"/>
      <c r="R345" s="21"/>
      <c r="S345" s="46"/>
      <c r="T345" s="44"/>
      <c r="U345" s="77"/>
      <c r="V345" s="24"/>
      <c r="W345" s="24"/>
      <c r="X345" s="193"/>
      <c r="Y345" s="15"/>
    </row>
    <row r="346" spans="2:25" x14ac:dyDescent="0.25">
      <c r="B346" s="15"/>
      <c r="C346" s="8"/>
      <c r="E346" s="383"/>
      <c r="F346" s="380"/>
      <c r="G346" s="8"/>
      <c r="H346" s="8"/>
      <c r="I346" s="8"/>
      <c r="J346" s="9"/>
      <c r="K346" s="9">
        <f t="shared" si="38"/>
        <v>0</v>
      </c>
      <c r="L346" s="35">
        <f t="shared" si="39"/>
        <v>0</v>
      </c>
      <c r="M346" s="2"/>
      <c r="O346" s="19"/>
      <c r="P346" s="19"/>
      <c r="Q346" s="19"/>
      <c r="R346" s="21"/>
      <c r="S346" s="46"/>
      <c r="T346" s="44"/>
      <c r="U346" s="77"/>
      <c r="V346" s="24"/>
      <c r="W346" s="24"/>
      <c r="X346" s="193"/>
      <c r="Y346" s="15"/>
    </row>
    <row r="347" spans="2:25" x14ac:dyDescent="0.25">
      <c r="B347" s="15"/>
      <c r="C347" s="8"/>
      <c r="E347" s="383"/>
      <c r="F347" s="380"/>
      <c r="G347" s="8"/>
      <c r="H347" s="8"/>
      <c r="I347" s="8"/>
      <c r="J347" s="9"/>
      <c r="K347" s="9">
        <f t="shared" si="38"/>
        <v>0</v>
      </c>
      <c r="L347" s="35">
        <f t="shared" si="39"/>
        <v>0</v>
      </c>
      <c r="M347" s="2"/>
      <c r="O347" s="19"/>
      <c r="P347" s="19"/>
      <c r="Q347" s="19"/>
      <c r="R347" s="21"/>
      <c r="S347" s="46"/>
      <c r="T347" s="44"/>
      <c r="U347" s="77"/>
      <c r="V347" s="24"/>
      <c r="W347" s="24"/>
      <c r="X347" s="193"/>
      <c r="Y347" s="15"/>
    </row>
    <row r="348" spans="2:25" x14ac:dyDescent="0.25">
      <c r="B348" s="15"/>
      <c r="C348" s="8"/>
      <c r="E348" s="383"/>
      <c r="F348" s="380"/>
      <c r="G348" s="8"/>
      <c r="H348" s="8"/>
      <c r="I348" s="8"/>
      <c r="J348" s="9"/>
      <c r="K348" s="9">
        <f t="shared" si="38"/>
        <v>0</v>
      </c>
      <c r="L348" s="35">
        <f t="shared" si="39"/>
        <v>0</v>
      </c>
      <c r="M348" s="2"/>
      <c r="O348" s="19"/>
      <c r="P348" s="19"/>
      <c r="Q348" s="19"/>
      <c r="R348" s="21"/>
      <c r="S348" s="46"/>
      <c r="T348" s="44"/>
      <c r="U348" s="77"/>
      <c r="V348" s="24"/>
      <c r="W348" s="24"/>
      <c r="X348" s="193"/>
      <c r="Y348" s="15"/>
    </row>
    <row r="349" spans="2:25" x14ac:dyDescent="0.25">
      <c r="B349" s="15"/>
      <c r="C349" s="8"/>
      <c r="E349" s="383"/>
      <c r="F349" s="380"/>
      <c r="G349" s="8"/>
      <c r="H349" s="8"/>
      <c r="I349" s="8"/>
      <c r="J349" s="9"/>
      <c r="K349" s="9">
        <f t="shared" si="38"/>
        <v>0</v>
      </c>
      <c r="L349" s="35">
        <f t="shared" si="39"/>
        <v>0</v>
      </c>
      <c r="M349" s="2"/>
      <c r="O349" s="19"/>
      <c r="P349" s="19"/>
      <c r="Q349" s="19"/>
      <c r="R349" s="21"/>
      <c r="S349" s="46"/>
      <c r="T349" s="44"/>
      <c r="U349" s="77"/>
      <c r="V349" s="24"/>
      <c r="W349" s="24"/>
      <c r="X349" s="193"/>
      <c r="Y349" s="15"/>
    </row>
    <row r="350" spans="2:25" x14ac:dyDescent="0.25">
      <c r="B350" s="15"/>
      <c r="C350" s="8"/>
      <c r="E350" s="383"/>
      <c r="F350" s="380"/>
      <c r="G350" s="8"/>
      <c r="H350" s="8"/>
      <c r="I350" s="8"/>
      <c r="J350" s="9"/>
      <c r="K350" s="9">
        <f t="shared" si="38"/>
        <v>0</v>
      </c>
      <c r="L350" s="35">
        <f t="shared" si="39"/>
        <v>0</v>
      </c>
      <c r="M350" s="2"/>
      <c r="O350" s="19"/>
      <c r="P350" s="19"/>
      <c r="Q350" s="19"/>
      <c r="R350" s="21"/>
      <c r="S350" s="46"/>
      <c r="T350" s="44"/>
      <c r="U350" s="77"/>
      <c r="V350" s="24"/>
      <c r="W350" s="24"/>
      <c r="X350" s="193"/>
      <c r="Y350" s="15"/>
    </row>
    <row r="351" spans="2:25" x14ac:dyDescent="0.25">
      <c r="B351" s="15"/>
      <c r="C351" s="8"/>
      <c r="E351" s="383"/>
      <c r="F351" s="380"/>
      <c r="G351" s="8"/>
      <c r="H351" s="8"/>
      <c r="I351" s="8"/>
      <c r="J351" s="9"/>
      <c r="K351" s="9">
        <f t="shared" si="38"/>
        <v>0</v>
      </c>
      <c r="L351" s="35">
        <f t="shared" si="39"/>
        <v>0</v>
      </c>
      <c r="M351" s="2"/>
      <c r="O351" s="19"/>
      <c r="P351" s="19"/>
      <c r="Q351" s="19"/>
      <c r="R351" s="21"/>
      <c r="S351" s="46"/>
      <c r="T351" s="44"/>
      <c r="U351" s="77"/>
      <c r="V351" s="24"/>
      <c r="W351" s="390"/>
      <c r="X351" s="193"/>
      <c r="Y351" s="15"/>
    </row>
  </sheetData>
  <autoFilter ref="B2:AW351" xr:uid="{00000000-0001-0000-0600-000000000000}">
    <filterColumn colId="26" showButton="0"/>
  </autoFilter>
  <mergeCells count="15">
    <mergeCell ref="AB69:AB74"/>
    <mergeCell ref="AB75:AC75"/>
    <mergeCell ref="AB33:AB38"/>
    <mergeCell ref="AB39:AB44"/>
    <mergeCell ref="AB45:AB50"/>
    <mergeCell ref="AB51:AB56"/>
    <mergeCell ref="AB57:AB62"/>
    <mergeCell ref="AB63:AB68"/>
    <mergeCell ref="AB21:AB26"/>
    <mergeCell ref="AB27:AB32"/>
    <mergeCell ref="AB1:AS1"/>
    <mergeCell ref="AB2:AC2"/>
    <mergeCell ref="AB3:AB8"/>
    <mergeCell ref="AB9:AB14"/>
    <mergeCell ref="AB15:AB20"/>
  </mergeCells>
  <phoneticPr fontId="7" type="noConversion"/>
  <conditionalFormatting sqref="U1:U1048576 X1:X1048576">
    <cfRule type="cellIs" dxfId="10" priority="1" operator="equal">
      <formula>"마케팅"</formula>
    </cfRule>
  </conditionalFormatting>
  <dataValidations count="9">
    <dataValidation type="list" allowBlank="1" showInputMessage="1" showErrorMessage="1" sqref="S302:S325 S334:S351 S3:S284" xr:uid="{00000000-0002-0000-0600-000000000000}">
      <formula1>"(주)그랜드썬기술단, (주)그랜드썬,지에스피,유지에스"</formula1>
    </dataValidation>
    <dataValidation type="list" allowBlank="1" showInputMessage="1" showErrorMessage="1" sqref="U154:U156 U3:U152 U160:U351" xr:uid="{00000000-0002-0000-0600-000002000000}">
      <formula1>"소개,그 외"</formula1>
    </dataValidation>
    <dataValidation type="list" allowBlank="1" showInputMessage="1" showErrorMessage="1" sqref="D334:D351 D3:D325" xr:uid="{00000000-0002-0000-0600-000003000000}">
      <formula1>"기존시설물(A),일반부지(B),수면(C)"</formula1>
    </dataValidation>
    <dataValidation type="list" allowBlank="1" showInputMessage="1" showErrorMessage="1" sqref="C334:C351 C3:C325" xr:uid="{00000000-0002-0000-0600-000004000000}">
      <formula1>"직영(가),외주(나),입찰(다),검토(라)"</formula1>
    </dataValidation>
    <dataValidation type="list" allowBlank="1" showInputMessage="1" showErrorMessage="1" sqref="X3:X125 X127:X152 X156:X351" xr:uid="{00000000-0002-0000-0600-000005000000}">
      <formula1>"산단,공장,창고,축사,근생,자원순환,토지,업무시설"</formula1>
    </dataValidation>
    <dataValidation type="list" allowBlank="1" showInputMessage="1" showErrorMessage="1" sqref="Y3:Y351" xr:uid="{00000000-0002-0000-0600-000006000000}">
      <formula1>"유지,보류,취소"</formula1>
    </dataValidation>
    <dataValidation type="list" allowBlank="1" showInputMessage="1" showErrorMessage="1" sqref="X126" xr:uid="{00000000-0002-0000-0600-000007000000}">
      <formula1>"산단,공장,창고,축사,근생,자원순환, 창고 및 판매시설,토지,업무시설"</formula1>
    </dataValidation>
    <dataValidation type="list" allowBlank="1" showInputMessage="1" showErrorMessage="1" sqref="X153:X155" xr:uid="{8AE20390-A9A3-4EB4-8145-631C7A47BA50}">
      <formula1>"산단,공장,창고,축사,근생,자원순환,토지,업무시설, 자동차관련시설"</formula1>
    </dataValidation>
    <dataValidation type="list" allowBlank="1" showInputMessage="1" showErrorMessage="1" sqref="Q252:Q315 Q3:Q250" xr:uid="{0C67B5ED-5699-4902-86DE-260EEB5395F0}">
      <formula1>"경기,강원,충남,충북,서울,인천,대전,세종,경남,경북,전남,전북,부산,대구,울산,제주,광주"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3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6E46B2-8F33-4646-8461-8C2CEE442515}">
          <x14:formula1>
            <xm:f>INDEX!$B$3:$B$6</xm:f>
          </x14:formula1>
          <xm:sqref>W3:W127 W129:W351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W354"/>
  <sheetViews>
    <sheetView zoomScale="70" zoomScaleNormal="70" workbookViewId="0">
      <pane ySplit="2" topLeftCell="A4" activePane="bottomLeft" state="frozen"/>
      <selection activeCell="V7" sqref="V7"/>
      <selection pane="bottomLeft" activeCell="G51" sqref="G51"/>
    </sheetView>
  </sheetViews>
  <sheetFormatPr defaultRowHeight="13.5" x14ac:dyDescent="0.25"/>
  <cols>
    <col min="1" max="1" width="3.7109375" customWidth="1"/>
    <col min="2" max="3" width="10.7109375" customWidth="1"/>
    <col min="4" max="4" width="10.7109375" style="5" customWidth="1"/>
    <col min="5" max="5" width="10.7109375" style="70" customWidth="1"/>
    <col min="6" max="6" width="12.7109375" style="382" customWidth="1"/>
    <col min="7" max="8" width="10.7109375" customWidth="1"/>
    <col min="9" max="9" width="11.85546875" customWidth="1"/>
    <col min="10" max="11" width="15.7109375" style="4" customWidth="1"/>
    <col min="12" max="12" width="15.7109375" style="36" customWidth="1"/>
    <col min="13" max="13" width="15.7109375" style="4" customWidth="1"/>
    <col min="14" max="14" width="15.7109375" customWidth="1"/>
    <col min="15" max="15" width="21.42578125" customWidth="1"/>
    <col min="16" max="17" width="6" customWidth="1"/>
    <col min="18" max="18" width="38.42578125" style="20" customWidth="1"/>
    <col min="19" max="19" width="20.7109375" customWidth="1"/>
    <col min="20" max="20" width="13.42578125" customWidth="1"/>
    <col min="21" max="21" width="9.140625" style="32"/>
    <col min="22" max="22" width="47" style="5" customWidth="1"/>
    <col min="23" max="23" width="9.140625" style="5" customWidth="1"/>
    <col min="24" max="24" width="9.140625" style="32"/>
    <col min="30" max="30" width="11.140625" customWidth="1"/>
    <col min="31" max="35" width="11.7109375" customWidth="1"/>
    <col min="36" max="40" width="11.7109375" style="124" customWidth="1"/>
    <col min="41" max="45" width="11.7109375" customWidth="1"/>
  </cols>
  <sheetData>
    <row r="1" spans="2:49" ht="27" thickBot="1" x14ac:dyDescent="0.3">
      <c r="B1" s="31"/>
      <c r="C1" s="31"/>
      <c r="D1" s="253"/>
      <c r="E1" s="68"/>
      <c r="F1" s="17"/>
      <c r="G1" s="6"/>
      <c r="H1" s="6"/>
      <c r="I1" s="22"/>
      <c r="J1" s="7"/>
      <c r="K1" s="7"/>
      <c r="L1" s="33"/>
      <c r="M1" s="7"/>
      <c r="N1" s="7"/>
      <c r="U1" s="42"/>
      <c r="X1" s="42"/>
      <c r="AB1" s="494" t="s">
        <v>3</v>
      </c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6"/>
    </row>
    <row r="2" spans="2:49" ht="42" thickTop="1" thickBot="1" x14ac:dyDescent="0.3">
      <c r="B2" s="14" t="s">
        <v>0</v>
      </c>
      <c r="C2" s="66" t="s">
        <v>66</v>
      </c>
      <c r="D2" s="66" t="s">
        <v>67</v>
      </c>
      <c r="E2" s="69" t="s">
        <v>68</v>
      </c>
      <c r="F2" s="18" t="s">
        <v>1</v>
      </c>
      <c r="G2" s="10" t="s">
        <v>18</v>
      </c>
      <c r="H2" s="10" t="s">
        <v>17</v>
      </c>
      <c r="I2" s="11" t="s">
        <v>2</v>
      </c>
      <c r="J2" s="12" t="s">
        <v>16</v>
      </c>
      <c r="K2" s="12" t="s">
        <v>4</v>
      </c>
      <c r="L2" s="34" t="s">
        <v>44</v>
      </c>
      <c r="M2" s="37" t="s">
        <v>25</v>
      </c>
      <c r="N2" s="10" t="s">
        <v>22</v>
      </c>
      <c r="O2" s="10" t="s">
        <v>24</v>
      </c>
      <c r="P2" s="10" t="s">
        <v>42</v>
      </c>
      <c r="Q2" s="10" t="s">
        <v>206</v>
      </c>
      <c r="R2" s="10" t="s">
        <v>23</v>
      </c>
      <c r="S2" s="13" t="s">
        <v>5</v>
      </c>
      <c r="T2" s="23" t="s">
        <v>33</v>
      </c>
      <c r="U2" s="198" t="s">
        <v>48</v>
      </c>
      <c r="V2" s="14" t="s">
        <v>32</v>
      </c>
      <c r="W2" s="14" t="s">
        <v>1152</v>
      </c>
      <c r="X2" s="198" t="s">
        <v>149</v>
      </c>
      <c r="Y2" s="103" t="s">
        <v>161</v>
      </c>
      <c r="AB2" s="491" t="s">
        <v>108</v>
      </c>
      <c r="AC2" s="492"/>
      <c r="AD2" s="106" t="s">
        <v>1</v>
      </c>
      <c r="AE2" s="107" t="s">
        <v>109</v>
      </c>
      <c r="AF2" s="108" t="s">
        <v>78</v>
      </c>
      <c r="AG2" s="108" t="s">
        <v>77</v>
      </c>
      <c r="AH2" s="108" t="s">
        <v>79</v>
      </c>
      <c r="AI2" s="109" t="s">
        <v>80</v>
      </c>
      <c r="AJ2" s="112" t="s">
        <v>110</v>
      </c>
      <c r="AK2" s="113" t="s">
        <v>78</v>
      </c>
      <c r="AL2" s="113" t="s">
        <v>77</v>
      </c>
      <c r="AM2" s="113" t="s">
        <v>79</v>
      </c>
      <c r="AN2" s="114" t="s">
        <v>80</v>
      </c>
      <c r="AO2" s="110" t="s">
        <v>111</v>
      </c>
      <c r="AP2" s="111" t="s">
        <v>78</v>
      </c>
      <c r="AQ2" s="111" t="s">
        <v>77</v>
      </c>
      <c r="AR2" s="111" t="s">
        <v>79</v>
      </c>
      <c r="AS2" s="111" t="s">
        <v>80</v>
      </c>
      <c r="AU2" s="146"/>
      <c r="AV2" s="147" t="s">
        <v>116</v>
      </c>
      <c r="AW2" s="148"/>
    </row>
    <row r="3" spans="2:49" s="8" customFormat="1" x14ac:dyDescent="0.25">
      <c r="B3" s="15">
        <v>1</v>
      </c>
      <c r="C3" s="8" t="s">
        <v>112</v>
      </c>
      <c r="D3" s="5" t="s">
        <v>246</v>
      </c>
      <c r="E3" s="67" t="s">
        <v>257</v>
      </c>
      <c r="F3" s="380">
        <v>46022</v>
      </c>
      <c r="G3" s="8">
        <v>1</v>
      </c>
      <c r="H3" s="8">
        <v>2</v>
      </c>
      <c r="I3" s="8">
        <v>148.35</v>
      </c>
      <c r="J3" s="9">
        <v>165000000</v>
      </c>
      <c r="K3" s="9">
        <f>J3*1.1</f>
        <v>181500000</v>
      </c>
      <c r="L3" s="35">
        <f>J3*0.00000001</f>
        <v>1.6500000000000001</v>
      </c>
      <c r="M3" s="2" t="s">
        <v>260</v>
      </c>
      <c r="N3" t="s">
        <v>28</v>
      </c>
      <c r="O3" s="19" t="s">
        <v>310</v>
      </c>
      <c r="P3" s="19">
        <v>1</v>
      </c>
      <c r="Q3" s="19" t="s">
        <v>196</v>
      </c>
      <c r="R3" s="21" t="s">
        <v>311</v>
      </c>
      <c r="S3" s="46" t="s">
        <v>250</v>
      </c>
      <c r="T3" s="44" t="s">
        <v>306</v>
      </c>
      <c r="U3" s="76" t="s">
        <v>252</v>
      </c>
      <c r="V3" s="30" t="s">
        <v>268</v>
      </c>
      <c r="W3" s="78"/>
      <c r="X3" s="193" t="s">
        <v>156</v>
      </c>
      <c r="Y3" s="15" t="s">
        <v>168</v>
      </c>
      <c r="AA3">
        <v>1</v>
      </c>
      <c r="AB3" s="486">
        <v>1</v>
      </c>
      <c r="AC3" s="89">
        <v>1</v>
      </c>
      <c r="AD3" s="95" t="s">
        <v>81</v>
      </c>
      <c r="AE3" s="39">
        <f>SUM(AF3:AI3)</f>
        <v>0</v>
      </c>
      <c r="AF3" s="65">
        <f>SUMIFS($I:$I,$C:$C, $AF$2,$G:$G,$AA3,$H:$H,$AC3)</f>
        <v>0</v>
      </c>
      <c r="AG3" s="65">
        <f>SUMIFS($I:$I,$C:$C, $AG$2,$G:$G,$AA3,$H:$H,$AC3)</f>
        <v>0</v>
      </c>
      <c r="AH3" s="65">
        <f>SUMIFS($I:$I,$C:$C, $AH$2,$G:$G,$AA3,$H:$H,$AC3)</f>
        <v>0</v>
      </c>
      <c r="AI3" s="104">
        <f>SUMIFS($I:$I,$C:$C, $AI$2,$G:$G,$AA3,$H:$H,$AC3)</f>
        <v>0</v>
      </c>
      <c r="AJ3" s="115">
        <f>SUM(AK3:AN3)</f>
        <v>0</v>
      </c>
      <c r="AK3" s="116">
        <f>COUNTIFS($C:$C, $AK$2,$G:$G,$AA3,$H:$H,$AC3)</f>
        <v>0</v>
      </c>
      <c r="AL3" s="116">
        <f>COUNTIFS($C:$C, $AL$2,$G:$G,$AA3,$H:$H,$AC3)</f>
        <v>0</v>
      </c>
      <c r="AM3" s="116">
        <f>COUNTIFS($C:$C, $AM$2,$G:$G,$AA3,$H:$H,$AC3)</f>
        <v>0</v>
      </c>
      <c r="AN3" s="117">
        <f>COUNTIFS($C:$C, $AN$2,$G:$G,$AA3,$H:$H,$AC3)</f>
        <v>0</v>
      </c>
      <c r="AO3" s="39">
        <f>SUM(AP3:AS3)</f>
        <v>0</v>
      </c>
      <c r="AP3" s="65">
        <f>SUMIFS($L:$L,$C:$C, $AP$2,$G:$G,$AA3,$H:$H,$AC3)</f>
        <v>0</v>
      </c>
      <c r="AQ3" s="65">
        <f>SUMIFS($L:$L,$C:$C, $AQ$2,$G:$G,$AA3,$H:$H,$AC3)</f>
        <v>0</v>
      </c>
      <c r="AR3" s="65">
        <f>SUMIFS($L:$L,$C:$C, $AR$2,$G:$G,$AA3,$H:$H,$AC3)</f>
        <v>0</v>
      </c>
      <c r="AS3" s="65">
        <f>SUMIFS($L:$L,$C:$C, $AS$2,$G:$G,$AA3,$H:$H,$AC3)</f>
        <v>0</v>
      </c>
      <c r="AU3" s="149" t="s">
        <v>117</v>
      </c>
      <c r="AV3" s="150" t="s">
        <v>118</v>
      </c>
      <c r="AW3" s="151" t="s">
        <v>119</v>
      </c>
    </row>
    <row r="4" spans="2:49" s="8" customFormat="1" x14ac:dyDescent="0.25">
      <c r="B4" s="15">
        <v>2</v>
      </c>
      <c r="C4" s="8" t="s">
        <v>380</v>
      </c>
      <c r="D4" s="5" t="s">
        <v>246</v>
      </c>
      <c r="E4" s="67" t="s">
        <v>257</v>
      </c>
      <c r="F4" s="380">
        <v>46042</v>
      </c>
      <c r="G4" s="8">
        <v>1</v>
      </c>
      <c r="H4" s="8">
        <v>3</v>
      </c>
      <c r="I4" s="8">
        <v>248.96</v>
      </c>
      <c r="J4" s="9">
        <v>290000000</v>
      </c>
      <c r="K4" s="9">
        <f t="shared" ref="K4:K66" si="0">J4*1.1</f>
        <v>319000000</v>
      </c>
      <c r="L4" s="35">
        <f t="shared" ref="L4:L66" si="1">J4*0.00000001</f>
        <v>2.9</v>
      </c>
      <c r="M4" s="2" t="s">
        <v>381</v>
      </c>
      <c r="N4" t="s">
        <v>381</v>
      </c>
      <c r="O4" s="19" t="s">
        <v>383</v>
      </c>
      <c r="P4" s="19">
        <v>2</v>
      </c>
      <c r="Q4" s="19" t="s">
        <v>281</v>
      </c>
      <c r="R4" s="21" t="s">
        <v>382</v>
      </c>
      <c r="S4" s="46" t="s">
        <v>250</v>
      </c>
      <c r="T4" s="44"/>
      <c r="U4" s="76" t="s">
        <v>252</v>
      </c>
      <c r="V4" s="24" t="s">
        <v>268</v>
      </c>
      <c r="W4" s="24"/>
      <c r="X4" s="193" t="s">
        <v>152</v>
      </c>
      <c r="Y4" s="15" t="s">
        <v>255</v>
      </c>
      <c r="AA4">
        <v>1</v>
      </c>
      <c r="AB4" s="487"/>
      <c r="AC4" s="90">
        <v>2</v>
      </c>
      <c r="AD4" s="96" t="s">
        <v>54</v>
      </c>
      <c r="AE4" s="39">
        <f t="shared" ref="AE4:AE67" si="2">SUM(AF4:AI4)</f>
        <v>148.35</v>
      </c>
      <c r="AF4" s="65">
        <f t="shared" ref="AF4:AF67" si="3">SUMIFS($I:$I,$C:$C, $AF$2,$G:$G,$AA4,$H:$H,$AC4)</f>
        <v>148.35</v>
      </c>
      <c r="AG4" s="65">
        <f t="shared" ref="AG4:AG67" si="4">SUMIFS($I:$I,$C:$C, $AG$2,$G:$G,$AA4,$H:$H,$AC4)</f>
        <v>0</v>
      </c>
      <c r="AH4" s="65">
        <f t="shared" ref="AH4:AH67" si="5">SUMIFS($I:$I,$C:$C, $AH$2,$G:$G,$AA4,$H:$H,$AC4)</f>
        <v>0</v>
      </c>
      <c r="AI4" s="104">
        <f t="shared" ref="AI4:AI67" si="6">SUMIFS($I:$I,$C:$C, $AI$2,$G:$G,$AA4,$H:$H,$AC4)</f>
        <v>0</v>
      </c>
      <c r="AJ4" s="115">
        <f t="shared" ref="AJ4:AJ67" si="7">SUM(AK4:AN4)</f>
        <v>1</v>
      </c>
      <c r="AK4" s="116">
        <f t="shared" ref="AK4:AK67" si="8">COUNTIFS($C:$C, $AK$2,$G:$G,$AA4,$H:$H,$AC4)</f>
        <v>1</v>
      </c>
      <c r="AL4" s="116">
        <f t="shared" ref="AL4:AL67" si="9">COUNTIFS($C:$C, $AL$2,$G:$G,$AA4,$H:$H,$AC4)</f>
        <v>0</v>
      </c>
      <c r="AM4" s="116">
        <f t="shared" ref="AM4:AM67" si="10">COUNTIFS($C:$C, $AM$2,$G:$G,$AA4,$H:$H,$AC4)</f>
        <v>0</v>
      </c>
      <c r="AN4" s="117">
        <f t="shared" ref="AN4:AN67" si="11">COUNTIFS($C:$C, $AN$2,$G:$G,$AA4,$H:$H,$AC4)</f>
        <v>0</v>
      </c>
      <c r="AO4" s="39">
        <f t="shared" ref="AO4:AO67" si="12">SUM(AP4:AS4)</f>
        <v>1.6500000000000001</v>
      </c>
      <c r="AP4" s="65">
        <f t="shared" ref="AP4:AP67" si="13">SUMIFS($L:$L,$C:$C, $AP$2,$G:$G,$AA4,$H:$H,$AC4)</f>
        <v>1.6500000000000001</v>
      </c>
      <c r="AQ4" s="65">
        <f t="shared" ref="AQ4:AQ67" si="14">SUMIFS($L:$L,$C:$C, $AQ$2,$G:$G,$AA4,$H:$H,$AC4)</f>
        <v>0</v>
      </c>
      <c r="AR4" s="65">
        <f t="shared" ref="AR4:AR67" si="15">SUMIFS($L:$L,$C:$C, $AR$2,$G:$G,$AA4,$H:$H,$AC4)</f>
        <v>0</v>
      </c>
      <c r="AS4" s="65">
        <f t="shared" ref="AS4:AS67" si="16">SUMIFS($L:$L,$C:$C, $AS$2,$G:$G,$AA4,$H:$H,$AC4)</f>
        <v>0</v>
      </c>
      <c r="AU4" s="152">
        <v>1</v>
      </c>
      <c r="AV4" s="153">
        <f>COUNTIFS($U:$U,$AV$3,$G:$G,$AU4)</f>
        <v>2</v>
      </c>
      <c r="AW4" s="154">
        <f>COUNTIFS($U:$U,$AW$3,$G:$G,$AU4)</f>
        <v>0</v>
      </c>
    </row>
    <row r="5" spans="2:49" s="8" customFormat="1" x14ac:dyDescent="0.25">
      <c r="B5" s="15">
        <v>3</v>
      </c>
      <c r="C5" s="8" t="s">
        <v>112</v>
      </c>
      <c r="D5" s="5" t="s">
        <v>419</v>
      </c>
      <c r="E5" s="67" t="s">
        <v>274</v>
      </c>
      <c r="F5" s="380">
        <v>46063</v>
      </c>
      <c r="G5" s="8">
        <v>2</v>
      </c>
      <c r="H5" s="8">
        <v>2</v>
      </c>
      <c r="I5" s="8">
        <v>1122.3</v>
      </c>
      <c r="J5" s="9">
        <v>1080000000</v>
      </c>
      <c r="K5" s="9">
        <f t="shared" si="0"/>
        <v>1188000000</v>
      </c>
      <c r="L5" s="35">
        <f t="shared" si="1"/>
        <v>10.8</v>
      </c>
      <c r="M5" s="2" t="s">
        <v>259</v>
      </c>
      <c r="N5" t="s">
        <v>26</v>
      </c>
      <c r="O5" s="19" t="s">
        <v>552</v>
      </c>
      <c r="P5" s="19">
        <v>3</v>
      </c>
      <c r="Q5" s="19" t="s">
        <v>248</v>
      </c>
      <c r="R5" s="21" t="s">
        <v>553</v>
      </c>
      <c r="S5" s="46" t="s">
        <v>250</v>
      </c>
      <c r="T5" s="44" t="s">
        <v>554</v>
      </c>
      <c r="U5" s="76" t="s">
        <v>267</v>
      </c>
      <c r="V5" s="24" t="s">
        <v>555</v>
      </c>
      <c r="W5" s="24"/>
      <c r="X5" s="193" t="s">
        <v>254</v>
      </c>
      <c r="Y5" s="15" t="s">
        <v>168</v>
      </c>
      <c r="AA5">
        <v>1</v>
      </c>
      <c r="AB5" s="487"/>
      <c r="AC5" s="90">
        <v>3</v>
      </c>
      <c r="AD5" s="97" t="s">
        <v>55</v>
      </c>
      <c r="AE5" s="39">
        <f t="shared" si="2"/>
        <v>248.96</v>
      </c>
      <c r="AF5" s="65">
        <f t="shared" si="3"/>
        <v>0</v>
      </c>
      <c r="AG5" s="65">
        <f t="shared" si="4"/>
        <v>0</v>
      </c>
      <c r="AH5" s="65">
        <f t="shared" si="5"/>
        <v>248.96</v>
      </c>
      <c r="AI5" s="104">
        <f t="shared" si="6"/>
        <v>0</v>
      </c>
      <c r="AJ5" s="115">
        <f t="shared" si="7"/>
        <v>1</v>
      </c>
      <c r="AK5" s="116">
        <f t="shared" si="8"/>
        <v>0</v>
      </c>
      <c r="AL5" s="116">
        <f t="shared" si="9"/>
        <v>0</v>
      </c>
      <c r="AM5" s="116">
        <f t="shared" si="10"/>
        <v>1</v>
      </c>
      <c r="AN5" s="117">
        <f t="shared" si="11"/>
        <v>0</v>
      </c>
      <c r="AO5" s="39">
        <f t="shared" si="12"/>
        <v>2.9</v>
      </c>
      <c r="AP5" s="65">
        <f t="shared" si="13"/>
        <v>0</v>
      </c>
      <c r="AQ5" s="65">
        <f t="shared" si="14"/>
        <v>0</v>
      </c>
      <c r="AR5" s="65">
        <f t="shared" si="15"/>
        <v>2.9</v>
      </c>
      <c r="AS5" s="65">
        <f t="shared" si="16"/>
        <v>0</v>
      </c>
      <c r="AU5" s="152">
        <v>2</v>
      </c>
      <c r="AV5" s="153">
        <f t="shared" ref="AV5:AV15" si="17">COUNTIFS($U:$U,$AV$3,$G:$G,$AU5)</f>
        <v>0</v>
      </c>
      <c r="AW5" s="154">
        <f t="shared" ref="AW5:AW15" si="18">COUNTIFS($U:$U,$AW$3,$G:$G,$AU5)</f>
        <v>2</v>
      </c>
    </row>
    <row r="6" spans="2:49" s="8" customFormat="1" x14ac:dyDescent="0.25">
      <c r="B6" s="15">
        <v>4</v>
      </c>
      <c r="C6" s="8" t="s">
        <v>112</v>
      </c>
      <c r="D6" s="5" t="s">
        <v>246</v>
      </c>
      <c r="E6" s="67" t="s">
        <v>258</v>
      </c>
      <c r="F6" s="380">
        <v>46063</v>
      </c>
      <c r="G6" s="8">
        <v>2</v>
      </c>
      <c r="H6" s="8">
        <v>2</v>
      </c>
      <c r="I6" s="8">
        <v>354.75</v>
      </c>
      <c r="J6" s="9">
        <v>356000000</v>
      </c>
      <c r="K6" s="9">
        <f t="shared" si="0"/>
        <v>391600000.00000006</v>
      </c>
      <c r="L6" s="35">
        <f t="shared" si="1"/>
        <v>3.56</v>
      </c>
      <c r="M6" s="2" t="s">
        <v>259</v>
      </c>
      <c r="N6" s="2" t="s">
        <v>26</v>
      </c>
      <c r="O6" s="19" t="s">
        <v>556</v>
      </c>
      <c r="P6" s="19"/>
      <c r="Q6" s="19" t="s">
        <v>248</v>
      </c>
      <c r="R6" s="21" t="s">
        <v>557</v>
      </c>
      <c r="S6" s="46" t="s">
        <v>558</v>
      </c>
      <c r="T6" s="44" t="s">
        <v>554</v>
      </c>
      <c r="U6" s="76" t="s">
        <v>119</v>
      </c>
      <c r="V6" s="24" t="s">
        <v>555</v>
      </c>
      <c r="W6" s="24"/>
      <c r="X6" s="193" t="s">
        <v>254</v>
      </c>
      <c r="Y6" s="15" t="s">
        <v>168</v>
      </c>
      <c r="AA6">
        <v>1</v>
      </c>
      <c r="AB6" s="487"/>
      <c r="AC6" s="90">
        <v>4</v>
      </c>
      <c r="AD6" s="97" t="s">
        <v>56</v>
      </c>
      <c r="AE6" s="39">
        <f t="shared" si="2"/>
        <v>0</v>
      </c>
      <c r="AF6" s="65">
        <f t="shared" si="3"/>
        <v>0</v>
      </c>
      <c r="AG6" s="65">
        <f t="shared" si="4"/>
        <v>0</v>
      </c>
      <c r="AH6" s="65">
        <f t="shared" si="5"/>
        <v>0</v>
      </c>
      <c r="AI6" s="104">
        <f t="shared" si="6"/>
        <v>0</v>
      </c>
      <c r="AJ6" s="115">
        <f t="shared" si="7"/>
        <v>0</v>
      </c>
      <c r="AK6" s="116">
        <f t="shared" si="8"/>
        <v>0</v>
      </c>
      <c r="AL6" s="116">
        <f t="shared" si="9"/>
        <v>0</v>
      </c>
      <c r="AM6" s="116">
        <f t="shared" si="10"/>
        <v>0</v>
      </c>
      <c r="AN6" s="117">
        <f t="shared" si="11"/>
        <v>0</v>
      </c>
      <c r="AO6" s="39">
        <f t="shared" si="12"/>
        <v>0</v>
      </c>
      <c r="AP6" s="65">
        <f t="shared" si="13"/>
        <v>0</v>
      </c>
      <c r="AQ6" s="65">
        <f t="shared" si="14"/>
        <v>0</v>
      </c>
      <c r="AR6" s="65">
        <f t="shared" si="15"/>
        <v>0</v>
      </c>
      <c r="AS6" s="65">
        <f t="shared" si="16"/>
        <v>0</v>
      </c>
      <c r="AU6" s="152">
        <v>3</v>
      </c>
      <c r="AV6" s="153">
        <f t="shared" si="17"/>
        <v>0</v>
      </c>
      <c r="AW6" s="154">
        <f t="shared" si="18"/>
        <v>1</v>
      </c>
    </row>
    <row r="7" spans="2:49" s="8" customFormat="1" x14ac:dyDescent="0.25">
      <c r="B7" s="15">
        <v>5</v>
      </c>
      <c r="C7" s="8" t="s">
        <v>380</v>
      </c>
      <c r="D7" s="5" t="s">
        <v>246</v>
      </c>
      <c r="E7" s="67" t="s">
        <v>663</v>
      </c>
      <c r="F7" s="380" t="s">
        <v>659</v>
      </c>
      <c r="G7" s="8">
        <v>2</v>
      </c>
      <c r="H7" s="8">
        <v>4</v>
      </c>
      <c r="I7" s="8">
        <v>3900</v>
      </c>
      <c r="J7" s="9">
        <v>4653000000</v>
      </c>
      <c r="K7" s="9">
        <f t="shared" si="0"/>
        <v>5118300000</v>
      </c>
      <c r="L7" s="35">
        <f t="shared" si="1"/>
        <v>46.53</v>
      </c>
      <c r="M7" s="2" t="s">
        <v>660</v>
      </c>
      <c r="N7" t="s">
        <v>660</v>
      </c>
      <c r="O7" s="19" t="s">
        <v>661</v>
      </c>
      <c r="P7" s="19"/>
      <c r="Q7" s="19" t="s">
        <v>281</v>
      </c>
      <c r="R7" s="21" t="s">
        <v>662</v>
      </c>
      <c r="S7" s="46" t="s">
        <v>250</v>
      </c>
      <c r="T7" s="44"/>
      <c r="U7" s="76"/>
      <c r="V7" s="24"/>
      <c r="W7" s="24"/>
      <c r="X7" s="193"/>
      <c r="Y7" s="15"/>
      <c r="AA7">
        <v>1</v>
      </c>
      <c r="AB7" s="487"/>
      <c r="AC7" s="91">
        <v>5</v>
      </c>
      <c r="AD7" s="97" t="s">
        <v>57</v>
      </c>
      <c r="AE7" s="39">
        <f t="shared" si="2"/>
        <v>0</v>
      </c>
      <c r="AF7" s="65">
        <f t="shared" si="3"/>
        <v>0</v>
      </c>
      <c r="AG7" s="65">
        <f t="shared" si="4"/>
        <v>0</v>
      </c>
      <c r="AH7" s="65">
        <f t="shared" si="5"/>
        <v>0</v>
      </c>
      <c r="AI7" s="104">
        <f t="shared" si="6"/>
        <v>0</v>
      </c>
      <c r="AJ7" s="115">
        <f t="shared" si="7"/>
        <v>0</v>
      </c>
      <c r="AK7" s="116">
        <f t="shared" si="8"/>
        <v>0</v>
      </c>
      <c r="AL7" s="116">
        <f t="shared" si="9"/>
        <v>0</v>
      </c>
      <c r="AM7" s="116">
        <f t="shared" si="10"/>
        <v>0</v>
      </c>
      <c r="AN7" s="117">
        <f t="shared" si="11"/>
        <v>0</v>
      </c>
      <c r="AO7" s="39">
        <f t="shared" si="12"/>
        <v>0</v>
      </c>
      <c r="AP7" s="65">
        <f t="shared" si="13"/>
        <v>0</v>
      </c>
      <c r="AQ7" s="65">
        <f t="shared" si="14"/>
        <v>0</v>
      </c>
      <c r="AR7" s="65">
        <f t="shared" si="15"/>
        <v>0</v>
      </c>
      <c r="AS7" s="65">
        <f t="shared" si="16"/>
        <v>0</v>
      </c>
      <c r="AU7" s="152">
        <v>4</v>
      </c>
      <c r="AV7" s="153">
        <f t="shared" si="17"/>
        <v>1</v>
      </c>
      <c r="AW7" s="154">
        <f t="shared" si="18"/>
        <v>0</v>
      </c>
    </row>
    <row r="8" spans="2:49" s="8" customFormat="1" ht="14.25" thickBot="1" x14ac:dyDescent="0.3">
      <c r="B8" s="15">
        <v>6</v>
      </c>
      <c r="C8" s="8" t="s">
        <v>112</v>
      </c>
      <c r="D8" s="5" t="s">
        <v>246</v>
      </c>
      <c r="E8" s="67" t="s">
        <v>783</v>
      </c>
      <c r="F8" s="380" t="s">
        <v>784</v>
      </c>
      <c r="G8" s="8">
        <v>3</v>
      </c>
      <c r="H8" s="8">
        <v>2</v>
      </c>
      <c r="I8" s="8">
        <v>605.01</v>
      </c>
      <c r="J8" s="9">
        <v>615000000</v>
      </c>
      <c r="K8" s="9">
        <f t="shared" si="0"/>
        <v>676500000</v>
      </c>
      <c r="L8" s="35">
        <f t="shared" si="1"/>
        <v>6.15</v>
      </c>
      <c r="M8" s="2" t="s">
        <v>785</v>
      </c>
      <c r="N8" t="s">
        <v>786</v>
      </c>
      <c r="O8" s="19" t="s">
        <v>787</v>
      </c>
      <c r="P8" s="19">
        <v>4</v>
      </c>
      <c r="Q8" s="19" t="s">
        <v>788</v>
      </c>
      <c r="R8" s="21" t="s">
        <v>789</v>
      </c>
      <c r="S8" s="46" t="s">
        <v>250</v>
      </c>
      <c r="T8" s="44" t="s">
        <v>790</v>
      </c>
      <c r="U8" s="76" t="s">
        <v>791</v>
      </c>
      <c r="V8" s="24" t="s">
        <v>792</v>
      </c>
      <c r="W8" s="24"/>
      <c r="X8" s="193" t="s">
        <v>793</v>
      </c>
      <c r="Y8" s="15" t="s">
        <v>255</v>
      </c>
      <c r="AA8">
        <v>1</v>
      </c>
      <c r="AB8" s="488"/>
      <c r="AC8" s="92" t="s">
        <v>3</v>
      </c>
      <c r="AD8" s="98"/>
      <c r="AE8" s="94">
        <f t="shared" ref="AE8:AS8" si="19">SUM(AE3:AE7)</f>
        <v>397.31</v>
      </c>
      <c r="AF8" s="94">
        <f t="shared" si="19"/>
        <v>148.35</v>
      </c>
      <c r="AG8" s="94">
        <f t="shared" si="19"/>
        <v>0</v>
      </c>
      <c r="AH8" s="94">
        <f t="shared" si="19"/>
        <v>248.96</v>
      </c>
      <c r="AI8" s="105">
        <f t="shared" si="19"/>
        <v>0</v>
      </c>
      <c r="AJ8" s="118">
        <f t="shared" si="19"/>
        <v>2</v>
      </c>
      <c r="AK8" s="119">
        <f t="shared" si="19"/>
        <v>1</v>
      </c>
      <c r="AL8" s="119">
        <f t="shared" si="19"/>
        <v>0</v>
      </c>
      <c r="AM8" s="119">
        <f t="shared" si="19"/>
        <v>1</v>
      </c>
      <c r="AN8" s="120">
        <f t="shared" si="19"/>
        <v>0</v>
      </c>
      <c r="AO8" s="94">
        <f t="shared" si="19"/>
        <v>4.55</v>
      </c>
      <c r="AP8" s="94">
        <f t="shared" si="19"/>
        <v>1.6500000000000001</v>
      </c>
      <c r="AQ8" s="94">
        <f t="shared" si="19"/>
        <v>0</v>
      </c>
      <c r="AR8" s="94">
        <f t="shared" si="19"/>
        <v>2.9</v>
      </c>
      <c r="AS8" s="94">
        <f t="shared" si="19"/>
        <v>0</v>
      </c>
      <c r="AU8" s="152">
        <v>5</v>
      </c>
      <c r="AV8" s="153">
        <f t="shared" si="17"/>
        <v>0</v>
      </c>
      <c r="AW8" s="154">
        <f t="shared" si="18"/>
        <v>0</v>
      </c>
    </row>
    <row r="9" spans="2:49" s="8" customFormat="1" ht="27" x14ac:dyDescent="0.25">
      <c r="B9" s="15">
        <v>7</v>
      </c>
      <c r="C9" s="8" t="s">
        <v>380</v>
      </c>
      <c r="D9" s="5" t="s">
        <v>1129</v>
      </c>
      <c r="E9" s="67" t="s">
        <v>1130</v>
      </c>
      <c r="F9" s="380" t="s">
        <v>1131</v>
      </c>
      <c r="G9" s="8">
        <v>4</v>
      </c>
      <c r="H9" s="8">
        <v>4</v>
      </c>
      <c r="I9" s="8">
        <v>50.2</v>
      </c>
      <c r="J9" s="9">
        <v>103000000</v>
      </c>
      <c r="K9" s="9">
        <f t="shared" si="0"/>
        <v>113300000.00000001</v>
      </c>
      <c r="L9" s="35">
        <f t="shared" si="1"/>
        <v>1.03</v>
      </c>
      <c r="M9" s="2" t="s">
        <v>1132</v>
      </c>
      <c r="N9" t="s">
        <v>1132</v>
      </c>
      <c r="O9" s="19" t="s">
        <v>1133</v>
      </c>
      <c r="P9" s="19"/>
      <c r="Q9" s="19" t="s">
        <v>526</v>
      </c>
      <c r="R9" s="21" t="s">
        <v>1134</v>
      </c>
      <c r="S9" s="46" t="s">
        <v>250</v>
      </c>
      <c r="T9" s="44"/>
      <c r="U9" s="76"/>
      <c r="V9" s="24"/>
      <c r="W9" s="24"/>
      <c r="X9" s="193"/>
      <c r="Y9" s="15"/>
      <c r="AA9">
        <v>2</v>
      </c>
      <c r="AB9" s="486">
        <v>2</v>
      </c>
      <c r="AC9" s="89">
        <v>1</v>
      </c>
      <c r="AD9" s="99" t="s">
        <v>82</v>
      </c>
      <c r="AE9" s="39">
        <f t="shared" si="2"/>
        <v>0</v>
      </c>
      <c r="AF9" s="65">
        <f t="shared" si="3"/>
        <v>0</v>
      </c>
      <c r="AG9" s="65">
        <f t="shared" si="4"/>
        <v>0</v>
      </c>
      <c r="AH9" s="65">
        <f t="shared" si="5"/>
        <v>0</v>
      </c>
      <c r="AI9" s="104">
        <f t="shared" si="6"/>
        <v>0</v>
      </c>
      <c r="AJ9" s="115">
        <f t="shared" si="7"/>
        <v>0</v>
      </c>
      <c r="AK9" s="116">
        <f t="shared" si="8"/>
        <v>0</v>
      </c>
      <c r="AL9" s="116">
        <f t="shared" si="9"/>
        <v>0</v>
      </c>
      <c r="AM9" s="116">
        <f t="shared" si="10"/>
        <v>0</v>
      </c>
      <c r="AN9" s="117">
        <f t="shared" si="11"/>
        <v>0</v>
      </c>
      <c r="AO9" s="39">
        <f t="shared" si="12"/>
        <v>0</v>
      </c>
      <c r="AP9" s="65">
        <f t="shared" si="13"/>
        <v>0</v>
      </c>
      <c r="AQ9" s="65">
        <f t="shared" si="14"/>
        <v>0</v>
      </c>
      <c r="AR9" s="65">
        <f t="shared" si="15"/>
        <v>0</v>
      </c>
      <c r="AS9" s="65">
        <f t="shared" si="16"/>
        <v>0</v>
      </c>
      <c r="AU9" s="152">
        <v>6</v>
      </c>
      <c r="AV9" s="153">
        <f t="shared" si="17"/>
        <v>0</v>
      </c>
      <c r="AW9" s="154">
        <f t="shared" si="18"/>
        <v>0</v>
      </c>
    </row>
    <row r="10" spans="2:49" s="8" customFormat="1" ht="27" x14ac:dyDescent="0.25">
      <c r="B10" s="15">
        <v>8</v>
      </c>
      <c r="C10" s="8" t="s">
        <v>380</v>
      </c>
      <c r="D10" s="5" t="s">
        <v>246</v>
      </c>
      <c r="E10" s="67" t="s">
        <v>783</v>
      </c>
      <c r="F10" s="16" t="s">
        <v>1162</v>
      </c>
      <c r="G10" s="8">
        <v>4</v>
      </c>
      <c r="H10" s="8">
        <v>5</v>
      </c>
      <c r="I10" s="8">
        <v>800</v>
      </c>
      <c r="J10" s="9">
        <v>1074600000</v>
      </c>
      <c r="K10" s="9">
        <f t="shared" si="0"/>
        <v>1182060000</v>
      </c>
      <c r="L10" s="35">
        <f t="shared" si="1"/>
        <v>10.746</v>
      </c>
      <c r="M10" s="2" t="s">
        <v>49</v>
      </c>
      <c r="N10" t="s">
        <v>49</v>
      </c>
      <c r="O10" s="19" t="s">
        <v>1163</v>
      </c>
      <c r="P10" s="19">
        <v>2</v>
      </c>
      <c r="Q10" s="19" t="s">
        <v>192</v>
      </c>
      <c r="R10" s="385" t="s">
        <v>1164</v>
      </c>
      <c r="S10" s="46" t="s">
        <v>250</v>
      </c>
      <c r="T10" s="44"/>
      <c r="U10" s="76" t="s">
        <v>252</v>
      </c>
      <c r="V10" s="24" t="s">
        <v>268</v>
      </c>
      <c r="W10" s="24"/>
      <c r="X10" s="193" t="s">
        <v>152</v>
      </c>
      <c r="Y10" s="15" t="s">
        <v>255</v>
      </c>
      <c r="AA10">
        <v>2</v>
      </c>
      <c r="AB10" s="487"/>
      <c r="AC10" s="90">
        <v>2</v>
      </c>
      <c r="AD10" s="97" t="s">
        <v>58</v>
      </c>
      <c r="AE10" s="39">
        <f t="shared" si="2"/>
        <v>1477.05</v>
      </c>
      <c r="AF10" s="65">
        <f t="shared" si="3"/>
        <v>1477.05</v>
      </c>
      <c r="AG10" s="65">
        <f t="shared" si="4"/>
        <v>0</v>
      </c>
      <c r="AH10" s="65">
        <f t="shared" si="5"/>
        <v>0</v>
      </c>
      <c r="AI10" s="104">
        <f t="shared" si="6"/>
        <v>0</v>
      </c>
      <c r="AJ10" s="115">
        <f t="shared" si="7"/>
        <v>2</v>
      </c>
      <c r="AK10" s="116">
        <f t="shared" si="8"/>
        <v>2</v>
      </c>
      <c r="AL10" s="116">
        <f t="shared" si="9"/>
        <v>0</v>
      </c>
      <c r="AM10" s="116">
        <f t="shared" si="10"/>
        <v>0</v>
      </c>
      <c r="AN10" s="117">
        <f t="shared" si="11"/>
        <v>0</v>
      </c>
      <c r="AO10" s="39">
        <f t="shared" si="12"/>
        <v>14.360000000000001</v>
      </c>
      <c r="AP10" s="65">
        <f t="shared" si="13"/>
        <v>14.360000000000001</v>
      </c>
      <c r="AQ10" s="65">
        <f t="shared" si="14"/>
        <v>0</v>
      </c>
      <c r="AR10" s="65">
        <f t="shared" si="15"/>
        <v>0</v>
      </c>
      <c r="AS10" s="65">
        <f t="shared" si="16"/>
        <v>0</v>
      </c>
      <c r="AU10" s="152">
        <v>7</v>
      </c>
      <c r="AV10" s="153">
        <f t="shared" si="17"/>
        <v>0</v>
      </c>
      <c r="AW10" s="154">
        <f t="shared" si="18"/>
        <v>0</v>
      </c>
    </row>
    <row r="11" spans="2:49" s="8" customFormat="1" x14ac:dyDescent="0.25">
      <c r="B11" s="15">
        <v>9</v>
      </c>
      <c r="D11" s="5"/>
      <c r="E11" s="67"/>
      <c r="F11" s="380"/>
      <c r="J11" s="9"/>
      <c r="K11" s="9">
        <f t="shared" si="0"/>
        <v>0</v>
      </c>
      <c r="L11" s="35">
        <f t="shared" si="1"/>
        <v>0</v>
      </c>
      <c r="M11" s="2"/>
      <c r="N11"/>
      <c r="O11" s="19"/>
      <c r="P11" s="19"/>
      <c r="Q11" s="19"/>
      <c r="R11" s="21"/>
      <c r="S11" s="46"/>
      <c r="T11" s="44"/>
      <c r="U11" s="76"/>
      <c r="V11" s="24"/>
      <c r="W11" s="24"/>
      <c r="X11" s="193"/>
      <c r="Y11" s="15"/>
      <c r="AA11">
        <v>2</v>
      </c>
      <c r="AB11" s="487"/>
      <c r="AC11" s="90">
        <v>3</v>
      </c>
      <c r="AD11" s="97" t="s">
        <v>59</v>
      </c>
      <c r="AE11" s="39">
        <f t="shared" si="2"/>
        <v>0</v>
      </c>
      <c r="AF11" s="65">
        <f t="shared" si="3"/>
        <v>0</v>
      </c>
      <c r="AG11" s="65">
        <f t="shared" si="4"/>
        <v>0</v>
      </c>
      <c r="AH11" s="65">
        <f t="shared" si="5"/>
        <v>0</v>
      </c>
      <c r="AI11" s="104">
        <f t="shared" si="6"/>
        <v>0</v>
      </c>
      <c r="AJ11" s="115">
        <f t="shared" si="7"/>
        <v>0</v>
      </c>
      <c r="AK11" s="116">
        <f t="shared" si="8"/>
        <v>0</v>
      </c>
      <c r="AL11" s="116">
        <f t="shared" si="9"/>
        <v>0</v>
      </c>
      <c r="AM11" s="116">
        <f t="shared" si="10"/>
        <v>0</v>
      </c>
      <c r="AN11" s="117">
        <f t="shared" si="11"/>
        <v>0</v>
      </c>
      <c r="AO11" s="39">
        <f t="shared" si="12"/>
        <v>0</v>
      </c>
      <c r="AP11" s="65">
        <f t="shared" si="13"/>
        <v>0</v>
      </c>
      <c r="AQ11" s="65">
        <f t="shared" si="14"/>
        <v>0</v>
      </c>
      <c r="AR11" s="65">
        <f t="shared" si="15"/>
        <v>0</v>
      </c>
      <c r="AS11" s="65">
        <f t="shared" si="16"/>
        <v>0</v>
      </c>
      <c r="AU11" s="152">
        <v>8</v>
      </c>
      <c r="AV11" s="153">
        <f t="shared" si="17"/>
        <v>0</v>
      </c>
      <c r="AW11" s="154">
        <f t="shared" si="18"/>
        <v>0</v>
      </c>
    </row>
    <row r="12" spans="2:49" s="8" customFormat="1" x14ac:dyDescent="0.25">
      <c r="B12" s="15">
        <v>10</v>
      </c>
      <c r="D12" s="5"/>
      <c r="E12" s="67"/>
      <c r="F12" s="380"/>
      <c r="J12" s="9"/>
      <c r="K12" s="9">
        <f t="shared" si="0"/>
        <v>0</v>
      </c>
      <c r="L12" s="35">
        <f t="shared" si="1"/>
        <v>0</v>
      </c>
      <c r="M12" s="2"/>
      <c r="N12"/>
      <c r="O12" s="19"/>
      <c r="P12" s="19"/>
      <c r="Q12" s="19"/>
      <c r="R12" s="21"/>
      <c r="S12" s="46"/>
      <c r="T12" s="44"/>
      <c r="U12" s="76"/>
      <c r="V12" s="24"/>
      <c r="W12" s="24"/>
      <c r="X12" s="193"/>
      <c r="Y12" s="15"/>
      <c r="AA12">
        <v>2</v>
      </c>
      <c r="AB12" s="487"/>
      <c r="AC12" s="90">
        <v>4</v>
      </c>
      <c r="AD12" s="97" t="s">
        <v>60</v>
      </c>
      <c r="AE12" s="39">
        <f t="shared" si="2"/>
        <v>3900</v>
      </c>
      <c r="AF12" s="65">
        <f t="shared" si="3"/>
        <v>0</v>
      </c>
      <c r="AG12" s="65">
        <f t="shared" si="4"/>
        <v>0</v>
      </c>
      <c r="AH12" s="65">
        <f t="shared" si="5"/>
        <v>3900</v>
      </c>
      <c r="AI12" s="104">
        <f t="shared" si="6"/>
        <v>0</v>
      </c>
      <c r="AJ12" s="115">
        <f t="shared" si="7"/>
        <v>1</v>
      </c>
      <c r="AK12" s="116">
        <f t="shared" si="8"/>
        <v>0</v>
      </c>
      <c r="AL12" s="116">
        <f t="shared" si="9"/>
        <v>0</v>
      </c>
      <c r="AM12" s="116">
        <f t="shared" si="10"/>
        <v>1</v>
      </c>
      <c r="AN12" s="117">
        <f t="shared" si="11"/>
        <v>0</v>
      </c>
      <c r="AO12" s="39">
        <f t="shared" si="12"/>
        <v>46.53</v>
      </c>
      <c r="AP12" s="65">
        <f t="shared" si="13"/>
        <v>0</v>
      </c>
      <c r="AQ12" s="65">
        <f t="shared" si="14"/>
        <v>0</v>
      </c>
      <c r="AR12" s="65">
        <f t="shared" si="15"/>
        <v>46.53</v>
      </c>
      <c r="AS12" s="65">
        <f t="shared" si="16"/>
        <v>0</v>
      </c>
      <c r="AU12" s="152">
        <v>9</v>
      </c>
      <c r="AV12" s="153">
        <f t="shared" si="17"/>
        <v>0</v>
      </c>
      <c r="AW12" s="154">
        <f t="shared" si="18"/>
        <v>0</v>
      </c>
    </row>
    <row r="13" spans="2:49" s="8" customFormat="1" x14ac:dyDescent="0.25">
      <c r="B13" s="15">
        <v>11</v>
      </c>
      <c r="D13" s="5"/>
      <c r="E13" s="67"/>
      <c r="F13" s="380"/>
      <c r="J13" s="9"/>
      <c r="K13" s="9">
        <f t="shared" si="0"/>
        <v>0</v>
      </c>
      <c r="L13" s="35">
        <f t="shared" si="1"/>
        <v>0</v>
      </c>
      <c r="M13" s="2"/>
      <c r="N13"/>
      <c r="O13" s="19"/>
      <c r="P13" s="19"/>
      <c r="Q13" s="19"/>
      <c r="R13" s="21"/>
      <c r="S13" s="46"/>
      <c r="T13" s="44"/>
      <c r="U13" s="76"/>
      <c r="V13" s="24"/>
      <c r="W13" s="24"/>
      <c r="X13" s="193"/>
      <c r="Y13" s="15"/>
      <c r="AA13">
        <v>2</v>
      </c>
      <c r="AB13" s="487"/>
      <c r="AC13" s="91">
        <v>5</v>
      </c>
      <c r="AD13" s="97"/>
      <c r="AE13" s="39">
        <f t="shared" si="2"/>
        <v>0</v>
      </c>
      <c r="AF13" s="65">
        <f t="shared" si="3"/>
        <v>0</v>
      </c>
      <c r="AG13" s="65">
        <f t="shared" si="4"/>
        <v>0</v>
      </c>
      <c r="AH13" s="65">
        <f t="shared" si="5"/>
        <v>0</v>
      </c>
      <c r="AI13" s="104">
        <f t="shared" si="6"/>
        <v>0</v>
      </c>
      <c r="AJ13" s="115">
        <f t="shared" si="7"/>
        <v>0</v>
      </c>
      <c r="AK13" s="116">
        <f t="shared" si="8"/>
        <v>0</v>
      </c>
      <c r="AL13" s="116">
        <f t="shared" si="9"/>
        <v>0</v>
      </c>
      <c r="AM13" s="116">
        <f t="shared" si="10"/>
        <v>0</v>
      </c>
      <c r="AN13" s="117">
        <f t="shared" si="11"/>
        <v>0</v>
      </c>
      <c r="AO13" s="39">
        <f t="shared" si="12"/>
        <v>0</v>
      </c>
      <c r="AP13" s="65">
        <f t="shared" si="13"/>
        <v>0</v>
      </c>
      <c r="AQ13" s="65">
        <f t="shared" si="14"/>
        <v>0</v>
      </c>
      <c r="AR13" s="65">
        <f t="shared" si="15"/>
        <v>0</v>
      </c>
      <c r="AS13" s="65">
        <f t="shared" si="16"/>
        <v>0</v>
      </c>
      <c r="AU13" s="152">
        <v>10</v>
      </c>
      <c r="AV13" s="153">
        <f t="shared" si="17"/>
        <v>0</v>
      </c>
      <c r="AW13" s="154">
        <f t="shared" si="18"/>
        <v>0</v>
      </c>
    </row>
    <row r="14" spans="2:49" s="8" customFormat="1" ht="14.25" thickBot="1" x14ac:dyDescent="0.3">
      <c r="B14" s="15">
        <v>12</v>
      </c>
      <c r="D14" s="5"/>
      <c r="E14" s="67"/>
      <c r="F14" s="380"/>
      <c r="J14" s="9"/>
      <c r="K14" s="9">
        <f t="shared" si="0"/>
        <v>0</v>
      </c>
      <c r="L14" s="35">
        <f t="shared" si="1"/>
        <v>0</v>
      </c>
      <c r="M14" s="2"/>
      <c r="N14"/>
      <c r="O14" s="19"/>
      <c r="P14" s="19"/>
      <c r="Q14" s="19"/>
      <c r="R14" s="21"/>
      <c r="S14" s="46"/>
      <c r="T14" s="44"/>
      <c r="U14" s="76"/>
      <c r="V14" s="29"/>
      <c r="W14" s="24"/>
      <c r="X14" s="193"/>
      <c r="Y14" s="15"/>
      <c r="AA14">
        <v>2</v>
      </c>
      <c r="AB14" s="488"/>
      <c r="AC14" s="92" t="s">
        <v>3</v>
      </c>
      <c r="AD14" s="98"/>
      <c r="AE14" s="94">
        <f t="shared" ref="AE14:AS14" si="20">SUM(AE9:AE13)</f>
        <v>5377.05</v>
      </c>
      <c r="AF14" s="94">
        <f t="shared" si="20"/>
        <v>1477.05</v>
      </c>
      <c r="AG14" s="94">
        <f t="shared" si="20"/>
        <v>0</v>
      </c>
      <c r="AH14" s="94">
        <f t="shared" si="20"/>
        <v>3900</v>
      </c>
      <c r="AI14" s="105">
        <f t="shared" si="20"/>
        <v>0</v>
      </c>
      <c r="AJ14" s="118">
        <f t="shared" si="20"/>
        <v>3</v>
      </c>
      <c r="AK14" s="119">
        <f t="shared" si="20"/>
        <v>2</v>
      </c>
      <c r="AL14" s="119">
        <f t="shared" si="20"/>
        <v>0</v>
      </c>
      <c r="AM14" s="119">
        <f t="shared" si="20"/>
        <v>1</v>
      </c>
      <c r="AN14" s="120">
        <f t="shared" si="20"/>
        <v>0</v>
      </c>
      <c r="AO14" s="94">
        <f t="shared" si="20"/>
        <v>60.89</v>
      </c>
      <c r="AP14" s="94">
        <f t="shared" si="20"/>
        <v>14.360000000000001</v>
      </c>
      <c r="AQ14" s="94">
        <f t="shared" si="20"/>
        <v>0</v>
      </c>
      <c r="AR14" s="94">
        <f t="shared" si="20"/>
        <v>46.53</v>
      </c>
      <c r="AS14" s="94">
        <f t="shared" si="20"/>
        <v>0</v>
      </c>
      <c r="AU14" s="152">
        <v>11</v>
      </c>
      <c r="AV14" s="153">
        <f t="shared" si="17"/>
        <v>0</v>
      </c>
      <c r="AW14" s="154">
        <f t="shared" si="18"/>
        <v>0</v>
      </c>
    </row>
    <row r="15" spans="2:49" s="8" customFormat="1" ht="14.25" thickBot="1" x14ac:dyDescent="0.3">
      <c r="B15" s="15">
        <v>13</v>
      </c>
      <c r="D15" s="5"/>
      <c r="E15" s="67"/>
      <c r="F15" s="380"/>
      <c r="J15" s="9"/>
      <c r="K15" s="9">
        <f t="shared" si="0"/>
        <v>0</v>
      </c>
      <c r="L15" s="35">
        <f t="shared" si="1"/>
        <v>0</v>
      </c>
      <c r="M15" s="2"/>
      <c r="N15"/>
      <c r="O15" s="19"/>
      <c r="P15" s="19"/>
      <c r="Q15" s="19"/>
      <c r="R15" s="21"/>
      <c r="S15" s="46"/>
      <c r="T15" s="44"/>
      <c r="U15" s="76"/>
      <c r="V15" s="30"/>
      <c r="W15" s="24"/>
      <c r="X15" s="193"/>
      <c r="Y15" s="15"/>
      <c r="AA15">
        <v>3</v>
      </c>
      <c r="AB15" s="486">
        <v>3</v>
      </c>
      <c r="AC15" s="89">
        <v>1</v>
      </c>
      <c r="AD15" s="95" t="s">
        <v>83</v>
      </c>
      <c r="AE15" s="39">
        <f t="shared" si="2"/>
        <v>0</v>
      </c>
      <c r="AF15" s="65">
        <f t="shared" si="3"/>
        <v>0</v>
      </c>
      <c r="AG15" s="65">
        <f t="shared" si="4"/>
        <v>0</v>
      </c>
      <c r="AH15" s="65">
        <f t="shared" si="5"/>
        <v>0</v>
      </c>
      <c r="AI15" s="104">
        <f t="shared" si="6"/>
        <v>0</v>
      </c>
      <c r="AJ15" s="115">
        <f t="shared" si="7"/>
        <v>0</v>
      </c>
      <c r="AK15" s="116">
        <f t="shared" si="8"/>
        <v>0</v>
      </c>
      <c r="AL15" s="116">
        <f t="shared" si="9"/>
        <v>0</v>
      </c>
      <c r="AM15" s="116">
        <f t="shared" si="10"/>
        <v>0</v>
      </c>
      <c r="AN15" s="117">
        <f t="shared" si="11"/>
        <v>0</v>
      </c>
      <c r="AO15" s="39">
        <f t="shared" si="12"/>
        <v>0</v>
      </c>
      <c r="AP15" s="65">
        <f t="shared" si="13"/>
        <v>0</v>
      </c>
      <c r="AQ15" s="65">
        <f t="shared" si="14"/>
        <v>0</v>
      </c>
      <c r="AR15" s="65">
        <f t="shared" si="15"/>
        <v>0</v>
      </c>
      <c r="AS15" s="65">
        <f t="shared" si="16"/>
        <v>0</v>
      </c>
      <c r="AU15" s="155">
        <v>12</v>
      </c>
      <c r="AV15" s="153">
        <f t="shared" si="17"/>
        <v>0</v>
      </c>
      <c r="AW15" s="154">
        <f t="shared" si="18"/>
        <v>0</v>
      </c>
    </row>
    <row r="16" spans="2:49" s="8" customFormat="1" ht="14.25" thickBot="1" x14ac:dyDescent="0.3">
      <c r="B16" s="15">
        <v>14</v>
      </c>
      <c r="D16" s="5"/>
      <c r="E16" s="67"/>
      <c r="F16" s="380"/>
      <c r="J16" s="9"/>
      <c r="K16" s="9">
        <f t="shared" si="0"/>
        <v>0</v>
      </c>
      <c r="L16" s="35">
        <f t="shared" si="1"/>
        <v>0</v>
      </c>
      <c r="M16" s="2"/>
      <c r="N16"/>
      <c r="O16" s="19"/>
      <c r="P16" s="19"/>
      <c r="Q16" s="19"/>
      <c r="R16" s="21"/>
      <c r="S16" s="46"/>
      <c r="T16" s="44"/>
      <c r="U16" s="76"/>
      <c r="V16" s="30"/>
      <c r="W16" s="24"/>
      <c r="X16" s="193"/>
      <c r="Y16" s="15"/>
      <c r="AA16">
        <v>3</v>
      </c>
      <c r="AB16" s="487"/>
      <c r="AC16" s="90">
        <v>2</v>
      </c>
      <c r="AD16" s="96" t="s">
        <v>58</v>
      </c>
      <c r="AE16" s="39">
        <f t="shared" si="2"/>
        <v>605.01</v>
      </c>
      <c r="AF16" s="65">
        <f t="shared" si="3"/>
        <v>605.01</v>
      </c>
      <c r="AG16" s="65">
        <f t="shared" si="4"/>
        <v>0</v>
      </c>
      <c r="AH16" s="65">
        <f t="shared" si="5"/>
        <v>0</v>
      </c>
      <c r="AI16" s="104">
        <f t="shared" si="6"/>
        <v>0</v>
      </c>
      <c r="AJ16" s="115">
        <f t="shared" si="7"/>
        <v>1</v>
      </c>
      <c r="AK16" s="116">
        <f t="shared" si="8"/>
        <v>1</v>
      </c>
      <c r="AL16" s="116">
        <f t="shared" si="9"/>
        <v>0</v>
      </c>
      <c r="AM16" s="116">
        <f t="shared" si="10"/>
        <v>0</v>
      </c>
      <c r="AN16" s="117">
        <f t="shared" si="11"/>
        <v>0</v>
      </c>
      <c r="AO16" s="39">
        <f t="shared" si="12"/>
        <v>6.15</v>
      </c>
      <c r="AP16" s="65">
        <f t="shared" si="13"/>
        <v>6.15</v>
      </c>
      <c r="AQ16" s="65">
        <f t="shared" si="14"/>
        <v>0</v>
      </c>
      <c r="AR16" s="65">
        <f t="shared" si="15"/>
        <v>0</v>
      </c>
      <c r="AS16" s="65">
        <f t="shared" si="16"/>
        <v>0</v>
      </c>
      <c r="AU16" s="156" t="s">
        <v>3</v>
      </c>
      <c r="AV16" s="157">
        <f>SUM(AV4:AV15)</f>
        <v>3</v>
      </c>
      <c r="AW16" s="157">
        <f>SUM(AW4:AW15)</f>
        <v>3</v>
      </c>
    </row>
    <row r="17" spans="2:49" s="8" customFormat="1" ht="14.25" thickBot="1" x14ac:dyDescent="0.3">
      <c r="B17" s="15">
        <v>15</v>
      </c>
      <c r="D17" s="5"/>
      <c r="E17" s="67"/>
      <c r="F17" s="380"/>
      <c r="J17" s="9"/>
      <c r="K17" s="9">
        <f t="shared" si="0"/>
        <v>0</v>
      </c>
      <c r="L17" s="35">
        <f t="shared" si="1"/>
        <v>0</v>
      </c>
      <c r="M17" s="2"/>
      <c r="N17"/>
      <c r="O17" s="19"/>
      <c r="P17" s="19"/>
      <c r="Q17" s="19"/>
      <c r="R17" s="21"/>
      <c r="S17" s="46"/>
      <c r="T17" s="83"/>
      <c r="U17" s="76"/>
      <c r="V17" s="30"/>
      <c r="W17" s="24"/>
      <c r="X17" s="193"/>
      <c r="Y17" s="15"/>
      <c r="AA17">
        <v>3</v>
      </c>
      <c r="AB17" s="487"/>
      <c r="AC17" s="90">
        <v>3</v>
      </c>
      <c r="AD17" s="97" t="s">
        <v>59</v>
      </c>
      <c r="AE17" s="39">
        <f t="shared" si="2"/>
        <v>0</v>
      </c>
      <c r="AF17" s="65">
        <f t="shared" si="3"/>
        <v>0</v>
      </c>
      <c r="AG17" s="65">
        <f t="shared" si="4"/>
        <v>0</v>
      </c>
      <c r="AH17" s="65">
        <f t="shared" si="5"/>
        <v>0</v>
      </c>
      <c r="AI17" s="104">
        <f t="shared" si="6"/>
        <v>0</v>
      </c>
      <c r="AJ17" s="115">
        <f t="shared" si="7"/>
        <v>0</v>
      </c>
      <c r="AK17" s="116">
        <f t="shared" si="8"/>
        <v>0</v>
      </c>
      <c r="AL17" s="116">
        <f t="shared" si="9"/>
        <v>0</v>
      </c>
      <c r="AM17" s="116">
        <f t="shared" si="10"/>
        <v>0</v>
      </c>
      <c r="AN17" s="117">
        <f t="shared" si="11"/>
        <v>0</v>
      </c>
      <c r="AO17" s="39">
        <f t="shared" si="12"/>
        <v>0</v>
      </c>
      <c r="AP17" s="65">
        <f t="shared" si="13"/>
        <v>0</v>
      </c>
      <c r="AQ17" s="65">
        <f t="shared" si="14"/>
        <v>0</v>
      </c>
      <c r="AR17" s="65">
        <f t="shared" si="15"/>
        <v>0</v>
      </c>
      <c r="AS17" s="65">
        <f t="shared" si="16"/>
        <v>0</v>
      </c>
      <c r="AU17" s="156" t="s">
        <v>120</v>
      </c>
      <c r="AV17" s="158">
        <f>AV16/($AV$16+$AW$16)</f>
        <v>0.5</v>
      </c>
      <c r="AW17" s="159">
        <f>AW16/($AW$16+$AV$16)</f>
        <v>0.5</v>
      </c>
    </row>
    <row r="18" spans="2:49" s="8" customFormat="1" x14ac:dyDescent="0.25">
      <c r="B18" s="15">
        <v>16</v>
      </c>
      <c r="D18" s="5"/>
      <c r="E18" s="67"/>
      <c r="F18" s="380"/>
      <c r="J18" s="9"/>
      <c r="K18" s="9">
        <f t="shared" si="0"/>
        <v>0</v>
      </c>
      <c r="L18" s="35">
        <f t="shared" si="1"/>
        <v>0</v>
      </c>
      <c r="M18" s="2"/>
      <c r="N18"/>
      <c r="O18" s="19"/>
      <c r="P18" s="19"/>
      <c r="Q18" s="19"/>
      <c r="R18" s="21"/>
      <c r="S18" s="46"/>
      <c r="T18" s="44"/>
      <c r="U18" s="76"/>
      <c r="V18" s="24"/>
      <c r="W18" s="24"/>
      <c r="X18" s="193"/>
      <c r="Y18" s="15"/>
      <c r="AA18">
        <v>3</v>
      </c>
      <c r="AB18" s="487"/>
      <c r="AC18" s="90">
        <v>4</v>
      </c>
      <c r="AD18" s="97" t="s">
        <v>60</v>
      </c>
      <c r="AE18" s="39">
        <f t="shared" si="2"/>
        <v>0</v>
      </c>
      <c r="AF18" s="65">
        <f t="shared" si="3"/>
        <v>0</v>
      </c>
      <c r="AG18" s="65">
        <f t="shared" si="4"/>
        <v>0</v>
      </c>
      <c r="AH18" s="65">
        <f t="shared" si="5"/>
        <v>0</v>
      </c>
      <c r="AI18" s="104">
        <f t="shared" si="6"/>
        <v>0</v>
      </c>
      <c r="AJ18" s="115">
        <f t="shared" si="7"/>
        <v>0</v>
      </c>
      <c r="AK18" s="116">
        <f t="shared" si="8"/>
        <v>0</v>
      </c>
      <c r="AL18" s="116">
        <f t="shared" si="9"/>
        <v>0</v>
      </c>
      <c r="AM18" s="116">
        <f t="shared" si="10"/>
        <v>0</v>
      </c>
      <c r="AN18" s="117">
        <f t="shared" si="11"/>
        <v>0</v>
      </c>
      <c r="AO18" s="39">
        <f t="shared" si="12"/>
        <v>0</v>
      </c>
      <c r="AP18" s="65">
        <f t="shared" si="13"/>
        <v>0</v>
      </c>
      <c r="AQ18" s="65">
        <f t="shared" si="14"/>
        <v>0</v>
      </c>
      <c r="AR18" s="65">
        <f t="shared" si="15"/>
        <v>0</v>
      </c>
      <c r="AS18" s="65">
        <f t="shared" si="16"/>
        <v>0</v>
      </c>
    </row>
    <row r="19" spans="2:49" s="8" customFormat="1" x14ac:dyDescent="0.25">
      <c r="B19" s="15">
        <v>17</v>
      </c>
      <c r="D19" s="5"/>
      <c r="E19" s="67"/>
      <c r="F19" s="380"/>
      <c r="J19" s="9"/>
      <c r="K19" s="9">
        <f t="shared" si="0"/>
        <v>0</v>
      </c>
      <c r="L19" s="35">
        <f t="shared" si="1"/>
        <v>0</v>
      </c>
      <c r="M19" s="2"/>
      <c r="N19"/>
      <c r="O19" s="19"/>
      <c r="P19" s="19"/>
      <c r="Q19" s="19"/>
      <c r="R19" s="21"/>
      <c r="S19" s="46"/>
      <c r="T19" s="44"/>
      <c r="U19" s="76"/>
      <c r="V19" s="24"/>
      <c r="W19" s="24"/>
      <c r="X19" s="193"/>
      <c r="Y19" s="15"/>
      <c r="AA19">
        <v>3</v>
      </c>
      <c r="AB19" s="487"/>
      <c r="AC19" s="91">
        <v>5</v>
      </c>
      <c r="AD19" s="97"/>
      <c r="AE19" s="39">
        <f t="shared" si="2"/>
        <v>0</v>
      </c>
      <c r="AF19" s="65">
        <f t="shared" si="3"/>
        <v>0</v>
      </c>
      <c r="AG19" s="65">
        <f t="shared" si="4"/>
        <v>0</v>
      </c>
      <c r="AH19" s="65">
        <f t="shared" si="5"/>
        <v>0</v>
      </c>
      <c r="AI19" s="104">
        <f t="shared" si="6"/>
        <v>0</v>
      </c>
      <c r="AJ19" s="115">
        <f t="shared" si="7"/>
        <v>0</v>
      </c>
      <c r="AK19" s="116">
        <f t="shared" si="8"/>
        <v>0</v>
      </c>
      <c r="AL19" s="116">
        <f t="shared" si="9"/>
        <v>0</v>
      </c>
      <c r="AM19" s="116">
        <f t="shared" si="10"/>
        <v>0</v>
      </c>
      <c r="AN19" s="117">
        <f t="shared" si="11"/>
        <v>0</v>
      </c>
      <c r="AO19" s="39">
        <f t="shared" si="12"/>
        <v>0</v>
      </c>
      <c r="AP19" s="65">
        <f t="shared" si="13"/>
        <v>0</v>
      </c>
      <c r="AQ19" s="65">
        <f t="shared" si="14"/>
        <v>0</v>
      </c>
      <c r="AR19" s="65">
        <f t="shared" si="15"/>
        <v>0</v>
      </c>
      <c r="AS19" s="65">
        <f t="shared" si="16"/>
        <v>0</v>
      </c>
    </row>
    <row r="20" spans="2:49" s="8" customFormat="1" ht="14.25" thickBot="1" x14ac:dyDescent="0.3">
      <c r="B20" s="15">
        <v>18</v>
      </c>
      <c r="D20" s="5"/>
      <c r="E20" s="67"/>
      <c r="F20" s="380"/>
      <c r="J20" s="9"/>
      <c r="K20" s="9">
        <f t="shared" si="0"/>
        <v>0</v>
      </c>
      <c r="L20" s="35">
        <f t="shared" si="1"/>
        <v>0</v>
      </c>
      <c r="M20" s="2"/>
      <c r="N20"/>
      <c r="O20" s="19"/>
      <c r="P20" s="19"/>
      <c r="Q20" s="19"/>
      <c r="R20" s="21"/>
      <c r="S20" s="46"/>
      <c r="T20" s="44"/>
      <c r="U20" s="76"/>
      <c r="V20" s="24"/>
      <c r="W20" s="24"/>
      <c r="X20" s="193"/>
      <c r="Y20" s="15"/>
      <c r="AA20">
        <v>3</v>
      </c>
      <c r="AB20" s="488"/>
      <c r="AC20" s="92" t="s">
        <v>3</v>
      </c>
      <c r="AD20" s="98"/>
      <c r="AE20" s="94">
        <f t="shared" ref="AE20:AS20" si="21">SUM(AE15:AE19)</f>
        <v>605.01</v>
      </c>
      <c r="AF20" s="94">
        <f t="shared" si="21"/>
        <v>605.01</v>
      </c>
      <c r="AG20" s="94">
        <f t="shared" si="21"/>
        <v>0</v>
      </c>
      <c r="AH20" s="94">
        <f t="shared" si="21"/>
        <v>0</v>
      </c>
      <c r="AI20" s="105">
        <f t="shared" si="21"/>
        <v>0</v>
      </c>
      <c r="AJ20" s="118">
        <f t="shared" si="21"/>
        <v>1</v>
      </c>
      <c r="AK20" s="119">
        <f t="shared" si="21"/>
        <v>1</v>
      </c>
      <c r="AL20" s="119">
        <f t="shared" si="21"/>
        <v>0</v>
      </c>
      <c r="AM20" s="119">
        <f t="shared" si="21"/>
        <v>0</v>
      </c>
      <c r="AN20" s="120">
        <f t="shared" si="21"/>
        <v>0</v>
      </c>
      <c r="AO20" s="94">
        <f t="shared" si="21"/>
        <v>6.15</v>
      </c>
      <c r="AP20" s="94">
        <f t="shared" si="21"/>
        <v>6.15</v>
      </c>
      <c r="AQ20" s="94">
        <f t="shared" si="21"/>
        <v>0</v>
      </c>
      <c r="AR20" s="94">
        <f t="shared" si="21"/>
        <v>0</v>
      </c>
      <c r="AS20" s="94">
        <f t="shared" si="21"/>
        <v>0</v>
      </c>
    </row>
    <row r="21" spans="2:49" s="8" customFormat="1" x14ac:dyDescent="0.25">
      <c r="B21" s="15">
        <v>19</v>
      </c>
      <c r="D21" s="5"/>
      <c r="E21" s="67"/>
      <c r="F21" s="380"/>
      <c r="J21" s="9"/>
      <c r="K21" s="9">
        <f t="shared" si="0"/>
        <v>0</v>
      </c>
      <c r="L21" s="35">
        <f t="shared" si="1"/>
        <v>0</v>
      </c>
      <c r="M21" s="2"/>
      <c r="N21"/>
      <c r="O21" s="19"/>
      <c r="P21" s="19"/>
      <c r="Q21" s="19"/>
      <c r="R21" s="21"/>
      <c r="S21" s="46"/>
      <c r="T21" s="44"/>
      <c r="U21" s="76"/>
      <c r="V21" s="24"/>
      <c r="W21" s="24"/>
      <c r="X21" s="193"/>
      <c r="Y21" s="15"/>
      <c r="AA21">
        <v>4</v>
      </c>
      <c r="AB21" s="486">
        <v>4</v>
      </c>
      <c r="AC21" s="89">
        <v>1</v>
      </c>
      <c r="AD21" s="95" t="s">
        <v>84</v>
      </c>
      <c r="AE21" s="39">
        <f t="shared" si="2"/>
        <v>0</v>
      </c>
      <c r="AF21" s="65">
        <f t="shared" si="3"/>
        <v>0</v>
      </c>
      <c r="AG21" s="65">
        <f t="shared" si="4"/>
        <v>0</v>
      </c>
      <c r="AH21" s="65">
        <f t="shared" si="5"/>
        <v>0</v>
      </c>
      <c r="AI21" s="104">
        <f t="shared" si="6"/>
        <v>0</v>
      </c>
      <c r="AJ21" s="115">
        <f t="shared" si="7"/>
        <v>0</v>
      </c>
      <c r="AK21" s="116">
        <f t="shared" si="8"/>
        <v>0</v>
      </c>
      <c r="AL21" s="116">
        <f t="shared" si="9"/>
        <v>0</v>
      </c>
      <c r="AM21" s="116">
        <f t="shared" si="10"/>
        <v>0</v>
      </c>
      <c r="AN21" s="117">
        <f t="shared" si="11"/>
        <v>0</v>
      </c>
      <c r="AO21" s="39">
        <f t="shared" si="12"/>
        <v>0</v>
      </c>
      <c r="AP21" s="65">
        <f t="shared" si="13"/>
        <v>0</v>
      </c>
      <c r="AQ21" s="65">
        <f t="shared" si="14"/>
        <v>0</v>
      </c>
      <c r="AR21" s="65">
        <f t="shared" si="15"/>
        <v>0</v>
      </c>
      <c r="AS21" s="65">
        <f t="shared" si="16"/>
        <v>0</v>
      </c>
    </row>
    <row r="22" spans="2:49" s="8" customFormat="1" x14ac:dyDescent="0.25">
      <c r="B22" s="15">
        <v>20</v>
      </c>
      <c r="D22" s="5"/>
      <c r="E22" s="67"/>
      <c r="F22" s="380"/>
      <c r="J22" s="9"/>
      <c r="K22" s="9">
        <f t="shared" si="0"/>
        <v>0</v>
      </c>
      <c r="L22" s="35">
        <f t="shared" si="1"/>
        <v>0</v>
      </c>
      <c r="M22" s="2"/>
      <c r="N22"/>
      <c r="O22" s="19"/>
      <c r="P22" s="19"/>
      <c r="Q22" s="19"/>
      <c r="R22" s="21"/>
      <c r="S22" s="46"/>
      <c r="T22" s="44"/>
      <c r="U22" s="76"/>
      <c r="V22" s="24"/>
      <c r="W22" s="24"/>
      <c r="X22" s="193"/>
      <c r="Y22" s="15"/>
      <c r="AA22">
        <v>4</v>
      </c>
      <c r="AB22" s="487"/>
      <c r="AC22" s="90">
        <v>2</v>
      </c>
      <c r="AD22" s="97" t="s">
        <v>61</v>
      </c>
      <c r="AE22" s="39">
        <f t="shared" si="2"/>
        <v>0</v>
      </c>
      <c r="AF22" s="65">
        <f t="shared" si="3"/>
        <v>0</v>
      </c>
      <c r="AG22" s="65">
        <f t="shared" si="4"/>
        <v>0</v>
      </c>
      <c r="AH22" s="65">
        <f t="shared" si="5"/>
        <v>0</v>
      </c>
      <c r="AI22" s="104">
        <f t="shared" si="6"/>
        <v>0</v>
      </c>
      <c r="AJ22" s="115">
        <f t="shared" si="7"/>
        <v>0</v>
      </c>
      <c r="AK22" s="116">
        <f t="shared" si="8"/>
        <v>0</v>
      </c>
      <c r="AL22" s="116">
        <f t="shared" si="9"/>
        <v>0</v>
      </c>
      <c r="AM22" s="116">
        <f t="shared" si="10"/>
        <v>0</v>
      </c>
      <c r="AN22" s="117">
        <f t="shared" si="11"/>
        <v>0</v>
      </c>
      <c r="AO22" s="39">
        <f t="shared" si="12"/>
        <v>0</v>
      </c>
      <c r="AP22" s="65">
        <f t="shared" si="13"/>
        <v>0</v>
      </c>
      <c r="AQ22" s="65">
        <f t="shared" si="14"/>
        <v>0</v>
      </c>
      <c r="AR22" s="65">
        <f t="shared" si="15"/>
        <v>0</v>
      </c>
      <c r="AS22" s="65">
        <f t="shared" si="16"/>
        <v>0</v>
      </c>
    </row>
    <row r="23" spans="2:49" s="8" customFormat="1" x14ac:dyDescent="0.25">
      <c r="B23" s="15">
        <v>21</v>
      </c>
      <c r="D23" s="5"/>
      <c r="E23" s="67"/>
      <c r="F23" s="380"/>
      <c r="J23" s="9"/>
      <c r="K23" s="9">
        <f t="shared" si="0"/>
        <v>0</v>
      </c>
      <c r="L23" s="35">
        <f t="shared" si="1"/>
        <v>0</v>
      </c>
      <c r="M23" s="2"/>
      <c r="N23" s="2"/>
      <c r="O23" s="19"/>
      <c r="P23" s="19"/>
      <c r="Q23" s="19"/>
      <c r="R23" s="21"/>
      <c r="S23" s="46"/>
      <c r="T23" s="44"/>
      <c r="U23" s="76"/>
      <c r="V23" s="24"/>
      <c r="W23" s="24"/>
      <c r="X23" s="193"/>
      <c r="Y23" s="15"/>
      <c r="AA23">
        <v>4</v>
      </c>
      <c r="AB23" s="487"/>
      <c r="AC23" s="90">
        <v>3</v>
      </c>
      <c r="AD23" s="97" t="s">
        <v>62</v>
      </c>
      <c r="AE23" s="39">
        <f t="shared" si="2"/>
        <v>0</v>
      </c>
      <c r="AF23" s="65">
        <f t="shared" si="3"/>
        <v>0</v>
      </c>
      <c r="AG23" s="65">
        <f t="shared" si="4"/>
        <v>0</v>
      </c>
      <c r="AH23" s="65">
        <f t="shared" si="5"/>
        <v>0</v>
      </c>
      <c r="AI23" s="104">
        <f t="shared" si="6"/>
        <v>0</v>
      </c>
      <c r="AJ23" s="115">
        <f t="shared" si="7"/>
        <v>0</v>
      </c>
      <c r="AK23" s="116">
        <f t="shared" si="8"/>
        <v>0</v>
      </c>
      <c r="AL23" s="116">
        <f t="shared" si="9"/>
        <v>0</v>
      </c>
      <c r="AM23" s="116">
        <f t="shared" si="10"/>
        <v>0</v>
      </c>
      <c r="AN23" s="117">
        <f t="shared" si="11"/>
        <v>0</v>
      </c>
      <c r="AO23" s="39">
        <f t="shared" si="12"/>
        <v>0</v>
      </c>
      <c r="AP23" s="65">
        <f t="shared" si="13"/>
        <v>0</v>
      </c>
      <c r="AQ23" s="65">
        <f t="shared" si="14"/>
        <v>0</v>
      </c>
      <c r="AR23" s="65">
        <f t="shared" si="15"/>
        <v>0</v>
      </c>
      <c r="AS23" s="65">
        <f t="shared" si="16"/>
        <v>0</v>
      </c>
    </row>
    <row r="24" spans="2:49" s="8" customFormat="1" x14ac:dyDescent="0.25">
      <c r="B24" s="15">
        <v>22</v>
      </c>
      <c r="D24" s="5"/>
      <c r="E24" s="67"/>
      <c r="F24" s="380"/>
      <c r="J24" s="9"/>
      <c r="K24" s="9">
        <f t="shared" si="0"/>
        <v>0</v>
      </c>
      <c r="L24" s="35">
        <f t="shared" si="1"/>
        <v>0</v>
      </c>
      <c r="M24" s="2"/>
      <c r="N24" s="2"/>
      <c r="O24" s="19"/>
      <c r="P24" s="19"/>
      <c r="Q24" s="19"/>
      <c r="R24" s="21"/>
      <c r="S24" s="46"/>
      <c r="T24" s="44"/>
      <c r="U24" s="76"/>
      <c r="V24" s="24"/>
      <c r="W24" s="24"/>
      <c r="X24" s="193"/>
      <c r="Y24" s="15"/>
      <c r="AA24">
        <v>4</v>
      </c>
      <c r="AB24" s="487"/>
      <c r="AC24" s="90">
        <v>4</v>
      </c>
      <c r="AD24" s="97" t="s">
        <v>63</v>
      </c>
      <c r="AE24" s="39">
        <f t="shared" si="2"/>
        <v>50.2</v>
      </c>
      <c r="AF24" s="65">
        <f t="shared" si="3"/>
        <v>0</v>
      </c>
      <c r="AG24" s="65">
        <f t="shared" si="4"/>
        <v>0</v>
      </c>
      <c r="AH24" s="65">
        <f t="shared" si="5"/>
        <v>50.2</v>
      </c>
      <c r="AI24" s="104">
        <f t="shared" si="6"/>
        <v>0</v>
      </c>
      <c r="AJ24" s="115">
        <f t="shared" si="7"/>
        <v>1</v>
      </c>
      <c r="AK24" s="116">
        <f t="shared" si="8"/>
        <v>0</v>
      </c>
      <c r="AL24" s="116">
        <f t="shared" si="9"/>
        <v>0</v>
      </c>
      <c r="AM24" s="116">
        <f t="shared" si="10"/>
        <v>1</v>
      </c>
      <c r="AN24" s="117">
        <f t="shared" si="11"/>
        <v>0</v>
      </c>
      <c r="AO24" s="39">
        <f t="shared" si="12"/>
        <v>1.03</v>
      </c>
      <c r="AP24" s="65">
        <f t="shared" si="13"/>
        <v>0</v>
      </c>
      <c r="AQ24" s="65">
        <f t="shared" si="14"/>
        <v>0</v>
      </c>
      <c r="AR24" s="65">
        <f t="shared" si="15"/>
        <v>1.03</v>
      </c>
      <c r="AS24" s="65">
        <f t="shared" si="16"/>
        <v>0</v>
      </c>
      <c r="AU24" s="194" t="s">
        <v>149</v>
      </c>
      <c r="AV24" s="194" t="s">
        <v>150</v>
      </c>
      <c r="AW24" s="194" t="s">
        <v>120</v>
      </c>
    </row>
    <row r="25" spans="2:49" s="8" customFormat="1" x14ac:dyDescent="0.25">
      <c r="B25" s="15">
        <v>23</v>
      </c>
      <c r="D25" s="5"/>
      <c r="E25" s="67"/>
      <c r="F25" s="380"/>
      <c r="J25" s="9"/>
      <c r="K25" s="9">
        <f t="shared" si="0"/>
        <v>0</v>
      </c>
      <c r="L25" s="35">
        <f t="shared" si="1"/>
        <v>0</v>
      </c>
      <c r="M25" s="2"/>
      <c r="N25"/>
      <c r="O25" s="19"/>
      <c r="P25" s="19"/>
      <c r="Q25" s="19"/>
      <c r="R25" s="21"/>
      <c r="S25" s="46"/>
      <c r="T25" s="44"/>
      <c r="U25" s="76"/>
      <c r="V25" s="24"/>
      <c r="W25" s="24"/>
      <c r="X25" s="193"/>
      <c r="Y25" s="15"/>
      <c r="AA25">
        <v>4</v>
      </c>
      <c r="AB25" s="487"/>
      <c r="AC25" s="91">
        <v>5</v>
      </c>
      <c r="AD25" s="97" t="s">
        <v>85</v>
      </c>
      <c r="AE25" s="39">
        <f t="shared" si="2"/>
        <v>800</v>
      </c>
      <c r="AF25" s="65">
        <f t="shared" si="3"/>
        <v>0</v>
      </c>
      <c r="AG25" s="65">
        <f t="shared" si="4"/>
        <v>0</v>
      </c>
      <c r="AH25" s="65">
        <f t="shared" si="5"/>
        <v>800</v>
      </c>
      <c r="AI25" s="104">
        <f t="shared" si="6"/>
        <v>0</v>
      </c>
      <c r="AJ25" s="115">
        <f t="shared" si="7"/>
        <v>1</v>
      </c>
      <c r="AK25" s="116">
        <f t="shared" si="8"/>
        <v>0</v>
      </c>
      <c r="AL25" s="116">
        <f t="shared" si="9"/>
        <v>0</v>
      </c>
      <c r="AM25" s="116">
        <f t="shared" si="10"/>
        <v>1</v>
      </c>
      <c r="AN25" s="117">
        <f t="shared" si="11"/>
        <v>0</v>
      </c>
      <c r="AO25" s="39">
        <f t="shared" si="12"/>
        <v>10.746</v>
      </c>
      <c r="AP25" s="65">
        <f t="shared" si="13"/>
        <v>0</v>
      </c>
      <c r="AQ25" s="65">
        <f t="shared" si="14"/>
        <v>0</v>
      </c>
      <c r="AR25" s="65">
        <f t="shared" si="15"/>
        <v>10.746</v>
      </c>
      <c r="AS25" s="65">
        <f t="shared" si="16"/>
        <v>0</v>
      </c>
      <c r="AU25" s="195" t="s">
        <v>160</v>
      </c>
      <c r="AV25" s="195">
        <f>COUNTIF($X:$X, AU25)</f>
        <v>0</v>
      </c>
      <c r="AW25" s="196">
        <f>AV25/$AV$33</f>
        <v>0</v>
      </c>
    </row>
    <row r="26" spans="2:49" s="8" customFormat="1" ht="14.25" thickBot="1" x14ac:dyDescent="0.3">
      <c r="B26" s="15">
        <v>24</v>
      </c>
      <c r="D26" s="5"/>
      <c r="E26" s="67"/>
      <c r="F26" s="380"/>
      <c r="J26" s="9"/>
      <c r="K26" s="9">
        <f t="shared" si="0"/>
        <v>0</v>
      </c>
      <c r="L26" s="35">
        <f t="shared" si="1"/>
        <v>0</v>
      </c>
      <c r="M26" s="2"/>
      <c r="N26"/>
      <c r="O26" s="19"/>
      <c r="P26" s="19"/>
      <c r="Q26" s="19"/>
      <c r="R26" s="21"/>
      <c r="S26" s="46"/>
      <c r="T26" s="44"/>
      <c r="U26" s="76"/>
      <c r="V26" s="24"/>
      <c r="W26" s="24"/>
      <c r="X26" s="193"/>
      <c r="Y26" s="15"/>
      <c r="AA26">
        <v>4</v>
      </c>
      <c r="AB26" s="488"/>
      <c r="AC26" s="92" t="s">
        <v>3</v>
      </c>
      <c r="AD26" s="98"/>
      <c r="AE26" s="94">
        <f t="shared" ref="AE26:AS26" si="22">SUM(AE21:AE25)</f>
        <v>850.2</v>
      </c>
      <c r="AF26" s="94">
        <f t="shared" si="22"/>
        <v>0</v>
      </c>
      <c r="AG26" s="94">
        <f t="shared" si="22"/>
        <v>0</v>
      </c>
      <c r="AH26" s="94">
        <f t="shared" si="22"/>
        <v>850.2</v>
      </c>
      <c r="AI26" s="105">
        <f t="shared" si="22"/>
        <v>0</v>
      </c>
      <c r="AJ26" s="118">
        <f t="shared" si="22"/>
        <v>2</v>
      </c>
      <c r="AK26" s="119">
        <f t="shared" si="22"/>
        <v>0</v>
      </c>
      <c r="AL26" s="119">
        <f t="shared" si="22"/>
        <v>0</v>
      </c>
      <c r="AM26" s="119">
        <f t="shared" si="22"/>
        <v>2</v>
      </c>
      <c r="AN26" s="120">
        <f t="shared" si="22"/>
        <v>0</v>
      </c>
      <c r="AO26" s="94">
        <f t="shared" si="22"/>
        <v>11.776</v>
      </c>
      <c r="AP26" s="94">
        <f t="shared" si="22"/>
        <v>0</v>
      </c>
      <c r="AQ26" s="94">
        <f t="shared" si="22"/>
        <v>0</v>
      </c>
      <c r="AR26" s="94">
        <f t="shared" si="22"/>
        <v>11.776</v>
      </c>
      <c r="AS26" s="94">
        <f t="shared" si="22"/>
        <v>0</v>
      </c>
      <c r="AU26" s="195" t="s">
        <v>152</v>
      </c>
      <c r="AV26" s="195">
        <f t="shared" ref="AV26:AV32" si="23">COUNTIF($X:$X, AU26)</f>
        <v>5</v>
      </c>
      <c r="AW26" s="196">
        <f t="shared" ref="AW26:AW33" si="24">AV26/$AV$33</f>
        <v>0.83333333333333337</v>
      </c>
    </row>
    <row r="27" spans="2:49" s="8" customFormat="1" x14ac:dyDescent="0.25">
      <c r="B27" s="15">
        <v>25</v>
      </c>
      <c r="D27" s="5"/>
      <c r="E27" s="67"/>
      <c r="F27" s="380"/>
      <c r="J27" s="9"/>
      <c r="K27" s="9">
        <f t="shared" si="0"/>
        <v>0</v>
      </c>
      <c r="L27" s="35">
        <f t="shared" si="1"/>
        <v>0</v>
      </c>
      <c r="M27" s="2"/>
      <c r="N27"/>
      <c r="O27" s="19"/>
      <c r="P27" s="19"/>
      <c r="Q27" s="19"/>
      <c r="R27" s="21"/>
      <c r="S27" s="46"/>
      <c r="T27" s="44"/>
      <c r="U27" s="76"/>
      <c r="V27" s="24"/>
      <c r="W27" s="24"/>
      <c r="X27" s="193"/>
      <c r="Y27" s="15"/>
      <c r="AA27">
        <v>5</v>
      </c>
      <c r="AB27" s="486">
        <v>5</v>
      </c>
      <c r="AC27" s="89">
        <v>1</v>
      </c>
      <c r="AD27" s="95" t="s">
        <v>86</v>
      </c>
      <c r="AE27" s="39">
        <f t="shared" si="2"/>
        <v>0</v>
      </c>
      <c r="AF27" s="65">
        <f t="shared" si="3"/>
        <v>0</v>
      </c>
      <c r="AG27" s="65">
        <f t="shared" si="4"/>
        <v>0</v>
      </c>
      <c r="AH27" s="65">
        <f t="shared" si="5"/>
        <v>0</v>
      </c>
      <c r="AI27" s="104">
        <f t="shared" si="6"/>
        <v>0</v>
      </c>
      <c r="AJ27" s="115">
        <f t="shared" si="7"/>
        <v>0</v>
      </c>
      <c r="AK27" s="116">
        <f t="shared" si="8"/>
        <v>0</v>
      </c>
      <c r="AL27" s="116">
        <f t="shared" si="9"/>
        <v>0</v>
      </c>
      <c r="AM27" s="116">
        <f t="shared" si="10"/>
        <v>0</v>
      </c>
      <c r="AN27" s="117">
        <f t="shared" si="11"/>
        <v>0</v>
      </c>
      <c r="AO27" s="39">
        <f t="shared" si="12"/>
        <v>0</v>
      </c>
      <c r="AP27" s="65">
        <f t="shared" si="13"/>
        <v>0</v>
      </c>
      <c r="AQ27" s="65">
        <f t="shared" si="14"/>
        <v>0</v>
      </c>
      <c r="AR27" s="65">
        <f t="shared" si="15"/>
        <v>0</v>
      </c>
      <c r="AS27" s="65">
        <f t="shared" si="16"/>
        <v>0</v>
      </c>
      <c r="AU27" s="195" t="s">
        <v>153</v>
      </c>
      <c r="AV27" s="195">
        <f t="shared" si="23"/>
        <v>0</v>
      </c>
      <c r="AW27" s="196">
        <f t="shared" si="24"/>
        <v>0</v>
      </c>
    </row>
    <row r="28" spans="2:49" s="8" customFormat="1" x14ac:dyDescent="0.25">
      <c r="B28" s="15">
        <v>26</v>
      </c>
      <c r="D28" s="5"/>
      <c r="E28" s="67"/>
      <c r="F28" s="380"/>
      <c r="J28" s="9"/>
      <c r="K28" s="9">
        <f t="shared" si="0"/>
        <v>0</v>
      </c>
      <c r="L28" s="35">
        <f t="shared" si="1"/>
        <v>0</v>
      </c>
      <c r="M28" s="2"/>
      <c r="N28"/>
      <c r="O28" s="19"/>
      <c r="P28" s="19"/>
      <c r="Q28" s="19"/>
      <c r="R28" s="21"/>
      <c r="S28" s="46"/>
      <c r="T28" s="44"/>
      <c r="U28" s="76"/>
      <c r="V28" s="24"/>
      <c r="W28" s="24"/>
      <c r="X28" s="193"/>
      <c r="Y28" s="15"/>
      <c r="AA28">
        <v>5</v>
      </c>
      <c r="AB28" s="487"/>
      <c r="AC28" s="90">
        <v>2</v>
      </c>
      <c r="AD28" s="97" t="s">
        <v>87</v>
      </c>
      <c r="AE28" s="39">
        <f t="shared" si="2"/>
        <v>0</v>
      </c>
      <c r="AF28" s="65">
        <f t="shared" si="3"/>
        <v>0</v>
      </c>
      <c r="AG28" s="65">
        <f t="shared" si="4"/>
        <v>0</v>
      </c>
      <c r="AH28" s="65">
        <f t="shared" si="5"/>
        <v>0</v>
      </c>
      <c r="AI28" s="104">
        <f t="shared" si="6"/>
        <v>0</v>
      </c>
      <c r="AJ28" s="115">
        <f t="shared" si="7"/>
        <v>0</v>
      </c>
      <c r="AK28" s="116">
        <f t="shared" si="8"/>
        <v>0</v>
      </c>
      <c r="AL28" s="116">
        <f t="shared" si="9"/>
        <v>0</v>
      </c>
      <c r="AM28" s="116">
        <f t="shared" si="10"/>
        <v>0</v>
      </c>
      <c r="AN28" s="117">
        <f t="shared" si="11"/>
        <v>0</v>
      </c>
      <c r="AO28" s="39">
        <f t="shared" si="12"/>
        <v>0</v>
      </c>
      <c r="AP28" s="65">
        <f t="shared" si="13"/>
        <v>0</v>
      </c>
      <c r="AQ28" s="65">
        <f t="shared" si="14"/>
        <v>0</v>
      </c>
      <c r="AR28" s="65">
        <f t="shared" si="15"/>
        <v>0</v>
      </c>
      <c r="AS28" s="65">
        <f t="shared" si="16"/>
        <v>0</v>
      </c>
      <c r="AU28" s="195" t="s">
        <v>154</v>
      </c>
      <c r="AV28" s="195">
        <f t="shared" si="23"/>
        <v>0</v>
      </c>
      <c r="AW28" s="196">
        <f t="shared" si="24"/>
        <v>0</v>
      </c>
    </row>
    <row r="29" spans="2:49" s="8" customFormat="1" x14ac:dyDescent="0.25">
      <c r="B29" s="15">
        <v>27</v>
      </c>
      <c r="D29" s="5"/>
      <c r="E29" s="67"/>
      <c r="F29" s="380"/>
      <c r="J29" s="9"/>
      <c r="K29" s="9">
        <f t="shared" si="0"/>
        <v>0</v>
      </c>
      <c r="L29" s="35">
        <f t="shared" si="1"/>
        <v>0</v>
      </c>
      <c r="M29" s="2"/>
      <c r="N29"/>
      <c r="O29" s="19"/>
      <c r="P29" s="19"/>
      <c r="Q29" s="19"/>
      <c r="R29" s="21"/>
      <c r="S29" s="46"/>
      <c r="T29" s="44"/>
      <c r="U29" s="76"/>
      <c r="V29" s="24"/>
      <c r="W29" s="24"/>
      <c r="X29" s="193"/>
      <c r="Y29" s="15"/>
      <c r="AA29">
        <v>5</v>
      </c>
      <c r="AB29" s="487"/>
      <c r="AC29" s="90">
        <v>3</v>
      </c>
      <c r="AD29" s="97" t="s">
        <v>88</v>
      </c>
      <c r="AE29" s="39">
        <f t="shared" si="2"/>
        <v>0</v>
      </c>
      <c r="AF29" s="65">
        <f t="shared" si="3"/>
        <v>0</v>
      </c>
      <c r="AG29" s="65">
        <f t="shared" si="4"/>
        <v>0</v>
      </c>
      <c r="AH29" s="65">
        <f t="shared" si="5"/>
        <v>0</v>
      </c>
      <c r="AI29" s="104">
        <f t="shared" si="6"/>
        <v>0</v>
      </c>
      <c r="AJ29" s="115">
        <f t="shared" si="7"/>
        <v>0</v>
      </c>
      <c r="AK29" s="116">
        <f t="shared" si="8"/>
        <v>0</v>
      </c>
      <c r="AL29" s="116">
        <f t="shared" si="9"/>
        <v>0</v>
      </c>
      <c r="AM29" s="116">
        <f t="shared" si="10"/>
        <v>0</v>
      </c>
      <c r="AN29" s="117">
        <f t="shared" si="11"/>
        <v>0</v>
      </c>
      <c r="AO29" s="39">
        <f t="shared" si="12"/>
        <v>0</v>
      </c>
      <c r="AP29" s="65">
        <f t="shared" si="13"/>
        <v>0</v>
      </c>
      <c r="AQ29" s="65">
        <f t="shared" si="14"/>
        <v>0</v>
      </c>
      <c r="AR29" s="65">
        <f t="shared" si="15"/>
        <v>0</v>
      </c>
      <c r="AS29" s="65">
        <f t="shared" si="16"/>
        <v>0</v>
      </c>
      <c r="AU29" s="195" t="s">
        <v>155</v>
      </c>
      <c r="AV29" s="195">
        <f t="shared" si="23"/>
        <v>0</v>
      </c>
      <c r="AW29" s="196">
        <f t="shared" si="24"/>
        <v>0</v>
      </c>
    </row>
    <row r="30" spans="2:49" s="8" customFormat="1" x14ac:dyDescent="0.25">
      <c r="B30" s="15">
        <v>28</v>
      </c>
      <c r="D30" s="5"/>
      <c r="E30" s="67"/>
      <c r="F30" s="380"/>
      <c r="J30" s="9"/>
      <c r="K30" s="9">
        <f t="shared" si="0"/>
        <v>0</v>
      </c>
      <c r="L30" s="35">
        <f t="shared" si="1"/>
        <v>0</v>
      </c>
      <c r="M30" s="2"/>
      <c r="N30"/>
      <c r="O30" s="19"/>
      <c r="P30" s="19"/>
      <c r="Q30" s="19"/>
      <c r="R30" s="21"/>
      <c r="S30" s="46"/>
      <c r="T30" s="44"/>
      <c r="U30" s="76"/>
      <c r="V30" s="24"/>
      <c r="W30" s="24"/>
      <c r="X30" s="193"/>
      <c r="Y30" s="15"/>
      <c r="AA30">
        <v>5</v>
      </c>
      <c r="AB30" s="487"/>
      <c r="AC30" s="90">
        <v>4</v>
      </c>
      <c r="AD30" s="97" t="s">
        <v>89</v>
      </c>
      <c r="AE30" s="39">
        <f t="shared" si="2"/>
        <v>0</v>
      </c>
      <c r="AF30" s="65">
        <f t="shared" si="3"/>
        <v>0</v>
      </c>
      <c r="AG30" s="65">
        <f t="shared" si="4"/>
        <v>0</v>
      </c>
      <c r="AH30" s="65">
        <f t="shared" si="5"/>
        <v>0</v>
      </c>
      <c r="AI30" s="104">
        <f t="shared" si="6"/>
        <v>0</v>
      </c>
      <c r="AJ30" s="115">
        <f t="shared" si="7"/>
        <v>0</v>
      </c>
      <c r="AK30" s="116">
        <f t="shared" si="8"/>
        <v>0</v>
      </c>
      <c r="AL30" s="116">
        <f t="shared" si="9"/>
        <v>0</v>
      </c>
      <c r="AM30" s="116">
        <f t="shared" si="10"/>
        <v>0</v>
      </c>
      <c r="AN30" s="117">
        <f t="shared" si="11"/>
        <v>0</v>
      </c>
      <c r="AO30" s="39">
        <f t="shared" si="12"/>
        <v>0</v>
      </c>
      <c r="AP30" s="65">
        <f t="shared" si="13"/>
        <v>0</v>
      </c>
      <c r="AQ30" s="65">
        <f t="shared" si="14"/>
        <v>0</v>
      </c>
      <c r="AR30" s="65">
        <f t="shared" si="15"/>
        <v>0</v>
      </c>
      <c r="AS30" s="65">
        <f t="shared" si="16"/>
        <v>0</v>
      </c>
      <c r="AU30" s="195" t="s">
        <v>156</v>
      </c>
      <c r="AV30" s="195">
        <f t="shared" si="23"/>
        <v>1</v>
      </c>
      <c r="AW30" s="196">
        <f t="shared" si="24"/>
        <v>0.16666666666666666</v>
      </c>
    </row>
    <row r="31" spans="2:49" s="8" customFormat="1" x14ac:dyDescent="0.25">
      <c r="B31" s="15">
        <v>29</v>
      </c>
      <c r="D31" s="5"/>
      <c r="E31" s="67"/>
      <c r="F31" s="380"/>
      <c r="J31" s="9"/>
      <c r="K31" s="9">
        <f t="shared" si="0"/>
        <v>0</v>
      </c>
      <c r="L31" s="35">
        <f t="shared" si="1"/>
        <v>0</v>
      </c>
      <c r="M31" s="2"/>
      <c r="N31"/>
      <c r="O31" s="19"/>
      <c r="P31" s="19"/>
      <c r="Q31" s="19"/>
      <c r="R31" s="21"/>
      <c r="S31" s="46"/>
      <c r="T31" s="44"/>
      <c r="U31" s="76"/>
      <c r="V31" s="24"/>
      <c r="W31" s="24"/>
      <c r="X31" s="193"/>
      <c r="Y31" s="15"/>
      <c r="AA31">
        <v>5</v>
      </c>
      <c r="AB31" s="487"/>
      <c r="AC31" s="91">
        <v>5</v>
      </c>
      <c r="AD31" s="97"/>
      <c r="AE31" s="39">
        <f t="shared" si="2"/>
        <v>0</v>
      </c>
      <c r="AF31" s="65">
        <f t="shared" si="3"/>
        <v>0</v>
      </c>
      <c r="AG31" s="65">
        <f t="shared" si="4"/>
        <v>0</v>
      </c>
      <c r="AH31" s="65">
        <f t="shared" si="5"/>
        <v>0</v>
      </c>
      <c r="AI31" s="104">
        <f t="shared" si="6"/>
        <v>0</v>
      </c>
      <c r="AJ31" s="115">
        <f t="shared" si="7"/>
        <v>0</v>
      </c>
      <c r="AK31" s="116">
        <f t="shared" si="8"/>
        <v>0</v>
      </c>
      <c r="AL31" s="116">
        <f t="shared" si="9"/>
        <v>0</v>
      </c>
      <c r="AM31" s="116">
        <f t="shared" si="10"/>
        <v>0</v>
      </c>
      <c r="AN31" s="117">
        <f t="shared" si="11"/>
        <v>0</v>
      </c>
      <c r="AO31" s="39">
        <f t="shared" si="12"/>
        <v>0</v>
      </c>
      <c r="AP31" s="65">
        <f t="shared" si="13"/>
        <v>0</v>
      </c>
      <c r="AQ31" s="65">
        <f t="shared" si="14"/>
        <v>0</v>
      </c>
      <c r="AR31" s="65">
        <f t="shared" si="15"/>
        <v>0</v>
      </c>
      <c r="AS31" s="65">
        <f t="shared" si="16"/>
        <v>0</v>
      </c>
      <c r="AU31" s="195" t="s">
        <v>157</v>
      </c>
      <c r="AV31" s="195">
        <f t="shared" si="23"/>
        <v>0</v>
      </c>
      <c r="AW31" s="196">
        <f t="shared" si="24"/>
        <v>0</v>
      </c>
    </row>
    <row r="32" spans="2:49" s="8" customFormat="1" ht="14.25" thickBot="1" x14ac:dyDescent="0.3">
      <c r="B32" s="15">
        <v>30</v>
      </c>
      <c r="D32" s="5"/>
      <c r="E32" s="67"/>
      <c r="F32" s="380"/>
      <c r="J32" s="9"/>
      <c r="K32" s="9">
        <f t="shared" si="0"/>
        <v>0</v>
      </c>
      <c r="L32" s="35">
        <f t="shared" si="1"/>
        <v>0</v>
      </c>
      <c r="M32" s="2"/>
      <c r="N32"/>
      <c r="O32" s="19"/>
      <c r="P32" s="19"/>
      <c r="Q32" s="19"/>
      <c r="R32" s="21"/>
      <c r="S32" s="46"/>
      <c r="T32" s="44"/>
      <c r="U32" s="76"/>
      <c r="V32" s="24"/>
      <c r="W32" s="24"/>
      <c r="X32" s="193"/>
      <c r="Y32" s="15"/>
      <c r="AA32">
        <v>5</v>
      </c>
      <c r="AB32" s="488"/>
      <c r="AC32" s="92" t="s">
        <v>3</v>
      </c>
      <c r="AD32" s="98"/>
      <c r="AE32" s="94">
        <f t="shared" ref="AE32:AS32" si="25">SUM(AE27:AE31)</f>
        <v>0</v>
      </c>
      <c r="AF32" s="94">
        <f t="shared" si="25"/>
        <v>0</v>
      </c>
      <c r="AG32" s="94">
        <f t="shared" si="25"/>
        <v>0</v>
      </c>
      <c r="AH32" s="94">
        <f t="shared" si="25"/>
        <v>0</v>
      </c>
      <c r="AI32" s="105">
        <f t="shared" si="25"/>
        <v>0</v>
      </c>
      <c r="AJ32" s="118">
        <f t="shared" si="25"/>
        <v>0</v>
      </c>
      <c r="AK32" s="119">
        <f t="shared" si="25"/>
        <v>0</v>
      </c>
      <c r="AL32" s="119">
        <f t="shared" si="25"/>
        <v>0</v>
      </c>
      <c r="AM32" s="119">
        <f t="shared" si="25"/>
        <v>0</v>
      </c>
      <c r="AN32" s="120">
        <f t="shared" si="25"/>
        <v>0</v>
      </c>
      <c r="AO32" s="94">
        <f t="shared" si="25"/>
        <v>0</v>
      </c>
      <c r="AP32" s="94">
        <f t="shared" si="25"/>
        <v>0</v>
      </c>
      <c r="AQ32" s="94">
        <f t="shared" si="25"/>
        <v>0</v>
      </c>
      <c r="AR32" s="94">
        <f t="shared" si="25"/>
        <v>0</v>
      </c>
      <c r="AS32" s="94">
        <f t="shared" si="25"/>
        <v>0</v>
      </c>
      <c r="AU32" s="195" t="s">
        <v>158</v>
      </c>
      <c r="AV32" s="195">
        <f t="shared" si="23"/>
        <v>0</v>
      </c>
      <c r="AW32" s="196">
        <f t="shared" si="24"/>
        <v>0</v>
      </c>
    </row>
    <row r="33" spans="2:49" s="8" customFormat="1" x14ac:dyDescent="0.25">
      <c r="B33" s="15">
        <v>31</v>
      </c>
      <c r="D33" s="5"/>
      <c r="E33" s="67"/>
      <c r="F33" s="380"/>
      <c r="J33" s="9"/>
      <c r="K33" s="9">
        <f t="shared" si="0"/>
        <v>0</v>
      </c>
      <c r="L33" s="35">
        <f t="shared" si="1"/>
        <v>0</v>
      </c>
      <c r="M33" s="2"/>
      <c r="N33"/>
      <c r="O33" s="19"/>
      <c r="P33" s="19"/>
      <c r="Q33" s="19"/>
      <c r="R33" s="21"/>
      <c r="S33" s="46"/>
      <c r="T33" s="44"/>
      <c r="U33" s="76"/>
      <c r="V33" s="24"/>
      <c r="W33" s="24"/>
      <c r="X33" s="193"/>
      <c r="Y33" s="15"/>
      <c r="AA33">
        <v>6</v>
      </c>
      <c r="AB33" s="486">
        <v>6</v>
      </c>
      <c r="AC33" s="89">
        <v>1</v>
      </c>
      <c r="AD33" s="95" t="s">
        <v>90</v>
      </c>
      <c r="AE33" s="39">
        <f t="shared" si="2"/>
        <v>0</v>
      </c>
      <c r="AF33" s="65">
        <f t="shared" si="3"/>
        <v>0</v>
      </c>
      <c r="AG33" s="65">
        <f t="shared" si="4"/>
        <v>0</v>
      </c>
      <c r="AH33" s="65">
        <f t="shared" si="5"/>
        <v>0</v>
      </c>
      <c r="AI33" s="104">
        <f t="shared" si="6"/>
        <v>0</v>
      </c>
      <c r="AJ33" s="115">
        <f t="shared" si="7"/>
        <v>0</v>
      </c>
      <c r="AK33" s="116">
        <f t="shared" si="8"/>
        <v>0</v>
      </c>
      <c r="AL33" s="116">
        <f t="shared" si="9"/>
        <v>0</v>
      </c>
      <c r="AM33" s="116">
        <f t="shared" si="10"/>
        <v>0</v>
      </c>
      <c r="AN33" s="117">
        <f t="shared" si="11"/>
        <v>0</v>
      </c>
      <c r="AO33" s="39">
        <f t="shared" si="12"/>
        <v>0</v>
      </c>
      <c r="AP33" s="65">
        <f t="shared" si="13"/>
        <v>0</v>
      </c>
      <c r="AQ33" s="65">
        <f t="shared" si="14"/>
        <v>0</v>
      </c>
      <c r="AR33" s="65">
        <f t="shared" si="15"/>
        <v>0</v>
      </c>
      <c r="AS33" s="65">
        <f t="shared" si="16"/>
        <v>0</v>
      </c>
      <c r="AU33" s="194" t="s">
        <v>159</v>
      </c>
      <c r="AV33" s="194">
        <f>SUM(AV25:AV32)</f>
        <v>6</v>
      </c>
      <c r="AW33" s="197">
        <f t="shared" si="24"/>
        <v>1</v>
      </c>
    </row>
    <row r="34" spans="2:49" s="8" customFormat="1" x14ac:dyDescent="0.25">
      <c r="B34" s="15">
        <v>32</v>
      </c>
      <c r="D34" s="5"/>
      <c r="E34" s="67"/>
      <c r="F34" s="380"/>
      <c r="J34" s="9"/>
      <c r="K34" s="9">
        <f t="shared" si="0"/>
        <v>0</v>
      </c>
      <c r="L34" s="35">
        <f t="shared" si="1"/>
        <v>0</v>
      </c>
      <c r="M34" s="2"/>
      <c r="N34"/>
      <c r="O34" s="19"/>
      <c r="P34" s="19"/>
      <c r="Q34" s="19"/>
      <c r="R34" s="21"/>
      <c r="S34" s="46"/>
      <c r="T34" s="44"/>
      <c r="U34" s="76"/>
      <c r="V34" s="24"/>
      <c r="W34" s="24"/>
      <c r="X34" s="193"/>
      <c r="Y34" s="15"/>
      <c r="AA34">
        <v>6</v>
      </c>
      <c r="AB34" s="487"/>
      <c r="AC34" s="90">
        <v>2</v>
      </c>
      <c r="AD34" s="97" t="s">
        <v>91</v>
      </c>
      <c r="AE34" s="39">
        <f t="shared" si="2"/>
        <v>0</v>
      </c>
      <c r="AF34" s="65">
        <f t="shared" si="3"/>
        <v>0</v>
      </c>
      <c r="AG34" s="65">
        <f t="shared" si="4"/>
        <v>0</v>
      </c>
      <c r="AH34" s="65">
        <f t="shared" si="5"/>
        <v>0</v>
      </c>
      <c r="AI34" s="104">
        <f t="shared" si="6"/>
        <v>0</v>
      </c>
      <c r="AJ34" s="115">
        <f t="shared" si="7"/>
        <v>0</v>
      </c>
      <c r="AK34" s="116">
        <f t="shared" si="8"/>
        <v>0</v>
      </c>
      <c r="AL34" s="116">
        <f t="shared" si="9"/>
        <v>0</v>
      </c>
      <c r="AM34" s="116">
        <f t="shared" si="10"/>
        <v>0</v>
      </c>
      <c r="AN34" s="117">
        <f t="shared" si="11"/>
        <v>0</v>
      </c>
      <c r="AO34" s="39">
        <f t="shared" si="12"/>
        <v>0</v>
      </c>
      <c r="AP34" s="65">
        <f t="shared" si="13"/>
        <v>0</v>
      </c>
      <c r="AQ34" s="65">
        <f t="shared" si="14"/>
        <v>0</v>
      </c>
      <c r="AR34" s="65">
        <f t="shared" si="15"/>
        <v>0</v>
      </c>
      <c r="AS34" s="65">
        <f t="shared" si="16"/>
        <v>0</v>
      </c>
    </row>
    <row r="35" spans="2:49" s="8" customFormat="1" x14ac:dyDescent="0.25">
      <c r="B35" s="15">
        <v>33</v>
      </c>
      <c r="D35" s="5"/>
      <c r="E35" s="67"/>
      <c r="F35" s="380"/>
      <c r="J35" s="9"/>
      <c r="K35" s="9">
        <f t="shared" si="0"/>
        <v>0</v>
      </c>
      <c r="L35" s="35">
        <f t="shared" si="1"/>
        <v>0</v>
      </c>
      <c r="M35" s="2"/>
      <c r="N35"/>
      <c r="O35" s="19"/>
      <c r="P35" s="19"/>
      <c r="Q35" s="19"/>
      <c r="R35" s="21"/>
      <c r="S35" s="46"/>
      <c r="T35" s="44"/>
      <c r="U35" s="76"/>
      <c r="V35" s="24"/>
      <c r="W35" s="24"/>
      <c r="X35" s="193"/>
      <c r="Y35" s="15"/>
      <c r="AA35">
        <v>6</v>
      </c>
      <c r="AB35" s="487"/>
      <c r="AC35" s="90">
        <v>3</v>
      </c>
      <c r="AD35" s="97" t="s">
        <v>92</v>
      </c>
      <c r="AE35" s="39">
        <f t="shared" si="2"/>
        <v>0</v>
      </c>
      <c r="AF35" s="65">
        <f t="shared" si="3"/>
        <v>0</v>
      </c>
      <c r="AG35" s="65">
        <f t="shared" si="4"/>
        <v>0</v>
      </c>
      <c r="AH35" s="65">
        <f t="shared" si="5"/>
        <v>0</v>
      </c>
      <c r="AI35" s="104">
        <f t="shared" si="6"/>
        <v>0</v>
      </c>
      <c r="AJ35" s="115">
        <f t="shared" si="7"/>
        <v>0</v>
      </c>
      <c r="AK35" s="116">
        <f t="shared" si="8"/>
        <v>0</v>
      </c>
      <c r="AL35" s="116">
        <f t="shared" si="9"/>
        <v>0</v>
      </c>
      <c r="AM35" s="116">
        <f t="shared" si="10"/>
        <v>0</v>
      </c>
      <c r="AN35" s="117">
        <f t="shared" si="11"/>
        <v>0</v>
      </c>
      <c r="AO35" s="39">
        <f t="shared" si="12"/>
        <v>0</v>
      </c>
      <c r="AP35" s="65">
        <f t="shared" si="13"/>
        <v>0</v>
      </c>
      <c r="AQ35" s="65">
        <f t="shared" si="14"/>
        <v>0</v>
      </c>
      <c r="AR35" s="65">
        <f t="shared" si="15"/>
        <v>0</v>
      </c>
      <c r="AS35" s="65">
        <f t="shared" si="16"/>
        <v>0</v>
      </c>
    </row>
    <row r="36" spans="2:49" s="8" customFormat="1" x14ac:dyDescent="0.25">
      <c r="B36" s="15">
        <v>34</v>
      </c>
      <c r="D36" s="5"/>
      <c r="E36" s="67"/>
      <c r="F36" s="380"/>
      <c r="J36" s="9"/>
      <c r="K36" s="9">
        <f t="shared" si="0"/>
        <v>0</v>
      </c>
      <c r="L36" s="35">
        <f t="shared" si="1"/>
        <v>0</v>
      </c>
      <c r="M36" s="2"/>
      <c r="N36"/>
      <c r="O36" s="19"/>
      <c r="P36" s="19"/>
      <c r="Q36" s="19"/>
      <c r="R36" s="21"/>
      <c r="S36" s="46"/>
      <c r="T36" s="44"/>
      <c r="U36" s="76"/>
      <c r="V36" s="24"/>
      <c r="W36" s="24"/>
      <c r="X36" s="193"/>
      <c r="Y36" s="15"/>
      <c r="AA36">
        <v>6</v>
      </c>
      <c r="AB36" s="487"/>
      <c r="AC36" s="90">
        <v>4</v>
      </c>
      <c r="AD36" s="97" t="s">
        <v>93</v>
      </c>
      <c r="AE36" s="39">
        <f t="shared" si="2"/>
        <v>0</v>
      </c>
      <c r="AF36" s="65">
        <f t="shared" si="3"/>
        <v>0</v>
      </c>
      <c r="AG36" s="65">
        <f t="shared" si="4"/>
        <v>0</v>
      </c>
      <c r="AH36" s="65">
        <f t="shared" si="5"/>
        <v>0</v>
      </c>
      <c r="AI36" s="104">
        <f t="shared" si="6"/>
        <v>0</v>
      </c>
      <c r="AJ36" s="115">
        <f t="shared" si="7"/>
        <v>0</v>
      </c>
      <c r="AK36" s="116">
        <f t="shared" si="8"/>
        <v>0</v>
      </c>
      <c r="AL36" s="116">
        <f t="shared" si="9"/>
        <v>0</v>
      </c>
      <c r="AM36" s="116">
        <f t="shared" si="10"/>
        <v>0</v>
      </c>
      <c r="AN36" s="117">
        <f t="shared" si="11"/>
        <v>0</v>
      </c>
      <c r="AO36" s="39">
        <f t="shared" si="12"/>
        <v>0</v>
      </c>
      <c r="AP36" s="65">
        <f t="shared" si="13"/>
        <v>0</v>
      </c>
      <c r="AQ36" s="65">
        <f t="shared" si="14"/>
        <v>0</v>
      </c>
      <c r="AR36" s="65">
        <f t="shared" si="15"/>
        <v>0</v>
      </c>
      <c r="AS36" s="65">
        <f t="shared" si="16"/>
        <v>0</v>
      </c>
    </row>
    <row r="37" spans="2:49" s="8" customFormat="1" x14ac:dyDescent="0.25">
      <c r="B37" s="15">
        <v>35</v>
      </c>
      <c r="D37" s="5"/>
      <c r="E37" s="67"/>
      <c r="F37" s="380"/>
      <c r="J37" s="9"/>
      <c r="K37" s="9">
        <f t="shared" si="0"/>
        <v>0</v>
      </c>
      <c r="L37" s="35">
        <f t="shared" si="1"/>
        <v>0</v>
      </c>
      <c r="M37" s="2"/>
      <c r="N37"/>
      <c r="O37" s="19"/>
      <c r="P37" s="19"/>
      <c r="Q37" s="19"/>
      <c r="R37" s="21"/>
      <c r="S37" s="46"/>
      <c r="T37" s="250"/>
      <c r="U37" s="76"/>
      <c r="V37" s="24"/>
      <c r="W37" s="24"/>
      <c r="X37" s="193"/>
      <c r="Y37" s="15"/>
      <c r="AA37">
        <v>6</v>
      </c>
      <c r="AB37" s="487"/>
      <c r="AC37" s="91">
        <v>5</v>
      </c>
      <c r="AD37" s="97"/>
      <c r="AE37" s="39">
        <f t="shared" si="2"/>
        <v>0</v>
      </c>
      <c r="AF37" s="65">
        <f t="shared" si="3"/>
        <v>0</v>
      </c>
      <c r="AG37" s="65">
        <f t="shared" si="4"/>
        <v>0</v>
      </c>
      <c r="AH37" s="65">
        <f t="shared" si="5"/>
        <v>0</v>
      </c>
      <c r="AI37" s="104">
        <f t="shared" si="6"/>
        <v>0</v>
      </c>
      <c r="AJ37" s="115">
        <f t="shared" si="7"/>
        <v>0</v>
      </c>
      <c r="AK37" s="116">
        <f t="shared" si="8"/>
        <v>0</v>
      </c>
      <c r="AL37" s="116">
        <f t="shared" si="9"/>
        <v>0</v>
      </c>
      <c r="AM37" s="116">
        <f t="shared" si="10"/>
        <v>0</v>
      </c>
      <c r="AN37" s="117">
        <f t="shared" si="11"/>
        <v>0</v>
      </c>
      <c r="AO37" s="39">
        <f t="shared" si="12"/>
        <v>0</v>
      </c>
      <c r="AP37" s="65">
        <f t="shared" si="13"/>
        <v>0</v>
      </c>
      <c r="AQ37" s="65">
        <f t="shared" si="14"/>
        <v>0</v>
      </c>
      <c r="AR37" s="65">
        <f t="shared" si="15"/>
        <v>0</v>
      </c>
      <c r="AS37" s="65">
        <f t="shared" si="16"/>
        <v>0</v>
      </c>
    </row>
    <row r="38" spans="2:49" s="8" customFormat="1" ht="14.25" thickBot="1" x14ac:dyDescent="0.3">
      <c r="B38" s="15">
        <v>36</v>
      </c>
      <c r="D38" s="5"/>
      <c r="E38" s="67"/>
      <c r="F38" s="380"/>
      <c r="J38" s="9"/>
      <c r="K38" s="9">
        <f t="shared" si="0"/>
        <v>0</v>
      </c>
      <c r="L38" s="35">
        <f t="shared" si="1"/>
        <v>0</v>
      </c>
      <c r="M38" s="2"/>
      <c r="N38"/>
      <c r="O38" s="19"/>
      <c r="P38" s="19"/>
      <c r="Q38" s="19"/>
      <c r="R38" s="21"/>
      <c r="S38" s="46"/>
      <c r="T38" s="44"/>
      <c r="U38" s="76"/>
      <c r="V38" s="24"/>
      <c r="W38" s="24"/>
      <c r="X38" s="193"/>
      <c r="Y38" s="15"/>
      <c r="AA38">
        <v>6</v>
      </c>
      <c r="AB38" s="488"/>
      <c r="AC38" s="92" t="s">
        <v>3</v>
      </c>
      <c r="AD38" s="98"/>
      <c r="AE38" s="94">
        <f t="shared" ref="AE38:AS38" si="26">SUM(AE33:AE37)</f>
        <v>0</v>
      </c>
      <c r="AF38" s="94">
        <f t="shared" si="26"/>
        <v>0</v>
      </c>
      <c r="AG38" s="94">
        <f t="shared" si="26"/>
        <v>0</v>
      </c>
      <c r="AH38" s="94">
        <f t="shared" si="26"/>
        <v>0</v>
      </c>
      <c r="AI38" s="105">
        <f t="shared" si="26"/>
        <v>0</v>
      </c>
      <c r="AJ38" s="118">
        <f t="shared" si="26"/>
        <v>0</v>
      </c>
      <c r="AK38" s="119">
        <f t="shared" si="26"/>
        <v>0</v>
      </c>
      <c r="AL38" s="119">
        <f t="shared" si="26"/>
        <v>0</v>
      </c>
      <c r="AM38" s="119">
        <f t="shared" si="26"/>
        <v>0</v>
      </c>
      <c r="AN38" s="120">
        <f t="shared" si="26"/>
        <v>0</v>
      </c>
      <c r="AO38" s="94">
        <f t="shared" si="26"/>
        <v>0</v>
      </c>
      <c r="AP38" s="94">
        <f t="shared" si="26"/>
        <v>0</v>
      </c>
      <c r="AQ38" s="94">
        <f t="shared" si="26"/>
        <v>0</v>
      </c>
      <c r="AR38" s="94">
        <f t="shared" si="26"/>
        <v>0</v>
      </c>
      <c r="AS38" s="94">
        <f t="shared" si="26"/>
        <v>0</v>
      </c>
    </row>
    <row r="39" spans="2:49" s="8" customFormat="1" x14ac:dyDescent="0.25">
      <c r="B39" s="15">
        <v>37</v>
      </c>
      <c r="D39" s="5"/>
      <c r="E39" s="67"/>
      <c r="F39" s="380"/>
      <c r="J39" s="9"/>
      <c r="K39" s="9">
        <f t="shared" si="0"/>
        <v>0</v>
      </c>
      <c r="L39" s="35">
        <f t="shared" si="1"/>
        <v>0</v>
      </c>
      <c r="M39" s="2"/>
      <c r="N39"/>
      <c r="O39" s="19"/>
      <c r="P39" s="19"/>
      <c r="Q39" s="19"/>
      <c r="R39" s="21"/>
      <c r="S39" s="46"/>
      <c r="T39" s="44"/>
      <c r="U39" s="76"/>
      <c r="V39" s="24"/>
      <c r="W39" s="24"/>
      <c r="X39" s="193"/>
      <c r="Y39" s="15"/>
      <c r="AA39">
        <v>7</v>
      </c>
      <c r="AB39" s="486">
        <v>7</v>
      </c>
      <c r="AC39" s="89">
        <v>1</v>
      </c>
      <c r="AD39" s="95" t="s">
        <v>94</v>
      </c>
      <c r="AE39" s="39">
        <f t="shared" si="2"/>
        <v>0</v>
      </c>
      <c r="AF39" s="65">
        <f t="shared" si="3"/>
        <v>0</v>
      </c>
      <c r="AG39" s="65">
        <f t="shared" si="4"/>
        <v>0</v>
      </c>
      <c r="AH39" s="65">
        <f t="shared" si="5"/>
        <v>0</v>
      </c>
      <c r="AI39" s="104">
        <f t="shared" si="6"/>
        <v>0</v>
      </c>
      <c r="AJ39" s="115">
        <f t="shared" si="7"/>
        <v>0</v>
      </c>
      <c r="AK39" s="116">
        <f t="shared" si="8"/>
        <v>0</v>
      </c>
      <c r="AL39" s="116">
        <f t="shared" si="9"/>
        <v>0</v>
      </c>
      <c r="AM39" s="116">
        <f t="shared" si="10"/>
        <v>0</v>
      </c>
      <c r="AN39" s="117">
        <f t="shared" si="11"/>
        <v>0</v>
      </c>
      <c r="AO39" s="39">
        <f t="shared" si="12"/>
        <v>0</v>
      </c>
      <c r="AP39" s="65">
        <f t="shared" si="13"/>
        <v>0</v>
      </c>
      <c r="AQ39" s="65">
        <f t="shared" si="14"/>
        <v>0</v>
      </c>
      <c r="AR39" s="65">
        <f t="shared" si="15"/>
        <v>0</v>
      </c>
      <c r="AS39" s="65">
        <f t="shared" si="16"/>
        <v>0</v>
      </c>
    </row>
    <row r="40" spans="2:49" s="8" customFormat="1" x14ac:dyDescent="0.25">
      <c r="B40" s="15">
        <v>38</v>
      </c>
      <c r="D40" s="5"/>
      <c r="E40" s="67"/>
      <c r="F40" s="380"/>
      <c r="J40" s="9"/>
      <c r="K40" s="9">
        <f t="shared" si="0"/>
        <v>0</v>
      </c>
      <c r="L40" s="35">
        <f t="shared" si="1"/>
        <v>0</v>
      </c>
      <c r="M40" s="2"/>
      <c r="N40"/>
      <c r="O40" s="19"/>
      <c r="P40" s="19"/>
      <c r="Q40" s="19"/>
      <c r="R40" s="21"/>
      <c r="S40" s="46"/>
      <c r="T40" s="44"/>
      <c r="U40" s="76"/>
      <c r="V40" s="24"/>
      <c r="W40" s="24"/>
      <c r="X40" s="193"/>
      <c r="Y40" s="15"/>
      <c r="AA40">
        <v>7</v>
      </c>
      <c r="AB40" s="487"/>
      <c r="AC40" s="90">
        <v>2</v>
      </c>
      <c r="AD40" s="97" t="s">
        <v>61</v>
      </c>
      <c r="AE40" s="39">
        <f t="shared" si="2"/>
        <v>0</v>
      </c>
      <c r="AF40" s="65">
        <f t="shared" si="3"/>
        <v>0</v>
      </c>
      <c r="AG40" s="65">
        <f t="shared" si="4"/>
        <v>0</v>
      </c>
      <c r="AH40" s="65">
        <f t="shared" si="5"/>
        <v>0</v>
      </c>
      <c r="AI40" s="104">
        <f t="shared" si="6"/>
        <v>0</v>
      </c>
      <c r="AJ40" s="115">
        <f t="shared" si="7"/>
        <v>0</v>
      </c>
      <c r="AK40" s="116">
        <f t="shared" si="8"/>
        <v>0</v>
      </c>
      <c r="AL40" s="116">
        <f t="shared" si="9"/>
        <v>0</v>
      </c>
      <c r="AM40" s="116">
        <f t="shared" si="10"/>
        <v>0</v>
      </c>
      <c r="AN40" s="117">
        <f t="shared" si="11"/>
        <v>0</v>
      </c>
      <c r="AO40" s="39">
        <f t="shared" si="12"/>
        <v>0</v>
      </c>
      <c r="AP40" s="65">
        <f t="shared" si="13"/>
        <v>0</v>
      </c>
      <c r="AQ40" s="65">
        <f t="shared" si="14"/>
        <v>0</v>
      </c>
      <c r="AR40" s="65">
        <f t="shared" si="15"/>
        <v>0</v>
      </c>
      <c r="AS40" s="65">
        <f t="shared" si="16"/>
        <v>0</v>
      </c>
    </row>
    <row r="41" spans="2:49" s="8" customFormat="1" x14ac:dyDescent="0.25">
      <c r="B41" s="15">
        <v>39</v>
      </c>
      <c r="D41" s="5"/>
      <c r="E41" s="67"/>
      <c r="F41" s="380"/>
      <c r="J41" s="9"/>
      <c r="K41" s="9">
        <f t="shared" si="0"/>
        <v>0</v>
      </c>
      <c r="L41" s="35">
        <f t="shared" si="1"/>
        <v>0</v>
      </c>
      <c r="M41" s="2"/>
      <c r="N41"/>
      <c r="O41" s="19"/>
      <c r="P41" s="19"/>
      <c r="Q41" s="19"/>
      <c r="R41" s="21"/>
      <c r="S41" s="46"/>
      <c r="T41" s="44"/>
      <c r="U41" s="76"/>
      <c r="V41" s="24"/>
      <c r="W41" s="24"/>
      <c r="X41" s="193"/>
      <c r="Y41" s="15"/>
      <c r="AA41">
        <v>7</v>
      </c>
      <c r="AB41" s="487"/>
      <c r="AC41" s="90">
        <v>3</v>
      </c>
      <c r="AD41" s="97" t="s">
        <v>62</v>
      </c>
      <c r="AE41" s="39">
        <f t="shared" si="2"/>
        <v>0</v>
      </c>
      <c r="AF41" s="65">
        <f t="shared" si="3"/>
        <v>0</v>
      </c>
      <c r="AG41" s="65">
        <f t="shared" si="4"/>
        <v>0</v>
      </c>
      <c r="AH41" s="65">
        <f t="shared" si="5"/>
        <v>0</v>
      </c>
      <c r="AI41" s="104">
        <f t="shared" si="6"/>
        <v>0</v>
      </c>
      <c r="AJ41" s="115">
        <f t="shared" si="7"/>
        <v>0</v>
      </c>
      <c r="AK41" s="116">
        <f t="shared" si="8"/>
        <v>0</v>
      </c>
      <c r="AL41" s="116">
        <f t="shared" si="9"/>
        <v>0</v>
      </c>
      <c r="AM41" s="116">
        <f t="shared" si="10"/>
        <v>0</v>
      </c>
      <c r="AN41" s="117">
        <f t="shared" si="11"/>
        <v>0</v>
      </c>
      <c r="AO41" s="39">
        <f t="shared" si="12"/>
        <v>0</v>
      </c>
      <c r="AP41" s="65">
        <f t="shared" si="13"/>
        <v>0</v>
      </c>
      <c r="AQ41" s="65">
        <f t="shared" si="14"/>
        <v>0</v>
      </c>
      <c r="AR41" s="65">
        <f t="shared" si="15"/>
        <v>0</v>
      </c>
      <c r="AS41" s="65">
        <f t="shared" si="16"/>
        <v>0</v>
      </c>
    </row>
    <row r="42" spans="2:49" s="8" customFormat="1" x14ac:dyDescent="0.25">
      <c r="B42" s="15">
        <v>40</v>
      </c>
      <c r="D42" s="5"/>
      <c r="E42" s="67"/>
      <c r="F42" s="380"/>
      <c r="J42" s="9"/>
      <c r="K42" s="9">
        <f t="shared" si="0"/>
        <v>0</v>
      </c>
      <c r="L42" s="35">
        <f t="shared" si="1"/>
        <v>0</v>
      </c>
      <c r="M42" s="2"/>
      <c r="N42"/>
      <c r="O42" s="19"/>
      <c r="P42" s="19"/>
      <c r="Q42" s="19"/>
      <c r="R42" s="21"/>
      <c r="S42" s="46"/>
      <c r="T42" s="44"/>
      <c r="U42" s="76"/>
      <c r="V42" s="24"/>
      <c r="W42" s="24"/>
      <c r="X42" s="193"/>
      <c r="Y42" s="15"/>
      <c r="AA42">
        <v>7</v>
      </c>
      <c r="AB42" s="487"/>
      <c r="AC42" s="90">
        <v>4</v>
      </c>
      <c r="AD42" s="97" t="s">
        <v>63</v>
      </c>
      <c r="AE42" s="39">
        <f t="shared" si="2"/>
        <v>0</v>
      </c>
      <c r="AF42" s="65">
        <f t="shared" si="3"/>
        <v>0</v>
      </c>
      <c r="AG42" s="65">
        <f t="shared" si="4"/>
        <v>0</v>
      </c>
      <c r="AH42" s="65">
        <f t="shared" si="5"/>
        <v>0</v>
      </c>
      <c r="AI42" s="104">
        <f t="shared" si="6"/>
        <v>0</v>
      </c>
      <c r="AJ42" s="115">
        <f t="shared" si="7"/>
        <v>0</v>
      </c>
      <c r="AK42" s="116">
        <f t="shared" si="8"/>
        <v>0</v>
      </c>
      <c r="AL42" s="116">
        <f t="shared" si="9"/>
        <v>0</v>
      </c>
      <c r="AM42" s="116">
        <f t="shared" si="10"/>
        <v>0</v>
      </c>
      <c r="AN42" s="117">
        <f t="shared" si="11"/>
        <v>0</v>
      </c>
      <c r="AO42" s="39">
        <f t="shared" si="12"/>
        <v>0</v>
      </c>
      <c r="AP42" s="65">
        <f t="shared" si="13"/>
        <v>0</v>
      </c>
      <c r="AQ42" s="65">
        <f t="shared" si="14"/>
        <v>0</v>
      </c>
      <c r="AR42" s="65">
        <f t="shared" si="15"/>
        <v>0</v>
      </c>
      <c r="AS42" s="65">
        <f t="shared" si="16"/>
        <v>0</v>
      </c>
    </row>
    <row r="43" spans="2:49" x14ac:dyDescent="0.25">
      <c r="B43" s="15">
        <v>41</v>
      </c>
      <c r="C43" s="8"/>
      <c r="E43" s="67"/>
      <c r="F43" s="380"/>
      <c r="G43" s="8"/>
      <c r="H43" s="8"/>
      <c r="I43" s="8"/>
      <c r="J43" s="9"/>
      <c r="K43" s="9">
        <f t="shared" si="0"/>
        <v>0</v>
      </c>
      <c r="L43" s="35">
        <f t="shared" si="1"/>
        <v>0</v>
      </c>
      <c r="M43" s="2"/>
      <c r="O43" s="19"/>
      <c r="P43" s="19"/>
      <c r="Q43" s="19"/>
      <c r="R43" s="21"/>
      <c r="S43" s="46"/>
      <c r="T43" s="44"/>
      <c r="U43" s="77"/>
      <c r="V43" s="30"/>
      <c r="W43" s="24"/>
      <c r="X43" s="193"/>
      <c r="Y43" s="15"/>
      <c r="AA43">
        <v>7</v>
      </c>
      <c r="AB43" s="487"/>
      <c r="AC43" s="91">
        <v>5</v>
      </c>
      <c r="AD43" s="100" t="s">
        <v>95</v>
      </c>
      <c r="AE43" s="39">
        <f t="shared" si="2"/>
        <v>0</v>
      </c>
      <c r="AF43" s="65">
        <f t="shared" si="3"/>
        <v>0</v>
      </c>
      <c r="AG43" s="65">
        <f t="shared" si="4"/>
        <v>0</v>
      </c>
      <c r="AH43" s="65">
        <f t="shared" si="5"/>
        <v>0</v>
      </c>
      <c r="AI43" s="104">
        <f t="shared" si="6"/>
        <v>0</v>
      </c>
      <c r="AJ43" s="115">
        <f t="shared" si="7"/>
        <v>0</v>
      </c>
      <c r="AK43" s="116">
        <f t="shared" si="8"/>
        <v>0</v>
      </c>
      <c r="AL43" s="116">
        <f t="shared" si="9"/>
        <v>0</v>
      </c>
      <c r="AM43" s="116">
        <f t="shared" si="10"/>
        <v>0</v>
      </c>
      <c r="AN43" s="117">
        <f t="shared" si="11"/>
        <v>0</v>
      </c>
      <c r="AO43" s="39">
        <f t="shared" si="12"/>
        <v>0</v>
      </c>
      <c r="AP43" s="65">
        <f t="shared" si="13"/>
        <v>0</v>
      </c>
      <c r="AQ43" s="65">
        <f t="shared" si="14"/>
        <v>0</v>
      </c>
      <c r="AR43" s="65">
        <f t="shared" si="15"/>
        <v>0</v>
      </c>
      <c r="AS43" s="65">
        <f t="shared" si="16"/>
        <v>0</v>
      </c>
    </row>
    <row r="44" spans="2:49" ht="14.25" thickBot="1" x14ac:dyDescent="0.3">
      <c r="B44" s="15">
        <v>42</v>
      </c>
      <c r="C44" s="8"/>
      <c r="E44" s="67"/>
      <c r="F44" s="380"/>
      <c r="G44" s="8"/>
      <c r="H44" s="8"/>
      <c r="I44" s="8"/>
      <c r="J44" s="9"/>
      <c r="K44" s="9">
        <f t="shared" si="0"/>
        <v>0</v>
      </c>
      <c r="L44" s="35">
        <f t="shared" si="1"/>
        <v>0</v>
      </c>
      <c r="M44" s="2"/>
      <c r="O44" s="19"/>
      <c r="P44" s="19"/>
      <c r="Q44" s="19"/>
      <c r="R44" s="21"/>
      <c r="S44" s="46"/>
      <c r="T44" s="44"/>
      <c r="U44" s="77"/>
      <c r="V44" s="30"/>
      <c r="W44" s="24"/>
      <c r="X44" s="193"/>
      <c r="Y44" s="15"/>
      <c r="AA44">
        <v>7</v>
      </c>
      <c r="AB44" s="488"/>
      <c r="AC44" s="92" t="s">
        <v>3</v>
      </c>
      <c r="AD44" s="101"/>
      <c r="AE44" s="94">
        <f t="shared" ref="AE44:AS44" si="27">SUM(AE39:AE43)</f>
        <v>0</v>
      </c>
      <c r="AF44" s="94">
        <f t="shared" si="27"/>
        <v>0</v>
      </c>
      <c r="AG44" s="94">
        <f t="shared" si="27"/>
        <v>0</v>
      </c>
      <c r="AH44" s="94">
        <f t="shared" si="27"/>
        <v>0</v>
      </c>
      <c r="AI44" s="105">
        <f t="shared" si="27"/>
        <v>0</v>
      </c>
      <c r="AJ44" s="118">
        <f t="shared" si="27"/>
        <v>0</v>
      </c>
      <c r="AK44" s="119">
        <f t="shared" si="27"/>
        <v>0</v>
      </c>
      <c r="AL44" s="119">
        <f t="shared" si="27"/>
        <v>0</v>
      </c>
      <c r="AM44" s="119">
        <f t="shared" si="27"/>
        <v>0</v>
      </c>
      <c r="AN44" s="120">
        <f t="shared" si="27"/>
        <v>0</v>
      </c>
      <c r="AO44" s="94">
        <f t="shared" si="27"/>
        <v>0</v>
      </c>
      <c r="AP44" s="94">
        <f t="shared" si="27"/>
        <v>0</v>
      </c>
      <c r="AQ44" s="94">
        <f t="shared" si="27"/>
        <v>0</v>
      </c>
      <c r="AR44" s="94">
        <f t="shared" si="27"/>
        <v>0</v>
      </c>
      <c r="AS44" s="94">
        <f t="shared" si="27"/>
        <v>0</v>
      </c>
    </row>
    <row r="45" spans="2:49" x14ac:dyDescent="0.25">
      <c r="B45" s="15">
        <v>43</v>
      </c>
      <c r="C45" s="8"/>
      <c r="E45" s="67"/>
      <c r="F45" s="380"/>
      <c r="G45" s="8"/>
      <c r="H45" s="8"/>
      <c r="I45" s="8"/>
      <c r="J45" s="9"/>
      <c r="K45" s="9">
        <f t="shared" si="0"/>
        <v>0</v>
      </c>
      <c r="L45" s="35">
        <f t="shared" si="1"/>
        <v>0</v>
      </c>
      <c r="M45" s="2"/>
      <c r="O45" s="19"/>
      <c r="P45" s="19"/>
      <c r="Q45" s="19"/>
      <c r="R45" s="21"/>
      <c r="S45" s="46"/>
      <c r="T45" s="44"/>
      <c r="U45" s="77"/>
      <c r="V45" s="30"/>
      <c r="W45" s="24"/>
      <c r="X45" s="193"/>
      <c r="Y45" s="15"/>
      <c r="AA45">
        <v>8</v>
      </c>
      <c r="AB45" s="486">
        <v>8</v>
      </c>
      <c r="AC45" s="89">
        <v>1</v>
      </c>
      <c r="AD45" s="95" t="s">
        <v>96</v>
      </c>
      <c r="AE45" s="39">
        <f t="shared" si="2"/>
        <v>0</v>
      </c>
      <c r="AF45" s="65">
        <f t="shared" si="3"/>
        <v>0</v>
      </c>
      <c r="AG45" s="65">
        <f t="shared" si="4"/>
        <v>0</v>
      </c>
      <c r="AH45" s="65">
        <f t="shared" si="5"/>
        <v>0</v>
      </c>
      <c r="AI45" s="104">
        <f t="shared" si="6"/>
        <v>0</v>
      </c>
      <c r="AJ45" s="115">
        <f t="shared" si="7"/>
        <v>0</v>
      </c>
      <c r="AK45" s="116">
        <f t="shared" si="8"/>
        <v>0</v>
      </c>
      <c r="AL45" s="116">
        <f t="shared" si="9"/>
        <v>0</v>
      </c>
      <c r="AM45" s="116">
        <f t="shared" si="10"/>
        <v>0</v>
      </c>
      <c r="AN45" s="117">
        <f t="shared" si="11"/>
        <v>0</v>
      </c>
      <c r="AO45" s="39">
        <f t="shared" si="12"/>
        <v>0</v>
      </c>
      <c r="AP45" s="65">
        <f t="shared" si="13"/>
        <v>0</v>
      </c>
      <c r="AQ45" s="65">
        <f t="shared" si="14"/>
        <v>0</v>
      </c>
      <c r="AR45" s="65">
        <f t="shared" si="15"/>
        <v>0</v>
      </c>
      <c r="AS45" s="65">
        <f t="shared" si="16"/>
        <v>0</v>
      </c>
    </row>
    <row r="46" spans="2:49" x14ac:dyDescent="0.25">
      <c r="B46" s="15">
        <v>44</v>
      </c>
      <c r="C46" s="8"/>
      <c r="E46" s="67"/>
      <c r="F46" s="380"/>
      <c r="G46" s="8"/>
      <c r="H46" s="8"/>
      <c r="I46" s="8"/>
      <c r="J46" s="9"/>
      <c r="K46" s="9">
        <f t="shared" si="0"/>
        <v>0</v>
      </c>
      <c r="L46" s="35">
        <f t="shared" si="1"/>
        <v>0</v>
      </c>
      <c r="M46" s="2"/>
      <c r="O46" s="19"/>
      <c r="P46" s="19"/>
      <c r="Q46" s="19"/>
      <c r="R46" s="21"/>
      <c r="S46" s="46"/>
      <c r="T46" s="44"/>
      <c r="U46" s="77"/>
      <c r="V46" s="24"/>
      <c r="W46" s="24"/>
      <c r="X46" s="193"/>
      <c r="Y46" s="15"/>
      <c r="AA46">
        <v>8</v>
      </c>
      <c r="AB46" s="487"/>
      <c r="AC46" s="90">
        <v>2</v>
      </c>
      <c r="AD46" s="97" t="s">
        <v>97</v>
      </c>
      <c r="AE46" s="39">
        <f t="shared" si="2"/>
        <v>0</v>
      </c>
      <c r="AF46" s="65">
        <f t="shared" si="3"/>
        <v>0</v>
      </c>
      <c r="AG46" s="65">
        <f t="shared" si="4"/>
        <v>0</v>
      </c>
      <c r="AH46" s="65">
        <f t="shared" si="5"/>
        <v>0</v>
      </c>
      <c r="AI46" s="104">
        <f t="shared" si="6"/>
        <v>0</v>
      </c>
      <c r="AJ46" s="115">
        <f t="shared" si="7"/>
        <v>0</v>
      </c>
      <c r="AK46" s="116">
        <f t="shared" si="8"/>
        <v>0</v>
      </c>
      <c r="AL46" s="116">
        <f t="shared" si="9"/>
        <v>0</v>
      </c>
      <c r="AM46" s="116">
        <f t="shared" si="10"/>
        <v>0</v>
      </c>
      <c r="AN46" s="117">
        <f t="shared" si="11"/>
        <v>0</v>
      </c>
      <c r="AO46" s="39">
        <f t="shared" si="12"/>
        <v>0</v>
      </c>
      <c r="AP46" s="65">
        <f t="shared" si="13"/>
        <v>0</v>
      </c>
      <c r="AQ46" s="65">
        <f t="shared" si="14"/>
        <v>0</v>
      </c>
      <c r="AR46" s="65">
        <f t="shared" si="15"/>
        <v>0</v>
      </c>
      <c r="AS46" s="65">
        <f t="shared" si="16"/>
        <v>0</v>
      </c>
    </row>
    <row r="47" spans="2:49" x14ac:dyDescent="0.25">
      <c r="B47" s="15">
        <v>45</v>
      </c>
      <c r="C47" s="8"/>
      <c r="E47" s="67"/>
      <c r="F47" s="380"/>
      <c r="G47" s="8"/>
      <c r="H47" s="8"/>
      <c r="I47" s="8"/>
      <c r="J47" s="9"/>
      <c r="K47" s="9">
        <f t="shared" si="0"/>
        <v>0</v>
      </c>
      <c r="L47" s="35">
        <f t="shared" si="1"/>
        <v>0</v>
      </c>
      <c r="M47" s="2"/>
      <c r="O47" s="19"/>
      <c r="P47" s="19"/>
      <c r="Q47" s="19"/>
      <c r="R47" s="21"/>
      <c r="S47" s="46"/>
      <c r="T47" s="44"/>
      <c r="U47" s="77"/>
      <c r="V47" s="24"/>
      <c r="W47" s="24"/>
      <c r="X47" s="193"/>
      <c r="Y47" s="15"/>
      <c r="AA47">
        <v>8</v>
      </c>
      <c r="AB47" s="487"/>
      <c r="AC47" s="90">
        <v>3</v>
      </c>
      <c r="AD47" s="97" t="s">
        <v>98</v>
      </c>
      <c r="AE47" s="39">
        <f t="shared" si="2"/>
        <v>0</v>
      </c>
      <c r="AF47" s="65">
        <f t="shared" si="3"/>
        <v>0</v>
      </c>
      <c r="AG47" s="65">
        <f t="shared" si="4"/>
        <v>0</v>
      </c>
      <c r="AH47" s="65">
        <f t="shared" si="5"/>
        <v>0</v>
      </c>
      <c r="AI47" s="104">
        <f t="shared" si="6"/>
        <v>0</v>
      </c>
      <c r="AJ47" s="115">
        <f t="shared" si="7"/>
        <v>0</v>
      </c>
      <c r="AK47" s="116">
        <f t="shared" si="8"/>
        <v>0</v>
      </c>
      <c r="AL47" s="116">
        <f t="shared" si="9"/>
        <v>0</v>
      </c>
      <c r="AM47" s="116">
        <f t="shared" si="10"/>
        <v>0</v>
      </c>
      <c r="AN47" s="117">
        <f t="shared" si="11"/>
        <v>0</v>
      </c>
      <c r="AO47" s="39">
        <f t="shared" si="12"/>
        <v>0</v>
      </c>
      <c r="AP47" s="65">
        <f t="shared" si="13"/>
        <v>0</v>
      </c>
      <c r="AQ47" s="65">
        <f t="shared" si="14"/>
        <v>0</v>
      </c>
      <c r="AR47" s="65">
        <f t="shared" si="15"/>
        <v>0</v>
      </c>
      <c r="AS47" s="65">
        <f t="shared" si="16"/>
        <v>0</v>
      </c>
    </row>
    <row r="48" spans="2:49" x14ac:dyDescent="0.25">
      <c r="B48" s="15">
        <v>46</v>
      </c>
      <c r="C48" s="8"/>
      <c r="E48" s="67"/>
      <c r="F48" s="380"/>
      <c r="G48" s="8"/>
      <c r="H48" s="8"/>
      <c r="I48" s="8"/>
      <c r="J48" s="9"/>
      <c r="K48" s="9">
        <f t="shared" si="0"/>
        <v>0</v>
      </c>
      <c r="L48" s="35">
        <f t="shared" si="1"/>
        <v>0</v>
      </c>
      <c r="M48" s="2"/>
      <c r="O48" s="19"/>
      <c r="P48" s="19"/>
      <c r="Q48" s="19"/>
      <c r="R48" s="21"/>
      <c r="S48" s="46"/>
      <c r="T48" s="44"/>
      <c r="U48" s="77"/>
      <c r="V48" s="24"/>
      <c r="W48" s="24"/>
      <c r="X48" s="193"/>
      <c r="Y48" s="15"/>
      <c r="AA48">
        <v>8</v>
      </c>
      <c r="AB48" s="487"/>
      <c r="AC48" s="90">
        <v>4</v>
      </c>
      <c r="AD48" s="97" t="s">
        <v>99</v>
      </c>
      <c r="AE48" s="39">
        <f t="shared" si="2"/>
        <v>0</v>
      </c>
      <c r="AF48" s="65">
        <f t="shared" si="3"/>
        <v>0</v>
      </c>
      <c r="AG48" s="65">
        <f t="shared" si="4"/>
        <v>0</v>
      </c>
      <c r="AH48" s="65">
        <f t="shared" si="5"/>
        <v>0</v>
      </c>
      <c r="AI48" s="104">
        <f t="shared" si="6"/>
        <v>0</v>
      </c>
      <c r="AJ48" s="115">
        <f t="shared" si="7"/>
        <v>0</v>
      </c>
      <c r="AK48" s="116">
        <f t="shared" si="8"/>
        <v>0</v>
      </c>
      <c r="AL48" s="116">
        <f t="shared" si="9"/>
        <v>0</v>
      </c>
      <c r="AM48" s="116">
        <f t="shared" si="10"/>
        <v>0</v>
      </c>
      <c r="AN48" s="117">
        <f t="shared" si="11"/>
        <v>0</v>
      </c>
      <c r="AO48" s="39">
        <f t="shared" si="12"/>
        <v>0</v>
      </c>
      <c r="AP48" s="65">
        <f t="shared" si="13"/>
        <v>0</v>
      </c>
      <c r="AQ48" s="65">
        <f t="shared" si="14"/>
        <v>0</v>
      </c>
      <c r="AR48" s="65">
        <f t="shared" si="15"/>
        <v>0</v>
      </c>
      <c r="AS48" s="65">
        <f t="shared" si="16"/>
        <v>0</v>
      </c>
    </row>
    <row r="49" spans="2:45" x14ac:dyDescent="0.25">
      <c r="B49" s="15">
        <v>47</v>
      </c>
      <c r="C49" s="8"/>
      <c r="E49" s="67"/>
      <c r="F49" s="380"/>
      <c r="G49" s="8"/>
      <c r="H49" s="8"/>
      <c r="I49" s="8"/>
      <c r="K49" s="9">
        <f t="shared" si="0"/>
        <v>0</v>
      </c>
      <c r="L49" s="35">
        <f t="shared" si="1"/>
        <v>0</v>
      </c>
      <c r="M49" s="2"/>
      <c r="O49" s="19"/>
      <c r="P49" s="19"/>
      <c r="Q49" s="19"/>
      <c r="R49" s="21"/>
      <c r="S49" s="46"/>
      <c r="T49" s="44"/>
      <c r="U49" s="77"/>
      <c r="V49" s="30"/>
      <c r="W49" s="24"/>
      <c r="X49" s="193"/>
      <c r="Y49" s="15"/>
      <c r="AA49">
        <v>8</v>
      </c>
      <c r="AB49" s="487"/>
      <c r="AC49" s="91">
        <v>5</v>
      </c>
      <c r="AD49" s="100"/>
      <c r="AE49" s="39">
        <f t="shared" si="2"/>
        <v>0</v>
      </c>
      <c r="AF49" s="65">
        <f t="shared" si="3"/>
        <v>0</v>
      </c>
      <c r="AG49" s="65">
        <f t="shared" si="4"/>
        <v>0</v>
      </c>
      <c r="AH49" s="65">
        <f t="shared" si="5"/>
        <v>0</v>
      </c>
      <c r="AI49" s="104">
        <f t="shared" si="6"/>
        <v>0</v>
      </c>
      <c r="AJ49" s="115">
        <f t="shared" si="7"/>
        <v>0</v>
      </c>
      <c r="AK49" s="116">
        <f t="shared" si="8"/>
        <v>0</v>
      </c>
      <c r="AL49" s="116">
        <f t="shared" si="9"/>
        <v>0</v>
      </c>
      <c r="AM49" s="116">
        <f t="shared" si="10"/>
        <v>0</v>
      </c>
      <c r="AN49" s="117">
        <f t="shared" si="11"/>
        <v>0</v>
      </c>
      <c r="AO49" s="39">
        <f t="shared" si="12"/>
        <v>0</v>
      </c>
      <c r="AP49" s="65">
        <f t="shared" si="13"/>
        <v>0</v>
      </c>
      <c r="AQ49" s="65">
        <f t="shared" si="14"/>
        <v>0</v>
      </c>
      <c r="AR49" s="65">
        <f t="shared" si="15"/>
        <v>0</v>
      </c>
      <c r="AS49" s="65">
        <f t="shared" si="16"/>
        <v>0</v>
      </c>
    </row>
    <row r="50" spans="2:45" ht="14.25" thickBot="1" x14ac:dyDescent="0.3">
      <c r="B50" s="15">
        <v>48</v>
      </c>
      <c r="C50" s="8"/>
      <c r="E50" s="67"/>
      <c r="F50" s="380"/>
      <c r="G50" s="8"/>
      <c r="H50" s="8"/>
      <c r="I50" s="8"/>
      <c r="J50" s="9"/>
      <c r="K50" s="9">
        <f t="shared" si="0"/>
        <v>0</v>
      </c>
      <c r="L50" s="35">
        <f t="shared" si="1"/>
        <v>0</v>
      </c>
      <c r="M50" s="2"/>
      <c r="O50" s="19"/>
      <c r="P50" s="19"/>
      <c r="Q50" s="19"/>
      <c r="R50" s="21"/>
      <c r="S50" s="46"/>
      <c r="T50" s="44"/>
      <c r="U50" s="77"/>
      <c r="V50" s="30"/>
      <c r="W50" s="24"/>
      <c r="X50" s="193"/>
      <c r="Y50" s="15"/>
      <c r="AA50">
        <v>8</v>
      </c>
      <c r="AB50" s="488"/>
      <c r="AC50" s="92" t="s">
        <v>3</v>
      </c>
      <c r="AD50" s="101"/>
      <c r="AE50" s="94">
        <f t="shared" ref="AE50:AS50" si="28">SUM(AE45:AE49)</f>
        <v>0</v>
      </c>
      <c r="AF50" s="94">
        <f t="shared" si="28"/>
        <v>0</v>
      </c>
      <c r="AG50" s="94">
        <f t="shared" si="28"/>
        <v>0</v>
      </c>
      <c r="AH50" s="94">
        <f t="shared" si="28"/>
        <v>0</v>
      </c>
      <c r="AI50" s="105">
        <f t="shared" si="28"/>
        <v>0</v>
      </c>
      <c r="AJ50" s="118">
        <f t="shared" si="28"/>
        <v>0</v>
      </c>
      <c r="AK50" s="119">
        <f t="shared" si="28"/>
        <v>0</v>
      </c>
      <c r="AL50" s="119">
        <f t="shared" si="28"/>
        <v>0</v>
      </c>
      <c r="AM50" s="119">
        <f t="shared" si="28"/>
        <v>0</v>
      </c>
      <c r="AN50" s="120">
        <f t="shared" si="28"/>
        <v>0</v>
      </c>
      <c r="AO50" s="94">
        <f t="shared" si="28"/>
        <v>0</v>
      </c>
      <c r="AP50" s="94">
        <f t="shared" si="28"/>
        <v>0</v>
      </c>
      <c r="AQ50" s="94">
        <f t="shared" si="28"/>
        <v>0</v>
      </c>
      <c r="AR50" s="94">
        <f t="shared" si="28"/>
        <v>0</v>
      </c>
      <c r="AS50" s="94">
        <f t="shared" si="28"/>
        <v>0</v>
      </c>
    </row>
    <row r="51" spans="2:45" x14ac:dyDescent="0.25">
      <c r="B51" s="15">
        <v>49</v>
      </c>
      <c r="C51" s="8"/>
      <c r="E51" s="67"/>
      <c r="F51" s="380"/>
      <c r="G51" s="8"/>
      <c r="H51" s="8"/>
      <c r="I51" s="8"/>
      <c r="J51" s="9"/>
      <c r="K51" s="9">
        <f t="shared" si="0"/>
        <v>0</v>
      </c>
      <c r="L51" s="35">
        <f t="shared" si="1"/>
        <v>0</v>
      </c>
      <c r="M51" s="2"/>
      <c r="O51" s="19"/>
      <c r="P51" s="19"/>
      <c r="Q51" s="19"/>
      <c r="R51" s="21"/>
      <c r="S51" s="46"/>
      <c r="T51" s="44"/>
      <c r="U51" s="77"/>
      <c r="V51" s="30"/>
      <c r="W51" s="24"/>
      <c r="X51" s="193"/>
      <c r="Y51" s="15"/>
      <c r="AA51">
        <v>9</v>
      </c>
      <c r="AB51" s="486">
        <v>9</v>
      </c>
      <c r="AC51" s="89">
        <v>1</v>
      </c>
      <c r="AD51" s="95" t="s">
        <v>100</v>
      </c>
      <c r="AE51" s="39">
        <f t="shared" si="2"/>
        <v>0</v>
      </c>
      <c r="AF51" s="65">
        <f t="shared" si="3"/>
        <v>0</v>
      </c>
      <c r="AG51" s="65">
        <f t="shared" si="4"/>
        <v>0</v>
      </c>
      <c r="AH51" s="65">
        <f t="shared" si="5"/>
        <v>0</v>
      </c>
      <c r="AI51" s="104">
        <f t="shared" si="6"/>
        <v>0</v>
      </c>
      <c r="AJ51" s="115">
        <f t="shared" si="7"/>
        <v>0</v>
      </c>
      <c r="AK51" s="116">
        <f t="shared" si="8"/>
        <v>0</v>
      </c>
      <c r="AL51" s="116">
        <f t="shared" si="9"/>
        <v>0</v>
      </c>
      <c r="AM51" s="116">
        <f t="shared" si="10"/>
        <v>0</v>
      </c>
      <c r="AN51" s="117">
        <f t="shared" si="11"/>
        <v>0</v>
      </c>
      <c r="AO51" s="39">
        <f t="shared" si="12"/>
        <v>0</v>
      </c>
      <c r="AP51" s="65">
        <f t="shared" si="13"/>
        <v>0</v>
      </c>
      <c r="AQ51" s="65">
        <f t="shared" si="14"/>
        <v>0</v>
      </c>
      <c r="AR51" s="65">
        <f t="shared" si="15"/>
        <v>0</v>
      </c>
      <c r="AS51" s="65">
        <f t="shared" si="16"/>
        <v>0</v>
      </c>
    </row>
    <row r="52" spans="2:45" x14ac:dyDescent="0.25">
      <c r="B52" s="15">
        <v>50</v>
      </c>
      <c r="C52" s="8"/>
      <c r="E52" s="67"/>
      <c r="F52" s="380"/>
      <c r="G52" s="8"/>
      <c r="H52" s="8"/>
      <c r="I52" s="8"/>
      <c r="J52" s="9"/>
      <c r="K52" s="9">
        <f t="shared" si="0"/>
        <v>0</v>
      </c>
      <c r="L52" s="35">
        <f t="shared" si="1"/>
        <v>0</v>
      </c>
      <c r="M52" s="2"/>
      <c r="O52" s="19"/>
      <c r="P52" s="19"/>
      <c r="Q52" s="19"/>
      <c r="R52" s="21"/>
      <c r="S52" s="46"/>
      <c r="T52" s="44"/>
      <c r="U52" s="77"/>
      <c r="V52" s="30"/>
      <c r="W52" s="24"/>
      <c r="X52" s="193"/>
      <c r="Y52" s="15"/>
      <c r="AA52">
        <v>9</v>
      </c>
      <c r="AB52" s="487"/>
      <c r="AC52" s="90">
        <v>2</v>
      </c>
      <c r="AD52" s="97" t="s">
        <v>101</v>
      </c>
      <c r="AE52" s="39">
        <f t="shared" si="2"/>
        <v>0</v>
      </c>
      <c r="AF52" s="65">
        <f t="shared" si="3"/>
        <v>0</v>
      </c>
      <c r="AG52" s="65">
        <f t="shared" si="4"/>
        <v>0</v>
      </c>
      <c r="AH52" s="65">
        <f t="shared" si="5"/>
        <v>0</v>
      </c>
      <c r="AI52" s="104">
        <f t="shared" si="6"/>
        <v>0</v>
      </c>
      <c r="AJ52" s="115">
        <f t="shared" si="7"/>
        <v>0</v>
      </c>
      <c r="AK52" s="116">
        <f t="shared" si="8"/>
        <v>0</v>
      </c>
      <c r="AL52" s="116">
        <f t="shared" si="9"/>
        <v>0</v>
      </c>
      <c r="AM52" s="116">
        <f t="shared" si="10"/>
        <v>0</v>
      </c>
      <c r="AN52" s="117">
        <f t="shared" si="11"/>
        <v>0</v>
      </c>
      <c r="AO52" s="39">
        <f t="shared" si="12"/>
        <v>0</v>
      </c>
      <c r="AP52" s="65">
        <f t="shared" si="13"/>
        <v>0</v>
      </c>
      <c r="AQ52" s="65">
        <f t="shared" si="14"/>
        <v>0</v>
      </c>
      <c r="AR52" s="65">
        <f t="shared" si="15"/>
        <v>0</v>
      </c>
      <c r="AS52" s="65">
        <f t="shared" si="16"/>
        <v>0</v>
      </c>
    </row>
    <row r="53" spans="2:45" x14ac:dyDescent="0.25">
      <c r="B53" s="15">
        <v>51</v>
      </c>
      <c r="C53" s="8"/>
      <c r="E53" s="67"/>
      <c r="F53" s="380"/>
      <c r="G53" s="8"/>
      <c r="H53" s="8"/>
      <c r="I53" s="8"/>
      <c r="J53" s="9"/>
      <c r="K53" s="9">
        <f t="shared" si="0"/>
        <v>0</v>
      </c>
      <c r="L53" s="35">
        <f t="shared" si="1"/>
        <v>0</v>
      </c>
      <c r="M53" s="2"/>
      <c r="O53" s="19"/>
      <c r="P53" s="19"/>
      <c r="Q53" s="19"/>
      <c r="R53" s="21"/>
      <c r="S53" s="46"/>
      <c r="T53" s="44"/>
      <c r="U53" s="77"/>
      <c r="V53" s="30"/>
      <c r="W53" s="24"/>
      <c r="X53" s="193"/>
      <c r="Y53" s="15"/>
      <c r="AA53">
        <v>9</v>
      </c>
      <c r="AB53" s="487"/>
      <c r="AC53" s="90">
        <v>3</v>
      </c>
      <c r="AD53" s="97" t="s">
        <v>102</v>
      </c>
      <c r="AE53" s="39">
        <f t="shared" si="2"/>
        <v>0</v>
      </c>
      <c r="AF53" s="65">
        <f t="shared" si="3"/>
        <v>0</v>
      </c>
      <c r="AG53" s="65">
        <f t="shared" si="4"/>
        <v>0</v>
      </c>
      <c r="AH53" s="65">
        <f t="shared" si="5"/>
        <v>0</v>
      </c>
      <c r="AI53" s="104">
        <f t="shared" si="6"/>
        <v>0</v>
      </c>
      <c r="AJ53" s="115">
        <f t="shared" si="7"/>
        <v>0</v>
      </c>
      <c r="AK53" s="116">
        <f t="shared" si="8"/>
        <v>0</v>
      </c>
      <c r="AL53" s="116">
        <f t="shared" si="9"/>
        <v>0</v>
      </c>
      <c r="AM53" s="116">
        <f t="shared" si="10"/>
        <v>0</v>
      </c>
      <c r="AN53" s="117">
        <f t="shared" si="11"/>
        <v>0</v>
      </c>
      <c r="AO53" s="39">
        <f t="shared" si="12"/>
        <v>0</v>
      </c>
      <c r="AP53" s="65">
        <f t="shared" si="13"/>
        <v>0</v>
      </c>
      <c r="AQ53" s="65">
        <f t="shared" si="14"/>
        <v>0</v>
      </c>
      <c r="AR53" s="65">
        <f t="shared" si="15"/>
        <v>0</v>
      </c>
      <c r="AS53" s="65">
        <f t="shared" si="16"/>
        <v>0</v>
      </c>
    </row>
    <row r="54" spans="2:45" x14ac:dyDescent="0.25">
      <c r="B54" s="15">
        <v>52</v>
      </c>
      <c r="C54" s="8"/>
      <c r="E54" s="67"/>
      <c r="F54" s="380"/>
      <c r="G54" s="8"/>
      <c r="H54" s="8"/>
      <c r="I54" s="8"/>
      <c r="J54" s="9"/>
      <c r="K54" s="9">
        <f t="shared" si="0"/>
        <v>0</v>
      </c>
      <c r="L54" s="35">
        <f t="shared" si="1"/>
        <v>0</v>
      </c>
      <c r="M54" s="2"/>
      <c r="O54" s="19"/>
      <c r="P54" s="19"/>
      <c r="Q54" s="19"/>
      <c r="R54" s="21"/>
      <c r="S54" s="46"/>
      <c r="T54" s="44"/>
      <c r="U54" s="77"/>
      <c r="V54" s="30"/>
      <c r="W54" s="24"/>
      <c r="X54" s="193"/>
      <c r="Y54" s="15"/>
      <c r="AA54">
        <v>9</v>
      </c>
      <c r="AB54" s="487"/>
      <c r="AC54" s="90">
        <v>4</v>
      </c>
      <c r="AD54" s="97" t="s">
        <v>103</v>
      </c>
      <c r="AE54" s="39">
        <f t="shared" si="2"/>
        <v>0</v>
      </c>
      <c r="AF54" s="65">
        <f t="shared" si="3"/>
        <v>0</v>
      </c>
      <c r="AG54" s="65">
        <f t="shared" si="4"/>
        <v>0</v>
      </c>
      <c r="AH54" s="65">
        <f t="shared" si="5"/>
        <v>0</v>
      </c>
      <c r="AI54" s="104">
        <f t="shared" si="6"/>
        <v>0</v>
      </c>
      <c r="AJ54" s="115">
        <f t="shared" si="7"/>
        <v>0</v>
      </c>
      <c r="AK54" s="116">
        <f t="shared" si="8"/>
        <v>0</v>
      </c>
      <c r="AL54" s="116">
        <f t="shared" si="9"/>
        <v>0</v>
      </c>
      <c r="AM54" s="116">
        <f t="shared" si="10"/>
        <v>0</v>
      </c>
      <c r="AN54" s="117">
        <f t="shared" si="11"/>
        <v>0</v>
      </c>
      <c r="AO54" s="39">
        <f t="shared" si="12"/>
        <v>0</v>
      </c>
      <c r="AP54" s="65">
        <f t="shared" si="13"/>
        <v>0</v>
      </c>
      <c r="AQ54" s="65">
        <f t="shared" si="14"/>
        <v>0</v>
      </c>
      <c r="AR54" s="65">
        <f t="shared" si="15"/>
        <v>0</v>
      </c>
      <c r="AS54" s="65">
        <f t="shared" si="16"/>
        <v>0</v>
      </c>
    </row>
    <row r="55" spans="2:45" x14ac:dyDescent="0.25">
      <c r="B55" s="15">
        <v>53</v>
      </c>
      <c r="C55" s="8"/>
      <c r="E55" s="67"/>
      <c r="F55" s="380"/>
      <c r="G55" s="8"/>
      <c r="H55" s="8"/>
      <c r="I55" s="8"/>
      <c r="J55" s="9"/>
      <c r="K55" s="9">
        <f t="shared" si="0"/>
        <v>0</v>
      </c>
      <c r="L55" s="35">
        <f t="shared" si="1"/>
        <v>0</v>
      </c>
      <c r="M55" s="2"/>
      <c r="O55" s="19"/>
      <c r="P55" s="19"/>
      <c r="Q55" s="19"/>
      <c r="R55" s="21"/>
      <c r="S55" s="46"/>
      <c r="T55" s="44"/>
      <c r="U55" s="77"/>
      <c r="V55" s="24"/>
      <c r="W55" s="24"/>
      <c r="X55" s="193"/>
      <c r="Y55" s="15"/>
      <c r="AA55">
        <v>9</v>
      </c>
      <c r="AB55" s="487"/>
      <c r="AC55" s="91">
        <v>5</v>
      </c>
      <c r="AD55" s="100"/>
      <c r="AE55" s="39">
        <f t="shared" si="2"/>
        <v>0</v>
      </c>
      <c r="AF55" s="65">
        <f t="shared" si="3"/>
        <v>0</v>
      </c>
      <c r="AG55" s="65">
        <f t="shared" si="4"/>
        <v>0</v>
      </c>
      <c r="AH55" s="65">
        <f t="shared" si="5"/>
        <v>0</v>
      </c>
      <c r="AI55" s="104">
        <f t="shared" si="6"/>
        <v>0</v>
      </c>
      <c r="AJ55" s="115">
        <f t="shared" si="7"/>
        <v>0</v>
      </c>
      <c r="AK55" s="116">
        <f t="shared" si="8"/>
        <v>0</v>
      </c>
      <c r="AL55" s="116">
        <f t="shared" si="9"/>
        <v>0</v>
      </c>
      <c r="AM55" s="116">
        <f t="shared" si="10"/>
        <v>0</v>
      </c>
      <c r="AN55" s="117">
        <f t="shared" si="11"/>
        <v>0</v>
      </c>
      <c r="AO55" s="39">
        <f t="shared" si="12"/>
        <v>0</v>
      </c>
      <c r="AP55" s="65">
        <f t="shared" si="13"/>
        <v>0</v>
      </c>
      <c r="AQ55" s="65">
        <f t="shared" si="14"/>
        <v>0</v>
      </c>
      <c r="AR55" s="65">
        <f t="shared" si="15"/>
        <v>0</v>
      </c>
      <c r="AS55" s="65">
        <f t="shared" si="16"/>
        <v>0</v>
      </c>
    </row>
    <row r="56" spans="2:45" ht="14.25" thickBot="1" x14ac:dyDescent="0.3">
      <c r="B56" s="15">
        <v>54</v>
      </c>
      <c r="C56" s="8"/>
      <c r="E56" s="67"/>
      <c r="F56" s="380"/>
      <c r="G56" s="8"/>
      <c r="H56" s="8"/>
      <c r="I56" s="8"/>
      <c r="J56" s="9"/>
      <c r="K56" s="9">
        <f t="shared" si="0"/>
        <v>0</v>
      </c>
      <c r="L56" s="35">
        <f t="shared" si="1"/>
        <v>0</v>
      </c>
      <c r="O56" s="19"/>
      <c r="P56" s="19"/>
      <c r="Q56" s="19"/>
      <c r="R56" s="21"/>
      <c r="S56" s="46"/>
      <c r="T56" s="44"/>
      <c r="U56" s="76"/>
      <c r="V56" s="24"/>
      <c r="W56" s="24"/>
      <c r="X56" s="193"/>
      <c r="Y56" s="15"/>
      <c r="AA56">
        <v>9</v>
      </c>
      <c r="AB56" s="488"/>
      <c r="AC56" s="92" t="s">
        <v>3</v>
      </c>
      <c r="AD56" s="101"/>
      <c r="AE56" s="94">
        <f t="shared" ref="AE56:AS56" si="29">SUM(AE51:AE55)</f>
        <v>0</v>
      </c>
      <c r="AF56" s="94">
        <f t="shared" si="29"/>
        <v>0</v>
      </c>
      <c r="AG56" s="94">
        <f t="shared" si="29"/>
        <v>0</v>
      </c>
      <c r="AH56" s="94">
        <f t="shared" si="29"/>
        <v>0</v>
      </c>
      <c r="AI56" s="105">
        <f t="shared" si="29"/>
        <v>0</v>
      </c>
      <c r="AJ56" s="118">
        <f t="shared" si="29"/>
        <v>0</v>
      </c>
      <c r="AK56" s="119">
        <f t="shared" si="29"/>
        <v>0</v>
      </c>
      <c r="AL56" s="119">
        <f t="shared" si="29"/>
        <v>0</v>
      </c>
      <c r="AM56" s="119">
        <f t="shared" si="29"/>
        <v>0</v>
      </c>
      <c r="AN56" s="120">
        <f t="shared" si="29"/>
        <v>0</v>
      </c>
      <c r="AO56" s="94">
        <f t="shared" si="29"/>
        <v>0</v>
      </c>
      <c r="AP56" s="94">
        <f t="shared" si="29"/>
        <v>0</v>
      </c>
      <c r="AQ56" s="94">
        <f t="shared" si="29"/>
        <v>0</v>
      </c>
      <c r="AR56" s="94">
        <f t="shared" si="29"/>
        <v>0</v>
      </c>
      <c r="AS56" s="94">
        <f t="shared" si="29"/>
        <v>0</v>
      </c>
    </row>
    <row r="57" spans="2:45" x14ac:dyDescent="0.25">
      <c r="B57" s="15">
        <v>55</v>
      </c>
      <c r="C57" s="8"/>
      <c r="E57" s="67"/>
      <c r="F57" s="380"/>
      <c r="G57" s="8"/>
      <c r="H57" s="8"/>
      <c r="I57" s="8"/>
      <c r="J57" s="9"/>
      <c r="K57" s="9">
        <f t="shared" si="0"/>
        <v>0</v>
      </c>
      <c r="L57" s="35">
        <f t="shared" si="1"/>
        <v>0</v>
      </c>
      <c r="M57" s="2"/>
      <c r="O57" s="19"/>
      <c r="P57" s="19"/>
      <c r="Q57" s="19"/>
      <c r="R57" s="21"/>
      <c r="S57" s="46"/>
      <c r="T57" s="44"/>
      <c r="U57" s="77"/>
      <c r="V57" s="30"/>
      <c r="W57" s="24"/>
      <c r="X57" s="193"/>
      <c r="Y57" s="15"/>
      <c r="AA57">
        <v>10</v>
      </c>
      <c r="AB57" s="486">
        <v>10</v>
      </c>
      <c r="AC57" s="89">
        <v>1</v>
      </c>
      <c r="AD57" s="95" t="s">
        <v>104</v>
      </c>
      <c r="AE57" s="39">
        <f t="shared" si="2"/>
        <v>0</v>
      </c>
      <c r="AF57" s="65">
        <f t="shared" si="3"/>
        <v>0</v>
      </c>
      <c r="AG57" s="65">
        <f t="shared" si="4"/>
        <v>0</v>
      </c>
      <c r="AH57" s="65">
        <f t="shared" si="5"/>
        <v>0</v>
      </c>
      <c r="AI57" s="104">
        <f t="shared" si="6"/>
        <v>0</v>
      </c>
      <c r="AJ57" s="115">
        <f t="shared" si="7"/>
        <v>0</v>
      </c>
      <c r="AK57" s="116">
        <f t="shared" si="8"/>
        <v>0</v>
      </c>
      <c r="AL57" s="116">
        <f t="shared" si="9"/>
        <v>0</v>
      </c>
      <c r="AM57" s="116">
        <f t="shared" si="10"/>
        <v>0</v>
      </c>
      <c r="AN57" s="117">
        <f t="shared" si="11"/>
        <v>0</v>
      </c>
      <c r="AO57" s="39">
        <f t="shared" si="12"/>
        <v>0</v>
      </c>
      <c r="AP57" s="65">
        <f t="shared" si="13"/>
        <v>0</v>
      </c>
      <c r="AQ57" s="65">
        <f t="shared" si="14"/>
        <v>0</v>
      </c>
      <c r="AR57" s="65">
        <f t="shared" si="15"/>
        <v>0</v>
      </c>
      <c r="AS57" s="65">
        <f t="shared" si="16"/>
        <v>0</v>
      </c>
    </row>
    <row r="58" spans="2:45" x14ac:dyDescent="0.25">
      <c r="B58" s="15">
        <v>56</v>
      </c>
      <c r="C58" s="8"/>
      <c r="E58" s="67"/>
      <c r="F58" s="380"/>
      <c r="G58" s="8"/>
      <c r="H58" s="8"/>
      <c r="I58" s="8"/>
      <c r="J58" s="9"/>
      <c r="K58" s="9">
        <f t="shared" si="0"/>
        <v>0</v>
      </c>
      <c r="L58" s="35">
        <f t="shared" si="1"/>
        <v>0</v>
      </c>
      <c r="M58" s="2"/>
      <c r="O58" s="19"/>
      <c r="P58" s="19"/>
      <c r="Q58" s="19"/>
      <c r="R58" s="21"/>
      <c r="S58" s="46"/>
      <c r="T58" s="44"/>
      <c r="U58" s="77"/>
      <c r="V58" s="30"/>
      <c r="W58" s="24"/>
      <c r="X58" s="193"/>
      <c r="Y58" s="15"/>
      <c r="AA58">
        <v>10</v>
      </c>
      <c r="AB58" s="487"/>
      <c r="AC58" s="90">
        <v>2</v>
      </c>
      <c r="AD58" s="96" t="s">
        <v>54</v>
      </c>
      <c r="AE58" s="39">
        <f t="shared" si="2"/>
        <v>0</v>
      </c>
      <c r="AF58" s="65">
        <f t="shared" si="3"/>
        <v>0</v>
      </c>
      <c r="AG58" s="65">
        <f t="shared" si="4"/>
        <v>0</v>
      </c>
      <c r="AH58" s="65">
        <f t="shared" si="5"/>
        <v>0</v>
      </c>
      <c r="AI58" s="104">
        <f t="shared" si="6"/>
        <v>0</v>
      </c>
      <c r="AJ58" s="115">
        <f t="shared" si="7"/>
        <v>0</v>
      </c>
      <c r="AK58" s="116">
        <f t="shared" si="8"/>
        <v>0</v>
      </c>
      <c r="AL58" s="116">
        <f t="shared" si="9"/>
        <v>0</v>
      </c>
      <c r="AM58" s="116">
        <f t="shared" si="10"/>
        <v>0</v>
      </c>
      <c r="AN58" s="117">
        <f t="shared" si="11"/>
        <v>0</v>
      </c>
      <c r="AO58" s="39">
        <f t="shared" si="12"/>
        <v>0</v>
      </c>
      <c r="AP58" s="65">
        <f t="shared" si="13"/>
        <v>0</v>
      </c>
      <c r="AQ58" s="65">
        <f t="shared" si="14"/>
        <v>0</v>
      </c>
      <c r="AR58" s="65">
        <f t="shared" si="15"/>
        <v>0</v>
      </c>
      <c r="AS58" s="65">
        <f t="shared" si="16"/>
        <v>0</v>
      </c>
    </row>
    <row r="59" spans="2:45" x14ac:dyDescent="0.25">
      <c r="B59" s="15">
        <v>57</v>
      </c>
      <c r="C59" s="8"/>
      <c r="E59" s="67"/>
      <c r="F59" s="380"/>
      <c r="G59" s="8"/>
      <c r="H59" s="8"/>
      <c r="I59" s="8"/>
      <c r="J59" s="9"/>
      <c r="K59" s="9">
        <f t="shared" si="0"/>
        <v>0</v>
      </c>
      <c r="L59" s="35">
        <f t="shared" si="1"/>
        <v>0</v>
      </c>
      <c r="M59" s="2"/>
      <c r="O59" s="19"/>
      <c r="P59" s="19"/>
      <c r="Q59" s="19"/>
      <c r="R59" s="21"/>
      <c r="S59" s="46"/>
      <c r="T59" s="44"/>
      <c r="U59" s="77"/>
      <c r="V59" s="30"/>
      <c r="W59" s="24"/>
      <c r="X59" s="193"/>
      <c r="Y59" s="15"/>
      <c r="AA59">
        <v>10</v>
      </c>
      <c r="AB59" s="487"/>
      <c r="AC59" s="90">
        <v>3</v>
      </c>
      <c r="AD59" s="97" t="s">
        <v>55</v>
      </c>
      <c r="AE59" s="39">
        <f t="shared" si="2"/>
        <v>0</v>
      </c>
      <c r="AF59" s="65">
        <f t="shared" si="3"/>
        <v>0</v>
      </c>
      <c r="AG59" s="65">
        <f t="shared" si="4"/>
        <v>0</v>
      </c>
      <c r="AH59" s="65">
        <f t="shared" si="5"/>
        <v>0</v>
      </c>
      <c r="AI59" s="104">
        <f t="shared" si="6"/>
        <v>0</v>
      </c>
      <c r="AJ59" s="115">
        <f t="shared" si="7"/>
        <v>0</v>
      </c>
      <c r="AK59" s="116">
        <f t="shared" si="8"/>
        <v>0</v>
      </c>
      <c r="AL59" s="116">
        <f t="shared" si="9"/>
        <v>0</v>
      </c>
      <c r="AM59" s="116">
        <f t="shared" si="10"/>
        <v>0</v>
      </c>
      <c r="AN59" s="117">
        <f t="shared" si="11"/>
        <v>0</v>
      </c>
      <c r="AO59" s="39">
        <f t="shared" si="12"/>
        <v>0</v>
      </c>
      <c r="AP59" s="65">
        <f t="shared" si="13"/>
        <v>0</v>
      </c>
      <c r="AQ59" s="65">
        <f t="shared" si="14"/>
        <v>0</v>
      </c>
      <c r="AR59" s="65">
        <f t="shared" si="15"/>
        <v>0</v>
      </c>
      <c r="AS59" s="65">
        <f t="shared" si="16"/>
        <v>0</v>
      </c>
    </row>
    <row r="60" spans="2:45" x14ac:dyDescent="0.25">
      <c r="B60" s="15">
        <v>58</v>
      </c>
      <c r="C60" s="8"/>
      <c r="E60" s="67"/>
      <c r="F60" s="380"/>
      <c r="G60" s="8"/>
      <c r="H60" s="8"/>
      <c r="I60" s="8"/>
      <c r="J60" s="9"/>
      <c r="K60" s="9">
        <f t="shared" si="0"/>
        <v>0</v>
      </c>
      <c r="L60" s="35">
        <f t="shared" si="1"/>
        <v>0</v>
      </c>
      <c r="M60" s="2"/>
      <c r="O60" s="19"/>
      <c r="P60" s="19"/>
      <c r="Q60" s="19"/>
      <c r="R60" s="21"/>
      <c r="S60" s="46"/>
      <c r="T60" s="44"/>
      <c r="U60" s="77"/>
      <c r="V60" s="30"/>
      <c r="W60" s="24"/>
      <c r="X60" s="193"/>
      <c r="Y60" s="15"/>
      <c r="AA60">
        <v>10</v>
      </c>
      <c r="AB60" s="487"/>
      <c r="AC60" s="90">
        <v>4</v>
      </c>
      <c r="AD60" s="97" t="s">
        <v>56</v>
      </c>
      <c r="AE60" s="39">
        <f t="shared" si="2"/>
        <v>0</v>
      </c>
      <c r="AF60" s="65">
        <f t="shared" si="3"/>
        <v>0</v>
      </c>
      <c r="AG60" s="65">
        <f t="shared" si="4"/>
        <v>0</v>
      </c>
      <c r="AH60" s="65">
        <f t="shared" si="5"/>
        <v>0</v>
      </c>
      <c r="AI60" s="104">
        <f t="shared" si="6"/>
        <v>0</v>
      </c>
      <c r="AJ60" s="115">
        <f t="shared" si="7"/>
        <v>0</v>
      </c>
      <c r="AK60" s="116">
        <f t="shared" si="8"/>
        <v>0</v>
      </c>
      <c r="AL60" s="116">
        <f t="shared" si="9"/>
        <v>0</v>
      </c>
      <c r="AM60" s="116">
        <f t="shared" si="10"/>
        <v>0</v>
      </c>
      <c r="AN60" s="117">
        <f t="shared" si="11"/>
        <v>0</v>
      </c>
      <c r="AO60" s="39">
        <f t="shared" si="12"/>
        <v>0</v>
      </c>
      <c r="AP60" s="65">
        <f t="shared" si="13"/>
        <v>0</v>
      </c>
      <c r="AQ60" s="65">
        <f t="shared" si="14"/>
        <v>0</v>
      </c>
      <c r="AR60" s="65">
        <f t="shared" si="15"/>
        <v>0</v>
      </c>
      <c r="AS60" s="65">
        <f t="shared" si="16"/>
        <v>0</v>
      </c>
    </row>
    <row r="61" spans="2:45" x14ac:dyDescent="0.25">
      <c r="B61" s="15">
        <v>59</v>
      </c>
      <c r="C61" s="8"/>
      <c r="E61" s="67"/>
      <c r="F61" s="380"/>
      <c r="G61" s="8"/>
      <c r="H61" s="8"/>
      <c r="I61" s="8"/>
      <c r="J61" s="9"/>
      <c r="K61" s="9">
        <f t="shared" si="0"/>
        <v>0</v>
      </c>
      <c r="L61" s="35">
        <f t="shared" si="1"/>
        <v>0</v>
      </c>
      <c r="M61" s="2"/>
      <c r="O61" s="19"/>
      <c r="P61" s="19"/>
      <c r="Q61" s="19"/>
      <c r="R61" s="21"/>
      <c r="S61" s="46"/>
      <c r="T61" s="44"/>
      <c r="U61" s="77"/>
      <c r="V61" s="30"/>
      <c r="W61" s="24"/>
      <c r="X61" s="193"/>
      <c r="Y61" s="15"/>
      <c r="AA61">
        <v>10</v>
      </c>
      <c r="AB61" s="487"/>
      <c r="AC61" s="91">
        <v>5</v>
      </c>
      <c r="AD61" s="51" t="s">
        <v>57</v>
      </c>
      <c r="AE61" s="39">
        <f t="shared" si="2"/>
        <v>0</v>
      </c>
      <c r="AF61" s="65">
        <f t="shared" si="3"/>
        <v>0</v>
      </c>
      <c r="AG61" s="65">
        <f t="shared" si="4"/>
        <v>0</v>
      </c>
      <c r="AH61" s="65">
        <f t="shared" si="5"/>
        <v>0</v>
      </c>
      <c r="AI61" s="104">
        <f t="shared" si="6"/>
        <v>0</v>
      </c>
      <c r="AJ61" s="115">
        <f t="shared" si="7"/>
        <v>0</v>
      </c>
      <c r="AK61" s="116">
        <f t="shared" si="8"/>
        <v>0</v>
      </c>
      <c r="AL61" s="116">
        <f t="shared" si="9"/>
        <v>0</v>
      </c>
      <c r="AM61" s="116">
        <f t="shared" si="10"/>
        <v>0</v>
      </c>
      <c r="AN61" s="117">
        <f t="shared" si="11"/>
        <v>0</v>
      </c>
      <c r="AO61" s="39">
        <f t="shared" si="12"/>
        <v>0</v>
      </c>
      <c r="AP61" s="65">
        <f t="shared" si="13"/>
        <v>0</v>
      </c>
      <c r="AQ61" s="65">
        <f t="shared" si="14"/>
        <v>0</v>
      </c>
      <c r="AR61" s="65">
        <f t="shared" si="15"/>
        <v>0</v>
      </c>
      <c r="AS61" s="65">
        <f t="shared" si="16"/>
        <v>0</v>
      </c>
    </row>
    <row r="62" spans="2:45" ht="14.25" thickBot="1" x14ac:dyDescent="0.3">
      <c r="B62" s="15">
        <v>60</v>
      </c>
      <c r="C62" s="8"/>
      <c r="E62" s="67"/>
      <c r="F62" s="380"/>
      <c r="G62" s="8"/>
      <c r="H62" s="8"/>
      <c r="I62" s="8"/>
      <c r="J62" s="9"/>
      <c r="K62" s="9">
        <f t="shared" si="0"/>
        <v>0</v>
      </c>
      <c r="L62" s="35">
        <f t="shared" si="1"/>
        <v>0</v>
      </c>
      <c r="M62" s="2"/>
      <c r="O62" s="19"/>
      <c r="P62" s="19"/>
      <c r="Q62" s="19"/>
      <c r="R62" s="21"/>
      <c r="S62" s="46"/>
      <c r="T62" s="44"/>
      <c r="U62" s="77"/>
      <c r="V62" s="30"/>
      <c r="W62" s="24"/>
      <c r="X62" s="193"/>
      <c r="Y62" s="15"/>
      <c r="AA62">
        <v>10</v>
      </c>
      <c r="AB62" s="488"/>
      <c r="AC62" s="92" t="s">
        <v>3</v>
      </c>
      <c r="AD62" s="101"/>
      <c r="AE62" s="94">
        <f t="shared" ref="AE62:AS62" si="30">SUM(AE57:AE61)</f>
        <v>0</v>
      </c>
      <c r="AF62" s="94">
        <f t="shared" si="30"/>
        <v>0</v>
      </c>
      <c r="AG62" s="94">
        <f t="shared" si="30"/>
        <v>0</v>
      </c>
      <c r="AH62" s="94">
        <f t="shared" si="30"/>
        <v>0</v>
      </c>
      <c r="AI62" s="105">
        <f t="shared" si="30"/>
        <v>0</v>
      </c>
      <c r="AJ62" s="118">
        <f t="shared" si="30"/>
        <v>0</v>
      </c>
      <c r="AK62" s="119">
        <f t="shared" si="30"/>
        <v>0</v>
      </c>
      <c r="AL62" s="119">
        <f t="shared" si="30"/>
        <v>0</v>
      </c>
      <c r="AM62" s="119">
        <f t="shared" si="30"/>
        <v>0</v>
      </c>
      <c r="AN62" s="120">
        <f t="shared" si="30"/>
        <v>0</v>
      </c>
      <c r="AO62" s="94">
        <f t="shared" si="30"/>
        <v>0</v>
      </c>
      <c r="AP62" s="94">
        <f t="shared" si="30"/>
        <v>0</v>
      </c>
      <c r="AQ62" s="94">
        <f t="shared" si="30"/>
        <v>0</v>
      </c>
      <c r="AR62" s="94">
        <f t="shared" si="30"/>
        <v>0</v>
      </c>
      <c r="AS62" s="94">
        <f t="shared" si="30"/>
        <v>0</v>
      </c>
    </row>
    <row r="63" spans="2:45" x14ac:dyDescent="0.25">
      <c r="B63" s="15">
        <v>61</v>
      </c>
      <c r="C63" s="8"/>
      <c r="E63" s="67"/>
      <c r="F63" s="380"/>
      <c r="G63" s="8"/>
      <c r="H63" s="8"/>
      <c r="I63" s="8"/>
      <c r="J63" s="9"/>
      <c r="K63" s="9">
        <f t="shared" si="0"/>
        <v>0</v>
      </c>
      <c r="L63" s="35">
        <f t="shared" si="1"/>
        <v>0</v>
      </c>
      <c r="M63" s="2"/>
      <c r="O63" s="19"/>
      <c r="P63" s="19"/>
      <c r="Q63" s="19"/>
      <c r="R63" s="21"/>
      <c r="S63" s="46"/>
      <c r="T63" s="44"/>
      <c r="U63" s="77"/>
      <c r="V63" s="30"/>
      <c r="W63" s="24"/>
      <c r="X63" s="193"/>
      <c r="Y63" s="15"/>
      <c r="AA63">
        <v>11</v>
      </c>
      <c r="AB63" s="486">
        <v>11</v>
      </c>
      <c r="AC63" s="89">
        <v>1</v>
      </c>
      <c r="AD63" s="95" t="s">
        <v>105</v>
      </c>
      <c r="AE63" s="39">
        <f t="shared" si="2"/>
        <v>0</v>
      </c>
      <c r="AF63" s="65">
        <f t="shared" si="3"/>
        <v>0</v>
      </c>
      <c r="AG63" s="65">
        <f t="shared" si="4"/>
        <v>0</v>
      </c>
      <c r="AH63" s="65">
        <f t="shared" si="5"/>
        <v>0</v>
      </c>
      <c r="AI63" s="104">
        <f t="shared" si="6"/>
        <v>0</v>
      </c>
      <c r="AJ63" s="115">
        <f t="shared" si="7"/>
        <v>0</v>
      </c>
      <c r="AK63" s="116">
        <f t="shared" si="8"/>
        <v>0</v>
      </c>
      <c r="AL63" s="116">
        <f t="shared" si="9"/>
        <v>0</v>
      </c>
      <c r="AM63" s="116">
        <f t="shared" si="10"/>
        <v>0</v>
      </c>
      <c r="AN63" s="117">
        <f t="shared" si="11"/>
        <v>0</v>
      </c>
      <c r="AO63" s="39">
        <f t="shared" si="12"/>
        <v>0</v>
      </c>
      <c r="AP63" s="65">
        <f t="shared" si="13"/>
        <v>0</v>
      </c>
      <c r="AQ63" s="65">
        <f t="shared" si="14"/>
        <v>0</v>
      </c>
      <c r="AR63" s="65">
        <f t="shared" si="15"/>
        <v>0</v>
      </c>
      <c r="AS63" s="65">
        <f t="shared" si="16"/>
        <v>0</v>
      </c>
    </row>
    <row r="64" spans="2:45" x14ac:dyDescent="0.25">
      <c r="B64" s="15">
        <v>62</v>
      </c>
      <c r="C64" s="8"/>
      <c r="E64" s="67"/>
      <c r="F64" s="380"/>
      <c r="G64" s="8"/>
      <c r="H64" s="8"/>
      <c r="I64" s="8"/>
      <c r="J64" s="9"/>
      <c r="K64" s="9">
        <f t="shared" si="0"/>
        <v>0</v>
      </c>
      <c r="L64" s="35">
        <f t="shared" si="1"/>
        <v>0</v>
      </c>
      <c r="M64" s="2"/>
      <c r="O64" s="19"/>
      <c r="P64" s="19"/>
      <c r="Q64" s="19"/>
      <c r="R64" s="21"/>
      <c r="S64" s="46"/>
      <c r="T64" s="44"/>
      <c r="U64" s="77"/>
      <c r="V64" s="30"/>
      <c r="W64" s="24"/>
      <c r="X64" s="193"/>
      <c r="Y64" s="15"/>
      <c r="AA64">
        <v>11</v>
      </c>
      <c r="AB64" s="487"/>
      <c r="AC64" s="90">
        <v>2</v>
      </c>
      <c r="AD64" s="97" t="s">
        <v>58</v>
      </c>
      <c r="AE64" s="39">
        <f t="shared" si="2"/>
        <v>0</v>
      </c>
      <c r="AF64" s="65">
        <f t="shared" si="3"/>
        <v>0</v>
      </c>
      <c r="AG64" s="65">
        <f t="shared" si="4"/>
        <v>0</v>
      </c>
      <c r="AH64" s="65">
        <f t="shared" si="5"/>
        <v>0</v>
      </c>
      <c r="AI64" s="104">
        <f t="shared" si="6"/>
        <v>0</v>
      </c>
      <c r="AJ64" s="115">
        <f t="shared" si="7"/>
        <v>0</v>
      </c>
      <c r="AK64" s="116">
        <f t="shared" si="8"/>
        <v>0</v>
      </c>
      <c r="AL64" s="116">
        <f t="shared" si="9"/>
        <v>0</v>
      </c>
      <c r="AM64" s="116">
        <f t="shared" si="10"/>
        <v>0</v>
      </c>
      <c r="AN64" s="117">
        <f t="shared" si="11"/>
        <v>0</v>
      </c>
      <c r="AO64" s="39">
        <f t="shared" si="12"/>
        <v>0</v>
      </c>
      <c r="AP64" s="65">
        <f t="shared" si="13"/>
        <v>0</v>
      </c>
      <c r="AQ64" s="65">
        <f t="shared" si="14"/>
        <v>0</v>
      </c>
      <c r="AR64" s="65">
        <f t="shared" si="15"/>
        <v>0</v>
      </c>
      <c r="AS64" s="65">
        <f t="shared" si="16"/>
        <v>0</v>
      </c>
    </row>
    <row r="65" spans="2:45" x14ac:dyDescent="0.25">
      <c r="B65" s="15">
        <v>63</v>
      </c>
      <c r="C65" s="8"/>
      <c r="E65" s="67"/>
      <c r="F65" s="380"/>
      <c r="G65" s="8"/>
      <c r="H65" s="8"/>
      <c r="I65" s="8"/>
      <c r="J65" s="9"/>
      <c r="K65" s="9">
        <f t="shared" si="0"/>
        <v>0</v>
      </c>
      <c r="L65" s="35">
        <f t="shared" si="1"/>
        <v>0</v>
      </c>
      <c r="M65" s="2"/>
      <c r="O65" s="19"/>
      <c r="P65" s="19"/>
      <c r="Q65" s="19"/>
      <c r="R65" s="21"/>
      <c r="S65" s="46"/>
      <c r="T65" s="44"/>
      <c r="U65" s="77"/>
      <c r="V65" s="30"/>
      <c r="W65" s="24"/>
      <c r="X65" s="193"/>
      <c r="Y65" s="15"/>
      <c r="AA65">
        <v>11</v>
      </c>
      <c r="AB65" s="487"/>
      <c r="AC65" s="90">
        <v>3</v>
      </c>
      <c r="AD65" s="97" t="s">
        <v>59</v>
      </c>
      <c r="AE65" s="39">
        <f t="shared" si="2"/>
        <v>0</v>
      </c>
      <c r="AF65" s="65">
        <f t="shared" si="3"/>
        <v>0</v>
      </c>
      <c r="AG65" s="65">
        <f t="shared" si="4"/>
        <v>0</v>
      </c>
      <c r="AH65" s="65">
        <f t="shared" si="5"/>
        <v>0</v>
      </c>
      <c r="AI65" s="104">
        <f t="shared" si="6"/>
        <v>0</v>
      </c>
      <c r="AJ65" s="115">
        <f t="shared" si="7"/>
        <v>0</v>
      </c>
      <c r="AK65" s="116">
        <f t="shared" si="8"/>
        <v>0</v>
      </c>
      <c r="AL65" s="116">
        <f t="shared" si="9"/>
        <v>0</v>
      </c>
      <c r="AM65" s="116">
        <f t="shared" si="10"/>
        <v>0</v>
      </c>
      <c r="AN65" s="117">
        <f t="shared" si="11"/>
        <v>0</v>
      </c>
      <c r="AO65" s="39">
        <f t="shared" si="12"/>
        <v>0</v>
      </c>
      <c r="AP65" s="65">
        <f t="shared" si="13"/>
        <v>0</v>
      </c>
      <c r="AQ65" s="65">
        <f t="shared" si="14"/>
        <v>0</v>
      </c>
      <c r="AR65" s="65">
        <f t="shared" si="15"/>
        <v>0</v>
      </c>
      <c r="AS65" s="65">
        <f t="shared" si="16"/>
        <v>0</v>
      </c>
    </row>
    <row r="66" spans="2:45" x14ac:dyDescent="0.25">
      <c r="B66" s="15">
        <v>64</v>
      </c>
      <c r="C66" s="8"/>
      <c r="E66" s="67"/>
      <c r="F66" s="380"/>
      <c r="G66" s="8"/>
      <c r="H66" s="8"/>
      <c r="I66" s="8"/>
      <c r="J66" s="9"/>
      <c r="K66" s="9">
        <f t="shared" si="0"/>
        <v>0</v>
      </c>
      <c r="L66" s="35">
        <f t="shared" si="1"/>
        <v>0</v>
      </c>
      <c r="M66" s="2"/>
      <c r="O66" s="19"/>
      <c r="P66" s="19"/>
      <c r="Q66" s="19"/>
      <c r="R66" s="21"/>
      <c r="S66" s="46"/>
      <c r="T66" s="44"/>
      <c r="U66" s="77"/>
      <c r="V66" s="30"/>
      <c r="W66" s="24"/>
      <c r="X66" s="193"/>
      <c r="Y66" s="15"/>
      <c r="AA66">
        <v>11</v>
      </c>
      <c r="AB66" s="487"/>
      <c r="AC66" s="90">
        <v>4</v>
      </c>
      <c r="AD66" s="97" t="s">
        <v>60</v>
      </c>
      <c r="AE66" s="39">
        <f t="shared" si="2"/>
        <v>0</v>
      </c>
      <c r="AF66" s="65">
        <f t="shared" si="3"/>
        <v>0</v>
      </c>
      <c r="AG66" s="65">
        <f t="shared" si="4"/>
        <v>0</v>
      </c>
      <c r="AH66" s="65">
        <f t="shared" si="5"/>
        <v>0</v>
      </c>
      <c r="AI66" s="104">
        <f t="shared" si="6"/>
        <v>0</v>
      </c>
      <c r="AJ66" s="115">
        <f t="shared" si="7"/>
        <v>0</v>
      </c>
      <c r="AK66" s="116">
        <f t="shared" si="8"/>
        <v>0</v>
      </c>
      <c r="AL66" s="116">
        <f t="shared" si="9"/>
        <v>0</v>
      </c>
      <c r="AM66" s="116">
        <f t="shared" si="10"/>
        <v>0</v>
      </c>
      <c r="AN66" s="117">
        <f t="shared" si="11"/>
        <v>0</v>
      </c>
      <c r="AO66" s="39">
        <f t="shared" si="12"/>
        <v>0</v>
      </c>
      <c r="AP66" s="65">
        <f t="shared" si="13"/>
        <v>0</v>
      </c>
      <c r="AQ66" s="65">
        <f t="shared" si="14"/>
        <v>0</v>
      </c>
      <c r="AR66" s="65">
        <f t="shared" si="15"/>
        <v>0</v>
      </c>
      <c r="AS66" s="65">
        <f t="shared" si="16"/>
        <v>0</v>
      </c>
    </row>
    <row r="67" spans="2:45" x14ac:dyDescent="0.25">
      <c r="B67" s="15">
        <v>65</v>
      </c>
      <c r="C67" s="8"/>
      <c r="E67" s="67"/>
      <c r="F67" s="380"/>
      <c r="G67" s="8"/>
      <c r="H67" s="8"/>
      <c r="I67" s="8"/>
      <c r="J67" s="9"/>
      <c r="K67" s="9">
        <f t="shared" ref="K67:K130" si="31">J67*1.1</f>
        <v>0</v>
      </c>
      <c r="L67" s="35">
        <f t="shared" ref="L67:L130" si="32">J67*0.00000001</f>
        <v>0</v>
      </c>
      <c r="M67" s="2"/>
      <c r="O67" s="19"/>
      <c r="P67" s="19"/>
      <c r="Q67" s="19"/>
      <c r="R67" s="21"/>
      <c r="S67" s="46"/>
      <c r="T67" s="44"/>
      <c r="U67" s="77"/>
      <c r="V67" s="30"/>
      <c r="W67" s="24"/>
      <c r="X67" s="193"/>
      <c r="Y67" s="15"/>
      <c r="AA67">
        <v>11</v>
      </c>
      <c r="AB67" s="487"/>
      <c r="AC67" s="91">
        <v>5</v>
      </c>
      <c r="AD67" s="100"/>
      <c r="AE67" s="39">
        <f t="shared" si="2"/>
        <v>0</v>
      </c>
      <c r="AF67" s="65">
        <f t="shared" si="3"/>
        <v>0</v>
      </c>
      <c r="AG67" s="65">
        <f t="shared" si="4"/>
        <v>0</v>
      </c>
      <c r="AH67" s="65">
        <f t="shared" si="5"/>
        <v>0</v>
      </c>
      <c r="AI67" s="104">
        <f t="shared" si="6"/>
        <v>0</v>
      </c>
      <c r="AJ67" s="115">
        <f t="shared" si="7"/>
        <v>0</v>
      </c>
      <c r="AK67" s="116">
        <f t="shared" si="8"/>
        <v>0</v>
      </c>
      <c r="AL67" s="116">
        <f t="shared" si="9"/>
        <v>0</v>
      </c>
      <c r="AM67" s="116">
        <f t="shared" si="10"/>
        <v>0</v>
      </c>
      <c r="AN67" s="117">
        <f t="shared" si="11"/>
        <v>0</v>
      </c>
      <c r="AO67" s="39">
        <f t="shared" si="12"/>
        <v>0</v>
      </c>
      <c r="AP67" s="65">
        <f t="shared" si="13"/>
        <v>0</v>
      </c>
      <c r="AQ67" s="65">
        <f t="shared" si="14"/>
        <v>0</v>
      </c>
      <c r="AR67" s="65">
        <f t="shared" si="15"/>
        <v>0</v>
      </c>
      <c r="AS67" s="65">
        <f t="shared" si="16"/>
        <v>0</v>
      </c>
    </row>
    <row r="68" spans="2:45" ht="14.25" thickBot="1" x14ac:dyDescent="0.3">
      <c r="B68" s="15">
        <v>66</v>
      </c>
      <c r="C68" s="8"/>
      <c r="E68" s="67"/>
      <c r="F68" s="380"/>
      <c r="G68" s="8"/>
      <c r="H68" s="8"/>
      <c r="I68" s="8"/>
      <c r="J68" s="9"/>
      <c r="K68" s="9">
        <f t="shared" si="31"/>
        <v>0</v>
      </c>
      <c r="L68" s="35">
        <f t="shared" si="32"/>
        <v>0</v>
      </c>
      <c r="M68" s="2"/>
      <c r="O68" s="19"/>
      <c r="P68" s="19"/>
      <c r="Q68" s="19"/>
      <c r="R68" s="21"/>
      <c r="S68" s="46"/>
      <c r="T68" s="44"/>
      <c r="U68" s="77"/>
      <c r="V68" s="30"/>
      <c r="W68" s="24"/>
      <c r="X68" s="193"/>
      <c r="Y68" s="15"/>
      <c r="AA68">
        <v>11</v>
      </c>
      <c r="AB68" s="488"/>
      <c r="AC68" s="92" t="s">
        <v>3</v>
      </c>
      <c r="AD68" s="101"/>
      <c r="AE68" s="94">
        <f t="shared" ref="AE68:AS68" si="33">SUM(AE63:AE67)</f>
        <v>0</v>
      </c>
      <c r="AF68" s="94">
        <f t="shared" si="33"/>
        <v>0</v>
      </c>
      <c r="AG68" s="94">
        <f t="shared" si="33"/>
        <v>0</v>
      </c>
      <c r="AH68" s="94">
        <f t="shared" si="33"/>
        <v>0</v>
      </c>
      <c r="AI68" s="105">
        <f t="shared" si="33"/>
        <v>0</v>
      </c>
      <c r="AJ68" s="118">
        <f t="shared" si="33"/>
        <v>0</v>
      </c>
      <c r="AK68" s="119">
        <f t="shared" si="33"/>
        <v>0</v>
      </c>
      <c r="AL68" s="119">
        <f t="shared" si="33"/>
        <v>0</v>
      </c>
      <c r="AM68" s="119">
        <f t="shared" si="33"/>
        <v>0</v>
      </c>
      <c r="AN68" s="120">
        <f t="shared" si="33"/>
        <v>0</v>
      </c>
      <c r="AO68" s="94">
        <f t="shared" si="33"/>
        <v>0</v>
      </c>
      <c r="AP68" s="94">
        <f t="shared" si="33"/>
        <v>0</v>
      </c>
      <c r="AQ68" s="94">
        <f t="shared" si="33"/>
        <v>0</v>
      </c>
      <c r="AR68" s="94">
        <f t="shared" si="33"/>
        <v>0</v>
      </c>
      <c r="AS68" s="94">
        <f t="shared" si="33"/>
        <v>0</v>
      </c>
    </row>
    <row r="69" spans="2:45" x14ac:dyDescent="0.25">
      <c r="B69" s="15">
        <v>67</v>
      </c>
      <c r="C69" s="8"/>
      <c r="E69" s="67"/>
      <c r="F69" s="380"/>
      <c r="G69" s="8"/>
      <c r="H69" s="8"/>
      <c r="I69" s="8"/>
      <c r="J69" s="9"/>
      <c r="K69" s="9">
        <f t="shared" si="31"/>
        <v>0</v>
      </c>
      <c r="L69" s="35">
        <f t="shared" si="32"/>
        <v>0</v>
      </c>
      <c r="M69" s="2"/>
      <c r="O69" s="19"/>
      <c r="P69" s="19"/>
      <c r="Q69" s="19"/>
      <c r="R69" s="21"/>
      <c r="S69" s="46"/>
      <c r="T69" s="44"/>
      <c r="U69" s="77"/>
      <c r="V69" s="30"/>
      <c r="W69" s="24"/>
      <c r="X69" s="193"/>
      <c r="Y69" s="15"/>
      <c r="AA69">
        <v>12</v>
      </c>
      <c r="AB69" s="493">
        <v>12</v>
      </c>
      <c r="AC69" s="93">
        <v>1</v>
      </c>
      <c r="AD69" s="102" t="s">
        <v>106</v>
      </c>
      <c r="AE69" s="39">
        <f>SUM(AF69:AI69)</f>
        <v>0</v>
      </c>
      <c r="AF69" s="65">
        <f>SUMIFS($I:$I,$C:$C, $AF$2,$G:$G,$AA69,$H:$H,$AC69)</f>
        <v>0</v>
      </c>
      <c r="AG69" s="65">
        <f>SUMIFS($I:$I,$C:$C, $AG$2,$G:$G,$AA69,$H:$H,$AC69)</f>
        <v>0</v>
      </c>
      <c r="AH69" s="65">
        <f>SUMIFS($I:$I,$C:$C, $AH$2,$G:$G,$AA69,$H:$H,$AC69)</f>
        <v>0</v>
      </c>
      <c r="AI69" s="104">
        <f>SUMIFS($I:$I,$C:$C, $AI$2,$G:$G,$AA69,$H:$H,$AC69)</f>
        <v>0</v>
      </c>
      <c r="AJ69" s="115">
        <f>SUM(AK69:AN69)</f>
        <v>0</v>
      </c>
      <c r="AK69" s="116">
        <f>COUNTIFS($C:$C, $AK$2,$G:$G,$AA69,$H:$H,$AC69)</f>
        <v>0</v>
      </c>
      <c r="AL69" s="116">
        <f>COUNTIFS($C:$C, $AL$2,$G:$G,$AA69,$H:$H,$AC69)</f>
        <v>0</v>
      </c>
      <c r="AM69" s="116">
        <f>COUNTIFS($C:$C, $AM$2,$G:$G,$AA69,$H:$H,$AC69)</f>
        <v>0</v>
      </c>
      <c r="AN69" s="117">
        <f>COUNTIFS($C:$C, $AN$2,$G:$G,$AA69,$H:$H,$AC69)</f>
        <v>0</v>
      </c>
      <c r="AO69" s="39">
        <f>SUM(AP69:AS69)</f>
        <v>0</v>
      </c>
      <c r="AP69" s="65">
        <f>SUMIFS($L:$L,$C:$C, $AP$2,$G:$G,$AA69,$H:$H,$AC69)</f>
        <v>0</v>
      </c>
      <c r="AQ69" s="65">
        <f>SUMIFS($L:$L,$C:$C, $AQ$2,$G:$G,$AA69,$H:$H,$AC69)</f>
        <v>0</v>
      </c>
      <c r="AR69" s="65">
        <f>SUMIFS($L:$L,$C:$C, $AR$2,$G:$G,$AA69,$H:$H,$AC69)</f>
        <v>0</v>
      </c>
      <c r="AS69" s="65">
        <f>SUMIFS($L:$L,$C:$C, $AS$2,$G:$G,$AA69,$H:$H,$AC69)</f>
        <v>0</v>
      </c>
    </row>
    <row r="70" spans="2:45" x14ac:dyDescent="0.25">
      <c r="B70" s="15">
        <v>68</v>
      </c>
      <c r="C70" s="8"/>
      <c r="E70" s="67"/>
      <c r="F70" s="380"/>
      <c r="G70" s="8"/>
      <c r="H70" s="8"/>
      <c r="I70" s="8"/>
      <c r="J70" s="9"/>
      <c r="K70" s="9">
        <f t="shared" si="31"/>
        <v>0</v>
      </c>
      <c r="L70" s="35">
        <f t="shared" si="32"/>
        <v>0</v>
      </c>
      <c r="M70" s="2"/>
      <c r="O70" s="19"/>
      <c r="P70" s="19"/>
      <c r="Q70" s="19"/>
      <c r="R70" s="21"/>
      <c r="S70" s="46"/>
      <c r="T70" s="44"/>
      <c r="U70" s="77"/>
      <c r="V70" s="30"/>
      <c r="W70" s="24"/>
      <c r="X70" s="193"/>
      <c r="Y70" s="15"/>
      <c r="AA70">
        <v>12</v>
      </c>
      <c r="AB70" s="487"/>
      <c r="AC70" s="90">
        <v>2</v>
      </c>
      <c r="AD70" s="97" t="s">
        <v>101</v>
      </c>
      <c r="AE70" s="39">
        <f>SUM(AF70:AI70)</f>
        <v>0</v>
      </c>
      <c r="AF70" s="65">
        <f>SUMIFS($I:$I,$C:$C, $AF$2,$G:$G,$AA70,$H:$H,$AC70)</f>
        <v>0</v>
      </c>
      <c r="AG70" s="65">
        <f>SUMIFS($I:$I,$C:$C, $AG$2,$G:$G,$AA70,$H:$H,$AC70)</f>
        <v>0</v>
      </c>
      <c r="AH70" s="65">
        <f>SUMIFS($I:$I,$C:$C, $AH$2,$G:$G,$AA70,$H:$H,$AC70)</f>
        <v>0</v>
      </c>
      <c r="AI70" s="104">
        <f>SUMIFS($I:$I,$C:$C, $AI$2,$G:$G,$AA70,$H:$H,$AC70)</f>
        <v>0</v>
      </c>
      <c r="AJ70" s="115">
        <f>SUM(AK70:AN70)</f>
        <v>0</v>
      </c>
      <c r="AK70" s="116">
        <f>COUNTIFS($C:$C, $AK$2,$G:$G,$AA70,$H:$H,$AC70)</f>
        <v>0</v>
      </c>
      <c r="AL70" s="116">
        <f>COUNTIFS($C:$C, $AL$2,$G:$G,$AA70,$H:$H,$AC70)</f>
        <v>0</v>
      </c>
      <c r="AM70" s="116">
        <f>COUNTIFS($C:$C, $AM$2,$G:$G,$AA70,$H:$H,$AC70)</f>
        <v>0</v>
      </c>
      <c r="AN70" s="117">
        <f>COUNTIFS($C:$C, $AN$2,$G:$G,$AA70,$H:$H,$AC70)</f>
        <v>0</v>
      </c>
      <c r="AO70" s="39">
        <f>SUM(AP70:AS70)</f>
        <v>0</v>
      </c>
      <c r="AP70" s="65">
        <f>SUMIFS($L:$L,$C:$C, $AP$2,$G:$G,$AA70,$H:$H,$AC70)</f>
        <v>0</v>
      </c>
      <c r="AQ70" s="65">
        <f>SUMIFS($L:$L,$C:$C, $AQ$2,$G:$G,$AA70,$H:$H,$AC70)</f>
        <v>0</v>
      </c>
      <c r="AR70" s="65">
        <f>SUMIFS($L:$L,$C:$C, $AR$2,$G:$G,$AA70,$H:$H,$AC70)</f>
        <v>0</v>
      </c>
      <c r="AS70" s="65">
        <f>SUMIFS($L:$L,$C:$C, $AS$2,$G:$G,$AA70,$H:$H,$AC70)</f>
        <v>0</v>
      </c>
    </row>
    <row r="71" spans="2:45" x14ac:dyDescent="0.25">
      <c r="B71" s="15">
        <v>69</v>
      </c>
      <c r="C71" s="8"/>
      <c r="E71" s="67"/>
      <c r="F71" s="380"/>
      <c r="G71" s="8"/>
      <c r="H71" s="8"/>
      <c r="I71" s="8"/>
      <c r="J71" s="9"/>
      <c r="K71" s="9">
        <f t="shared" si="31"/>
        <v>0</v>
      </c>
      <c r="L71" s="35">
        <f t="shared" si="32"/>
        <v>0</v>
      </c>
      <c r="M71" s="2"/>
      <c r="O71" s="19"/>
      <c r="P71" s="19"/>
      <c r="Q71" s="19"/>
      <c r="R71" s="21"/>
      <c r="S71" s="46"/>
      <c r="T71" s="44"/>
      <c r="U71" s="77"/>
      <c r="V71" s="30"/>
      <c r="W71" s="24"/>
      <c r="X71" s="193"/>
      <c r="Y71" s="15"/>
      <c r="AA71">
        <v>12</v>
      </c>
      <c r="AB71" s="487"/>
      <c r="AC71" s="90">
        <v>3</v>
      </c>
      <c r="AD71" s="97" t="s">
        <v>102</v>
      </c>
      <c r="AE71" s="39">
        <f>SUM(AF71:AI71)</f>
        <v>0</v>
      </c>
      <c r="AF71" s="65">
        <f>SUMIFS($I:$I,$C:$C, $AF$2,$G:$G,$AA71,$H:$H,$AC71)</f>
        <v>0</v>
      </c>
      <c r="AG71" s="65">
        <f>SUMIFS($I:$I,$C:$C, $AG$2,$G:$G,$AA71,$H:$H,$AC71)</f>
        <v>0</v>
      </c>
      <c r="AH71" s="65">
        <f>SUMIFS($I:$I,$C:$C, $AH$2,$G:$G,$AA71,$H:$H,$AC71)</f>
        <v>0</v>
      </c>
      <c r="AI71" s="104">
        <f>SUMIFS($I:$I,$C:$C, $AI$2,$G:$G,$AA71,$H:$H,$AC71)</f>
        <v>0</v>
      </c>
      <c r="AJ71" s="115">
        <f>SUM(AK71:AN71)</f>
        <v>0</v>
      </c>
      <c r="AK71" s="116">
        <f>COUNTIFS($C:$C, $AK$2,$G:$G,$AA71,$H:$H,$AC71)</f>
        <v>0</v>
      </c>
      <c r="AL71" s="116">
        <f>COUNTIFS($C:$C, $AL$2,$G:$G,$AA71,$H:$H,$AC71)</f>
        <v>0</v>
      </c>
      <c r="AM71" s="116">
        <f>COUNTIFS($C:$C, $AM$2,$G:$G,$AA71,$H:$H,$AC71)</f>
        <v>0</v>
      </c>
      <c r="AN71" s="117">
        <f>COUNTIFS($C:$C, $AN$2,$G:$G,$AA71,$H:$H,$AC71)</f>
        <v>0</v>
      </c>
      <c r="AO71" s="39">
        <f>SUM(AP71:AS71)</f>
        <v>0</v>
      </c>
      <c r="AP71" s="65">
        <f>SUMIFS($L:$L,$C:$C, $AP$2,$G:$G,$AA71,$H:$H,$AC71)</f>
        <v>0</v>
      </c>
      <c r="AQ71" s="65">
        <f>SUMIFS($L:$L,$C:$C, $AQ$2,$G:$G,$AA71,$H:$H,$AC71)</f>
        <v>0</v>
      </c>
      <c r="AR71" s="65">
        <f>SUMIFS($L:$L,$C:$C, $AR$2,$G:$G,$AA71,$H:$H,$AC71)</f>
        <v>0</v>
      </c>
      <c r="AS71" s="65">
        <f>SUMIFS($L:$L,$C:$C, $AS$2,$G:$G,$AA71,$H:$H,$AC71)</f>
        <v>0</v>
      </c>
    </row>
    <row r="72" spans="2:45" x14ac:dyDescent="0.25">
      <c r="B72" s="15">
        <v>70</v>
      </c>
      <c r="C72" s="8"/>
      <c r="E72" s="67"/>
      <c r="F72" s="380"/>
      <c r="G72" s="8"/>
      <c r="H72" s="8"/>
      <c r="I72" s="8"/>
      <c r="J72" s="9"/>
      <c r="K72" s="9">
        <f t="shared" si="31"/>
        <v>0</v>
      </c>
      <c r="L72" s="35">
        <f t="shared" si="32"/>
        <v>0</v>
      </c>
      <c r="M72" s="2"/>
      <c r="O72" s="19"/>
      <c r="P72" s="19"/>
      <c r="Q72" s="19"/>
      <c r="R72" s="21"/>
      <c r="S72" s="46"/>
      <c r="T72" s="44"/>
      <c r="U72" s="77"/>
      <c r="V72" s="30"/>
      <c r="W72" s="24"/>
      <c r="X72" s="193"/>
      <c r="Y72" s="15"/>
      <c r="AA72">
        <v>12</v>
      </c>
      <c r="AB72" s="487"/>
      <c r="AC72" s="90">
        <v>4</v>
      </c>
      <c r="AD72" s="97" t="s">
        <v>103</v>
      </c>
      <c r="AE72" s="39">
        <f>SUM(AF72:AI72)</f>
        <v>0</v>
      </c>
      <c r="AF72" s="65">
        <f>SUMIFS($I:$I,$C:$C, $AF$2,$G:$G,$AA72,$H:$H,$AC72)</f>
        <v>0</v>
      </c>
      <c r="AG72" s="65">
        <f>SUMIFS($I:$I,$C:$C, $AG$2,$G:$G,$AA72,$H:$H,$AC72)</f>
        <v>0</v>
      </c>
      <c r="AH72" s="65">
        <f>SUMIFS($I:$I,$C:$C, $AH$2,$G:$G,$AA72,$H:$H,$AC72)</f>
        <v>0</v>
      </c>
      <c r="AI72" s="104">
        <f>SUMIFS($I:$I,$C:$C, $AI$2,$G:$G,$AA72,$H:$H,$AC72)</f>
        <v>0</v>
      </c>
      <c r="AJ72" s="115">
        <f>SUM(AK72:AN72)</f>
        <v>0</v>
      </c>
      <c r="AK72" s="116">
        <f>COUNTIFS($C:$C, $AK$2,$G:$G,$AA72,$H:$H,$AC72)</f>
        <v>0</v>
      </c>
      <c r="AL72" s="116">
        <f>COUNTIFS($C:$C, $AL$2,$G:$G,$AA72,$H:$H,$AC72)</f>
        <v>0</v>
      </c>
      <c r="AM72" s="116">
        <f>COUNTIFS($C:$C, $AM$2,$G:$G,$AA72,$H:$H,$AC72)</f>
        <v>0</v>
      </c>
      <c r="AN72" s="117">
        <f>COUNTIFS($C:$C, $AN$2,$G:$G,$AA72,$H:$H,$AC72)</f>
        <v>0</v>
      </c>
      <c r="AO72" s="39">
        <f>SUM(AP72:AS72)</f>
        <v>0</v>
      </c>
      <c r="AP72" s="65">
        <f>SUMIFS($L:$L,$C:$C, $AP$2,$G:$G,$AA72,$H:$H,$AC72)</f>
        <v>0</v>
      </c>
      <c r="AQ72" s="65">
        <f>SUMIFS($L:$L,$C:$C, $AQ$2,$G:$G,$AA72,$H:$H,$AC72)</f>
        <v>0</v>
      </c>
      <c r="AR72" s="65">
        <f>SUMIFS($L:$L,$C:$C, $AR$2,$G:$G,$AA72,$H:$H,$AC72)</f>
        <v>0</v>
      </c>
      <c r="AS72" s="65">
        <f>SUMIFS($L:$L,$C:$C, $AS$2,$G:$G,$AA72,$H:$H,$AC72)</f>
        <v>0</v>
      </c>
    </row>
    <row r="73" spans="2:45" x14ac:dyDescent="0.25">
      <c r="B73" s="15">
        <v>71</v>
      </c>
      <c r="C73" s="8"/>
      <c r="E73" s="67"/>
      <c r="F73" s="380"/>
      <c r="G73" s="8"/>
      <c r="H73" s="8"/>
      <c r="I73" s="8"/>
      <c r="J73" s="9"/>
      <c r="K73" s="9">
        <f t="shared" si="31"/>
        <v>0</v>
      </c>
      <c r="L73" s="35">
        <f t="shared" si="32"/>
        <v>0</v>
      </c>
      <c r="M73" s="2"/>
      <c r="O73" s="19"/>
      <c r="P73" s="19"/>
      <c r="Q73" s="19"/>
      <c r="R73" s="21"/>
      <c r="S73" s="46"/>
      <c r="T73" s="44"/>
      <c r="U73" s="77"/>
      <c r="V73" s="24"/>
      <c r="W73" s="24"/>
      <c r="X73" s="193"/>
      <c r="Y73" s="15"/>
      <c r="AA73">
        <v>12</v>
      </c>
      <c r="AB73" s="487"/>
      <c r="AC73" s="91">
        <v>5</v>
      </c>
      <c r="AD73" s="100" t="s">
        <v>107</v>
      </c>
      <c r="AE73" s="39">
        <f>SUM(AF73:AI73)</f>
        <v>0</v>
      </c>
      <c r="AF73" s="65">
        <f>SUMIFS($I:$I,$C:$C, $AF$2,$G:$G,$AA73,$H:$H,$AC73)</f>
        <v>0</v>
      </c>
      <c r="AG73" s="65">
        <f>SUMIFS($I:$I,$C:$C, $AG$2,$G:$G,$AA73,$H:$H,$AC73)</f>
        <v>0</v>
      </c>
      <c r="AH73" s="65">
        <f>SUMIFS($I:$I,$C:$C, $AH$2,$G:$G,$AA73,$H:$H,$AC73)</f>
        <v>0</v>
      </c>
      <c r="AI73" s="104">
        <f>SUMIFS($I:$I,$C:$C, $AI$2,$G:$G,$AA73,$H:$H,$AC73)</f>
        <v>0</v>
      </c>
      <c r="AJ73" s="115">
        <f>SUM(AK73:AN73)</f>
        <v>0</v>
      </c>
      <c r="AK73" s="116">
        <f>COUNTIFS($C:$C, $AK$2,$G:$G,$AA73,$H:$H,$AC73)</f>
        <v>0</v>
      </c>
      <c r="AL73" s="116">
        <f>COUNTIFS($C:$C, $AL$2,$G:$G,$AA73,$H:$H,$AC73)</f>
        <v>0</v>
      </c>
      <c r="AM73" s="116">
        <f>COUNTIFS($C:$C, $AM$2,$G:$G,$AA73,$H:$H,$AC73)</f>
        <v>0</v>
      </c>
      <c r="AN73" s="117">
        <f>COUNTIFS($C:$C, $AN$2,$G:$G,$AA73,$H:$H,$AC73)</f>
        <v>0</v>
      </c>
      <c r="AO73" s="39">
        <f>SUM(AP73:AS73)</f>
        <v>0</v>
      </c>
      <c r="AP73" s="65">
        <f>SUMIFS($L:$L,$C:$C, $AP$2,$G:$G,$AA73,$H:$H,$AC73)</f>
        <v>0</v>
      </c>
      <c r="AQ73" s="65">
        <f>SUMIFS($L:$L,$C:$C, $AQ$2,$G:$G,$AA73,$H:$H,$AC73)</f>
        <v>0</v>
      </c>
      <c r="AR73" s="65">
        <f>SUMIFS($L:$L,$C:$C, $AR$2,$G:$G,$AA73,$H:$H,$AC73)</f>
        <v>0</v>
      </c>
      <c r="AS73" s="65">
        <f>SUMIFS($L:$L,$C:$C, $AS$2,$G:$G,$AA73,$H:$H,$AC73)</f>
        <v>0</v>
      </c>
    </row>
    <row r="74" spans="2:45" ht="14.25" thickBot="1" x14ac:dyDescent="0.3">
      <c r="B74" s="15">
        <v>72</v>
      </c>
      <c r="C74" s="8"/>
      <c r="E74" s="67"/>
      <c r="F74" s="380"/>
      <c r="G74" s="8"/>
      <c r="H74" s="8"/>
      <c r="I74" s="8"/>
      <c r="J74" s="9"/>
      <c r="K74" s="9">
        <f t="shared" si="31"/>
        <v>0</v>
      </c>
      <c r="L74" s="35">
        <f t="shared" si="32"/>
        <v>0</v>
      </c>
      <c r="M74" s="2"/>
      <c r="O74" s="19"/>
      <c r="P74" s="19"/>
      <c r="Q74" s="19"/>
      <c r="R74" s="21"/>
      <c r="S74" s="46"/>
      <c r="T74" s="44"/>
      <c r="U74" s="77"/>
      <c r="V74" s="24"/>
      <c r="W74" s="24"/>
      <c r="X74" s="193"/>
      <c r="Y74" s="15"/>
      <c r="AA74">
        <v>12</v>
      </c>
      <c r="AB74" s="488"/>
      <c r="AC74" s="92" t="s">
        <v>3</v>
      </c>
      <c r="AD74" s="101"/>
      <c r="AE74" s="94">
        <f>SUM(AE69:AE73)</f>
        <v>0</v>
      </c>
      <c r="AF74" s="94">
        <f t="shared" ref="AF74:AS74" si="34">SUM(AF69:AF73)</f>
        <v>0</v>
      </c>
      <c r="AG74" s="94">
        <f t="shared" si="34"/>
        <v>0</v>
      </c>
      <c r="AH74" s="94">
        <f t="shared" si="34"/>
        <v>0</v>
      </c>
      <c r="AI74" s="105">
        <f t="shared" si="34"/>
        <v>0</v>
      </c>
      <c r="AJ74" s="118">
        <f t="shared" si="34"/>
        <v>0</v>
      </c>
      <c r="AK74" s="119">
        <f t="shared" si="34"/>
        <v>0</v>
      </c>
      <c r="AL74" s="119">
        <f t="shared" si="34"/>
        <v>0</v>
      </c>
      <c r="AM74" s="119">
        <f t="shared" si="34"/>
        <v>0</v>
      </c>
      <c r="AN74" s="120">
        <f t="shared" si="34"/>
        <v>0</v>
      </c>
      <c r="AO74" s="94">
        <f t="shared" si="34"/>
        <v>0</v>
      </c>
      <c r="AP74" s="94">
        <f t="shared" si="34"/>
        <v>0</v>
      </c>
      <c r="AQ74" s="94">
        <f t="shared" si="34"/>
        <v>0</v>
      </c>
      <c r="AR74" s="94">
        <f t="shared" si="34"/>
        <v>0</v>
      </c>
      <c r="AS74" s="94">
        <f t="shared" si="34"/>
        <v>0</v>
      </c>
    </row>
    <row r="75" spans="2:45" ht="17.25" thickBot="1" x14ac:dyDescent="0.3">
      <c r="B75" s="15">
        <v>73</v>
      </c>
      <c r="C75" s="8"/>
      <c r="E75" s="67"/>
      <c r="F75" s="380"/>
      <c r="G75" s="8"/>
      <c r="H75" s="8"/>
      <c r="I75" s="8"/>
      <c r="J75" s="9"/>
      <c r="K75" s="9">
        <f t="shared" si="31"/>
        <v>0</v>
      </c>
      <c r="L75" s="35">
        <f t="shared" si="32"/>
        <v>0</v>
      </c>
      <c r="M75" s="2"/>
      <c r="O75" s="19"/>
      <c r="P75" s="19"/>
      <c r="Q75" s="19"/>
      <c r="R75" s="21"/>
      <c r="S75" s="46"/>
      <c r="T75" s="44"/>
      <c r="U75" s="77"/>
      <c r="V75" s="24"/>
      <c r="W75" s="24"/>
      <c r="X75" s="193"/>
      <c r="Y75" s="15"/>
      <c r="AB75" s="489" t="s">
        <v>31</v>
      </c>
      <c r="AC75" s="490"/>
      <c r="AD75" s="103"/>
      <c r="AE75" s="85">
        <f>SUM(AE8,AE14,AE20,AE26,AE32,AE38,AE44,AE50,AE56,AE62,AE68,AE74)</f>
        <v>7229.5700000000006</v>
      </c>
      <c r="AF75" s="85"/>
      <c r="AG75" s="85"/>
      <c r="AH75" s="86"/>
      <c r="AI75" s="86"/>
      <c r="AJ75" s="121"/>
      <c r="AK75" s="122"/>
      <c r="AL75" s="122"/>
      <c r="AM75" s="122"/>
      <c r="AN75" s="123"/>
      <c r="AO75" s="87"/>
      <c r="AP75" s="87"/>
      <c r="AQ75" s="87"/>
      <c r="AR75" s="87"/>
      <c r="AS75" s="88"/>
    </row>
    <row r="76" spans="2:45" x14ac:dyDescent="0.25">
      <c r="B76" s="15">
        <v>74</v>
      </c>
      <c r="C76" s="8"/>
      <c r="E76" s="67"/>
      <c r="F76" s="380"/>
      <c r="G76" s="8"/>
      <c r="H76" s="8"/>
      <c r="I76" s="8"/>
      <c r="J76" s="9"/>
      <c r="K76" s="9">
        <f t="shared" si="31"/>
        <v>0</v>
      </c>
      <c r="L76" s="35">
        <f t="shared" si="32"/>
        <v>0</v>
      </c>
      <c r="M76" s="2"/>
      <c r="O76" s="19"/>
      <c r="P76" s="19"/>
      <c r="Q76" s="19"/>
      <c r="R76" s="21"/>
      <c r="S76" s="46"/>
      <c r="T76" s="44"/>
      <c r="U76" s="77"/>
      <c r="V76" s="30"/>
      <c r="W76" s="24"/>
      <c r="X76" s="193"/>
      <c r="Y76" s="15"/>
    </row>
    <row r="77" spans="2:45" x14ac:dyDescent="0.25">
      <c r="B77" s="15">
        <v>75</v>
      </c>
      <c r="C77" s="8"/>
      <c r="E77" s="67"/>
      <c r="F77" s="380"/>
      <c r="G77" s="8"/>
      <c r="H77" s="8"/>
      <c r="I77" s="8"/>
      <c r="J77" s="9"/>
      <c r="K77" s="9">
        <f t="shared" si="31"/>
        <v>0</v>
      </c>
      <c r="L77" s="35">
        <f t="shared" si="32"/>
        <v>0</v>
      </c>
      <c r="M77" s="2"/>
      <c r="O77" s="19"/>
      <c r="P77" s="19"/>
      <c r="Q77" s="19"/>
      <c r="R77" s="21"/>
      <c r="S77" s="46"/>
      <c r="T77" s="44"/>
      <c r="U77" s="77"/>
      <c r="V77" s="24"/>
      <c r="W77" s="24"/>
      <c r="X77" s="193"/>
      <c r="Y77" s="15"/>
    </row>
    <row r="78" spans="2:45" x14ac:dyDescent="0.25">
      <c r="B78" s="15">
        <v>76</v>
      </c>
      <c r="C78" s="8"/>
      <c r="E78" s="67"/>
      <c r="F78" s="380"/>
      <c r="G78" s="8"/>
      <c r="H78" s="8"/>
      <c r="I78" s="8"/>
      <c r="J78" s="9"/>
      <c r="K78" s="9">
        <f t="shared" si="31"/>
        <v>0</v>
      </c>
      <c r="L78" s="35">
        <f t="shared" si="32"/>
        <v>0</v>
      </c>
      <c r="M78" s="2"/>
      <c r="O78" s="19"/>
      <c r="P78" s="19"/>
      <c r="Q78" s="19"/>
      <c r="R78" s="21"/>
      <c r="S78" s="46"/>
      <c r="T78" s="44"/>
      <c r="U78" s="77"/>
      <c r="V78" s="24"/>
      <c r="W78" s="24"/>
      <c r="X78" s="193"/>
      <c r="Y78" s="15"/>
    </row>
    <row r="79" spans="2:45" x14ac:dyDescent="0.25">
      <c r="B79" s="15">
        <v>77</v>
      </c>
      <c r="C79" s="8"/>
      <c r="E79" s="67"/>
      <c r="F79" s="380"/>
      <c r="G79" s="8"/>
      <c r="H79" s="8"/>
      <c r="I79" s="8"/>
      <c r="J79" s="9"/>
      <c r="K79" s="9">
        <f t="shared" si="31"/>
        <v>0</v>
      </c>
      <c r="L79" s="35">
        <f t="shared" si="32"/>
        <v>0</v>
      </c>
      <c r="M79" s="2"/>
      <c r="O79" s="19"/>
      <c r="P79" s="19"/>
      <c r="Q79" s="19"/>
      <c r="R79" s="21"/>
      <c r="S79" s="46"/>
      <c r="T79" s="44"/>
      <c r="U79" s="77"/>
      <c r="V79" s="24"/>
      <c r="W79" s="24"/>
      <c r="X79" s="193"/>
      <c r="Y79" s="15"/>
    </row>
    <row r="80" spans="2:45" x14ac:dyDescent="0.25">
      <c r="B80" s="15">
        <v>78</v>
      </c>
      <c r="C80" s="8"/>
      <c r="E80" s="67"/>
      <c r="F80" s="380"/>
      <c r="G80" s="8"/>
      <c r="H80" s="8"/>
      <c r="I80" s="8"/>
      <c r="J80" s="9"/>
      <c r="K80" s="9">
        <f t="shared" si="31"/>
        <v>0</v>
      </c>
      <c r="L80" s="35">
        <f t="shared" si="32"/>
        <v>0</v>
      </c>
      <c r="M80" s="2"/>
      <c r="O80" s="19"/>
      <c r="P80" s="19"/>
      <c r="Q80" s="19"/>
      <c r="R80" s="21"/>
      <c r="S80" s="46"/>
      <c r="T80" s="44"/>
      <c r="U80" s="77"/>
      <c r="V80" s="24"/>
      <c r="W80" s="24"/>
      <c r="X80" s="193"/>
      <c r="Y80" s="15"/>
    </row>
    <row r="81" spans="2:25" x14ac:dyDescent="0.25">
      <c r="B81" s="15">
        <v>79</v>
      </c>
      <c r="C81" s="8"/>
      <c r="E81" s="67"/>
      <c r="F81" s="380"/>
      <c r="G81" s="8"/>
      <c r="H81" s="8"/>
      <c r="I81" s="8"/>
      <c r="J81" s="9"/>
      <c r="K81" s="9">
        <f t="shared" si="31"/>
        <v>0</v>
      </c>
      <c r="L81" s="35">
        <f t="shared" si="32"/>
        <v>0</v>
      </c>
      <c r="M81" s="2"/>
      <c r="O81" s="19"/>
      <c r="P81" s="19"/>
      <c r="Q81" s="19"/>
      <c r="R81" s="21"/>
      <c r="S81" s="46"/>
      <c r="T81" s="44"/>
      <c r="U81" s="77"/>
      <c r="V81" s="24"/>
      <c r="W81" s="24"/>
      <c r="X81" s="193"/>
      <c r="Y81" s="15"/>
    </row>
    <row r="82" spans="2:25" x14ac:dyDescent="0.25">
      <c r="B82" s="15">
        <v>80</v>
      </c>
      <c r="C82" s="8"/>
      <c r="E82" s="67"/>
      <c r="F82" s="380"/>
      <c r="G82" s="8"/>
      <c r="H82" s="8"/>
      <c r="I82" s="8"/>
      <c r="J82" s="9"/>
      <c r="K82" s="9">
        <f t="shared" si="31"/>
        <v>0</v>
      </c>
      <c r="L82" s="35">
        <f t="shared" si="32"/>
        <v>0</v>
      </c>
      <c r="M82" s="2"/>
      <c r="O82" s="19"/>
      <c r="P82" s="19"/>
      <c r="Q82" s="19"/>
      <c r="R82" s="21"/>
      <c r="S82" s="46"/>
      <c r="T82" s="44"/>
      <c r="U82" s="77"/>
      <c r="V82" s="30"/>
      <c r="W82" s="24"/>
      <c r="X82" s="193"/>
      <c r="Y82" s="15"/>
    </row>
    <row r="83" spans="2:25" x14ac:dyDescent="0.25">
      <c r="B83" s="15">
        <v>81</v>
      </c>
      <c r="C83" s="8"/>
      <c r="E83" s="67"/>
      <c r="F83" s="380"/>
      <c r="G83" s="8"/>
      <c r="H83" s="8"/>
      <c r="I83" s="8"/>
      <c r="J83" s="9"/>
      <c r="K83" s="9">
        <f t="shared" si="31"/>
        <v>0</v>
      </c>
      <c r="L83" s="35">
        <f t="shared" si="32"/>
        <v>0</v>
      </c>
      <c r="M83" s="2"/>
      <c r="O83" s="19"/>
      <c r="P83" s="19"/>
      <c r="Q83" s="19"/>
      <c r="R83" s="21"/>
      <c r="S83" s="46"/>
      <c r="T83" s="44"/>
      <c r="U83" s="77"/>
      <c r="V83" s="24"/>
      <c r="W83" s="24"/>
      <c r="X83" s="193"/>
      <c r="Y83" s="15"/>
    </row>
    <row r="84" spans="2:25" x14ac:dyDescent="0.25">
      <c r="B84" s="15">
        <v>82</v>
      </c>
      <c r="C84" s="8"/>
      <c r="E84" s="67"/>
      <c r="F84" s="380"/>
      <c r="G84" s="8"/>
      <c r="H84" s="8"/>
      <c r="I84" s="8"/>
      <c r="J84" s="9"/>
      <c r="K84" s="9">
        <f t="shared" si="31"/>
        <v>0</v>
      </c>
      <c r="L84" s="35">
        <f t="shared" si="32"/>
        <v>0</v>
      </c>
      <c r="M84" s="2"/>
      <c r="O84" s="19"/>
      <c r="P84" s="19"/>
      <c r="Q84" s="19"/>
      <c r="R84" s="21"/>
      <c r="S84" s="46"/>
      <c r="T84" s="44"/>
      <c r="U84" s="77"/>
      <c r="V84" s="24"/>
      <c r="W84" s="24"/>
      <c r="X84" s="193"/>
      <c r="Y84" s="15"/>
    </row>
    <row r="85" spans="2:25" x14ac:dyDescent="0.25">
      <c r="B85" s="15">
        <v>83</v>
      </c>
      <c r="C85" s="8"/>
      <c r="E85" s="67"/>
      <c r="F85" s="380"/>
      <c r="G85" s="8"/>
      <c r="H85" s="8"/>
      <c r="I85" s="8"/>
      <c r="J85" s="9"/>
      <c r="K85" s="9">
        <f t="shared" si="31"/>
        <v>0</v>
      </c>
      <c r="L85" s="35">
        <f t="shared" si="32"/>
        <v>0</v>
      </c>
      <c r="M85" s="2"/>
      <c r="O85" s="19"/>
      <c r="P85" s="19"/>
      <c r="Q85" s="19"/>
      <c r="R85" s="21"/>
      <c r="S85" s="46"/>
      <c r="T85" s="44"/>
      <c r="U85" s="77"/>
      <c r="V85" s="24"/>
      <c r="W85" s="24"/>
      <c r="X85" s="193"/>
      <c r="Y85" s="15"/>
    </row>
    <row r="86" spans="2:25" x14ac:dyDescent="0.25">
      <c r="B86" s="15">
        <v>84</v>
      </c>
      <c r="C86" s="8"/>
      <c r="E86" s="67"/>
      <c r="F86" s="380"/>
      <c r="G86" s="8"/>
      <c r="H86" s="8"/>
      <c r="I86" s="8"/>
      <c r="J86" s="9"/>
      <c r="K86" s="9">
        <f t="shared" si="31"/>
        <v>0</v>
      </c>
      <c r="L86" s="35">
        <f t="shared" si="32"/>
        <v>0</v>
      </c>
      <c r="M86" s="2"/>
      <c r="O86" s="19"/>
      <c r="P86" s="19"/>
      <c r="Q86" s="19"/>
      <c r="R86" s="21"/>
      <c r="S86" s="46"/>
      <c r="T86" s="44"/>
      <c r="U86" s="77"/>
      <c r="V86" s="24"/>
      <c r="W86" s="24"/>
      <c r="X86" s="193"/>
      <c r="Y86" s="15"/>
    </row>
    <row r="87" spans="2:25" x14ac:dyDescent="0.25">
      <c r="B87" s="15">
        <v>85</v>
      </c>
      <c r="C87" s="8"/>
      <c r="E87" s="67"/>
      <c r="F87" s="380"/>
      <c r="G87" s="8"/>
      <c r="H87" s="8"/>
      <c r="I87" s="8"/>
      <c r="J87" s="9"/>
      <c r="K87" s="9">
        <f t="shared" si="31"/>
        <v>0</v>
      </c>
      <c r="L87" s="35">
        <f t="shared" si="32"/>
        <v>0</v>
      </c>
      <c r="M87" s="2"/>
      <c r="O87" s="19"/>
      <c r="P87" s="19"/>
      <c r="Q87" s="19"/>
      <c r="R87" s="21"/>
      <c r="S87" s="46"/>
      <c r="T87" s="44"/>
      <c r="U87" s="77"/>
      <c r="V87" s="24"/>
      <c r="W87" s="24"/>
      <c r="X87" s="193"/>
      <c r="Y87" s="15"/>
    </row>
    <row r="88" spans="2:25" x14ac:dyDescent="0.25">
      <c r="B88" s="15">
        <v>86</v>
      </c>
      <c r="C88" s="8"/>
      <c r="E88" s="67"/>
      <c r="F88" s="380"/>
      <c r="G88" s="8"/>
      <c r="H88" s="8"/>
      <c r="I88" s="8"/>
      <c r="J88" s="9"/>
      <c r="K88" s="9">
        <f t="shared" si="31"/>
        <v>0</v>
      </c>
      <c r="L88" s="35">
        <f t="shared" si="32"/>
        <v>0</v>
      </c>
      <c r="M88" s="2"/>
      <c r="O88" s="19"/>
      <c r="P88" s="19"/>
      <c r="Q88" s="19"/>
      <c r="R88" s="21"/>
      <c r="S88" s="46"/>
      <c r="T88" s="44"/>
      <c r="U88" s="77"/>
      <c r="V88" s="30"/>
      <c r="W88" s="24"/>
      <c r="X88" s="193"/>
      <c r="Y88" s="15"/>
    </row>
    <row r="89" spans="2:25" x14ac:dyDescent="0.25">
      <c r="B89" s="15">
        <v>87</v>
      </c>
      <c r="C89" s="8"/>
      <c r="E89" s="67"/>
      <c r="F89" s="380"/>
      <c r="G89" s="8"/>
      <c r="H89" s="8"/>
      <c r="I89" s="8"/>
      <c r="J89" s="9"/>
      <c r="K89" s="9">
        <f t="shared" si="31"/>
        <v>0</v>
      </c>
      <c r="L89" s="35">
        <f t="shared" si="32"/>
        <v>0</v>
      </c>
      <c r="M89" s="2"/>
      <c r="O89" s="19"/>
      <c r="P89" s="19"/>
      <c r="Q89" s="19"/>
      <c r="R89" s="21"/>
      <c r="S89" s="46"/>
      <c r="T89" s="44"/>
      <c r="U89" s="77"/>
      <c r="V89" s="30"/>
      <c r="W89" s="24"/>
      <c r="X89" s="193"/>
      <c r="Y89" s="15"/>
    </row>
    <row r="90" spans="2:25" x14ac:dyDescent="0.25">
      <c r="B90" s="15">
        <v>88</v>
      </c>
      <c r="C90" s="8"/>
      <c r="E90" s="67"/>
      <c r="F90" s="380"/>
      <c r="G90" s="8"/>
      <c r="H90" s="8"/>
      <c r="I90" s="8"/>
      <c r="J90" s="9"/>
      <c r="K90" s="9">
        <f t="shared" si="31"/>
        <v>0</v>
      </c>
      <c r="L90" s="35">
        <f t="shared" si="32"/>
        <v>0</v>
      </c>
      <c r="M90" s="2"/>
      <c r="O90" s="19"/>
      <c r="P90" s="19"/>
      <c r="Q90" s="19"/>
      <c r="R90" s="21"/>
      <c r="S90" s="46"/>
      <c r="T90" s="44"/>
      <c r="U90" s="77"/>
      <c r="V90" s="24"/>
      <c r="W90" s="24"/>
      <c r="X90" s="193"/>
      <c r="Y90" s="15"/>
    </row>
    <row r="91" spans="2:25" x14ac:dyDescent="0.25">
      <c r="B91" s="15">
        <v>89</v>
      </c>
      <c r="C91" s="8"/>
      <c r="E91" s="67"/>
      <c r="F91" s="380"/>
      <c r="G91" s="8"/>
      <c r="H91" s="8"/>
      <c r="I91" s="8"/>
      <c r="J91" s="9"/>
      <c r="K91" s="9">
        <f t="shared" si="31"/>
        <v>0</v>
      </c>
      <c r="L91" s="35">
        <f t="shared" si="32"/>
        <v>0</v>
      </c>
      <c r="M91" s="2"/>
      <c r="O91" s="19"/>
      <c r="P91" s="19"/>
      <c r="Q91" s="19"/>
      <c r="R91" s="21"/>
      <c r="S91" s="46"/>
      <c r="T91" s="44"/>
      <c r="U91" s="77"/>
      <c r="V91" s="24"/>
      <c r="W91" s="24"/>
      <c r="X91" s="193"/>
      <c r="Y91" s="15"/>
    </row>
    <row r="92" spans="2:25" x14ac:dyDescent="0.25">
      <c r="B92" s="15">
        <v>90</v>
      </c>
      <c r="C92" s="8"/>
      <c r="E92" s="67"/>
      <c r="F92" s="380"/>
      <c r="G92" s="8"/>
      <c r="H92" s="8"/>
      <c r="I92" s="8"/>
      <c r="J92" s="9"/>
      <c r="K92" s="9">
        <f t="shared" si="31"/>
        <v>0</v>
      </c>
      <c r="L92" s="35">
        <f t="shared" si="32"/>
        <v>0</v>
      </c>
      <c r="M92" s="2"/>
      <c r="O92" s="19"/>
      <c r="P92" s="19"/>
      <c r="Q92" s="19"/>
      <c r="R92" s="21"/>
      <c r="S92" s="46"/>
      <c r="T92" s="44"/>
      <c r="U92" s="77"/>
      <c r="V92" s="24"/>
      <c r="W92" s="24"/>
      <c r="X92" s="193"/>
      <c r="Y92" s="15"/>
    </row>
    <row r="93" spans="2:25" x14ac:dyDescent="0.25">
      <c r="B93" s="15">
        <v>91</v>
      </c>
      <c r="C93" s="8"/>
      <c r="E93" s="67"/>
      <c r="F93" s="380"/>
      <c r="G93" s="8"/>
      <c r="H93" s="8"/>
      <c r="I93" s="8"/>
      <c r="J93" s="9"/>
      <c r="K93" s="9">
        <f t="shared" si="31"/>
        <v>0</v>
      </c>
      <c r="L93" s="35">
        <f t="shared" si="32"/>
        <v>0</v>
      </c>
      <c r="M93" s="2"/>
      <c r="O93" s="19"/>
      <c r="P93" s="19"/>
      <c r="Q93" s="19"/>
      <c r="R93" s="21"/>
      <c r="S93" s="46"/>
      <c r="T93" s="44"/>
      <c r="U93" s="77"/>
      <c r="V93" s="24"/>
      <c r="W93" s="24"/>
      <c r="X93" s="193"/>
      <c r="Y93" s="15"/>
    </row>
    <row r="94" spans="2:25" x14ac:dyDescent="0.25">
      <c r="B94" s="15">
        <v>92</v>
      </c>
      <c r="C94" s="8"/>
      <c r="E94" s="67"/>
      <c r="F94" s="380"/>
      <c r="G94" s="8"/>
      <c r="H94" s="8"/>
      <c r="I94" s="8"/>
      <c r="J94" s="9"/>
      <c r="K94" s="9">
        <f t="shared" si="31"/>
        <v>0</v>
      </c>
      <c r="L94" s="35">
        <f t="shared" si="32"/>
        <v>0</v>
      </c>
      <c r="M94" s="2"/>
      <c r="O94" s="19"/>
      <c r="P94" s="19"/>
      <c r="Q94" s="19"/>
      <c r="R94" s="21"/>
      <c r="S94" s="46"/>
      <c r="T94" s="44"/>
      <c r="U94" s="77"/>
      <c r="V94" s="24"/>
      <c r="W94" s="24"/>
      <c r="X94" s="193"/>
      <c r="Y94" s="15"/>
    </row>
    <row r="95" spans="2:25" x14ac:dyDescent="0.25">
      <c r="B95" s="15">
        <v>93</v>
      </c>
      <c r="C95" s="8"/>
      <c r="E95" s="67"/>
      <c r="F95" s="380"/>
      <c r="G95" s="8"/>
      <c r="H95" s="8"/>
      <c r="I95" s="8"/>
      <c r="J95" s="9"/>
      <c r="K95" s="9">
        <f t="shared" si="31"/>
        <v>0</v>
      </c>
      <c r="L95" s="35">
        <f t="shared" si="32"/>
        <v>0</v>
      </c>
      <c r="M95" s="2"/>
      <c r="O95" s="19"/>
      <c r="P95" s="19"/>
      <c r="Q95" s="19"/>
      <c r="R95" s="46"/>
      <c r="S95" s="46"/>
      <c r="T95" s="44"/>
      <c r="U95" s="77"/>
      <c r="V95" s="30"/>
      <c r="W95" s="24"/>
      <c r="X95" s="193"/>
      <c r="Y95" s="15"/>
    </row>
    <row r="96" spans="2:25" x14ac:dyDescent="0.25">
      <c r="B96" s="15">
        <v>94</v>
      </c>
      <c r="C96" s="8"/>
      <c r="E96" s="67"/>
      <c r="F96" s="380"/>
      <c r="G96" s="8"/>
      <c r="H96" s="8"/>
      <c r="I96" s="8"/>
      <c r="J96" s="9"/>
      <c r="K96" s="9">
        <f t="shared" si="31"/>
        <v>0</v>
      </c>
      <c r="L96" s="35">
        <f t="shared" si="32"/>
        <v>0</v>
      </c>
      <c r="M96" s="2"/>
      <c r="O96" s="19"/>
      <c r="P96" s="19"/>
      <c r="Q96" s="19"/>
      <c r="R96" s="254"/>
      <c r="S96" s="46"/>
      <c r="T96" s="44"/>
      <c r="U96" s="77"/>
      <c r="V96" s="30"/>
      <c r="W96" s="24"/>
      <c r="X96" s="193"/>
      <c r="Y96" s="15"/>
    </row>
    <row r="97" spans="2:25" x14ac:dyDescent="0.25">
      <c r="B97" s="15">
        <v>95</v>
      </c>
      <c r="C97" s="8"/>
      <c r="E97" s="67"/>
      <c r="F97" s="380"/>
      <c r="G97" s="8"/>
      <c r="H97" s="8"/>
      <c r="I97" s="8"/>
      <c r="J97" s="9"/>
      <c r="K97" s="9">
        <f t="shared" si="31"/>
        <v>0</v>
      </c>
      <c r="L97" s="35">
        <f t="shared" si="32"/>
        <v>0</v>
      </c>
      <c r="M97" s="2"/>
      <c r="O97" s="19"/>
      <c r="P97" s="19"/>
      <c r="Q97" s="19"/>
      <c r="R97" s="21"/>
      <c r="S97" s="46"/>
      <c r="T97" s="44"/>
      <c r="U97" s="77"/>
      <c r="V97" s="30"/>
      <c r="W97" s="24"/>
      <c r="X97" s="193"/>
      <c r="Y97" s="15"/>
    </row>
    <row r="98" spans="2:25" x14ac:dyDescent="0.25">
      <c r="B98" s="15">
        <v>96</v>
      </c>
      <c r="C98" s="8"/>
      <c r="E98" s="67"/>
      <c r="F98" s="380"/>
      <c r="G98" s="8"/>
      <c r="H98" s="8"/>
      <c r="I98" s="8"/>
      <c r="J98" s="9"/>
      <c r="K98" s="9">
        <f t="shared" si="31"/>
        <v>0</v>
      </c>
      <c r="L98" s="35">
        <f t="shared" si="32"/>
        <v>0</v>
      </c>
      <c r="M98" s="2"/>
      <c r="O98" s="19"/>
      <c r="P98" s="19"/>
      <c r="Q98" s="19"/>
      <c r="R98" s="21"/>
      <c r="S98" s="46"/>
      <c r="T98" s="44"/>
      <c r="U98" s="77"/>
      <c r="V98" s="24"/>
      <c r="W98" s="24"/>
      <c r="X98" s="193"/>
      <c r="Y98" s="15"/>
    </row>
    <row r="99" spans="2:25" x14ac:dyDescent="0.25">
      <c r="B99" s="15">
        <v>97</v>
      </c>
      <c r="C99" s="8"/>
      <c r="E99" s="67"/>
      <c r="F99" s="380"/>
      <c r="G99" s="8"/>
      <c r="H99" s="8"/>
      <c r="I99" s="8"/>
      <c r="J99" s="9"/>
      <c r="K99" s="9">
        <f t="shared" si="31"/>
        <v>0</v>
      </c>
      <c r="L99" s="35">
        <f t="shared" si="32"/>
        <v>0</v>
      </c>
      <c r="M99" s="2"/>
      <c r="O99" s="19"/>
      <c r="P99" s="19"/>
      <c r="Q99" s="19"/>
      <c r="R99" s="21"/>
      <c r="S99" s="46"/>
      <c r="T99" s="44"/>
      <c r="U99" s="77"/>
      <c r="V99" s="24"/>
      <c r="W99" s="24"/>
      <c r="X99" s="193"/>
      <c r="Y99" s="15"/>
    </row>
    <row r="100" spans="2:25" x14ac:dyDescent="0.25">
      <c r="B100" s="15">
        <v>98</v>
      </c>
      <c r="C100" s="8"/>
      <c r="E100" s="67"/>
      <c r="F100" s="380"/>
      <c r="G100" s="8"/>
      <c r="H100" s="8"/>
      <c r="I100" s="8"/>
      <c r="J100" s="9"/>
      <c r="K100" s="9">
        <f t="shared" si="31"/>
        <v>0</v>
      </c>
      <c r="L100" s="35">
        <f t="shared" si="32"/>
        <v>0</v>
      </c>
      <c r="M100" s="2"/>
      <c r="O100" s="19"/>
      <c r="P100" s="19"/>
      <c r="Q100" s="19"/>
      <c r="R100" s="21"/>
      <c r="S100" s="46"/>
      <c r="T100" s="44"/>
      <c r="U100" s="77"/>
      <c r="V100" s="24"/>
      <c r="W100" s="24"/>
      <c r="X100" s="193"/>
      <c r="Y100" s="15"/>
    </row>
    <row r="101" spans="2:25" x14ac:dyDescent="0.25">
      <c r="B101" s="15">
        <v>99</v>
      </c>
      <c r="C101" s="8"/>
      <c r="E101" s="67"/>
      <c r="F101" s="380"/>
      <c r="G101" s="8"/>
      <c r="H101" s="8"/>
      <c r="I101" s="8"/>
      <c r="J101" s="9"/>
      <c r="K101" s="9">
        <f t="shared" si="31"/>
        <v>0</v>
      </c>
      <c r="L101" s="35">
        <f t="shared" si="32"/>
        <v>0</v>
      </c>
      <c r="M101" s="2"/>
      <c r="O101" s="19"/>
      <c r="P101" s="19"/>
      <c r="Q101" s="19"/>
      <c r="R101" s="21"/>
      <c r="S101" s="46"/>
      <c r="T101" s="44"/>
      <c r="U101" s="77"/>
      <c r="V101" s="24"/>
      <c r="W101" s="24"/>
      <c r="X101" s="193"/>
      <c r="Y101" s="15"/>
    </row>
    <row r="102" spans="2:25" x14ac:dyDescent="0.25">
      <c r="B102" s="15">
        <v>100</v>
      </c>
      <c r="C102" s="8"/>
      <c r="E102" s="67"/>
      <c r="F102" s="380"/>
      <c r="G102" s="8"/>
      <c r="H102" s="8"/>
      <c r="I102" s="8"/>
      <c r="J102" s="9"/>
      <c r="K102" s="9">
        <f t="shared" si="31"/>
        <v>0</v>
      </c>
      <c r="L102" s="35">
        <f t="shared" si="32"/>
        <v>0</v>
      </c>
      <c r="M102" s="2"/>
      <c r="O102" s="19"/>
      <c r="P102" s="19"/>
      <c r="Q102" s="19"/>
      <c r="R102" s="21"/>
      <c r="S102" s="46"/>
      <c r="T102" s="44"/>
      <c r="U102" s="77"/>
      <c r="V102" s="24"/>
      <c r="W102" s="24"/>
      <c r="X102" s="193"/>
      <c r="Y102" s="15"/>
    </row>
    <row r="103" spans="2:25" x14ac:dyDescent="0.25">
      <c r="B103" s="15">
        <v>101</v>
      </c>
      <c r="C103" s="8"/>
      <c r="E103" s="67"/>
      <c r="F103" s="380"/>
      <c r="G103" s="8"/>
      <c r="H103" s="8"/>
      <c r="I103" s="8"/>
      <c r="J103" s="9"/>
      <c r="K103" s="9">
        <f t="shared" si="31"/>
        <v>0</v>
      </c>
      <c r="L103" s="35">
        <f t="shared" si="32"/>
        <v>0</v>
      </c>
      <c r="M103" s="2"/>
      <c r="O103" s="19"/>
      <c r="P103" s="19"/>
      <c r="Q103" s="19"/>
      <c r="R103" s="21"/>
      <c r="S103" s="46"/>
      <c r="T103" s="44"/>
      <c r="U103" s="77"/>
      <c r="V103" s="30"/>
      <c r="W103" s="24"/>
      <c r="X103" s="193"/>
      <c r="Y103" s="15"/>
    </row>
    <row r="104" spans="2:25" x14ac:dyDescent="0.25">
      <c r="B104" s="15">
        <v>102</v>
      </c>
      <c r="C104" s="8"/>
      <c r="E104" s="67"/>
      <c r="F104" s="380"/>
      <c r="G104" s="8"/>
      <c r="H104" s="8"/>
      <c r="I104" s="8"/>
      <c r="J104" s="9"/>
      <c r="K104" s="9">
        <f t="shared" si="31"/>
        <v>0</v>
      </c>
      <c r="L104" s="35">
        <f t="shared" si="32"/>
        <v>0</v>
      </c>
      <c r="M104" s="2"/>
      <c r="O104" s="19"/>
      <c r="P104" s="19"/>
      <c r="Q104" s="19"/>
      <c r="R104" s="21"/>
      <c r="S104" s="46"/>
      <c r="T104" s="44"/>
      <c r="U104" s="77"/>
      <c r="V104" s="24"/>
      <c r="W104" s="24"/>
      <c r="X104" s="193"/>
      <c r="Y104" s="15"/>
    </row>
    <row r="105" spans="2:25" x14ac:dyDescent="0.25">
      <c r="B105" s="15">
        <v>103</v>
      </c>
      <c r="C105" s="8"/>
      <c r="E105" s="67"/>
      <c r="F105" s="380"/>
      <c r="G105" s="8"/>
      <c r="H105" s="8"/>
      <c r="I105" s="8"/>
      <c r="J105" s="9"/>
      <c r="K105" s="9">
        <f t="shared" si="31"/>
        <v>0</v>
      </c>
      <c r="L105" s="35">
        <f t="shared" si="32"/>
        <v>0</v>
      </c>
      <c r="M105" s="2"/>
      <c r="O105" s="19"/>
      <c r="P105" s="19"/>
      <c r="Q105" s="19"/>
      <c r="R105" s="21"/>
      <c r="S105" s="46"/>
      <c r="T105" s="44"/>
      <c r="U105" s="77"/>
      <c r="V105" s="24"/>
      <c r="W105" s="24"/>
      <c r="X105" s="193"/>
      <c r="Y105" s="15"/>
    </row>
    <row r="106" spans="2:25" x14ac:dyDescent="0.25">
      <c r="B106" s="15">
        <v>104</v>
      </c>
      <c r="C106" s="8"/>
      <c r="E106" s="67"/>
      <c r="F106" s="381"/>
      <c r="G106" s="8"/>
      <c r="H106" s="8"/>
      <c r="I106" s="8"/>
      <c r="J106" s="9"/>
      <c r="K106" s="9">
        <f t="shared" si="31"/>
        <v>0</v>
      </c>
      <c r="L106" s="35">
        <f t="shared" si="32"/>
        <v>0</v>
      </c>
      <c r="M106" s="2"/>
      <c r="O106" s="19"/>
      <c r="P106" s="19"/>
      <c r="Q106" s="19"/>
      <c r="R106" s="21"/>
      <c r="S106" s="46"/>
      <c r="T106" s="44"/>
      <c r="U106" s="77"/>
      <c r="V106" s="24"/>
      <c r="W106" s="24"/>
      <c r="X106" s="193"/>
      <c r="Y106" s="15"/>
    </row>
    <row r="107" spans="2:25" x14ac:dyDescent="0.25">
      <c r="B107" s="15">
        <v>105</v>
      </c>
      <c r="C107" s="8"/>
      <c r="E107" s="67"/>
      <c r="F107" s="380"/>
      <c r="G107" s="8"/>
      <c r="H107" s="8"/>
      <c r="I107" s="8"/>
      <c r="J107" s="9"/>
      <c r="K107" s="9">
        <f t="shared" si="31"/>
        <v>0</v>
      </c>
      <c r="L107" s="35">
        <f t="shared" si="32"/>
        <v>0</v>
      </c>
      <c r="M107" s="2"/>
      <c r="O107" s="19"/>
      <c r="P107" s="19"/>
      <c r="Q107" s="19"/>
      <c r="R107" s="21"/>
      <c r="S107" s="46"/>
      <c r="T107" s="44"/>
      <c r="U107" s="77"/>
      <c r="V107" s="24"/>
      <c r="W107" s="24"/>
      <c r="X107" s="193"/>
      <c r="Y107" s="15"/>
    </row>
    <row r="108" spans="2:25" x14ac:dyDescent="0.25">
      <c r="B108" s="15">
        <v>106</v>
      </c>
      <c r="C108" s="8"/>
      <c r="E108" s="67"/>
      <c r="F108" s="380"/>
      <c r="G108" s="8"/>
      <c r="H108" s="8"/>
      <c r="I108" s="8"/>
      <c r="J108" s="9"/>
      <c r="K108" s="9">
        <f t="shared" si="31"/>
        <v>0</v>
      </c>
      <c r="L108" s="35">
        <f t="shared" si="32"/>
        <v>0</v>
      </c>
      <c r="M108" s="2"/>
      <c r="O108" s="19"/>
      <c r="P108" s="19"/>
      <c r="Q108" s="19"/>
      <c r="R108" s="21"/>
      <c r="S108" s="46"/>
      <c r="T108" s="44"/>
      <c r="U108" s="77"/>
      <c r="V108" s="24"/>
      <c r="W108" s="24"/>
      <c r="X108" s="193"/>
      <c r="Y108" s="15"/>
    </row>
    <row r="109" spans="2:25" x14ac:dyDescent="0.25">
      <c r="B109" s="15">
        <v>107</v>
      </c>
      <c r="C109" s="8"/>
      <c r="E109" s="67"/>
      <c r="F109" s="380"/>
      <c r="G109" s="8"/>
      <c r="H109" s="8"/>
      <c r="I109" s="8"/>
      <c r="J109" s="9"/>
      <c r="K109" s="9">
        <f t="shared" si="31"/>
        <v>0</v>
      </c>
      <c r="L109" s="35">
        <f t="shared" si="32"/>
        <v>0</v>
      </c>
      <c r="M109" s="2"/>
      <c r="O109" s="19"/>
      <c r="P109" s="19"/>
      <c r="Q109" s="19"/>
      <c r="R109" s="21"/>
      <c r="S109" s="46"/>
      <c r="T109" s="44"/>
      <c r="U109" s="77"/>
      <c r="V109" s="30"/>
      <c r="W109" s="24"/>
      <c r="X109" s="193"/>
      <c r="Y109" s="15"/>
    </row>
    <row r="110" spans="2:25" x14ac:dyDescent="0.25">
      <c r="B110" s="15">
        <v>108</v>
      </c>
      <c r="C110" s="8"/>
      <c r="E110" s="67"/>
      <c r="F110" s="380"/>
      <c r="G110" s="8"/>
      <c r="H110" s="8"/>
      <c r="I110" s="8"/>
      <c r="J110" s="9"/>
      <c r="K110" s="9">
        <f t="shared" si="31"/>
        <v>0</v>
      </c>
      <c r="L110" s="35">
        <f t="shared" si="32"/>
        <v>0</v>
      </c>
      <c r="M110" s="2"/>
      <c r="O110" s="19"/>
      <c r="P110" s="19"/>
      <c r="Q110" s="19"/>
      <c r="R110" s="21"/>
      <c r="S110" s="46"/>
      <c r="T110" s="44"/>
      <c r="U110" s="77"/>
      <c r="V110" s="30"/>
      <c r="W110" s="24"/>
      <c r="X110" s="193"/>
      <c r="Y110" s="15"/>
    </row>
    <row r="111" spans="2:25" x14ac:dyDescent="0.25">
      <c r="B111" s="15">
        <v>109</v>
      </c>
      <c r="C111" s="8"/>
      <c r="E111" s="67"/>
      <c r="F111" s="380"/>
      <c r="G111" s="8"/>
      <c r="H111" s="8"/>
      <c r="I111" s="8"/>
      <c r="J111" s="9"/>
      <c r="K111" s="9">
        <f t="shared" si="31"/>
        <v>0</v>
      </c>
      <c r="L111" s="35">
        <f t="shared" si="32"/>
        <v>0</v>
      </c>
      <c r="M111" s="2"/>
      <c r="O111" s="19"/>
      <c r="P111" s="19"/>
      <c r="Q111" s="19"/>
      <c r="R111" s="21"/>
      <c r="S111" s="46"/>
      <c r="T111" s="44"/>
      <c r="U111" s="77"/>
      <c r="V111" s="30"/>
      <c r="W111" s="24"/>
      <c r="X111" s="193"/>
      <c r="Y111" s="15"/>
    </row>
    <row r="112" spans="2:25" x14ac:dyDescent="0.25">
      <c r="B112" s="15">
        <v>110</v>
      </c>
      <c r="C112" s="8"/>
      <c r="E112" s="67"/>
      <c r="F112" s="380"/>
      <c r="G112" s="8"/>
      <c r="H112" s="8"/>
      <c r="I112" s="8"/>
      <c r="J112" s="9"/>
      <c r="K112" s="9">
        <f t="shared" si="31"/>
        <v>0</v>
      </c>
      <c r="L112" s="35">
        <f t="shared" si="32"/>
        <v>0</v>
      </c>
      <c r="M112" s="2"/>
      <c r="O112" s="19"/>
      <c r="P112" s="19"/>
      <c r="Q112" s="19"/>
      <c r="R112" s="21"/>
      <c r="S112" s="46"/>
      <c r="T112" s="44"/>
      <c r="U112" s="77"/>
      <c r="V112" s="24"/>
      <c r="W112" s="24"/>
      <c r="X112" s="193"/>
      <c r="Y112" s="15"/>
    </row>
    <row r="113" spans="2:25" x14ac:dyDescent="0.25">
      <c r="B113" s="15">
        <v>111</v>
      </c>
      <c r="C113" s="8"/>
      <c r="E113" s="67"/>
      <c r="F113" s="380"/>
      <c r="G113" s="8"/>
      <c r="H113" s="8"/>
      <c r="I113" s="8"/>
      <c r="J113" s="9"/>
      <c r="K113" s="9">
        <f t="shared" si="31"/>
        <v>0</v>
      </c>
      <c r="L113" s="35">
        <f t="shared" si="32"/>
        <v>0</v>
      </c>
      <c r="M113" s="2"/>
      <c r="O113" s="19"/>
      <c r="P113" s="19"/>
      <c r="Q113" s="19"/>
      <c r="R113" s="21"/>
      <c r="S113" s="46"/>
      <c r="T113" s="44"/>
      <c r="U113" s="77"/>
      <c r="V113" s="24"/>
      <c r="W113" s="24"/>
      <c r="X113" s="193"/>
      <c r="Y113" s="15"/>
    </row>
    <row r="114" spans="2:25" x14ac:dyDescent="0.25">
      <c r="B114" s="15">
        <v>112</v>
      </c>
      <c r="C114" s="8"/>
      <c r="E114" s="67"/>
      <c r="F114" s="380"/>
      <c r="G114" s="8"/>
      <c r="H114" s="8"/>
      <c r="I114" s="8"/>
      <c r="J114" s="9"/>
      <c r="K114" s="9">
        <f t="shared" si="31"/>
        <v>0</v>
      </c>
      <c r="L114" s="35">
        <f t="shared" si="32"/>
        <v>0</v>
      </c>
      <c r="M114" s="2"/>
      <c r="O114" s="19"/>
      <c r="P114" s="19"/>
      <c r="Q114" s="19"/>
      <c r="R114" s="21"/>
      <c r="S114" s="46"/>
      <c r="T114" s="44"/>
      <c r="U114" s="77"/>
      <c r="V114" s="24"/>
      <c r="W114" s="24"/>
      <c r="X114" s="193"/>
      <c r="Y114" s="15"/>
    </row>
    <row r="115" spans="2:25" x14ac:dyDescent="0.25">
      <c r="B115" s="15">
        <v>113</v>
      </c>
      <c r="C115" s="8"/>
      <c r="E115" s="67"/>
      <c r="F115" s="380"/>
      <c r="G115" s="8"/>
      <c r="H115" s="8"/>
      <c r="I115" s="8"/>
      <c r="J115" s="9"/>
      <c r="K115" s="9">
        <f t="shared" si="31"/>
        <v>0</v>
      </c>
      <c r="L115" s="35">
        <f t="shared" si="32"/>
        <v>0</v>
      </c>
      <c r="M115" s="2"/>
      <c r="O115" s="19"/>
      <c r="P115" s="19"/>
      <c r="Q115" s="19"/>
      <c r="R115" s="21"/>
      <c r="S115" s="46"/>
      <c r="T115" s="44"/>
      <c r="U115" s="77"/>
      <c r="V115" s="24"/>
      <c r="W115" s="24"/>
      <c r="X115" s="193"/>
      <c r="Y115" s="15"/>
    </row>
    <row r="116" spans="2:25" x14ac:dyDescent="0.25">
      <c r="B116" s="15">
        <v>114</v>
      </c>
      <c r="C116" s="8"/>
      <c r="E116" s="67"/>
      <c r="F116" s="380"/>
      <c r="G116" s="8"/>
      <c r="H116" s="8"/>
      <c r="I116" s="8"/>
      <c r="J116" s="9"/>
      <c r="K116" s="9">
        <f t="shared" si="31"/>
        <v>0</v>
      </c>
      <c r="L116" s="35">
        <f t="shared" si="32"/>
        <v>0</v>
      </c>
      <c r="M116" s="2"/>
      <c r="O116" s="19"/>
      <c r="P116" s="19"/>
      <c r="Q116" s="19"/>
      <c r="R116" s="21"/>
      <c r="S116" s="46"/>
      <c r="T116" s="44"/>
      <c r="U116" s="77"/>
      <c r="V116" s="30"/>
      <c r="W116" s="24"/>
      <c r="X116" s="193"/>
      <c r="Y116" s="15"/>
    </row>
    <row r="117" spans="2:25" x14ac:dyDescent="0.25">
      <c r="B117" s="15">
        <v>115</v>
      </c>
      <c r="C117" s="8"/>
      <c r="E117" s="67"/>
      <c r="F117" s="380"/>
      <c r="G117" s="8"/>
      <c r="H117" s="8"/>
      <c r="I117" s="8"/>
      <c r="J117" s="9"/>
      <c r="K117" s="9">
        <f t="shared" si="31"/>
        <v>0</v>
      </c>
      <c r="L117" s="35">
        <f t="shared" si="32"/>
        <v>0</v>
      </c>
      <c r="M117" s="2"/>
      <c r="O117" s="19"/>
      <c r="P117" s="19"/>
      <c r="Q117" s="19"/>
      <c r="R117" s="21"/>
      <c r="S117" s="46"/>
      <c r="T117" s="44"/>
      <c r="U117" s="77"/>
      <c r="V117" s="30"/>
      <c r="W117" s="24"/>
      <c r="X117" s="193"/>
      <c r="Y117" s="15"/>
    </row>
    <row r="118" spans="2:25" x14ac:dyDescent="0.25">
      <c r="B118" s="15">
        <v>116</v>
      </c>
      <c r="C118" s="8"/>
      <c r="E118" s="67"/>
      <c r="F118" s="380"/>
      <c r="G118" s="8"/>
      <c r="H118" s="8"/>
      <c r="I118" s="8"/>
      <c r="J118" s="9"/>
      <c r="K118" s="9">
        <f t="shared" si="31"/>
        <v>0</v>
      </c>
      <c r="L118" s="35">
        <f t="shared" si="32"/>
        <v>0</v>
      </c>
      <c r="M118" s="2"/>
      <c r="O118" s="19"/>
      <c r="P118" s="19"/>
      <c r="Q118" s="19"/>
      <c r="R118" s="21"/>
      <c r="S118" s="46"/>
      <c r="T118" s="44"/>
      <c r="U118" s="77"/>
      <c r="V118" s="30"/>
      <c r="W118" s="24"/>
      <c r="X118" s="193"/>
      <c r="Y118" s="15"/>
    </row>
    <row r="119" spans="2:25" x14ac:dyDescent="0.25">
      <c r="B119" s="15">
        <v>117</v>
      </c>
      <c r="C119" s="8"/>
      <c r="E119" s="67"/>
      <c r="F119" s="380"/>
      <c r="G119" s="8"/>
      <c r="H119" s="8"/>
      <c r="I119" s="8"/>
      <c r="J119" s="9"/>
      <c r="K119" s="9">
        <f t="shared" si="31"/>
        <v>0</v>
      </c>
      <c r="L119" s="35">
        <f t="shared" si="32"/>
        <v>0</v>
      </c>
      <c r="M119" s="2"/>
      <c r="O119" s="19"/>
      <c r="P119" s="19"/>
      <c r="Q119" s="19"/>
      <c r="R119" s="21"/>
      <c r="S119" s="46"/>
      <c r="T119" s="44"/>
      <c r="U119" s="77"/>
      <c r="V119" s="30"/>
      <c r="W119" s="24"/>
      <c r="X119" s="193"/>
      <c r="Y119" s="15"/>
    </row>
    <row r="120" spans="2:25" x14ac:dyDescent="0.25">
      <c r="B120" s="15">
        <v>118</v>
      </c>
      <c r="C120" s="8"/>
      <c r="E120" s="67"/>
      <c r="G120" s="8"/>
      <c r="H120" s="8"/>
      <c r="I120" s="8"/>
      <c r="J120" s="9"/>
      <c r="K120" s="9">
        <f t="shared" si="31"/>
        <v>0</v>
      </c>
      <c r="L120" s="35">
        <f t="shared" si="32"/>
        <v>0</v>
      </c>
      <c r="M120" s="2"/>
      <c r="O120" s="19"/>
      <c r="P120" s="19"/>
      <c r="Q120" s="19"/>
      <c r="R120" s="21"/>
      <c r="S120" s="46"/>
      <c r="T120" s="44"/>
      <c r="U120" s="77"/>
      <c r="V120" s="24"/>
      <c r="W120" s="24"/>
      <c r="X120" s="193"/>
      <c r="Y120" s="15"/>
    </row>
    <row r="121" spans="2:25" x14ac:dyDescent="0.25">
      <c r="B121" s="15">
        <v>119</v>
      </c>
      <c r="C121" s="8"/>
      <c r="E121" s="67"/>
      <c r="G121" s="8"/>
      <c r="H121" s="8"/>
      <c r="I121" s="8"/>
      <c r="J121" s="9"/>
      <c r="K121" s="9">
        <f t="shared" si="31"/>
        <v>0</v>
      </c>
      <c r="L121" s="35">
        <f t="shared" si="32"/>
        <v>0</v>
      </c>
      <c r="M121" s="2"/>
      <c r="O121" s="19"/>
      <c r="P121" s="19"/>
      <c r="Q121" s="19"/>
      <c r="R121" s="21"/>
      <c r="S121" s="46"/>
      <c r="T121" s="44"/>
      <c r="U121" s="77"/>
      <c r="V121" s="24"/>
      <c r="W121" s="24"/>
      <c r="X121" s="193"/>
      <c r="Y121" s="15"/>
    </row>
    <row r="122" spans="2:25" x14ac:dyDescent="0.25">
      <c r="B122" s="15">
        <v>120</v>
      </c>
      <c r="C122" s="8"/>
      <c r="E122" s="67"/>
      <c r="F122" s="380"/>
      <c r="G122" s="8"/>
      <c r="H122" s="8"/>
      <c r="I122" s="8"/>
      <c r="J122" s="9"/>
      <c r="K122" s="9">
        <f t="shared" si="31"/>
        <v>0</v>
      </c>
      <c r="L122" s="35">
        <f t="shared" si="32"/>
        <v>0</v>
      </c>
      <c r="M122" s="2"/>
      <c r="O122" s="19"/>
      <c r="P122" s="19"/>
      <c r="Q122" s="19"/>
      <c r="R122" s="21"/>
      <c r="S122" s="46"/>
      <c r="T122" s="44"/>
      <c r="U122" s="77"/>
      <c r="V122" s="24"/>
      <c r="W122" s="24"/>
      <c r="X122" s="193"/>
      <c r="Y122" s="15"/>
    </row>
    <row r="123" spans="2:25" x14ac:dyDescent="0.25">
      <c r="B123" s="15">
        <v>121</v>
      </c>
      <c r="C123" s="8"/>
      <c r="E123" s="67"/>
      <c r="F123" s="380"/>
      <c r="G123" s="8"/>
      <c r="H123" s="8"/>
      <c r="I123" s="8"/>
      <c r="J123" s="9"/>
      <c r="K123" s="9">
        <f t="shared" si="31"/>
        <v>0</v>
      </c>
      <c r="L123" s="35">
        <f t="shared" si="32"/>
        <v>0</v>
      </c>
      <c r="M123" s="2"/>
      <c r="O123" s="19"/>
      <c r="P123" s="19"/>
      <c r="Q123" s="19"/>
      <c r="R123" s="21"/>
      <c r="S123" s="46"/>
      <c r="T123" s="44"/>
      <c r="U123" s="77"/>
      <c r="V123" s="24"/>
      <c r="W123" s="24"/>
      <c r="X123" s="193"/>
      <c r="Y123" s="15"/>
    </row>
    <row r="124" spans="2:25" x14ac:dyDescent="0.25">
      <c r="B124" s="15">
        <v>122</v>
      </c>
      <c r="C124" s="8"/>
      <c r="E124" s="67"/>
      <c r="F124" s="380"/>
      <c r="G124" s="8"/>
      <c r="H124" s="8"/>
      <c r="I124" s="8"/>
      <c r="J124" s="9"/>
      <c r="K124" s="9">
        <f t="shared" si="31"/>
        <v>0</v>
      </c>
      <c r="L124" s="35">
        <f t="shared" si="32"/>
        <v>0</v>
      </c>
      <c r="M124" s="2"/>
      <c r="O124" s="19"/>
      <c r="P124" s="19"/>
      <c r="Q124" s="19"/>
      <c r="R124" s="21"/>
      <c r="S124" s="46"/>
      <c r="T124" s="44"/>
      <c r="U124" s="77"/>
      <c r="V124" s="24"/>
      <c r="W124" s="24"/>
      <c r="X124" s="193"/>
      <c r="Y124" s="15"/>
    </row>
    <row r="125" spans="2:25" x14ac:dyDescent="0.25">
      <c r="B125" s="15">
        <v>123</v>
      </c>
      <c r="C125" s="8"/>
      <c r="E125" s="67"/>
      <c r="F125" s="380"/>
      <c r="G125" s="8"/>
      <c r="H125" s="8"/>
      <c r="I125" s="8"/>
      <c r="J125" s="9"/>
      <c r="K125" s="9">
        <f t="shared" si="31"/>
        <v>0</v>
      </c>
      <c r="L125" s="35">
        <f t="shared" si="32"/>
        <v>0</v>
      </c>
      <c r="M125" s="2"/>
      <c r="O125" s="19"/>
      <c r="P125" s="19"/>
      <c r="Q125" s="19"/>
      <c r="R125" s="21"/>
      <c r="S125" s="46"/>
      <c r="T125" s="44"/>
      <c r="U125" s="77"/>
      <c r="V125" s="30"/>
      <c r="W125" s="24"/>
      <c r="X125" s="193"/>
      <c r="Y125" s="15"/>
    </row>
    <row r="126" spans="2:25" x14ac:dyDescent="0.25">
      <c r="B126" s="15">
        <v>124</v>
      </c>
      <c r="C126" s="8"/>
      <c r="E126" s="67"/>
      <c r="F126" s="380"/>
      <c r="G126" s="8"/>
      <c r="H126" s="8"/>
      <c r="I126" s="8"/>
      <c r="J126" s="9"/>
      <c r="K126" s="9">
        <f t="shared" si="31"/>
        <v>0</v>
      </c>
      <c r="L126" s="35">
        <f t="shared" si="32"/>
        <v>0</v>
      </c>
      <c r="M126" s="2"/>
      <c r="O126" s="19"/>
      <c r="P126" s="19"/>
      <c r="Q126" s="19"/>
      <c r="R126" s="21"/>
      <c r="S126" s="46"/>
      <c r="T126" s="44"/>
      <c r="U126" s="77"/>
      <c r="V126" s="30"/>
      <c r="W126" s="24"/>
      <c r="X126" s="193"/>
      <c r="Y126" s="15"/>
    </row>
    <row r="127" spans="2:25" x14ac:dyDescent="0.25">
      <c r="B127" s="15">
        <v>125</v>
      </c>
      <c r="C127" s="8"/>
      <c r="E127" s="67"/>
      <c r="F127" s="380"/>
      <c r="G127" s="8"/>
      <c r="H127" s="8"/>
      <c r="I127" s="8"/>
      <c r="J127" s="9"/>
      <c r="K127" s="9">
        <f t="shared" si="31"/>
        <v>0</v>
      </c>
      <c r="L127" s="35">
        <f t="shared" si="32"/>
        <v>0</v>
      </c>
      <c r="M127" s="2"/>
      <c r="O127" s="19"/>
      <c r="P127" s="19"/>
      <c r="Q127" s="19"/>
      <c r="R127" s="21"/>
      <c r="S127" s="46"/>
      <c r="T127" s="44"/>
      <c r="U127" s="77"/>
      <c r="V127" s="24"/>
      <c r="W127" s="24"/>
      <c r="X127" s="193"/>
      <c r="Y127" s="15"/>
    </row>
    <row r="128" spans="2:25" x14ac:dyDescent="0.25">
      <c r="B128" s="15">
        <v>126</v>
      </c>
      <c r="C128" s="8"/>
      <c r="E128" s="67"/>
      <c r="F128" s="380"/>
      <c r="G128" s="8"/>
      <c r="H128" s="8"/>
      <c r="I128" s="8"/>
      <c r="J128" s="9"/>
      <c r="K128" s="9">
        <f t="shared" si="31"/>
        <v>0</v>
      </c>
      <c r="L128" s="35">
        <f t="shared" si="32"/>
        <v>0</v>
      </c>
      <c r="M128" s="2"/>
      <c r="O128" s="19"/>
      <c r="P128" s="19"/>
      <c r="Q128" s="19"/>
      <c r="R128" s="21"/>
      <c r="S128" s="46"/>
      <c r="T128" s="44"/>
      <c r="U128" s="77"/>
      <c r="V128" s="24"/>
      <c r="W128" s="24"/>
      <c r="X128" s="193"/>
      <c r="Y128" s="15"/>
    </row>
    <row r="129" spans="2:25" x14ac:dyDescent="0.25">
      <c r="B129" s="15">
        <v>127</v>
      </c>
      <c r="C129" s="8"/>
      <c r="E129" s="67"/>
      <c r="F129" s="380"/>
      <c r="G129" s="8"/>
      <c r="H129" s="8"/>
      <c r="I129" s="8"/>
      <c r="J129" s="9"/>
      <c r="K129" s="9">
        <f t="shared" si="31"/>
        <v>0</v>
      </c>
      <c r="L129" s="35">
        <f t="shared" si="32"/>
        <v>0</v>
      </c>
      <c r="M129" s="2"/>
      <c r="O129" s="19"/>
      <c r="P129" s="19"/>
      <c r="Q129" s="19"/>
      <c r="R129" s="21"/>
      <c r="S129" s="46"/>
      <c r="T129" s="44"/>
      <c r="U129" s="77"/>
      <c r="V129" s="24"/>
      <c r="W129" s="24"/>
      <c r="X129" s="193"/>
      <c r="Y129" s="15"/>
    </row>
    <row r="130" spans="2:25" x14ac:dyDescent="0.25">
      <c r="B130" s="15">
        <v>128</v>
      </c>
      <c r="C130" s="8"/>
      <c r="E130" s="67"/>
      <c r="F130" s="380"/>
      <c r="G130" s="8"/>
      <c r="H130" s="8"/>
      <c r="I130" s="8"/>
      <c r="J130" s="9"/>
      <c r="K130" s="9">
        <f t="shared" si="31"/>
        <v>0</v>
      </c>
      <c r="L130" s="35">
        <f t="shared" si="32"/>
        <v>0</v>
      </c>
      <c r="M130" s="2"/>
      <c r="O130" s="19"/>
      <c r="P130" s="19"/>
      <c r="Q130" s="19"/>
      <c r="R130" s="21"/>
      <c r="S130" s="46"/>
      <c r="T130" s="44"/>
      <c r="U130" s="77"/>
      <c r="V130" s="24"/>
      <c r="W130" s="24"/>
      <c r="X130" s="193"/>
      <c r="Y130" s="15"/>
    </row>
    <row r="131" spans="2:25" x14ac:dyDescent="0.25">
      <c r="B131" s="15">
        <v>129</v>
      </c>
      <c r="C131" s="8"/>
      <c r="E131" s="67"/>
      <c r="F131" s="380"/>
      <c r="G131" s="8"/>
      <c r="H131" s="8"/>
      <c r="I131" s="8"/>
      <c r="J131" s="9"/>
      <c r="K131" s="9">
        <f t="shared" ref="K131:K194" si="35">J131*1.1</f>
        <v>0</v>
      </c>
      <c r="L131" s="35">
        <f t="shared" ref="L131:L194" si="36">J131*0.00000001</f>
        <v>0</v>
      </c>
      <c r="M131" s="2"/>
      <c r="O131" s="19"/>
      <c r="P131" s="19"/>
      <c r="Q131" s="19"/>
      <c r="R131" s="21"/>
      <c r="S131" s="46"/>
      <c r="T131" s="44"/>
      <c r="U131" s="77"/>
      <c r="V131" s="24"/>
      <c r="W131" s="24"/>
      <c r="X131" s="193"/>
      <c r="Y131" s="15"/>
    </row>
    <row r="132" spans="2:25" x14ac:dyDescent="0.25">
      <c r="B132" s="15">
        <v>130</v>
      </c>
      <c r="C132" s="8"/>
      <c r="E132" s="67"/>
      <c r="F132" s="380"/>
      <c r="G132" s="8"/>
      <c r="H132" s="8"/>
      <c r="I132" s="8"/>
      <c r="J132" s="9"/>
      <c r="K132" s="9">
        <f t="shared" si="35"/>
        <v>0</v>
      </c>
      <c r="L132" s="35">
        <f t="shared" si="36"/>
        <v>0</v>
      </c>
      <c r="M132" s="2"/>
      <c r="O132" s="19"/>
      <c r="P132" s="19"/>
      <c r="Q132" s="19"/>
      <c r="R132" s="21"/>
      <c r="S132" s="46"/>
      <c r="T132" s="44"/>
      <c r="U132" s="77"/>
      <c r="V132" s="24"/>
      <c r="W132" s="24"/>
      <c r="X132" s="193"/>
      <c r="Y132" s="15"/>
    </row>
    <row r="133" spans="2:25" x14ac:dyDescent="0.25">
      <c r="B133" s="15">
        <v>131</v>
      </c>
      <c r="C133" s="8"/>
      <c r="E133" s="67"/>
      <c r="F133" s="380"/>
      <c r="G133" s="8"/>
      <c r="H133" s="8"/>
      <c r="I133" s="8"/>
      <c r="J133" s="9"/>
      <c r="K133" s="9">
        <f t="shared" si="35"/>
        <v>0</v>
      </c>
      <c r="L133" s="35">
        <f t="shared" si="36"/>
        <v>0</v>
      </c>
      <c r="M133" s="2"/>
      <c r="O133" s="19"/>
      <c r="P133" s="19"/>
      <c r="Q133" s="19"/>
      <c r="R133" s="21"/>
      <c r="S133" s="46"/>
      <c r="T133" s="44"/>
      <c r="U133" s="77"/>
      <c r="V133" s="24"/>
      <c r="W133" s="24"/>
      <c r="X133" s="193"/>
      <c r="Y133" s="15"/>
    </row>
    <row r="134" spans="2:25" x14ac:dyDescent="0.25">
      <c r="B134" s="15">
        <v>132</v>
      </c>
      <c r="C134" s="8"/>
      <c r="E134" s="67"/>
      <c r="F134" s="380"/>
      <c r="G134" s="8"/>
      <c r="H134" s="8"/>
      <c r="I134" s="8"/>
      <c r="J134" s="9"/>
      <c r="K134" s="9">
        <f t="shared" si="35"/>
        <v>0</v>
      </c>
      <c r="L134" s="35">
        <f t="shared" si="36"/>
        <v>0</v>
      </c>
      <c r="M134" s="2"/>
      <c r="O134" s="19"/>
      <c r="P134" s="19"/>
      <c r="Q134" s="19"/>
      <c r="R134" s="21"/>
      <c r="S134" s="46"/>
      <c r="T134" s="44"/>
      <c r="U134" s="77"/>
      <c r="V134" s="24"/>
      <c r="W134" s="24"/>
      <c r="X134" s="193"/>
      <c r="Y134" s="15"/>
    </row>
    <row r="135" spans="2:25" x14ac:dyDescent="0.25">
      <c r="B135" s="15">
        <v>132</v>
      </c>
      <c r="C135" s="8"/>
      <c r="E135" s="67"/>
      <c r="F135" s="380"/>
      <c r="G135" s="8"/>
      <c r="H135" s="8"/>
      <c r="I135" s="8"/>
      <c r="J135" s="9"/>
      <c r="K135" s="9">
        <f t="shared" si="35"/>
        <v>0</v>
      </c>
      <c r="L135" s="35">
        <f t="shared" si="36"/>
        <v>0</v>
      </c>
      <c r="M135" s="2"/>
      <c r="O135" s="19"/>
      <c r="P135" s="19"/>
      <c r="Q135" s="19"/>
      <c r="R135" s="21"/>
      <c r="S135" s="46"/>
      <c r="T135" s="44"/>
      <c r="U135" s="77"/>
      <c r="V135" s="24"/>
      <c r="W135" s="24"/>
      <c r="X135" s="193"/>
      <c r="Y135" s="15"/>
    </row>
    <row r="136" spans="2:25" x14ac:dyDescent="0.25">
      <c r="B136" s="15">
        <v>133</v>
      </c>
      <c r="C136" s="8"/>
      <c r="E136" s="67"/>
      <c r="F136" s="380"/>
      <c r="G136" s="8"/>
      <c r="H136" s="8"/>
      <c r="I136" s="8"/>
      <c r="J136" s="9"/>
      <c r="K136" s="9">
        <f t="shared" si="35"/>
        <v>0</v>
      </c>
      <c r="L136" s="35">
        <f t="shared" si="36"/>
        <v>0</v>
      </c>
      <c r="M136" s="2"/>
      <c r="O136" s="19"/>
      <c r="P136" s="19"/>
      <c r="Q136" s="19"/>
      <c r="R136" s="21"/>
      <c r="S136" s="46"/>
      <c r="T136" s="44"/>
      <c r="U136" s="77"/>
      <c r="V136" s="24"/>
      <c r="W136" s="24"/>
      <c r="X136" s="193"/>
      <c r="Y136" s="15"/>
    </row>
    <row r="137" spans="2:25" x14ac:dyDescent="0.25">
      <c r="B137" s="15">
        <v>134</v>
      </c>
      <c r="C137" s="8"/>
      <c r="E137" s="67"/>
      <c r="F137" s="380"/>
      <c r="G137" s="8"/>
      <c r="H137" s="8"/>
      <c r="I137" s="8"/>
      <c r="K137" s="9">
        <f t="shared" si="35"/>
        <v>0</v>
      </c>
      <c r="L137" s="35">
        <f t="shared" si="36"/>
        <v>0</v>
      </c>
      <c r="M137" s="2"/>
      <c r="O137" s="19"/>
      <c r="P137" s="19"/>
      <c r="Q137" s="19"/>
      <c r="S137" s="46"/>
      <c r="T137" s="44"/>
      <c r="U137" s="77"/>
      <c r="V137" s="24"/>
      <c r="W137" s="24"/>
      <c r="X137" s="193"/>
      <c r="Y137" s="15"/>
    </row>
    <row r="138" spans="2:25" x14ac:dyDescent="0.25">
      <c r="B138" s="15">
        <v>135</v>
      </c>
      <c r="C138" s="8"/>
      <c r="E138" s="67"/>
      <c r="F138" s="380"/>
      <c r="G138" s="8"/>
      <c r="H138" s="8"/>
      <c r="I138" s="8"/>
      <c r="K138" s="9">
        <f t="shared" si="35"/>
        <v>0</v>
      </c>
      <c r="L138" s="35">
        <f t="shared" si="36"/>
        <v>0</v>
      </c>
      <c r="M138" s="2"/>
      <c r="O138" s="19"/>
      <c r="P138" s="19"/>
      <c r="Q138" s="19"/>
      <c r="S138" s="46"/>
      <c r="T138" s="44"/>
      <c r="U138" s="77"/>
      <c r="V138" s="24"/>
      <c r="W138" s="24"/>
      <c r="X138" s="193"/>
      <c r="Y138" s="15"/>
    </row>
    <row r="139" spans="2:25" x14ac:dyDescent="0.25">
      <c r="B139" s="15">
        <v>136</v>
      </c>
      <c r="C139" s="8"/>
      <c r="E139" s="67"/>
      <c r="F139" s="380"/>
      <c r="G139" s="8"/>
      <c r="H139" s="8"/>
      <c r="I139" s="8"/>
      <c r="K139" s="9">
        <f t="shared" si="35"/>
        <v>0</v>
      </c>
      <c r="L139" s="35">
        <f t="shared" si="36"/>
        <v>0</v>
      </c>
      <c r="M139" s="2"/>
      <c r="O139" s="19"/>
      <c r="P139" s="19"/>
      <c r="Q139" s="19"/>
      <c r="S139" s="46"/>
      <c r="T139" s="44"/>
      <c r="U139" s="77"/>
      <c r="V139" s="24"/>
      <c r="W139" s="24"/>
      <c r="X139" s="193"/>
      <c r="Y139" s="15"/>
    </row>
    <row r="140" spans="2:25" x14ac:dyDescent="0.25">
      <c r="B140" s="15">
        <v>138</v>
      </c>
      <c r="C140" s="8"/>
      <c r="E140" s="67"/>
      <c r="F140" s="380"/>
      <c r="G140" s="8"/>
      <c r="H140" s="8"/>
      <c r="I140" s="8"/>
      <c r="J140" s="9"/>
      <c r="K140" s="9">
        <f t="shared" si="35"/>
        <v>0</v>
      </c>
      <c r="L140" s="35">
        <f t="shared" si="36"/>
        <v>0</v>
      </c>
      <c r="M140" s="2"/>
      <c r="O140" s="19"/>
      <c r="P140" s="19"/>
      <c r="Q140" s="19"/>
      <c r="R140" s="21"/>
      <c r="S140" s="46"/>
      <c r="T140" s="44"/>
      <c r="U140" s="77"/>
      <c r="V140" s="24"/>
      <c r="W140" s="24"/>
      <c r="X140" s="193"/>
      <c r="Y140" s="15"/>
    </row>
    <row r="141" spans="2:25" x14ac:dyDescent="0.25">
      <c r="B141" s="15">
        <v>139</v>
      </c>
      <c r="C141" s="8"/>
      <c r="E141" s="67"/>
      <c r="F141" s="380"/>
      <c r="G141" s="8"/>
      <c r="H141" s="8"/>
      <c r="I141" s="8"/>
      <c r="J141" s="9"/>
      <c r="K141" s="9">
        <f t="shared" si="35"/>
        <v>0</v>
      </c>
      <c r="L141" s="35">
        <f t="shared" si="36"/>
        <v>0</v>
      </c>
      <c r="M141" s="2"/>
      <c r="O141" s="19"/>
      <c r="P141" s="19"/>
      <c r="Q141" s="19"/>
      <c r="R141" s="21"/>
      <c r="S141" s="46"/>
      <c r="T141" s="44"/>
      <c r="U141" s="77"/>
      <c r="V141" s="30"/>
      <c r="W141" s="24"/>
      <c r="X141" s="193"/>
      <c r="Y141" s="15"/>
    </row>
    <row r="142" spans="2:25" x14ac:dyDescent="0.25">
      <c r="B142" s="15">
        <v>140</v>
      </c>
      <c r="C142" s="8"/>
      <c r="E142" s="67"/>
      <c r="F142" s="380"/>
      <c r="G142" s="8"/>
      <c r="H142" s="8"/>
      <c r="I142" s="8"/>
      <c r="J142" s="9"/>
      <c r="K142" s="9">
        <f t="shared" si="35"/>
        <v>0</v>
      </c>
      <c r="L142" s="35">
        <f t="shared" si="36"/>
        <v>0</v>
      </c>
      <c r="M142" s="2"/>
      <c r="O142" s="19"/>
      <c r="P142" s="19"/>
      <c r="Q142" s="19"/>
      <c r="R142" s="21"/>
      <c r="S142" s="46"/>
      <c r="T142" s="44"/>
      <c r="U142" s="77"/>
      <c r="V142" s="30"/>
      <c r="W142" s="24"/>
      <c r="X142" s="193"/>
      <c r="Y142" s="15"/>
    </row>
    <row r="143" spans="2:25" x14ac:dyDescent="0.25">
      <c r="B143" s="15">
        <v>141</v>
      </c>
      <c r="C143" s="8"/>
      <c r="E143" s="67"/>
      <c r="F143" s="380"/>
      <c r="G143" s="8"/>
      <c r="H143" s="8"/>
      <c r="I143" s="8"/>
      <c r="J143" s="9"/>
      <c r="K143" s="9">
        <f t="shared" si="35"/>
        <v>0</v>
      </c>
      <c r="L143" s="35">
        <f t="shared" si="36"/>
        <v>0</v>
      </c>
      <c r="M143" s="2"/>
      <c r="O143" s="19"/>
      <c r="P143" s="19"/>
      <c r="Q143" s="19"/>
      <c r="R143" s="21"/>
      <c r="S143" s="46"/>
      <c r="T143" s="44"/>
      <c r="U143" s="77"/>
      <c r="V143" s="24"/>
      <c r="W143" s="24"/>
      <c r="X143" s="193"/>
      <c r="Y143" s="15"/>
    </row>
    <row r="144" spans="2:25" x14ac:dyDescent="0.25">
      <c r="B144" s="15">
        <v>142</v>
      </c>
      <c r="C144" s="8"/>
      <c r="E144" s="67"/>
      <c r="F144" s="380"/>
      <c r="G144" s="8"/>
      <c r="H144" s="8"/>
      <c r="I144" s="8"/>
      <c r="J144" s="9"/>
      <c r="K144" s="9">
        <f t="shared" si="35"/>
        <v>0</v>
      </c>
      <c r="L144" s="35">
        <f t="shared" si="36"/>
        <v>0</v>
      </c>
      <c r="M144" s="2"/>
      <c r="O144" s="19"/>
      <c r="P144" s="19"/>
      <c r="Q144" s="19"/>
      <c r="R144" s="21"/>
      <c r="S144" s="46"/>
      <c r="T144" s="44"/>
      <c r="U144" s="77"/>
      <c r="V144" s="24"/>
      <c r="W144" s="24"/>
      <c r="X144" s="193"/>
      <c r="Y144" s="15"/>
    </row>
    <row r="145" spans="2:25" x14ac:dyDescent="0.25">
      <c r="B145" s="15">
        <v>143</v>
      </c>
      <c r="C145" s="8"/>
      <c r="E145" s="67"/>
      <c r="F145" s="380"/>
      <c r="G145" s="8"/>
      <c r="H145" s="8"/>
      <c r="I145" s="8"/>
      <c r="J145" s="9"/>
      <c r="K145" s="9">
        <f t="shared" si="35"/>
        <v>0</v>
      </c>
      <c r="L145" s="35">
        <f t="shared" si="36"/>
        <v>0</v>
      </c>
      <c r="M145" s="2"/>
      <c r="O145" s="19"/>
      <c r="P145" s="19"/>
      <c r="Q145" s="19"/>
      <c r="R145" s="21"/>
      <c r="S145" s="46"/>
      <c r="T145" s="44"/>
      <c r="U145" s="77"/>
      <c r="V145" s="24"/>
      <c r="W145" s="24"/>
      <c r="X145" s="193"/>
      <c r="Y145" s="15"/>
    </row>
    <row r="146" spans="2:25" x14ac:dyDescent="0.25">
      <c r="B146" s="15">
        <v>144</v>
      </c>
      <c r="C146" s="8"/>
      <c r="E146" s="67"/>
      <c r="F146" s="380"/>
      <c r="G146" s="8"/>
      <c r="H146" s="8"/>
      <c r="I146" s="8"/>
      <c r="J146" s="9"/>
      <c r="K146" s="9">
        <f t="shared" si="35"/>
        <v>0</v>
      </c>
      <c r="L146" s="35">
        <f t="shared" si="36"/>
        <v>0</v>
      </c>
      <c r="M146" s="2"/>
      <c r="O146" s="19"/>
      <c r="P146" s="19"/>
      <c r="Q146" s="19"/>
      <c r="R146" s="21"/>
      <c r="S146" s="46"/>
      <c r="T146" s="44"/>
      <c r="U146" s="77"/>
      <c r="V146" s="24"/>
      <c r="W146" s="24"/>
      <c r="X146" s="193"/>
      <c r="Y146" s="15"/>
    </row>
    <row r="147" spans="2:25" x14ac:dyDescent="0.25">
      <c r="B147" s="15">
        <v>145</v>
      </c>
      <c r="C147" s="8"/>
      <c r="E147" s="67"/>
      <c r="F147" s="380"/>
      <c r="G147" s="8"/>
      <c r="H147" s="8"/>
      <c r="I147" s="8"/>
      <c r="J147" s="9"/>
      <c r="K147" s="9">
        <f t="shared" si="35"/>
        <v>0</v>
      </c>
      <c r="L147" s="35">
        <f t="shared" si="36"/>
        <v>0</v>
      </c>
      <c r="M147" s="2"/>
      <c r="O147" s="19"/>
      <c r="P147" s="19"/>
      <c r="Q147" s="19"/>
      <c r="R147" s="21"/>
      <c r="S147" s="46"/>
      <c r="T147" s="44"/>
      <c r="U147" s="77"/>
      <c r="V147" s="24"/>
      <c r="W147" s="24"/>
      <c r="X147" s="193"/>
      <c r="Y147" s="15"/>
    </row>
    <row r="148" spans="2:25" x14ac:dyDescent="0.25">
      <c r="B148" s="15">
        <v>146</v>
      </c>
      <c r="C148" s="8"/>
      <c r="E148" s="67"/>
      <c r="F148" s="380"/>
      <c r="G148" s="8"/>
      <c r="H148" s="8"/>
      <c r="I148" s="8"/>
      <c r="J148" s="9"/>
      <c r="K148" s="9">
        <f t="shared" si="35"/>
        <v>0</v>
      </c>
      <c r="L148" s="35">
        <f t="shared" si="36"/>
        <v>0</v>
      </c>
      <c r="M148" s="2"/>
      <c r="O148" s="19"/>
      <c r="P148" s="19"/>
      <c r="Q148" s="19"/>
      <c r="R148" s="21"/>
      <c r="S148" s="46"/>
      <c r="T148" s="44"/>
      <c r="U148" s="77"/>
      <c r="V148" s="30"/>
      <c r="W148" s="24"/>
      <c r="X148" s="193"/>
      <c r="Y148" s="15"/>
    </row>
    <row r="149" spans="2:25" x14ac:dyDescent="0.25">
      <c r="B149" s="15">
        <v>147</v>
      </c>
      <c r="C149" s="8"/>
      <c r="E149" s="67"/>
      <c r="F149" s="380"/>
      <c r="G149" s="8"/>
      <c r="H149" s="8"/>
      <c r="I149" s="8"/>
      <c r="K149" s="9">
        <f t="shared" si="35"/>
        <v>0</v>
      </c>
      <c r="L149" s="35">
        <f t="shared" si="36"/>
        <v>0</v>
      </c>
      <c r="O149" s="19"/>
      <c r="P149" s="19"/>
      <c r="Q149" s="19"/>
      <c r="S149" s="46"/>
      <c r="T149" s="44"/>
      <c r="U149" s="77"/>
      <c r="V149" s="79"/>
      <c r="W149" s="24"/>
      <c r="X149" s="193"/>
      <c r="Y149" s="15"/>
    </row>
    <row r="150" spans="2:25" x14ac:dyDescent="0.25">
      <c r="B150" s="15">
        <v>148</v>
      </c>
      <c r="C150" s="8"/>
      <c r="E150" s="67"/>
      <c r="F150" s="380"/>
      <c r="G150" s="8"/>
      <c r="H150" s="8"/>
      <c r="I150" s="8"/>
      <c r="J150" s="9"/>
      <c r="K150" s="9">
        <f t="shared" si="35"/>
        <v>0</v>
      </c>
      <c r="L150" s="35">
        <f t="shared" si="36"/>
        <v>0</v>
      </c>
      <c r="M150" s="2"/>
      <c r="O150" s="19"/>
      <c r="P150" s="19"/>
      <c r="Q150" s="19"/>
      <c r="R150" s="21"/>
      <c r="S150" s="46"/>
      <c r="T150" s="44"/>
      <c r="U150" s="77"/>
      <c r="V150" s="79"/>
      <c r="W150" s="24"/>
      <c r="X150" s="193"/>
      <c r="Y150" s="15"/>
    </row>
    <row r="151" spans="2:25" x14ac:dyDescent="0.25">
      <c r="B151" s="15">
        <v>149</v>
      </c>
      <c r="C151" s="8"/>
      <c r="E151" s="67"/>
      <c r="F151" s="380"/>
      <c r="G151" s="8"/>
      <c r="H151" s="8"/>
      <c r="I151" s="8"/>
      <c r="J151" s="9"/>
      <c r="K151" s="9">
        <f t="shared" si="35"/>
        <v>0</v>
      </c>
      <c r="L151" s="35">
        <f t="shared" si="36"/>
        <v>0</v>
      </c>
      <c r="M151" s="2"/>
      <c r="O151" s="19"/>
      <c r="P151" s="19"/>
      <c r="Q151" s="19"/>
      <c r="R151" s="21"/>
      <c r="S151" s="46"/>
      <c r="T151" s="44"/>
      <c r="U151" s="77"/>
      <c r="V151" s="24"/>
      <c r="W151" s="24"/>
      <c r="X151" s="193"/>
      <c r="Y151" s="15"/>
    </row>
    <row r="152" spans="2:25" x14ac:dyDescent="0.25">
      <c r="B152" s="15">
        <v>150</v>
      </c>
      <c r="C152" s="8"/>
      <c r="E152" s="67"/>
      <c r="F152" s="380"/>
      <c r="G152" s="8"/>
      <c r="H152" s="8"/>
      <c r="I152" s="8"/>
      <c r="J152" s="9"/>
      <c r="K152" s="9">
        <f t="shared" si="35"/>
        <v>0</v>
      </c>
      <c r="L152" s="35">
        <f t="shared" si="36"/>
        <v>0</v>
      </c>
      <c r="M152" s="2"/>
      <c r="O152" s="19"/>
      <c r="P152" s="19"/>
      <c r="Q152" s="19"/>
      <c r="R152" s="21"/>
      <c r="S152" s="46"/>
      <c r="T152" s="44"/>
      <c r="U152" s="77"/>
      <c r="V152" s="24"/>
      <c r="W152" s="24"/>
      <c r="X152" s="193"/>
      <c r="Y152" s="15"/>
    </row>
    <row r="153" spans="2:25" x14ac:dyDescent="0.25">
      <c r="B153" s="15">
        <v>151</v>
      </c>
      <c r="C153" s="8"/>
      <c r="E153" s="67"/>
      <c r="F153" s="380"/>
      <c r="G153" s="8"/>
      <c r="H153" s="8"/>
      <c r="I153" s="8"/>
      <c r="J153" s="9"/>
      <c r="K153" s="9">
        <f t="shared" si="35"/>
        <v>0</v>
      </c>
      <c r="L153" s="35">
        <f t="shared" si="36"/>
        <v>0</v>
      </c>
      <c r="M153" s="2"/>
      <c r="O153" s="19"/>
      <c r="P153" s="19"/>
      <c r="Q153" s="19"/>
      <c r="R153" s="21"/>
      <c r="S153" s="46"/>
      <c r="T153" s="44"/>
      <c r="U153" s="77"/>
      <c r="V153" s="24"/>
      <c r="W153" s="24"/>
      <c r="X153" s="193"/>
      <c r="Y153" s="15"/>
    </row>
    <row r="154" spans="2:25" x14ac:dyDescent="0.25">
      <c r="B154" s="15">
        <v>152</v>
      </c>
      <c r="C154" s="8"/>
      <c r="E154" s="67"/>
      <c r="F154" s="380"/>
      <c r="G154" s="8"/>
      <c r="H154" s="8"/>
      <c r="I154" s="8"/>
      <c r="J154" s="9"/>
      <c r="K154" s="9">
        <f t="shared" si="35"/>
        <v>0</v>
      </c>
      <c r="L154" s="35">
        <f t="shared" si="36"/>
        <v>0</v>
      </c>
      <c r="M154" s="2"/>
      <c r="O154" s="19"/>
      <c r="P154" s="19"/>
      <c r="Q154" s="19"/>
      <c r="R154" s="21"/>
      <c r="S154" s="46"/>
      <c r="T154" s="44"/>
      <c r="U154" s="77"/>
      <c r="V154" s="24"/>
      <c r="W154" s="24"/>
      <c r="X154" s="193"/>
      <c r="Y154" s="15"/>
    </row>
    <row r="155" spans="2:25" x14ac:dyDescent="0.25">
      <c r="B155" s="15">
        <v>153</v>
      </c>
      <c r="C155" s="8"/>
      <c r="E155" s="67"/>
      <c r="F155" s="380"/>
      <c r="G155" s="8"/>
      <c r="H155" s="8"/>
      <c r="I155" s="8"/>
      <c r="J155" s="9"/>
      <c r="K155" s="9">
        <f t="shared" si="35"/>
        <v>0</v>
      </c>
      <c r="L155" s="35">
        <f t="shared" si="36"/>
        <v>0</v>
      </c>
      <c r="M155" s="2"/>
      <c r="O155" s="19"/>
      <c r="P155" s="19"/>
      <c r="Q155" s="19"/>
      <c r="R155" s="21"/>
      <c r="S155" s="46"/>
      <c r="T155" s="44"/>
      <c r="U155" s="77"/>
      <c r="V155" s="30"/>
      <c r="W155" s="24"/>
      <c r="X155" s="193"/>
      <c r="Y155" s="15"/>
    </row>
    <row r="156" spans="2:25" x14ac:dyDescent="0.25">
      <c r="B156" s="15">
        <v>154</v>
      </c>
      <c r="C156" s="8"/>
      <c r="E156" s="67"/>
      <c r="F156" s="380"/>
      <c r="G156" s="8"/>
      <c r="H156" s="8"/>
      <c r="I156" s="8"/>
      <c r="J156" s="9"/>
      <c r="K156" s="9">
        <f t="shared" si="35"/>
        <v>0</v>
      </c>
      <c r="L156" s="35">
        <f t="shared" si="36"/>
        <v>0</v>
      </c>
      <c r="M156" s="2"/>
      <c r="O156" s="19"/>
      <c r="P156" s="19"/>
      <c r="Q156" s="19"/>
      <c r="R156" s="21"/>
      <c r="S156" s="46"/>
      <c r="T156" s="44"/>
      <c r="U156" s="77"/>
      <c r="V156" s="24"/>
      <c r="W156" s="24"/>
      <c r="X156" s="193"/>
      <c r="Y156" s="15"/>
    </row>
    <row r="157" spans="2:25" x14ac:dyDescent="0.25">
      <c r="B157" s="15">
        <v>155</v>
      </c>
      <c r="C157" s="8"/>
      <c r="E157" s="67"/>
      <c r="F157" s="380"/>
      <c r="G157" s="8"/>
      <c r="H157" s="8"/>
      <c r="I157" s="8"/>
      <c r="J157" s="9"/>
      <c r="K157" s="9">
        <f t="shared" si="35"/>
        <v>0</v>
      </c>
      <c r="L157" s="35">
        <f t="shared" si="36"/>
        <v>0</v>
      </c>
      <c r="M157" s="2"/>
      <c r="O157" s="19"/>
      <c r="P157" s="19"/>
      <c r="Q157" s="19"/>
      <c r="R157" s="21"/>
      <c r="S157" s="46"/>
      <c r="T157" s="44"/>
      <c r="U157" s="77"/>
      <c r="V157" s="24"/>
      <c r="W157" s="24"/>
      <c r="X157" s="193"/>
      <c r="Y157" s="15"/>
    </row>
    <row r="158" spans="2:25" x14ac:dyDescent="0.25">
      <c r="B158" s="15">
        <v>156</v>
      </c>
      <c r="C158" s="8"/>
      <c r="E158" s="67"/>
      <c r="F158" s="380"/>
      <c r="G158" s="8"/>
      <c r="H158" s="8"/>
      <c r="I158" s="8"/>
      <c r="J158" s="9"/>
      <c r="K158" s="9">
        <f t="shared" si="35"/>
        <v>0</v>
      </c>
      <c r="L158" s="35">
        <f t="shared" si="36"/>
        <v>0</v>
      </c>
      <c r="M158" s="2"/>
      <c r="O158" s="19"/>
      <c r="P158" s="19"/>
      <c r="Q158" s="19"/>
      <c r="R158" s="21"/>
      <c r="S158" s="46"/>
      <c r="T158" s="44"/>
      <c r="U158" s="77"/>
      <c r="V158" s="24"/>
      <c r="W158" s="24"/>
      <c r="X158" s="193"/>
      <c r="Y158" s="15"/>
    </row>
    <row r="159" spans="2:25" x14ac:dyDescent="0.25">
      <c r="B159" s="15">
        <v>157</v>
      </c>
      <c r="C159" s="8"/>
      <c r="E159" s="67"/>
      <c r="F159" s="380"/>
      <c r="G159" s="8"/>
      <c r="H159" s="8"/>
      <c r="I159" s="8"/>
      <c r="J159" s="9"/>
      <c r="K159" s="9">
        <f t="shared" si="35"/>
        <v>0</v>
      </c>
      <c r="L159" s="35">
        <f t="shared" si="36"/>
        <v>0</v>
      </c>
      <c r="M159" s="2"/>
      <c r="O159" s="19"/>
      <c r="P159" s="19"/>
      <c r="Q159" s="19"/>
      <c r="R159" s="21"/>
      <c r="S159" s="46"/>
      <c r="T159" s="44"/>
      <c r="U159" s="77"/>
      <c r="V159" s="24"/>
      <c r="W159" s="24"/>
      <c r="X159" s="193"/>
      <c r="Y159" s="15"/>
    </row>
    <row r="160" spans="2:25" x14ac:dyDescent="0.25">
      <c r="B160" s="15">
        <v>158</v>
      </c>
      <c r="C160" s="8"/>
      <c r="E160" s="67"/>
      <c r="F160" s="380"/>
      <c r="G160" s="8"/>
      <c r="H160" s="8"/>
      <c r="I160" s="8"/>
      <c r="J160" s="9"/>
      <c r="K160" s="9">
        <f t="shared" si="35"/>
        <v>0</v>
      </c>
      <c r="L160" s="35">
        <f t="shared" si="36"/>
        <v>0</v>
      </c>
      <c r="M160" s="2"/>
      <c r="O160" s="19"/>
      <c r="P160" s="19"/>
      <c r="Q160" s="19"/>
      <c r="R160" s="21"/>
      <c r="S160" s="46"/>
      <c r="T160" s="44"/>
      <c r="U160" s="77"/>
      <c r="V160" s="24"/>
      <c r="W160" s="24"/>
      <c r="X160" s="193"/>
      <c r="Y160" s="15"/>
    </row>
    <row r="161" spans="2:25" x14ac:dyDescent="0.25">
      <c r="B161" s="15">
        <v>159</v>
      </c>
      <c r="C161" s="8"/>
      <c r="E161" s="67"/>
      <c r="F161" s="380"/>
      <c r="G161" s="8"/>
      <c r="H161" s="8"/>
      <c r="I161" s="8"/>
      <c r="J161" s="9"/>
      <c r="K161" s="9">
        <f t="shared" si="35"/>
        <v>0</v>
      </c>
      <c r="L161" s="35">
        <f t="shared" si="36"/>
        <v>0</v>
      </c>
      <c r="M161" s="2"/>
      <c r="O161" s="19"/>
      <c r="P161" s="19"/>
      <c r="Q161" s="19"/>
      <c r="R161" s="21"/>
      <c r="S161" s="46"/>
      <c r="T161" s="44"/>
      <c r="U161" s="77"/>
      <c r="V161" s="30"/>
      <c r="W161" s="24"/>
      <c r="X161" s="193"/>
      <c r="Y161" s="15"/>
    </row>
    <row r="162" spans="2:25" x14ac:dyDescent="0.25">
      <c r="B162" s="15">
        <v>160</v>
      </c>
      <c r="C162" s="8"/>
      <c r="E162" s="67"/>
      <c r="F162" s="380"/>
      <c r="G162" s="8"/>
      <c r="H162" s="8"/>
      <c r="I162" s="8"/>
      <c r="J162" s="9"/>
      <c r="K162" s="9">
        <f t="shared" si="35"/>
        <v>0</v>
      </c>
      <c r="L162" s="35">
        <f t="shared" si="36"/>
        <v>0</v>
      </c>
      <c r="M162" s="2"/>
      <c r="O162" s="19"/>
      <c r="P162" s="19"/>
      <c r="Q162" s="19"/>
      <c r="R162" s="21"/>
      <c r="S162" s="46"/>
      <c r="T162" s="44"/>
      <c r="U162" s="77"/>
      <c r="V162" s="30"/>
      <c r="W162" s="24"/>
      <c r="X162" s="193"/>
      <c r="Y162" s="15"/>
    </row>
    <row r="163" spans="2:25" x14ac:dyDescent="0.25">
      <c r="B163" s="15">
        <v>161</v>
      </c>
      <c r="C163" s="8"/>
      <c r="E163" s="67"/>
      <c r="F163" s="380"/>
      <c r="G163" s="8"/>
      <c r="H163" s="8"/>
      <c r="I163" s="8"/>
      <c r="J163" s="9"/>
      <c r="K163" s="9">
        <f t="shared" si="35"/>
        <v>0</v>
      </c>
      <c r="L163" s="35">
        <f t="shared" si="36"/>
        <v>0</v>
      </c>
      <c r="M163" s="2"/>
      <c r="O163" s="19"/>
      <c r="P163" s="19"/>
      <c r="Q163" s="19"/>
      <c r="R163" s="21"/>
      <c r="S163" s="46"/>
      <c r="T163" s="44"/>
      <c r="U163" s="77"/>
      <c r="V163" s="30"/>
      <c r="W163" s="24"/>
      <c r="X163" s="193"/>
      <c r="Y163" s="15"/>
    </row>
    <row r="164" spans="2:25" x14ac:dyDescent="0.25">
      <c r="B164" s="15">
        <v>162</v>
      </c>
      <c r="C164" s="8"/>
      <c r="E164" s="67"/>
      <c r="F164" s="380"/>
      <c r="G164" s="8"/>
      <c r="H164" s="8"/>
      <c r="I164" s="8"/>
      <c r="J164" s="9"/>
      <c r="K164" s="9">
        <f t="shared" si="35"/>
        <v>0</v>
      </c>
      <c r="L164" s="35">
        <f t="shared" si="36"/>
        <v>0</v>
      </c>
      <c r="M164" s="2"/>
      <c r="O164" s="19"/>
      <c r="P164" s="19"/>
      <c r="Q164" s="19"/>
      <c r="R164" s="21"/>
      <c r="S164" s="46"/>
      <c r="T164" s="44"/>
      <c r="U164" s="77"/>
      <c r="V164" s="30"/>
      <c r="W164" s="24"/>
      <c r="X164" s="193"/>
      <c r="Y164" s="15"/>
    </row>
    <row r="165" spans="2:25" x14ac:dyDescent="0.25">
      <c r="B165" s="15">
        <v>163</v>
      </c>
      <c r="C165" s="8"/>
      <c r="E165" s="67"/>
      <c r="F165" s="380"/>
      <c r="G165" s="8"/>
      <c r="H165" s="8"/>
      <c r="I165" s="8"/>
      <c r="J165" s="9"/>
      <c r="K165" s="9">
        <f t="shared" si="35"/>
        <v>0</v>
      </c>
      <c r="L165" s="35">
        <f t="shared" si="36"/>
        <v>0</v>
      </c>
      <c r="M165" s="2"/>
      <c r="O165" s="19"/>
      <c r="P165" s="19"/>
      <c r="Q165" s="19"/>
      <c r="R165" s="21"/>
      <c r="S165" s="46"/>
      <c r="T165" s="44"/>
      <c r="U165" s="77"/>
      <c r="V165" s="24"/>
      <c r="W165" s="24"/>
      <c r="X165" s="193"/>
      <c r="Y165" s="15"/>
    </row>
    <row r="166" spans="2:25" x14ac:dyDescent="0.25">
      <c r="B166" s="15">
        <v>164</v>
      </c>
      <c r="C166" s="8"/>
      <c r="E166" s="67"/>
      <c r="F166" s="380"/>
      <c r="G166" s="8"/>
      <c r="H166" s="8"/>
      <c r="I166" s="8"/>
      <c r="J166" s="9"/>
      <c r="K166" s="9">
        <f t="shared" si="35"/>
        <v>0</v>
      </c>
      <c r="L166" s="35">
        <f t="shared" si="36"/>
        <v>0</v>
      </c>
      <c r="M166" s="2"/>
      <c r="O166" s="19"/>
      <c r="P166" s="19"/>
      <c r="Q166" s="19"/>
      <c r="R166" s="21"/>
      <c r="S166" s="46"/>
      <c r="T166" s="44"/>
      <c r="U166" s="77"/>
      <c r="V166" s="24"/>
      <c r="W166" s="24"/>
      <c r="X166" s="193"/>
      <c r="Y166" s="15"/>
    </row>
    <row r="167" spans="2:25" x14ac:dyDescent="0.25">
      <c r="B167" s="15">
        <v>165</v>
      </c>
      <c r="C167" s="8"/>
      <c r="E167" s="67"/>
      <c r="F167" s="380"/>
      <c r="G167" s="8"/>
      <c r="H167" s="8"/>
      <c r="I167" s="8"/>
      <c r="J167" s="9"/>
      <c r="K167" s="9">
        <f t="shared" si="35"/>
        <v>0</v>
      </c>
      <c r="L167" s="35">
        <f t="shared" si="36"/>
        <v>0</v>
      </c>
      <c r="M167" s="2"/>
      <c r="O167" s="19"/>
      <c r="P167" s="19"/>
      <c r="Q167" s="19"/>
      <c r="R167" s="21"/>
      <c r="S167" s="46"/>
      <c r="T167" s="44"/>
      <c r="U167" s="77"/>
      <c r="V167" s="24"/>
      <c r="W167" s="24"/>
      <c r="X167" s="193"/>
      <c r="Y167" s="15"/>
    </row>
    <row r="168" spans="2:25" x14ac:dyDescent="0.25">
      <c r="B168" s="15">
        <v>166</v>
      </c>
      <c r="C168" s="8"/>
      <c r="E168" s="67"/>
      <c r="F168" s="380"/>
      <c r="G168" s="8"/>
      <c r="H168" s="8"/>
      <c r="I168" s="8"/>
      <c r="J168" s="9"/>
      <c r="K168" s="9">
        <f t="shared" si="35"/>
        <v>0</v>
      </c>
      <c r="L168" s="35">
        <f t="shared" si="36"/>
        <v>0</v>
      </c>
      <c r="M168" s="2"/>
      <c r="O168" s="19"/>
      <c r="P168" s="19"/>
      <c r="Q168" s="19"/>
      <c r="R168" s="21"/>
      <c r="S168" s="46"/>
      <c r="T168" s="44"/>
      <c r="U168" s="77"/>
      <c r="V168" s="24"/>
      <c r="W168" s="24"/>
      <c r="X168" s="193"/>
      <c r="Y168" s="15"/>
    </row>
    <row r="169" spans="2:25" x14ac:dyDescent="0.25">
      <c r="B169" s="15">
        <v>167</v>
      </c>
      <c r="C169" s="8"/>
      <c r="E169" s="67"/>
      <c r="F169" s="380"/>
      <c r="G169" s="8"/>
      <c r="H169" s="8"/>
      <c r="I169" s="8"/>
      <c r="J169" s="9"/>
      <c r="K169" s="9">
        <f t="shared" si="35"/>
        <v>0</v>
      </c>
      <c r="L169" s="35">
        <f t="shared" si="36"/>
        <v>0</v>
      </c>
      <c r="M169" s="2"/>
      <c r="O169" s="19"/>
      <c r="P169" s="19"/>
      <c r="Q169" s="19"/>
      <c r="R169" s="21"/>
      <c r="S169" s="46"/>
      <c r="T169" s="44"/>
      <c r="U169" s="77"/>
      <c r="V169" s="30"/>
      <c r="W169" s="24"/>
      <c r="X169" s="193"/>
      <c r="Y169" s="15"/>
    </row>
    <row r="170" spans="2:25" x14ac:dyDescent="0.25">
      <c r="B170" s="15">
        <v>168</v>
      </c>
      <c r="C170" s="8"/>
      <c r="E170" s="67"/>
      <c r="F170" s="380"/>
      <c r="G170" s="8"/>
      <c r="H170" s="8"/>
      <c r="I170" s="8"/>
      <c r="J170" s="9"/>
      <c r="K170" s="9">
        <f t="shared" si="35"/>
        <v>0</v>
      </c>
      <c r="L170" s="35">
        <f t="shared" si="36"/>
        <v>0</v>
      </c>
      <c r="M170" s="2"/>
      <c r="O170" s="19"/>
      <c r="P170" s="19"/>
      <c r="Q170" s="19"/>
      <c r="R170" s="21"/>
      <c r="S170" s="46"/>
      <c r="T170" s="44"/>
      <c r="U170" s="77"/>
      <c r="V170" s="30"/>
      <c r="W170" s="24"/>
      <c r="X170" s="193"/>
      <c r="Y170" s="15"/>
    </row>
    <row r="171" spans="2:25" x14ac:dyDescent="0.25">
      <c r="B171" s="15">
        <v>169</v>
      </c>
      <c r="C171" s="8"/>
      <c r="E171" s="67"/>
      <c r="F171" s="380"/>
      <c r="G171" s="8"/>
      <c r="H171" s="8"/>
      <c r="I171" s="8"/>
      <c r="J171" s="9"/>
      <c r="K171" s="9">
        <f t="shared" si="35"/>
        <v>0</v>
      </c>
      <c r="L171" s="35">
        <f t="shared" si="36"/>
        <v>0</v>
      </c>
      <c r="M171" s="2"/>
      <c r="O171" s="19"/>
      <c r="P171" s="19"/>
      <c r="Q171" s="19"/>
      <c r="R171" s="21"/>
      <c r="S171" s="46"/>
      <c r="T171" s="44"/>
      <c r="U171" s="77"/>
      <c r="V171" s="24"/>
      <c r="W171" s="24"/>
      <c r="X171" s="193"/>
      <c r="Y171" s="15"/>
    </row>
    <row r="172" spans="2:25" x14ac:dyDescent="0.25">
      <c r="B172" s="15">
        <v>170</v>
      </c>
      <c r="C172" s="8"/>
      <c r="E172" s="67"/>
      <c r="F172" s="380"/>
      <c r="G172" s="8"/>
      <c r="H172" s="8"/>
      <c r="I172" s="8"/>
      <c r="J172" s="9"/>
      <c r="K172" s="9">
        <f t="shared" si="35"/>
        <v>0</v>
      </c>
      <c r="L172" s="35">
        <f t="shared" si="36"/>
        <v>0</v>
      </c>
      <c r="M172" s="2"/>
      <c r="O172" s="19"/>
      <c r="P172" s="19"/>
      <c r="Q172" s="19"/>
      <c r="R172" s="21"/>
      <c r="S172" s="46"/>
      <c r="T172" s="44"/>
      <c r="U172" s="77"/>
      <c r="V172" s="24"/>
      <c r="W172" s="24"/>
      <c r="X172" s="193"/>
      <c r="Y172" s="15"/>
    </row>
    <row r="173" spans="2:25" x14ac:dyDescent="0.25">
      <c r="B173" s="15">
        <v>171</v>
      </c>
      <c r="C173" s="8"/>
      <c r="E173" s="67"/>
      <c r="F173" s="380"/>
      <c r="G173" s="8"/>
      <c r="H173" s="8"/>
      <c r="I173" s="8"/>
      <c r="J173" s="9"/>
      <c r="K173" s="9">
        <f t="shared" si="35"/>
        <v>0</v>
      </c>
      <c r="L173" s="35">
        <f t="shared" si="36"/>
        <v>0</v>
      </c>
      <c r="M173" s="2"/>
      <c r="O173" s="19"/>
      <c r="P173" s="19"/>
      <c r="Q173" s="19"/>
      <c r="R173" s="21"/>
      <c r="S173" s="46"/>
      <c r="T173" s="44"/>
      <c r="U173" s="77"/>
      <c r="V173" s="24"/>
      <c r="W173" s="24"/>
      <c r="X173" s="193"/>
      <c r="Y173" s="15"/>
    </row>
    <row r="174" spans="2:25" x14ac:dyDescent="0.25">
      <c r="B174" s="15">
        <v>172</v>
      </c>
      <c r="C174" s="8"/>
      <c r="E174" s="67"/>
      <c r="F174" s="380"/>
      <c r="G174" s="8"/>
      <c r="H174" s="8"/>
      <c r="I174" s="8"/>
      <c r="J174" s="9"/>
      <c r="K174" s="9">
        <f t="shared" si="35"/>
        <v>0</v>
      </c>
      <c r="L174" s="35">
        <f t="shared" si="36"/>
        <v>0</v>
      </c>
      <c r="M174" s="2"/>
      <c r="O174" s="19"/>
      <c r="P174" s="19"/>
      <c r="Q174" s="19"/>
      <c r="R174" s="21"/>
      <c r="S174" s="46"/>
      <c r="T174" s="44"/>
      <c r="U174" s="77"/>
      <c r="V174" s="24"/>
      <c r="W174" s="24"/>
      <c r="X174" s="193"/>
      <c r="Y174" s="15"/>
    </row>
    <row r="175" spans="2:25" x14ac:dyDescent="0.25">
      <c r="B175" s="15">
        <v>173</v>
      </c>
      <c r="C175" s="8"/>
      <c r="E175" s="67"/>
      <c r="F175" s="380"/>
      <c r="G175" s="8"/>
      <c r="H175" s="8"/>
      <c r="I175" s="8"/>
      <c r="J175" s="9"/>
      <c r="K175" s="9">
        <f t="shared" si="35"/>
        <v>0</v>
      </c>
      <c r="L175" s="35">
        <f t="shared" si="36"/>
        <v>0</v>
      </c>
      <c r="M175" s="2"/>
      <c r="O175" s="19"/>
      <c r="P175" s="19"/>
      <c r="Q175" s="19"/>
      <c r="R175" s="21"/>
      <c r="S175" s="46"/>
      <c r="T175" s="44"/>
      <c r="U175" s="77"/>
      <c r="V175" s="24"/>
      <c r="W175" s="24"/>
      <c r="X175" s="193"/>
      <c r="Y175" s="15"/>
    </row>
    <row r="176" spans="2:25" x14ac:dyDescent="0.25">
      <c r="B176" s="15">
        <v>174</v>
      </c>
      <c r="C176" s="8"/>
      <c r="E176" s="67"/>
      <c r="F176" s="380"/>
      <c r="G176" s="8"/>
      <c r="H176" s="8"/>
      <c r="I176" s="8"/>
      <c r="J176" s="9"/>
      <c r="K176" s="9">
        <f t="shared" si="35"/>
        <v>0</v>
      </c>
      <c r="L176" s="35">
        <f t="shared" si="36"/>
        <v>0</v>
      </c>
      <c r="M176" s="2"/>
      <c r="O176" s="19"/>
      <c r="P176" s="19"/>
      <c r="Q176" s="19"/>
      <c r="R176" s="21"/>
      <c r="S176" s="46"/>
      <c r="T176" s="44"/>
      <c r="U176" s="77"/>
      <c r="V176" s="30"/>
      <c r="W176" s="24"/>
      <c r="X176" s="193"/>
      <c r="Y176" s="15"/>
    </row>
    <row r="177" spans="2:25" x14ac:dyDescent="0.25">
      <c r="B177" s="15">
        <v>175</v>
      </c>
      <c r="C177" s="8"/>
      <c r="E177" s="67"/>
      <c r="F177" s="380"/>
      <c r="G177" s="8"/>
      <c r="H177" s="8"/>
      <c r="I177" s="8"/>
      <c r="J177" s="9"/>
      <c r="K177" s="9">
        <f t="shared" si="35"/>
        <v>0</v>
      </c>
      <c r="L177" s="35">
        <f t="shared" si="36"/>
        <v>0</v>
      </c>
      <c r="M177" s="2"/>
      <c r="O177" s="19"/>
      <c r="P177" s="19"/>
      <c r="Q177" s="19"/>
      <c r="R177" s="21"/>
      <c r="S177" s="46"/>
      <c r="T177" s="44"/>
      <c r="U177" s="77"/>
      <c r="V177" s="30"/>
      <c r="W177" s="24"/>
      <c r="X177" s="193"/>
      <c r="Y177" s="15"/>
    </row>
    <row r="178" spans="2:25" x14ac:dyDescent="0.25">
      <c r="B178" s="15">
        <v>176</v>
      </c>
      <c r="C178" s="8"/>
      <c r="E178" s="67"/>
      <c r="F178" s="380"/>
      <c r="G178" s="8"/>
      <c r="H178" s="8"/>
      <c r="I178" s="8"/>
      <c r="J178" s="9"/>
      <c r="K178" s="9">
        <f t="shared" si="35"/>
        <v>0</v>
      </c>
      <c r="L178" s="35">
        <f t="shared" si="36"/>
        <v>0</v>
      </c>
      <c r="M178" s="2"/>
      <c r="O178" s="19"/>
      <c r="P178" s="19"/>
      <c r="Q178" s="19"/>
      <c r="R178" s="21"/>
      <c r="S178" s="46"/>
      <c r="T178" s="44"/>
      <c r="U178" s="77"/>
      <c r="V178" s="24"/>
      <c r="W178" s="24"/>
      <c r="X178" s="193"/>
      <c r="Y178" s="15"/>
    </row>
    <row r="179" spans="2:25" x14ac:dyDescent="0.25">
      <c r="B179" s="15">
        <v>177</v>
      </c>
      <c r="C179" s="8"/>
      <c r="E179" s="67"/>
      <c r="F179" s="380"/>
      <c r="G179" s="8"/>
      <c r="H179" s="8"/>
      <c r="I179" s="8"/>
      <c r="J179" s="9"/>
      <c r="K179" s="9">
        <f t="shared" si="35"/>
        <v>0</v>
      </c>
      <c r="L179" s="35">
        <f t="shared" si="36"/>
        <v>0</v>
      </c>
      <c r="M179" s="2"/>
      <c r="O179" s="19"/>
      <c r="P179" s="19"/>
      <c r="Q179" s="19"/>
      <c r="R179" s="21"/>
      <c r="S179" s="46"/>
      <c r="T179" s="44"/>
      <c r="U179" s="77"/>
      <c r="V179" s="24"/>
      <c r="W179" s="24"/>
      <c r="X179" s="193"/>
      <c r="Y179" s="15"/>
    </row>
    <row r="180" spans="2:25" x14ac:dyDescent="0.25">
      <c r="B180" s="15">
        <v>178</v>
      </c>
      <c r="C180" s="8"/>
      <c r="E180" s="67"/>
      <c r="F180" s="380"/>
      <c r="G180" s="8"/>
      <c r="H180" s="8"/>
      <c r="I180" s="8"/>
      <c r="J180" s="9"/>
      <c r="K180" s="9">
        <f t="shared" si="35"/>
        <v>0</v>
      </c>
      <c r="L180" s="35">
        <f t="shared" si="36"/>
        <v>0</v>
      </c>
      <c r="M180" s="2"/>
      <c r="O180" s="19"/>
      <c r="P180" s="19"/>
      <c r="Q180" s="19"/>
      <c r="R180" s="21"/>
      <c r="S180" s="46"/>
      <c r="T180" s="44"/>
      <c r="U180" s="77"/>
      <c r="V180" s="24"/>
      <c r="W180" s="24"/>
      <c r="X180" s="193"/>
      <c r="Y180" s="15"/>
    </row>
    <row r="181" spans="2:25" x14ac:dyDescent="0.25">
      <c r="B181" s="15">
        <v>179</v>
      </c>
      <c r="C181" s="8"/>
      <c r="E181" s="67"/>
      <c r="F181" s="380"/>
      <c r="G181" s="8"/>
      <c r="H181" s="8"/>
      <c r="I181" s="8"/>
      <c r="J181" s="9"/>
      <c r="K181" s="9">
        <f t="shared" si="35"/>
        <v>0</v>
      </c>
      <c r="L181" s="35">
        <f t="shared" si="36"/>
        <v>0</v>
      </c>
      <c r="M181" s="2"/>
      <c r="O181" s="19"/>
      <c r="P181" s="19"/>
      <c r="Q181" s="19"/>
      <c r="R181" s="21"/>
      <c r="S181" s="46"/>
      <c r="T181" s="44"/>
      <c r="U181" s="77"/>
      <c r="V181" s="24"/>
      <c r="W181" s="24"/>
      <c r="X181" s="193"/>
      <c r="Y181" s="15"/>
    </row>
    <row r="182" spans="2:25" x14ac:dyDescent="0.25">
      <c r="B182" s="15">
        <v>180</v>
      </c>
      <c r="C182" s="8"/>
      <c r="E182" s="67"/>
      <c r="F182" s="380"/>
      <c r="G182" s="8"/>
      <c r="H182" s="8"/>
      <c r="I182" s="8"/>
      <c r="J182" s="9"/>
      <c r="K182" s="9">
        <f t="shared" si="35"/>
        <v>0</v>
      </c>
      <c r="L182" s="35">
        <f t="shared" si="36"/>
        <v>0</v>
      </c>
      <c r="M182" s="2"/>
      <c r="O182" s="19"/>
      <c r="P182" s="19"/>
      <c r="Q182" s="19"/>
      <c r="R182" s="21"/>
      <c r="S182" s="46"/>
      <c r="T182" s="44"/>
      <c r="U182" s="77"/>
      <c r="V182" s="24"/>
      <c r="W182" s="24"/>
      <c r="X182" s="193"/>
      <c r="Y182" s="15"/>
    </row>
    <row r="183" spans="2:25" x14ac:dyDescent="0.25">
      <c r="B183" s="15">
        <v>181</v>
      </c>
      <c r="C183" s="8"/>
      <c r="E183" s="67"/>
      <c r="F183" s="380"/>
      <c r="G183" s="8"/>
      <c r="H183" s="8"/>
      <c r="I183" s="8"/>
      <c r="J183" s="9"/>
      <c r="K183" s="9">
        <f t="shared" si="35"/>
        <v>0</v>
      </c>
      <c r="L183" s="35">
        <f t="shared" si="36"/>
        <v>0</v>
      </c>
      <c r="M183" s="2"/>
      <c r="O183" s="19"/>
      <c r="P183" s="19"/>
      <c r="Q183" s="19"/>
      <c r="R183" s="21"/>
      <c r="S183" s="46"/>
      <c r="T183" s="44"/>
      <c r="U183" s="77"/>
      <c r="V183" s="30"/>
      <c r="W183" s="24"/>
      <c r="X183" s="193"/>
      <c r="Y183" s="15"/>
    </row>
    <row r="184" spans="2:25" x14ac:dyDescent="0.25">
      <c r="B184" s="15">
        <v>182</v>
      </c>
      <c r="C184" s="8"/>
      <c r="E184" s="67"/>
      <c r="F184" s="380"/>
      <c r="G184" s="8"/>
      <c r="H184" s="8"/>
      <c r="I184" s="8"/>
      <c r="J184" s="9"/>
      <c r="K184" s="9">
        <f t="shared" si="35"/>
        <v>0</v>
      </c>
      <c r="L184" s="35">
        <f t="shared" si="36"/>
        <v>0</v>
      </c>
      <c r="M184" s="2"/>
      <c r="O184" s="19"/>
      <c r="P184" s="19"/>
      <c r="Q184" s="19"/>
      <c r="R184" s="21"/>
      <c r="S184" s="46"/>
      <c r="T184" s="44"/>
      <c r="U184" s="77"/>
      <c r="V184" s="30"/>
      <c r="W184" s="24"/>
      <c r="X184" s="193"/>
      <c r="Y184" s="15"/>
    </row>
    <row r="185" spans="2:25" x14ac:dyDescent="0.25">
      <c r="B185" s="15">
        <v>183</v>
      </c>
      <c r="C185" s="8"/>
      <c r="E185" s="67"/>
      <c r="F185" s="380"/>
      <c r="G185" s="8"/>
      <c r="H185" s="8"/>
      <c r="I185" s="8"/>
      <c r="J185" s="9"/>
      <c r="K185" s="9">
        <f t="shared" si="35"/>
        <v>0</v>
      </c>
      <c r="L185" s="35">
        <f t="shared" si="36"/>
        <v>0</v>
      </c>
      <c r="M185" s="2"/>
      <c r="O185" s="19"/>
      <c r="P185" s="19"/>
      <c r="Q185" s="19"/>
      <c r="R185" s="21"/>
      <c r="S185" s="46"/>
      <c r="T185" s="44"/>
      <c r="U185" s="77"/>
      <c r="V185" s="30"/>
      <c r="W185" s="24"/>
      <c r="X185" s="193"/>
      <c r="Y185" s="15"/>
    </row>
    <row r="186" spans="2:25" x14ac:dyDescent="0.25">
      <c r="B186" s="15">
        <v>184</v>
      </c>
      <c r="C186" s="8"/>
      <c r="E186" s="67"/>
      <c r="F186" s="380"/>
      <c r="G186" s="8"/>
      <c r="H186" s="8"/>
      <c r="I186" s="8"/>
      <c r="J186" s="9"/>
      <c r="K186" s="9">
        <f t="shared" si="35"/>
        <v>0</v>
      </c>
      <c r="L186" s="35">
        <f t="shared" si="36"/>
        <v>0</v>
      </c>
      <c r="M186" s="2"/>
      <c r="O186" s="19"/>
      <c r="P186" s="19"/>
      <c r="Q186" s="19"/>
      <c r="R186" s="21"/>
      <c r="S186" s="46"/>
      <c r="T186" s="44"/>
      <c r="U186" s="77"/>
      <c r="V186" s="30"/>
      <c r="W186" s="24"/>
      <c r="X186" s="193"/>
      <c r="Y186" s="15"/>
    </row>
    <row r="187" spans="2:25" x14ac:dyDescent="0.25">
      <c r="B187" s="15">
        <v>185</v>
      </c>
      <c r="C187" s="8"/>
      <c r="E187" s="67"/>
      <c r="F187" s="380"/>
      <c r="G187" s="8"/>
      <c r="H187" s="8"/>
      <c r="I187" s="8"/>
      <c r="J187" s="9"/>
      <c r="K187" s="9">
        <f t="shared" si="35"/>
        <v>0</v>
      </c>
      <c r="L187" s="35">
        <f t="shared" si="36"/>
        <v>0</v>
      </c>
      <c r="M187" s="2"/>
      <c r="O187" s="19"/>
      <c r="P187" s="19"/>
      <c r="Q187" s="19"/>
      <c r="R187" s="21"/>
      <c r="S187" s="46"/>
      <c r="T187" s="44"/>
      <c r="U187" s="77"/>
      <c r="V187" s="24"/>
      <c r="W187" s="24"/>
      <c r="X187" s="193"/>
      <c r="Y187" s="15"/>
    </row>
    <row r="188" spans="2:25" x14ac:dyDescent="0.25">
      <c r="B188" s="15">
        <v>186</v>
      </c>
      <c r="C188" s="8"/>
      <c r="E188" s="67"/>
      <c r="F188" s="380"/>
      <c r="G188" s="8"/>
      <c r="H188" s="8"/>
      <c r="I188" s="8"/>
      <c r="J188" s="9"/>
      <c r="K188" s="9">
        <f t="shared" si="35"/>
        <v>0</v>
      </c>
      <c r="L188" s="35">
        <f t="shared" si="36"/>
        <v>0</v>
      </c>
      <c r="M188" s="2"/>
      <c r="O188" s="19"/>
      <c r="P188" s="19"/>
      <c r="Q188" s="19"/>
      <c r="R188" s="21"/>
      <c r="S188" s="46"/>
      <c r="T188" s="44"/>
      <c r="U188" s="77"/>
      <c r="V188" s="24"/>
      <c r="W188" s="24"/>
      <c r="X188" s="193"/>
      <c r="Y188" s="15"/>
    </row>
    <row r="189" spans="2:25" x14ac:dyDescent="0.25">
      <c r="B189" s="15">
        <v>187</v>
      </c>
      <c r="C189" s="8"/>
      <c r="E189" s="67"/>
      <c r="F189" s="380"/>
      <c r="G189" s="8"/>
      <c r="H189" s="8"/>
      <c r="I189" s="8"/>
      <c r="J189" s="9"/>
      <c r="K189" s="9">
        <f t="shared" si="35"/>
        <v>0</v>
      </c>
      <c r="L189" s="35">
        <f t="shared" si="36"/>
        <v>0</v>
      </c>
      <c r="M189" s="2"/>
      <c r="O189" s="19"/>
      <c r="P189" s="19"/>
      <c r="Q189" s="19"/>
      <c r="R189" s="21"/>
      <c r="S189" s="46"/>
      <c r="T189" s="44"/>
      <c r="U189" s="77"/>
      <c r="V189" s="24"/>
      <c r="W189" s="24"/>
      <c r="X189" s="193"/>
      <c r="Y189" s="15"/>
    </row>
    <row r="190" spans="2:25" x14ac:dyDescent="0.25">
      <c r="B190" s="15">
        <v>188</v>
      </c>
      <c r="C190" s="8"/>
      <c r="E190" s="67"/>
      <c r="F190" s="380"/>
      <c r="G190" s="8"/>
      <c r="H190" s="8"/>
      <c r="I190" s="8"/>
      <c r="J190" s="9"/>
      <c r="K190" s="9">
        <f t="shared" si="35"/>
        <v>0</v>
      </c>
      <c r="L190" s="35">
        <f t="shared" si="36"/>
        <v>0</v>
      </c>
      <c r="M190" s="2"/>
      <c r="O190" s="19"/>
      <c r="P190" s="19"/>
      <c r="Q190" s="19"/>
      <c r="R190" s="279"/>
      <c r="S190" s="46"/>
      <c r="T190" s="44"/>
      <c r="U190" s="77"/>
      <c r="V190" s="24"/>
      <c r="W190" s="24"/>
      <c r="X190" s="193"/>
      <c r="Y190" s="15"/>
    </row>
    <row r="191" spans="2:25" x14ac:dyDescent="0.25">
      <c r="B191" s="15">
        <v>189</v>
      </c>
      <c r="C191" s="8"/>
      <c r="E191" s="67"/>
      <c r="F191" s="380"/>
      <c r="G191" s="8"/>
      <c r="H191" s="8"/>
      <c r="I191" s="8"/>
      <c r="J191" s="9"/>
      <c r="K191" s="9">
        <f t="shared" si="35"/>
        <v>0</v>
      </c>
      <c r="L191" s="35">
        <f t="shared" si="36"/>
        <v>0</v>
      </c>
      <c r="M191" s="2"/>
      <c r="O191" s="19"/>
      <c r="P191" s="19"/>
      <c r="Q191" s="19"/>
      <c r="R191" s="21"/>
      <c r="S191" s="46"/>
      <c r="T191" s="44"/>
      <c r="U191" s="77"/>
      <c r="V191" s="24"/>
      <c r="W191" s="24"/>
      <c r="X191" s="193"/>
      <c r="Y191" s="15"/>
    </row>
    <row r="192" spans="2:25" x14ac:dyDescent="0.25">
      <c r="B192" s="15">
        <v>190</v>
      </c>
      <c r="C192" s="8"/>
      <c r="E192" s="67"/>
      <c r="F192" s="380"/>
      <c r="G192" s="8"/>
      <c r="H192" s="8"/>
      <c r="I192" s="8"/>
      <c r="J192" s="9"/>
      <c r="K192" s="9">
        <f t="shared" si="35"/>
        <v>0</v>
      </c>
      <c r="L192" s="35">
        <f t="shared" si="36"/>
        <v>0</v>
      </c>
      <c r="M192" s="2"/>
      <c r="O192" s="19"/>
      <c r="P192" s="19"/>
      <c r="Q192" s="19"/>
      <c r="R192" s="21"/>
      <c r="S192" s="46"/>
      <c r="T192" s="44"/>
      <c r="U192" s="77"/>
      <c r="V192" s="30"/>
      <c r="W192" s="24"/>
      <c r="X192" s="193"/>
      <c r="Y192" s="15"/>
    </row>
    <row r="193" spans="2:25" x14ac:dyDescent="0.25">
      <c r="B193" s="15">
        <v>191</v>
      </c>
      <c r="C193" s="8"/>
      <c r="E193" s="67"/>
      <c r="F193" s="380"/>
      <c r="G193" s="8"/>
      <c r="H193" s="8"/>
      <c r="I193" s="8"/>
      <c r="J193" s="9"/>
      <c r="K193" s="9">
        <f t="shared" si="35"/>
        <v>0</v>
      </c>
      <c r="L193" s="35">
        <f t="shared" si="36"/>
        <v>0</v>
      </c>
      <c r="M193" s="2"/>
      <c r="O193" s="19"/>
      <c r="P193" s="19"/>
      <c r="Q193" s="19"/>
      <c r="R193" s="21"/>
      <c r="S193" s="46"/>
      <c r="T193" s="44"/>
      <c r="U193" s="77"/>
      <c r="V193" s="30"/>
      <c r="W193" s="24"/>
      <c r="X193" s="193"/>
      <c r="Y193" s="15"/>
    </row>
    <row r="194" spans="2:25" x14ac:dyDescent="0.25">
      <c r="B194" s="15">
        <v>192</v>
      </c>
      <c r="C194" s="8"/>
      <c r="E194" s="67"/>
      <c r="F194" s="380"/>
      <c r="G194" s="8"/>
      <c r="H194" s="8"/>
      <c r="I194" s="8"/>
      <c r="J194" s="9"/>
      <c r="K194" s="9">
        <f t="shared" si="35"/>
        <v>0</v>
      </c>
      <c r="L194" s="35">
        <f t="shared" si="36"/>
        <v>0</v>
      </c>
      <c r="M194" s="2"/>
      <c r="O194" s="19"/>
      <c r="P194" s="19"/>
      <c r="Q194" s="19"/>
      <c r="R194" s="21"/>
      <c r="S194" s="46"/>
      <c r="T194" s="44"/>
      <c r="U194" s="77"/>
      <c r="V194" s="24"/>
      <c r="W194" s="24"/>
      <c r="X194" s="193"/>
      <c r="Y194" s="15"/>
    </row>
    <row r="195" spans="2:25" x14ac:dyDescent="0.25">
      <c r="B195" s="15">
        <v>193</v>
      </c>
      <c r="C195" s="8"/>
      <c r="E195" s="67"/>
      <c r="F195" s="380"/>
      <c r="G195" s="8"/>
      <c r="H195" s="8"/>
      <c r="I195" s="8"/>
      <c r="J195" s="9"/>
      <c r="K195" s="9">
        <f t="shared" ref="K195:K258" si="37">J195*1.1</f>
        <v>0</v>
      </c>
      <c r="L195" s="35">
        <f t="shared" ref="L195:L258" si="38">J195*0.00000001</f>
        <v>0</v>
      </c>
      <c r="M195" s="2"/>
      <c r="O195" s="19"/>
      <c r="P195" s="19"/>
      <c r="Q195" s="19"/>
      <c r="R195" s="21"/>
      <c r="S195" s="46"/>
      <c r="T195" s="44"/>
      <c r="U195" s="77"/>
      <c r="V195" s="24"/>
      <c r="W195" s="24"/>
      <c r="X195" s="193"/>
      <c r="Y195" s="15"/>
    </row>
    <row r="196" spans="2:25" x14ac:dyDescent="0.25">
      <c r="B196" s="15">
        <v>194</v>
      </c>
      <c r="C196" s="8"/>
      <c r="E196" s="67"/>
      <c r="F196" s="380"/>
      <c r="G196" s="8"/>
      <c r="H196" s="8"/>
      <c r="I196" s="8"/>
      <c r="J196" s="9"/>
      <c r="K196" s="9">
        <f t="shared" si="37"/>
        <v>0</v>
      </c>
      <c r="L196" s="35">
        <f t="shared" si="38"/>
        <v>0</v>
      </c>
      <c r="M196" s="2"/>
      <c r="O196" s="19"/>
      <c r="P196" s="19"/>
      <c r="Q196" s="19"/>
      <c r="R196" s="21"/>
      <c r="S196" s="46"/>
      <c r="T196" s="44"/>
      <c r="U196" s="77"/>
      <c r="V196" s="24"/>
      <c r="W196" s="24"/>
      <c r="X196" s="193"/>
      <c r="Y196" s="15"/>
    </row>
    <row r="197" spans="2:25" x14ac:dyDescent="0.25">
      <c r="B197" s="15">
        <v>195</v>
      </c>
      <c r="C197" s="8"/>
      <c r="E197" s="67"/>
      <c r="F197" s="380"/>
      <c r="G197" s="8"/>
      <c r="H197" s="8"/>
      <c r="I197" s="8"/>
      <c r="J197" s="9"/>
      <c r="K197" s="9">
        <f t="shared" si="37"/>
        <v>0</v>
      </c>
      <c r="L197" s="35">
        <f t="shared" si="38"/>
        <v>0</v>
      </c>
      <c r="M197" s="2"/>
      <c r="O197" s="19"/>
      <c r="P197" s="19"/>
      <c r="Q197" s="19"/>
      <c r="R197" s="21"/>
      <c r="S197" s="46"/>
      <c r="T197" s="44"/>
      <c r="U197" s="77"/>
      <c r="V197" s="24"/>
      <c r="W197" s="24"/>
      <c r="X197" s="193"/>
      <c r="Y197" s="15"/>
    </row>
    <row r="198" spans="2:25" x14ac:dyDescent="0.25">
      <c r="B198" s="15">
        <v>196</v>
      </c>
      <c r="C198" s="8"/>
      <c r="E198" s="67"/>
      <c r="F198" s="380"/>
      <c r="G198" s="8"/>
      <c r="H198" s="8"/>
      <c r="I198" s="8"/>
      <c r="J198" s="9"/>
      <c r="K198" s="9">
        <f t="shared" si="37"/>
        <v>0</v>
      </c>
      <c r="L198" s="35">
        <f t="shared" si="38"/>
        <v>0</v>
      </c>
      <c r="M198" s="2"/>
      <c r="O198" s="19"/>
      <c r="P198" s="19"/>
      <c r="Q198" s="19"/>
      <c r="R198" s="21"/>
      <c r="S198" s="46"/>
      <c r="T198" s="44"/>
      <c r="U198" s="77"/>
      <c r="V198" s="24"/>
      <c r="W198" s="24"/>
      <c r="X198" s="193"/>
      <c r="Y198" s="15"/>
    </row>
    <row r="199" spans="2:25" x14ac:dyDescent="0.25">
      <c r="B199" s="15">
        <v>197</v>
      </c>
      <c r="C199" s="8"/>
      <c r="E199" s="67"/>
      <c r="F199" s="380"/>
      <c r="G199" s="8"/>
      <c r="H199" s="8"/>
      <c r="I199" s="8"/>
      <c r="J199" s="9"/>
      <c r="K199" s="9">
        <f t="shared" si="37"/>
        <v>0</v>
      </c>
      <c r="L199" s="35">
        <f t="shared" si="38"/>
        <v>0</v>
      </c>
      <c r="M199" s="2"/>
      <c r="O199" s="19"/>
      <c r="P199" s="19"/>
      <c r="Q199" s="19"/>
      <c r="R199" s="21"/>
      <c r="S199" s="46"/>
      <c r="T199" s="44"/>
      <c r="U199" s="77"/>
      <c r="V199" s="24"/>
      <c r="W199" s="24"/>
      <c r="X199" s="193"/>
      <c r="Y199" s="15"/>
    </row>
    <row r="200" spans="2:25" x14ac:dyDescent="0.25">
      <c r="B200" s="15">
        <v>198</v>
      </c>
      <c r="C200" s="8"/>
      <c r="E200" s="67"/>
      <c r="F200" s="380"/>
      <c r="G200" s="8"/>
      <c r="H200" s="8"/>
      <c r="I200" s="8"/>
      <c r="J200" s="9"/>
      <c r="K200" s="9">
        <f t="shared" si="37"/>
        <v>0</v>
      </c>
      <c r="L200" s="35">
        <f t="shared" si="38"/>
        <v>0</v>
      </c>
      <c r="M200" s="2"/>
      <c r="O200" s="19"/>
      <c r="P200" s="19"/>
      <c r="Q200" s="19"/>
      <c r="R200" s="21"/>
      <c r="S200" s="46"/>
      <c r="T200" s="44"/>
      <c r="U200" s="77"/>
      <c r="V200" s="30"/>
      <c r="W200" s="24"/>
      <c r="X200" s="193"/>
      <c r="Y200" s="15"/>
    </row>
    <row r="201" spans="2:25" x14ac:dyDescent="0.25">
      <c r="B201" s="15">
        <v>199</v>
      </c>
      <c r="C201" s="8"/>
      <c r="E201" s="67"/>
      <c r="F201" s="380"/>
      <c r="G201" s="8"/>
      <c r="H201" s="8"/>
      <c r="I201" s="8"/>
      <c r="J201" s="9"/>
      <c r="K201" s="9">
        <f t="shared" si="37"/>
        <v>0</v>
      </c>
      <c r="L201" s="35">
        <f t="shared" si="38"/>
        <v>0</v>
      </c>
      <c r="M201" s="2"/>
      <c r="O201" s="19"/>
      <c r="P201" s="19"/>
      <c r="Q201" s="19"/>
      <c r="R201" s="21"/>
      <c r="S201" s="46"/>
      <c r="T201" s="44"/>
      <c r="U201" s="77"/>
      <c r="V201" s="30"/>
      <c r="W201" s="24"/>
      <c r="X201" s="193"/>
      <c r="Y201" s="15"/>
    </row>
    <row r="202" spans="2:25" x14ac:dyDescent="0.25">
      <c r="B202" s="15">
        <v>200</v>
      </c>
      <c r="C202" s="8"/>
      <c r="E202" s="67"/>
      <c r="F202" s="380"/>
      <c r="G202" s="8"/>
      <c r="H202" s="8"/>
      <c r="I202" s="8"/>
      <c r="J202" s="9"/>
      <c r="K202" s="9">
        <f t="shared" si="37"/>
        <v>0</v>
      </c>
      <c r="L202" s="35">
        <f t="shared" si="38"/>
        <v>0</v>
      </c>
      <c r="M202" s="2"/>
      <c r="O202" s="19"/>
      <c r="P202" s="19"/>
      <c r="Q202" s="19"/>
      <c r="R202" s="21"/>
      <c r="S202" s="46"/>
      <c r="T202" s="44"/>
      <c r="U202" s="77"/>
      <c r="V202" s="30"/>
      <c r="W202" s="24"/>
      <c r="X202" s="193"/>
      <c r="Y202" s="15"/>
    </row>
    <row r="203" spans="2:25" x14ac:dyDescent="0.25">
      <c r="B203" s="15">
        <v>201</v>
      </c>
      <c r="C203" s="8"/>
      <c r="E203" s="67"/>
      <c r="F203" s="380"/>
      <c r="G203" s="8"/>
      <c r="H203" s="8"/>
      <c r="I203" s="8"/>
      <c r="J203" s="9"/>
      <c r="K203" s="9">
        <f t="shared" si="37"/>
        <v>0</v>
      </c>
      <c r="L203" s="35">
        <f t="shared" si="38"/>
        <v>0</v>
      </c>
      <c r="M203" s="2"/>
      <c r="O203" s="19"/>
      <c r="P203" s="19"/>
      <c r="Q203" s="19"/>
      <c r="R203" s="21"/>
      <c r="S203" s="46"/>
      <c r="T203" s="44"/>
      <c r="U203" s="77"/>
      <c r="V203" s="24"/>
      <c r="W203" s="24"/>
      <c r="X203" s="193"/>
      <c r="Y203" s="15"/>
    </row>
    <row r="204" spans="2:25" x14ac:dyDescent="0.25">
      <c r="B204" s="15">
        <v>202</v>
      </c>
      <c r="C204" s="8"/>
      <c r="E204" s="67"/>
      <c r="F204" s="380"/>
      <c r="G204" s="8"/>
      <c r="H204" s="8"/>
      <c r="I204" s="8"/>
      <c r="J204" s="9"/>
      <c r="K204" s="9">
        <f t="shared" si="37"/>
        <v>0</v>
      </c>
      <c r="L204" s="35">
        <f t="shared" si="38"/>
        <v>0</v>
      </c>
      <c r="M204" s="2"/>
      <c r="O204" s="19"/>
      <c r="P204" s="19"/>
      <c r="Q204" s="19"/>
      <c r="R204" s="21"/>
      <c r="S204" s="46"/>
      <c r="T204" s="44"/>
      <c r="U204" s="77"/>
      <c r="V204" s="24"/>
      <c r="W204" s="24"/>
      <c r="X204" s="193"/>
      <c r="Y204" s="15"/>
    </row>
    <row r="205" spans="2:25" x14ac:dyDescent="0.25">
      <c r="B205" s="15">
        <v>203</v>
      </c>
      <c r="C205" s="8"/>
      <c r="E205" s="67"/>
      <c r="F205" s="380"/>
      <c r="G205" s="8"/>
      <c r="H205" s="8"/>
      <c r="I205" s="8"/>
      <c r="J205" s="9"/>
      <c r="K205" s="9">
        <f t="shared" si="37"/>
        <v>0</v>
      </c>
      <c r="L205" s="35">
        <f t="shared" si="38"/>
        <v>0</v>
      </c>
      <c r="M205" s="2"/>
      <c r="O205" s="19"/>
      <c r="P205" s="19"/>
      <c r="Q205" s="19"/>
      <c r="R205" s="21"/>
      <c r="S205" s="46"/>
      <c r="T205" s="44"/>
      <c r="U205" s="77"/>
      <c r="V205" s="24"/>
      <c r="W205" s="24"/>
      <c r="X205" s="193"/>
      <c r="Y205" s="15"/>
    </row>
    <row r="206" spans="2:25" x14ac:dyDescent="0.25">
      <c r="B206" s="15">
        <v>204</v>
      </c>
      <c r="C206" s="8"/>
      <c r="E206" s="67"/>
      <c r="F206" s="380"/>
      <c r="G206" s="8"/>
      <c r="H206" s="8"/>
      <c r="I206" s="8"/>
      <c r="J206" s="9"/>
      <c r="K206" s="9">
        <f t="shared" si="37"/>
        <v>0</v>
      </c>
      <c r="L206" s="35">
        <f t="shared" si="38"/>
        <v>0</v>
      </c>
      <c r="M206" s="2"/>
      <c r="O206" s="19"/>
      <c r="P206" s="19"/>
      <c r="Q206" s="19"/>
      <c r="R206" s="21"/>
      <c r="S206" s="46"/>
      <c r="T206" s="44"/>
      <c r="U206" s="77"/>
      <c r="V206" s="24"/>
      <c r="W206" s="24"/>
      <c r="X206" s="193"/>
      <c r="Y206" s="15"/>
    </row>
    <row r="207" spans="2:25" x14ac:dyDescent="0.25">
      <c r="B207" s="15">
        <v>205</v>
      </c>
      <c r="C207" s="8"/>
      <c r="E207" s="67"/>
      <c r="F207" s="380"/>
      <c r="G207" s="8"/>
      <c r="H207" s="8"/>
      <c r="I207" s="8"/>
      <c r="J207" s="9"/>
      <c r="K207" s="9">
        <f t="shared" si="37"/>
        <v>0</v>
      </c>
      <c r="L207" s="35">
        <f t="shared" si="38"/>
        <v>0</v>
      </c>
      <c r="M207" s="2"/>
      <c r="O207" s="19"/>
      <c r="P207" s="19"/>
      <c r="Q207" s="19"/>
      <c r="R207" s="21"/>
      <c r="S207" s="46"/>
      <c r="T207" s="44"/>
      <c r="U207" s="77"/>
      <c r="V207" s="24"/>
      <c r="W207" s="24"/>
      <c r="X207" s="193"/>
      <c r="Y207" s="15"/>
    </row>
    <row r="208" spans="2:25" x14ac:dyDescent="0.25">
      <c r="B208" s="15">
        <v>206</v>
      </c>
      <c r="C208" s="8"/>
      <c r="E208" s="67"/>
      <c r="F208" s="380"/>
      <c r="G208" s="8"/>
      <c r="H208" s="8"/>
      <c r="I208" s="8"/>
      <c r="J208" s="9"/>
      <c r="K208" s="9">
        <f t="shared" si="37"/>
        <v>0</v>
      </c>
      <c r="L208" s="35">
        <f t="shared" si="38"/>
        <v>0</v>
      </c>
      <c r="M208" s="2"/>
      <c r="O208" s="19"/>
      <c r="P208" s="19"/>
      <c r="Q208" s="19"/>
      <c r="R208" s="21"/>
      <c r="S208" s="46"/>
      <c r="T208" s="44"/>
      <c r="U208" s="77"/>
      <c r="V208" s="30"/>
      <c r="W208" s="24"/>
      <c r="X208" s="193"/>
      <c r="Y208" s="15"/>
    </row>
    <row r="209" spans="2:25" x14ac:dyDescent="0.25">
      <c r="B209" s="15">
        <v>207</v>
      </c>
      <c r="C209" s="8"/>
      <c r="E209" s="67"/>
      <c r="F209" s="380"/>
      <c r="G209" s="8"/>
      <c r="H209" s="8"/>
      <c r="I209" s="8"/>
      <c r="J209" s="9"/>
      <c r="K209" s="9">
        <f t="shared" si="37"/>
        <v>0</v>
      </c>
      <c r="L209" s="35">
        <f t="shared" si="38"/>
        <v>0</v>
      </c>
      <c r="M209" s="2"/>
      <c r="O209" s="19"/>
      <c r="P209" s="19"/>
      <c r="Q209" s="19"/>
      <c r="R209" s="21"/>
      <c r="S209" s="46"/>
      <c r="T209" s="44"/>
      <c r="U209" s="77"/>
      <c r="V209" s="30"/>
      <c r="W209" s="24"/>
      <c r="X209" s="193"/>
      <c r="Y209" s="15"/>
    </row>
    <row r="210" spans="2:25" x14ac:dyDescent="0.25">
      <c r="B210" s="15">
        <v>208</v>
      </c>
      <c r="C210" s="8"/>
      <c r="E210" s="67"/>
      <c r="F210" s="380"/>
      <c r="G210" s="8"/>
      <c r="H210" s="8"/>
      <c r="I210" s="8"/>
      <c r="J210" s="9"/>
      <c r="K210" s="9">
        <f t="shared" si="37"/>
        <v>0</v>
      </c>
      <c r="L210" s="35">
        <f t="shared" si="38"/>
        <v>0</v>
      </c>
      <c r="M210" s="2"/>
      <c r="O210" s="19"/>
      <c r="P210" s="19"/>
      <c r="Q210" s="19"/>
      <c r="R210" s="21"/>
      <c r="S210" s="46"/>
      <c r="T210" s="44"/>
      <c r="U210" s="77"/>
      <c r="V210" s="24"/>
      <c r="W210" s="24"/>
      <c r="X210" s="193"/>
      <c r="Y210" s="15"/>
    </row>
    <row r="211" spans="2:25" x14ac:dyDescent="0.25">
      <c r="B211" s="15">
        <v>209</v>
      </c>
      <c r="C211" s="8"/>
      <c r="E211" s="67"/>
      <c r="F211" s="380"/>
      <c r="G211" s="8"/>
      <c r="H211" s="8"/>
      <c r="I211" s="8"/>
      <c r="J211" s="9"/>
      <c r="K211" s="9">
        <f t="shared" si="37"/>
        <v>0</v>
      </c>
      <c r="L211" s="35">
        <f t="shared" si="38"/>
        <v>0</v>
      </c>
      <c r="M211" s="2"/>
      <c r="O211" s="19"/>
      <c r="P211" s="19"/>
      <c r="Q211" s="19"/>
      <c r="R211" s="21"/>
      <c r="S211" s="46"/>
      <c r="T211" s="44"/>
      <c r="U211" s="77"/>
      <c r="V211" s="24"/>
      <c r="W211" s="24"/>
      <c r="X211" s="193"/>
      <c r="Y211" s="15"/>
    </row>
    <row r="212" spans="2:25" x14ac:dyDescent="0.25">
      <c r="B212" s="15">
        <v>210</v>
      </c>
      <c r="C212" s="8"/>
      <c r="E212" s="67"/>
      <c r="F212" s="380"/>
      <c r="G212" s="8"/>
      <c r="H212" s="8"/>
      <c r="I212" s="8"/>
      <c r="J212" s="9"/>
      <c r="K212" s="9">
        <f t="shared" si="37"/>
        <v>0</v>
      </c>
      <c r="L212" s="35">
        <f t="shared" si="38"/>
        <v>0</v>
      </c>
      <c r="M212" s="2"/>
      <c r="O212" s="19"/>
      <c r="P212" s="19"/>
      <c r="Q212" s="19"/>
      <c r="R212" s="21"/>
      <c r="S212" s="46"/>
      <c r="T212" s="44"/>
      <c r="U212" s="77"/>
      <c r="V212" s="24"/>
      <c r="W212" s="24"/>
      <c r="X212" s="193"/>
      <c r="Y212" s="15"/>
    </row>
    <row r="213" spans="2:25" x14ac:dyDescent="0.25">
      <c r="B213" s="15">
        <v>211</v>
      </c>
      <c r="C213" s="8"/>
      <c r="E213" s="67"/>
      <c r="F213" s="380"/>
      <c r="G213" s="8"/>
      <c r="H213" s="8"/>
      <c r="I213" s="8"/>
      <c r="J213" s="9"/>
      <c r="K213" s="9">
        <f t="shared" si="37"/>
        <v>0</v>
      </c>
      <c r="L213" s="35">
        <f t="shared" si="38"/>
        <v>0</v>
      </c>
      <c r="M213" s="2"/>
      <c r="O213" s="19"/>
      <c r="P213" s="19"/>
      <c r="Q213" s="19"/>
      <c r="R213" s="21"/>
      <c r="S213" s="46"/>
      <c r="T213" s="44"/>
      <c r="U213" s="77"/>
      <c r="V213" s="24"/>
      <c r="W213" s="24"/>
      <c r="X213" s="193"/>
      <c r="Y213" s="15"/>
    </row>
    <row r="214" spans="2:25" x14ac:dyDescent="0.25">
      <c r="B214" s="15">
        <v>212</v>
      </c>
      <c r="C214" s="8"/>
      <c r="E214" s="67"/>
      <c r="F214" s="380"/>
      <c r="G214" s="8"/>
      <c r="H214" s="8"/>
      <c r="I214" s="8"/>
      <c r="J214" s="9"/>
      <c r="K214" s="9">
        <f t="shared" si="37"/>
        <v>0</v>
      </c>
      <c r="L214" s="35">
        <f t="shared" si="38"/>
        <v>0</v>
      </c>
      <c r="M214" s="2"/>
      <c r="O214" s="19"/>
      <c r="P214" s="19"/>
      <c r="Q214" s="19"/>
      <c r="R214" s="21"/>
      <c r="S214" s="46"/>
      <c r="T214" s="44"/>
      <c r="U214" s="77"/>
      <c r="V214" s="24"/>
      <c r="W214" s="24"/>
      <c r="X214" s="193"/>
      <c r="Y214" s="15"/>
    </row>
    <row r="215" spans="2:25" x14ac:dyDescent="0.25">
      <c r="B215" s="15">
        <v>213</v>
      </c>
      <c r="C215" s="8"/>
      <c r="E215" s="67"/>
      <c r="F215" s="380"/>
      <c r="G215" s="8"/>
      <c r="H215" s="8"/>
      <c r="I215" s="8"/>
      <c r="J215" s="9"/>
      <c r="K215" s="9">
        <f t="shared" si="37"/>
        <v>0</v>
      </c>
      <c r="L215" s="35">
        <f t="shared" si="38"/>
        <v>0</v>
      </c>
      <c r="M215" s="2"/>
      <c r="O215" s="19"/>
      <c r="P215" s="19"/>
      <c r="Q215" s="19"/>
      <c r="R215" s="21"/>
      <c r="S215" s="46"/>
      <c r="T215" s="44"/>
      <c r="U215" s="77"/>
      <c r="V215" s="30"/>
      <c r="W215" s="24"/>
      <c r="X215" s="193"/>
      <c r="Y215" s="15"/>
    </row>
    <row r="216" spans="2:25" x14ac:dyDescent="0.25">
      <c r="B216" s="15">
        <v>214</v>
      </c>
      <c r="C216" s="8"/>
      <c r="E216" s="67"/>
      <c r="F216" s="380"/>
      <c r="G216" s="8"/>
      <c r="H216" s="8"/>
      <c r="I216" s="8"/>
      <c r="J216" s="9"/>
      <c r="K216" s="9">
        <f t="shared" si="37"/>
        <v>0</v>
      </c>
      <c r="L216" s="35">
        <f t="shared" si="38"/>
        <v>0</v>
      </c>
      <c r="M216" s="2"/>
      <c r="O216" s="19"/>
      <c r="P216" s="19"/>
      <c r="Q216" s="19"/>
      <c r="R216" s="21"/>
      <c r="S216" s="46"/>
      <c r="T216" s="44"/>
      <c r="U216" s="77"/>
      <c r="V216" s="30"/>
      <c r="W216" s="24"/>
      <c r="X216" s="193"/>
      <c r="Y216" s="15"/>
    </row>
    <row r="217" spans="2:25" x14ac:dyDescent="0.25">
      <c r="B217" s="15">
        <v>215</v>
      </c>
      <c r="C217" s="8"/>
      <c r="E217" s="67"/>
      <c r="F217" s="380"/>
      <c r="G217" s="8"/>
      <c r="H217" s="8"/>
      <c r="I217" s="8"/>
      <c r="J217" s="9"/>
      <c r="K217" s="9">
        <f t="shared" si="37"/>
        <v>0</v>
      </c>
      <c r="L217" s="35">
        <f t="shared" si="38"/>
        <v>0</v>
      </c>
      <c r="M217" s="2"/>
      <c r="O217" s="19"/>
      <c r="P217" s="19"/>
      <c r="Q217" s="19"/>
      <c r="R217" s="21"/>
      <c r="S217" s="46"/>
      <c r="T217" s="44"/>
      <c r="U217" s="77"/>
      <c r="V217" s="30"/>
      <c r="W217" s="24"/>
      <c r="X217" s="193"/>
      <c r="Y217" s="15"/>
    </row>
    <row r="218" spans="2:25" x14ac:dyDescent="0.25">
      <c r="B218" s="15">
        <v>216</v>
      </c>
      <c r="C218" s="8"/>
      <c r="E218" s="67"/>
      <c r="F218" s="380"/>
      <c r="G218" s="8"/>
      <c r="H218" s="8"/>
      <c r="I218" s="8"/>
      <c r="J218" s="9"/>
      <c r="K218" s="9">
        <f t="shared" si="37"/>
        <v>0</v>
      </c>
      <c r="L218" s="35">
        <f t="shared" si="38"/>
        <v>0</v>
      </c>
      <c r="M218" s="2"/>
      <c r="O218" s="19"/>
      <c r="P218" s="19"/>
      <c r="Q218" s="19"/>
      <c r="R218" s="21"/>
      <c r="S218" s="46"/>
      <c r="T218" s="44"/>
      <c r="U218" s="77"/>
      <c r="V218" s="30"/>
      <c r="W218" s="24"/>
      <c r="X218" s="193"/>
      <c r="Y218" s="15"/>
    </row>
    <row r="219" spans="2:25" x14ac:dyDescent="0.25">
      <c r="B219" s="15">
        <v>217</v>
      </c>
      <c r="C219" s="8"/>
      <c r="E219" s="67"/>
      <c r="F219" s="380"/>
      <c r="G219" s="8"/>
      <c r="H219" s="8"/>
      <c r="I219" s="8"/>
      <c r="J219" s="9"/>
      <c r="K219" s="9">
        <f t="shared" si="37"/>
        <v>0</v>
      </c>
      <c r="L219" s="35">
        <f t="shared" si="38"/>
        <v>0</v>
      </c>
      <c r="M219" s="2"/>
      <c r="O219" s="19"/>
      <c r="P219" s="19"/>
      <c r="Q219" s="19"/>
      <c r="R219" s="21"/>
      <c r="S219" s="46"/>
      <c r="T219" s="44"/>
      <c r="U219" s="77"/>
      <c r="V219" s="30"/>
      <c r="W219" s="24"/>
      <c r="X219" s="193"/>
      <c r="Y219" s="15"/>
    </row>
    <row r="220" spans="2:25" x14ac:dyDescent="0.25">
      <c r="B220" s="15">
        <v>218</v>
      </c>
      <c r="C220" s="8"/>
      <c r="E220" s="67"/>
      <c r="F220" s="380"/>
      <c r="G220" s="8"/>
      <c r="H220" s="8"/>
      <c r="I220" s="8"/>
      <c r="J220" s="9"/>
      <c r="K220" s="9">
        <f t="shared" si="37"/>
        <v>0</v>
      </c>
      <c r="L220" s="35">
        <f t="shared" si="38"/>
        <v>0</v>
      </c>
      <c r="M220" s="2"/>
      <c r="O220" s="19"/>
      <c r="P220" s="19"/>
      <c r="Q220" s="19"/>
      <c r="R220" s="21"/>
      <c r="S220" s="46"/>
      <c r="T220" s="44"/>
      <c r="U220" s="77"/>
      <c r="V220" s="30"/>
      <c r="W220" s="24"/>
      <c r="X220" s="193"/>
      <c r="Y220" s="15"/>
    </row>
    <row r="221" spans="2:25" x14ac:dyDescent="0.25">
      <c r="B221" s="15">
        <v>219</v>
      </c>
      <c r="C221" s="8"/>
      <c r="E221" s="67"/>
      <c r="F221" s="380"/>
      <c r="G221" s="8"/>
      <c r="H221" s="8"/>
      <c r="I221" s="8"/>
      <c r="J221" s="9"/>
      <c r="K221" s="9">
        <f t="shared" si="37"/>
        <v>0</v>
      </c>
      <c r="L221" s="35">
        <f t="shared" si="38"/>
        <v>0</v>
      </c>
      <c r="M221" s="2"/>
      <c r="O221" s="19"/>
      <c r="P221" s="19"/>
      <c r="Q221" s="19"/>
      <c r="R221" s="21"/>
      <c r="S221" s="46"/>
      <c r="T221" s="44"/>
      <c r="U221" s="77"/>
      <c r="V221" s="24"/>
      <c r="W221" s="24"/>
      <c r="X221" s="193"/>
      <c r="Y221" s="15"/>
    </row>
    <row r="222" spans="2:25" x14ac:dyDescent="0.25">
      <c r="B222" s="15">
        <v>220</v>
      </c>
      <c r="C222" s="8"/>
      <c r="E222" s="67"/>
      <c r="F222" s="380"/>
      <c r="G222" s="8"/>
      <c r="H222" s="8"/>
      <c r="I222" s="8"/>
      <c r="J222" s="9"/>
      <c r="K222" s="9">
        <f t="shared" si="37"/>
        <v>0</v>
      </c>
      <c r="L222" s="35">
        <f t="shared" si="38"/>
        <v>0</v>
      </c>
      <c r="M222" s="2"/>
      <c r="O222" s="19"/>
      <c r="P222" s="19"/>
      <c r="Q222" s="19"/>
      <c r="R222" s="21"/>
      <c r="S222" s="46"/>
      <c r="T222" s="44"/>
      <c r="U222" s="77"/>
      <c r="V222" s="24"/>
      <c r="W222" s="24"/>
      <c r="X222" s="193"/>
      <c r="Y222" s="15"/>
    </row>
    <row r="223" spans="2:25" x14ac:dyDescent="0.25">
      <c r="B223" s="15">
        <v>221</v>
      </c>
      <c r="C223" s="8"/>
      <c r="E223" s="67"/>
      <c r="F223" s="380"/>
      <c r="G223" s="8"/>
      <c r="H223" s="8"/>
      <c r="I223" s="8"/>
      <c r="J223" s="9"/>
      <c r="K223" s="9">
        <f t="shared" si="37"/>
        <v>0</v>
      </c>
      <c r="L223" s="35">
        <f t="shared" si="38"/>
        <v>0</v>
      </c>
      <c r="M223" s="2"/>
      <c r="O223" s="19"/>
      <c r="P223" s="19"/>
      <c r="Q223" s="19"/>
      <c r="R223" s="21"/>
      <c r="S223" s="46"/>
      <c r="T223" s="44"/>
      <c r="U223" s="77"/>
      <c r="V223" s="24"/>
      <c r="W223" s="24"/>
      <c r="X223" s="193"/>
      <c r="Y223" s="15"/>
    </row>
    <row r="224" spans="2:25" x14ac:dyDescent="0.25">
      <c r="B224" s="15">
        <v>222</v>
      </c>
      <c r="C224" s="8"/>
      <c r="E224" s="67"/>
      <c r="F224" s="380"/>
      <c r="G224" s="8"/>
      <c r="H224" s="8"/>
      <c r="I224" s="8"/>
      <c r="J224" s="9"/>
      <c r="K224" s="9">
        <f t="shared" si="37"/>
        <v>0</v>
      </c>
      <c r="L224" s="35">
        <f t="shared" si="38"/>
        <v>0</v>
      </c>
      <c r="M224" s="2"/>
      <c r="O224" s="19"/>
      <c r="P224" s="19"/>
      <c r="Q224" s="19"/>
      <c r="R224" s="21"/>
      <c r="S224" s="46"/>
      <c r="T224" s="44"/>
      <c r="U224" s="77"/>
      <c r="V224" s="30"/>
      <c r="W224" s="24"/>
      <c r="X224" s="193"/>
      <c r="Y224" s="15"/>
    </row>
    <row r="225" spans="2:25" x14ac:dyDescent="0.25">
      <c r="B225" s="15">
        <v>223</v>
      </c>
      <c r="C225" s="8"/>
      <c r="E225" s="67"/>
      <c r="F225" s="380"/>
      <c r="G225" s="8"/>
      <c r="H225" s="8"/>
      <c r="I225" s="8"/>
      <c r="J225" s="9"/>
      <c r="K225" s="9">
        <f t="shared" si="37"/>
        <v>0</v>
      </c>
      <c r="L225" s="35">
        <f t="shared" si="38"/>
        <v>0</v>
      </c>
      <c r="M225" s="2"/>
      <c r="O225" s="19"/>
      <c r="P225" s="19"/>
      <c r="Q225" s="19"/>
      <c r="R225" s="21"/>
      <c r="S225" s="46"/>
      <c r="T225" s="44"/>
      <c r="U225" s="77"/>
      <c r="V225" s="30"/>
      <c r="W225" s="24"/>
      <c r="X225" s="193"/>
      <c r="Y225" s="15"/>
    </row>
    <row r="226" spans="2:25" x14ac:dyDescent="0.25">
      <c r="B226" s="15">
        <v>224</v>
      </c>
      <c r="C226" s="8"/>
      <c r="E226" s="67"/>
      <c r="F226" s="380"/>
      <c r="G226" s="8"/>
      <c r="H226" s="8"/>
      <c r="I226" s="8"/>
      <c r="J226" s="9"/>
      <c r="K226" s="9">
        <f t="shared" si="37"/>
        <v>0</v>
      </c>
      <c r="L226" s="35">
        <f t="shared" si="38"/>
        <v>0</v>
      </c>
      <c r="M226" s="2"/>
      <c r="O226" s="19"/>
      <c r="P226" s="19"/>
      <c r="Q226" s="19"/>
      <c r="R226" s="21"/>
      <c r="S226" s="46"/>
      <c r="T226" s="44"/>
      <c r="U226" s="77"/>
      <c r="V226" s="24"/>
      <c r="W226" s="24"/>
      <c r="X226" s="193"/>
      <c r="Y226" s="15"/>
    </row>
    <row r="227" spans="2:25" x14ac:dyDescent="0.25">
      <c r="B227" s="15">
        <v>225</v>
      </c>
      <c r="C227" s="8"/>
      <c r="E227" s="67"/>
      <c r="F227" s="380"/>
      <c r="G227" s="8"/>
      <c r="H227" s="8"/>
      <c r="I227" s="8"/>
      <c r="J227" s="9"/>
      <c r="K227" s="9">
        <f t="shared" si="37"/>
        <v>0</v>
      </c>
      <c r="L227" s="35">
        <f t="shared" si="38"/>
        <v>0</v>
      </c>
      <c r="M227" s="2"/>
      <c r="O227" s="19"/>
      <c r="P227" s="19"/>
      <c r="Q227" s="19"/>
      <c r="R227" s="21"/>
      <c r="S227" s="46"/>
      <c r="T227" s="44"/>
      <c r="U227" s="77"/>
      <c r="V227" s="24"/>
      <c r="W227" s="24"/>
      <c r="X227" s="193"/>
      <c r="Y227" s="15"/>
    </row>
    <row r="228" spans="2:25" x14ac:dyDescent="0.25">
      <c r="B228" s="15">
        <v>226</v>
      </c>
      <c r="C228" s="8"/>
      <c r="E228" s="67"/>
      <c r="F228" s="380"/>
      <c r="G228" s="8"/>
      <c r="H228" s="8"/>
      <c r="I228" s="8"/>
      <c r="J228" s="9"/>
      <c r="K228" s="9">
        <f t="shared" si="37"/>
        <v>0</v>
      </c>
      <c r="L228" s="35">
        <f t="shared" si="38"/>
        <v>0</v>
      </c>
      <c r="M228" s="2"/>
      <c r="O228" s="19"/>
      <c r="P228" s="19"/>
      <c r="Q228" s="19"/>
      <c r="R228" s="21"/>
      <c r="S228" s="46"/>
      <c r="T228" s="44"/>
      <c r="U228" s="77"/>
      <c r="V228" s="24"/>
      <c r="W228" s="24"/>
      <c r="X228" s="193"/>
      <c r="Y228" s="15"/>
    </row>
    <row r="229" spans="2:25" x14ac:dyDescent="0.25">
      <c r="B229" s="15">
        <v>227</v>
      </c>
      <c r="C229" s="8"/>
      <c r="E229" s="67"/>
      <c r="F229" s="380"/>
      <c r="G229" s="8"/>
      <c r="H229" s="8"/>
      <c r="I229" s="8"/>
      <c r="J229" s="9"/>
      <c r="K229" s="9">
        <f t="shared" si="37"/>
        <v>0</v>
      </c>
      <c r="L229" s="35">
        <f t="shared" si="38"/>
        <v>0</v>
      </c>
      <c r="M229" s="2"/>
      <c r="O229" s="19"/>
      <c r="P229" s="19"/>
      <c r="Q229" s="19"/>
      <c r="R229" s="21"/>
      <c r="S229" s="46"/>
      <c r="T229" s="44"/>
      <c r="U229" s="77"/>
      <c r="V229" s="24"/>
      <c r="W229" s="24"/>
      <c r="X229" s="193"/>
      <c r="Y229" s="15"/>
    </row>
    <row r="230" spans="2:25" x14ac:dyDescent="0.25">
      <c r="B230" s="15">
        <v>228</v>
      </c>
      <c r="C230" s="8"/>
      <c r="E230" s="67"/>
      <c r="F230" s="380"/>
      <c r="G230" s="8"/>
      <c r="H230" s="8"/>
      <c r="I230" s="8"/>
      <c r="J230" s="9"/>
      <c r="K230" s="9">
        <f t="shared" si="37"/>
        <v>0</v>
      </c>
      <c r="L230" s="35">
        <f t="shared" si="38"/>
        <v>0</v>
      </c>
      <c r="M230" s="2"/>
      <c r="O230" s="19"/>
      <c r="P230" s="19"/>
      <c r="Q230" s="19"/>
      <c r="R230" s="21"/>
      <c r="S230" s="46"/>
      <c r="T230" s="44"/>
      <c r="U230" s="77"/>
      <c r="V230" s="30"/>
      <c r="W230" s="24"/>
      <c r="X230" s="193"/>
      <c r="Y230" s="15"/>
    </row>
    <row r="231" spans="2:25" x14ac:dyDescent="0.25">
      <c r="B231" s="15">
        <v>229</v>
      </c>
      <c r="C231" s="8"/>
      <c r="E231" s="67"/>
      <c r="F231" s="380"/>
      <c r="G231" s="8"/>
      <c r="H231" s="8"/>
      <c r="I231" s="8"/>
      <c r="J231" s="9"/>
      <c r="K231" s="9">
        <f t="shared" si="37"/>
        <v>0</v>
      </c>
      <c r="L231" s="35">
        <f t="shared" si="38"/>
        <v>0</v>
      </c>
      <c r="M231" s="2"/>
      <c r="O231" s="19"/>
      <c r="P231" s="19"/>
      <c r="Q231" s="19"/>
      <c r="R231" s="21"/>
      <c r="S231" s="46"/>
      <c r="T231" s="44"/>
      <c r="U231" s="77"/>
      <c r="V231" s="30"/>
      <c r="W231" s="24"/>
      <c r="X231" s="193"/>
      <c r="Y231" s="15"/>
    </row>
    <row r="232" spans="2:25" x14ac:dyDescent="0.25">
      <c r="B232" s="15">
        <v>230</v>
      </c>
      <c r="C232" s="8"/>
      <c r="E232" s="67"/>
      <c r="F232" s="380"/>
      <c r="G232" s="8"/>
      <c r="H232" s="8"/>
      <c r="I232" s="8"/>
      <c r="J232" s="9"/>
      <c r="K232" s="9">
        <f t="shared" si="37"/>
        <v>0</v>
      </c>
      <c r="L232" s="35">
        <f t="shared" si="38"/>
        <v>0</v>
      </c>
      <c r="M232" s="2"/>
      <c r="O232" s="19"/>
      <c r="P232" s="19"/>
      <c r="Q232" s="19"/>
      <c r="R232" s="21"/>
      <c r="S232" s="46"/>
      <c r="T232" s="44"/>
      <c r="U232" s="77"/>
      <c r="V232" s="24"/>
      <c r="W232" s="24"/>
      <c r="X232" s="193"/>
      <c r="Y232" s="15"/>
    </row>
    <row r="233" spans="2:25" x14ac:dyDescent="0.25">
      <c r="B233" s="15">
        <v>231</v>
      </c>
      <c r="C233" s="8"/>
      <c r="E233" s="67"/>
      <c r="F233" s="380"/>
      <c r="G233" s="8"/>
      <c r="H233" s="8"/>
      <c r="I233" s="8"/>
      <c r="J233" s="9"/>
      <c r="K233" s="9">
        <f t="shared" si="37"/>
        <v>0</v>
      </c>
      <c r="L233" s="35">
        <f t="shared" si="38"/>
        <v>0</v>
      </c>
      <c r="M233" s="2"/>
      <c r="O233" s="19"/>
      <c r="P233" s="19"/>
      <c r="Q233" s="19"/>
      <c r="R233" s="21"/>
      <c r="S233" s="46"/>
      <c r="T233" s="44"/>
      <c r="U233" s="77"/>
      <c r="V233" s="24"/>
      <c r="W233" s="24"/>
      <c r="X233" s="193"/>
      <c r="Y233" s="15"/>
    </row>
    <row r="234" spans="2:25" x14ac:dyDescent="0.25">
      <c r="B234" s="15">
        <v>232</v>
      </c>
      <c r="C234" s="8"/>
      <c r="E234" s="67"/>
      <c r="F234" s="380"/>
      <c r="G234" s="8"/>
      <c r="H234" s="8"/>
      <c r="I234" s="8"/>
      <c r="J234" s="9"/>
      <c r="K234" s="9">
        <f t="shared" si="37"/>
        <v>0</v>
      </c>
      <c r="L234" s="35">
        <f t="shared" si="38"/>
        <v>0</v>
      </c>
      <c r="M234" s="2"/>
      <c r="O234" s="19"/>
      <c r="P234" s="19"/>
      <c r="Q234" s="19"/>
      <c r="R234" s="21"/>
      <c r="S234" s="46"/>
      <c r="T234" s="44"/>
      <c r="U234" s="77"/>
      <c r="V234" s="24"/>
      <c r="W234" s="24"/>
      <c r="X234" s="193"/>
      <c r="Y234" s="15"/>
    </row>
    <row r="235" spans="2:25" x14ac:dyDescent="0.25">
      <c r="B235" s="15">
        <v>233</v>
      </c>
      <c r="C235" s="8"/>
      <c r="E235" s="67"/>
      <c r="F235" s="380"/>
      <c r="G235" s="8"/>
      <c r="H235" s="8"/>
      <c r="I235" s="8"/>
      <c r="J235" s="9"/>
      <c r="K235" s="9">
        <f t="shared" si="37"/>
        <v>0</v>
      </c>
      <c r="L235" s="35">
        <f t="shared" si="38"/>
        <v>0</v>
      </c>
      <c r="M235" s="2"/>
      <c r="O235" s="19"/>
      <c r="P235" s="19"/>
      <c r="Q235" s="19"/>
      <c r="R235" s="21"/>
      <c r="S235" s="46"/>
      <c r="T235" s="44"/>
      <c r="U235" s="77"/>
      <c r="V235" s="24"/>
      <c r="W235" s="24"/>
      <c r="X235" s="193"/>
      <c r="Y235" s="15"/>
    </row>
    <row r="236" spans="2:25" x14ac:dyDescent="0.25">
      <c r="B236" s="15">
        <v>234</v>
      </c>
      <c r="C236" s="8"/>
      <c r="E236" s="67"/>
      <c r="F236" s="380"/>
      <c r="G236" s="8"/>
      <c r="H236" s="8"/>
      <c r="I236" s="8"/>
      <c r="J236" s="9"/>
      <c r="K236" s="9">
        <f t="shared" si="37"/>
        <v>0</v>
      </c>
      <c r="L236" s="35">
        <f t="shared" si="38"/>
        <v>0</v>
      </c>
      <c r="M236" s="2"/>
      <c r="O236" s="19"/>
      <c r="P236" s="19"/>
      <c r="Q236" s="19"/>
      <c r="R236" s="21"/>
      <c r="S236" s="46"/>
      <c r="T236" s="44"/>
      <c r="U236" s="77"/>
      <c r="V236" s="24"/>
      <c r="W236" s="24"/>
      <c r="X236" s="193"/>
      <c r="Y236" s="15"/>
    </row>
    <row r="237" spans="2:25" x14ac:dyDescent="0.25">
      <c r="B237" s="15">
        <v>235</v>
      </c>
      <c r="C237" s="8"/>
      <c r="E237" s="67"/>
      <c r="F237" s="380"/>
      <c r="G237" s="8"/>
      <c r="H237" s="8"/>
      <c r="I237" s="8"/>
      <c r="J237" s="9"/>
      <c r="K237" s="9">
        <f t="shared" si="37"/>
        <v>0</v>
      </c>
      <c r="L237" s="35">
        <f t="shared" si="38"/>
        <v>0</v>
      </c>
      <c r="M237" s="2"/>
      <c r="O237" s="19"/>
      <c r="P237" s="19"/>
      <c r="Q237" s="19"/>
      <c r="R237" s="21"/>
      <c r="S237" s="46"/>
      <c r="T237" s="44"/>
      <c r="U237" s="77"/>
      <c r="V237" s="24"/>
      <c r="W237" s="24"/>
      <c r="X237" s="193"/>
      <c r="Y237" s="15"/>
    </row>
    <row r="238" spans="2:25" x14ac:dyDescent="0.25">
      <c r="B238" s="15">
        <v>236</v>
      </c>
      <c r="C238" s="8"/>
      <c r="E238" s="67"/>
      <c r="F238" s="380"/>
      <c r="G238" s="8"/>
      <c r="H238" s="8"/>
      <c r="I238" s="8"/>
      <c r="J238" s="9"/>
      <c r="K238" s="9">
        <f t="shared" si="37"/>
        <v>0</v>
      </c>
      <c r="L238" s="35">
        <f t="shared" si="38"/>
        <v>0</v>
      </c>
      <c r="M238" s="2"/>
      <c r="O238" s="19"/>
      <c r="P238" s="19"/>
      <c r="Q238" s="19"/>
      <c r="R238" s="21"/>
      <c r="S238" s="46"/>
      <c r="T238" s="44"/>
      <c r="U238" s="77"/>
      <c r="V238" s="30"/>
      <c r="W238" s="24"/>
      <c r="X238" s="193"/>
      <c r="Y238" s="15"/>
    </row>
    <row r="239" spans="2:25" x14ac:dyDescent="0.25">
      <c r="B239" s="15">
        <v>235</v>
      </c>
      <c r="C239" s="8"/>
      <c r="E239" s="67"/>
      <c r="F239" s="380"/>
      <c r="G239" s="8"/>
      <c r="H239" s="8"/>
      <c r="I239" s="8"/>
      <c r="J239" s="9"/>
      <c r="K239" s="9">
        <f t="shared" si="37"/>
        <v>0</v>
      </c>
      <c r="L239" s="35">
        <f t="shared" si="38"/>
        <v>0</v>
      </c>
      <c r="M239" s="2"/>
      <c r="O239" s="19"/>
      <c r="P239" s="19"/>
      <c r="Q239" s="19"/>
      <c r="R239" s="21"/>
      <c r="S239" s="46"/>
      <c r="T239" s="44"/>
      <c r="U239" s="77"/>
      <c r="V239" s="24"/>
      <c r="W239" s="24"/>
      <c r="X239" s="193"/>
      <c r="Y239" s="15"/>
    </row>
    <row r="240" spans="2:25" x14ac:dyDescent="0.25">
      <c r="B240" s="15">
        <v>238</v>
      </c>
      <c r="C240" s="8"/>
      <c r="E240" s="67"/>
      <c r="F240" s="380"/>
      <c r="G240" s="8"/>
      <c r="H240" s="8"/>
      <c r="I240" s="8"/>
      <c r="J240" s="9"/>
      <c r="K240" s="9">
        <f t="shared" si="37"/>
        <v>0</v>
      </c>
      <c r="L240" s="35">
        <f t="shared" si="38"/>
        <v>0</v>
      </c>
      <c r="M240" s="2"/>
      <c r="O240" s="19"/>
      <c r="P240" s="19"/>
      <c r="Q240" s="19"/>
      <c r="R240" s="21"/>
      <c r="S240" s="46"/>
      <c r="T240" s="44"/>
      <c r="U240" s="77"/>
      <c r="V240" s="24"/>
      <c r="W240" s="24"/>
      <c r="X240" s="193"/>
      <c r="Y240" s="15"/>
    </row>
    <row r="241" spans="2:25" x14ac:dyDescent="0.25">
      <c r="B241" s="15">
        <v>239</v>
      </c>
      <c r="C241" s="8"/>
      <c r="E241" s="67"/>
      <c r="F241" s="380"/>
      <c r="G241" s="8"/>
      <c r="H241" s="8"/>
      <c r="I241" s="8"/>
      <c r="J241" s="9"/>
      <c r="K241" s="9">
        <f t="shared" si="37"/>
        <v>0</v>
      </c>
      <c r="L241" s="35">
        <f t="shared" si="38"/>
        <v>0</v>
      </c>
      <c r="M241" s="2"/>
      <c r="O241" s="19"/>
      <c r="P241" s="19"/>
      <c r="Q241" s="19"/>
      <c r="R241" s="21"/>
      <c r="S241" s="46"/>
      <c r="T241" s="44"/>
      <c r="U241" s="77"/>
      <c r="V241" s="24"/>
      <c r="W241" s="24"/>
      <c r="X241" s="193"/>
      <c r="Y241" s="15"/>
    </row>
    <row r="242" spans="2:25" x14ac:dyDescent="0.25">
      <c r="B242" s="15">
        <v>240</v>
      </c>
      <c r="C242" s="8"/>
      <c r="E242" s="67"/>
      <c r="F242" s="380"/>
      <c r="G242" s="8"/>
      <c r="H242" s="8"/>
      <c r="I242" s="8"/>
      <c r="J242" s="9"/>
      <c r="K242" s="9">
        <f t="shared" si="37"/>
        <v>0</v>
      </c>
      <c r="L242" s="35">
        <f t="shared" si="38"/>
        <v>0</v>
      </c>
      <c r="M242" s="2"/>
      <c r="O242" s="19"/>
      <c r="P242" s="19"/>
      <c r="Q242" s="19"/>
      <c r="R242" s="21"/>
      <c r="S242" s="46"/>
      <c r="T242" s="44"/>
      <c r="U242" s="77"/>
      <c r="V242" s="24"/>
      <c r="W242" s="24"/>
      <c r="X242" s="193"/>
      <c r="Y242" s="15"/>
    </row>
    <row r="243" spans="2:25" x14ac:dyDescent="0.25">
      <c r="B243" s="15">
        <v>241</v>
      </c>
      <c r="C243" s="8"/>
      <c r="E243" s="67"/>
      <c r="F243" s="380"/>
      <c r="G243" s="8"/>
      <c r="H243" s="8"/>
      <c r="I243" s="8"/>
      <c r="J243" s="9"/>
      <c r="K243" s="9">
        <f t="shared" si="37"/>
        <v>0</v>
      </c>
      <c r="L243" s="35">
        <f t="shared" si="38"/>
        <v>0</v>
      </c>
      <c r="M243" s="2"/>
      <c r="O243" s="19"/>
      <c r="P243" s="19"/>
      <c r="Q243" s="19"/>
      <c r="R243" s="21"/>
      <c r="S243" s="46"/>
      <c r="T243" s="44"/>
      <c r="U243" s="77"/>
      <c r="V243" s="24"/>
      <c r="W243" s="24"/>
      <c r="X243" s="193"/>
      <c r="Y243" s="15"/>
    </row>
    <row r="244" spans="2:25" x14ac:dyDescent="0.25">
      <c r="B244" s="15">
        <v>242</v>
      </c>
      <c r="C244" s="8"/>
      <c r="E244" s="67"/>
      <c r="F244" s="380"/>
      <c r="G244" s="8"/>
      <c r="H244" s="8"/>
      <c r="I244" s="8"/>
      <c r="J244" s="9"/>
      <c r="K244" s="9">
        <f t="shared" si="37"/>
        <v>0</v>
      </c>
      <c r="L244" s="35">
        <f t="shared" si="38"/>
        <v>0</v>
      </c>
      <c r="M244" s="2"/>
      <c r="O244" s="19"/>
      <c r="P244" s="19"/>
      <c r="Q244" s="19"/>
      <c r="R244" s="21"/>
      <c r="S244" s="46"/>
      <c r="T244" s="44"/>
      <c r="U244" s="77"/>
      <c r="V244" s="30"/>
      <c r="W244" s="24"/>
      <c r="X244" s="193"/>
      <c r="Y244" s="15"/>
    </row>
    <row r="245" spans="2:25" x14ac:dyDescent="0.25">
      <c r="B245" s="15">
        <v>243</v>
      </c>
      <c r="C245" s="8"/>
      <c r="E245" s="67"/>
      <c r="F245" s="380"/>
      <c r="G245" s="8"/>
      <c r="H245" s="8"/>
      <c r="I245" s="8"/>
      <c r="J245" s="9"/>
      <c r="K245" s="9">
        <f t="shared" si="37"/>
        <v>0</v>
      </c>
      <c r="L245" s="35">
        <f t="shared" si="38"/>
        <v>0</v>
      </c>
      <c r="M245" s="2"/>
      <c r="O245" s="19"/>
      <c r="P245" s="19"/>
      <c r="Q245" s="19"/>
      <c r="R245" s="21"/>
      <c r="S245" s="46"/>
      <c r="T245" s="44"/>
      <c r="U245" s="77"/>
      <c r="V245" s="30"/>
      <c r="W245" s="24"/>
      <c r="X245" s="193"/>
      <c r="Y245" s="15"/>
    </row>
    <row r="246" spans="2:25" x14ac:dyDescent="0.25">
      <c r="B246" s="15">
        <v>244</v>
      </c>
      <c r="C246" s="8"/>
      <c r="E246" s="67"/>
      <c r="F246" s="380"/>
      <c r="G246" s="8"/>
      <c r="H246" s="8"/>
      <c r="I246" s="8"/>
      <c r="J246" s="9"/>
      <c r="K246" s="9">
        <f t="shared" si="37"/>
        <v>0</v>
      </c>
      <c r="L246" s="35">
        <f t="shared" si="38"/>
        <v>0</v>
      </c>
      <c r="M246" s="2"/>
      <c r="O246" s="19"/>
      <c r="P246" s="19"/>
      <c r="Q246" s="19"/>
      <c r="R246" s="21"/>
      <c r="S246" s="46"/>
      <c r="T246" s="44"/>
      <c r="U246" s="77"/>
      <c r="V246" s="30"/>
      <c r="W246" s="24"/>
      <c r="X246" s="193"/>
      <c r="Y246" s="15"/>
    </row>
    <row r="247" spans="2:25" x14ac:dyDescent="0.25">
      <c r="B247" s="15">
        <v>245</v>
      </c>
      <c r="C247" s="8"/>
      <c r="E247" s="67"/>
      <c r="F247" s="380"/>
      <c r="G247" s="8"/>
      <c r="H247" s="8"/>
      <c r="I247" s="8"/>
      <c r="J247" s="9"/>
      <c r="K247" s="9">
        <f t="shared" si="37"/>
        <v>0</v>
      </c>
      <c r="L247" s="35">
        <f t="shared" si="38"/>
        <v>0</v>
      </c>
      <c r="M247" s="2"/>
      <c r="O247" s="19"/>
      <c r="P247" s="19"/>
      <c r="Q247" s="19"/>
      <c r="R247" s="21"/>
      <c r="S247" s="46"/>
      <c r="T247" s="44"/>
      <c r="U247" s="77"/>
      <c r="V247" s="30"/>
      <c r="W247" s="24"/>
      <c r="X247" s="193"/>
      <c r="Y247" s="15"/>
    </row>
    <row r="248" spans="2:25" x14ac:dyDescent="0.25">
      <c r="B248" s="15">
        <v>246</v>
      </c>
      <c r="C248" s="8"/>
      <c r="E248" s="67"/>
      <c r="F248" s="380"/>
      <c r="G248" s="8"/>
      <c r="H248" s="8"/>
      <c r="I248" s="8"/>
      <c r="J248" s="9"/>
      <c r="K248" s="9">
        <f t="shared" si="37"/>
        <v>0</v>
      </c>
      <c r="L248" s="35">
        <f t="shared" si="38"/>
        <v>0</v>
      </c>
      <c r="M248" s="2"/>
      <c r="O248" s="19"/>
      <c r="P248" s="19"/>
      <c r="Q248" s="19"/>
      <c r="R248" s="21"/>
      <c r="S248" s="46"/>
      <c r="T248" s="44"/>
      <c r="U248" s="77"/>
      <c r="V248" s="24"/>
      <c r="W248" s="24"/>
      <c r="X248" s="193"/>
      <c r="Y248" s="15"/>
    </row>
    <row r="249" spans="2:25" x14ac:dyDescent="0.25">
      <c r="B249" s="15">
        <v>247</v>
      </c>
      <c r="C249" s="8"/>
      <c r="E249" s="67"/>
      <c r="F249" s="380"/>
      <c r="G249" s="8"/>
      <c r="H249" s="8"/>
      <c r="I249" s="8"/>
      <c r="J249" s="9"/>
      <c r="K249" s="9">
        <f t="shared" si="37"/>
        <v>0</v>
      </c>
      <c r="L249" s="35">
        <f t="shared" si="38"/>
        <v>0</v>
      </c>
      <c r="M249" s="2"/>
      <c r="O249" s="19"/>
      <c r="P249" s="19"/>
      <c r="Q249" s="19"/>
      <c r="R249" s="21"/>
      <c r="S249" s="46"/>
      <c r="T249" s="44"/>
      <c r="U249" s="77"/>
      <c r="V249" s="24"/>
      <c r="W249" s="24"/>
      <c r="X249" s="193"/>
      <c r="Y249" s="15"/>
    </row>
    <row r="250" spans="2:25" x14ac:dyDescent="0.25">
      <c r="B250" s="15">
        <v>246</v>
      </c>
      <c r="C250" s="8"/>
      <c r="E250" s="67"/>
      <c r="F250" s="380"/>
      <c r="G250" s="8"/>
      <c r="H250" s="8"/>
      <c r="I250" s="8"/>
      <c r="J250" s="9"/>
      <c r="K250" s="9">
        <f t="shared" si="37"/>
        <v>0</v>
      </c>
      <c r="L250" s="35">
        <f t="shared" si="38"/>
        <v>0</v>
      </c>
      <c r="M250" s="2"/>
      <c r="O250" s="19"/>
      <c r="P250" s="19"/>
      <c r="Q250" s="19"/>
      <c r="R250" s="21"/>
      <c r="S250" s="46"/>
      <c r="T250" s="44"/>
      <c r="U250" s="77"/>
      <c r="V250" s="24"/>
      <c r="W250" s="24"/>
      <c r="X250" s="193"/>
      <c r="Y250" s="15"/>
    </row>
    <row r="251" spans="2:25" x14ac:dyDescent="0.25">
      <c r="B251" s="15">
        <v>249</v>
      </c>
      <c r="C251" s="8"/>
      <c r="E251" s="67"/>
      <c r="F251" s="380"/>
      <c r="G251" s="8"/>
      <c r="H251" s="8"/>
      <c r="I251" s="8"/>
      <c r="J251" s="9"/>
      <c r="K251" s="9">
        <f t="shared" si="37"/>
        <v>0</v>
      </c>
      <c r="L251" s="35">
        <f t="shared" si="38"/>
        <v>0</v>
      </c>
      <c r="M251" s="2"/>
      <c r="O251" s="19"/>
      <c r="P251" s="19"/>
      <c r="Q251" s="19"/>
      <c r="R251" s="21"/>
      <c r="S251" s="46"/>
      <c r="T251" s="44"/>
      <c r="U251" s="77"/>
      <c r="V251" s="24"/>
      <c r="W251" s="24"/>
      <c r="X251" s="193"/>
      <c r="Y251" s="15"/>
    </row>
    <row r="252" spans="2:25" x14ac:dyDescent="0.25">
      <c r="B252" s="15">
        <v>250</v>
      </c>
      <c r="C252" s="8"/>
      <c r="E252" s="67"/>
      <c r="F252" s="380"/>
      <c r="G252" s="8"/>
      <c r="H252" s="8"/>
      <c r="I252" s="8"/>
      <c r="J252" s="9"/>
      <c r="K252" s="9">
        <f t="shared" si="37"/>
        <v>0</v>
      </c>
      <c r="L252" s="35">
        <f t="shared" si="38"/>
        <v>0</v>
      </c>
      <c r="M252" s="2"/>
      <c r="O252" s="19"/>
      <c r="P252" s="19"/>
      <c r="Q252" s="19"/>
      <c r="R252" s="21"/>
      <c r="S252" s="46"/>
      <c r="T252" s="44"/>
      <c r="U252" s="77"/>
      <c r="V252" s="30"/>
      <c r="W252" s="24"/>
      <c r="X252" s="193"/>
      <c r="Y252" s="15"/>
    </row>
    <row r="253" spans="2:25" x14ac:dyDescent="0.25">
      <c r="B253" s="15">
        <v>251</v>
      </c>
      <c r="C253" s="8"/>
      <c r="E253" s="67"/>
      <c r="F253" s="380"/>
      <c r="G253" s="8"/>
      <c r="H253" s="8"/>
      <c r="I253" s="8"/>
      <c r="J253" s="9"/>
      <c r="K253" s="9">
        <f t="shared" si="37"/>
        <v>0</v>
      </c>
      <c r="L253" s="35">
        <f t="shared" si="38"/>
        <v>0</v>
      </c>
      <c r="M253" s="2"/>
      <c r="O253" s="19"/>
      <c r="P253" s="19"/>
      <c r="Q253" s="19"/>
      <c r="R253" s="21"/>
      <c r="S253" s="46"/>
      <c r="T253" s="44"/>
      <c r="U253" s="77"/>
      <c r="V253" s="30"/>
      <c r="W253" s="24"/>
      <c r="X253" s="193"/>
      <c r="Y253" s="15"/>
    </row>
    <row r="254" spans="2:25" x14ac:dyDescent="0.25">
      <c r="B254" s="15">
        <v>252</v>
      </c>
      <c r="C254" s="8"/>
      <c r="E254" s="67"/>
      <c r="F254" s="380"/>
      <c r="G254" s="8"/>
      <c r="H254" s="8"/>
      <c r="I254" s="8"/>
      <c r="J254" s="9"/>
      <c r="K254" s="9">
        <f t="shared" si="37"/>
        <v>0</v>
      </c>
      <c r="L254" s="35">
        <f t="shared" si="38"/>
        <v>0</v>
      </c>
      <c r="M254" s="2"/>
      <c r="O254" s="19"/>
      <c r="P254" s="19"/>
      <c r="Q254" s="19"/>
      <c r="R254" s="21"/>
      <c r="S254" s="46"/>
      <c r="T254" s="44"/>
      <c r="U254" s="77"/>
      <c r="V254" s="24"/>
      <c r="W254" s="24"/>
      <c r="X254" s="193"/>
      <c r="Y254" s="15"/>
    </row>
    <row r="255" spans="2:25" x14ac:dyDescent="0.25">
      <c r="B255" s="15">
        <v>253</v>
      </c>
      <c r="C255" s="8"/>
      <c r="E255" s="67"/>
      <c r="F255" s="380"/>
      <c r="G255" s="8"/>
      <c r="H255" s="8"/>
      <c r="I255" s="8"/>
      <c r="J255" s="9"/>
      <c r="K255" s="9">
        <f t="shared" si="37"/>
        <v>0</v>
      </c>
      <c r="L255" s="35">
        <f t="shared" si="38"/>
        <v>0</v>
      </c>
      <c r="M255" s="2"/>
      <c r="O255" s="19"/>
      <c r="P255" s="19"/>
      <c r="Q255" s="19"/>
      <c r="R255" s="21"/>
      <c r="S255" s="46"/>
      <c r="T255" s="44"/>
      <c r="U255" s="77"/>
      <c r="V255" s="30"/>
      <c r="W255" s="24"/>
      <c r="X255" s="193"/>
      <c r="Y255" s="15"/>
    </row>
    <row r="256" spans="2:25" x14ac:dyDescent="0.25">
      <c r="B256" s="15">
        <v>254</v>
      </c>
      <c r="C256" s="8"/>
      <c r="E256" s="67"/>
      <c r="F256" s="380"/>
      <c r="G256" s="8"/>
      <c r="H256" s="8"/>
      <c r="I256" s="8"/>
      <c r="J256" s="9"/>
      <c r="K256" s="9">
        <f t="shared" si="37"/>
        <v>0</v>
      </c>
      <c r="L256" s="35">
        <f t="shared" si="38"/>
        <v>0</v>
      </c>
      <c r="M256" s="2"/>
      <c r="O256" s="19"/>
      <c r="P256" s="19"/>
      <c r="Q256" s="19"/>
      <c r="R256" s="21"/>
      <c r="S256" s="46"/>
      <c r="T256" s="44"/>
      <c r="U256" s="77"/>
      <c r="V256" s="24"/>
      <c r="W256" s="24"/>
      <c r="X256" s="193"/>
      <c r="Y256" s="15"/>
    </row>
    <row r="257" spans="2:25" x14ac:dyDescent="0.25">
      <c r="B257" s="15">
        <v>255</v>
      </c>
      <c r="C257" s="8"/>
      <c r="E257" s="67"/>
      <c r="F257" s="380"/>
      <c r="G257" s="8"/>
      <c r="H257" s="8"/>
      <c r="I257" s="8"/>
      <c r="J257" s="9"/>
      <c r="K257" s="9">
        <f t="shared" si="37"/>
        <v>0</v>
      </c>
      <c r="L257" s="35">
        <f t="shared" si="38"/>
        <v>0</v>
      </c>
      <c r="M257" s="2"/>
      <c r="O257" s="19"/>
      <c r="P257" s="19"/>
      <c r="Q257" s="19"/>
      <c r="R257" s="21"/>
      <c r="S257" s="46"/>
      <c r="T257" s="44"/>
      <c r="U257" s="77"/>
      <c r="V257" s="24"/>
      <c r="W257" s="24"/>
      <c r="X257" s="193"/>
      <c r="Y257" s="15"/>
    </row>
    <row r="258" spans="2:25" x14ac:dyDescent="0.25">
      <c r="B258" s="15">
        <v>256</v>
      </c>
      <c r="C258" s="8"/>
      <c r="E258" s="67"/>
      <c r="F258" s="380"/>
      <c r="G258" s="8"/>
      <c r="H258" s="8"/>
      <c r="I258" s="8"/>
      <c r="J258" s="9"/>
      <c r="K258" s="9">
        <f t="shared" si="37"/>
        <v>0</v>
      </c>
      <c r="L258" s="35">
        <f t="shared" si="38"/>
        <v>0</v>
      </c>
      <c r="M258" s="2"/>
      <c r="O258" s="19"/>
      <c r="P258" s="19"/>
      <c r="Q258" s="19"/>
      <c r="R258" s="21"/>
      <c r="S258" s="46"/>
      <c r="T258" s="44"/>
      <c r="U258" s="77"/>
      <c r="V258" s="24"/>
      <c r="W258" s="24"/>
      <c r="X258" s="193"/>
      <c r="Y258" s="15"/>
    </row>
    <row r="259" spans="2:25" x14ac:dyDescent="0.25">
      <c r="B259" s="15">
        <v>257</v>
      </c>
      <c r="C259" s="8"/>
      <c r="E259" s="67"/>
      <c r="F259" s="380"/>
      <c r="G259" s="8"/>
      <c r="H259" s="8"/>
      <c r="I259" s="8"/>
      <c r="J259" s="9"/>
      <c r="K259" s="9">
        <f t="shared" ref="K259:K322" si="39">J259*1.1</f>
        <v>0</v>
      </c>
      <c r="L259" s="35">
        <f t="shared" ref="L259:L322" si="40">J259*0.00000001</f>
        <v>0</v>
      </c>
      <c r="M259" s="2"/>
      <c r="O259" s="19"/>
      <c r="P259" s="19"/>
      <c r="Q259" s="19"/>
      <c r="R259" s="21"/>
      <c r="S259" s="46"/>
      <c r="T259" s="44"/>
      <c r="U259" s="77"/>
      <c r="V259" s="30"/>
      <c r="W259" s="24"/>
      <c r="X259" s="193"/>
      <c r="Y259" s="15"/>
    </row>
    <row r="260" spans="2:25" x14ac:dyDescent="0.25">
      <c r="B260" s="15">
        <v>258</v>
      </c>
      <c r="C260" s="8"/>
      <c r="E260" s="67"/>
      <c r="F260" s="380"/>
      <c r="G260" s="8"/>
      <c r="H260" s="8"/>
      <c r="I260" s="8"/>
      <c r="J260" s="9"/>
      <c r="K260" s="9">
        <f t="shared" si="39"/>
        <v>0</v>
      </c>
      <c r="L260" s="35">
        <f t="shared" si="40"/>
        <v>0</v>
      </c>
      <c r="M260" s="2"/>
      <c r="O260" s="19"/>
      <c r="P260" s="19"/>
      <c r="Q260" s="19"/>
      <c r="R260" s="21"/>
      <c r="S260" s="46"/>
      <c r="T260" s="44"/>
      <c r="U260" s="77"/>
      <c r="V260" s="30"/>
      <c r="W260" s="24"/>
      <c r="X260" s="193"/>
      <c r="Y260" s="15"/>
    </row>
    <row r="261" spans="2:25" x14ac:dyDescent="0.25">
      <c r="B261" s="15">
        <v>259</v>
      </c>
      <c r="C261" s="8"/>
      <c r="E261" s="67"/>
      <c r="F261" s="380"/>
      <c r="G261" s="8"/>
      <c r="H261" s="8"/>
      <c r="I261" s="8"/>
      <c r="J261" s="9"/>
      <c r="K261" s="9">
        <f t="shared" si="39"/>
        <v>0</v>
      </c>
      <c r="L261" s="35">
        <f t="shared" si="40"/>
        <v>0</v>
      </c>
      <c r="M261" s="2"/>
      <c r="O261" s="19"/>
      <c r="P261" s="19"/>
      <c r="Q261" s="19"/>
      <c r="R261" s="21"/>
      <c r="S261" s="46"/>
      <c r="T261" s="44"/>
      <c r="U261" s="77"/>
      <c r="V261" s="24"/>
      <c r="W261" s="24"/>
      <c r="X261" s="193"/>
      <c r="Y261" s="15"/>
    </row>
    <row r="262" spans="2:25" x14ac:dyDescent="0.25">
      <c r="B262" s="15">
        <v>260</v>
      </c>
      <c r="C262" s="8"/>
      <c r="E262" s="67"/>
      <c r="F262" s="380"/>
      <c r="G262" s="8"/>
      <c r="H262" s="8"/>
      <c r="I262" s="8"/>
      <c r="J262" s="9"/>
      <c r="K262" s="9">
        <f t="shared" si="39"/>
        <v>0</v>
      </c>
      <c r="L262" s="35">
        <f t="shared" si="40"/>
        <v>0</v>
      </c>
      <c r="M262" s="2"/>
      <c r="O262" s="19"/>
      <c r="P262" s="19"/>
      <c r="Q262" s="19"/>
      <c r="R262" s="21"/>
      <c r="S262" s="46"/>
      <c r="T262" s="44"/>
      <c r="U262" s="77"/>
      <c r="V262" s="24"/>
      <c r="W262" s="24"/>
      <c r="X262" s="193"/>
      <c r="Y262" s="15"/>
    </row>
    <row r="263" spans="2:25" x14ac:dyDescent="0.25">
      <c r="B263" s="15">
        <v>261</v>
      </c>
      <c r="C263" s="8"/>
      <c r="E263" s="67"/>
      <c r="F263" s="380"/>
      <c r="G263" s="8"/>
      <c r="H263" s="8"/>
      <c r="I263" s="8"/>
      <c r="J263" s="9"/>
      <c r="K263" s="9">
        <f t="shared" si="39"/>
        <v>0</v>
      </c>
      <c r="L263" s="35">
        <f t="shared" si="40"/>
        <v>0</v>
      </c>
      <c r="M263" s="2"/>
      <c r="O263" s="19"/>
      <c r="P263" s="19"/>
      <c r="Q263" s="19"/>
      <c r="R263" s="21"/>
      <c r="S263" s="46"/>
      <c r="T263" s="44"/>
      <c r="U263" s="77"/>
      <c r="V263" s="24"/>
      <c r="W263" s="24"/>
      <c r="X263" s="193"/>
      <c r="Y263" s="15"/>
    </row>
    <row r="264" spans="2:25" x14ac:dyDescent="0.25">
      <c r="B264" s="15">
        <v>262</v>
      </c>
      <c r="C264" s="8"/>
      <c r="E264" s="67"/>
      <c r="F264" s="380"/>
      <c r="G264" s="8"/>
      <c r="H264" s="8"/>
      <c r="I264" s="8"/>
      <c r="J264" s="9"/>
      <c r="K264" s="9">
        <f t="shared" si="39"/>
        <v>0</v>
      </c>
      <c r="L264" s="35">
        <f t="shared" si="40"/>
        <v>0</v>
      </c>
      <c r="M264" s="2"/>
      <c r="O264" s="19"/>
      <c r="P264" s="19"/>
      <c r="Q264" s="19"/>
      <c r="R264" s="21"/>
      <c r="S264" s="46"/>
      <c r="T264" s="44"/>
      <c r="U264" s="77"/>
      <c r="V264" s="24"/>
      <c r="W264" s="24"/>
      <c r="X264" s="193"/>
      <c r="Y264" s="15"/>
    </row>
    <row r="265" spans="2:25" x14ac:dyDescent="0.25">
      <c r="B265" s="15">
        <v>263</v>
      </c>
      <c r="C265" s="8"/>
      <c r="E265" s="67"/>
      <c r="F265" s="380"/>
      <c r="G265" s="8"/>
      <c r="H265" s="8"/>
      <c r="I265" s="8"/>
      <c r="J265" s="9"/>
      <c r="K265" s="9">
        <f t="shared" si="39"/>
        <v>0</v>
      </c>
      <c r="L265" s="35">
        <f t="shared" si="40"/>
        <v>0</v>
      </c>
      <c r="M265" s="2"/>
      <c r="O265" s="19"/>
      <c r="P265" s="19"/>
      <c r="Q265" s="19"/>
      <c r="R265" s="21"/>
      <c r="S265" s="46"/>
      <c r="T265" s="44"/>
      <c r="U265" s="77"/>
      <c r="V265" s="24"/>
      <c r="W265" s="24"/>
      <c r="X265" s="193"/>
      <c r="Y265" s="15"/>
    </row>
    <row r="266" spans="2:25" x14ac:dyDescent="0.25">
      <c r="B266" s="15">
        <v>264</v>
      </c>
      <c r="C266" s="8"/>
      <c r="E266" s="67"/>
      <c r="F266" s="380"/>
      <c r="G266" s="8"/>
      <c r="H266" s="8"/>
      <c r="I266" s="8"/>
      <c r="J266" s="9"/>
      <c r="K266" s="9">
        <f t="shared" si="39"/>
        <v>0</v>
      </c>
      <c r="L266" s="35">
        <f t="shared" si="40"/>
        <v>0</v>
      </c>
      <c r="M266" s="2"/>
      <c r="O266" s="19"/>
      <c r="P266" s="19"/>
      <c r="Q266" s="19"/>
      <c r="R266" s="21"/>
      <c r="S266" s="46"/>
      <c r="T266" s="44"/>
      <c r="U266" s="77"/>
      <c r="V266" s="30"/>
      <c r="W266" s="24"/>
      <c r="X266" s="193"/>
      <c r="Y266" s="15"/>
    </row>
    <row r="267" spans="2:25" x14ac:dyDescent="0.25">
      <c r="B267" s="15">
        <v>265</v>
      </c>
      <c r="C267" s="8"/>
      <c r="E267" s="67"/>
      <c r="F267" s="380"/>
      <c r="G267" s="8"/>
      <c r="H267" s="8"/>
      <c r="I267" s="8"/>
      <c r="J267" s="9"/>
      <c r="K267" s="9">
        <f t="shared" si="39"/>
        <v>0</v>
      </c>
      <c r="L267" s="35">
        <f t="shared" si="40"/>
        <v>0</v>
      </c>
      <c r="M267" s="2"/>
      <c r="O267" s="19"/>
      <c r="P267" s="19"/>
      <c r="Q267" s="19"/>
      <c r="R267" s="21"/>
      <c r="S267" s="46"/>
      <c r="T267" s="44"/>
      <c r="U267" s="77"/>
      <c r="V267" s="30"/>
      <c r="W267" s="24"/>
      <c r="X267" s="193"/>
      <c r="Y267" s="15"/>
    </row>
    <row r="268" spans="2:25" x14ac:dyDescent="0.25">
      <c r="B268" s="15">
        <v>266</v>
      </c>
      <c r="C268" s="8"/>
      <c r="E268" s="67"/>
      <c r="F268" s="380"/>
      <c r="G268" s="8"/>
      <c r="H268" s="8"/>
      <c r="I268" s="8"/>
      <c r="J268" s="9"/>
      <c r="K268" s="9">
        <f t="shared" si="39"/>
        <v>0</v>
      </c>
      <c r="L268" s="35">
        <f t="shared" si="40"/>
        <v>0</v>
      </c>
      <c r="M268" s="2"/>
      <c r="O268" s="19"/>
      <c r="P268" s="19"/>
      <c r="Q268" s="19"/>
      <c r="R268" s="21"/>
      <c r="S268" s="46"/>
      <c r="T268" s="44"/>
      <c r="U268" s="77"/>
      <c r="V268" s="30"/>
      <c r="W268" s="24"/>
      <c r="X268" s="193"/>
      <c r="Y268" s="15"/>
    </row>
    <row r="269" spans="2:25" x14ac:dyDescent="0.25">
      <c r="B269" s="15">
        <v>267</v>
      </c>
      <c r="C269" s="8"/>
      <c r="E269" s="67"/>
      <c r="F269" s="380"/>
      <c r="G269" s="8"/>
      <c r="H269" s="8"/>
      <c r="I269" s="8"/>
      <c r="J269" s="9"/>
      <c r="K269" s="9">
        <f t="shared" si="39"/>
        <v>0</v>
      </c>
      <c r="L269" s="35">
        <f t="shared" si="40"/>
        <v>0</v>
      </c>
      <c r="M269" s="2"/>
      <c r="O269" s="19"/>
      <c r="P269" s="19"/>
      <c r="Q269" s="19"/>
      <c r="R269" s="21"/>
      <c r="S269" s="46"/>
      <c r="T269" s="44"/>
      <c r="U269" s="77"/>
      <c r="V269" s="30"/>
      <c r="W269" s="24"/>
      <c r="X269" s="193"/>
      <c r="Y269" s="15"/>
    </row>
    <row r="270" spans="2:25" x14ac:dyDescent="0.25">
      <c r="B270" s="15">
        <v>268</v>
      </c>
      <c r="C270" s="8"/>
      <c r="E270" s="67"/>
      <c r="F270" s="380"/>
      <c r="G270" s="8"/>
      <c r="H270" s="8"/>
      <c r="I270" s="8"/>
      <c r="J270" s="9"/>
      <c r="K270" s="9">
        <f t="shared" si="39"/>
        <v>0</v>
      </c>
      <c r="L270" s="35">
        <f t="shared" si="40"/>
        <v>0</v>
      </c>
      <c r="M270" s="2"/>
      <c r="O270" s="19"/>
      <c r="P270" s="19"/>
      <c r="Q270" s="19"/>
      <c r="R270" s="21"/>
      <c r="S270" s="46"/>
      <c r="T270" s="44"/>
      <c r="U270" s="77"/>
      <c r="V270" s="24"/>
      <c r="W270" s="24"/>
      <c r="X270" s="193"/>
      <c r="Y270" s="15"/>
    </row>
    <row r="271" spans="2:25" x14ac:dyDescent="0.25">
      <c r="B271" s="15">
        <v>269</v>
      </c>
      <c r="C271" s="8"/>
      <c r="E271" s="67"/>
      <c r="F271" s="380"/>
      <c r="G271" s="8"/>
      <c r="H271" s="8"/>
      <c r="I271" s="8"/>
      <c r="J271" s="9"/>
      <c r="K271" s="9">
        <f t="shared" si="39"/>
        <v>0</v>
      </c>
      <c r="L271" s="35">
        <f t="shared" si="40"/>
        <v>0</v>
      </c>
      <c r="M271" s="2"/>
      <c r="O271" s="19"/>
      <c r="P271" s="19"/>
      <c r="Q271" s="19"/>
      <c r="R271" s="21"/>
      <c r="S271" s="46"/>
      <c r="T271" s="44"/>
      <c r="U271" s="77"/>
      <c r="V271" s="24"/>
      <c r="W271" s="24"/>
      <c r="X271" s="193"/>
      <c r="Y271" s="15"/>
    </row>
    <row r="272" spans="2:25" x14ac:dyDescent="0.25">
      <c r="B272" s="15">
        <v>270</v>
      </c>
      <c r="C272" s="8"/>
      <c r="E272" s="67"/>
      <c r="F272" s="380"/>
      <c r="G272" s="8"/>
      <c r="H272" s="8"/>
      <c r="I272" s="8"/>
      <c r="J272" s="9"/>
      <c r="K272" s="9">
        <f t="shared" si="39"/>
        <v>0</v>
      </c>
      <c r="L272" s="35">
        <f t="shared" si="40"/>
        <v>0</v>
      </c>
      <c r="M272" s="2"/>
      <c r="O272" s="19"/>
      <c r="P272" s="19"/>
      <c r="Q272" s="19"/>
      <c r="R272" s="21"/>
      <c r="S272" s="46"/>
      <c r="T272" s="44"/>
      <c r="U272" s="77"/>
      <c r="V272" s="24"/>
      <c r="W272" s="24"/>
      <c r="X272" s="193"/>
      <c r="Y272" s="15"/>
    </row>
    <row r="273" spans="2:25" x14ac:dyDescent="0.25">
      <c r="B273" s="15">
        <v>271</v>
      </c>
      <c r="C273" s="8"/>
      <c r="E273" s="67"/>
      <c r="F273" s="380"/>
      <c r="G273" s="8"/>
      <c r="H273" s="8"/>
      <c r="I273" s="8"/>
      <c r="J273" s="9"/>
      <c r="K273" s="9">
        <f t="shared" si="39"/>
        <v>0</v>
      </c>
      <c r="L273" s="35">
        <f t="shared" si="40"/>
        <v>0</v>
      </c>
      <c r="M273" s="2"/>
      <c r="O273" s="19"/>
      <c r="P273" s="19"/>
      <c r="Q273" s="19"/>
      <c r="R273" s="21"/>
      <c r="S273" s="46"/>
      <c r="T273" s="44"/>
      <c r="U273" s="77"/>
      <c r="V273" s="24"/>
      <c r="W273" s="24"/>
      <c r="X273" s="193"/>
      <c r="Y273" s="15"/>
    </row>
    <row r="274" spans="2:25" x14ac:dyDescent="0.25">
      <c r="B274" s="15">
        <v>272</v>
      </c>
      <c r="C274" s="8"/>
      <c r="E274" s="67"/>
      <c r="F274" s="380"/>
      <c r="G274" s="8"/>
      <c r="H274" s="8"/>
      <c r="I274" s="8"/>
      <c r="J274" s="9"/>
      <c r="K274" s="9">
        <f t="shared" si="39"/>
        <v>0</v>
      </c>
      <c r="L274" s="35">
        <f t="shared" si="40"/>
        <v>0</v>
      </c>
      <c r="M274" s="2"/>
      <c r="O274" s="19"/>
      <c r="P274" s="19"/>
      <c r="Q274" s="19"/>
      <c r="R274" s="21"/>
      <c r="S274" s="46"/>
      <c r="T274" s="44"/>
      <c r="U274" s="77"/>
      <c r="V274" s="24"/>
      <c r="W274" s="24"/>
      <c r="X274" s="193"/>
      <c r="Y274" s="15"/>
    </row>
    <row r="275" spans="2:25" x14ac:dyDescent="0.25">
      <c r="B275" s="15">
        <v>273</v>
      </c>
      <c r="C275" s="8"/>
      <c r="E275" s="67"/>
      <c r="F275" s="380"/>
      <c r="G275" s="8"/>
      <c r="H275" s="8"/>
      <c r="I275" s="8"/>
      <c r="J275" s="9"/>
      <c r="K275" s="9">
        <f t="shared" si="39"/>
        <v>0</v>
      </c>
      <c r="L275" s="35">
        <f t="shared" si="40"/>
        <v>0</v>
      </c>
      <c r="M275" s="2"/>
      <c r="O275" s="19"/>
      <c r="P275" s="19"/>
      <c r="Q275" s="19"/>
      <c r="R275" s="21"/>
      <c r="S275" s="46"/>
      <c r="T275" s="44"/>
      <c r="U275" s="77"/>
      <c r="V275" s="30"/>
      <c r="W275" s="24"/>
      <c r="X275" s="193"/>
      <c r="Y275" s="15"/>
    </row>
    <row r="276" spans="2:25" x14ac:dyDescent="0.25">
      <c r="B276" s="15">
        <v>274</v>
      </c>
      <c r="C276" s="8"/>
      <c r="E276" s="67"/>
      <c r="F276" s="380"/>
      <c r="G276" s="8"/>
      <c r="H276" s="8"/>
      <c r="I276" s="8"/>
      <c r="J276" s="9"/>
      <c r="K276" s="9">
        <f t="shared" si="39"/>
        <v>0</v>
      </c>
      <c r="L276" s="35">
        <f t="shared" si="40"/>
        <v>0</v>
      </c>
      <c r="M276" s="2"/>
      <c r="O276" s="19"/>
      <c r="P276" s="19"/>
      <c r="Q276" s="19"/>
      <c r="R276" s="21"/>
      <c r="S276" s="46"/>
      <c r="T276" s="44"/>
      <c r="U276" s="77"/>
      <c r="V276" s="30"/>
      <c r="W276" s="24"/>
      <c r="X276" s="193"/>
      <c r="Y276" s="15"/>
    </row>
    <row r="277" spans="2:25" x14ac:dyDescent="0.25">
      <c r="B277" s="15">
        <v>275</v>
      </c>
      <c r="C277" s="8"/>
      <c r="E277" s="67"/>
      <c r="F277" s="380"/>
      <c r="G277" s="8"/>
      <c r="H277" s="8"/>
      <c r="I277" s="8"/>
      <c r="J277" s="9"/>
      <c r="K277" s="9">
        <f t="shared" si="39"/>
        <v>0</v>
      </c>
      <c r="L277" s="35">
        <f t="shared" si="40"/>
        <v>0</v>
      </c>
      <c r="M277" s="2"/>
      <c r="O277" s="19"/>
      <c r="P277" s="19"/>
      <c r="Q277" s="19"/>
      <c r="R277" s="21"/>
      <c r="S277" s="46"/>
      <c r="T277" s="44"/>
      <c r="U277" s="77"/>
      <c r="V277" s="24"/>
      <c r="W277" s="24"/>
      <c r="X277" s="193"/>
      <c r="Y277" s="15"/>
    </row>
    <row r="278" spans="2:25" x14ac:dyDescent="0.25">
      <c r="B278" s="15">
        <v>276</v>
      </c>
      <c r="C278" s="8"/>
      <c r="E278" s="67"/>
      <c r="F278" s="380"/>
      <c r="G278" s="8"/>
      <c r="H278" s="8"/>
      <c r="I278" s="8"/>
      <c r="J278" s="9"/>
      <c r="K278" s="9">
        <f t="shared" si="39"/>
        <v>0</v>
      </c>
      <c r="L278" s="35">
        <f t="shared" si="40"/>
        <v>0</v>
      </c>
      <c r="M278" s="2"/>
      <c r="O278" s="19"/>
      <c r="P278" s="19"/>
      <c r="Q278" s="19"/>
      <c r="R278" s="21"/>
      <c r="S278" s="46"/>
      <c r="T278" s="44"/>
      <c r="U278" s="77"/>
      <c r="V278" s="24"/>
      <c r="W278" s="24"/>
      <c r="X278" s="193"/>
      <c r="Y278" s="15"/>
    </row>
    <row r="279" spans="2:25" x14ac:dyDescent="0.25">
      <c r="B279" s="15">
        <v>277</v>
      </c>
      <c r="C279" s="8"/>
      <c r="E279" s="67"/>
      <c r="F279" s="380"/>
      <c r="G279" s="8"/>
      <c r="H279" s="8"/>
      <c r="I279" s="8"/>
      <c r="J279" s="9"/>
      <c r="K279" s="9">
        <f t="shared" si="39"/>
        <v>0</v>
      </c>
      <c r="L279" s="35">
        <f t="shared" si="40"/>
        <v>0</v>
      </c>
      <c r="M279" s="2"/>
      <c r="O279" s="19"/>
      <c r="P279" s="19"/>
      <c r="Q279" s="19"/>
      <c r="R279" s="21"/>
      <c r="S279" s="46"/>
      <c r="T279" s="44"/>
      <c r="U279" s="77"/>
      <c r="V279" s="24"/>
      <c r="W279" s="24"/>
      <c r="X279" s="193"/>
      <c r="Y279" s="15"/>
    </row>
    <row r="280" spans="2:25" x14ac:dyDescent="0.25">
      <c r="B280" s="15">
        <v>278</v>
      </c>
      <c r="C280" s="8"/>
      <c r="E280" s="67"/>
      <c r="F280" s="380"/>
      <c r="G280" s="8"/>
      <c r="H280" s="8"/>
      <c r="I280" s="8"/>
      <c r="J280" s="9"/>
      <c r="K280" s="9">
        <f t="shared" si="39"/>
        <v>0</v>
      </c>
      <c r="L280" s="35">
        <f t="shared" si="40"/>
        <v>0</v>
      </c>
      <c r="M280" s="2"/>
      <c r="O280" s="19"/>
      <c r="P280" s="19"/>
      <c r="Q280" s="19"/>
      <c r="R280" s="21"/>
      <c r="S280" s="46"/>
      <c r="T280" s="44"/>
      <c r="U280" s="77"/>
      <c r="V280" s="24"/>
      <c r="W280" s="24"/>
      <c r="X280" s="193"/>
      <c r="Y280" s="15"/>
    </row>
    <row r="281" spans="2:25" x14ac:dyDescent="0.25">
      <c r="B281" s="15">
        <v>279</v>
      </c>
      <c r="C281" s="8"/>
      <c r="E281" s="67"/>
      <c r="F281" s="380"/>
      <c r="G281" s="8"/>
      <c r="H281" s="8"/>
      <c r="I281" s="8"/>
      <c r="J281" s="9"/>
      <c r="K281" s="9">
        <f t="shared" si="39"/>
        <v>0</v>
      </c>
      <c r="L281" s="35">
        <f t="shared" si="40"/>
        <v>0</v>
      </c>
      <c r="M281" s="2"/>
      <c r="O281" s="19"/>
      <c r="P281" s="19"/>
      <c r="Q281" s="19"/>
      <c r="R281" s="21"/>
      <c r="S281" s="46"/>
      <c r="T281" s="44"/>
      <c r="U281" s="77"/>
      <c r="V281" s="24"/>
      <c r="W281" s="24"/>
      <c r="X281" s="193"/>
      <c r="Y281" s="15"/>
    </row>
    <row r="282" spans="2:25" x14ac:dyDescent="0.25">
      <c r="B282" s="15">
        <v>280</v>
      </c>
      <c r="C282" s="8"/>
      <c r="E282" s="67"/>
      <c r="F282" s="380"/>
      <c r="G282" s="8"/>
      <c r="H282" s="8"/>
      <c r="I282" s="8"/>
      <c r="J282" s="9"/>
      <c r="K282" s="9">
        <f t="shared" si="39"/>
        <v>0</v>
      </c>
      <c r="L282" s="35">
        <f t="shared" si="40"/>
        <v>0</v>
      </c>
      <c r="M282" s="2"/>
      <c r="O282" s="19"/>
      <c r="P282" s="19"/>
      <c r="Q282" s="19"/>
      <c r="R282" s="21"/>
      <c r="S282" s="46"/>
      <c r="T282" s="44"/>
      <c r="U282" s="77"/>
      <c r="V282" s="30"/>
      <c r="W282" s="24"/>
      <c r="X282" s="193"/>
      <c r="Y282" s="15"/>
    </row>
    <row r="283" spans="2:25" x14ac:dyDescent="0.25">
      <c r="B283" s="15">
        <v>281</v>
      </c>
      <c r="C283" s="8"/>
      <c r="E283" s="67"/>
      <c r="F283" s="380"/>
      <c r="G283" s="8"/>
      <c r="H283" s="8"/>
      <c r="I283" s="8"/>
      <c r="J283" s="9"/>
      <c r="K283" s="9">
        <f t="shared" si="39"/>
        <v>0</v>
      </c>
      <c r="L283" s="35">
        <f t="shared" si="40"/>
        <v>0</v>
      </c>
      <c r="M283" s="2"/>
      <c r="O283" s="19"/>
      <c r="P283" s="19"/>
      <c r="Q283" s="19"/>
      <c r="R283" s="21"/>
      <c r="S283" s="46"/>
      <c r="T283" s="44"/>
      <c r="U283" s="77"/>
      <c r="V283" s="30"/>
      <c r="W283" s="24"/>
      <c r="X283" s="193"/>
      <c r="Y283" s="15"/>
    </row>
    <row r="284" spans="2:25" x14ac:dyDescent="0.25">
      <c r="B284" s="15">
        <v>282</v>
      </c>
      <c r="C284" s="8"/>
      <c r="E284" s="67"/>
      <c r="F284" s="380"/>
      <c r="G284" s="8"/>
      <c r="H284" s="8"/>
      <c r="I284" s="8"/>
      <c r="J284" s="9"/>
      <c r="K284" s="9">
        <f t="shared" si="39"/>
        <v>0</v>
      </c>
      <c r="L284" s="35">
        <f t="shared" si="40"/>
        <v>0</v>
      </c>
      <c r="M284" s="2"/>
      <c r="O284" s="19"/>
      <c r="P284" s="19"/>
      <c r="Q284" s="19"/>
      <c r="R284" s="21"/>
      <c r="S284" s="46"/>
      <c r="T284" s="44"/>
      <c r="U284" s="77"/>
      <c r="V284" s="30"/>
      <c r="W284" s="24"/>
      <c r="X284" s="193"/>
      <c r="Y284" s="15"/>
    </row>
    <row r="285" spans="2:25" x14ac:dyDescent="0.25">
      <c r="B285" s="15">
        <v>283</v>
      </c>
      <c r="C285" s="8"/>
      <c r="E285" s="67"/>
      <c r="K285" s="9">
        <f t="shared" si="39"/>
        <v>0</v>
      </c>
      <c r="L285" s="35">
        <f t="shared" si="40"/>
        <v>0</v>
      </c>
      <c r="S285" s="5"/>
      <c r="T285" s="44"/>
      <c r="U285" s="77"/>
      <c r="V285" s="79"/>
      <c r="W285" s="24"/>
      <c r="X285" s="193"/>
      <c r="Y285" s="15"/>
    </row>
    <row r="286" spans="2:25" x14ac:dyDescent="0.25">
      <c r="B286" s="15">
        <v>284</v>
      </c>
      <c r="C286" s="8"/>
      <c r="K286" s="9">
        <f t="shared" si="39"/>
        <v>0</v>
      </c>
      <c r="L286" s="35">
        <f t="shared" si="40"/>
        <v>0</v>
      </c>
      <c r="T286" s="44"/>
      <c r="U286" s="77"/>
      <c r="V286" s="79"/>
      <c r="W286" s="24"/>
      <c r="X286" s="193"/>
      <c r="Y286" s="15"/>
    </row>
    <row r="287" spans="2:25" x14ac:dyDescent="0.25">
      <c r="B287" s="15">
        <v>285</v>
      </c>
      <c r="C287" s="8"/>
      <c r="K287" s="9">
        <f t="shared" si="39"/>
        <v>0</v>
      </c>
      <c r="L287" s="35">
        <f t="shared" si="40"/>
        <v>0</v>
      </c>
      <c r="T287" s="44"/>
      <c r="U287" s="77"/>
      <c r="V287" s="79"/>
      <c r="W287" s="24"/>
      <c r="X287" s="193"/>
      <c r="Y287" s="15"/>
    </row>
    <row r="288" spans="2:25" x14ac:dyDescent="0.25">
      <c r="B288" s="15">
        <v>286</v>
      </c>
      <c r="C288" s="8"/>
      <c r="K288" s="9">
        <f t="shared" si="39"/>
        <v>0</v>
      </c>
      <c r="L288" s="35">
        <f t="shared" si="40"/>
        <v>0</v>
      </c>
      <c r="T288" s="44"/>
      <c r="U288" s="77"/>
      <c r="V288" s="79"/>
      <c r="W288" s="24"/>
      <c r="X288" s="193"/>
      <c r="Y288" s="15"/>
    </row>
    <row r="289" spans="2:25" x14ac:dyDescent="0.25">
      <c r="B289" s="15">
        <v>287</v>
      </c>
      <c r="C289" s="8"/>
      <c r="K289" s="9">
        <f t="shared" si="39"/>
        <v>0</v>
      </c>
      <c r="L289" s="35">
        <f t="shared" si="40"/>
        <v>0</v>
      </c>
      <c r="T289" s="44"/>
      <c r="U289" s="77"/>
      <c r="V289" s="79"/>
      <c r="W289" s="24"/>
      <c r="X289" s="193"/>
      <c r="Y289" s="15"/>
    </row>
    <row r="290" spans="2:25" x14ac:dyDescent="0.25">
      <c r="B290" s="15">
        <v>288</v>
      </c>
      <c r="C290" s="8"/>
      <c r="K290" s="9">
        <f t="shared" si="39"/>
        <v>0</v>
      </c>
      <c r="L290" s="35">
        <f t="shared" si="40"/>
        <v>0</v>
      </c>
      <c r="T290" s="44"/>
      <c r="U290" s="77"/>
      <c r="V290" s="79"/>
      <c r="W290" s="24"/>
      <c r="X290" s="193"/>
      <c r="Y290" s="15"/>
    </row>
    <row r="291" spans="2:25" x14ac:dyDescent="0.25">
      <c r="B291" s="15">
        <v>289</v>
      </c>
      <c r="C291" s="8"/>
      <c r="K291" s="9">
        <f t="shared" si="39"/>
        <v>0</v>
      </c>
      <c r="L291" s="35">
        <f t="shared" si="40"/>
        <v>0</v>
      </c>
      <c r="T291" s="44"/>
      <c r="U291" s="77"/>
      <c r="V291" s="79"/>
      <c r="W291" s="24"/>
      <c r="X291" s="193"/>
      <c r="Y291" s="15"/>
    </row>
    <row r="292" spans="2:25" x14ac:dyDescent="0.25">
      <c r="B292" s="15">
        <v>290</v>
      </c>
      <c r="C292" s="8"/>
      <c r="K292" s="9">
        <f t="shared" si="39"/>
        <v>0</v>
      </c>
      <c r="L292" s="35">
        <f t="shared" si="40"/>
        <v>0</v>
      </c>
      <c r="T292" s="44"/>
      <c r="U292" s="77"/>
      <c r="V292" s="79"/>
      <c r="W292" s="24"/>
      <c r="X292" s="193"/>
      <c r="Y292" s="15"/>
    </row>
    <row r="293" spans="2:25" x14ac:dyDescent="0.25">
      <c r="B293" s="15">
        <v>291</v>
      </c>
      <c r="C293" s="8"/>
      <c r="K293" s="9">
        <f t="shared" si="39"/>
        <v>0</v>
      </c>
      <c r="L293" s="35">
        <f t="shared" si="40"/>
        <v>0</v>
      </c>
      <c r="T293" s="44"/>
      <c r="U293" s="77"/>
      <c r="V293" s="79"/>
      <c r="W293" s="24"/>
      <c r="X293" s="193"/>
      <c r="Y293" s="15"/>
    </row>
    <row r="294" spans="2:25" x14ac:dyDescent="0.25">
      <c r="B294" s="15">
        <v>292</v>
      </c>
      <c r="C294" s="8"/>
      <c r="K294" s="9">
        <f t="shared" si="39"/>
        <v>0</v>
      </c>
      <c r="L294" s="35">
        <f t="shared" si="40"/>
        <v>0</v>
      </c>
      <c r="T294" s="44"/>
      <c r="U294" s="77"/>
      <c r="V294" s="79"/>
      <c r="W294" s="24"/>
      <c r="X294" s="193"/>
      <c r="Y294" s="15"/>
    </row>
    <row r="295" spans="2:25" x14ac:dyDescent="0.25">
      <c r="B295" s="15">
        <v>293</v>
      </c>
      <c r="C295" s="8"/>
      <c r="K295" s="9">
        <f t="shared" si="39"/>
        <v>0</v>
      </c>
      <c r="L295" s="35">
        <f t="shared" si="40"/>
        <v>0</v>
      </c>
      <c r="T295" s="44"/>
      <c r="U295" s="77"/>
      <c r="V295" s="79"/>
      <c r="W295" s="24"/>
      <c r="X295" s="193"/>
      <c r="Y295" s="15"/>
    </row>
    <row r="296" spans="2:25" x14ac:dyDescent="0.25">
      <c r="B296" s="15">
        <v>294</v>
      </c>
      <c r="C296" s="8"/>
      <c r="K296" s="9">
        <f t="shared" si="39"/>
        <v>0</v>
      </c>
      <c r="L296" s="35">
        <f t="shared" si="40"/>
        <v>0</v>
      </c>
      <c r="T296" s="44"/>
      <c r="U296" s="77"/>
      <c r="V296" s="79"/>
      <c r="W296" s="24"/>
      <c r="X296" s="193"/>
      <c r="Y296" s="15"/>
    </row>
    <row r="297" spans="2:25" x14ac:dyDescent="0.25">
      <c r="B297" s="15">
        <v>295</v>
      </c>
      <c r="C297" s="8"/>
      <c r="K297" s="9">
        <f t="shared" si="39"/>
        <v>0</v>
      </c>
      <c r="L297" s="35">
        <f t="shared" si="40"/>
        <v>0</v>
      </c>
      <c r="T297" s="44"/>
      <c r="U297" s="77"/>
      <c r="V297" s="79"/>
      <c r="W297" s="24"/>
      <c r="X297" s="193"/>
      <c r="Y297" s="15"/>
    </row>
    <row r="298" spans="2:25" x14ac:dyDescent="0.25">
      <c r="B298" s="15">
        <v>296</v>
      </c>
      <c r="C298" s="8"/>
      <c r="K298" s="9">
        <f t="shared" si="39"/>
        <v>0</v>
      </c>
      <c r="L298" s="35">
        <f t="shared" si="40"/>
        <v>0</v>
      </c>
      <c r="T298" s="44"/>
      <c r="U298" s="77"/>
      <c r="V298" s="79"/>
      <c r="W298" s="24"/>
      <c r="X298" s="193"/>
      <c r="Y298" s="15"/>
    </row>
    <row r="299" spans="2:25" x14ac:dyDescent="0.25">
      <c r="B299" s="15">
        <v>297</v>
      </c>
      <c r="C299" s="8"/>
      <c r="K299" s="9">
        <f t="shared" si="39"/>
        <v>0</v>
      </c>
      <c r="L299" s="35">
        <f t="shared" si="40"/>
        <v>0</v>
      </c>
      <c r="T299" s="44"/>
      <c r="U299" s="77"/>
      <c r="V299" s="79"/>
      <c r="W299" s="24"/>
      <c r="X299" s="193"/>
      <c r="Y299" s="15"/>
    </row>
    <row r="300" spans="2:25" x14ac:dyDescent="0.25">
      <c r="B300" s="15">
        <v>298</v>
      </c>
      <c r="C300" s="8"/>
      <c r="K300" s="9">
        <f t="shared" si="39"/>
        <v>0</v>
      </c>
      <c r="L300" s="35">
        <f t="shared" si="40"/>
        <v>0</v>
      </c>
      <c r="T300" s="44"/>
      <c r="U300" s="77"/>
      <c r="V300" s="79"/>
      <c r="W300" s="24"/>
      <c r="X300" s="193"/>
      <c r="Y300" s="15"/>
    </row>
    <row r="301" spans="2:25" x14ac:dyDescent="0.25">
      <c r="B301" s="15">
        <v>298</v>
      </c>
      <c r="C301" s="8"/>
      <c r="K301" s="9">
        <f t="shared" si="39"/>
        <v>0</v>
      </c>
      <c r="L301" s="35">
        <f t="shared" si="40"/>
        <v>0</v>
      </c>
      <c r="T301" s="44"/>
      <c r="U301" s="77"/>
      <c r="V301" s="79"/>
      <c r="W301" s="24"/>
      <c r="X301" s="193"/>
      <c r="Y301" s="15"/>
    </row>
    <row r="302" spans="2:25" x14ac:dyDescent="0.25">
      <c r="B302" s="15">
        <v>298</v>
      </c>
      <c r="G302" s="8"/>
      <c r="H302" s="8"/>
      <c r="K302" s="9">
        <f t="shared" si="39"/>
        <v>0</v>
      </c>
      <c r="L302" s="35">
        <f t="shared" si="40"/>
        <v>0</v>
      </c>
      <c r="W302" s="24"/>
    </row>
    <row r="303" spans="2:25" x14ac:dyDescent="0.25">
      <c r="B303" s="15">
        <v>298</v>
      </c>
      <c r="C303" s="8"/>
      <c r="K303" s="9">
        <f t="shared" si="39"/>
        <v>0</v>
      </c>
      <c r="L303" s="35">
        <f t="shared" si="40"/>
        <v>0</v>
      </c>
      <c r="W303" s="24"/>
    </row>
    <row r="304" spans="2:25" x14ac:dyDescent="0.25">
      <c r="B304" s="15">
        <v>298</v>
      </c>
      <c r="C304" s="8"/>
      <c r="K304" s="9">
        <f t="shared" si="39"/>
        <v>0</v>
      </c>
      <c r="L304" s="35">
        <f t="shared" si="40"/>
        <v>0</v>
      </c>
      <c r="W304" s="24"/>
    </row>
    <row r="305" spans="2:25" x14ac:dyDescent="0.25">
      <c r="B305" s="15">
        <v>298</v>
      </c>
      <c r="C305" s="8"/>
      <c r="E305" s="67"/>
      <c r="F305" s="380"/>
      <c r="G305" s="8"/>
      <c r="H305" s="8"/>
      <c r="I305" s="8"/>
      <c r="J305" s="9"/>
      <c r="K305" s="9">
        <f t="shared" si="39"/>
        <v>0</v>
      </c>
      <c r="L305" s="35">
        <f t="shared" si="40"/>
        <v>0</v>
      </c>
      <c r="M305" s="2"/>
      <c r="O305" s="19"/>
      <c r="P305" s="19"/>
      <c r="Q305" s="19"/>
      <c r="R305" s="21"/>
      <c r="S305" s="46"/>
      <c r="T305" s="44"/>
      <c r="U305" s="77"/>
      <c r="V305" s="24"/>
      <c r="W305" s="24"/>
      <c r="X305" s="193"/>
      <c r="Y305" s="15"/>
    </row>
    <row r="306" spans="2:25" x14ac:dyDescent="0.25">
      <c r="B306" s="15">
        <v>298</v>
      </c>
      <c r="C306" s="8"/>
      <c r="E306" s="67"/>
      <c r="F306" s="380"/>
      <c r="G306" s="8"/>
      <c r="H306" s="8"/>
      <c r="I306" s="8"/>
      <c r="J306" s="9"/>
      <c r="K306" s="9">
        <f t="shared" si="39"/>
        <v>0</v>
      </c>
      <c r="L306" s="35">
        <f t="shared" si="40"/>
        <v>0</v>
      </c>
      <c r="M306" s="2"/>
      <c r="O306" s="19"/>
      <c r="P306" s="19"/>
      <c r="Q306" s="19"/>
      <c r="R306" s="21"/>
      <c r="S306" s="46"/>
      <c r="T306" s="44"/>
      <c r="U306" s="77"/>
      <c r="V306" s="24"/>
      <c r="W306" s="24"/>
      <c r="X306" s="193"/>
      <c r="Y306" s="15"/>
    </row>
    <row r="307" spans="2:25" x14ac:dyDescent="0.25">
      <c r="B307" s="15">
        <v>298</v>
      </c>
      <c r="C307" s="8"/>
      <c r="E307" s="67"/>
      <c r="F307" s="380"/>
      <c r="G307" s="8"/>
      <c r="H307" s="8"/>
      <c r="I307" s="8"/>
      <c r="J307" s="9"/>
      <c r="K307" s="9">
        <f t="shared" si="39"/>
        <v>0</v>
      </c>
      <c r="L307" s="35">
        <f t="shared" si="40"/>
        <v>0</v>
      </c>
      <c r="M307" s="2"/>
      <c r="O307" s="19"/>
      <c r="P307" s="19"/>
      <c r="Q307" s="19"/>
      <c r="R307" s="21"/>
      <c r="S307" s="46"/>
      <c r="T307" s="44"/>
      <c r="U307" s="77"/>
      <c r="V307" s="24"/>
      <c r="W307" s="24"/>
      <c r="X307" s="193"/>
      <c r="Y307" s="15"/>
    </row>
    <row r="308" spans="2:25" x14ac:dyDescent="0.25">
      <c r="B308" s="15">
        <v>298</v>
      </c>
      <c r="C308" s="8"/>
      <c r="E308" s="67"/>
      <c r="F308" s="380"/>
      <c r="G308" s="8"/>
      <c r="H308" s="8"/>
      <c r="I308" s="8"/>
      <c r="J308" s="9"/>
      <c r="K308" s="9">
        <f t="shared" si="39"/>
        <v>0</v>
      </c>
      <c r="L308" s="35">
        <f t="shared" si="40"/>
        <v>0</v>
      </c>
      <c r="M308" s="2"/>
      <c r="O308" s="19"/>
      <c r="P308" s="19"/>
      <c r="Q308" s="19"/>
      <c r="R308" s="21"/>
      <c r="S308" s="46"/>
      <c r="T308" s="44"/>
      <c r="U308" s="77"/>
      <c r="V308" s="24"/>
      <c r="W308" s="24"/>
      <c r="X308" s="193"/>
      <c r="Y308" s="15"/>
    </row>
    <row r="309" spans="2:25" x14ac:dyDescent="0.25">
      <c r="B309" s="15">
        <v>298</v>
      </c>
      <c r="C309" s="8"/>
      <c r="E309" s="67"/>
      <c r="F309" s="380"/>
      <c r="G309" s="8"/>
      <c r="H309" s="8"/>
      <c r="I309" s="8"/>
      <c r="J309" s="9"/>
      <c r="K309" s="9">
        <f t="shared" si="39"/>
        <v>0</v>
      </c>
      <c r="L309" s="35">
        <f t="shared" si="40"/>
        <v>0</v>
      </c>
      <c r="M309" s="2"/>
      <c r="O309" s="19"/>
      <c r="P309" s="19"/>
      <c r="Q309" s="19"/>
      <c r="R309" s="21"/>
      <c r="S309" s="46"/>
      <c r="T309" s="44"/>
      <c r="U309" s="77"/>
      <c r="V309" s="24"/>
      <c r="W309" s="24"/>
      <c r="X309" s="193"/>
      <c r="Y309" s="15"/>
    </row>
    <row r="310" spans="2:25" x14ac:dyDescent="0.25">
      <c r="B310" s="15">
        <v>235</v>
      </c>
      <c r="C310" s="8"/>
      <c r="E310" s="67"/>
      <c r="F310" s="380"/>
      <c r="G310" s="8"/>
      <c r="H310" s="8"/>
      <c r="I310" s="8"/>
      <c r="J310" s="9"/>
      <c r="K310" s="9">
        <f t="shared" si="39"/>
        <v>0</v>
      </c>
      <c r="L310" s="35">
        <f t="shared" si="40"/>
        <v>0</v>
      </c>
      <c r="M310" s="2"/>
      <c r="O310" s="19"/>
      <c r="P310" s="19"/>
      <c r="Q310" s="19"/>
      <c r="R310" s="21"/>
      <c r="S310" s="46"/>
      <c r="T310" s="44"/>
      <c r="U310" s="77"/>
      <c r="V310" s="24"/>
      <c r="W310" s="24"/>
      <c r="X310" s="193"/>
      <c r="Y310" s="15"/>
    </row>
    <row r="311" spans="2:25" x14ac:dyDescent="0.25">
      <c r="B311" s="15">
        <v>235</v>
      </c>
      <c r="C311" s="8"/>
      <c r="E311" s="67"/>
      <c r="F311" s="380"/>
      <c r="G311" s="8"/>
      <c r="H311" s="8"/>
      <c r="I311" s="8"/>
      <c r="J311" s="9"/>
      <c r="K311" s="9">
        <f t="shared" si="39"/>
        <v>0</v>
      </c>
      <c r="L311" s="35">
        <f t="shared" si="40"/>
        <v>0</v>
      </c>
      <c r="M311" s="2"/>
      <c r="O311" s="19"/>
      <c r="P311" s="19"/>
      <c r="Q311" s="19"/>
      <c r="R311" s="21"/>
      <c r="S311" s="46"/>
      <c r="T311" s="44"/>
      <c r="U311" s="77"/>
      <c r="V311" s="24"/>
      <c r="W311" s="24"/>
      <c r="X311" s="193"/>
      <c r="Y311" s="15"/>
    </row>
    <row r="312" spans="2:25" x14ac:dyDescent="0.25">
      <c r="B312" s="15">
        <v>235</v>
      </c>
      <c r="C312" s="8"/>
      <c r="E312" s="67"/>
      <c r="F312" s="380"/>
      <c r="G312" s="8"/>
      <c r="H312" s="8"/>
      <c r="I312" s="8"/>
      <c r="J312" s="9"/>
      <c r="K312" s="9">
        <f t="shared" si="39"/>
        <v>0</v>
      </c>
      <c r="L312" s="35">
        <f t="shared" si="40"/>
        <v>0</v>
      </c>
      <c r="M312" s="2"/>
      <c r="O312" s="19"/>
      <c r="P312" s="19"/>
      <c r="Q312" s="19"/>
      <c r="R312" s="21"/>
      <c r="S312" s="46"/>
      <c r="T312" s="44"/>
      <c r="U312" s="77"/>
      <c r="V312" s="24"/>
      <c r="W312" s="24"/>
      <c r="X312" s="193"/>
      <c r="Y312" s="15"/>
    </row>
    <row r="313" spans="2:25" x14ac:dyDescent="0.25">
      <c r="B313" s="15">
        <v>235</v>
      </c>
      <c r="C313" s="8"/>
      <c r="E313" s="67"/>
      <c r="F313" s="380"/>
      <c r="G313" s="8"/>
      <c r="H313" s="8"/>
      <c r="I313" s="8"/>
      <c r="J313" s="9"/>
      <c r="K313" s="9">
        <f t="shared" si="39"/>
        <v>0</v>
      </c>
      <c r="L313" s="35">
        <f t="shared" si="40"/>
        <v>0</v>
      </c>
      <c r="M313" s="2"/>
      <c r="O313" s="19"/>
      <c r="P313" s="19"/>
      <c r="Q313" s="19"/>
      <c r="R313" s="21"/>
      <c r="S313" s="46"/>
      <c r="T313" s="44"/>
      <c r="U313" s="77"/>
      <c r="V313" s="24"/>
      <c r="W313" s="24"/>
      <c r="X313" s="193"/>
      <c r="Y313" s="15"/>
    </row>
    <row r="314" spans="2:25" x14ac:dyDescent="0.25">
      <c r="B314" s="15">
        <v>235</v>
      </c>
      <c r="C314" s="8"/>
      <c r="E314" s="67"/>
      <c r="F314" s="380"/>
      <c r="G314" s="8"/>
      <c r="H314" s="8"/>
      <c r="I314" s="8"/>
      <c r="J314" s="9"/>
      <c r="K314" s="9">
        <f t="shared" si="39"/>
        <v>0</v>
      </c>
      <c r="L314" s="35">
        <f t="shared" si="40"/>
        <v>0</v>
      </c>
      <c r="M314" s="2"/>
      <c r="O314" s="19"/>
      <c r="P314" s="19"/>
      <c r="Q314" s="19"/>
      <c r="R314" s="21"/>
      <c r="S314" s="46"/>
      <c r="T314" s="44"/>
      <c r="U314" s="77"/>
      <c r="V314" s="24"/>
      <c r="W314" s="24"/>
      <c r="X314" s="193"/>
      <c r="Y314" s="15"/>
    </row>
    <row r="315" spans="2:25" x14ac:dyDescent="0.25">
      <c r="B315" s="15">
        <v>235</v>
      </c>
      <c r="C315" s="8"/>
      <c r="E315" s="67"/>
      <c r="F315" s="380"/>
      <c r="G315" s="8"/>
      <c r="H315" s="8"/>
      <c r="I315" s="8"/>
      <c r="J315" s="9"/>
      <c r="K315" s="9">
        <f t="shared" si="39"/>
        <v>0</v>
      </c>
      <c r="L315" s="35">
        <f t="shared" si="40"/>
        <v>0</v>
      </c>
      <c r="M315" s="2"/>
      <c r="O315" s="19"/>
      <c r="P315" s="19"/>
      <c r="Q315" s="19"/>
      <c r="R315" s="21"/>
      <c r="S315" s="46"/>
      <c r="T315" s="44"/>
      <c r="U315" s="77"/>
      <c r="V315" s="24"/>
      <c r="W315" s="24"/>
      <c r="X315" s="193"/>
      <c r="Y315" s="15"/>
    </row>
    <row r="316" spans="2:25" x14ac:dyDescent="0.25">
      <c r="B316" s="15">
        <v>235</v>
      </c>
      <c r="C316" s="8"/>
      <c r="E316" s="67"/>
      <c r="F316" s="380"/>
      <c r="G316" s="8"/>
      <c r="H316" s="8"/>
      <c r="I316" s="8"/>
      <c r="J316" s="9"/>
      <c r="K316" s="9">
        <f t="shared" si="39"/>
        <v>0</v>
      </c>
      <c r="L316" s="35">
        <f t="shared" si="40"/>
        <v>0</v>
      </c>
      <c r="M316" s="2"/>
      <c r="O316" s="19"/>
      <c r="P316" s="19"/>
      <c r="Q316" s="19"/>
      <c r="R316" s="21"/>
      <c r="S316" s="46"/>
      <c r="T316" s="44"/>
      <c r="U316" s="77"/>
      <c r="V316" s="24"/>
      <c r="W316" s="24"/>
      <c r="X316" s="193"/>
      <c r="Y316" s="15"/>
    </row>
    <row r="317" spans="2:25" x14ac:dyDescent="0.25">
      <c r="B317" s="15">
        <v>235</v>
      </c>
      <c r="C317" s="8"/>
      <c r="E317" s="67"/>
      <c r="F317" s="380"/>
      <c r="G317" s="8"/>
      <c r="H317" s="8"/>
      <c r="I317" s="8"/>
      <c r="J317" s="9"/>
      <c r="K317" s="9">
        <f t="shared" si="39"/>
        <v>0</v>
      </c>
      <c r="L317" s="35">
        <f t="shared" si="40"/>
        <v>0</v>
      </c>
      <c r="M317" s="2"/>
      <c r="O317" s="19"/>
      <c r="P317" s="19"/>
      <c r="Q317" s="19"/>
      <c r="R317" s="21"/>
      <c r="S317" s="46"/>
      <c r="T317" s="44"/>
      <c r="U317" s="77"/>
      <c r="V317" s="24"/>
      <c r="W317" s="24"/>
      <c r="X317" s="193"/>
      <c r="Y317" s="15"/>
    </row>
    <row r="318" spans="2:25" x14ac:dyDescent="0.25">
      <c r="B318" s="15">
        <v>235</v>
      </c>
      <c r="C318" s="8"/>
      <c r="E318" s="67"/>
      <c r="F318" s="380"/>
      <c r="G318" s="8"/>
      <c r="H318" s="8"/>
      <c r="I318" s="8"/>
      <c r="J318" s="9"/>
      <c r="K318" s="9">
        <f t="shared" si="39"/>
        <v>0</v>
      </c>
      <c r="L318" s="35">
        <f t="shared" si="40"/>
        <v>0</v>
      </c>
      <c r="M318" s="2"/>
      <c r="O318" s="19"/>
      <c r="P318" s="19"/>
      <c r="Q318" s="19"/>
      <c r="R318" s="21"/>
      <c r="S318" s="46"/>
      <c r="T318" s="44"/>
      <c r="U318" s="77"/>
      <c r="V318" s="24"/>
      <c r="W318" s="24"/>
      <c r="X318" s="193"/>
      <c r="Y318" s="15"/>
    </row>
    <row r="319" spans="2:25" x14ac:dyDescent="0.25">
      <c r="B319" s="15">
        <v>235</v>
      </c>
      <c r="C319" s="8"/>
      <c r="E319" s="67"/>
      <c r="F319" s="380"/>
      <c r="G319" s="8"/>
      <c r="H319" s="8"/>
      <c r="I319" s="8"/>
      <c r="J319" s="9"/>
      <c r="K319" s="9">
        <f t="shared" si="39"/>
        <v>0</v>
      </c>
      <c r="L319" s="35">
        <f t="shared" si="40"/>
        <v>0</v>
      </c>
      <c r="M319" s="2"/>
      <c r="O319" s="19"/>
      <c r="P319" s="19"/>
      <c r="Q319" s="19"/>
      <c r="R319" s="21"/>
      <c r="S319" s="46"/>
      <c r="T319" s="44"/>
      <c r="U319" s="77"/>
      <c r="V319" s="24"/>
      <c r="W319" s="24"/>
      <c r="X319" s="193"/>
      <c r="Y319" s="15"/>
    </row>
    <row r="320" spans="2:25" x14ac:dyDescent="0.25">
      <c r="B320" s="15">
        <v>235</v>
      </c>
      <c r="C320" s="8"/>
      <c r="E320" s="67"/>
      <c r="F320" s="380"/>
      <c r="G320" s="8"/>
      <c r="H320" s="8"/>
      <c r="I320" s="8"/>
      <c r="J320" s="9"/>
      <c r="K320" s="9">
        <f t="shared" si="39"/>
        <v>0</v>
      </c>
      <c r="L320" s="35">
        <f t="shared" si="40"/>
        <v>0</v>
      </c>
      <c r="M320" s="2"/>
      <c r="O320" s="19"/>
      <c r="P320" s="19"/>
      <c r="Q320" s="19"/>
      <c r="R320" s="21"/>
      <c r="S320" s="46"/>
      <c r="T320" s="44"/>
      <c r="U320" s="77"/>
      <c r="V320" s="24"/>
      <c r="W320" s="24"/>
      <c r="X320" s="193"/>
      <c r="Y320" s="15"/>
    </row>
    <row r="321" spans="2:25" x14ac:dyDescent="0.25">
      <c r="B321" s="15">
        <v>235</v>
      </c>
      <c r="C321" s="8"/>
      <c r="E321" s="67"/>
      <c r="F321" s="380"/>
      <c r="G321" s="8"/>
      <c r="H321" s="8"/>
      <c r="I321" s="8"/>
      <c r="J321" s="9"/>
      <c r="K321" s="9">
        <f t="shared" si="39"/>
        <v>0</v>
      </c>
      <c r="L321" s="35">
        <f t="shared" si="40"/>
        <v>0</v>
      </c>
      <c r="M321" s="2"/>
      <c r="O321" s="19"/>
      <c r="P321" s="19"/>
      <c r="Q321" s="19"/>
      <c r="R321" s="21"/>
      <c r="S321" s="46"/>
      <c r="T321" s="44"/>
      <c r="U321" s="77"/>
      <c r="V321" s="24"/>
      <c r="W321" s="24"/>
      <c r="X321" s="193"/>
      <c r="Y321" s="15"/>
    </row>
    <row r="322" spans="2:25" x14ac:dyDescent="0.25">
      <c r="B322" s="15">
        <v>235</v>
      </c>
      <c r="C322" s="8"/>
      <c r="E322" s="67"/>
      <c r="F322" s="380"/>
      <c r="G322" s="8"/>
      <c r="H322" s="8"/>
      <c r="I322" s="8"/>
      <c r="J322" s="9"/>
      <c r="K322" s="9">
        <f t="shared" si="39"/>
        <v>0</v>
      </c>
      <c r="L322" s="35">
        <f t="shared" si="40"/>
        <v>0</v>
      </c>
      <c r="M322" s="2"/>
      <c r="O322" s="19"/>
      <c r="P322" s="19"/>
      <c r="Q322" s="19"/>
      <c r="R322" s="21"/>
      <c r="S322" s="46"/>
      <c r="T322" s="44"/>
      <c r="U322" s="77"/>
      <c r="V322" s="24"/>
      <c r="W322" s="24"/>
      <c r="X322" s="193"/>
      <c r="Y322" s="15"/>
    </row>
    <row r="323" spans="2:25" x14ac:dyDescent="0.25">
      <c r="B323" s="15">
        <v>235</v>
      </c>
      <c r="C323" s="8"/>
      <c r="E323" s="67"/>
      <c r="F323" s="380"/>
      <c r="G323" s="8"/>
      <c r="H323" s="8"/>
      <c r="I323" s="8"/>
      <c r="J323" s="9"/>
      <c r="K323" s="9">
        <f t="shared" ref="K323:K354" si="41">J323*1.1</f>
        <v>0</v>
      </c>
      <c r="L323" s="35">
        <f t="shared" ref="L323:L354" si="42">J323*0.00000001</f>
        <v>0</v>
      </c>
      <c r="M323" s="2"/>
      <c r="O323" s="19"/>
      <c r="P323" s="19"/>
      <c r="Q323" s="19"/>
      <c r="R323" s="21"/>
      <c r="S323" s="46"/>
      <c r="T323" s="44"/>
      <c r="U323" s="77"/>
      <c r="V323" s="24"/>
      <c r="W323" s="24"/>
      <c r="X323" s="193"/>
      <c r="Y323" s="15"/>
    </row>
    <row r="324" spans="2:25" x14ac:dyDescent="0.25">
      <c r="B324" s="15">
        <v>235</v>
      </c>
      <c r="C324" s="8"/>
      <c r="E324" s="67"/>
      <c r="F324" s="380"/>
      <c r="G324" s="8"/>
      <c r="H324" s="8"/>
      <c r="I324" s="8"/>
      <c r="J324" s="9"/>
      <c r="K324" s="9">
        <f t="shared" si="41"/>
        <v>0</v>
      </c>
      <c r="L324" s="35">
        <f t="shared" si="42"/>
        <v>0</v>
      </c>
      <c r="M324" s="2"/>
      <c r="O324" s="19"/>
      <c r="P324" s="19"/>
      <c r="Q324" s="19"/>
      <c r="R324" s="21"/>
      <c r="S324" s="46"/>
      <c r="T324" s="44"/>
      <c r="U324" s="77"/>
      <c r="V324" s="24"/>
      <c r="W324" s="24"/>
      <c r="X324" s="193"/>
      <c r="Y324" s="15"/>
    </row>
    <row r="325" spans="2:25" x14ac:dyDescent="0.25">
      <c r="B325" s="15">
        <v>235</v>
      </c>
      <c r="C325" s="8"/>
      <c r="E325" s="67"/>
      <c r="F325" s="380"/>
      <c r="G325" s="8"/>
      <c r="H325" s="8"/>
      <c r="I325" s="8"/>
      <c r="J325" s="9"/>
      <c r="K325" s="9">
        <f t="shared" si="41"/>
        <v>0</v>
      </c>
      <c r="L325" s="35">
        <f t="shared" si="42"/>
        <v>0</v>
      </c>
      <c r="M325" s="2"/>
      <c r="O325" s="19"/>
      <c r="P325" s="19"/>
      <c r="Q325" s="19"/>
      <c r="R325" s="21"/>
      <c r="S325" s="46"/>
      <c r="T325" s="44"/>
      <c r="U325" s="77"/>
      <c r="V325" s="24"/>
      <c r="W325" s="24"/>
      <c r="X325" s="193"/>
      <c r="Y325" s="15"/>
    </row>
    <row r="326" spans="2:25" x14ac:dyDescent="0.25">
      <c r="B326" s="15">
        <v>235</v>
      </c>
      <c r="C326" s="8"/>
      <c r="E326" s="67"/>
      <c r="F326" s="380"/>
      <c r="G326" s="8"/>
      <c r="H326" s="8"/>
      <c r="I326" s="8"/>
      <c r="J326" s="9"/>
      <c r="K326" s="9">
        <f t="shared" si="41"/>
        <v>0</v>
      </c>
      <c r="L326" s="35">
        <f t="shared" si="42"/>
        <v>0</v>
      </c>
      <c r="M326" s="2"/>
      <c r="O326" s="19"/>
      <c r="P326" s="19"/>
      <c r="Q326" s="19"/>
      <c r="R326" s="21"/>
      <c r="S326" s="46"/>
      <c r="T326" s="44"/>
      <c r="U326" s="77"/>
      <c r="V326" s="24"/>
      <c r="W326" s="24"/>
      <c r="X326" s="193"/>
      <c r="Y326" s="15"/>
    </row>
    <row r="327" spans="2:25" x14ac:dyDescent="0.25">
      <c r="B327" s="15">
        <v>235</v>
      </c>
      <c r="C327" s="8"/>
      <c r="E327" s="67"/>
      <c r="F327" s="380"/>
      <c r="G327" s="8"/>
      <c r="H327" s="8"/>
      <c r="I327" s="8"/>
      <c r="J327" s="9"/>
      <c r="K327" s="9">
        <f t="shared" si="41"/>
        <v>0</v>
      </c>
      <c r="L327" s="35">
        <f t="shared" si="42"/>
        <v>0</v>
      </c>
      <c r="M327" s="2"/>
      <c r="O327" s="19"/>
      <c r="P327" s="19"/>
      <c r="Q327" s="19"/>
      <c r="R327" s="21"/>
      <c r="S327" s="46"/>
      <c r="T327" s="44"/>
      <c r="U327" s="77"/>
      <c r="V327" s="24"/>
      <c r="W327" s="24"/>
      <c r="X327" s="193"/>
      <c r="Y327" s="15"/>
    </row>
    <row r="328" spans="2:25" x14ac:dyDescent="0.25">
      <c r="B328" s="15">
        <v>235</v>
      </c>
      <c r="C328" s="8"/>
      <c r="E328" s="67"/>
      <c r="F328" s="380"/>
      <c r="G328" s="8"/>
      <c r="H328" s="8"/>
      <c r="I328" s="8"/>
      <c r="J328" s="9"/>
      <c r="K328" s="9">
        <f t="shared" si="41"/>
        <v>0</v>
      </c>
      <c r="L328" s="35">
        <f t="shared" si="42"/>
        <v>0</v>
      </c>
      <c r="M328" s="2"/>
      <c r="O328" s="19"/>
      <c r="P328" s="19"/>
      <c r="Q328" s="19"/>
      <c r="R328" s="21"/>
      <c r="S328" s="46"/>
      <c r="T328" s="44"/>
      <c r="U328" s="77"/>
      <c r="V328" s="24"/>
      <c r="W328" s="24"/>
      <c r="X328" s="193"/>
      <c r="Y328" s="15"/>
    </row>
    <row r="329" spans="2:25" x14ac:dyDescent="0.25">
      <c r="B329" s="15">
        <v>235</v>
      </c>
      <c r="K329" s="9">
        <f t="shared" si="41"/>
        <v>0</v>
      </c>
      <c r="L329" s="35">
        <f t="shared" si="42"/>
        <v>0</v>
      </c>
      <c r="T329" s="44"/>
      <c r="U329" s="77"/>
      <c r="V329" s="24"/>
      <c r="W329" s="24"/>
      <c r="X329" s="193"/>
      <c r="Y329" s="15"/>
    </row>
    <row r="330" spans="2:25" x14ac:dyDescent="0.25">
      <c r="B330" s="15">
        <v>235</v>
      </c>
      <c r="K330" s="9">
        <f t="shared" si="41"/>
        <v>0</v>
      </c>
      <c r="L330" s="35">
        <f t="shared" si="42"/>
        <v>0</v>
      </c>
      <c r="T330" s="44"/>
      <c r="U330" s="77"/>
      <c r="V330" s="24"/>
      <c r="W330" s="24"/>
      <c r="X330" s="193"/>
      <c r="Y330" s="15"/>
    </row>
    <row r="331" spans="2:25" x14ac:dyDescent="0.25">
      <c r="B331" s="15">
        <v>235</v>
      </c>
      <c r="K331" s="9">
        <f t="shared" si="41"/>
        <v>0</v>
      </c>
      <c r="L331" s="35">
        <f t="shared" si="42"/>
        <v>0</v>
      </c>
      <c r="T331" s="44"/>
      <c r="U331" s="77"/>
      <c r="V331" s="24"/>
      <c r="W331" s="24"/>
      <c r="X331" s="193"/>
      <c r="Y331" s="15"/>
    </row>
    <row r="332" spans="2:25" x14ac:dyDescent="0.25">
      <c r="B332" s="15">
        <v>235</v>
      </c>
      <c r="K332" s="9">
        <f t="shared" si="41"/>
        <v>0</v>
      </c>
      <c r="L332" s="35">
        <f t="shared" si="42"/>
        <v>0</v>
      </c>
      <c r="T332" s="44"/>
      <c r="U332" s="77"/>
      <c r="V332" s="24"/>
      <c r="W332" s="24"/>
      <c r="X332" s="193"/>
      <c r="Y332" s="15"/>
    </row>
    <row r="333" spans="2:25" x14ac:dyDescent="0.25">
      <c r="B333" s="15">
        <v>235</v>
      </c>
      <c r="K333" s="9">
        <f t="shared" si="41"/>
        <v>0</v>
      </c>
      <c r="L333" s="35">
        <f t="shared" si="42"/>
        <v>0</v>
      </c>
      <c r="T333" s="44"/>
      <c r="U333" s="77"/>
      <c r="V333" s="24"/>
      <c r="W333" s="24"/>
      <c r="X333" s="193"/>
      <c r="Y333" s="15"/>
    </row>
    <row r="334" spans="2:25" x14ac:dyDescent="0.25">
      <c r="B334" s="15">
        <v>235</v>
      </c>
      <c r="K334" s="9">
        <f t="shared" si="41"/>
        <v>0</v>
      </c>
      <c r="L334" s="35">
        <f t="shared" si="42"/>
        <v>0</v>
      </c>
      <c r="T334" s="44"/>
      <c r="U334" s="77"/>
      <c r="V334" s="24"/>
      <c r="W334" s="24"/>
      <c r="X334" s="193"/>
      <c r="Y334" s="15"/>
    </row>
    <row r="335" spans="2:25" x14ac:dyDescent="0.25">
      <c r="B335" s="15">
        <v>235</v>
      </c>
      <c r="K335" s="9">
        <f t="shared" si="41"/>
        <v>0</v>
      </c>
      <c r="L335" s="35">
        <f t="shared" si="42"/>
        <v>0</v>
      </c>
      <c r="T335" s="44"/>
      <c r="U335" s="77"/>
      <c r="V335" s="24"/>
      <c r="W335" s="24"/>
      <c r="X335" s="193"/>
      <c r="Y335" s="15"/>
    </row>
    <row r="336" spans="2:25" x14ac:dyDescent="0.25">
      <c r="B336" t="s">
        <v>184</v>
      </c>
      <c r="K336" s="9">
        <f t="shared" si="41"/>
        <v>0</v>
      </c>
      <c r="L336" s="35">
        <f t="shared" si="42"/>
        <v>0</v>
      </c>
      <c r="T336" s="44"/>
      <c r="U336" s="77"/>
      <c r="V336" s="24"/>
      <c r="W336" s="24"/>
      <c r="X336" s="193"/>
      <c r="Y336" s="15"/>
    </row>
    <row r="337" spans="2:25" x14ac:dyDescent="0.25">
      <c r="B337" s="15">
        <v>247</v>
      </c>
      <c r="C337" s="8"/>
      <c r="E337" s="67"/>
      <c r="F337" s="380"/>
      <c r="G337" s="8"/>
      <c r="H337" s="8"/>
      <c r="I337" s="8"/>
      <c r="J337" s="9"/>
      <c r="K337" s="9">
        <f t="shared" si="41"/>
        <v>0</v>
      </c>
      <c r="L337" s="35">
        <f t="shared" si="42"/>
        <v>0</v>
      </c>
      <c r="M337" s="2"/>
      <c r="O337" s="19"/>
      <c r="P337" s="19"/>
      <c r="Q337" s="19"/>
      <c r="R337" s="21"/>
      <c r="S337" s="46"/>
      <c r="T337" s="44"/>
      <c r="U337" s="77"/>
      <c r="V337" s="24"/>
      <c r="W337" s="24"/>
      <c r="X337" s="193"/>
      <c r="Y337" s="15"/>
    </row>
    <row r="338" spans="2:25" x14ac:dyDescent="0.25">
      <c r="B338" s="15"/>
      <c r="C338" s="8"/>
      <c r="E338" s="67"/>
      <c r="F338" s="380"/>
      <c r="G338" s="8"/>
      <c r="H338" s="8"/>
      <c r="I338" s="8"/>
      <c r="J338" s="9"/>
      <c r="K338" s="9">
        <f t="shared" si="41"/>
        <v>0</v>
      </c>
      <c r="L338" s="35">
        <f t="shared" si="42"/>
        <v>0</v>
      </c>
      <c r="M338" s="2"/>
      <c r="O338" s="19"/>
      <c r="P338" s="19"/>
      <c r="Q338" s="19"/>
      <c r="R338" s="21"/>
      <c r="S338" s="46"/>
      <c r="T338" s="44"/>
      <c r="U338" s="77"/>
      <c r="V338" s="24"/>
      <c r="W338" s="24"/>
      <c r="X338" s="193"/>
      <c r="Y338" s="15"/>
    </row>
    <row r="339" spans="2:25" x14ac:dyDescent="0.25">
      <c r="B339" s="15"/>
      <c r="C339" s="8"/>
      <c r="E339" s="67"/>
      <c r="F339" s="380"/>
      <c r="G339" s="8"/>
      <c r="H339" s="8"/>
      <c r="I339" s="8"/>
      <c r="J339" s="9"/>
      <c r="K339" s="9">
        <f t="shared" si="41"/>
        <v>0</v>
      </c>
      <c r="L339" s="35">
        <f t="shared" si="42"/>
        <v>0</v>
      </c>
      <c r="M339" s="2"/>
      <c r="O339" s="19"/>
      <c r="P339" s="19"/>
      <c r="Q339" s="19"/>
      <c r="R339" s="21"/>
      <c r="S339" s="46"/>
      <c r="T339" s="44"/>
      <c r="U339" s="77"/>
      <c r="V339" s="24"/>
      <c r="W339" s="24"/>
      <c r="X339" s="193"/>
      <c r="Y339" s="15"/>
    </row>
    <row r="340" spans="2:25" x14ac:dyDescent="0.25">
      <c r="B340" s="15"/>
      <c r="C340" s="8"/>
      <c r="E340" s="67"/>
      <c r="F340" s="380"/>
      <c r="G340" s="8"/>
      <c r="H340" s="8"/>
      <c r="I340" s="8"/>
      <c r="J340" s="9"/>
      <c r="K340" s="9">
        <f t="shared" si="41"/>
        <v>0</v>
      </c>
      <c r="L340" s="35">
        <f t="shared" si="42"/>
        <v>0</v>
      </c>
      <c r="M340" s="2"/>
      <c r="O340" s="19"/>
      <c r="P340" s="19"/>
      <c r="Q340" s="19"/>
      <c r="R340" s="21"/>
      <c r="S340" s="46"/>
      <c r="T340" s="44"/>
      <c r="U340" s="77"/>
      <c r="V340" s="24"/>
      <c r="W340" s="24"/>
      <c r="X340" s="193"/>
      <c r="Y340" s="15"/>
    </row>
    <row r="341" spans="2:25" x14ac:dyDescent="0.25">
      <c r="B341" s="15"/>
      <c r="C341" s="8"/>
      <c r="E341" s="67"/>
      <c r="F341" s="380"/>
      <c r="G341" s="8"/>
      <c r="H341" s="8"/>
      <c r="I341" s="8"/>
      <c r="J341" s="9"/>
      <c r="K341" s="9">
        <f t="shared" si="41"/>
        <v>0</v>
      </c>
      <c r="L341" s="35">
        <f t="shared" si="42"/>
        <v>0</v>
      </c>
      <c r="M341" s="2"/>
      <c r="O341" s="19"/>
      <c r="P341" s="19"/>
      <c r="Q341" s="19"/>
      <c r="R341" s="21"/>
      <c r="S341" s="46"/>
      <c r="T341" s="44"/>
      <c r="U341" s="77"/>
      <c r="V341" s="24"/>
      <c r="W341" s="24"/>
      <c r="X341" s="193"/>
      <c r="Y341" s="15"/>
    </row>
    <row r="342" spans="2:25" x14ac:dyDescent="0.25">
      <c r="B342" s="15"/>
      <c r="C342" s="8"/>
      <c r="E342" s="67"/>
      <c r="F342" s="380"/>
      <c r="G342" s="8"/>
      <c r="H342" s="8"/>
      <c r="I342" s="8"/>
      <c r="J342" s="9"/>
      <c r="K342" s="9">
        <f t="shared" si="41"/>
        <v>0</v>
      </c>
      <c r="L342" s="35">
        <f t="shared" si="42"/>
        <v>0</v>
      </c>
      <c r="M342" s="2"/>
      <c r="O342" s="19"/>
      <c r="P342" s="19"/>
      <c r="Q342" s="19"/>
      <c r="R342" s="21"/>
      <c r="S342" s="46"/>
      <c r="T342" s="44"/>
      <c r="U342" s="77"/>
      <c r="V342" s="24"/>
      <c r="W342" s="24"/>
      <c r="X342" s="193"/>
      <c r="Y342" s="15"/>
    </row>
    <row r="343" spans="2:25" x14ac:dyDescent="0.25">
      <c r="B343" s="15"/>
      <c r="C343" s="8"/>
      <c r="E343" s="67"/>
      <c r="F343" s="380"/>
      <c r="G343" s="8"/>
      <c r="H343" s="8"/>
      <c r="I343" s="8"/>
      <c r="J343" s="9"/>
      <c r="K343" s="9">
        <f t="shared" si="41"/>
        <v>0</v>
      </c>
      <c r="L343" s="35">
        <f t="shared" si="42"/>
        <v>0</v>
      </c>
      <c r="M343" s="2"/>
      <c r="O343" s="19"/>
      <c r="P343" s="19"/>
      <c r="Q343" s="19"/>
      <c r="R343" s="21"/>
      <c r="S343" s="46"/>
      <c r="T343" s="44"/>
      <c r="U343" s="77"/>
      <c r="V343" s="24"/>
      <c r="W343" s="24"/>
      <c r="X343" s="193"/>
      <c r="Y343" s="15"/>
    </row>
    <row r="344" spans="2:25" x14ac:dyDescent="0.25">
      <c r="B344" s="15"/>
      <c r="C344" s="8"/>
      <c r="E344" s="67"/>
      <c r="F344" s="380"/>
      <c r="G344" s="8"/>
      <c r="H344" s="8"/>
      <c r="I344" s="8"/>
      <c r="J344" s="9"/>
      <c r="K344" s="9">
        <f t="shared" si="41"/>
        <v>0</v>
      </c>
      <c r="L344" s="35">
        <f t="shared" si="42"/>
        <v>0</v>
      </c>
      <c r="M344" s="2"/>
      <c r="O344" s="19"/>
      <c r="P344" s="19"/>
      <c r="Q344" s="19"/>
      <c r="R344" s="21"/>
      <c r="S344" s="46"/>
      <c r="T344" s="44"/>
      <c r="U344" s="77"/>
      <c r="V344" s="24"/>
      <c r="W344" s="24"/>
      <c r="X344" s="193"/>
      <c r="Y344" s="15"/>
    </row>
    <row r="345" spans="2:25" x14ac:dyDescent="0.25">
      <c r="B345" s="15"/>
      <c r="C345" s="8"/>
      <c r="E345" s="67"/>
      <c r="F345" s="380"/>
      <c r="G345" s="8"/>
      <c r="H345" s="8"/>
      <c r="I345" s="8"/>
      <c r="J345" s="9"/>
      <c r="K345" s="9">
        <f t="shared" si="41"/>
        <v>0</v>
      </c>
      <c r="L345" s="35">
        <f t="shared" si="42"/>
        <v>0</v>
      </c>
      <c r="M345" s="2"/>
      <c r="O345" s="19"/>
      <c r="P345" s="19"/>
      <c r="Q345" s="19"/>
      <c r="R345" s="21"/>
      <c r="S345" s="46"/>
      <c r="T345" s="44"/>
      <c r="U345" s="77"/>
      <c r="V345" s="24"/>
      <c r="W345" s="24"/>
      <c r="X345" s="193"/>
      <c r="Y345" s="15"/>
    </row>
    <row r="346" spans="2:25" x14ac:dyDescent="0.25">
      <c r="B346" s="15"/>
      <c r="C346" s="8"/>
      <c r="E346" s="67"/>
      <c r="F346" s="380"/>
      <c r="G346" s="8"/>
      <c r="H346" s="8"/>
      <c r="I346" s="8"/>
      <c r="J346" s="9"/>
      <c r="K346" s="9">
        <f t="shared" si="41"/>
        <v>0</v>
      </c>
      <c r="L346" s="35">
        <f t="shared" si="42"/>
        <v>0</v>
      </c>
      <c r="M346" s="2"/>
      <c r="O346" s="19"/>
      <c r="P346" s="19"/>
      <c r="Q346" s="19"/>
      <c r="R346" s="21"/>
      <c r="S346" s="46"/>
      <c r="T346" s="44"/>
      <c r="U346" s="77"/>
      <c r="V346" s="24"/>
      <c r="W346" s="24"/>
      <c r="X346" s="193"/>
      <c r="Y346" s="15"/>
    </row>
    <row r="347" spans="2:25" x14ac:dyDescent="0.25">
      <c r="B347" s="15"/>
      <c r="C347" s="8"/>
      <c r="E347" s="67"/>
      <c r="F347" s="380"/>
      <c r="G347" s="8"/>
      <c r="H347" s="8"/>
      <c r="I347" s="8"/>
      <c r="J347" s="9"/>
      <c r="K347" s="9">
        <f t="shared" si="41"/>
        <v>0</v>
      </c>
      <c r="L347" s="35">
        <f t="shared" si="42"/>
        <v>0</v>
      </c>
      <c r="M347" s="2"/>
      <c r="O347" s="19"/>
      <c r="P347" s="19"/>
      <c r="Q347" s="19"/>
      <c r="R347" s="21"/>
      <c r="S347" s="46"/>
      <c r="T347" s="44"/>
      <c r="U347" s="77"/>
      <c r="V347" s="24"/>
      <c r="W347" s="24"/>
      <c r="X347" s="193"/>
      <c r="Y347" s="15"/>
    </row>
    <row r="348" spans="2:25" x14ac:dyDescent="0.25">
      <c r="B348" s="15"/>
      <c r="C348" s="8"/>
      <c r="E348" s="67"/>
      <c r="F348" s="380"/>
      <c r="G348" s="8"/>
      <c r="H348" s="8"/>
      <c r="I348" s="8"/>
      <c r="J348" s="9"/>
      <c r="K348" s="9">
        <f t="shared" si="41"/>
        <v>0</v>
      </c>
      <c r="L348" s="35">
        <f t="shared" si="42"/>
        <v>0</v>
      </c>
      <c r="M348" s="2"/>
      <c r="O348" s="19"/>
      <c r="P348" s="19"/>
      <c r="Q348" s="19"/>
      <c r="R348" s="21"/>
      <c r="S348" s="46"/>
      <c r="T348" s="44"/>
      <c r="U348" s="77"/>
      <c r="V348" s="24"/>
      <c r="W348" s="24"/>
      <c r="X348" s="193"/>
      <c r="Y348" s="15"/>
    </row>
    <row r="349" spans="2:25" x14ac:dyDescent="0.25">
      <c r="B349" s="15"/>
      <c r="C349" s="8"/>
      <c r="E349" s="67"/>
      <c r="F349" s="380"/>
      <c r="G349" s="8"/>
      <c r="H349" s="8"/>
      <c r="I349" s="8"/>
      <c r="J349" s="9"/>
      <c r="K349" s="9">
        <f t="shared" si="41"/>
        <v>0</v>
      </c>
      <c r="L349" s="35">
        <f t="shared" si="42"/>
        <v>0</v>
      </c>
      <c r="M349" s="2"/>
      <c r="O349" s="19"/>
      <c r="P349" s="19"/>
      <c r="Q349" s="19"/>
      <c r="R349" s="21"/>
      <c r="S349" s="46"/>
      <c r="T349" s="44"/>
      <c r="U349" s="77"/>
      <c r="V349" s="24"/>
      <c r="W349" s="24"/>
      <c r="X349" s="193"/>
      <c r="Y349" s="15"/>
    </row>
    <row r="350" spans="2:25" x14ac:dyDescent="0.25">
      <c r="B350" s="15"/>
      <c r="C350" s="8"/>
      <c r="E350" s="67"/>
      <c r="F350" s="380"/>
      <c r="G350" s="8"/>
      <c r="H350" s="8"/>
      <c r="I350" s="8"/>
      <c r="J350" s="9"/>
      <c r="K350" s="9">
        <f t="shared" si="41"/>
        <v>0</v>
      </c>
      <c r="L350" s="35">
        <f t="shared" si="42"/>
        <v>0</v>
      </c>
      <c r="M350" s="2"/>
      <c r="O350" s="19"/>
      <c r="P350" s="19"/>
      <c r="Q350" s="19"/>
      <c r="R350" s="21"/>
      <c r="S350" s="46"/>
      <c r="T350" s="44"/>
      <c r="U350" s="77"/>
      <c r="V350" s="24"/>
      <c r="W350" s="24"/>
      <c r="X350" s="193"/>
      <c r="Y350" s="15"/>
    </row>
    <row r="351" spans="2:25" x14ac:dyDescent="0.25">
      <c r="B351" s="15"/>
      <c r="C351" s="8"/>
      <c r="E351" s="67"/>
      <c r="F351" s="380"/>
      <c r="G351" s="8"/>
      <c r="H351" s="8"/>
      <c r="I351" s="8"/>
      <c r="J351" s="9"/>
      <c r="K351" s="9">
        <f t="shared" si="41"/>
        <v>0</v>
      </c>
      <c r="L351" s="35">
        <f t="shared" si="42"/>
        <v>0</v>
      </c>
      <c r="M351" s="2"/>
      <c r="O351" s="19"/>
      <c r="P351" s="19"/>
      <c r="Q351" s="19"/>
      <c r="R351" s="21"/>
      <c r="S351" s="46"/>
      <c r="T351" s="44"/>
      <c r="U351" s="77"/>
      <c r="V351" s="24"/>
      <c r="W351" s="390"/>
      <c r="X351" s="193"/>
      <c r="Y351" s="15"/>
    </row>
    <row r="352" spans="2:25" x14ac:dyDescent="0.25">
      <c r="B352" s="15"/>
      <c r="C352" s="8"/>
      <c r="E352" s="67"/>
      <c r="F352" s="380"/>
      <c r="G352" s="8"/>
      <c r="H352" s="8"/>
      <c r="I352" s="8"/>
      <c r="J352" s="9"/>
      <c r="K352" s="9">
        <f t="shared" si="41"/>
        <v>0</v>
      </c>
      <c r="L352" s="35">
        <f t="shared" si="42"/>
        <v>0</v>
      </c>
      <c r="M352" s="2"/>
      <c r="O352" s="19"/>
      <c r="P352" s="19"/>
      <c r="Q352" s="19"/>
      <c r="R352" s="21"/>
      <c r="S352" s="46"/>
      <c r="T352" s="44"/>
      <c r="U352" s="77"/>
      <c r="V352" s="24"/>
      <c r="X352" s="193"/>
      <c r="Y352" s="15"/>
    </row>
    <row r="353" spans="2:25" x14ac:dyDescent="0.25">
      <c r="B353" s="15"/>
      <c r="C353" s="8"/>
      <c r="E353" s="67"/>
      <c r="F353" s="380"/>
      <c r="G353" s="8"/>
      <c r="H353" s="8"/>
      <c r="I353" s="8"/>
      <c r="J353" s="9"/>
      <c r="K353" s="9">
        <f t="shared" si="41"/>
        <v>0</v>
      </c>
      <c r="L353" s="35">
        <f t="shared" si="42"/>
        <v>0</v>
      </c>
      <c r="M353" s="2"/>
      <c r="O353" s="19"/>
      <c r="P353" s="19"/>
      <c r="Q353" s="19"/>
      <c r="R353" s="21"/>
      <c r="S353" s="46"/>
      <c r="T353" s="44"/>
      <c r="U353" s="77"/>
      <c r="V353" s="24"/>
      <c r="X353" s="193"/>
      <c r="Y353" s="15"/>
    </row>
    <row r="354" spans="2:25" x14ac:dyDescent="0.25">
      <c r="B354" s="15"/>
      <c r="C354" s="8"/>
      <c r="E354" s="67"/>
      <c r="F354" s="380"/>
      <c r="G354" s="8"/>
      <c r="H354" s="8"/>
      <c r="I354" s="8"/>
      <c r="J354" s="9"/>
      <c r="K354" s="9">
        <f t="shared" si="41"/>
        <v>0</v>
      </c>
      <c r="L354" s="35">
        <f t="shared" si="42"/>
        <v>0</v>
      </c>
      <c r="M354" s="2"/>
      <c r="O354" s="19"/>
      <c r="P354" s="19"/>
      <c r="Q354" s="19"/>
      <c r="R354" s="21"/>
      <c r="S354" s="46"/>
      <c r="T354" s="44"/>
      <c r="U354" s="77"/>
      <c r="V354" s="24"/>
      <c r="X354" s="193"/>
      <c r="Y354" s="15"/>
    </row>
  </sheetData>
  <autoFilter ref="B2:AW354" xr:uid="{00000000-0001-0000-0800-000000000000}">
    <filterColumn colId="26" showButton="0"/>
  </autoFilter>
  <mergeCells count="15">
    <mergeCell ref="AB69:AB74"/>
    <mergeCell ref="AB75:AC75"/>
    <mergeCell ref="AB33:AB38"/>
    <mergeCell ref="AB39:AB44"/>
    <mergeCell ref="AB45:AB50"/>
    <mergeCell ref="AB51:AB56"/>
    <mergeCell ref="AB57:AB62"/>
    <mergeCell ref="AB63:AB68"/>
    <mergeCell ref="AB21:AB26"/>
    <mergeCell ref="AB27:AB32"/>
    <mergeCell ref="AB1:AS1"/>
    <mergeCell ref="AB2:AC2"/>
    <mergeCell ref="AB3:AB8"/>
    <mergeCell ref="AB9:AB14"/>
    <mergeCell ref="AB15:AB20"/>
  </mergeCells>
  <phoneticPr fontId="7" type="noConversion"/>
  <conditionalFormatting sqref="U1:U1048576">
    <cfRule type="cellIs" dxfId="9" priority="1" operator="equal">
      <formula>"마케팅"</formula>
    </cfRule>
  </conditionalFormatting>
  <conditionalFormatting sqref="X1:X1048576">
    <cfRule type="cellIs" dxfId="8" priority="2" operator="equal">
      <formula>"마케팅"</formula>
    </cfRule>
  </conditionalFormatting>
  <dataValidations count="10">
    <dataValidation type="list" allowBlank="1" showInputMessage="1" showErrorMessage="1" sqref="S188:S284 S36 S39:S185 S337:S354 S305:S328 S3:S33" xr:uid="{CA41F37B-A4BD-4A6E-B332-47D3D38F24F1}">
      <formula1>"(주)그랜드썬기술단, (주)그랜드썬,지에스피,유지에스"</formula1>
    </dataValidation>
    <dataValidation type="list" allowBlank="1" showInputMessage="1" showErrorMessage="1" sqref="U159:U301 U156 U305:U354 U3:U151" xr:uid="{9FF65345-947C-426C-82B5-5E668EDBE0F2}">
      <formula1>"소개,그 외"</formula1>
    </dataValidation>
    <dataValidation type="list" allowBlank="1" showInputMessage="1" showErrorMessage="1" sqref="D66:D301 D337:D354 D305:D328 D3:D64" xr:uid="{7F55CA9B-BC2C-4103-B751-A0DFAF165EED}">
      <formula1>"기존시설물(A),일반부지(B),수면(C)"</formula1>
    </dataValidation>
    <dataValidation type="list" allowBlank="1" showInputMessage="1" showErrorMessage="1" sqref="C303:C328 C337:C354 C3:C301" xr:uid="{15D70EEA-60C1-47C8-A12C-C0A7ACF35D1A}">
      <formula1>"직영(가),외주(나),입찰(다),검토(라)"</formula1>
    </dataValidation>
    <dataValidation type="list" allowBlank="1" showInputMessage="1" showErrorMessage="1" sqref="X154:X301 X127:X152 X305:X354 X3:X125" xr:uid="{16798897-5DDD-4DED-B208-2D4345872E73}">
      <formula1>"산단,공장,창고,축사,근생,자원순환,토지,업무시설"</formula1>
    </dataValidation>
    <dataValidation type="list" allowBlank="1" showInputMessage="1" showErrorMessage="1" sqref="Y305:Y354 Y3:Y301" xr:uid="{007EB078-A08A-408A-96E0-9EDCC1C0F261}">
      <formula1>"유지,보류,취소"</formula1>
    </dataValidation>
    <dataValidation type="list" allowBlank="1" showInputMessage="1" showErrorMessage="1" sqref="Q252:Q318 Q3:Q250" xr:uid="{E62A3455-9F47-4C8D-894C-76A9C85689A9}">
      <formula1>"경기,강원,충남,충북,서울,인천,대전,세종,경남,경북,전남,전북,부산,대구,울산,제주,광주"</formula1>
    </dataValidation>
    <dataValidation type="list" allowBlank="1" showInputMessage="1" showErrorMessage="1" sqref="X153" xr:uid="{30B6081B-64A8-45B4-B160-6F53A893E341}">
      <formula1>"산단,공장,창고,축사,근생,자원순환,토지,업무시설, 자동차관련시설"</formula1>
    </dataValidation>
    <dataValidation type="list" allowBlank="1" showInputMessage="1" showErrorMessage="1" sqref="X126" xr:uid="{4F759E1E-7930-457D-AAF5-1AFF444CAEBE}">
      <formula1>"산단,공장,창고,축사,근생,자원순환, 창고 및 판매시설,토지,업무시설"</formula1>
    </dataValidation>
    <dataValidation type="list" allowBlank="1" showInputMessage="1" showErrorMessage="1" sqref="S34:S35 S37:S38" xr:uid="{DC8AF87D-BC4F-4B8C-A4C6-0EC4883D2A3A}">
      <formula1>"(주)그랜드썬기술단, (주)그랜드썬,지에스피,유지에스,지에스이"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3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77A40B-33E5-4769-978A-E78A10B4D8DD}">
          <x14:formula1>
            <xm:f>INDEX!$B$3:$B$6</xm:f>
          </x14:formula1>
          <xm:sqref>W3:W351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W354"/>
  <sheetViews>
    <sheetView zoomScale="70" zoomScaleNormal="70" workbookViewId="0">
      <pane ySplit="2" topLeftCell="A3" activePane="bottomLeft" state="frozen"/>
      <selection activeCell="W1" sqref="W1:W1048576"/>
      <selection pane="bottomLeft" activeCell="M56" sqref="M56"/>
    </sheetView>
  </sheetViews>
  <sheetFormatPr defaultRowHeight="13.5" x14ac:dyDescent="0.25"/>
  <cols>
    <col min="1" max="1" width="3.7109375" customWidth="1"/>
    <col min="2" max="3" width="10.7109375" customWidth="1"/>
    <col min="4" max="4" width="10.7109375" style="5" customWidth="1"/>
    <col min="5" max="5" width="10.7109375" style="70" customWidth="1"/>
    <col min="6" max="6" width="12.7109375" style="17" customWidth="1"/>
    <col min="7" max="8" width="10.7109375" customWidth="1"/>
    <col min="9" max="9" width="11.85546875" customWidth="1"/>
    <col min="10" max="11" width="15.7109375" style="4" customWidth="1"/>
    <col min="12" max="12" width="15.7109375" style="36" customWidth="1"/>
    <col min="13" max="13" width="15.7109375" style="4" customWidth="1"/>
    <col min="14" max="14" width="15.7109375" customWidth="1"/>
    <col min="15" max="15" width="21.42578125" customWidth="1"/>
    <col min="16" max="17" width="6" customWidth="1"/>
    <col min="18" max="18" width="38.42578125" style="20" customWidth="1"/>
    <col min="19" max="19" width="20.7109375" customWidth="1"/>
    <col min="20" max="20" width="13.42578125" customWidth="1"/>
    <col min="21" max="21" width="9.140625" style="32"/>
    <col min="22" max="22" width="47" style="5" customWidth="1"/>
    <col min="23" max="23" width="9.140625" style="5" customWidth="1"/>
    <col min="24" max="24" width="9.140625" style="32"/>
    <col min="30" max="30" width="11.140625" customWidth="1"/>
    <col min="31" max="35" width="11.7109375" customWidth="1"/>
    <col min="36" max="40" width="11.7109375" style="124" customWidth="1"/>
    <col min="41" max="45" width="11.7109375" customWidth="1"/>
  </cols>
  <sheetData>
    <row r="1" spans="2:49" ht="27" thickBot="1" x14ac:dyDescent="0.3">
      <c r="B1" s="31"/>
      <c r="C1" s="31"/>
      <c r="D1" s="253"/>
      <c r="E1" s="68"/>
      <c r="G1" s="6"/>
      <c r="H1" s="6"/>
      <c r="I1" s="22"/>
      <c r="J1" s="7"/>
      <c r="K1" s="7"/>
      <c r="L1" s="33"/>
      <c r="M1" s="7"/>
      <c r="N1" s="7"/>
      <c r="U1" s="42"/>
      <c r="X1" s="42"/>
      <c r="AB1" s="494" t="s">
        <v>3</v>
      </c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6"/>
    </row>
    <row r="2" spans="2:49" ht="43.5" customHeight="1" thickTop="1" thickBot="1" x14ac:dyDescent="0.3">
      <c r="B2" s="14" t="s">
        <v>0</v>
      </c>
      <c r="C2" s="66" t="s">
        <v>66</v>
      </c>
      <c r="D2" s="66" t="s">
        <v>67</v>
      </c>
      <c r="E2" s="69" t="s">
        <v>68</v>
      </c>
      <c r="F2" s="18" t="s">
        <v>1</v>
      </c>
      <c r="G2" s="10" t="s">
        <v>18</v>
      </c>
      <c r="H2" s="10" t="s">
        <v>17</v>
      </c>
      <c r="I2" s="11" t="s">
        <v>2</v>
      </c>
      <c r="J2" s="12" t="s">
        <v>16</v>
      </c>
      <c r="K2" s="12" t="s">
        <v>4</v>
      </c>
      <c r="L2" s="34" t="s">
        <v>44</v>
      </c>
      <c r="M2" s="37" t="s">
        <v>25</v>
      </c>
      <c r="N2" s="10" t="s">
        <v>22</v>
      </c>
      <c r="O2" s="10" t="s">
        <v>24</v>
      </c>
      <c r="P2" s="10" t="s">
        <v>42</v>
      </c>
      <c r="Q2" s="10" t="s">
        <v>206</v>
      </c>
      <c r="R2" s="10" t="s">
        <v>23</v>
      </c>
      <c r="S2" s="13" t="s">
        <v>5</v>
      </c>
      <c r="T2" s="23" t="s">
        <v>33</v>
      </c>
      <c r="U2" s="198" t="s">
        <v>48</v>
      </c>
      <c r="V2" s="14" t="s">
        <v>32</v>
      </c>
      <c r="W2" s="14" t="s">
        <v>1152</v>
      </c>
      <c r="X2" s="198" t="s">
        <v>149</v>
      </c>
      <c r="Y2" s="103" t="s">
        <v>161</v>
      </c>
      <c r="AB2" s="491" t="s">
        <v>108</v>
      </c>
      <c r="AC2" s="492"/>
      <c r="AD2" s="106" t="s">
        <v>1</v>
      </c>
      <c r="AE2" s="107" t="s">
        <v>109</v>
      </c>
      <c r="AF2" s="108" t="s">
        <v>78</v>
      </c>
      <c r="AG2" s="108" t="s">
        <v>77</v>
      </c>
      <c r="AH2" s="108" t="s">
        <v>79</v>
      </c>
      <c r="AI2" s="109" t="s">
        <v>80</v>
      </c>
      <c r="AJ2" s="112" t="s">
        <v>110</v>
      </c>
      <c r="AK2" s="113" t="s">
        <v>78</v>
      </c>
      <c r="AL2" s="113" t="s">
        <v>77</v>
      </c>
      <c r="AM2" s="113" t="s">
        <v>79</v>
      </c>
      <c r="AN2" s="114" t="s">
        <v>80</v>
      </c>
      <c r="AO2" s="110" t="s">
        <v>111</v>
      </c>
      <c r="AP2" s="111" t="s">
        <v>78</v>
      </c>
      <c r="AQ2" s="111" t="s">
        <v>77</v>
      </c>
      <c r="AR2" s="111" t="s">
        <v>79</v>
      </c>
      <c r="AS2" s="111" t="s">
        <v>80</v>
      </c>
      <c r="AU2" s="146"/>
      <c r="AV2" s="147" t="s">
        <v>116</v>
      </c>
      <c r="AW2" s="148"/>
    </row>
    <row r="3" spans="2:49" s="8" customFormat="1" ht="13.5" customHeight="1" x14ac:dyDescent="0.25">
      <c r="B3" s="15">
        <v>1</v>
      </c>
      <c r="D3" s="5"/>
      <c r="E3" s="67"/>
      <c r="F3" s="16"/>
      <c r="J3" s="9"/>
      <c r="K3" s="9">
        <f>J3*1.1</f>
        <v>0</v>
      </c>
      <c r="L3" s="35">
        <f>J3*0.00000001</f>
        <v>0</v>
      </c>
      <c r="M3" s="2"/>
      <c r="N3"/>
      <c r="O3" s="19"/>
      <c r="P3" s="19"/>
      <c r="Q3" s="19"/>
      <c r="R3" s="21"/>
      <c r="S3" s="46"/>
      <c r="T3" s="44"/>
      <c r="U3" s="76"/>
      <c r="V3" s="30"/>
      <c r="W3" s="78"/>
      <c r="X3" s="193"/>
      <c r="Y3" s="15"/>
      <c r="AA3">
        <v>1</v>
      </c>
      <c r="AB3" s="486">
        <v>1</v>
      </c>
      <c r="AC3" s="89">
        <v>1</v>
      </c>
      <c r="AD3" s="95" t="s">
        <v>81</v>
      </c>
      <c r="AE3" s="39">
        <f>SUM(AF3:AI3)</f>
        <v>0</v>
      </c>
      <c r="AF3" s="65">
        <f>SUMIFS($I:$I,$C:$C, $AF$2,$G:$G,$AA3,$H:$H,$AC3)</f>
        <v>0</v>
      </c>
      <c r="AG3" s="65">
        <f>SUMIFS($I:$I,$C:$C, $AG$2,$G:$G,$AA3,$H:$H,$AC3)</f>
        <v>0</v>
      </c>
      <c r="AH3" s="65">
        <f>SUMIFS($I:$I,$C:$C, $AH$2,$G:$G,$AA3,$H:$H,$AC3)</f>
        <v>0</v>
      </c>
      <c r="AI3" s="104">
        <f>SUMIFS($I:$I,$C:$C, $AI$2,$G:$G,$AA3,$H:$H,$AC3)</f>
        <v>0</v>
      </c>
      <c r="AJ3" s="115">
        <f>SUM(AK3:AN3)</f>
        <v>0</v>
      </c>
      <c r="AK3" s="116">
        <f>COUNTIFS($C:$C, $AK$2,$G:$G,$AA3,$H:$H,$AC3)</f>
        <v>0</v>
      </c>
      <c r="AL3" s="116">
        <f>COUNTIFS($C:$C, $AL$2,$G:$G,$AA3,$H:$H,$AC3)</f>
        <v>0</v>
      </c>
      <c r="AM3" s="116">
        <f>COUNTIFS($C:$C, $AM$2,$G:$G,$AA3,$H:$H,$AC3)</f>
        <v>0</v>
      </c>
      <c r="AN3" s="117">
        <f>COUNTIFS($C:$C, $AN$2,$G:$G,$AA3,$H:$H,$AC3)</f>
        <v>0</v>
      </c>
      <c r="AO3" s="39">
        <f>SUM(AP3:AS3)</f>
        <v>0</v>
      </c>
      <c r="AP3" s="65">
        <f>SUMIFS($L:$L,$C:$C, $AP$2,$G:$G,$AA3,$H:$H,$AC3)</f>
        <v>0</v>
      </c>
      <c r="AQ3" s="65">
        <f>SUMIFS($L:$L,$C:$C, $AQ$2,$G:$G,$AA3,$H:$H,$AC3)</f>
        <v>0</v>
      </c>
      <c r="AR3" s="65">
        <f>SUMIFS($L:$L,$C:$C, $AR$2,$G:$G,$AA3,$H:$H,$AC3)</f>
        <v>0</v>
      </c>
      <c r="AS3" s="65">
        <f>SUMIFS($L:$L,$C:$C, $AS$2,$G:$G,$AA3,$H:$H,$AC3)</f>
        <v>0</v>
      </c>
      <c r="AU3" s="149" t="s">
        <v>117</v>
      </c>
      <c r="AV3" s="150" t="s">
        <v>118</v>
      </c>
      <c r="AW3" s="151" t="s">
        <v>119</v>
      </c>
    </row>
    <row r="4" spans="2:49" s="8" customFormat="1" ht="13.5" customHeight="1" x14ac:dyDescent="0.25">
      <c r="B4" s="15">
        <v>2</v>
      </c>
      <c r="D4" s="5"/>
      <c r="E4" s="67"/>
      <c r="F4" s="16"/>
      <c r="J4" s="9"/>
      <c r="K4" s="9">
        <f t="shared" ref="K4:K66" si="0">J4*1.1</f>
        <v>0</v>
      </c>
      <c r="L4" s="35">
        <f t="shared" ref="L4:L66" si="1">J4*0.00000001</f>
        <v>0</v>
      </c>
      <c r="M4" s="2"/>
      <c r="N4"/>
      <c r="O4" s="19"/>
      <c r="P4" s="19"/>
      <c r="Q4" s="19"/>
      <c r="R4" s="21"/>
      <c r="S4" s="46"/>
      <c r="T4" s="44"/>
      <c r="U4" s="76"/>
      <c r="V4" s="24"/>
      <c r="W4" s="24"/>
      <c r="X4" s="193"/>
      <c r="Y4" s="15"/>
      <c r="AA4">
        <v>1</v>
      </c>
      <c r="AB4" s="487"/>
      <c r="AC4" s="90">
        <v>2</v>
      </c>
      <c r="AD4" s="96" t="s">
        <v>54</v>
      </c>
      <c r="AE4" s="39">
        <f t="shared" ref="AE4:AE67" si="2">SUM(AF4:AI4)</f>
        <v>0</v>
      </c>
      <c r="AF4" s="65">
        <f t="shared" ref="AF4:AF67" si="3">SUMIFS($I:$I,$C:$C, $AF$2,$G:$G,$AA4,$H:$H,$AC4)</f>
        <v>0</v>
      </c>
      <c r="AG4" s="65">
        <f t="shared" ref="AG4:AG67" si="4">SUMIFS($I:$I,$C:$C, $AG$2,$G:$G,$AA4,$H:$H,$AC4)</f>
        <v>0</v>
      </c>
      <c r="AH4" s="65">
        <f t="shared" ref="AH4:AH67" si="5">SUMIFS($I:$I,$C:$C, $AH$2,$G:$G,$AA4,$H:$H,$AC4)</f>
        <v>0</v>
      </c>
      <c r="AI4" s="104">
        <f t="shared" ref="AI4:AI67" si="6">SUMIFS($I:$I,$C:$C, $AI$2,$G:$G,$AA4,$H:$H,$AC4)</f>
        <v>0</v>
      </c>
      <c r="AJ4" s="115">
        <f t="shared" ref="AJ4:AJ67" si="7">SUM(AK4:AN4)</f>
        <v>0</v>
      </c>
      <c r="AK4" s="116">
        <f t="shared" ref="AK4:AK67" si="8">COUNTIFS($C:$C, $AK$2,$G:$G,$AA4,$H:$H,$AC4)</f>
        <v>0</v>
      </c>
      <c r="AL4" s="116">
        <f t="shared" ref="AL4:AL67" si="9">COUNTIFS($C:$C, $AL$2,$G:$G,$AA4,$H:$H,$AC4)</f>
        <v>0</v>
      </c>
      <c r="AM4" s="116">
        <f t="shared" ref="AM4:AM67" si="10">COUNTIFS($C:$C, $AM$2,$G:$G,$AA4,$H:$H,$AC4)</f>
        <v>0</v>
      </c>
      <c r="AN4" s="117">
        <f t="shared" ref="AN4:AN67" si="11">COUNTIFS($C:$C, $AN$2,$G:$G,$AA4,$H:$H,$AC4)</f>
        <v>0</v>
      </c>
      <c r="AO4" s="39">
        <f t="shared" ref="AO4:AO67" si="12">SUM(AP4:AS4)</f>
        <v>0</v>
      </c>
      <c r="AP4" s="65">
        <f t="shared" ref="AP4:AP67" si="13">SUMIFS($L:$L,$C:$C, $AP$2,$G:$G,$AA4,$H:$H,$AC4)</f>
        <v>0</v>
      </c>
      <c r="AQ4" s="65">
        <f t="shared" ref="AQ4:AQ67" si="14">SUMIFS($L:$L,$C:$C, $AQ$2,$G:$G,$AA4,$H:$H,$AC4)</f>
        <v>0</v>
      </c>
      <c r="AR4" s="65">
        <f t="shared" ref="AR4:AR67" si="15">SUMIFS($L:$L,$C:$C, $AR$2,$G:$G,$AA4,$H:$H,$AC4)</f>
        <v>0</v>
      </c>
      <c r="AS4" s="65">
        <f t="shared" ref="AS4:AS67" si="16">SUMIFS($L:$L,$C:$C, $AS$2,$G:$G,$AA4,$H:$H,$AC4)</f>
        <v>0</v>
      </c>
      <c r="AU4" s="152">
        <v>1</v>
      </c>
      <c r="AV4" s="153">
        <f>COUNTIFS($U:$U,$AV$3,$G:$G,$AU4)</f>
        <v>0</v>
      </c>
      <c r="AW4" s="154">
        <f>COUNTIFS($U:$U,$AW$3,$G:$G,$AU4)</f>
        <v>0</v>
      </c>
    </row>
    <row r="5" spans="2:49" s="8" customFormat="1" ht="13.5" customHeight="1" x14ac:dyDescent="0.25">
      <c r="B5" s="15">
        <v>3</v>
      </c>
      <c r="D5" s="5"/>
      <c r="E5" s="67"/>
      <c r="F5" s="16"/>
      <c r="J5" s="9"/>
      <c r="K5" s="9">
        <f t="shared" si="0"/>
        <v>0</v>
      </c>
      <c r="L5" s="35">
        <f t="shared" si="1"/>
        <v>0</v>
      </c>
      <c r="M5" s="2"/>
      <c r="N5"/>
      <c r="O5" s="19"/>
      <c r="P5" s="19"/>
      <c r="Q5" s="19"/>
      <c r="R5" s="21"/>
      <c r="S5" s="46"/>
      <c r="T5" s="44"/>
      <c r="U5" s="76"/>
      <c r="V5" s="24"/>
      <c r="W5" s="24"/>
      <c r="X5" s="193"/>
      <c r="Y5" s="15"/>
      <c r="AA5">
        <v>1</v>
      </c>
      <c r="AB5" s="487"/>
      <c r="AC5" s="90">
        <v>3</v>
      </c>
      <c r="AD5" s="97" t="s">
        <v>55</v>
      </c>
      <c r="AE5" s="39">
        <f t="shared" si="2"/>
        <v>0</v>
      </c>
      <c r="AF5" s="65">
        <f t="shared" si="3"/>
        <v>0</v>
      </c>
      <c r="AG5" s="65">
        <f t="shared" si="4"/>
        <v>0</v>
      </c>
      <c r="AH5" s="65">
        <f t="shared" si="5"/>
        <v>0</v>
      </c>
      <c r="AI5" s="104">
        <f t="shared" si="6"/>
        <v>0</v>
      </c>
      <c r="AJ5" s="115">
        <f t="shared" si="7"/>
        <v>0</v>
      </c>
      <c r="AK5" s="116">
        <f t="shared" si="8"/>
        <v>0</v>
      </c>
      <c r="AL5" s="116">
        <f t="shared" si="9"/>
        <v>0</v>
      </c>
      <c r="AM5" s="116">
        <f t="shared" si="10"/>
        <v>0</v>
      </c>
      <c r="AN5" s="117">
        <f t="shared" si="11"/>
        <v>0</v>
      </c>
      <c r="AO5" s="39">
        <f t="shared" si="12"/>
        <v>0</v>
      </c>
      <c r="AP5" s="65">
        <f t="shared" si="13"/>
        <v>0</v>
      </c>
      <c r="AQ5" s="65">
        <f t="shared" si="14"/>
        <v>0</v>
      </c>
      <c r="AR5" s="65">
        <f t="shared" si="15"/>
        <v>0</v>
      </c>
      <c r="AS5" s="65">
        <f t="shared" si="16"/>
        <v>0</v>
      </c>
      <c r="AU5" s="152">
        <v>2</v>
      </c>
      <c r="AV5" s="153">
        <f t="shared" ref="AV5:AV15" si="17">COUNTIFS($U:$U,$AV$3,$G:$G,$AU5)</f>
        <v>0</v>
      </c>
      <c r="AW5" s="154">
        <f t="shared" ref="AW5:AW15" si="18">COUNTIFS($U:$U,$AW$3,$G:$G,$AU5)</f>
        <v>0</v>
      </c>
    </row>
    <row r="6" spans="2:49" s="8" customFormat="1" ht="13.5" customHeight="1" x14ac:dyDescent="0.25">
      <c r="B6" s="15">
        <v>4</v>
      </c>
      <c r="D6" s="5"/>
      <c r="E6" s="67"/>
      <c r="F6" s="16"/>
      <c r="J6" s="9"/>
      <c r="K6" s="9">
        <f t="shared" si="0"/>
        <v>0</v>
      </c>
      <c r="L6" s="35">
        <f t="shared" si="1"/>
        <v>0</v>
      </c>
      <c r="M6" s="2"/>
      <c r="N6" s="2"/>
      <c r="O6" s="19"/>
      <c r="P6" s="19"/>
      <c r="Q6" s="19"/>
      <c r="R6" s="21"/>
      <c r="S6" s="46"/>
      <c r="T6" s="44"/>
      <c r="U6" s="76"/>
      <c r="V6" s="24"/>
      <c r="W6" s="24"/>
      <c r="X6" s="193"/>
      <c r="Y6" s="15"/>
      <c r="AA6">
        <v>1</v>
      </c>
      <c r="AB6" s="487"/>
      <c r="AC6" s="90">
        <v>4</v>
      </c>
      <c r="AD6" s="97" t="s">
        <v>56</v>
      </c>
      <c r="AE6" s="39">
        <f t="shared" si="2"/>
        <v>0</v>
      </c>
      <c r="AF6" s="65">
        <f t="shared" si="3"/>
        <v>0</v>
      </c>
      <c r="AG6" s="65">
        <f t="shared" si="4"/>
        <v>0</v>
      </c>
      <c r="AH6" s="65">
        <f t="shared" si="5"/>
        <v>0</v>
      </c>
      <c r="AI6" s="104">
        <f t="shared" si="6"/>
        <v>0</v>
      </c>
      <c r="AJ6" s="115">
        <f t="shared" si="7"/>
        <v>0</v>
      </c>
      <c r="AK6" s="116">
        <f t="shared" si="8"/>
        <v>0</v>
      </c>
      <c r="AL6" s="116">
        <f t="shared" si="9"/>
        <v>0</v>
      </c>
      <c r="AM6" s="116">
        <f t="shared" si="10"/>
        <v>0</v>
      </c>
      <c r="AN6" s="117">
        <f t="shared" si="11"/>
        <v>0</v>
      </c>
      <c r="AO6" s="39">
        <f t="shared" si="12"/>
        <v>0</v>
      </c>
      <c r="AP6" s="65">
        <f t="shared" si="13"/>
        <v>0</v>
      </c>
      <c r="AQ6" s="65">
        <f t="shared" si="14"/>
        <v>0</v>
      </c>
      <c r="AR6" s="65">
        <f t="shared" si="15"/>
        <v>0</v>
      </c>
      <c r="AS6" s="65">
        <f t="shared" si="16"/>
        <v>0</v>
      </c>
      <c r="AU6" s="152">
        <v>3</v>
      </c>
      <c r="AV6" s="153">
        <f t="shared" si="17"/>
        <v>0</v>
      </c>
      <c r="AW6" s="154">
        <f t="shared" si="18"/>
        <v>0</v>
      </c>
    </row>
    <row r="7" spans="2:49" s="8" customFormat="1" ht="13.5" customHeight="1" x14ac:dyDescent="0.25">
      <c r="B7" s="15">
        <v>5</v>
      </c>
      <c r="D7" s="5"/>
      <c r="E7" s="67"/>
      <c r="F7" s="16"/>
      <c r="J7" s="9"/>
      <c r="K7" s="9">
        <f t="shared" si="0"/>
        <v>0</v>
      </c>
      <c r="L7" s="35">
        <f t="shared" si="1"/>
        <v>0</v>
      </c>
      <c r="M7" s="2"/>
      <c r="N7"/>
      <c r="O7" s="19"/>
      <c r="P7" s="19"/>
      <c r="Q7" s="19"/>
      <c r="R7" s="21"/>
      <c r="S7" s="46"/>
      <c r="T7" s="44"/>
      <c r="U7" s="76"/>
      <c r="V7" s="24"/>
      <c r="W7" s="24"/>
      <c r="X7" s="193"/>
      <c r="Y7" s="15"/>
      <c r="AA7">
        <v>1</v>
      </c>
      <c r="AB7" s="487"/>
      <c r="AC7" s="91">
        <v>5</v>
      </c>
      <c r="AD7" s="97" t="s">
        <v>57</v>
      </c>
      <c r="AE7" s="39">
        <f t="shared" si="2"/>
        <v>0</v>
      </c>
      <c r="AF7" s="65">
        <f t="shared" si="3"/>
        <v>0</v>
      </c>
      <c r="AG7" s="65">
        <f t="shared" si="4"/>
        <v>0</v>
      </c>
      <c r="AH7" s="65">
        <f t="shared" si="5"/>
        <v>0</v>
      </c>
      <c r="AI7" s="104">
        <f t="shared" si="6"/>
        <v>0</v>
      </c>
      <c r="AJ7" s="115">
        <f t="shared" si="7"/>
        <v>0</v>
      </c>
      <c r="AK7" s="116">
        <f t="shared" si="8"/>
        <v>0</v>
      </c>
      <c r="AL7" s="116">
        <f t="shared" si="9"/>
        <v>0</v>
      </c>
      <c r="AM7" s="116">
        <f t="shared" si="10"/>
        <v>0</v>
      </c>
      <c r="AN7" s="117">
        <f t="shared" si="11"/>
        <v>0</v>
      </c>
      <c r="AO7" s="39">
        <f t="shared" si="12"/>
        <v>0</v>
      </c>
      <c r="AP7" s="65">
        <f t="shared" si="13"/>
        <v>0</v>
      </c>
      <c r="AQ7" s="65">
        <f t="shared" si="14"/>
        <v>0</v>
      </c>
      <c r="AR7" s="65">
        <f t="shared" si="15"/>
        <v>0</v>
      </c>
      <c r="AS7" s="65">
        <f t="shared" si="16"/>
        <v>0</v>
      </c>
      <c r="AU7" s="152">
        <v>4</v>
      </c>
      <c r="AV7" s="153">
        <f t="shared" si="17"/>
        <v>0</v>
      </c>
      <c r="AW7" s="154">
        <f t="shared" si="18"/>
        <v>0</v>
      </c>
    </row>
    <row r="8" spans="2:49" s="8" customFormat="1" ht="13.5" customHeight="1" thickBot="1" x14ac:dyDescent="0.3">
      <c r="B8" s="15">
        <v>6</v>
      </c>
      <c r="D8" s="5"/>
      <c r="E8" s="67"/>
      <c r="F8" s="16"/>
      <c r="J8" s="9"/>
      <c r="K8" s="9">
        <f t="shared" si="0"/>
        <v>0</v>
      </c>
      <c r="L8" s="35">
        <f t="shared" si="1"/>
        <v>0</v>
      </c>
      <c r="M8" s="2"/>
      <c r="N8"/>
      <c r="O8" s="19"/>
      <c r="P8" s="19"/>
      <c r="Q8" s="19"/>
      <c r="R8" s="21"/>
      <c r="S8" s="46"/>
      <c r="T8" s="44"/>
      <c r="U8" s="76"/>
      <c r="V8" s="24"/>
      <c r="W8" s="24"/>
      <c r="X8" s="193"/>
      <c r="Y8" s="15"/>
      <c r="AA8">
        <v>1</v>
      </c>
      <c r="AB8" s="488"/>
      <c r="AC8" s="92" t="s">
        <v>3</v>
      </c>
      <c r="AD8" s="98"/>
      <c r="AE8" s="94">
        <f t="shared" ref="AE8:AS8" si="19">SUM(AE3:AE7)</f>
        <v>0</v>
      </c>
      <c r="AF8" s="94">
        <f t="shared" si="19"/>
        <v>0</v>
      </c>
      <c r="AG8" s="94">
        <f t="shared" si="19"/>
        <v>0</v>
      </c>
      <c r="AH8" s="94">
        <f t="shared" si="19"/>
        <v>0</v>
      </c>
      <c r="AI8" s="105">
        <f t="shared" si="19"/>
        <v>0</v>
      </c>
      <c r="AJ8" s="118">
        <f t="shared" si="19"/>
        <v>0</v>
      </c>
      <c r="AK8" s="119">
        <f t="shared" si="19"/>
        <v>0</v>
      </c>
      <c r="AL8" s="119">
        <f t="shared" si="19"/>
        <v>0</v>
      </c>
      <c r="AM8" s="119">
        <f t="shared" si="19"/>
        <v>0</v>
      </c>
      <c r="AN8" s="120">
        <f t="shared" si="19"/>
        <v>0</v>
      </c>
      <c r="AO8" s="94">
        <f t="shared" si="19"/>
        <v>0</v>
      </c>
      <c r="AP8" s="94">
        <f t="shared" si="19"/>
        <v>0</v>
      </c>
      <c r="AQ8" s="94">
        <f t="shared" si="19"/>
        <v>0</v>
      </c>
      <c r="AR8" s="94">
        <f t="shared" si="19"/>
        <v>0</v>
      </c>
      <c r="AS8" s="94">
        <f t="shared" si="19"/>
        <v>0</v>
      </c>
      <c r="AU8" s="152">
        <v>5</v>
      </c>
      <c r="AV8" s="153">
        <f t="shared" si="17"/>
        <v>0</v>
      </c>
      <c r="AW8" s="154">
        <f t="shared" si="18"/>
        <v>0</v>
      </c>
    </row>
    <row r="9" spans="2:49" s="8" customFormat="1" ht="13.5" customHeight="1" x14ac:dyDescent="0.25">
      <c r="B9" s="15">
        <v>7</v>
      </c>
      <c r="D9" s="5"/>
      <c r="E9" s="67"/>
      <c r="F9" s="16"/>
      <c r="J9" s="9"/>
      <c r="K9" s="9">
        <f t="shared" si="0"/>
        <v>0</v>
      </c>
      <c r="L9" s="35">
        <f t="shared" si="1"/>
        <v>0</v>
      </c>
      <c r="M9" s="2"/>
      <c r="N9"/>
      <c r="O9" s="19"/>
      <c r="P9" s="19"/>
      <c r="Q9" s="19"/>
      <c r="R9" s="21"/>
      <c r="S9" s="46"/>
      <c r="T9" s="44"/>
      <c r="U9" s="76"/>
      <c r="V9" s="24"/>
      <c r="W9" s="24"/>
      <c r="X9" s="193"/>
      <c r="Y9" s="15"/>
      <c r="AA9">
        <v>2</v>
      </c>
      <c r="AB9" s="486">
        <v>2</v>
      </c>
      <c r="AC9" s="89">
        <v>1</v>
      </c>
      <c r="AD9" s="99" t="s">
        <v>82</v>
      </c>
      <c r="AE9" s="39">
        <f t="shared" si="2"/>
        <v>0</v>
      </c>
      <c r="AF9" s="65">
        <f t="shared" si="3"/>
        <v>0</v>
      </c>
      <c r="AG9" s="65">
        <f t="shared" si="4"/>
        <v>0</v>
      </c>
      <c r="AH9" s="65">
        <f t="shared" si="5"/>
        <v>0</v>
      </c>
      <c r="AI9" s="104">
        <f t="shared" si="6"/>
        <v>0</v>
      </c>
      <c r="AJ9" s="115">
        <f t="shared" si="7"/>
        <v>0</v>
      </c>
      <c r="AK9" s="116">
        <f t="shared" si="8"/>
        <v>0</v>
      </c>
      <c r="AL9" s="116">
        <f t="shared" si="9"/>
        <v>0</v>
      </c>
      <c r="AM9" s="116">
        <f t="shared" si="10"/>
        <v>0</v>
      </c>
      <c r="AN9" s="117">
        <f t="shared" si="11"/>
        <v>0</v>
      </c>
      <c r="AO9" s="39">
        <f t="shared" si="12"/>
        <v>0</v>
      </c>
      <c r="AP9" s="65">
        <f t="shared" si="13"/>
        <v>0</v>
      </c>
      <c r="AQ9" s="65">
        <f t="shared" si="14"/>
        <v>0</v>
      </c>
      <c r="AR9" s="65">
        <f t="shared" si="15"/>
        <v>0</v>
      </c>
      <c r="AS9" s="65">
        <f t="shared" si="16"/>
        <v>0</v>
      </c>
      <c r="AU9" s="152">
        <v>6</v>
      </c>
      <c r="AV9" s="153">
        <f t="shared" si="17"/>
        <v>0</v>
      </c>
      <c r="AW9" s="154">
        <f t="shared" si="18"/>
        <v>0</v>
      </c>
    </row>
    <row r="10" spans="2:49" s="8" customFormat="1" ht="13.5" customHeight="1" x14ac:dyDescent="0.25">
      <c r="B10" s="15">
        <v>8</v>
      </c>
      <c r="D10" s="5"/>
      <c r="E10" s="67"/>
      <c r="F10" s="16"/>
      <c r="J10" s="9"/>
      <c r="K10" s="9">
        <f t="shared" si="0"/>
        <v>0</v>
      </c>
      <c r="L10" s="35">
        <f t="shared" si="1"/>
        <v>0</v>
      </c>
      <c r="M10" s="2"/>
      <c r="N10" s="2"/>
      <c r="O10" s="19"/>
      <c r="P10" s="19"/>
      <c r="Q10" s="19"/>
      <c r="R10" s="21"/>
      <c r="S10" s="46"/>
      <c r="T10" s="82"/>
      <c r="U10" s="76"/>
      <c r="V10" s="24"/>
      <c r="W10" s="24"/>
      <c r="X10" s="193"/>
      <c r="Y10" s="15"/>
      <c r="AA10">
        <v>2</v>
      </c>
      <c r="AB10" s="487"/>
      <c r="AC10" s="90">
        <v>2</v>
      </c>
      <c r="AD10" s="97" t="s">
        <v>58</v>
      </c>
      <c r="AE10" s="39">
        <f t="shared" si="2"/>
        <v>0</v>
      </c>
      <c r="AF10" s="65">
        <f t="shared" si="3"/>
        <v>0</v>
      </c>
      <c r="AG10" s="65">
        <f t="shared" si="4"/>
        <v>0</v>
      </c>
      <c r="AH10" s="65">
        <f t="shared" si="5"/>
        <v>0</v>
      </c>
      <c r="AI10" s="104">
        <f t="shared" si="6"/>
        <v>0</v>
      </c>
      <c r="AJ10" s="115">
        <f t="shared" si="7"/>
        <v>0</v>
      </c>
      <c r="AK10" s="116">
        <f t="shared" si="8"/>
        <v>0</v>
      </c>
      <c r="AL10" s="116">
        <f t="shared" si="9"/>
        <v>0</v>
      </c>
      <c r="AM10" s="116">
        <f t="shared" si="10"/>
        <v>0</v>
      </c>
      <c r="AN10" s="117">
        <f t="shared" si="11"/>
        <v>0</v>
      </c>
      <c r="AO10" s="39">
        <f t="shared" si="12"/>
        <v>0</v>
      </c>
      <c r="AP10" s="65">
        <f t="shared" si="13"/>
        <v>0</v>
      </c>
      <c r="AQ10" s="65">
        <f t="shared" si="14"/>
        <v>0</v>
      </c>
      <c r="AR10" s="65">
        <f t="shared" si="15"/>
        <v>0</v>
      </c>
      <c r="AS10" s="65">
        <f t="shared" si="16"/>
        <v>0</v>
      </c>
      <c r="AU10" s="152">
        <v>7</v>
      </c>
      <c r="AV10" s="153">
        <f t="shared" si="17"/>
        <v>0</v>
      </c>
      <c r="AW10" s="154">
        <f t="shared" si="18"/>
        <v>0</v>
      </c>
    </row>
    <row r="11" spans="2:49" s="8" customFormat="1" ht="13.5" customHeight="1" x14ac:dyDescent="0.25">
      <c r="B11" s="15">
        <v>9</v>
      </c>
      <c r="D11" s="5"/>
      <c r="E11" s="67"/>
      <c r="F11" s="16"/>
      <c r="J11" s="9"/>
      <c r="K11" s="9">
        <f t="shared" si="0"/>
        <v>0</v>
      </c>
      <c r="L11" s="35">
        <f t="shared" si="1"/>
        <v>0</v>
      </c>
      <c r="M11" s="2"/>
      <c r="N11"/>
      <c r="O11" s="19"/>
      <c r="P11" s="19"/>
      <c r="Q11" s="19"/>
      <c r="R11" s="21"/>
      <c r="S11" s="46"/>
      <c r="T11" s="44"/>
      <c r="U11" s="76"/>
      <c r="V11" s="24"/>
      <c r="W11" s="24"/>
      <c r="X11" s="193"/>
      <c r="Y11" s="15"/>
      <c r="AA11">
        <v>2</v>
      </c>
      <c r="AB11" s="487"/>
      <c r="AC11" s="90">
        <v>3</v>
      </c>
      <c r="AD11" s="97" t="s">
        <v>59</v>
      </c>
      <c r="AE11" s="39">
        <f t="shared" si="2"/>
        <v>0</v>
      </c>
      <c r="AF11" s="65">
        <f t="shared" si="3"/>
        <v>0</v>
      </c>
      <c r="AG11" s="65">
        <f t="shared" si="4"/>
        <v>0</v>
      </c>
      <c r="AH11" s="65">
        <f t="shared" si="5"/>
        <v>0</v>
      </c>
      <c r="AI11" s="104">
        <f t="shared" si="6"/>
        <v>0</v>
      </c>
      <c r="AJ11" s="115">
        <f t="shared" si="7"/>
        <v>0</v>
      </c>
      <c r="AK11" s="116">
        <f t="shared" si="8"/>
        <v>0</v>
      </c>
      <c r="AL11" s="116">
        <f t="shared" si="9"/>
        <v>0</v>
      </c>
      <c r="AM11" s="116">
        <f t="shared" si="10"/>
        <v>0</v>
      </c>
      <c r="AN11" s="117">
        <f t="shared" si="11"/>
        <v>0</v>
      </c>
      <c r="AO11" s="39">
        <f t="shared" si="12"/>
        <v>0</v>
      </c>
      <c r="AP11" s="65">
        <f t="shared" si="13"/>
        <v>0</v>
      </c>
      <c r="AQ11" s="65">
        <f t="shared" si="14"/>
        <v>0</v>
      </c>
      <c r="AR11" s="65">
        <f t="shared" si="15"/>
        <v>0</v>
      </c>
      <c r="AS11" s="65">
        <f t="shared" si="16"/>
        <v>0</v>
      </c>
      <c r="AU11" s="152">
        <v>8</v>
      </c>
      <c r="AV11" s="153">
        <f t="shared" si="17"/>
        <v>0</v>
      </c>
      <c r="AW11" s="154">
        <f t="shared" si="18"/>
        <v>0</v>
      </c>
    </row>
    <row r="12" spans="2:49" s="8" customFormat="1" ht="13.5" customHeight="1" x14ac:dyDescent="0.25">
      <c r="B12" s="15">
        <v>10</v>
      </c>
      <c r="D12" s="5"/>
      <c r="E12" s="67"/>
      <c r="F12" s="16"/>
      <c r="J12" s="9"/>
      <c r="K12" s="9">
        <f t="shared" si="0"/>
        <v>0</v>
      </c>
      <c r="L12" s="35">
        <f t="shared" si="1"/>
        <v>0</v>
      </c>
      <c r="M12" s="2"/>
      <c r="N12"/>
      <c r="O12" s="19"/>
      <c r="P12" s="19"/>
      <c r="Q12" s="19"/>
      <c r="R12" s="21"/>
      <c r="S12" s="46"/>
      <c r="T12" s="44"/>
      <c r="U12" s="76"/>
      <c r="V12" s="24"/>
      <c r="W12" s="24"/>
      <c r="X12" s="193"/>
      <c r="Y12" s="15"/>
      <c r="AA12">
        <v>2</v>
      </c>
      <c r="AB12" s="487"/>
      <c r="AC12" s="90">
        <v>4</v>
      </c>
      <c r="AD12" s="97" t="s">
        <v>60</v>
      </c>
      <c r="AE12" s="39">
        <f t="shared" si="2"/>
        <v>0</v>
      </c>
      <c r="AF12" s="65">
        <f t="shared" si="3"/>
        <v>0</v>
      </c>
      <c r="AG12" s="65">
        <f t="shared" si="4"/>
        <v>0</v>
      </c>
      <c r="AH12" s="65">
        <f t="shared" si="5"/>
        <v>0</v>
      </c>
      <c r="AI12" s="104">
        <f t="shared" si="6"/>
        <v>0</v>
      </c>
      <c r="AJ12" s="115">
        <f t="shared" si="7"/>
        <v>0</v>
      </c>
      <c r="AK12" s="116">
        <f t="shared" si="8"/>
        <v>0</v>
      </c>
      <c r="AL12" s="116">
        <f t="shared" si="9"/>
        <v>0</v>
      </c>
      <c r="AM12" s="116">
        <f t="shared" si="10"/>
        <v>0</v>
      </c>
      <c r="AN12" s="117">
        <f t="shared" si="11"/>
        <v>0</v>
      </c>
      <c r="AO12" s="39">
        <f t="shared" si="12"/>
        <v>0</v>
      </c>
      <c r="AP12" s="65">
        <f t="shared" si="13"/>
        <v>0</v>
      </c>
      <c r="AQ12" s="65">
        <f t="shared" si="14"/>
        <v>0</v>
      </c>
      <c r="AR12" s="65">
        <f t="shared" si="15"/>
        <v>0</v>
      </c>
      <c r="AS12" s="65">
        <f t="shared" si="16"/>
        <v>0</v>
      </c>
      <c r="AU12" s="152">
        <v>9</v>
      </c>
      <c r="AV12" s="153">
        <f t="shared" si="17"/>
        <v>0</v>
      </c>
      <c r="AW12" s="154">
        <f t="shared" si="18"/>
        <v>0</v>
      </c>
    </row>
    <row r="13" spans="2:49" s="8" customFormat="1" ht="13.5" customHeight="1" x14ac:dyDescent="0.25">
      <c r="B13" s="15">
        <v>11</v>
      </c>
      <c r="D13" s="5"/>
      <c r="E13" s="67"/>
      <c r="F13" s="16"/>
      <c r="J13" s="9"/>
      <c r="K13" s="9">
        <f t="shared" si="0"/>
        <v>0</v>
      </c>
      <c r="L13" s="35">
        <f t="shared" si="1"/>
        <v>0</v>
      </c>
      <c r="M13" s="2"/>
      <c r="N13"/>
      <c r="O13" s="19"/>
      <c r="P13" s="19"/>
      <c r="Q13" s="19"/>
      <c r="R13" s="21"/>
      <c r="S13" s="46"/>
      <c r="T13" s="44"/>
      <c r="U13" s="76"/>
      <c r="V13" s="24"/>
      <c r="W13" s="24"/>
      <c r="X13" s="193"/>
      <c r="Y13" s="15"/>
      <c r="AA13">
        <v>2</v>
      </c>
      <c r="AB13" s="487"/>
      <c r="AC13" s="91">
        <v>5</v>
      </c>
      <c r="AD13" s="97"/>
      <c r="AE13" s="39">
        <f t="shared" si="2"/>
        <v>0</v>
      </c>
      <c r="AF13" s="65">
        <f t="shared" si="3"/>
        <v>0</v>
      </c>
      <c r="AG13" s="65">
        <f t="shared" si="4"/>
        <v>0</v>
      </c>
      <c r="AH13" s="65">
        <f t="shared" si="5"/>
        <v>0</v>
      </c>
      <c r="AI13" s="104">
        <f t="shared" si="6"/>
        <v>0</v>
      </c>
      <c r="AJ13" s="115">
        <f t="shared" si="7"/>
        <v>0</v>
      </c>
      <c r="AK13" s="116">
        <f t="shared" si="8"/>
        <v>0</v>
      </c>
      <c r="AL13" s="116">
        <f t="shared" si="9"/>
        <v>0</v>
      </c>
      <c r="AM13" s="116">
        <f t="shared" si="10"/>
        <v>0</v>
      </c>
      <c r="AN13" s="117">
        <f t="shared" si="11"/>
        <v>0</v>
      </c>
      <c r="AO13" s="39">
        <f t="shared" si="12"/>
        <v>0</v>
      </c>
      <c r="AP13" s="65">
        <f t="shared" si="13"/>
        <v>0</v>
      </c>
      <c r="AQ13" s="65">
        <f t="shared" si="14"/>
        <v>0</v>
      </c>
      <c r="AR13" s="65">
        <f t="shared" si="15"/>
        <v>0</v>
      </c>
      <c r="AS13" s="65">
        <f t="shared" si="16"/>
        <v>0</v>
      </c>
      <c r="AU13" s="152">
        <v>10</v>
      </c>
      <c r="AV13" s="153">
        <f t="shared" si="17"/>
        <v>0</v>
      </c>
      <c r="AW13" s="154">
        <f t="shared" si="18"/>
        <v>0</v>
      </c>
    </row>
    <row r="14" spans="2:49" s="8" customFormat="1" ht="13.5" customHeight="1" thickBot="1" x14ac:dyDescent="0.3">
      <c r="B14" s="15">
        <v>12</v>
      </c>
      <c r="D14" s="5"/>
      <c r="E14" s="67"/>
      <c r="F14" s="16"/>
      <c r="J14" s="9"/>
      <c r="K14" s="9">
        <f t="shared" si="0"/>
        <v>0</v>
      </c>
      <c r="L14" s="35">
        <f t="shared" si="1"/>
        <v>0</v>
      </c>
      <c r="M14" s="2"/>
      <c r="N14"/>
      <c r="O14" s="19"/>
      <c r="P14" s="19"/>
      <c r="Q14" s="19"/>
      <c r="R14" s="21"/>
      <c r="S14" s="46"/>
      <c r="T14" s="44"/>
      <c r="U14" s="76"/>
      <c r="V14" s="29"/>
      <c r="W14" s="24"/>
      <c r="X14" s="193"/>
      <c r="Y14" s="15"/>
      <c r="AA14">
        <v>2</v>
      </c>
      <c r="AB14" s="488"/>
      <c r="AC14" s="92" t="s">
        <v>3</v>
      </c>
      <c r="AD14" s="98"/>
      <c r="AE14" s="94">
        <f t="shared" ref="AE14:AS14" si="20">SUM(AE9:AE13)</f>
        <v>0</v>
      </c>
      <c r="AF14" s="94">
        <f t="shared" si="20"/>
        <v>0</v>
      </c>
      <c r="AG14" s="94">
        <f t="shared" si="20"/>
        <v>0</v>
      </c>
      <c r="AH14" s="94">
        <f t="shared" si="20"/>
        <v>0</v>
      </c>
      <c r="AI14" s="105">
        <f t="shared" si="20"/>
        <v>0</v>
      </c>
      <c r="AJ14" s="118">
        <f t="shared" si="20"/>
        <v>0</v>
      </c>
      <c r="AK14" s="119">
        <f t="shared" si="20"/>
        <v>0</v>
      </c>
      <c r="AL14" s="119">
        <f t="shared" si="20"/>
        <v>0</v>
      </c>
      <c r="AM14" s="119">
        <f t="shared" si="20"/>
        <v>0</v>
      </c>
      <c r="AN14" s="120">
        <f t="shared" si="20"/>
        <v>0</v>
      </c>
      <c r="AO14" s="94">
        <f t="shared" si="20"/>
        <v>0</v>
      </c>
      <c r="AP14" s="94">
        <f t="shared" si="20"/>
        <v>0</v>
      </c>
      <c r="AQ14" s="94">
        <f t="shared" si="20"/>
        <v>0</v>
      </c>
      <c r="AR14" s="94">
        <f t="shared" si="20"/>
        <v>0</v>
      </c>
      <c r="AS14" s="94">
        <f t="shared" si="20"/>
        <v>0</v>
      </c>
      <c r="AU14" s="152">
        <v>11</v>
      </c>
      <c r="AV14" s="153">
        <f t="shared" si="17"/>
        <v>0</v>
      </c>
      <c r="AW14" s="154">
        <f t="shared" si="18"/>
        <v>0</v>
      </c>
    </row>
    <row r="15" spans="2:49" s="8" customFormat="1" ht="13.5" customHeight="1" thickBot="1" x14ac:dyDescent="0.3">
      <c r="B15" s="15">
        <v>13</v>
      </c>
      <c r="D15" s="5"/>
      <c r="E15" s="67"/>
      <c r="F15" s="16"/>
      <c r="J15" s="9"/>
      <c r="K15" s="9">
        <f t="shared" si="0"/>
        <v>0</v>
      </c>
      <c r="L15" s="35">
        <f t="shared" si="1"/>
        <v>0</v>
      </c>
      <c r="M15" s="2"/>
      <c r="N15"/>
      <c r="O15" s="19"/>
      <c r="P15" s="19"/>
      <c r="Q15" s="19"/>
      <c r="R15" s="21"/>
      <c r="S15" s="46"/>
      <c r="T15" s="44"/>
      <c r="U15" s="76"/>
      <c r="V15" s="30"/>
      <c r="W15" s="24"/>
      <c r="X15" s="193"/>
      <c r="Y15" s="15"/>
      <c r="AA15">
        <v>3</v>
      </c>
      <c r="AB15" s="486">
        <v>3</v>
      </c>
      <c r="AC15" s="89">
        <v>1</v>
      </c>
      <c r="AD15" s="95" t="s">
        <v>83</v>
      </c>
      <c r="AE15" s="39">
        <f t="shared" si="2"/>
        <v>0</v>
      </c>
      <c r="AF15" s="65">
        <f t="shared" si="3"/>
        <v>0</v>
      </c>
      <c r="AG15" s="65">
        <f t="shared" si="4"/>
        <v>0</v>
      </c>
      <c r="AH15" s="65">
        <f t="shared" si="5"/>
        <v>0</v>
      </c>
      <c r="AI15" s="104">
        <f t="shared" si="6"/>
        <v>0</v>
      </c>
      <c r="AJ15" s="115">
        <f t="shared" si="7"/>
        <v>0</v>
      </c>
      <c r="AK15" s="116">
        <f t="shared" si="8"/>
        <v>0</v>
      </c>
      <c r="AL15" s="116">
        <f t="shared" si="9"/>
        <v>0</v>
      </c>
      <c r="AM15" s="116">
        <f t="shared" si="10"/>
        <v>0</v>
      </c>
      <c r="AN15" s="117">
        <f t="shared" si="11"/>
        <v>0</v>
      </c>
      <c r="AO15" s="39">
        <f t="shared" si="12"/>
        <v>0</v>
      </c>
      <c r="AP15" s="65">
        <f t="shared" si="13"/>
        <v>0</v>
      </c>
      <c r="AQ15" s="65">
        <f t="shared" si="14"/>
        <v>0</v>
      </c>
      <c r="AR15" s="65">
        <f t="shared" si="15"/>
        <v>0</v>
      </c>
      <c r="AS15" s="65">
        <f t="shared" si="16"/>
        <v>0</v>
      </c>
      <c r="AU15" s="155">
        <v>12</v>
      </c>
      <c r="AV15" s="153">
        <f t="shared" si="17"/>
        <v>0</v>
      </c>
      <c r="AW15" s="154">
        <f t="shared" si="18"/>
        <v>0</v>
      </c>
    </row>
    <row r="16" spans="2:49" s="8" customFormat="1" ht="13.5" customHeight="1" thickBot="1" x14ac:dyDescent="0.3">
      <c r="B16" s="15">
        <v>14</v>
      </c>
      <c r="D16" s="5"/>
      <c r="E16" s="67"/>
      <c r="F16" s="16"/>
      <c r="J16" s="9"/>
      <c r="K16" s="9">
        <f t="shared" si="0"/>
        <v>0</v>
      </c>
      <c r="L16" s="35">
        <f t="shared" si="1"/>
        <v>0</v>
      </c>
      <c r="M16" s="2"/>
      <c r="N16"/>
      <c r="O16" s="19"/>
      <c r="P16" s="19"/>
      <c r="Q16" s="19"/>
      <c r="R16" s="21"/>
      <c r="S16" s="46"/>
      <c r="T16" s="44"/>
      <c r="U16" s="76"/>
      <c r="V16" s="30"/>
      <c r="W16" s="24"/>
      <c r="X16" s="193"/>
      <c r="Y16" s="15"/>
      <c r="AA16">
        <v>3</v>
      </c>
      <c r="AB16" s="487"/>
      <c r="AC16" s="90">
        <v>2</v>
      </c>
      <c r="AD16" s="96" t="s">
        <v>58</v>
      </c>
      <c r="AE16" s="39">
        <f t="shared" si="2"/>
        <v>0</v>
      </c>
      <c r="AF16" s="65">
        <f t="shared" si="3"/>
        <v>0</v>
      </c>
      <c r="AG16" s="65">
        <f t="shared" si="4"/>
        <v>0</v>
      </c>
      <c r="AH16" s="65">
        <f t="shared" si="5"/>
        <v>0</v>
      </c>
      <c r="AI16" s="104">
        <f t="shared" si="6"/>
        <v>0</v>
      </c>
      <c r="AJ16" s="115">
        <f t="shared" si="7"/>
        <v>0</v>
      </c>
      <c r="AK16" s="116">
        <f t="shared" si="8"/>
        <v>0</v>
      </c>
      <c r="AL16" s="116">
        <f t="shared" si="9"/>
        <v>0</v>
      </c>
      <c r="AM16" s="116">
        <f t="shared" si="10"/>
        <v>0</v>
      </c>
      <c r="AN16" s="117">
        <f t="shared" si="11"/>
        <v>0</v>
      </c>
      <c r="AO16" s="39">
        <f t="shared" si="12"/>
        <v>0</v>
      </c>
      <c r="AP16" s="65">
        <f t="shared" si="13"/>
        <v>0</v>
      </c>
      <c r="AQ16" s="65">
        <f t="shared" si="14"/>
        <v>0</v>
      </c>
      <c r="AR16" s="65">
        <f t="shared" si="15"/>
        <v>0</v>
      </c>
      <c r="AS16" s="65">
        <f t="shared" si="16"/>
        <v>0</v>
      </c>
      <c r="AU16" s="156" t="s">
        <v>3</v>
      </c>
      <c r="AV16" s="157">
        <f>SUM(AV4:AV15)</f>
        <v>0</v>
      </c>
      <c r="AW16" s="157">
        <f>SUM(AW4:AW15)</f>
        <v>0</v>
      </c>
    </row>
    <row r="17" spans="2:49" s="8" customFormat="1" ht="13.5" customHeight="1" thickBot="1" x14ac:dyDescent="0.3">
      <c r="B17" s="15">
        <v>15</v>
      </c>
      <c r="D17" s="5"/>
      <c r="E17" s="67"/>
      <c r="F17" s="16"/>
      <c r="J17" s="9"/>
      <c r="K17" s="9">
        <f t="shared" si="0"/>
        <v>0</v>
      </c>
      <c r="L17" s="35">
        <f t="shared" si="1"/>
        <v>0</v>
      </c>
      <c r="M17" s="2"/>
      <c r="N17"/>
      <c r="O17" s="19"/>
      <c r="P17" s="19"/>
      <c r="Q17" s="19"/>
      <c r="R17" s="21"/>
      <c r="S17" s="46"/>
      <c r="T17" s="83"/>
      <c r="U17" s="76"/>
      <c r="V17" s="30"/>
      <c r="W17" s="24"/>
      <c r="X17" s="193"/>
      <c r="Y17" s="15"/>
      <c r="AA17">
        <v>3</v>
      </c>
      <c r="AB17" s="487"/>
      <c r="AC17" s="90">
        <v>3</v>
      </c>
      <c r="AD17" s="97" t="s">
        <v>59</v>
      </c>
      <c r="AE17" s="39">
        <f t="shared" si="2"/>
        <v>0</v>
      </c>
      <c r="AF17" s="65">
        <f t="shared" si="3"/>
        <v>0</v>
      </c>
      <c r="AG17" s="65">
        <f t="shared" si="4"/>
        <v>0</v>
      </c>
      <c r="AH17" s="65">
        <f t="shared" si="5"/>
        <v>0</v>
      </c>
      <c r="AI17" s="104">
        <f t="shared" si="6"/>
        <v>0</v>
      </c>
      <c r="AJ17" s="115">
        <f t="shared" si="7"/>
        <v>0</v>
      </c>
      <c r="AK17" s="116">
        <f t="shared" si="8"/>
        <v>0</v>
      </c>
      <c r="AL17" s="116">
        <f t="shared" si="9"/>
        <v>0</v>
      </c>
      <c r="AM17" s="116">
        <f t="shared" si="10"/>
        <v>0</v>
      </c>
      <c r="AN17" s="117">
        <f t="shared" si="11"/>
        <v>0</v>
      </c>
      <c r="AO17" s="39">
        <f t="shared" si="12"/>
        <v>0</v>
      </c>
      <c r="AP17" s="65">
        <f t="shared" si="13"/>
        <v>0</v>
      </c>
      <c r="AQ17" s="65">
        <f t="shared" si="14"/>
        <v>0</v>
      </c>
      <c r="AR17" s="65">
        <f t="shared" si="15"/>
        <v>0</v>
      </c>
      <c r="AS17" s="65">
        <f t="shared" si="16"/>
        <v>0</v>
      </c>
      <c r="AU17" s="156" t="s">
        <v>120</v>
      </c>
      <c r="AV17" s="158" t="e">
        <f>AV16/($AV$16+$AW$16)</f>
        <v>#DIV/0!</v>
      </c>
      <c r="AW17" s="159" t="e">
        <f>AW16/($AW$16+$AV$16)</f>
        <v>#DIV/0!</v>
      </c>
    </row>
    <row r="18" spans="2:49" s="8" customFormat="1" ht="13.5" customHeight="1" x14ac:dyDescent="0.25">
      <c r="B18" s="15">
        <v>16</v>
      </c>
      <c r="D18" s="5"/>
      <c r="E18" s="67"/>
      <c r="F18" s="16"/>
      <c r="J18" s="9"/>
      <c r="K18" s="9">
        <f t="shared" si="0"/>
        <v>0</v>
      </c>
      <c r="L18" s="35">
        <f t="shared" si="1"/>
        <v>0</v>
      </c>
      <c r="M18" s="2"/>
      <c r="N18"/>
      <c r="O18" s="19"/>
      <c r="P18" s="19"/>
      <c r="Q18" s="19"/>
      <c r="R18" s="21"/>
      <c r="S18" s="46"/>
      <c r="T18" s="44"/>
      <c r="U18" s="76"/>
      <c r="V18" s="24"/>
      <c r="W18" s="24"/>
      <c r="X18" s="193"/>
      <c r="Y18" s="15"/>
      <c r="AA18">
        <v>3</v>
      </c>
      <c r="AB18" s="487"/>
      <c r="AC18" s="90">
        <v>4</v>
      </c>
      <c r="AD18" s="97" t="s">
        <v>60</v>
      </c>
      <c r="AE18" s="39">
        <f t="shared" si="2"/>
        <v>0</v>
      </c>
      <c r="AF18" s="65">
        <f t="shared" si="3"/>
        <v>0</v>
      </c>
      <c r="AG18" s="65">
        <f t="shared" si="4"/>
        <v>0</v>
      </c>
      <c r="AH18" s="65">
        <f t="shared" si="5"/>
        <v>0</v>
      </c>
      <c r="AI18" s="104">
        <f t="shared" si="6"/>
        <v>0</v>
      </c>
      <c r="AJ18" s="115">
        <f t="shared" si="7"/>
        <v>0</v>
      </c>
      <c r="AK18" s="116">
        <f t="shared" si="8"/>
        <v>0</v>
      </c>
      <c r="AL18" s="116">
        <f t="shared" si="9"/>
        <v>0</v>
      </c>
      <c r="AM18" s="116">
        <f t="shared" si="10"/>
        <v>0</v>
      </c>
      <c r="AN18" s="117">
        <f t="shared" si="11"/>
        <v>0</v>
      </c>
      <c r="AO18" s="39">
        <f t="shared" si="12"/>
        <v>0</v>
      </c>
      <c r="AP18" s="65">
        <f t="shared" si="13"/>
        <v>0</v>
      </c>
      <c r="AQ18" s="65">
        <f t="shared" si="14"/>
        <v>0</v>
      </c>
      <c r="AR18" s="65">
        <f t="shared" si="15"/>
        <v>0</v>
      </c>
      <c r="AS18" s="65">
        <f t="shared" si="16"/>
        <v>0</v>
      </c>
    </row>
    <row r="19" spans="2:49" s="8" customFormat="1" ht="13.5" customHeight="1" x14ac:dyDescent="0.25">
      <c r="B19" s="15">
        <v>17</v>
      </c>
      <c r="D19" s="5"/>
      <c r="E19" s="67"/>
      <c r="F19" s="16"/>
      <c r="J19" s="9"/>
      <c r="K19" s="9">
        <f t="shared" si="0"/>
        <v>0</v>
      </c>
      <c r="L19" s="35">
        <f t="shared" si="1"/>
        <v>0</v>
      </c>
      <c r="M19" s="2"/>
      <c r="N19"/>
      <c r="O19" s="19"/>
      <c r="P19" s="19"/>
      <c r="Q19" s="19"/>
      <c r="R19" s="21"/>
      <c r="S19" s="46"/>
      <c r="T19" s="44"/>
      <c r="U19" s="76"/>
      <c r="V19" s="24"/>
      <c r="W19" s="24"/>
      <c r="X19" s="193"/>
      <c r="Y19" s="15"/>
      <c r="AA19">
        <v>3</v>
      </c>
      <c r="AB19" s="487"/>
      <c r="AC19" s="91">
        <v>5</v>
      </c>
      <c r="AD19" s="97"/>
      <c r="AE19" s="39">
        <f t="shared" si="2"/>
        <v>0</v>
      </c>
      <c r="AF19" s="65">
        <f t="shared" si="3"/>
        <v>0</v>
      </c>
      <c r="AG19" s="65">
        <f t="shared" si="4"/>
        <v>0</v>
      </c>
      <c r="AH19" s="65">
        <f t="shared" si="5"/>
        <v>0</v>
      </c>
      <c r="AI19" s="104">
        <f t="shared" si="6"/>
        <v>0</v>
      </c>
      <c r="AJ19" s="115">
        <f t="shared" si="7"/>
        <v>0</v>
      </c>
      <c r="AK19" s="116">
        <f t="shared" si="8"/>
        <v>0</v>
      </c>
      <c r="AL19" s="116">
        <f t="shared" si="9"/>
        <v>0</v>
      </c>
      <c r="AM19" s="116">
        <f t="shared" si="10"/>
        <v>0</v>
      </c>
      <c r="AN19" s="117">
        <f t="shared" si="11"/>
        <v>0</v>
      </c>
      <c r="AO19" s="39">
        <f t="shared" si="12"/>
        <v>0</v>
      </c>
      <c r="AP19" s="65">
        <f t="shared" si="13"/>
        <v>0</v>
      </c>
      <c r="AQ19" s="65">
        <f t="shared" si="14"/>
        <v>0</v>
      </c>
      <c r="AR19" s="65">
        <f t="shared" si="15"/>
        <v>0</v>
      </c>
      <c r="AS19" s="65">
        <f t="shared" si="16"/>
        <v>0</v>
      </c>
    </row>
    <row r="20" spans="2:49" s="8" customFormat="1" ht="13.5" customHeight="1" thickBot="1" x14ac:dyDescent="0.3">
      <c r="B20" s="15">
        <v>18</v>
      </c>
      <c r="D20" s="5"/>
      <c r="E20" s="67"/>
      <c r="F20" s="16"/>
      <c r="J20" s="9"/>
      <c r="K20" s="9">
        <f t="shared" si="0"/>
        <v>0</v>
      </c>
      <c r="L20" s="35">
        <f t="shared" si="1"/>
        <v>0</v>
      </c>
      <c r="M20" s="2"/>
      <c r="N20"/>
      <c r="O20" s="19"/>
      <c r="P20" s="19"/>
      <c r="Q20" s="19"/>
      <c r="R20" s="21"/>
      <c r="S20" s="46"/>
      <c r="T20" s="44"/>
      <c r="U20" s="76"/>
      <c r="V20" s="24"/>
      <c r="W20" s="24"/>
      <c r="X20" s="193"/>
      <c r="Y20" s="15"/>
      <c r="AA20">
        <v>3</v>
      </c>
      <c r="AB20" s="488"/>
      <c r="AC20" s="92" t="s">
        <v>3</v>
      </c>
      <c r="AD20" s="98"/>
      <c r="AE20" s="94">
        <f t="shared" ref="AE20:AS20" si="21">SUM(AE15:AE19)</f>
        <v>0</v>
      </c>
      <c r="AF20" s="94">
        <f t="shared" si="21"/>
        <v>0</v>
      </c>
      <c r="AG20" s="94">
        <f t="shared" si="21"/>
        <v>0</v>
      </c>
      <c r="AH20" s="94">
        <f t="shared" si="21"/>
        <v>0</v>
      </c>
      <c r="AI20" s="105">
        <f t="shared" si="21"/>
        <v>0</v>
      </c>
      <c r="AJ20" s="118">
        <f t="shared" si="21"/>
        <v>0</v>
      </c>
      <c r="AK20" s="119">
        <f t="shared" si="21"/>
        <v>0</v>
      </c>
      <c r="AL20" s="119">
        <f t="shared" si="21"/>
        <v>0</v>
      </c>
      <c r="AM20" s="119">
        <f t="shared" si="21"/>
        <v>0</v>
      </c>
      <c r="AN20" s="120">
        <f t="shared" si="21"/>
        <v>0</v>
      </c>
      <c r="AO20" s="94">
        <f t="shared" si="21"/>
        <v>0</v>
      </c>
      <c r="AP20" s="94">
        <f t="shared" si="21"/>
        <v>0</v>
      </c>
      <c r="AQ20" s="94">
        <f t="shared" si="21"/>
        <v>0</v>
      </c>
      <c r="AR20" s="94">
        <f t="shared" si="21"/>
        <v>0</v>
      </c>
      <c r="AS20" s="94">
        <f t="shared" si="21"/>
        <v>0</v>
      </c>
    </row>
    <row r="21" spans="2:49" s="8" customFormat="1" ht="13.5" customHeight="1" x14ac:dyDescent="0.25">
      <c r="B21" s="15">
        <v>19</v>
      </c>
      <c r="D21" s="5"/>
      <c r="E21" s="67"/>
      <c r="F21" s="16"/>
      <c r="J21" s="9"/>
      <c r="K21" s="9">
        <f t="shared" si="0"/>
        <v>0</v>
      </c>
      <c r="L21" s="35">
        <f t="shared" si="1"/>
        <v>0</v>
      </c>
      <c r="M21" s="2"/>
      <c r="N21"/>
      <c r="O21" s="19"/>
      <c r="P21" s="19"/>
      <c r="Q21" s="19"/>
      <c r="R21" s="21"/>
      <c r="S21" s="46"/>
      <c r="T21" s="44"/>
      <c r="U21" s="76"/>
      <c r="V21" s="24"/>
      <c r="W21" s="24"/>
      <c r="X21" s="193"/>
      <c r="Y21" s="15"/>
      <c r="AA21">
        <v>4</v>
      </c>
      <c r="AB21" s="486">
        <v>4</v>
      </c>
      <c r="AC21" s="89">
        <v>1</v>
      </c>
      <c r="AD21" s="95" t="s">
        <v>84</v>
      </c>
      <c r="AE21" s="39">
        <f t="shared" si="2"/>
        <v>0</v>
      </c>
      <c r="AF21" s="65">
        <f t="shared" si="3"/>
        <v>0</v>
      </c>
      <c r="AG21" s="65">
        <f t="shared" si="4"/>
        <v>0</v>
      </c>
      <c r="AH21" s="65">
        <f t="shared" si="5"/>
        <v>0</v>
      </c>
      <c r="AI21" s="104">
        <f t="shared" si="6"/>
        <v>0</v>
      </c>
      <c r="AJ21" s="115">
        <f t="shared" si="7"/>
        <v>0</v>
      </c>
      <c r="AK21" s="116">
        <f t="shared" si="8"/>
        <v>0</v>
      </c>
      <c r="AL21" s="116">
        <f t="shared" si="9"/>
        <v>0</v>
      </c>
      <c r="AM21" s="116">
        <f t="shared" si="10"/>
        <v>0</v>
      </c>
      <c r="AN21" s="117">
        <f t="shared" si="11"/>
        <v>0</v>
      </c>
      <c r="AO21" s="39">
        <f t="shared" si="12"/>
        <v>0</v>
      </c>
      <c r="AP21" s="65">
        <f t="shared" si="13"/>
        <v>0</v>
      </c>
      <c r="AQ21" s="65">
        <f t="shared" si="14"/>
        <v>0</v>
      </c>
      <c r="AR21" s="65">
        <f t="shared" si="15"/>
        <v>0</v>
      </c>
      <c r="AS21" s="65">
        <f t="shared" si="16"/>
        <v>0</v>
      </c>
    </row>
    <row r="22" spans="2:49" s="8" customFormat="1" ht="13.5" customHeight="1" x14ac:dyDescent="0.25">
      <c r="B22" s="15">
        <v>20</v>
      </c>
      <c r="D22" s="5"/>
      <c r="E22" s="67"/>
      <c r="F22" s="16"/>
      <c r="J22" s="9"/>
      <c r="K22" s="9">
        <f t="shared" si="0"/>
        <v>0</v>
      </c>
      <c r="L22" s="35">
        <f t="shared" si="1"/>
        <v>0</v>
      </c>
      <c r="M22" s="2"/>
      <c r="N22"/>
      <c r="O22" s="19"/>
      <c r="P22" s="19"/>
      <c r="Q22" s="19"/>
      <c r="R22" s="21"/>
      <c r="S22" s="46"/>
      <c r="T22" s="44"/>
      <c r="U22" s="76"/>
      <c r="V22" s="24"/>
      <c r="W22" s="24"/>
      <c r="X22" s="193"/>
      <c r="Y22" s="15"/>
      <c r="AA22">
        <v>4</v>
      </c>
      <c r="AB22" s="487"/>
      <c r="AC22" s="90">
        <v>2</v>
      </c>
      <c r="AD22" s="97" t="s">
        <v>61</v>
      </c>
      <c r="AE22" s="39">
        <f t="shared" si="2"/>
        <v>0</v>
      </c>
      <c r="AF22" s="65">
        <f t="shared" si="3"/>
        <v>0</v>
      </c>
      <c r="AG22" s="65">
        <f t="shared" si="4"/>
        <v>0</v>
      </c>
      <c r="AH22" s="65">
        <f t="shared" si="5"/>
        <v>0</v>
      </c>
      <c r="AI22" s="104">
        <f t="shared" si="6"/>
        <v>0</v>
      </c>
      <c r="AJ22" s="115">
        <f t="shared" si="7"/>
        <v>0</v>
      </c>
      <c r="AK22" s="116">
        <f t="shared" si="8"/>
        <v>0</v>
      </c>
      <c r="AL22" s="116">
        <f t="shared" si="9"/>
        <v>0</v>
      </c>
      <c r="AM22" s="116">
        <f t="shared" si="10"/>
        <v>0</v>
      </c>
      <c r="AN22" s="117">
        <f t="shared" si="11"/>
        <v>0</v>
      </c>
      <c r="AO22" s="39">
        <f t="shared" si="12"/>
        <v>0</v>
      </c>
      <c r="AP22" s="65">
        <f t="shared" si="13"/>
        <v>0</v>
      </c>
      <c r="AQ22" s="65">
        <f t="shared" si="14"/>
        <v>0</v>
      </c>
      <c r="AR22" s="65">
        <f t="shared" si="15"/>
        <v>0</v>
      </c>
      <c r="AS22" s="65">
        <f t="shared" si="16"/>
        <v>0</v>
      </c>
    </row>
    <row r="23" spans="2:49" s="8" customFormat="1" ht="13.5" customHeight="1" x14ac:dyDescent="0.25">
      <c r="B23" s="15">
        <v>21</v>
      </c>
      <c r="D23" s="5"/>
      <c r="E23" s="67"/>
      <c r="F23" s="16"/>
      <c r="J23" s="9"/>
      <c r="K23" s="9">
        <f t="shared" si="0"/>
        <v>0</v>
      </c>
      <c r="L23" s="35">
        <f t="shared" si="1"/>
        <v>0</v>
      </c>
      <c r="M23" s="2"/>
      <c r="N23" s="2"/>
      <c r="O23" s="19"/>
      <c r="P23" s="19"/>
      <c r="Q23" s="19"/>
      <c r="R23" s="21"/>
      <c r="S23" s="46"/>
      <c r="T23" s="44"/>
      <c r="U23" s="76"/>
      <c r="V23" s="24"/>
      <c r="W23" s="24"/>
      <c r="X23" s="193"/>
      <c r="Y23" s="15"/>
      <c r="AA23">
        <v>4</v>
      </c>
      <c r="AB23" s="487"/>
      <c r="AC23" s="90">
        <v>3</v>
      </c>
      <c r="AD23" s="97" t="s">
        <v>62</v>
      </c>
      <c r="AE23" s="39">
        <f t="shared" si="2"/>
        <v>0</v>
      </c>
      <c r="AF23" s="65">
        <f t="shared" si="3"/>
        <v>0</v>
      </c>
      <c r="AG23" s="65">
        <f t="shared" si="4"/>
        <v>0</v>
      </c>
      <c r="AH23" s="65">
        <f t="shared" si="5"/>
        <v>0</v>
      </c>
      <c r="AI23" s="104">
        <f t="shared" si="6"/>
        <v>0</v>
      </c>
      <c r="AJ23" s="115">
        <f t="shared" si="7"/>
        <v>0</v>
      </c>
      <c r="AK23" s="116">
        <f t="shared" si="8"/>
        <v>0</v>
      </c>
      <c r="AL23" s="116">
        <f t="shared" si="9"/>
        <v>0</v>
      </c>
      <c r="AM23" s="116">
        <f t="shared" si="10"/>
        <v>0</v>
      </c>
      <c r="AN23" s="117">
        <f t="shared" si="11"/>
        <v>0</v>
      </c>
      <c r="AO23" s="39">
        <f t="shared" si="12"/>
        <v>0</v>
      </c>
      <c r="AP23" s="65">
        <f t="shared" si="13"/>
        <v>0</v>
      </c>
      <c r="AQ23" s="65">
        <f t="shared" si="14"/>
        <v>0</v>
      </c>
      <c r="AR23" s="65">
        <f t="shared" si="15"/>
        <v>0</v>
      </c>
      <c r="AS23" s="65">
        <f t="shared" si="16"/>
        <v>0</v>
      </c>
    </row>
    <row r="24" spans="2:49" s="8" customFormat="1" ht="13.5" customHeight="1" x14ac:dyDescent="0.25">
      <c r="B24" s="15">
        <v>22</v>
      </c>
      <c r="D24" s="5"/>
      <c r="E24" s="67"/>
      <c r="F24" s="16"/>
      <c r="J24" s="9"/>
      <c r="K24" s="9">
        <f t="shared" si="0"/>
        <v>0</v>
      </c>
      <c r="L24" s="35">
        <f t="shared" si="1"/>
        <v>0</v>
      </c>
      <c r="M24" s="2"/>
      <c r="N24" s="2"/>
      <c r="O24" s="19"/>
      <c r="P24" s="19"/>
      <c r="Q24" s="19"/>
      <c r="R24" s="21"/>
      <c r="S24" s="46"/>
      <c r="T24" s="44"/>
      <c r="U24" s="76"/>
      <c r="V24" s="24"/>
      <c r="W24" s="24"/>
      <c r="X24" s="193"/>
      <c r="Y24" s="15"/>
      <c r="AA24">
        <v>4</v>
      </c>
      <c r="AB24" s="487"/>
      <c r="AC24" s="90">
        <v>4</v>
      </c>
      <c r="AD24" s="97" t="s">
        <v>63</v>
      </c>
      <c r="AE24" s="39">
        <f t="shared" si="2"/>
        <v>0</v>
      </c>
      <c r="AF24" s="65">
        <f t="shared" si="3"/>
        <v>0</v>
      </c>
      <c r="AG24" s="65">
        <f t="shared" si="4"/>
        <v>0</v>
      </c>
      <c r="AH24" s="65">
        <f t="shared" si="5"/>
        <v>0</v>
      </c>
      <c r="AI24" s="104">
        <f t="shared" si="6"/>
        <v>0</v>
      </c>
      <c r="AJ24" s="115">
        <f t="shared" si="7"/>
        <v>0</v>
      </c>
      <c r="AK24" s="116">
        <f t="shared" si="8"/>
        <v>0</v>
      </c>
      <c r="AL24" s="116">
        <f t="shared" si="9"/>
        <v>0</v>
      </c>
      <c r="AM24" s="116">
        <f t="shared" si="10"/>
        <v>0</v>
      </c>
      <c r="AN24" s="117">
        <f t="shared" si="11"/>
        <v>0</v>
      </c>
      <c r="AO24" s="39">
        <f t="shared" si="12"/>
        <v>0</v>
      </c>
      <c r="AP24" s="65">
        <f t="shared" si="13"/>
        <v>0</v>
      </c>
      <c r="AQ24" s="65">
        <f t="shared" si="14"/>
        <v>0</v>
      </c>
      <c r="AR24" s="65">
        <f t="shared" si="15"/>
        <v>0</v>
      </c>
      <c r="AS24" s="65">
        <f t="shared" si="16"/>
        <v>0</v>
      </c>
      <c r="AU24" s="194" t="s">
        <v>149</v>
      </c>
      <c r="AV24" s="194" t="s">
        <v>150</v>
      </c>
      <c r="AW24" s="194" t="s">
        <v>120</v>
      </c>
    </row>
    <row r="25" spans="2:49" s="8" customFormat="1" ht="13.5" customHeight="1" x14ac:dyDescent="0.25">
      <c r="B25" s="15">
        <v>23</v>
      </c>
      <c r="D25" s="5"/>
      <c r="E25" s="67"/>
      <c r="F25" s="16"/>
      <c r="J25" s="9"/>
      <c r="K25" s="9">
        <f t="shared" si="0"/>
        <v>0</v>
      </c>
      <c r="L25" s="35">
        <f t="shared" si="1"/>
        <v>0</v>
      </c>
      <c r="M25" s="2"/>
      <c r="N25"/>
      <c r="O25" s="19"/>
      <c r="P25" s="19"/>
      <c r="Q25" s="19"/>
      <c r="R25" s="21"/>
      <c r="S25" s="46"/>
      <c r="T25" s="44"/>
      <c r="U25" s="76"/>
      <c r="V25" s="24"/>
      <c r="W25" s="24"/>
      <c r="X25" s="193"/>
      <c r="Y25" s="15"/>
      <c r="AA25">
        <v>4</v>
      </c>
      <c r="AB25" s="487"/>
      <c r="AC25" s="91">
        <v>5</v>
      </c>
      <c r="AD25" s="97" t="s">
        <v>85</v>
      </c>
      <c r="AE25" s="39">
        <f t="shared" si="2"/>
        <v>0</v>
      </c>
      <c r="AF25" s="65">
        <f t="shared" si="3"/>
        <v>0</v>
      </c>
      <c r="AG25" s="65">
        <f t="shared" si="4"/>
        <v>0</v>
      </c>
      <c r="AH25" s="65">
        <f t="shared" si="5"/>
        <v>0</v>
      </c>
      <c r="AI25" s="104">
        <f t="shared" si="6"/>
        <v>0</v>
      </c>
      <c r="AJ25" s="115">
        <f t="shared" si="7"/>
        <v>0</v>
      </c>
      <c r="AK25" s="116">
        <f t="shared" si="8"/>
        <v>0</v>
      </c>
      <c r="AL25" s="116">
        <f t="shared" si="9"/>
        <v>0</v>
      </c>
      <c r="AM25" s="116">
        <f t="shared" si="10"/>
        <v>0</v>
      </c>
      <c r="AN25" s="117">
        <f t="shared" si="11"/>
        <v>0</v>
      </c>
      <c r="AO25" s="39">
        <f t="shared" si="12"/>
        <v>0</v>
      </c>
      <c r="AP25" s="65">
        <f t="shared" si="13"/>
        <v>0</v>
      </c>
      <c r="AQ25" s="65">
        <f t="shared" si="14"/>
        <v>0</v>
      </c>
      <c r="AR25" s="65">
        <f t="shared" si="15"/>
        <v>0</v>
      </c>
      <c r="AS25" s="65">
        <f t="shared" si="16"/>
        <v>0</v>
      </c>
      <c r="AU25" s="195" t="s">
        <v>160</v>
      </c>
      <c r="AV25" s="195">
        <f>COUNTIF($X:$X, AU25)</f>
        <v>0</v>
      </c>
      <c r="AW25" s="196" t="e">
        <f>AV25/$AV$33</f>
        <v>#DIV/0!</v>
      </c>
    </row>
    <row r="26" spans="2:49" s="8" customFormat="1" ht="13.5" customHeight="1" thickBot="1" x14ac:dyDescent="0.3">
      <c r="B26" s="15">
        <v>24</v>
      </c>
      <c r="D26" s="5"/>
      <c r="E26" s="67"/>
      <c r="F26" s="16"/>
      <c r="J26" s="9"/>
      <c r="K26" s="9">
        <f t="shared" si="0"/>
        <v>0</v>
      </c>
      <c r="L26" s="35">
        <f t="shared" si="1"/>
        <v>0</v>
      </c>
      <c r="M26" s="2"/>
      <c r="N26"/>
      <c r="O26" s="19"/>
      <c r="P26" s="19"/>
      <c r="Q26" s="19"/>
      <c r="R26" s="21"/>
      <c r="S26" s="46"/>
      <c r="T26" s="44"/>
      <c r="U26" s="76"/>
      <c r="V26" s="24"/>
      <c r="W26" s="24"/>
      <c r="X26" s="193"/>
      <c r="Y26" s="15"/>
      <c r="AA26">
        <v>4</v>
      </c>
      <c r="AB26" s="488"/>
      <c r="AC26" s="92" t="s">
        <v>3</v>
      </c>
      <c r="AD26" s="98"/>
      <c r="AE26" s="94">
        <f t="shared" ref="AE26:AS26" si="22">SUM(AE21:AE25)</f>
        <v>0</v>
      </c>
      <c r="AF26" s="94">
        <f t="shared" si="22"/>
        <v>0</v>
      </c>
      <c r="AG26" s="94">
        <f t="shared" si="22"/>
        <v>0</v>
      </c>
      <c r="AH26" s="94">
        <f t="shared" si="22"/>
        <v>0</v>
      </c>
      <c r="AI26" s="105">
        <f t="shared" si="22"/>
        <v>0</v>
      </c>
      <c r="AJ26" s="118">
        <f t="shared" si="22"/>
        <v>0</v>
      </c>
      <c r="AK26" s="119">
        <f t="shared" si="22"/>
        <v>0</v>
      </c>
      <c r="AL26" s="119">
        <f t="shared" si="22"/>
        <v>0</v>
      </c>
      <c r="AM26" s="119">
        <f t="shared" si="22"/>
        <v>0</v>
      </c>
      <c r="AN26" s="120">
        <f t="shared" si="22"/>
        <v>0</v>
      </c>
      <c r="AO26" s="94">
        <f t="shared" si="22"/>
        <v>0</v>
      </c>
      <c r="AP26" s="94">
        <f t="shared" si="22"/>
        <v>0</v>
      </c>
      <c r="AQ26" s="94">
        <f t="shared" si="22"/>
        <v>0</v>
      </c>
      <c r="AR26" s="94">
        <f t="shared" si="22"/>
        <v>0</v>
      </c>
      <c r="AS26" s="94">
        <f t="shared" si="22"/>
        <v>0</v>
      </c>
      <c r="AU26" s="195" t="s">
        <v>152</v>
      </c>
      <c r="AV26" s="195">
        <f t="shared" ref="AV26:AV32" si="23">COUNTIF($X:$X, AU26)</f>
        <v>0</v>
      </c>
      <c r="AW26" s="196" t="e">
        <f t="shared" ref="AW26:AW33" si="24">AV26/$AV$33</f>
        <v>#DIV/0!</v>
      </c>
    </row>
    <row r="27" spans="2:49" s="8" customFormat="1" ht="13.5" customHeight="1" x14ac:dyDescent="0.25">
      <c r="B27" s="15">
        <v>25</v>
      </c>
      <c r="D27" s="5"/>
      <c r="E27" s="67"/>
      <c r="F27" s="16"/>
      <c r="J27" s="9"/>
      <c r="K27" s="9">
        <f t="shared" si="0"/>
        <v>0</v>
      </c>
      <c r="L27" s="35">
        <f t="shared" si="1"/>
        <v>0</v>
      </c>
      <c r="M27" s="2"/>
      <c r="N27"/>
      <c r="O27" s="19"/>
      <c r="P27" s="19"/>
      <c r="Q27" s="19"/>
      <c r="R27" s="21"/>
      <c r="S27" s="46"/>
      <c r="T27" s="44"/>
      <c r="U27" s="76"/>
      <c r="V27" s="24"/>
      <c r="W27" s="24"/>
      <c r="X27" s="193"/>
      <c r="Y27" s="15"/>
      <c r="AA27">
        <v>5</v>
      </c>
      <c r="AB27" s="486">
        <v>5</v>
      </c>
      <c r="AC27" s="89">
        <v>1</v>
      </c>
      <c r="AD27" s="95" t="s">
        <v>86</v>
      </c>
      <c r="AE27" s="39">
        <f t="shared" si="2"/>
        <v>0</v>
      </c>
      <c r="AF27" s="65">
        <f t="shared" si="3"/>
        <v>0</v>
      </c>
      <c r="AG27" s="65">
        <f t="shared" si="4"/>
        <v>0</v>
      </c>
      <c r="AH27" s="65">
        <f t="shared" si="5"/>
        <v>0</v>
      </c>
      <c r="AI27" s="104">
        <f t="shared" si="6"/>
        <v>0</v>
      </c>
      <c r="AJ27" s="115">
        <f t="shared" si="7"/>
        <v>0</v>
      </c>
      <c r="AK27" s="116">
        <f t="shared" si="8"/>
        <v>0</v>
      </c>
      <c r="AL27" s="116">
        <f t="shared" si="9"/>
        <v>0</v>
      </c>
      <c r="AM27" s="116">
        <f t="shared" si="10"/>
        <v>0</v>
      </c>
      <c r="AN27" s="117">
        <f t="shared" si="11"/>
        <v>0</v>
      </c>
      <c r="AO27" s="39">
        <f t="shared" si="12"/>
        <v>0</v>
      </c>
      <c r="AP27" s="65">
        <f t="shared" si="13"/>
        <v>0</v>
      </c>
      <c r="AQ27" s="65">
        <f t="shared" si="14"/>
        <v>0</v>
      </c>
      <c r="AR27" s="65">
        <f t="shared" si="15"/>
        <v>0</v>
      </c>
      <c r="AS27" s="65">
        <f t="shared" si="16"/>
        <v>0</v>
      </c>
      <c r="AU27" s="195" t="s">
        <v>153</v>
      </c>
      <c r="AV27" s="195">
        <f t="shared" si="23"/>
        <v>0</v>
      </c>
      <c r="AW27" s="196" t="e">
        <f t="shared" si="24"/>
        <v>#DIV/0!</v>
      </c>
    </row>
    <row r="28" spans="2:49" s="8" customFormat="1" ht="13.5" customHeight="1" x14ac:dyDescent="0.25">
      <c r="B28" s="15">
        <v>26</v>
      </c>
      <c r="D28" s="5"/>
      <c r="E28" s="67"/>
      <c r="F28" s="16"/>
      <c r="J28" s="9"/>
      <c r="K28" s="9">
        <f t="shared" si="0"/>
        <v>0</v>
      </c>
      <c r="L28" s="35">
        <f t="shared" si="1"/>
        <v>0</v>
      </c>
      <c r="M28" s="2"/>
      <c r="N28"/>
      <c r="O28" s="19"/>
      <c r="P28" s="19"/>
      <c r="Q28" s="19"/>
      <c r="R28" s="21"/>
      <c r="S28" s="46"/>
      <c r="T28" s="44"/>
      <c r="U28" s="76"/>
      <c r="V28" s="24"/>
      <c r="W28" s="24"/>
      <c r="X28" s="193"/>
      <c r="Y28" s="15"/>
      <c r="AA28">
        <v>5</v>
      </c>
      <c r="AB28" s="487"/>
      <c r="AC28" s="90">
        <v>2</v>
      </c>
      <c r="AD28" s="97" t="s">
        <v>87</v>
      </c>
      <c r="AE28" s="39">
        <f t="shared" si="2"/>
        <v>0</v>
      </c>
      <c r="AF28" s="65">
        <f t="shared" si="3"/>
        <v>0</v>
      </c>
      <c r="AG28" s="65">
        <f t="shared" si="4"/>
        <v>0</v>
      </c>
      <c r="AH28" s="65">
        <f t="shared" si="5"/>
        <v>0</v>
      </c>
      <c r="AI28" s="104">
        <f t="shared" si="6"/>
        <v>0</v>
      </c>
      <c r="AJ28" s="115">
        <f t="shared" si="7"/>
        <v>0</v>
      </c>
      <c r="AK28" s="116">
        <f t="shared" si="8"/>
        <v>0</v>
      </c>
      <c r="AL28" s="116">
        <f t="shared" si="9"/>
        <v>0</v>
      </c>
      <c r="AM28" s="116">
        <f t="shared" si="10"/>
        <v>0</v>
      </c>
      <c r="AN28" s="117">
        <f t="shared" si="11"/>
        <v>0</v>
      </c>
      <c r="AO28" s="39">
        <f t="shared" si="12"/>
        <v>0</v>
      </c>
      <c r="AP28" s="65">
        <f t="shared" si="13"/>
        <v>0</v>
      </c>
      <c r="AQ28" s="65">
        <f t="shared" si="14"/>
        <v>0</v>
      </c>
      <c r="AR28" s="65">
        <f t="shared" si="15"/>
        <v>0</v>
      </c>
      <c r="AS28" s="65">
        <f t="shared" si="16"/>
        <v>0</v>
      </c>
      <c r="AU28" s="195" t="s">
        <v>154</v>
      </c>
      <c r="AV28" s="195">
        <f t="shared" si="23"/>
        <v>0</v>
      </c>
      <c r="AW28" s="196" t="e">
        <f t="shared" si="24"/>
        <v>#DIV/0!</v>
      </c>
    </row>
    <row r="29" spans="2:49" s="8" customFormat="1" ht="13.5" customHeight="1" x14ac:dyDescent="0.25">
      <c r="B29" s="15">
        <v>27</v>
      </c>
      <c r="D29" s="5"/>
      <c r="E29" s="67"/>
      <c r="F29" s="16"/>
      <c r="J29" s="9"/>
      <c r="K29" s="9">
        <f t="shared" si="0"/>
        <v>0</v>
      </c>
      <c r="L29" s="35">
        <f t="shared" si="1"/>
        <v>0</v>
      </c>
      <c r="M29" s="2"/>
      <c r="N29"/>
      <c r="O29" s="19"/>
      <c r="P29" s="19"/>
      <c r="Q29" s="19"/>
      <c r="R29" s="21"/>
      <c r="S29" s="46"/>
      <c r="T29" s="44"/>
      <c r="U29" s="76"/>
      <c r="V29" s="24"/>
      <c r="W29" s="24"/>
      <c r="X29" s="193"/>
      <c r="Y29" s="15"/>
      <c r="AA29">
        <v>5</v>
      </c>
      <c r="AB29" s="487"/>
      <c r="AC29" s="90">
        <v>3</v>
      </c>
      <c r="AD29" s="97" t="s">
        <v>88</v>
      </c>
      <c r="AE29" s="39">
        <f t="shared" si="2"/>
        <v>0</v>
      </c>
      <c r="AF29" s="65">
        <f t="shared" si="3"/>
        <v>0</v>
      </c>
      <c r="AG29" s="65">
        <f t="shared" si="4"/>
        <v>0</v>
      </c>
      <c r="AH29" s="65">
        <f t="shared" si="5"/>
        <v>0</v>
      </c>
      <c r="AI29" s="104">
        <f t="shared" si="6"/>
        <v>0</v>
      </c>
      <c r="AJ29" s="115">
        <f t="shared" si="7"/>
        <v>0</v>
      </c>
      <c r="AK29" s="116">
        <f t="shared" si="8"/>
        <v>0</v>
      </c>
      <c r="AL29" s="116">
        <f t="shared" si="9"/>
        <v>0</v>
      </c>
      <c r="AM29" s="116">
        <f t="shared" si="10"/>
        <v>0</v>
      </c>
      <c r="AN29" s="117">
        <f t="shared" si="11"/>
        <v>0</v>
      </c>
      <c r="AO29" s="39">
        <f t="shared" si="12"/>
        <v>0</v>
      </c>
      <c r="AP29" s="65">
        <f t="shared" si="13"/>
        <v>0</v>
      </c>
      <c r="AQ29" s="65">
        <f t="shared" si="14"/>
        <v>0</v>
      </c>
      <c r="AR29" s="65">
        <f t="shared" si="15"/>
        <v>0</v>
      </c>
      <c r="AS29" s="65">
        <f t="shared" si="16"/>
        <v>0</v>
      </c>
      <c r="AU29" s="195" t="s">
        <v>155</v>
      </c>
      <c r="AV29" s="195">
        <f t="shared" si="23"/>
        <v>0</v>
      </c>
      <c r="AW29" s="196" t="e">
        <f t="shared" si="24"/>
        <v>#DIV/0!</v>
      </c>
    </row>
    <row r="30" spans="2:49" s="8" customFormat="1" ht="13.5" customHeight="1" x14ac:dyDescent="0.25">
      <c r="B30" s="15">
        <v>28</v>
      </c>
      <c r="D30" s="5"/>
      <c r="E30" s="67"/>
      <c r="F30" s="16"/>
      <c r="J30" s="9"/>
      <c r="K30" s="9">
        <f t="shared" si="0"/>
        <v>0</v>
      </c>
      <c r="L30" s="35">
        <f t="shared" si="1"/>
        <v>0</v>
      </c>
      <c r="M30" s="2"/>
      <c r="N30"/>
      <c r="O30" s="19"/>
      <c r="P30" s="19"/>
      <c r="Q30" s="19"/>
      <c r="R30" s="21"/>
      <c r="S30" s="46"/>
      <c r="T30" s="44"/>
      <c r="U30" s="76"/>
      <c r="V30" s="24"/>
      <c r="W30" s="24"/>
      <c r="X30" s="193"/>
      <c r="Y30" s="15"/>
      <c r="AA30">
        <v>5</v>
      </c>
      <c r="AB30" s="487"/>
      <c r="AC30" s="90">
        <v>4</v>
      </c>
      <c r="AD30" s="97" t="s">
        <v>89</v>
      </c>
      <c r="AE30" s="39">
        <f t="shared" si="2"/>
        <v>0</v>
      </c>
      <c r="AF30" s="65">
        <f t="shared" si="3"/>
        <v>0</v>
      </c>
      <c r="AG30" s="65">
        <f t="shared" si="4"/>
        <v>0</v>
      </c>
      <c r="AH30" s="65">
        <f t="shared" si="5"/>
        <v>0</v>
      </c>
      <c r="AI30" s="104">
        <f t="shared" si="6"/>
        <v>0</v>
      </c>
      <c r="AJ30" s="115">
        <f t="shared" si="7"/>
        <v>0</v>
      </c>
      <c r="AK30" s="116">
        <f t="shared" si="8"/>
        <v>0</v>
      </c>
      <c r="AL30" s="116">
        <f t="shared" si="9"/>
        <v>0</v>
      </c>
      <c r="AM30" s="116">
        <f t="shared" si="10"/>
        <v>0</v>
      </c>
      <c r="AN30" s="117">
        <f t="shared" si="11"/>
        <v>0</v>
      </c>
      <c r="AO30" s="39">
        <f t="shared" si="12"/>
        <v>0</v>
      </c>
      <c r="AP30" s="65">
        <f t="shared" si="13"/>
        <v>0</v>
      </c>
      <c r="AQ30" s="65">
        <f t="shared" si="14"/>
        <v>0</v>
      </c>
      <c r="AR30" s="65">
        <f t="shared" si="15"/>
        <v>0</v>
      </c>
      <c r="AS30" s="65">
        <f t="shared" si="16"/>
        <v>0</v>
      </c>
      <c r="AU30" s="195" t="s">
        <v>156</v>
      </c>
      <c r="AV30" s="195">
        <f t="shared" si="23"/>
        <v>0</v>
      </c>
      <c r="AW30" s="196" t="e">
        <f t="shared" si="24"/>
        <v>#DIV/0!</v>
      </c>
    </row>
    <row r="31" spans="2:49" s="8" customFormat="1" ht="13.5" customHeight="1" x14ac:dyDescent="0.25">
      <c r="B31" s="15">
        <v>29</v>
      </c>
      <c r="D31" s="5"/>
      <c r="E31" s="67"/>
      <c r="F31" s="16"/>
      <c r="J31" s="9"/>
      <c r="K31" s="9">
        <f t="shared" si="0"/>
        <v>0</v>
      </c>
      <c r="L31" s="35">
        <f t="shared" si="1"/>
        <v>0</v>
      </c>
      <c r="M31" s="2"/>
      <c r="N31"/>
      <c r="O31" s="19"/>
      <c r="P31" s="19"/>
      <c r="Q31" s="19"/>
      <c r="R31" s="21"/>
      <c r="S31" s="46"/>
      <c r="T31" s="44"/>
      <c r="U31" s="76"/>
      <c r="V31" s="24"/>
      <c r="W31" s="24"/>
      <c r="X31" s="193"/>
      <c r="Y31" s="15"/>
      <c r="AA31">
        <v>5</v>
      </c>
      <c r="AB31" s="487"/>
      <c r="AC31" s="91">
        <v>5</v>
      </c>
      <c r="AD31" s="97"/>
      <c r="AE31" s="39">
        <f t="shared" si="2"/>
        <v>0</v>
      </c>
      <c r="AF31" s="65">
        <f t="shared" si="3"/>
        <v>0</v>
      </c>
      <c r="AG31" s="65">
        <f t="shared" si="4"/>
        <v>0</v>
      </c>
      <c r="AH31" s="65">
        <f t="shared" si="5"/>
        <v>0</v>
      </c>
      <c r="AI31" s="104">
        <f t="shared" si="6"/>
        <v>0</v>
      </c>
      <c r="AJ31" s="115">
        <f t="shared" si="7"/>
        <v>0</v>
      </c>
      <c r="AK31" s="116">
        <f t="shared" si="8"/>
        <v>0</v>
      </c>
      <c r="AL31" s="116">
        <f t="shared" si="9"/>
        <v>0</v>
      </c>
      <c r="AM31" s="116">
        <f t="shared" si="10"/>
        <v>0</v>
      </c>
      <c r="AN31" s="117">
        <f t="shared" si="11"/>
        <v>0</v>
      </c>
      <c r="AO31" s="39">
        <f t="shared" si="12"/>
        <v>0</v>
      </c>
      <c r="AP31" s="65">
        <f t="shared" si="13"/>
        <v>0</v>
      </c>
      <c r="AQ31" s="65">
        <f t="shared" si="14"/>
        <v>0</v>
      </c>
      <c r="AR31" s="65">
        <f t="shared" si="15"/>
        <v>0</v>
      </c>
      <c r="AS31" s="65">
        <f t="shared" si="16"/>
        <v>0</v>
      </c>
      <c r="AU31" s="195" t="s">
        <v>157</v>
      </c>
      <c r="AV31" s="195">
        <f t="shared" si="23"/>
        <v>0</v>
      </c>
      <c r="AW31" s="196" t="e">
        <f t="shared" si="24"/>
        <v>#DIV/0!</v>
      </c>
    </row>
    <row r="32" spans="2:49" s="8" customFormat="1" ht="13.5" customHeight="1" thickBot="1" x14ac:dyDescent="0.3">
      <c r="B32" s="15">
        <v>30</v>
      </c>
      <c r="D32" s="5"/>
      <c r="E32" s="67"/>
      <c r="F32" s="16"/>
      <c r="J32" s="9"/>
      <c r="K32" s="9">
        <f t="shared" si="0"/>
        <v>0</v>
      </c>
      <c r="L32" s="35">
        <f t="shared" si="1"/>
        <v>0</v>
      </c>
      <c r="M32" s="2"/>
      <c r="N32"/>
      <c r="O32" s="19"/>
      <c r="P32" s="19"/>
      <c r="Q32" s="19"/>
      <c r="R32" s="21"/>
      <c r="S32" s="46"/>
      <c r="T32" s="44"/>
      <c r="U32" s="76"/>
      <c r="V32" s="24"/>
      <c r="W32" s="24"/>
      <c r="X32" s="193"/>
      <c r="Y32" s="15"/>
      <c r="AA32">
        <v>5</v>
      </c>
      <c r="AB32" s="488"/>
      <c r="AC32" s="92" t="s">
        <v>3</v>
      </c>
      <c r="AD32" s="98"/>
      <c r="AE32" s="94">
        <f t="shared" ref="AE32:AS32" si="25">SUM(AE27:AE31)</f>
        <v>0</v>
      </c>
      <c r="AF32" s="94">
        <f t="shared" si="25"/>
        <v>0</v>
      </c>
      <c r="AG32" s="94">
        <f t="shared" si="25"/>
        <v>0</v>
      </c>
      <c r="AH32" s="94">
        <f t="shared" si="25"/>
        <v>0</v>
      </c>
      <c r="AI32" s="105">
        <f t="shared" si="25"/>
        <v>0</v>
      </c>
      <c r="AJ32" s="118">
        <f t="shared" si="25"/>
        <v>0</v>
      </c>
      <c r="AK32" s="119">
        <f t="shared" si="25"/>
        <v>0</v>
      </c>
      <c r="AL32" s="119">
        <f t="shared" si="25"/>
        <v>0</v>
      </c>
      <c r="AM32" s="119">
        <f t="shared" si="25"/>
        <v>0</v>
      </c>
      <c r="AN32" s="120">
        <f t="shared" si="25"/>
        <v>0</v>
      </c>
      <c r="AO32" s="94">
        <f t="shared" si="25"/>
        <v>0</v>
      </c>
      <c r="AP32" s="94">
        <f t="shared" si="25"/>
        <v>0</v>
      </c>
      <c r="AQ32" s="94">
        <f t="shared" si="25"/>
        <v>0</v>
      </c>
      <c r="AR32" s="94">
        <f t="shared" si="25"/>
        <v>0</v>
      </c>
      <c r="AS32" s="94">
        <f t="shared" si="25"/>
        <v>0</v>
      </c>
      <c r="AU32" s="195" t="s">
        <v>158</v>
      </c>
      <c r="AV32" s="195">
        <f t="shared" si="23"/>
        <v>0</v>
      </c>
      <c r="AW32" s="196" t="e">
        <f t="shared" si="24"/>
        <v>#DIV/0!</v>
      </c>
    </row>
    <row r="33" spans="2:49" s="8" customFormat="1" ht="13.5" customHeight="1" x14ac:dyDescent="0.25">
      <c r="B33" s="15">
        <v>31</v>
      </c>
      <c r="D33" s="5"/>
      <c r="E33" s="67"/>
      <c r="F33" s="16"/>
      <c r="J33" s="9"/>
      <c r="K33" s="9">
        <f t="shared" si="0"/>
        <v>0</v>
      </c>
      <c r="L33" s="35">
        <f t="shared" si="1"/>
        <v>0</v>
      </c>
      <c r="M33" s="2"/>
      <c r="N33"/>
      <c r="O33" s="19"/>
      <c r="P33" s="19"/>
      <c r="Q33" s="19"/>
      <c r="R33" s="21"/>
      <c r="S33" s="46"/>
      <c r="T33" s="44"/>
      <c r="U33" s="76"/>
      <c r="V33" s="24"/>
      <c r="W33" s="24"/>
      <c r="X33" s="193"/>
      <c r="Y33" s="15"/>
      <c r="AA33">
        <v>6</v>
      </c>
      <c r="AB33" s="486">
        <v>6</v>
      </c>
      <c r="AC33" s="89">
        <v>1</v>
      </c>
      <c r="AD33" s="95" t="s">
        <v>90</v>
      </c>
      <c r="AE33" s="39">
        <f t="shared" si="2"/>
        <v>0</v>
      </c>
      <c r="AF33" s="65">
        <f t="shared" si="3"/>
        <v>0</v>
      </c>
      <c r="AG33" s="65">
        <f t="shared" si="4"/>
        <v>0</v>
      </c>
      <c r="AH33" s="65">
        <f t="shared" si="5"/>
        <v>0</v>
      </c>
      <c r="AI33" s="104">
        <f t="shared" si="6"/>
        <v>0</v>
      </c>
      <c r="AJ33" s="115">
        <f t="shared" si="7"/>
        <v>0</v>
      </c>
      <c r="AK33" s="116">
        <f t="shared" si="8"/>
        <v>0</v>
      </c>
      <c r="AL33" s="116">
        <f t="shared" si="9"/>
        <v>0</v>
      </c>
      <c r="AM33" s="116">
        <f t="shared" si="10"/>
        <v>0</v>
      </c>
      <c r="AN33" s="117">
        <f t="shared" si="11"/>
        <v>0</v>
      </c>
      <c r="AO33" s="39">
        <f t="shared" si="12"/>
        <v>0</v>
      </c>
      <c r="AP33" s="65">
        <f t="shared" si="13"/>
        <v>0</v>
      </c>
      <c r="AQ33" s="65">
        <f t="shared" si="14"/>
        <v>0</v>
      </c>
      <c r="AR33" s="65">
        <f t="shared" si="15"/>
        <v>0</v>
      </c>
      <c r="AS33" s="65">
        <f t="shared" si="16"/>
        <v>0</v>
      </c>
      <c r="AU33" s="194" t="s">
        <v>159</v>
      </c>
      <c r="AV33" s="194">
        <f>SUM(AV25:AV32)</f>
        <v>0</v>
      </c>
      <c r="AW33" s="197" t="e">
        <f t="shared" si="24"/>
        <v>#DIV/0!</v>
      </c>
    </row>
    <row r="34" spans="2:49" s="8" customFormat="1" ht="13.5" customHeight="1" x14ac:dyDescent="0.25">
      <c r="B34" s="15">
        <v>32</v>
      </c>
      <c r="D34" s="5"/>
      <c r="E34" s="67"/>
      <c r="F34" s="16"/>
      <c r="J34" s="9"/>
      <c r="K34" s="9">
        <f t="shared" si="0"/>
        <v>0</v>
      </c>
      <c r="L34" s="35">
        <f t="shared" si="1"/>
        <v>0</v>
      </c>
      <c r="M34" s="2"/>
      <c r="N34"/>
      <c r="O34" s="19"/>
      <c r="P34" s="19"/>
      <c r="Q34" s="19"/>
      <c r="R34" s="21"/>
      <c r="S34" s="46"/>
      <c r="T34" s="44"/>
      <c r="U34" s="76"/>
      <c r="V34" s="24"/>
      <c r="W34" s="24"/>
      <c r="X34" s="193"/>
      <c r="Y34" s="15"/>
      <c r="AA34">
        <v>6</v>
      </c>
      <c r="AB34" s="487"/>
      <c r="AC34" s="90">
        <v>2</v>
      </c>
      <c r="AD34" s="97" t="s">
        <v>91</v>
      </c>
      <c r="AE34" s="39">
        <f t="shared" si="2"/>
        <v>0</v>
      </c>
      <c r="AF34" s="65">
        <f t="shared" si="3"/>
        <v>0</v>
      </c>
      <c r="AG34" s="65">
        <f t="shared" si="4"/>
        <v>0</v>
      </c>
      <c r="AH34" s="65">
        <f t="shared" si="5"/>
        <v>0</v>
      </c>
      <c r="AI34" s="104">
        <f t="shared" si="6"/>
        <v>0</v>
      </c>
      <c r="AJ34" s="115">
        <f t="shared" si="7"/>
        <v>0</v>
      </c>
      <c r="AK34" s="116">
        <f t="shared" si="8"/>
        <v>0</v>
      </c>
      <c r="AL34" s="116">
        <f t="shared" si="9"/>
        <v>0</v>
      </c>
      <c r="AM34" s="116">
        <f t="shared" si="10"/>
        <v>0</v>
      </c>
      <c r="AN34" s="117">
        <f t="shared" si="11"/>
        <v>0</v>
      </c>
      <c r="AO34" s="39">
        <f t="shared" si="12"/>
        <v>0</v>
      </c>
      <c r="AP34" s="65">
        <f t="shared" si="13"/>
        <v>0</v>
      </c>
      <c r="AQ34" s="65">
        <f t="shared" si="14"/>
        <v>0</v>
      </c>
      <c r="AR34" s="65">
        <f t="shared" si="15"/>
        <v>0</v>
      </c>
      <c r="AS34" s="65">
        <f t="shared" si="16"/>
        <v>0</v>
      </c>
    </row>
    <row r="35" spans="2:49" s="8" customFormat="1" ht="13.5" customHeight="1" x14ac:dyDescent="0.25">
      <c r="B35" s="15">
        <v>33</v>
      </c>
      <c r="D35" s="5"/>
      <c r="E35" s="67"/>
      <c r="F35" s="16"/>
      <c r="J35" s="9"/>
      <c r="K35" s="9">
        <f t="shared" si="0"/>
        <v>0</v>
      </c>
      <c r="L35" s="35">
        <f t="shared" si="1"/>
        <v>0</v>
      </c>
      <c r="M35" s="2"/>
      <c r="N35"/>
      <c r="O35" s="19"/>
      <c r="P35" s="19"/>
      <c r="Q35" s="19"/>
      <c r="R35" s="21"/>
      <c r="S35" s="46"/>
      <c r="T35" s="44"/>
      <c r="U35" s="76"/>
      <c r="V35" s="24"/>
      <c r="W35" s="24"/>
      <c r="X35" s="193"/>
      <c r="Y35" s="15"/>
      <c r="AA35">
        <v>6</v>
      </c>
      <c r="AB35" s="487"/>
      <c r="AC35" s="90">
        <v>3</v>
      </c>
      <c r="AD35" s="97" t="s">
        <v>92</v>
      </c>
      <c r="AE35" s="39">
        <f t="shared" si="2"/>
        <v>0</v>
      </c>
      <c r="AF35" s="65">
        <f t="shared" si="3"/>
        <v>0</v>
      </c>
      <c r="AG35" s="65">
        <f t="shared" si="4"/>
        <v>0</v>
      </c>
      <c r="AH35" s="65">
        <f t="shared" si="5"/>
        <v>0</v>
      </c>
      <c r="AI35" s="104">
        <f t="shared" si="6"/>
        <v>0</v>
      </c>
      <c r="AJ35" s="115">
        <f t="shared" si="7"/>
        <v>0</v>
      </c>
      <c r="AK35" s="116">
        <f t="shared" si="8"/>
        <v>0</v>
      </c>
      <c r="AL35" s="116">
        <f t="shared" si="9"/>
        <v>0</v>
      </c>
      <c r="AM35" s="116">
        <f t="shared" si="10"/>
        <v>0</v>
      </c>
      <c r="AN35" s="117">
        <f t="shared" si="11"/>
        <v>0</v>
      </c>
      <c r="AO35" s="39">
        <f t="shared" si="12"/>
        <v>0</v>
      </c>
      <c r="AP35" s="65">
        <f t="shared" si="13"/>
        <v>0</v>
      </c>
      <c r="AQ35" s="65">
        <f t="shared" si="14"/>
        <v>0</v>
      </c>
      <c r="AR35" s="65">
        <f t="shared" si="15"/>
        <v>0</v>
      </c>
      <c r="AS35" s="65">
        <f t="shared" si="16"/>
        <v>0</v>
      </c>
    </row>
    <row r="36" spans="2:49" s="8" customFormat="1" ht="13.5" customHeight="1" x14ac:dyDescent="0.25">
      <c r="B36" s="15">
        <v>34</v>
      </c>
      <c r="D36" s="5"/>
      <c r="E36" s="67"/>
      <c r="F36" s="16"/>
      <c r="J36" s="9"/>
      <c r="K36" s="9">
        <f t="shared" si="0"/>
        <v>0</v>
      </c>
      <c r="L36" s="35">
        <f t="shared" si="1"/>
        <v>0</v>
      </c>
      <c r="M36" s="2"/>
      <c r="N36"/>
      <c r="O36" s="19"/>
      <c r="P36" s="19"/>
      <c r="Q36" s="19"/>
      <c r="R36" s="21"/>
      <c r="S36" s="46"/>
      <c r="T36" s="44"/>
      <c r="U36" s="76"/>
      <c r="V36" s="24"/>
      <c r="W36" s="24"/>
      <c r="X36" s="193"/>
      <c r="Y36" s="15"/>
      <c r="AA36">
        <v>6</v>
      </c>
      <c r="AB36" s="487"/>
      <c r="AC36" s="90">
        <v>4</v>
      </c>
      <c r="AD36" s="97" t="s">
        <v>93</v>
      </c>
      <c r="AE36" s="39">
        <f t="shared" si="2"/>
        <v>0</v>
      </c>
      <c r="AF36" s="65">
        <f t="shared" si="3"/>
        <v>0</v>
      </c>
      <c r="AG36" s="65">
        <f t="shared" si="4"/>
        <v>0</v>
      </c>
      <c r="AH36" s="65">
        <f t="shared" si="5"/>
        <v>0</v>
      </c>
      <c r="AI36" s="104">
        <f t="shared" si="6"/>
        <v>0</v>
      </c>
      <c r="AJ36" s="115">
        <f t="shared" si="7"/>
        <v>0</v>
      </c>
      <c r="AK36" s="116">
        <f t="shared" si="8"/>
        <v>0</v>
      </c>
      <c r="AL36" s="116">
        <f t="shared" si="9"/>
        <v>0</v>
      </c>
      <c r="AM36" s="116">
        <f t="shared" si="10"/>
        <v>0</v>
      </c>
      <c r="AN36" s="117">
        <f t="shared" si="11"/>
        <v>0</v>
      </c>
      <c r="AO36" s="39">
        <f t="shared" si="12"/>
        <v>0</v>
      </c>
      <c r="AP36" s="65">
        <f t="shared" si="13"/>
        <v>0</v>
      </c>
      <c r="AQ36" s="65">
        <f t="shared" si="14"/>
        <v>0</v>
      </c>
      <c r="AR36" s="65">
        <f t="shared" si="15"/>
        <v>0</v>
      </c>
      <c r="AS36" s="65">
        <f t="shared" si="16"/>
        <v>0</v>
      </c>
    </row>
    <row r="37" spans="2:49" s="8" customFormat="1" ht="13.5" customHeight="1" x14ac:dyDescent="0.25">
      <c r="B37" s="15">
        <v>35</v>
      </c>
      <c r="D37" s="5"/>
      <c r="E37" s="67"/>
      <c r="F37" s="16"/>
      <c r="J37" s="9"/>
      <c r="K37" s="9">
        <f t="shared" si="0"/>
        <v>0</v>
      </c>
      <c r="L37" s="35">
        <f t="shared" si="1"/>
        <v>0</v>
      </c>
      <c r="M37" s="2"/>
      <c r="N37"/>
      <c r="O37" s="19"/>
      <c r="P37" s="19"/>
      <c r="Q37" s="19"/>
      <c r="R37" s="21"/>
      <c r="S37" s="46"/>
      <c r="T37" s="250"/>
      <c r="U37" s="76"/>
      <c r="V37" s="24"/>
      <c r="W37" s="24"/>
      <c r="X37" s="193"/>
      <c r="Y37" s="15"/>
      <c r="AA37">
        <v>6</v>
      </c>
      <c r="AB37" s="487"/>
      <c r="AC37" s="91">
        <v>5</v>
      </c>
      <c r="AD37" s="97"/>
      <c r="AE37" s="39">
        <f t="shared" si="2"/>
        <v>0</v>
      </c>
      <c r="AF37" s="65">
        <f t="shared" si="3"/>
        <v>0</v>
      </c>
      <c r="AG37" s="65">
        <f t="shared" si="4"/>
        <v>0</v>
      </c>
      <c r="AH37" s="65">
        <f t="shared" si="5"/>
        <v>0</v>
      </c>
      <c r="AI37" s="104">
        <f t="shared" si="6"/>
        <v>0</v>
      </c>
      <c r="AJ37" s="115">
        <f t="shared" si="7"/>
        <v>0</v>
      </c>
      <c r="AK37" s="116">
        <f t="shared" si="8"/>
        <v>0</v>
      </c>
      <c r="AL37" s="116">
        <f t="shared" si="9"/>
        <v>0</v>
      </c>
      <c r="AM37" s="116">
        <f t="shared" si="10"/>
        <v>0</v>
      </c>
      <c r="AN37" s="117">
        <f t="shared" si="11"/>
        <v>0</v>
      </c>
      <c r="AO37" s="39">
        <f t="shared" si="12"/>
        <v>0</v>
      </c>
      <c r="AP37" s="65">
        <f t="shared" si="13"/>
        <v>0</v>
      </c>
      <c r="AQ37" s="65">
        <f t="shared" si="14"/>
        <v>0</v>
      </c>
      <c r="AR37" s="65">
        <f t="shared" si="15"/>
        <v>0</v>
      </c>
      <c r="AS37" s="65">
        <f t="shared" si="16"/>
        <v>0</v>
      </c>
    </row>
    <row r="38" spans="2:49" s="8" customFormat="1" ht="13.5" customHeight="1" thickBot="1" x14ac:dyDescent="0.3">
      <c r="B38" s="15">
        <v>36</v>
      </c>
      <c r="D38" s="5"/>
      <c r="E38" s="67"/>
      <c r="F38" s="16"/>
      <c r="J38" s="9"/>
      <c r="K38" s="9">
        <f t="shared" si="0"/>
        <v>0</v>
      </c>
      <c r="L38" s="35">
        <f t="shared" si="1"/>
        <v>0</v>
      </c>
      <c r="M38" s="2"/>
      <c r="N38"/>
      <c r="O38" s="19"/>
      <c r="P38" s="19"/>
      <c r="Q38" s="19"/>
      <c r="R38" s="21"/>
      <c r="S38" s="46"/>
      <c r="T38" s="44"/>
      <c r="U38" s="76"/>
      <c r="V38" s="24"/>
      <c r="W38" s="24"/>
      <c r="X38" s="193"/>
      <c r="Y38" s="15"/>
      <c r="AA38">
        <v>6</v>
      </c>
      <c r="AB38" s="488"/>
      <c r="AC38" s="92" t="s">
        <v>3</v>
      </c>
      <c r="AD38" s="98"/>
      <c r="AE38" s="94">
        <f t="shared" ref="AE38:AS38" si="26">SUM(AE33:AE37)</f>
        <v>0</v>
      </c>
      <c r="AF38" s="94">
        <f t="shared" si="26"/>
        <v>0</v>
      </c>
      <c r="AG38" s="94">
        <f t="shared" si="26"/>
        <v>0</v>
      </c>
      <c r="AH38" s="94">
        <f t="shared" si="26"/>
        <v>0</v>
      </c>
      <c r="AI38" s="105">
        <f t="shared" si="26"/>
        <v>0</v>
      </c>
      <c r="AJ38" s="118">
        <f t="shared" si="26"/>
        <v>0</v>
      </c>
      <c r="AK38" s="119">
        <f t="shared" si="26"/>
        <v>0</v>
      </c>
      <c r="AL38" s="119">
        <f t="shared" si="26"/>
        <v>0</v>
      </c>
      <c r="AM38" s="119">
        <f t="shared" si="26"/>
        <v>0</v>
      </c>
      <c r="AN38" s="120">
        <f t="shared" si="26"/>
        <v>0</v>
      </c>
      <c r="AO38" s="94">
        <f t="shared" si="26"/>
        <v>0</v>
      </c>
      <c r="AP38" s="94">
        <f t="shared" si="26"/>
        <v>0</v>
      </c>
      <c r="AQ38" s="94">
        <f t="shared" si="26"/>
        <v>0</v>
      </c>
      <c r="AR38" s="94">
        <f t="shared" si="26"/>
        <v>0</v>
      </c>
      <c r="AS38" s="94">
        <f t="shared" si="26"/>
        <v>0</v>
      </c>
    </row>
    <row r="39" spans="2:49" s="8" customFormat="1" ht="13.5" customHeight="1" x14ac:dyDescent="0.25">
      <c r="B39" s="15">
        <v>37</v>
      </c>
      <c r="D39" s="5"/>
      <c r="E39" s="67"/>
      <c r="F39" s="16"/>
      <c r="J39" s="9"/>
      <c r="K39" s="9">
        <f t="shared" si="0"/>
        <v>0</v>
      </c>
      <c r="L39" s="35">
        <f t="shared" si="1"/>
        <v>0</v>
      </c>
      <c r="M39" s="2"/>
      <c r="N39"/>
      <c r="O39" s="19"/>
      <c r="P39" s="19"/>
      <c r="Q39" s="19"/>
      <c r="R39" s="21"/>
      <c r="S39" s="46"/>
      <c r="T39" s="44"/>
      <c r="U39" s="76"/>
      <c r="V39" s="24"/>
      <c r="W39" s="24"/>
      <c r="X39" s="193"/>
      <c r="Y39" s="15"/>
      <c r="AA39">
        <v>7</v>
      </c>
      <c r="AB39" s="486">
        <v>7</v>
      </c>
      <c r="AC39" s="89">
        <v>1</v>
      </c>
      <c r="AD39" s="95" t="s">
        <v>94</v>
      </c>
      <c r="AE39" s="39">
        <f t="shared" si="2"/>
        <v>0</v>
      </c>
      <c r="AF39" s="65">
        <f t="shared" si="3"/>
        <v>0</v>
      </c>
      <c r="AG39" s="65">
        <f t="shared" si="4"/>
        <v>0</v>
      </c>
      <c r="AH39" s="65">
        <f t="shared" si="5"/>
        <v>0</v>
      </c>
      <c r="AI39" s="104">
        <f t="shared" si="6"/>
        <v>0</v>
      </c>
      <c r="AJ39" s="115">
        <f t="shared" si="7"/>
        <v>0</v>
      </c>
      <c r="AK39" s="116">
        <f t="shared" si="8"/>
        <v>0</v>
      </c>
      <c r="AL39" s="116">
        <f t="shared" si="9"/>
        <v>0</v>
      </c>
      <c r="AM39" s="116">
        <f t="shared" si="10"/>
        <v>0</v>
      </c>
      <c r="AN39" s="117">
        <f t="shared" si="11"/>
        <v>0</v>
      </c>
      <c r="AO39" s="39">
        <f t="shared" si="12"/>
        <v>0</v>
      </c>
      <c r="AP39" s="65">
        <f t="shared" si="13"/>
        <v>0</v>
      </c>
      <c r="AQ39" s="65">
        <f t="shared" si="14"/>
        <v>0</v>
      </c>
      <c r="AR39" s="65">
        <f t="shared" si="15"/>
        <v>0</v>
      </c>
      <c r="AS39" s="65">
        <f t="shared" si="16"/>
        <v>0</v>
      </c>
    </row>
    <row r="40" spans="2:49" s="8" customFormat="1" ht="13.5" customHeight="1" x14ac:dyDescent="0.25">
      <c r="B40" s="15">
        <v>38</v>
      </c>
      <c r="D40" s="5"/>
      <c r="E40" s="67"/>
      <c r="F40" s="16"/>
      <c r="J40" s="9"/>
      <c r="K40" s="9">
        <f t="shared" si="0"/>
        <v>0</v>
      </c>
      <c r="L40" s="35">
        <f t="shared" si="1"/>
        <v>0</v>
      </c>
      <c r="M40" s="2"/>
      <c r="N40"/>
      <c r="O40" s="19"/>
      <c r="P40" s="19"/>
      <c r="Q40" s="19"/>
      <c r="R40" s="21"/>
      <c r="S40" s="46"/>
      <c r="T40" s="44"/>
      <c r="U40" s="76"/>
      <c r="V40" s="24"/>
      <c r="W40" s="24"/>
      <c r="X40" s="193"/>
      <c r="Y40" s="15"/>
      <c r="AA40">
        <v>7</v>
      </c>
      <c r="AB40" s="487"/>
      <c r="AC40" s="90">
        <v>2</v>
      </c>
      <c r="AD40" s="97" t="s">
        <v>61</v>
      </c>
      <c r="AE40" s="39">
        <f t="shared" si="2"/>
        <v>0</v>
      </c>
      <c r="AF40" s="65">
        <f t="shared" si="3"/>
        <v>0</v>
      </c>
      <c r="AG40" s="65">
        <f t="shared" si="4"/>
        <v>0</v>
      </c>
      <c r="AH40" s="65">
        <f t="shared" si="5"/>
        <v>0</v>
      </c>
      <c r="AI40" s="104">
        <f t="shared" si="6"/>
        <v>0</v>
      </c>
      <c r="AJ40" s="115">
        <f t="shared" si="7"/>
        <v>0</v>
      </c>
      <c r="AK40" s="116">
        <f t="shared" si="8"/>
        <v>0</v>
      </c>
      <c r="AL40" s="116">
        <f t="shared" si="9"/>
        <v>0</v>
      </c>
      <c r="AM40" s="116">
        <f t="shared" si="10"/>
        <v>0</v>
      </c>
      <c r="AN40" s="117">
        <f t="shared" si="11"/>
        <v>0</v>
      </c>
      <c r="AO40" s="39">
        <f t="shared" si="12"/>
        <v>0</v>
      </c>
      <c r="AP40" s="65">
        <f t="shared" si="13"/>
        <v>0</v>
      </c>
      <c r="AQ40" s="65">
        <f t="shared" si="14"/>
        <v>0</v>
      </c>
      <c r="AR40" s="65">
        <f t="shared" si="15"/>
        <v>0</v>
      </c>
      <c r="AS40" s="65">
        <f t="shared" si="16"/>
        <v>0</v>
      </c>
    </row>
    <row r="41" spans="2:49" s="8" customFormat="1" ht="13.5" customHeight="1" x14ac:dyDescent="0.25">
      <c r="B41" s="15">
        <v>39</v>
      </c>
      <c r="D41" s="5"/>
      <c r="E41" s="67"/>
      <c r="F41" s="16"/>
      <c r="J41" s="9"/>
      <c r="K41" s="9">
        <f t="shared" si="0"/>
        <v>0</v>
      </c>
      <c r="L41" s="35">
        <f t="shared" si="1"/>
        <v>0</v>
      </c>
      <c r="M41" s="2"/>
      <c r="N41"/>
      <c r="O41" s="19"/>
      <c r="P41" s="19"/>
      <c r="Q41" s="19"/>
      <c r="R41" s="21"/>
      <c r="S41" s="46"/>
      <c r="T41" s="44"/>
      <c r="U41" s="76"/>
      <c r="V41" s="24"/>
      <c r="W41" s="24"/>
      <c r="X41" s="193"/>
      <c r="Y41" s="15"/>
      <c r="AA41">
        <v>7</v>
      </c>
      <c r="AB41" s="487"/>
      <c r="AC41" s="90">
        <v>3</v>
      </c>
      <c r="AD41" s="97" t="s">
        <v>62</v>
      </c>
      <c r="AE41" s="39">
        <f t="shared" si="2"/>
        <v>0</v>
      </c>
      <c r="AF41" s="65">
        <f t="shared" si="3"/>
        <v>0</v>
      </c>
      <c r="AG41" s="65">
        <f t="shared" si="4"/>
        <v>0</v>
      </c>
      <c r="AH41" s="65">
        <f t="shared" si="5"/>
        <v>0</v>
      </c>
      <c r="AI41" s="104">
        <f t="shared" si="6"/>
        <v>0</v>
      </c>
      <c r="AJ41" s="115">
        <f t="shared" si="7"/>
        <v>0</v>
      </c>
      <c r="AK41" s="116">
        <f t="shared" si="8"/>
        <v>0</v>
      </c>
      <c r="AL41" s="116">
        <f t="shared" si="9"/>
        <v>0</v>
      </c>
      <c r="AM41" s="116">
        <f t="shared" si="10"/>
        <v>0</v>
      </c>
      <c r="AN41" s="117">
        <f t="shared" si="11"/>
        <v>0</v>
      </c>
      <c r="AO41" s="39">
        <f t="shared" si="12"/>
        <v>0</v>
      </c>
      <c r="AP41" s="65">
        <f t="shared" si="13"/>
        <v>0</v>
      </c>
      <c r="AQ41" s="65">
        <f t="shared" si="14"/>
        <v>0</v>
      </c>
      <c r="AR41" s="65">
        <f t="shared" si="15"/>
        <v>0</v>
      </c>
      <c r="AS41" s="65">
        <f t="shared" si="16"/>
        <v>0</v>
      </c>
    </row>
    <row r="42" spans="2:49" s="8" customFormat="1" ht="13.5" customHeight="1" x14ac:dyDescent="0.25">
      <c r="B42" s="15">
        <v>40</v>
      </c>
      <c r="D42" s="5"/>
      <c r="E42" s="67"/>
      <c r="F42" s="16"/>
      <c r="J42" s="9"/>
      <c r="K42" s="9">
        <f t="shared" si="0"/>
        <v>0</v>
      </c>
      <c r="L42" s="35">
        <f t="shared" si="1"/>
        <v>0</v>
      </c>
      <c r="M42" s="2"/>
      <c r="N42"/>
      <c r="O42" s="19"/>
      <c r="P42" s="19"/>
      <c r="Q42" s="19"/>
      <c r="R42" s="21"/>
      <c r="S42" s="46"/>
      <c r="T42" s="44"/>
      <c r="U42" s="76"/>
      <c r="V42" s="24"/>
      <c r="W42" s="24"/>
      <c r="X42" s="193"/>
      <c r="Y42" s="15"/>
      <c r="AA42">
        <v>7</v>
      </c>
      <c r="AB42" s="487"/>
      <c r="AC42" s="90">
        <v>4</v>
      </c>
      <c r="AD42" s="97" t="s">
        <v>63</v>
      </c>
      <c r="AE42" s="39">
        <f t="shared" si="2"/>
        <v>0</v>
      </c>
      <c r="AF42" s="65">
        <f t="shared" si="3"/>
        <v>0</v>
      </c>
      <c r="AG42" s="65">
        <f t="shared" si="4"/>
        <v>0</v>
      </c>
      <c r="AH42" s="65">
        <f t="shared" si="5"/>
        <v>0</v>
      </c>
      <c r="AI42" s="104">
        <f t="shared" si="6"/>
        <v>0</v>
      </c>
      <c r="AJ42" s="115">
        <f t="shared" si="7"/>
        <v>0</v>
      </c>
      <c r="AK42" s="116">
        <f t="shared" si="8"/>
        <v>0</v>
      </c>
      <c r="AL42" s="116">
        <f t="shared" si="9"/>
        <v>0</v>
      </c>
      <c r="AM42" s="116">
        <f t="shared" si="10"/>
        <v>0</v>
      </c>
      <c r="AN42" s="117">
        <f t="shared" si="11"/>
        <v>0</v>
      </c>
      <c r="AO42" s="39">
        <f t="shared" si="12"/>
        <v>0</v>
      </c>
      <c r="AP42" s="65">
        <f t="shared" si="13"/>
        <v>0</v>
      </c>
      <c r="AQ42" s="65">
        <f t="shared" si="14"/>
        <v>0</v>
      </c>
      <c r="AR42" s="65">
        <f t="shared" si="15"/>
        <v>0</v>
      </c>
      <c r="AS42" s="65">
        <f t="shared" si="16"/>
        <v>0</v>
      </c>
    </row>
    <row r="43" spans="2:49" x14ac:dyDescent="0.25">
      <c r="B43" s="15">
        <v>41</v>
      </c>
      <c r="C43" s="8"/>
      <c r="E43" s="67"/>
      <c r="F43" s="16"/>
      <c r="G43" s="8"/>
      <c r="H43" s="8"/>
      <c r="I43" s="8"/>
      <c r="J43" s="9"/>
      <c r="K43" s="9">
        <f t="shared" si="0"/>
        <v>0</v>
      </c>
      <c r="L43" s="35">
        <f t="shared" si="1"/>
        <v>0</v>
      </c>
      <c r="M43" s="2"/>
      <c r="O43" s="19"/>
      <c r="P43" s="19"/>
      <c r="Q43" s="19"/>
      <c r="R43" s="21"/>
      <c r="S43" s="46"/>
      <c r="T43" s="44"/>
      <c r="U43" s="77"/>
      <c r="V43" s="30"/>
      <c r="W43" s="24"/>
      <c r="X43" s="193"/>
      <c r="Y43" s="15"/>
      <c r="AA43">
        <v>7</v>
      </c>
      <c r="AB43" s="487"/>
      <c r="AC43" s="91">
        <v>5</v>
      </c>
      <c r="AD43" s="100" t="s">
        <v>95</v>
      </c>
      <c r="AE43" s="39">
        <f t="shared" si="2"/>
        <v>0</v>
      </c>
      <c r="AF43" s="65">
        <f t="shared" si="3"/>
        <v>0</v>
      </c>
      <c r="AG43" s="65">
        <f t="shared" si="4"/>
        <v>0</v>
      </c>
      <c r="AH43" s="65">
        <f t="shared" si="5"/>
        <v>0</v>
      </c>
      <c r="AI43" s="104">
        <f t="shared" si="6"/>
        <v>0</v>
      </c>
      <c r="AJ43" s="115">
        <f t="shared" si="7"/>
        <v>0</v>
      </c>
      <c r="AK43" s="116">
        <f t="shared" si="8"/>
        <v>0</v>
      </c>
      <c r="AL43" s="116">
        <f t="shared" si="9"/>
        <v>0</v>
      </c>
      <c r="AM43" s="116">
        <f t="shared" si="10"/>
        <v>0</v>
      </c>
      <c r="AN43" s="117">
        <f t="shared" si="11"/>
        <v>0</v>
      </c>
      <c r="AO43" s="39">
        <f t="shared" si="12"/>
        <v>0</v>
      </c>
      <c r="AP43" s="65">
        <f t="shared" si="13"/>
        <v>0</v>
      </c>
      <c r="AQ43" s="65">
        <f t="shared" si="14"/>
        <v>0</v>
      </c>
      <c r="AR43" s="65">
        <f t="shared" si="15"/>
        <v>0</v>
      </c>
      <c r="AS43" s="65">
        <f t="shared" si="16"/>
        <v>0</v>
      </c>
    </row>
    <row r="44" spans="2:49" ht="14.25" thickBot="1" x14ac:dyDescent="0.3">
      <c r="B44" s="15">
        <v>42</v>
      </c>
      <c r="C44" s="8"/>
      <c r="E44" s="67"/>
      <c r="F44" s="16"/>
      <c r="G44" s="8"/>
      <c r="H44" s="8"/>
      <c r="I44" s="8"/>
      <c r="J44" s="9"/>
      <c r="K44" s="9">
        <f t="shared" si="0"/>
        <v>0</v>
      </c>
      <c r="L44" s="35">
        <f t="shared" si="1"/>
        <v>0</v>
      </c>
      <c r="M44" s="2"/>
      <c r="O44" s="19"/>
      <c r="P44" s="19"/>
      <c r="Q44" s="19"/>
      <c r="R44" s="21"/>
      <c r="S44" s="46"/>
      <c r="T44" s="44"/>
      <c r="U44" s="77"/>
      <c r="V44" s="30"/>
      <c r="W44" s="24"/>
      <c r="X44" s="193"/>
      <c r="Y44" s="15"/>
      <c r="AA44">
        <v>7</v>
      </c>
      <c r="AB44" s="488"/>
      <c r="AC44" s="92" t="s">
        <v>3</v>
      </c>
      <c r="AD44" s="101"/>
      <c r="AE44" s="94">
        <f t="shared" ref="AE44:AS44" si="27">SUM(AE39:AE43)</f>
        <v>0</v>
      </c>
      <c r="AF44" s="94">
        <f t="shared" si="27"/>
        <v>0</v>
      </c>
      <c r="AG44" s="94">
        <f t="shared" si="27"/>
        <v>0</v>
      </c>
      <c r="AH44" s="94">
        <f t="shared" si="27"/>
        <v>0</v>
      </c>
      <c r="AI44" s="105">
        <f t="shared" si="27"/>
        <v>0</v>
      </c>
      <c r="AJ44" s="118">
        <f t="shared" si="27"/>
        <v>0</v>
      </c>
      <c r="AK44" s="119">
        <f t="shared" si="27"/>
        <v>0</v>
      </c>
      <c r="AL44" s="119">
        <f t="shared" si="27"/>
        <v>0</v>
      </c>
      <c r="AM44" s="119">
        <f t="shared" si="27"/>
        <v>0</v>
      </c>
      <c r="AN44" s="120">
        <f t="shared" si="27"/>
        <v>0</v>
      </c>
      <c r="AO44" s="94">
        <f t="shared" si="27"/>
        <v>0</v>
      </c>
      <c r="AP44" s="94">
        <f t="shared" si="27"/>
        <v>0</v>
      </c>
      <c r="AQ44" s="94">
        <f t="shared" si="27"/>
        <v>0</v>
      </c>
      <c r="AR44" s="94">
        <f t="shared" si="27"/>
        <v>0</v>
      </c>
      <c r="AS44" s="94">
        <f t="shared" si="27"/>
        <v>0</v>
      </c>
    </row>
    <row r="45" spans="2:49" x14ac:dyDescent="0.25">
      <c r="B45" s="15">
        <v>43</v>
      </c>
      <c r="C45" s="8"/>
      <c r="E45" s="67"/>
      <c r="F45" s="16"/>
      <c r="G45" s="8"/>
      <c r="H45" s="8"/>
      <c r="I45" s="8"/>
      <c r="J45" s="9"/>
      <c r="K45" s="9">
        <f t="shared" si="0"/>
        <v>0</v>
      </c>
      <c r="L45" s="35">
        <f t="shared" si="1"/>
        <v>0</v>
      </c>
      <c r="M45" s="2"/>
      <c r="O45" s="19"/>
      <c r="P45" s="19"/>
      <c r="Q45" s="19"/>
      <c r="R45" s="21"/>
      <c r="S45" s="46"/>
      <c r="T45" s="44"/>
      <c r="U45" s="77"/>
      <c r="V45" s="30"/>
      <c r="W45" s="24"/>
      <c r="X45" s="193"/>
      <c r="Y45" s="15"/>
      <c r="AA45">
        <v>8</v>
      </c>
      <c r="AB45" s="486">
        <v>8</v>
      </c>
      <c r="AC45" s="89">
        <v>1</v>
      </c>
      <c r="AD45" s="95" t="s">
        <v>96</v>
      </c>
      <c r="AE45" s="39">
        <f t="shared" si="2"/>
        <v>0</v>
      </c>
      <c r="AF45" s="65">
        <f t="shared" si="3"/>
        <v>0</v>
      </c>
      <c r="AG45" s="65">
        <f t="shared" si="4"/>
        <v>0</v>
      </c>
      <c r="AH45" s="65">
        <f t="shared" si="5"/>
        <v>0</v>
      </c>
      <c r="AI45" s="104">
        <f t="shared" si="6"/>
        <v>0</v>
      </c>
      <c r="AJ45" s="115">
        <f t="shared" si="7"/>
        <v>0</v>
      </c>
      <c r="AK45" s="116">
        <f t="shared" si="8"/>
        <v>0</v>
      </c>
      <c r="AL45" s="116">
        <f t="shared" si="9"/>
        <v>0</v>
      </c>
      <c r="AM45" s="116">
        <f t="shared" si="10"/>
        <v>0</v>
      </c>
      <c r="AN45" s="117">
        <f t="shared" si="11"/>
        <v>0</v>
      </c>
      <c r="AO45" s="39">
        <f t="shared" si="12"/>
        <v>0</v>
      </c>
      <c r="AP45" s="65">
        <f t="shared" si="13"/>
        <v>0</v>
      </c>
      <c r="AQ45" s="65">
        <f t="shared" si="14"/>
        <v>0</v>
      </c>
      <c r="AR45" s="65">
        <f t="shared" si="15"/>
        <v>0</v>
      </c>
      <c r="AS45" s="65">
        <f t="shared" si="16"/>
        <v>0</v>
      </c>
    </row>
    <row r="46" spans="2:49" x14ac:dyDescent="0.25">
      <c r="B46" s="15">
        <v>44</v>
      </c>
      <c r="C46" s="8"/>
      <c r="E46" s="67"/>
      <c r="F46" s="16"/>
      <c r="G46" s="8"/>
      <c r="H46" s="8"/>
      <c r="I46" s="8"/>
      <c r="J46" s="9"/>
      <c r="K46" s="9">
        <f t="shared" si="0"/>
        <v>0</v>
      </c>
      <c r="L46" s="35">
        <f t="shared" si="1"/>
        <v>0</v>
      </c>
      <c r="M46" s="2"/>
      <c r="O46" s="19"/>
      <c r="P46" s="19"/>
      <c r="Q46" s="19"/>
      <c r="R46" s="21"/>
      <c r="S46" s="46"/>
      <c r="T46" s="44"/>
      <c r="U46" s="77"/>
      <c r="V46" s="24"/>
      <c r="W46" s="24"/>
      <c r="X46" s="193"/>
      <c r="Y46" s="15"/>
      <c r="AA46">
        <v>8</v>
      </c>
      <c r="AB46" s="487"/>
      <c r="AC46" s="90">
        <v>2</v>
      </c>
      <c r="AD46" s="97" t="s">
        <v>97</v>
      </c>
      <c r="AE46" s="39">
        <f t="shared" si="2"/>
        <v>0</v>
      </c>
      <c r="AF46" s="65">
        <f t="shared" si="3"/>
        <v>0</v>
      </c>
      <c r="AG46" s="65">
        <f t="shared" si="4"/>
        <v>0</v>
      </c>
      <c r="AH46" s="65">
        <f t="shared" si="5"/>
        <v>0</v>
      </c>
      <c r="AI46" s="104">
        <f t="shared" si="6"/>
        <v>0</v>
      </c>
      <c r="AJ46" s="115">
        <f t="shared" si="7"/>
        <v>0</v>
      </c>
      <c r="AK46" s="116">
        <f t="shared" si="8"/>
        <v>0</v>
      </c>
      <c r="AL46" s="116">
        <f t="shared" si="9"/>
        <v>0</v>
      </c>
      <c r="AM46" s="116">
        <f t="shared" si="10"/>
        <v>0</v>
      </c>
      <c r="AN46" s="117">
        <f t="shared" si="11"/>
        <v>0</v>
      </c>
      <c r="AO46" s="39">
        <f t="shared" si="12"/>
        <v>0</v>
      </c>
      <c r="AP46" s="65">
        <f t="shared" si="13"/>
        <v>0</v>
      </c>
      <c r="AQ46" s="65">
        <f t="shared" si="14"/>
        <v>0</v>
      </c>
      <c r="AR46" s="65">
        <f t="shared" si="15"/>
        <v>0</v>
      </c>
      <c r="AS46" s="65">
        <f t="shared" si="16"/>
        <v>0</v>
      </c>
    </row>
    <row r="47" spans="2:49" x14ac:dyDescent="0.25">
      <c r="B47" s="15">
        <v>45</v>
      </c>
      <c r="C47" s="8"/>
      <c r="E47" s="67"/>
      <c r="F47" s="16"/>
      <c r="G47" s="8"/>
      <c r="H47" s="8"/>
      <c r="I47" s="8"/>
      <c r="J47" s="9"/>
      <c r="K47" s="9">
        <f t="shared" si="0"/>
        <v>0</v>
      </c>
      <c r="L47" s="35">
        <f t="shared" si="1"/>
        <v>0</v>
      </c>
      <c r="M47" s="2"/>
      <c r="O47" s="19"/>
      <c r="P47" s="19"/>
      <c r="Q47" s="19"/>
      <c r="R47" s="21"/>
      <c r="S47" s="46"/>
      <c r="T47" s="44"/>
      <c r="U47" s="77"/>
      <c r="V47" s="24"/>
      <c r="W47" s="24"/>
      <c r="X47" s="193"/>
      <c r="Y47" s="15"/>
      <c r="AA47">
        <v>8</v>
      </c>
      <c r="AB47" s="487"/>
      <c r="AC47" s="90">
        <v>3</v>
      </c>
      <c r="AD47" s="97" t="s">
        <v>98</v>
      </c>
      <c r="AE47" s="39">
        <f t="shared" si="2"/>
        <v>0</v>
      </c>
      <c r="AF47" s="65">
        <f t="shared" si="3"/>
        <v>0</v>
      </c>
      <c r="AG47" s="65">
        <f t="shared" si="4"/>
        <v>0</v>
      </c>
      <c r="AH47" s="65">
        <f t="shared" si="5"/>
        <v>0</v>
      </c>
      <c r="AI47" s="104">
        <f t="shared" si="6"/>
        <v>0</v>
      </c>
      <c r="AJ47" s="115">
        <f t="shared" si="7"/>
        <v>0</v>
      </c>
      <c r="AK47" s="116">
        <f t="shared" si="8"/>
        <v>0</v>
      </c>
      <c r="AL47" s="116">
        <f t="shared" si="9"/>
        <v>0</v>
      </c>
      <c r="AM47" s="116">
        <f t="shared" si="10"/>
        <v>0</v>
      </c>
      <c r="AN47" s="117">
        <f t="shared" si="11"/>
        <v>0</v>
      </c>
      <c r="AO47" s="39">
        <f t="shared" si="12"/>
        <v>0</v>
      </c>
      <c r="AP47" s="65">
        <f t="shared" si="13"/>
        <v>0</v>
      </c>
      <c r="AQ47" s="65">
        <f t="shared" si="14"/>
        <v>0</v>
      </c>
      <c r="AR47" s="65">
        <f t="shared" si="15"/>
        <v>0</v>
      </c>
      <c r="AS47" s="65">
        <f t="shared" si="16"/>
        <v>0</v>
      </c>
    </row>
    <row r="48" spans="2:49" x14ac:dyDescent="0.25">
      <c r="B48" s="15">
        <v>46</v>
      </c>
      <c r="C48" s="8"/>
      <c r="E48" s="67"/>
      <c r="F48" s="16"/>
      <c r="G48" s="8"/>
      <c r="H48" s="8"/>
      <c r="I48" s="8"/>
      <c r="J48" s="9"/>
      <c r="K48" s="9">
        <f t="shared" si="0"/>
        <v>0</v>
      </c>
      <c r="L48" s="35">
        <f t="shared" si="1"/>
        <v>0</v>
      </c>
      <c r="M48" s="2"/>
      <c r="O48" s="19"/>
      <c r="P48" s="19"/>
      <c r="Q48" s="19"/>
      <c r="R48" s="21"/>
      <c r="S48" s="46"/>
      <c r="T48" s="44"/>
      <c r="U48" s="77"/>
      <c r="V48" s="24"/>
      <c r="W48" s="24"/>
      <c r="X48" s="193"/>
      <c r="Y48" s="15"/>
      <c r="AA48">
        <v>8</v>
      </c>
      <c r="AB48" s="487"/>
      <c r="AC48" s="90">
        <v>4</v>
      </c>
      <c r="AD48" s="97" t="s">
        <v>99</v>
      </c>
      <c r="AE48" s="39">
        <f t="shared" si="2"/>
        <v>0</v>
      </c>
      <c r="AF48" s="65">
        <f t="shared" si="3"/>
        <v>0</v>
      </c>
      <c r="AG48" s="65">
        <f t="shared" si="4"/>
        <v>0</v>
      </c>
      <c r="AH48" s="65">
        <f t="shared" si="5"/>
        <v>0</v>
      </c>
      <c r="AI48" s="104">
        <f t="shared" si="6"/>
        <v>0</v>
      </c>
      <c r="AJ48" s="115">
        <f t="shared" si="7"/>
        <v>0</v>
      </c>
      <c r="AK48" s="116">
        <f t="shared" si="8"/>
        <v>0</v>
      </c>
      <c r="AL48" s="116">
        <f t="shared" si="9"/>
        <v>0</v>
      </c>
      <c r="AM48" s="116">
        <f t="shared" si="10"/>
        <v>0</v>
      </c>
      <c r="AN48" s="117">
        <f t="shared" si="11"/>
        <v>0</v>
      </c>
      <c r="AO48" s="39">
        <f t="shared" si="12"/>
        <v>0</v>
      </c>
      <c r="AP48" s="65">
        <f t="shared" si="13"/>
        <v>0</v>
      </c>
      <c r="AQ48" s="65">
        <f t="shared" si="14"/>
        <v>0</v>
      </c>
      <c r="AR48" s="65">
        <f t="shared" si="15"/>
        <v>0</v>
      </c>
      <c r="AS48" s="65">
        <f t="shared" si="16"/>
        <v>0</v>
      </c>
    </row>
    <row r="49" spans="2:45" x14ac:dyDescent="0.25">
      <c r="B49" s="15">
        <v>47</v>
      </c>
      <c r="C49" s="8"/>
      <c r="E49" s="67"/>
      <c r="F49" s="16"/>
      <c r="G49" s="8"/>
      <c r="H49" s="8"/>
      <c r="I49" s="8"/>
      <c r="K49" s="9">
        <f t="shared" si="0"/>
        <v>0</v>
      </c>
      <c r="L49" s="35">
        <f t="shared" si="1"/>
        <v>0</v>
      </c>
      <c r="M49" s="2"/>
      <c r="O49" s="19"/>
      <c r="P49" s="19"/>
      <c r="Q49" s="19"/>
      <c r="R49" s="21"/>
      <c r="S49" s="46"/>
      <c r="T49" s="44"/>
      <c r="U49" s="77"/>
      <c r="V49" s="30"/>
      <c r="W49" s="24"/>
      <c r="X49" s="193"/>
      <c r="Y49" s="15"/>
      <c r="AA49">
        <v>8</v>
      </c>
      <c r="AB49" s="487"/>
      <c r="AC49" s="91">
        <v>5</v>
      </c>
      <c r="AD49" s="100"/>
      <c r="AE49" s="39">
        <f t="shared" si="2"/>
        <v>0</v>
      </c>
      <c r="AF49" s="65">
        <f t="shared" si="3"/>
        <v>0</v>
      </c>
      <c r="AG49" s="65">
        <f t="shared" si="4"/>
        <v>0</v>
      </c>
      <c r="AH49" s="65">
        <f t="shared" si="5"/>
        <v>0</v>
      </c>
      <c r="AI49" s="104">
        <f t="shared" si="6"/>
        <v>0</v>
      </c>
      <c r="AJ49" s="115">
        <f t="shared" si="7"/>
        <v>0</v>
      </c>
      <c r="AK49" s="116">
        <f t="shared" si="8"/>
        <v>0</v>
      </c>
      <c r="AL49" s="116">
        <f t="shared" si="9"/>
        <v>0</v>
      </c>
      <c r="AM49" s="116">
        <f t="shared" si="10"/>
        <v>0</v>
      </c>
      <c r="AN49" s="117">
        <f t="shared" si="11"/>
        <v>0</v>
      </c>
      <c r="AO49" s="39">
        <f t="shared" si="12"/>
        <v>0</v>
      </c>
      <c r="AP49" s="65">
        <f t="shared" si="13"/>
        <v>0</v>
      </c>
      <c r="AQ49" s="65">
        <f t="shared" si="14"/>
        <v>0</v>
      </c>
      <c r="AR49" s="65">
        <f t="shared" si="15"/>
        <v>0</v>
      </c>
      <c r="AS49" s="65">
        <f t="shared" si="16"/>
        <v>0</v>
      </c>
    </row>
    <row r="50" spans="2:45" ht="14.25" thickBot="1" x14ac:dyDescent="0.3">
      <c r="B50" s="15">
        <v>48</v>
      </c>
      <c r="C50" s="8"/>
      <c r="E50" s="67"/>
      <c r="F50" s="16"/>
      <c r="G50" s="8"/>
      <c r="H50" s="8"/>
      <c r="I50" s="8"/>
      <c r="J50" s="9"/>
      <c r="K50" s="9">
        <f t="shared" si="0"/>
        <v>0</v>
      </c>
      <c r="L50" s="35">
        <f t="shared" si="1"/>
        <v>0</v>
      </c>
      <c r="M50" s="2"/>
      <c r="O50" s="19"/>
      <c r="P50" s="19"/>
      <c r="Q50" s="19"/>
      <c r="R50" s="21"/>
      <c r="S50" s="46"/>
      <c r="T50" s="44"/>
      <c r="U50" s="77"/>
      <c r="V50" s="30"/>
      <c r="W50" s="24"/>
      <c r="X50" s="193"/>
      <c r="Y50" s="15"/>
      <c r="AA50">
        <v>8</v>
      </c>
      <c r="AB50" s="488"/>
      <c r="AC50" s="92" t="s">
        <v>3</v>
      </c>
      <c r="AD50" s="101"/>
      <c r="AE50" s="94">
        <f t="shared" ref="AE50:AS50" si="28">SUM(AE45:AE49)</f>
        <v>0</v>
      </c>
      <c r="AF50" s="94">
        <f t="shared" si="28"/>
        <v>0</v>
      </c>
      <c r="AG50" s="94">
        <f t="shared" si="28"/>
        <v>0</v>
      </c>
      <c r="AH50" s="94">
        <f t="shared" si="28"/>
        <v>0</v>
      </c>
      <c r="AI50" s="105">
        <f t="shared" si="28"/>
        <v>0</v>
      </c>
      <c r="AJ50" s="118">
        <f t="shared" si="28"/>
        <v>0</v>
      </c>
      <c r="AK50" s="119">
        <f t="shared" si="28"/>
        <v>0</v>
      </c>
      <c r="AL50" s="119">
        <f t="shared" si="28"/>
        <v>0</v>
      </c>
      <c r="AM50" s="119">
        <f t="shared" si="28"/>
        <v>0</v>
      </c>
      <c r="AN50" s="120">
        <f t="shared" si="28"/>
        <v>0</v>
      </c>
      <c r="AO50" s="94">
        <f t="shared" si="28"/>
        <v>0</v>
      </c>
      <c r="AP50" s="94">
        <f t="shared" si="28"/>
        <v>0</v>
      </c>
      <c r="AQ50" s="94">
        <f t="shared" si="28"/>
        <v>0</v>
      </c>
      <c r="AR50" s="94">
        <f t="shared" si="28"/>
        <v>0</v>
      </c>
      <c r="AS50" s="94">
        <f t="shared" si="28"/>
        <v>0</v>
      </c>
    </row>
    <row r="51" spans="2:45" x14ac:dyDescent="0.25">
      <c r="B51" s="15">
        <v>49</v>
      </c>
      <c r="C51" s="8"/>
      <c r="E51" s="67"/>
      <c r="F51" s="16"/>
      <c r="G51" s="8"/>
      <c r="H51" s="8"/>
      <c r="I51" s="8"/>
      <c r="J51" s="9"/>
      <c r="K51" s="9">
        <f t="shared" si="0"/>
        <v>0</v>
      </c>
      <c r="L51" s="35">
        <f t="shared" si="1"/>
        <v>0</v>
      </c>
      <c r="M51" s="2"/>
      <c r="O51" s="19"/>
      <c r="P51" s="19"/>
      <c r="Q51" s="19"/>
      <c r="R51" s="21"/>
      <c r="S51" s="46"/>
      <c r="T51" s="44"/>
      <c r="U51" s="77"/>
      <c r="V51" s="30"/>
      <c r="W51" s="24"/>
      <c r="X51" s="193"/>
      <c r="Y51" s="15"/>
      <c r="AA51">
        <v>9</v>
      </c>
      <c r="AB51" s="486">
        <v>9</v>
      </c>
      <c r="AC51" s="89">
        <v>1</v>
      </c>
      <c r="AD51" s="95" t="s">
        <v>100</v>
      </c>
      <c r="AE51" s="39">
        <f t="shared" si="2"/>
        <v>0</v>
      </c>
      <c r="AF51" s="65">
        <f t="shared" si="3"/>
        <v>0</v>
      </c>
      <c r="AG51" s="65">
        <f t="shared" si="4"/>
        <v>0</v>
      </c>
      <c r="AH51" s="65">
        <f t="shared" si="5"/>
        <v>0</v>
      </c>
      <c r="AI51" s="104">
        <f t="shared" si="6"/>
        <v>0</v>
      </c>
      <c r="AJ51" s="115">
        <f t="shared" si="7"/>
        <v>0</v>
      </c>
      <c r="AK51" s="116">
        <f t="shared" si="8"/>
        <v>0</v>
      </c>
      <c r="AL51" s="116">
        <f t="shared" si="9"/>
        <v>0</v>
      </c>
      <c r="AM51" s="116">
        <f t="shared" si="10"/>
        <v>0</v>
      </c>
      <c r="AN51" s="117">
        <f t="shared" si="11"/>
        <v>0</v>
      </c>
      <c r="AO51" s="39">
        <f t="shared" si="12"/>
        <v>0</v>
      </c>
      <c r="AP51" s="65">
        <f t="shared" si="13"/>
        <v>0</v>
      </c>
      <c r="AQ51" s="65">
        <f t="shared" si="14"/>
        <v>0</v>
      </c>
      <c r="AR51" s="65">
        <f t="shared" si="15"/>
        <v>0</v>
      </c>
      <c r="AS51" s="65">
        <f t="shared" si="16"/>
        <v>0</v>
      </c>
    </row>
    <row r="52" spans="2:45" x14ac:dyDescent="0.25">
      <c r="B52" s="15">
        <v>50</v>
      </c>
      <c r="C52" s="8"/>
      <c r="E52" s="67"/>
      <c r="F52" s="16"/>
      <c r="G52" s="8"/>
      <c r="H52" s="8"/>
      <c r="I52" s="8"/>
      <c r="J52" s="9"/>
      <c r="K52" s="9">
        <f t="shared" si="0"/>
        <v>0</v>
      </c>
      <c r="L52" s="35">
        <f t="shared" si="1"/>
        <v>0</v>
      </c>
      <c r="M52" s="2"/>
      <c r="O52" s="19"/>
      <c r="P52" s="19"/>
      <c r="Q52" s="19"/>
      <c r="R52" s="21"/>
      <c r="S52" s="46"/>
      <c r="T52" s="44"/>
      <c r="U52" s="77"/>
      <c r="V52" s="30"/>
      <c r="W52" s="24"/>
      <c r="X52" s="193"/>
      <c r="Y52" s="15"/>
      <c r="AA52">
        <v>9</v>
      </c>
      <c r="AB52" s="487"/>
      <c r="AC52" s="90">
        <v>2</v>
      </c>
      <c r="AD52" s="97" t="s">
        <v>101</v>
      </c>
      <c r="AE52" s="39">
        <f t="shared" si="2"/>
        <v>0</v>
      </c>
      <c r="AF52" s="65">
        <f t="shared" si="3"/>
        <v>0</v>
      </c>
      <c r="AG52" s="65">
        <f t="shared" si="4"/>
        <v>0</v>
      </c>
      <c r="AH52" s="65">
        <f t="shared" si="5"/>
        <v>0</v>
      </c>
      <c r="AI52" s="104">
        <f t="shared" si="6"/>
        <v>0</v>
      </c>
      <c r="AJ52" s="115">
        <f t="shared" si="7"/>
        <v>0</v>
      </c>
      <c r="AK52" s="116">
        <f t="shared" si="8"/>
        <v>0</v>
      </c>
      <c r="AL52" s="116">
        <f t="shared" si="9"/>
        <v>0</v>
      </c>
      <c r="AM52" s="116">
        <f t="shared" si="10"/>
        <v>0</v>
      </c>
      <c r="AN52" s="117">
        <f t="shared" si="11"/>
        <v>0</v>
      </c>
      <c r="AO52" s="39">
        <f t="shared" si="12"/>
        <v>0</v>
      </c>
      <c r="AP52" s="65">
        <f t="shared" si="13"/>
        <v>0</v>
      </c>
      <c r="AQ52" s="65">
        <f t="shared" si="14"/>
        <v>0</v>
      </c>
      <c r="AR52" s="65">
        <f t="shared" si="15"/>
        <v>0</v>
      </c>
      <c r="AS52" s="65">
        <f t="shared" si="16"/>
        <v>0</v>
      </c>
    </row>
    <row r="53" spans="2:45" x14ac:dyDescent="0.25">
      <c r="B53" s="15">
        <v>51</v>
      </c>
      <c r="C53" s="8"/>
      <c r="E53" s="67"/>
      <c r="F53" s="16"/>
      <c r="G53" s="8"/>
      <c r="H53" s="8"/>
      <c r="I53" s="8"/>
      <c r="J53" s="9"/>
      <c r="K53" s="9">
        <f t="shared" si="0"/>
        <v>0</v>
      </c>
      <c r="L53" s="35">
        <f t="shared" si="1"/>
        <v>0</v>
      </c>
      <c r="M53" s="2"/>
      <c r="O53" s="19"/>
      <c r="P53" s="19"/>
      <c r="Q53" s="19"/>
      <c r="R53" s="21"/>
      <c r="S53" s="46"/>
      <c r="T53" s="44"/>
      <c r="U53" s="77"/>
      <c r="V53" s="30"/>
      <c r="W53" s="24"/>
      <c r="X53" s="193"/>
      <c r="Y53" s="15"/>
      <c r="AA53">
        <v>9</v>
      </c>
      <c r="AB53" s="487"/>
      <c r="AC53" s="90">
        <v>3</v>
      </c>
      <c r="AD53" s="97" t="s">
        <v>102</v>
      </c>
      <c r="AE53" s="39">
        <f t="shared" si="2"/>
        <v>0</v>
      </c>
      <c r="AF53" s="65">
        <f t="shared" si="3"/>
        <v>0</v>
      </c>
      <c r="AG53" s="65">
        <f t="shared" si="4"/>
        <v>0</v>
      </c>
      <c r="AH53" s="65">
        <f t="shared" si="5"/>
        <v>0</v>
      </c>
      <c r="AI53" s="104">
        <f t="shared" si="6"/>
        <v>0</v>
      </c>
      <c r="AJ53" s="115">
        <f t="shared" si="7"/>
        <v>0</v>
      </c>
      <c r="AK53" s="116">
        <f t="shared" si="8"/>
        <v>0</v>
      </c>
      <c r="AL53" s="116">
        <f t="shared" si="9"/>
        <v>0</v>
      </c>
      <c r="AM53" s="116">
        <f t="shared" si="10"/>
        <v>0</v>
      </c>
      <c r="AN53" s="117">
        <f t="shared" si="11"/>
        <v>0</v>
      </c>
      <c r="AO53" s="39">
        <f t="shared" si="12"/>
        <v>0</v>
      </c>
      <c r="AP53" s="65">
        <f t="shared" si="13"/>
        <v>0</v>
      </c>
      <c r="AQ53" s="65">
        <f t="shared" si="14"/>
        <v>0</v>
      </c>
      <c r="AR53" s="65">
        <f t="shared" si="15"/>
        <v>0</v>
      </c>
      <c r="AS53" s="65">
        <f t="shared" si="16"/>
        <v>0</v>
      </c>
    </row>
    <row r="54" spans="2:45" x14ac:dyDescent="0.25">
      <c r="B54" s="15">
        <v>52</v>
      </c>
      <c r="C54" s="8"/>
      <c r="E54" s="67"/>
      <c r="F54" s="16"/>
      <c r="G54" s="8"/>
      <c r="H54" s="8"/>
      <c r="I54" s="8"/>
      <c r="J54" s="9"/>
      <c r="K54" s="9">
        <f t="shared" si="0"/>
        <v>0</v>
      </c>
      <c r="L54" s="35">
        <f t="shared" si="1"/>
        <v>0</v>
      </c>
      <c r="M54" s="2"/>
      <c r="O54" s="19"/>
      <c r="P54" s="19"/>
      <c r="Q54" s="19"/>
      <c r="R54" s="21"/>
      <c r="S54" s="46"/>
      <c r="T54" s="44"/>
      <c r="U54" s="77"/>
      <c r="V54" s="30"/>
      <c r="W54" s="24"/>
      <c r="X54" s="193"/>
      <c r="Y54" s="15"/>
      <c r="AA54">
        <v>9</v>
      </c>
      <c r="AB54" s="487"/>
      <c r="AC54" s="90">
        <v>4</v>
      </c>
      <c r="AD54" s="97" t="s">
        <v>103</v>
      </c>
      <c r="AE54" s="39">
        <f t="shared" si="2"/>
        <v>0</v>
      </c>
      <c r="AF54" s="65">
        <f t="shared" si="3"/>
        <v>0</v>
      </c>
      <c r="AG54" s="65">
        <f t="shared" si="4"/>
        <v>0</v>
      </c>
      <c r="AH54" s="65">
        <f t="shared" si="5"/>
        <v>0</v>
      </c>
      <c r="AI54" s="104">
        <f t="shared" si="6"/>
        <v>0</v>
      </c>
      <c r="AJ54" s="115">
        <f t="shared" si="7"/>
        <v>0</v>
      </c>
      <c r="AK54" s="116">
        <f t="shared" si="8"/>
        <v>0</v>
      </c>
      <c r="AL54" s="116">
        <f t="shared" si="9"/>
        <v>0</v>
      </c>
      <c r="AM54" s="116">
        <f t="shared" si="10"/>
        <v>0</v>
      </c>
      <c r="AN54" s="117">
        <f t="shared" si="11"/>
        <v>0</v>
      </c>
      <c r="AO54" s="39">
        <f t="shared" si="12"/>
        <v>0</v>
      </c>
      <c r="AP54" s="65">
        <f t="shared" si="13"/>
        <v>0</v>
      </c>
      <c r="AQ54" s="65">
        <f t="shared" si="14"/>
        <v>0</v>
      </c>
      <c r="AR54" s="65">
        <f t="shared" si="15"/>
        <v>0</v>
      </c>
      <c r="AS54" s="65">
        <f t="shared" si="16"/>
        <v>0</v>
      </c>
    </row>
    <row r="55" spans="2:45" x14ac:dyDescent="0.25">
      <c r="B55" s="15">
        <v>53</v>
      </c>
      <c r="C55" s="8"/>
      <c r="E55" s="67"/>
      <c r="F55" s="16"/>
      <c r="G55" s="8"/>
      <c r="H55" s="8"/>
      <c r="I55" s="8"/>
      <c r="J55" s="9"/>
      <c r="K55" s="9">
        <f t="shared" si="0"/>
        <v>0</v>
      </c>
      <c r="L55" s="35">
        <f t="shared" si="1"/>
        <v>0</v>
      </c>
      <c r="M55" s="2"/>
      <c r="O55" s="19"/>
      <c r="P55" s="19"/>
      <c r="Q55" s="19"/>
      <c r="R55" s="21"/>
      <c r="S55" s="46"/>
      <c r="T55" s="44"/>
      <c r="U55" s="77"/>
      <c r="V55" s="24"/>
      <c r="W55" s="24"/>
      <c r="X55" s="193"/>
      <c r="Y55" s="15"/>
      <c r="AA55">
        <v>9</v>
      </c>
      <c r="AB55" s="487"/>
      <c r="AC55" s="91">
        <v>5</v>
      </c>
      <c r="AD55" s="100"/>
      <c r="AE55" s="39">
        <f t="shared" si="2"/>
        <v>0</v>
      </c>
      <c r="AF55" s="65">
        <f t="shared" si="3"/>
        <v>0</v>
      </c>
      <c r="AG55" s="65">
        <f t="shared" si="4"/>
        <v>0</v>
      </c>
      <c r="AH55" s="65">
        <f t="shared" si="5"/>
        <v>0</v>
      </c>
      <c r="AI55" s="104">
        <f t="shared" si="6"/>
        <v>0</v>
      </c>
      <c r="AJ55" s="115">
        <f t="shared" si="7"/>
        <v>0</v>
      </c>
      <c r="AK55" s="116">
        <f t="shared" si="8"/>
        <v>0</v>
      </c>
      <c r="AL55" s="116">
        <f t="shared" si="9"/>
        <v>0</v>
      </c>
      <c r="AM55" s="116">
        <f t="shared" si="10"/>
        <v>0</v>
      </c>
      <c r="AN55" s="117">
        <f t="shared" si="11"/>
        <v>0</v>
      </c>
      <c r="AO55" s="39">
        <f t="shared" si="12"/>
        <v>0</v>
      </c>
      <c r="AP55" s="65">
        <f t="shared" si="13"/>
        <v>0</v>
      </c>
      <c r="AQ55" s="65">
        <f t="shared" si="14"/>
        <v>0</v>
      </c>
      <c r="AR55" s="65">
        <f t="shared" si="15"/>
        <v>0</v>
      </c>
      <c r="AS55" s="65">
        <f t="shared" si="16"/>
        <v>0</v>
      </c>
    </row>
    <row r="56" spans="2:45" ht="14.25" thickBot="1" x14ac:dyDescent="0.3">
      <c r="B56" s="15">
        <v>54</v>
      </c>
      <c r="C56" s="8"/>
      <c r="E56" s="67"/>
      <c r="F56" s="16"/>
      <c r="G56" s="8"/>
      <c r="H56" s="8"/>
      <c r="I56" s="8"/>
      <c r="J56" s="9"/>
      <c r="K56" s="9">
        <f t="shared" si="0"/>
        <v>0</v>
      </c>
      <c r="L56" s="35">
        <f t="shared" si="1"/>
        <v>0</v>
      </c>
      <c r="O56" s="19"/>
      <c r="P56" s="19"/>
      <c r="Q56" s="19"/>
      <c r="R56" s="21"/>
      <c r="S56" s="46"/>
      <c r="T56" s="44"/>
      <c r="U56" s="76"/>
      <c r="V56" s="24"/>
      <c r="W56" s="24"/>
      <c r="X56" s="193"/>
      <c r="Y56" s="15"/>
      <c r="AA56">
        <v>9</v>
      </c>
      <c r="AB56" s="488"/>
      <c r="AC56" s="92" t="s">
        <v>3</v>
      </c>
      <c r="AD56" s="101"/>
      <c r="AE56" s="94">
        <f t="shared" ref="AE56:AS56" si="29">SUM(AE51:AE55)</f>
        <v>0</v>
      </c>
      <c r="AF56" s="94">
        <f t="shared" si="29"/>
        <v>0</v>
      </c>
      <c r="AG56" s="94">
        <f t="shared" si="29"/>
        <v>0</v>
      </c>
      <c r="AH56" s="94">
        <f t="shared" si="29"/>
        <v>0</v>
      </c>
      <c r="AI56" s="105">
        <f t="shared" si="29"/>
        <v>0</v>
      </c>
      <c r="AJ56" s="118">
        <f t="shared" si="29"/>
        <v>0</v>
      </c>
      <c r="AK56" s="119">
        <f t="shared" si="29"/>
        <v>0</v>
      </c>
      <c r="AL56" s="119">
        <f t="shared" si="29"/>
        <v>0</v>
      </c>
      <c r="AM56" s="119">
        <f t="shared" si="29"/>
        <v>0</v>
      </c>
      <c r="AN56" s="120">
        <f t="shared" si="29"/>
        <v>0</v>
      </c>
      <c r="AO56" s="94">
        <f t="shared" si="29"/>
        <v>0</v>
      </c>
      <c r="AP56" s="94">
        <f t="shared" si="29"/>
        <v>0</v>
      </c>
      <c r="AQ56" s="94">
        <f t="shared" si="29"/>
        <v>0</v>
      </c>
      <c r="AR56" s="94">
        <f t="shared" si="29"/>
        <v>0</v>
      </c>
      <c r="AS56" s="94">
        <f t="shared" si="29"/>
        <v>0</v>
      </c>
    </row>
    <row r="57" spans="2:45" x14ac:dyDescent="0.25">
      <c r="B57" s="15">
        <v>55</v>
      </c>
      <c r="C57" s="8"/>
      <c r="E57" s="67"/>
      <c r="F57" s="16"/>
      <c r="G57" s="8"/>
      <c r="H57" s="8"/>
      <c r="I57" s="8"/>
      <c r="J57" s="9"/>
      <c r="K57" s="9">
        <f t="shared" si="0"/>
        <v>0</v>
      </c>
      <c r="L57" s="35">
        <f t="shared" si="1"/>
        <v>0</v>
      </c>
      <c r="M57" s="2"/>
      <c r="O57" s="19"/>
      <c r="P57" s="19"/>
      <c r="Q57" s="19"/>
      <c r="R57" s="21"/>
      <c r="S57" s="46"/>
      <c r="T57" s="44"/>
      <c r="U57" s="77"/>
      <c r="V57" s="30"/>
      <c r="W57" s="24"/>
      <c r="X57" s="193"/>
      <c r="Y57" s="15"/>
      <c r="AA57">
        <v>10</v>
      </c>
      <c r="AB57" s="486">
        <v>10</v>
      </c>
      <c r="AC57" s="89">
        <v>1</v>
      </c>
      <c r="AD57" s="95" t="s">
        <v>104</v>
      </c>
      <c r="AE57" s="39">
        <f t="shared" si="2"/>
        <v>0</v>
      </c>
      <c r="AF57" s="65">
        <f t="shared" si="3"/>
        <v>0</v>
      </c>
      <c r="AG57" s="65">
        <f t="shared" si="4"/>
        <v>0</v>
      </c>
      <c r="AH57" s="65">
        <f t="shared" si="5"/>
        <v>0</v>
      </c>
      <c r="AI57" s="104">
        <f t="shared" si="6"/>
        <v>0</v>
      </c>
      <c r="AJ57" s="115">
        <f t="shared" si="7"/>
        <v>0</v>
      </c>
      <c r="AK57" s="116">
        <f t="shared" si="8"/>
        <v>0</v>
      </c>
      <c r="AL57" s="116">
        <f t="shared" si="9"/>
        <v>0</v>
      </c>
      <c r="AM57" s="116">
        <f t="shared" si="10"/>
        <v>0</v>
      </c>
      <c r="AN57" s="117">
        <f t="shared" si="11"/>
        <v>0</v>
      </c>
      <c r="AO57" s="39">
        <f t="shared" si="12"/>
        <v>0</v>
      </c>
      <c r="AP57" s="65">
        <f t="shared" si="13"/>
        <v>0</v>
      </c>
      <c r="AQ57" s="65">
        <f t="shared" si="14"/>
        <v>0</v>
      </c>
      <c r="AR57" s="65">
        <f t="shared" si="15"/>
        <v>0</v>
      </c>
      <c r="AS57" s="65">
        <f t="shared" si="16"/>
        <v>0</v>
      </c>
    </row>
    <row r="58" spans="2:45" x14ac:dyDescent="0.25">
      <c r="B58" s="15">
        <v>56</v>
      </c>
      <c r="C58" s="8"/>
      <c r="E58" s="67"/>
      <c r="F58" s="16"/>
      <c r="G58" s="8"/>
      <c r="H58" s="8"/>
      <c r="I58" s="8"/>
      <c r="J58" s="9"/>
      <c r="K58" s="9">
        <f t="shared" si="0"/>
        <v>0</v>
      </c>
      <c r="L58" s="35">
        <f t="shared" si="1"/>
        <v>0</v>
      </c>
      <c r="M58" s="2"/>
      <c r="O58" s="19"/>
      <c r="P58" s="19"/>
      <c r="Q58" s="19"/>
      <c r="R58" s="21"/>
      <c r="S58" s="46"/>
      <c r="T58" s="44"/>
      <c r="U58" s="77"/>
      <c r="V58" s="30"/>
      <c r="W58" s="24"/>
      <c r="X58" s="193"/>
      <c r="Y58" s="15"/>
      <c r="AA58">
        <v>10</v>
      </c>
      <c r="AB58" s="487"/>
      <c r="AC58" s="90">
        <v>2</v>
      </c>
      <c r="AD58" s="96" t="s">
        <v>54</v>
      </c>
      <c r="AE58" s="39">
        <f t="shared" si="2"/>
        <v>0</v>
      </c>
      <c r="AF58" s="65">
        <f t="shared" si="3"/>
        <v>0</v>
      </c>
      <c r="AG58" s="65">
        <f t="shared" si="4"/>
        <v>0</v>
      </c>
      <c r="AH58" s="65">
        <f t="shared" si="5"/>
        <v>0</v>
      </c>
      <c r="AI58" s="104">
        <f t="shared" si="6"/>
        <v>0</v>
      </c>
      <c r="AJ58" s="115">
        <f t="shared" si="7"/>
        <v>0</v>
      </c>
      <c r="AK58" s="116">
        <f t="shared" si="8"/>
        <v>0</v>
      </c>
      <c r="AL58" s="116">
        <f t="shared" si="9"/>
        <v>0</v>
      </c>
      <c r="AM58" s="116">
        <f t="shared" si="10"/>
        <v>0</v>
      </c>
      <c r="AN58" s="117">
        <f t="shared" si="11"/>
        <v>0</v>
      </c>
      <c r="AO58" s="39">
        <f t="shared" si="12"/>
        <v>0</v>
      </c>
      <c r="AP58" s="65">
        <f t="shared" si="13"/>
        <v>0</v>
      </c>
      <c r="AQ58" s="65">
        <f t="shared" si="14"/>
        <v>0</v>
      </c>
      <c r="AR58" s="65">
        <f t="shared" si="15"/>
        <v>0</v>
      </c>
      <c r="AS58" s="65">
        <f t="shared" si="16"/>
        <v>0</v>
      </c>
    </row>
    <row r="59" spans="2:45" x14ac:dyDescent="0.25">
      <c r="B59" s="15">
        <v>57</v>
      </c>
      <c r="C59" s="8"/>
      <c r="E59" s="67"/>
      <c r="F59" s="16"/>
      <c r="G59" s="8"/>
      <c r="H59" s="8"/>
      <c r="I59" s="8"/>
      <c r="J59" s="9"/>
      <c r="K59" s="9">
        <f t="shared" si="0"/>
        <v>0</v>
      </c>
      <c r="L59" s="35">
        <f t="shared" si="1"/>
        <v>0</v>
      </c>
      <c r="M59" s="2"/>
      <c r="O59" s="19"/>
      <c r="P59" s="19"/>
      <c r="Q59" s="19"/>
      <c r="R59" s="21"/>
      <c r="S59" s="46"/>
      <c r="T59" s="44"/>
      <c r="U59" s="77"/>
      <c r="V59" s="30"/>
      <c r="W59" s="24"/>
      <c r="X59" s="193"/>
      <c r="Y59" s="15"/>
      <c r="AA59">
        <v>10</v>
      </c>
      <c r="AB59" s="487"/>
      <c r="AC59" s="90">
        <v>3</v>
      </c>
      <c r="AD59" s="97" t="s">
        <v>55</v>
      </c>
      <c r="AE59" s="39">
        <f t="shared" si="2"/>
        <v>0</v>
      </c>
      <c r="AF59" s="65">
        <f t="shared" si="3"/>
        <v>0</v>
      </c>
      <c r="AG59" s="65">
        <f t="shared" si="4"/>
        <v>0</v>
      </c>
      <c r="AH59" s="65">
        <f t="shared" si="5"/>
        <v>0</v>
      </c>
      <c r="AI59" s="104">
        <f t="shared" si="6"/>
        <v>0</v>
      </c>
      <c r="AJ59" s="115">
        <f t="shared" si="7"/>
        <v>0</v>
      </c>
      <c r="AK59" s="116">
        <f t="shared" si="8"/>
        <v>0</v>
      </c>
      <c r="AL59" s="116">
        <f t="shared" si="9"/>
        <v>0</v>
      </c>
      <c r="AM59" s="116">
        <f t="shared" si="10"/>
        <v>0</v>
      </c>
      <c r="AN59" s="117">
        <f t="shared" si="11"/>
        <v>0</v>
      </c>
      <c r="AO59" s="39">
        <f t="shared" si="12"/>
        <v>0</v>
      </c>
      <c r="AP59" s="65">
        <f t="shared" si="13"/>
        <v>0</v>
      </c>
      <c r="AQ59" s="65">
        <f t="shared" si="14"/>
        <v>0</v>
      </c>
      <c r="AR59" s="65">
        <f t="shared" si="15"/>
        <v>0</v>
      </c>
      <c r="AS59" s="65">
        <f t="shared" si="16"/>
        <v>0</v>
      </c>
    </row>
    <row r="60" spans="2:45" x14ac:dyDescent="0.25">
      <c r="B60" s="15">
        <v>58</v>
      </c>
      <c r="C60" s="8"/>
      <c r="E60" s="67"/>
      <c r="F60" s="16"/>
      <c r="G60" s="8"/>
      <c r="H60" s="8"/>
      <c r="I60" s="8"/>
      <c r="J60" s="9"/>
      <c r="K60" s="9">
        <f t="shared" si="0"/>
        <v>0</v>
      </c>
      <c r="L60" s="35">
        <f t="shared" si="1"/>
        <v>0</v>
      </c>
      <c r="M60" s="2"/>
      <c r="O60" s="19"/>
      <c r="P60" s="19"/>
      <c r="Q60" s="19"/>
      <c r="R60" s="21"/>
      <c r="S60" s="46"/>
      <c r="T60" s="44"/>
      <c r="U60" s="77"/>
      <c r="V60" s="30"/>
      <c r="W60" s="24"/>
      <c r="X60" s="193"/>
      <c r="Y60" s="15"/>
      <c r="AA60">
        <v>10</v>
      </c>
      <c r="AB60" s="487"/>
      <c r="AC60" s="90">
        <v>4</v>
      </c>
      <c r="AD60" s="97" t="s">
        <v>56</v>
      </c>
      <c r="AE60" s="39">
        <f t="shared" si="2"/>
        <v>0</v>
      </c>
      <c r="AF60" s="65">
        <f t="shared" si="3"/>
        <v>0</v>
      </c>
      <c r="AG60" s="65">
        <f t="shared" si="4"/>
        <v>0</v>
      </c>
      <c r="AH60" s="65">
        <f t="shared" si="5"/>
        <v>0</v>
      </c>
      <c r="AI60" s="104">
        <f t="shared" si="6"/>
        <v>0</v>
      </c>
      <c r="AJ60" s="115">
        <f t="shared" si="7"/>
        <v>0</v>
      </c>
      <c r="AK60" s="116">
        <f t="shared" si="8"/>
        <v>0</v>
      </c>
      <c r="AL60" s="116">
        <f t="shared" si="9"/>
        <v>0</v>
      </c>
      <c r="AM60" s="116">
        <f t="shared" si="10"/>
        <v>0</v>
      </c>
      <c r="AN60" s="117">
        <f t="shared" si="11"/>
        <v>0</v>
      </c>
      <c r="AO60" s="39">
        <f t="shared" si="12"/>
        <v>0</v>
      </c>
      <c r="AP60" s="65">
        <f t="shared" si="13"/>
        <v>0</v>
      </c>
      <c r="AQ60" s="65">
        <f t="shared" si="14"/>
        <v>0</v>
      </c>
      <c r="AR60" s="65">
        <f t="shared" si="15"/>
        <v>0</v>
      </c>
      <c r="AS60" s="65">
        <f t="shared" si="16"/>
        <v>0</v>
      </c>
    </row>
    <row r="61" spans="2:45" x14ac:dyDescent="0.25">
      <c r="B61" s="15">
        <v>59</v>
      </c>
      <c r="C61" s="8"/>
      <c r="E61" s="67"/>
      <c r="F61" s="16"/>
      <c r="G61" s="8"/>
      <c r="H61" s="8"/>
      <c r="I61" s="8"/>
      <c r="J61" s="9"/>
      <c r="K61" s="9">
        <f t="shared" si="0"/>
        <v>0</v>
      </c>
      <c r="L61" s="35">
        <f t="shared" si="1"/>
        <v>0</v>
      </c>
      <c r="M61" s="2"/>
      <c r="O61" s="19"/>
      <c r="P61" s="19"/>
      <c r="Q61" s="19"/>
      <c r="R61" s="21"/>
      <c r="S61" s="46"/>
      <c r="T61" s="44"/>
      <c r="U61" s="77"/>
      <c r="V61" s="30"/>
      <c r="W61" s="24"/>
      <c r="X61" s="193"/>
      <c r="Y61" s="15"/>
      <c r="AA61">
        <v>10</v>
      </c>
      <c r="AB61" s="487"/>
      <c r="AC61" s="91">
        <v>5</v>
      </c>
      <c r="AD61" s="51" t="s">
        <v>57</v>
      </c>
      <c r="AE61" s="39">
        <f t="shared" si="2"/>
        <v>0</v>
      </c>
      <c r="AF61" s="65">
        <f t="shared" si="3"/>
        <v>0</v>
      </c>
      <c r="AG61" s="65">
        <f t="shared" si="4"/>
        <v>0</v>
      </c>
      <c r="AH61" s="65">
        <f t="shared" si="5"/>
        <v>0</v>
      </c>
      <c r="AI61" s="104">
        <f t="shared" si="6"/>
        <v>0</v>
      </c>
      <c r="AJ61" s="115">
        <f t="shared" si="7"/>
        <v>0</v>
      </c>
      <c r="AK61" s="116">
        <f t="shared" si="8"/>
        <v>0</v>
      </c>
      <c r="AL61" s="116">
        <f t="shared" si="9"/>
        <v>0</v>
      </c>
      <c r="AM61" s="116">
        <f t="shared" si="10"/>
        <v>0</v>
      </c>
      <c r="AN61" s="117">
        <f t="shared" si="11"/>
        <v>0</v>
      </c>
      <c r="AO61" s="39">
        <f t="shared" si="12"/>
        <v>0</v>
      </c>
      <c r="AP61" s="65">
        <f t="shared" si="13"/>
        <v>0</v>
      </c>
      <c r="AQ61" s="65">
        <f t="shared" si="14"/>
        <v>0</v>
      </c>
      <c r="AR61" s="65">
        <f t="shared" si="15"/>
        <v>0</v>
      </c>
      <c r="AS61" s="65">
        <f t="shared" si="16"/>
        <v>0</v>
      </c>
    </row>
    <row r="62" spans="2:45" ht="14.25" thickBot="1" x14ac:dyDescent="0.3">
      <c r="B62" s="15">
        <v>60</v>
      </c>
      <c r="C62" s="8"/>
      <c r="E62" s="67"/>
      <c r="F62" s="16"/>
      <c r="G62" s="8"/>
      <c r="H62" s="8"/>
      <c r="I62" s="8"/>
      <c r="J62" s="9"/>
      <c r="K62" s="9">
        <f t="shared" si="0"/>
        <v>0</v>
      </c>
      <c r="L62" s="35">
        <f t="shared" si="1"/>
        <v>0</v>
      </c>
      <c r="M62" s="2"/>
      <c r="O62" s="19"/>
      <c r="P62" s="19"/>
      <c r="Q62" s="19"/>
      <c r="R62" s="21"/>
      <c r="S62" s="46"/>
      <c r="T62" s="44"/>
      <c r="U62" s="77"/>
      <c r="V62" s="30"/>
      <c r="W62" s="24"/>
      <c r="X62" s="193"/>
      <c r="Y62" s="15"/>
      <c r="AA62">
        <v>10</v>
      </c>
      <c r="AB62" s="488"/>
      <c r="AC62" s="92" t="s">
        <v>3</v>
      </c>
      <c r="AD62" s="101"/>
      <c r="AE62" s="94">
        <f t="shared" ref="AE62:AS62" si="30">SUM(AE57:AE61)</f>
        <v>0</v>
      </c>
      <c r="AF62" s="94">
        <f t="shared" si="30"/>
        <v>0</v>
      </c>
      <c r="AG62" s="94">
        <f t="shared" si="30"/>
        <v>0</v>
      </c>
      <c r="AH62" s="94">
        <f t="shared" si="30"/>
        <v>0</v>
      </c>
      <c r="AI62" s="105">
        <f t="shared" si="30"/>
        <v>0</v>
      </c>
      <c r="AJ62" s="118">
        <f t="shared" si="30"/>
        <v>0</v>
      </c>
      <c r="AK62" s="119">
        <f t="shared" si="30"/>
        <v>0</v>
      </c>
      <c r="AL62" s="119">
        <f t="shared" si="30"/>
        <v>0</v>
      </c>
      <c r="AM62" s="119">
        <f t="shared" si="30"/>
        <v>0</v>
      </c>
      <c r="AN62" s="120">
        <f t="shared" si="30"/>
        <v>0</v>
      </c>
      <c r="AO62" s="94">
        <f t="shared" si="30"/>
        <v>0</v>
      </c>
      <c r="AP62" s="94">
        <f t="shared" si="30"/>
        <v>0</v>
      </c>
      <c r="AQ62" s="94">
        <f t="shared" si="30"/>
        <v>0</v>
      </c>
      <c r="AR62" s="94">
        <f t="shared" si="30"/>
        <v>0</v>
      </c>
      <c r="AS62" s="94">
        <f t="shared" si="30"/>
        <v>0</v>
      </c>
    </row>
    <row r="63" spans="2:45" x14ac:dyDescent="0.25">
      <c r="B63" s="15">
        <v>61</v>
      </c>
      <c r="C63" s="8"/>
      <c r="E63" s="67"/>
      <c r="F63" s="16"/>
      <c r="G63" s="8"/>
      <c r="H63" s="8"/>
      <c r="I63" s="8"/>
      <c r="J63" s="9"/>
      <c r="K63" s="9">
        <f t="shared" si="0"/>
        <v>0</v>
      </c>
      <c r="L63" s="35">
        <f t="shared" si="1"/>
        <v>0</v>
      </c>
      <c r="M63" s="2"/>
      <c r="O63" s="19"/>
      <c r="P63" s="19"/>
      <c r="Q63" s="19"/>
      <c r="R63" s="21"/>
      <c r="S63" s="46"/>
      <c r="T63" s="44"/>
      <c r="U63" s="77"/>
      <c r="V63" s="30"/>
      <c r="W63" s="24"/>
      <c r="X63" s="193"/>
      <c r="Y63" s="15"/>
      <c r="AA63">
        <v>11</v>
      </c>
      <c r="AB63" s="486">
        <v>11</v>
      </c>
      <c r="AC63" s="89">
        <v>1</v>
      </c>
      <c r="AD63" s="95" t="s">
        <v>105</v>
      </c>
      <c r="AE63" s="39">
        <f t="shared" si="2"/>
        <v>0</v>
      </c>
      <c r="AF63" s="65">
        <f t="shared" si="3"/>
        <v>0</v>
      </c>
      <c r="AG63" s="65">
        <f t="shared" si="4"/>
        <v>0</v>
      </c>
      <c r="AH63" s="65">
        <f t="shared" si="5"/>
        <v>0</v>
      </c>
      <c r="AI63" s="104">
        <f t="shared" si="6"/>
        <v>0</v>
      </c>
      <c r="AJ63" s="115">
        <f t="shared" si="7"/>
        <v>0</v>
      </c>
      <c r="AK63" s="116">
        <f t="shared" si="8"/>
        <v>0</v>
      </c>
      <c r="AL63" s="116">
        <f t="shared" si="9"/>
        <v>0</v>
      </c>
      <c r="AM63" s="116">
        <f t="shared" si="10"/>
        <v>0</v>
      </c>
      <c r="AN63" s="117">
        <f t="shared" si="11"/>
        <v>0</v>
      </c>
      <c r="AO63" s="39">
        <f t="shared" si="12"/>
        <v>0</v>
      </c>
      <c r="AP63" s="65">
        <f t="shared" si="13"/>
        <v>0</v>
      </c>
      <c r="AQ63" s="65">
        <f t="shared" si="14"/>
        <v>0</v>
      </c>
      <c r="AR63" s="65">
        <f t="shared" si="15"/>
        <v>0</v>
      </c>
      <c r="AS63" s="65">
        <f t="shared" si="16"/>
        <v>0</v>
      </c>
    </row>
    <row r="64" spans="2:45" x14ac:dyDescent="0.25">
      <c r="B64" s="15">
        <v>62</v>
      </c>
      <c r="C64" s="8"/>
      <c r="E64" s="67"/>
      <c r="F64" s="16"/>
      <c r="G64" s="8"/>
      <c r="H64" s="8"/>
      <c r="I64" s="8"/>
      <c r="J64" s="9"/>
      <c r="K64" s="9">
        <f t="shared" si="0"/>
        <v>0</v>
      </c>
      <c r="L64" s="35">
        <f t="shared" si="1"/>
        <v>0</v>
      </c>
      <c r="M64" s="2"/>
      <c r="O64" s="19"/>
      <c r="P64" s="19"/>
      <c r="Q64" s="19"/>
      <c r="R64" s="21"/>
      <c r="S64" s="46"/>
      <c r="T64" s="44"/>
      <c r="U64" s="77"/>
      <c r="V64" s="30"/>
      <c r="W64" s="24"/>
      <c r="X64" s="193"/>
      <c r="Y64" s="15"/>
      <c r="AA64">
        <v>11</v>
      </c>
      <c r="AB64" s="487"/>
      <c r="AC64" s="90">
        <v>2</v>
      </c>
      <c r="AD64" s="97" t="s">
        <v>58</v>
      </c>
      <c r="AE64" s="39">
        <f t="shared" si="2"/>
        <v>0</v>
      </c>
      <c r="AF64" s="65">
        <f t="shared" si="3"/>
        <v>0</v>
      </c>
      <c r="AG64" s="65">
        <f t="shared" si="4"/>
        <v>0</v>
      </c>
      <c r="AH64" s="65">
        <f t="shared" si="5"/>
        <v>0</v>
      </c>
      <c r="AI64" s="104">
        <f t="shared" si="6"/>
        <v>0</v>
      </c>
      <c r="AJ64" s="115">
        <f t="shared" si="7"/>
        <v>0</v>
      </c>
      <c r="AK64" s="116">
        <f t="shared" si="8"/>
        <v>0</v>
      </c>
      <c r="AL64" s="116">
        <f t="shared" si="9"/>
        <v>0</v>
      </c>
      <c r="AM64" s="116">
        <f t="shared" si="10"/>
        <v>0</v>
      </c>
      <c r="AN64" s="117">
        <f t="shared" si="11"/>
        <v>0</v>
      </c>
      <c r="AO64" s="39">
        <f t="shared" si="12"/>
        <v>0</v>
      </c>
      <c r="AP64" s="65">
        <f t="shared" si="13"/>
        <v>0</v>
      </c>
      <c r="AQ64" s="65">
        <f t="shared" si="14"/>
        <v>0</v>
      </c>
      <c r="AR64" s="65">
        <f t="shared" si="15"/>
        <v>0</v>
      </c>
      <c r="AS64" s="65">
        <f t="shared" si="16"/>
        <v>0</v>
      </c>
    </row>
    <row r="65" spans="2:45" x14ac:dyDescent="0.25">
      <c r="B65" s="15">
        <v>63</v>
      </c>
      <c r="C65" s="8"/>
      <c r="E65" s="67"/>
      <c r="F65" s="16"/>
      <c r="G65" s="8"/>
      <c r="H65" s="8"/>
      <c r="I65" s="8"/>
      <c r="J65" s="9"/>
      <c r="K65" s="9">
        <f t="shared" si="0"/>
        <v>0</v>
      </c>
      <c r="L65" s="35">
        <f t="shared" si="1"/>
        <v>0</v>
      </c>
      <c r="M65" s="2"/>
      <c r="O65" s="19"/>
      <c r="P65" s="19"/>
      <c r="Q65" s="19"/>
      <c r="R65" s="21"/>
      <c r="S65" s="46"/>
      <c r="T65" s="44"/>
      <c r="U65" s="77"/>
      <c r="V65" s="30"/>
      <c r="W65" s="24"/>
      <c r="X65" s="193"/>
      <c r="Y65" s="15"/>
      <c r="AA65">
        <v>11</v>
      </c>
      <c r="AB65" s="487"/>
      <c r="AC65" s="90">
        <v>3</v>
      </c>
      <c r="AD65" s="97" t="s">
        <v>59</v>
      </c>
      <c r="AE65" s="39">
        <f t="shared" si="2"/>
        <v>0</v>
      </c>
      <c r="AF65" s="65">
        <f t="shared" si="3"/>
        <v>0</v>
      </c>
      <c r="AG65" s="65">
        <f t="shared" si="4"/>
        <v>0</v>
      </c>
      <c r="AH65" s="65">
        <f t="shared" si="5"/>
        <v>0</v>
      </c>
      <c r="AI65" s="104">
        <f t="shared" si="6"/>
        <v>0</v>
      </c>
      <c r="AJ65" s="115">
        <f t="shared" si="7"/>
        <v>0</v>
      </c>
      <c r="AK65" s="116">
        <f t="shared" si="8"/>
        <v>0</v>
      </c>
      <c r="AL65" s="116">
        <f t="shared" si="9"/>
        <v>0</v>
      </c>
      <c r="AM65" s="116">
        <f t="shared" si="10"/>
        <v>0</v>
      </c>
      <c r="AN65" s="117">
        <f t="shared" si="11"/>
        <v>0</v>
      </c>
      <c r="AO65" s="39">
        <f t="shared" si="12"/>
        <v>0</v>
      </c>
      <c r="AP65" s="65">
        <f t="shared" si="13"/>
        <v>0</v>
      </c>
      <c r="AQ65" s="65">
        <f t="shared" si="14"/>
        <v>0</v>
      </c>
      <c r="AR65" s="65">
        <f t="shared" si="15"/>
        <v>0</v>
      </c>
      <c r="AS65" s="65">
        <f t="shared" si="16"/>
        <v>0</v>
      </c>
    </row>
    <row r="66" spans="2:45" x14ac:dyDescent="0.25">
      <c r="B66" s="15">
        <v>64</v>
      </c>
      <c r="C66" s="8"/>
      <c r="E66" s="67"/>
      <c r="F66" s="16"/>
      <c r="G66" s="8"/>
      <c r="H66" s="8"/>
      <c r="I66" s="8"/>
      <c r="J66" s="9"/>
      <c r="K66" s="9">
        <f t="shared" si="0"/>
        <v>0</v>
      </c>
      <c r="L66" s="35">
        <f t="shared" si="1"/>
        <v>0</v>
      </c>
      <c r="M66" s="2"/>
      <c r="O66" s="19"/>
      <c r="P66" s="19"/>
      <c r="Q66" s="19"/>
      <c r="R66" s="21"/>
      <c r="S66" s="46"/>
      <c r="T66" s="44"/>
      <c r="U66" s="77"/>
      <c r="V66" s="30"/>
      <c r="W66" s="24"/>
      <c r="X66" s="193"/>
      <c r="Y66" s="15"/>
      <c r="AA66">
        <v>11</v>
      </c>
      <c r="AB66" s="487"/>
      <c r="AC66" s="90">
        <v>4</v>
      </c>
      <c r="AD66" s="97" t="s">
        <v>60</v>
      </c>
      <c r="AE66" s="39">
        <f t="shared" si="2"/>
        <v>0</v>
      </c>
      <c r="AF66" s="65">
        <f t="shared" si="3"/>
        <v>0</v>
      </c>
      <c r="AG66" s="65">
        <f t="shared" si="4"/>
        <v>0</v>
      </c>
      <c r="AH66" s="65">
        <f t="shared" si="5"/>
        <v>0</v>
      </c>
      <c r="AI66" s="104">
        <f t="shared" si="6"/>
        <v>0</v>
      </c>
      <c r="AJ66" s="115">
        <f t="shared" si="7"/>
        <v>0</v>
      </c>
      <c r="AK66" s="116">
        <f t="shared" si="8"/>
        <v>0</v>
      </c>
      <c r="AL66" s="116">
        <f t="shared" si="9"/>
        <v>0</v>
      </c>
      <c r="AM66" s="116">
        <f t="shared" si="10"/>
        <v>0</v>
      </c>
      <c r="AN66" s="117">
        <f t="shared" si="11"/>
        <v>0</v>
      </c>
      <c r="AO66" s="39">
        <f t="shared" si="12"/>
        <v>0</v>
      </c>
      <c r="AP66" s="65">
        <f t="shared" si="13"/>
        <v>0</v>
      </c>
      <c r="AQ66" s="65">
        <f t="shared" si="14"/>
        <v>0</v>
      </c>
      <c r="AR66" s="65">
        <f t="shared" si="15"/>
        <v>0</v>
      </c>
      <c r="AS66" s="65">
        <f t="shared" si="16"/>
        <v>0</v>
      </c>
    </row>
    <row r="67" spans="2:45" x14ac:dyDescent="0.25">
      <c r="B67" s="15">
        <v>65</v>
      </c>
      <c r="C67" s="8"/>
      <c r="E67" s="67"/>
      <c r="F67" s="16"/>
      <c r="G67" s="8"/>
      <c r="H67" s="8"/>
      <c r="I67" s="8"/>
      <c r="J67" s="9"/>
      <c r="K67" s="9">
        <f t="shared" ref="K67:K130" si="31">J67*1.1</f>
        <v>0</v>
      </c>
      <c r="L67" s="35">
        <f t="shared" ref="L67:L130" si="32">J67*0.00000001</f>
        <v>0</v>
      </c>
      <c r="M67" s="2"/>
      <c r="O67" s="19"/>
      <c r="P67" s="19"/>
      <c r="Q67" s="19"/>
      <c r="R67" s="21"/>
      <c r="S67" s="46"/>
      <c r="T67" s="44"/>
      <c r="U67" s="77"/>
      <c r="V67" s="30"/>
      <c r="W67" s="24"/>
      <c r="X67" s="193"/>
      <c r="Y67" s="15"/>
      <c r="AA67">
        <v>11</v>
      </c>
      <c r="AB67" s="487"/>
      <c r="AC67" s="91">
        <v>5</v>
      </c>
      <c r="AD67" s="100"/>
      <c r="AE67" s="39">
        <f t="shared" si="2"/>
        <v>0</v>
      </c>
      <c r="AF67" s="65">
        <f t="shared" si="3"/>
        <v>0</v>
      </c>
      <c r="AG67" s="65">
        <f t="shared" si="4"/>
        <v>0</v>
      </c>
      <c r="AH67" s="65">
        <f t="shared" si="5"/>
        <v>0</v>
      </c>
      <c r="AI67" s="104">
        <f t="shared" si="6"/>
        <v>0</v>
      </c>
      <c r="AJ67" s="115">
        <f t="shared" si="7"/>
        <v>0</v>
      </c>
      <c r="AK67" s="116">
        <f t="shared" si="8"/>
        <v>0</v>
      </c>
      <c r="AL67" s="116">
        <f t="shared" si="9"/>
        <v>0</v>
      </c>
      <c r="AM67" s="116">
        <f t="shared" si="10"/>
        <v>0</v>
      </c>
      <c r="AN67" s="117">
        <f t="shared" si="11"/>
        <v>0</v>
      </c>
      <c r="AO67" s="39">
        <f t="shared" si="12"/>
        <v>0</v>
      </c>
      <c r="AP67" s="65">
        <f t="shared" si="13"/>
        <v>0</v>
      </c>
      <c r="AQ67" s="65">
        <f t="shared" si="14"/>
        <v>0</v>
      </c>
      <c r="AR67" s="65">
        <f t="shared" si="15"/>
        <v>0</v>
      </c>
      <c r="AS67" s="65">
        <f t="shared" si="16"/>
        <v>0</v>
      </c>
    </row>
    <row r="68" spans="2:45" ht="14.25" thickBot="1" x14ac:dyDescent="0.3">
      <c r="B68" s="15">
        <v>66</v>
      </c>
      <c r="C68" s="8"/>
      <c r="E68" s="67"/>
      <c r="F68" s="16"/>
      <c r="G68" s="8"/>
      <c r="H68" s="8"/>
      <c r="I68" s="8"/>
      <c r="J68" s="9"/>
      <c r="K68" s="9">
        <f t="shared" si="31"/>
        <v>0</v>
      </c>
      <c r="L68" s="35">
        <f t="shared" si="32"/>
        <v>0</v>
      </c>
      <c r="M68" s="2"/>
      <c r="O68" s="19"/>
      <c r="P68" s="19"/>
      <c r="Q68" s="19"/>
      <c r="R68" s="21"/>
      <c r="S68" s="46"/>
      <c r="T68" s="44"/>
      <c r="U68" s="77"/>
      <c r="V68" s="30"/>
      <c r="W68" s="24"/>
      <c r="X68" s="193"/>
      <c r="Y68" s="15"/>
      <c r="AA68">
        <v>11</v>
      </c>
      <c r="AB68" s="488"/>
      <c r="AC68" s="92" t="s">
        <v>3</v>
      </c>
      <c r="AD68" s="101"/>
      <c r="AE68" s="94">
        <f t="shared" ref="AE68:AS68" si="33">SUM(AE63:AE67)</f>
        <v>0</v>
      </c>
      <c r="AF68" s="94">
        <f t="shared" si="33"/>
        <v>0</v>
      </c>
      <c r="AG68" s="94">
        <f t="shared" si="33"/>
        <v>0</v>
      </c>
      <c r="AH68" s="94">
        <f t="shared" si="33"/>
        <v>0</v>
      </c>
      <c r="AI68" s="105">
        <f t="shared" si="33"/>
        <v>0</v>
      </c>
      <c r="AJ68" s="118">
        <f t="shared" si="33"/>
        <v>0</v>
      </c>
      <c r="AK68" s="119">
        <f t="shared" si="33"/>
        <v>0</v>
      </c>
      <c r="AL68" s="119">
        <f t="shared" si="33"/>
        <v>0</v>
      </c>
      <c r="AM68" s="119">
        <f t="shared" si="33"/>
        <v>0</v>
      </c>
      <c r="AN68" s="120">
        <f t="shared" si="33"/>
        <v>0</v>
      </c>
      <c r="AO68" s="94">
        <f t="shared" si="33"/>
        <v>0</v>
      </c>
      <c r="AP68" s="94">
        <f t="shared" si="33"/>
        <v>0</v>
      </c>
      <c r="AQ68" s="94">
        <f t="shared" si="33"/>
        <v>0</v>
      </c>
      <c r="AR68" s="94">
        <f t="shared" si="33"/>
        <v>0</v>
      </c>
      <c r="AS68" s="94">
        <f t="shared" si="33"/>
        <v>0</v>
      </c>
    </row>
    <row r="69" spans="2:45" x14ac:dyDescent="0.25">
      <c r="B69" s="15">
        <v>67</v>
      </c>
      <c r="C69" s="8"/>
      <c r="E69" s="67"/>
      <c r="F69" s="16"/>
      <c r="G69" s="8"/>
      <c r="H69" s="8"/>
      <c r="I69" s="8"/>
      <c r="J69" s="9"/>
      <c r="K69" s="9">
        <f t="shared" si="31"/>
        <v>0</v>
      </c>
      <c r="L69" s="35">
        <f t="shared" si="32"/>
        <v>0</v>
      </c>
      <c r="M69" s="2"/>
      <c r="O69" s="19"/>
      <c r="P69" s="19"/>
      <c r="Q69" s="19"/>
      <c r="R69" s="21"/>
      <c r="S69" s="46"/>
      <c r="T69" s="44"/>
      <c r="U69" s="77"/>
      <c r="V69" s="30"/>
      <c r="W69" s="24"/>
      <c r="X69" s="193"/>
      <c r="Y69" s="15"/>
      <c r="AA69">
        <v>12</v>
      </c>
      <c r="AB69" s="493">
        <v>12</v>
      </c>
      <c r="AC69" s="93">
        <v>1</v>
      </c>
      <c r="AD69" s="102" t="s">
        <v>106</v>
      </c>
      <c r="AE69" s="39">
        <f>SUM(AF69:AI69)</f>
        <v>0</v>
      </c>
      <c r="AF69" s="65">
        <f>SUMIFS($I:$I,$C:$C, $AF$2,$G:$G,$AA69,$H:$H,$AC69)</f>
        <v>0</v>
      </c>
      <c r="AG69" s="65">
        <f>SUMIFS($I:$I,$C:$C, $AG$2,$G:$G,$AA69,$H:$H,$AC69)</f>
        <v>0</v>
      </c>
      <c r="AH69" s="65">
        <f>SUMIFS($I:$I,$C:$C, $AH$2,$G:$G,$AA69,$H:$H,$AC69)</f>
        <v>0</v>
      </c>
      <c r="AI69" s="104">
        <f>SUMIFS($I:$I,$C:$C, $AI$2,$G:$G,$AA69,$H:$H,$AC69)</f>
        <v>0</v>
      </c>
      <c r="AJ69" s="115">
        <f>SUM(AK69:AN69)</f>
        <v>0</v>
      </c>
      <c r="AK69" s="116">
        <f>COUNTIFS($C:$C, $AK$2,$G:$G,$AA69,$H:$H,$AC69)</f>
        <v>0</v>
      </c>
      <c r="AL69" s="116">
        <f>COUNTIFS($C:$C, $AL$2,$G:$G,$AA69,$H:$H,$AC69)</f>
        <v>0</v>
      </c>
      <c r="AM69" s="116">
        <f>COUNTIFS($C:$C, $AM$2,$G:$G,$AA69,$H:$H,$AC69)</f>
        <v>0</v>
      </c>
      <c r="AN69" s="117">
        <f>COUNTIFS($C:$C, $AN$2,$G:$G,$AA69,$H:$H,$AC69)</f>
        <v>0</v>
      </c>
      <c r="AO69" s="39">
        <f>SUM(AP69:AS69)</f>
        <v>0</v>
      </c>
      <c r="AP69" s="65">
        <f>SUMIFS($L:$L,$C:$C, $AP$2,$G:$G,$AA69,$H:$H,$AC69)</f>
        <v>0</v>
      </c>
      <c r="AQ69" s="65">
        <f>SUMIFS($L:$L,$C:$C, $AQ$2,$G:$G,$AA69,$H:$H,$AC69)</f>
        <v>0</v>
      </c>
      <c r="AR69" s="65">
        <f>SUMIFS($L:$L,$C:$C, $AR$2,$G:$G,$AA69,$H:$H,$AC69)</f>
        <v>0</v>
      </c>
      <c r="AS69" s="65">
        <f>SUMIFS($L:$L,$C:$C, $AS$2,$G:$G,$AA69,$H:$H,$AC69)</f>
        <v>0</v>
      </c>
    </row>
    <row r="70" spans="2:45" x14ac:dyDescent="0.25">
      <c r="B70" s="15">
        <v>68</v>
      </c>
      <c r="C70" s="8"/>
      <c r="E70" s="67"/>
      <c r="F70" s="16"/>
      <c r="G70" s="8"/>
      <c r="H70" s="8"/>
      <c r="I70" s="8"/>
      <c r="J70" s="9"/>
      <c r="K70" s="9">
        <f t="shared" si="31"/>
        <v>0</v>
      </c>
      <c r="L70" s="35">
        <f t="shared" si="32"/>
        <v>0</v>
      </c>
      <c r="M70" s="2"/>
      <c r="O70" s="19"/>
      <c r="P70" s="19"/>
      <c r="Q70" s="19"/>
      <c r="R70" s="21"/>
      <c r="S70" s="46"/>
      <c r="T70" s="44"/>
      <c r="U70" s="77"/>
      <c r="V70" s="30"/>
      <c r="W70" s="24"/>
      <c r="X70" s="193"/>
      <c r="Y70" s="15"/>
      <c r="AA70">
        <v>12</v>
      </c>
      <c r="AB70" s="487"/>
      <c r="AC70" s="90">
        <v>2</v>
      </c>
      <c r="AD70" s="97" t="s">
        <v>101</v>
      </c>
      <c r="AE70" s="39">
        <f>SUM(AF70:AI70)</f>
        <v>0</v>
      </c>
      <c r="AF70" s="65">
        <f>SUMIFS($I:$I,$C:$C, $AF$2,$G:$G,$AA70,$H:$H,$AC70)</f>
        <v>0</v>
      </c>
      <c r="AG70" s="65">
        <f>SUMIFS($I:$I,$C:$C, $AG$2,$G:$G,$AA70,$H:$H,$AC70)</f>
        <v>0</v>
      </c>
      <c r="AH70" s="65">
        <f>SUMIFS($I:$I,$C:$C, $AH$2,$G:$G,$AA70,$H:$H,$AC70)</f>
        <v>0</v>
      </c>
      <c r="AI70" s="104">
        <f>SUMIFS($I:$I,$C:$C, $AI$2,$G:$G,$AA70,$H:$H,$AC70)</f>
        <v>0</v>
      </c>
      <c r="AJ70" s="115">
        <f>SUM(AK70:AN70)</f>
        <v>0</v>
      </c>
      <c r="AK70" s="116">
        <f>COUNTIFS($C:$C, $AK$2,$G:$G,$AA70,$H:$H,$AC70)</f>
        <v>0</v>
      </c>
      <c r="AL70" s="116">
        <f>COUNTIFS($C:$C, $AL$2,$G:$G,$AA70,$H:$H,$AC70)</f>
        <v>0</v>
      </c>
      <c r="AM70" s="116">
        <f>COUNTIFS($C:$C, $AM$2,$G:$G,$AA70,$H:$H,$AC70)</f>
        <v>0</v>
      </c>
      <c r="AN70" s="117">
        <f>COUNTIFS($C:$C, $AN$2,$G:$G,$AA70,$H:$H,$AC70)</f>
        <v>0</v>
      </c>
      <c r="AO70" s="39">
        <f>SUM(AP70:AS70)</f>
        <v>0</v>
      </c>
      <c r="AP70" s="65">
        <f>SUMIFS($L:$L,$C:$C, $AP$2,$G:$G,$AA70,$H:$H,$AC70)</f>
        <v>0</v>
      </c>
      <c r="AQ70" s="65">
        <f>SUMIFS($L:$L,$C:$C, $AQ$2,$G:$G,$AA70,$H:$H,$AC70)</f>
        <v>0</v>
      </c>
      <c r="AR70" s="65">
        <f>SUMIFS($L:$L,$C:$C, $AR$2,$G:$G,$AA70,$H:$H,$AC70)</f>
        <v>0</v>
      </c>
      <c r="AS70" s="65">
        <f>SUMIFS($L:$L,$C:$C, $AS$2,$G:$G,$AA70,$H:$H,$AC70)</f>
        <v>0</v>
      </c>
    </row>
    <row r="71" spans="2:45" x14ac:dyDescent="0.25">
      <c r="B71" s="15">
        <v>69</v>
      </c>
      <c r="C71" s="8"/>
      <c r="E71" s="67"/>
      <c r="F71" s="16"/>
      <c r="G71" s="8"/>
      <c r="H71" s="8"/>
      <c r="I71" s="8"/>
      <c r="J71" s="9"/>
      <c r="K71" s="9">
        <f t="shared" si="31"/>
        <v>0</v>
      </c>
      <c r="L71" s="35">
        <f t="shared" si="32"/>
        <v>0</v>
      </c>
      <c r="M71" s="2"/>
      <c r="O71" s="19"/>
      <c r="P71" s="19"/>
      <c r="Q71" s="19"/>
      <c r="R71" s="21"/>
      <c r="S71" s="46"/>
      <c r="T71" s="44"/>
      <c r="U71" s="77"/>
      <c r="V71" s="30"/>
      <c r="W71" s="24"/>
      <c r="X71" s="193"/>
      <c r="Y71" s="15"/>
      <c r="AA71">
        <v>12</v>
      </c>
      <c r="AB71" s="487"/>
      <c r="AC71" s="90">
        <v>3</v>
      </c>
      <c r="AD71" s="97" t="s">
        <v>102</v>
      </c>
      <c r="AE71" s="39">
        <f>SUM(AF71:AI71)</f>
        <v>0</v>
      </c>
      <c r="AF71" s="65">
        <f>SUMIFS($I:$I,$C:$C, $AF$2,$G:$G,$AA71,$H:$H,$AC71)</f>
        <v>0</v>
      </c>
      <c r="AG71" s="65">
        <f>SUMIFS($I:$I,$C:$C, $AG$2,$G:$G,$AA71,$H:$H,$AC71)</f>
        <v>0</v>
      </c>
      <c r="AH71" s="65">
        <f>SUMIFS($I:$I,$C:$C, $AH$2,$G:$G,$AA71,$H:$H,$AC71)</f>
        <v>0</v>
      </c>
      <c r="AI71" s="104">
        <f>SUMIFS($I:$I,$C:$C, $AI$2,$G:$G,$AA71,$H:$H,$AC71)</f>
        <v>0</v>
      </c>
      <c r="AJ71" s="115">
        <f>SUM(AK71:AN71)</f>
        <v>0</v>
      </c>
      <c r="AK71" s="116">
        <f>COUNTIFS($C:$C, $AK$2,$G:$G,$AA71,$H:$H,$AC71)</f>
        <v>0</v>
      </c>
      <c r="AL71" s="116">
        <f>COUNTIFS($C:$C, $AL$2,$G:$G,$AA71,$H:$H,$AC71)</f>
        <v>0</v>
      </c>
      <c r="AM71" s="116">
        <f>COUNTIFS($C:$C, $AM$2,$G:$G,$AA71,$H:$H,$AC71)</f>
        <v>0</v>
      </c>
      <c r="AN71" s="117">
        <f>COUNTIFS($C:$C, $AN$2,$G:$G,$AA71,$H:$H,$AC71)</f>
        <v>0</v>
      </c>
      <c r="AO71" s="39">
        <f>SUM(AP71:AS71)</f>
        <v>0</v>
      </c>
      <c r="AP71" s="65">
        <f>SUMIFS($L:$L,$C:$C, $AP$2,$G:$G,$AA71,$H:$H,$AC71)</f>
        <v>0</v>
      </c>
      <c r="AQ71" s="65">
        <f>SUMIFS($L:$L,$C:$C, $AQ$2,$G:$G,$AA71,$H:$H,$AC71)</f>
        <v>0</v>
      </c>
      <c r="AR71" s="65">
        <f>SUMIFS($L:$L,$C:$C, $AR$2,$G:$G,$AA71,$H:$H,$AC71)</f>
        <v>0</v>
      </c>
      <c r="AS71" s="65">
        <f>SUMIFS($L:$L,$C:$C, $AS$2,$G:$G,$AA71,$H:$H,$AC71)</f>
        <v>0</v>
      </c>
    </row>
    <row r="72" spans="2:45" x14ac:dyDescent="0.25">
      <c r="B72" s="15">
        <v>70</v>
      </c>
      <c r="C72" s="8"/>
      <c r="E72" s="67"/>
      <c r="F72" s="16"/>
      <c r="G72" s="8"/>
      <c r="H72" s="8"/>
      <c r="I72" s="8"/>
      <c r="J72" s="9"/>
      <c r="K72" s="9">
        <f t="shared" si="31"/>
        <v>0</v>
      </c>
      <c r="L72" s="35">
        <f t="shared" si="32"/>
        <v>0</v>
      </c>
      <c r="M72" s="2"/>
      <c r="O72" s="19"/>
      <c r="P72" s="19"/>
      <c r="Q72" s="19"/>
      <c r="R72" s="21"/>
      <c r="S72" s="46"/>
      <c r="T72" s="44"/>
      <c r="U72" s="77"/>
      <c r="V72" s="30"/>
      <c r="W72" s="24"/>
      <c r="X72" s="193"/>
      <c r="Y72" s="15"/>
      <c r="AA72">
        <v>12</v>
      </c>
      <c r="AB72" s="487"/>
      <c r="AC72" s="90">
        <v>4</v>
      </c>
      <c r="AD72" s="97" t="s">
        <v>103</v>
      </c>
      <c r="AE72" s="39">
        <f>SUM(AF72:AI72)</f>
        <v>0</v>
      </c>
      <c r="AF72" s="65">
        <f>SUMIFS($I:$I,$C:$C, $AF$2,$G:$G,$AA72,$H:$H,$AC72)</f>
        <v>0</v>
      </c>
      <c r="AG72" s="65">
        <f>SUMIFS($I:$I,$C:$C, $AG$2,$G:$G,$AA72,$H:$H,$AC72)</f>
        <v>0</v>
      </c>
      <c r="AH72" s="65">
        <f>SUMIFS($I:$I,$C:$C, $AH$2,$G:$G,$AA72,$H:$H,$AC72)</f>
        <v>0</v>
      </c>
      <c r="AI72" s="104">
        <f>SUMIFS($I:$I,$C:$C, $AI$2,$G:$G,$AA72,$H:$H,$AC72)</f>
        <v>0</v>
      </c>
      <c r="AJ72" s="115">
        <f>SUM(AK72:AN72)</f>
        <v>0</v>
      </c>
      <c r="AK72" s="116">
        <f>COUNTIFS($C:$C, $AK$2,$G:$G,$AA72,$H:$H,$AC72)</f>
        <v>0</v>
      </c>
      <c r="AL72" s="116">
        <f>COUNTIFS($C:$C, $AL$2,$G:$G,$AA72,$H:$H,$AC72)</f>
        <v>0</v>
      </c>
      <c r="AM72" s="116">
        <f>COUNTIFS($C:$C, $AM$2,$G:$G,$AA72,$H:$H,$AC72)</f>
        <v>0</v>
      </c>
      <c r="AN72" s="117">
        <f>COUNTIFS($C:$C, $AN$2,$G:$G,$AA72,$H:$H,$AC72)</f>
        <v>0</v>
      </c>
      <c r="AO72" s="39">
        <f>SUM(AP72:AS72)</f>
        <v>0</v>
      </c>
      <c r="AP72" s="65">
        <f>SUMIFS($L:$L,$C:$C, $AP$2,$G:$G,$AA72,$H:$H,$AC72)</f>
        <v>0</v>
      </c>
      <c r="AQ72" s="65">
        <f>SUMIFS($L:$L,$C:$C, $AQ$2,$G:$G,$AA72,$H:$H,$AC72)</f>
        <v>0</v>
      </c>
      <c r="AR72" s="65">
        <f>SUMIFS($L:$L,$C:$C, $AR$2,$G:$G,$AA72,$H:$H,$AC72)</f>
        <v>0</v>
      </c>
      <c r="AS72" s="65">
        <f>SUMIFS($L:$L,$C:$C, $AS$2,$G:$G,$AA72,$H:$H,$AC72)</f>
        <v>0</v>
      </c>
    </row>
    <row r="73" spans="2:45" x14ac:dyDescent="0.25">
      <c r="B73" s="15">
        <v>71</v>
      </c>
      <c r="C73" s="8"/>
      <c r="E73" s="67"/>
      <c r="F73" s="16"/>
      <c r="G73" s="8"/>
      <c r="H73" s="8"/>
      <c r="I73" s="8"/>
      <c r="J73" s="9"/>
      <c r="K73" s="9">
        <f t="shared" si="31"/>
        <v>0</v>
      </c>
      <c r="L73" s="35">
        <f t="shared" si="32"/>
        <v>0</v>
      </c>
      <c r="M73" s="2"/>
      <c r="O73" s="19"/>
      <c r="P73" s="19"/>
      <c r="Q73" s="19"/>
      <c r="R73" s="21"/>
      <c r="S73" s="46"/>
      <c r="T73" s="44"/>
      <c r="U73" s="77"/>
      <c r="V73" s="24"/>
      <c r="W73" s="24"/>
      <c r="X73" s="193"/>
      <c r="Y73" s="15"/>
      <c r="AA73">
        <v>12</v>
      </c>
      <c r="AB73" s="487"/>
      <c r="AC73" s="91">
        <v>5</v>
      </c>
      <c r="AD73" s="100" t="s">
        <v>107</v>
      </c>
      <c r="AE73" s="39">
        <f>SUM(AF73:AI73)</f>
        <v>0</v>
      </c>
      <c r="AF73" s="65">
        <f>SUMIFS($I:$I,$C:$C, $AF$2,$G:$G,$AA73,$H:$H,$AC73)</f>
        <v>0</v>
      </c>
      <c r="AG73" s="65">
        <f>SUMIFS($I:$I,$C:$C, $AG$2,$G:$G,$AA73,$H:$H,$AC73)</f>
        <v>0</v>
      </c>
      <c r="AH73" s="65">
        <f>SUMIFS($I:$I,$C:$C, $AH$2,$G:$G,$AA73,$H:$H,$AC73)</f>
        <v>0</v>
      </c>
      <c r="AI73" s="104">
        <f>SUMIFS($I:$I,$C:$C, $AI$2,$G:$G,$AA73,$H:$H,$AC73)</f>
        <v>0</v>
      </c>
      <c r="AJ73" s="115">
        <f>SUM(AK73:AN73)</f>
        <v>0</v>
      </c>
      <c r="AK73" s="116">
        <f>COUNTIFS($C:$C, $AK$2,$G:$G,$AA73,$H:$H,$AC73)</f>
        <v>0</v>
      </c>
      <c r="AL73" s="116">
        <f>COUNTIFS($C:$C, $AL$2,$G:$G,$AA73,$H:$H,$AC73)</f>
        <v>0</v>
      </c>
      <c r="AM73" s="116">
        <f>COUNTIFS($C:$C, $AM$2,$G:$G,$AA73,$H:$H,$AC73)</f>
        <v>0</v>
      </c>
      <c r="AN73" s="117">
        <f>COUNTIFS($C:$C, $AN$2,$G:$G,$AA73,$H:$H,$AC73)</f>
        <v>0</v>
      </c>
      <c r="AO73" s="39">
        <f>SUM(AP73:AS73)</f>
        <v>0</v>
      </c>
      <c r="AP73" s="65">
        <f>SUMIFS($L:$L,$C:$C, $AP$2,$G:$G,$AA73,$H:$H,$AC73)</f>
        <v>0</v>
      </c>
      <c r="AQ73" s="65">
        <f>SUMIFS($L:$L,$C:$C, $AQ$2,$G:$G,$AA73,$H:$H,$AC73)</f>
        <v>0</v>
      </c>
      <c r="AR73" s="65">
        <f>SUMIFS($L:$L,$C:$C, $AR$2,$G:$G,$AA73,$H:$H,$AC73)</f>
        <v>0</v>
      </c>
      <c r="AS73" s="65">
        <f>SUMIFS($L:$L,$C:$C, $AS$2,$G:$G,$AA73,$H:$H,$AC73)</f>
        <v>0</v>
      </c>
    </row>
    <row r="74" spans="2:45" ht="14.25" thickBot="1" x14ac:dyDescent="0.3">
      <c r="B74" s="15">
        <v>72</v>
      </c>
      <c r="C74" s="8"/>
      <c r="E74" s="67"/>
      <c r="F74" s="16"/>
      <c r="G74" s="8"/>
      <c r="H74" s="8"/>
      <c r="I74" s="8"/>
      <c r="J74" s="9"/>
      <c r="K74" s="9">
        <f t="shared" si="31"/>
        <v>0</v>
      </c>
      <c r="L74" s="35">
        <f t="shared" si="32"/>
        <v>0</v>
      </c>
      <c r="M74" s="2"/>
      <c r="O74" s="19"/>
      <c r="P74" s="19"/>
      <c r="Q74" s="19"/>
      <c r="R74" s="21"/>
      <c r="S74" s="46"/>
      <c r="T74" s="44"/>
      <c r="U74" s="77"/>
      <c r="V74" s="24"/>
      <c r="W74" s="24"/>
      <c r="X74" s="193"/>
      <c r="Y74" s="15"/>
      <c r="AA74">
        <v>12</v>
      </c>
      <c r="AB74" s="488"/>
      <c r="AC74" s="92" t="s">
        <v>3</v>
      </c>
      <c r="AD74" s="101"/>
      <c r="AE74" s="94">
        <f>SUM(AE69:AE73)</f>
        <v>0</v>
      </c>
      <c r="AF74" s="94">
        <f t="shared" ref="AF74:AS74" si="34">SUM(AF69:AF73)</f>
        <v>0</v>
      </c>
      <c r="AG74" s="94">
        <f t="shared" si="34"/>
        <v>0</v>
      </c>
      <c r="AH74" s="94">
        <f t="shared" si="34"/>
        <v>0</v>
      </c>
      <c r="AI74" s="105">
        <f t="shared" si="34"/>
        <v>0</v>
      </c>
      <c r="AJ74" s="118">
        <f t="shared" si="34"/>
        <v>0</v>
      </c>
      <c r="AK74" s="119">
        <f t="shared" si="34"/>
        <v>0</v>
      </c>
      <c r="AL74" s="119">
        <f t="shared" si="34"/>
        <v>0</v>
      </c>
      <c r="AM74" s="119">
        <f t="shared" si="34"/>
        <v>0</v>
      </c>
      <c r="AN74" s="120">
        <f t="shared" si="34"/>
        <v>0</v>
      </c>
      <c r="AO74" s="94">
        <f t="shared" si="34"/>
        <v>0</v>
      </c>
      <c r="AP74" s="94">
        <f t="shared" si="34"/>
        <v>0</v>
      </c>
      <c r="AQ74" s="94">
        <f t="shared" si="34"/>
        <v>0</v>
      </c>
      <c r="AR74" s="94">
        <f t="shared" si="34"/>
        <v>0</v>
      </c>
      <c r="AS74" s="94">
        <f t="shared" si="34"/>
        <v>0</v>
      </c>
    </row>
    <row r="75" spans="2:45" ht="17.25" thickBot="1" x14ac:dyDescent="0.3">
      <c r="B75" s="15">
        <v>73</v>
      </c>
      <c r="C75" s="8"/>
      <c r="E75" s="67"/>
      <c r="F75" s="16"/>
      <c r="G75" s="8"/>
      <c r="H75" s="8"/>
      <c r="I75" s="8"/>
      <c r="J75" s="9"/>
      <c r="K75" s="9">
        <f t="shared" si="31"/>
        <v>0</v>
      </c>
      <c r="L75" s="35">
        <f t="shared" si="32"/>
        <v>0</v>
      </c>
      <c r="M75" s="2"/>
      <c r="O75" s="19"/>
      <c r="P75" s="19"/>
      <c r="Q75" s="19"/>
      <c r="R75" s="21"/>
      <c r="S75" s="46"/>
      <c r="T75" s="44"/>
      <c r="U75" s="77"/>
      <c r="V75" s="24"/>
      <c r="W75" s="24"/>
      <c r="X75" s="193"/>
      <c r="Y75" s="15"/>
      <c r="AB75" s="489" t="s">
        <v>31</v>
      </c>
      <c r="AC75" s="490"/>
      <c r="AD75" s="103"/>
      <c r="AE75" s="85">
        <f>SUM(AE8,AE14,AE20,AE26,AE32,AE38,AE44,AE50,AE56,AE62,AE68,AE74)</f>
        <v>0</v>
      </c>
      <c r="AF75" s="85"/>
      <c r="AG75" s="85"/>
      <c r="AH75" s="86"/>
      <c r="AI75" s="86"/>
      <c r="AJ75" s="121"/>
      <c r="AK75" s="122"/>
      <c r="AL75" s="122"/>
      <c r="AM75" s="122"/>
      <c r="AN75" s="123"/>
      <c r="AO75" s="87"/>
      <c r="AP75" s="87"/>
      <c r="AQ75" s="87"/>
      <c r="AR75" s="87"/>
      <c r="AS75" s="88"/>
    </row>
    <row r="76" spans="2:45" x14ac:dyDescent="0.25">
      <c r="B76" s="15">
        <v>74</v>
      </c>
      <c r="C76" s="8"/>
      <c r="E76" s="67"/>
      <c r="F76" s="16"/>
      <c r="G76" s="8"/>
      <c r="H76" s="8"/>
      <c r="I76" s="8"/>
      <c r="J76" s="9"/>
      <c r="K76" s="9">
        <f t="shared" si="31"/>
        <v>0</v>
      </c>
      <c r="L76" s="35">
        <f t="shared" si="32"/>
        <v>0</v>
      </c>
      <c r="M76" s="2"/>
      <c r="O76" s="19"/>
      <c r="P76" s="19"/>
      <c r="Q76" s="19"/>
      <c r="R76" s="21"/>
      <c r="S76" s="46"/>
      <c r="T76" s="44"/>
      <c r="U76" s="77"/>
      <c r="V76" s="30"/>
      <c r="W76" s="24"/>
      <c r="X76" s="193"/>
      <c r="Y76" s="15"/>
    </row>
    <row r="77" spans="2:45" x14ac:dyDescent="0.25">
      <c r="B77" s="15">
        <v>75</v>
      </c>
      <c r="C77" s="8"/>
      <c r="E77" s="67"/>
      <c r="F77" s="16"/>
      <c r="G77" s="8"/>
      <c r="H77" s="8"/>
      <c r="I77" s="8"/>
      <c r="J77" s="9"/>
      <c r="K77" s="9">
        <f t="shared" si="31"/>
        <v>0</v>
      </c>
      <c r="L77" s="35">
        <f t="shared" si="32"/>
        <v>0</v>
      </c>
      <c r="M77" s="2"/>
      <c r="O77" s="19"/>
      <c r="P77" s="19"/>
      <c r="Q77" s="19"/>
      <c r="R77" s="21"/>
      <c r="S77" s="46"/>
      <c r="T77" s="44"/>
      <c r="U77" s="77"/>
      <c r="V77" s="24"/>
      <c r="W77" s="24"/>
      <c r="X77" s="193"/>
      <c r="Y77" s="15"/>
    </row>
    <row r="78" spans="2:45" x14ac:dyDescent="0.25">
      <c r="B78" s="15">
        <v>76</v>
      </c>
      <c r="C78" s="8"/>
      <c r="E78" s="67"/>
      <c r="F78" s="16"/>
      <c r="G78" s="8"/>
      <c r="H78" s="8"/>
      <c r="I78" s="8"/>
      <c r="J78" s="9"/>
      <c r="K78" s="9">
        <f t="shared" si="31"/>
        <v>0</v>
      </c>
      <c r="L78" s="35">
        <f t="shared" si="32"/>
        <v>0</v>
      </c>
      <c r="M78" s="2"/>
      <c r="O78" s="19"/>
      <c r="P78" s="19"/>
      <c r="Q78" s="19"/>
      <c r="R78" s="21"/>
      <c r="S78" s="46"/>
      <c r="T78" s="44"/>
      <c r="U78" s="77"/>
      <c r="V78" s="24"/>
      <c r="W78" s="24"/>
      <c r="X78" s="193"/>
      <c r="Y78" s="15"/>
    </row>
    <row r="79" spans="2:45" x14ac:dyDescent="0.25">
      <c r="B79" s="15">
        <v>77</v>
      </c>
      <c r="C79" s="8"/>
      <c r="E79" s="67"/>
      <c r="F79" s="16"/>
      <c r="G79" s="8"/>
      <c r="H79" s="8"/>
      <c r="I79" s="8"/>
      <c r="J79" s="9"/>
      <c r="K79" s="9">
        <f t="shared" si="31"/>
        <v>0</v>
      </c>
      <c r="L79" s="35">
        <f t="shared" si="32"/>
        <v>0</v>
      </c>
      <c r="M79" s="2"/>
      <c r="O79" s="19"/>
      <c r="P79" s="19"/>
      <c r="Q79" s="19"/>
      <c r="R79" s="21"/>
      <c r="S79" s="46"/>
      <c r="T79" s="44"/>
      <c r="U79" s="77"/>
      <c r="V79" s="24"/>
      <c r="W79" s="24"/>
      <c r="X79" s="193"/>
      <c r="Y79" s="15"/>
    </row>
    <row r="80" spans="2:45" x14ac:dyDescent="0.25">
      <c r="B80" s="15">
        <v>78</v>
      </c>
      <c r="C80" s="8"/>
      <c r="E80" s="67"/>
      <c r="F80" s="16"/>
      <c r="G80" s="8"/>
      <c r="H80" s="8"/>
      <c r="I80" s="8"/>
      <c r="J80" s="9"/>
      <c r="K80" s="9">
        <f t="shared" si="31"/>
        <v>0</v>
      </c>
      <c r="L80" s="35">
        <f t="shared" si="32"/>
        <v>0</v>
      </c>
      <c r="M80" s="2"/>
      <c r="O80" s="19"/>
      <c r="P80" s="19"/>
      <c r="Q80" s="19"/>
      <c r="R80" s="21"/>
      <c r="S80" s="46"/>
      <c r="T80" s="44"/>
      <c r="U80" s="77"/>
      <c r="V80" s="24"/>
      <c r="W80" s="24"/>
      <c r="X80" s="193"/>
      <c r="Y80" s="15"/>
    </row>
    <row r="81" spans="2:25" x14ac:dyDescent="0.25">
      <c r="B81" s="15">
        <v>79</v>
      </c>
      <c r="C81" s="8"/>
      <c r="E81" s="67"/>
      <c r="F81" s="16"/>
      <c r="G81" s="8"/>
      <c r="H81" s="8"/>
      <c r="I81" s="8"/>
      <c r="J81" s="9"/>
      <c r="K81" s="9">
        <f t="shared" si="31"/>
        <v>0</v>
      </c>
      <c r="L81" s="35">
        <f t="shared" si="32"/>
        <v>0</v>
      </c>
      <c r="M81" s="2"/>
      <c r="O81" s="19"/>
      <c r="P81" s="19"/>
      <c r="Q81" s="19"/>
      <c r="R81" s="21"/>
      <c r="S81" s="46"/>
      <c r="T81" s="44"/>
      <c r="U81" s="77"/>
      <c r="V81" s="24"/>
      <c r="W81" s="24"/>
      <c r="X81" s="193"/>
      <c r="Y81" s="15"/>
    </row>
    <row r="82" spans="2:25" x14ac:dyDescent="0.25">
      <c r="B82" s="15">
        <v>80</v>
      </c>
      <c r="C82" s="8"/>
      <c r="E82" s="67"/>
      <c r="F82" s="16"/>
      <c r="G82" s="8"/>
      <c r="H82" s="8"/>
      <c r="I82" s="8"/>
      <c r="J82" s="9"/>
      <c r="K82" s="9">
        <f t="shared" si="31"/>
        <v>0</v>
      </c>
      <c r="L82" s="35">
        <f t="shared" si="32"/>
        <v>0</v>
      </c>
      <c r="M82" s="2"/>
      <c r="O82" s="19"/>
      <c r="P82" s="19"/>
      <c r="Q82" s="19"/>
      <c r="R82" s="21"/>
      <c r="S82" s="46"/>
      <c r="T82" s="44"/>
      <c r="U82" s="77"/>
      <c r="V82" s="30"/>
      <c r="W82" s="24"/>
      <c r="X82" s="193"/>
      <c r="Y82" s="15"/>
    </row>
    <row r="83" spans="2:25" x14ac:dyDescent="0.25">
      <c r="B83" s="15">
        <v>81</v>
      </c>
      <c r="C83" s="8"/>
      <c r="E83" s="67"/>
      <c r="F83" s="16"/>
      <c r="G83" s="8"/>
      <c r="H83" s="8"/>
      <c r="I83" s="8"/>
      <c r="J83" s="9"/>
      <c r="K83" s="9">
        <f t="shared" si="31"/>
        <v>0</v>
      </c>
      <c r="L83" s="35">
        <f t="shared" si="32"/>
        <v>0</v>
      </c>
      <c r="M83" s="2"/>
      <c r="O83" s="19"/>
      <c r="P83" s="19"/>
      <c r="Q83" s="19"/>
      <c r="R83" s="21"/>
      <c r="S83" s="46"/>
      <c r="T83" s="44"/>
      <c r="U83" s="77"/>
      <c r="V83" s="24"/>
      <c r="W83" s="24"/>
      <c r="X83" s="193"/>
      <c r="Y83" s="15"/>
    </row>
    <row r="84" spans="2:25" x14ac:dyDescent="0.25">
      <c r="B84" s="15">
        <v>82</v>
      </c>
      <c r="C84" s="8"/>
      <c r="E84" s="67"/>
      <c r="F84" s="16"/>
      <c r="G84" s="8"/>
      <c r="H84" s="8"/>
      <c r="I84" s="8"/>
      <c r="J84" s="9"/>
      <c r="K84" s="9">
        <f t="shared" si="31"/>
        <v>0</v>
      </c>
      <c r="L84" s="35">
        <f t="shared" si="32"/>
        <v>0</v>
      </c>
      <c r="M84" s="2"/>
      <c r="O84" s="19"/>
      <c r="P84" s="19"/>
      <c r="Q84" s="19"/>
      <c r="R84" s="21"/>
      <c r="S84" s="46"/>
      <c r="T84" s="44"/>
      <c r="U84" s="77"/>
      <c r="V84" s="24"/>
      <c r="W84" s="24"/>
      <c r="X84" s="193"/>
      <c r="Y84" s="15"/>
    </row>
    <row r="85" spans="2:25" x14ac:dyDescent="0.25">
      <c r="B85" s="15">
        <v>83</v>
      </c>
      <c r="C85" s="8"/>
      <c r="E85" s="67"/>
      <c r="F85" s="16"/>
      <c r="G85" s="8"/>
      <c r="H85" s="8"/>
      <c r="I85" s="8"/>
      <c r="J85" s="9"/>
      <c r="K85" s="9">
        <f t="shared" si="31"/>
        <v>0</v>
      </c>
      <c r="L85" s="35">
        <f t="shared" si="32"/>
        <v>0</v>
      </c>
      <c r="M85" s="2"/>
      <c r="O85" s="19"/>
      <c r="P85" s="19"/>
      <c r="Q85" s="19"/>
      <c r="R85" s="21"/>
      <c r="S85" s="46"/>
      <c r="T85" s="44"/>
      <c r="U85" s="77"/>
      <c r="V85" s="24"/>
      <c r="W85" s="24"/>
      <c r="X85" s="193"/>
      <c r="Y85" s="15"/>
    </row>
    <row r="86" spans="2:25" x14ac:dyDescent="0.25">
      <c r="B86" s="15">
        <v>84</v>
      </c>
      <c r="C86" s="8"/>
      <c r="E86" s="67"/>
      <c r="F86" s="16"/>
      <c r="G86" s="8"/>
      <c r="H86" s="8"/>
      <c r="I86" s="8"/>
      <c r="J86" s="9"/>
      <c r="K86" s="9">
        <f t="shared" si="31"/>
        <v>0</v>
      </c>
      <c r="L86" s="35">
        <f t="shared" si="32"/>
        <v>0</v>
      </c>
      <c r="M86" s="2"/>
      <c r="O86" s="19"/>
      <c r="P86" s="19"/>
      <c r="Q86" s="19"/>
      <c r="R86" s="21"/>
      <c r="S86" s="46"/>
      <c r="T86" s="44"/>
      <c r="U86" s="77"/>
      <c r="V86" s="24"/>
      <c r="W86" s="24"/>
      <c r="X86" s="193"/>
      <c r="Y86" s="15"/>
    </row>
    <row r="87" spans="2:25" x14ac:dyDescent="0.25">
      <c r="B87" s="15">
        <v>85</v>
      </c>
      <c r="C87" s="8"/>
      <c r="E87" s="67"/>
      <c r="F87" s="16"/>
      <c r="G87" s="8"/>
      <c r="H87" s="8"/>
      <c r="I87" s="8"/>
      <c r="J87" s="9"/>
      <c r="K87" s="9">
        <f t="shared" si="31"/>
        <v>0</v>
      </c>
      <c r="L87" s="35">
        <f t="shared" si="32"/>
        <v>0</v>
      </c>
      <c r="M87" s="2"/>
      <c r="O87" s="19"/>
      <c r="P87" s="19"/>
      <c r="Q87" s="19"/>
      <c r="R87" s="21"/>
      <c r="S87" s="46"/>
      <c r="T87" s="44"/>
      <c r="U87" s="77"/>
      <c r="V87" s="24"/>
      <c r="W87" s="24"/>
      <c r="X87" s="193"/>
      <c r="Y87" s="15"/>
    </row>
    <row r="88" spans="2:25" x14ac:dyDescent="0.25">
      <c r="B88" s="15">
        <v>86</v>
      </c>
      <c r="C88" s="8"/>
      <c r="E88" s="67"/>
      <c r="F88" s="16"/>
      <c r="G88" s="8"/>
      <c r="H88" s="8"/>
      <c r="I88" s="8"/>
      <c r="J88" s="9"/>
      <c r="K88" s="9">
        <f t="shared" si="31"/>
        <v>0</v>
      </c>
      <c r="L88" s="35">
        <f t="shared" si="32"/>
        <v>0</v>
      </c>
      <c r="M88" s="2"/>
      <c r="O88" s="19"/>
      <c r="P88" s="19"/>
      <c r="Q88" s="19"/>
      <c r="R88" s="21"/>
      <c r="S88" s="46"/>
      <c r="T88" s="44"/>
      <c r="U88" s="77"/>
      <c r="V88" s="30"/>
      <c r="W88" s="24"/>
      <c r="X88" s="193"/>
      <c r="Y88" s="15"/>
    </row>
    <row r="89" spans="2:25" x14ac:dyDescent="0.25">
      <c r="B89" s="15">
        <v>87</v>
      </c>
      <c r="C89" s="8"/>
      <c r="E89" s="67"/>
      <c r="F89" s="16"/>
      <c r="G89" s="8"/>
      <c r="H89" s="8"/>
      <c r="I89" s="8"/>
      <c r="J89" s="9"/>
      <c r="K89" s="9">
        <f t="shared" si="31"/>
        <v>0</v>
      </c>
      <c r="L89" s="35">
        <f t="shared" si="32"/>
        <v>0</v>
      </c>
      <c r="M89" s="2"/>
      <c r="O89" s="19"/>
      <c r="P89" s="19"/>
      <c r="Q89" s="19"/>
      <c r="R89" s="21"/>
      <c r="S89" s="46"/>
      <c r="T89" s="44"/>
      <c r="U89" s="77"/>
      <c r="V89" s="30"/>
      <c r="W89" s="24"/>
      <c r="X89" s="193"/>
      <c r="Y89" s="15"/>
    </row>
    <row r="90" spans="2:25" x14ac:dyDescent="0.25">
      <c r="B90" s="15">
        <v>88</v>
      </c>
      <c r="C90" s="8"/>
      <c r="E90" s="67"/>
      <c r="F90" s="16"/>
      <c r="G90" s="8"/>
      <c r="H90" s="8"/>
      <c r="I90" s="8"/>
      <c r="J90" s="9"/>
      <c r="K90" s="9">
        <f t="shared" si="31"/>
        <v>0</v>
      </c>
      <c r="L90" s="35">
        <f t="shared" si="32"/>
        <v>0</v>
      </c>
      <c r="M90" s="2"/>
      <c r="O90" s="19"/>
      <c r="P90" s="19"/>
      <c r="Q90" s="19"/>
      <c r="R90" s="21"/>
      <c r="S90" s="46"/>
      <c r="T90" s="44"/>
      <c r="U90" s="77"/>
      <c r="V90" s="24"/>
      <c r="W90" s="24"/>
      <c r="X90" s="193"/>
      <c r="Y90" s="15"/>
    </row>
    <row r="91" spans="2:25" x14ac:dyDescent="0.25">
      <c r="B91" s="15">
        <v>89</v>
      </c>
      <c r="C91" s="8"/>
      <c r="E91" s="67"/>
      <c r="F91" s="16"/>
      <c r="G91" s="8"/>
      <c r="H91" s="8"/>
      <c r="I91" s="8"/>
      <c r="J91" s="9"/>
      <c r="K91" s="9">
        <f t="shared" si="31"/>
        <v>0</v>
      </c>
      <c r="L91" s="35">
        <f t="shared" si="32"/>
        <v>0</v>
      </c>
      <c r="M91" s="2"/>
      <c r="O91" s="19"/>
      <c r="P91" s="19"/>
      <c r="Q91" s="19"/>
      <c r="R91" s="21"/>
      <c r="S91" s="46"/>
      <c r="T91" s="44"/>
      <c r="U91" s="77"/>
      <c r="V91" s="24"/>
      <c r="W91" s="24"/>
      <c r="X91" s="193"/>
      <c r="Y91" s="15"/>
    </row>
    <row r="92" spans="2:25" x14ac:dyDescent="0.25">
      <c r="B92" s="15">
        <v>90</v>
      </c>
      <c r="C92" s="8"/>
      <c r="E92" s="67"/>
      <c r="F92" s="16"/>
      <c r="G92" s="8"/>
      <c r="H92" s="8"/>
      <c r="I92" s="8"/>
      <c r="J92" s="9"/>
      <c r="K92" s="9">
        <f t="shared" si="31"/>
        <v>0</v>
      </c>
      <c r="L92" s="35">
        <f t="shared" si="32"/>
        <v>0</v>
      </c>
      <c r="M92" s="2"/>
      <c r="O92" s="19"/>
      <c r="P92" s="19"/>
      <c r="Q92" s="19"/>
      <c r="R92" s="21"/>
      <c r="S92" s="46"/>
      <c r="T92" s="44"/>
      <c r="U92" s="77"/>
      <c r="V92" s="24"/>
      <c r="W92" s="24"/>
      <c r="X92" s="193"/>
      <c r="Y92" s="15"/>
    </row>
    <row r="93" spans="2:25" x14ac:dyDescent="0.25">
      <c r="B93" s="15">
        <v>91</v>
      </c>
      <c r="C93" s="8"/>
      <c r="E93" s="67"/>
      <c r="F93" s="16"/>
      <c r="G93" s="8"/>
      <c r="H93" s="8"/>
      <c r="I93" s="8"/>
      <c r="J93" s="9"/>
      <c r="K93" s="9">
        <f t="shared" si="31"/>
        <v>0</v>
      </c>
      <c r="L93" s="35">
        <f t="shared" si="32"/>
        <v>0</v>
      </c>
      <c r="M93" s="2"/>
      <c r="O93" s="19"/>
      <c r="P93" s="19"/>
      <c r="Q93" s="19"/>
      <c r="R93" s="21"/>
      <c r="S93" s="46"/>
      <c r="T93" s="44"/>
      <c r="U93" s="77"/>
      <c r="V93" s="24"/>
      <c r="W93" s="24"/>
      <c r="X93" s="193"/>
      <c r="Y93" s="15"/>
    </row>
    <row r="94" spans="2:25" x14ac:dyDescent="0.25">
      <c r="B94" s="15">
        <v>92</v>
      </c>
      <c r="C94" s="8"/>
      <c r="E94" s="67"/>
      <c r="F94" s="16"/>
      <c r="G94" s="8"/>
      <c r="H94" s="8"/>
      <c r="I94" s="8"/>
      <c r="J94" s="9"/>
      <c r="K94" s="9">
        <f t="shared" si="31"/>
        <v>0</v>
      </c>
      <c r="L94" s="35">
        <f t="shared" si="32"/>
        <v>0</v>
      </c>
      <c r="M94" s="2"/>
      <c r="O94" s="19"/>
      <c r="P94" s="19"/>
      <c r="Q94" s="19"/>
      <c r="R94" s="21"/>
      <c r="S94" s="46"/>
      <c r="T94" s="44"/>
      <c r="U94" s="77"/>
      <c r="V94" s="24"/>
      <c r="W94" s="24"/>
      <c r="X94" s="193"/>
      <c r="Y94" s="15"/>
    </row>
    <row r="95" spans="2:25" x14ac:dyDescent="0.25">
      <c r="B95" s="15">
        <v>93</v>
      </c>
      <c r="C95" s="8"/>
      <c r="E95" s="67"/>
      <c r="F95" s="16"/>
      <c r="G95" s="8"/>
      <c r="H95" s="8"/>
      <c r="I95" s="8"/>
      <c r="J95" s="9"/>
      <c r="K95" s="9">
        <f t="shared" si="31"/>
        <v>0</v>
      </c>
      <c r="L95" s="35">
        <f t="shared" si="32"/>
        <v>0</v>
      </c>
      <c r="M95" s="2"/>
      <c r="O95" s="19"/>
      <c r="P95" s="19"/>
      <c r="Q95" s="19"/>
      <c r="R95" s="46"/>
      <c r="S95" s="46"/>
      <c r="T95" s="44"/>
      <c r="U95" s="77"/>
      <c r="V95" s="30"/>
      <c r="W95" s="24"/>
      <c r="X95" s="193"/>
      <c r="Y95" s="15"/>
    </row>
    <row r="96" spans="2:25" x14ac:dyDescent="0.25">
      <c r="B96" s="15">
        <v>94</v>
      </c>
      <c r="C96" s="8"/>
      <c r="E96" s="67"/>
      <c r="F96" s="16"/>
      <c r="G96" s="8"/>
      <c r="H96" s="8"/>
      <c r="I96" s="8"/>
      <c r="J96" s="9"/>
      <c r="K96" s="9">
        <f t="shared" si="31"/>
        <v>0</v>
      </c>
      <c r="L96" s="35">
        <f t="shared" si="32"/>
        <v>0</v>
      </c>
      <c r="M96" s="2"/>
      <c r="O96" s="19"/>
      <c r="P96" s="19"/>
      <c r="Q96" s="19"/>
      <c r="R96" s="254"/>
      <c r="S96" s="46"/>
      <c r="T96" s="44"/>
      <c r="U96" s="77"/>
      <c r="V96" s="30"/>
      <c r="W96" s="24"/>
      <c r="X96" s="193"/>
      <c r="Y96" s="15"/>
    </row>
    <row r="97" spans="2:25" x14ac:dyDescent="0.25">
      <c r="B97" s="15">
        <v>95</v>
      </c>
      <c r="C97" s="8"/>
      <c r="E97" s="67"/>
      <c r="F97" s="16"/>
      <c r="G97" s="8"/>
      <c r="H97" s="8"/>
      <c r="I97" s="8"/>
      <c r="J97" s="9"/>
      <c r="K97" s="9">
        <f t="shared" si="31"/>
        <v>0</v>
      </c>
      <c r="L97" s="35">
        <f t="shared" si="32"/>
        <v>0</v>
      </c>
      <c r="M97" s="2"/>
      <c r="O97" s="19"/>
      <c r="P97" s="19"/>
      <c r="Q97" s="19"/>
      <c r="R97" s="21"/>
      <c r="S97" s="46"/>
      <c r="T97" s="44"/>
      <c r="U97" s="77"/>
      <c r="V97" s="30"/>
      <c r="W97" s="24"/>
      <c r="X97" s="193"/>
      <c r="Y97" s="15"/>
    </row>
    <row r="98" spans="2:25" x14ac:dyDescent="0.25">
      <c r="B98" s="15">
        <v>96</v>
      </c>
      <c r="C98" s="8"/>
      <c r="E98" s="67"/>
      <c r="F98" s="16"/>
      <c r="G98" s="8"/>
      <c r="H98" s="8"/>
      <c r="I98" s="8"/>
      <c r="J98" s="9"/>
      <c r="K98" s="9">
        <f t="shared" si="31"/>
        <v>0</v>
      </c>
      <c r="L98" s="35">
        <f t="shared" si="32"/>
        <v>0</v>
      </c>
      <c r="M98" s="2"/>
      <c r="O98" s="19"/>
      <c r="P98" s="19"/>
      <c r="Q98" s="19"/>
      <c r="R98" s="21"/>
      <c r="S98" s="46"/>
      <c r="T98" s="44"/>
      <c r="U98" s="77"/>
      <c r="V98" s="24"/>
      <c r="W98" s="24"/>
      <c r="X98" s="193"/>
      <c r="Y98" s="15"/>
    </row>
    <row r="99" spans="2:25" x14ac:dyDescent="0.25">
      <c r="B99" s="15">
        <v>97</v>
      </c>
      <c r="C99" s="8"/>
      <c r="E99" s="67"/>
      <c r="F99" s="16"/>
      <c r="G99" s="8"/>
      <c r="H99" s="8"/>
      <c r="I99" s="8"/>
      <c r="J99" s="9"/>
      <c r="K99" s="9">
        <f t="shared" si="31"/>
        <v>0</v>
      </c>
      <c r="L99" s="35">
        <f t="shared" si="32"/>
        <v>0</v>
      </c>
      <c r="M99" s="2"/>
      <c r="O99" s="19"/>
      <c r="P99" s="19"/>
      <c r="Q99" s="19"/>
      <c r="R99" s="21"/>
      <c r="S99" s="46"/>
      <c r="T99" s="44"/>
      <c r="U99" s="77"/>
      <c r="V99" s="24"/>
      <c r="W99" s="24"/>
      <c r="X99" s="193"/>
      <c r="Y99" s="15"/>
    </row>
    <row r="100" spans="2:25" x14ac:dyDescent="0.25">
      <c r="B100" s="15">
        <v>98</v>
      </c>
      <c r="C100" s="8"/>
      <c r="E100" s="67"/>
      <c r="F100" s="16"/>
      <c r="G100" s="8"/>
      <c r="H100" s="8"/>
      <c r="I100" s="8"/>
      <c r="J100" s="9"/>
      <c r="K100" s="9">
        <f t="shared" si="31"/>
        <v>0</v>
      </c>
      <c r="L100" s="35">
        <f t="shared" si="32"/>
        <v>0</v>
      </c>
      <c r="M100" s="2"/>
      <c r="O100" s="19"/>
      <c r="P100" s="19"/>
      <c r="Q100" s="19"/>
      <c r="R100" s="21"/>
      <c r="S100" s="46"/>
      <c r="T100" s="44"/>
      <c r="U100" s="77"/>
      <c r="V100" s="24"/>
      <c r="W100" s="24"/>
      <c r="X100" s="193"/>
      <c r="Y100" s="15"/>
    </row>
    <row r="101" spans="2:25" x14ac:dyDescent="0.25">
      <c r="B101" s="15">
        <v>99</v>
      </c>
      <c r="C101" s="8"/>
      <c r="E101" s="67"/>
      <c r="F101" s="16"/>
      <c r="G101" s="8"/>
      <c r="H101" s="8"/>
      <c r="I101" s="8"/>
      <c r="J101" s="9"/>
      <c r="K101" s="9">
        <f t="shared" si="31"/>
        <v>0</v>
      </c>
      <c r="L101" s="35">
        <f t="shared" si="32"/>
        <v>0</v>
      </c>
      <c r="M101" s="2"/>
      <c r="O101" s="19"/>
      <c r="P101" s="19"/>
      <c r="Q101" s="19"/>
      <c r="R101" s="21"/>
      <c r="S101" s="46"/>
      <c r="T101" s="44"/>
      <c r="U101" s="77"/>
      <c r="V101" s="24"/>
      <c r="W101" s="24"/>
      <c r="X101" s="193"/>
      <c r="Y101" s="15"/>
    </row>
    <row r="102" spans="2:25" x14ac:dyDescent="0.25">
      <c r="B102" s="15">
        <v>100</v>
      </c>
      <c r="C102" s="8"/>
      <c r="E102" s="67"/>
      <c r="F102" s="16"/>
      <c r="G102" s="8"/>
      <c r="H102" s="8"/>
      <c r="I102" s="8"/>
      <c r="J102" s="9"/>
      <c r="K102" s="9">
        <f t="shared" si="31"/>
        <v>0</v>
      </c>
      <c r="L102" s="35">
        <f t="shared" si="32"/>
        <v>0</v>
      </c>
      <c r="M102" s="2"/>
      <c r="O102" s="19"/>
      <c r="P102" s="19"/>
      <c r="Q102" s="19"/>
      <c r="R102" s="21"/>
      <c r="S102" s="46"/>
      <c r="T102" s="44"/>
      <c r="U102" s="77"/>
      <c r="V102" s="24"/>
      <c r="W102" s="24"/>
      <c r="X102" s="193"/>
      <c r="Y102" s="15"/>
    </row>
    <row r="103" spans="2:25" x14ac:dyDescent="0.25">
      <c r="B103" s="15">
        <v>101</v>
      </c>
      <c r="C103" s="8"/>
      <c r="E103" s="67"/>
      <c r="F103" s="16"/>
      <c r="G103" s="8"/>
      <c r="H103" s="8"/>
      <c r="I103" s="8"/>
      <c r="J103" s="9"/>
      <c r="K103" s="9">
        <f t="shared" si="31"/>
        <v>0</v>
      </c>
      <c r="L103" s="35">
        <f t="shared" si="32"/>
        <v>0</v>
      </c>
      <c r="M103" s="2"/>
      <c r="O103" s="19"/>
      <c r="P103" s="19"/>
      <c r="Q103" s="19"/>
      <c r="R103" s="21"/>
      <c r="S103" s="46"/>
      <c r="T103" s="44"/>
      <c r="U103" s="77"/>
      <c r="V103" s="30"/>
      <c r="W103" s="24"/>
      <c r="X103" s="193"/>
      <c r="Y103" s="15"/>
    </row>
    <row r="104" spans="2:25" x14ac:dyDescent="0.25">
      <c r="B104" s="15">
        <v>102</v>
      </c>
      <c r="C104" s="8"/>
      <c r="E104" s="67"/>
      <c r="F104" s="16"/>
      <c r="G104" s="8"/>
      <c r="H104" s="8"/>
      <c r="I104" s="8"/>
      <c r="J104" s="9"/>
      <c r="K104" s="9">
        <f t="shared" si="31"/>
        <v>0</v>
      </c>
      <c r="L104" s="35">
        <f t="shared" si="32"/>
        <v>0</v>
      </c>
      <c r="M104" s="2"/>
      <c r="O104" s="19"/>
      <c r="P104" s="19"/>
      <c r="Q104" s="19"/>
      <c r="R104" s="21"/>
      <c r="S104" s="46"/>
      <c r="T104" s="44"/>
      <c r="U104" s="77"/>
      <c r="V104" s="24"/>
      <c r="W104" s="24"/>
      <c r="X104" s="193"/>
      <c r="Y104" s="15"/>
    </row>
    <row r="105" spans="2:25" x14ac:dyDescent="0.25">
      <c r="B105" s="15">
        <v>103</v>
      </c>
      <c r="C105" s="8"/>
      <c r="E105" s="67"/>
      <c r="F105" s="16"/>
      <c r="G105" s="8"/>
      <c r="H105" s="8"/>
      <c r="I105" s="8"/>
      <c r="J105" s="9"/>
      <c r="K105" s="9">
        <f t="shared" si="31"/>
        <v>0</v>
      </c>
      <c r="L105" s="35">
        <f t="shared" si="32"/>
        <v>0</v>
      </c>
      <c r="M105" s="2"/>
      <c r="O105" s="19"/>
      <c r="P105" s="19"/>
      <c r="Q105" s="19"/>
      <c r="R105" s="21"/>
      <c r="S105" s="46"/>
      <c r="T105" s="44"/>
      <c r="U105" s="77"/>
      <c r="V105" s="24"/>
      <c r="W105" s="24"/>
      <c r="X105" s="193"/>
      <c r="Y105" s="15"/>
    </row>
    <row r="106" spans="2:25" x14ac:dyDescent="0.25">
      <c r="B106" s="15">
        <v>104</v>
      </c>
      <c r="C106" s="8"/>
      <c r="E106" s="67"/>
      <c r="F106" s="255"/>
      <c r="G106" s="8"/>
      <c r="H106" s="8"/>
      <c r="I106" s="8"/>
      <c r="J106" s="9"/>
      <c r="K106" s="9">
        <f t="shared" si="31"/>
        <v>0</v>
      </c>
      <c r="L106" s="35">
        <f t="shared" si="32"/>
        <v>0</v>
      </c>
      <c r="M106" s="2"/>
      <c r="O106" s="19"/>
      <c r="P106" s="19"/>
      <c r="Q106" s="19"/>
      <c r="R106" s="21"/>
      <c r="S106" s="46"/>
      <c r="T106" s="44"/>
      <c r="U106" s="77"/>
      <c r="V106" s="24"/>
      <c r="W106" s="24"/>
      <c r="X106" s="193"/>
      <c r="Y106" s="15"/>
    </row>
    <row r="107" spans="2:25" x14ac:dyDescent="0.25">
      <c r="B107" s="15">
        <v>105</v>
      </c>
      <c r="C107" s="8"/>
      <c r="E107" s="67"/>
      <c r="F107" s="16"/>
      <c r="G107" s="8"/>
      <c r="H107" s="8"/>
      <c r="I107" s="8"/>
      <c r="J107" s="9"/>
      <c r="K107" s="9">
        <f t="shared" si="31"/>
        <v>0</v>
      </c>
      <c r="L107" s="35">
        <f t="shared" si="32"/>
        <v>0</v>
      </c>
      <c r="M107" s="2"/>
      <c r="O107" s="19"/>
      <c r="P107" s="19"/>
      <c r="Q107" s="19"/>
      <c r="R107" s="21"/>
      <c r="S107" s="46"/>
      <c r="T107" s="44"/>
      <c r="U107" s="77"/>
      <c r="V107" s="24"/>
      <c r="W107" s="24"/>
      <c r="X107" s="193"/>
      <c r="Y107" s="15"/>
    </row>
    <row r="108" spans="2:25" x14ac:dyDescent="0.25">
      <c r="B108" s="15">
        <v>106</v>
      </c>
      <c r="C108" s="8"/>
      <c r="E108" s="67"/>
      <c r="F108" s="16"/>
      <c r="G108" s="8"/>
      <c r="H108" s="8"/>
      <c r="I108" s="8"/>
      <c r="J108" s="9"/>
      <c r="K108" s="9">
        <f t="shared" si="31"/>
        <v>0</v>
      </c>
      <c r="L108" s="35">
        <f t="shared" si="32"/>
        <v>0</v>
      </c>
      <c r="M108" s="2"/>
      <c r="O108" s="19"/>
      <c r="P108" s="19"/>
      <c r="Q108" s="19"/>
      <c r="R108" s="21"/>
      <c r="S108" s="46"/>
      <c r="T108" s="44"/>
      <c r="U108" s="77"/>
      <c r="V108" s="24"/>
      <c r="W108" s="24"/>
      <c r="X108" s="193"/>
      <c r="Y108" s="15"/>
    </row>
    <row r="109" spans="2:25" x14ac:dyDescent="0.25">
      <c r="B109" s="15">
        <v>107</v>
      </c>
      <c r="C109" s="8"/>
      <c r="E109" s="67"/>
      <c r="F109" s="16"/>
      <c r="G109" s="8"/>
      <c r="H109" s="8"/>
      <c r="I109" s="8"/>
      <c r="J109" s="9"/>
      <c r="K109" s="9">
        <f t="shared" si="31"/>
        <v>0</v>
      </c>
      <c r="L109" s="35">
        <f t="shared" si="32"/>
        <v>0</v>
      </c>
      <c r="M109" s="2"/>
      <c r="O109" s="19"/>
      <c r="P109" s="19"/>
      <c r="Q109" s="19"/>
      <c r="R109" s="21"/>
      <c r="S109" s="46"/>
      <c r="T109" s="44"/>
      <c r="U109" s="77"/>
      <c r="V109" s="30"/>
      <c r="W109" s="24"/>
      <c r="X109" s="193"/>
      <c r="Y109" s="15"/>
    </row>
    <row r="110" spans="2:25" x14ac:dyDescent="0.25">
      <c r="B110" s="15">
        <v>108</v>
      </c>
      <c r="C110" s="8"/>
      <c r="E110" s="67"/>
      <c r="F110" s="16"/>
      <c r="G110" s="8"/>
      <c r="H110" s="8"/>
      <c r="I110" s="8"/>
      <c r="J110" s="9"/>
      <c r="K110" s="9">
        <f t="shared" si="31"/>
        <v>0</v>
      </c>
      <c r="L110" s="35">
        <f t="shared" si="32"/>
        <v>0</v>
      </c>
      <c r="M110" s="2"/>
      <c r="O110" s="19"/>
      <c r="P110" s="19"/>
      <c r="Q110" s="19"/>
      <c r="R110" s="21"/>
      <c r="S110" s="46"/>
      <c r="T110" s="44"/>
      <c r="U110" s="77"/>
      <c r="V110" s="30"/>
      <c r="W110" s="24"/>
      <c r="X110" s="193"/>
      <c r="Y110" s="15"/>
    </row>
    <row r="111" spans="2:25" x14ac:dyDescent="0.25">
      <c r="B111" s="15">
        <v>109</v>
      </c>
      <c r="C111" s="8"/>
      <c r="E111" s="67"/>
      <c r="F111" s="16"/>
      <c r="G111" s="8"/>
      <c r="H111" s="8"/>
      <c r="I111" s="8"/>
      <c r="J111" s="9"/>
      <c r="K111" s="9">
        <f t="shared" si="31"/>
        <v>0</v>
      </c>
      <c r="L111" s="35">
        <f t="shared" si="32"/>
        <v>0</v>
      </c>
      <c r="M111" s="2"/>
      <c r="O111" s="19"/>
      <c r="P111" s="19"/>
      <c r="Q111" s="19"/>
      <c r="R111" s="21"/>
      <c r="S111" s="46"/>
      <c r="T111" s="44"/>
      <c r="U111" s="77"/>
      <c r="V111" s="30"/>
      <c r="W111" s="24"/>
      <c r="X111" s="193"/>
      <c r="Y111" s="15"/>
    </row>
    <row r="112" spans="2:25" x14ac:dyDescent="0.25">
      <c r="B112" s="15">
        <v>110</v>
      </c>
      <c r="C112" s="8"/>
      <c r="E112" s="67"/>
      <c r="F112" s="16"/>
      <c r="G112" s="8"/>
      <c r="H112" s="8"/>
      <c r="I112" s="8"/>
      <c r="J112" s="9"/>
      <c r="K112" s="9">
        <f t="shared" si="31"/>
        <v>0</v>
      </c>
      <c r="L112" s="35">
        <f t="shared" si="32"/>
        <v>0</v>
      </c>
      <c r="M112" s="2"/>
      <c r="O112" s="19"/>
      <c r="P112" s="19"/>
      <c r="Q112" s="19"/>
      <c r="R112" s="21"/>
      <c r="S112" s="46"/>
      <c r="T112" s="44"/>
      <c r="U112" s="77"/>
      <c r="V112" s="24"/>
      <c r="W112" s="24"/>
      <c r="X112" s="193"/>
      <c r="Y112" s="15"/>
    </row>
    <row r="113" spans="2:25" x14ac:dyDescent="0.25">
      <c r="B113" s="15">
        <v>111</v>
      </c>
      <c r="C113" s="8"/>
      <c r="E113" s="67"/>
      <c r="F113" s="16"/>
      <c r="G113" s="8"/>
      <c r="H113" s="8"/>
      <c r="I113" s="8"/>
      <c r="J113" s="9"/>
      <c r="K113" s="9">
        <f t="shared" si="31"/>
        <v>0</v>
      </c>
      <c r="L113" s="35">
        <f t="shared" si="32"/>
        <v>0</v>
      </c>
      <c r="M113" s="2"/>
      <c r="O113" s="19"/>
      <c r="P113" s="19"/>
      <c r="Q113" s="19"/>
      <c r="R113" s="21"/>
      <c r="S113" s="46"/>
      <c r="T113" s="44"/>
      <c r="U113" s="77"/>
      <c r="V113" s="24"/>
      <c r="W113" s="24"/>
      <c r="X113" s="193"/>
      <c r="Y113" s="15"/>
    </row>
    <row r="114" spans="2:25" x14ac:dyDescent="0.25">
      <c r="B114" s="15">
        <v>112</v>
      </c>
      <c r="C114" s="8"/>
      <c r="E114" s="67"/>
      <c r="F114" s="16"/>
      <c r="G114" s="8"/>
      <c r="H114" s="8"/>
      <c r="I114" s="8"/>
      <c r="J114" s="9"/>
      <c r="K114" s="9">
        <f t="shared" si="31"/>
        <v>0</v>
      </c>
      <c r="L114" s="35">
        <f t="shared" si="32"/>
        <v>0</v>
      </c>
      <c r="M114" s="2"/>
      <c r="O114" s="19"/>
      <c r="P114" s="19"/>
      <c r="Q114" s="19"/>
      <c r="R114" s="21"/>
      <c r="S114" s="46"/>
      <c r="T114" s="44"/>
      <c r="U114" s="77"/>
      <c r="V114" s="24"/>
      <c r="W114" s="24"/>
      <c r="X114" s="193"/>
      <c r="Y114" s="15"/>
    </row>
    <row r="115" spans="2:25" x14ac:dyDescent="0.25">
      <c r="B115" s="15">
        <v>113</v>
      </c>
      <c r="C115" s="8"/>
      <c r="E115" s="67"/>
      <c r="F115" s="16"/>
      <c r="G115" s="8"/>
      <c r="H115" s="8"/>
      <c r="I115" s="8"/>
      <c r="J115" s="9"/>
      <c r="K115" s="9">
        <f t="shared" si="31"/>
        <v>0</v>
      </c>
      <c r="L115" s="35">
        <f t="shared" si="32"/>
        <v>0</v>
      </c>
      <c r="M115" s="2"/>
      <c r="O115" s="19"/>
      <c r="P115" s="19"/>
      <c r="Q115" s="19"/>
      <c r="R115" s="21"/>
      <c r="S115" s="46"/>
      <c r="T115" s="44"/>
      <c r="U115" s="77"/>
      <c r="V115" s="24"/>
      <c r="W115" s="24"/>
      <c r="X115" s="193"/>
      <c r="Y115" s="15"/>
    </row>
    <row r="116" spans="2:25" x14ac:dyDescent="0.25">
      <c r="B116" s="15">
        <v>114</v>
      </c>
      <c r="C116" s="8"/>
      <c r="E116" s="67"/>
      <c r="F116" s="16"/>
      <c r="G116" s="8"/>
      <c r="H116" s="8"/>
      <c r="I116" s="8"/>
      <c r="J116" s="9"/>
      <c r="K116" s="9">
        <f t="shared" si="31"/>
        <v>0</v>
      </c>
      <c r="L116" s="35">
        <f t="shared" si="32"/>
        <v>0</v>
      </c>
      <c r="M116" s="2"/>
      <c r="O116" s="19"/>
      <c r="P116" s="19"/>
      <c r="Q116" s="19"/>
      <c r="R116" s="21"/>
      <c r="S116" s="46"/>
      <c r="T116" s="44"/>
      <c r="U116" s="77"/>
      <c r="V116" s="30"/>
      <c r="W116" s="24"/>
      <c r="X116" s="193"/>
      <c r="Y116" s="15"/>
    </row>
    <row r="117" spans="2:25" x14ac:dyDescent="0.25">
      <c r="B117" s="15">
        <v>115</v>
      </c>
      <c r="C117" s="8"/>
      <c r="E117" s="67"/>
      <c r="F117" s="16"/>
      <c r="G117" s="8"/>
      <c r="H117" s="8"/>
      <c r="I117" s="8"/>
      <c r="J117" s="9"/>
      <c r="K117" s="9">
        <f t="shared" si="31"/>
        <v>0</v>
      </c>
      <c r="L117" s="35">
        <f t="shared" si="32"/>
        <v>0</v>
      </c>
      <c r="M117" s="2"/>
      <c r="O117" s="19"/>
      <c r="P117" s="19"/>
      <c r="Q117" s="19"/>
      <c r="R117" s="21"/>
      <c r="S117" s="46"/>
      <c r="T117" s="44"/>
      <c r="U117" s="77"/>
      <c r="V117" s="30"/>
      <c r="W117" s="24"/>
      <c r="X117" s="193"/>
      <c r="Y117" s="15"/>
    </row>
    <row r="118" spans="2:25" x14ac:dyDescent="0.25">
      <c r="B118" s="15">
        <v>116</v>
      </c>
      <c r="C118" s="8"/>
      <c r="E118" s="67"/>
      <c r="F118" s="16"/>
      <c r="G118" s="8"/>
      <c r="H118" s="8"/>
      <c r="I118" s="8"/>
      <c r="J118" s="9"/>
      <c r="K118" s="9">
        <f t="shared" si="31"/>
        <v>0</v>
      </c>
      <c r="L118" s="35">
        <f t="shared" si="32"/>
        <v>0</v>
      </c>
      <c r="M118" s="2"/>
      <c r="O118" s="19"/>
      <c r="P118" s="19"/>
      <c r="Q118" s="19"/>
      <c r="R118" s="21"/>
      <c r="S118" s="46"/>
      <c r="T118" s="44"/>
      <c r="U118" s="77"/>
      <c r="V118" s="30"/>
      <c r="W118" s="24"/>
      <c r="X118" s="193"/>
      <c r="Y118" s="15"/>
    </row>
    <row r="119" spans="2:25" x14ac:dyDescent="0.25">
      <c r="B119" s="15">
        <v>117</v>
      </c>
      <c r="C119" s="8"/>
      <c r="E119" s="67"/>
      <c r="F119" s="16"/>
      <c r="G119" s="8"/>
      <c r="H119" s="8"/>
      <c r="I119" s="8"/>
      <c r="J119" s="9"/>
      <c r="K119" s="9">
        <f t="shared" si="31"/>
        <v>0</v>
      </c>
      <c r="L119" s="35">
        <f t="shared" si="32"/>
        <v>0</v>
      </c>
      <c r="M119" s="2"/>
      <c r="O119" s="19"/>
      <c r="P119" s="19"/>
      <c r="Q119" s="19"/>
      <c r="R119" s="21"/>
      <c r="S119" s="46"/>
      <c r="T119" s="44"/>
      <c r="U119" s="77"/>
      <c r="V119" s="30"/>
      <c r="W119" s="24"/>
      <c r="X119" s="193"/>
      <c r="Y119" s="15"/>
    </row>
    <row r="120" spans="2:25" x14ac:dyDescent="0.25">
      <c r="B120" s="15">
        <v>118</v>
      </c>
      <c r="C120" s="8"/>
      <c r="E120" s="67"/>
      <c r="G120" s="8"/>
      <c r="H120" s="8"/>
      <c r="I120" s="8"/>
      <c r="J120" s="9"/>
      <c r="K120" s="9">
        <f t="shared" si="31"/>
        <v>0</v>
      </c>
      <c r="L120" s="35">
        <f t="shared" si="32"/>
        <v>0</v>
      </c>
      <c r="M120" s="2"/>
      <c r="O120" s="19"/>
      <c r="P120" s="19"/>
      <c r="Q120" s="19"/>
      <c r="R120" s="21"/>
      <c r="S120" s="46"/>
      <c r="T120" s="44"/>
      <c r="U120" s="77"/>
      <c r="V120" s="24"/>
      <c r="W120" s="24"/>
      <c r="X120" s="193"/>
      <c r="Y120" s="15"/>
    </row>
    <row r="121" spans="2:25" x14ac:dyDescent="0.25">
      <c r="B121" s="15">
        <v>119</v>
      </c>
      <c r="C121" s="8"/>
      <c r="E121" s="67"/>
      <c r="G121" s="8"/>
      <c r="H121" s="8"/>
      <c r="I121" s="8"/>
      <c r="J121" s="9"/>
      <c r="K121" s="9">
        <f t="shared" si="31"/>
        <v>0</v>
      </c>
      <c r="L121" s="35">
        <f t="shared" si="32"/>
        <v>0</v>
      </c>
      <c r="M121" s="2"/>
      <c r="O121" s="19"/>
      <c r="P121" s="19"/>
      <c r="Q121" s="19"/>
      <c r="R121" s="21"/>
      <c r="S121" s="46"/>
      <c r="T121" s="44"/>
      <c r="U121" s="77"/>
      <c r="V121" s="24"/>
      <c r="W121" s="24"/>
      <c r="X121" s="193"/>
      <c r="Y121" s="15"/>
    </row>
    <row r="122" spans="2:25" x14ac:dyDescent="0.25">
      <c r="B122" s="15">
        <v>120</v>
      </c>
      <c r="C122" s="8"/>
      <c r="E122" s="67"/>
      <c r="F122" s="16"/>
      <c r="G122" s="8"/>
      <c r="H122" s="8"/>
      <c r="I122" s="8"/>
      <c r="J122" s="9"/>
      <c r="K122" s="9">
        <f t="shared" si="31"/>
        <v>0</v>
      </c>
      <c r="L122" s="35">
        <f t="shared" si="32"/>
        <v>0</v>
      </c>
      <c r="M122" s="2"/>
      <c r="O122" s="19"/>
      <c r="P122" s="19"/>
      <c r="Q122" s="19"/>
      <c r="R122" s="21"/>
      <c r="S122" s="46"/>
      <c r="T122" s="44"/>
      <c r="U122" s="77"/>
      <c r="V122" s="24"/>
      <c r="W122" s="24"/>
      <c r="X122" s="193"/>
      <c r="Y122" s="15"/>
    </row>
    <row r="123" spans="2:25" x14ac:dyDescent="0.25">
      <c r="B123" s="15">
        <v>121</v>
      </c>
      <c r="C123" s="8"/>
      <c r="E123" s="67"/>
      <c r="F123" s="16"/>
      <c r="G123" s="8"/>
      <c r="H123" s="8"/>
      <c r="I123" s="8"/>
      <c r="J123" s="9"/>
      <c r="K123" s="9">
        <f t="shared" si="31"/>
        <v>0</v>
      </c>
      <c r="L123" s="35">
        <f t="shared" si="32"/>
        <v>0</v>
      </c>
      <c r="M123" s="2"/>
      <c r="O123" s="19"/>
      <c r="P123" s="19"/>
      <c r="Q123" s="19"/>
      <c r="R123" s="21"/>
      <c r="S123" s="46"/>
      <c r="T123" s="44"/>
      <c r="U123" s="77"/>
      <c r="V123" s="24"/>
      <c r="W123" s="24"/>
      <c r="X123" s="193"/>
      <c r="Y123" s="15"/>
    </row>
    <row r="124" spans="2:25" x14ac:dyDescent="0.25">
      <c r="B124" s="15">
        <v>122</v>
      </c>
      <c r="C124" s="8"/>
      <c r="E124" s="67"/>
      <c r="F124" s="16"/>
      <c r="G124" s="8"/>
      <c r="H124" s="8"/>
      <c r="I124" s="8"/>
      <c r="J124" s="9"/>
      <c r="K124" s="9">
        <f t="shared" si="31"/>
        <v>0</v>
      </c>
      <c r="L124" s="35">
        <f t="shared" si="32"/>
        <v>0</v>
      </c>
      <c r="M124" s="2"/>
      <c r="O124" s="19"/>
      <c r="P124" s="19"/>
      <c r="Q124" s="19"/>
      <c r="R124" s="21"/>
      <c r="S124" s="46"/>
      <c r="T124" s="44"/>
      <c r="U124" s="77"/>
      <c r="V124" s="24"/>
      <c r="W124" s="24"/>
      <c r="X124" s="193"/>
      <c r="Y124" s="15"/>
    </row>
    <row r="125" spans="2:25" x14ac:dyDescent="0.25">
      <c r="B125" s="15">
        <v>123</v>
      </c>
      <c r="C125" s="8"/>
      <c r="E125" s="67"/>
      <c r="F125" s="16"/>
      <c r="G125" s="8"/>
      <c r="H125" s="8"/>
      <c r="I125" s="8"/>
      <c r="J125" s="9"/>
      <c r="K125" s="9">
        <f t="shared" si="31"/>
        <v>0</v>
      </c>
      <c r="L125" s="35">
        <f t="shared" si="32"/>
        <v>0</v>
      </c>
      <c r="M125" s="2"/>
      <c r="O125" s="19"/>
      <c r="P125" s="19"/>
      <c r="Q125" s="19"/>
      <c r="R125" s="21"/>
      <c r="S125" s="46"/>
      <c r="T125" s="44"/>
      <c r="U125" s="77"/>
      <c r="V125" s="30"/>
      <c r="W125" s="24"/>
      <c r="X125" s="193"/>
      <c r="Y125" s="15"/>
    </row>
    <row r="126" spans="2:25" x14ac:dyDescent="0.25">
      <c r="B126" s="15">
        <v>124</v>
      </c>
      <c r="C126" s="8"/>
      <c r="E126" s="67"/>
      <c r="F126" s="16"/>
      <c r="G126" s="8"/>
      <c r="H126" s="8"/>
      <c r="I126" s="8"/>
      <c r="J126" s="9"/>
      <c r="K126" s="9">
        <f t="shared" si="31"/>
        <v>0</v>
      </c>
      <c r="L126" s="35">
        <f t="shared" si="32"/>
        <v>0</v>
      </c>
      <c r="M126" s="2"/>
      <c r="O126" s="19"/>
      <c r="P126" s="19"/>
      <c r="Q126" s="19"/>
      <c r="R126" s="21"/>
      <c r="S126" s="46"/>
      <c r="T126" s="44"/>
      <c r="U126" s="77"/>
      <c r="V126" s="30"/>
      <c r="W126" s="24"/>
      <c r="X126" s="193"/>
      <c r="Y126" s="15"/>
    </row>
    <row r="127" spans="2:25" x14ac:dyDescent="0.25">
      <c r="B127" s="15">
        <v>125</v>
      </c>
      <c r="C127" s="8"/>
      <c r="E127" s="67"/>
      <c r="F127" s="16"/>
      <c r="G127" s="8"/>
      <c r="H127" s="8"/>
      <c r="I127" s="8"/>
      <c r="J127" s="9"/>
      <c r="K127" s="9">
        <f t="shared" si="31"/>
        <v>0</v>
      </c>
      <c r="L127" s="35">
        <f t="shared" si="32"/>
        <v>0</v>
      </c>
      <c r="M127" s="2"/>
      <c r="O127" s="19"/>
      <c r="P127" s="19"/>
      <c r="Q127" s="19"/>
      <c r="R127" s="21"/>
      <c r="S127" s="46"/>
      <c r="T127" s="44"/>
      <c r="U127" s="77"/>
      <c r="V127" s="24"/>
      <c r="W127" s="24"/>
      <c r="X127" s="193"/>
      <c r="Y127" s="15"/>
    </row>
    <row r="128" spans="2:25" x14ac:dyDescent="0.25">
      <c r="B128" s="15">
        <v>126</v>
      </c>
      <c r="C128" s="8"/>
      <c r="E128" s="67"/>
      <c r="F128" s="16"/>
      <c r="G128" s="8"/>
      <c r="H128" s="8"/>
      <c r="I128" s="8"/>
      <c r="J128" s="9"/>
      <c r="K128" s="9">
        <f t="shared" si="31"/>
        <v>0</v>
      </c>
      <c r="L128" s="35">
        <f t="shared" si="32"/>
        <v>0</v>
      </c>
      <c r="M128" s="2"/>
      <c r="O128" s="19"/>
      <c r="P128" s="19"/>
      <c r="Q128" s="19"/>
      <c r="R128" s="21"/>
      <c r="S128" s="46"/>
      <c r="T128" s="44"/>
      <c r="U128" s="77"/>
      <c r="V128" s="24"/>
      <c r="W128" s="24"/>
      <c r="X128" s="193"/>
      <c r="Y128" s="15"/>
    </row>
    <row r="129" spans="2:25" x14ac:dyDescent="0.25">
      <c r="B129" s="15">
        <v>127</v>
      </c>
      <c r="C129" s="8"/>
      <c r="E129" s="67"/>
      <c r="F129" s="16"/>
      <c r="G129" s="8"/>
      <c r="H129" s="8"/>
      <c r="I129" s="8"/>
      <c r="J129" s="9"/>
      <c r="K129" s="9">
        <f t="shared" si="31"/>
        <v>0</v>
      </c>
      <c r="L129" s="35">
        <f t="shared" si="32"/>
        <v>0</v>
      </c>
      <c r="M129" s="2"/>
      <c r="O129" s="19"/>
      <c r="P129" s="19"/>
      <c r="Q129" s="19"/>
      <c r="R129" s="21"/>
      <c r="S129" s="46"/>
      <c r="T129" s="44"/>
      <c r="U129" s="77"/>
      <c r="V129" s="24"/>
      <c r="W129" s="24"/>
      <c r="X129" s="193"/>
      <c r="Y129" s="15"/>
    </row>
    <row r="130" spans="2:25" x14ac:dyDescent="0.25">
      <c r="B130" s="15">
        <v>128</v>
      </c>
      <c r="C130" s="8"/>
      <c r="E130" s="67"/>
      <c r="F130" s="16"/>
      <c r="G130" s="8"/>
      <c r="H130" s="8"/>
      <c r="I130" s="8"/>
      <c r="J130" s="9"/>
      <c r="K130" s="9">
        <f t="shared" si="31"/>
        <v>0</v>
      </c>
      <c r="L130" s="35">
        <f t="shared" si="32"/>
        <v>0</v>
      </c>
      <c r="M130" s="2"/>
      <c r="O130" s="19"/>
      <c r="P130" s="19"/>
      <c r="Q130" s="19"/>
      <c r="R130" s="21"/>
      <c r="S130" s="46"/>
      <c r="T130" s="44"/>
      <c r="U130" s="77"/>
      <c r="V130" s="24"/>
      <c r="W130" s="24"/>
      <c r="X130" s="193"/>
      <c r="Y130" s="15"/>
    </row>
    <row r="131" spans="2:25" x14ac:dyDescent="0.25">
      <c r="B131" s="15">
        <v>129</v>
      </c>
      <c r="C131" s="8"/>
      <c r="E131" s="67"/>
      <c r="F131" s="16"/>
      <c r="G131" s="8"/>
      <c r="H131" s="8"/>
      <c r="I131" s="8"/>
      <c r="J131" s="9"/>
      <c r="K131" s="9">
        <f t="shared" ref="K131:K194" si="35">J131*1.1</f>
        <v>0</v>
      </c>
      <c r="L131" s="35">
        <f t="shared" ref="L131:L194" si="36">J131*0.00000001</f>
        <v>0</v>
      </c>
      <c r="M131" s="2"/>
      <c r="O131" s="19"/>
      <c r="P131" s="19"/>
      <c r="Q131" s="19"/>
      <c r="R131" s="21"/>
      <c r="S131" s="46"/>
      <c r="T131" s="44"/>
      <c r="U131" s="77"/>
      <c r="V131" s="24"/>
      <c r="W131" s="24"/>
      <c r="X131" s="193"/>
      <c r="Y131" s="15"/>
    </row>
    <row r="132" spans="2:25" x14ac:dyDescent="0.25">
      <c r="B132" s="15">
        <v>130</v>
      </c>
      <c r="C132" s="8"/>
      <c r="E132" s="67"/>
      <c r="F132" s="16"/>
      <c r="G132" s="8"/>
      <c r="H132" s="8"/>
      <c r="I132" s="8"/>
      <c r="J132" s="9"/>
      <c r="K132" s="9">
        <f t="shared" si="35"/>
        <v>0</v>
      </c>
      <c r="L132" s="35">
        <f t="shared" si="36"/>
        <v>0</v>
      </c>
      <c r="M132" s="2"/>
      <c r="O132" s="19"/>
      <c r="P132" s="19"/>
      <c r="Q132" s="19"/>
      <c r="R132" s="21"/>
      <c r="S132" s="46"/>
      <c r="T132" s="44"/>
      <c r="U132" s="77"/>
      <c r="V132" s="24"/>
      <c r="W132" s="24"/>
      <c r="X132" s="193"/>
      <c r="Y132" s="15"/>
    </row>
    <row r="133" spans="2:25" x14ac:dyDescent="0.25">
      <c r="B133" s="15">
        <v>131</v>
      </c>
      <c r="C133" s="8"/>
      <c r="E133" s="67"/>
      <c r="F133" s="16"/>
      <c r="G133" s="8"/>
      <c r="H133" s="8"/>
      <c r="I133" s="8"/>
      <c r="J133" s="9"/>
      <c r="K133" s="9">
        <f t="shared" si="35"/>
        <v>0</v>
      </c>
      <c r="L133" s="35">
        <f t="shared" si="36"/>
        <v>0</v>
      </c>
      <c r="M133" s="2"/>
      <c r="O133" s="19"/>
      <c r="P133" s="19"/>
      <c r="Q133" s="19"/>
      <c r="R133" s="21"/>
      <c r="S133" s="46"/>
      <c r="T133" s="44"/>
      <c r="U133" s="77"/>
      <c r="V133" s="24"/>
      <c r="W133" s="24"/>
      <c r="X133" s="193"/>
      <c r="Y133" s="15"/>
    </row>
    <row r="134" spans="2:25" x14ac:dyDescent="0.25">
      <c r="B134" s="15">
        <v>132</v>
      </c>
      <c r="C134" s="8"/>
      <c r="E134" s="67"/>
      <c r="F134" s="16"/>
      <c r="G134" s="8"/>
      <c r="H134" s="8"/>
      <c r="I134" s="8"/>
      <c r="J134" s="9"/>
      <c r="K134" s="9">
        <f t="shared" si="35"/>
        <v>0</v>
      </c>
      <c r="L134" s="35">
        <f t="shared" si="36"/>
        <v>0</v>
      </c>
      <c r="M134" s="2"/>
      <c r="O134" s="19"/>
      <c r="P134" s="19"/>
      <c r="Q134" s="19"/>
      <c r="R134" s="21"/>
      <c r="S134" s="46"/>
      <c r="T134" s="44"/>
      <c r="U134" s="77"/>
      <c r="V134" s="24"/>
      <c r="W134" s="24"/>
      <c r="X134" s="193"/>
      <c r="Y134" s="15"/>
    </row>
    <row r="135" spans="2:25" x14ac:dyDescent="0.25">
      <c r="B135" s="15">
        <v>132</v>
      </c>
      <c r="C135" s="8"/>
      <c r="E135" s="67"/>
      <c r="F135" s="16"/>
      <c r="G135" s="8"/>
      <c r="H135" s="8"/>
      <c r="I135" s="8"/>
      <c r="J135" s="9"/>
      <c r="K135" s="9">
        <f t="shared" si="35"/>
        <v>0</v>
      </c>
      <c r="L135" s="35">
        <f t="shared" si="36"/>
        <v>0</v>
      </c>
      <c r="M135" s="2"/>
      <c r="O135" s="19"/>
      <c r="P135" s="19"/>
      <c r="Q135" s="19"/>
      <c r="R135" s="21"/>
      <c r="S135" s="46"/>
      <c r="T135" s="44"/>
      <c r="U135" s="77"/>
      <c r="V135" s="24"/>
      <c r="W135" s="24"/>
      <c r="X135" s="193"/>
      <c r="Y135" s="15"/>
    </row>
    <row r="136" spans="2:25" x14ac:dyDescent="0.25">
      <c r="B136" s="15">
        <v>133</v>
      </c>
      <c r="C136" s="8"/>
      <c r="E136" s="67"/>
      <c r="F136" s="16"/>
      <c r="G136" s="8"/>
      <c r="H136" s="8"/>
      <c r="I136" s="8"/>
      <c r="J136" s="9"/>
      <c r="K136" s="9">
        <f t="shared" si="35"/>
        <v>0</v>
      </c>
      <c r="L136" s="35">
        <f t="shared" si="36"/>
        <v>0</v>
      </c>
      <c r="M136" s="2"/>
      <c r="O136" s="19"/>
      <c r="P136" s="19"/>
      <c r="Q136" s="19"/>
      <c r="R136" s="21"/>
      <c r="S136" s="46"/>
      <c r="T136" s="44"/>
      <c r="U136" s="77"/>
      <c r="V136" s="24"/>
      <c r="W136" s="24"/>
      <c r="X136" s="193"/>
      <c r="Y136" s="15"/>
    </row>
    <row r="137" spans="2:25" x14ac:dyDescent="0.25">
      <c r="B137" s="15">
        <v>134</v>
      </c>
      <c r="C137" s="8"/>
      <c r="E137" s="67"/>
      <c r="F137" s="16"/>
      <c r="G137" s="8"/>
      <c r="H137" s="8"/>
      <c r="I137" s="8"/>
      <c r="K137" s="9">
        <f t="shared" si="35"/>
        <v>0</v>
      </c>
      <c r="L137" s="35">
        <f t="shared" si="36"/>
        <v>0</v>
      </c>
      <c r="M137" s="2"/>
      <c r="O137" s="19"/>
      <c r="P137" s="19"/>
      <c r="Q137" s="19"/>
      <c r="S137" s="46"/>
      <c r="T137" s="44"/>
      <c r="U137" s="77"/>
      <c r="V137" s="24"/>
      <c r="W137" s="24"/>
      <c r="X137" s="193"/>
      <c r="Y137" s="15"/>
    </row>
    <row r="138" spans="2:25" x14ac:dyDescent="0.25">
      <c r="B138" s="15">
        <v>135</v>
      </c>
      <c r="C138" s="8"/>
      <c r="E138" s="67"/>
      <c r="F138" s="16"/>
      <c r="G138" s="8"/>
      <c r="H138" s="8"/>
      <c r="I138" s="8"/>
      <c r="K138" s="9">
        <f t="shared" si="35"/>
        <v>0</v>
      </c>
      <c r="L138" s="35">
        <f t="shared" si="36"/>
        <v>0</v>
      </c>
      <c r="M138" s="2"/>
      <c r="O138" s="19"/>
      <c r="P138" s="19"/>
      <c r="Q138" s="19"/>
      <c r="S138" s="46"/>
      <c r="T138" s="44"/>
      <c r="U138" s="77"/>
      <c r="V138" s="24"/>
      <c r="W138" s="24"/>
      <c r="X138" s="193"/>
      <c r="Y138" s="15"/>
    </row>
    <row r="139" spans="2:25" x14ac:dyDescent="0.25">
      <c r="B139" s="15">
        <v>136</v>
      </c>
      <c r="C139" s="8"/>
      <c r="E139" s="67"/>
      <c r="F139" s="16"/>
      <c r="G139" s="8"/>
      <c r="H139" s="8"/>
      <c r="I139" s="8"/>
      <c r="K139" s="9">
        <f t="shared" si="35"/>
        <v>0</v>
      </c>
      <c r="L139" s="35">
        <f t="shared" si="36"/>
        <v>0</v>
      </c>
      <c r="M139" s="2"/>
      <c r="O139" s="19"/>
      <c r="P139" s="19"/>
      <c r="Q139" s="19"/>
      <c r="S139" s="46"/>
      <c r="T139" s="44"/>
      <c r="U139" s="77"/>
      <c r="V139" s="24"/>
      <c r="W139" s="24"/>
      <c r="X139" s="193"/>
      <c r="Y139" s="15"/>
    </row>
    <row r="140" spans="2:25" x14ac:dyDescent="0.25">
      <c r="B140" s="15">
        <v>138</v>
      </c>
      <c r="C140" s="8"/>
      <c r="E140" s="67"/>
      <c r="F140" s="16"/>
      <c r="G140" s="8"/>
      <c r="H140" s="8"/>
      <c r="I140" s="8"/>
      <c r="J140" s="9"/>
      <c r="K140" s="9">
        <f t="shared" si="35"/>
        <v>0</v>
      </c>
      <c r="L140" s="35">
        <f t="shared" si="36"/>
        <v>0</v>
      </c>
      <c r="M140" s="2"/>
      <c r="O140" s="19"/>
      <c r="P140" s="19"/>
      <c r="Q140" s="19"/>
      <c r="R140" s="21"/>
      <c r="S140" s="46"/>
      <c r="T140" s="44"/>
      <c r="U140" s="77"/>
      <c r="V140" s="24"/>
      <c r="W140" s="24"/>
      <c r="X140" s="193"/>
      <c r="Y140" s="15"/>
    </row>
    <row r="141" spans="2:25" x14ac:dyDescent="0.25">
      <c r="B141" s="15">
        <v>139</v>
      </c>
      <c r="C141" s="8"/>
      <c r="E141" s="67"/>
      <c r="F141" s="16"/>
      <c r="G141" s="8"/>
      <c r="H141" s="8"/>
      <c r="I141" s="8"/>
      <c r="J141" s="9"/>
      <c r="K141" s="9">
        <f t="shared" si="35"/>
        <v>0</v>
      </c>
      <c r="L141" s="35">
        <f t="shared" si="36"/>
        <v>0</v>
      </c>
      <c r="M141" s="2"/>
      <c r="O141" s="19"/>
      <c r="P141" s="19"/>
      <c r="Q141" s="19"/>
      <c r="R141" s="21"/>
      <c r="S141" s="46"/>
      <c r="T141" s="44"/>
      <c r="U141" s="77"/>
      <c r="V141" s="30"/>
      <c r="W141" s="24"/>
      <c r="X141" s="193"/>
      <c r="Y141" s="15"/>
    </row>
    <row r="142" spans="2:25" x14ac:dyDescent="0.25">
      <c r="B142" s="15">
        <v>140</v>
      </c>
      <c r="C142" s="8"/>
      <c r="E142" s="67"/>
      <c r="F142" s="16"/>
      <c r="G142" s="8"/>
      <c r="H142" s="8"/>
      <c r="I142" s="8"/>
      <c r="J142" s="9"/>
      <c r="K142" s="9">
        <f t="shared" si="35"/>
        <v>0</v>
      </c>
      <c r="L142" s="35">
        <f t="shared" si="36"/>
        <v>0</v>
      </c>
      <c r="M142" s="2"/>
      <c r="O142" s="19"/>
      <c r="P142" s="19"/>
      <c r="Q142" s="19"/>
      <c r="R142" s="21"/>
      <c r="S142" s="46"/>
      <c r="T142" s="44"/>
      <c r="U142" s="77"/>
      <c r="V142" s="30"/>
      <c r="W142" s="24"/>
      <c r="X142" s="193"/>
      <c r="Y142" s="15"/>
    </row>
    <row r="143" spans="2:25" x14ac:dyDescent="0.25">
      <c r="B143" s="15">
        <v>141</v>
      </c>
      <c r="C143" s="8"/>
      <c r="E143" s="67"/>
      <c r="F143" s="16"/>
      <c r="G143" s="8"/>
      <c r="H143" s="8"/>
      <c r="I143" s="8"/>
      <c r="J143" s="9"/>
      <c r="K143" s="9">
        <f t="shared" si="35"/>
        <v>0</v>
      </c>
      <c r="L143" s="35">
        <f t="shared" si="36"/>
        <v>0</v>
      </c>
      <c r="M143" s="2"/>
      <c r="O143" s="19"/>
      <c r="P143" s="19"/>
      <c r="Q143" s="19"/>
      <c r="R143" s="21"/>
      <c r="S143" s="46"/>
      <c r="T143" s="44"/>
      <c r="U143" s="77"/>
      <c r="V143" s="24"/>
      <c r="W143" s="24"/>
      <c r="X143" s="193"/>
      <c r="Y143" s="15"/>
    </row>
    <row r="144" spans="2:25" x14ac:dyDescent="0.25">
      <c r="B144" s="15">
        <v>142</v>
      </c>
      <c r="C144" s="8"/>
      <c r="E144" s="67"/>
      <c r="F144" s="16"/>
      <c r="G144" s="8"/>
      <c r="H144" s="8"/>
      <c r="I144" s="8"/>
      <c r="J144" s="9"/>
      <c r="K144" s="9">
        <f t="shared" si="35"/>
        <v>0</v>
      </c>
      <c r="L144" s="35">
        <f t="shared" si="36"/>
        <v>0</v>
      </c>
      <c r="M144" s="2"/>
      <c r="O144" s="19"/>
      <c r="P144" s="19"/>
      <c r="Q144" s="19"/>
      <c r="R144" s="21"/>
      <c r="S144" s="46"/>
      <c r="T144" s="44"/>
      <c r="U144" s="77"/>
      <c r="V144" s="24"/>
      <c r="W144" s="24"/>
      <c r="X144" s="193"/>
      <c r="Y144" s="15"/>
    </row>
    <row r="145" spans="2:25" x14ac:dyDescent="0.25">
      <c r="B145" s="15">
        <v>143</v>
      </c>
      <c r="C145" s="8"/>
      <c r="E145" s="67"/>
      <c r="F145" s="16"/>
      <c r="G145" s="8"/>
      <c r="H145" s="8"/>
      <c r="I145" s="8"/>
      <c r="J145" s="9"/>
      <c r="K145" s="9">
        <f t="shared" si="35"/>
        <v>0</v>
      </c>
      <c r="L145" s="35">
        <f t="shared" si="36"/>
        <v>0</v>
      </c>
      <c r="M145" s="2"/>
      <c r="O145" s="19"/>
      <c r="P145" s="19"/>
      <c r="Q145" s="19"/>
      <c r="R145" s="21"/>
      <c r="S145" s="46"/>
      <c r="T145" s="44"/>
      <c r="U145" s="77"/>
      <c r="V145" s="24"/>
      <c r="W145" s="24"/>
      <c r="X145" s="193"/>
      <c r="Y145" s="15"/>
    </row>
    <row r="146" spans="2:25" x14ac:dyDescent="0.25">
      <c r="B146" s="15">
        <v>144</v>
      </c>
      <c r="C146" s="8"/>
      <c r="E146" s="67"/>
      <c r="F146" s="16"/>
      <c r="G146" s="8"/>
      <c r="H146" s="8"/>
      <c r="I146" s="8"/>
      <c r="J146" s="9"/>
      <c r="K146" s="9">
        <f t="shared" si="35"/>
        <v>0</v>
      </c>
      <c r="L146" s="35">
        <f t="shared" si="36"/>
        <v>0</v>
      </c>
      <c r="M146" s="2"/>
      <c r="O146" s="19"/>
      <c r="P146" s="19"/>
      <c r="Q146" s="19"/>
      <c r="R146" s="21"/>
      <c r="S146" s="46"/>
      <c r="T146" s="44"/>
      <c r="U146" s="77"/>
      <c r="V146" s="24"/>
      <c r="W146" s="24"/>
      <c r="X146" s="193"/>
      <c r="Y146" s="15"/>
    </row>
    <row r="147" spans="2:25" x14ac:dyDescent="0.25">
      <c r="B147" s="15">
        <v>145</v>
      </c>
      <c r="C147" s="8"/>
      <c r="E147" s="67"/>
      <c r="F147" s="16"/>
      <c r="G147" s="8"/>
      <c r="H147" s="8"/>
      <c r="I147" s="8"/>
      <c r="J147" s="9"/>
      <c r="K147" s="9">
        <f t="shared" si="35"/>
        <v>0</v>
      </c>
      <c r="L147" s="35">
        <f t="shared" si="36"/>
        <v>0</v>
      </c>
      <c r="M147" s="2"/>
      <c r="O147" s="19"/>
      <c r="P147" s="19"/>
      <c r="Q147" s="19"/>
      <c r="R147" s="21"/>
      <c r="S147" s="46"/>
      <c r="T147" s="44"/>
      <c r="U147" s="77"/>
      <c r="V147" s="24"/>
      <c r="W147" s="24"/>
      <c r="X147" s="193"/>
      <c r="Y147" s="15"/>
    </row>
    <row r="148" spans="2:25" x14ac:dyDescent="0.25">
      <c r="B148" s="15">
        <v>146</v>
      </c>
      <c r="C148" s="8"/>
      <c r="E148" s="67"/>
      <c r="F148" s="16"/>
      <c r="G148" s="8"/>
      <c r="H148" s="8"/>
      <c r="I148" s="8"/>
      <c r="J148" s="9"/>
      <c r="K148" s="9">
        <f t="shared" si="35"/>
        <v>0</v>
      </c>
      <c r="L148" s="35">
        <f t="shared" si="36"/>
        <v>0</v>
      </c>
      <c r="M148" s="2"/>
      <c r="O148" s="19"/>
      <c r="P148" s="19"/>
      <c r="Q148" s="19"/>
      <c r="R148" s="21"/>
      <c r="S148" s="46"/>
      <c r="T148" s="44"/>
      <c r="U148" s="77"/>
      <c r="V148" s="30"/>
      <c r="W148" s="24"/>
      <c r="X148" s="193"/>
      <c r="Y148" s="15"/>
    </row>
    <row r="149" spans="2:25" x14ac:dyDescent="0.25">
      <c r="B149" s="15">
        <v>147</v>
      </c>
      <c r="C149" s="8"/>
      <c r="E149" s="67"/>
      <c r="F149" s="16"/>
      <c r="G149" s="8"/>
      <c r="H149" s="8"/>
      <c r="I149" s="8"/>
      <c r="K149" s="9">
        <f t="shared" si="35"/>
        <v>0</v>
      </c>
      <c r="L149" s="35">
        <f t="shared" si="36"/>
        <v>0</v>
      </c>
      <c r="O149" s="19"/>
      <c r="P149" s="19"/>
      <c r="Q149" s="19"/>
      <c r="S149" s="46"/>
      <c r="T149" s="44"/>
      <c r="U149" s="77"/>
      <c r="V149" s="79"/>
      <c r="W149" s="24"/>
      <c r="X149" s="193"/>
      <c r="Y149" s="15"/>
    </row>
    <row r="150" spans="2:25" x14ac:dyDescent="0.25">
      <c r="B150" s="15">
        <v>148</v>
      </c>
      <c r="C150" s="8"/>
      <c r="E150" s="67"/>
      <c r="F150" s="16"/>
      <c r="G150" s="8"/>
      <c r="H150" s="8"/>
      <c r="I150" s="8"/>
      <c r="J150" s="9"/>
      <c r="K150" s="9">
        <f t="shared" si="35"/>
        <v>0</v>
      </c>
      <c r="L150" s="35">
        <f t="shared" si="36"/>
        <v>0</v>
      </c>
      <c r="M150" s="2"/>
      <c r="O150" s="19"/>
      <c r="P150" s="19"/>
      <c r="Q150" s="19"/>
      <c r="R150" s="21"/>
      <c r="S150" s="46"/>
      <c r="T150" s="44"/>
      <c r="U150" s="77"/>
      <c r="V150" s="79"/>
      <c r="W150" s="24"/>
      <c r="X150" s="193"/>
      <c r="Y150" s="15"/>
    </row>
    <row r="151" spans="2:25" x14ac:dyDescent="0.25">
      <c r="B151" s="15">
        <v>149</v>
      </c>
      <c r="C151" s="8"/>
      <c r="E151" s="67"/>
      <c r="F151" s="16"/>
      <c r="G151" s="8"/>
      <c r="H151" s="8"/>
      <c r="I151" s="8"/>
      <c r="J151" s="9"/>
      <c r="K151" s="9">
        <f t="shared" si="35"/>
        <v>0</v>
      </c>
      <c r="L151" s="35">
        <f t="shared" si="36"/>
        <v>0</v>
      </c>
      <c r="M151" s="2"/>
      <c r="O151" s="19"/>
      <c r="P151" s="19"/>
      <c r="Q151" s="19"/>
      <c r="R151" s="21"/>
      <c r="S151" s="46"/>
      <c r="T151" s="44"/>
      <c r="U151" s="77"/>
      <c r="V151" s="24"/>
      <c r="W151" s="24"/>
      <c r="X151" s="193"/>
      <c r="Y151" s="15"/>
    </row>
    <row r="152" spans="2:25" x14ac:dyDescent="0.25">
      <c r="B152" s="15">
        <v>150</v>
      </c>
      <c r="C152" s="8"/>
      <c r="E152" s="67"/>
      <c r="F152" s="16"/>
      <c r="G152" s="8"/>
      <c r="H152" s="8"/>
      <c r="I152" s="8"/>
      <c r="J152" s="9"/>
      <c r="K152" s="9">
        <f t="shared" si="35"/>
        <v>0</v>
      </c>
      <c r="L152" s="35">
        <f t="shared" si="36"/>
        <v>0</v>
      </c>
      <c r="M152" s="2"/>
      <c r="O152" s="19"/>
      <c r="P152" s="19"/>
      <c r="Q152" s="19"/>
      <c r="R152" s="21"/>
      <c r="S152" s="46"/>
      <c r="T152" s="44"/>
      <c r="U152" s="77"/>
      <c r="V152" s="24"/>
      <c r="W152" s="24"/>
      <c r="X152" s="193"/>
      <c r="Y152" s="15"/>
    </row>
    <row r="153" spans="2:25" x14ac:dyDescent="0.25">
      <c r="B153" s="15">
        <v>151</v>
      </c>
      <c r="C153" s="8"/>
      <c r="E153" s="67"/>
      <c r="F153" s="16"/>
      <c r="G153" s="8"/>
      <c r="H153" s="8"/>
      <c r="I153" s="8"/>
      <c r="J153" s="9"/>
      <c r="K153" s="9">
        <f t="shared" si="35"/>
        <v>0</v>
      </c>
      <c r="L153" s="35">
        <f t="shared" si="36"/>
        <v>0</v>
      </c>
      <c r="M153" s="2"/>
      <c r="O153" s="19"/>
      <c r="P153" s="19"/>
      <c r="Q153" s="19"/>
      <c r="R153" s="21"/>
      <c r="S153" s="46"/>
      <c r="T153" s="44"/>
      <c r="U153" s="77"/>
      <c r="V153" s="24"/>
      <c r="W153" s="24"/>
      <c r="X153" s="193"/>
      <c r="Y153" s="15"/>
    </row>
    <row r="154" spans="2:25" x14ac:dyDescent="0.25">
      <c r="B154" s="15">
        <v>152</v>
      </c>
      <c r="C154" s="8"/>
      <c r="E154" s="67"/>
      <c r="F154" s="16"/>
      <c r="G154" s="8"/>
      <c r="H154" s="8"/>
      <c r="I154" s="8"/>
      <c r="J154" s="9"/>
      <c r="K154" s="9">
        <f t="shared" si="35"/>
        <v>0</v>
      </c>
      <c r="L154" s="35">
        <f t="shared" si="36"/>
        <v>0</v>
      </c>
      <c r="M154" s="2"/>
      <c r="O154" s="19"/>
      <c r="P154" s="19"/>
      <c r="Q154" s="19"/>
      <c r="R154" s="21"/>
      <c r="S154" s="46"/>
      <c r="T154" s="44"/>
      <c r="U154" s="77"/>
      <c r="V154" s="24"/>
      <c r="W154" s="24"/>
      <c r="X154" s="193"/>
      <c r="Y154" s="15"/>
    </row>
    <row r="155" spans="2:25" x14ac:dyDescent="0.25">
      <c r="B155" s="15">
        <v>153</v>
      </c>
      <c r="C155" s="8"/>
      <c r="E155" s="67"/>
      <c r="F155" s="16"/>
      <c r="G155" s="8"/>
      <c r="H155" s="8"/>
      <c r="I155" s="8"/>
      <c r="J155" s="9"/>
      <c r="K155" s="9">
        <f t="shared" si="35"/>
        <v>0</v>
      </c>
      <c r="L155" s="35">
        <f t="shared" si="36"/>
        <v>0</v>
      </c>
      <c r="M155" s="2"/>
      <c r="O155" s="19"/>
      <c r="P155" s="19"/>
      <c r="Q155" s="19"/>
      <c r="R155" s="21"/>
      <c r="S155" s="46"/>
      <c r="T155" s="44"/>
      <c r="U155" s="77"/>
      <c r="V155" s="30"/>
      <c r="W155" s="24"/>
      <c r="X155" s="193"/>
      <c r="Y155" s="15"/>
    </row>
    <row r="156" spans="2:25" x14ac:dyDescent="0.25">
      <c r="B156" s="15">
        <v>154</v>
      </c>
      <c r="C156" s="8"/>
      <c r="E156" s="67"/>
      <c r="F156" s="16"/>
      <c r="G156" s="8"/>
      <c r="H156" s="8"/>
      <c r="I156" s="8"/>
      <c r="J156" s="9"/>
      <c r="K156" s="9">
        <f t="shared" si="35"/>
        <v>0</v>
      </c>
      <c r="L156" s="35">
        <f t="shared" si="36"/>
        <v>0</v>
      </c>
      <c r="M156" s="2"/>
      <c r="O156" s="19"/>
      <c r="P156" s="19"/>
      <c r="Q156" s="19"/>
      <c r="R156" s="21"/>
      <c r="S156" s="46"/>
      <c r="T156" s="44"/>
      <c r="U156" s="77"/>
      <c r="V156" s="24"/>
      <c r="W156" s="24"/>
      <c r="X156" s="193"/>
      <c r="Y156" s="15"/>
    </row>
    <row r="157" spans="2:25" x14ac:dyDescent="0.25">
      <c r="B157" s="15">
        <v>155</v>
      </c>
      <c r="C157" s="8"/>
      <c r="E157" s="67"/>
      <c r="F157" s="16"/>
      <c r="G157" s="8"/>
      <c r="H157" s="8"/>
      <c r="I157" s="8"/>
      <c r="J157" s="9"/>
      <c r="K157" s="9">
        <f t="shared" si="35"/>
        <v>0</v>
      </c>
      <c r="L157" s="35">
        <f t="shared" si="36"/>
        <v>0</v>
      </c>
      <c r="M157" s="2"/>
      <c r="O157" s="19"/>
      <c r="P157" s="19"/>
      <c r="Q157" s="19"/>
      <c r="R157" s="21"/>
      <c r="S157" s="46"/>
      <c r="T157" s="44"/>
      <c r="U157" s="77"/>
      <c r="V157" s="24"/>
      <c r="W157" s="24"/>
      <c r="X157" s="193"/>
      <c r="Y157" s="15"/>
    </row>
    <row r="158" spans="2:25" x14ac:dyDescent="0.25">
      <c r="B158" s="15">
        <v>156</v>
      </c>
      <c r="C158" s="8"/>
      <c r="E158" s="67"/>
      <c r="F158" s="16"/>
      <c r="G158" s="8"/>
      <c r="H158" s="8"/>
      <c r="I158" s="8"/>
      <c r="J158" s="9"/>
      <c r="K158" s="9">
        <f t="shared" si="35"/>
        <v>0</v>
      </c>
      <c r="L158" s="35">
        <f t="shared" si="36"/>
        <v>0</v>
      </c>
      <c r="M158" s="2"/>
      <c r="O158" s="19"/>
      <c r="P158" s="19"/>
      <c r="Q158" s="19"/>
      <c r="R158" s="21"/>
      <c r="S158" s="46"/>
      <c r="T158" s="44"/>
      <c r="U158" s="77"/>
      <c r="V158" s="24"/>
      <c r="W158" s="24"/>
      <c r="X158" s="193"/>
      <c r="Y158" s="15"/>
    </row>
    <row r="159" spans="2:25" x14ac:dyDescent="0.25">
      <c r="B159" s="15">
        <v>157</v>
      </c>
      <c r="C159" s="8"/>
      <c r="E159" s="67"/>
      <c r="F159" s="16"/>
      <c r="G159" s="8"/>
      <c r="H159" s="8"/>
      <c r="I159" s="8"/>
      <c r="J159" s="9"/>
      <c r="K159" s="9">
        <f t="shared" si="35"/>
        <v>0</v>
      </c>
      <c r="L159" s="35">
        <f t="shared" si="36"/>
        <v>0</v>
      </c>
      <c r="M159" s="2"/>
      <c r="O159" s="19"/>
      <c r="P159" s="19"/>
      <c r="Q159" s="19"/>
      <c r="R159" s="21"/>
      <c r="S159" s="46"/>
      <c r="T159" s="44"/>
      <c r="U159" s="77"/>
      <c r="V159" s="24"/>
      <c r="W159" s="24"/>
      <c r="X159" s="193"/>
      <c r="Y159" s="15"/>
    </row>
    <row r="160" spans="2:25" x14ac:dyDescent="0.25">
      <c r="B160" s="15">
        <v>158</v>
      </c>
      <c r="C160" s="8"/>
      <c r="E160" s="67"/>
      <c r="F160" s="16"/>
      <c r="G160" s="8"/>
      <c r="H160" s="8"/>
      <c r="I160" s="8"/>
      <c r="J160" s="9"/>
      <c r="K160" s="9">
        <f t="shared" si="35"/>
        <v>0</v>
      </c>
      <c r="L160" s="35">
        <f t="shared" si="36"/>
        <v>0</v>
      </c>
      <c r="M160" s="2"/>
      <c r="O160" s="19"/>
      <c r="P160" s="19"/>
      <c r="Q160" s="19"/>
      <c r="R160" s="21"/>
      <c r="S160" s="46"/>
      <c r="T160" s="44"/>
      <c r="U160" s="77"/>
      <c r="V160" s="24"/>
      <c r="W160" s="24"/>
      <c r="X160" s="193"/>
      <c r="Y160" s="15"/>
    </row>
    <row r="161" spans="2:25" x14ac:dyDescent="0.25">
      <c r="B161" s="15">
        <v>159</v>
      </c>
      <c r="C161" s="8"/>
      <c r="E161" s="67"/>
      <c r="F161" s="16"/>
      <c r="G161" s="8"/>
      <c r="H161" s="8"/>
      <c r="I161" s="8"/>
      <c r="J161" s="9"/>
      <c r="K161" s="9">
        <f t="shared" si="35"/>
        <v>0</v>
      </c>
      <c r="L161" s="35">
        <f t="shared" si="36"/>
        <v>0</v>
      </c>
      <c r="M161" s="2"/>
      <c r="O161" s="19"/>
      <c r="P161" s="19"/>
      <c r="Q161" s="19"/>
      <c r="R161" s="21"/>
      <c r="S161" s="46"/>
      <c r="T161" s="44"/>
      <c r="U161" s="77"/>
      <c r="V161" s="30"/>
      <c r="W161" s="24"/>
      <c r="X161" s="193"/>
      <c r="Y161" s="15"/>
    </row>
    <row r="162" spans="2:25" x14ac:dyDescent="0.25">
      <c r="B162" s="15">
        <v>160</v>
      </c>
      <c r="C162" s="8"/>
      <c r="E162" s="67"/>
      <c r="F162" s="16"/>
      <c r="G162" s="8"/>
      <c r="H162" s="8"/>
      <c r="I162" s="8"/>
      <c r="J162" s="9"/>
      <c r="K162" s="9">
        <f t="shared" si="35"/>
        <v>0</v>
      </c>
      <c r="L162" s="35">
        <f t="shared" si="36"/>
        <v>0</v>
      </c>
      <c r="M162" s="2"/>
      <c r="O162" s="19"/>
      <c r="P162" s="19"/>
      <c r="Q162" s="19"/>
      <c r="R162" s="21"/>
      <c r="S162" s="46"/>
      <c r="T162" s="44"/>
      <c r="U162" s="77"/>
      <c r="V162" s="30"/>
      <c r="W162" s="24"/>
      <c r="X162" s="193"/>
      <c r="Y162" s="15"/>
    </row>
    <row r="163" spans="2:25" x14ac:dyDescent="0.25">
      <c r="B163" s="15">
        <v>161</v>
      </c>
      <c r="C163" s="8"/>
      <c r="E163" s="67"/>
      <c r="F163" s="16"/>
      <c r="G163" s="8"/>
      <c r="H163" s="8"/>
      <c r="I163" s="8"/>
      <c r="J163" s="9"/>
      <c r="K163" s="9">
        <f t="shared" si="35"/>
        <v>0</v>
      </c>
      <c r="L163" s="35">
        <f t="shared" si="36"/>
        <v>0</v>
      </c>
      <c r="M163" s="2"/>
      <c r="O163" s="19"/>
      <c r="P163" s="19"/>
      <c r="Q163" s="19"/>
      <c r="R163" s="21"/>
      <c r="S163" s="46"/>
      <c r="T163" s="44"/>
      <c r="U163" s="77"/>
      <c r="V163" s="30"/>
      <c r="W163" s="24"/>
      <c r="X163" s="193"/>
      <c r="Y163" s="15"/>
    </row>
    <row r="164" spans="2:25" x14ac:dyDescent="0.25">
      <c r="B164" s="15">
        <v>162</v>
      </c>
      <c r="C164" s="8"/>
      <c r="E164" s="67"/>
      <c r="F164" s="16"/>
      <c r="G164" s="8"/>
      <c r="H164" s="8"/>
      <c r="I164" s="8"/>
      <c r="J164" s="9"/>
      <c r="K164" s="9">
        <f t="shared" si="35"/>
        <v>0</v>
      </c>
      <c r="L164" s="35">
        <f t="shared" si="36"/>
        <v>0</v>
      </c>
      <c r="M164" s="2"/>
      <c r="O164" s="19"/>
      <c r="P164" s="19"/>
      <c r="Q164" s="19"/>
      <c r="R164" s="21"/>
      <c r="S164" s="46"/>
      <c r="T164" s="44"/>
      <c r="U164" s="77"/>
      <c r="V164" s="30"/>
      <c r="W164" s="24"/>
      <c r="X164" s="193"/>
      <c r="Y164" s="15"/>
    </row>
    <row r="165" spans="2:25" x14ac:dyDescent="0.25">
      <c r="B165" s="15">
        <v>163</v>
      </c>
      <c r="C165" s="8"/>
      <c r="E165" s="67"/>
      <c r="F165" s="16"/>
      <c r="G165" s="8"/>
      <c r="H165" s="8"/>
      <c r="I165" s="8"/>
      <c r="J165" s="9"/>
      <c r="K165" s="9">
        <f t="shared" si="35"/>
        <v>0</v>
      </c>
      <c r="L165" s="35">
        <f t="shared" si="36"/>
        <v>0</v>
      </c>
      <c r="M165" s="2"/>
      <c r="O165" s="19"/>
      <c r="P165" s="19"/>
      <c r="Q165" s="19"/>
      <c r="R165" s="21"/>
      <c r="S165" s="46"/>
      <c r="T165" s="44"/>
      <c r="U165" s="77"/>
      <c r="V165" s="24"/>
      <c r="W165" s="24"/>
      <c r="X165" s="193"/>
      <c r="Y165" s="15"/>
    </row>
    <row r="166" spans="2:25" x14ac:dyDescent="0.25">
      <c r="B166" s="15">
        <v>164</v>
      </c>
      <c r="C166" s="8"/>
      <c r="E166" s="67"/>
      <c r="F166" s="16"/>
      <c r="G166" s="8"/>
      <c r="H166" s="8"/>
      <c r="I166" s="8"/>
      <c r="J166" s="9"/>
      <c r="K166" s="9">
        <f t="shared" si="35"/>
        <v>0</v>
      </c>
      <c r="L166" s="35">
        <f t="shared" si="36"/>
        <v>0</v>
      </c>
      <c r="M166" s="2"/>
      <c r="O166" s="19"/>
      <c r="P166" s="19"/>
      <c r="Q166" s="19"/>
      <c r="R166" s="21"/>
      <c r="S166" s="46"/>
      <c r="T166" s="44"/>
      <c r="U166" s="77"/>
      <c r="V166" s="24"/>
      <c r="W166" s="24"/>
      <c r="X166" s="193"/>
      <c r="Y166" s="15"/>
    </row>
    <row r="167" spans="2:25" x14ac:dyDescent="0.25">
      <c r="B167" s="15">
        <v>165</v>
      </c>
      <c r="C167" s="8"/>
      <c r="E167" s="67"/>
      <c r="F167" s="16"/>
      <c r="G167" s="8"/>
      <c r="H167" s="8"/>
      <c r="I167" s="8"/>
      <c r="J167" s="9"/>
      <c r="K167" s="9">
        <f t="shared" si="35"/>
        <v>0</v>
      </c>
      <c r="L167" s="35">
        <f t="shared" si="36"/>
        <v>0</v>
      </c>
      <c r="M167" s="2"/>
      <c r="O167" s="19"/>
      <c r="P167" s="19"/>
      <c r="Q167" s="19"/>
      <c r="R167" s="21"/>
      <c r="S167" s="46"/>
      <c r="T167" s="44"/>
      <c r="U167" s="77"/>
      <c r="V167" s="24"/>
      <c r="W167" s="24"/>
      <c r="X167" s="193"/>
      <c r="Y167" s="15"/>
    </row>
    <row r="168" spans="2:25" x14ac:dyDescent="0.25">
      <c r="B168" s="15">
        <v>166</v>
      </c>
      <c r="C168" s="8"/>
      <c r="E168" s="67"/>
      <c r="F168" s="16"/>
      <c r="G168" s="8"/>
      <c r="H168" s="8"/>
      <c r="I168" s="8"/>
      <c r="J168" s="9"/>
      <c r="K168" s="9">
        <f t="shared" si="35"/>
        <v>0</v>
      </c>
      <c r="L168" s="35">
        <f t="shared" si="36"/>
        <v>0</v>
      </c>
      <c r="M168" s="2"/>
      <c r="O168" s="19"/>
      <c r="P168" s="19"/>
      <c r="Q168" s="19"/>
      <c r="R168" s="21"/>
      <c r="S168" s="46"/>
      <c r="T168" s="44"/>
      <c r="U168" s="77"/>
      <c r="V168" s="24"/>
      <c r="W168" s="24"/>
      <c r="X168" s="193"/>
      <c r="Y168" s="15"/>
    </row>
    <row r="169" spans="2:25" x14ac:dyDescent="0.25">
      <c r="B169" s="15">
        <v>167</v>
      </c>
      <c r="C169" s="8"/>
      <c r="E169" s="67"/>
      <c r="F169" s="16"/>
      <c r="G169" s="8"/>
      <c r="H169" s="8"/>
      <c r="I169" s="8"/>
      <c r="J169" s="9"/>
      <c r="K169" s="9">
        <f t="shared" si="35"/>
        <v>0</v>
      </c>
      <c r="L169" s="35">
        <f t="shared" si="36"/>
        <v>0</v>
      </c>
      <c r="M169" s="2"/>
      <c r="O169" s="19"/>
      <c r="P169" s="19"/>
      <c r="Q169" s="19"/>
      <c r="R169" s="21"/>
      <c r="S169" s="46"/>
      <c r="T169" s="44"/>
      <c r="U169" s="77"/>
      <c r="V169" s="30"/>
      <c r="W169" s="24"/>
      <c r="X169" s="193"/>
      <c r="Y169" s="15"/>
    </row>
    <row r="170" spans="2:25" x14ac:dyDescent="0.25">
      <c r="B170" s="15">
        <v>168</v>
      </c>
      <c r="C170" s="8"/>
      <c r="E170" s="67"/>
      <c r="F170" s="16"/>
      <c r="G170" s="8"/>
      <c r="H170" s="8"/>
      <c r="I170" s="8"/>
      <c r="J170" s="9"/>
      <c r="K170" s="9">
        <f t="shared" si="35"/>
        <v>0</v>
      </c>
      <c r="L170" s="35">
        <f t="shared" si="36"/>
        <v>0</v>
      </c>
      <c r="M170" s="2"/>
      <c r="O170" s="19"/>
      <c r="P170" s="19"/>
      <c r="Q170" s="19"/>
      <c r="R170" s="21"/>
      <c r="S170" s="46"/>
      <c r="T170" s="44"/>
      <c r="U170" s="77"/>
      <c r="V170" s="30"/>
      <c r="W170" s="24"/>
      <c r="X170" s="193"/>
      <c r="Y170" s="15"/>
    </row>
    <row r="171" spans="2:25" x14ac:dyDescent="0.25">
      <c r="B171" s="15">
        <v>169</v>
      </c>
      <c r="C171" s="8"/>
      <c r="E171" s="67"/>
      <c r="F171" s="16"/>
      <c r="G171" s="8"/>
      <c r="H171" s="8"/>
      <c r="I171" s="8"/>
      <c r="J171" s="9"/>
      <c r="K171" s="9">
        <f t="shared" si="35"/>
        <v>0</v>
      </c>
      <c r="L171" s="35">
        <f t="shared" si="36"/>
        <v>0</v>
      </c>
      <c r="M171" s="2"/>
      <c r="O171" s="19"/>
      <c r="P171" s="19"/>
      <c r="Q171" s="19"/>
      <c r="R171" s="21"/>
      <c r="S171" s="46"/>
      <c r="T171" s="44"/>
      <c r="U171" s="77"/>
      <c r="V171" s="24"/>
      <c r="W171" s="24"/>
      <c r="X171" s="193"/>
      <c r="Y171" s="15"/>
    </row>
    <row r="172" spans="2:25" x14ac:dyDescent="0.25">
      <c r="B172" s="15">
        <v>170</v>
      </c>
      <c r="C172" s="8"/>
      <c r="E172" s="67"/>
      <c r="F172" s="16"/>
      <c r="G172" s="8"/>
      <c r="H172" s="8"/>
      <c r="I172" s="8"/>
      <c r="J172" s="9"/>
      <c r="K172" s="9">
        <f t="shared" si="35"/>
        <v>0</v>
      </c>
      <c r="L172" s="35">
        <f t="shared" si="36"/>
        <v>0</v>
      </c>
      <c r="M172" s="2"/>
      <c r="O172" s="19"/>
      <c r="P172" s="19"/>
      <c r="Q172" s="19"/>
      <c r="R172" s="21"/>
      <c r="S172" s="46"/>
      <c r="T172" s="44"/>
      <c r="U172" s="77"/>
      <c r="V172" s="24"/>
      <c r="W172" s="24"/>
      <c r="X172" s="193"/>
      <c r="Y172" s="15"/>
    </row>
    <row r="173" spans="2:25" x14ac:dyDescent="0.25">
      <c r="B173" s="15">
        <v>171</v>
      </c>
      <c r="C173" s="8"/>
      <c r="E173" s="67"/>
      <c r="F173" s="16"/>
      <c r="G173" s="8"/>
      <c r="H173" s="8"/>
      <c r="I173" s="8"/>
      <c r="J173" s="9"/>
      <c r="K173" s="9">
        <f t="shared" si="35"/>
        <v>0</v>
      </c>
      <c r="L173" s="35">
        <f t="shared" si="36"/>
        <v>0</v>
      </c>
      <c r="M173" s="2"/>
      <c r="O173" s="19"/>
      <c r="P173" s="19"/>
      <c r="Q173" s="19"/>
      <c r="R173" s="21"/>
      <c r="S173" s="46"/>
      <c r="T173" s="44"/>
      <c r="U173" s="77"/>
      <c r="V173" s="24"/>
      <c r="W173" s="24"/>
      <c r="X173" s="193"/>
      <c r="Y173" s="15"/>
    </row>
    <row r="174" spans="2:25" x14ac:dyDescent="0.25">
      <c r="B174" s="15">
        <v>172</v>
      </c>
      <c r="C174" s="8"/>
      <c r="E174" s="67"/>
      <c r="F174" s="16"/>
      <c r="G174" s="8"/>
      <c r="H174" s="8"/>
      <c r="I174" s="8"/>
      <c r="J174" s="9"/>
      <c r="K174" s="9">
        <f t="shared" si="35"/>
        <v>0</v>
      </c>
      <c r="L174" s="35">
        <f t="shared" si="36"/>
        <v>0</v>
      </c>
      <c r="M174" s="2"/>
      <c r="O174" s="19"/>
      <c r="P174" s="19"/>
      <c r="Q174" s="19"/>
      <c r="R174" s="21"/>
      <c r="S174" s="46"/>
      <c r="T174" s="44"/>
      <c r="U174" s="77"/>
      <c r="V174" s="24"/>
      <c r="W174" s="24"/>
      <c r="X174" s="193"/>
      <c r="Y174" s="15"/>
    </row>
    <row r="175" spans="2:25" x14ac:dyDescent="0.25">
      <c r="B175" s="15">
        <v>173</v>
      </c>
      <c r="C175" s="8"/>
      <c r="E175" s="67"/>
      <c r="F175" s="16"/>
      <c r="G175" s="8"/>
      <c r="H175" s="8"/>
      <c r="I175" s="8"/>
      <c r="J175" s="9"/>
      <c r="K175" s="9">
        <f t="shared" si="35"/>
        <v>0</v>
      </c>
      <c r="L175" s="35">
        <f t="shared" si="36"/>
        <v>0</v>
      </c>
      <c r="M175" s="2"/>
      <c r="O175" s="19"/>
      <c r="P175" s="19"/>
      <c r="Q175" s="19"/>
      <c r="R175" s="21"/>
      <c r="S175" s="46"/>
      <c r="T175" s="44"/>
      <c r="U175" s="77"/>
      <c r="V175" s="24"/>
      <c r="W175" s="24"/>
      <c r="X175" s="193"/>
      <c r="Y175" s="15"/>
    </row>
    <row r="176" spans="2:25" x14ac:dyDescent="0.25">
      <c r="B176" s="15">
        <v>174</v>
      </c>
      <c r="C176" s="8"/>
      <c r="E176" s="67"/>
      <c r="F176" s="16"/>
      <c r="G176" s="8"/>
      <c r="H176" s="8"/>
      <c r="I176" s="8"/>
      <c r="J176" s="9"/>
      <c r="K176" s="9">
        <f t="shared" si="35"/>
        <v>0</v>
      </c>
      <c r="L176" s="35">
        <f t="shared" si="36"/>
        <v>0</v>
      </c>
      <c r="M176" s="2"/>
      <c r="O176" s="19"/>
      <c r="P176" s="19"/>
      <c r="Q176" s="19"/>
      <c r="R176" s="21"/>
      <c r="S176" s="46"/>
      <c r="T176" s="44"/>
      <c r="U176" s="77"/>
      <c r="V176" s="30"/>
      <c r="W176" s="24"/>
      <c r="X176" s="193"/>
      <c r="Y176" s="15"/>
    </row>
    <row r="177" spans="2:25" x14ac:dyDescent="0.25">
      <c r="B177" s="15">
        <v>175</v>
      </c>
      <c r="C177" s="8"/>
      <c r="E177" s="67"/>
      <c r="F177" s="16"/>
      <c r="G177" s="8"/>
      <c r="H177" s="8"/>
      <c r="I177" s="8"/>
      <c r="J177" s="9"/>
      <c r="K177" s="9">
        <f t="shared" si="35"/>
        <v>0</v>
      </c>
      <c r="L177" s="35">
        <f t="shared" si="36"/>
        <v>0</v>
      </c>
      <c r="M177" s="2"/>
      <c r="O177" s="19"/>
      <c r="P177" s="19"/>
      <c r="Q177" s="19"/>
      <c r="R177" s="21"/>
      <c r="S177" s="46"/>
      <c r="T177" s="44"/>
      <c r="U177" s="77"/>
      <c r="V177" s="30"/>
      <c r="W177" s="24"/>
      <c r="X177" s="193"/>
      <c r="Y177" s="15"/>
    </row>
    <row r="178" spans="2:25" x14ac:dyDescent="0.25">
      <c r="B178" s="15">
        <v>176</v>
      </c>
      <c r="C178" s="8"/>
      <c r="E178" s="67"/>
      <c r="F178" s="16"/>
      <c r="G178" s="8"/>
      <c r="H178" s="8"/>
      <c r="I178" s="8"/>
      <c r="J178" s="9"/>
      <c r="K178" s="9">
        <f t="shared" si="35"/>
        <v>0</v>
      </c>
      <c r="L178" s="35">
        <f t="shared" si="36"/>
        <v>0</v>
      </c>
      <c r="M178" s="2"/>
      <c r="O178" s="19"/>
      <c r="P178" s="19"/>
      <c r="Q178" s="19"/>
      <c r="R178" s="21"/>
      <c r="S178" s="46"/>
      <c r="T178" s="44"/>
      <c r="U178" s="77"/>
      <c r="V178" s="24"/>
      <c r="W178" s="24"/>
      <c r="X178" s="193"/>
      <c r="Y178" s="15"/>
    </row>
    <row r="179" spans="2:25" x14ac:dyDescent="0.25">
      <c r="B179" s="15">
        <v>177</v>
      </c>
      <c r="C179" s="8"/>
      <c r="E179" s="67"/>
      <c r="F179" s="16"/>
      <c r="G179" s="8"/>
      <c r="H179" s="8"/>
      <c r="I179" s="8"/>
      <c r="J179" s="9"/>
      <c r="K179" s="9">
        <f t="shared" si="35"/>
        <v>0</v>
      </c>
      <c r="L179" s="35">
        <f t="shared" si="36"/>
        <v>0</v>
      </c>
      <c r="M179" s="2"/>
      <c r="O179" s="19"/>
      <c r="P179" s="19"/>
      <c r="Q179" s="19"/>
      <c r="R179" s="21"/>
      <c r="S179" s="46"/>
      <c r="T179" s="44"/>
      <c r="U179" s="77"/>
      <c r="V179" s="24"/>
      <c r="W179" s="24"/>
      <c r="X179" s="193"/>
      <c r="Y179" s="15"/>
    </row>
    <row r="180" spans="2:25" x14ac:dyDescent="0.25">
      <c r="B180" s="15">
        <v>178</v>
      </c>
      <c r="C180" s="8"/>
      <c r="E180" s="67"/>
      <c r="F180" s="16"/>
      <c r="G180" s="8"/>
      <c r="H180" s="8"/>
      <c r="I180" s="8"/>
      <c r="J180" s="9"/>
      <c r="K180" s="9">
        <f t="shared" si="35"/>
        <v>0</v>
      </c>
      <c r="L180" s="35">
        <f t="shared" si="36"/>
        <v>0</v>
      </c>
      <c r="M180" s="2"/>
      <c r="O180" s="19"/>
      <c r="P180" s="19"/>
      <c r="Q180" s="19"/>
      <c r="R180" s="21"/>
      <c r="S180" s="46"/>
      <c r="T180" s="44"/>
      <c r="U180" s="77"/>
      <c r="V180" s="24"/>
      <c r="W180" s="24"/>
      <c r="X180" s="193"/>
      <c r="Y180" s="15"/>
    </row>
    <row r="181" spans="2:25" x14ac:dyDescent="0.25">
      <c r="B181" s="15">
        <v>179</v>
      </c>
      <c r="C181" s="8"/>
      <c r="E181" s="67"/>
      <c r="F181" s="16"/>
      <c r="G181" s="8"/>
      <c r="H181" s="8"/>
      <c r="I181" s="8"/>
      <c r="J181" s="9"/>
      <c r="K181" s="9">
        <f t="shared" si="35"/>
        <v>0</v>
      </c>
      <c r="L181" s="35">
        <f t="shared" si="36"/>
        <v>0</v>
      </c>
      <c r="M181" s="2"/>
      <c r="O181" s="19"/>
      <c r="P181" s="19"/>
      <c r="Q181" s="19"/>
      <c r="R181" s="21"/>
      <c r="S181" s="46"/>
      <c r="T181" s="44"/>
      <c r="U181" s="77"/>
      <c r="V181" s="24"/>
      <c r="W181" s="24"/>
      <c r="X181" s="193"/>
      <c r="Y181" s="15"/>
    </row>
    <row r="182" spans="2:25" x14ac:dyDescent="0.25">
      <c r="B182" s="15">
        <v>180</v>
      </c>
      <c r="C182" s="8"/>
      <c r="E182" s="67"/>
      <c r="F182" s="16"/>
      <c r="G182" s="8"/>
      <c r="H182" s="8"/>
      <c r="I182" s="8"/>
      <c r="J182" s="9"/>
      <c r="K182" s="9">
        <f t="shared" si="35"/>
        <v>0</v>
      </c>
      <c r="L182" s="35">
        <f t="shared" si="36"/>
        <v>0</v>
      </c>
      <c r="M182" s="2"/>
      <c r="O182" s="19"/>
      <c r="P182" s="19"/>
      <c r="Q182" s="19"/>
      <c r="R182" s="21"/>
      <c r="S182" s="46"/>
      <c r="T182" s="44"/>
      <c r="U182" s="77"/>
      <c r="V182" s="24"/>
      <c r="W182" s="24"/>
      <c r="X182" s="193"/>
      <c r="Y182" s="15"/>
    </row>
    <row r="183" spans="2:25" x14ac:dyDescent="0.25">
      <c r="B183" s="15">
        <v>181</v>
      </c>
      <c r="C183" s="8"/>
      <c r="E183" s="67"/>
      <c r="F183" s="16"/>
      <c r="G183" s="8"/>
      <c r="H183" s="8"/>
      <c r="I183" s="8"/>
      <c r="J183" s="9"/>
      <c r="K183" s="9">
        <f t="shared" si="35"/>
        <v>0</v>
      </c>
      <c r="L183" s="35">
        <f t="shared" si="36"/>
        <v>0</v>
      </c>
      <c r="M183" s="2"/>
      <c r="O183" s="19"/>
      <c r="P183" s="19"/>
      <c r="Q183" s="19"/>
      <c r="R183" s="21"/>
      <c r="S183" s="46"/>
      <c r="T183" s="44"/>
      <c r="U183" s="77"/>
      <c r="V183" s="30"/>
      <c r="W183" s="24"/>
      <c r="X183" s="193"/>
      <c r="Y183" s="15"/>
    </row>
    <row r="184" spans="2:25" x14ac:dyDescent="0.25">
      <c r="B184" s="15">
        <v>182</v>
      </c>
      <c r="C184" s="8"/>
      <c r="E184" s="67"/>
      <c r="F184" s="16"/>
      <c r="G184" s="8"/>
      <c r="H184" s="8"/>
      <c r="I184" s="8"/>
      <c r="J184" s="9"/>
      <c r="K184" s="9">
        <f t="shared" si="35"/>
        <v>0</v>
      </c>
      <c r="L184" s="35">
        <f t="shared" si="36"/>
        <v>0</v>
      </c>
      <c r="M184" s="2"/>
      <c r="O184" s="19"/>
      <c r="P184" s="19"/>
      <c r="Q184" s="19"/>
      <c r="R184" s="21"/>
      <c r="S184" s="46"/>
      <c r="T184" s="44"/>
      <c r="U184" s="77"/>
      <c r="V184" s="30"/>
      <c r="W184" s="24"/>
      <c r="X184" s="193"/>
      <c r="Y184" s="15"/>
    </row>
    <row r="185" spans="2:25" x14ac:dyDescent="0.25">
      <c r="B185" s="15">
        <v>183</v>
      </c>
      <c r="C185" s="8"/>
      <c r="E185" s="67"/>
      <c r="F185" s="16"/>
      <c r="G185" s="8"/>
      <c r="H185" s="8"/>
      <c r="I185" s="8"/>
      <c r="J185" s="9"/>
      <c r="K185" s="9">
        <f t="shared" si="35"/>
        <v>0</v>
      </c>
      <c r="L185" s="35">
        <f t="shared" si="36"/>
        <v>0</v>
      </c>
      <c r="M185" s="2"/>
      <c r="O185" s="19"/>
      <c r="P185" s="19"/>
      <c r="Q185" s="19"/>
      <c r="R185" s="21"/>
      <c r="S185" s="46"/>
      <c r="T185" s="44"/>
      <c r="U185" s="77"/>
      <c r="V185" s="30"/>
      <c r="W185" s="24"/>
      <c r="X185" s="193"/>
      <c r="Y185" s="15"/>
    </row>
    <row r="186" spans="2:25" x14ac:dyDescent="0.25">
      <c r="B186" s="15">
        <v>184</v>
      </c>
      <c r="C186" s="8"/>
      <c r="E186" s="67"/>
      <c r="F186" s="16"/>
      <c r="G186" s="8"/>
      <c r="H186" s="8"/>
      <c r="I186" s="8"/>
      <c r="J186" s="9"/>
      <c r="K186" s="9">
        <f t="shared" si="35"/>
        <v>0</v>
      </c>
      <c r="L186" s="35">
        <f t="shared" si="36"/>
        <v>0</v>
      </c>
      <c r="M186" s="2"/>
      <c r="O186" s="19"/>
      <c r="P186" s="19"/>
      <c r="Q186" s="19"/>
      <c r="R186" s="21"/>
      <c r="S186" s="46"/>
      <c r="T186" s="44"/>
      <c r="U186" s="77"/>
      <c r="V186" s="30"/>
      <c r="W186" s="24"/>
      <c r="X186" s="193"/>
      <c r="Y186" s="15"/>
    </row>
    <row r="187" spans="2:25" x14ac:dyDescent="0.25">
      <c r="B187" s="15">
        <v>185</v>
      </c>
      <c r="C187" s="8"/>
      <c r="E187" s="67"/>
      <c r="F187" s="16"/>
      <c r="G187" s="8"/>
      <c r="H187" s="8"/>
      <c r="I187" s="8"/>
      <c r="J187" s="9"/>
      <c r="K187" s="9">
        <f t="shared" si="35"/>
        <v>0</v>
      </c>
      <c r="L187" s="35">
        <f t="shared" si="36"/>
        <v>0</v>
      </c>
      <c r="M187" s="2"/>
      <c r="O187" s="19"/>
      <c r="P187" s="19"/>
      <c r="Q187" s="19"/>
      <c r="R187" s="21"/>
      <c r="S187" s="46"/>
      <c r="T187" s="44"/>
      <c r="U187" s="77"/>
      <c r="V187" s="24"/>
      <c r="W187" s="24"/>
      <c r="X187" s="193"/>
      <c r="Y187" s="15"/>
    </row>
    <row r="188" spans="2:25" x14ac:dyDescent="0.25">
      <c r="B188" s="15">
        <v>186</v>
      </c>
      <c r="C188" s="8"/>
      <c r="E188" s="67"/>
      <c r="F188" s="16"/>
      <c r="G188" s="8"/>
      <c r="H188" s="8"/>
      <c r="I188" s="8"/>
      <c r="J188" s="9"/>
      <c r="K188" s="9">
        <f t="shared" si="35"/>
        <v>0</v>
      </c>
      <c r="L188" s="35">
        <f t="shared" si="36"/>
        <v>0</v>
      </c>
      <c r="M188" s="2"/>
      <c r="O188" s="19"/>
      <c r="P188" s="19"/>
      <c r="Q188" s="19"/>
      <c r="R188" s="21"/>
      <c r="S188" s="46"/>
      <c r="T188" s="44"/>
      <c r="U188" s="77"/>
      <c r="V188" s="24"/>
      <c r="W188" s="24"/>
      <c r="X188" s="193"/>
      <c r="Y188" s="15"/>
    </row>
    <row r="189" spans="2:25" x14ac:dyDescent="0.25">
      <c r="B189" s="15">
        <v>187</v>
      </c>
      <c r="C189" s="8"/>
      <c r="E189" s="67"/>
      <c r="F189" s="16"/>
      <c r="G189" s="8"/>
      <c r="H189" s="8"/>
      <c r="I189" s="8"/>
      <c r="J189" s="9"/>
      <c r="K189" s="9">
        <f t="shared" si="35"/>
        <v>0</v>
      </c>
      <c r="L189" s="35">
        <f t="shared" si="36"/>
        <v>0</v>
      </c>
      <c r="M189" s="2"/>
      <c r="O189" s="19"/>
      <c r="P189" s="19"/>
      <c r="Q189" s="19"/>
      <c r="R189" s="21"/>
      <c r="S189" s="46"/>
      <c r="T189" s="44"/>
      <c r="U189" s="77"/>
      <c r="V189" s="24"/>
      <c r="W189" s="24"/>
      <c r="X189" s="193"/>
      <c r="Y189" s="15"/>
    </row>
    <row r="190" spans="2:25" x14ac:dyDescent="0.25">
      <c r="B190" s="15">
        <v>188</v>
      </c>
      <c r="C190" s="8"/>
      <c r="E190" s="67"/>
      <c r="F190" s="16"/>
      <c r="G190" s="8"/>
      <c r="H190" s="8"/>
      <c r="I190" s="8"/>
      <c r="J190" s="9"/>
      <c r="K190" s="9">
        <f t="shared" si="35"/>
        <v>0</v>
      </c>
      <c r="L190" s="35">
        <f t="shared" si="36"/>
        <v>0</v>
      </c>
      <c r="M190" s="2"/>
      <c r="O190" s="19"/>
      <c r="P190" s="19"/>
      <c r="Q190" s="19"/>
      <c r="R190" s="279"/>
      <c r="S190" s="46"/>
      <c r="T190" s="44"/>
      <c r="U190" s="77"/>
      <c r="V190" s="24"/>
      <c r="W190" s="24"/>
      <c r="X190" s="193"/>
      <c r="Y190" s="15"/>
    </row>
    <row r="191" spans="2:25" x14ac:dyDescent="0.25">
      <c r="B191" s="15">
        <v>189</v>
      </c>
      <c r="C191" s="8"/>
      <c r="E191" s="67"/>
      <c r="F191" s="16"/>
      <c r="G191" s="8"/>
      <c r="H191" s="8"/>
      <c r="I191" s="8"/>
      <c r="J191" s="9"/>
      <c r="K191" s="9">
        <f t="shared" si="35"/>
        <v>0</v>
      </c>
      <c r="L191" s="35">
        <f t="shared" si="36"/>
        <v>0</v>
      </c>
      <c r="M191" s="2"/>
      <c r="O191" s="19"/>
      <c r="P191" s="19"/>
      <c r="Q191" s="19"/>
      <c r="R191" s="21"/>
      <c r="S191" s="46"/>
      <c r="T191" s="44"/>
      <c r="U191" s="77"/>
      <c r="V191" s="24"/>
      <c r="W191" s="24"/>
      <c r="X191" s="193"/>
      <c r="Y191" s="15"/>
    </row>
    <row r="192" spans="2:25" x14ac:dyDescent="0.25">
      <c r="B192" s="15">
        <v>190</v>
      </c>
      <c r="C192" s="8"/>
      <c r="E192" s="67"/>
      <c r="F192" s="16"/>
      <c r="G192" s="8"/>
      <c r="H192" s="8"/>
      <c r="I192" s="8"/>
      <c r="J192" s="9"/>
      <c r="K192" s="9">
        <f t="shared" si="35"/>
        <v>0</v>
      </c>
      <c r="L192" s="35">
        <f t="shared" si="36"/>
        <v>0</v>
      </c>
      <c r="M192" s="2"/>
      <c r="O192" s="19"/>
      <c r="P192" s="19"/>
      <c r="Q192" s="19"/>
      <c r="R192" s="21"/>
      <c r="S192" s="46"/>
      <c r="T192" s="44"/>
      <c r="U192" s="77"/>
      <c r="V192" s="30"/>
      <c r="W192" s="24"/>
      <c r="X192" s="193"/>
      <c r="Y192" s="15"/>
    </row>
    <row r="193" spans="2:25" x14ac:dyDescent="0.25">
      <c r="B193" s="15">
        <v>191</v>
      </c>
      <c r="C193" s="8"/>
      <c r="E193" s="67"/>
      <c r="F193" s="16"/>
      <c r="G193" s="8"/>
      <c r="H193" s="8"/>
      <c r="I193" s="8"/>
      <c r="J193" s="9"/>
      <c r="K193" s="9">
        <f t="shared" si="35"/>
        <v>0</v>
      </c>
      <c r="L193" s="35">
        <f t="shared" si="36"/>
        <v>0</v>
      </c>
      <c r="M193" s="2"/>
      <c r="O193" s="19"/>
      <c r="P193" s="19"/>
      <c r="Q193" s="19"/>
      <c r="R193" s="21"/>
      <c r="S193" s="46"/>
      <c r="T193" s="44"/>
      <c r="U193" s="77"/>
      <c r="V193" s="30"/>
      <c r="W193" s="24"/>
      <c r="X193" s="193"/>
      <c r="Y193" s="15"/>
    </row>
    <row r="194" spans="2:25" x14ac:dyDescent="0.25">
      <c r="B194" s="15">
        <v>192</v>
      </c>
      <c r="C194" s="8"/>
      <c r="E194" s="67"/>
      <c r="F194" s="16"/>
      <c r="G194" s="8"/>
      <c r="H194" s="8"/>
      <c r="I194" s="8"/>
      <c r="J194" s="9"/>
      <c r="K194" s="9">
        <f t="shared" si="35"/>
        <v>0</v>
      </c>
      <c r="L194" s="35">
        <f t="shared" si="36"/>
        <v>0</v>
      </c>
      <c r="M194" s="2"/>
      <c r="O194" s="19"/>
      <c r="P194" s="19"/>
      <c r="Q194" s="19"/>
      <c r="R194" s="21"/>
      <c r="S194" s="46"/>
      <c r="T194" s="44"/>
      <c r="U194" s="77"/>
      <c r="V194" s="24"/>
      <c r="W194" s="24"/>
      <c r="X194" s="193"/>
      <c r="Y194" s="15"/>
    </row>
    <row r="195" spans="2:25" x14ac:dyDescent="0.25">
      <c r="B195" s="15">
        <v>193</v>
      </c>
      <c r="C195" s="8"/>
      <c r="E195" s="67"/>
      <c r="F195" s="16"/>
      <c r="G195" s="8"/>
      <c r="H195" s="8"/>
      <c r="I195" s="8"/>
      <c r="J195" s="9"/>
      <c r="K195" s="9">
        <f t="shared" ref="K195:K258" si="37">J195*1.1</f>
        <v>0</v>
      </c>
      <c r="L195" s="35">
        <f t="shared" ref="L195:L258" si="38">J195*0.00000001</f>
        <v>0</v>
      </c>
      <c r="M195" s="2"/>
      <c r="O195" s="19"/>
      <c r="P195" s="19"/>
      <c r="Q195" s="19"/>
      <c r="R195" s="21"/>
      <c r="S195" s="46"/>
      <c r="T195" s="44"/>
      <c r="U195" s="77"/>
      <c r="V195" s="24"/>
      <c r="W195" s="24"/>
      <c r="X195" s="193"/>
      <c r="Y195" s="15"/>
    </row>
    <row r="196" spans="2:25" x14ac:dyDescent="0.25">
      <c r="B196" s="15">
        <v>194</v>
      </c>
      <c r="C196" s="8"/>
      <c r="E196" s="67"/>
      <c r="F196" s="16"/>
      <c r="G196" s="8"/>
      <c r="H196" s="8"/>
      <c r="I196" s="8"/>
      <c r="J196" s="9"/>
      <c r="K196" s="9">
        <f t="shared" si="37"/>
        <v>0</v>
      </c>
      <c r="L196" s="35">
        <f t="shared" si="38"/>
        <v>0</v>
      </c>
      <c r="M196" s="2"/>
      <c r="O196" s="19"/>
      <c r="P196" s="19"/>
      <c r="Q196" s="19"/>
      <c r="R196" s="21"/>
      <c r="S196" s="46"/>
      <c r="T196" s="44"/>
      <c r="U196" s="77"/>
      <c r="V196" s="24"/>
      <c r="W196" s="24"/>
      <c r="X196" s="193"/>
      <c r="Y196" s="15"/>
    </row>
    <row r="197" spans="2:25" x14ac:dyDescent="0.25">
      <c r="B197" s="15">
        <v>195</v>
      </c>
      <c r="C197" s="8"/>
      <c r="E197" s="67"/>
      <c r="F197" s="16"/>
      <c r="G197" s="8"/>
      <c r="H197" s="8"/>
      <c r="I197" s="8"/>
      <c r="J197" s="9"/>
      <c r="K197" s="9">
        <f t="shared" si="37"/>
        <v>0</v>
      </c>
      <c r="L197" s="35">
        <f t="shared" si="38"/>
        <v>0</v>
      </c>
      <c r="M197" s="2"/>
      <c r="O197" s="19"/>
      <c r="P197" s="19"/>
      <c r="Q197" s="19"/>
      <c r="R197" s="21"/>
      <c r="S197" s="46"/>
      <c r="T197" s="44"/>
      <c r="U197" s="77"/>
      <c r="V197" s="24"/>
      <c r="W197" s="24"/>
      <c r="X197" s="193"/>
      <c r="Y197" s="15"/>
    </row>
    <row r="198" spans="2:25" x14ac:dyDescent="0.25">
      <c r="B198" s="15">
        <v>196</v>
      </c>
      <c r="C198" s="8"/>
      <c r="E198" s="67"/>
      <c r="F198" s="16"/>
      <c r="G198" s="8"/>
      <c r="H198" s="8"/>
      <c r="I198" s="8"/>
      <c r="J198" s="9"/>
      <c r="K198" s="9">
        <f t="shared" si="37"/>
        <v>0</v>
      </c>
      <c r="L198" s="35">
        <f t="shared" si="38"/>
        <v>0</v>
      </c>
      <c r="M198" s="2"/>
      <c r="O198" s="19"/>
      <c r="P198" s="19"/>
      <c r="Q198" s="19"/>
      <c r="R198" s="21"/>
      <c r="S198" s="46"/>
      <c r="T198" s="44"/>
      <c r="U198" s="77"/>
      <c r="V198" s="24"/>
      <c r="W198" s="24"/>
      <c r="X198" s="193"/>
      <c r="Y198" s="15"/>
    </row>
    <row r="199" spans="2:25" x14ac:dyDescent="0.25">
      <c r="B199" s="15">
        <v>197</v>
      </c>
      <c r="C199" s="8"/>
      <c r="E199" s="67"/>
      <c r="F199" s="16"/>
      <c r="G199" s="8"/>
      <c r="H199" s="8"/>
      <c r="I199" s="8"/>
      <c r="J199" s="9"/>
      <c r="K199" s="9">
        <f t="shared" si="37"/>
        <v>0</v>
      </c>
      <c r="L199" s="35">
        <f t="shared" si="38"/>
        <v>0</v>
      </c>
      <c r="M199" s="2"/>
      <c r="O199" s="19"/>
      <c r="P199" s="19"/>
      <c r="Q199" s="19"/>
      <c r="R199" s="21"/>
      <c r="S199" s="46"/>
      <c r="T199" s="44"/>
      <c r="U199" s="77"/>
      <c r="V199" s="24"/>
      <c r="W199" s="24"/>
      <c r="X199" s="193"/>
      <c r="Y199" s="15"/>
    </row>
    <row r="200" spans="2:25" x14ac:dyDescent="0.25">
      <c r="B200" s="15">
        <v>198</v>
      </c>
      <c r="C200" s="8"/>
      <c r="E200" s="67"/>
      <c r="F200" s="16"/>
      <c r="G200" s="8"/>
      <c r="H200" s="8"/>
      <c r="I200" s="8"/>
      <c r="J200" s="9"/>
      <c r="K200" s="9">
        <f t="shared" si="37"/>
        <v>0</v>
      </c>
      <c r="L200" s="35">
        <f t="shared" si="38"/>
        <v>0</v>
      </c>
      <c r="M200" s="2"/>
      <c r="O200" s="19"/>
      <c r="P200" s="19"/>
      <c r="Q200" s="19"/>
      <c r="R200" s="21"/>
      <c r="S200" s="46"/>
      <c r="T200" s="44"/>
      <c r="U200" s="77"/>
      <c r="V200" s="30"/>
      <c r="W200" s="24"/>
      <c r="X200" s="193"/>
      <c r="Y200" s="15"/>
    </row>
    <row r="201" spans="2:25" x14ac:dyDescent="0.25">
      <c r="B201" s="15">
        <v>199</v>
      </c>
      <c r="C201" s="8"/>
      <c r="E201" s="67"/>
      <c r="F201" s="16"/>
      <c r="G201" s="8"/>
      <c r="H201" s="8"/>
      <c r="I201" s="8"/>
      <c r="J201" s="9"/>
      <c r="K201" s="9">
        <f t="shared" si="37"/>
        <v>0</v>
      </c>
      <c r="L201" s="35">
        <f t="shared" si="38"/>
        <v>0</v>
      </c>
      <c r="M201" s="2"/>
      <c r="O201" s="19"/>
      <c r="P201" s="19"/>
      <c r="Q201" s="19"/>
      <c r="R201" s="21"/>
      <c r="S201" s="46"/>
      <c r="T201" s="44"/>
      <c r="U201" s="77"/>
      <c r="V201" s="30"/>
      <c r="W201" s="24"/>
      <c r="X201" s="193"/>
      <c r="Y201" s="15"/>
    </row>
    <row r="202" spans="2:25" x14ac:dyDescent="0.25">
      <c r="B202" s="15">
        <v>200</v>
      </c>
      <c r="C202" s="8"/>
      <c r="E202" s="67"/>
      <c r="F202" s="16"/>
      <c r="G202" s="8"/>
      <c r="H202" s="8"/>
      <c r="I202" s="8"/>
      <c r="J202" s="9"/>
      <c r="K202" s="9">
        <f t="shared" si="37"/>
        <v>0</v>
      </c>
      <c r="L202" s="35">
        <f t="shared" si="38"/>
        <v>0</v>
      </c>
      <c r="M202" s="2"/>
      <c r="O202" s="19"/>
      <c r="P202" s="19"/>
      <c r="Q202" s="19"/>
      <c r="R202" s="21"/>
      <c r="S202" s="46"/>
      <c r="T202" s="44"/>
      <c r="U202" s="77"/>
      <c r="V202" s="30"/>
      <c r="W202" s="24"/>
      <c r="X202" s="193"/>
      <c r="Y202" s="15"/>
    </row>
    <row r="203" spans="2:25" x14ac:dyDescent="0.25">
      <c r="B203" s="15">
        <v>201</v>
      </c>
      <c r="C203" s="8"/>
      <c r="E203" s="67"/>
      <c r="F203" s="16"/>
      <c r="G203" s="8"/>
      <c r="H203" s="8"/>
      <c r="I203" s="8"/>
      <c r="J203" s="9"/>
      <c r="K203" s="9">
        <f t="shared" si="37"/>
        <v>0</v>
      </c>
      <c r="L203" s="35">
        <f t="shared" si="38"/>
        <v>0</v>
      </c>
      <c r="M203" s="2"/>
      <c r="O203" s="19"/>
      <c r="P203" s="19"/>
      <c r="Q203" s="19"/>
      <c r="R203" s="21"/>
      <c r="S203" s="46"/>
      <c r="T203" s="44"/>
      <c r="U203" s="77"/>
      <c r="V203" s="24"/>
      <c r="W203" s="24"/>
      <c r="X203" s="193"/>
      <c r="Y203" s="15"/>
    </row>
    <row r="204" spans="2:25" x14ac:dyDescent="0.25">
      <c r="B204" s="15">
        <v>202</v>
      </c>
      <c r="C204" s="8"/>
      <c r="E204" s="67"/>
      <c r="F204" s="16"/>
      <c r="G204" s="8"/>
      <c r="H204" s="8"/>
      <c r="I204" s="8"/>
      <c r="J204" s="9"/>
      <c r="K204" s="9">
        <f t="shared" si="37"/>
        <v>0</v>
      </c>
      <c r="L204" s="35">
        <f t="shared" si="38"/>
        <v>0</v>
      </c>
      <c r="M204" s="2"/>
      <c r="O204" s="19"/>
      <c r="P204" s="19"/>
      <c r="Q204" s="19"/>
      <c r="R204" s="21"/>
      <c r="S204" s="46"/>
      <c r="T204" s="44"/>
      <c r="U204" s="77"/>
      <c r="V204" s="24"/>
      <c r="W204" s="24"/>
      <c r="X204" s="193"/>
      <c r="Y204" s="15"/>
    </row>
    <row r="205" spans="2:25" x14ac:dyDescent="0.25">
      <c r="B205" s="15">
        <v>203</v>
      </c>
      <c r="C205" s="8"/>
      <c r="E205" s="67"/>
      <c r="F205" s="16"/>
      <c r="G205" s="8"/>
      <c r="H205" s="8"/>
      <c r="I205" s="8"/>
      <c r="J205" s="9"/>
      <c r="K205" s="9">
        <f t="shared" si="37"/>
        <v>0</v>
      </c>
      <c r="L205" s="35">
        <f t="shared" si="38"/>
        <v>0</v>
      </c>
      <c r="M205" s="2"/>
      <c r="O205" s="19"/>
      <c r="P205" s="19"/>
      <c r="Q205" s="19"/>
      <c r="R205" s="21"/>
      <c r="S205" s="46"/>
      <c r="T205" s="44"/>
      <c r="U205" s="77"/>
      <c r="V205" s="24"/>
      <c r="W205" s="24"/>
      <c r="X205" s="193"/>
      <c r="Y205" s="15"/>
    </row>
    <row r="206" spans="2:25" x14ac:dyDescent="0.25">
      <c r="B206" s="15">
        <v>204</v>
      </c>
      <c r="C206" s="8"/>
      <c r="E206" s="67"/>
      <c r="F206" s="16"/>
      <c r="G206" s="8"/>
      <c r="H206" s="8"/>
      <c r="I206" s="8"/>
      <c r="J206" s="9"/>
      <c r="K206" s="9">
        <f t="shared" si="37"/>
        <v>0</v>
      </c>
      <c r="L206" s="35">
        <f t="shared" si="38"/>
        <v>0</v>
      </c>
      <c r="M206" s="2"/>
      <c r="O206" s="19"/>
      <c r="P206" s="19"/>
      <c r="Q206" s="19"/>
      <c r="R206" s="21"/>
      <c r="S206" s="46"/>
      <c r="T206" s="44"/>
      <c r="U206" s="77"/>
      <c r="V206" s="24"/>
      <c r="W206" s="24"/>
      <c r="X206" s="193"/>
      <c r="Y206" s="15"/>
    </row>
    <row r="207" spans="2:25" x14ac:dyDescent="0.25">
      <c r="B207" s="15">
        <v>205</v>
      </c>
      <c r="C207" s="8"/>
      <c r="E207" s="67"/>
      <c r="F207" s="16"/>
      <c r="G207" s="8"/>
      <c r="H207" s="8"/>
      <c r="I207" s="8"/>
      <c r="J207" s="9"/>
      <c r="K207" s="9">
        <f t="shared" si="37"/>
        <v>0</v>
      </c>
      <c r="L207" s="35">
        <f t="shared" si="38"/>
        <v>0</v>
      </c>
      <c r="M207" s="2"/>
      <c r="O207" s="19"/>
      <c r="P207" s="19"/>
      <c r="Q207" s="19"/>
      <c r="R207" s="21"/>
      <c r="S207" s="46"/>
      <c r="T207" s="44"/>
      <c r="U207" s="77"/>
      <c r="V207" s="24"/>
      <c r="W207" s="24"/>
      <c r="X207" s="193"/>
      <c r="Y207" s="15"/>
    </row>
    <row r="208" spans="2:25" x14ac:dyDescent="0.25">
      <c r="B208" s="15">
        <v>206</v>
      </c>
      <c r="C208" s="8"/>
      <c r="E208" s="67"/>
      <c r="F208" s="16"/>
      <c r="G208" s="8"/>
      <c r="H208" s="8"/>
      <c r="I208" s="8"/>
      <c r="J208" s="9"/>
      <c r="K208" s="9">
        <f t="shared" si="37"/>
        <v>0</v>
      </c>
      <c r="L208" s="35">
        <f t="shared" si="38"/>
        <v>0</v>
      </c>
      <c r="M208" s="2"/>
      <c r="O208" s="19"/>
      <c r="P208" s="19"/>
      <c r="Q208" s="19"/>
      <c r="R208" s="21"/>
      <c r="S208" s="46"/>
      <c r="T208" s="44"/>
      <c r="U208" s="77"/>
      <c r="V208" s="30"/>
      <c r="W208" s="24"/>
      <c r="X208" s="193"/>
      <c r="Y208" s="15"/>
    </row>
    <row r="209" spans="2:25" x14ac:dyDescent="0.25">
      <c r="B209" s="15">
        <v>207</v>
      </c>
      <c r="C209" s="8"/>
      <c r="E209" s="67"/>
      <c r="F209" s="16"/>
      <c r="G209" s="8"/>
      <c r="H209" s="8"/>
      <c r="I209" s="8"/>
      <c r="J209" s="9"/>
      <c r="K209" s="9">
        <f t="shared" si="37"/>
        <v>0</v>
      </c>
      <c r="L209" s="35">
        <f t="shared" si="38"/>
        <v>0</v>
      </c>
      <c r="M209" s="2"/>
      <c r="O209" s="19"/>
      <c r="P209" s="19"/>
      <c r="Q209" s="19"/>
      <c r="R209" s="21"/>
      <c r="S209" s="46"/>
      <c r="T209" s="44"/>
      <c r="U209" s="77"/>
      <c r="V209" s="30"/>
      <c r="W209" s="24"/>
      <c r="X209" s="193"/>
      <c r="Y209" s="15"/>
    </row>
    <row r="210" spans="2:25" x14ac:dyDescent="0.25">
      <c r="B210" s="15">
        <v>208</v>
      </c>
      <c r="C210" s="8"/>
      <c r="E210" s="67"/>
      <c r="F210" s="16"/>
      <c r="G210" s="8"/>
      <c r="H210" s="8"/>
      <c r="I210" s="8"/>
      <c r="J210" s="9"/>
      <c r="K210" s="9">
        <f t="shared" si="37"/>
        <v>0</v>
      </c>
      <c r="L210" s="35">
        <f t="shared" si="38"/>
        <v>0</v>
      </c>
      <c r="M210" s="2"/>
      <c r="O210" s="19"/>
      <c r="P210" s="19"/>
      <c r="Q210" s="19"/>
      <c r="R210" s="21"/>
      <c r="S210" s="46"/>
      <c r="T210" s="44"/>
      <c r="U210" s="77"/>
      <c r="V210" s="24"/>
      <c r="W210" s="24"/>
      <c r="X210" s="193"/>
      <c r="Y210" s="15"/>
    </row>
    <row r="211" spans="2:25" x14ac:dyDescent="0.25">
      <c r="B211" s="15">
        <v>209</v>
      </c>
      <c r="C211" s="8"/>
      <c r="E211" s="67"/>
      <c r="F211" s="16"/>
      <c r="G211" s="8"/>
      <c r="H211" s="8"/>
      <c r="I211" s="8"/>
      <c r="J211" s="9"/>
      <c r="K211" s="9">
        <f t="shared" si="37"/>
        <v>0</v>
      </c>
      <c r="L211" s="35">
        <f t="shared" si="38"/>
        <v>0</v>
      </c>
      <c r="M211" s="2"/>
      <c r="O211" s="19"/>
      <c r="P211" s="19"/>
      <c r="Q211" s="19"/>
      <c r="R211" s="21"/>
      <c r="S211" s="46"/>
      <c r="T211" s="44"/>
      <c r="U211" s="77"/>
      <c r="V211" s="24"/>
      <c r="W211" s="24"/>
      <c r="X211" s="193"/>
      <c r="Y211" s="15"/>
    </row>
    <row r="212" spans="2:25" x14ac:dyDescent="0.25">
      <c r="B212" s="15">
        <v>210</v>
      </c>
      <c r="C212" s="8"/>
      <c r="E212" s="67"/>
      <c r="F212" s="16"/>
      <c r="G212" s="8"/>
      <c r="H212" s="8"/>
      <c r="I212" s="8"/>
      <c r="J212" s="9"/>
      <c r="K212" s="9">
        <f t="shared" si="37"/>
        <v>0</v>
      </c>
      <c r="L212" s="35">
        <f t="shared" si="38"/>
        <v>0</v>
      </c>
      <c r="M212" s="2"/>
      <c r="O212" s="19"/>
      <c r="P212" s="19"/>
      <c r="Q212" s="19"/>
      <c r="R212" s="21"/>
      <c r="S212" s="46"/>
      <c r="T212" s="44"/>
      <c r="U212" s="77"/>
      <c r="V212" s="24"/>
      <c r="W212" s="24"/>
      <c r="X212" s="193"/>
      <c r="Y212" s="15"/>
    </row>
    <row r="213" spans="2:25" x14ac:dyDescent="0.25">
      <c r="B213" s="15">
        <v>211</v>
      </c>
      <c r="C213" s="8"/>
      <c r="E213" s="67"/>
      <c r="F213" s="16"/>
      <c r="G213" s="8"/>
      <c r="H213" s="8"/>
      <c r="I213" s="8"/>
      <c r="J213" s="9"/>
      <c r="K213" s="9">
        <f t="shared" si="37"/>
        <v>0</v>
      </c>
      <c r="L213" s="35">
        <f t="shared" si="38"/>
        <v>0</v>
      </c>
      <c r="M213" s="2"/>
      <c r="O213" s="19"/>
      <c r="P213" s="19"/>
      <c r="Q213" s="19"/>
      <c r="R213" s="21"/>
      <c r="S213" s="46"/>
      <c r="T213" s="44"/>
      <c r="U213" s="77"/>
      <c r="V213" s="24"/>
      <c r="W213" s="24"/>
      <c r="X213" s="193"/>
      <c r="Y213" s="15"/>
    </row>
    <row r="214" spans="2:25" x14ac:dyDescent="0.25">
      <c r="B214" s="15">
        <v>212</v>
      </c>
      <c r="C214" s="8"/>
      <c r="E214" s="67"/>
      <c r="F214" s="16"/>
      <c r="G214" s="8"/>
      <c r="H214" s="8"/>
      <c r="I214" s="8"/>
      <c r="J214" s="9"/>
      <c r="K214" s="9">
        <f t="shared" si="37"/>
        <v>0</v>
      </c>
      <c r="L214" s="35">
        <f t="shared" si="38"/>
        <v>0</v>
      </c>
      <c r="M214" s="2"/>
      <c r="O214" s="19"/>
      <c r="P214" s="19"/>
      <c r="Q214" s="19"/>
      <c r="R214" s="21"/>
      <c r="S214" s="46"/>
      <c r="T214" s="44"/>
      <c r="U214" s="77"/>
      <c r="V214" s="24"/>
      <c r="W214" s="24"/>
      <c r="X214" s="193"/>
      <c r="Y214" s="15"/>
    </row>
    <row r="215" spans="2:25" x14ac:dyDescent="0.25">
      <c r="B215" s="15">
        <v>213</v>
      </c>
      <c r="C215" s="8"/>
      <c r="E215" s="67"/>
      <c r="F215" s="16"/>
      <c r="G215" s="8"/>
      <c r="H215" s="8"/>
      <c r="I215" s="8"/>
      <c r="J215" s="9"/>
      <c r="K215" s="9">
        <f t="shared" si="37"/>
        <v>0</v>
      </c>
      <c r="L215" s="35">
        <f t="shared" si="38"/>
        <v>0</v>
      </c>
      <c r="M215" s="2"/>
      <c r="O215" s="19"/>
      <c r="P215" s="19"/>
      <c r="Q215" s="19"/>
      <c r="R215" s="21"/>
      <c r="S215" s="46"/>
      <c r="T215" s="44"/>
      <c r="U215" s="77"/>
      <c r="V215" s="30"/>
      <c r="W215" s="24"/>
      <c r="X215" s="193"/>
      <c r="Y215" s="15"/>
    </row>
    <row r="216" spans="2:25" x14ac:dyDescent="0.25">
      <c r="B216" s="15">
        <v>214</v>
      </c>
      <c r="C216" s="8"/>
      <c r="E216" s="67"/>
      <c r="F216" s="16"/>
      <c r="G216" s="8"/>
      <c r="H216" s="8"/>
      <c r="I216" s="8"/>
      <c r="J216" s="9"/>
      <c r="K216" s="9">
        <f t="shared" si="37"/>
        <v>0</v>
      </c>
      <c r="L216" s="35">
        <f t="shared" si="38"/>
        <v>0</v>
      </c>
      <c r="M216" s="2"/>
      <c r="O216" s="19"/>
      <c r="P216" s="19"/>
      <c r="Q216" s="19"/>
      <c r="R216" s="21"/>
      <c r="S216" s="46"/>
      <c r="T216" s="44"/>
      <c r="U216" s="77"/>
      <c r="V216" s="30"/>
      <c r="W216" s="24"/>
      <c r="X216" s="193"/>
      <c r="Y216" s="15"/>
    </row>
    <row r="217" spans="2:25" x14ac:dyDescent="0.25">
      <c r="B217" s="15">
        <v>215</v>
      </c>
      <c r="C217" s="8"/>
      <c r="E217" s="67"/>
      <c r="F217" s="16"/>
      <c r="G217" s="8"/>
      <c r="H217" s="8"/>
      <c r="I217" s="8"/>
      <c r="J217" s="9"/>
      <c r="K217" s="9">
        <f t="shared" si="37"/>
        <v>0</v>
      </c>
      <c r="L217" s="35">
        <f t="shared" si="38"/>
        <v>0</v>
      </c>
      <c r="M217" s="2"/>
      <c r="O217" s="19"/>
      <c r="P217" s="19"/>
      <c r="Q217" s="19"/>
      <c r="R217" s="21"/>
      <c r="S217" s="46"/>
      <c r="T217" s="44"/>
      <c r="U217" s="77"/>
      <c r="V217" s="30"/>
      <c r="W217" s="24"/>
      <c r="X217" s="193"/>
      <c r="Y217" s="15"/>
    </row>
    <row r="218" spans="2:25" x14ac:dyDescent="0.25">
      <c r="B218" s="15">
        <v>216</v>
      </c>
      <c r="C218" s="8"/>
      <c r="E218" s="67"/>
      <c r="F218" s="16"/>
      <c r="G218" s="8"/>
      <c r="H218" s="8"/>
      <c r="I218" s="8"/>
      <c r="J218" s="9"/>
      <c r="K218" s="9">
        <f t="shared" si="37"/>
        <v>0</v>
      </c>
      <c r="L218" s="35">
        <f t="shared" si="38"/>
        <v>0</v>
      </c>
      <c r="M218" s="2"/>
      <c r="O218" s="19"/>
      <c r="P218" s="19"/>
      <c r="Q218" s="19"/>
      <c r="R218" s="21"/>
      <c r="S218" s="46"/>
      <c r="T218" s="44"/>
      <c r="U218" s="77"/>
      <c r="V218" s="30"/>
      <c r="W218" s="24"/>
      <c r="X218" s="193"/>
      <c r="Y218" s="15"/>
    </row>
    <row r="219" spans="2:25" x14ac:dyDescent="0.25">
      <c r="B219" s="15">
        <v>217</v>
      </c>
      <c r="C219" s="8"/>
      <c r="E219" s="67"/>
      <c r="F219" s="16"/>
      <c r="G219" s="8"/>
      <c r="H219" s="8"/>
      <c r="I219" s="8"/>
      <c r="J219" s="9"/>
      <c r="K219" s="9">
        <f t="shared" si="37"/>
        <v>0</v>
      </c>
      <c r="L219" s="35">
        <f t="shared" si="38"/>
        <v>0</v>
      </c>
      <c r="M219" s="2"/>
      <c r="O219" s="19"/>
      <c r="P219" s="19"/>
      <c r="Q219" s="19"/>
      <c r="R219" s="21"/>
      <c r="S219" s="46"/>
      <c r="T219" s="44"/>
      <c r="U219" s="77"/>
      <c r="V219" s="30"/>
      <c r="W219" s="24"/>
      <c r="X219" s="193"/>
      <c r="Y219" s="15"/>
    </row>
    <row r="220" spans="2:25" x14ac:dyDescent="0.25">
      <c r="B220" s="15">
        <v>218</v>
      </c>
      <c r="C220" s="8"/>
      <c r="E220" s="67"/>
      <c r="F220" s="16"/>
      <c r="G220" s="8"/>
      <c r="H220" s="8"/>
      <c r="I220" s="8"/>
      <c r="J220" s="9"/>
      <c r="K220" s="9">
        <f t="shared" si="37"/>
        <v>0</v>
      </c>
      <c r="L220" s="35">
        <f t="shared" si="38"/>
        <v>0</v>
      </c>
      <c r="M220" s="2"/>
      <c r="O220" s="19"/>
      <c r="P220" s="19"/>
      <c r="Q220" s="19"/>
      <c r="R220" s="21"/>
      <c r="S220" s="46"/>
      <c r="T220" s="44"/>
      <c r="U220" s="77"/>
      <c r="V220" s="30"/>
      <c r="W220" s="24"/>
      <c r="X220" s="193"/>
      <c r="Y220" s="15"/>
    </row>
    <row r="221" spans="2:25" x14ac:dyDescent="0.25">
      <c r="B221" s="15">
        <v>219</v>
      </c>
      <c r="C221" s="8"/>
      <c r="E221" s="67"/>
      <c r="F221" s="16"/>
      <c r="G221" s="8"/>
      <c r="H221" s="8"/>
      <c r="I221" s="8"/>
      <c r="J221" s="9"/>
      <c r="K221" s="9">
        <f t="shared" si="37"/>
        <v>0</v>
      </c>
      <c r="L221" s="35">
        <f t="shared" si="38"/>
        <v>0</v>
      </c>
      <c r="M221" s="2"/>
      <c r="O221" s="19"/>
      <c r="P221" s="19"/>
      <c r="Q221" s="19"/>
      <c r="R221" s="21"/>
      <c r="S221" s="46"/>
      <c r="T221" s="44"/>
      <c r="U221" s="77"/>
      <c r="V221" s="24"/>
      <c r="W221" s="24"/>
      <c r="X221" s="193"/>
      <c r="Y221" s="15"/>
    </row>
    <row r="222" spans="2:25" x14ac:dyDescent="0.25">
      <c r="B222" s="15">
        <v>220</v>
      </c>
      <c r="C222" s="8"/>
      <c r="E222" s="67"/>
      <c r="F222" s="16"/>
      <c r="G222" s="8"/>
      <c r="H222" s="8"/>
      <c r="I222" s="8"/>
      <c r="J222" s="9"/>
      <c r="K222" s="9">
        <f t="shared" si="37"/>
        <v>0</v>
      </c>
      <c r="L222" s="35">
        <f t="shared" si="38"/>
        <v>0</v>
      </c>
      <c r="M222" s="2"/>
      <c r="O222" s="19"/>
      <c r="P222" s="19"/>
      <c r="Q222" s="19"/>
      <c r="R222" s="21"/>
      <c r="S222" s="46"/>
      <c r="T222" s="44"/>
      <c r="U222" s="77"/>
      <c r="V222" s="24"/>
      <c r="W222" s="24"/>
      <c r="X222" s="193"/>
      <c r="Y222" s="15"/>
    </row>
    <row r="223" spans="2:25" x14ac:dyDescent="0.25">
      <c r="B223" s="15">
        <v>221</v>
      </c>
      <c r="C223" s="8"/>
      <c r="E223" s="67"/>
      <c r="F223" s="16"/>
      <c r="G223" s="8"/>
      <c r="H223" s="8"/>
      <c r="I223" s="8"/>
      <c r="J223" s="9"/>
      <c r="K223" s="9">
        <f t="shared" si="37"/>
        <v>0</v>
      </c>
      <c r="L223" s="35">
        <f t="shared" si="38"/>
        <v>0</v>
      </c>
      <c r="M223" s="2"/>
      <c r="O223" s="19"/>
      <c r="P223" s="19"/>
      <c r="Q223" s="19"/>
      <c r="R223" s="21"/>
      <c r="S223" s="46"/>
      <c r="T223" s="44"/>
      <c r="U223" s="77"/>
      <c r="V223" s="24"/>
      <c r="W223" s="24"/>
      <c r="X223" s="193"/>
      <c r="Y223" s="15"/>
    </row>
    <row r="224" spans="2:25" x14ac:dyDescent="0.25">
      <c r="B224" s="15">
        <v>222</v>
      </c>
      <c r="C224" s="8"/>
      <c r="E224" s="67"/>
      <c r="F224" s="16"/>
      <c r="G224" s="8"/>
      <c r="H224" s="8"/>
      <c r="I224" s="8"/>
      <c r="J224" s="9"/>
      <c r="K224" s="9">
        <f t="shared" si="37"/>
        <v>0</v>
      </c>
      <c r="L224" s="35">
        <f t="shared" si="38"/>
        <v>0</v>
      </c>
      <c r="M224" s="2"/>
      <c r="O224" s="19"/>
      <c r="P224" s="19"/>
      <c r="Q224" s="19"/>
      <c r="R224" s="21"/>
      <c r="S224" s="46"/>
      <c r="T224" s="44"/>
      <c r="U224" s="77"/>
      <c r="V224" s="30"/>
      <c r="W224" s="24"/>
      <c r="X224" s="193"/>
      <c r="Y224" s="15"/>
    </row>
    <row r="225" spans="2:25" x14ac:dyDescent="0.25">
      <c r="B225" s="15">
        <v>223</v>
      </c>
      <c r="C225" s="8"/>
      <c r="E225" s="67"/>
      <c r="F225" s="16"/>
      <c r="G225" s="8"/>
      <c r="H225" s="8"/>
      <c r="I225" s="8"/>
      <c r="J225" s="9"/>
      <c r="K225" s="9">
        <f t="shared" si="37"/>
        <v>0</v>
      </c>
      <c r="L225" s="35">
        <f t="shared" si="38"/>
        <v>0</v>
      </c>
      <c r="M225" s="2"/>
      <c r="O225" s="19"/>
      <c r="P225" s="19"/>
      <c r="Q225" s="19"/>
      <c r="R225" s="21"/>
      <c r="S225" s="46"/>
      <c r="T225" s="44"/>
      <c r="U225" s="77"/>
      <c r="V225" s="30"/>
      <c r="W225" s="24"/>
      <c r="X225" s="193"/>
      <c r="Y225" s="15"/>
    </row>
    <row r="226" spans="2:25" x14ac:dyDescent="0.25">
      <c r="B226" s="15">
        <v>224</v>
      </c>
      <c r="C226" s="8"/>
      <c r="E226" s="67"/>
      <c r="F226" s="16"/>
      <c r="G226" s="8"/>
      <c r="H226" s="8"/>
      <c r="I226" s="8"/>
      <c r="J226" s="9"/>
      <c r="K226" s="9">
        <f t="shared" si="37"/>
        <v>0</v>
      </c>
      <c r="L226" s="35">
        <f t="shared" si="38"/>
        <v>0</v>
      </c>
      <c r="M226" s="2"/>
      <c r="O226" s="19"/>
      <c r="P226" s="19"/>
      <c r="Q226" s="19"/>
      <c r="R226" s="21"/>
      <c r="S226" s="46"/>
      <c r="T226" s="44"/>
      <c r="U226" s="77"/>
      <c r="V226" s="24"/>
      <c r="W226" s="24"/>
      <c r="X226" s="193"/>
      <c r="Y226" s="15"/>
    </row>
    <row r="227" spans="2:25" x14ac:dyDescent="0.25">
      <c r="B227" s="15">
        <v>225</v>
      </c>
      <c r="C227" s="8"/>
      <c r="E227" s="67"/>
      <c r="F227" s="16"/>
      <c r="G227" s="8"/>
      <c r="H227" s="8"/>
      <c r="I227" s="8"/>
      <c r="J227" s="9"/>
      <c r="K227" s="9">
        <f t="shared" si="37"/>
        <v>0</v>
      </c>
      <c r="L227" s="35">
        <f t="shared" si="38"/>
        <v>0</v>
      </c>
      <c r="M227" s="2"/>
      <c r="O227" s="19"/>
      <c r="P227" s="19"/>
      <c r="Q227" s="19"/>
      <c r="R227" s="21"/>
      <c r="S227" s="46"/>
      <c r="T227" s="44"/>
      <c r="U227" s="77"/>
      <c r="V227" s="24"/>
      <c r="W227" s="24"/>
      <c r="X227" s="193"/>
      <c r="Y227" s="15"/>
    </row>
    <row r="228" spans="2:25" x14ac:dyDescent="0.25">
      <c r="B228" s="15">
        <v>226</v>
      </c>
      <c r="C228" s="8"/>
      <c r="E228" s="67"/>
      <c r="F228" s="16"/>
      <c r="G228" s="8"/>
      <c r="H228" s="8"/>
      <c r="I228" s="8"/>
      <c r="J228" s="9"/>
      <c r="K228" s="9">
        <f t="shared" si="37"/>
        <v>0</v>
      </c>
      <c r="L228" s="35">
        <f t="shared" si="38"/>
        <v>0</v>
      </c>
      <c r="M228" s="2"/>
      <c r="O228" s="19"/>
      <c r="P228" s="19"/>
      <c r="Q228" s="19"/>
      <c r="R228" s="21"/>
      <c r="S228" s="46"/>
      <c r="T228" s="44"/>
      <c r="U228" s="77"/>
      <c r="V228" s="24"/>
      <c r="W228" s="24"/>
      <c r="X228" s="193"/>
      <c r="Y228" s="15"/>
    </row>
    <row r="229" spans="2:25" x14ac:dyDescent="0.25">
      <c r="B229" s="15">
        <v>227</v>
      </c>
      <c r="C229" s="8"/>
      <c r="E229" s="67"/>
      <c r="F229" s="16"/>
      <c r="G229" s="8"/>
      <c r="H229" s="8"/>
      <c r="I229" s="8"/>
      <c r="J229" s="9"/>
      <c r="K229" s="9">
        <f t="shared" si="37"/>
        <v>0</v>
      </c>
      <c r="L229" s="35">
        <f t="shared" si="38"/>
        <v>0</v>
      </c>
      <c r="M229" s="2"/>
      <c r="O229" s="19"/>
      <c r="P229" s="19"/>
      <c r="Q229" s="19"/>
      <c r="R229" s="21"/>
      <c r="S229" s="46"/>
      <c r="T229" s="44"/>
      <c r="U229" s="77"/>
      <c r="V229" s="24"/>
      <c r="W229" s="24"/>
      <c r="X229" s="193"/>
      <c r="Y229" s="15"/>
    </row>
    <row r="230" spans="2:25" x14ac:dyDescent="0.25">
      <c r="B230" s="15">
        <v>228</v>
      </c>
      <c r="C230" s="8"/>
      <c r="E230" s="67"/>
      <c r="F230" s="16"/>
      <c r="G230" s="8"/>
      <c r="H230" s="8"/>
      <c r="I230" s="8"/>
      <c r="J230" s="9"/>
      <c r="K230" s="9">
        <f t="shared" si="37"/>
        <v>0</v>
      </c>
      <c r="L230" s="35">
        <f t="shared" si="38"/>
        <v>0</v>
      </c>
      <c r="M230" s="2"/>
      <c r="O230" s="19"/>
      <c r="P230" s="19"/>
      <c r="Q230" s="19"/>
      <c r="R230" s="21"/>
      <c r="S230" s="46"/>
      <c r="T230" s="44"/>
      <c r="U230" s="77"/>
      <c r="V230" s="30"/>
      <c r="W230" s="24"/>
      <c r="X230" s="193"/>
      <c r="Y230" s="15"/>
    </row>
    <row r="231" spans="2:25" x14ac:dyDescent="0.25">
      <c r="B231" s="15">
        <v>229</v>
      </c>
      <c r="C231" s="8"/>
      <c r="E231" s="67"/>
      <c r="F231" s="16"/>
      <c r="G231" s="8"/>
      <c r="H231" s="8"/>
      <c r="I231" s="8"/>
      <c r="J231" s="9"/>
      <c r="K231" s="9">
        <f t="shared" si="37"/>
        <v>0</v>
      </c>
      <c r="L231" s="35">
        <f t="shared" si="38"/>
        <v>0</v>
      </c>
      <c r="M231" s="2"/>
      <c r="O231" s="19"/>
      <c r="P231" s="19"/>
      <c r="Q231" s="19"/>
      <c r="R231" s="21"/>
      <c r="S231" s="46"/>
      <c r="T231" s="44"/>
      <c r="U231" s="77"/>
      <c r="V231" s="30"/>
      <c r="W231" s="24"/>
      <c r="X231" s="193"/>
      <c r="Y231" s="15"/>
    </row>
    <row r="232" spans="2:25" x14ac:dyDescent="0.25">
      <c r="B232" s="15">
        <v>230</v>
      </c>
      <c r="C232" s="8"/>
      <c r="E232" s="67"/>
      <c r="F232" s="16"/>
      <c r="G232" s="8"/>
      <c r="H232" s="8"/>
      <c r="I232" s="8"/>
      <c r="J232" s="9"/>
      <c r="K232" s="9">
        <f t="shared" si="37"/>
        <v>0</v>
      </c>
      <c r="L232" s="35">
        <f t="shared" si="38"/>
        <v>0</v>
      </c>
      <c r="M232" s="2"/>
      <c r="O232" s="19"/>
      <c r="P232" s="19"/>
      <c r="Q232" s="19"/>
      <c r="R232" s="21"/>
      <c r="S232" s="46"/>
      <c r="T232" s="44"/>
      <c r="U232" s="77"/>
      <c r="V232" s="24"/>
      <c r="W232" s="24"/>
      <c r="X232" s="193"/>
      <c r="Y232" s="15"/>
    </row>
    <row r="233" spans="2:25" x14ac:dyDescent="0.25">
      <c r="B233" s="15">
        <v>231</v>
      </c>
      <c r="C233" s="8"/>
      <c r="E233" s="67"/>
      <c r="F233" s="16"/>
      <c r="G233" s="8"/>
      <c r="H233" s="8"/>
      <c r="I233" s="8"/>
      <c r="J233" s="9"/>
      <c r="K233" s="9">
        <f t="shared" si="37"/>
        <v>0</v>
      </c>
      <c r="L233" s="35">
        <f t="shared" si="38"/>
        <v>0</v>
      </c>
      <c r="M233" s="2"/>
      <c r="O233" s="19"/>
      <c r="P233" s="19"/>
      <c r="Q233" s="19"/>
      <c r="R233" s="21"/>
      <c r="S233" s="46"/>
      <c r="T233" s="44"/>
      <c r="U233" s="77"/>
      <c r="V233" s="24"/>
      <c r="W233" s="24"/>
      <c r="X233" s="193"/>
      <c r="Y233" s="15"/>
    </row>
    <row r="234" spans="2:25" x14ac:dyDescent="0.25">
      <c r="B234" s="15">
        <v>232</v>
      </c>
      <c r="C234" s="8"/>
      <c r="E234" s="67"/>
      <c r="F234" s="16"/>
      <c r="G234" s="8"/>
      <c r="H234" s="8"/>
      <c r="I234" s="8"/>
      <c r="J234" s="9"/>
      <c r="K234" s="9">
        <f t="shared" si="37"/>
        <v>0</v>
      </c>
      <c r="L234" s="35">
        <f t="shared" si="38"/>
        <v>0</v>
      </c>
      <c r="M234" s="2"/>
      <c r="O234" s="19"/>
      <c r="P234" s="19"/>
      <c r="Q234" s="19"/>
      <c r="R234" s="21"/>
      <c r="S234" s="46"/>
      <c r="T234" s="44"/>
      <c r="U234" s="77"/>
      <c r="V234" s="24"/>
      <c r="W234" s="24"/>
      <c r="X234" s="193"/>
      <c r="Y234" s="15"/>
    </row>
    <row r="235" spans="2:25" x14ac:dyDescent="0.25">
      <c r="B235" s="15">
        <v>233</v>
      </c>
      <c r="C235" s="8"/>
      <c r="E235" s="67"/>
      <c r="F235" s="16"/>
      <c r="G235" s="8"/>
      <c r="H235" s="8"/>
      <c r="I235" s="8"/>
      <c r="J235" s="9"/>
      <c r="K235" s="9">
        <f t="shared" si="37"/>
        <v>0</v>
      </c>
      <c r="L235" s="35">
        <f t="shared" si="38"/>
        <v>0</v>
      </c>
      <c r="M235" s="2"/>
      <c r="O235" s="19"/>
      <c r="P235" s="19"/>
      <c r="Q235" s="19"/>
      <c r="R235" s="21"/>
      <c r="S235" s="46"/>
      <c r="T235" s="44"/>
      <c r="U235" s="77"/>
      <c r="V235" s="24"/>
      <c r="W235" s="24"/>
      <c r="X235" s="193"/>
      <c r="Y235" s="15"/>
    </row>
    <row r="236" spans="2:25" x14ac:dyDescent="0.25">
      <c r="B236" s="15">
        <v>234</v>
      </c>
      <c r="C236" s="8"/>
      <c r="E236" s="67"/>
      <c r="F236" s="16"/>
      <c r="G236" s="8"/>
      <c r="H236" s="8"/>
      <c r="I236" s="8"/>
      <c r="J236" s="9"/>
      <c r="K236" s="9">
        <f t="shared" si="37"/>
        <v>0</v>
      </c>
      <c r="L236" s="35">
        <f t="shared" si="38"/>
        <v>0</v>
      </c>
      <c r="M236" s="2"/>
      <c r="O236" s="19"/>
      <c r="P236" s="19"/>
      <c r="Q236" s="19"/>
      <c r="R236" s="21"/>
      <c r="S236" s="46"/>
      <c r="T236" s="44"/>
      <c r="U236" s="77"/>
      <c r="V236" s="24"/>
      <c r="W236" s="24"/>
      <c r="X236" s="193"/>
      <c r="Y236" s="15"/>
    </row>
    <row r="237" spans="2:25" x14ac:dyDescent="0.25">
      <c r="B237" s="15">
        <v>235</v>
      </c>
      <c r="C237" s="8"/>
      <c r="E237" s="67"/>
      <c r="F237" s="16"/>
      <c r="G237" s="8"/>
      <c r="H237" s="8"/>
      <c r="I237" s="8"/>
      <c r="J237" s="9"/>
      <c r="K237" s="9">
        <f t="shared" si="37"/>
        <v>0</v>
      </c>
      <c r="L237" s="35">
        <f t="shared" si="38"/>
        <v>0</v>
      </c>
      <c r="M237" s="2"/>
      <c r="O237" s="19"/>
      <c r="P237" s="19"/>
      <c r="Q237" s="19"/>
      <c r="R237" s="21"/>
      <c r="S237" s="46"/>
      <c r="T237" s="44"/>
      <c r="U237" s="77"/>
      <c r="V237" s="24"/>
      <c r="W237" s="24"/>
      <c r="X237" s="193"/>
      <c r="Y237" s="15"/>
    </row>
    <row r="238" spans="2:25" x14ac:dyDescent="0.25">
      <c r="B238" s="15">
        <v>236</v>
      </c>
      <c r="C238" s="8"/>
      <c r="E238" s="67"/>
      <c r="F238" s="16"/>
      <c r="G238" s="8"/>
      <c r="H238" s="8"/>
      <c r="I238" s="8"/>
      <c r="J238" s="9"/>
      <c r="K238" s="9">
        <f t="shared" si="37"/>
        <v>0</v>
      </c>
      <c r="L238" s="35">
        <f t="shared" si="38"/>
        <v>0</v>
      </c>
      <c r="M238" s="2"/>
      <c r="O238" s="19"/>
      <c r="P238" s="19"/>
      <c r="Q238" s="19"/>
      <c r="R238" s="21"/>
      <c r="S238" s="46"/>
      <c r="T238" s="44"/>
      <c r="U238" s="77"/>
      <c r="V238" s="30"/>
      <c r="W238" s="24"/>
      <c r="X238" s="193"/>
      <c r="Y238" s="15"/>
    </row>
    <row r="239" spans="2:25" x14ac:dyDescent="0.25">
      <c r="B239" s="15">
        <v>235</v>
      </c>
      <c r="C239" s="8"/>
      <c r="E239" s="67"/>
      <c r="F239" s="16"/>
      <c r="G239" s="8"/>
      <c r="H239" s="8"/>
      <c r="I239" s="8"/>
      <c r="J239" s="9"/>
      <c r="K239" s="9">
        <f t="shared" si="37"/>
        <v>0</v>
      </c>
      <c r="L239" s="35">
        <f t="shared" si="38"/>
        <v>0</v>
      </c>
      <c r="M239" s="2"/>
      <c r="O239" s="19"/>
      <c r="P239" s="19"/>
      <c r="Q239" s="19"/>
      <c r="R239" s="21"/>
      <c r="S239" s="46"/>
      <c r="T239" s="44"/>
      <c r="U239" s="77"/>
      <c r="V239" s="24"/>
      <c r="W239" s="24"/>
      <c r="X239" s="193"/>
      <c r="Y239" s="15"/>
    </row>
    <row r="240" spans="2:25" x14ac:dyDescent="0.25">
      <c r="B240" s="15">
        <v>238</v>
      </c>
      <c r="C240" s="8"/>
      <c r="E240" s="67"/>
      <c r="F240" s="16"/>
      <c r="G240" s="8"/>
      <c r="H240" s="8"/>
      <c r="I240" s="8"/>
      <c r="J240" s="9"/>
      <c r="K240" s="9">
        <f t="shared" si="37"/>
        <v>0</v>
      </c>
      <c r="L240" s="35">
        <f t="shared" si="38"/>
        <v>0</v>
      </c>
      <c r="M240" s="2"/>
      <c r="O240" s="19"/>
      <c r="P240" s="19"/>
      <c r="Q240" s="19"/>
      <c r="R240" s="21"/>
      <c r="S240" s="46"/>
      <c r="T240" s="44"/>
      <c r="U240" s="77"/>
      <c r="V240" s="24"/>
      <c r="W240" s="24"/>
      <c r="X240" s="193"/>
      <c r="Y240" s="15"/>
    </row>
    <row r="241" spans="2:25" x14ac:dyDescent="0.25">
      <c r="B241" s="15">
        <v>239</v>
      </c>
      <c r="C241" s="8"/>
      <c r="E241" s="67"/>
      <c r="F241" s="16"/>
      <c r="G241" s="8"/>
      <c r="H241" s="8"/>
      <c r="I241" s="8"/>
      <c r="J241" s="9"/>
      <c r="K241" s="9">
        <f t="shared" si="37"/>
        <v>0</v>
      </c>
      <c r="L241" s="35">
        <f t="shared" si="38"/>
        <v>0</v>
      </c>
      <c r="M241" s="2"/>
      <c r="O241" s="19"/>
      <c r="P241" s="19"/>
      <c r="Q241" s="19"/>
      <c r="R241" s="21"/>
      <c r="S241" s="46"/>
      <c r="T241" s="44"/>
      <c r="U241" s="77"/>
      <c r="V241" s="24"/>
      <c r="W241" s="24"/>
      <c r="X241" s="193"/>
      <c r="Y241" s="15"/>
    </row>
    <row r="242" spans="2:25" x14ac:dyDescent="0.25">
      <c r="B242" s="15">
        <v>240</v>
      </c>
      <c r="C242" s="8"/>
      <c r="E242" s="67"/>
      <c r="F242" s="16"/>
      <c r="G242" s="8"/>
      <c r="H242" s="8"/>
      <c r="I242" s="8"/>
      <c r="J242" s="9"/>
      <c r="K242" s="9">
        <f t="shared" si="37"/>
        <v>0</v>
      </c>
      <c r="L242" s="35">
        <f t="shared" si="38"/>
        <v>0</v>
      </c>
      <c r="M242" s="2"/>
      <c r="O242" s="19"/>
      <c r="P242" s="19"/>
      <c r="Q242" s="19"/>
      <c r="R242" s="21"/>
      <c r="S242" s="46"/>
      <c r="T242" s="44"/>
      <c r="U242" s="77"/>
      <c r="V242" s="24"/>
      <c r="W242" s="24"/>
      <c r="X242" s="193"/>
      <c r="Y242" s="15"/>
    </row>
    <row r="243" spans="2:25" x14ac:dyDescent="0.25">
      <c r="B243" s="15">
        <v>241</v>
      </c>
      <c r="C243" s="8"/>
      <c r="E243" s="67"/>
      <c r="F243" s="16"/>
      <c r="G243" s="8"/>
      <c r="H243" s="8"/>
      <c r="I243" s="8"/>
      <c r="J243" s="9"/>
      <c r="K243" s="9">
        <f t="shared" si="37"/>
        <v>0</v>
      </c>
      <c r="L243" s="35">
        <f t="shared" si="38"/>
        <v>0</v>
      </c>
      <c r="M243" s="2"/>
      <c r="O243" s="19"/>
      <c r="P243" s="19"/>
      <c r="Q243" s="19"/>
      <c r="R243" s="21"/>
      <c r="S243" s="46"/>
      <c r="T243" s="44"/>
      <c r="U243" s="77"/>
      <c r="V243" s="24"/>
      <c r="W243" s="24"/>
      <c r="X243" s="193"/>
      <c r="Y243" s="15"/>
    </row>
    <row r="244" spans="2:25" x14ac:dyDescent="0.25">
      <c r="B244" s="15">
        <v>242</v>
      </c>
      <c r="C244" s="8"/>
      <c r="E244" s="67"/>
      <c r="F244" s="16"/>
      <c r="G244" s="8"/>
      <c r="H244" s="8"/>
      <c r="I244" s="8"/>
      <c r="J244" s="9"/>
      <c r="K244" s="9">
        <f t="shared" si="37"/>
        <v>0</v>
      </c>
      <c r="L244" s="35">
        <f t="shared" si="38"/>
        <v>0</v>
      </c>
      <c r="M244" s="2"/>
      <c r="O244" s="19"/>
      <c r="P244" s="19"/>
      <c r="Q244" s="19"/>
      <c r="R244" s="21"/>
      <c r="S244" s="46"/>
      <c r="T244" s="44"/>
      <c r="U244" s="77"/>
      <c r="V244" s="30"/>
      <c r="W244" s="24"/>
      <c r="X244" s="193"/>
      <c r="Y244" s="15"/>
    </row>
    <row r="245" spans="2:25" x14ac:dyDescent="0.25">
      <c r="B245" s="15">
        <v>243</v>
      </c>
      <c r="C245" s="8"/>
      <c r="E245" s="67"/>
      <c r="F245" s="16"/>
      <c r="G245" s="8"/>
      <c r="H245" s="8"/>
      <c r="I245" s="8"/>
      <c r="J245" s="9"/>
      <c r="K245" s="9">
        <f t="shared" si="37"/>
        <v>0</v>
      </c>
      <c r="L245" s="35">
        <f t="shared" si="38"/>
        <v>0</v>
      </c>
      <c r="M245" s="2"/>
      <c r="O245" s="19"/>
      <c r="P245" s="19"/>
      <c r="Q245" s="19"/>
      <c r="R245" s="21"/>
      <c r="S245" s="46"/>
      <c r="T245" s="44"/>
      <c r="U245" s="77"/>
      <c r="V245" s="30"/>
      <c r="W245" s="24"/>
      <c r="X245" s="193"/>
      <c r="Y245" s="15"/>
    </row>
    <row r="246" spans="2:25" x14ac:dyDescent="0.25">
      <c r="B246" s="15">
        <v>244</v>
      </c>
      <c r="C246" s="8"/>
      <c r="E246" s="67"/>
      <c r="F246" s="16"/>
      <c r="G246" s="8"/>
      <c r="H246" s="8"/>
      <c r="I246" s="8"/>
      <c r="J246" s="9"/>
      <c r="K246" s="9">
        <f t="shared" si="37"/>
        <v>0</v>
      </c>
      <c r="L246" s="35">
        <f t="shared" si="38"/>
        <v>0</v>
      </c>
      <c r="M246" s="2"/>
      <c r="O246" s="19"/>
      <c r="P246" s="19"/>
      <c r="Q246" s="19"/>
      <c r="R246" s="21"/>
      <c r="S246" s="46"/>
      <c r="T246" s="44"/>
      <c r="U246" s="77"/>
      <c r="V246" s="30"/>
      <c r="W246" s="24"/>
      <c r="X246" s="193"/>
      <c r="Y246" s="15"/>
    </row>
    <row r="247" spans="2:25" x14ac:dyDescent="0.25">
      <c r="B247" s="15">
        <v>245</v>
      </c>
      <c r="C247" s="8"/>
      <c r="E247" s="67"/>
      <c r="F247" s="16"/>
      <c r="G247" s="8"/>
      <c r="H247" s="8"/>
      <c r="I247" s="8"/>
      <c r="J247" s="9"/>
      <c r="K247" s="9">
        <f t="shared" si="37"/>
        <v>0</v>
      </c>
      <c r="L247" s="35">
        <f t="shared" si="38"/>
        <v>0</v>
      </c>
      <c r="M247" s="2"/>
      <c r="O247" s="19"/>
      <c r="P247" s="19"/>
      <c r="Q247" s="19"/>
      <c r="R247" s="21"/>
      <c r="S247" s="46"/>
      <c r="T247" s="44"/>
      <c r="U247" s="77"/>
      <c r="V247" s="30"/>
      <c r="W247" s="24"/>
      <c r="X247" s="193"/>
      <c r="Y247" s="15"/>
    </row>
    <row r="248" spans="2:25" x14ac:dyDescent="0.25">
      <c r="B248" s="15">
        <v>246</v>
      </c>
      <c r="C248" s="8"/>
      <c r="E248" s="67"/>
      <c r="F248" s="16"/>
      <c r="G248" s="8"/>
      <c r="H248" s="8"/>
      <c r="I248" s="8"/>
      <c r="J248" s="9"/>
      <c r="K248" s="9">
        <f t="shared" si="37"/>
        <v>0</v>
      </c>
      <c r="L248" s="35">
        <f t="shared" si="38"/>
        <v>0</v>
      </c>
      <c r="M248" s="2"/>
      <c r="O248" s="19"/>
      <c r="P248" s="19"/>
      <c r="Q248" s="19"/>
      <c r="R248" s="21"/>
      <c r="S248" s="46"/>
      <c r="T248" s="44"/>
      <c r="U248" s="77"/>
      <c r="V248" s="24"/>
      <c r="W248" s="24"/>
      <c r="X248" s="193"/>
      <c r="Y248" s="15"/>
    </row>
    <row r="249" spans="2:25" x14ac:dyDescent="0.25">
      <c r="B249" s="15">
        <v>247</v>
      </c>
      <c r="C249" s="8"/>
      <c r="E249" s="67"/>
      <c r="F249" s="16"/>
      <c r="G249" s="8"/>
      <c r="H249" s="8"/>
      <c r="I249" s="8"/>
      <c r="J249" s="9"/>
      <c r="K249" s="9">
        <f t="shared" si="37"/>
        <v>0</v>
      </c>
      <c r="L249" s="35">
        <f t="shared" si="38"/>
        <v>0</v>
      </c>
      <c r="M249" s="2"/>
      <c r="O249" s="19"/>
      <c r="P249" s="19"/>
      <c r="Q249" s="19"/>
      <c r="R249" s="21"/>
      <c r="S249" s="46"/>
      <c r="T249" s="44"/>
      <c r="U249" s="77"/>
      <c r="V249" s="24"/>
      <c r="W249" s="24"/>
      <c r="X249" s="193"/>
      <c r="Y249" s="15"/>
    </row>
    <row r="250" spans="2:25" x14ac:dyDescent="0.25">
      <c r="B250" s="15">
        <v>246</v>
      </c>
      <c r="C250" s="8"/>
      <c r="E250" s="67"/>
      <c r="F250" s="16"/>
      <c r="G250" s="8"/>
      <c r="H250" s="8"/>
      <c r="I250" s="8"/>
      <c r="J250" s="9"/>
      <c r="K250" s="9">
        <f t="shared" si="37"/>
        <v>0</v>
      </c>
      <c r="L250" s="35">
        <f t="shared" si="38"/>
        <v>0</v>
      </c>
      <c r="M250" s="2"/>
      <c r="O250" s="19"/>
      <c r="P250" s="19"/>
      <c r="Q250" s="19"/>
      <c r="R250" s="21"/>
      <c r="S250" s="46"/>
      <c r="T250" s="44"/>
      <c r="U250" s="77"/>
      <c r="V250" s="24"/>
      <c r="W250" s="24"/>
      <c r="X250" s="193"/>
      <c r="Y250" s="15"/>
    </row>
    <row r="251" spans="2:25" x14ac:dyDescent="0.25">
      <c r="B251" s="15">
        <v>249</v>
      </c>
      <c r="C251" s="8"/>
      <c r="E251" s="67"/>
      <c r="F251" s="16"/>
      <c r="G251" s="8"/>
      <c r="H251" s="8"/>
      <c r="I251" s="8"/>
      <c r="J251" s="9"/>
      <c r="K251" s="9">
        <f t="shared" si="37"/>
        <v>0</v>
      </c>
      <c r="L251" s="35">
        <f t="shared" si="38"/>
        <v>0</v>
      </c>
      <c r="M251" s="2"/>
      <c r="O251" s="19"/>
      <c r="P251" s="19"/>
      <c r="Q251" s="19"/>
      <c r="R251" s="21"/>
      <c r="S251" s="46"/>
      <c r="T251" s="44"/>
      <c r="U251" s="77"/>
      <c r="V251" s="24"/>
      <c r="W251" s="24"/>
      <c r="X251" s="193"/>
      <c r="Y251" s="15"/>
    </row>
    <row r="252" spans="2:25" x14ac:dyDescent="0.25">
      <c r="B252" s="15">
        <v>250</v>
      </c>
      <c r="C252" s="8"/>
      <c r="E252" s="67"/>
      <c r="F252" s="16"/>
      <c r="G252" s="8"/>
      <c r="H252" s="8"/>
      <c r="I252" s="8"/>
      <c r="J252" s="9"/>
      <c r="K252" s="9">
        <f t="shared" si="37"/>
        <v>0</v>
      </c>
      <c r="L252" s="35">
        <f t="shared" si="38"/>
        <v>0</v>
      </c>
      <c r="M252" s="2"/>
      <c r="O252" s="19"/>
      <c r="P252" s="19"/>
      <c r="Q252" s="19"/>
      <c r="R252" s="21"/>
      <c r="S252" s="46"/>
      <c r="T252" s="44"/>
      <c r="U252" s="77"/>
      <c r="V252" s="30"/>
      <c r="W252" s="24"/>
      <c r="X252" s="193"/>
      <c r="Y252" s="15"/>
    </row>
    <row r="253" spans="2:25" x14ac:dyDescent="0.25">
      <c r="B253" s="15">
        <v>251</v>
      </c>
      <c r="C253" s="8"/>
      <c r="E253" s="67"/>
      <c r="F253" s="16"/>
      <c r="G253" s="8"/>
      <c r="H253" s="8"/>
      <c r="I253" s="8"/>
      <c r="J253" s="9"/>
      <c r="K253" s="9">
        <f t="shared" si="37"/>
        <v>0</v>
      </c>
      <c r="L253" s="35">
        <f t="shared" si="38"/>
        <v>0</v>
      </c>
      <c r="M253" s="2"/>
      <c r="O253" s="19"/>
      <c r="P253" s="19"/>
      <c r="Q253" s="19"/>
      <c r="R253" s="21"/>
      <c r="S253" s="46"/>
      <c r="T253" s="44"/>
      <c r="U253" s="77"/>
      <c r="V253" s="30"/>
      <c r="W253" s="24"/>
      <c r="X253" s="193"/>
      <c r="Y253" s="15"/>
    </row>
    <row r="254" spans="2:25" x14ac:dyDescent="0.25">
      <c r="B254" s="15">
        <v>252</v>
      </c>
      <c r="C254" s="8"/>
      <c r="E254" s="67"/>
      <c r="F254" s="16"/>
      <c r="G254" s="8"/>
      <c r="H254" s="8"/>
      <c r="I254" s="8"/>
      <c r="J254" s="9"/>
      <c r="K254" s="9">
        <f t="shared" si="37"/>
        <v>0</v>
      </c>
      <c r="L254" s="35">
        <f t="shared" si="38"/>
        <v>0</v>
      </c>
      <c r="M254" s="2"/>
      <c r="O254" s="19"/>
      <c r="P254" s="19"/>
      <c r="Q254" s="19"/>
      <c r="R254" s="21"/>
      <c r="S254" s="46"/>
      <c r="T254" s="44"/>
      <c r="U254" s="77"/>
      <c r="V254" s="24"/>
      <c r="W254" s="24"/>
      <c r="X254" s="193"/>
      <c r="Y254" s="15"/>
    </row>
    <row r="255" spans="2:25" x14ac:dyDescent="0.25">
      <c r="B255" s="15">
        <v>253</v>
      </c>
      <c r="C255" s="8"/>
      <c r="E255" s="67"/>
      <c r="F255" s="16"/>
      <c r="G255" s="8"/>
      <c r="H255" s="8"/>
      <c r="I255" s="8"/>
      <c r="J255" s="9"/>
      <c r="K255" s="9">
        <f t="shared" si="37"/>
        <v>0</v>
      </c>
      <c r="L255" s="35">
        <f t="shared" si="38"/>
        <v>0</v>
      </c>
      <c r="M255" s="2"/>
      <c r="O255" s="19"/>
      <c r="P255" s="19"/>
      <c r="Q255" s="19"/>
      <c r="R255" s="21"/>
      <c r="S255" s="46"/>
      <c r="T255" s="44"/>
      <c r="U255" s="77"/>
      <c r="V255" s="30"/>
      <c r="W255" s="24"/>
      <c r="X255" s="193"/>
      <c r="Y255" s="15"/>
    </row>
    <row r="256" spans="2:25" x14ac:dyDescent="0.25">
      <c r="B256" s="15">
        <v>254</v>
      </c>
      <c r="C256" s="8"/>
      <c r="E256" s="67"/>
      <c r="F256" s="16"/>
      <c r="G256" s="8"/>
      <c r="H256" s="8"/>
      <c r="I256" s="8"/>
      <c r="J256" s="9"/>
      <c r="K256" s="9">
        <f t="shared" si="37"/>
        <v>0</v>
      </c>
      <c r="L256" s="35">
        <f t="shared" si="38"/>
        <v>0</v>
      </c>
      <c r="M256" s="2"/>
      <c r="O256" s="19"/>
      <c r="P256" s="19"/>
      <c r="Q256" s="19"/>
      <c r="R256" s="21"/>
      <c r="S256" s="46"/>
      <c r="T256" s="44"/>
      <c r="U256" s="77"/>
      <c r="V256" s="24"/>
      <c r="W256" s="24"/>
      <c r="X256" s="193"/>
      <c r="Y256" s="15"/>
    </row>
    <row r="257" spans="2:25" x14ac:dyDescent="0.25">
      <c r="B257" s="15">
        <v>255</v>
      </c>
      <c r="C257" s="8"/>
      <c r="E257" s="67"/>
      <c r="F257" s="16"/>
      <c r="G257" s="8"/>
      <c r="H257" s="8"/>
      <c r="I257" s="8"/>
      <c r="J257" s="9"/>
      <c r="K257" s="9">
        <f t="shared" si="37"/>
        <v>0</v>
      </c>
      <c r="L257" s="35">
        <f t="shared" si="38"/>
        <v>0</v>
      </c>
      <c r="M257" s="2"/>
      <c r="O257" s="19"/>
      <c r="P257" s="19"/>
      <c r="Q257" s="19"/>
      <c r="R257" s="21"/>
      <c r="S257" s="46"/>
      <c r="T257" s="44"/>
      <c r="U257" s="77"/>
      <c r="V257" s="24"/>
      <c r="W257" s="24"/>
      <c r="X257" s="193"/>
      <c r="Y257" s="15"/>
    </row>
    <row r="258" spans="2:25" x14ac:dyDescent="0.25">
      <c r="B258" s="15">
        <v>256</v>
      </c>
      <c r="C258" s="8"/>
      <c r="E258" s="67"/>
      <c r="F258" s="16"/>
      <c r="G258" s="8"/>
      <c r="H258" s="8"/>
      <c r="I258" s="8"/>
      <c r="J258" s="9"/>
      <c r="K258" s="9">
        <f t="shared" si="37"/>
        <v>0</v>
      </c>
      <c r="L258" s="35">
        <f t="shared" si="38"/>
        <v>0</v>
      </c>
      <c r="M258" s="2"/>
      <c r="O258" s="19"/>
      <c r="P258" s="19"/>
      <c r="Q258" s="19"/>
      <c r="R258" s="21"/>
      <c r="S258" s="46"/>
      <c r="T258" s="44"/>
      <c r="U258" s="77"/>
      <c r="V258" s="24"/>
      <c r="W258" s="24"/>
      <c r="X258" s="193"/>
      <c r="Y258" s="15"/>
    </row>
    <row r="259" spans="2:25" x14ac:dyDescent="0.25">
      <c r="B259" s="15">
        <v>257</v>
      </c>
      <c r="C259" s="8"/>
      <c r="E259" s="67"/>
      <c r="F259" s="16"/>
      <c r="G259" s="8"/>
      <c r="H259" s="8"/>
      <c r="I259" s="8"/>
      <c r="J259" s="9"/>
      <c r="K259" s="9">
        <f t="shared" ref="K259:K322" si="39">J259*1.1</f>
        <v>0</v>
      </c>
      <c r="L259" s="35">
        <f t="shared" ref="L259:L322" si="40">J259*0.00000001</f>
        <v>0</v>
      </c>
      <c r="M259" s="2"/>
      <c r="O259" s="19"/>
      <c r="P259" s="19"/>
      <c r="Q259" s="19"/>
      <c r="R259" s="21"/>
      <c r="S259" s="46"/>
      <c r="T259" s="44"/>
      <c r="U259" s="77"/>
      <c r="V259" s="30"/>
      <c r="W259" s="24"/>
      <c r="X259" s="193"/>
      <c r="Y259" s="15"/>
    </row>
    <row r="260" spans="2:25" x14ac:dyDescent="0.25">
      <c r="B260" s="15">
        <v>258</v>
      </c>
      <c r="C260" s="8"/>
      <c r="E260" s="67"/>
      <c r="F260" s="16"/>
      <c r="G260" s="8"/>
      <c r="H260" s="8"/>
      <c r="I260" s="8"/>
      <c r="J260" s="9"/>
      <c r="K260" s="9">
        <f t="shared" si="39"/>
        <v>0</v>
      </c>
      <c r="L260" s="35">
        <f t="shared" si="40"/>
        <v>0</v>
      </c>
      <c r="M260" s="2"/>
      <c r="O260" s="19"/>
      <c r="P260" s="19"/>
      <c r="Q260" s="19"/>
      <c r="R260" s="21"/>
      <c r="S260" s="46"/>
      <c r="T260" s="44"/>
      <c r="U260" s="77"/>
      <c r="V260" s="30"/>
      <c r="W260" s="24"/>
      <c r="X260" s="193"/>
      <c r="Y260" s="15"/>
    </row>
    <row r="261" spans="2:25" x14ac:dyDescent="0.25">
      <c r="B261" s="15">
        <v>259</v>
      </c>
      <c r="C261" s="8"/>
      <c r="E261" s="67"/>
      <c r="F261" s="16"/>
      <c r="G261" s="8"/>
      <c r="H261" s="8"/>
      <c r="I261" s="8"/>
      <c r="J261" s="9"/>
      <c r="K261" s="9">
        <f t="shared" si="39"/>
        <v>0</v>
      </c>
      <c r="L261" s="35">
        <f t="shared" si="40"/>
        <v>0</v>
      </c>
      <c r="M261" s="2"/>
      <c r="O261" s="19"/>
      <c r="P261" s="19"/>
      <c r="Q261" s="19"/>
      <c r="R261" s="21"/>
      <c r="S261" s="46"/>
      <c r="T261" s="44"/>
      <c r="U261" s="77"/>
      <c r="V261" s="24"/>
      <c r="W261" s="24"/>
      <c r="X261" s="193"/>
      <c r="Y261" s="15"/>
    </row>
    <row r="262" spans="2:25" x14ac:dyDescent="0.25">
      <c r="B262" s="15">
        <v>260</v>
      </c>
      <c r="C262" s="8"/>
      <c r="E262" s="67"/>
      <c r="F262" s="16"/>
      <c r="G262" s="8"/>
      <c r="H262" s="8"/>
      <c r="I262" s="8"/>
      <c r="J262" s="9"/>
      <c r="K262" s="9">
        <f t="shared" si="39"/>
        <v>0</v>
      </c>
      <c r="L262" s="35">
        <f t="shared" si="40"/>
        <v>0</v>
      </c>
      <c r="M262" s="2"/>
      <c r="O262" s="19"/>
      <c r="P262" s="19"/>
      <c r="Q262" s="19"/>
      <c r="R262" s="21"/>
      <c r="S262" s="46"/>
      <c r="T262" s="44"/>
      <c r="U262" s="77"/>
      <c r="V262" s="24"/>
      <c r="W262" s="24"/>
      <c r="X262" s="193"/>
      <c r="Y262" s="15"/>
    </row>
    <row r="263" spans="2:25" x14ac:dyDescent="0.25">
      <c r="B263" s="15">
        <v>261</v>
      </c>
      <c r="C263" s="8"/>
      <c r="E263" s="67"/>
      <c r="F263" s="16"/>
      <c r="G263" s="8"/>
      <c r="H263" s="8"/>
      <c r="I263" s="8"/>
      <c r="J263" s="9"/>
      <c r="K263" s="9">
        <f t="shared" si="39"/>
        <v>0</v>
      </c>
      <c r="L263" s="35">
        <f t="shared" si="40"/>
        <v>0</v>
      </c>
      <c r="M263" s="2"/>
      <c r="O263" s="19"/>
      <c r="P263" s="19"/>
      <c r="Q263" s="19"/>
      <c r="R263" s="21"/>
      <c r="S263" s="46"/>
      <c r="T263" s="44"/>
      <c r="U263" s="77"/>
      <c r="V263" s="24"/>
      <c r="W263" s="24"/>
      <c r="X263" s="193"/>
      <c r="Y263" s="15"/>
    </row>
    <row r="264" spans="2:25" x14ac:dyDescent="0.25">
      <c r="B264" s="15">
        <v>262</v>
      </c>
      <c r="C264" s="8"/>
      <c r="E264" s="67"/>
      <c r="F264" s="16"/>
      <c r="G264" s="8"/>
      <c r="H264" s="8"/>
      <c r="I264" s="8"/>
      <c r="J264" s="9"/>
      <c r="K264" s="9">
        <f t="shared" si="39"/>
        <v>0</v>
      </c>
      <c r="L264" s="35">
        <f t="shared" si="40"/>
        <v>0</v>
      </c>
      <c r="M264" s="2"/>
      <c r="O264" s="19"/>
      <c r="P264" s="19"/>
      <c r="Q264" s="19"/>
      <c r="R264" s="21"/>
      <c r="S264" s="46"/>
      <c r="T264" s="44"/>
      <c r="U264" s="77"/>
      <c r="V264" s="24"/>
      <c r="W264" s="24"/>
      <c r="X264" s="193"/>
      <c r="Y264" s="15"/>
    </row>
    <row r="265" spans="2:25" x14ac:dyDescent="0.25">
      <c r="B265" s="15">
        <v>263</v>
      </c>
      <c r="C265" s="8"/>
      <c r="E265" s="67"/>
      <c r="F265" s="16"/>
      <c r="G265" s="8"/>
      <c r="H265" s="8"/>
      <c r="I265" s="8"/>
      <c r="J265" s="9"/>
      <c r="K265" s="9">
        <f t="shared" si="39"/>
        <v>0</v>
      </c>
      <c r="L265" s="35">
        <f t="shared" si="40"/>
        <v>0</v>
      </c>
      <c r="M265" s="2"/>
      <c r="O265" s="19"/>
      <c r="P265" s="19"/>
      <c r="Q265" s="19"/>
      <c r="R265" s="21"/>
      <c r="S265" s="46"/>
      <c r="T265" s="44"/>
      <c r="U265" s="77"/>
      <c r="V265" s="24"/>
      <c r="W265" s="24"/>
      <c r="X265" s="193"/>
      <c r="Y265" s="15"/>
    </row>
    <row r="266" spans="2:25" x14ac:dyDescent="0.25">
      <c r="B266" s="15">
        <v>264</v>
      </c>
      <c r="C266" s="8"/>
      <c r="E266" s="67"/>
      <c r="F266" s="16"/>
      <c r="G266" s="8"/>
      <c r="H266" s="8"/>
      <c r="I266" s="8"/>
      <c r="J266" s="9"/>
      <c r="K266" s="9">
        <f t="shared" si="39"/>
        <v>0</v>
      </c>
      <c r="L266" s="35">
        <f t="shared" si="40"/>
        <v>0</v>
      </c>
      <c r="M266" s="2"/>
      <c r="O266" s="19"/>
      <c r="P266" s="19"/>
      <c r="Q266" s="19"/>
      <c r="R266" s="21"/>
      <c r="S266" s="46"/>
      <c r="T266" s="44"/>
      <c r="U266" s="77"/>
      <c r="V266" s="30"/>
      <c r="W266" s="24"/>
      <c r="X266" s="193"/>
      <c r="Y266" s="15"/>
    </row>
    <row r="267" spans="2:25" x14ac:dyDescent="0.25">
      <c r="B267" s="15">
        <v>265</v>
      </c>
      <c r="C267" s="8"/>
      <c r="E267" s="67"/>
      <c r="F267" s="16"/>
      <c r="G267" s="8"/>
      <c r="H267" s="8"/>
      <c r="I267" s="8"/>
      <c r="J267" s="9"/>
      <c r="K267" s="9">
        <f t="shared" si="39"/>
        <v>0</v>
      </c>
      <c r="L267" s="35">
        <f t="shared" si="40"/>
        <v>0</v>
      </c>
      <c r="M267" s="2"/>
      <c r="O267" s="19"/>
      <c r="P267" s="19"/>
      <c r="Q267" s="19"/>
      <c r="R267" s="21"/>
      <c r="S267" s="46"/>
      <c r="T267" s="44"/>
      <c r="U267" s="77"/>
      <c r="V267" s="30"/>
      <c r="W267" s="24"/>
      <c r="X267" s="193"/>
      <c r="Y267" s="15"/>
    </row>
    <row r="268" spans="2:25" x14ac:dyDescent="0.25">
      <c r="B268" s="15">
        <v>266</v>
      </c>
      <c r="C268" s="8"/>
      <c r="E268" s="67"/>
      <c r="F268" s="16"/>
      <c r="G268" s="8"/>
      <c r="H268" s="8"/>
      <c r="I268" s="8"/>
      <c r="J268" s="9"/>
      <c r="K268" s="9">
        <f t="shared" si="39"/>
        <v>0</v>
      </c>
      <c r="L268" s="35">
        <f t="shared" si="40"/>
        <v>0</v>
      </c>
      <c r="M268" s="2"/>
      <c r="O268" s="19"/>
      <c r="P268" s="19"/>
      <c r="Q268" s="19"/>
      <c r="R268" s="21"/>
      <c r="S268" s="46"/>
      <c r="T268" s="44"/>
      <c r="U268" s="77"/>
      <c r="V268" s="30"/>
      <c r="W268" s="24"/>
      <c r="X268" s="193"/>
      <c r="Y268" s="15"/>
    </row>
    <row r="269" spans="2:25" x14ac:dyDescent="0.25">
      <c r="B269" s="15">
        <v>267</v>
      </c>
      <c r="C269" s="8"/>
      <c r="E269" s="67"/>
      <c r="F269" s="16"/>
      <c r="G269" s="8"/>
      <c r="H269" s="8"/>
      <c r="I269" s="8"/>
      <c r="J269" s="9"/>
      <c r="K269" s="9">
        <f t="shared" si="39"/>
        <v>0</v>
      </c>
      <c r="L269" s="35">
        <f t="shared" si="40"/>
        <v>0</v>
      </c>
      <c r="M269" s="2"/>
      <c r="O269" s="19"/>
      <c r="P269" s="19"/>
      <c r="Q269" s="19"/>
      <c r="R269" s="21"/>
      <c r="S269" s="46"/>
      <c r="T269" s="44"/>
      <c r="U269" s="77"/>
      <c r="V269" s="30"/>
      <c r="W269" s="24"/>
      <c r="X269" s="193"/>
      <c r="Y269" s="15"/>
    </row>
    <row r="270" spans="2:25" x14ac:dyDescent="0.25">
      <c r="B270" s="15">
        <v>268</v>
      </c>
      <c r="C270" s="8"/>
      <c r="E270" s="67"/>
      <c r="F270" s="16"/>
      <c r="G270" s="8"/>
      <c r="H270" s="8"/>
      <c r="I270" s="8"/>
      <c r="J270" s="9"/>
      <c r="K270" s="9">
        <f t="shared" si="39"/>
        <v>0</v>
      </c>
      <c r="L270" s="35">
        <f t="shared" si="40"/>
        <v>0</v>
      </c>
      <c r="M270" s="2"/>
      <c r="O270" s="19"/>
      <c r="P270" s="19"/>
      <c r="Q270" s="19"/>
      <c r="R270" s="21"/>
      <c r="S270" s="46"/>
      <c r="T270" s="44"/>
      <c r="U270" s="77"/>
      <c r="V270" s="24"/>
      <c r="W270" s="24"/>
      <c r="X270" s="193"/>
      <c r="Y270" s="15"/>
    </row>
    <row r="271" spans="2:25" x14ac:dyDescent="0.25">
      <c r="B271" s="15">
        <v>269</v>
      </c>
      <c r="C271" s="8"/>
      <c r="E271" s="67"/>
      <c r="F271" s="16"/>
      <c r="G271" s="8"/>
      <c r="H271" s="8"/>
      <c r="I271" s="8"/>
      <c r="J271" s="9"/>
      <c r="K271" s="9">
        <f t="shared" si="39"/>
        <v>0</v>
      </c>
      <c r="L271" s="35">
        <f t="shared" si="40"/>
        <v>0</v>
      </c>
      <c r="M271" s="2"/>
      <c r="O271" s="19"/>
      <c r="P271" s="19"/>
      <c r="Q271" s="19"/>
      <c r="R271" s="21"/>
      <c r="S271" s="46"/>
      <c r="T271" s="44"/>
      <c r="U271" s="77"/>
      <c r="V271" s="24"/>
      <c r="W271" s="24"/>
      <c r="X271" s="193"/>
      <c r="Y271" s="15"/>
    </row>
    <row r="272" spans="2:25" x14ac:dyDescent="0.25">
      <c r="B272" s="15">
        <v>270</v>
      </c>
      <c r="C272" s="8"/>
      <c r="E272" s="67"/>
      <c r="F272" s="16"/>
      <c r="G272" s="8"/>
      <c r="H272" s="8"/>
      <c r="I272" s="8"/>
      <c r="J272" s="9"/>
      <c r="K272" s="9">
        <f t="shared" si="39"/>
        <v>0</v>
      </c>
      <c r="L272" s="35">
        <f t="shared" si="40"/>
        <v>0</v>
      </c>
      <c r="M272" s="2"/>
      <c r="O272" s="19"/>
      <c r="P272" s="19"/>
      <c r="Q272" s="19"/>
      <c r="R272" s="21"/>
      <c r="S272" s="46"/>
      <c r="T272" s="44"/>
      <c r="U272" s="77"/>
      <c r="V272" s="24"/>
      <c r="W272" s="24"/>
      <c r="X272" s="193"/>
      <c r="Y272" s="15"/>
    </row>
    <row r="273" spans="2:25" x14ac:dyDescent="0.25">
      <c r="B273" s="15">
        <v>271</v>
      </c>
      <c r="C273" s="8"/>
      <c r="E273" s="67"/>
      <c r="F273" s="16"/>
      <c r="G273" s="8"/>
      <c r="H273" s="8"/>
      <c r="I273" s="8"/>
      <c r="J273" s="9"/>
      <c r="K273" s="9">
        <f t="shared" si="39"/>
        <v>0</v>
      </c>
      <c r="L273" s="35">
        <f t="shared" si="40"/>
        <v>0</v>
      </c>
      <c r="M273" s="2"/>
      <c r="O273" s="19"/>
      <c r="P273" s="19"/>
      <c r="Q273" s="19"/>
      <c r="R273" s="21"/>
      <c r="S273" s="46"/>
      <c r="T273" s="44"/>
      <c r="U273" s="77"/>
      <c r="V273" s="24"/>
      <c r="W273" s="24"/>
      <c r="X273" s="193"/>
      <c r="Y273" s="15"/>
    </row>
    <row r="274" spans="2:25" x14ac:dyDescent="0.25">
      <c r="B274" s="15">
        <v>272</v>
      </c>
      <c r="C274" s="8"/>
      <c r="E274" s="67"/>
      <c r="F274" s="16"/>
      <c r="G274" s="8"/>
      <c r="H274" s="8"/>
      <c r="I274" s="8"/>
      <c r="J274" s="9"/>
      <c r="K274" s="9">
        <f t="shared" si="39"/>
        <v>0</v>
      </c>
      <c r="L274" s="35">
        <f t="shared" si="40"/>
        <v>0</v>
      </c>
      <c r="M274" s="2"/>
      <c r="O274" s="19"/>
      <c r="P274" s="19"/>
      <c r="Q274" s="19"/>
      <c r="R274" s="21"/>
      <c r="S274" s="46"/>
      <c r="T274" s="44"/>
      <c r="U274" s="77"/>
      <c r="V274" s="24"/>
      <c r="W274" s="24"/>
      <c r="X274" s="193"/>
      <c r="Y274" s="15"/>
    </row>
    <row r="275" spans="2:25" x14ac:dyDescent="0.25">
      <c r="B275" s="15">
        <v>273</v>
      </c>
      <c r="C275" s="8"/>
      <c r="E275" s="67"/>
      <c r="F275" s="16"/>
      <c r="G275" s="8"/>
      <c r="H275" s="8"/>
      <c r="I275" s="8"/>
      <c r="J275" s="9"/>
      <c r="K275" s="9">
        <f t="shared" si="39"/>
        <v>0</v>
      </c>
      <c r="L275" s="35">
        <f t="shared" si="40"/>
        <v>0</v>
      </c>
      <c r="M275" s="2"/>
      <c r="O275" s="19"/>
      <c r="P275" s="19"/>
      <c r="Q275" s="19"/>
      <c r="R275" s="21"/>
      <c r="S275" s="46"/>
      <c r="T275" s="44"/>
      <c r="U275" s="77"/>
      <c r="V275" s="30"/>
      <c r="W275" s="24"/>
      <c r="X275" s="193"/>
      <c r="Y275" s="15"/>
    </row>
    <row r="276" spans="2:25" x14ac:dyDescent="0.25">
      <c r="B276" s="15">
        <v>274</v>
      </c>
      <c r="C276" s="8"/>
      <c r="E276" s="67"/>
      <c r="F276" s="16"/>
      <c r="G276" s="8"/>
      <c r="H276" s="8"/>
      <c r="I276" s="8"/>
      <c r="J276" s="9"/>
      <c r="K276" s="9">
        <f t="shared" si="39"/>
        <v>0</v>
      </c>
      <c r="L276" s="35">
        <f t="shared" si="40"/>
        <v>0</v>
      </c>
      <c r="M276" s="2"/>
      <c r="O276" s="19"/>
      <c r="P276" s="19"/>
      <c r="Q276" s="19"/>
      <c r="R276" s="21"/>
      <c r="S276" s="46"/>
      <c r="T276" s="44"/>
      <c r="U276" s="77"/>
      <c r="V276" s="30"/>
      <c r="W276" s="24"/>
      <c r="X276" s="193"/>
      <c r="Y276" s="15"/>
    </row>
    <row r="277" spans="2:25" x14ac:dyDescent="0.25">
      <c r="B277" s="15">
        <v>275</v>
      </c>
      <c r="C277" s="8"/>
      <c r="E277" s="67"/>
      <c r="F277" s="16"/>
      <c r="G277" s="8"/>
      <c r="H277" s="8"/>
      <c r="I277" s="8"/>
      <c r="J277" s="9"/>
      <c r="K277" s="9">
        <f t="shared" si="39"/>
        <v>0</v>
      </c>
      <c r="L277" s="35">
        <f t="shared" si="40"/>
        <v>0</v>
      </c>
      <c r="M277" s="2"/>
      <c r="O277" s="19"/>
      <c r="P277" s="19"/>
      <c r="Q277" s="19"/>
      <c r="R277" s="21"/>
      <c r="S277" s="46"/>
      <c r="T277" s="44"/>
      <c r="U277" s="77"/>
      <c r="V277" s="24"/>
      <c r="W277" s="24"/>
      <c r="X277" s="193"/>
      <c r="Y277" s="15"/>
    </row>
    <row r="278" spans="2:25" x14ac:dyDescent="0.25">
      <c r="B278" s="15">
        <v>276</v>
      </c>
      <c r="C278" s="8"/>
      <c r="E278" s="67"/>
      <c r="F278" s="16"/>
      <c r="G278" s="8"/>
      <c r="H278" s="8"/>
      <c r="I278" s="8"/>
      <c r="J278" s="9"/>
      <c r="K278" s="9">
        <f t="shared" si="39"/>
        <v>0</v>
      </c>
      <c r="L278" s="35">
        <f t="shared" si="40"/>
        <v>0</v>
      </c>
      <c r="M278" s="2"/>
      <c r="O278" s="19"/>
      <c r="P278" s="19"/>
      <c r="Q278" s="19"/>
      <c r="R278" s="21"/>
      <c r="S278" s="46"/>
      <c r="T278" s="44"/>
      <c r="U278" s="77"/>
      <c r="V278" s="24"/>
      <c r="W278" s="24"/>
      <c r="X278" s="193"/>
      <c r="Y278" s="15"/>
    </row>
    <row r="279" spans="2:25" x14ac:dyDescent="0.25">
      <c r="B279" s="15">
        <v>277</v>
      </c>
      <c r="C279" s="8"/>
      <c r="E279" s="67"/>
      <c r="F279" s="16"/>
      <c r="G279" s="8"/>
      <c r="H279" s="8"/>
      <c r="I279" s="8"/>
      <c r="J279" s="9"/>
      <c r="K279" s="9">
        <f t="shared" si="39"/>
        <v>0</v>
      </c>
      <c r="L279" s="35">
        <f t="shared" si="40"/>
        <v>0</v>
      </c>
      <c r="M279" s="2"/>
      <c r="O279" s="19"/>
      <c r="P279" s="19"/>
      <c r="Q279" s="19"/>
      <c r="R279" s="21"/>
      <c r="S279" s="46"/>
      <c r="T279" s="44"/>
      <c r="U279" s="77"/>
      <c r="V279" s="24"/>
      <c r="W279" s="24"/>
      <c r="X279" s="193"/>
      <c r="Y279" s="15"/>
    </row>
    <row r="280" spans="2:25" x14ac:dyDescent="0.25">
      <c r="B280" s="15">
        <v>278</v>
      </c>
      <c r="C280" s="8"/>
      <c r="E280" s="67"/>
      <c r="F280" s="16"/>
      <c r="G280" s="8"/>
      <c r="H280" s="8"/>
      <c r="I280" s="8"/>
      <c r="J280" s="9"/>
      <c r="K280" s="9">
        <f t="shared" si="39"/>
        <v>0</v>
      </c>
      <c r="L280" s="35">
        <f t="shared" si="40"/>
        <v>0</v>
      </c>
      <c r="M280" s="2"/>
      <c r="O280" s="19"/>
      <c r="P280" s="19"/>
      <c r="Q280" s="19"/>
      <c r="R280" s="21"/>
      <c r="S280" s="46"/>
      <c r="T280" s="44"/>
      <c r="U280" s="77"/>
      <c r="V280" s="24"/>
      <c r="W280" s="24"/>
      <c r="X280" s="193"/>
      <c r="Y280" s="15"/>
    </row>
    <row r="281" spans="2:25" x14ac:dyDescent="0.25">
      <c r="B281" s="15">
        <v>279</v>
      </c>
      <c r="C281" s="8"/>
      <c r="E281" s="67"/>
      <c r="F281" s="16"/>
      <c r="G281" s="8"/>
      <c r="H281" s="8"/>
      <c r="I281" s="8"/>
      <c r="J281" s="9"/>
      <c r="K281" s="9">
        <f t="shared" si="39"/>
        <v>0</v>
      </c>
      <c r="L281" s="35">
        <f t="shared" si="40"/>
        <v>0</v>
      </c>
      <c r="M281" s="2"/>
      <c r="O281" s="19"/>
      <c r="P281" s="19"/>
      <c r="Q281" s="19"/>
      <c r="R281" s="21"/>
      <c r="S281" s="46"/>
      <c r="T281" s="44"/>
      <c r="U281" s="77"/>
      <c r="V281" s="24"/>
      <c r="W281" s="24"/>
      <c r="X281" s="193"/>
      <c r="Y281" s="15"/>
    </row>
    <row r="282" spans="2:25" x14ac:dyDescent="0.25">
      <c r="B282" s="15">
        <v>280</v>
      </c>
      <c r="C282" s="8"/>
      <c r="E282" s="67"/>
      <c r="F282" s="16"/>
      <c r="G282" s="8"/>
      <c r="H282" s="8"/>
      <c r="I282" s="8"/>
      <c r="J282" s="9"/>
      <c r="K282" s="9">
        <f t="shared" si="39"/>
        <v>0</v>
      </c>
      <c r="L282" s="35">
        <f t="shared" si="40"/>
        <v>0</v>
      </c>
      <c r="M282" s="2"/>
      <c r="O282" s="19"/>
      <c r="P282" s="19"/>
      <c r="Q282" s="19"/>
      <c r="R282" s="21"/>
      <c r="S282" s="46"/>
      <c r="T282" s="44"/>
      <c r="U282" s="77"/>
      <c r="V282" s="30"/>
      <c r="W282" s="24"/>
      <c r="X282" s="193"/>
      <c r="Y282" s="15"/>
    </row>
    <row r="283" spans="2:25" x14ac:dyDescent="0.25">
      <c r="B283" s="15">
        <v>281</v>
      </c>
      <c r="C283" s="8"/>
      <c r="E283" s="67"/>
      <c r="F283" s="16"/>
      <c r="G283" s="8"/>
      <c r="H283" s="8"/>
      <c r="I283" s="8"/>
      <c r="J283" s="9"/>
      <c r="K283" s="9">
        <f t="shared" si="39"/>
        <v>0</v>
      </c>
      <c r="L283" s="35">
        <f t="shared" si="40"/>
        <v>0</v>
      </c>
      <c r="M283" s="2"/>
      <c r="O283" s="19"/>
      <c r="P283" s="19"/>
      <c r="Q283" s="19"/>
      <c r="R283" s="21"/>
      <c r="S283" s="46"/>
      <c r="T283" s="44"/>
      <c r="U283" s="77"/>
      <c r="V283" s="30"/>
      <c r="W283" s="24"/>
      <c r="X283" s="193"/>
      <c r="Y283" s="15"/>
    </row>
    <row r="284" spans="2:25" x14ac:dyDescent="0.25">
      <c r="B284" s="15">
        <v>282</v>
      </c>
      <c r="C284" s="8"/>
      <c r="E284" s="67"/>
      <c r="F284" s="16"/>
      <c r="G284" s="8"/>
      <c r="H284" s="8"/>
      <c r="I284" s="8"/>
      <c r="J284" s="9"/>
      <c r="K284" s="9">
        <f t="shared" si="39"/>
        <v>0</v>
      </c>
      <c r="L284" s="35">
        <f t="shared" si="40"/>
        <v>0</v>
      </c>
      <c r="M284" s="2"/>
      <c r="O284" s="19"/>
      <c r="P284" s="19"/>
      <c r="Q284" s="19"/>
      <c r="R284" s="21"/>
      <c r="S284" s="46"/>
      <c r="T284" s="44"/>
      <c r="U284" s="77"/>
      <c r="V284" s="30"/>
      <c r="W284" s="24"/>
      <c r="X284" s="193"/>
      <c r="Y284" s="15"/>
    </row>
    <row r="285" spans="2:25" x14ac:dyDescent="0.25">
      <c r="B285" s="15">
        <v>283</v>
      </c>
      <c r="C285" s="8"/>
      <c r="E285" s="67"/>
      <c r="K285" s="9">
        <f t="shared" si="39"/>
        <v>0</v>
      </c>
      <c r="L285" s="35">
        <f t="shared" si="40"/>
        <v>0</v>
      </c>
      <c r="S285" s="5"/>
      <c r="T285" s="44"/>
      <c r="U285" s="77"/>
      <c r="V285" s="79"/>
      <c r="W285" s="24"/>
      <c r="X285" s="193"/>
      <c r="Y285" s="15"/>
    </row>
    <row r="286" spans="2:25" x14ac:dyDescent="0.25">
      <c r="B286" s="15">
        <v>284</v>
      </c>
      <c r="C286" s="8"/>
      <c r="K286" s="9">
        <f t="shared" si="39"/>
        <v>0</v>
      </c>
      <c r="L286" s="35">
        <f t="shared" si="40"/>
        <v>0</v>
      </c>
      <c r="T286" s="44"/>
      <c r="U286" s="77"/>
      <c r="V286" s="79"/>
      <c r="W286" s="24"/>
      <c r="X286" s="193"/>
      <c r="Y286" s="15"/>
    </row>
    <row r="287" spans="2:25" x14ac:dyDescent="0.25">
      <c r="B287" s="15">
        <v>285</v>
      </c>
      <c r="C287" s="8"/>
      <c r="K287" s="9">
        <f t="shared" si="39"/>
        <v>0</v>
      </c>
      <c r="L287" s="35">
        <f t="shared" si="40"/>
        <v>0</v>
      </c>
      <c r="T287" s="44"/>
      <c r="U287" s="77"/>
      <c r="V287" s="79"/>
      <c r="W287" s="24"/>
      <c r="X287" s="193"/>
      <c r="Y287" s="15"/>
    </row>
    <row r="288" spans="2:25" x14ac:dyDescent="0.25">
      <c r="B288" s="15">
        <v>286</v>
      </c>
      <c r="C288" s="8"/>
      <c r="K288" s="9">
        <f t="shared" si="39"/>
        <v>0</v>
      </c>
      <c r="L288" s="35">
        <f t="shared" si="40"/>
        <v>0</v>
      </c>
      <c r="T288" s="44"/>
      <c r="U288" s="77"/>
      <c r="V288" s="79"/>
      <c r="W288" s="24"/>
      <c r="X288" s="193"/>
      <c r="Y288" s="15"/>
    </row>
    <row r="289" spans="2:25" x14ac:dyDescent="0.25">
      <c r="B289" s="15">
        <v>287</v>
      </c>
      <c r="C289" s="8"/>
      <c r="K289" s="9">
        <f t="shared" si="39"/>
        <v>0</v>
      </c>
      <c r="L289" s="35">
        <f t="shared" si="40"/>
        <v>0</v>
      </c>
      <c r="T289" s="44"/>
      <c r="U289" s="77"/>
      <c r="V289" s="79"/>
      <c r="W289" s="24"/>
      <c r="X289" s="193"/>
      <c r="Y289" s="15"/>
    </row>
    <row r="290" spans="2:25" x14ac:dyDescent="0.25">
      <c r="B290" s="15">
        <v>288</v>
      </c>
      <c r="C290" s="8"/>
      <c r="K290" s="9">
        <f t="shared" si="39"/>
        <v>0</v>
      </c>
      <c r="L290" s="35">
        <f t="shared" si="40"/>
        <v>0</v>
      </c>
      <c r="T290" s="44"/>
      <c r="U290" s="77"/>
      <c r="V290" s="79"/>
      <c r="W290" s="24"/>
      <c r="X290" s="193"/>
      <c r="Y290" s="15"/>
    </row>
    <row r="291" spans="2:25" x14ac:dyDescent="0.25">
      <c r="B291" s="15">
        <v>289</v>
      </c>
      <c r="C291" s="8"/>
      <c r="K291" s="9">
        <f t="shared" si="39"/>
        <v>0</v>
      </c>
      <c r="L291" s="35">
        <f t="shared" si="40"/>
        <v>0</v>
      </c>
      <c r="T291" s="44"/>
      <c r="U291" s="77"/>
      <c r="V291" s="79"/>
      <c r="W291" s="24"/>
      <c r="X291" s="193"/>
      <c r="Y291" s="15"/>
    </row>
    <row r="292" spans="2:25" x14ac:dyDescent="0.25">
      <c r="B292" s="15">
        <v>290</v>
      </c>
      <c r="C292" s="8"/>
      <c r="K292" s="9">
        <f t="shared" si="39"/>
        <v>0</v>
      </c>
      <c r="L292" s="35">
        <f t="shared" si="40"/>
        <v>0</v>
      </c>
      <c r="T292" s="44"/>
      <c r="U292" s="77"/>
      <c r="V292" s="79"/>
      <c r="W292" s="24"/>
      <c r="X292" s="193"/>
      <c r="Y292" s="15"/>
    </row>
    <row r="293" spans="2:25" x14ac:dyDescent="0.25">
      <c r="B293" s="15">
        <v>291</v>
      </c>
      <c r="C293" s="8"/>
      <c r="K293" s="9">
        <f t="shared" si="39"/>
        <v>0</v>
      </c>
      <c r="L293" s="35">
        <f t="shared" si="40"/>
        <v>0</v>
      </c>
      <c r="T293" s="44"/>
      <c r="U293" s="77"/>
      <c r="V293" s="79"/>
      <c r="W293" s="24"/>
      <c r="X293" s="193"/>
      <c r="Y293" s="15"/>
    </row>
    <row r="294" spans="2:25" x14ac:dyDescent="0.25">
      <c r="B294" s="15">
        <v>292</v>
      </c>
      <c r="C294" s="8"/>
      <c r="K294" s="9">
        <f t="shared" si="39"/>
        <v>0</v>
      </c>
      <c r="L294" s="35">
        <f t="shared" si="40"/>
        <v>0</v>
      </c>
      <c r="T294" s="44"/>
      <c r="U294" s="77"/>
      <c r="V294" s="79"/>
      <c r="W294" s="24"/>
      <c r="X294" s="193"/>
      <c r="Y294" s="15"/>
    </row>
    <row r="295" spans="2:25" x14ac:dyDescent="0.25">
      <c r="B295" s="15">
        <v>293</v>
      </c>
      <c r="C295" s="8"/>
      <c r="K295" s="9">
        <f t="shared" si="39"/>
        <v>0</v>
      </c>
      <c r="L295" s="35">
        <f t="shared" si="40"/>
        <v>0</v>
      </c>
      <c r="T295" s="44"/>
      <c r="U295" s="77"/>
      <c r="V295" s="79"/>
      <c r="W295" s="24"/>
      <c r="X295" s="193"/>
      <c r="Y295" s="15"/>
    </row>
    <row r="296" spans="2:25" x14ac:dyDescent="0.25">
      <c r="B296" s="15">
        <v>294</v>
      </c>
      <c r="C296" s="8"/>
      <c r="K296" s="9">
        <f t="shared" si="39"/>
        <v>0</v>
      </c>
      <c r="L296" s="35">
        <f t="shared" si="40"/>
        <v>0</v>
      </c>
      <c r="T296" s="44"/>
      <c r="U296" s="77"/>
      <c r="V296" s="79"/>
      <c r="W296" s="24"/>
      <c r="X296" s="193"/>
      <c r="Y296" s="15"/>
    </row>
    <row r="297" spans="2:25" x14ac:dyDescent="0.25">
      <c r="B297" s="15">
        <v>295</v>
      </c>
      <c r="C297" s="8"/>
      <c r="K297" s="9">
        <f t="shared" si="39"/>
        <v>0</v>
      </c>
      <c r="L297" s="35">
        <f t="shared" si="40"/>
        <v>0</v>
      </c>
      <c r="T297" s="44"/>
      <c r="U297" s="77"/>
      <c r="V297" s="79"/>
      <c r="W297" s="24"/>
      <c r="X297" s="193"/>
      <c r="Y297" s="15"/>
    </row>
    <row r="298" spans="2:25" x14ac:dyDescent="0.25">
      <c r="B298" s="15">
        <v>296</v>
      </c>
      <c r="C298" s="8"/>
      <c r="K298" s="9">
        <f t="shared" si="39"/>
        <v>0</v>
      </c>
      <c r="L298" s="35">
        <f t="shared" si="40"/>
        <v>0</v>
      </c>
      <c r="T298" s="44"/>
      <c r="U298" s="77"/>
      <c r="V298" s="79"/>
      <c r="W298" s="24"/>
      <c r="X298" s="193"/>
      <c r="Y298" s="15"/>
    </row>
    <row r="299" spans="2:25" x14ac:dyDescent="0.25">
      <c r="B299" s="15">
        <v>297</v>
      </c>
      <c r="C299" s="8"/>
      <c r="K299" s="9">
        <f t="shared" si="39"/>
        <v>0</v>
      </c>
      <c r="L299" s="35">
        <f t="shared" si="40"/>
        <v>0</v>
      </c>
      <c r="T299" s="44"/>
      <c r="U299" s="77"/>
      <c r="V299" s="79"/>
      <c r="W299" s="24"/>
      <c r="X299" s="193"/>
      <c r="Y299" s="15"/>
    </row>
    <row r="300" spans="2:25" x14ac:dyDescent="0.25">
      <c r="B300" s="15">
        <v>298</v>
      </c>
      <c r="C300" s="8"/>
      <c r="K300" s="9">
        <f t="shared" si="39"/>
        <v>0</v>
      </c>
      <c r="L300" s="35">
        <f t="shared" si="40"/>
        <v>0</v>
      </c>
      <c r="T300" s="44"/>
      <c r="U300" s="77"/>
      <c r="V300" s="79"/>
      <c r="W300" s="24"/>
      <c r="X300" s="193"/>
      <c r="Y300" s="15"/>
    </row>
    <row r="301" spans="2:25" x14ac:dyDescent="0.25">
      <c r="B301" s="15">
        <v>298</v>
      </c>
      <c r="C301" s="8"/>
      <c r="K301" s="9">
        <f t="shared" si="39"/>
        <v>0</v>
      </c>
      <c r="L301" s="35">
        <f t="shared" si="40"/>
        <v>0</v>
      </c>
      <c r="T301" s="44"/>
      <c r="U301" s="77"/>
      <c r="V301" s="79"/>
      <c r="W301" s="24"/>
      <c r="X301" s="193"/>
      <c r="Y301" s="15"/>
    </row>
    <row r="302" spans="2:25" x14ac:dyDescent="0.25">
      <c r="B302" s="15">
        <v>298</v>
      </c>
      <c r="G302" s="8"/>
      <c r="H302" s="8"/>
      <c r="K302" s="9">
        <f t="shared" si="39"/>
        <v>0</v>
      </c>
      <c r="L302" s="35">
        <f t="shared" si="40"/>
        <v>0</v>
      </c>
      <c r="W302" s="24"/>
    </row>
    <row r="303" spans="2:25" x14ac:dyDescent="0.25">
      <c r="B303" s="15">
        <v>298</v>
      </c>
      <c r="C303" s="8"/>
      <c r="K303" s="9">
        <f t="shared" si="39"/>
        <v>0</v>
      </c>
      <c r="L303" s="35">
        <f t="shared" si="40"/>
        <v>0</v>
      </c>
      <c r="W303" s="24"/>
    </row>
    <row r="304" spans="2:25" x14ac:dyDescent="0.25">
      <c r="B304" s="15">
        <v>298</v>
      </c>
      <c r="C304" s="8"/>
      <c r="K304" s="9">
        <f t="shared" si="39"/>
        <v>0</v>
      </c>
      <c r="L304" s="35">
        <f t="shared" si="40"/>
        <v>0</v>
      </c>
      <c r="W304" s="24"/>
    </row>
    <row r="305" spans="2:25" x14ac:dyDescent="0.25">
      <c r="B305" s="15">
        <v>298</v>
      </c>
      <c r="C305" s="8"/>
      <c r="E305" s="67"/>
      <c r="F305" s="16"/>
      <c r="G305" s="8"/>
      <c r="H305" s="8"/>
      <c r="I305" s="8"/>
      <c r="J305" s="9"/>
      <c r="K305" s="9">
        <f t="shared" si="39"/>
        <v>0</v>
      </c>
      <c r="L305" s="35">
        <f t="shared" si="40"/>
        <v>0</v>
      </c>
      <c r="M305" s="2"/>
      <c r="O305" s="19"/>
      <c r="P305" s="19"/>
      <c r="Q305" s="19"/>
      <c r="R305" s="21"/>
      <c r="S305" s="46"/>
      <c r="T305" s="44"/>
      <c r="U305" s="77"/>
      <c r="V305" s="24"/>
      <c r="W305" s="24"/>
      <c r="X305" s="193"/>
      <c r="Y305" s="15"/>
    </row>
    <row r="306" spans="2:25" x14ac:dyDescent="0.25">
      <c r="B306" s="15">
        <v>298</v>
      </c>
      <c r="C306" s="8"/>
      <c r="E306" s="67"/>
      <c r="F306" s="16"/>
      <c r="G306" s="8"/>
      <c r="H306" s="8"/>
      <c r="I306" s="8"/>
      <c r="J306" s="9"/>
      <c r="K306" s="9">
        <f t="shared" si="39"/>
        <v>0</v>
      </c>
      <c r="L306" s="35">
        <f t="shared" si="40"/>
        <v>0</v>
      </c>
      <c r="M306" s="2"/>
      <c r="O306" s="19"/>
      <c r="P306" s="19"/>
      <c r="Q306" s="19"/>
      <c r="R306" s="21"/>
      <c r="S306" s="46"/>
      <c r="T306" s="44"/>
      <c r="U306" s="77"/>
      <c r="V306" s="24"/>
      <c r="W306" s="24"/>
      <c r="X306" s="193"/>
      <c r="Y306" s="15"/>
    </row>
    <row r="307" spans="2:25" x14ac:dyDescent="0.25">
      <c r="B307" s="15">
        <v>298</v>
      </c>
      <c r="C307" s="8"/>
      <c r="E307" s="67"/>
      <c r="F307" s="16"/>
      <c r="G307" s="8"/>
      <c r="H307" s="8"/>
      <c r="I307" s="8"/>
      <c r="J307" s="9"/>
      <c r="K307" s="9">
        <f t="shared" si="39"/>
        <v>0</v>
      </c>
      <c r="L307" s="35">
        <f t="shared" si="40"/>
        <v>0</v>
      </c>
      <c r="M307" s="2"/>
      <c r="O307" s="19"/>
      <c r="P307" s="19"/>
      <c r="Q307" s="19"/>
      <c r="R307" s="21"/>
      <c r="S307" s="46"/>
      <c r="T307" s="44"/>
      <c r="U307" s="77"/>
      <c r="V307" s="24"/>
      <c r="W307" s="24"/>
      <c r="X307" s="193"/>
      <c r="Y307" s="15"/>
    </row>
    <row r="308" spans="2:25" x14ac:dyDescent="0.25">
      <c r="B308" s="15">
        <v>298</v>
      </c>
      <c r="C308" s="8"/>
      <c r="E308" s="67"/>
      <c r="F308" s="16"/>
      <c r="G308" s="8"/>
      <c r="H308" s="8"/>
      <c r="I308" s="8"/>
      <c r="J308" s="9"/>
      <c r="K308" s="9">
        <f t="shared" si="39"/>
        <v>0</v>
      </c>
      <c r="L308" s="35">
        <f t="shared" si="40"/>
        <v>0</v>
      </c>
      <c r="M308" s="2"/>
      <c r="O308" s="19"/>
      <c r="P308" s="19"/>
      <c r="Q308" s="19"/>
      <c r="R308" s="21"/>
      <c r="S308" s="46"/>
      <c r="T308" s="44"/>
      <c r="U308" s="77"/>
      <c r="V308" s="24"/>
      <c r="W308" s="24"/>
      <c r="X308" s="193"/>
      <c r="Y308" s="15"/>
    </row>
    <row r="309" spans="2:25" x14ac:dyDescent="0.25">
      <c r="B309" s="15">
        <v>298</v>
      </c>
      <c r="C309" s="8"/>
      <c r="E309" s="67"/>
      <c r="F309" s="16"/>
      <c r="G309" s="8"/>
      <c r="H309" s="8"/>
      <c r="I309" s="8"/>
      <c r="J309" s="9"/>
      <c r="K309" s="9">
        <f t="shared" si="39"/>
        <v>0</v>
      </c>
      <c r="L309" s="35">
        <f t="shared" si="40"/>
        <v>0</v>
      </c>
      <c r="M309" s="2"/>
      <c r="O309" s="19"/>
      <c r="P309" s="19"/>
      <c r="Q309" s="19"/>
      <c r="R309" s="21"/>
      <c r="S309" s="46"/>
      <c r="T309" s="44"/>
      <c r="U309" s="77"/>
      <c r="V309" s="24"/>
      <c r="W309" s="24"/>
      <c r="X309" s="193"/>
      <c r="Y309" s="15"/>
    </row>
    <row r="310" spans="2:25" x14ac:dyDescent="0.25">
      <c r="B310" s="15">
        <v>235</v>
      </c>
      <c r="C310" s="8"/>
      <c r="E310" s="67"/>
      <c r="F310" s="16"/>
      <c r="G310" s="8"/>
      <c r="H310" s="8"/>
      <c r="I310" s="8"/>
      <c r="J310" s="9"/>
      <c r="K310" s="9">
        <f t="shared" si="39"/>
        <v>0</v>
      </c>
      <c r="L310" s="35">
        <f t="shared" si="40"/>
        <v>0</v>
      </c>
      <c r="M310" s="2"/>
      <c r="O310" s="19"/>
      <c r="P310" s="19"/>
      <c r="Q310" s="19"/>
      <c r="R310" s="21"/>
      <c r="S310" s="46"/>
      <c r="T310" s="44"/>
      <c r="U310" s="77"/>
      <c r="V310" s="24"/>
      <c r="W310" s="24"/>
      <c r="X310" s="193"/>
      <c r="Y310" s="15"/>
    </row>
    <row r="311" spans="2:25" x14ac:dyDescent="0.25">
      <c r="B311" s="15">
        <v>235</v>
      </c>
      <c r="C311" s="8"/>
      <c r="E311" s="67"/>
      <c r="F311" s="16"/>
      <c r="G311" s="8"/>
      <c r="H311" s="8"/>
      <c r="I311" s="8"/>
      <c r="J311" s="9"/>
      <c r="K311" s="9">
        <f t="shared" si="39"/>
        <v>0</v>
      </c>
      <c r="L311" s="35">
        <f t="shared" si="40"/>
        <v>0</v>
      </c>
      <c r="M311" s="2"/>
      <c r="O311" s="19"/>
      <c r="P311" s="19"/>
      <c r="Q311" s="19"/>
      <c r="R311" s="21"/>
      <c r="S311" s="46"/>
      <c r="T311" s="44"/>
      <c r="U311" s="77"/>
      <c r="V311" s="24"/>
      <c r="W311" s="24"/>
      <c r="X311" s="193"/>
      <c r="Y311" s="15"/>
    </row>
    <row r="312" spans="2:25" x14ac:dyDescent="0.25">
      <c r="B312" s="15">
        <v>235</v>
      </c>
      <c r="C312" s="8"/>
      <c r="E312" s="67"/>
      <c r="F312" s="16"/>
      <c r="G312" s="8"/>
      <c r="H312" s="8"/>
      <c r="I312" s="8"/>
      <c r="J312" s="9"/>
      <c r="K312" s="9">
        <f t="shared" si="39"/>
        <v>0</v>
      </c>
      <c r="L312" s="35">
        <f t="shared" si="40"/>
        <v>0</v>
      </c>
      <c r="M312" s="2"/>
      <c r="O312" s="19"/>
      <c r="P312" s="19"/>
      <c r="Q312" s="19"/>
      <c r="R312" s="21"/>
      <c r="S312" s="46"/>
      <c r="T312" s="44"/>
      <c r="U312" s="77"/>
      <c r="V312" s="24"/>
      <c r="W312" s="24"/>
      <c r="X312" s="193"/>
      <c r="Y312" s="15"/>
    </row>
    <row r="313" spans="2:25" x14ac:dyDescent="0.25">
      <c r="B313" s="15">
        <v>235</v>
      </c>
      <c r="C313" s="8"/>
      <c r="E313" s="67"/>
      <c r="F313" s="16"/>
      <c r="G313" s="8"/>
      <c r="H313" s="8"/>
      <c r="I313" s="8"/>
      <c r="J313" s="9"/>
      <c r="K313" s="9">
        <f t="shared" si="39"/>
        <v>0</v>
      </c>
      <c r="L313" s="35">
        <f t="shared" si="40"/>
        <v>0</v>
      </c>
      <c r="M313" s="2"/>
      <c r="O313" s="19"/>
      <c r="P313" s="19"/>
      <c r="Q313" s="19"/>
      <c r="R313" s="21"/>
      <c r="S313" s="46"/>
      <c r="T313" s="44"/>
      <c r="U313" s="77"/>
      <c r="V313" s="24"/>
      <c r="W313" s="24"/>
      <c r="X313" s="193"/>
      <c r="Y313" s="15"/>
    </row>
    <row r="314" spans="2:25" x14ac:dyDescent="0.25">
      <c r="B314" s="15">
        <v>235</v>
      </c>
      <c r="C314" s="8"/>
      <c r="E314" s="67"/>
      <c r="F314" s="16"/>
      <c r="G314" s="8"/>
      <c r="H314" s="8"/>
      <c r="I314" s="8"/>
      <c r="J314" s="9"/>
      <c r="K314" s="9">
        <f t="shared" si="39"/>
        <v>0</v>
      </c>
      <c r="L314" s="35">
        <f t="shared" si="40"/>
        <v>0</v>
      </c>
      <c r="M314" s="2"/>
      <c r="O314" s="19"/>
      <c r="P314" s="19"/>
      <c r="Q314" s="19"/>
      <c r="R314" s="21"/>
      <c r="S314" s="46"/>
      <c r="T314" s="44"/>
      <c r="U314" s="77"/>
      <c r="V314" s="24"/>
      <c r="W314" s="24"/>
      <c r="X314" s="193"/>
      <c r="Y314" s="15"/>
    </row>
    <row r="315" spans="2:25" x14ac:dyDescent="0.25">
      <c r="B315" s="15">
        <v>235</v>
      </c>
      <c r="C315" s="8"/>
      <c r="E315" s="67"/>
      <c r="F315" s="16"/>
      <c r="G315" s="8"/>
      <c r="H315" s="8"/>
      <c r="I315" s="8"/>
      <c r="J315" s="9"/>
      <c r="K315" s="9">
        <f t="shared" si="39"/>
        <v>0</v>
      </c>
      <c r="L315" s="35">
        <f t="shared" si="40"/>
        <v>0</v>
      </c>
      <c r="M315" s="2"/>
      <c r="O315" s="19"/>
      <c r="P315" s="19"/>
      <c r="Q315" s="19"/>
      <c r="R315" s="21"/>
      <c r="S315" s="46"/>
      <c r="T315" s="44"/>
      <c r="U315" s="77"/>
      <c r="V315" s="24"/>
      <c r="W315" s="24"/>
      <c r="X315" s="193"/>
      <c r="Y315" s="15"/>
    </row>
    <row r="316" spans="2:25" x14ac:dyDescent="0.25">
      <c r="B316" s="15">
        <v>235</v>
      </c>
      <c r="C316" s="8"/>
      <c r="E316" s="67"/>
      <c r="F316" s="16"/>
      <c r="G316" s="8"/>
      <c r="H316" s="8"/>
      <c r="I316" s="8"/>
      <c r="J316" s="9"/>
      <c r="K316" s="9">
        <f t="shared" si="39"/>
        <v>0</v>
      </c>
      <c r="L316" s="35">
        <f t="shared" si="40"/>
        <v>0</v>
      </c>
      <c r="M316" s="2"/>
      <c r="O316" s="19"/>
      <c r="P316" s="19"/>
      <c r="Q316" s="19"/>
      <c r="R316" s="21"/>
      <c r="S316" s="46"/>
      <c r="T316" s="44"/>
      <c r="U316" s="77"/>
      <c r="V316" s="24"/>
      <c r="W316" s="24"/>
      <c r="X316" s="193"/>
      <c r="Y316" s="15"/>
    </row>
    <row r="317" spans="2:25" x14ac:dyDescent="0.25">
      <c r="B317" s="15">
        <v>235</v>
      </c>
      <c r="C317" s="8"/>
      <c r="E317" s="67"/>
      <c r="F317" s="16"/>
      <c r="G317" s="8"/>
      <c r="H317" s="8"/>
      <c r="I317" s="8"/>
      <c r="J317" s="9"/>
      <c r="K317" s="9">
        <f t="shared" si="39"/>
        <v>0</v>
      </c>
      <c r="L317" s="35">
        <f t="shared" si="40"/>
        <v>0</v>
      </c>
      <c r="M317" s="2"/>
      <c r="O317" s="19"/>
      <c r="P317" s="19"/>
      <c r="Q317" s="19"/>
      <c r="R317" s="21"/>
      <c r="S317" s="46"/>
      <c r="T317" s="44"/>
      <c r="U317" s="77"/>
      <c r="V317" s="24"/>
      <c r="W317" s="24"/>
      <c r="X317" s="193"/>
      <c r="Y317" s="15"/>
    </row>
    <row r="318" spans="2:25" x14ac:dyDescent="0.25">
      <c r="B318" s="15">
        <v>235</v>
      </c>
      <c r="C318" s="8"/>
      <c r="E318" s="67"/>
      <c r="F318" s="16"/>
      <c r="G318" s="8"/>
      <c r="H318" s="8"/>
      <c r="I318" s="8"/>
      <c r="J318" s="9"/>
      <c r="K318" s="9">
        <f t="shared" si="39"/>
        <v>0</v>
      </c>
      <c r="L318" s="35">
        <f t="shared" si="40"/>
        <v>0</v>
      </c>
      <c r="M318" s="2"/>
      <c r="O318" s="19"/>
      <c r="P318" s="19"/>
      <c r="Q318" s="19"/>
      <c r="R318" s="21"/>
      <c r="S318" s="46"/>
      <c r="T318" s="44"/>
      <c r="U318" s="77"/>
      <c r="V318" s="24"/>
      <c r="W318" s="24"/>
      <c r="X318" s="193"/>
      <c r="Y318" s="15"/>
    </row>
    <row r="319" spans="2:25" x14ac:dyDescent="0.25">
      <c r="B319" s="15">
        <v>235</v>
      </c>
      <c r="C319" s="8"/>
      <c r="E319" s="67"/>
      <c r="F319" s="16"/>
      <c r="G319" s="8"/>
      <c r="H319" s="8"/>
      <c r="I319" s="8"/>
      <c r="J319" s="9"/>
      <c r="K319" s="9">
        <f t="shared" si="39"/>
        <v>0</v>
      </c>
      <c r="L319" s="35">
        <f t="shared" si="40"/>
        <v>0</v>
      </c>
      <c r="M319" s="2"/>
      <c r="O319" s="19"/>
      <c r="P319" s="19"/>
      <c r="Q319" s="19"/>
      <c r="R319" s="21"/>
      <c r="S319" s="46"/>
      <c r="T319" s="44"/>
      <c r="U319" s="77"/>
      <c r="V319" s="24"/>
      <c r="W319" s="24"/>
      <c r="X319" s="193"/>
      <c r="Y319" s="15"/>
    </row>
    <row r="320" spans="2:25" x14ac:dyDescent="0.25">
      <c r="B320" s="15">
        <v>235</v>
      </c>
      <c r="C320" s="8"/>
      <c r="E320" s="67"/>
      <c r="F320" s="16"/>
      <c r="G320" s="8"/>
      <c r="H320" s="8"/>
      <c r="I320" s="8"/>
      <c r="J320" s="9"/>
      <c r="K320" s="9">
        <f t="shared" si="39"/>
        <v>0</v>
      </c>
      <c r="L320" s="35">
        <f t="shared" si="40"/>
        <v>0</v>
      </c>
      <c r="M320" s="2"/>
      <c r="O320" s="19"/>
      <c r="P320" s="19"/>
      <c r="Q320" s="19"/>
      <c r="R320" s="21"/>
      <c r="S320" s="46"/>
      <c r="T320" s="44"/>
      <c r="U320" s="77"/>
      <c r="V320" s="24"/>
      <c r="W320" s="24"/>
      <c r="X320" s="193"/>
      <c r="Y320" s="15"/>
    </row>
    <row r="321" spans="2:25" x14ac:dyDescent="0.25">
      <c r="B321" s="15">
        <v>235</v>
      </c>
      <c r="C321" s="8"/>
      <c r="E321" s="67"/>
      <c r="F321" s="16"/>
      <c r="G321" s="8"/>
      <c r="H321" s="8"/>
      <c r="I321" s="8"/>
      <c r="J321" s="9"/>
      <c r="K321" s="9">
        <f t="shared" si="39"/>
        <v>0</v>
      </c>
      <c r="L321" s="35">
        <f t="shared" si="40"/>
        <v>0</v>
      </c>
      <c r="M321" s="2"/>
      <c r="O321" s="19"/>
      <c r="P321" s="19"/>
      <c r="Q321" s="19"/>
      <c r="R321" s="21"/>
      <c r="S321" s="46"/>
      <c r="T321" s="44"/>
      <c r="U321" s="77"/>
      <c r="V321" s="24"/>
      <c r="W321" s="24"/>
      <c r="X321" s="193"/>
      <c r="Y321" s="15"/>
    </row>
    <row r="322" spans="2:25" x14ac:dyDescent="0.25">
      <c r="B322" s="15">
        <v>235</v>
      </c>
      <c r="C322" s="8"/>
      <c r="E322" s="67"/>
      <c r="F322" s="16"/>
      <c r="G322" s="8"/>
      <c r="H322" s="8"/>
      <c r="I322" s="8"/>
      <c r="J322" s="9"/>
      <c r="K322" s="9">
        <f t="shared" si="39"/>
        <v>0</v>
      </c>
      <c r="L322" s="35">
        <f t="shared" si="40"/>
        <v>0</v>
      </c>
      <c r="M322" s="2"/>
      <c r="O322" s="19"/>
      <c r="P322" s="19"/>
      <c r="Q322" s="19"/>
      <c r="R322" s="21"/>
      <c r="S322" s="46"/>
      <c r="T322" s="44"/>
      <c r="U322" s="77"/>
      <c r="V322" s="24"/>
      <c r="W322" s="24"/>
      <c r="X322" s="193"/>
      <c r="Y322" s="15"/>
    </row>
    <row r="323" spans="2:25" x14ac:dyDescent="0.25">
      <c r="B323" s="15">
        <v>235</v>
      </c>
      <c r="C323" s="8"/>
      <c r="E323" s="67"/>
      <c r="F323" s="16"/>
      <c r="G323" s="8"/>
      <c r="H323" s="8"/>
      <c r="I323" s="8"/>
      <c r="J323" s="9"/>
      <c r="K323" s="9">
        <f t="shared" ref="K323:K354" si="41">J323*1.1</f>
        <v>0</v>
      </c>
      <c r="L323" s="35">
        <f t="shared" ref="L323:L354" si="42">J323*0.00000001</f>
        <v>0</v>
      </c>
      <c r="M323" s="2"/>
      <c r="O323" s="19"/>
      <c r="P323" s="19"/>
      <c r="Q323" s="19"/>
      <c r="R323" s="21"/>
      <c r="S323" s="46"/>
      <c r="T323" s="44"/>
      <c r="U323" s="77"/>
      <c r="V323" s="24"/>
      <c r="W323" s="24"/>
      <c r="X323" s="193"/>
      <c r="Y323" s="15"/>
    </row>
    <row r="324" spans="2:25" x14ac:dyDescent="0.25">
      <c r="B324" s="15">
        <v>235</v>
      </c>
      <c r="C324" s="8"/>
      <c r="E324" s="67"/>
      <c r="F324" s="16"/>
      <c r="G324" s="8"/>
      <c r="H324" s="8"/>
      <c r="I324" s="8"/>
      <c r="J324" s="9"/>
      <c r="K324" s="9">
        <f t="shared" si="41"/>
        <v>0</v>
      </c>
      <c r="L324" s="35">
        <f t="shared" si="42"/>
        <v>0</v>
      </c>
      <c r="M324" s="2"/>
      <c r="O324" s="19"/>
      <c r="P324" s="19"/>
      <c r="Q324" s="19"/>
      <c r="R324" s="21"/>
      <c r="S324" s="46"/>
      <c r="T324" s="44"/>
      <c r="U324" s="77"/>
      <c r="V324" s="24"/>
      <c r="W324" s="24"/>
      <c r="X324" s="193"/>
      <c r="Y324" s="15"/>
    </row>
    <row r="325" spans="2:25" x14ac:dyDescent="0.25">
      <c r="B325" s="15">
        <v>235</v>
      </c>
      <c r="C325" s="8"/>
      <c r="E325" s="67"/>
      <c r="F325" s="16"/>
      <c r="G325" s="8"/>
      <c r="H325" s="8"/>
      <c r="I325" s="8"/>
      <c r="J325" s="9"/>
      <c r="K325" s="9">
        <f t="shared" si="41"/>
        <v>0</v>
      </c>
      <c r="L325" s="35">
        <f t="shared" si="42"/>
        <v>0</v>
      </c>
      <c r="M325" s="2"/>
      <c r="O325" s="19"/>
      <c r="P325" s="19"/>
      <c r="Q325" s="19"/>
      <c r="R325" s="21"/>
      <c r="S325" s="46"/>
      <c r="T325" s="44"/>
      <c r="U325" s="77"/>
      <c r="V325" s="24"/>
      <c r="W325" s="24"/>
      <c r="X325" s="193"/>
      <c r="Y325" s="15"/>
    </row>
    <row r="326" spans="2:25" x14ac:dyDescent="0.25">
      <c r="B326" s="15">
        <v>235</v>
      </c>
      <c r="C326" s="8"/>
      <c r="E326" s="67"/>
      <c r="F326" s="16"/>
      <c r="G326" s="8"/>
      <c r="H326" s="8"/>
      <c r="I326" s="8"/>
      <c r="J326" s="9"/>
      <c r="K326" s="9">
        <f t="shared" si="41"/>
        <v>0</v>
      </c>
      <c r="L326" s="35">
        <f t="shared" si="42"/>
        <v>0</v>
      </c>
      <c r="M326" s="2"/>
      <c r="O326" s="19"/>
      <c r="P326" s="19"/>
      <c r="Q326" s="19"/>
      <c r="R326" s="21"/>
      <c r="S326" s="46"/>
      <c r="T326" s="44"/>
      <c r="U326" s="77"/>
      <c r="V326" s="24"/>
      <c r="W326" s="24"/>
      <c r="X326" s="193"/>
      <c r="Y326" s="15"/>
    </row>
    <row r="327" spans="2:25" x14ac:dyDescent="0.25">
      <c r="B327" s="15">
        <v>235</v>
      </c>
      <c r="C327" s="8"/>
      <c r="E327" s="67"/>
      <c r="F327" s="16"/>
      <c r="G327" s="8"/>
      <c r="H327" s="8"/>
      <c r="I327" s="8"/>
      <c r="J327" s="9"/>
      <c r="K327" s="9">
        <f t="shared" si="41"/>
        <v>0</v>
      </c>
      <c r="L327" s="35">
        <f t="shared" si="42"/>
        <v>0</v>
      </c>
      <c r="M327" s="2"/>
      <c r="O327" s="19"/>
      <c r="P327" s="19"/>
      <c r="Q327" s="19"/>
      <c r="R327" s="21"/>
      <c r="S327" s="46"/>
      <c r="T327" s="44"/>
      <c r="U327" s="77"/>
      <c r="V327" s="24"/>
      <c r="W327" s="24"/>
      <c r="X327" s="193"/>
      <c r="Y327" s="15"/>
    </row>
    <row r="328" spans="2:25" x14ac:dyDescent="0.25">
      <c r="B328" s="15">
        <v>235</v>
      </c>
      <c r="C328" s="8"/>
      <c r="E328" s="67"/>
      <c r="F328" s="16"/>
      <c r="G328" s="8"/>
      <c r="H328" s="8"/>
      <c r="I328" s="8"/>
      <c r="J328" s="9"/>
      <c r="K328" s="9">
        <f t="shared" si="41"/>
        <v>0</v>
      </c>
      <c r="L328" s="35">
        <f t="shared" si="42"/>
        <v>0</v>
      </c>
      <c r="M328" s="2"/>
      <c r="O328" s="19"/>
      <c r="P328" s="19"/>
      <c r="Q328" s="19"/>
      <c r="R328" s="21"/>
      <c r="S328" s="46"/>
      <c r="T328" s="44"/>
      <c r="U328" s="77"/>
      <c r="V328" s="24"/>
      <c r="W328" s="24"/>
      <c r="X328" s="193"/>
      <c r="Y328" s="15"/>
    </row>
    <row r="329" spans="2:25" x14ac:dyDescent="0.25">
      <c r="B329" s="15">
        <v>235</v>
      </c>
      <c r="K329" s="9">
        <f t="shared" si="41"/>
        <v>0</v>
      </c>
      <c r="L329" s="35">
        <f t="shared" si="42"/>
        <v>0</v>
      </c>
      <c r="T329" s="44"/>
      <c r="U329" s="77"/>
      <c r="V329" s="24"/>
      <c r="W329" s="24"/>
      <c r="X329" s="193"/>
      <c r="Y329" s="15"/>
    </row>
    <row r="330" spans="2:25" x14ac:dyDescent="0.25">
      <c r="B330" s="15">
        <v>235</v>
      </c>
      <c r="K330" s="9">
        <f t="shared" si="41"/>
        <v>0</v>
      </c>
      <c r="L330" s="35">
        <f t="shared" si="42"/>
        <v>0</v>
      </c>
      <c r="T330" s="44"/>
      <c r="U330" s="77"/>
      <c r="V330" s="24"/>
      <c r="W330" s="24"/>
      <c r="X330" s="193"/>
      <c r="Y330" s="15"/>
    </row>
    <row r="331" spans="2:25" x14ac:dyDescent="0.25">
      <c r="B331" s="15">
        <v>235</v>
      </c>
      <c r="K331" s="9">
        <f t="shared" si="41"/>
        <v>0</v>
      </c>
      <c r="L331" s="35">
        <f t="shared" si="42"/>
        <v>0</v>
      </c>
      <c r="T331" s="44"/>
      <c r="U331" s="77"/>
      <c r="V331" s="24"/>
      <c r="W331" s="24"/>
      <c r="X331" s="193"/>
      <c r="Y331" s="15"/>
    </row>
    <row r="332" spans="2:25" x14ac:dyDescent="0.25">
      <c r="B332" s="15">
        <v>235</v>
      </c>
      <c r="K332" s="9">
        <f t="shared" si="41"/>
        <v>0</v>
      </c>
      <c r="L332" s="35">
        <f t="shared" si="42"/>
        <v>0</v>
      </c>
      <c r="T332" s="44"/>
      <c r="U332" s="77"/>
      <c r="V332" s="24"/>
      <c r="W332" s="24"/>
      <c r="X332" s="193"/>
      <c r="Y332" s="15"/>
    </row>
    <row r="333" spans="2:25" x14ac:dyDescent="0.25">
      <c r="B333" s="15">
        <v>235</v>
      </c>
      <c r="K333" s="9">
        <f t="shared" si="41"/>
        <v>0</v>
      </c>
      <c r="L333" s="35">
        <f t="shared" si="42"/>
        <v>0</v>
      </c>
      <c r="T333" s="44"/>
      <c r="U333" s="77"/>
      <c r="V333" s="24"/>
      <c r="W333" s="24"/>
      <c r="X333" s="193"/>
      <c r="Y333" s="15"/>
    </row>
    <row r="334" spans="2:25" x14ac:dyDescent="0.25">
      <c r="B334" s="15">
        <v>235</v>
      </c>
      <c r="K334" s="9">
        <f t="shared" si="41"/>
        <v>0</v>
      </c>
      <c r="L334" s="35">
        <f t="shared" si="42"/>
        <v>0</v>
      </c>
      <c r="T334" s="44"/>
      <c r="U334" s="77"/>
      <c r="V334" s="24"/>
      <c r="W334" s="24"/>
      <c r="X334" s="193"/>
      <c r="Y334" s="15"/>
    </row>
    <row r="335" spans="2:25" x14ac:dyDescent="0.25">
      <c r="B335" s="15">
        <v>235</v>
      </c>
      <c r="K335" s="9">
        <f t="shared" si="41"/>
        <v>0</v>
      </c>
      <c r="L335" s="35">
        <f t="shared" si="42"/>
        <v>0</v>
      </c>
      <c r="T335" s="44"/>
      <c r="U335" s="77"/>
      <c r="V335" s="24"/>
      <c r="W335" s="24"/>
      <c r="X335" s="193"/>
      <c r="Y335" s="15"/>
    </row>
    <row r="336" spans="2:25" x14ac:dyDescent="0.25">
      <c r="B336" t="s">
        <v>184</v>
      </c>
      <c r="K336" s="9">
        <f t="shared" si="41"/>
        <v>0</v>
      </c>
      <c r="L336" s="35">
        <f t="shared" si="42"/>
        <v>0</v>
      </c>
      <c r="T336" s="44"/>
      <c r="U336" s="77"/>
      <c r="V336" s="24"/>
      <c r="W336" s="24"/>
      <c r="X336" s="193"/>
      <c r="Y336" s="15"/>
    </row>
    <row r="337" spans="2:25" x14ac:dyDescent="0.25">
      <c r="B337" s="15">
        <v>247</v>
      </c>
      <c r="C337" s="8"/>
      <c r="E337" s="67"/>
      <c r="F337" s="16"/>
      <c r="G337" s="8"/>
      <c r="H337" s="8"/>
      <c r="I337" s="8"/>
      <c r="J337" s="9"/>
      <c r="K337" s="9">
        <f t="shared" si="41"/>
        <v>0</v>
      </c>
      <c r="L337" s="35">
        <f t="shared" si="42"/>
        <v>0</v>
      </c>
      <c r="M337" s="2"/>
      <c r="O337" s="19"/>
      <c r="P337" s="19"/>
      <c r="Q337" s="19"/>
      <c r="R337" s="21"/>
      <c r="S337" s="46"/>
      <c r="T337" s="44"/>
      <c r="U337" s="77"/>
      <c r="V337" s="24"/>
      <c r="W337" s="24"/>
      <c r="X337" s="193"/>
      <c r="Y337" s="15"/>
    </row>
    <row r="338" spans="2:25" x14ac:dyDescent="0.25">
      <c r="B338" s="15"/>
      <c r="C338" s="8"/>
      <c r="E338" s="67"/>
      <c r="F338" s="16"/>
      <c r="G338" s="8"/>
      <c r="H338" s="8"/>
      <c r="I338" s="8"/>
      <c r="J338" s="9"/>
      <c r="K338" s="9">
        <f t="shared" si="41"/>
        <v>0</v>
      </c>
      <c r="L338" s="35">
        <f t="shared" si="42"/>
        <v>0</v>
      </c>
      <c r="M338" s="2"/>
      <c r="O338" s="19"/>
      <c r="P338" s="19"/>
      <c r="Q338" s="19"/>
      <c r="R338" s="21"/>
      <c r="S338" s="46"/>
      <c r="T338" s="44"/>
      <c r="U338" s="77"/>
      <c r="V338" s="24"/>
      <c r="W338" s="24"/>
      <c r="X338" s="193"/>
      <c r="Y338" s="15"/>
    </row>
    <row r="339" spans="2:25" x14ac:dyDescent="0.25">
      <c r="B339" s="15"/>
      <c r="C339" s="8"/>
      <c r="E339" s="67"/>
      <c r="F339" s="16"/>
      <c r="G339" s="8"/>
      <c r="H339" s="8"/>
      <c r="I339" s="8"/>
      <c r="J339" s="9"/>
      <c r="K339" s="9">
        <f t="shared" si="41"/>
        <v>0</v>
      </c>
      <c r="L339" s="35">
        <f t="shared" si="42"/>
        <v>0</v>
      </c>
      <c r="M339" s="2"/>
      <c r="O339" s="19"/>
      <c r="P339" s="19"/>
      <c r="Q339" s="19"/>
      <c r="R339" s="21"/>
      <c r="S339" s="46"/>
      <c r="T339" s="44"/>
      <c r="U339" s="77"/>
      <c r="V339" s="24"/>
      <c r="W339" s="24"/>
      <c r="X339" s="193"/>
      <c r="Y339" s="15"/>
    </row>
    <row r="340" spans="2:25" x14ac:dyDescent="0.25">
      <c r="B340" s="15"/>
      <c r="C340" s="8"/>
      <c r="E340" s="67"/>
      <c r="F340" s="16"/>
      <c r="G340" s="8"/>
      <c r="H340" s="8"/>
      <c r="I340" s="8"/>
      <c r="J340" s="9"/>
      <c r="K340" s="9">
        <f t="shared" si="41"/>
        <v>0</v>
      </c>
      <c r="L340" s="35">
        <f t="shared" si="42"/>
        <v>0</v>
      </c>
      <c r="M340" s="2"/>
      <c r="O340" s="19"/>
      <c r="P340" s="19"/>
      <c r="Q340" s="19"/>
      <c r="R340" s="21"/>
      <c r="S340" s="46"/>
      <c r="T340" s="44"/>
      <c r="U340" s="77"/>
      <c r="V340" s="24"/>
      <c r="W340" s="24"/>
      <c r="X340" s="193"/>
      <c r="Y340" s="15"/>
    </row>
    <row r="341" spans="2:25" x14ac:dyDescent="0.25">
      <c r="B341" s="15"/>
      <c r="C341" s="8"/>
      <c r="E341" s="67"/>
      <c r="F341" s="16"/>
      <c r="G341" s="8"/>
      <c r="H341" s="8"/>
      <c r="I341" s="8"/>
      <c r="J341" s="9"/>
      <c r="K341" s="9">
        <f t="shared" si="41"/>
        <v>0</v>
      </c>
      <c r="L341" s="35">
        <f t="shared" si="42"/>
        <v>0</v>
      </c>
      <c r="M341" s="2"/>
      <c r="O341" s="19"/>
      <c r="P341" s="19"/>
      <c r="Q341" s="19"/>
      <c r="R341" s="21"/>
      <c r="S341" s="46"/>
      <c r="T341" s="44"/>
      <c r="U341" s="77"/>
      <c r="V341" s="24"/>
      <c r="W341" s="24"/>
      <c r="X341" s="193"/>
      <c r="Y341" s="15"/>
    </row>
    <row r="342" spans="2:25" x14ac:dyDescent="0.25">
      <c r="B342" s="15"/>
      <c r="C342" s="8"/>
      <c r="E342" s="67"/>
      <c r="F342" s="16"/>
      <c r="G342" s="8"/>
      <c r="H342" s="8"/>
      <c r="I342" s="8"/>
      <c r="J342" s="9"/>
      <c r="K342" s="9">
        <f t="shared" si="41"/>
        <v>0</v>
      </c>
      <c r="L342" s="35">
        <f t="shared" si="42"/>
        <v>0</v>
      </c>
      <c r="M342" s="2"/>
      <c r="O342" s="19"/>
      <c r="P342" s="19"/>
      <c r="Q342" s="19"/>
      <c r="R342" s="21"/>
      <c r="S342" s="46"/>
      <c r="T342" s="44"/>
      <c r="U342" s="77"/>
      <c r="V342" s="24"/>
      <c r="W342" s="24"/>
      <c r="X342" s="193"/>
      <c r="Y342" s="15"/>
    </row>
    <row r="343" spans="2:25" x14ac:dyDescent="0.25">
      <c r="B343" s="15"/>
      <c r="C343" s="8"/>
      <c r="E343" s="67"/>
      <c r="F343" s="16"/>
      <c r="G343" s="8"/>
      <c r="H343" s="8"/>
      <c r="I343" s="8"/>
      <c r="J343" s="9"/>
      <c r="K343" s="9">
        <f t="shared" si="41"/>
        <v>0</v>
      </c>
      <c r="L343" s="35">
        <f t="shared" si="42"/>
        <v>0</v>
      </c>
      <c r="M343" s="2"/>
      <c r="O343" s="19"/>
      <c r="P343" s="19"/>
      <c r="Q343" s="19"/>
      <c r="R343" s="21"/>
      <c r="S343" s="46"/>
      <c r="T343" s="44"/>
      <c r="U343" s="77"/>
      <c r="V343" s="24"/>
      <c r="W343" s="24"/>
      <c r="X343" s="193"/>
      <c r="Y343" s="15"/>
    </row>
    <row r="344" spans="2:25" x14ac:dyDescent="0.25">
      <c r="B344" s="15"/>
      <c r="C344" s="8"/>
      <c r="E344" s="67"/>
      <c r="F344" s="16"/>
      <c r="G344" s="8"/>
      <c r="H344" s="8"/>
      <c r="I344" s="8"/>
      <c r="J344" s="9"/>
      <c r="K344" s="9">
        <f t="shared" si="41"/>
        <v>0</v>
      </c>
      <c r="L344" s="35">
        <f t="shared" si="42"/>
        <v>0</v>
      </c>
      <c r="M344" s="2"/>
      <c r="O344" s="19"/>
      <c r="P344" s="19"/>
      <c r="Q344" s="19"/>
      <c r="R344" s="21"/>
      <c r="S344" s="46"/>
      <c r="T344" s="44"/>
      <c r="U344" s="77"/>
      <c r="V344" s="24"/>
      <c r="W344" s="24"/>
      <c r="X344" s="193"/>
      <c r="Y344" s="15"/>
    </row>
    <row r="345" spans="2:25" x14ac:dyDescent="0.25">
      <c r="B345" s="15"/>
      <c r="C345" s="8"/>
      <c r="E345" s="67"/>
      <c r="F345" s="16"/>
      <c r="G345" s="8"/>
      <c r="H345" s="8"/>
      <c r="I345" s="8"/>
      <c r="J345" s="9"/>
      <c r="K345" s="9">
        <f t="shared" si="41"/>
        <v>0</v>
      </c>
      <c r="L345" s="35">
        <f t="shared" si="42"/>
        <v>0</v>
      </c>
      <c r="M345" s="2"/>
      <c r="O345" s="19"/>
      <c r="P345" s="19"/>
      <c r="Q345" s="19"/>
      <c r="R345" s="21"/>
      <c r="S345" s="46"/>
      <c r="T345" s="44"/>
      <c r="U345" s="77"/>
      <c r="V345" s="24"/>
      <c r="W345" s="24"/>
      <c r="X345" s="193"/>
      <c r="Y345" s="15"/>
    </row>
    <row r="346" spans="2:25" x14ac:dyDescent="0.25">
      <c r="B346" s="15"/>
      <c r="C346" s="8"/>
      <c r="E346" s="67"/>
      <c r="F346" s="16"/>
      <c r="G346" s="8"/>
      <c r="H346" s="8"/>
      <c r="I346" s="8"/>
      <c r="J346" s="9"/>
      <c r="K346" s="9">
        <f t="shared" si="41"/>
        <v>0</v>
      </c>
      <c r="L346" s="35">
        <f t="shared" si="42"/>
        <v>0</v>
      </c>
      <c r="M346" s="2"/>
      <c r="O346" s="19"/>
      <c r="P346" s="19"/>
      <c r="Q346" s="19"/>
      <c r="R346" s="21"/>
      <c r="S346" s="46"/>
      <c r="T346" s="44"/>
      <c r="U346" s="77"/>
      <c r="V346" s="24"/>
      <c r="W346" s="24"/>
      <c r="X346" s="193"/>
      <c r="Y346" s="15"/>
    </row>
    <row r="347" spans="2:25" x14ac:dyDescent="0.25">
      <c r="B347" s="15"/>
      <c r="C347" s="8"/>
      <c r="E347" s="67"/>
      <c r="F347" s="16"/>
      <c r="G347" s="8"/>
      <c r="H347" s="8"/>
      <c r="I347" s="8"/>
      <c r="J347" s="9"/>
      <c r="K347" s="9">
        <f t="shared" si="41"/>
        <v>0</v>
      </c>
      <c r="L347" s="35">
        <f t="shared" si="42"/>
        <v>0</v>
      </c>
      <c r="M347" s="2"/>
      <c r="O347" s="19"/>
      <c r="P347" s="19"/>
      <c r="Q347" s="19"/>
      <c r="R347" s="21"/>
      <c r="S347" s="46"/>
      <c r="T347" s="44"/>
      <c r="U347" s="77"/>
      <c r="V347" s="24"/>
      <c r="W347" s="24"/>
      <c r="X347" s="193"/>
      <c r="Y347" s="15"/>
    </row>
    <row r="348" spans="2:25" x14ac:dyDescent="0.25">
      <c r="B348" s="15"/>
      <c r="C348" s="8"/>
      <c r="E348" s="67"/>
      <c r="F348" s="16"/>
      <c r="G348" s="8"/>
      <c r="H348" s="8"/>
      <c r="I348" s="8"/>
      <c r="J348" s="9"/>
      <c r="K348" s="9">
        <f t="shared" si="41"/>
        <v>0</v>
      </c>
      <c r="L348" s="35">
        <f t="shared" si="42"/>
        <v>0</v>
      </c>
      <c r="M348" s="2"/>
      <c r="O348" s="19"/>
      <c r="P348" s="19"/>
      <c r="Q348" s="19"/>
      <c r="R348" s="21"/>
      <c r="S348" s="46"/>
      <c r="T348" s="44"/>
      <c r="U348" s="77"/>
      <c r="V348" s="24"/>
      <c r="W348" s="24"/>
      <c r="X348" s="193"/>
      <c r="Y348" s="15"/>
    </row>
    <row r="349" spans="2:25" x14ac:dyDescent="0.25">
      <c r="B349" s="15"/>
      <c r="C349" s="8"/>
      <c r="E349" s="67"/>
      <c r="F349" s="16"/>
      <c r="G349" s="8"/>
      <c r="H349" s="8"/>
      <c r="I349" s="8"/>
      <c r="J349" s="9"/>
      <c r="K349" s="9">
        <f t="shared" si="41"/>
        <v>0</v>
      </c>
      <c r="L349" s="35">
        <f t="shared" si="42"/>
        <v>0</v>
      </c>
      <c r="M349" s="2"/>
      <c r="O349" s="19"/>
      <c r="P349" s="19"/>
      <c r="Q349" s="19"/>
      <c r="R349" s="21"/>
      <c r="S349" s="46"/>
      <c r="T349" s="44"/>
      <c r="U349" s="77"/>
      <c r="V349" s="24"/>
      <c r="W349" s="24"/>
      <c r="X349" s="193"/>
      <c r="Y349" s="15"/>
    </row>
    <row r="350" spans="2:25" x14ac:dyDescent="0.25">
      <c r="B350" s="15"/>
      <c r="C350" s="8"/>
      <c r="E350" s="67"/>
      <c r="F350" s="16"/>
      <c r="G350" s="8"/>
      <c r="H350" s="8"/>
      <c r="I350" s="8"/>
      <c r="J350" s="9"/>
      <c r="K350" s="9">
        <f t="shared" si="41"/>
        <v>0</v>
      </c>
      <c r="L350" s="35">
        <f t="shared" si="42"/>
        <v>0</v>
      </c>
      <c r="M350" s="2"/>
      <c r="O350" s="19"/>
      <c r="P350" s="19"/>
      <c r="Q350" s="19"/>
      <c r="R350" s="21"/>
      <c r="S350" s="46"/>
      <c r="T350" s="44"/>
      <c r="U350" s="77"/>
      <c r="V350" s="24"/>
      <c r="W350" s="24"/>
      <c r="X350" s="193"/>
      <c r="Y350" s="15"/>
    </row>
    <row r="351" spans="2:25" x14ac:dyDescent="0.25">
      <c r="B351" s="15"/>
      <c r="C351" s="8"/>
      <c r="E351" s="67"/>
      <c r="F351" s="16"/>
      <c r="G351" s="8"/>
      <c r="H351" s="8"/>
      <c r="I351" s="8"/>
      <c r="J351" s="9"/>
      <c r="K351" s="9">
        <f t="shared" si="41"/>
        <v>0</v>
      </c>
      <c r="L351" s="35">
        <f t="shared" si="42"/>
        <v>0</v>
      </c>
      <c r="M351" s="2"/>
      <c r="O351" s="19"/>
      <c r="P351" s="19"/>
      <c r="Q351" s="19"/>
      <c r="R351" s="21"/>
      <c r="S351" s="46"/>
      <c r="T351" s="44"/>
      <c r="U351" s="77"/>
      <c r="V351" s="24"/>
      <c r="W351" s="390"/>
      <c r="X351" s="193"/>
      <c r="Y351" s="15"/>
    </row>
    <row r="352" spans="2:25" x14ac:dyDescent="0.25">
      <c r="B352" s="15"/>
      <c r="C352" s="8"/>
      <c r="E352" s="67"/>
      <c r="F352" s="16"/>
      <c r="G352" s="8"/>
      <c r="H352" s="8"/>
      <c r="I352" s="8"/>
      <c r="J352" s="9"/>
      <c r="K352" s="9">
        <f t="shared" si="41"/>
        <v>0</v>
      </c>
      <c r="L352" s="35">
        <f t="shared" si="42"/>
        <v>0</v>
      </c>
      <c r="M352" s="2"/>
      <c r="O352" s="19"/>
      <c r="P352" s="19"/>
      <c r="Q352" s="19"/>
      <c r="R352" s="21"/>
      <c r="S352" s="46"/>
      <c r="T352" s="44"/>
      <c r="U352" s="77"/>
      <c r="V352" s="24"/>
      <c r="X352" s="193"/>
      <c r="Y352" s="15"/>
    </row>
    <row r="353" spans="2:25" x14ac:dyDescent="0.25">
      <c r="B353" s="15"/>
      <c r="C353" s="8"/>
      <c r="E353" s="67"/>
      <c r="F353" s="16"/>
      <c r="G353" s="8"/>
      <c r="H353" s="8"/>
      <c r="I353" s="8"/>
      <c r="J353" s="9"/>
      <c r="K353" s="9">
        <f t="shared" si="41"/>
        <v>0</v>
      </c>
      <c r="L353" s="35">
        <f t="shared" si="42"/>
        <v>0</v>
      </c>
      <c r="M353" s="2"/>
      <c r="O353" s="19"/>
      <c r="P353" s="19"/>
      <c r="Q353" s="19"/>
      <c r="R353" s="21"/>
      <c r="S353" s="46"/>
      <c r="T353" s="44"/>
      <c r="U353" s="77"/>
      <c r="V353" s="24"/>
      <c r="X353" s="193"/>
      <c r="Y353" s="15"/>
    </row>
    <row r="354" spans="2:25" x14ac:dyDescent="0.25">
      <c r="B354" s="15"/>
      <c r="C354" s="8"/>
      <c r="E354" s="67"/>
      <c r="F354" s="16"/>
      <c r="G354" s="8"/>
      <c r="H354" s="8"/>
      <c r="I354" s="8"/>
      <c r="J354" s="9"/>
      <c r="K354" s="9">
        <f t="shared" si="41"/>
        <v>0</v>
      </c>
      <c r="L354" s="35">
        <f t="shared" si="42"/>
        <v>0</v>
      </c>
      <c r="M354" s="2"/>
      <c r="O354" s="19"/>
      <c r="P354" s="19"/>
      <c r="Q354" s="19"/>
      <c r="R354" s="21"/>
      <c r="S354" s="46"/>
      <c r="T354" s="44"/>
      <c r="U354" s="77"/>
      <c r="V354" s="24"/>
      <c r="X354" s="193"/>
      <c r="Y354" s="15"/>
    </row>
  </sheetData>
  <mergeCells count="15">
    <mergeCell ref="AB69:AB74"/>
    <mergeCell ref="AB75:AC75"/>
    <mergeCell ref="AB33:AB38"/>
    <mergeCell ref="AB39:AB44"/>
    <mergeCell ref="AB45:AB50"/>
    <mergeCell ref="AB51:AB56"/>
    <mergeCell ref="AB57:AB62"/>
    <mergeCell ref="AB63:AB68"/>
    <mergeCell ref="AB21:AB26"/>
    <mergeCell ref="AB27:AB32"/>
    <mergeCell ref="AB1:AS1"/>
    <mergeCell ref="AB2:AC2"/>
    <mergeCell ref="AB3:AB8"/>
    <mergeCell ref="AB9:AB14"/>
    <mergeCell ref="AB15:AB20"/>
  </mergeCells>
  <phoneticPr fontId="7" type="noConversion"/>
  <conditionalFormatting sqref="U1:U1048576 X1:X1048576">
    <cfRule type="cellIs" dxfId="7" priority="1" operator="equal">
      <formula>"마케팅"</formula>
    </cfRule>
  </conditionalFormatting>
  <dataValidations count="10">
    <dataValidation type="list" allowBlank="1" showInputMessage="1" showErrorMessage="1" sqref="S188:S284 S36 S39:S185 S337:S354 S305:S328 S3:S33" xr:uid="{58A64B7F-DD23-4E3D-841F-6CE020D39309}">
      <formula1>"(주)그랜드썬기술단, (주)그랜드썬,지에스피,유지에스"</formula1>
    </dataValidation>
    <dataValidation type="list" allowBlank="1" showInputMessage="1" showErrorMessage="1" sqref="U159:U301 U156 U305:U354 U3:U151" xr:uid="{90C02686-C975-4CF3-AEBD-DC56181BD749}">
      <formula1>"소개,그 외"</formula1>
    </dataValidation>
    <dataValidation type="list" allowBlank="1" showInputMessage="1" showErrorMessage="1" sqref="D66:D301 D337:D354 D305:D328 D3:D64" xr:uid="{45D23046-C9A3-494C-A1C4-416FCC9BDF89}">
      <formula1>"기존시설물(A),일반부지(B),수면(C)"</formula1>
    </dataValidation>
    <dataValidation type="list" allowBlank="1" showInputMessage="1" showErrorMessage="1" sqref="C303:C328 C337:C354 C3:C301" xr:uid="{EEC7B12D-731C-4CCD-AD7B-B6766F2F09BF}">
      <formula1>"직영(가),외주(나),입찰(다),검토(라)"</formula1>
    </dataValidation>
    <dataValidation type="list" allowBlank="1" showInputMessage="1" showErrorMessage="1" sqref="X154:X301 X127:X152 X305:X354 X3:X125" xr:uid="{BCDCC891-46F7-4077-9FB7-9981854ED808}">
      <formula1>"산단,공장,창고,축사,근생,자원순환,토지,업무시설"</formula1>
    </dataValidation>
    <dataValidation type="list" allowBlank="1" showInputMessage="1" showErrorMessage="1" sqref="Y305:Y354 Y3:Y301" xr:uid="{FA178844-C8EA-4EA5-9645-42E138A3A1E2}">
      <formula1>"유지,보류,취소"</formula1>
    </dataValidation>
    <dataValidation type="list" allowBlank="1" showInputMessage="1" showErrorMessage="1" sqref="Q252:Q318 Q3:Q250" xr:uid="{EEEEFABA-F19B-4765-803A-D7D1CB084FED}">
      <formula1>"경기,강원,충남,충북,서울,인천,대전,세종,경남,경북,전남,전북,부산,대구,울산,제주,광주"</formula1>
    </dataValidation>
    <dataValidation type="list" allowBlank="1" showInputMessage="1" showErrorMessage="1" sqref="X153" xr:uid="{55D75474-F255-4B9C-8034-9A684E6608D9}">
      <formula1>"산단,공장,창고,축사,근생,자원순환,토지,업무시설, 자동차관련시설"</formula1>
    </dataValidation>
    <dataValidation type="list" allowBlank="1" showInputMessage="1" showErrorMessage="1" sqref="X126" xr:uid="{AB8C9B15-1D4F-410F-94E8-DFBB82BA4D13}">
      <formula1>"산단,공장,창고,축사,근생,자원순환, 창고 및 판매시설,토지,업무시설"</formula1>
    </dataValidation>
    <dataValidation type="list" allowBlank="1" showInputMessage="1" showErrorMessage="1" sqref="S34:S35 S37:S38" xr:uid="{F0213B7E-4C02-4105-B52F-AF24577E7225}">
      <formula1>"(주)그랜드썬기술단, (주)그랜드썬,지에스피,유지에스,지에스이"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0EAF15-EB04-4A49-A6B3-59C81A937B42}">
          <x14:formula1>
            <xm:f>INDEX!$B$3:$B$6</xm:f>
          </x14:formula1>
          <xm:sqref>W3:W351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W354"/>
  <sheetViews>
    <sheetView zoomScale="70" zoomScaleNormal="70" workbookViewId="0">
      <pane ySplit="2" topLeftCell="A3" activePane="bottomLeft" state="frozen"/>
      <selection activeCell="W1" sqref="W1:W1048576"/>
      <selection pane="bottomLeft" activeCell="O28" sqref="O28"/>
    </sheetView>
  </sheetViews>
  <sheetFormatPr defaultRowHeight="13.5" x14ac:dyDescent="0.25"/>
  <cols>
    <col min="1" max="1" width="3.7109375" customWidth="1"/>
    <col min="2" max="3" width="10.7109375" customWidth="1"/>
    <col min="4" max="4" width="10.7109375" style="5" customWidth="1"/>
    <col min="5" max="5" width="10.7109375" style="70" customWidth="1"/>
    <col min="6" max="6" width="12.7109375" style="17" customWidth="1"/>
    <col min="7" max="8" width="10.7109375" customWidth="1"/>
    <col min="9" max="9" width="11.85546875" customWidth="1"/>
    <col min="10" max="11" width="15.7109375" style="4" customWidth="1"/>
    <col min="12" max="12" width="15.7109375" style="36" customWidth="1"/>
    <col min="13" max="13" width="15.7109375" style="4" customWidth="1"/>
    <col min="14" max="14" width="15.7109375" customWidth="1"/>
    <col min="15" max="15" width="30" bestFit="1" customWidth="1"/>
    <col min="16" max="17" width="6" customWidth="1"/>
    <col min="18" max="18" width="38.42578125" style="20" customWidth="1"/>
    <col min="19" max="19" width="20.7109375" customWidth="1"/>
    <col min="20" max="20" width="13.42578125" customWidth="1"/>
    <col min="21" max="21" width="9.140625" style="32"/>
    <col min="22" max="22" width="47" style="5" customWidth="1"/>
    <col min="23" max="23" width="9.140625" style="5" customWidth="1"/>
    <col min="24" max="24" width="9.140625" style="32"/>
    <col min="30" max="30" width="11.140625" customWidth="1"/>
    <col min="31" max="35" width="11.7109375" customWidth="1"/>
    <col min="36" max="40" width="11.7109375" style="124" customWidth="1"/>
    <col min="41" max="45" width="11.7109375" customWidth="1"/>
  </cols>
  <sheetData>
    <row r="1" spans="2:49" ht="27" thickBot="1" x14ac:dyDescent="0.3">
      <c r="B1" s="31"/>
      <c r="C1" s="31"/>
      <c r="D1" s="253"/>
      <c r="E1" s="68"/>
      <c r="G1" s="6"/>
      <c r="H1" s="6"/>
      <c r="I1" s="22"/>
      <c r="J1" s="7"/>
      <c r="K1" s="7"/>
      <c r="L1" s="33"/>
      <c r="M1" s="7"/>
      <c r="N1" s="7"/>
      <c r="U1" s="42"/>
      <c r="X1" s="42"/>
      <c r="AB1" s="494" t="s">
        <v>3</v>
      </c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6"/>
    </row>
    <row r="2" spans="2:49" ht="43.5" customHeight="1" thickTop="1" thickBot="1" x14ac:dyDescent="0.3">
      <c r="B2" s="14" t="s">
        <v>0</v>
      </c>
      <c r="C2" s="66" t="s">
        <v>66</v>
      </c>
      <c r="D2" s="66" t="s">
        <v>67</v>
      </c>
      <c r="E2" s="69" t="s">
        <v>68</v>
      </c>
      <c r="F2" s="18" t="s">
        <v>1</v>
      </c>
      <c r="G2" s="10" t="s">
        <v>18</v>
      </c>
      <c r="H2" s="10" t="s">
        <v>17</v>
      </c>
      <c r="I2" s="11" t="s">
        <v>2</v>
      </c>
      <c r="J2" s="12" t="s">
        <v>16</v>
      </c>
      <c r="K2" s="12" t="s">
        <v>4</v>
      </c>
      <c r="L2" s="34" t="s">
        <v>44</v>
      </c>
      <c r="M2" s="37" t="s">
        <v>25</v>
      </c>
      <c r="N2" s="10" t="s">
        <v>22</v>
      </c>
      <c r="O2" s="10" t="s">
        <v>24</v>
      </c>
      <c r="P2" s="10" t="s">
        <v>42</v>
      </c>
      <c r="Q2" s="10" t="s">
        <v>206</v>
      </c>
      <c r="R2" s="10" t="s">
        <v>23</v>
      </c>
      <c r="S2" s="13" t="s">
        <v>5</v>
      </c>
      <c r="T2" s="23" t="s">
        <v>33</v>
      </c>
      <c r="U2" s="198" t="s">
        <v>48</v>
      </c>
      <c r="V2" s="14" t="s">
        <v>32</v>
      </c>
      <c r="W2" s="14" t="s">
        <v>1152</v>
      </c>
      <c r="X2" s="198" t="s">
        <v>149</v>
      </c>
      <c r="Y2" s="103" t="s">
        <v>161</v>
      </c>
      <c r="AB2" s="491" t="s">
        <v>108</v>
      </c>
      <c r="AC2" s="492"/>
      <c r="AD2" s="106" t="s">
        <v>1</v>
      </c>
      <c r="AE2" s="107" t="s">
        <v>109</v>
      </c>
      <c r="AF2" s="108" t="s">
        <v>78</v>
      </c>
      <c r="AG2" s="108" t="s">
        <v>77</v>
      </c>
      <c r="AH2" s="108" t="s">
        <v>79</v>
      </c>
      <c r="AI2" s="109" t="s">
        <v>80</v>
      </c>
      <c r="AJ2" s="112" t="s">
        <v>110</v>
      </c>
      <c r="AK2" s="113" t="s">
        <v>78</v>
      </c>
      <c r="AL2" s="113" t="s">
        <v>77</v>
      </c>
      <c r="AM2" s="113" t="s">
        <v>79</v>
      </c>
      <c r="AN2" s="114" t="s">
        <v>80</v>
      </c>
      <c r="AO2" s="110" t="s">
        <v>111</v>
      </c>
      <c r="AP2" s="111" t="s">
        <v>78</v>
      </c>
      <c r="AQ2" s="111" t="s">
        <v>77</v>
      </c>
      <c r="AR2" s="111" t="s">
        <v>79</v>
      </c>
      <c r="AS2" s="111" t="s">
        <v>80</v>
      </c>
      <c r="AU2" s="146"/>
      <c r="AV2" s="147" t="s">
        <v>116</v>
      </c>
      <c r="AW2" s="148"/>
    </row>
    <row r="3" spans="2:49" s="8" customFormat="1" ht="13.5" customHeight="1" x14ac:dyDescent="0.25">
      <c r="B3" s="15">
        <v>1</v>
      </c>
      <c r="C3" s="8" t="s">
        <v>380</v>
      </c>
      <c r="D3" s="5" t="s">
        <v>246</v>
      </c>
      <c r="E3" s="67" t="s">
        <v>257</v>
      </c>
      <c r="F3" s="16" t="s">
        <v>908</v>
      </c>
      <c r="G3" s="8">
        <v>3</v>
      </c>
      <c r="H3" s="8">
        <v>4</v>
      </c>
      <c r="I3" s="8">
        <v>652.79999999999995</v>
      </c>
      <c r="J3" s="9"/>
      <c r="K3" s="9">
        <f t="shared" ref="K3:K66" si="0">J3*1.1</f>
        <v>0</v>
      </c>
      <c r="L3" s="35">
        <f t="shared" ref="L3:L66" si="1">J3*0.00000001</f>
        <v>0</v>
      </c>
      <c r="M3" s="2" t="s">
        <v>381</v>
      </c>
      <c r="N3" t="s">
        <v>381</v>
      </c>
      <c r="O3" s="19" t="s">
        <v>909</v>
      </c>
      <c r="P3" s="19">
        <v>1</v>
      </c>
      <c r="Q3" s="19" t="s">
        <v>248</v>
      </c>
      <c r="R3" s="385" t="s">
        <v>910</v>
      </c>
      <c r="S3" s="46" t="s">
        <v>250</v>
      </c>
      <c r="T3" s="81"/>
      <c r="U3" s="80" t="s">
        <v>252</v>
      </c>
      <c r="V3" s="78" t="s">
        <v>268</v>
      </c>
      <c r="W3" s="78"/>
      <c r="X3" s="192"/>
      <c r="Y3" s="15"/>
      <c r="AA3">
        <v>1</v>
      </c>
      <c r="AB3" s="486">
        <v>1</v>
      </c>
      <c r="AC3" s="89">
        <v>1</v>
      </c>
      <c r="AD3" s="95" t="s">
        <v>81</v>
      </c>
      <c r="AE3" s="39">
        <f>SUM(AF3:AI3)</f>
        <v>0</v>
      </c>
      <c r="AF3" s="65">
        <f>SUMIFS($I:$I,$C:$C, $AF$2,$G:$G,$AA3,$H:$H,$AC3)</f>
        <v>0</v>
      </c>
      <c r="AG3" s="65">
        <f>SUMIFS($I:$I,$C:$C, $AG$2,$G:$G,$AA3,$H:$H,$AC3)</f>
        <v>0</v>
      </c>
      <c r="AH3" s="65">
        <f>SUMIFS($I:$I,$C:$C, $AH$2,$G:$G,$AA3,$H:$H,$AC3)</f>
        <v>0</v>
      </c>
      <c r="AI3" s="104">
        <f>SUMIFS($I:$I,$C:$C, $AI$2,$G:$G,$AA3,$H:$H,$AC3)</f>
        <v>0</v>
      </c>
      <c r="AJ3" s="115">
        <f>SUM(AK3:AN3)</f>
        <v>0</v>
      </c>
      <c r="AK3" s="116">
        <f>COUNTIFS($C:$C, $AK$2,$G:$G,$AA3,$H:$H,$AC3)</f>
        <v>0</v>
      </c>
      <c r="AL3" s="116">
        <f>COUNTIFS($C:$C, $AL$2,$G:$G,$AA3,$H:$H,$AC3)</f>
        <v>0</v>
      </c>
      <c r="AM3" s="116">
        <f>COUNTIFS($C:$C, $AM$2,$G:$G,$AA3,$H:$H,$AC3)</f>
        <v>0</v>
      </c>
      <c r="AN3" s="117">
        <f>COUNTIFS($C:$C, $AN$2,$G:$G,$AA3,$H:$H,$AC3)</f>
        <v>0</v>
      </c>
      <c r="AO3" s="39">
        <f>SUM(AP3:AS3)</f>
        <v>0</v>
      </c>
      <c r="AP3" s="65">
        <f>SUMIFS($L:$L,$C:$C, $AP$2,$G:$G,$AA3,$H:$H,$AC3)</f>
        <v>0</v>
      </c>
      <c r="AQ3" s="65">
        <f>SUMIFS($L:$L,$C:$C, $AQ$2,$G:$G,$AA3,$H:$H,$AC3)</f>
        <v>0</v>
      </c>
      <c r="AR3" s="65">
        <f>SUMIFS($L:$L,$C:$C, $AR$2,$G:$G,$AA3,$H:$H,$AC3)</f>
        <v>0</v>
      </c>
      <c r="AS3" s="65">
        <f>SUMIFS($L:$L,$C:$C, $AS$2,$G:$G,$AA3,$H:$H,$AC3)</f>
        <v>0</v>
      </c>
      <c r="AU3" s="149" t="s">
        <v>117</v>
      </c>
      <c r="AV3" s="150" t="s">
        <v>118</v>
      </c>
      <c r="AW3" s="151" t="s">
        <v>119</v>
      </c>
    </row>
    <row r="4" spans="2:49" s="8" customFormat="1" ht="13.5" customHeight="1" x14ac:dyDescent="0.25">
      <c r="B4" s="15">
        <v>2</v>
      </c>
      <c r="D4" s="5"/>
      <c r="E4" s="67"/>
      <c r="F4" s="16"/>
      <c r="J4" s="9"/>
      <c r="K4" s="9"/>
      <c r="L4" s="35"/>
      <c r="M4" s="2"/>
      <c r="N4"/>
      <c r="O4" s="19"/>
      <c r="P4" s="19"/>
      <c r="Q4" s="19"/>
      <c r="R4" s="385"/>
      <c r="S4" s="46"/>
      <c r="T4" s="44"/>
      <c r="U4" s="76"/>
      <c r="V4" s="24"/>
      <c r="W4" s="24"/>
      <c r="X4" s="193"/>
      <c r="Y4" s="15"/>
      <c r="AA4">
        <v>1</v>
      </c>
      <c r="AB4" s="487"/>
      <c r="AC4" s="90">
        <v>2</v>
      </c>
      <c r="AD4" s="96" t="s">
        <v>54</v>
      </c>
      <c r="AE4" s="39">
        <f t="shared" ref="AE4:AE67" si="2">SUM(AF4:AI4)</f>
        <v>0</v>
      </c>
      <c r="AF4" s="65">
        <f t="shared" ref="AF4:AF67" si="3">SUMIFS($I:$I,$C:$C, $AF$2,$G:$G,$AA4,$H:$H,$AC4)</f>
        <v>0</v>
      </c>
      <c r="AG4" s="65">
        <f t="shared" ref="AG4:AG67" si="4">SUMIFS($I:$I,$C:$C, $AG$2,$G:$G,$AA4,$H:$H,$AC4)</f>
        <v>0</v>
      </c>
      <c r="AH4" s="65">
        <f t="shared" ref="AH4:AH67" si="5">SUMIFS($I:$I,$C:$C, $AH$2,$G:$G,$AA4,$H:$H,$AC4)</f>
        <v>0</v>
      </c>
      <c r="AI4" s="104">
        <f t="shared" ref="AI4:AI67" si="6">SUMIFS($I:$I,$C:$C, $AI$2,$G:$G,$AA4,$H:$H,$AC4)</f>
        <v>0</v>
      </c>
      <c r="AJ4" s="115">
        <f t="shared" ref="AJ4:AJ67" si="7">SUM(AK4:AN4)</f>
        <v>0</v>
      </c>
      <c r="AK4" s="116">
        <f t="shared" ref="AK4:AK67" si="8">COUNTIFS($C:$C, $AK$2,$G:$G,$AA4,$H:$H,$AC4)</f>
        <v>0</v>
      </c>
      <c r="AL4" s="116">
        <f t="shared" ref="AL4:AL67" si="9">COUNTIFS($C:$C, $AL$2,$G:$G,$AA4,$H:$H,$AC4)</f>
        <v>0</v>
      </c>
      <c r="AM4" s="116">
        <f t="shared" ref="AM4:AM67" si="10">COUNTIFS($C:$C, $AM$2,$G:$G,$AA4,$H:$H,$AC4)</f>
        <v>0</v>
      </c>
      <c r="AN4" s="117">
        <f t="shared" ref="AN4:AN67" si="11">COUNTIFS($C:$C, $AN$2,$G:$G,$AA4,$H:$H,$AC4)</f>
        <v>0</v>
      </c>
      <c r="AO4" s="39">
        <f t="shared" ref="AO4:AO67" si="12">SUM(AP4:AS4)</f>
        <v>0</v>
      </c>
      <c r="AP4" s="65">
        <f t="shared" ref="AP4:AP67" si="13">SUMIFS($L:$L,$C:$C, $AP$2,$G:$G,$AA4,$H:$H,$AC4)</f>
        <v>0</v>
      </c>
      <c r="AQ4" s="65">
        <f t="shared" ref="AQ4:AQ67" si="14">SUMIFS($L:$L,$C:$C, $AQ$2,$G:$G,$AA4,$H:$H,$AC4)</f>
        <v>0</v>
      </c>
      <c r="AR4" s="65">
        <f t="shared" ref="AR4:AR67" si="15">SUMIFS($L:$L,$C:$C, $AR$2,$G:$G,$AA4,$H:$H,$AC4)</f>
        <v>0</v>
      </c>
      <c r="AS4" s="65">
        <f t="shared" ref="AS4:AS67" si="16">SUMIFS($L:$L,$C:$C, $AS$2,$G:$G,$AA4,$H:$H,$AC4)</f>
        <v>0</v>
      </c>
      <c r="AU4" s="152">
        <v>1</v>
      </c>
      <c r="AV4" s="153">
        <f>COUNTIFS($U:$U,$AV$3,$G:$G,$AU4)</f>
        <v>0</v>
      </c>
      <c r="AW4" s="154">
        <f>COUNTIFS($U:$U,$AW$3,$G:$G,$AU4)</f>
        <v>0</v>
      </c>
    </row>
    <row r="5" spans="2:49" s="8" customFormat="1" ht="13.5" customHeight="1" x14ac:dyDescent="0.25">
      <c r="B5" s="15">
        <v>3</v>
      </c>
      <c r="D5" s="5"/>
      <c r="E5" s="67"/>
      <c r="F5" s="16"/>
      <c r="J5" s="9"/>
      <c r="K5" s="9">
        <f t="shared" si="0"/>
        <v>0</v>
      </c>
      <c r="L5" s="35">
        <f t="shared" si="1"/>
        <v>0</v>
      </c>
      <c r="M5" s="2"/>
      <c r="N5"/>
      <c r="O5" s="19"/>
      <c r="P5" s="19"/>
      <c r="Q5" s="19"/>
      <c r="R5" s="21"/>
      <c r="S5" s="46"/>
      <c r="T5" s="44"/>
      <c r="U5" s="76"/>
      <c r="V5" s="24"/>
      <c r="W5" s="24"/>
      <c r="X5" s="193"/>
      <c r="Y5" s="15"/>
      <c r="AA5">
        <v>1</v>
      </c>
      <c r="AB5" s="487"/>
      <c r="AC5" s="90">
        <v>3</v>
      </c>
      <c r="AD5" s="97" t="s">
        <v>55</v>
      </c>
      <c r="AE5" s="39">
        <f t="shared" si="2"/>
        <v>0</v>
      </c>
      <c r="AF5" s="65">
        <f t="shared" si="3"/>
        <v>0</v>
      </c>
      <c r="AG5" s="65">
        <f t="shared" si="4"/>
        <v>0</v>
      </c>
      <c r="AH5" s="65">
        <f t="shared" si="5"/>
        <v>0</v>
      </c>
      <c r="AI5" s="104">
        <f t="shared" si="6"/>
        <v>0</v>
      </c>
      <c r="AJ5" s="115">
        <f t="shared" si="7"/>
        <v>0</v>
      </c>
      <c r="AK5" s="116">
        <f t="shared" si="8"/>
        <v>0</v>
      </c>
      <c r="AL5" s="116">
        <f t="shared" si="9"/>
        <v>0</v>
      </c>
      <c r="AM5" s="116">
        <f t="shared" si="10"/>
        <v>0</v>
      </c>
      <c r="AN5" s="117">
        <f t="shared" si="11"/>
        <v>0</v>
      </c>
      <c r="AO5" s="39">
        <f t="shared" si="12"/>
        <v>0</v>
      </c>
      <c r="AP5" s="65">
        <f t="shared" si="13"/>
        <v>0</v>
      </c>
      <c r="AQ5" s="65">
        <f t="shared" si="14"/>
        <v>0</v>
      </c>
      <c r="AR5" s="65">
        <f t="shared" si="15"/>
        <v>0</v>
      </c>
      <c r="AS5" s="65">
        <f t="shared" si="16"/>
        <v>0</v>
      </c>
      <c r="AU5" s="152">
        <v>2</v>
      </c>
      <c r="AV5" s="153">
        <f t="shared" ref="AV5:AV15" si="17">COUNTIFS($U:$U,$AV$3,$G:$G,$AU5)</f>
        <v>0</v>
      </c>
      <c r="AW5" s="154">
        <f t="shared" ref="AW5:AW15" si="18">COUNTIFS($U:$U,$AW$3,$G:$G,$AU5)</f>
        <v>0</v>
      </c>
    </row>
    <row r="6" spans="2:49" s="8" customFormat="1" ht="13.5" customHeight="1" x14ac:dyDescent="0.25">
      <c r="B6" s="15">
        <v>4</v>
      </c>
      <c r="D6" s="5"/>
      <c r="E6" s="67"/>
      <c r="F6" s="16"/>
      <c r="J6" s="9"/>
      <c r="K6" s="9">
        <f t="shared" si="0"/>
        <v>0</v>
      </c>
      <c r="L6" s="35">
        <f t="shared" si="1"/>
        <v>0</v>
      </c>
      <c r="M6" s="2"/>
      <c r="N6" s="2"/>
      <c r="O6" s="19"/>
      <c r="P6" s="19"/>
      <c r="Q6" s="19"/>
      <c r="R6" s="21"/>
      <c r="S6" s="46"/>
      <c r="T6" s="44"/>
      <c r="U6" s="76"/>
      <c r="V6" s="24"/>
      <c r="W6" s="24"/>
      <c r="X6" s="193"/>
      <c r="Y6" s="15"/>
      <c r="AA6">
        <v>1</v>
      </c>
      <c r="AB6" s="487"/>
      <c r="AC6" s="90">
        <v>4</v>
      </c>
      <c r="AD6" s="97" t="s">
        <v>56</v>
      </c>
      <c r="AE6" s="39">
        <f t="shared" si="2"/>
        <v>0</v>
      </c>
      <c r="AF6" s="65">
        <f t="shared" si="3"/>
        <v>0</v>
      </c>
      <c r="AG6" s="65">
        <f t="shared" si="4"/>
        <v>0</v>
      </c>
      <c r="AH6" s="65">
        <f t="shared" si="5"/>
        <v>0</v>
      </c>
      <c r="AI6" s="104">
        <f t="shared" si="6"/>
        <v>0</v>
      </c>
      <c r="AJ6" s="115">
        <f t="shared" si="7"/>
        <v>0</v>
      </c>
      <c r="AK6" s="116">
        <f t="shared" si="8"/>
        <v>0</v>
      </c>
      <c r="AL6" s="116">
        <f t="shared" si="9"/>
        <v>0</v>
      </c>
      <c r="AM6" s="116">
        <f t="shared" si="10"/>
        <v>0</v>
      </c>
      <c r="AN6" s="117">
        <f t="shared" si="11"/>
        <v>0</v>
      </c>
      <c r="AO6" s="39">
        <f t="shared" si="12"/>
        <v>0</v>
      </c>
      <c r="AP6" s="65">
        <f t="shared" si="13"/>
        <v>0</v>
      </c>
      <c r="AQ6" s="65">
        <f t="shared" si="14"/>
        <v>0</v>
      </c>
      <c r="AR6" s="65">
        <f t="shared" si="15"/>
        <v>0</v>
      </c>
      <c r="AS6" s="65">
        <f t="shared" si="16"/>
        <v>0</v>
      </c>
      <c r="AU6" s="152">
        <v>3</v>
      </c>
      <c r="AV6" s="153">
        <f t="shared" si="17"/>
        <v>1</v>
      </c>
      <c r="AW6" s="154">
        <f t="shared" si="18"/>
        <v>0</v>
      </c>
    </row>
    <row r="7" spans="2:49" s="8" customFormat="1" ht="13.5" customHeight="1" x14ac:dyDescent="0.25">
      <c r="B7" s="15">
        <v>5</v>
      </c>
      <c r="D7" s="5"/>
      <c r="E7" s="67"/>
      <c r="F7" s="16"/>
      <c r="J7" s="9"/>
      <c r="K7" s="9">
        <f t="shared" si="0"/>
        <v>0</v>
      </c>
      <c r="L7" s="35">
        <f t="shared" si="1"/>
        <v>0</v>
      </c>
      <c r="M7" s="2"/>
      <c r="N7"/>
      <c r="O7" s="19"/>
      <c r="P7" s="19"/>
      <c r="Q7" s="19"/>
      <c r="R7" s="21"/>
      <c r="S7" s="46"/>
      <c r="T7" s="44"/>
      <c r="U7" s="76"/>
      <c r="V7" s="24"/>
      <c r="W7" s="24"/>
      <c r="X7" s="193"/>
      <c r="Y7" s="15"/>
      <c r="AA7">
        <v>1</v>
      </c>
      <c r="AB7" s="487"/>
      <c r="AC7" s="91">
        <v>5</v>
      </c>
      <c r="AD7" s="97" t="s">
        <v>57</v>
      </c>
      <c r="AE7" s="39">
        <f t="shared" si="2"/>
        <v>0</v>
      </c>
      <c r="AF7" s="65">
        <f t="shared" si="3"/>
        <v>0</v>
      </c>
      <c r="AG7" s="65">
        <f t="shared" si="4"/>
        <v>0</v>
      </c>
      <c r="AH7" s="65">
        <f t="shared" si="5"/>
        <v>0</v>
      </c>
      <c r="AI7" s="104">
        <f t="shared" si="6"/>
        <v>0</v>
      </c>
      <c r="AJ7" s="115">
        <f t="shared" si="7"/>
        <v>0</v>
      </c>
      <c r="AK7" s="116">
        <f t="shared" si="8"/>
        <v>0</v>
      </c>
      <c r="AL7" s="116">
        <f t="shared" si="9"/>
        <v>0</v>
      </c>
      <c r="AM7" s="116">
        <f t="shared" si="10"/>
        <v>0</v>
      </c>
      <c r="AN7" s="117">
        <f t="shared" si="11"/>
        <v>0</v>
      </c>
      <c r="AO7" s="39">
        <f t="shared" si="12"/>
        <v>0</v>
      </c>
      <c r="AP7" s="65">
        <f t="shared" si="13"/>
        <v>0</v>
      </c>
      <c r="AQ7" s="65">
        <f t="shared" si="14"/>
        <v>0</v>
      </c>
      <c r="AR7" s="65">
        <f t="shared" si="15"/>
        <v>0</v>
      </c>
      <c r="AS7" s="65">
        <f t="shared" si="16"/>
        <v>0</v>
      </c>
      <c r="AU7" s="152">
        <v>4</v>
      </c>
      <c r="AV7" s="153">
        <f t="shared" si="17"/>
        <v>0</v>
      </c>
      <c r="AW7" s="154">
        <f t="shared" si="18"/>
        <v>0</v>
      </c>
    </row>
    <row r="8" spans="2:49" s="8" customFormat="1" ht="13.5" customHeight="1" thickBot="1" x14ac:dyDescent="0.3">
      <c r="B8" s="15">
        <v>6</v>
      </c>
      <c r="D8" s="5"/>
      <c r="E8" s="67"/>
      <c r="F8" s="16"/>
      <c r="J8" s="9"/>
      <c r="K8" s="9">
        <f t="shared" si="0"/>
        <v>0</v>
      </c>
      <c r="L8" s="35">
        <f t="shared" si="1"/>
        <v>0</v>
      </c>
      <c r="M8" s="2"/>
      <c r="N8"/>
      <c r="O8" s="19"/>
      <c r="P8" s="19"/>
      <c r="Q8" s="19"/>
      <c r="R8" s="21"/>
      <c r="S8" s="46"/>
      <c r="T8" s="44"/>
      <c r="U8" s="76"/>
      <c r="V8" s="24"/>
      <c r="W8" s="24"/>
      <c r="X8" s="193"/>
      <c r="Y8" s="15"/>
      <c r="AA8">
        <v>1</v>
      </c>
      <c r="AB8" s="488"/>
      <c r="AC8" s="92" t="s">
        <v>3</v>
      </c>
      <c r="AD8" s="98"/>
      <c r="AE8" s="94">
        <f t="shared" ref="AE8:AS8" si="19">SUM(AE3:AE7)</f>
        <v>0</v>
      </c>
      <c r="AF8" s="94">
        <f t="shared" si="19"/>
        <v>0</v>
      </c>
      <c r="AG8" s="94">
        <f t="shared" si="19"/>
        <v>0</v>
      </c>
      <c r="AH8" s="94">
        <f t="shared" si="19"/>
        <v>0</v>
      </c>
      <c r="AI8" s="105">
        <f t="shared" si="19"/>
        <v>0</v>
      </c>
      <c r="AJ8" s="118">
        <f t="shared" si="19"/>
        <v>0</v>
      </c>
      <c r="AK8" s="119">
        <f t="shared" si="19"/>
        <v>0</v>
      </c>
      <c r="AL8" s="119">
        <f t="shared" si="19"/>
        <v>0</v>
      </c>
      <c r="AM8" s="119">
        <f t="shared" si="19"/>
        <v>0</v>
      </c>
      <c r="AN8" s="120">
        <f t="shared" si="19"/>
        <v>0</v>
      </c>
      <c r="AO8" s="94">
        <f t="shared" si="19"/>
        <v>0</v>
      </c>
      <c r="AP8" s="94">
        <f t="shared" si="19"/>
        <v>0</v>
      </c>
      <c r="AQ8" s="94">
        <f t="shared" si="19"/>
        <v>0</v>
      </c>
      <c r="AR8" s="94">
        <f t="shared" si="19"/>
        <v>0</v>
      </c>
      <c r="AS8" s="94">
        <f t="shared" si="19"/>
        <v>0</v>
      </c>
      <c r="AU8" s="152">
        <v>5</v>
      </c>
      <c r="AV8" s="153">
        <f t="shared" si="17"/>
        <v>0</v>
      </c>
      <c r="AW8" s="154">
        <f t="shared" si="18"/>
        <v>0</v>
      </c>
    </row>
    <row r="9" spans="2:49" s="8" customFormat="1" ht="13.5" customHeight="1" x14ac:dyDescent="0.25">
      <c r="B9" s="15">
        <v>7</v>
      </c>
      <c r="D9" s="5"/>
      <c r="E9" s="67"/>
      <c r="F9" s="16"/>
      <c r="J9" s="9"/>
      <c r="K9" s="9">
        <f t="shared" si="0"/>
        <v>0</v>
      </c>
      <c r="L9" s="35">
        <f t="shared" si="1"/>
        <v>0</v>
      </c>
      <c r="M9" s="2"/>
      <c r="N9"/>
      <c r="O9" s="19"/>
      <c r="P9" s="19"/>
      <c r="Q9" s="19"/>
      <c r="R9" s="21"/>
      <c r="S9" s="46"/>
      <c r="T9" s="44"/>
      <c r="U9" s="76"/>
      <c r="V9" s="24"/>
      <c r="W9" s="24"/>
      <c r="X9" s="193"/>
      <c r="Y9" s="15"/>
      <c r="AA9">
        <v>2</v>
      </c>
      <c r="AB9" s="486">
        <v>2</v>
      </c>
      <c r="AC9" s="89">
        <v>1</v>
      </c>
      <c r="AD9" s="99" t="s">
        <v>82</v>
      </c>
      <c r="AE9" s="39">
        <f t="shared" si="2"/>
        <v>0</v>
      </c>
      <c r="AF9" s="65">
        <f t="shared" si="3"/>
        <v>0</v>
      </c>
      <c r="AG9" s="65">
        <f t="shared" si="4"/>
        <v>0</v>
      </c>
      <c r="AH9" s="65">
        <f t="shared" si="5"/>
        <v>0</v>
      </c>
      <c r="AI9" s="104">
        <f t="shared" si="6"/>
        <v>0</v>
      </c>
      <c r="AJ9" s="115">
        <f t="shared" si="7"/>
        <v>0</v>
      </c>
      <c r="AK9" s="116">
        <f t="shared" si="8"/>
        <v>0</v>
      </c>
      <c r="AL9" s="116">
        <f t="shared" si="9"/>
        <v>0</v>
      </c>
      <c r="AM9" s="116">
        <f t="shared" si="10"/>
        <v>0</v>
      </c>
      <c r="AN9" s="117">
        <f t="shared" si="11"/>
        <v>0</v>
      </c>
      <c r="AO9" s="39">
        <f t="shared" si="12"/>
        <v>0</v>
      </c>
      <c r="AP9" s="65">
        <f t="shared" si="13"/>
        <v>0</v>
      </c>
      <c r="AQ9" s="65">
        <f t="shared" si="14"/>
        <v>0</v>
      </c>
      <c r="AR9" s="65">
        <f t="shared" si="15"/>
        <v>0</v>
      </c>
      <c r="AS9" s="65">
        <f t="shared" si="16"/>
        <v>0</v>
      </c>
      <c r="AU9" s="152">
        <v>6</v>
      </c>
      <c r="AV9" s="153">
        <f t="shared" si="17"/>
        <v>0</v>
      </c>
      <c r="AW9" s="154">
        <f t="shared" si="18"/>
        <v>0</v>
      </c>
    </row>
    <row r="10" spans="2:49" s="8" customFormat="1" ht="13.5" customHeight="1" x14ac:dyDescent="0.25">
      <c r="B10" s="15">
        <v>8</v>
      </c>
      <c r="D10" s="5"/>
      <c r="E10" s="67"/>
      <c r="F10" s="16"/>
      <c r="J10" s="9"/>
      <c r="K10" s="9">
        <f t="shared" si="0"/>
        <v>0</v>
      </c>
      <c r="L10" s="35">
        <f t="shared" si="1"/>
        <v>0</v>
      </c>
      <c r="M10" s="2"/>
      <c r="N10" s="2"/>
      <c r="O10" s="19"/>
      <c r="P10" s="19"/>
      <c r="Q10" s="19"/>
      <c r="R10" s="21"/>
      <c r="S10" s="46"/>
      <c r="T10" s="82"/>
      <c r="U10" s="76"/>
      <c r="V10" s="24"/>
      <c r="W10" s="24"/>
      <c r="X10" s="193"/>
      <c r="Y10" s="15"/>
      <c r="AA10">
        <v>2</v>
      </c>
      <c r="AB10" s="487"/>
      <c r="AC10" s="90">
        <v>2</v>
      </c>
      <c r="AD10" s="97" t="s">
        <v>58</v>
      </c>
      <c r="AE10" s="39">
        <f t="shared" si="2"/>
        <v>0</v>
      </c>
      <c r="AF10" s="65">
        <f t="shared" si="3"/>
        <v>0</v>
      </c>
      <c r="AG10" s="65">
        <f t="shared" si="4"/>
        <v>0</v>
      </c>
      <c r="AH10" s="65">
        <f t="shared" si="5"/>
        <v>0</v>
      </c>
      <c r="AI10" s="104">
        <f t="shared" si="6"/>
        <v>0</v>
      </c>
      <c r="AJ10" s="115">
        <f t="shared" si="7"/>
        <v>0</v>
      </c>
      <c r="AK10" s="116">
        <f t="shared" si="8"/>
        <v>0</v>
      </c>
      <c r="AL10" s="116">
        <f t="shared" si="9"/>
        <v>0</v>
      </c>
      <c r="AM10" s="116">
        <f t="shared" si="10"/>
        <v>0</v>
      </c>
      <c r="AN10" s="117">
        <f t="shared" si="11"/>
        <v>0</v>
      </c>
      <c r="AO10" s="39">
        <f t="shared" si="12"/>
        <v>0</v>
      </c>
      <c r="AP10" s="65">
        <f t="shared" si="13"/>
        <v>0</v>
      </c>
      <c r="AQ10" s="65">
        <f t="shared" si="14"/>
        <v>0</v>
      </c>
      <c r="AR10" s="65">
        <f t="shared" si="15"/>
        <v>0</v>
      </c>
      <c r="AS10" s="65">
        <f t="shared" si="16"/>
        <v>0</v>
      </c>
      <c r="AU10" s="152">
        <v>7</v>
      </c>
      <c r="AV10" s="153">
        <f t="shared" si="17"/>
        <v>0</v>
      </c>
      <c r="AW10" s="154">
        <f t="shared" si="18"/>
        <v>0</v>
      </c>
    </row>
    <row r="11" spans="2:49" s="8" customFormat="1" ht="13.5" customHeight="1" x14ac:dyDescent="0.25">
      <c r="B11" s="15">
        <v>9</v>
      </c>
      <c r="D11" s="5"/>
      <c r="E11" s="67"/>
      <c r="F11" s="16"/>
      <c r="J11" s="9"/>
      <c r="K11" s="9">
        <f t="shared" si="0"/>
        <v>0</v>
      </c>
      <c r="L11" s="35">
        <f t="shared" si="1"/>
        <v>0</v>
      </c>
      <c r="M11" s="2"/>
      <c r="N11"/>
      <c r="O11" s="19"/>
      <c r="P11" s="19"/>
      <c r="Q11" s="19"/>
      <c r="R11" s="21"/>
      <c r="S11" s="46"/>
      <c r="T11" s="44"/>
      <c r="U11" s="76"/>
      <c r="V11" s="24"/>
      <c r="W11" s="24"/>
      <c r="X11" s="193"/>
      <c r="Y11" s="15"/>
      <c r="AA11">
        <v>2</v>
      </c>
      <c r="AB11" s="487"/>
      <c r="AC11" s="90">
        <v>3</v>
      </c>
      <c r="AD11" s="97" t="s">
        <v>59</v>
      </c>
      <c r="AE11" s="39">
        <f t="shared" si="2"/>
        <v>0</v>
      </c>
      <c r="AF11" s="65">
        <f t="shared" si="3"/>
        <v>0</v>
      </c>
      <c r="AG11" s="65">
        <f t="shared" si="4"/>
        <v>0</v>
      </c>
      <c r="AH11" s="65">
        <f t="shared" si="5"/>
        <v>0</v>
      </c>
      <c r="AI11" s="104">
        <f t="shared" si="6"/>
        <v>0</v>
      </c>
      <c r="AJ11" s="115">
        <f t="shared" si="7"/>
        <v>0</v>
      </c>
      <c r="AK11" s="116">
        <f t="shared" si="8"/>
        <v>0</v>
      </c>
      <c r="AL11" s="116">
        <f t="shared" si="9"/>
        <v>0</v>
      </c>
      <c r="AM11" s="116">
        <f t="shared" si="10"/>
        <v>0</v>
      </c>
      <c r="AN11" s="117">
        <f t="shared" si="11"/>
        <v>0</v>
      </c>
      <c r="AO11" s="39">
        <f t="shared" si="12"/>
        <v>0</v>
      </c>
      <c r="AP11" s="65">
        <f t="shared" si="13"/>
        <v>0</v>
      </c>
      <c r="AQ11" s="65">
        <f t="shared" si="14"/>
        <v>0</v>
      </c>
      <c r="AR11" s="65">
        <f t="shared" si="15"/>
        <v>0</v>
      </c>
      <c r="AS11" s="65">
        <f t="shared" si="16"/>
        <v>0</v>
      </c>
      <c r="AU11" s="152">
        <v>8</v>
      </c>
      <c r="AV11" s="153">
        <f t="shared" si="17"/>
        <v>0</v>
      </c>
      <c r="AW11" s="154">
        <f t="shared" si="18"/>
        <v>0</v>
      </c>
    </row>
    <row r="12" spans="2:49" s="8" customFormat="1" ht="13.5" customHeight="1" x14ac:dyDescent="0.25">
      <c r="B12" s="15">
        <v>10</v>
      </c>
      <c r="D12" s="5"/>
      <c r="E12" s="67"/>
      <c r="F12" s="16"/>
      <c r="J12" s="9"/>
      <c r="K12" s="9">
        <f t="shared" si="0"/>
        <v>0</v>
      </c>
      <c r="L12" s="35">
        <f t="shared" si="1"/>
        <v>0</v>
      </c>
      <c r="M12" s="2"/>
      <c r="N12"/>
      <c r="O12" s="19"/>
      <c r="P12" s="19"/>
      <c r="Q12" s="19"/>
      <c r="R12" s="21"/>
      <c r="S12" s="46"/>
      <c r="T12" s="44"/>
      <c r="U12" s="76"/>
      <c r="V12" s="24"/>
      <c r="W12" s="24"/>
      <c r="X12" s="193"/>
      <c r="Y12" s="15"/>
      <c r="AA12">
        <v>2</v>
      </c>
      <c r="AB12" s="487"/>
      <c r="AC12" s="90">
        <v>4</v>
      </c>
      <c r="AD12" s="97" t="s">
        <v>60</v>
      </c>
      <c r="AE12" s="39">
        <f t="shared" si="2"/>
        <v>0</v>
      </c>
      <c r="AF12" s="65">
        <f t="shared" si="3"/>
        <v>0</v>
      </c>
      <c r="AG12" s="65">
        <f t="shared" si="4"/>
        <v>0</v>
      </c>
      <c r="AH12" s="65">
        <f t="shared" si="5"/>
        <v>0</v>
      </c>
      <c r="AI12" s="104">
        <f t="shared" si="6"/>
        <v>0</v>
      </c>
      <c r="AJ12" s="115">
        <f t="shared" si="7"/>
        <v>0</v>
      </c>
      <c r="AK12" s="116">
        <f t="shared" si="8"/>
        <v>0</v>
      </c>
      <c r="AL12" s="116">
        <f t="shared" si="9"/>
        <v>0</v>
      </c>
      <c r="AM12" s="116">
        <f t="shared" si="10"/>
        <v>0</v>
      </c>
      <c r="AN12" s="117">
        <f t="shared" si="11"/>
        <v>0</v>
      </c>
      <c r="AO12" s="39">
        <f t="shared" si="12"/>
        <v>0</v>
      </c>
      <c r="AP12" s="65">
        <f t="shared" si="13"/>
        <v>0</v>
      </c>
      <c r="AQ12" s="65">
        <f t="shared" si="14"/>
        <v>0</v>
      </c>
      <c r="AR12" s="65">
        <f t="shared" si="15"/>
        <v>0</v>
      </c>
      <c r="AS12" s="65">
        <f t="shared" si="16"/>
        <v>0</v>
      </c>
      <c r="AU12" s="152">
        <v>9</v>
      </c>
      <c r="AV12" s="153">
        <f t="shared" si="17"/>
        <v>0</v>
      </c>
      <c r="AW12" s="154">
        <f t="shared" si="18"/>
        <v>0</v>
      </c>
    </row>
    <row r="13" spans="2:49" s="8" customFormat="1" ht="13.5" customHeight="1" x14ac:dyDescent="0.25">
      <c r="B13" s="15">
        <v>11</v>
      </c>
      <c r="D13" s="5"/>
      <c r="E13" s="67"/>
      <c r="F13" s="16"/>
      <c r="J13" s="9"/>
      <c r="K13" s="9">
        <f t="shared" si="0"/>
        <v>0</v>
      </c>
      <c r="L13" s="35">
        <f t="shared" si="1"/>
        <v>0</v>
      </c>
      <c r="M13" s="2"/>
      <c r="N13"/>
      <c r="O13" s="19"/>
      <c r="P13" s="19"/>
      <c r="Q13" s="19"/>
      <c r="R13" s="21"/>
      <c r="S13" s="46"/>
      <c r="T13" s="44"/>
      <c r="U13" s="76"/>
      <c r="V13" s="24"/>
      <c r="W13" s="24"/>
      <c r="X13" s="193"/>
      <c r="Y13" s="15"/>
      <c r="AA13">
        <v>2</v>
      </c>
      <c r="AB13" s="487"/>
      <c r="AC13" s="91">
        <v>5</v>
      </c>
      <c r="AD13" s="97"/>
      <c r="AE13" s="39">
        <f t="shared" si="2"/>
        <v>0</v>
      </c>
      <c r="AF13" s="65">
        <f t="shared" si="3"/>
        <v>0</v>
      </c>
      <c r="AG13" s="65">
        <f t="shared" si="4"/>
        <v>0</v>
      </c>
      <c r="AH13" s="65">
        <f t="shared" si="5"/>
        <v>0</v>
      </c>
      <c r="AI13" s="104">
        <f t="shared" si="6"/>
        <v>0</v>
      </c>
      <c r="AJ13" s="115">
        <f t="shared" si="7"/>
        <v>0</v>
      </c>
      <c r="AK13" s="116">
        <f t="shared" si="8"/>
        <v>0</v>
      </c>
      <c r="AL13" s="116">
        <f t="shared" si="9"/>
        <v>0</v>
      </c>
      <c r="AM13" s="116">
        <f t="shared" si="10"/>
        <v>0</v>
      </c>
      <c r="AN13" s="117">
        <f t="shared" si="11"/>
        <v>0</v>
      </c>
      <c r="AO13" s="39">
        <f t="shared" si="12"/>
        <v>0</v>
      </c>
      <c r="AP13" s="65">
        <f t="shared" si="13"/>
        <v>0</v>
      </c>
      <c r="AQ13" s="65">
        <f t="shared" si="14"/>
        <v>0</v>
      </c>
      <c r="AR13" s="65">
        <f t="shared" si="15"/>
        <v>0</v>
      </c>
      <c r="AS13" s="65">
        <f t="shared" si="16"/>
        <v>0</v>
      </c>
      <c r="AU13" s="152">
        <v>10</v>
      </c>
      <c r="AV13" s="153">
        <f t="shared" si="17"/>
        <v>0</v>
      </c>
      <c r="AW13" s="154">
        <f t="shared" si="18"/>
        <v>0</v>
      </c>
    </row>
    <row r="14" spans="2:49" s="8" customFormat="1" ht="13.5" customHeight="1" thickBot="1" x14ac:dyDescent="0.3">
      <c r="B14" s="15">
        <v>12</v>
      </c>
      <c r="D14" s="5"/>
      <c r="E14" s="67"/>
      <c r="F14" s="16"/>
      <c r="J14" s="9"/>
      <c r="K14" s="9">
        <f t="shared" si="0"/>
        <v>0</v>
      </c>
      <c r="L14" s="35">
        <f t="shared" si="1"/>
        <v>0</v>
      </c>
      <c r="M14" s="2"/>
      <c r="N14"/>
      <c r="O14" s="19"/>
      <c r="P14" s="19"/>
      <c r="Q14" s="19"/>
      <c r="R14" s="21"/>
      <c r="S14" s="46"/>
      <c r="T14" s="44"/>
      <c r="U14" s="76"/>
      <c r="V14" s="29"/>
      <c r="W14" s="24"/>
      <c r="X14" s="193"/>
      <c r="Y14" s="15"/>
      <c r="AA14">
        <v>2</v>
      </c>
      <c r="AB14" s="488"/>
      <c r="AC14" s="92" t="s">
        <v>3</v>
      </c>
      <c r="AD14" s="98"/>
      <c r="AE14" s="94">
        <f t="shared" ref="AE14:AS14" si="20">SUM(AE9:AE13)</f>
        <v>0</v>
      </c>
      <c r="AF14" s="94">
        <f t="shared" si="20"/>
        <v>0</v>
      </c>
      <c r="AG14" s="94">
        <f t="shared" si="20"/>
        <v>0</v>
      </c>
      <c r="AH14" s="94">
        <f t="shared" si="20"/>
        <v>0</v>
      </c>
      <c r="AI14" s="105">
        <f t="shared" si="20"/>
        <v>0</v>
      </c>
      <c r="AJ14" s="118">
        <f t="shared" si="20"/>
        <v>0</v>
      </c>
      <c r="AK14" s="119">
        <f t="shared" si="20"/>
        <v>0</v>
      </c>
      <c r="AL14" s="119">
        <f t="shared" si="20"/>
        <v>0</v>
      </c>
      <c r="AM14" s="119">
        <f t="shared" si="20"/>
        <v>0</v>
      </c>
      <c r="AN14" s="120">
        <f t="shared" si="20"/>
        <v>0</v>
      </c>
      <c r="AO14" s="94">
        <f t="shared" si="20"/>
        <v>0</v>
      </c>
      <c r="AP14" s="94">
        <f t="shared" si="20"/>
        <v>0</v>
      </c>
      <c r="AQ14" s="94">
        <f t="shared" si="20"/>
        <v>0</v>
      </c>
      <c r="AR14" s="94">
        <f t="shared" si="20"/>
        <v>0</v>
      </c>
      <c r="AS14" s="94">
        <f t="shared" si="20"/>
        <v>0</v>
      </c>
      <c r="AU14" s="152">
        <v>11</v>
      </c>
      <c r="AV14" s="153">
        <f t="shared" si="17"/>
        <v>0</v>
      </c>
      <c r="AW14" s="154">
        <f t="shared" si="18"/>
        <v>0</v>
      </c>
    </row>
    <row r="15" spans="2:49" s="8" customFormat="1" ht="13.5" customHeight="1" thickBot="1" x14ac:dyDescent="0.3">
      <c r="B15" s="15">
        <v>13</v>
      </c>
      <c r="D15" s="5"/>
      <c r="E15" s="67"/>
      <c r="F15" s="16"/>
      <c r="J15" s="9"/>
      <c r="K15" s="9">
        <f t="shared" si="0"/>
        <v>0</v>
      </c>
      <c r="L15" s="35">
        <f t="shared" si="1"/>
        <v>0</v>
      </c>
      <c r="M15" s="2"/>
      <c r="N15"/>
      <c r="O15" s="19"/>
      <c r="P15" s="19"/>
      <c r="Q15" s="19"/>
      <c r="R15" s="21"/>
      <c r="S15" s="46"/>
      <c r="T15" s="44"/>
      <c r="U15" s="76"/>
      <c r="V15" s="30"/>
      <c r="W15" s="24"/>
      <c r="X15" s="193"/>
      <c r="Y15" s="15"/>
      <c r="AA15">
        <v>3</v>
      </c>
      <c r="AB15" s="486">
        <v>3</v>
      </c>
      <c r="AC15" s="89">
        <v>1</v>
      </c>
      <c r="AD15" s="95" t="s">
        <v>83</v>
      </c>
      <c r="AE15" s="39">
        <f t="shared" si="2"/>
        <v>0</v>
      </c>
      <c r="AF15" s="65">
        <f t="shared" si="3"/>
        <v>0</v>
      </c>
      <c r="AG15" s="65">
        <f t="shared" si="4"/>
        <v>0</v>
      </c>
      <c r="AH15" s="65">
        <f t="shared" si="5"/>
        <v>0</v>
      </c>
      <c r="AI15" s="104">
        <f t="shared" si="6"/>
        <v>0</v>
      </c>
      <c r="AJ15" s="115">
        <f t="shared" si="7"/>
        <v>0</v>
      </c>
      <c r="AK15" s="116">
        <f t="shared" si="8"/>
        <v>0</v>
      </c>
      <c r="AL15" s="116">
        <f t="shared" si="9"/>
        <v>0</v>
      </c>
      <c r="AM15" s="116">
        <f t="shared" si="10"/>
        <v>0</v>
      </c>
      <c r="AN15" s="117">
        <f t="shared" si="11"/>
        <v>0</v>
      </c>
      <c r="AO15" s="39">
        <f t="shared" si="12"/>
        <v>0</v>
      </c>
      <c r="AP15" s="65">
        <f t="shared" si="13"/>
        <v>0</v>
      </c>
      <c r="AQ15" s="65">
        <f t="shared" si="14"/>
        <v>0</v>
      </c>
      <c r="AR15" s="65">
        <f t="shared" si="15"/>
        <v>0</v>
      </c>
      <c r="AS15" s="65">
        <f t="shared" si="16"/>
        <v>0</v>
      </c>
      <c r="AU15" s="155">
        <v>12</v>
      </c>
      <c r="AV15" s="153">
        <f t="shared" si="17"/>
        <v>0</v>
      </c>
      <c r="AW15" s="154">
        <f t="shared" si="18"/>
        <v>0</v>
      </c>
    </row>
    <row r="16" spans="2:49" s="8" customFormat="1" ht="13.5" customHeight="1" thickBot="1" x14ac:dyDescent="0.3">
      <c r="B16" s="15">
        <v>14</v>
      </c>
      <c r="D16" s="5"/>
      <c r="E16" s="67"/>
      <c r="F16" s="16"/>
      <c r="J16" s="9"/>
      <c r="K16" s="9">
        <f t="shared" si="0"/>
        <v>0</v>
      </c>
      <c r="L16" s="35">
        <f t="shared" si="1"/>
        <v>0</v>
      </c>
      <c r="M16" s="2"/>
      <c r="N16"/>
      <c r="O16" s="19"/>
      <c r="P16" s="19"/>
      <c r="Q16" s="19"/>
      <c r="R16" s="21"/>
      <c r="S16" s="46"/>
      <c r="T16" s="44"/>
      <c r="U16" s="76"/>
      <c r="V16" s="30"/>
      <c r="W16" s="24"/>
      <c r="X16" s="193"/>
      <c r="Y16" s="15"/>
      <c r="AA16">
        <v>3</v>
      </c>
      <c r="AB16" s="487"/>
      <c r="AC16" s="90">
        <v>2</v>
      </c>
      <c r="AD16" s="96" t="s">
        <v>58</v>
      </c>
      <c r="AE16" s="39">
        <f t="shared" si="2"/>
        <v>0</v>
      </c>
      <c r="AF16" s="65">
        <f t="shared" si="3"/>
        <v>0</v>
      </c>
      <c r="AG16" s="65">
        <f t="shared" si="4"/>
        <v>0</v>
      </c>
      <c r="AH16" s="65">
        <f t="shared" si="5"/>
        <v>0</v>
      </c>
      <c r="AI16" s="104">
        <f t="shared" si="6"/>
        <v>0</v>
      </c>
      <c r="AJ16" s="115">
        <f t="shared" si="7"/>
        <v>0</v>
      </c>
      <c r="AK16" s="116">
        <f t="shared" si="8"/>
        <v>0</v>
      </c>
      <c r="AL16" s="116">
        <f t="shared" si="9"/>
        <v>0</v>
      </c>
      <c r="AM16" s="116">
        <f t="shared" si="10"/>
        <v>0</v>
      </c>
      <c r="AN16" s="117">
        <f t="shared" si="11"/>
        <v>0</v>
      </c>
      <c r="AO16" s="39">
        <f t="shared" si="12"/>
        <v>0</v>
      </c>
      <c r="AP16" s="65">
        <f t="shared" si="13"/>
        <v>0</v>
      </c>
      <c r="AQ16" s="65">
        <f t="shared" si="14"/>
        <v>0</v>
      </c>
      <c r="AR16" s="65">
        <f t="shared" si="15"/>
        <v>0</v>
      </c>
      <c r="AS16" s="65">
        <f t="shared" si="16"/>
        <v>0</v>
      </c>
      <c r="AU16" s="156" t="s">
        <v>3</v>
      </c>
      <c r="AV16" s="157">
        <f>SUM(AV4:AV15)</f>
        <v>1</v>
      </c>
      <c r="AW16" s="157">
        <f>SUM(AW4:AW15)</f>
        <v>0</v>
      </c>
    </row>
    <row r="17" spans="2:49" s="8" customFormat="1" ht="13.5" customHeight="1" thickBot="1" x14ac:dyDescent="0.3">
      <c r="B17" s="15">
        <v>15</v>
      </c>
      <c r="D17" s="5"/>
      <c r="E17" s="67"/>
      <c r="F17" s="16"/>
      <c r="J17" s="9"/>
      <c r="K17" s="9">
        <f t="shared" si="0"/>
        <v>0</v>
      </c>
      <c r="L17" s="35">
        <f t="shared" si="1"/>
        <v>0</v>
      </c>
      <c r="M17" s="2"/>
      <c r="N17"/>
      <c r="O17" s="19"/>
      <c r="P17" s="19"/>
      <c r="Q17" s="19"/>
      <c r="R17" s="21"/>
      <c r="S17" s="46"/>
      <c r="T17" s="83"/>
      <c r="U17" s="76"/>
      <c r="V17" s="30"/>
      <c r="W17" s="24"/>
      <c r="X17" s="193"/>
      <c r="Y17" s="15"/>
      <c r="AA17">
        <v>3</v>
      </c>
      <c r="AB17" s="487"/>
      <c r="AC17" s="90">
        <v>3</v>
      </c>
      <c r="AD17" s="97" t="s">
        <v>59</v>
      </c>
      <c r="AE17" s="39">
        <f t="shared" si="2"/>
        <v>0</v>
      </c>
      <c r="AF17" s="65">
        <f t="shared" si="3"/>
        <v>0</v>
      </c>
      <c r="AG17" s="65">
        <f t="shared" si="4"/>
        <v>0</v>
      </c>
      <c r="AH17" s="65">
        <f t="shared" si="5"/>
        <v>0</v>
      </c>
      <c r="AI17" s="104">
        <f t="shared" si="6"/>
        <v>0</v>
      </c>
      <c r="AJ17" s="115">
        <f t="shared" si="7"/>
        <v>0</v>
      </c>
      <c r="AK17" s="116">
        <f t="shared" si="8"/>
        <v>0</v>
      </c>
      <c r="AL17" s="116">
        <f t="shared" si="9"/>
        <v>0</v>
      </c>
      <c r="AM17" s="116">
        <f t="shared" si="10"/>
        <v>0</v>
      </c>
      <c r="AN17" s="117">
        <f t="shared" si="11"/>
        <v>0</v>
      </c>
      <c r="AO17" s="39">
        <f t="shared" si="12"/>
        <v>0</v>
      </c>
      <c r="AP17" s="65">
        <f t="shared" si="13"/>
        <v>0</v>
      </c>
      <c r="AQ17" s="65">
        <f t="shared" si="14"/>
        <v>0</v>
      </c>
      <c r="AR17" s="65">
        <f t="shared" si="15"/>
        <v>0</v>
      </c>
      <c r="AS17" s="65">
        <f t="shared" si="16"/>
        <v>0</v>
      </c>
      <c r="AU17" s="156" t="s">
        <v>120</v>
      </c>
      <c r="AV17" s="158">
        <f>AV16/($AV$16+$AW$16)</f>
        <v>1</v>
      </c>
      <c r="AW17" s="159">
        <f>AW16/($AW$16+$AV$16)</f>
        <v>0</v>
      </c>
    </row>
    <row r="18" spans="2:49" s="8" customFormat="1" ht="13.5" customHeight="1" x14ac:dyDescent="0.25">
      <c r="B18" s="15">
        <v>16</v>
      </c>
      <c r="D18" s="5"/>
      <c r="E18" s="67"/>
      <c r="F18" s="16"/>
      <c r="J18" s="9"/>
      <c r="K18" s="9">
        <f t="shared" si="0"/>
        <v>0</v>
      </c>
      <c r="L18" s="35">
        <f t="shared" si="1"/>
        <v>0</v>
      </c>
      <c r="M18" s="2"/>
      <c r="N18"/>
      <c r="O18" s="19"/>
      <c r="P18" s="19"/>
      <c r="Q18" s="19"/>
      <c r="R18" s="21"/>
      <c r="S18" s="46"/>
      <c r="T18" s="44"/>
      <c r="U18" s="76"/>
      <c r="V18" s="24"/>
      <c r="W18" s="24"/>
      <c r="X18" s="193"/>
      <c r="Y18" s="15"/>
      <c r="AA18">
        <v>3</v>
      </c>
      <c r="AB18" s="487"/>
      <c r="AC18" s="90">
        <v>4</v>
      </c>
      <c r="AD18" s="97" t="s">
        <v>60</v>
      </c>
      <c r="AE18" s="39">
        <f t="shared" si="2"/>
        <v>652.79999999999995</v>
      </c>
      <c r="AF18" s="65">
        <f t="shared" si="3"/>
        <v>0</v>
      </c>
      <c r="AG18" s="65">
        <f t="shared" si="4"/>
        <v>0</v>
      </c>
      <c r="AH18" s="65">
        <f t="shared" si="5"/>
        <v>652.79999999999995</v>
      </c>
      <c r="AI18" s="104">
        <f t="shared" si="6"/>
        <v>0</v>
      </c>
      <c r="AJ18" s="115">
        <f t="shared" si="7"/>
        <v>1</v>
      </c>
      <c r="AK18" s="116">
        <f t="shared" si="8"/>
        <v>0</v>
      </c>
      <c r="AL18" s="116">
        <f t="shared" si="9"/>
        <v>0</v>
      </c>
      <c r="AM18" s="116">
        <f t="shared" si="10"/>
        <v>1</v>
      </c>
      <c r="AN18" s="117">
        <f t="shared" si="11"/>
        <v>0</v>
      </c>
      <c r="AO18" s="39">
        <f t="shared" si="12"/>
        <v>0</v>
      </c>
      <c r="AP18" s="65">
        <f t="shared" si="13"/>
        <v>0</v>
      </c>
      <c r="AQ18" s="65">
        <f t="shared" si="14"/>
        <v>0</v>
      </c>
      <c r="AR18" s="65">
        <f t="shared" si="15"/>
        <v>0</v>
      </c>
      <c r="AS18" s="65">
        <f t="shared" si="16"/>
        <v>0</v>
      </c>
    </row>
    <row r="19" spans="2:49" s="8" customFormat="1" ht="13.5" customHeight="1" x14ac:dyDescent="0.25">
      <c r="B19" s="15">
        <v>17</v>
      </c>
      <c r="D19" s="5"/>
      <c r="E19" s="67"/>
      <c r="F19" s="16"/>
      <c r="J19" s="9"/>
      <c r="K19" s="9">
        <f t="shared" si="0"/>
        <v>0</v>
      </c>
      <c r="L19" s="35">
        <f t="shared" si="1"/>
        <v>0</v>
      </c>
      <c r="M19" s="2"/>
      <c r="N19"/>
      <c r="O19" s="19"/>
      <c r="P19" s="19"/>
      <c r="Q19" s="19"/>
      <c r="R19" s="21"/>
      <c r="S19" s="46"/>
      <c r="T19" s="44"/>
      <c r="U19" s="76"/>
      <c r="V19" s="24"/>
      <c r="W19" s="24"/>
      <c r="X19" s="193"/>
      <c r="Y19" s="15"/>
      <c r="AA19">
        <v>3</v>
      </c>
      <c r="AB19" s="487"/>
      <c r="AC19" s="91">
        <v>5</v>
      </c>
      <c r="AD19" s="97"/>
      <c r="AE19" s="39">
        <f t="shared" si="2"/>
        <v>0</v>
      </c>
      <c r="AF19" s="65">
        <f t="shared" si="3"/>
        <v>0</v>
      </c>
      <c r="AG19" s="65">
        <f t="shared" si="4"/>
        <v>0</v>
      </c>
      <c r="AH19" s="65">
        <f t="shared" si="5"/>
        <v>0</v>
      </c>
      <c r="AI19" s="104">
        <f t="shared" si="6"/>
        <v>0</v>
      </c>
      <c r="AJ19" s="115">
        <f t="shared" si="7"/>
        <v>0</v>
      </c>
      <c r="AK19" s="116">
        <f t="shared" si="8"/>
        <v>0</v>
      </c>
      <c r="AL19" s="116">
        <f t="shared" si="9"/>
        <v>0</v>
      </c>
      <c r="AM19" s="116">
        <f t="shared" si="10"/>
        <v>0</v>
      </c>
      <c r="AN19" s="117">
        <f t="shared" si="11"/>
        <v>0</v>
      </c>
      <c r="AO19" s="39">
        <f t="shared" si="12"/>
        <v>0</v>
      </c>
      <c r="AP19" s="65">
        <f t="shared" si="13"/>
        <v>0</v>
      </c>
      <c r="AQ19" s="65">
        <f t="shared" si="14"/>
        <v>0</v>
      </c>
      <c r="AR19" s="65">
        <f t="shared" si="15"/>
        <v>0</v>
      </c>
      <c r="AS19" s="65">
        <f t="shared" si="16"/>
        <v>0</v>
      </c>
    </row>
    <row r="20" spans="2:49" s="8" customFormat="1" ht="13.5" customHeight="1" thickBot="1" x14ac:dyDescent="0.3">
      <c r="B20" s="15">
        <v>18</v>
      </c>
      <c r="D20" s="5"/>
      <c r="E20" s="67"/>
      <c r="F20" s="16"/>
      <c r="J20" s="9"/>
      <c r="K20" s="9">
        <f t="shared" si="0"/>
        <v>0</v>
      </c>
      <c r="L20" s="35">
        <f t="shared" si="1"/>
        <v>0</v>
      </c>
      <c r="M20" s="2"/>
      <c r="N20"/>
      <c r="O20" s="19"/>
      <c r="P20" s="19"/>
      <c r="Q20" s="19"/>
      <c r="R20" s="21"/>
      <c r="S20" s="46"/>
      <c r="T20" s="44"/>
      <c r="U20" s="76"/>
      <c r="V20" s="24"/>
      <c r="W20" s="24"/>
      <c r="X20" s="193"/>
      <c r="Y20" s="15"/>
      <c r="AA20">
        <v>3</v>
      </c>
      <c r="AB20" s="488"/>
      <c r="AC20" s="92" t="s">
        <v>3</v>
      </c>
      <c r="AD20" s="98"/>
      <c r="AE20" s="94">
        <f t="shared" ref="AE20:AS20" si="21">SUM(AE15:AE19)</f>
        <v>652.79999999999995</v>
      </c>
      <c r="AF20" s="94">
        <f t="shared" si="21"/>
        <v>0</v>
      </c>
      <c r="AG20" s="94">
        <f t="shared" si="21"/>
        <v>0</v>
      </c>
      <c r="AH20" s="94">
        <f t="shared" si="21"/>
        <v>652.79999999999995</v>
      </c>
      <c r="AI20" s="105">
        <f t="shared" si="21"/>
        <v>0</v>
      </c>
      <c r="AJ20" s="118">
        <f t="shared" si="21"/>
        <v>1</v>
      </c>
      <c r="AK20" s="119">
        <f t="shared" si="21"/>
        <v>0</v>
      </c>
      <c r="AL20" s="119">
        <f t="shared" si="21"/>
        <v>0</v>
      </c>
      <c r="AM20" s="119">
        <f t="shared" si="21"/>
        <v>1</v>
      </c>
      <c r="AN20" s="120">
        <f t="shared" si="21"/>
        <v>0</v>
      </c>
      <c r="AO20" s="94">
        <f t="shared" si="21"/>
        <v>0</v>
      </c>
      <c r="AP20" s="94">
        <f t="shared" si="21"/>
        <v>0</v>
      </c>
      <c r="AQ20" s="94">
        <f t="shared" si="21"/>
        <v>0</v>
      </c>
      <c r="AR20" s="94">
        <f t="shared" si="21"/>
        <v>0</v>
      </c>
      <c r="AS20" s="94">
        <f t="shared" si="21"/>
        <v>0</v>
      </c>
    </row>
    <row r="21" spans="2:49" s="8" customFormat="1" ht="13.5" customHeight="1" x14ac:dyDescent="0.25">
      <c r="B21" s="15">
        <v>19</v>
      </c>
      <c r="D21" s="5"/>
      <c r="E21" s="67"/>
      <c r="F21" s="16"/>
      <c r="J21" s="9"/>
      <c r="K21" s="9">
        <f t="shared" si="0"/>
        <v>0</v>
      </c>
      <c r="L21" s="35">
        <f t="shared" si="1"/>
        <v>0</v>
      </c>
      <c r="M21" s="2"/>
      <c r="N21"/>
      <c r="O21" s="19"/>
      <c r="P21" s="19"/>
      <c r="Q21" s="19"/>
      <c r="R21" s="21"/>
      <c r="S21" s="46"/>
      <c r="T21" s="44"/>
      <c r="U21" s="76"/>
      <c r="V21" s="24"/>
      <c r="W21" s="24"/>
      <c r="X21" s="193"/>
      <c r="Y21" s="15"/>
      <c r="AA21">
        <v>4</v>
      </c>
      <c r="AB21" s="486">
        <v>4</v>
      </c>
      <c r="AC21" s="89">
        <v>1</v>
      </c>
      <c r="AD21" s="95" t="s">
        <v>84</v>
      </c>
      <c r="AE21" s="39">
        <f t="shared" si="2"/>
        <v>0</v>
      </c>
      <c r="AF21" s="65">
        <f t="shared" si="3"/>
        <v>0</v>
      </c>
      <c r="AG21" s="65">
        <f t="shared" si="4"/>
        <v>0</v>
      </c>
      <c r="AH21" s="65">
        <f t="shared" si="5"/>
        <v>0</v>
      </c>
      <c r="AI21" s="104">
        <f t="shared" si="6"/>
        <v>0</v>
      </c>
      <c r="AJ21" s="115">
        <f t="shared" si="7"/>
        <v>0</v>
      </c>
      <c r="AK21" s="116">
        <f t="shared" si="8"/>
        <v>0</v>
      </c>
      <c r="AL21" s="116">
        <f t="shared" si="9"/>
        <v>0</v>
      </c>
      <c r="AM21" s="116">
        <f t="shared" si="10"/>
        <v>0</v>
      </c>
      <c r="AN21" s="117">
        <f t="shared" si="11"/>
        <v>0</v>
      </c>
      <c r="AO21" s="39">
        <f t="shared" si="12"/>
        <v>0</v>
      </c>
      <c r="AP21" s="65">
        <f t="shared" si="13"/>
        <v>0</v>
      </c>
      <c r="AQ21" s="65">
        <f t="shared" si="14"/>
        <v>0</v>
      </c>
      <c r="AR21" s="65">
        <f t="shared" si="15"/>
        <v>0</v>
      </c>
      <c r="AS21" s="65">
        <f t="shared" si="16"/>
        <v>0</v>
      </c>
    </row>
    <row r="22" spans="2:49" s="8" customFormat="1" ht="13.5" customHeight="1" x14ac:dyDescent="0.25">
      <c r="B22" s="15">
        <v>20</v>
      </c>
      <c r="D22" s="5"/>
      <c r="E22" s="67"/>
      <c r="F22" s="16"/>
      <c r="J22" s="9"/>
      <c r="K22" s="9">
        <f t="shared" si="0"/>
        <v>0</v>
      </c>
      <c r="L22" s="35">
        <f t="shared" si="1"/>
        <v>0</v>
      </c>
      <c r="M22" s="2"/>
      <c r="N22"/>
      <c r="O22" s="19"/>
      <c r="P22" s="19"/>
      <c r="Q22" s="19"/>
      <c r="R22" s="21"/>
      <c r="S22" s="46"/>
      <c r="T22" s="44"/>
      <c r="U22" s="76"/>
      <c r="V22" s="24"/>
      <c r="W22" s="24"/>
      <c r="X22" s="193"/>
      <c r="Y22" s="15"/>
      <c r="AA22">
        <v>4</v>
      </c>
      <c r="AB22" s="487"/>
      <c r="AC22" s="90">
        <v>2</v>
      </c>
      <c r="AD22" s="97" t="s">
        <v>61</v>
      </c>
      <c r="AE22" s="39">
        <f t="shared" si="2"/>
        <v>0</v>
      </c>
      <c r="AF22" s="65">
        <f t="shared" si="3"/>
        <v>0</v>
      </c>
      <c r="AG22" s="65">
        <f t="shared" si="4"/>
        <v>0</v>
      </c>
      <c r="AH22" s="65">
        <f t="shared" si="5"/>
        <v>0</v>
      </c>
      <c r="AI22" s="104">
        <f t="shared" si="6"/>
        <v>0</v>
      </c>
      <c r="AJ22" s="115">
        <f t="shared" si="7"/>
        <v>0</v>
      </c>
      <c r="AK22" s="116">
        <f t="shared" si="8"/>
        <v>0</v>
      </c>
      <c r="AL22" s="116">
        <f t="shared" si="9"/>
        <v>0</v>
      </c>
      <c r="AM22" s="116">
        <f t="shared" si="10"/>
        <v>0</v>
      </c>
      <c r="AN22" s="117">
        <f t="shared" si="11"/>
        <v>0</v>
      </c>
      <c r="AO22" s="39">
        <f t="shared" si="12"/>
        <v>0</v>
      </c>
      <c r="AP22" s="65">
        <f t="shared" si="13"/>
        <v>0</v>
      </c>
      <c r="AQ22" s="65">
        <f t="shared" si="14"/>
        <v>0</v>
      </c>
      <c r="AR22" s="65">
        <f t="shared" si="15"/>
        <v>0</v>
      </c>
      <c r="AS22" s="65">
        <f t="shared" si="16"/>
        <v>0</v>
      </c>
    </row>
    <row r="23" spans="2:49" s="8" customFormat="1" ht="13.5" customHeight="1" x14ac:dyDescent="0.25">
      <c r="B23" s="15">
        <v>21</v>
      </c>
      <c r="D23" s="5"/>
      <c r="E23" s="67"/>
      <c r="F23" s="16"/>
      <c r="J23" s="9"/>
      <c r="K23" s="9">
        <f t="shared" si="0"/>
        <v>0</v>
      </c>
      <c r="L23" s="35">
        <f t="shared" si="1"/>
        <v>0</v>
      </c>
      <c r="M23" s="2"/>
      <c r="N23" s="2"/>
      <c r="O23" s="19"/>
      <c r="P23" s="19"/>
      <c r="Q23" s="19"/>
      <c r="R23" s="21"/>
      <c r="S23" s="46"/>
      <c r="T23" s="44"/>
      <c r="U23" s="76"/>
      <c r="V23" s="24"/>
      <c r="W23" s="24"/>
      <c r="X23" s="193"/>
      <c r="Y23" s="15"/>
      <c r="AA23">
        <v>4</v>
      </c>
      <c r="AB23" s="487"/>
      <c r="AC23" s="90">
        <v>3</v>
      </c>
      <c r="AD23" s="97" t="s">
        <v>62</v>
      </c>
      <c r="AE23" s="39">
        <f t="shared" si="2"/>
        <v>0</v>
      </c>
      <c r="AF23" s="65">
        <f t="shared" si="3"/>
        <v>0</v>
      </c>
      <c r="AG23" s="65">
        <f t="shared" si="4"/>
        <v>0</v>
      </c>
      <c r="AH23" s="65">
        <f t="shared" si="5"/>
        <v>0</v>
      </c>
      <c r="AI23" s="104">
        <f t="shared" si="6"/>
        <v>0</v>
      </c>
      <c r="AJ23" s="115">
        <f t="shared" si="7"/>
        <v>0</v>
      </c>
      <c r="AK23" s="116">
        <f t="shared" si="8"/>
        <v>0</v>
      </c>
      <c r="AL23" s="116">
        <f t="shared" si="9"/>
        <v>0</v>
      </c>
      <c r="AM23" s="116">
        <f t="shared" si="10"/>
        <v>0</v>
      </c>
      <c r="AN23" s="117">
        <f t="shared" si="11"/>
        <v>0</v>
      </c>
      <c r="AO23" s="39">
        <f t="shared" si="12"/>
        <v>0</v>
      </c>
      <c r="AP23" s="65">
        <f t="shared" si="13"/>
        <v>0</v>
      </c>
      <c r="AQ23" s="65">
        <f t="shared" si="14"/>
        <v>0</v>
      </c>
      <c r="AR23" s="65">
        <f t="shared" si="15"/>
        <v>0</v>
      </c>
      <c r="AS23" s="65">
        <f t="shared" si="16"/>
        <v>0</v>
      </c>
    </row>
    <row r="24" spans="2:49" s="8" customFormat="1" ht="13.5" customHeight="1" x14ac:dyDescent="0.25">
      <c r="B24" s="15">
        <v>22</v>
      </c>
      <c r="D24" s="5"/>
      <c r="E24" s="67"/>
      <c r="F24" s="16"/>
      <c r="J24" s="9"/>
      <c r="K24" s="9">
        <f t="shared" si="0"/>
        <v>0</v>
      </c>
      <c r="L24" s="35">
        <f t="shared" si="1"/>
        <v>0</v>
      </c>
      <c r="M24" s="2"/>
      <c r="N24" s="2"/>
      <c r="O24" s="19"/>
      <c r="P24" s="19"/>
      <c r="Q24" s="19"/>
      <c r="R24" s="21"/>
      <c r="S24" s="46"/>
      <c r="T24" s="44"/>
      <c r="U24" s="76"/>
      <c r="V24" s="24"/>
      <c r="W24" s="24"/>
      <c r="X24" s="193"/>
      <c r="Y24" s="15"/>
      <c r="AA24">
        <v>4</v>
      </c>
      <c r="AB24" s="487"/>
      <c r="AC24" s="90">
        <v>4</v>
      </c>
      <c r="AD24" s="97" t="s">
        <v>63</v>
      </c>
      <c r="AE24" s="39">
        <f t="shared" si="2"/>
        <v>0</v>
      </c>
      <c r="AF24" s="65">
        <f t="shared" si="3"/>
        <v>0</v>
      </c>
      <c r="AG24" s="65">
        <f t="shared" si="4"/>
        <v>0</v>
      </c>
      <c r="AH24" s="65">
        <f t="shared" si="5"/>
        <v>0</v>
      </c>
      <c r="AI24" s="104">
        <f t="shared" si="6"/>
        <v>0</v>
      </c>
      <c r="AJ24" s="115">
        <f t="shared" si="7"/>
        <v>0</v>
      </c>
      <c r="AK24" s="116">
        <f t="shared" si="8"/>
        <v>0</v>
      </c>
      <c r="AL24" s="116">
        <f t="shared" si="9"/>
        <v>0</v>
      </c>
      <c r="AM24" s="116">
        <f t="shared" si="10"/>
        <v>0</v>
      </c>
      <c r="AN24" s="117">
        <f t="shared" si="11"/>
        <v>0</v>
      </c>
      <c r="AO24" s="39">
        <f t="shared" si="12"/>
        <v>0</v>
      </c>
      <c r="AP24" s="65">
        <f t="shared" si="13"/>
        <v>0</v>
      </c>
      <c r="AQ24" s="65">
        <f t="shared" si="14"/>
        <v>0</v>
      </c>
      <c r="AR24" s="65">
        <f t="shared" si="15"/>
        <v>0</v>
      </c>
      <c r="AS24" s="65">
        <f t="shared" si="16"/>
        <v>0</v>
      </c>
      <c r="AU24" s="194" t="s">
        <v>149</v>
      </c>
      <c r="AV24" s="194" t="s">
        <v>150</v>
      </c>
      <c r="AW24" s="194" t="s">
        <v>120</v>
      </c>
    </row>
    <row r="25" spans="2:49" s="8" customFormat="1" ht="13.5" customHeight="1" x14ac:dyDescent="0.25">
      <c r="B25" s="15">
        <v>23</v>
      </c>
      <c r="D25" s="5"/>
      <c r="E25" s="67"/>
      <c r="F25" s="16"/>
      <c r="J25" s="9"/>
      <c r="K25" s="9">
        <f t="shared" si="0"/>
        <v>0</v>
      </c>
      <c r="L25" s="35">
        <f t="shared" si="1"/>
        <v>0</v>
      </c>
      <c r="M25" s="2"/>
      <c r="N25"/>
      <c r="O25" s="19"/>
      <c r="P25" s="19"/>
      <c r="Q25" s="19"/>
      <c r="R25" s="21"/>
      <c r="S25" s="46"/>
      <c r="T25" s="44"/>
      <c r="U25" s="76"/>
      <c r="V25" s="24"/>
      <c r="W25" s="24"/>
      <c r="X25" s="193"/>
      <c r="Y25" s="15"/>
      <c r="AA25">
        <v>4</v>
      </c>
      <c r="AB25" s="487"/>
      <c r="AC25" s="91">
        <v>5</v>
      </c>
      <c r="AD25" s="97" t="s">
        <v>85</v>
      </c>
      <c r="AE25" s="39">
        <f t="shared" si="2"/>
        <v>0</v>
      </c>
      <c r="AF25" s="65">
        <f t="shared" si="3"/>
        <v>0</v>
      </c>
      <c r="AG25" s="65">
        <f t="shared" si="4"/>
        <v>0</v>
      </c>
      <c r="AH25" s="65">
        <f t="shared" si="5"/>
        <v>0</v>
      </c>
      <c r="AI25" s="104">
        <f t="shared" si="6"/>
        <v>0</v>
      </c>
      <c r="AJ25" s="115">
        <f t="shared" si="7"/>
        <v>0</v>
      </c>
      <c r="AK25" s="116">
        <f t="shared" si="8"/>
        <v>0</v>
      </c>
      <c r="AL25" s="116">
        <f t="shared" si="9"/>
        <v>0</v>
      </c>
      <c r="AM25" s="116">
        <f t="shared" si="10"/>
        <v>0</v>
      </c>
      <c r="AN25" s="117">
        <f t="shared" si="11"/>
        <v>0</v>
      </c>
      <c r="AO25" s="39">
        <f t="shared" si="12"/>
        <v>0</v>
      </c>
      <c r="AP25" s="65">
        <f t="shared" si="13"/>
        <v>0</v>
      </c>
      <c r="AQ25" s="65">
        <f t="shared" si="14"/>
        <v>0</v>
      </c>
      <c r="AR25" s="65">
        <f t="shared" si="15"/>
        <v>0</v>
      </c>
      <c r="AS25" s="65">
        <f t="shared" si="16"/>
        <v>0</v>
      </c>
      <c r="AU25" s="195" t="s">
        <v>160</v>
      </c>
      <c r="AV25" s="195">
        <f>COUNTIF($X:$X, AU25)</f>
        <v>0</v>
      </c>
      <c r="AW25" s="196" t="e">
        <f>AV25/$AV$33</f>
        <v>#DIV/0!</v>
      </c>
    </row>
    <row r="26" spans="2:49" s="8" customFormat="1" ht="13.5" customHeight="1" thickBot="1" x14ac:dyDescent="0.3">
      <c r="B26" s="15">
        <v>24</v>
      </c>
      <c r="D26" s="5"/>
      <c r="E26" s="67"/>
      <c r="F26" s="16"/>
      <c r="J26" s="9"/>
      <c r="K26" s="9">
        <f t="shared" si="0"/>
        <v>0</v>
      </c>
      <c r="L26" s="35">
        <f t="shared" si="1"/>
        <v>0</v>
      </c>
      <c r="M26" s="2"/>
      <c r="N26"/>
      <c r="O26" s="19"/>
      <c r="P26" s="19"/>
      <c r="Q26" s="19"/>
      <c r="R26" s="21"/>
      <c r="S26" s="46"/>
      <c r="T26" s="44"/>
      <c r="U26" s="76"/>
      <c r="V26" s="24"/>
      <c r="W26" s="24"/>
      <c r="X26" s="193"/>
      <c r="Y26" s="15"/>
      <c r="AA26">
        <v>4</v>
      </c>
      <c r="AB26" s="488"/>
      <c r="AC26" s="92" t="s">
        <v>3</v>
      </c>
      <c r="AD26" s="98"/>
      <c r="AE26" s="94">
        <f t="shared" ref="AE26:AS26" si="22">SUM(AE21:AE25)</f>
        <v>0</v>
      </c>
      <c r="AF26" s="94">
        <f t="shared" si="22"/>
        <v>0</v>
      </c>
      <c r="AG26" s="94">
        <f t="shared" si="22"/>
        <v>0</v>
      </c>
      <c r="AH26" s="94">
        <f t="shared" si="22"/>
        <v>0</v>
      </c>
      <c r="AI26" s="105">
        <f t="shared" si="22"/>
        <v>0</v>
      </c>
      <c r="AJ26" s="118">
        <f t="shared" si="22"/>
        <v>0</v>
      </c>
      <c r="AK26" s="119">
        <f t="shared" si="22"/>
        <v>0</v>
      </c>
      <c r="AL26" s="119">
        <f t="shared" si="22"/>
        <v>0</v>
      </c>
      <c r="AM26" s="119">
        <f t="shared" si="22"/>
        <v>0</v>
      </c>
      <c r="AN26" s="120">
        <f t="shared" si="22"/>
        <v>0</v>
      </c>
      <c r="AO26" s="94">
        <f t="shared" si="22"/>
        <v>0</v>
      </c>
      <c r="AP26" s="94">
        <f t="shared" si="22"/>
        <v>0</v>
      </c>
      <c r="AQ26" s="94">
        <f t="shared" si="22"/>
        <v>0</v>
      </c>
      <c r="AR26" s="94">
        <f t="shared" si="22"/>
        <v>0</v>
      </c>
      <c r="AS26" s="94">
        <f t="shared" si="22"/>
        <v>0</v>
      </c>
      <c r="AU26" s="195" t="s">
        <v>152</v>
      </c>
      <c r="AV26" s="195">
        <f t="shared" ref="AV26:AV32" si="23">COUNTIF($X:$X, AU26)</f>
        <v>0</v>
      </c>
      <c r="AW26" s="196" t="e">
        <f t="shared" ref="AW26:AW33" si="24">AV26/$AV$33</f>
        <v>#DIV/0!</v>
      </c>
    </row>
    <row r="27" spans="2:49" s="8" customFormat="1" ht="13.5" customHeight="1" x14ac:dyDescent="0.25">
      <c r="B27" s="15">
        <v>25</v>
      </c>
      <c r="D27" s="5"/>
      <c r="E27" s="67"/>
      <c r="F27" s="16"/>
      <c r="J27" s="9"/>
      <c r="K27" s="9">
        <f t="shared" si="0"/>
        <v>0</v>
      </c>
      <c r="L27" s="35">
        <f t="shared" si="1"/>
        <v>0</v>
      </c>
      <c r="M27" s="2"/>
      <c r="N27"/>
      <c r="O27" s="19"/>
      <c r="P27" s="19"/>
      <c r="Q27" s="19"/>
      <c r="R27" s="21"/>
      <c r="S27" s="46"/>
      <c r="T27" s="44"/>
      <c r="U27" s="76"/>
      <c r="V27" s="24"/>
      <c r="W27" s="24"/>
      <c r="X27" s="193"/>
      <c r="Y27" s="15"/>
      <c r="AA27">
        <v>5</v>
      </c>
      <c r="AB27" s="486">
        <v>5</v>
      </c>
      <c r="AC27" s="89">
        <v>1</v>
      </c>
      <c r="AD27" s="95" t="s">
        <v>86</v>
      </c>
      <c r="AE27" s="39">
        <f t="shared" si="2"/>
        <v>0</v>
      </c>
      <c r="AF27" s="65">
        <f t="shared" si="3"/>
        <v>0</v>
      </c>
      <c r="AG27" s="65">
        <f t="shared" si="4"/>
        <v>0</v>
      </c>
      <c r="AH27" s="65">
        <f t="shared" si="5"/>
        <v>0</v>
      </c>
      <c r="AI27" s="104">
        <f t="shared" si="6"/>
        <v>0</v>
      </c>
      <c r="AJ27" s="115">
        <f t="shared" si="7"/>
        <v>0</v>
      </c>
      <c r="AK27" s="116">
        <f t="shared" si="8"/>
        <v>0</v>
      </c>
      <c r="AL27" s="116">
        <f t="shared" si="9"/>
        <v>0</v>
      </c>
      <c r="AM27" s="116">
        <f t="shared" si="10"/>
        <v>0</v>
      </c>
      <c r="AN27" s="117">
        <f t="shared" si="11"/>
        <v>0</v>
      </c>
      <c r="AO27" s="39">
        <f t="shared" si="12"/>
        <v>0</v>
      </c>
      <c r="AP27" s="65">
        <f t="shared" si="13"/>
        <v>0</v>
      </c>
      <c r="AQ27" s="65">
        <f t="shared" si="14"/>
        <v>0</v>
      </c>
      <c r="AR27" s="65">
        <f t="shared" si="15"/>
        <v>0</v>
      </c>
      <c r="AS27" s="65">
        <f t="shared" si="16"/>
        <v>0</v>
      </c>
      <c r="AU27" s="195" t="s">
        <v>153</v>
      </c>
      <c r="AV27" s="195">
        <f t="shared" si="23"/>
        <v>0</v>
      </c>
      <c r="AW27" s="196" t="e">
        <f t="shared" si="24"/>
        <v>#DIV/0!</v>
      </c>
    </row>
    <row r="28" spans="2:49" s="8" customFormat="1" ht="13.5" customHeight="1" x14ac:dyDescent="0.25">
      <c r="B28" s="15">
        <v>26</v>
      </c>
      <c r="D28" s="5"/>
      <c r="E28" s="67"/>
      <c r="F28" s="16"/>
      <c r="J28" s="9"/>
      <c r="K28" s="9">
        <f t="shared" si="0"/>
        <v>0</v>
      </c>
      <c r="L28" s="35">
        <f t="shared" si="1"/>
        <v>0</v>
      </c>
      <c r="M28" s="2"/>
      <c r="N28"/>
      <c r="O28" s="19"/>
      <c r="P28" s="19"/>
      <c r="Q28" s="19"/>
      <c r="R28" s="21"/>
      <c r="S28" s="46"/>
      <c r="T28" s="44"/>
      <c r="U28" s="76"/>
      <c r="V28" s="24"/>
      <c r="W28" s="24"/>
      <c r="X28" s="193"/>
      <c r="Y28" s="15"/>
      <c r="AA28">
        <v>5</v>
      </c>
      <c r="AB28" s="487"/>
      <c r="AC28" s="90">
        <v>2</v>
      </c>
      <c r="AD28" s="97" t="s">
        <v>87</v>
      </c>
      <c r="AE28" s="39">
        <f t="shared" si="2"/>
        <v>0</v>
      </c>
      <c r="AF28" s="65">
        <f t="shared" si="3"/>
        <v>0</v>
      </c>
      <c r="AG28" s="65">
        <f t="shared" si="4"/>
        <v>0</v>
      </c>
      <c r="AH28" s="65">
        <f t="shared" si="5"/>
        <v>0</v>
      </c>
      <c r="AI28" s="104">
        <f t="shared" si="6"/>
        <v>0</v>
      </c>
      <c r="AJ28" s="115">
        <f t="shared" si="7"/>
        <v>0</v>
      </c>
      <c r="AK28" s="116">
        <f t="shared" si="8"/>
        <v>0</v>
      </c>
      <c r="AL28" s="116">
        <f t="shared" si="9"/>
        <v>0</v>
      </c>
      <c r="AM28" s="116">
        <f t="shared" si="10"/>
        <v>0</v>
      </c>
      <c r="AN28" s="117">
        <f t="shared" si="11"/>
        <v>0</v>
      </c>
      <c r="AO28" s="39">
        <f t="shared" si="12"/>
        <v>0</v>
      </c>
      <c r="AP28" s="65">
        <f t="shared" si="13"/>
        <v>0</v>
      </c>
      <c r="AQ28" s="65">
        <f t="shared" si="14"/>
        <v>0</v>
      </c>
      <c r="AR28" s="65">
        <f t="shared" si="15"/>
        <v>0</v>
      </c>
      <c r="AS28" s="65">
        <f t="shared" si="16"/>
        <v>0</v>
      </c>
      <c r="AU28" s="195" t="s">
        <v>154</v>
      </c>
      <c r="AV28" s="195">
        <f t="shared" si="23"/>
        <v>0</v>
      </c>
      <c r="AW28" s="196" t="e">
        <f t="shared" si="24"/>
        <v>#DIV/0!</v>
      </c>
    </row>
    <row r="29" spans="2:49" s="8" customFormat="1" ht="13.5" customHeight="1" x14ac:dyDescent="0.25">
      <c r="B29" s="15">
        <v>27</v>
      </c>
      <c r="D29" s="5"/>
      <c r="E29" s="67"/>
      <c r="F29" s="16"/>
      <c r="J29" s="9"/>
      <c r="K29" s="9">
        <f t="shared" si="0"/>
        <v>0</v>
      </c>
      <c r="L29" s="35">
        <f t="shared" si="1"/>
        <v>0</v>
      </c>
      <c r="M29" s="2"/>
      <c r="N29"/>
      <c r="O29" s="19"/>
      <c r="P29" s="19"/>
      <c r="Q29" s="19"/>
      <c r="R29" s="21"/>
      <c r="S29" s="46"/>
      <c r="T29" s="44"/>
      <c r="U29" s="76"/>
      <c r="V29" s="24"/>
      <c r="W29" s="24"/>
      <c r="X29" s="193"/>
      <c r="Y29" s="15"/>
      <c r="AA29">
        <v>5</v>
      </c>
      <c r="AB29" s="487"/>
      <c r="AC29" s="90">
        <v>3</v>
      </c>
      <c r="AD29" s="97" t="s">
        <v>88</v>
      </c>
      <c r="AE29" s="39">
        <f t="shared" si="2"/>
        <v>0</v>
      </c>
      <c r="AF29" s="65">
        <f t="shared" si="3"/>
        <v>0</v>
      </c>
      <c r="AG29" s="65">
        <f t="shared" si="4"/>
        <v>0</v>
      </c>
      <c r="AH29" s="65">
        <f t="shared" si="5"/>
        <v>0</v>
      </c>
      <c r="AI29" s="104">
        <f t="shared" si="6"/>
        <v>0</v>
      </c>
      <c r="AJ29" s="115">
        <f t="shared" si="7"/>
        <v>0</v>
      </c>
      <c r="AK29" s="116">
        <f t="shared" si="8"/>
        <v>0</v>
      </c>
      <c r="AL29" s="116">
        <f t="shared" si="9"/>
        <v>0</v>
      </c>
      <c r="AM29" s="116">
        <f t="shared" si="10"/>
        <v>0</v>
      </c>
      <c r="AN29" s="117">
        <f t="shared" si="11"/>
        <v>0</v>
      </c>
      <c r="AO29" s="39">
        <f t="shared" si="12"/>
        <v>0</v>
      </c>
      <c r="AP29" s="65">
        <f t="shared" si="13"/>
        <v>0</v>
      </c>
      <c r="AQ29" s="65">
        <f t="shared" si="14"/>
        <v>0</v>
      </c>
      <c r="AR29" s="65">
        <f t="shared" si="15"/>
        <v>0</v>
      </c>
      <c r="AS29" s="65">
        <f t="shared" si="16"/>
        <v>0</v>
      </c>
      <c r="AU29" s="195" t="s">
        <v>155</v>
      </c>
      <c r="AV29" s="195">
        <f t="shared" si="23"/>
        <v>0</v>
      </c>
      <c r="AW29" s="196" t="e">
        <f t="shared" si="24"/>
        <v>#DIV/0!</v>
      </c>
    </row>
    <row r="30" spans="2:49" s="8" customFormat="1" ht="13.5" customHeight="1" x14ac:dyDescent="0.25">
      <c r="B30" s="15">
        <v>28</v>
      </c>
      <c r="D30" s="5"/>
      <c r="E30" s="67"/>
      <c r="F30" s="16"/>
      <c r="J30" s="9"/>
      <c r="K30" s="9">
        <f t="shared" si="0"/>
        <v>0</v>
      </c>
      <c r="L30" s="35">
        <f t="shared" si="1"/>
        <v>0</v>
      </c>
      <c r="M30" s="2"/>
      <c r="N30"/>
      <c r="O30" s="19"/>
      <c r="P30" s="19"/>
      <c r="Q30" s="19"/>
      <c r="R30" s="21"/>
      <c r="S30" s="46"/>
      <c r="T30" s="44"/>
      <c r="U30" s="76"/>
      <c r="V30" s="24"/>
      <c r="W30" s="24"/>
      <c r="X30" s="193"/>
      <c r="Y30" s="15"/>
      <c r="AA30">
        <v>5</v>
      </c>
      <c r="AB30" s="487"/>
      <c r="AC30" s="90">
        <v>4</v>
      </c>
      <c r="AD30" s="97" t="s">
        <v>89</v>
      </c>
      <c r="AE30" s="39">
        <f t="shared" si="2"/>
        <v>0</v>
      </c>
      <c r="AF30" s="65">
        <f t="shared" si="3"/>
        <v>0</v>
      </c>
      <c r="AG30" s="65">
        <f t="shared" si="4"/>
        <v>0</v>
      </c>
      <c r="AH30" s="65">
        <f t="shared" si="5"/>
        <v>0</v>
      </c>
      <c r="AI30" s="104">
        <f t="shared" si="6"/>
        <v>0</v>
      </c>
      <c r="AJ30" s="115">
        <f t="shared" si="7"/>
        <v>0</v>
      </c>
      <c r="AK30" s="116">
        <f t="shared" si="8"/>
        <v>0</v>
      </c>
      <c r="AL30" s="116">
        <f t="shared" si="9"/>
        <v>0</v>
      </c>
      <c r="AM30" s="116">
        <f t="shared" si="10"/>
        <v>0</v>
      </c>
      <c r="AN30" s="117">
        <f t="shared" si="11"/>
        <v>0</v>
      </c>
      <c r="AO30" s="39">
        <f t="shared" si="12"/>
        <v>0</v>
      </c>
      <c r="AP30" s="65">
        <f t="shared" si="13"/>
        <v>0</v>
      </c>
      <c r="AQ30" s="65">
        <f t="shared" si="14"/>
        <v>0</v>
      </c>
      <c r="AR30" s="65">
        <f t="shared" si="15"/>
        <v>0</v>
      </c>
      <c r="AS30" s="65">
        <f t="shared" si="16"/>
        <v>0</v>
      </c>
      <c r="AU30" s="195" t="s">
        <v>156</v>
      </c>
      <c r="AV30" s="195">
        <f t="shared" si="23"/>
        <v>0</v>
      </c>
      <c r="AW30" s="196" t="e">
        <f t="shared" si="24"/>
        <v>#DIV/0!</v>
      </c>
    </row>
    <row r="31" spans="2:49" s="8" customFormat="1" ht="13.5" customHeight="1" x14ac:dyDescent="0.25">
      <c r="B31" s="15">
        <v>29</v>
      </c>
      <c r="D31" s="5"/>
      <c r="E31" s="67"/>
      <c r="F31" s="16"/>
      <c r="J31" s="9"/>
      <c r="K31" s="9">
        <f t="shared" si="0"/>
        <v>0</v>
      </c>
      <c r="L31" s="35">
        <f t="shared" si="1"/>
        <v>0</v>
      </c>
      <c r="M31" s="2"/>
      <c r="N31"/>
      <c r="O31" s="19"/>
      <c r="P31" s="19"/>
      <c r="Q31" s="19"/>
      <c r="R31" s="21"/>
      <c r="S31" s="46"/>
      <c r="T31" s="44"/>
      <c r="U31" s="76"/>
      <c r="V31" s="24"/>
      <c r="W31" s="24"/>
      <c r="X31" s="193"/>
      <c r="Y31" s="15"/>
      <c r="AA31">
        <v>5</v>
      </c>
      <c r="AB31" s="487"/>
      <c r="AC31" s="91">
        <v>5</v>
      </c>
      <c r="AD31" s="97"/>
      <c r="AE31" s="39">
        <f t="shared" si="2"/>
        <v>0</v>
      </c>
      <c r="AF31" s="65">
        <f t="shared" si="3"/>
        <v>0</v>
      </c>
      <c r="AG31" s="65">
        <f t="shared" si="4"/>
        <v>0</v>
      </c>
      <c r="AH31" s="65">
        <f t="shared" si="5"/>
        <v>0</v>
      </c>
      <c r="AI31" s="104">
        <f t="shared" si="6"/>
        <v>0</v>
      </c>
      <c r="AJ31" s="115">
        <f t="shared" si="7"/>
        <v>0</v>
      </c>
      <c r="AK31" s="116">
        <f t="shared" si="8"/>
        <v>0</v>
      </c>
      <c r="AL31" s="116">
        <f t="shared" si="9"/>
        <v>0</v>
      </c>
      <c r="AM31" s="116">
        <f t="shared" si="10"/>
        <v>0</v>
      </c>
      <c r="AN31" s="117">
        <f t="shared" si="11"/>
        <v>0</v>
      </c>
      <c r="AO31" s="39">
        <f t="shared" si="12"/>
        <v>0</v>
      </c>
      <c r="AP31" s="65">
        <f t="shared" si="13"/>
        <v>0</v>
      </c>
      <c r="AQ31" s="65">
        <f t="shared" si="14"/>
        <v>0</v>
      </c>
      <c r="AR31" s="65">
        <f t="shared" si="15"/>
        <v>0</v>
      </c>
      <c r="AS31" s="65">
        <f t="shared" si="16"/>
        <v>0</v>
      </c>
      <c r="AU31" s="195" t="s">
        <v>157</v>
      </c>
      <c r="AV31" s="195">
        <f t="shared" si="23"/>
        <v>0</v>
      </c>
      <c r="AW31" s="196" t="e">
        <f t="shared" si="24"/>
        <v>#DIV/0!</v>
      </c>
    </row>
    <row r="32" spans="2:49" s="8" customFormat="1" ht="13.5" customHeight="1" thickBot="1" x14ac:dyDescent="0.3">
      <c r="B32" s="15">
        <v>30</v>
      </c>
      <c r="D32" s="5"/>
      <c r="E32" s="67"/>
      <c r="F32" s="16"/>
      <c r="J32" s="9"/>
      <c r="K32" s="9">
        <f t="shared" si="0"/>
        <v>0</v>
      </c>
      <c r="L32" s="35">
        <f t="shared" si="1"/>
        <v>0</v>
      </c>
      <c r="M32" s="2"/>
      <c r="N32"/>
      <c r="O32" s="19"/>
      <c r="P32" s="19"/>
      <c r="Q32" s="19"/>
      <c r="R32" s="21"/>
      <c r="S32" s="46"/>
      <c r="T32" s="44"/>
      <c r="U32" s="76"/>
      <c r="V32" s="24"/>
      <c r="W32" s="24"/>
      <c r="X32" s="193"/>
      <c r="Y32" s="15"/>
      <c r="AA32">
        <v>5</v>
      </c>
      <c r="AB32" s="488"/>
      <c r="AC32" s="92" t="s">
        <v>3</v>
      </c>
      <c r="AD32" s="98"/>
      <c r="AE32" s="94">
        <f t="shared" ref="AE32:AS32" si="25">SUM(AE27:AE31)</f>
        <v>0</v>
      </c>
      <c r="AF32" s="94">
        <f t="shared" si="25"/>
        <v>0</v>
      </c>
      <c r="AG32" s="94">
        <f t="shared" si="25"/>
        <v>0</v>
      </c>
      <c r="AH32" s="94">
        <f t="shared" si="25"/>
        <v>0</v>
      </c>
      <c r="AI32" s="105">
        <f t="shared" si="25"/>
        <v>0</v>
      </c>
      <c r="AJ32" s="118">
        <f t="shared" si="25"/>
        <v>0</v>
      </c>
      <c r="AK32" s="119">
        <f t="shared" si="25"/>
        <v>0</v>
      </c>
      <c r="AL32" s="119">
        <f t="shared" si="25"/>
        <v>0</v>
      </c>
      <c r="AM32" s="119">
        <f t="shared" si="25"/>
        <v>0</v>
      </c>
      <c r="AN32" s="120">
        <f t="shared" si="25"/>
        <v>0</v>
      </c>
      <c r="AO32" s="94">
        <f t="shared" si="25"/>
        <v>0</v>
      </c>
      <c r="AP32" s="94">
        <f t="shared" si="25"/>
        <v>0</v>
      </c>
      <c r="AQ32" s="94">
        <f t="shared" si="25"/>
        <v>0</v>
      </c>
      <c r="AR32" s="94">
        <f t="shared" si="25"/>
        <v>0</v>
      </c>
      <c r="AS32" s="94">
        <f t="shared" si="25"/>
        <v>0</v>
      </c>
      <c r="AU32" s="195" t="s">
        <v>158</v>
      </c>
      <c r="AV32" s="195">
        <f t="shared" si="23"/>
        <v>0</v>
      </c>
      <c r="AW32" s="196" t="e">
        <f t="shared" si="24"/>
        <v>#DIV/0!</v>
      </c>
    </row>
    <row r="33" spans="2:49" s="8" customFormat="1" ht="13.5" customHeight="1" x14ac:dyDescent="0.25">
      <c r="B33" s="15">
        <v>31</v>
      </c>
      <c r="D33" s="5"/>
      <c r="E33" s="67"/>
      <c r="F33" s="16"/>
      <c r="J33" s="9"/>
      <c r="K33" s="9">
        <f t="shared" si="0"/>
        <v>0</v>
      </c>
      <c r="L33" s="35">
        <f t="shared" si="1"/>
        <v>0</v>
      </c>
      <c r="M33" s="2"/>
      <c r="N33"/>
      <c r="O33" s="19"/>
      <c r="P33" s="19"/>
      <c r="Q33" s="19"/>
      <c r="R33" s="21"/>
      <c r="S33" s="46"/>
      <c r="T33" s="44"/>
      <c r="U33" s="76"/>
      <c r="V33" s="24"/>
      <c r="W33" s="24"/>
      <c r="X33" s="193"/>
      <c r="Y33" s="15"/>
      <c r="AA33">
        <v>6</v>
      </c>
      <c r="AB33" s="486">
        <v>6</v>
      </c>
      <c r="AC33" s="89">
        <v>1</v>
      </c>
      <c r="AD33" s="95" t="s">
        <v>90</v>
      </c>
      <c r="AE33" s="39">
        <f t="shared" si="2"/>
        <v>0</v>
      </c>
      <c r="AF33" s="65">
        <f t="shared" si="3"/>
        <v>0</v>
      </c>
      <c r="AG33" s="65">
        <f t="shared" si="4"/>
        <v>0</v>
      </c>
      <c r="AH33" s="65">
        <f t="shared" si="5"/>
        <v>0</v>
      </c>
      <c r="AI33" s="104">
        <f t="shared" si="6"/>
        <v>0</v>
      </c>
      <c r="AJ33" s="115">
        <f t="shared" si="7"/>
        <v>0</v>
      </c>
      <c r="AK33" s="116">
        <f t="shared" si="8"/>
        <v>0</v>
      </c>
      <c r="AL33" s="116">
        <f t="shared" si="9"/>
        <v>0</v>
      </c>
      <c r="AM33" s="116">
        <f t="shared" si="10"/>
        <v>0</v>
      </c>
      <c r="AN33" s="117">
        <f t="shared" si="11"/>
        <v>0</v>
      </c>
      <c r="AO33" s="39">
        <f t="shared" si="12"/>
        <v>0</v>
      </c>
      <c r="AP33" s="65">
        <f t="shared" si="13"/>
        <v>0</v>
      </c>
      <c r="AQ33" s="65">
        <f t="shared" si="14"/>
        <v>0</v>
      </c>
      <c r="AR33" s="65">
        <f t="shared" si="15"/>
        <v>0</v>
      </c>
      <c r="AS33" s="65">
        <f t="shared" si="16"/>
        <v>0</v>
      </c>
      <c r="AU33" s="194" t="s">
        <v>159</v>
      </c>
      <c r="AV33" s="194">
        <f>SUM(AV25:AV32)</f>
        <v>0</v>
      </c>
      <c r="AW33" s="197" t="e">
        <f t="shared" si="24"/>
        <v>#DIV/0!</v>
      </c>
    </row>
    <row r="34" spans="2:49" s="8" customFormat="1" ht="13.5" customHeight="1" x14ac:dyDescent="0.25">
      <c r="B34" s="15">
        <v>32</v>
      </c>
      <c r="D34" s="5"/>
      <c r="E34" s="67"/>
      <c r="F34" s="16"/>
      <c r="J34" s="9"/>
      <c r="K34" s="9">
        <f t="shared" si="0"/>
        <v>0</v>
      </c>
      <c r="L34" s="35">
        <f t="shared" si="1"/>
        <v>0</v>
      </c>
      <c r="M34" s="2"/>
      <c r="N34"/>
      <c r="O34" s="19"/>
      <c r="P34" s="19"/>
      <c r="Q34" s="19"/>
      <c r="R34" s="21"/>
      <c r="S34" s="46"/>
      <c r="T34" s="44"/>
      <c r="U34" s="76"/>
      <c r="V34" s="24"/>
      <c r="W34" s="24"/>
      <c r="X34" s="193"/>
      <c r="Y34" s="15"/>
      <c r="AA34">
        <v>6</v>
      </c>
      <c r="AB34" s="487"/>
      <c r="AC34" s="90">
        <v>2</v>
      </c>
      <c r="AD34" s="97" t="s">
        <v>91</v>
      </c>
      <c r="AE34" s="39">
        <f t="shared" si="2"/>
        <v>0</v>
      </c>
      <c r="AF34" s="65">
        <f t="shared" si="3"/>
        <v>0</v>
      </c>
      <c r="AG34" s="65">
        <f t="shared" si="4"/>
        <v>0</v>
      </c>
      <c r="AH34" s="65">
        <f t="shared" si="5"/>
        <v>0</v>
      </c>
      <c r="AI34" s="104">
        <f t="shared" si="6"/>
        <v>0</v>
      </c>
      <c r="AJ34" s="115">
        <f t="shared" si="7"/>
        <v>0</v>
      </c>
      <c r="AK34" s="116">
        <f t="shared" si="8"/>
        <v>0</v>
      </c>
      <c r="AL34" s="116">
        <f t="shared" si="9"/>
        <v>0</v>
      </c>
      <c r="AM34" s="116">
        <f t="shared" si="10"/>
        <v>0</v>
      </c>
      <c r="AN34" s="117">
        <f t="shared" si="11"/>
        <v>0</v>
      </c>
      <c r="AO34" s="39">
        <f t="shared" si="12"/>
        <v>0</v>
      </c>
      <c r="AP34" s="65">
        <f t="shared" si="13"/>
        <v>0</v>
      </c>
      <c r="AQ34" s="65">
        <f t="shared" si="14"/>
        <v>0</v>
      </c>
      <c r="AR34" s="65">
        <f t="shared" si="15"/>
        <v>0</v>
      </c>
      <c r="AS34" s="65">
        <f t="shared" si="16"/>
        <v>0</v>
      </c>
    </row>
    <row r="35" spans="2:49" s="8" customFormat="1" ht="13.5" customHeight="1" x14ac:dyDescent="0.25">
      <c r="B35" s="15">
        <v>33</v>
      </c>
      <c r="D35" s="5"/>
      <c r="E35" s="67"/>
      <c r="F35" s="16"/>
      <c r="J35" s="9"/>
      <c r="K35" s="9">
        <f t="shared" si="0"/>
        <v>0</v>
      </c>
      <c r="L35" s="35">
        <f t="shared" si="1"/>
        <v>0</v>
      </c>
      <c r="M35" s="2"/>
      <c r="N35"/>
      <c r="O35" s="19"/>
      <c r="P35" s="19"/>
      <c r="Q35" s="19"/>
      <c r="R35" s="21"/>
      <c r="S35" s="46"/>
      <c r="T35" s="44"/>
      <c r="U35" s="76"/>
      <c r="V35" s="24"/>
      <c r="W35" s="24"/>
      <c r="X35" s="193"/>
      <c r="Y35" s="15"/>
      <c r="AA35">
        <v>6</v>
      </c>
      <c r="AB35" s="487"/>
      <c r="AC35" s="90">
        <v>3</v>
      </c>
      <c r="AD35" s="97" t="s">
        <v>92</v>
      </c>
      <c r="AE35" s="39">
        <f t="shared" si="2"/>
        <v>0</v>
      </c>
      <c r="AF35" s="65">
        <f t="shared" si="3"/>
        <v>0</v>
      </c>
      <c r="AG35" s="65">
        <f t="shared" si="4"/>
        <v>0</v>
      </c>
      <c r="AH35" s="65">
        <f t="shared" si="5"/>
        <v>0</v>
      </c>
      <c r="AI35" s="104">
        <f t="shared" si="6"/>
        <v>0</v>
      </c>
      <c r="AJ35" s="115">
        <f t="shared" si="7"/>
        <v>0</v>
      </c>
      <c r="AK35" s="116">
        <f t="shared" si="8"/>
        <v>0</v>
      </c>
      <c r="AL35" s="116">
        <f t="shared" si="9"/>
        <v>0</v>
      </c>
      <c r="AM35" s="116">
        <f t="shared" si="10"/>
        <v>0</v>
      </c>
      <c r="AN35" s="117">
        <f t="shared" si="11"/>
        <v>0</v>
      </c>
      <c r="AO35" s="39">
        <f t="shared" si="12"/>
        <v>0</v>
      </c>
      <c r="AP35" s="65">
        <f t="shared" si="13"/>
        <v>0</v>
      </c>
      <c r="AQ35" s="65">
        <f t="shared" si="14"/>
        <v>0</v>
      </c>
      <c r="AR35" s="65">
        <f t="shared" si="15"/>
        <v>0</v>
      </c>
      <c r="AS35" s="65">
        <f t="shared" si="16"/>
        <v>0</v>
      </c>
    </row>
    <row r="36" spans="2:49" s="8" customFormat="1" ht="13.5" customHeight="1" x14ac:dyDescent="0.25">
      <c r="B36" s="15">
        <v>34</v>
      </c>
      <c r="D36" s="5"/>
      <c r="E36" s="67"/>
      <c r="F36" s="16"/>
      <c r="J36" s="9"/>
      <c r="K36" s="9">
        <f t="shared" si="0"/>
        <v>0</v>
      </c>
      <c r="L36" s="35">
        <f t="shared" si="1"/>
        <v>0</v>
      </c>
      <c r="M36" s="2"/>
      <c r="N36"/>
      <c r="O36" s="19"/>
      <c r="P36" s="19"/>
      <c r="Q36" s="19"/>
      <c r="R36" s="21"/>
      <c r="S36" s="46"/>
      <c r="T36" s="44"/>
      <c r="U36" s="76"/>
      <c r="V36" s="24"/>
      <c r="W36" s="24"/>
      <c r="X36" s="193"/>
      <c r="Y36" s="15"/>
      <c r="AA36">
        <v>6</v>
      </c>
      <c r="AB36" s="487"/>
      <c r="AC36" s="90">
        <v>4</v>
      </c>
      <c r="AD36" s="97" t="s">
        <v>93</v>
      </c>
      <c r="AE36" s="39">
        <f t="shared" si="2"/>
        <v>0</v>
      </c>
      <c r="AF36" s="65">
        <f t="shared" si="3"/>
        <v>0</v>
      </c>
      <c r="AG36" s="65">
        <f t="shared" si="4"/>
        <v>0</v>
      </c>
      <c r="AH36" s="65">
        <f t="shared" si="5"/>
        <v>0</v>
      </c>
      <c r="AI36" s="104">
        <f t="shared" si="6"/>
        <v>0</v>
      </c>
      <c r="AJ36" s="115">
        <f t="shared" si="7"/>
        <v>0</v>
      </c>
      <c r="AK36" s="116">
        <f t="shared" si="8"/>
        <v>0</v>
      </c>
      <c r="AL36" s="116">
        <f t="shared" si="9"/>
        <v>0</v>
      </c>
      <c r="AM36" s="116">
        <f t="shared" si="10"/>
        <v>0</v>
      </c>
      <c r="AN36" s="117">
        <f t="shared" si="11"/>
        <v>0</v>
      </c>
      <c r="AO36" s="39">
        <f t="shared" si="12"/>
        <v>0</v>
      </c>
      <c r="AP36" s="65">
        <f t="shared" si="13"/>
        <v>0</v>
      </c>
      <c r="AQ36" s="65">
        <f t="shared" si="14"/>
        <v>0</v>
      </c>
      <c r="AR36" s="65">
        <f t="shared" si="15"/>
        <v>0</v>
      </c>
      <c r="AS36" s="65">
        <f t="shared" si="16"/>
        <v>0</v>
      </c>
    </row>
    <row r="37" spans="2:49" s="8" customFormat="1" ht="13.5" customHeight="1" x14ac:dyDescent="0.25">
      <c r="B37" s="15">
        <v>35</v>
      </c>
      <c r="D37" s="5"/>
      <c r="E37" s="67"/>
      <c r="F37" s="16"/>
      <c r="J37" s="9"/>
      <c r="K37" s="9">
        <f t="shared" si="0"/>
        <v>0</v>
      </c>
      <c r="L37" s="35">
        <f t="shared" si="1"/>
        <v>0</v>
      </c>
      <c r="M37" s="2"/>
      <c r="N37"/>
      <c r="O37" s="19"/>
      <c r="P37" s="19"/>
      <c r="Q37" s="19"/>
      <c r="R37" s="21"/>
      <c r="S37" s="46"/>
      <c r="T37" s="250"/>
      <c r="U37" s="76"/>
      <c r="V37" s="24"/>
      <c r="W37" s="24"/>
      <c r="X37" s="193"/>
      <c r="Y37" s="15"/>
      <c r="AA37">
        <v>6</v>
      </c>
      <c r="AB37" s="487"/>
      <c r="AC37" s="91">
        <v>5</v>
      </c>
      <c r="AD37" s="97"/>
      <c r="AE37" s="39">
        <f t="shared" si="2"/>
        <v>0</v>
      </c>
      <c r="AF37" s="65">
        <f t="shared" si="3"/>
        <v>0</v>
      </c>
      <c r="AG37" s="65">
        <f t="shared" si="4"/>
        <v>0</v>
      </c>
      <c r="AH37" s="65">
        <f t="shared" si="5"/>
        <v>0</v>
      </c>
      <c r="AI37" s="104">
        <f t="shared" si="6"/>
        <v>0</v>
      </c>
      <c r="AJ37" s="115">
        <f t="shared" si="7"/>
        <v>0</v>
      </c>
      <c r="AK37" s="116">
        <f t="shared" si="8"/>
        <v>0</v>
      </c>
      <c r="AL37" s="116">
        <f t="shared" si="9"/>
        <v>0</v>
      </c>
      <c r="AM37" s="116">
        <f t="shared" si="10"/>
        <v>0</v>
      </c>
      <c r="AN37" s="117">
        <f t="shared" si="11"/>
        <v>0</v>
      </c>
      <c r="AO37" s="39">
        <f t="shared" si="12"/>
        <v>0</v>
      </c>
      <c r="AP37" s="65">
        <f t="shared" si="13"/>
        <v>0</v>
      </c>
      <c r="AQ37" s="65">
        <f t="shared" si="14"/>
        <v>0</v>
      </c>
      <c r="AR37" s="65">
        <f t="shared" si="15"/>
        <v>0</v>
      </c>
      <c r="AS37" s="65">
        <f t="shared" si="16"/>
        <v>0</v>
      </c>
    </row>
    <row r="38" spans="2:49" s="8" customFormat="1" ht="13.5" customHeight="1" thickBot="1" x14ac:dyDescent="0.3">
      <c r="B38" s="15">
        <v>36</v>
      </c>
      <c r="D38" s="5"/>
      <c r="E38" s="67"/>
      <c r="F38" s="16"/>
      <c r="J38" s="9"/>
      <c r="K38" s="9">
        <f t="shared" si="0"/>
        <v>0</v>
      </c>
      <c r="L38" s="35">
        <f t="shared" si="1"/>
        <v>0</v>
      </c>
      <c r="M38" s="2"/>
      <c r="N38"/>
      <c r="O38" s="19"/>
      <c r="P38" s="19"/>
      <c r="Q38" s="19"/>
      <c r="R38" s="21"/>
      <c r="S38" s="46"/>
      <c r="T38" s="44"/>
      <c r="U38" s="76"/>
      <c r="V38" s="24"/>
      <c r="W38" s="24"/>
      <c r="X38" s="193"/>
      <c r="Y38" s="15"/>
      <c r="AA38">
        <v>6</v>
      </c>
      <c r="AB38" s="488"/>
      <c r="AC38" s="92" t="s">
        <v>3</v>
      </c>
      <c r="AD38" s="98"/>
      <c r="AE38" s="94">
        <f t="shared" ref="AE38:AS38" si="26">SUM(AE33:AE37)</f>
        <v>0</v>
      </c>
      <c r="AF38" s="94">
        <f t="shared" si="26"/>
        <v>0</v>
      </c>
      <c r="AG38" s="94">
        <f t="shared" si="26"/>
        <v>0</v>
      </c>
      <c r="AH38" s="94">
        <f t="shared" si="26"/>
        <v>0</v>
      </c>
      <c r="AI38" s="105">
        <f t="shared" si="26"/>
        <v>0</v>
      </c>
      <c r="AJ38" s="118">
        <f t="shared" si="26"/>
        <v>0</v>
      </c>
      <c r="AK38" s="119">
        <f t="shared" si="26"/>
        <v>0</v>
      </c>
      <c r="AL38" s="119">
        <f t="shared" si="26"/>
        <v>0</v>
      </c>
      <c r="AM38" s="119">
        <f t="shared" si="26"/>
        <v>0</v>
      </c>
      <c r="AN38" s="120">
        <f t="shared" si="26"/>
        <v>0</v>
      </c>
      <c r="AO38" s="94">
        <f t="shared" si="26"/>
        <v>0</v>
      </c>
      <c r="AP38" s="94">
        <f t="shared" si="26"/>
        <v>0</v>
      </c>
      <c r="AQ38" s="94">
        <f t="shared" si="26"/>
        <v>0</v>
      </c>
      <c r="AR38" s="94">
        <f t="shared" si="26"/>
        <v>0</v>
      </c>
      <c r="AS38" s="94">
        <f t="shared" si="26"/>
        <v>0</v>
      </c>
    </row>
    <row r="39" spans="2:49" s="8" customFormat="1" ht="13.5" customHeight="1" x14ac:dyDescent="0.25">
      <c r="B39" s="15">
        <v>37</v>
      </c>
      <c r="D39" s="5"/>
      <c r="E39" s="67"/>
      <c r="F39" s="16"/>
      <c r="J39" s="9"/>
      <c r="K39" s="9">
        <f t="shared" si="0"/>
        <v>0</v>
      </c>
      <c r="L39" s="35">
        <f t="shared" si="1"/>
        <v>0</v>
      </c>
      <c r="M39" s="2"/>
      <c r="N39"/>
      <c r="O39" s="19"/>
      <c r="P39" s="19"/>
      <c r="Q39" s="19"/>
      <c r="R39" s="21"/>
      <c r="S39" s="46"/>
      <c r="T39" s="44"/>
      <c r="U39" s="76"/>
      <c r="V39" s="24"/>
      <c r="W39" s="24"/>
      <c r="X39" s="193"/>
      <c r="Y39" s="15"/>
      <c r="AA39">
        <v>7</v>
      </c>
      <c r="AB39" s="486">
        <v>7</v>
      </c>
      <c r="AC39" s="89">
        <v>1</v>
      </c>
      <c r="AD39" s="95" t="s">
        <v>94</v>
      </c>
      <c r="AE39" s="39">
        <f t="shared" si="2"/>
        <v>0</v>
      </c>
      <c r="AF39" s="65">
        <f t="shared" si="3"/>
        <v>0</v>
      </c>
      <c r="AG39" s="65">
        <f t="shared" si="4"/>
        <v>0</v>
      </c>
      <c r="AH39" s="65">
        <f t="shared" si="5"/>
        <v>0</v>
      </c>
      <c r="AI39" s="104">
        <f t="shared" si="6"/>
        <v>0</v>
      </c>
      <c r="AJ39" s="115">
        <f t="shared" si="7"/>
        <v>0</v>
      </c>
      <c r="AK39" s="116">
        <f t="shared" si="8"/>
        <v>0</v>
      </c>
      <c r="AL39" s="116">
        <f t="shared" si="9"/>
        <v>0</v>
      </c>
      <c r="AM39" s="116">
        <f t="shared" si="10"/>
        <v>0</v>
      </c>
      <c r="AN39" s="117">
        <f t="shared" si="11"/>
        <v>0</v>
      </c>
      <c r="AO39" s="39">
        <f t="shared" si="12"/>
        <v>0</v>
      </c>
      <c r="AP39" s="65">
        <f t="shared" si="13"/>
        <v>0</v>
      </c>
      <c r="AQ39" s="65">
        <f t="shared" si="14"/>
        <v>0</v>
      </c>
      <c r="AR39" s="65">
        <f t="shared" si="15"/>
        <v>0</v>
      </c>
      <c r="AS39" s="65">
        <f t="shared" si="16"/>
        <v>0</v>
      </c>
    </row>
    <row r="40" spans="2:49" s="8" customFormat="1" ht="13.5" customHeight="1" x14ac:dyDescent="0.25">
      <c r="B40" s="15">
        <v>38</v>
      </c>
      <c r="D40" s="5"/>
      <c r="E40" s="67"/>
      <c r="F40" s="16"/>
      <c r="J40" s="9"/>
      <c r="K40" s="9">
        <f t="shared" si="0"/>
        <v>0</v>
      </c>
      <c r="L40" s="35">
        <f t="shared" si="1"/>
        <v>0</v>
      </c>
      <c r="M40" s="2"/>
      <c r="N40"/>
      <c r="O40" s="19"/>
      <c r="P40" s="19"/>
      <c r="Q40" s="19"/>
      <c r="R40" s="21"/>
      <c r="S40" s="46"/>
      <c r="T40" s="44"/>
      <c r="U40" s="76"/>
      <c r="V40" s="24"/>
      <c r="W40" s="24"/>
      <c r="X40" s="193"/>
      <c r="Y40" s="15"/>
      <c r="AA40">
        <v>7</v>
      </c>
      <c r="AB40" s="487"/>
      <c r="AC40" s="90">
        <v>2</v>
      </c>
      <c r="AD40" s="97" t="s">
        <v>61</v>
      </c>
      <c r="AE40" s="39">
        <f t="shared" si="2"/>
        <v>0</v>
      </c>
      <c r="AF40" s="65">
        <f t="shared" si="3"/>
        <v>0</v>
      </c>
      <c r="AG40" s="65">
        <f t="shared" si="4"/>
        <v>0</v>
      </c>
      <c r="AH40" s="65">
        <f t="shared" si="5"/>
        <v>0</v>
      </c>
      <c r="AI40" s="104">
        <f t="shared" si="6"/>
        <v>0</v>
      </c>
      <c r="AJ40" s="115">
        <f t="shared" si="7"/>
        <v>0</v>
      </c>
      <c r="AK40" s="116">
        <f t="shared" si="8"/>
        <v>0</v>
      </c>
      <c r="AL40" s="116">
        <f t="shared" si="9"/>
        <v>0</v>
      </c>
      <c r="AM40" s="116">
        <f t="shared" si="10"/>
        <v>0</v>
      </c>
      <c r="AN40" s="117">
        <f t="shared" si="11"/>
        <v>0</v>
      </c>
      <c r="AO40" s="39">
        <f t="shared" si="12"/>
        <v>0</v>
      </c>
      <c r="AP40" s="65">
        <f t="shared" si="13"/>
        <v>0</v>
      </c>
      <c r="AQ40" s="65">
        <f t="shared" si="14"/>
        <v>0</v>
      </c>
      <c r="AR40" s="65">
        <f t="shared" si="15"/>
        <v>0</v>
      </c>
      <c r="AS40" s="65">
        <f t="shared" si="16"/>
        <v>0</v>
      </c>
    </row>
    <row r="41" spans="2:49" s="8" customFormat="1" ht="13.5" customHeight="1" x14ac:dyDescent="0.25">
      <c r="B41" s="15">
        <v>39</v>
      </c>
      <c r="D41" s="5"/>
      <c r="E41" s="67"/>
      <c r="F41" s="16"/>
      <c r="J41" s="9"/>
      <c r="K41" s="9">
        <f t="shared" si="0"/>
        <v>0</v>
      </c>
      <c r="L41" s="35">
        <f t="shared" si="1"/>
        <v>0</v>
      </c>
      <c r="M41" s="2"/>
      <c r="N41"/>
      <c r="O41" s="19"/>
      <c r="P41" s="19"/>
      <c r="Q41" s="19"/>
      <c r="R41" s="21"/>
      <c r="S41" s="46"/>
      <c r="T41" s="44"/>
      <c r="U41" s="76"/>
      <c r="V41" s="24"/>
      <c r="W41" s="24"/>
      <c r="X41" s="193"/>
      <c r="Y41" s="15"/>
      <c r="AA41">
        <v>7</v>
      </c>
      <c r="AB41" s="487"/>
      <c r="AC41" s="90">
        <v>3</v>
      </c>
      <c r="AD41" s="97" t="s">
        <v>62</v>
      </c>
      <c r="AE41" s="39">
        <f t="shared" si="2"/>
        <v>0</v>
      </c>
      <c r="AF41" s="65">
        <f t="shared" si="3"/>
        <v>0</v>
      </c>
      <c r="AG41" s="65">
        <f t="shared" si="4"/>
        <v>0</v>
      </c>
      <c r="AH41" s="65">
        <f t="shared" si="5"/>
        <v>0</v>
      </c>
      <c r="AI41" s="104">
        <f t="shared" si="6"/>
        <v>0</v>
      </c>
      <c r="AJ41" s="115">
        <f t="shared" si="7"/>
        <v>0</v>
      </c>
      <c r="AK41" s="116">
        <f t="shared" si="8"/>
        <v>0</v>
      </c>
      <c r="AL41" s="116">
        <f t="shared" si="9"/>
        <v>0</v>
      </c>
      <c r="AM41" s="116">
        <f t="shared" si="10"/>
        <v>0</v>
      </c>
      <c r="AN41" s="117">
        <f t="shared" si="11"/>
        <v>0</v>
      </c>
      <c r="AO41" s="39">
        <f t="shared" si="12"/>
        <v>0</v>
      </c>
      <c r="AP41" s="65">
        <f t="shared" si="13"/>
        <v>0</v>
      </c>
      <c r="AQ41" s="65">
        <f t="shared" si="14"/>
        <v>0</v>
      </c>
      <c r="AR41" s="65">
        <f t="shared" si="15"/>
        <v>0</v>
      </c>
      <c r="AS41" s="65">
        <f t="shared" si="16"/>
        <v>0</v>
      </c>
    </row>
    <row r="42" spans="2:49" s="8" customFormat="1" ht="13.5" customHeight="1" x14ac:dyDescent="0.25">
      <c r="B42" s="15">
        <v>40</v>
      </c>
      <c r="D42" s="5"/>
      <c r="E42" s="67"/>
      <c r="F42" s="16"/>
      <c r="J42" s="9"/>
      <c r="K42" s="9">
        <f t="shared" si="0"/>
        <v>0</v>
      </c>
      <c r="L42" s="35">
        <f t="shared" si="1"/>
        <v>0</v>
      </c>
      <c r="M42" s="2"/>
      <c r="N42"/>
      <c r="O42" s="19"/>
      <c r="P42" s="19"/>
      <c r="Q42" s="19"/>
      <c r="R42" s="21"/>
      <c r="S42" s="46"/>
      <c r="T42" s="44"/>
      <c r="U42" s="76"/>
      <c r="V42" s="24"/>
      <c r="W42" s="24"/>
      <c r="X42" s="193"/>
      <c r="Y42" s="15"/>
      <c r="AA42">
        <v>7</v>
      </c>
      <c r="AB42" s="487"/>
      <c r="AC42" s="90">
        <v>4</v>
      </c>
      <c r="AD42" s="97" t="s">
        <v>63</v>
      </c>
      <c r="AE42" s="39">
        <f t="shared" si="2"/>
        <v>0</v>
      </c>
      <c r="AF42" s="65">
        <f t="shared" si="3"/>
        <v>0</v>
      </c>
      <c r="AG42" s="65">
        <f t="shared" si="4"/>
        <v>0</v>
      </c>
      <c r="AH42" s="65">
        <f t="shared" si="5"/>
        <v>0</v>
      </c>
      <c r="AI42" s="104">
        <f t="shared" si="6"/>
        <v>0</v>
      </c>
      <c r="AJ42" s="115">
        <f t="shared" si="7"/>
        <v>0</v>
      </c>
      <c r="AK42" s="116">
        <f t="shared" si="8"/>
        <v>0</v>
      </c>
      <c r="AL42" s="116">
        <f t="shared" si="9"/>
        <v>0</v>
      </c>
      <c r="AM42" s="116">
        <f t="shared" si="10"/>
        <v>0</v>
      </c>
      <c r="AN42" s="117">
        <f t="shared" si="11"/>
        <v>0</v>
      </c>
      <c r="AO42" s="39">
        <f t="shared" si="12"/>
        <v>0</v>
      </c>
      <c r="AP42" s="65">
        <f t="shared" si="13"/>
        <v>0</v>
      </c>
      <c r="AQ42" s="65">
        <f t="shared" si="14"/>
        <v>0</v>
      </c>
      <c r="AR42" s="65">
        <f t="shared" si="15"/>
        <v>0</v>
      </c>
      <c r="AS42" s="65">
        <f t="shared" si="16"/>
        <v>0</v>
      </c>
    </row>
    <row r="43" spans="2:49" x14ac:dyDescent="0.25">
      <c r="B43" s="15">
        <v>41</v>
      </c>
      <c r="C43" s="8"/>
      <c r="E43" s="67"/>
      <c r="F43" s="16"/>
      <c r="G43" s="8"/>
      <c r="H43" s="8"/>
      <c r="I43" s="8"/>
      <c r="J43" s="9"/>
      <c r="K43" s="9">
        <f t="shared" si="0"/>
        <v>0</v>
      </c>
      <c r="L43" s="35">
        <f t="shared" si="1"/>
        <v>0</v>
      </c>
      <c r="M43" s="2"/>
      <c r="O43" s="19"/>
      <c r="P43" s="19"/>
      <c r="Q43" s="19"/>
      <c r="R43" s="21"/>
      <c r="S43" s="46"/>
      <c r="T43" s="44"/>
      <c r="U43" s="77"/>
      <c r="V43" s="30"/>
      <c r="W43" s="24"/>
      <c r="X43" s="193"/>
      <c r="Y43" s="15"/>
      <c r="AA43">
        <v>7</v>
      </c>
      <c r="AB43" s="487"/>
      <c r="AC43" s="91">
        <v>5</v>
      </c>
      <c r="AD43" s="100" t="s">
        <v>95</v>
      </c>
      <c r="AE43" s="39">
        <f t="shared" si="2"/>
        <v>0</v>
      </c>
      <c r="AF43" s="65">
        <f t="shared" si="3"/>
        <v>0</v>
      </c>
      <c r="AG43" s="65">
        <f t="shared" si="4"/>
        <v>0</v>
      </c>
      <c r="AH43" s="65">
        <f t="shared" si="5"/>
        <v>0</v>
      </c>
      <c r="AI43" s="104">
        <f t="shared" si="6"/>
        <v>0</v>
      </c>
      <c r="AJ43" s="115">
        <f t="shared" si="7"/>
        <v>0</v>
      </c>
      <c r="AK43" s="116">
        <f t="shared" si="8"/>
        <v>0</v>
      </c>
      <c r="AL43" s="116">
        <f t="shared" si="9"/>
        <v>0</v>
      </c>
      <c r="AM43" s="116">
        <f t="shared" si="10"/>
        <v>0</v>
      </c>
      <c r="AN43" s="117">
        <f t="shared" si="11"/>
        <v>0</v>
      </c>
      <c r="AO43" s="39">
        <f t="shared" si="12"/>
        <v>0</v>
      </c>
      <c r="AP43" s="65">
        <f t="shared" si="13"/>
        <v>0</v>
      </c>
      <c r="AQ43" s="65">
        <f t="shared" si="14"/>
        <v>0</v>
      </c>
      <c r="AR43" s="65">
        <f t="shared" si="15"/>
        <v>0</v>
      </c>
      <c r="AS43" s="65">
        <f t="shared" si="16"/>
        <v>0</v>
      </c>
    </row>
    <row r="44" spans="2:49" ht="14.25" thickBot="1" x14ac:dyDescent="0.3">
      <c r="B44" s="15">
        <v>42</v>
      </c>
      <c r="C44" s="8"/>
      <c r="E44" s="67"/>
      <c r="F44" s="16"/>
      <c r="G44" s="8"/>
      <c r="H44" s="8"/>
      <c r="I44" s="8"/>
      <c r="J44" s="9"/>
      <c r="K44" s="9">
        <f t="shared" si="0"/>
        <v>0</v>
      </c>
      <c r="L44" s="35">
        <f t="shared" si="1"/>
        <v>0</v>
      </c>
      <c r="M44" s="2"/>
      <c r="O44" s="19"/>
      <c r="P44" s="19"/>
      <c r="Q44" s="19"/>
      <c r="R44" s="21"/>
      <c r="S44" s="46"/>
      <c r="T44" s="44"/>
      <c r="U44" s="77"/>
      <c r="V44" s="30"/>
      <c r="W44" s="24"/>
      <c r="X44" s="193"/>
      <c r="Y44" s="15"/>
      <c r="AA44">
        <v>7</v>
      </c>
      <c r="AB44" s="488"/>
      <c r="AC44" s="92" t="s">
        <v>3</v>
      </c>
      <c r="AD44" s="101"/>
      <c r="AE44" s="94">
        <f t="shared" ref="AE44:AS44" si="27">SUM(AE39:AE43)</f>
        <v>0</v>
      </c>
      <c r="AF44" s="94">
        <f t="shared" si="27"/>
        <v>0</v>
      </c>
      <c r="AG44" s="94">
        <f t="shared" si="27"/>
        <v>0</v>
      </c>
      <c r="AH44" s="94">
        <f t="shared" si="27"/>
        <v>0</v>
      </c>
      <c r="AI44" s="105">
        <f t="shared" si="27"/>
        <v>0</v>
      </c>
      <c r="AJ44" s="118">
        <f t="shared" si="27"/>
        <v>0</v>
      </c>
      <c r="AK44" s="119">
        <f t="shared" si="27"/>
        <v>0</v>
      </c>
      <c r="AL44" s="119">
        <f t="shared" si="27"/>
        <v>0</v>
      </c>
      <c r="AM44" s="119">
        <f t="shared" si="27"/>
        <v>0</v>
      </c>
      <c r="AN44" s="120">
        <f t="shared" si="27"/>
        <v>0</v>
      </c>
      <c r="AO44" s="94">
        <f t="shared" si="27"/>
        <v>0</v>
      </c>
      <c r="AP44" s="94">
        <f t="shared" si="27"/>
        <v>0</v>
      </c>
      <c r="AQ44" s="94">
        <f t="shared" si="27"/>
        <v>0</v>
      </c>
      <c r="AR44" s="94">
        <f t="shared" si="27"/>
        <v>0</v>
      </c>
      <c r="AS44" s="94">
        <f t="shared" si="27"/>
        <v>0</v>
      </c>
    </row>
    <row r="45" spans="2:49" x14ac:dyDescent="0.25">
      <c r="B45" s="15">
        <v>43</v>
      </c>
      <c r="C45" s="8"/>
      <c r="E45" s="67"/>
      <c r="F45" s="16"/>
      <c r="G45" s="8"/>
      <c r="H45" s="8"/>
      <c r="I45" s="8"/>
      <c r="J45" s="9"/>
      <c r="K45" s="9">
        <f t="shared" si="0"/>
        <v>0</v>
      </c>
      <c r="L45" s="35">
        <f t="shared" si="1"/>
        <v>0</v>
      </c>
      <c r="M45" s="2"/>
      <c r="O45" s="19"/>
      <c r="P45" s="19"/>
      <c r="Q45" s="19"/>
      <c r="R45" s="21"/>
      <c r="S45" s="46"/>
      <c r="T45" s="44"/>
      <c r="U45" s="77"/>
      <c r="V45" s="30"/>
      <c r="W45" s="24"/>
      <c r="X45" s="193"/>
      <c r="Y45" s="15"/>
      <c r="AA45">
        <v>8</v>
      </c>
      <c r="AB45" s="486">
        <v>8</v>
      </c>
      <c r="AC45" s="89">
        <v>1</v>
      </c>
      <c r="AD45" s="95" t="s">
        <v>96</v>
      </c>
      <c r="AE45" s="39">
        <f t="shared" si="2"/>
        <v>0</v>
      </c>
      <c r="AF45" s="65">
        <f t="shared" si="3"/>
        <v>0</v>
      </c>
      <c r="AG45" s="65">
        <f t="shared" si="4"/>
        <v>0</v>
      </c>
      <c r="AH45" s="65">
        <f t="shared" si="5"/>
        <v>0</v>
      </c>
      <c r="AI45" s="104">
        <f t="shared" si="6"/>
        <v>0</v>
      </c>
      <c r="AJ45" s="115">
        <f t="shared" si="7"/>
        <v>0</v>
      </c>
      <c r="AK45" s="116">
        <f t="shared" si="8"/>
        <v>0</v>
      </c>
      <c r="AL45" s="116">
        <f t="shared" si="9"/>
        <v>0</v>
      </c>
      <c r="AM45" s="116">
        <f t="shared" si="10"/>
        <v>0</v>
      </c>
      <c r="AN45" s="117">
        <f t="shared" si="11"/>
        <v>0</v>
      </c>
      <c r="AO45" s="39">
        <f t="shared" si="12"/>
        <v>0</v>
      </c>
      <c r="AP45" s="65">
        <f t="shared" si="13"/>
        <v>0</v>
      </c>
      <c r="AQ45" s="65">
        <f t="shared" si="14"/>
        <v>0</v>
      </c>
      <c r="AR45" s="65">
        <f t="shared" si="15"/>
        <v>0</v>
      </c>
      <c r="AS45" s="65">
        <f t="shared" si="16"/>
        <v>0</v>
      </c>
    </row>
    <row r="46" spans="2:49" x14ac:dyDescent="0.25">
      <c r="B46" s="15">
        <v>44</v>
      </c>
      <c r="C46" s="8"/>
      <c r="E46" s="67"/>
      <c r="F46" s="16"/>
      <c r="G46" s="8"/>
      <c r="H46" s="8"/>
      <c r="I46" s="8"/>
      <c r="J46" s="9"/>
      <c r="K46" s="9">
        <f t="shared" si="0"/>
        <v>0</v>
      </c>
      <c r="L46" s="35">
        <f t="shared" si="1"/>
        <v>0</v>
      </c>
      <c r="M46" s="2"/>
      <c r="O46" s="19"/>
      <c r="P46" s="19"/>
      <c r="Q46" s="19"/>
      <c r="R46" s="21"/>
      <c r="S46" s="46"/>
      <c r="T46" s="44"/>
      <c r="U46" s="77"/>
      <c r="V46" s="24"/>
      <c r="W46" s="24"/>
      <c r="X46" s="193"/>
      <c r="Y46" s="15"/>
      <c r="AA46">
        <v>8</v>
      </c>
      <c r="AB46" s="487"/>
      <c r="AC46" s="90">
        <v>2</v>
      </c>
      <c r="AD46" s="97" t="s">
        <v>97</v>
      </c>
      <c r="AE46" s="39">
        <f t="shared" si="2"/>
        <v>0</v>
      </c>
      <c r="AF46" s="65">
        <f t="shared" si="3"/>
        <v>0</v>
      </c>
      <c r="AG46" s="65">
        <f t="shared" si="4"/>
        <v>0</v>
      </c>
      <c r="AH46" s="65">
        <f t="shared" si="5"/>
        <v>0</v>
      </c>
      <c r="AI46" s="104">
        <f t="shared" si="6"/>
        <v>0</v>
      </c>
      <c r="AJ46" s="115">
        <f t="shared" si="7"/>
        <v>0</v>
      </c>
      <c r="AK46" s="116">
        <f t="shared" si="8"/>
        <v>0</v>
      </c>
      <c r="AL46" s="116">
        <f t="shared" si="9"/>
        <v>0</v>
      </c>
      <c r="AM46" s="116">
        <f t="shared" si="10"/>
        <v>0</v>
      </c>
      <c r="AN46" s="117">
        <f t="shared" si="11"/>
        <v>0</v>
      </c>
      <c r="AO46" s="39">
        <f t="shared" si="12"/>
        <v>0</v>
      </c>
      <c r="AP46" s="65">
        <f t="shared" si="13"/>
        <v>0</v>
      </c>
      <c r="AQ46" s="65">
        <f t="shared" si="14"/>
        <v>0</v>
      </c>
      <c r="AR46" s="65">
        <f t="shared" si="15"/>
        <v>0</v>
      </c>
      <c r="AS46" s="65">
        <f t="shared" si="16"/>
        <v>0</v>
      </c>
    </row>
    <row r="47" spans="2:49" x14ac:dyDescent="0.25">
      <c r="B47" s="15">
        <v>45</v>
      </c>
      <c r="C47" s="8"/>
      <c r="E47" s="67"/>
      <c r="F47" s="16"/>
      <c r="G47" s="8"/>
      <c r="H47" s="8"/>
      <c r="I47" s="8"/>
      <c r="J47" s="9"/>
      <c r="K47" s="9">
        <f t="shared" si="0"/>
        <v>0</v>
      </c>
      <c r="L47" s="35">
        <f t="shared" si="1"/>
        <v>0</v>
      </c>
      <c r="M47" s="2"/>
      <c r="O47" s="19"/>
      <c r="P47" s="19"/>
      <c r="Q47" s="19"/>
      <c r="R47" s="21"/>
      <c r="S47" s="46"/>
      <c r="T47" s="44"/>
      <c r="U47" s="77"/>
      <c r="V47" s="24"/>
      <c r="W47" s="24"/>
      <c r="X47" s="193"/>
      <c r="Y47" s="15"/>
      <c r="AA47">
        <v>8</v>
      </c>
      <c r="AB47" s="487"/>
      <c r="AC47" s="90">
        <v>3</v>
      </c>
      <c r="AD47" s="97" t="s">
        <v>98</v>
      </c>
      <c r="AE47" s="39">
        <f t="shared" si="2"/>
        <v>0</v>
      </c>
      <c r="AF47" s="65">
        <f t="shared" si="3"/>
        <v>0</v>
      </c>
      <c r="AG47" s="65">
        <f t="shared" si="4"/>
        <v>0</v>
      </c>
      <c r="AH47" s="65">
        <f t="shared" si="5"/>
        <v>0</v>
      </c>
      <c r="AI47" s="104">
        <f t="shared" si="6"/>
        <v>0</v>
      </c>
      <c r="AJ47" s="115">
        <f t="shared" si="7"/>
        <v>0</v>
      </c>
      <c r="AK47" s="116">
        <f t="shared" si="8"/>
        <v>0</v>
      </c>
      <c r="AL47" s="116">
        <f t="shared" si="9"/>
        <v>0</v>
      </c>
      <c r="AM47" s="116">
        <f t="shared" si="10"/>
        <v>0</v>
      </c>
      <c r="AN47" s="117">
        <f t="shared" si="11"/>
        <v>0</v>
      </c>
      <c r="AO47" s="39">
        <f t="shared" si="12"/>
        <v>0</v>
      </c>
      <c r="AP47" s="65">
        <f t="shared" si="13"/>
        <v>0</v>
      </c>
      <c r="AQ47" s="65">
        <f t="shared" si="14"/>
        <v>0</v>
      </c>
      <c r="AR47" s="65">
        <f t="shared" si="15"/>
        <v>0</v>
      </c>
      <c r="AS47" s="65">
        <f t="shared" si="16"/>
        <v>0</v>
      </c>
    </row>
    <row r="48" spans="2:49" x14ac:dyDescent="0.25">
      <c r="B48" s="15">
        <v>46</v>
      </c>
      <c r="C48" s="8"/>
      <c r="E48" s="67"/>
      <c r="F48" s="16"/>
      <c r="G48" s="8"/>
      <c r="H48" s="8"/>
      <c r="I48" s="8"/>
      <c r="J48" s="9"/>
      <c r="K48" s="9">
        <f t="shared" si="0"/>
        <v>0</v>
      </c>
      <c r="L48" s="35">
        <f t="shared" si="1"/>
        <v>0</v>
      </c>
      <c r="M48" s="2"/>
      <c r="O48" s="19"/>
      <c r="P48" s="19"/>
      <c r="Q48" s="19"/>
      <c r="R48" s="21"/>
      <c r="S48" s="46"/>
      <c r="T48" s="44"/>
      <c r="U48" s="77"/>
      <c r="V48" s="24"/>
      <c r="W48" s="24"/>
      <c r="X48" s="193"/>
      <c r="Y48" s="15"/>
      <c r="AA48">
        <v>8</v>
      </c>
      <c r="AB48" s="487"/>
      <c r="AC48" s="90">
        <v>4</v>
      </c>
      <c r="AD48" s="97" t="s">
        <v>99</v>
      </c>
      <c r="AE48" s="39">
        <f t="shared" si="2"/>
        <v>0</v>
      </c>
      <c r="AF48" s="65">
        <f t="shared" si="3"/>
        <v>0</v>
      </c>
      <c r="AG48" s="65">
        <f t="shared" si="4"/>
        <v>0</v>
      </c>
      <c r="AH48" s="65">
        <f t="shared" si="5"/>
        <v>0</v>
      </c>
      <c r="AI48" s="104">
        <f t="shared" si="6"/>
        <v>0</v>
      </c>
      <c r="AJ48" s="115">
        <f t="shared" si="7"/>
        <v>0</v>
      </c>
      <c r="AK48" s="116">
        <f t="shared" si="8"/>
        <v>0</v>
      </c>
      <c r="AL48" s="116">
        <f t="shared" si="9"/>
        <v>0</v>
      </c>
      <c r="AM48" s="116">
        <f t="shared" si="10"/>
        <v>0</v>
      </c>
      <c r="AN48" s="117">
        <f t="shared" si="11"/>
        <v>0</v>
      </c>
      <c r="AO48" s="39">
        <f t="shared" si="12"/>
        <v>0</v>
      </c>
      <c r="AP48" s="65">
        <f t="shared" si="13"/>
        <v>0</v>
      </c>
      <c r="AQ48" s="65">
        <f t="shared" si="14"/>
        <v>0</v>
      </c>
      <c r="AR48" s="65">
        <f t="shared" si="15"/>
        <v>0</v>
      </c>
      <c r="AS48" s="65">
        <f t="shared" si="16"/>
        <v>0</v>
      </c>
    </row>
    <row r="49" spans="2:45" x14ac:dyDescent="0.25">
      <c r="B49" s="15">
        <v>47</v>
      </c>
      <c r="C49" s="8"/>
      <c r="E49" s="67"/>
      <c r="F49" s="16"/>
      <c r="G49" s="8"/>
      <c r="H49" s="8"/>
      <c r="I49" s="8"/>
      <c r="K49" s="9">
        <f t="shared" si="0"/>
        <v>0</v>
      </c>
      <c r="L49" s="35">
        <f t="shared" si="1"/>
        <v>0</v>
      </c>
      <c r="M49" s="2"/>
      <c r="O49" s="19"/>
      <c r="P49" s="19"/>
      <c r="Q49" s="19"/>
      <c r="R49" s="21"/>
      <c r="S49" s="46"/>
      <c r="T49" s="44"/>
      <c r="U49" s="77"/>
      <c r="V49" s="30"/>
      <c r="W49" s="24"/>
      <c r="X49" s="193"/>
      <c r="Y49" s="15"/>
      <c r="AA49">
        <v>8</v>
      </c>
      <c r="AB49" s="487"/>
      <c r="AC49" s="91">
        <v>5</v>
      </c>
      <c r="AD49" s="100"/>
      <c r="AE49" s="39">
        <f t="shared" si="2"/>
        <v>0</v>
      </c>
      <c r="AF49" s="65">
        <f t="shared" si="3"/>
        <v>0</v>
      </c>
      <c r="AG49" s="65">
        <f t="shared" si="4"/>
        <v>0</v>
      </c>
      <c r="AH49" s="65">
        <f t="shared" si="5"/>
        <v>0</v>
      </c>
      <c r="AI49" s="104">
        <f t="shared" si="6"/>
        <v>0</v>
      </c>
      <c r="AJ49" s="115">
        <f t="shared" si="7"/>
        <v>0</v>
      </c>
      <c r="AK49" s="116">
        <f t="shared" si="8"/>
        <v>0</v>
      </c>
      <c r="AL49" s="116">
        <f t="shared" si="9"/>
        <v>0</v>
      </c>
      <c r="AM49" s="116">
        <f t="shared" si="10"/>
        <v>0</v>
      </c>
      <c r="AN49" s="117">
        <f t="shared" si="11"/>
        <v>0</v>
      </c>
      <c r="AO49" s="39">
        <f t="shared" si="12"/>
        <v>0</v>
      </c>
      <c r="AP49" s="65">
        <f t="shared" si="13"/>
        <v>0</v>
      </c>
      <c r="AQ49" s="65">
        <f t="shared" si="14"/>
        <v>0</v>
      </c>
      <c r="AR49" s="65">
        <f t="shared" si="15"/>
        <v>0</v>
      </c>
      <c r="AS49" s="65">
        <f t="shared" si="16"/>
        <v>0</v>
      </c>
    </row>
    <row r="50" spans="2:45" ht="14.25" thickBot="1" x14ac:dyDescent="0.3">
      <c r="B50" s="15">
        <v>48</v>
      </c>
      <c r="C50" s="8"/>
      <c r="E50" s="67"/>
      <c r="F50" s="16"/>
      <c r="G50" s="8"/>
      <c r="H50" s="8"/>
      <c r="I50" s="8"/>
      <c r="J50" s="9"/>
      <c r="K50" s="9">
        <f t="shared" si="0"/>
        <v>0</v>
      </c>
      <c r="L50" s="35">
        <f t="shared" si="1"/>
        <v>0</v>
      </c>
      <c r="M50" s="2"/>
      <c r="O50" s="19"/>
      <c r="P50" s="19"/>
      <c r="Q50" s="19"/>
      <c r="R50" s="21"/>
      <c r="S50" s="46"/>
      <c r="T50" s="44"/>
      <c r="U50" s="77"/>
      <c r="V50" s="30"/>
      <c r="W50" s="24"/>
      <c r="X50" s="193"/>
      <c r="Y50" s="15"/>
      <c r="AA50">
        <v>8</v>
      </c>
      <c r="AB50" s="488"/>
      <c r="AC50" s="92" t="s">
        <v>3</v>
      </c>
      <c r="AD50" s="101"/>
      <c r="AE50" s="94">
        <f t="shared" ref="AE50:AS50" si="28">SUM(AE45:AE49)</f>
        <v>0</v>
      </c>
      <c r="AF50" s="94">
        <f t="shared" si="28"/>
        <v>0</v>
      </c>
      <c r="AG50" s="94">
        <f t="shared" si="28"/>
        <v>0</v>
      </c>
      <c r="AH50" s="94">
        <f t="shared" si="28"/>
        <v>0</v>
      </c>
      <c r="AI50" s="105">
        <f t="shared" si="28"/>
        <v>0</v>
      </c>
      <c r="AJ50" s="118">
        <f t="shared" si="28"/>
        <v>0</v>
      </c>
      <c r="AK50" s="119">
        <f t="shared" si="28"/>
        <v>0</v>
      </c>
      <c r="AL50" s="119">
        <f t="shared" si="28"/>
        <v>0</v>
      </c>
      <c r="AM50" s="119">
        <f t="shared" si="28"/>
        <v>0</v>
      </c>
      <c r="AN50" s="120">
        <f t="shared" si="28"/>
        <v>0</v>
      </c>
      <c r="AO50" s="94">
        <f t="shared" si="28"/>
        <v>0</v>
      </c>
      <c r="AP50" s="94">
        <f t="shared" si="28"/>
        <v>0</v>
      </c>
      <c r="AQ50" s="94">
        <f t="shared" si="28"/>
        <v>0</v>
      </c>
      <c r="AR50" s="94">
        <f t="shared" si="28"/>
        <v>0</v>
      </c>
      <c r="AS50" s="94">
        <f t="shared" si="28"/>
        <v>0</v>
      </c>
    </row>
    <row r="51" spans="2:45" x14ac:dyDescent="0.25">
      <c r="B51" s="15">
        <v>49</v>
      </c>
      <c r="C51" s="8"/>
      <c r="E51" s="67"/>
      <c r="F51" s="16"/>
      <c r="G51" s="8"/>
      <c r="H51" s="8"/>
      <c r="I51" s="8"/>
      <c r="J51" s="9"/>
      <c r="K51" s="9">
        <f t="shared" si="0"/>
        <v>0</v>
      </c>
      <c r="L51" s="35">
        <f t="shared" si="1"/>
        <v>0</v>
      </c>
      <c r="M51" s="2"/>
      <c r="O51" s="19"/>
      <c r="P51" s="19"/>
      <c r="Q51" s="19"/>
      <c r="R51" s="21"/>
      <c r="S51" s="46"/>
      <c r="T51" s="44"/>
      <c r="U51" s="77"/>
      <c r="V51" s="30"/>
      <c r="W51" s="24"/>
      <c r="X51" s="193"/>
      <c r="Y51" s="15"/>
      <c r="AA51">
        <v>9</v>
      </c>
      <c r="AB51" s="486">
        <v>9</v>
      </c>
      <c r="AC51" s="89">
        <v>1</v>
      </c>
      <c r="AD51" s="95" t="s">
        <v>100</v>
      </c>
      <c r="AE51" s="39">
        <f t="shared" si="2"/>
        <v>0</v>
      </c>
      <c r="AF51" s="65">
        <f t="shared" si="3"/>
        <v>0</v>
      </c>
      <c r="AG51" s="65">
        <f t="shared" si="4"/>
        <v>0</v>
      </c>
      <c r="AH51" s="65">
        <f t="shared" si="5"/>
        <v>0</v>
      </c>
      <c r="AI51" s="104">
        <f t="shared" si="6"/>
        <v>0</v>
      </c>
      <c r="AJ51" s="115">
        <f t="shared" si="7"/>
        <v>0</v>
      </c>
      <c r="AK51" s="116">
        <f t="shared" si="8"/>
        <v>0</v>
      </c>
      <c r="AL51" s="116">
        <f t="shared" si="9"/>
        <v>0</v>
      </c>
      <c r="AM51" s="116">
        <f t="shared" si="10"/>
        <v>0</v>
      </c>
      <c r="AN51" s="117">
        <f t="shared" si="11"/>
        <v>0</v>
      </c>
      <c r="AO51" s="39">
        <f t="shared" si="12"/>
        <v>0</v>
      </c>
      <c r="AP51" s="65">
        <f t="shared" si="13"/>
        <v>0</v>
      </c>
      <c r="AQ51" s="65">
        <f t="shared" si="14"/>
        <v>0</v>
      </c>
      <c r="AR51" s="65">
        <f t="shared" si="15"/>
        <v>0</v>
      </c>
      <c r="AS51" s="65">
        <f t="shared" si="16"/>
        <v>0</v>
      </c>
    </row>
    <row r="52" spans="2:45" x14ac:dyDescent="0.25">
      <c r="B52" s="15">
        <v>50</v>
      </c>
      <c r="C52" s="8"/>
      <c r="E52" s="67"/>
      <c r="F52" s="16"/>
      <c r="G52" s="8"/>
      <c r="H52" s="8"/>
      <c r="I52" s="8"/>
      <c r="J52" s="9"/>
      <c r="K52" s="9">
        <f t="shared" si="0"/>
        <v>0</v>
      </c>
      <c r="L52" s="35">
        <f t="shared" si="1"/>
        <v>0</v>
      </c>
      <c r="M52" s="2"/>
      <c r="O52" s="19"/>
      <c r="P52" s="19"/>
      <c r="Q52" s="19"/>
      <c r="R52" s="21"/>
      <c r="S52" s="46"/>
      <c r="T52" s="44"/>
      <c r="U52" s="77"/>
      <c r="V52" s="30"/>
      <c r="W52" s="24"/>
      <c r="X52" s="193"/>
      <c r="Y52" s="15"/>
      <c r="AA52">
        <v>9</v>
      </c>
      <c r="AB52" s="487"/>
      <c r="AC52" s="90">
        <v>2</v>
      </c>
      <c r="AD52" s="97" t="s">
        <v>101</v>
      </c>
      <c r="AE52" s="39">
        <f t="shared" si="2"/>
        <v>0</v>
      </c>
      <c r="AF52" s="65">
        <f t="shared" si="3"/>
        <v>0</v>
      </c>
      <c r="AG52" s="65">
        <f t="shared" si="4"/>
        <v>0</v>
      </c>
      <c r="AH52" s="65">
        <f t="shared" si="5"/>
        <v>0</v>
      </c>
      <c r="AI52" s="104">
        <f t="shared" si="6"/>
        <v>0</v>
      </c>
      <c r="AJ52" s="115">
        <f t="shared" si="7"/>
        <v>0</v>
      </c>
      <c r="AK52" s="116">
        <f t="shared" si="8"/>
        <v>0</v>
      </c>
      <c r="AL52" s="116">
        <f t="shared" si="9"/>
        <v>0</v>
      </c>
      <c r="AM52" s="116">
        <f t="shared" si="10"/>
        <v>0</v>
      </c>
      <c r="AN52" s="117">
        <f t="shared" si="11"/>
        <v>0</v>
      </c>
      <c r="AO52" s="39">
        <f t="shared" si="12"/>
        <v>0</v>
      </c>
      <c r="AP52" s="65">
        <f t="shared" si="13"/>
        <v>0</v>
      </c>
      <c r="AQ52" s="65">
        <f t="shared" si="14"/>
        <v>0</v>
      </c>
      <c r="AR52" s="65">
        <f t="shared" si="15"/>
        <v>0</v>
      </c>
      <c r="AS52" s="65">
        <f t="shared" si="16"/>
        <v>0</v>
      </c>
    </row>
    <row r="53" spans="2:45" x14ac:dyDescent="0.25">
      <c r="B53" s="15">
        <v>51</v>
      </c>
      <c r="C53" s="8"/>
      <c r="E53" s="67"/>
      <c r="F53" s="16"/>
      <c r="G53" s="8"/>
      <c r="H53" s="8"/>
      <c r="I53" s="8"/>
      <c r="J53" s="9"/>
      <c r="K53" s="9">
        <f t="shared" si="0"/>
        <v>0</v>
      </c>
      <c r="L53" s="35">
        <f t="shared" si="1"/>
        <v>0</v>
      </c>
      <c r="M53" s="2"/>
      <c r="O53" s="19"/>
      <c r="P53" s="19"/>
      <c r="Q53" s="19"/>
      <c r="R53" s="21"/>
      <c r="S53" s="46"/>
      <c r="T53" s="44"/>
      <c r="U53" s="77"/>
      <c r="V53" s="30"/>
      <c r="W53" s="24"/>
      <c r="X53" s="193"/>
      <c r="Y53" s="15"/>
      <c r="AA53">
        <v>9</v>
      </c>
      <c r="AB53" s="487"/>
      <c r="AC53" s="90">
        <v>3</v>
      </c>
      <c r="AD53" s="97" t="s">
        <v>102</v>
      </c>
      <c r="AE53" s="39">
        <f t="shared" si="2"/>
        <v>0</v>
      </c>
      <c r="AF53" s="65">
        <f t="shared" si="3"/>
        <v>0</v>
      </c>
      <c r="AG53" s="65">
        <f t="shared" si="4"/>
        <v>0</v>
      </c>
      <c r="AH53" s="65">
        <f t="shared" si="5"/>
        <v>0</v>
      </c>
      <c r="AI53" s="104">
        <f t="shared" si="6"/>
        <v>0</v>
      </c>
      <c r="AJ53" s="115">
        <f t="shared" si="7"/>
        <v>0</v>
      </c>
      <c r="AK53" s="116">
        <f t="shared" si="8"/>
        <v>0</v>
      </c>
      <c r="AL53" s="116">
        <f t="shared" si="9"/>
        <v>0</v>
      </c>
      <c r="AM53" s="116">
        <f t="shared" si="10"/>
        <v>0</v>
      </c>
      <c r="AN53" s="117">
        <f t="shared" si="11"/>
        <v>0</v>
      </c>
      <c r="AO53" s="39">
        <f t="shared" si="12"/>
        <v>0</v>
      </c>
      <c r="AP53" s="65">
        <f t="shared" si="13"/>
        <v>0</v>
      </c>
      <c r="AQ53" s="65">
        <f t="shared" si="14"/>
        <v>0</v>
      </c>
      <c r="AR53" s="65">
        <f t="shared" si="15"/>
        <v>0</v>
      </c>
      <c r="AS53" s="65">
        <f t="shared" si="16"/>
        <v>0</v>
      </c>
    </row>
    <row r="54" spans="2:45" x14ac:dyDescent="0.25">
      <c r="B54" s="15">
        <v>52</v>
      </c>
      <c r="C54" s="8"/>
      <c r="E54" s="67"/>
      <c r="F54" s="16"/>
      <c r="G54" s="8"/>
      <c r="H54" s="8"/>
      <c r="I54" s="8"/>
      <c r="J54" s="9"/>
      <c r="K54" s="9">
        <f t="shared" si="0"/>
        <v>0</v>
      </c>
      <c r="L54" s="35">
        <f t="shared" si="1"/>
        <v>0</v>
      </c>
      <c r="M54" s="2"/>
      <c r="O54" s="19"/>
      <c r="P54" s="19"/>
      <c r="Q54" s="19"/>
      <c r="R54" s="21"/>
      <c r="S54" s="46"/>
      <c r="T54" s="44"/>
      <c r="U54" s="77"/>
      <c r="V54" s="30"/>
      <c r="W54" s="24"/>
      <c r="X54" s="193"/>
      <c r="Y54" s="15"/>
      <c r="AA54">
        <v>9</v>
      </c>
      <c r="AB54" s="487"/>
      <c r="AC54" s="90">
        <v>4</v>
      </c>
      <c r="AD54" s="97" t="s">
        <v>103</v>
      </c>
      <c r="AE54" s="39">
        <f t="shared" si="2"/>
        <v>0</v>
      </c>
      <c r="AF54" s="65">
        <f t="shared" si="3"/>
        <v>0</v>
      </c>
      <c r="AG54" s="65">
        <f t="shared" si="4"/>
        <v>0</v>
      </c>
      <c r="AH54" s="65">
        <f t="shared" si="5"/>
        <v>0</v>
      </c>
      <c r="AI54" s="104">
        <f t="shared" si="6"/>
        <v>0</v>
      </c>
      <c r="AJ54" s="115">
        <f t="shared" si="7"/>
        <v>0</v>
      </c>
      <c r="AK54" s="116">
        <f t="shared" si="8"/>
        <v>0</v>
      </c>
      <c r="AL54" s="116">
        <f t="shared" si="9"/>
        <v>0</v>
      </c>
      <c r="AM54" s="116">
        <f t="shared" si="10"/>
        <v>0</v>
      </c>
      <c r="AN54" s="117">
        <f t="shared" si="11"/>
        <v>0</v>
      </c>
      <c r="AO54" s="39">
        <f t="shared" si="12"/>
        <v>0</v>
      </c>
      <c r="AP54" s="65">
        <f t="shared" si="13"/>
        <v>0</v>
      </c>
      <c r="AQ54" s="65">
        <f t="shared" si="14"/>
        <v>0</v>
      </c>
      <c r="AR54" s="65">
        <f t="shared" si="15"/>
        <v>0</v>
      </c>
      <c r="AS54" s="65">
        <f t="shared" si="16"/>
        <v>0</v>
      </c>
    </row>
    <row r="55" spans="2:45" x14ac:dyDescent="0.25">
      <c r="B55" s="15">
        <v>53</v>
      </c>
      <c r="C55" s="8"/>
      <c r="E55" s="67"/>
      <c r="F55" s="16"/>
      <c r="G55" s="8"/>
      <c r="H55" s="8"/>
      <c r="I55" s="8"/>
      <c r="J55" s="9"/>
      <c r="K55" s="9">
        <f t="shared" si="0"/>
        <v>0</v>
      </c>
      <c r="L55" s="35">
        <f t="shared" si="1"/>
        <v>0</v>
      </c>
      <c r="M55" s="2"/>
      <c r="O55" s="19"/>
      <c r="P55" s="19"/>
      <c r="Q55" s="19"/>
      <c r="R55" s="21"/>
      <c r="S55" s="46"/>
      <c r="T55" s="44"/>
      <c r="U55" s="77"/>
      <c r="V55" s="24"/>
      <c r="W55" s="24"/>
      <c r="X55" s="193"/>
      <c r="Y55" s="15"/>
      <c r="AA55">
        <v>9</v>
      </c>
      <c r="AB55" s="487"/>
      <c r="AC55" s="91">
        <v>5</v>
      </c>
      <c r="AD55" s="100"/>
      <c r="AE55" s="39">
        <f t="shared" si="2"/>
        <v>0</v>
      </c>
      <c r="AF55" s="65">
        <f t="shared" si="3"/>
        <v>0</v>
      </c>
      <c r="AG55" s="65">
        <f t="shared" si="4"/>
        <v>0</v>
      </c>
      <c r="AH55" s="65">
        <f t="shared" si="5"/>
        <v>0</v>
      </c>
      <c r="AI55" s="104">
        <f t="shared" si="6"/>
        <v>0</v>
      </c>
      <c r="AJ55" s="115">
        <f t="shared" si="7"/>
        <v>0</v>
      </c>
      <c r="AK55" s="116">
        <f t="shared" si="8"/>
        <v>0</v>
      </c>
      <c r="AL55" s="116">
        <f t="shared" si="9"/>
        <v>0</v>
      </c>
      <c r="AM55" s="116">
        <f t="shared" si="10"/>
        <v>0</v>
      </c>
      <c r="AN55" s="117">
        <f t="shared" si="11"/>
        <v>0</v>
      </c>
      <c r="AO55" s="39">
        <f t="shared" si="12"/>
        <v>0</v>
      </c>
      <c r="AP55" s="65">
        <f t="shared" si="13"/>
        <v>0</v>
      </c>
      <c r="AQ55" s="65">
        <f t="shared" si="14"/>
        <v>0</v>
      </c>
      <c r="AR55" s="65">
        <f t="shared" si="15"/>
        <v>0</v>
      </c>
      <c r="AS55" s="65">
        <f t="shared" si="16"/>
        <v>0</v>
      </c>
    </row>
    <row r="56" spans="2:45" ht="14.25" thickBot="1" x14ac:dyDescent="0.3">
      <c r="B56" s="15">
        <v>54</v>
      </c>
      <c r="C56" s="8"/>
      <c r="E56" s="67"/>
      <c r="F56" s="16"/>
      <c r="G56" s="8"/>
      <c r="H56" s="8"/>
      <c r="I56" s="8"/>
      <c r="J56" s="9"/>
      <c r="K56" s="9">
        <f t="shared" si="0"/>
        <v>0</v>
      </c>
      <c r="L56" s="35">
        <f t="shared" si="1"/>
        <v>0</v>
      </c>
      <c r="O56" s="19"/>
      <c r="P56" s="19"/>
      <c r="Q56" s="19"/>
      <c r="R56" s="21"/>
      <c r="S56" s="46"/>
      <c r="T56" s="44"/>
      <c r="U56" s="76"/>
      <c r="V56" s="24"/>
      <c r="W56" s="24"/>
      <c r="X56" s="193"/>
      <c r="Y56" s="15"/>
      <c r="AA56">
        <v>9</v>
      </c>
      <c r="AB56" s="488"/>
      <c r="AC56" s="92" t="s">
        <v>3</v>
      </c>
      <c r="AD56" s="101"/>
      <c r="AE56" s="94">
        <f t="shared" ref="AE56:AS56" si="29">SUM(AE51:AE55)</f>
        <v>0</v>
      </c>
      <c r="AF56" s="94">
        <f t="shared" si="29"/>
        <v>0</v>
      </c>
      <c r="AG56" s="94">
        <f t="shared" si="29"/>
        <v>0</v>
      </c>
      <c r="AH56" s="94">
        <f t="shared" si="29"/>
        <v>0</v>
      </c>
      <c r="AI56" s="105">
        <f t="shared" si="29"/>
        <v>0</v>
      </c>
      <c r="AJ56" s="118">
        <f t="shared" si="29"/>
        <v>0</v>
      </c>
      <c r="AK56" s="119">
        <f t="shared" si="29"/>
        <v>0</v>
      </c>
      <c r="AL56" s="119">
        <f t="shared" si="29"/>
        <v>0</v>
      </c>
      <c r="AM56" s="119">
        <f t="shared" si="29"/>
        <v>0</v>
      </c>
      <c r="AN56" s="120">
        <f t="shared" si="29"/>
        <v>0</v>
      </c>
      <c r="AO56" s="94">
        <f t="shared" si="29"/>
        <v>0</v>
      </c>
      <c r="AP56" s="94">
        <f t="shared" si="29"/>
        <v>0</v>
      </c>
      <c r="AQ56" s="94">
        <f t="shared" si="29"/>
        <v>0</v>
      </c>
      <c r="AR56" s="94">
        <f t="shared" si="29"/>
        <v>0</v>
      </c>
      <c r="AS56" s="94">
        <f t="shared" si="29"/>
        <v>0</v>
      </c>
    </row>
    <row r="57" spans="2:45" x14ac:dyDescent="0.25">
      <c r="B57" s="15">
        <v>55</v>
      </c>
      <c r="C57" s="8"/>
      <c r="E57" s="67"/>
      <c r="F57" s="16"/>
      <c r="G57" s="8"/>
      <c r="H57" s="8"/>
      <c r="I57" s="8"/>
      <c r="J57" s="9"/>
      <c r="K57" s="9">
        <f t="shared" si="0"/>
        <v>0</v>
      </c>
      <c r="L57" s="35">
        <f t="shared" si="1"/>
        <v>0</v>
      </c>
      <c r="M57" s="2"/>
      <c r="O57" s="19"/>
      <c r="P57" s="19"/>
      <c r="Q57" s="19"/>
      <c r="R57" s="21"/>
      <c r="S57" s="46"/>
      <c r="T57" s="44"/>
      <c r="U57" s="77"/>
      <c r="V57" s="30"/>
      <c r="W57" s="24"/>
      <c r="X57" s="193"/>
      <c r="Y57" s="15"/>
      <c r="AA57">
        <v>10</v>
      </c>
      <c r="AB57" s="486">
        <v>10</v>
      </c>
      <c r="AC57" s="89">
        <v>1</v>
      </c>
      <c r="AD57" s="95" t="s">
        <v>104</v>
      </c>
      <c r="AE57" s="39">
        <f t="shared" si="2"/>
        <v>0</v>
      </c>
      <c r="AF57" s="65">
        <f t="shared" si="3"/>
        <v>0</v>
      </c>
      <c r="AG57" s="65">
        <f t="shared" si="4"/>
        <v>0</v>
      </c>
      <c r="AH57" s="65">
        <f t="shared" si="5"/>
        <v>0</v>
      </c>
      <c r="AI57" s="104">
        <f t="shared" si="6"/>
        <v>0</v>
      </c>
      <c r="AJ57" s="115">
        <f t="shared" si="7"/>
        <v>0</v>
      </c>
      <c r="AK57" s="116">
        <f t="shared" si="8"/>
        <v>0</v>
      </c>
      <c r="AL57" s="116">
        <f t="shared" si="9"/>
        <v>0</v>
      </c>
      <c r="AM57" s="116">
        <f t="shared" si="10"/>
        <v>0</v>
      </c>
      <c r="AN57" s="117">
        <f t="shared" si="11"/>
        <v>0</v>
      </c>
      <c r="AO57" s="39">
        <f t="shared" si="12"/>
        <v>0</v>
      </c>
      <c r="AP57" s="65">
        <f t="shared" si="13"/>
        <v>0</v>
      </c>
      <c r="AQ57" s="65">
        <f t="shared" si="14"/>
        <v>0</v>
      </c>
      <c r="AR57" s="65">
        <f t="shared" si="15"/>
        <v>0</v>
      </c>
      <c r="AS57" s="65">
        <f t="shared" si="16"/>
        <v>0</v>
      </c>
    </row>
    <row r="58" spans="2:45" x14ac:dyDescent="0.25">
      <c r="B58" s="15">
        <v>56</v>
      </c>
      <c r="C58" s="8"/>
      <c r="E58" s="67"/>
      <c r="F58" s="16"/>
      <c r="G58" s="8"/>
      <c r="H58" s="8"/>
      <c r="I58" s="8"/>
      <c r="J58" s="9"/>
      <c r="K58" s="9">
        <f t="shared" si="0"/>
        <v>0</v>
      </c>
      <c r="L58" s="35">
        <f t="shared" si="1"/>
        <v>0</v>
      </c>
      <c r="M58" s="2"/>
      <c r="O58" s="19"/>
      <c r="P58" s="19"/>
      <c r="Q58" s="19"/>
      <c r="R58" s="21"/>
      <c r="S58" s="46"/>
      <c r="T58" s="44"/>
      <c r="U58" s="77"/>
      <c r="V58" s="30"/>
      <c r="W58" s="24"/>
      <c r="X58" s="193"/>
      <c r="Y58" s="15"/>
      <c r="AA58">
        <v>10</v>
      </c>
      <c r="AB58" s="487"/>
      <c r="AC58" s="90">
        <v>2</v>
      </c>
      <c r="AD58" s="96" t="s">
        <v>54</v>
      </c>
      <c r="AE58" s="39">
        <f t="shared" si="2"/>
        <v>0</v>
      </c>
      <c r="AF58" s="65">
        <f t="shared" si="3"/>
        <v>0</v>
      </c>
      <c r="AG58" s="65">
        <f t="shared" si="4"/>
        <v>0</v>
      </c>
      <c r="AH58" s="65">
        <f t="shared" si="5"/>
        <v>0</v>
      </c>
      <c r="AI58" s="104">
        <f t="shared" si="6"/>
        <v>0</v>
      </c>
      <c r="AJ58" s="115">
        <f t="shared" si="7"/>
        <v>0</v>
      </c>
      <c r="AK58" s="116">
        <f t="shared" si="8"/>
        <v>0</v>
      </c>
      <c r="AL58" s="116">
        <f t="shared" si="9"/>
        <v>0</v>
      </c>
      <c r="AM58" s="116">
        <f t="shared" si="10"/>
        <v>0</v>
      </c>
      <c r="AN58" s="117">
        <f t="shared" si="11"/>
        <v>0</v>
      </c>
      <c r="AO58" s="39">
        <f t="shared" si="12"/>
        <v>0</v>
      </c>
      <c r="AP58" s="65">
        <f t="shared" si="13"/>
        <v>0</v>
      </c>
      <c r="AQ58" s="65">
        <f t="shared" si="14"/>
        <v>0</v>
      </c>
      <c r="AR58" s="65">
        <f t="shared" si="15"/>
        <v>0</v>
      </c>
      <c r="AS58" s="65">
        <f t="shared" si="16"/>
        <v>0</v>
      </c>
    </row>
    <row r="59" spans="2:45" x14ac:dyDescent="0.25">
      <c r="B59" s="15">
        <v>57</v>
      </c>
      <c r="C59" s="8"/>
      <c r="E59" s="67"/>
      <c r="F59" s="16"/>
      <c r="G59" s="8"/>
      <c r="H59" s="8"/>
      <c r="I59" s="8"/>
      <c r="J59" s="9"/>
      <c r="K59" s="9">
        <f t="shared" si="0"/>
        <v>0</v>
      </c>
      <c r="L59" s="35">
        <f t="shared" si="1"/>
        <v>0</v>
      </c>
      <c r="M59" s="2"/>
      <c r="O59" s="19"/>
      <c r="P59" s="19"/>
      <c r="Q59" s="19"/>
      <c r="R59" s="21"/>
      <c r="S59" s="46"/>
      <c r="T59" s="44"/>
      <c r="U59" s="77"/>
      <c r="V59" s="30"/>
      <c r="W59" s="24"/>
      <c r="X59" s="193"/>
      <c r="Y59" s="15"/>
      <c r="AA59">
        <v>10</v>
      </c>
      <c r="AB59" s="487"/>
      <c r="AC59" s="90">
        <v>3</v>
      </c>
      <c r="AD59" s="97" t="s">
        <v>55</v>
      </c>
      <c r="AE59" s="39">
        <f t="shared" si="2"/>
        <v>0</v>
      </c>
      <c r="AF59" s="65">
        <f t="shared" si="3"/>
        <v>0</v>
      </c>
      <c r="AG59" s="65">
        <f t="shared" si="4"/>
        <v>0</v>
      </c>
      <c r="AH59" s="65">
        <f t="shared" si="5"/>
        <v>0</v>
      </c>
      <c r="AI59" s="104">
        <f t="shared" si="6"/>
        <v>0</v>
      </c>
      <c r="AJ59" s="115">
        <f t="shared" si="7"/>
        <v>0</v>
      </c>
      <c r="AK59" s="116">
        <f t="shared" si="8"/>
        <v>0</v>
      </c>
      <c r="AL59" s="116">
        <f t="shared" si="9"/>
        <v>0</v>
      </c>
      <c r="AM59" s="116">
        <f t="shared" si="10"/>
        <v>0</v>
      </c>
      <c r="AN59" s="117">
        <f t="shared" si="11"/>
        <v>0</v>
      </c>
      <c r="AO59" s="39">
        <f t="shared" si="12"/>
        <v>0</v>
      </c>
      <c r="AP59" s="65">
        <f t="shared" si="13"/>
        <v>0</v>
      </c>
      <c r="AQ59" s="65">
        <f t="shared" si="14"/>
        <v>0</v>
      </c>
      <c r="AR59" s="65">
        <f t="shared" si="15"/>
        <v>0</v>
      </c>
      <c r="AS59" s="65">
        <f t="shared" si="16"/>
        <v>0</v>
      </c>
    </row>
    <row r="60" spans="2:45" x14ac:dyDescent="0.25">
      <c r="B60" s="15">
        <v>58</v>
      </c>
      <c r="C60" s="8"/>
      <c r="E60" s="67"/>
      <c r="F60" s="16"/>
      <c r="G60" s="8"/>
      <c r="H60" s="8"/>
      <c r="I60" s="8"/>
      <c r="J60" s="9"/>
      <c r="K60" s="9">
        <f t="shared" si="0"/>
        <v>0</v>
      </c>
      <c r="L60" s="35">
        <f t="shared" si="1"/>
        <v>0</v>
      </c>
      <c r="M60" s="2"/>
      <c r="O60" s="19"/>
      <c r="P60" s="19"/>
      <c r="Q60" s="19"/>
      <c r="R60" s="21"/>
      <c r="S60" s="46"/>
      <c r="T60" s="44"/>
      <c r="U60" s="77"/>
      <c r="V60" s="30"/>
      <c r="W60" s="24"/>
      <c r="X60" s="193"/>
      <c r="Y60" s="15"/>
      <c r="AA60">
        <v>10</v>
      </c>
      <c r="AB60" s="487"/>
      <c r="AC60" s="90">
        <v>4</v>
      </c>
      <c r="AD60" s="97" t="s">
        <v>56</v>
      </c>
      <c r="AE60" s="39">
        <f t="shared" si="2"/>
        <v>0</v>
      </c>
      <c r="AF60" s="65">
        <f t="shared" si="3"/>
        <v>0</v>
      </c>
      <c r="AG60" s="65">
        <f t="shared" si="4"/>
        <v>0</v>
      </c>
      <c r="AH60" s="65">
        <f t="shared" si="5"/>
        <v>0</v>
      </c>
      <c r="AI60" s="104">
        <f t="shared" si="6"/>
        <v>0</v>
      </c>
      <c r="AJ60" s="115">
        <f t="shared" si="7"/>
        <v>0</v>
      </c>
      <c r="AK60" s="116">
        <f t="shared" si="8"/>
        <v>0</v>
      </c>
      <c r="AL60" s="116">
        <f t="shared" si="9"/>
        <v>0</v>
      </c>
      <c r="AM60" s="116">
        <f t="shared" si="10"/>
        <v>0</v>
      </c>
      <c r="AN60" s="117">
        <f t="shared" si="11"/>
        <v>0</v>
      </c>
      <c r="AO60" s="39">
        <f t="shared" si="12"/>
        <v>0</v>
      </c>
      <c r="AP60" s="65">
        <f t="shared" si="13"/>
        <v>0</v>
      </c>
      <c r="AQ60" s="65">
        <f t="shared" si="14"/>
        <v>0</v>
      </c>
      <c r="AR60" s="65">
        <f t="shared" si="15"/>
        <v>0</v>
      </c>
      <c r="AS60" s="65">
        <f t="shared" si="16"/>
        <v>0</v>
      </c>
    </row>
    <row r="61" spans="2:45" x14ac:dyDescent="0.25">
      <c r="B61" s="15">
        <v>59</v>
      </c>
      <c r="C61" s="8"/>
      <c r="E61" s="67"/>
      <c r="F61" s="16"/>
      <c r="G61" s="8"/>
      <c r="H61" s="8"/>
      <c r="I61" s="8"/>
      <c r="J61" s="9"/>
      <c r="K61" s="9">
        <f t="shared" si="0"/>
        <v>0</v>
      </c>
      <c r="L61" s="35">
        <f t="shared" si="1"/>
        <v>0</v>
      </c>
      <c r="M61" s="2"/>
      <c r="O61" s="19"/>
      <c r="P61" s="19"/>
      <c r="Q61" s="19"/>
      <c r="R61" s="21"/>
      <c r="S61" s="46"/>
      <c r="T61" s="44"/>
      <c r="U61" s="77"/>
      <c r="V61" s="30"/>
      <c r="W61" s="24"/>
      <c r="X61" s="193"/>
      <c r="Y61" s="15"/>
      <c r="AA61">
        <v>10</v>
      </c>
      <c r="AB61" s="487"/>
      <c r="AC61" s="91">
        <v>5</v>
      </c>
      <c r="AD61" s="51" t="s">
        <v>57</v>
      </c>
      <c r="AE61" s="39">
        <f t="shared" si="2"/>
        <v>0</v>
      </c>
      <c r="AF61" s="65">
        <f t="shared" si="3"/>
        <v>0</v>
      </c>
      <c r="AG61" s="65">
        <f t="shared" si="4"/>
        <v>0</v>
      </c>
      <c r="AH61" s="65">
        <f t="shared" si="5"/>
        <v>0</v>
      </c>
      <c r="AI61" s="104">
        <f t="shared" si="6"/>
        <v>0</v>
      </c>
      <c r="AJ61" s="115">
        <f t="shared" si="7"/>
        <v>0</v>
      </c>
      <c r="AK61" s="116">
        <f t="shared" si="8"/>
        <v>0</v>
      </c>
      <c r="AL61" s="116">
        <f t="shared" si="9"/>
        <v>0</v>
      </c>
      <c r="AM61" s="116">
        <f t="shared" si="10"/>
        <v>0</v>
      </c>
      <c r="AN61" s="117">
        <f t="shared" si="11"/>
        <v>0</v>
      </c>
      <c r="AO61" s="39">
        <f t="shared" si="12"/>
        <v>0</v>
      </c>
      <c r="AP61" s="65">
        <f t="shared" si="13"/>
        <v>0</v>
      </c>
      <c r="AQ61" s="65">
        <f t="shared" si="14"/>
        <v>0</v>
      </c>
      <c r="AR61" s="65">
        <f t="shared" si="15"/>
        <v>0</v>
      </c>
      <c r="AS61" s="65">
        <f t="shared" si="16"/>
        <v>0</v>
      </c>
    </row>
    <row r="62" spans="2:45" ht="14.25" thickBot="1" x14ac:dyDescent="0.3">
      <c r="B62" s="15">
        <v>60</v>
      </c>
      <c r="C62" s="8"/>
      <c r="E62" s="67"/>
      <c r="F62" s="16"/>
      <c r="G62" s="8"/>
      <c r="H62" s="8"/>
      <c r="I62" s="8"/>
      <c r="J62" s="9"/>
      <c r="K62" s="9">
        <f t="shared" si="0"/>
        <v>0</v>
      </c>
      <c r="L62" s="35">
        <f t="shared" si="1"/>
        <v>0</v>
      </c>
      <c r="M62" s="2"/>
      <c r="O62" s="19"/>
      <c r="P62" s="19"/>
      <c r="Q62" s="19"/>
      <c r="R62" s="21"/>
      <c r="S62" s="46"/>
      <c r="T62" s="44"/>
      <c r="U62" s="77"/>
      <c r="V62" s="30"/>
      <c r="W62" s="24"/>
      <c r="X62" s="193"/>
      <c r="Y62" s="15"/>
      <c r="AA62">
        <v>10</v>
      </c>
      <c r="AB62" s="488"/>
      <c r="AC62" s="92" t="s">
        <v>3</v>
      </c>
      <c r="AD62" s="101"/>
      <c r="AE62" s="94">
        <f t="shared" ref="AE62:AS62" si="30">SUM(AE57:AE61)</f>
        <v>0</v>
      </c>
      <c r="AF62" s="94">
        <f t="shared" si="30"/>
        <v>0</v>
      </c>
      <c r="AG62" s="94">
        <f t="shared" si="30"/>
        <v>0</v>
      </c>
      <c r="AH62" s="94">
        <f t="shared" si="30"/>
        <v>0</v>
      </c>
      <c r="AI62" s="105">
        <f t="shared" si="30"/>
        <v>0</v>
      </c>
      <c r="AJ62" s="118">
        <f t="shared" si="30"/>
        <v>0</v>
      </c>
      <c r="AK62" s="119">
        <f t="shared" si="30"/>
        <v>0</v>
      </c>
      <c r="AL62" s="119">
        <f t="shared" si="30"/>
        <v>0</v>
      </c>
      <c r="AM62" s="119">
        <f t="shared" si="30"/>
        <v>0</v>
      </c>
      <c r="AN62" s="120">
        <f t="shared" si="30"/>
        <v>0</v>
      </c>
      <c r="AO62" s="94">
        <f t="shared" si="30"/>
        <v>0</v>
      </c>
      <c r="AP62" s="94">
        <f t="shared" si="30"/>
        <v>0</v>
      </c>
      <c r="AQ62" s="94">
        <f t="shared" si="30"/>
        <v>0</v>
      </c>
      <c r="AR62" s="94">
        <f t="shared" si="30"/>
        <v>0</v>
      </c>
      <c r="AS62" s="94">
        <f t="shared" si="30"/>
        <v>0</v>
      </c>
    </row>
    <row r="63" spans="2:45" x14ac:dyDescent="0.25">
      <c r="B63" s="15">
        <v>61</v>
      </c>
      <c r="C63" s="8"/>
      <c r="E63" s="67"/>
      <c r="F63" s="16"/>
      <c r="G63" s="8"/>
      <c r="H63" s="8"/>
      <c r="I63" s="8"/>
      <c r="J63" s="9"/>
      <c r="K63" s="9">
        <f t="shared" si="0"/>
        <v>0</v>
      </c>
      <c r="L63" s="35">
        <f t="shared" si="1"/>
        <v>0</v>
      </c>
      <c r="M63" s="2"/>
      <c r="O63" s="19"/>
      <c r="P63" s="19"/>
      <c r="Q63" s="19"/>
      <c r="R63" s="21"/>
      <c r="S63" s="46"/>
      <c r="T63" s="44"/>
      <c r="U63" s="77"/>
      <c r="V63" s="30"/>
      <c r="W63" s="24"/>
      <c r="X63" s="193"/>
      <c r="Y63" s="15"/>
      <c r="AA63">
        <v>11</v>
      </c>
      <c r="AB63" s="486">
        <v>11</v>
      </c>
      <c r="AC63" s="89">
        <v>1</v>
      </c>
      <c r="AD63" s="95" t="s">
        <v>105</v>
      </c>
      <c r="AE63" s="39">
        <f t="shared" si="2"/>
        <v>0</v>
      </c>
      <c r="AF63" s="65">
        <f t="shared" si="3"/>
        <v>0</v>
      </c>
      <c r="AG63" s="65">
        <f t="shared" si="4"/>
        <v>0</v>
      </c>
      <c r="AH63" s="65">
        <f t="shared" si="5"/>
        <v>0</v>
      </c>
      <c r="AI63" s="104">
        <f t="shared" si="6"/>
        <v>0</v>
      </c>
      <c r="AJ63" s="115">
        <f t="shared" si="7"/>
        <v>0</v>
      </c>
      <c r="AK63" s="116">
        <f t="shared" si="8"/>
        <v>0</v>
      </c>
      <c r="AL63" s="116">
        <f t="shared" si="9"/>
        <v>0</v>
      </c>
      <c r="AM63" s="116">
        <f t="shared" si="10"/>
        <v>0</v>
      </c>
      <c r="AN63" s="117">
        <f t="shared" si="11"/>
        <v>0</v>
      </c>
      <c r="AO63" s="39">
        <f t="shared" si="12"/>
        <v>0</v>
      </c>
      <c r="AP63" s="65">
        <f t="shared" si="13"/>
        <v>0</v>
      </c>
      <c r="AQ63" s="65">
        <f t="shared" si="14"/>
        <v>0</v>
      </c>
      <c r="AR63" s="65">
        <f t="shared" si="15"/>
        <v>0</v>
      </c>
      <c r="AS63" s="65">
        <f t="shared" si="16"/>
        <v>0</v>
      </c>
    </row>
    <row r="64" spans="2:45" x14ac:dyDescent="0.25">
      <c r="B64" s="15">
        <v>62</v>
      </c>
      <c r="C64" s="8"/>
      <c r="E64" s="67"/>
      <c r="F64" s="16"/>
      <c r="G64" s="8"/>
      <c r="H64" s="8"/>
      <c r="I64" s="8"/>
      <c r="J64" s="9"/>
      <c r="K64" s="9">
        <f t="shared" si="0"/>
        <v>0</v>
      </c>
      <c r="L64" s="35">
        <f t="shared" si="1"/>
        <v>0</v>
      </c>
      <c r="M64" s="2"/>
      <c r="O64" s="19"/>
      <c r="P64" s="19"/>
      <c r="Q64" s="19"/>
      <c r="R64" s="21"/>
      <c r="S64" s="46"/>
      <c r="T64" s="44"/>
      <c r="U64" s="77"/>
      <c r="V64" s="30"/>
      <c r="W64" s="24"/>
      <c r="X64" s="193"/>
      <c r="Y64" s="15"/>
      <c r="AA64">
        <v>11</v>
      </c>
      <c r="AB64" s="487"/>
      <c r="AC64" s="90">
        <v>2</v>
      </c>
      <c r="AD64" s="97" t="s">
        <v>58</v>
      </c>
      <c r="AE64" s="39">
        <f t="shared" si="2"/>
        <v>0</v>
      </c>
      <c r="AF64" s="65">
        <f t="shared" si="3"/>
        <v>0</v>
      </c>
      <c r="AG64" s="65">
        <f t="shared" si="4"/>
        <v>0</v>
      </c>
      <c r="AH64" s="65">
        <f t="shared" si="5"/>
        <v>0</v>
      </c>
      <c r="AI64" s="104">
        <f t="shared" si="6"/>
        <v>0</v>
      </c>
      <c r="AJ64" s="115">
        <f t="shared" si="7"/>
        <v>0</v>
      </c>
      <c r="AK64" s="116">
        <f t="shared" si="8"/>
        <v>0</v>
      </c>
      <c r="AL64" s="116">
        <f t="shared" si="9"/>
        <v>0</v>
      </c>
      <c r="AM64" s="116">
        <f t="shared" si="10"/>
        <v>0</v>
      </c>
      <c r="AN64" s="117">
        <f t="shared" si="11"/>
        <v>0</v>
      </c>
      <c r="AO64" s="39">
        <f t="shared" si="12"/>
        <v>0</v>
      </c>
      <c r="AP64" s="65">
        <f t="shared" si="13"/>
        <v>0</v>
      </c>
      <c r="AQ64" s="65">
        <f t="shared" si="14"/>
        <v>0</v>
      </c>
      <c r="AR64" s="65">
        <f t="shared" si="15"/>
        <v>0</v>
      </c>
      <c r="AS64" s="65">
        <f t="shared" si="16"/>
        <v>0</v>
      </c>
    </row>
    <row r="65" spans="2:45" x14ac:dyDescent="0.25">
      <c r="B65" s="15">
        <v>63</v>
      </c>
      <c r="C65" s="8"/>
      <c r="E65" s="67"/>
      <c r="F65" s="16"/>
      <c r="G65" s="8"/>
      <c r="H65" s="8"/>
      <c r="I65" s="8"/>
      <c r="J65" s="9"/>
      <c r="K65" s="9">
        <f t="shared" si="0"/>
        <v>0</v>
      </c>
      <c r="L65" s="35">
        <f t="shared" si="1"/>
        <v>0</v>
      </c>
      <c r="M65" s="2"/>
      <c r="O65" s="19"/>
      <c r="P65" s="19"/>
      <c r="Q65" s="19"/>
      <c r="R65" s="21"/>
      <c r="S65" s="46"/>
      <c r="T65" s="44"/>
      <c r="U65" s="77"/>
      <c r="V65" s="30"/>
      <c r="W65" s="24"/>
      <c r="X65" s="193"/>
      <c r="Y65" s="15"/>
      <c r="AA65">
        <v>11</v>
      </c>
      <c r="AB65" s="487"/>
      <c r="AC65" s="90">
        <v>3</v>
      </c>
      <c r="AD65" s="97" t="s">
        <v>59</v>
      </c>
      <c r="AE65" s="39">
        <f t="shared" si="2"/>
        <v>0</v>
      </c>
      <c r="AF65" s="65">
        <f t="shared" si="3"/>
        <v>0</v>
      </c>
      <c r="AG65" s="65">
        <f t="shared" si="4"/>
        <v>0</v>
      </c>
      <c r="AH65" s="65">
        <f t="shared" si="5"/>
        <v>0</v>
      </c>
      <c r="AI65" s="104">
        <f t="shared" si="6"/>
        <v>0</v>
      </c>
      <c r="AJ65" s="115">
        <f t="shared" si="7"/>
        <v>0</v>
      </c>
      <c r="AK65" s="116">
        <f t="shared" si="8"/>
        <v>0</v>
      </c>
      <c r="AL65" s="116">
        <f t="shared" si="9"/>
        <v>0</v>
      </c>
      <c r="AM65" s="116">
        <f t="shared" si="10"/>
        <v>0</v>
      </c>
      <c r="AN65" s="117">
        <f t="shared" si="11"/>
        <v>0</v>
      </c>
      <c r="AO65" s="39">
        <f t="shared" si="12"/>
        <v>0</v>
      </c>
      <c r="AP65" s="65">
        <f t="shared" si="13"/>
        <v>0</v>
      </c>
      <c r="AQ65" s="65">
        <f t="shared" si="14"/>
        <v>0</v>
      </c>
      <c r="AR65" s="65">
        <f t="shared" si="15"/>
        <v>0</v>
      </c>
      <c r="AS65" s="65">
        <f t="shared" si="16"/>
        <v>0</v>
      </c>
    </row>
    <row r="66" spans="2:45" x14ac:dyDescent="0.25">
      <c r="B66" s="15">
        <v>64</v>
      </c>
      <c r="C66" s="8"/>
      <c r="E66" s="67"/>
      <c r="F66" s="16"/>
      <c r="G66" s="8"/>
      <c r="H66" s="8"/>
      <c r="I66" s="8"/>
      <c r="J66" s="9"/>
      <c r="K66" s="9">
        <f t="shared" si="0"/>
        <v>0</v>
      </c>
      <c r="L66" s="35">
        <f t="shared" si="1"/>
        <v>0</v>
      </c>
      <c r="M66" s="2"/>
      <c r="O66" s="19"/>
      <c r="P66" s="19"/>
      <c r="Q66" s="19"/>
      <c r="R66" s="21"/>
      <c r="S66" s="46"/>
      <c r="T66" s="44"/>
      <c r="U66" s="77"/>
      <c r="V66" s="30"/>
      <c r="W66" s="24"/>
      <c r="X66" s="193"/>
      <c r="Y66" s="15"/>
      <c r="AA66">
        <v>11</v>
      </c>
      <c r="AB66" s="487"/>
      <c r="AC66" s="90">
        <v>4</v>
      </c>
      <c r="AD66" s="97" t="s">
        <v>60</v>
      </c>
      <c r="AE66" s="39">
        <f t="shared" si="2"/>
        <v>0</v>
      </c>
      <c r="AF66" s="65">
        <f t="shared" si="3"/>
        <v>0</v>
      </c>
      <c r="AG66" s="65">
        <f t="shared" si="4"/>
        <v>0</v>
      </c>
      <c r="AH66" s="65">
        <f t="shared" si="5"/>
        <v>0</v>
      </c>
      <c r="AI66" s="104">
        <f t="shared" si="6"/>
        <v>0</v>
      </c>
      <c r="AJ66" s="115">
        <f t="shared" si="7"/>
        <v>0</v>
      </c>
      <c r="AK66" s="116">
        <f t="shared" si="8"/>
        <v>0</v>
      </c>
      <c r="AL66" s="116">
        <f t="shared" si="9"/>
        <v>0</v>
      </c>
      <c r="AM66" s="116">
        <f t="shared" si="10"/>
        <v>0</v>
      </c>
      <c r="AN66" s="117">
        <f t="shared" si="11"/>
        <v>0</v>
      </c>
      <c r="AO66" s="39">
        <f t="shared" si="12"/>
        <v>0</v>
      </c>
      <c r="AP66" s="65">
        <f t="shared" si="13"/>
        <v>0</v>
      </c>
      <c r="AQ66" s="65">
        <f t="shared" si="14"/>
        <v>0</v>
      </c>
      <c r="AR66" s="65">
        <f t="shared" si="15"/>
        <v>0</v>
      </c>
      <c r="AS66" s="65">
        <f t="shared" si="16"/>
        <v>0</v>
      </c>
    </row>
    <row r="67" spans="2:45" x14ac:dyDescent="0.25">
      <c r="B67" s="15">
        <v>65</v>
      </c>
      <c r="C67" s="8"/>
      <c r="E67" s="67"/>
      <c r="F67" s="16"/>
      <c r="G67" s="8"/>
      <c r="H67" s="8"/>
      <c r="I67" s="8"/>
      <c r="J67" s="9"/>
      <c r="K67" s="9">
        <f t="shared" ref="K67:K130" si="31">J67*1.1</f>
        <v>0</v>
      </c>
      <c r="L67" s="35">
        <f t="shared" ref="L67:L130" si="32">J67*0.00000001</f>
        <v>0</v>
      </c>
      <c r="M67" s="2"/>
      <c r="O67" s="19"/>
      <c r="P67" s="19"/>
      <c r="Q67" s="19"/>
      <c r="R67" s="21"/>
      <c r="S67" s="46"/>
      <c r="T67" s="44"/>
      <c r="U67" s="77"/>
      <c r="V67" s="30"/>
      <c r="W67" s="24"/>
      <c r="X67" s="193"/>
      <c r="Y67" s="15"/>
      <c r="AA67">
        <v>11</v>
      </c>
      <c r="AB67" s="487"/>
      <c r="AC67" s="91">
        <v>5</v>
      </c>
      <c r="AD67" s="100"/>
      <c r="AE67" s="39">
        <f t="shared" si="2"/>
        <v>0</v>
      </c>
      <c r="AF67" s="65">
        <f t="shared" si="3"/>
        <v>0</v>
      </c>
      <c r="AG67" s="65">
        <f t="shared" si="4"/>
        <v>0</v>
      </c>
      <c r="AH67" s="65">
        <f t="shared" si="5"/>
        <v>0</v>
      </c>
      <c r="AI67" s="104">
        <f t="shared" si="6"/>
        <v>0</v>
      </c>
      <c r="AJ67" s="115">
        <f t="shared" si="7"/>
        <v>0</v>
      </c>
      <c r="AK67" s="116">
        <f t="shared" si="8"/>
        <v>0</v>
      </c>
      <c r="AL67" s="116">
        <f t="shared" si="9"/>
        <v>0</v>
      </c>
      <c r="AM67" s="116">
        <f t="shared" si="10"/>
        <v>0</v>
      </c>
      <c r="AN67" s="117">
        <f t="shared" si="11"/>
        <v>0</v>
      </c>
      <c r="AO67" s="39">
        <f t="shared" si="12"/>
        <v>0</v>
      </c>
      <c r="AP67" s="65">
        <f t="shared" si="13"/>
        <v>0</v>
      </c>
      <c r="AQ67" s="65">
        <f t="shared" si="14"/>
        <v>0</v>
      </c>
      <c r="AR67" s="65">
        <f t="shared" si="15"/>
        <v>0</v>
      </c>
      <c r="AS67" s="65">
        <f t="shared" si="16"/>
        <v>0</v>
      </c>
    </row>
    <row r="68" spans="2:45" ht="14.25" thickBot="1" x14ac:dyDescent="0.3">
      <c r="B68" s="15">
        <v>66</v>
      </c>
      <c r="C68" s="8"/>
      <c r="E68" s="67"/>
      <c r="F68" s="16"/>
      <c r="G68" s="8"/>
      <c r="H68" s="8"/>
      <c r="I68" s="8"/>
      <c r="J68" s="9"/>
      <c r="K68" s="9">
        <f t="shared" si="31"/>
        <v>0</v>
      </c>
      <c r="L68" s="35">
        <f t="shared" si="32"/>
        <v>0</v>
      </c>
      <c r="M68" s="2"/>
      <c r="O68" s="19"/>
      <c r="P68" s="19"/>
      <c r="Q68" s="19"/>
      <c r="R68" s="21"/>
      <c r="S68" s="46"/>
      <c r="T68" s="44"/>
      <c r="U68" s="77"/>
      <c r="V68" s="30"/>
      <c r="W68" s="24"/>
      <c r="X68" s="193"/>
      <c r="Y68" s="15"/>
      <c r="AA68">
        <v>11</v>
      </c>
      <c r="AB68" s="488"/>
      <c r="AC68" s="92" t="s">
        <v>3</v>
      </c>
      <c r="AD68" s="101"/>
      <c r="AE68" s="94">
        <f t="shared" ref="AE68:AS68" si="33">SUM(AE63:AE67)</f>
        <v>0</v>
      </c>
      <c r="AF68" s="94">
        <f t="shared" si="33"/>
        <v>0</v>
      </c>
      <c r="AG68" s="94">
        <f t="shared" si="33"/>
        <v>0</v>
      </c>
      <c r="AH68" s="94">
        <f t="shared" si="33"/>
        <v>0</v>
      </c>
      <c r="AI68" s="105">
        <f t="shared" si="33"/>
        <v>0</v>
      </c>
      <c r="AJ68" s="118">
        <f t="shared" si="33"/>
        <v>0</v>
      </c>
      <c r="AK68" s="119">
        <f t="shared" si="33"/>
        <v>0</v>
      </c>
      <c r="AL68" s="119">
        <f t="shared" si="33"/>
        <v>0</v>
      </c>
      <c r="AM68" s="119">
        <f t="shared" si="33"/>
        <v>0</v>
      </c>
      <c r="AN68" s="120">
        <f t="shared" si="33"/>
        <v>0</v>
      </c>
      <c r="AO68" s="94">
        <f t="shared" si="33"/>
        <v>0</v>
      </c>
      <c r="AP68" s="94">
        <f t="shared" si="33"/>
        <v>0</v>
      </c>
      <c r="AQ68" s="94">
        <f t="shared" si="33"/>
        <v>0</v>
      </c>
      <c r="AR68" s="94">
        <f t="shared" si="33"/>
        <v>0</v>
      </c>
      <c r="AS68" s="94">
        <f t="shared" si="33"/>
        <v>0</v>
      </c>
    </row>
    <row r="69" spans="2:45" x14ac:dyDescent="0.25">
      <c r="B69" s="15">
        <v>67</v>
      </c>
      <c r="C69" s="8"/>
      <c r="E69" s="67"/>
      <c r="F69" s="16"/>
      <c r="G69" s="8"/>
      <c r="H69" s="8"/>
      <c r="I69" s="8"/>
      <c r="J69" s="9"/>
      <c r="K69" s="9">
        <f t="shared" si="31"/>
        <v>0</v>
      </c>
      <c r="L69" s="35">
        <f t="shared" si="32"/>
        <v>0</v>
      </c>
      <c r="M69" s="2"/>
      <c r="O69" s="19"/>
      <c r="P69" s="19"/>
      <c r="Q69" s="19"/>
      <c r="R69" s="21"/>
      <c r="S69" s="46"/>
      <c r="T69" s="44"/>
      <c r="U69" s="77"/>
      <c r="V69" s="30"/>
      <c r="W69" s="24"/>
      <c r="X69" s="193"/>
      <c r="Y69" s="15"/>
      <c r="AA69">
        <v>12</v>
      </c>
      <c r="AB69" s="493">
        <v>12</v>
      </c>
      <c r="AC69" s="93">
        <v>1</v>
      </c>
      <c r="AD69" s="102" t="s">
        <v>106</v>
      </c>
      <c r="AE69" s="39">
        <f>SUM(AF69:AI69)</f>
        <v>0</v>
      </c>
      <c r="AF69" s="65">
        <f>SUMIFS($I:$I,$C:$C, $AF$2,$G:$G,$AA69,$H:$H,$AC69)</f>
        <v>0</v>
      </c>
      <c r="AG69" s="65">
        <f>SUMIFS($I:$I,$C:$C, $AG$2,$G:$G,$AA69,$H:$H,$AC69)</f>
        <v>0</v>
      </c>
      <c r="AH69" s="65">
        <f>SUMIFS($I:$I,$C:$C, $AH$2,$G:$G,$AA69,$H:$H,$AC69)</f>
        <v>0</v>
      </c>
      <c r="AI69" s="104">
        <f>SUMIFS($I:$I,$C:$C, $AI$2,$G:$G,$AA69,$H:$H,$AC69)</f>
        <v>0</v>
      </c>
      <c r="AJ69" s="115">
        <f>SUM(AK69:AN69)</f>
        <v>0</v>
      </c>
      <c r="AK69" s="116">
        <f>COUNTIFS($C:$C, $AK$2,$G:$G,$AA69,$H:$H,$AC69)</f>
        <v>0</v>
      </c>
      <c r="AL69" s="116">
        <f>COUNTIFS($C:$C, $AL$2,$G:$G,$AA69,$H:$H,$AC69)</f>
        <v>0</v>
      </c>
      <c r="AM69" s="116">
        <f>COUNTIFS($C:$C, $AM$2,$G:$G,$AA69,$H:$H,$AC69)</f>
        <v>0</v>
      </c>
      <c r="AN69" s="117">
        <f>COUNTIFS($C:$C, $AN$2,$G:$G,$AA69,$H:$H,$AC69)</f>
        <v>0</v>
      </c>
      <c r="AO69" s="39">
        <f>SUM(AP69:AS69)</f>
        <v>0</v>
      </c>
      <c r="AP69" s="65">
        <f>SUMIFS($L:$L,$C:$C, $AP$2,$G:$G,$AA69,$H:$H,$AC69)</f>
        <v>0</v>
      </c>
      <c r="AQ69" s="65">
        <f>SUMIFS($L:$L,$C:$C, $AQ$2,$G:$G,$AA69,$H:$H,$AC69)</f>
        <v>0</v>
      </c>
      <c r="AR69" s="65">
        <f>SUMIFS($L:$L,$C:$C, $AR$2,$G:$G,$AA69,$H:$H,$AC69)</f>
        <v>0</v>
      </c>
      <c r="AS69" s="65">
        <f>SUMIFS($L:$L,$C:$C, $AS$2,$G:$G,$AA69,$H:$H,$AC69)</f>
        <v>0</v>
      </c>
    </row>
    <row r="70" spans="2:45" x14ac:dyDescent="0.25">
      <c r="B70" s="15">
        <v>68</v>
      </c>
      <c r="C70" s="8"/>
      <c r="E70" s="67"/>
      <c r="F70" s="16"/>
      <c r="G70" s="8"/>
      <c r="H70" s="8"/>
      <c r="I70" s="8"/>
      <c r="J70" s="9"/>
      <c r="K70" s="9">
        <f t="shared" si="31"/>
        <v>0</v>
      </c>
      <c r="L70" s="35">
        <f t="shared" si="32"/>
        <v>0</v>
      </c>
      <c r="M70" s="2"/>
      <c r="O70" s="19"/>
      <c r="P70" s="19"/>
      <c r="Q70" s="19"/>
      <c r="R70" s="21"/>
      <c r="S70" s="46"/>
      <c r="T70" s="44"/>
      <c r="U70" s="77"/>
      <c r="V70" s="30"/>
      <c r="W70" s="24"/>
      <c r="X70" s="193"/>
      <c r="Y70" s="15"/>
      <c r="AA70">
        <v>12</v>
      </c>
      <c r="AB70" s="487"/>
      <c r="AC70" s="90">
        <v>2</v>
      </c>
      <c r="AD70" s="97" t="s">
        <v>101</v>
      </c>
      <c r="AE70" s="39">
        <f>SUM(AF70:AI70)</f>
        <v>0</v>
      </c>
      <c r="AF70" s="65">
        <f>SUMIFS($I:$I,$C:$C, $AF$2,$G:$G,$AA70,$H:$H,$AC70)</f>
        <v>0</v>
      </c>
      <c r="AG70" s="65">
        <f>SUMIFS($I:$I,$C:$C, $AG$2,$G:$G,$AA70,$H:$H,$AC70)</f>
        <v>0</v>
      </c>
      <c r="AH70" s="65">
        <f>SUMIFS($I:$I,$C:$C, $AH$2,$G:$G,$AA70,$H:$H,$AC70)</f>
        <v>0</v>
      </c>
      <c r="AI70" s="104">
        <f>SUMIFS($I:$I,$C:$C, $AI$2,$G:$G,$AA70,$H:$H,$AC70)</f>
        <v>0</v>
      </c>
      <c r="AJ70" s="115">
        <f>SUM(AK70:AN70)</f>
        <v>0</v>
      </c>
      <c r="AK70" s="116">
        <f>COUNTIFS($C:$C, $AK$2,$G:$G,$AA70,$H:$H,$AC70)</f>
        <v>0</v>
      </c>
      <c r="AL70" s="116">
        <f>COUNTIFS($C:$C, $AL$2,$G:$G,$AA70,$H:$H,$AC70)</f>
        <v>0</v>
      </c>
      <c r="AM70" s="116">
        <f>COUNTIFS($C:$C, $AM$2,$G:$G,$AA70,$H:$H,$AC70)</f>
        <v>0</v>
      </c>
      <c r="AN70" s="117">
        <f>COUNTIFS($C:$C, $AN$2,$G:$G,$AA70,$H:$H,$AC70)</f>
        <v>0</v>
      </c>
      <c r="AO70" s="39">
        <f>SUM(AP70:AS70)</f>
        <v>0</v>
      </c>
      <c r="AP70" s="65">
        <f>SUMIFS($L:$L,$C:$C, $AP$2,$G:$G,$AA70,$H:$H,$AC70)</f>
        <v>0</v>
      </c>
      <c r="AQ70" s="65">
        <f>SUMIFS($L:$L,$C:$C, $AQ$2,$G:$G,$AA70,$H:$H,$AC70)</f>
        <v>0</v>
      </c>
      <c r="AR70" s="65">
        <f>SUMIFS($L:$L,$C:$C, $AR$2,$G:$G,$AA70,$H:$H,$AC70)</f>
        <v>0</v>
      </c>
      <c r="AS70" s="65">
        <f>SUMIFS($L:$L,$C:$C, $AS$2,$G:$G,$AA70,$H:$H,$AC70)</f>
        <v>0</v>
      </c>
    </row>
    <row r="71" spans="2:45" x14ac:dyDescent="0.25">
      <c r="B71" s="15">
        <v>69</v>
      </c>
      <c r="C71" s="8"/>
      <c r="E71" s="67"/>
      <c r="F71" s="16"/>
      <c r="G71" s="8"/>
      <c r="H71" s="8"/>
      <c r="I71" s="8"/>
      <c r="J71" s="9"/>
      <c r="K71" s="9">
        <f t="shared" si="31"/>
        <v>0</v>
      </c>
      <c r="L71" s="35">
        <f t="shared" si="32"/>
        <v>0</v>
      </c>
      <c r="M71" s="2"/>
      <c r="O71" s="19"/>
      <c r="P71" s="19"/>
      <c r="Q71" s="19"/>
      <c r="R71" s="21"/>
      <c r="S71" s="46"/>
      <c r="T71" s="44"/>
      <c r="U71" s="77"/>
      <c r="V71" s="30"/>
      <c r="W71" s="24"/>
      <c r="X71" s="193"/>
      <c r="Y71" s="15"/>
      <c r="AA71">
        <v>12</v>
      </c>
      <c r="AB71" s="487"/>
      <c r="AC71" s="90">
        <v>3</v>
      </c>
      <c r="AD71" s="97" t="s">
        <v>102</v>
      </c>
      <c r="AE71" s="39">
        <f>SUM(AF71:AI71)</f>
        <v>0</v>
      </c>
      <c r="AF71" s="65">
        <f>SUMIFS($I:$I,$C:$C, $AF$2,$G:$G,$AA71,$H:$H,$AC71)</f>
        <v>0</v>
      </c>
      <c r="AG71" s="65">
        <f>SUMIFS($I:$I,$C:$C, $AG$2,$G:$G,$AA71,$H:$H,$AC71)</f>
        <v>0</v>
      </c>
      <c r="AH71" s="65">
        <f>SUMIFS($I:$I,$C:$C, $AH$2,$G:$G,$AA71,$H:$H,$AC71)</f>
        <v>0</v>
      </c>
      <c r="AI71" s="104">
        <f>SUMIFS($I:$I,$C:$C, $AI$2,$G:$G,$AA71,$H:$H,$AC71)</f>
        <v>0</v>
      </c>
      <c r="AJ71" s="115">
        <f>SUM(AK71:AN71)</f>
        <v>0</v>
      </c>
      <c r="AK71" s="116">
        <f>COUNTIFS($C:$C, $AK$2,$G:$G,$AA71,$H:$H,$AC71)</f>
        <v>0</v>
      </c>
      <c r="AL71" s="116">
        <f>COUNTIFS($C:$C, $AL$2,$G:$G,$AA71,$H:$H,$AC71)</f>
        <v>0</v>
      </c>
      <c r="AM71" s="116">
        <f>COUNTIFS($C:$C, $AM$2,$G:$G,$AA71,$H:$H,$AC71)</f>
        <v>0</v>
      </c>
      <c r="AN71" s="117">
        <f>COUNTIFS($C:$C, $AN$2,$G:$G,$AA71,$H:$H,$AC71)</f>
        <v>0</v>
      </c>
      <c r="AO71" s="39">
        <f>SUM(AP71:AS71)</f>
        <v>0</v>
      </c>
      <c r="AP71" s="65">
        <f>SUMIFS($L:$L,$C:$C, $AP$2,$G:$G,$AA71,$H:$H,$AC71)</f>
        <v>0</v>
      </c>
      <c r="AQ71" s="65">
        <f>SUMIFS($L:$L,$C:$C, $AQ$2,$G:$G,$AA71,$H:$H,$AC71)</f>
        <v>0</v>
      </c>
      <c r="AR71" s="65">
        <f>SUMIFS($L:$L,$C:$C, $AR$2,$G:$G,$AA71,$H:$H,$AC71)</f>
        <v>0</v>
      </c>
      <c r="AS71" s="65">
        <f>SUMIFS($L:$L,$C:$C, $AS$2,$G:$G,$AA71,$H:$H,$AC71)</f>
        <v>0</v>
      </c>
    </row>
    <row r="72" spans="2:45" x14ac:dyDescent="0.25">
      <c r="B72" s="15">
        <v>70</v>
      </c>
      <c r="C72" s="8"/>
      <c r="E72" s="67"/>
      <c r="F72" s="16"/>
      <c r="G72" s="8"/>
      <c r="H72" s="8"/>
      <c r="I72" s="8"/>
      <c r="J72" s="9"/>
      <c r="K72" s="9">
        <f t="shared" si="31"/>
        <v>0</v>
      </c>
      <c r="L72" s="35">
        <f t="shared" si="32"/>
        <v>0</v>
      </c>
      <c r="M72" s="2"/>
      <c r="O72" s="19"/>
      <c r="P72" s="19"/>
      <c r="Q72" s="19"/>
      <c r="R72" s="21"/>
      <c r="S72" s="46"/>
      <c r="T72" s="44"/>
      <c r="U72" s="77"/>
      <c r="V72" s="30"/>
      <c r="W72" s="24"/>
      <c r="X72" s="193"/>
      <c r="Y72" s="15"/>
      <c r="AA72">
        <v>12</v>
      </c>
      <c r="AB72" s="487"/>
      <c r="AC72" s="90">
        <v>4</v>
      </c>
      <c r="AD72" s="97" t="s">
        <v>103</v>
      </c>
      <c r="AE72" s="39">
        <f>SUM(AF72:AI72)</f>
        <v>0</v>
      </c>
      <c r="AF72" s="65">
        <f>SUMIFS($I:$I,$C:$C, $AF$2,$G:$G,$AA72,$H:$H,$AC72)</f>
        <v>0</v>
      </c>
      <c r="AG72" s="65">
        <f>SUMIFS($I:$I,$C:$C, $AG$2,$G:$G,$AA72,$H:$H,$AC72)</f>
        <v>0</v>
      </c>
      <c r="AH72" s="65">
        <f>SUMIFS($I:$I,$C:$C, $AH$2,$G:$G,$AA72,$H:$H,$AC72)</f>
        <v>0</v>
      </c>
      <c r="AI72" s="104">
        <f>SUMIFS($I:$I,$C:$C, $AI$2,$G:$G,$AA72,$H:$H,$AC72)</f>
        <v>0</v>
      </c>
      <c r="AJ72" s="115">
        <f>SUM(AK72:AN72)</f>
        <v>0</v>
      </c>
      <c r="AK72" s="116">
        <f>COUNTIFS($C:$C, $AK$2,$G:$G,$AA72,$H:$H,$AC72)</f>
        <v>0</v>
      </c>
      <c r="AL72" s="116">
        <f>COUNTIFS($C:$C, $AL$2,$G:$G,$AA72,$H:$H,$AC72)</f>
        <v>0</v>
      </c>
      <c r="AM72" s="116">
        <f>COUNTIFS($C:$C, $AM$2,$G:$G,$AA72,$H:$H,$AC72)</f>
        <v>0</v>
      </c>
      <c r="AN72" s="117">
        <f>COUNTIFS($C:$C, $AN$2,$G:$G,$AA72,$H:$H,$AC72)</f>
        <v>0</v>
      </c>
      <c r="AO72" s="39">
        <f>SUM(AP72:AS72)</f>
        <v>0</v>
      </c>
      <c r="AP72" s="65">
        <f>SUMIFS($L:$L,$C:$C, $AP$2,$G:$G,$AA72,$H:$H,$AC72)</f>
        <v>0</v>
      </c>
      <c r="AQ72" s="65">
        <f>SUMIFS($L:$L,$C:$C, $AQ$2,$G:$G,$AA72,$H:$H,$AC72)</f>
        <v>0</v>
      </c>
      <c r="AR72" s="65">
        <f>SUMIFS($L:$L,$C:$C, $AR$2,$G:$G,$AA72,$H:$H,$AC72)</f>
        <v>0</v>
      </c>
      <c r="AS72" s="65">
        <f>SUMIFS($L:$L,$C:$C, $AS$2,$G:$G,$AA72,$H:$H,$AC72)</f>
        <v>0</v>
      </c>
    </row>
    <row r="73" spans="2:45" x14ac:dyDescent="0.25">
      <c r="B73" s="15">
        <v>71</v>
      </c>
      <c r="C73" s="8"/>
      <c r="E73" s="67"/>
      <c r="F73" s="16"/>
      <c r="G73" s="8"/>
      <c r="H73" s="8"/>
      <c r="I73" s="8"/>
      <c r="J73" s="9"/>
      <c r="K73" s="9">
        <f t="shared" si="31"/>
        <v>0</v>
      </c>
      <c r="L73" s="35">
        <f t="shared" si="32"/>
        <v>0</v>
      </c>
      <c r="M73" s="2"/>
      <c r="O73" s="19"/>
      <c r="P73" s="19"/>
      <c r="Q73" s="19"/>
      <c r="R73" s="21"/>
      <c r="S73" s="46"/>
      <c r="T73" s="44"/>
      <c r="U73" s="77"/>
      <c r="V73" s="24"/>
      <c r="W73" s="24"/>
      <c r="X73" s="193"/>
      <c r="Y73" s="15"/>
      <c r="AA73">
        <v>12</v>
      </c>
      <c r="AB73" s="487"/>
      <c r="AC73" s="91">
        <v>5</v>
      </c>
      <c r="AD73" s="100" t="s">
        <v>107</v>
      </c>
      <c r="AE73" s="39">
        <f>SUM(AF73:AI73)</f>
        <v>0</v>
      </c>
      <c r="AF73" s="65">
        <f>SUMIFS($I:$I,$C:$C, $AF$2,$G:$G,$AA73,$H:$H,$AC73)</f>
        <v>0</v>
      </c>
      <c r="AG73" s="65">
        <f>SUMIFS($I:$I,$C:$C, $AG$2,$G:$G,$AA73,$H:$H,$AC73)</f>
        <v>0</v>
      </c>
      <c r="AH73" s="65">
        <f>SUMIFS($I:$I,$C:$C, $AH$2,$G:$G,$AA73,$H:$H,$AC73)</f>
        <v>0</v>
      </c>
      <c r="AI73" s="104">
        <f>SUMIFS($I:$I,$C:$C, $AI$2,$G:$G,$AA73,$H:$H,$AC73)</f>
        <v>0</v>
      </c>
      <c r="AJ73" s="115">
        <f>SUM(AK73:AN73)</f>
        <v>0</v>
      </c>
      <c r="AK73" s="116">
        <f>COUNTIFS($C:$C, $AK$2,$G:$G,$AA73,$H:$H,$AC73)</f>
        <v>0</v>
      </c>
      <c r="AL73" s="116">
        <f>COUNTIFS($C:$C, $AL$2,$G:$G,$AA73,$H:$H,$AC73)</f>
        <v>0</v>
      </c>
      <c r="AM73" s="116">
        <f>COUNTIFS($C:$C, $AM$2,$G:$G,$AA73,$H:$H,$AC73)</f>
        <v>0</v>
      </c>
      <c r="AN73" s="117">
        <f>COUNTIFS($C:$C, $AN$2,$G:$G,$AA73,$H:$H,$AC73)</f>
        <v>0</v>
      </c>
      <c r="AO73" s="39">
        <f>SUM(AP73:AS73)</f>
        <v>0</v>
      </c>
      <c r="AP73" s="65">
        <f>SUMIFS($L:$L,$C:$C, $AP$2,$G:$G,$AA73,$H:$H,$AC73)</f>
        <v>0</v>
      </c>
      <c r="AQ73" s="65">
        <f>SUMIFS($L:$L,$C:$C, $AQ$2,$G:$G,$AA73,$H:$H,$AC73)</f>
        <v>0</v>
      </c>
      <c r="AR73" s="65">
        <f>SUMIFS($L:$L,$C:$C, $AR$2,$G:$G,$AA73,$H:$H,$AC73)</f>
        <v>0</v>
      </c>
      <c r="AS73" s="65">
        <f>SUMIFS($L:$L,$C:$C, $AS$2,$G:$G,$AA73,$H:$H,$AC73)</f>
        <v>0</v>
      </c>
    </row>
    <row r="74" spans="2:45" ht="14.25" thickBot="1" x14ac:dyDescent="0.3">
      <c r="B74" s="15">
        <v>72</v>
      </c>
      <c r="C74" s="8"/>
      <c r="E74" s="67"/>
      <c r="F74" s="16"/>
      <c r="G74" s="8"/>
      <c r="H74" s="8"/>
      <c r="I74" s="8"/>
      <c r="J74" s="9"/>
      <c r="K74" s="9">
        <f t="shared" si="31"/>
        <v>0</v>
      </c>
      <c r="L74" s="35">
        <f t="shared" si="32"/>
        <v>0</v>
      </c>
      <c r="M74" s="2"/>
      <c r="O74" s="19"/>
      <c r="P74" s="19"/>
      <c r="Q74" s="19"/>
      <c r="R74" s="21"/>
      <c r="S74" s="46"/>
      <c r="T74" s="44"/>
      <c r="U74" s="77"/>
      <c r="V74" s="24"/>
      <c r="W74" s="24"/>
      <c r="X74" s="193"/>
      <c r="Y74" s="15"/>
      <c r="AA74">
        <v>12</v>
      </c>
      <c r="AB74" s="488"/>
      <c r="AC74" s="92" t="s">
        <v>3</v>
      </c>
      <c r="AD74" s="101"/>
      <c r="AE74" s="94">
        <f>SUM(AE69:AE73)</f>
        <v>0</v>
      </c>
      <c r="AF74" s="94">
        <f t="shared" ref="AF74:AS74" si="34">SUM(AF69:AF73)</f>
        <v>0</v>
      </c>
      <c r="AG74" s="94">
        <f t="shared" si="34"/>
        <v>0</v>
      </c>
      <c r="AH74" s="94">
        <f t="shared" si="34"/>
        <v>0</v>
      </c>
      <c r="AI74" s="105">
        <f t="shared" si="34"/>
        <v>0</v>
      </c>
      <c r="AJ74" s="118">
        <f t="shared" si="34"/>
        <v>0</v>
      </c>
      <c r="AK74" s="119">
        <f t="shared" si="34"/>
        <v>0</v>
      </c>
      <c r="AL74" s="119">
        <f t="shared" si="34"/>
        <v>0</v>
      </c>
      <c r="AM74" s="119">
        <f t="shared" si="34"/>
        <v>0</v>
      </c>
      <c r="AN74" s="120">
        <f t="shared" si="34"/>
        <v>0</v>
      </c>
      <c r="AO74" s="94">
        <f t="shared" si="34"/>
        <v>0</v>
      </c>
      <c r="AP74" s="94">
        <f t="shared" si="34"/>
        <v>0</v>
      </c>
      <c r="AQ74" s="94">
        <f t="shared" si="34"/>
        <v>0</v>
      </c>
      <c r="AR74" s="94">
        <f t="shared" si="34"/>
        <v>0</v>
      </c>
      <c r="AS74" s="94">
        <f t="shared" si="34"/>
        <v>0</v>
      </c>
    </row>
    <row r="75" spans="2:45" ht="17.25" thickBot="1" x14ac:dyDescent="0.3">
      <c r="B75" s="15">
        <v>73</v>
      </c>
      <c r="C75" s="8"/>
      <c r="E75" s="67"/>
      <c r="F75" s="16"/>
      <c r="G75" s="8"/>
      <c r="H75" s="8"/>
      <c r="I75" s="8"/>
      <c r="J75" s="9"/>
      <c r="K75" s="9">
        <f t="shared" si="31"/>
        <v>0</v>
      </c>
      <c r="L75" s="35">
        <f t="shared" si="32"/>
        <v>0</v>
      </c>
      <c r="M75" s="2"/>
      <c r="O75" s="19"/>
      <c r="P75" s="19"/>
      <c r="Q75" s="19"/>
      <c r="R75" s="21"/>
      <c r="S75" s="46"/>
      <c r="T75" s="44"/>
      <c r="U75" s="77"/>
      <c r="V75" s="24"/>
      <c r="W75" s="24"/>
      <c r="X75" s="193"/>
      <c r="Y75" s="15"/>
      <c r="AB75" s="489" t="s">
        <v>31</v>
      </c>
      <c r="AC75" s="490"/>
      <c r="AD75" s="103"/>
      <c r="AE75" s="85">
        <f>SUM(AE8,AE14,AE20,AE26,AE32,AE38,AE44,AE50,AE56,AE62,AE68,AE74)</f>
        <v>652.79999999999995</v>
      </c>
      <c r="AF75" s="85"/>
      <c r="AG75" s="85"/>
      <c r="AH75" s="86"/>
      <c r="AI75" s="86"/>
      <c r="AJ75" s="121"/>
      <c r="AK75" s="122"/>
      <c r="AL75" s="122"/>
      <c r="AM75" s="122"/>
      <c r="AN75" s="123"/>
      <c r="AO75" s="87"/>
      <c r="AP75" s="87"/>
      <c r="AQ75" s="87"/>
      <c r="AR75" s="87"/>
      <c r="AS75" s="88"/>
    </row>
    <row r="76" spans="2:45" x14ac:dyDescent="0.25">
      <c r="B76" s="15">
        <v>74</v>
      </c>
      <c r="C76" s="8"/>
      <c r="E76" s="67"/>
      <c r="F76" s="16"/>
      <c r="G76" s="8"/>
      <c r="H76" s="8"/>
      <c r="I76" s="8"/>
      <c r="J76" s="9"/>
      <c r="K76" s="9">
        <f t="shared" si="31"/>
        <v>0</v>
      </c>
      <c r="L76" s="35">
        <f t="shared" si="32"/>
        <v>0</v>
      </c>
      <c r="M76" s="2"/>
      <c r="O76" s="19"/>
      <c r="P76" s="19"/>
      <c r="Q76" s="19"/>
      <c r="R76" s="21"/>
      <c r="S76" s="46"/>
      <c r="T76" s="44"/>
      <c r="U76" s="77"/>
      <c r="V76" s="30"/>
      <c r="W76" s="24"/>
      <c r="X76" s="193"/>
      <c r="Y76" s="15"/>
    </row>
    <row r="77" spans="2:45" x14ac:dyDescent="0.25">
      <c r="B77" s="15">
        <v>75</v>
      </c>
      <c r="C77" s="8"/>
      <c r="E77" s="67"/>
      <c r="F77" s="16"/>
      <c r="G77" s="8"/>
      <c r="H77" s="8"/>
      <c r="I77" s="8"/>
      <c r="J77" s="9"/>
      <c r="K77" s="9">
        <f t="shared" si="31"/>
        <v>0</v>
      </c>
      <c r="L77" s="35">
        <f t="shared" si="32"/>
        <v>0</v>
      </c>
      <c r="M77" s="2"/>
      <c r="O77" s="19"/>
      <c r="P77" s="19"/>
      <c r="Q77" s="19"/>
      <c r="R77" s="21"/>
      <c r="S77" s="46"/>
      <c r="T77" s="44"/>
      <c r="U77" s="77"/>
      <c r="V77" s="24"/>
      <c r="W77" s="24"/>
      <c r="X77" s="193"/>
      <c r="Y77" s="15"/>
    </row>
    <row r="78" spans="2:45" x14ac:dyDescent="0.25">
      <c r="B78" s="15">
        <v>76</v>
      </c>
      <c r="C78" s="8"/>
      <c r="E78" s="67"/>
      <c r="F78" s="16"/>
      <c r="G78" s="8"/>
      <c r="H78" s="8"/>
      <c r="I78" s="8"/>
      <c r="J78" s="9"/>
      <c r="K78" s="9">
        <f t="shared" si="31"/>
        <v>0</v>
      </c>
      <c r="L78" s="35">
        <f t="shared" si="32"/>
        <v>0</v>
      </c>
      <c r="M78" s="2"/>
      <c r="O78" s="19"/>
      <c r="P78" s="19"/>
      <c r="Q78" s="19"/>
      <c r="R78" s="21"/>
      <c r="S78" s="46"/>
      <c r="T78" s="44"/>
      <c r="U78" s="77"/>
      <c r="V78" s="24"/>
      <c r="W78" s="24"/>
      <c r="X78" s="193"/>
      <c r="Y78" s="15"/>
    </row>
    <row r="79" spans="2:45" x14ac:dyDescent="0.25">
      <c r="B79" s="15">
        <v>77</v>
      </c>
      <c r="C79" s="8"/>
      <c r="E79" s="67"/>
      <c r="F79" s="16"/>
      <c r="G79" s="8"/>
      <c r="H79" s="8"/>
      <c r="I79" s="8"/>
      <c r="J79" s="9"/>
      <c r="K79" s="9">
        <f t="shared" si="31"/>
        <v>0</v>
      </c>
      <c r="L79" s="35">
        <f t="shared" si="32"/>
        <v>0</v>
      </c>
      <c r="M79" s="2"/>
      <c r="O79" s="19"/>
      <c r="P79" s="19"/>
      <c r="Q79" s="19"/>
      <c r="R79" s="21"/>
      <c r="S79" s="46"/>
      <c r="T79" s="44"/>
      <c r="U79" s="77"/>
      <c r="V79" s="24"/>
      <c r="W79" s="24"/>
      <c r="X79" s="193"/>
      <c r="Y79" s="15"/>
    </row>
    <row r="80" spans="2:45" x14ac:dyDescent="0.25">
      <c r="B80" s="15">
        <v>78</v>
      </c>
      <c r="C80" s="8"/>
      <c r="E80" s="67"/>
      <c r="F80" s="16"/>
      <c r="G80" s="8"/>
      <c r="H80" s="8"/>
      <c r="I80" s="8"/>
      <c r="J80" s="9"/>
      <c r="K80" s="9">
        <f t="shared" si="31"/>
        <v>0</v>
      </c>
      <c r="L80" s="35">
        <f t="shared" si="32"/>
        <v>0</v>
      </c>
      <c r="M80" s="2"/>
      <c r="O80" s="19"/>
      <c r="P80" s="19"/>
      <c r="Q80" s="19"/>
      <c r="R80" s="21"/>
      <c r="S80" s="46"/>
      <c r="T80" s="44"/>
      <c r="U80" s="77"/>
      <c r="V80" s="24"/>
      <c r="W80" s="24"/>
      <c r="X80" s="193"/>
      <c r="Y80" s="15"/>
    </row>
    <row r="81" spans="2:25" x14ac:dyDescent="0.25">
      <c r="B81" s="15">
        <v>79</v>
      </c>
      <c r="C81" s="8"/>
      <c r="E81" s="67"/>
      <c r="F81" s="16"/>
      <c r="G81" s="8"/>
      <c r="H81" s="8"/>
      <c r="I81" s="8"/>
      <c r="J81" s="9"/>
      <c r="K81" s="9">
        <f t="shared" si="31"/>
        <v>0</v>
      </c>
      <c r="L81" s="35">
        <f t="shared" si="32"/>
        <v>0</v>
      </c>
      <c r="M81" s="2"/>
      <c r="O81" s="19"/>
      <c r="P81" s="19"/>
      <c r="Q81" s="19"/>
      <c r="R81" s="21"/>
      <c r="S81" s="46"/>
      <c r="T81" s="44"/>
      <c r="U81" s="77"/>
      <c r="V81" s="24"/>
      <c r="W81" s="24"/>
      <c r="X81" s="193"/>
      <c r="Y81" s="15"/>
    </row>
    <row r="82" spans="2:25" x14ac:dyDescent="0.25">
      <c r="B82" s="15">
        <v>80</v>
      </c>
      <c r="C82" s="8"/>
      <c r="E82" s="67"/>
      <c r="F82" s="16"/>
      <c r="G82" s="8"/>
      <c r="H82" s="8"/>
      <c r="I82" s="8"/>
      <c r="J82" s="9"/>
      <c r="K82" s="9">
        <f t="shared" si="31"/>
        <v>0</v>
      </c>
      <c r="L82" s="35">
        <f t="shared" si="32"/>
        <v>0</v>
      </c>
      <c r="M82" s="2"/>
      <c r="O82" s="19"/>
      <c r="P82" s="19"/>
      <c r="Q82" s="19"/>
      <c r="R82" s="21"/>
      <c r="S82" s="46"/>
      <c r="T82" s="44"/>
      <c r="U82" s="77"/>
      <c r="V82" s="30"/>
      <c r="W82" s="24"/>
      <c r="X82" s="193"/>
      <c r="Y82" s="15"/>
    </row>
    <row r="83" spans="2:25" x14ac:dyDescent="0.25">
      <c r="B83" s="15">
        <v>81</v>
      </c>
      <c r="C83" s="8"/>
      <c r="E83" s="67"/>
      <c r="F83" s="16"/>
      <c r="G83" s="8"/>
      <c r="H83" s="8"/>
      <c r="I83" s="8"/>
      <c r="J83" s="9"/>
      <c r="K83" s="9">
        <f t="shared" si="31"/>
        <v>0</v>
      </c>
      <c r="L83" s="35">
        <f t="shared" si="32"/>
        <v>0</v>
      </c>
      <c r="M83" s="2"/>
      <c r="O83" s="19"/>
      <c r="P83" s="19"/>
      <c r="Q83" s="19"/>
      <c r="R83" s="21"/>
      <c r="S83" s="46"/>
      <c r="T83" s="44"/>
      <c r="U83" s="77"/>
      <c r="V83" s="24"/>
      <c r="W83" s="24"/>
      <c r="X83" s="193"/>
      <c r="Y83" s="15"/>
    </row>
    <row r="84" spans="2:25" x14ac:dyDescent="0.25">
      <c r="B84" s="15">
        <v>82</v>
      </c>
      <c r="C84" s="8"/>
      <c r="E84" s="67"/>
      <c r="F84" s="16"/>
      <c r="G84" s="8"/>
      <c r="H84" s="8"/>
      <c r="I84" s="8"/>
      <c r="J84" s="9"/>
      <c r="K84" s="9">
        <f t="shared" si="31"/>
        <v>0</v>
      </c>
      <c r="L84" s="35">
        <f t="shared" si="32"/>
        <v>0</v>
      </c>
      <c r="M84" s="2"/>
      <c r="O84" s="19"/>
      <c r="P84" s="19"/>
      <c r="Q84" s="19"/>
      <c r="R84" s="21"/>
      <c r="S84" s="46"/>
      <c r="T84" s="44"/>
      <c r="U84" s="77"/>
      <c r="V84" s="24"/>
      <c r="W84" s="24"/>
      <c r="X84" s="193"/>
      <c r="Y84" s="15"/>
    </row>
    <row r="85" spans="2:25" x14ac:dyDescent="0.25">
      <c r="B85" s="15">
        <v>83</v>
      </c>
      <c r="C85" s="8"/>
      <c r="E85" s="67"/>
      <c r="F85" s="16"/>
      <c r="G85" s="8"/>
      <c r="H85" s="8"/>
      <c r="I85" s="8"/>
      <c r="J85" s="9"/>
      <c r="K85" s="9">
        <f t="shared" si="31"/>
        <v>0</v>
      </c>
      <c r="L85" s="35">
        <f t="shared" si="32"/>
        <v>0</v>
      </c>
      <c r="M85" s="2"/>
      <c r="O85" s="19"/>
      <c r="P85" s="19"/>
      <c r="Q85" s="19"/>
      <c r="R85" s="21"/>
      <c r="S85" s="46"/>
      <c r="T85" s="44"/>
      <c r="U85" s="77"/>
      <c r="V85" s="24"/>
      <c r="W85" s="24"/>
      <c r="X85" s="193"/>
      <c r="Y85" s="15"/>
    </row>
    <row r="86" spans="2:25" x14ac:dyDescent="0.25">
      <c r="B86" s="15">
        <v>84</v>
      </c>
      <c r="C86" s="8"/>
      <c r="E86" s="67"/>
      <c r="F86" s="16"/>
      <c r="G86" s="8"/>
      <c r="H86" s="8"/>
      <c r="I86" s="8"/>
      <c r="J86" s="9"/>
      <c r="K86" s="9">
        <f t="shared" si="31"/>
        <v>0</v>
      </c>
      <c r="L86" s="35">
        <f t="shared" si="32"/>
        <v>0</v>
      </c>
      <c r="M86" s="2"/>
      <c r="O86" s="19"/>
      <c r="P86" s="19"/>
      <c r="Q86" s="19"/>
      <c r="R86" s="21"/>
      <c r="S86" s="46"/>
      <c r="T86" s="44"/>
      <c r="U86" s="77"/>
      <c r="V86" s="24"/>
      <c r="W86" s="24"/>
      <c r="X86" s="193"/>
      <c r="Y86" s="15"/>
    </row>
    <row r="87" spans="2:25" x14ac:dyDescent="0.25">
      <c r="B87" s="15">
        <v>85</v>
      </c>
      <c r="C87" s="8"/>
      <c r="E87" s="67"/>
      <c r="F87" s="16"/>
      <c r="G87" s="8"/>
      <c r="H87" s="8"/>
      <c r="I87" s="8"/>
      <c r="J87" s="9"/>
      <c r="K87" s="9">
        <f t="shared" si="31"/>
        <v>0</v>
      </c>
      <c r="L87" s="35">
        <f t="shared" si="32"/>
        <v>0</v>
      </c>
      <c r="M87" s="2"/>
      <c r="O87" s="19"/>
      <c r="P87" s="19"/>
      <c r="Q87" s="19"/>
      <c r="R87" s="21"/>
      <c r="S87" s="46"/>
      <c r="T87" s="44"/>
      <c r="U87" s="77"/>
      <c r="V87" s="24"/>
      <c r="W87" s="24"/>
      <c r="X87" s="193"/>
      <c r="Y87" s="15"/>
    </row>
    <row r="88" spans="2:25" x14ac:dyDescent="0.25">
      <c r="B88" s="15">
        <v>86</v>
      </c>
      <c r="C88" s="8"/>
      <c r="E88" s="67"/>
      <c r="F88" s="16"/>
      <c r="G88" s="8"/>
      <c r="H88" s="8"/>
      <c r="I88" s="8"/>
      <c r="J88" s="9"/>
      <c r="K88" s="9">
        <f t="shared" si="31"/>
        <v>0</v>
      </c>
      <c r="L88" s="35">
        <f t="shared" si="32"/>
        <v>0</v>
      </c>
      <c r="M88" s="2"/>
      <c r="O88" s="19"/>
      <c r="P88" s="19"/>
      <c r="Q88" s="19"/>
      <c r="R88" s="21"/>
      <c r="S88" s="46"/>
      <c r="T88" s="44"/>
      <c r="U88" s="77"/>
      <c r="V88" s="30"/>
      <c r="W88" s="24"/>
      <c r="X88" s="193"/>
      <c r="Y88" s="15"/>
    </row>
    <row r="89" spans="2:25" x14ac:dyDescent="0.25">
      <c r="B89" s="15">
        <v>87</v>
      </c>
      <c r="C89" s="8"/>
      <c r="E89" s="67"/>
      <c r="F89" s="16"/>
      <c r="G89" s="8"/>
      <c r="H89" s="8"/>
      <c r="I89" s="8"/>
      <c r="J89" s="9"/>
      <c r="K89" s="9">
        <f t="shared" si="31"/>
        <v>0</v>
      </c>
      <c r="L89" s="35">
        <f t="shared" si="32"/>
        <v>0</v>
      </c>
      <c r="M89" s="2"/>
      <c r="O89" s="19"/>
      <c r="P89" s="19"/>
      <c r="Q89" s="19"/>
      <c r="R89" s="21"/>
      <c r="S89" s="46"/>
      <c r="T89" s="44"/>
      <c r="U89" s="77"/>
      <c r="V89" s="30"/>
      <c r="W89" s="24"/>
      <c r="X89" s="193"/>
      <c r="Y89" s="15"/>
    </row>
    <row r="90" spans="2:25" x14ac:dyDescent="0.25">
      <c r="B90" s="15">
        <v>88</v>
      </c>
      <c r="C90" s="8"/>
      <c r="E90" s="67"/>
      <c r="F90" s="16"/>
      <c r="G90" s="8"/>
      <c r="H90" s="8"/>
      <c r="I90" s="8"/>
      <c r="J90" s="9"/>
      <c r="K90" s="9">
        <f t="shared" si="31"/>
        <v>0</v>
      </c>
      <c r="L90" s="35">
        <f t="shared" si="32"/>
        <v>0</v>
      </c>
      <c r="M90" s="2"/>
      <c r="O90" s="19"/>
      <c r="P90" s="19"/>
      <c r="Q90" s="19"/>
      <c r="R90" s="21"/>
      <c r="S90" s="46"/>
      <c r="T90" s="44"/>
      <c r="U90" s="77"/>
      <c r="V90" s="24"/>
      <c r="W90" s="24"/>
      <c r="X90" s="193"/>
      <c r="Y90" s="15"/>
    </row>
    <row r="91" spans="2:25" x14ac:dyDescent="0.25">
      <c r="B91" s="15">
        <v>89</v>
      </c>
      <c r="C91" s="8"/>
      <c r="E91" s="67"/>
      <c r="F91" s="16"/>
      <c r="G91" s="8"/>
      <c r="H91" s="8"/>
      <c r="I91" s="8"/>
      <c r="J91" s="9"/>
      <c r="K91" s="9">
        <f t="shared" si="31"/>
        <v>0</v>
      </c>
      <c r="L91" s="35">
        <f t="shared" si="32"/>
        <v>0</v>
      </c>
      <c r="M91" s="2"/>
      <c r="O91" s="19"/>
      <c r="P91" s="19"/>
      <c r="Q91" s="19"/>
      <c r="R91" s="21"/>
      <c r="S91" s="46"/>
      <c r="T91" s="44"/>
      <c r="U91" s="77"/>
      <c r="V91" s="24"/>
      <c r="W91" s="24"/>
      <c r="X91" s="193"/>
      <c r="Y91" s="15"/>
    </row>
    <row r="92" spans="2:25" x14ac:dyDescent="0.25">
      <c r="B92" s="15">
        <v>90</v>
      </c>
      <c r="C92" s="8"/>
      <c r="E92" s="67"/>
      <c r="F92" s="16"/>
      <c r="G92" s="8"/>
      <c r="H92" s="8"/>
      <c r="I92" s="8"/>
      <c r="J92" s="9"/>
      <c r="K92" s="9">
        <f t="shared" si="31"/>
        <v>0</v>
      </c>
      <c r="L92" s="35">
        <f t="shared" si="32"/>
        <v>0</v>
      </c>
      <c r="M92" s="2"/>
      <c r="O92" s="19"/>
      <c r="P92" s="19"/>
      <c r="Q92" s="19"/>
      <c r="R92" s="21"/>
      <c r="S92" s="46"/>
      <c r="T92" s="44"/>
      <c r="U92" s="77"/>
      <c r="V92" s="24"/>
      <c r="W92" s="24"/>
      <c r="X92" s="193"/>
      <c r="Y92" s="15"/>
    </row>
    <row r="93" spans="2:25" x14ac:dyDescent="0.25">
      <c r="B93" s="15">
        <v>91</v>
      </c>
      <c r="C93" s="8"/>
      <c r="E93" s="67"/>
      <c r="F93" s="16"/>
      <c r="G93" s="8"/>
      <c r="H93" s="8"/>
      <c r="I93" s="8"/>
      <c r="J93" s="9"/>
      <c r="K93" s="9">
        <f t="shared" si="31"/>
        <v>0</v>
      </c>
      <c r="L93" s="35">
        <f t="shared" si="32"/>
        <v>0</v>
      </c>
      <c r="M93" s="2"/>
      <c r="O93" s="19"/>
      <c r="P93" s="19"/>
      <c r="Q93" s="19"/>
      <c r="R93" s="21"/>
      <c r="S93" s="46"/>
      <c r="T93" s="44"/>
      <c r="U93" s="77"/>
      <c r="V93" s="24"/>
      <c r="W93" s="24"/>
      <c r="X93" s="193"/>
      <c r="Y93" s="15"/>
    </row>
    <row r="94" spans="2:25" x14ac:dyDescent="0.25">
      <c r="B94" s="15">
        <v>92</v>
      </c>
      <c r="C94" s="8"/>
      <c r="E94" s="67"/>
      <c r="F94" s="16"/>
      <c r="G94" s="8"/>
      <c r="H94" s="8"/>
      <c r="I94" s="8"/>
      <c r="J94" s="9"/>
      <c r="K94" s="9">
        <f t="shared" si="31"/>
        <v>0</v>
      </c>
      <c r="L94" s="35">
        <f t="shared" si="32"/>
        <v>0</v>
      </c>
      <c r="M94" s="2"/>
      <c r="O94" s="19"/>
      <c r="P94" s="19"/>
      <c r="Q94" s="19"/>
      <c r="R94" s="21"/>
      <c r="S94" s="46"/>
      <c r="T94" s="44"/>
      <c r="U94" s="77"/>
      <c r="V94" s="24"/>
      <c r="W94" s="24"/>
      <c r="X94" s="193"/>
      <c r="Y94" s="15"/>
    </row>
    <row r="95" spans="2:25" x14ac:dyDescent="0.25">
      <c r="B95" s="15">
        <v>93</v>
      </c>
      <c r="C95" s="8"/>
      <c r="E95" s="67"/>
      <c r="F95" s="16"/>
      <c r="G95" s="8"/>
      <c r="H95" s="8"/>
      <c r="I95" s="8"/>
      <c r="J95" s="9"/>
      <c r="K95" s="9">
        <f t="shared" si="31"/>
        <v>0</v>
      </c>
      <c r="L95" s="35">
        <f t="shared" si="32"/>
        <v>0</v>
      </c>
      <c r="M95" s="2"/>
      <c r="O95" s="19"/>
      <c r="P95" s="19"/>
      <c r="Q95" s="19"/>
      <c r="R95" s="46"/>
      <c r="S95" s="46"/>
      <c r="T95" s="44"/>
      <c r="U95" s="77"/>
      <c r="V95" s="30"/>
      <c r="W95" s="24"/>
      <c r="X95" s="193"/>
      <c r="Y95" s="15"/>
    </row>
    <row r="96" spans="2:25" x14ac:dyDescent="0.25">
      <c r="B96" s="15">
        <v>94</v>
      </c>
      <c r="C96" s="8"/>
      <c r="E96" s="67"/>
      <c r="F96" s="16"/>
      <c r="G96" s="8"/>
      <c r="H96" s="8"/>
      <c r="I96" s="8"/>
      <c r="J96" s="9"/>
      <c r="K96" s="9">
        <f t="shared" si="31"/>
        <v>0</v>
      </c>
      <c r="L96" s="35">
        <f t="shared" si="32"/>
        <v>0</v>
      </c>
      <c r="M96" s="2"/>
      <c r="O96" s="19"/>
      <c r="P96" s="19"/>
      <c r="Q96" s="19"/>
      <c r="R96" s="254"/>
      <c r="S96" s="46"/>
      <c r="T96" s="44"/>
      <c r="U96" s="77"/>
      <c r="V96" s="30"/>
      <c r="W96" s="24"/>
      <c r="X96" s="193"/>
      <c r="Y96" s="15"/>
    </row>
    <row r="97" spans="2:25" x14ac:dyDescent="0.25">
      <c r="B97" s="15">
        <v>95</v>
      </c>
      <c r="C97" s="8"/>
      <c r="E97" s="67"/>
      <c r="F97" s="16"/>
      <c r="G97" s="8"/>
      <c r="H97" s="8"/>
      <c r="I97" s="8"/>
      <c r="J97" s="9"/>
      <c r="K97" s="9">
        <f t="shared" si="31"/>
        <v>0</v>
      </c>
      <c r="L97" s="35">
        <f t="shared" si="32"/>
        <v>0</v>
      </c>
      <c r="M97" s="2"/>
      <c r="O97" s="19"/>
      <c r="P97" s="19"/>
      <c r="Q97" s="19"/>
      <c r="R97" s="21"/>
      <c r="S97" s="46"/>
      <c r="T97" s="44"/>
      <c r="U97" s="77"/>
      <c r="V97" s="30"/>
      <c r="W97" s="24"/>
      <c r="X97" s="193"/>
      <c r="Y97" s="15"/>
    </row>
    <row r="98" spans="2:25" x14ac:dyDescent="0.25">
      <c r="B98" s="15">
        <v>96</v>
      </c>
      <c r="C98" s="8"/>
      <c r="E98" s="67"/>
      <c r="F98" s="16"/>
      <c r="G98" s="8"/>
      <c r="H98" s="8"/>
      <c r="I98" s="8"/>
      <c r="J98" s="9"/>
      <c r="K98" s="9">
        <f t="shared" si="31"/>
        <v>0</v>
      </c>
      <c r="L98" s="35">
        <f t="shared" si="32"/>
        <v>0</v>
      </c>
      <c r="M98" s="2"/>
      <c r="O98" s="19"/>
      <c r="P98" s="19"/>
      <c r="Q98" s="19"/>
      <c r="R98" s="21"/>
      <c r="S98" s="46"/>
      <c r="T98" s="44"/>
      <c r="U98" s="77"/>
      <c r="V98" s="24"/>
      <c r="W98" s="24"/>
      <c r="X98" s="193"/>
      <c r="Y98" s="15"/>
    </row>
    <row r="99" spans="2:25" x14ac:dyDescent="0.25">
      <c r="B99" s="15">
        <v>97</v>
      </c>
      <c r="C99" s="8"/>
      <c r="E99" s="67"/>
      <c r="F99" s="16"/>
      <c r="G99" s="8"/>
      <c r="H99" s="8"/>
      <c r="I99" s="8"/>
      <c r="J99" s="9"/>
      <c r="K99" s="9">
        <f t="shared" si="31"/>
        <v>0</v>
      </c>
      <c r="L99" s="35">
        <f t="shared" si="32"/>
        <v>0</v>
      </c>
      <c r="M99" s="2"/>
      <c r="O99" s="19"/>
      <c r="P99" s="19"/>
      <c r="Q99" s="19"/>
      <c r="R99" s="21"/>
      <c r="S99" s="46"/>
      <c r="T99" s="44"/>
      <c r="U99" s="77"/>
      <c r="V99" s="24"/>
      <c r="W99" s="24"/>
      <c r="X99" s="193"/>
      <c r="Y99" s="15"/>
    </row>
    <row r="100" spans="2:25" x14ac:dyDescent="0.25">
      <c r="B100" s="15">
        <v>98</v>
      </c>
      <c r="C100" s="8"/>
      <c r="E100" s="67"/>
      <c r="F100" s="16"/>
      <c r="G100" s="8"/>
      <c r="H100" s="8"/>
      <c r="I100" s="8"/>
      <c r="J100" s="9"/>
      <c r="K100" s="9">
        <f t="shared" si="31"/>
        <v>0</v>
      </c>
      <c r="L100" s="35">
        <f t="shared" si="32"/>
        <v>0</v>
      </c>
      <c r="M100" s="2"/>
      <c r="O100" s="19"/>
      <c r="P100" s="19"/>
      <c r="Q100" s="19"/>
      <c r="R100" s="21"/>
      <c r="S100" s="46"/>
      <c r="T100" s="44"/>
      <c r="U100" s="77"/>
      <c r="V100" s="24"/>
      <c r="W100" s="24"/>
      <c r="X100" s="193"/>
      <c r="Y100" s="15"/>
    </row>
    <row r="101" spans="2:25" x14ac:dyDescent="0.25">
      <c r="B101" s="15">
        <v>99</v>
      </c>
      <c r="C101" s="8"/>
      <c r="E101" s="67"/>
      <c r="F101" s="16"/>
      <c r="G101" s="8"/>
      <c r="H101" s="8"/>
      <c r="I101" s="8"/>
      <c r="J101" s="9"/>
      <c r="K101" s="9">
        <f t="shared" si="31"/>
        <v>0</v>
      </c>
      <c r="L101" s="35">
        <f t="shared" si="32"/>
        <v>0</v>
      </c>
      <c r="M101" s="2"/>
      <c r="O101" s="19"/>
      <c r="P101" s="19"/>
      <c r="Q101" s="19"/>
      <c r="R101" s="21"/>
      <c r="S101" s="46"/>
      <c r="T101" s="44"/>
      <c r="U101" s="77"/>
      <c r="V101" s="24"/>
      <c r="W101" s="24"/>
      <c r="X101" s="193"/>
      <c r="Y101" s="15"/>
    </row>
    <row r="102" spans="2:25" x14ac:dyDescent="0.25">
      <c r="B102" s="15">
        <v>100</v>
      </c>
      <c r="C102" s="8"/>
      <c r="E102" s="67"/>
      <c r="F102" s="16"/>
      <c r="G102" s="8"/>
      <c r="H102" s="8"/>
      <c r="I102" s="8"/>
      <c r="J102" s="9"/>
      <c r="K102" s="9">
        <f t="shared" si="31"/>
        <v>0</v>
      </c>
      <c r="L102" s="35">
        <f t="shared" si="32"/>
        <v>0</v>
      </c>
      <c r="M102" s="2"/>
      <c r="O102" s="19"/>
      <c r="P102" s="19"/>
      <c r="Q102" s="19"/>
      <c r="R102" s="21"/>
      <c r="S102" s="46"/>
      <c r="T102" s="44"/>
      <c r="U102" s="77"/>
      <c r="V102" s="24"/>
      <c r="W102" s="24"/>
      <c r="X102" s="193"/>
      <c r="Y102" s="15"/>
    </row>
    <row r="103" spans="2:25" x14ac:dyDescent="0.25">
      <c r="B103" s="15">
        <v>101</v>
      </c>
      <c r="C103" s="8"/>
      <c r="E103" s="67"/>
      <c r="F103" s="16"/>
      <c r="G103" s="8"/>
      <c r="H103" s="8"/>
      <c r="I103" s="8"/>
      <c r="J103" s="9"/>
      <c r="K103" s="9">
        <f t="shared" si="31"/>
        <v>0</v>
      </c>
      <c r="L103" s="35">
        <f t="shared" si="32"/>
        <v>0</v>
      </c>
      <c r="M103" s="2"/>
      <c r="O103" s="19"/>
      <c r="P103" s="19"/>
      <c r="Q103" s="19"/>
      <c r="R103" s="21"/>
      <c r="S103" s="46"/>
      <c r="T103" s="44"/>
      <c r="U103" s="77"/>
      <c r="V103" s="30"/>
      <c r="W103" s="24"/>
      <c r="X103" s="193"/>
      <c r="Y103" s="15"/>
    </row>
    <row r="104" spans="2:25" x14ac:dyDescent="0.25">
      <c r="B104" s="15">
        <v>102</v>
      </c>
      <c r="C104" s="8"/>
      <c r="E104" s="67"/>
      <c r="F104" s="16"/>
      <c r="G104" s="8"/>
      <c r="H104" s="8"/>
      <c r="I104" s="8"/>
      <c r="J104" s="9"/>
      <c r="K104" s="9">
        <f t="shared" si="31"/>
        <v>0</v>
      </c>
      <c r="L104" s="35">
        <f t="shared" si="32"/>
        <v>0</v>
      </c>
      <c r="M104" s="2"/>
      <c r="O104" s="19"/>
      <c r="P104" s="19"/>
      <c r="Q104" s="19"/>
      <c r="R104" s="21"/>
      <c r="S104" s="46"/>
      <c r="T104" s="44"/>
      <c r="U104" s="77"/>
      <c r="V104" s="24"/>
      <c r="W104" s="24"/>
      <c r="X104" s="193"/>
      <c r="Y104" s="15"/>
    </row>
    <row r="105" spans="2:25" x14ac:dyDescent="0.25">
      <c r="B105" s="15">
        <v>103</v>
      </c>
      <c r="C105" s="8"/>
      <c r="E105" s="67"/>
      <c r="F105" s="16"/>
      <c r="G105" s="8"/>
      <c r="H105" s="8"/>
      <c r="I105" s="8"/>
      <c r="J105" s="9"/>
      <c r="K105" s="9">
        <f t="shared" si="31"/>
        <v>0</v>
      </c>
      <c r="L105" s="35">
        <f t="shared" si="32"/>
        <v>0</v>
      </c>
      <c r="M105" s="2"/>
      <c r="O105" s="19"/>
      <c r="P105" s="19"/>
      <c r="Q105" s="19"/>
      <c r="R105" s="21"/>
      <c r="S105" s="46"/>
      <c r="T105" s="44"/>
      <c r="U105" s="77"/>
      <c r="V105" s="24"/>
      <c r="W105" s="24"/>
      <c r="X105" s="193"/>
      <c r="Y105" s="15"/>
    </row>
    <row r="106" spans="2:25" x14ac:dyDescent="0.25">
      <c r="B106" s="15">
        <v>104</v>
      </c>
      <c r="C106" s="8"/>
      <c r="E106" s="67"/>
      <c r="F106" s="255"/>
      <c r="G106" s="8"/>
      <c r="H106" s="8"/>
      <c r="I106" s="8"/>
      <c r="J106" s="9"/>
      <c r="K106" s="9">
        <f t="shared" si="31"/>
        <v>0</v>
      </c>
      <c r="L106" s="35">
        <f t="shared" si="32"/>
        <v>0</v>
      </c>
      <c r="M106" s="2"/>
      <c r="O106" s="19"/>
      <c r="P106" s="19"/>
      <c r="Q106" s="19"/>
      <c r="R106" s="21"/>
      <c r="S106" s="46"/>
      <c r="T106" s="44"/>
      <c r="U106" s="77"/>
      <c r="V106" s="24"/>
      <c r="W106" s="24"/>
      <c r="X106" s="193"/>
      <c r="Y106" s="15"/>
    </row>
    <row r="107" spans="2:25" x14ac:dyDescent="0.25">
      <c r="B107" s="15">
        <v>105</v>
      </c>
      <c r="C107" s="8"/>
      <c r="E107" s="67"/>
      <c r="F107" s="16"/>
      <c r="G107" s="8"/>
      <c r="H107" s="8"/>
      <c r="I107" s="8"/>
      <c r="J107" s="9"/>
      <c r="K107" s="9">
        <f t="shared" si="31"/>
        <v>0</v>
      </c>
      <c r="L107" s="35">
        <f t="shared" si="32"/>
        <v>0</v>
      </c>
      <c r="M107" s="2"/>
      <c r="O107" s="19"/>
      <c r="P107" s="19"/>
      <c r="Q107" s="19"/>
      <c r="R107" s="21"/>
      <c r="S107" s="46"/>
      <c r="T107" s="44"/>
      <c r="U107" s="77"/>
      <c r="V107" s="24"/>
      <c r="W107" s="24"/>
      <c r="X107" s="193"/>
      <c r="Y107" s="15"/>
    </row>
    <row r="108" spans="2:25" x14ac:dyDescent="0.25">
      <c r="B108" s="15">
        <v>106</v>
      </c>
      <c r="C108" s="8"/>
      <c r="E108" s="67"/>
      <c r="F108" s="16"/>
      <c r="G108" s="8"/>
      <c r="H108" s="8"/>
      <c r="I108" s="8"/>
      <c r="J108" s="9"/>
      <c r="K108" s="9">
        <f t="shared" si="31"/>
        <v>0</v>
      </c>
      <c r="L108" s="35">
        <f t="shared" si="32"/>
        <v>0</v>
      </c>
      <c r="M108" s="2"/>
      <c r="O108" s="19"/>
      <c r="P108" s="19"/>
      <c r="Q108" s="19"/>
      <c r="R108" s="21"/>
      <c r="S108" s="46"/>
      <c r="T108" s="44"/>
      <c r="U108" s="77"/>
      <c r="V108" s="24"/>
      <c r="W108" s="24"/>
      <c r="X108" s="193"/>
      <c r="Y108" s="15"/>
    </row>
    <row r="109" spans="2:25" x14ac:dyDescent="0.25">
      <c r="B109" s="15">
        <v>107</v>
      </c>
      <c r="C109" s="8"/>
      <c r="E109" s="67"/>
      <c r="F109" s="16"/>
      <c r="G109" s="8"/>
      <c r="H109" s="8"/>
      <c r="I109" s="8"/>
      <c r="J109" s="9"/>
      <c r="K109" s="9">
        <f t="shared" si="31"/>
        <v>0</v>
      </c>
      <c r="L109" s="35">
        <f t="shared" si="32"/>
        <v>0</v>
      </c>
      <c r="M109" s="2"/>
      <c r="O109" s="19"/>
      <c r="P109" s="19"/>
      <c r="Q109" s="19"/>
      <c r="R109" s="21"/>
      <c r="S109" s="46"/>
      <c r="T109" s="44"/>
      <c r="U109" s="77"/>
      <c r="V109" s="30"/>
      <c r="W109" s="24"/>
      <c r="X109" s="193"/>
      <c r="Y109" s="15"/>
    </row>
    <row r="110" spans="2:25" x14ac:dyDescent="0.25">
      <c r="B110" s="15">
        <v>108</v>
      </c>
      <c r="C110" s="8"/>
      <c r="E110" s="67"/>
      <c r="F110" s="16"/>
      <c r="G110" s="8"/>
      <c r="H110" s="8"/>
      <c r="I110" s="8"/>
      <c r="J110" s="9"/>
      <c r="K110" s="9">
        <f t="shared" si="31"/>
        <v>0</v>
      </c>
      <c r="L110" s="35">
        <f t="shared" si="32"/>
        <v>0</v>
      </c>
      <c r="M110" s="2"/>
      <c r="O110" s="19"/>
      <c r="P110" s="19"/>
      <c r="Q110" s="19"/>
      <c r="R110" s="21"/>
      <c r="S110" s="46"/>
      <c r="T110" s="44"/>
      <c r="U110" s="77"/>
      <c r="V110" s="30"/>
      <c r="W110" s="24"/>
      <c r="X110" s="193"/>
      <c r="Y110" s="15"/>
    </row>
    <row r="111" spans="2:25" x14ac:dyDescent="0.25">
      <c r="B111" s="15">
        <v>109</v>
      </c>
      <c r="C111" s="8"/>
      <c r="E111" s="67"/>
      <c r="F111" s="16"/>
      <c r="G111" s="8"/>
      <c r="H111" s="8"/>
      <c r="I111" s="8"/>
      <c r="J111" s="9"/>
      <c r="K111" s="9">
        <f t="shared" si="31"/>
        <v>0</v>
      </c>
      <c r="L111" s="35">
        <f t="shared" si="32"/>
        <v>0</v>
      </c>
      <c r="M111" s="2"/>
      <c r="O111" s="19"/>
      <c r="P111" s="19"/>
      <c r="Q111" s="19"/>
      <c r="R111" s="21"/>
      <c r="S111" s="46"/>
      <c r="T111" s="44"/>
      <c r="U111" s="77"/>
      <c r="V111" s="30"/>
      <c r="W111" s="24"/>
      <c r="X111" s="193"/>
      <c r="Y111" s="15"/>
    </row>
    <row r="112" spans="2:25" x14ac:dyDescent="0.25">
      <c r="B112" s="15">
        <v>110</v>
      </c>
      <c r="C112" s="8"/>
      <c r="E112" s="67"/>
      <c r="F112" s="16"/>
      <c r="G112" s="8"/>
      <c r="H112" s="8"/>
      <c r="I112" s="8"/>
      <c r="J112" s="9"/>
      <c r="K112" s="9">
        <f t="shared" si="31"/>
        <v>0</v>
      </c>
      <c r="L112" s="35">
        <f t="shared" si="32"/>
        <v>0</v>
      </c>
      <c r="M112" s="2"/>
      <c r="O112" s="19"/>
      <c r="P112" s="19"/>
      <c r="Q112" s="19"/>
      <c r="R112" s="21"/>
      <c r="S112" s="46"/>
      <c r="T112" s="44"/>
      <c r="U112" s="77"/>
      <c r="V112" s="24"/>
      <c r="W112" s="24"/>
      <c r="X112" s="193"/>
      <c r="Y112" s="15"/>
    </row>
    <row r="113" spans="2:25" x14ac:dyDescent="0.25">
      <c r="B113" s="15">
        <v>111</v>
      </c>
      <c r="C113" s="8"/>
      <c r="E113" s="67"/>
      <c r="F113" s="16"/>
      <c r="G113" s="8"/>
      <c r="H113" s="8"/>
      <c r="I113" s="8"/>
      <c r="J113" s="9"/>
      <c r="K113" s="9">
        <f t="shared" si="31"/>
        <v>0</v>
      </c>
      <c r="L113" s="35">
        <f t="shared" si="32"/>
        <v>0</v>
      </c>
      <c r="M113" s="2"/>
      <c r="O113" s="19"/>
      <c r="P113" s="19"/>
      <c r="Q113" s="19"/>
      <c r="R113" s="21"/>
      <c r="S113" s="46"/>
      <c r="T113" s="44"/>
      <c r="U113" s="77"/>
      <c r="V113" s="24"/>
      <c r="W113" s="24"/>
      <c r="X113" s="193"/>
      <c r="Y113" s="15"/>
    </row>
    <row r="114" spans="2:25" x14ac:dyDescent="0.25">
      <c r="B114" s="15">
        <v>112</v>
      </c>
      <c r="C114" s="8"/>
      <c r="E114" s="67"/>
      <c r="F114" s="16"/>
      <c r="G114" s="8"/>
      <c r="H114" s="8"/>
      <c r="I114" s="8"/>
      <c r="J114" s="9"/>
      <c r="K114" s="9">
        <f t="shared" si="31"/>
        <v>0</v>
      </c>
      <c r="L114" s="35">
        <f t="shared" si="32"/>
        <v>0</v>
      </c>
      <c r="M114" s="2"/>
      <c r="O114" s="19"/>
      <c r="P114" s="19"/>
      <c r="Q114" s="19"/>
      <c r="R114" s="21"/>
      <c r="S114" s="46"/>
      <c r="T114" s="44"/>
      <c r="U114" s="77"/>
      <c r="V114" s="24"/>
      <c r="W114" s="24"/>
      <c r="X114" s="193"/>
      <c r="Y114" s="15"/>
    </row>
    <row r="115" spans="2:25" x14ac:dyDescent="0.25">
      <c r="B115" s="15">
        <v>113</v>
      </c>
      <c r="C115" s="8"/>
      <c r="E115" s="67"/>
      <c r="F115" s="16"/>
      <c r="G115" s="8"/>
      <c r="H115" s="8"/>
      <c r="I115" s="8"/>
      <c r="J115" s="9"/>
      <c r="K115" s="9">
        <f t="shared" si="31"/>
        <v>0</v>
      </c>
      <c r="L115" s="35">
        <f t="shared" si="32"/>
        <v>0</v>
      </c>
      <c r="M115" s="2"/>
      <c r="O115" s="19"/>
      <c r="P115" s="19"/>
      <c r="Q115" s="19"/>
      <c r="R115" s="21"/>
      <c r="S115" s="46"/>
      <c r="T115" s="44"/>
      <c r="U115" s="77"/>
      <c r="V115" s="24"/>
      <c r="W115" s="24"/>
      <c r="X115" s="193"/>
      <c r="Y115" s="15"/>
    </row>
    <row r="116" spans="2:25" x14ac:dyDescent="0.25">
      <c r="B116" s="15">
        <v>114</v>
      </c>
      <c r="C116" s="8"/>
      <c r="E116" s="67"/>
      <c r="F116" s="16"/>
      <c r="G116" s="8"/>
      <c r="H116" s="8"/>
      <c r="I116" s="8"/>
      <c r="J116" s="9"/>
      <c r="K116" s="9">
        <f t="shared" si="31"/>
        <v>0</v>
      </c>
      <c r="L116" s="35">
        <f t="shared" si="32"/>
        <v>0</v>
      </c>
      <c r="M116" s="2"/>
      <c r="O116" s="19"/>
      <c r="P116" s="19"/>
      <c r="Q116" s="19"/>
      <c r="R116" s="21"/>
      <c r="S116" s="46"/>
      <c r="T116" s="44"/>
      <c r="U116" s="77"/>
      <c r="V116" s="30"/>
      <c r="W116" s="24"/>
      <c r="X116" s="193"/>
      <c r="Y116" s="15"/>
    </row>
    <row r="117" spans="2:25" x14ac:dyDescent="0.25">
      <c r="B117" s="15">
        <v>115</v>
      </c>
      <c r="C117" s="8"/>
      <c r="E117" s="67"/>
      <c r="F117" s="16"/>
      <c r="G117" s="8"/>
      <c r="H117" s="8"/>
      <c r="I117" s="8"/>
      <c r="J117" s="9"/>
      <c r="K117" s="9">
        <f t="shared" si="31"/>
        <v>0</v>
      </c>
      <c r="L117" s="35">
        <f t="shared" si="32"/>
        <v>0</v>
      </c>
      <c r="M117" s="2"/>
      <c r="O117" s="19"/>
      <c r="P117" s="19"/>
      <c r="Q117" s="19"/>
      <c r="R117" s="21"/>
      <c r="S117" s="46"/>
      <c r="T117" s="44"/>
      <c r="U117" s="77"/>
      <c r="V117" s="30"/>
      <c r="W117" s="24"/>
      <c r="X117" s="193"/>
      <c r="Y117" s="15"/>
    </row>
    <row r="118" spans="2:25" x14ac:dyDescent="0.25">
      <c r="B118" s="15">
        <v>116</v>
      </c>
      <c r="C118" s="8"/>
      <c r="E118" s="67"/>
      <c r="F118" s="16"/>
      <c r="G118" s="8"/>
      <c r="H118" s="8"/>
      <c r="I118" s="8"/>
      <c r="J118" s="9"/>
      <c r="K118" s="9">
        <f t="shared" si="31"/>
        <v>0</v>
      </c>
      <c r="L118" s="35">
        <f t="shared" si="32"/>
        <v>0</v>
      </c>
      <c r="M118" s="2"/>
      <c r="O118" s="19"/>
      <c r="P118" s="19"/>
      <c r="Q118" s="19"/>
      <c r="R118" s="21"/>
      <c r="S118" s="46"/>
      <c r="T118" s="44"/>
      <c r="U118" s="77"/>
      <c r="V118" s="30"/>
      <c r="W118" s="24"/>
      <c r="X118" s="193"/>
      <c r="Y118" s="15"/>
    </row>
    <row r="119" spans="2:25" x14ac:dyDescent="0.25">
      <c r="B119" s="15">
        <v>117</v>
      </c>
      <c r="C119" s="8"/>
      <c r="E119" s="67"/>
      <c r="F119" s="16"/>
      <c r="G119" s="8"/>
      <c r="H119" s="8"/>
      <c r="I119" s="8"/>
      <c r="J119" s="9"/>
      <c r="K119" s="9">
        <f t="shared" si="31"/>
        <v>0</v>
      </c>
      <c r="L119" s="35">
        <f t="shared" si="32"/>
        <v>0</v>
      </c>
      <c r="M119" s="2"/>
      <c r="O119" s="19"/>
      <c r="P119" s="19"/>
      <c r="Q119" s="19"/>
      <c r="R119" s="21"/>
      <c r="S119" s="46"/>
      <c r="T119" s="44"/>
      <c r="U119" s="77"/>
      <c r="V119" s="30"/>
      <c r="W119" s="24"/>
      <c r="X119" s="193"/>
      <c r="Y119" s="15"/>
    </row>
    <row r="120" spans="2:25" x14ac:dyDescent="0.25">
      <c r="B120" s="15">
        <v>118</v>
      </c>
      <c r="C120" s="8"/>
      <c r="E120" s="67"/>
      <c r="G120" s="8"/>
      <c r="H120" s="8"/>
      <c r="I120" s="8"/>
      <c r="J120" s="9"/>
      <c r="K120" s="9">
        <f t="shared" si="31"/>
        <v>0</v>
      </c>
      <c r="L120" s="35">
        <f t="shared" si="32"/>
        <v>0</v>
      </c>
      <c r="M120" s="2"/>
      <c r="O120" s="19"/>
      <c r="P120" s="19"/>
      <c r="Q120" s="19"/>
      <c r="R120" s="21"/>
      <c r="S120" s="46"/>
      <c r="T120" s="44"/>
      <c r="U120" s="77"/>
      <c r="V120" s="24"/>
      <c r="W120" s="24"/>
      <c r="X120" s="193"/>
      <c r="Y120" s="15"/>
    </row>
    <row r="121" spans="2:25" x14ac:dyDescent="0.25">
      <c r="B121" s="15">
        <v>119</v>
      </c>
      <c r="C121" s="8"/>
      <c r="E121" s="67"/>
      <c r="G121" s="8"/>
      <c r="H121" s="8"/>
      <c r="I121" s="8"/>
      <c r="J121" s="9"/>
      <c r="K121" s="9">
        <f t="shared" si="31"/>
        <v>0</v>
      </c>
      <c r="L121" s="35">
        <f t="shared" si="32"/>
        <v>0</v>
      </c>
      <c r="M121" s="2"/>
      <c r="O121" s="19"/>
      <c r="P121" s="19"/>
      <c r="Q121" s="19"/>
      <c r="R121" s="21"/>
      <c r="S121" s="46"/>
      <c r="T121" s="44"/>
      <c r="U121" s="77"/>
      <c r="V121" s="24"/>
      <c r="W121" s="24"/>
      <c r="X121" s="193"/>
      <c r="Y121" s="15"/>
    </row>
    <row r="122" spans="2:25" x14ac:dyDescent="0.25">
      <c r="B122" s="15">
        <v>120</v>
      </c>
      <c r="C122" s="8"/>
      <c r="E122" s="67"/>
      <c r="F122" s="16"/>
      <c r="G122" s="8"/>
      <c r="H122" s="8"/>
      <c r="I122" s="8"/>
      <c r="J122" s="9"/>
      <c r="K122" s="9">
        <f t="shared" si="31"/>
        <v>0</v>
      </c>
      <c r="L122" s="35">
        <f t="shared" si="32"/>
        <v>0</v>
      </c>
      <c r="M122" s="2"/>
      <c r="O122" s="19"/>
      <c r="P122" s="19"/>
      <c r="Q122" s="19"/>
      <c r="R122" s="21"/>
      <c r="S122" s="46"/>
      <c r="T122" s="44"/>
      <c r="U122" s="77"/>
      <c r="V122" s="24"/>
      <c r="W122" s="24"/>
      <c r="X122" s="193"/>
      <c r="Y122" s="15"/>
    </row>
    <row r="123" spans="2:25" x14ac:dyDescent="0.25">
      <c r="B123" s="15">
        <v>121</v>
      </c>
      <c r="C123" s="8"/>
      <c r="E123" s="67"/>
      <c r="F123" s="16"/>
      <c r="G123" s="8"/>
      <c r="H123" s="8"/>
      <c r="I123" s="8"/>
      <c r="J123" s="9"/>
      <c r="K123" s="9">
        <f t="shared" si="31"/>
        <v>0</v>
      </c>
      <c r="L123" s="35">
        <f t="shared" si="32"/>
        <v>0</v>
      </c>
      <c r="M123" s="2"/>
      <c r="O123" s="19"/>
      <c r="P123" s="19"/>
      <c r="Q123" s="19"/>
      <c r="R123" s="21"/>
      <c r="S123" s="46"/>
      <c r="T123" s="44"/>
      <c r="U123" s="77"/>
      <c r="V123" s="24"/>
      <c r="W123" s="24"/>
      <c r="X123" s="193"/>
      <c r="Y123" s="15"/>
    </row>
    <row r="124" spans="2:25" x14ac:dyDescent="0.25">
      <c r="B124" s="15">
        <v>122</v>
      </c>
      <c r="C124" s="8"/>
      <c r="E124" s="67"/>
      <c r="F124" s="16"/>
      <c r="G124" s="8"/>
      <c r="H124" s="8"/>
      <c r="I124" s="8"/>
      <c r="J124" s="9"/>
      <c r="K124" s="9">
        <f t="shared" si="31"/>
        <v>0</v>
      </c>
      <c r="L124" s="35">
        <f t="shared" si="32"/>
        <v>0</v>
      </c>
      <c r="M124" s="2"/>
      <c r="O124" s="19"/>
      <c r="P124" s="19"/>
      <c r="Q124" s="19"/>
      <c r="R124" s="21"/>
      <c r="S124" s="46"/>
      <c r="T124" s="44"/>
      <c r="U124" s="77"/>
      <c r="V124" s="24"/>
      <c r="W124" s="24"/>
      <c r="X124" s="193"/>
      <c r="Y124" s="15"/>
    </row>
    <row r="125" spans="2:25" x14ac:dyDescent="0.25">
      <c r="B125" s="15">
        <v>123</v>
      </c>
      <c r="C125" s="8"/>
      <c r="E125" s="67"/>
      <c r="F125" s="16"/>
      <c r="G125" s="8"/>
      <c r="H125" s="8"/>
      <c r="I125" s="8"/>
      <c r="J125" s="9"/>
      <c r="K125" s="9">
        <f t="shared" si="31"/>
        <v>0</v>
      </c>
      <c r="L125" s="35">
        <f t="shared" si="32"/>
        <v>0</v>
      </c>
      <c r="M125" s="2"/>
      <c r="O125" s="19"/>
      <c r="P125" s="19"/>
      <c r="Q125" s="19"/>
      <c r="R125" s="21"/>
      <c r="S125" s="46"/>
      <c r="T125" s="44"/>
      <c r="U125" s="77"/>
      <c r="V125" s="30"/>
      <c r="W125" s="24"/>
      <c r="X125" s="193"/>
      <c r="Y125" s="15"/>
    </row>
    <row r="126" spans="2:25" x14ac:dyDescent="0.25">
      <c r="B126" s="15">
        <v>124</v>
      </c>
      <c r="C126" s="8"/>
      <c r="E126" s="67"/>
      <c r="F126" s="16"/>
      <c r="G126" s="8"/>
      <c r="H126" s="8"/>
      <c r="I126" s="8"/>
      <c r="J126" s="9"/>
      <c r="K126" s="9">
        <f t="shared" si="31"/>
        <v>0</v>
      </c>
      <c r="L126" s="35">
        <f t="shared" si="32"/>
        <v>0</v>
      </c>
      <c r="M126" s="2"/>
      <c r="O126" s="19"/>
      <c r="P126" s="19"/>
      <c r="Q126" s="19"/>
      <c r="R126" s="21"/>
      <c r="S126" s="46"/>
      <c r="T126" s="44"/>
      <c r="U126" s="77"/>
      <c r="V126" s="30"/>
      <c r="W126" s="24"/>
      <c r="X126" s="193"/>
      <c r="Y126" s="15"/>
    </row>
    <row r="127" spans="2:25" x14ac:dyDescent="0.25">
      <c r="B127" s="15">
        <v>125</v>
      </c>
      <c r="C127" s="8"/>
      <c r="E127" s="67"/>
      <c r="F127" s="16"/>
      <c r="G127" s="8"/>
      <c r="H127" s="8"/>
      <c r="I127" s="8"/>
      <c r="J127" s="9"/>
      <c r="K127" s="9">
        <f t="shared" si="31"/>
        <v>0</v>
      </c>
      <c r="L127" s="35">
        <f t="shared" si="32"/>
        <v>0</v>
      </c>
      <c r="M127" s="2"/>
      <c r="O127" s="19"/>
      <c r="P127" s="19"/>
      <c r="Q127" s="19"/>
      <c r="R127" s="21"/>
      <c r="S127" s="46"/>
      <c r="T127" s="44"/>
      <c r="U127" s="77"/>
      <c r="V127" s="24"/>
      <c r="W127" s="24"/>
      <c r="X127" s="193"/>
      <c r="Y127" s="15"/>
    </row>
    <row r="128" spans="2:25" x14ac:dyDescent="0.25">
      <c r="B128" s="15">
        <v>126</v>
      </c>
      <c r="C128" s="8"/>
      <c r="E128" s="67"/>
      <c r="F128" s="16"/>
      <c r="G128" s="8"/>
      <c r="H128" s="8"/>
      <c r="I128" s="8"/>
      <c r="J128" s="9"/>
      <c r="K128" s="9">
        <f t="shared" si="31"/>
        <v>0</v>
      </c>
      <c r="L128" s="35">
        <f t="shared" si="32"/>
        <v>0</v>
      </c>
      <c r="M128" s="2"/>
      <c r="O128" s="19"/>
      <c r="P128" s="19"/>
      <c r="Q128" s="19"/>
      <c r="R128" s="21"/>
      <c r="S128" s="46"/>
      <c r="T128" s="44"/>
      <c r="U128" s="77"/>
      <c r="V128" s="24"/>
      <c r="W128" s="24"/>
      <c r="X128" s="193"/>
      <c r="Y128" s="15"/>
    </row>
    <row r="129" spans="2:25" x14ac:dyDescent="0.25">
      <c r="B129" s="15">
        <v>127</v>
      </c>
      <c r="C129" s="8"/>
      <c r="E129" s="67"/>
      <c r="F129" s="16"/>
      <c r="G129" s="8"/>
      <c r="H129" s="8"/>
      <c r="I129" s="8"/>
      <c r="J129" s="9"/>
      <c r="K129" s="9">
        <f t="shared" si="31"/>
        <v>0</v>
      </c>
      <c r="L129" s="35">
        <f t="shared" si="32"/>
        <v>0</v>
      </c>
      <c r="M129" s="2"/>
      <c r="O129" s="19"/>
      <c r="P129" s="19"/>
      <c r="Q129" s="19"/>
      <c r="R129" s="21"/>
      <c r="S129" s="46"/>
      <c r="T129" s="44"/>
      <c r="U129" s="77"/>
      <c r="V129" s="24"/>
      <c r="W129" s="24"/>
      <c r="X129" s="193"/>
      <c r="Y129" s="15"/>
    </row>
    <row r="130" spans="2:25" x14ac:dyDescent="0.25">
      <c r="B130" s="15">
        <v>128</v>
      </c>
      <c r="C130" s="8"/>
      <c r="E130" s="67"/>
      <c r="F130" s="16"/>
      <c r="G130" s="8"/>
      <c r="H130" s="8"/>
      <c r="I130" s="8"/>
      <c r="J130" s="9"/>
      <c r="K130" s="9">
        <f t="shared" si="31"/>
        <v>0</v>
      </c>
      <c r="L130" s="35">
        <f t="shared" si="32"/>
        <v>0</v>
      </c>
      <c r="M130" s="2"/>
      <c r="O130" s="19"/>
      <c r="P130" s="19"/>
      <c r="Q130" s="19"/>
      <c r="R130" s="21"/>
      <c r="S130" s="46"/>
      <c r="T130" s="44"/>
      <c r="U130" s="77"/>
      <c r="V130" s="24"/>
      <c r="W130" s="24"/>
      <c r="X130" s="193"/>
      <c r="Y130" s="15"/>
    </row>
    <row r="131" spans="2:25" x14ac:dyDescent="0.25">
      <c r="B131" s="15">
        <v>129</v>
      </c>
      <c r="C131" s="8"/>
      <c r="E131" s="67"/>
      <c r="F131" s="16"/>
      <c r="G131" s="8"/>
      <c r="H131" s="8"/>
      <c r="I131" s="8"/>
      <c r="J131" s="9"/>
      <c r="K131" s="9">
        <f t="shared" ref="K131:K194" si="35">J131*1.1</f>
        <v>0</v>
      </c>
      <c r="L131" s="35">
        <f t="shared" ref="L131:L194" si="36">J131*0.00000001</f>
        <v>0</v>
      </c>
      <c r="M131" s="2"/>
      <c r="O131" s="19"/>
      <c r="P131" s="19"/>
      <c r="Q131" s="19"/>
      <c r="R131" s="21"/>
      <c r="S131" s="46"/>
      <c r="T131" s="44"/>
      <c r="U131" s="77"/>
      <c r="V131" s="24"/>
      <c r="W131" s="24"/>
      <c r="X131" s="193"/>
      <c r="Y131" s="15"/>
    </row>
    <row r="132" spans="2:25" x14ac:dyDescent="0.25">
      <c r="B132" s="15">
        <v>130</v>
      </c>
      <c r="C132" s="8"/>
      <c r="E132" s="67"/>
      <c r="F132" s="16"/>
      <c r="G132" s="8"/>
      <c r="H132" s="8"/>
      <c r="I132" s="8"/>
      <c r="J132" s="9"/>
      <c r="K132" s="9">
        <f t="shared" si="35"/>
        <v>0</v>
      </c>
      <c r="L132" s="35">
        <f t="shared" si="36"/>
        <v>0</v>
      </c>
      <c r="M132" s="2"/>
      <c r="O132" s="19"/>
      <c r="P132" s="19"/>
      <c r="Q132" s="19"/>
      <c r="R132" s="21"/>
      <c r="S132" s="46"/>
      <c r="T132" s="44"/>
      <c r="U132" s="77"/>
      <c r="V132" s="24"/>
      <c r="W132" s="24"/>
      <c r="X132" s="193"/>
      <c r="Y132" s="15"/>
    </row>
    <row r="133" spans="2:25" x14ac:dyDescent="0.25">
      <c r="B133" s="15">
        <v>131</v>
      </c>
      <c r="C133" s="8"/>
      <c r="E133" s="67"/>
      <c r="F133" s="16"/>
      <c r="G133" s="8"/>
      <c r="H133" s="8"/>
      <c r="I133" s="8"/>
      <c r="J133" s="9"/>
      <c r="K133" s="9">
        <f t="shared" si="35"/>
        <v>0</v>
      </c>
      <c r="L133" s="35">
        <f t="shared" si="36"/>
        <v>0</v>
      </c>
      <c r="M133" s="2"/>
      <c r="O133" s="19"/>
      <c r="P133" s="19"/>
      <c r="Q133" s="19"/>
      <c r="R133" s="21"/>
      <c r="S133" s="46"/>
      <c r="T133" s="44"/>
      <c r="U133" s="77"/>
      <c r="V133" s="24"/>
      <c r="W133" s="24"/>
      <c r="X133" s="193"/>
      <c r="Y133" s="15"/>
    </row>
    <row r="134" spans="2:25" x14ac:dyDescent="0.25">
      <c r="B134" s="15">
        <v>132</v>
      </c>
      <c r="C134" s="8"/>
      <c r="E134" s="67"/>
      <c r="F134" s="16"/>
      <c r="G134" s="8"/>
      <c r="H134" s="8"/>
      <c r="I134" s="8"/>
      <c r="J134" s="9"/>
      <c r="K134" s="9">
        <f t="shared" si="35"/>
        <v>0</v>
      </c>
      <c r="L134" s="35">
        <f t="shared" si="36"/>
        <v>0</v>
      </c>
      <c r="M134" s="2"/>
      <c r="O134" s="19"/>
      <c r="P134" s="19"/>
      <c r="Q134" s="19"/>
      <c r="R134" s="21"/>
      <c r="S134" s="46"/>
      <c r="T134" s="44"/>
      <c r="U134" s="77"/>
      <c r="V134" s="24"/>
      <c r="W134" s="24"/>
      <c r="X134" s="193"/>
      <c r="Y134" s="15"/>
    </row>
    <row r="135" spans="2:25" x14ac:dyDescent="0.25">
      <c r="B135" s="15">
        <v>132</v>
      </c>
      <c r="C135" s="8"/>
      <c r="E135" s="67"/>
      <c r="F135" s="16"/>
      <c r="G135" s="8"/>
      <c r="H135" s="8"/>
      <c r="I135" s="8"/>
      <c r="J135" s="9"/>
      <c r="K135" s="9">
        <f t="shared" si="35"/>
        <v>0</v>
      </c>
      <c r="L135" s="35">
        <f t="shared" si="36"/>
        <v>0</v>
      </c>
      <c r="M135" s="2"/>
      <c r="O135" s="19"/>
      <c r="P135" s="19"/>
      <c r="Q135" s="19"/>
      <c r="R135" s="21"/>
      <c r="S135" s="46"/>
      <c r="T135" s="44"/>
      <c r="U135" s="77"/>
      <c r="V135" s="24"/>
      <c r="W135" s="24"/>
      <c r="X135" s="193"/>
      <c r="Y135" s="15"/>
    </row>
    <row r="136" spans="2:25" x14ac:dyDescent="0.25">
      <c r="B136" s="15">
        <v>133</v>
      </c>
      <c r="C136" s="8"/>
      <c r="E136" s="67"/>
      <c r="F136" s="16"/>
      <c r="G136" s="8"/>
      <c r="H136" s="8"/>
      <c r="I136" s="8"/>
      <c r="J136" s="9"/>
      <c r="K136" s="9">
        <f t="shared" si="35"/>
        <v>0</v>
      </c>
      <c r="L136" s="35">
        <f t="shared" si="36"/>
        <v>0</v>
      </c>
      <c r="M136" s="2"/>
      <c r="O136" s="19"/>
      <c r="P136" s="19"/>
      <c r="Q136" s="19"/>
      <c r="R136" s="21"/>
      <c r="S136" s="46"/>
      <c r="T136" s="44"/>
      <c r="U136" s="77"/>
      <c r="V136" s="24"/>
      <c r="W136" s="24"/>
      <c r="X136" s="193"/>
      <c r="Y136" s="15"/>
    </row>
    <row r="137" spans="2:25" x14ac:dyDescent="0.25">
      <c r="B137" s="15">
        <v>134</v>
      </c>
      <c r="C137" s="8"/>
      <c r="E137" s="67"/>
      <c r="F137" s="16"/>
      <c r="G137" s="8"/>
      <c r="H137" s="8"/>
      <c r="I137" s="8"/>
      <c r="K137" s="9">
        <f t="shared" si="35"/>
        <v>0</v>
      </c>
      <c r="L137" s="35">
        <f t="shared" si="36"/>
        <v>0</v>
      </c>
      <c r="M137" s="2"/>
      <c r="O137" s="19"/>
      <c r="P137" s="19"/>
      <c r="Q137" s="19"/>
      <c r="S137" s="46"/>
      <c r="T137" s="44"/>
      <c r="U137" s="77"/>
      <c r="V137" s="24"/>
      <c r="W137" s="24"/>
      <c r="X137" s="193"/>
      <c r="Y137" s="15"/>
    </row>
    <row r="138" spans="2:25" x14ac:dyDescent="0.25">
      <c r="B138" s="15">
        <v>135</v>
      </c>
      <c r="C138" s="8"/>
      <c r="E138" s="67"/>
      <c r="F138" s="16"/>
      <c r="G138" s="8"/>
      <c r="H138" s="8"/>
      <c r="I138" s="8"/>
      <c r="K138" s="9">
        <f t="shared" si="35"/>
        <v>0</v>
      </c>
      <c r="L138" s="35">
        <f t="shared" si="36"/>
        <v>0</v>
      </c>
      <c r="M138" s="2"/>
      <c r="O138" s="19"/>
      <c r="P138" s="19"/>
      <c r="Q138" s="19"/>
      <c r="S138" s="46"/>
      <c r="T138" s="44"/>
      <c r="U138" s="77"/>
      <c r="V138" s="24"/>
      <c r="W138" s="24"/>
      <c r="X138" s="193"/>
      <c r="Y138" s="15"/>
    </row>
    <row r="139" spans="2:25" x14ac:dyDescent="0.25">
      <c r="B139" s="15">
        <v>136</v>
      </c>
      <c r="C139" s="8"/>
      <c r="E139" s="67"/>
      <c r="F139" s="16"/>
      <c r="G139" s="8"/>
      <c r="H139" s="8"/>
      <c r="I139" s="8"/>
      <c r="K139" s="9">
        <f t="shared" si="35"/>
        <v>0</v>
      </c>
      <c r="L139" s="35">
        <f t="shared" si="36"/>
        <v>0</v>
      </c>
      <c r="M139" s="2"/>
      <c r="O139" s="19"/>
      <c r="P139" s="19"/>
      <c r="Q139" s="19"/>
      <c r="S139" s="46"/>
      <c r="T139" s="44"/>
      <c r="U139" s="77"/>
      <c r="V139" s="24"/>
      <c r="W139" s="24"/>
      <c r="X139" s="193"/>
      <c r="Y139" s="15"/>
    </row>
    <row r="140" spans="2:25" x14ac:dyDescent="0.25">
      <c r="B140" s="15">
        <v>138</v>
      </c>
      <c r="C140" s="8"/>
      <c r="E140" s="67"/>
      <c r="F140" s="16"/>
      <c r="G140" s="8"/>
      <c r="H140" s="8"/>
      <c r="I140" s="8"/>
      <c r="J140" s="9"/>
      <c r="K140" s="9">
        <f t="shared" si="35"/>
        <v>0</v>
      </c>
      <c r="L140" s="35">
        <f t="shared" si="36"/>
        <v>0</v>
      </c>
      <c r="M140" s="2"/>
      <c r="O140" s="19"/>
      <c r="P140" s="19"/>
      <c r="Q140" s="19"/>
      <c r="R140" s="21"/>
      <c r="S140" s="46"/>
      <c r="T140" s="44"/>
      <c r="U140" s="77"/>
      <c r="V140" s="24"/>
      <c r="W140" s="24"/>
      <c r="X140" s="193"/>
      <c r="Y140" s="15"/>
    </row>
    <row r="141" spans="2:25" x14ac:dyDescent="0.25">
      <c r="B141" s="15">
        <v>139</v>
      </c>
      <c r="C141" s="8"/>
      <c r="E141" s="67"/>
      <c r="F141" s="16"/>
      <c r="G141" s="8"/>
      <c r="H141" s="8"/>
      <c r="I141" s="8"/>
      <c r="J141" s="9"/>
      <c r="K141" s="9">
        <f t="shared" si="35"/>
        <v>0</v>
      </c>
      <c r="L141" s="35">
        <f t="shared" si="36"/>
        <v>0</v>
      </c>
      <c r="M141" s="2"/>
      <c r="O141" s="19"/>
      <c r="P141" s="19"/>
      <c r="Q141" s="19"/>
      <c r="R141" s="21"/>
      <c r="S141" s="46"/>
      <c r="T141" s="44"/>
      <c r="U141" s="77"/>
      <c r="V141" s="30"/>
      <c r="W141" s="24"/>
      <c r="X141" s="193"/>
      <c r="Y141" s="15"/>
    </row>
    <row r="142" spans="2:25" x14ac:dyDescent="0.25">
      <c r="B142" s="15">
        <v>140</v>
      </c>
      <c r="C142" s="8"/>
      <c r="E142" s="67"/>
      <c r="F142" s="16"/>
      <c r="G142" s="8"/>
      <c r="H142" s="8"/>
      <c r="I142" s="8"/>
      <c r="J142" s="9"/>
      <c r="K142" s="9">
        <f t="shared" si="35"/>
        <v>0</v>
      </c>
      <c r="L142" s="35">
        <f t="shared" si="36"/>
        <v>0</v>
      </c>
      <c r="M142" s="2"/>
      <c r="O142" s="19"/>
      <c r="P142" s="19"/>
      <c r="Q142" s="19"/>
      <c r="R142" s="21"/>
      <c r="S142" s="46"/>
      <c r="T142" s="44"/>
      <c r="U142" s="77"/>
      <c r="V142" s="30"/>
      <c r="W142" s="24"/>
      <c r="X142" s="193"/>
      <c r="Y142" s="15"/>
    </row>
    <row r="143" spans="2:25" x14ac:dyDescent="0.25">
      <c r="B143" s="15">
        <v>141</v>
      </c>
      <c r="C143" s="8"/>
      <c r="E143" s="67"/>
      <c r="F143" s="16"/>
      <c r="G143" s="8"/>
      <c r="H143" s="8"/>
      <c r="I143" s="8"/>
      <c r="J143" s="9"/>
      <c r="K143" s="9">
        <f t="shared" si="35"/>
        <v>0</v>
      </c>
      <c r="L143" s="35">
        <f t="shared" si="36"/>
        <v>0</v>
      </c>
      <c r="M143" s="2"/>
      <c r="O143" s="19"/>
      <c r="P143" s="19"/>
      <c r="Q143" s="19"/>
      <c r="R143" s="21"/>
      <c r="S143" s="46"/>
      <c r="T143" s="44"/>
      <c r="U143" s="77"/>
      <c r="V143" s="24"/>
      <c r="W143" s="24"/>
      <c r="X143" s="193"/>
      <c r="Y143" s="15"/>
    </row>
    <row r="144" spans="2:25" x14ac:dyDescent="0.25">
      <c r="B144" s="15">
        <v>142</v>
      </c>
      <c r="C144" s="8"/>
      <c r="E144" s="67"/>
      <c r="F144" s="16"/>
      <c r="G144" s="8"/>
      <c r="H144" s="8"/>
      <c r="I144" s="8"/>
      <c r="J144" s="9"/>
      <c r="K144" s="9">
        <f t="shared" si="35"/>
        <v>0</v>
      </c>
      <c r="L144" s="35">
        <f t="shared" si="36"/>
        <v>0</v>
      </c>
      <c r="M144" s="2"/>
      <c r="O144" s="19"/>
      <c r="P144" s="19"/>
      <c r="Q144" s="19"/>
      <c r="R144" s="21"/>
      <c r="S144" s="46"/>
      <c r="T144" s="44"/>
      <c r="U144" s="77"/>
      <c r="V144" s="24"/>
      <c r="W144" s="24"/>
      <c r="X144" s="193"/>
      <c r="Y144" s="15"/>
    </row>
    <row r="145" spans="2:25" x14ac:dyDescent="0.25">
      <c r="B145" s="15">
        <v>143</v>
      </c>
      <c r="C145" s="8"/>
      <c r="E145" s="67"/>
      <c r="F145" s="16"/>
      <c r="G145" s="8"/>
      <c r="H145" s="8"/>
      <c r="I145" s="8"/>
      <c r="J145" s="9"/>
      <c r="K145" s="9">
        <f t="shared" si="35"/>
        <v>0</v>
      </c>
      <c r="L145" s="35">
        <f t="shared" si="36"/>
        <v>0</v>
      </c>
      <c r="M145" s="2"/>
      <c r="O145" s="19"/>
      <c r="P145" s="19"/>
      <c r="Q145" s="19"/>
      <c r="R145" s="21"/>
      <c r="S145" s="46"/>
      <c r="T145" s="44"/>
      <c r="U145" s="77"/>
      <c r="V145" s="24"/>
      <c r="W145" s="24"/>
      <c r="X145" s="193"/>
      <c r="Y145" s="15"/>
    </row>
    <row r="146" spans="2:25" x14ac:dyDescent="0.25">
      <c r="B146" s="15">
        <v>144</v>
      </c>
      <c r="C146" s="8"/>
      <c r="E146" s="67"/>
      <c r="F146" s="16"/>
      <c r="G146" s="8"/>
      <c r="H146" s="8"/>
      <c r="I146" s="8"/>
      <c r="J146" s="9"/>
      <c r="K146" s="9">
        <f t="shared" si="35"/>
        <v>0</v>
      </c>
      <c r="L146" s="35">
        <f t="shared" si="36"/>
        <v>0</v>
      </c>
      <c r="M146" s="2"/>
      <c r="O146" s="19"/>
      <c r="P146" s="19"/>
      <c r="Q146" s="19"/>
      <c r="R146" s="21"/>
      <c r="S146" s="46"/>
      <c r="T146" s="44"/>
      <c r="U146" s="77"/>
      <c r="V146" s="24"/>
      <c r="W146" s="24"/>
      <c r="X146" s="193"/>
      <c r="Y146" s="15"/>
    </row>
    <row r="147" spans="2:25" x14ac:dyDescent="0.25">
      <c r="B147" s="15">
        <v>145</v>
      </c>
      <c r="C147" s="8"/>
      <c r="E147" s="67"/>
      <c r="F147" s="16"/>
      <c r="G147" s="8"/>
      <c r="H147" s="8"/>
      <c r="I147" s="8"/>
      <c r="J147" s="9"/>
      <c r="K147" s="9">
        <f t="shared" si="35"/>
        <v>0</v>
      </c>
      <c r="L147" s="35">
        <f t="shared" si="36"/>
        <v>0</v>
      </c>
      <c r="M147" s="2"/>
      <c r="O147" s="19"/>
      <c r="P147" s="19"/>
      <c r="Q147" s="19"/>
      <c r="R147" s="21"/>
      <c r="S147" s="46"/>
      <c r="T147" s="44"/>
      <c r="U147" s="77"/>
      <c r="V147" s="24"/>
      <c r="W147" s="24"/>
      <c r="X147" s="193"/>
      <c r="Y147" s="15"/>
    </row>
    <row r="148" spans="2:25" x14ac:dyDescent="0.25">
      <c r="B148" s="15">
        <v>146</v>
      </c>
      <c r="C148" s="8"/>
      <c r="E148" s="67"/>
      <c r="F148" s="16"/>
      <c r="G148" s="8"/>
      <c r="H148" s="8"/>
      <c r="I148" s="8"/>
      <c r="J148" s="9"/>
      <c r="K148" s="9">
        <f t="shared" si="35"/>
        <v>0</v>
      </c>
      <c r="L148" s="35">
        <f t="shared" si="36"/>
        <v>0</v>
      </c>
      <c r="M148" s="2"/>
      <c r="O148" s="19"/>
      <c r="P148" s="19"/>
      <c r="Q148" s="19"/>
      <c r="R148" s="21"/>
      <c r="S148" s="46"/>
      <c r="T148" s="44"/>
      <c r="U148" s="77"/>
      <c r="V148" s="30"/>
      <c r="W148" s="24"/>
      <c r="X148" s="193"/>
      <c r="Y148" s="15"/>
    </row>
    <row r="149" spans="2:25" x14ac:dyDescent="0.25">
      <c r="B149" s="15">
        <v>147</v>
      </c>
      <c r="C149" s="8"/>
      <c r="E149" s="67"/>
      <c r="F149" s="16"/>
      <c r="G149" s="8"/>
      <c r="H149" s="8"/>
      <c r="I149" s="8"/>
      <c r="K149" s="9">
        <f t="shared" si="35"/>
        <v>0</v>
      </c>
      <c r="L149" s="35">
        <f t="shared" si="36"/>
        <v>0</v>
      </c>
      <c r="O149" s="19"/>
      <c r="P149" s="19"/>
      <c r="Q149" s="19"/>
      <c r="S149" s="46"/>
      <c r="T149" s="44"/>
      <c r="U149" s="77"/>
      <c r="V149" s="79"/>
      <c r="W149" s="24"/>
      <c r="X149" s="193"/>
      <c r="Y149" s="15"/>
    </row>
    <row r="150" spans="2:25" x14ac:dyDescent="0.25">
      <c r="B150" s="15">
        <v>148</v>
      </c>
      <c r="C150" s="8"/>
      <c r="E150" s="67"/>
      <c r="F150" s="16"/>
      <c r="G150" s="8"/>
      <c r="H150" s="8"/>
      <c r="I150" s="8"/>
      <c r="J150" s="9"/>
      <c r="K150" s="9">
        <f t="shared" si="35"/>
        <v>0</v>
      </c>
      <c r="L150" s="35">
        <f t="shared" si="36"/>
        <v>0</v>
      </c>
      <c r="M150" s="2"/>
      <c r="O150" s="19"/>
      <c r="P150" s="19"/>
      <c r="Q150" s="19"/>
      <c r="R150" s="21"/>
      <c r="S150" s="46"/>
      <c r="T150" s="44"/>
      <c r="U150" s="77"/>
      <c r="V150" s="79"/>
      <c r="W150" s="24"/>
      <c r="X150" s="193"/>
      <c r="Y150" s="15"/>
    </row>
    <row r="151" spans="2:25" x14ac:dyDescent="0.25">
      <c r="B151" s="15">
        <v>149</v>
      </c>
      <c r="C151" s="8"/>
      <c r="E151" s="67"/>
      <c r="F151" s="16"/>
      <c r="G151" s="8"/>
      <c r="H151" s="8"/>
      <c r="I151" s="8"/>
      <c r="J151" s="9"/>
      <c r="K151" s="9">
        <f t="shared" si="35"/>
        <v>0</v>
      </c>
      <c r="L151" s="35">
        <f t="shared" si="36"/>
        <v>0</v>
      </c>
      <c r="M151" s="2"/>
      <c r="O151" s="19"/>
      <c r="P151" s="19"/>
      <c r="Q151" s="19"/>
      <c r="R151" s="21"/>
      <c r="S151" s="46"/>
      <c r="T151" s="44"/>
      <c r="U151" s="77"/>
      <c r="V151" s="24"/>
      <c r="W151" s="24"/>
      <c r="X151" s="193"/>
      <c r="Y151" s="15"/>
    </row>
    <row r="152" spans="2:25" x14ac:dyDescent="0.25">
      <c r="B152" s="15">
        <v>150</v>
      </c>
      <c r="C152" s="8"/>
      <c r="E152" s="67"/>
      <c r="F152" s="16"/>
      <c r="G152" s="8"/>
      <c r="H152" s="8"/>
      <c r="I152" s="8"/>
      <c r="J152" s="9"/>
      <c r="K152" s="9">
        <f t="shared" si="35"/>
        <v>0</v>
      </c>
      <c r="L152" s="35">
        <f t="shared" si="36"/>
        <v>0</v>
      </c>
      <c r="M152" s="2"/>
      <c r="O152" s="19"/>
      <c r="P152" s="19"/>
      <c r="Q152" s="19"/>
      <c r="R152" s="21"/>
      <c r="S152" s="46"/>
      <c r="T152" s="44"/>
      <c r="U152" s="77"/>
      <c r="V152" s="24"/>
      <c r="W152" s="24"/>
      <c r="X152" s="193"/>
      <c r="Y152" s="15"/>
    </row>
    <row r="153" spans="2:25" x14ac:dyDescent="0.25">
      <c r="B153" s="15">
        <v>151</v>
      </c>
      <c r="C153" s="8"/>
      <c r="E153" s="67"/>
      <c r="F153" s="16"/>
      <c r="G153" s="8"/>
      <c r="H153" s="8"/>
      <c r="I153" s="8"/>
      <c r="J153" s="9"/>
      <c r="K153" s="9">
        <f t="shared" si="35"/>
        <v>0</v>
      </c>
      <c r="L153" s="35">
        <f t="shared" si="36"/>
        <v>0</v>
      </c>
      <c r="M153" s="2"/>
      <c r="O153" s="19"/>
      <c r="P153" s="19"/>
      <c r="Q153" s="19"/>
      <c r="R153" s="21"/>
      <c r="S153" s="46"/>
      <c r="T153" s="44"/>
      <c r="U153" s="77"/>
      <c r="V153" s="24"/>
      <c r="W153" s="24"/>
      <c r="X153" s="193"/>
      <c r="Y153" s="15"/>
    </row>
    <row r="154" spans="2:25" x14ac:dyDescent="0.25">
      <c r="B154" s="15">
        <v>152</v>
      </c>
      <c r="C154" s="8"/>
      <c r="E154" s="67"/>
      <c r="F154" s="16"/>
      <c r="G154" s="8"/>
      <c r="H154" s="8"/>
      <c r="I154" s="8"/>
      <c r="J154" s="9"/>
      <c r="K154" s="9">
        <f t="shared" si="35"/>
        <v>0</v>
      </c>
      <c r="L154" s="35">
        <f t="shared" si="36"/>
        <v>0</v>
      </c>
      <c r="M154" s="2"/>
      <c r="O154" s="19"/>
      <c r="P154" s="19"/>
      <c r="Q154" s="19"/>
      <c r="R154" s="21"/>
      <c r="S154" s="46"/>
      <c r="T154" s="44"/>
      <c r="U154" s="77"/>
      <c r="V154" s="24"/>
      <c r="W154" s="24"/>
      <c r="X154" s="193"/>
      <c r="Y154" s="15"/>
    </row>
    <row r="155" spans="2:25" x14ac:dyDescent="0.25">
      <c r="B155" s="15">
        <v>153</v>
      </c>
      <c r="C155" s="8"/>
      <c r="E155" s="67"/>
      <c r="F155" s="16"/>
      <c r="G155" s="8"/>
      <c r="H155" s="8"/>
      <c r="I155" s="8"/>
      <c r="J155" s="9"/>
      <c r="K155" s="9">
        <f t="shared" si="35"/>
        <v>0</v>
      </c>
      <c r="L155" s="35">
        <f t="shared" si="36"/>
        <v>0</v>
      </c>
      <c r="M155" s="2"/>
      <c r="O155" s="19"/>
      <c r="P155" s="19"/>
      <c r="Q155" s="19"/>
      <c r="R155" s="21"/>
      <c r="S155" s="46"/>
      <c r="T155" s="44"/>
      <c r="U155" s="77"/>
      <c r="V155" s="30"/>
      <c r="W155" s="24"/>
      <c r="X155" s="193"/>
      <c r="Y155" s="15"/>
    </row>
    <row r="156" spans="2:25" x14ac:dyDescent="0.25">
      <c r="B156" s="15">
        <v>154</v>
      </c>
      <c r="C156" s="8"/>
      <c r="E156" s="67"/>
      <c r="F156" s="16"/>
      <c r="G156" s="8"/>
      <c r="H156" s="8"/>
      <c r="I156" s="8"/>
      <c r="J156" s="9"/>
      <c r="K156" s="9">
        <f t="shared" si="35"/>
        <v>0</v>
      </c>
      <c r="L156" s="35">
        <f t="shared" si="36"/>
        <v>0</v>
      </c>
      <c r="M156" s="2"/>
      <c r="O156" s="19"/>
      <c r="P156" s="19"/>
      <c r="Q156" s="19"/>
      <c r="R156" s="21"/>
      <c r="S156" s="46"/>
      <c r="T156" s="44"/>
      <c r="U156" s="77"/>
      <c r="V156" s="24"/>
      <c r="W156" s="24"/>
      <c r="X156" s="193"/>
      <c r="Y156" s="15"/>
    </row>
    <row r="157" spans="2:25" x14ac:dyDescent="0.25">
      <c r="B157" s="15">
        <v>155</v>
      </c>
      <c r="C157" s="8"/>
      <c r="E157" s="67"/>
      <c r="F157" s="16"/>
      <c r="G157" s="8"/>
      <c r="H157" s="8"/>
      <c r="I157" s="8"/>
      <c r="J157" s="9"/>
      <c r="K157" s="9">
        <f t="shared" si="35"/>
        <v>0</v>
      </c>
      <c r="L157" s="35">
        <f t="shared" si="36"/>
        <v>0</v>
      </c>
      <c r="M157" s="2"/>
      <c r="O157" s="19"/>
      <c r="P157" s="19"/>
      <c r="Q157" s="19"/>
      <c r="R157" s="21"/>
      <c r="S157" s="46"/>
      <c r="T157" s="44"/>
      <c r="U157" s="77"/>
      <c r="V157" s="24"/>
      <c r="W157" s="24"/>
      <c r="X157" s="193"/>
      <c r="Y157" s="15"/>
    </row>
    <row r="158" spans="2:25" x14ac:dyDescent="0.25">
      <c r="B158" s="15">
        <v>156</v>
      </c>
      <c r="C158" s="8"/>
      <c r="E158" s="67"/>
      <c r="F158" s="16"/>
      <c r="G158" s="8"/>
      <c r="H158" s="8"/>
      <c r="I158" s="8"/>
      <c r="J158" s="9"/>
      <c r="K158" s="9">
        <f t="shared" si="35"/>
        <v>0</v>
      </c>
      <c r="L158" s="35">
        <f t="shared" si="36"/>
        <v>0</v>
      </c>
      <c r="M158" s="2"/>
      <c r="O158" s="19"/>
      <c r="P158" s="19"/>
      <c r="Q158" s="19"/>
      <c r="R158" s="21"/>
      <c r="S158" s="46"/>
      <c r="T158" s="44"/>
      <c r="U158" s="77"/>
      <c r="V158" s="24"/>
      <c r="W158" s="24"/>
      <c r="X158" s="193"/>
      <c r="Y158" s="15"/>
    </row>
    <row r="159" spans="2:25" x14ac:dyDescent="0.25">
      <c r="B159" s="15">
        <v>157</v>
      </c>
      <c r="C159" s="8"/>
      <c r="E159" s="67"/>
      <c r="F159" s="16"/>
      <c r="G159" s="8"/>
      <c r="H159" s="8"/>
      <c r="I159" s="8"/>
      <c r="J159" s="9"/>
      <c r="K159" s="9">
        <f t="shared" si="35"/>
        <v>0</v>
      </c>
      <c r="L159" s="35">
        <f t="shared" si="36"/>
        <v>0</v>
      </c>
      <c r="M159" s="2"/>
      <c r="O159" s="19"/>
      <c r="P159" s="19"/>
      <c r="Q159" s="19"/>
      <c r="R159" s="21"/>
      <c r="S159" s="46"/>
      <c r="T159" s="44"/>
      <c r="U159" s="77"/>
      <c r="V159" s="24"/>
      <c r="W159" s="24"/>
      <c r="X159" s="193"/>
      <c r="Y159" s="15"/>
    </row>
    <row r="160" spans="2:25" x14ac:dyDescent="0.25">
      <c r="B160" s="15">
        <v>158</v>
      </c>
      <c r="C160" s="8"/>
      <c r="E160" s="67"/>
      <c r="F160" s="16"/>
      <c r="G160" s="8"/>
      <c r="H160" s="8"/>
      <c r="I160" s="8"/>
      <c r="J160" s="9"/>
      <c r="K160" s="9">
        <f t="shared" si="35"/>
        <v>0</v>
      </c>
      <c r="L160" s="35">
        <f t="shared" si="36"/>
        <v>0</v>
      </c>
      <c r="M160" s="2"/>
      <c r="O160" s="19"/>
      <c r="P160" s="19"/>
      <c r="Q160" s="19"/>
      <c r="R160" s="21"/>
      <c r="S160" s="46"/>
      <c r="T160" s="44"/>
      <c r="U160" s="77"/>
      <c r="V160" s="24"/>
      <c r="W160" s="24"/>
      <c r="X160" s="193"/>
      <c r="Y160" s="15"/>
    </row>
    <row r="161" spans="2:25" x14ac:dyDescent="0.25">
      <c r="B161" s="15">
        <v>159</v>
      </c>
      <c r="C161" s="8"/>
      <c r="E161" s="67"/>
      <c r="F161" s="16"/>
      <c r="G161" s="8"/>
      <c r="H161" s="8"/>
      <c r="I161" s="8"/>
      <c r="J161" s="9"/>
      <c r="K161" s="9">
        <f t="shared" si="35"/>
        <v>0</v>
      </c>
      <c r="L161" s="35">
        <f t="shared" si="36"/>
        <v>0</v>
      </c>
      <c r="M161" s="2"/>
      <c r="O161" s="19"/>
      <c r="P161" s="19"/>
      <c r="Q161" s="19"/>
      <c r="R161" s="21"/>
      <c r="S161" s="46"/>
      <c r="T161" s="44"/>
      <c r="U161" s="77"/>
      <c r="V161" s="30"/>
      <c r="W161" s="24"/>
      <c r="X161" s="193"/>
      <c r="Y161" s="15"/>
    </row>
    <row r="162" spans="2:25" x14ac:dyDescent="0.25">
      <c r="B162" s="15">
        <v>160</v>
      </c>
      <c r="C162" s="8"/>
      <c r="E162" s="67"/>
      <c r="F162" s="16"/>
      <c r="G162" s="8"/>
      <c r="H162" s="8"/>
      <c r="I162" s="8"/>
      <c r="J162" s="9"/>
      <c r="K162" s="9">
        <f t="shared" si="35"/>
        <v>0</v>
      </c>
      <c r="L162" s="35">
        <f t="shared" si="36"/>
        <v>0</v>
      </c>
      <c r="M162" s="2"/>
      <c r="O162" s="19"/>
      <c r="P162" s="19"/>
      <c r="Q162" s="19"/>
      <c r="R162" s="21"/>
      <c r="S162" s="46"/>
      <c r="T162" s="44"/>
      <c r="U162" s="77"/>
      <c r="V162" s="30"/>
      <c r="W162" s="24"/>
      <c r="X162" s="193"/>
      <c r="Y162" s="15"/>
    </row>
    <row r="163" spans="2:25" x14ac:dyDescent="0.25">
      <c r="B163" s="15">
        <v>161</v>
      </c>
      <c r="C163" s="8"/>
      <c r="E163" s="67"/>
      <c r="F163" s="16"/>
      <c r="G163" s="8"/>
      <c r="H163" s="8"/>
      <c r="I163" s="8"/>
      <c r="J163" s="9"/>
      <c r="K163" s="9">
        <f t="shared" si="35"/>
        <v>0</v>
      </c>
      <c r="L163" s="35">
        <f t="shared" si="36"/>
        <v>0</v>
      </c>
      <c r="M163" s="2"/>
      <c r="O163" s="19"/>
      <c r="P163" s="19"/>
      <c r="Q163" s="19"/>
      <c r="R163" s="21"/>
      <c r="S163" s="46"/>
      <c r="T163" s="44"/>
      <c r="U163" s="77"/>
      <c r="V163" s="30"/>
      <c r="W163" s="24"/>
      <c r="X163" s="193"/>
      <c r="Y163" s="15"/>
    </row>
    <row r="164" spans="2:25" x14ac:dyDescent="0.25">
      <c r="B164" s="15">
        <v>162</v>
      </c>
      <c r="C164" s="8"/>
      <c r="E164" s="67"/>
      <c r="F164" s="16"/>
      <c r="G164" s="8"/>
      <c r="H164" s="8"/>
      <c r="I164" s="8"/>
      <c r="J164" s="9"/>
      <c r="K164" s="9">
        <f t="shared" si="35"/>
        <v>0</v>
      </c>
      <c r="L164" s="35">
        <f t="shared" si="36"/>
        <v>0</v>
      </c>
      <c r="M164" s="2"/>
      <c r="O164" s="19"/>
      <c r="P164" s="19"/>
      <c r="Q164" s="19"/>
      <c r="R164" s="21"/>
      <c r="S164" s="46"/>
      <c r="T164" s="44"/>
      <c r="U164" s="77"/>
      <c r="V164" s="30"/>
      <c r="W164" s="24"/>
      <c r="X164" s="193"/>
      <c r="Y164" s="15"/>
    </row>
    <row r="165" spans="2:25" x14ac:dyDescent="0.25">
      <c r="B165" s="15">
        <v>163</v>
      </c>
      <c r="C165" s="8"/>
      <c r="E165" s="67"/>
      <c r="F165" s="16"/>
      <c r="G165" s="8"/>
      <c r="H165" s="8"/>
      <c r="I165" s="8"/>
      <c r="J165" s="9"/>
      <c r="K165" s="9">
        <f t="shared" si="35"/>
        <v>0</v>
      </c>
      <c r="L165" s="35">
        <f t="shared" si="36"/>
        <v>0</v>
      </c>
      <c r="M165" s="2"/>
      <c r="O165" s="19"/>
      <c r="P165" s="19"/>
      <c r="Q165" s="19"/>
      <c r="R165" s="21"/>
      <c r="S165" s="46"/>
      <c r="T165" s="44"/>
      <c r="U165" s="77"/>
      <c r="V165" s="24"/>
      <c r="W165" s="24"/>
      <c r="X165" s="193"/>
      <c r="Y165" s="15"/>
    </row>
    <row r="166" spans="2:25" x14ac:dyDescent="0.25">
      <c r="B166" s="15">
        <v>164</v>
      </c>
      <c r="C166" s="8"/>
      <c r="E166" s="67"/>
      <c r="F166" s="16"/>
      <c r="G166" s="8"/>
      <c r="H166" s="8"/>
      <c r="I166" s="8"/>
      <c r="J166" s="9"/>
      <c r="K166" s="9">
        <f t="shared" si="35"/>
        <v>0</v>
      </c>
      <c r="L166" s="35">
        <f t="shared" si="36"/>
        <v>0</v>
      </c>
      <c r="M166" s="2"/>
      <c r="O166" s="19"/>
      <c r="P166" s="19"/>
      <c r="Q166" s="19"/>
      <c r="R166" s="21"/>
      <c r="S166" s="46"/>
      <c r="T166" s="44"/>
      <c r="U166" s="77"/>
      <c r="V166" s="24"/>
      <c r="W166" s="24"/>
      <c r="X166" s="193"/>
      <c r="Y166" s="15"/>
    </row>
    <row r="167" spans="2:25" x14ac:dyDescent="0.25">
      <c r="B167" s="15">
        <v>165</v>
      </c>
      <c r="C167" s="8"/>
      <c r="E167" s="67"/>
      <c r="F167" s="16"/>
      <c r="G167" s="8"/>
      <c r="H167" s="8"/>
      <c r="I167" s="8"/>
      <c r="J167" s="9"/>
      <c r="K167" s="9">
        <f t="shared" si="35"/>
        <v>0</v>
      </c>
      <c r="L167" s="35">
        <f t="shared" si="36"/>
        <v>0</v>
      </c>
      <c r="M167" s="2"/>
      <c r="O167" s="19"/>
      <c r="P167" s="19"/>
      <c r="Q167" s="19"/>
      <c r="R167" s="21"/>
      <c r="S167" s="46"/>
      <c r="T167" s="44"/>
      <c r="U167" s="77"/>
      <c r="V167" s="24"/>
      <c r="W167" s="24"/>
      <c r="X167" s="193"/>
      <c r="Y167" s="15"/>
    </row>
    <row r="168" spans="2:25" x14ac:dyDescent="0.25">
      <c r="B168" s="15">
        <v>166</v>
      </c>
      <c r="C168" s="8"/>
      <c r="E168" s="67"/>
      <c r="F168" s="16"/>
      <c r="G168" s="8"/>
      <c r="H168" s="8"/>
      <c r="I168" s="8"/>
      <c r="J168" s="9"/>
      <c r="K168" s="9">
        <f t="shared" si="35"/>
        <v>0</v>
      </c>
      <c r="L168" s="35">
        <f t="shared" si="36"/>
        <v>0</v>
      </c>
      <c r="M168" s="2"/>
      <c r="O168" s="19"/>
      <c r="P168" s="19"/>
      <c r="Q168" s="19"/>
      <c r="R168" s="21"/>
      <c r="S168" s="46"/>
      <c r="T168" s="44"/>
      <c r="U168" s="77"/>
      <c r="V168" s="24"/>
      <c r="W168" s="24"/>
      <c r="X168" s="193"/>
      <c r="Y168" s="15"/>
    </row>
    <row r="169" spans="2:25" x14ac:dyDescent="0.25">
      <c r="B169" s="15">
        <v>167</v>
      </c>
      <c r="C169" s="8"/>
      <c r="E169" s="67"/>
      <c r="F169" s="16"/>
      <c r="G169" s="8"/>
      <c r="H169" s="8"/>
      <c r="I169" s="8"/>
      <c r="J169" s="9"/>
      <c r="K169" s="9">
        <f t="shared" si="35"/>
        <v>0</v>
      </c>
      <c r="L169" s="35">
        <f t="shared" si="36"/>
        <v>0</v>
      </c>
      <c r="M169" s="2"/>
      <c r="O169" s="19"/>
      <c r="P169" s="19"/>
      <c r="Q169" s="19"/>
      <c r="R169" s="21"/>
      <c r="S169" s="46"/>
      <c r="T169" s="44"/>
      <c r="U169" s="77"/>
      <c r="V169" s="30"/>
      <c r="W169" s="24"/>
      <c r="X169" s="193"/>
      <c r="Y169" s="15"/>
    </row>
    <row r="170" spans="2:25" x14ac:dyDescent="0.25">
      <c r="B170" s="15">
        <v>168</v>
      </c>
      <c r="C170" s="8"/>
      <c r="E170" s="67"/>
      <c r="F170" s="16"/>
      <c r="G170" s="8"/>
      <c r="H170" s="8"/>
      <c r="I170" s="8"/>
      <c r="J170" s="9"/>
      <c r="K170" s="9">
        <f t="shared" si="35"/>
        <v>0</v>
      </c>
      <c r="L170" s="35">
        <f t="shared" si="36"/>
        <v>0</v>
      </c>
      <c r="M170" s="2"/>
      <c r="O170" s="19"/>
      <c r="P170" s="19"/>
      <c r="Q170" s="19"/>
      <c r="R170" s="21"/>
      <c r="S170" s="46"/>
      <c r="T170" s="44"/>
      <c r="U170" s="77"/>
      <c r="V170" s="30"/>
      <c r="W170" s="24"/>
      <c r="X170" s="193"/>
      <c r="Y170" s="15"/>
    </row>
    <row r="171" spans="2:25" x14ac:dyDescent="0.25">
      <c r="B171" s="15">
        <v>169</v>
      </c>
      <c r="C171" s="8"/>
      <c r="E171" s="67"/>
      <c r="F171" s="16"/>
      <c r="G171" s="8"/>
      <c r="H171" s="8"/>
      <c r="I171" s="8"/>
      <c r="J171" s="9"/>
      <c r="K171" s="9">
        <f t="shared" si="35"/>
        <v>0</v>
      </c>
      <c r="L171" s="35">
        <f t="shared" si="36"/>
        <v>0</v>
      </c>
      <c r="M171" s="2"/>
      <c r="O171" s="19"/>
      <c r="P171" s="19"/>
      <c r="Q171" s="19"/>
      <c r="R171" s="21"/>
      <c r="S171" s="46"/>
      <c r="T171" s="44"/>
      <c r="U171" s="77"/>
      <c r="V171" s="24"/>
      <c r="W171" s="24"/>
      <c r="X171" s="193"/>
      <c r="Y171" s="15"/>
    </row>
    <row r="172" spans="2:25" x14ac:dyDescent="0.25">
      <c r="B172" s="15">
        <v>170</v>
      </c>
      <c r="C172" s="8"/>
      <c r="E172" s="67"/>
      <c r="F172" s="16"/>
      <c r="G172" s="8"/>
      <c r="H172" s="8"/>
      <c r="I172" s="8"/>
      <c r="J172" s="9"/>
      <c r="K172" s="9">
        <f t="shared" si="35"/>
        <v>0</v>
      </c>
      <c r="L172" s="35">
        <f t="shared" si="36"/>
        <v>0</v>
      </c>
      <c r="M172" s="2"/>
      <c r="O172" s="19"/>
      <c r="P172" s="19"/>
      <c r="Q172" s="19"/>
      <c r="R172" s="21"/>
      <c r="S172" s="46"/>
      <c r="T172" s="44"/>
      <c r="U172" s="77"/>
      <c r="V172" s="24"/>
      <c r="W172" s="24"/>
      <c r="X172" s="193"/>
      <c r="Y172" s="15"/>
    </row>
    <row r="173" spans="2:25" x14ac:dyDescent="0.25">
      <c r="B173" s="15">
        <v>171</v>
      </c>
      <c r="C173" s="8"/>
      <c r="E173" s="67"/>
      <c r="F173" s="16"/>
      <c r="G173" s="8"/>
      <c r="H173" s="8"/>
      <c r="I173" s="8"/>
      <c r="J173" s="9"/>
      <c r="K173" s="9">
        <f t="shared" si="35"/>
        <v>0</v>
      </c>
      <c r="L173" s="35">
        <f t="shared" si="36"/>
        <v>0</v>
      </c>
      <c r="M173" s="2"/>
      <c r="O173" s="19"/>
      <c r="P173" s="19"/>
      <c r="Q173" s="19"/>
      <c r="R173" s="21"/>
      <c r="S173" s="46"/>
      <c r="T173" s="44"/>
      <c r="U173" s="77"/>
      <c r="V173" s="24"/>
      <c r="W173" s="24"/>
      <c r="X173" s="193"/>
      <c r="Y173" s="15"/>
    </row>
    <row r="174" spans="2:25" x14ac:dyDescent="0.25">
      <c r="B174" s="15">
        <v>172</v>
      </c>
      <c r="C174" s="8"/>
      <c r="E174" s="67"/>
      <c r="F174" s="16"/>
      <c r="G174" s="8"/>
      <c r="H174" s="8"/>
      <c r="I174" s="8"/>
      <c r="J174" s="9"/>
      <c r="K174" s="9">
        <f t="shared" si="35"/>
        <v>0</v>
      </c>
      <c r="L174" s="35">
        <f t="shared" si="36"/>
        <v>0</v>
      </c>
      <c r="M174" s="2"/>
      <c r="O174" s="19"/>
      <c r="P174" s="19"/>
      <c r="Q174" s="19"/>
      <c r="R174" s="21"/>
      <c r="S174" s="46"/>
      <c r="T174" s="44"/>
      <c r="U174" s="77"/>
      <c r="V174" s="24"/>
      <c r="W174" s="24"/>
      <c r="X174" s="193"/>
      <c r="Y174" s="15"/>
    </row>
    <row r="175" spans="2:25" x14ac:dyDescent="0.25">
      <c r="B175" s="15">
        <v>173</v>
      </c>
      <c r="C175" s="8"/>
      <c r="E175" s="67"/>
      <c r="F175" s="16"/>
      <c r="G175" s="8"/>
      <c r="H175" s="8"/>
      <c r="I175" s="8"/>
      <c r="J175" s="9"/>
      <c r="K175" s="9">
        <f t="shared" si="35"/>
        <v>0</v>
      </c>
      <c r="L175" s="35">
        <f t="shared" si="36"/>
        <v>0</v>
      </c>
      <c r="M175" s="2"/>
      <c r="O175" s="19"/>
      <c r="P175" s="19"/>
      <c r="Q175" s="19"/>
      <c r="R175" s="21"/>
      <c r="S175" s="46"/>
      <c r="T175" s="44"/>
      <c r="U175" s="77"/>
      <c r="V175" s="24"/>
      <c r="W175" s="24"/>
      <c r="X175" s="193"/>
      <c r="Y175" s="15"/>
    </row>
    <row r="176" spans="2:25" x14ac:dyDescent="0.25">
      <c r="B176" s="15">
        <v>174</v>
      </c>
      <c r="C176" s="8"/>
      <c r="E176" s="67"/>
      <c r="F176" s="16"/>
      <c r="G176" s="8"/>
      <c r="H176" s="8"/>
      <c r="I176" s="8"/>
      <c r="J176" s="9"/>
      <c r="K176" s="9">
        <f t="shared" si="35"/>
        <v>0</v>
      </c>
      <c r="L176" s="35">
        <f t="shared" si="36"/>
        <v>0</v>
      </c>
      <c r="M176" s="2"/>
      <c r="O176" s="19"/>
      <c r="P176" s="19"/>
      <c r="Q176" s="19"/>
      <c r="R176" s="21"/>
      <c r="S176" s="46"/>
      <c r="T176" s="44"/>
      <c r="U176" s="77"/>
      <c r="V176" s="30"/>
      <c r="W176" s="24"/>
      <c r="X176" s="193"/>
      <c r="Y176" s="15"/>
    </row>
    <row r="177" spans="2:25" x14ac:dyDescent="0.25">
      <c r="B177" s="15">
        <v>175</v>
      </c>
      <c r="C177" s="8"/>
      <c r="E177" s="67"/>
      <c r="F177" s="16"/>
      <c r="G177" s="8"/>
      <c r="H177" s="8"/>
      <c r="I177" s="8"/>
      <c r="J177" s="9"/>
      <c r="K177" s="9">
        <f t="shared" si="35"/>
        <v>0</v>
      </c>
      <c r="L177" s="35">
        <f t="shared" si="36"/>
        <v>0</v>
      </c>
      <c r="M177" s="2"/>
      <c r="O177" s="19"/>
      <c r="P177" s="19"/>
      <c r="Q177" s="19"/>
      <c r="R177" s="21"/>
      <c r="S177" s="46"/>
      <c r="T177" s="44"/>
      <c r="U177" s="77"/>
      <c r="V177" s="30"/>
      <c r="W177" s="24"/>
      <c r="X177" s="193"/>
      <c r="Y177" s="15"/>
    </row>
    <row r="178" spans="2:25" x14ac:dyDescent="0.25">
      <c r="B178" s="15">
        <v>176</v>
      </c>
      <c r="C178" s="8"/>
      <c r="E178" s="67"/>
      <c r="F178" s="16"/>
      <c r="G178" s="8"/>
      <c r="H178" s="8"/>
      <c r="I178" s="8"/>
      <c r="J178" s="9"/>
      <c r="K178" s="9">
        <f t="shared" si="35"/>
        <v>0</v>
      </c>
      <c r="L178" s="35">
        <f t="shared" si="36"/>
        <v>0</v>
      </c>
      <c r="M178" s="2"/>
      <c r="O178" s="19"/>
      <c r="P178" s="19"/>
      <c r="Q178" s="19"/>
      <c r="R178" s="21"/>
      <c r="S178" s="46"/>
      <c r="T178" s="44"/>
      <c r="U178" s="77"/>
      <c r="V178" s="24"/>
      <c r="W178" s="24"/>
      <c r="X178" s="193"/>
      <c r="Y178" s="15"/>
    </row>
    <row r="179" spans="2:25" x14ac:dyDescent="0.25">
      <c r="B179" s="15">
        <v>177</v>
      </c>
      <c r="C179" s="8"/>
      <c r="E179" s="67"/>
      <c r="F179" s="16"/>
      <c r="G179" s="8"/>
      <c r="H179" s="8"/>
      <c r="I179" s="8"/>
      <c r="J179" s="9"/>
      <c r="K179" s="9">
        <f t="shared" si="35"/>
        <v>0</v>
      </c>
      <c r="L179" s="35">
        <f t="shared" si="36"/>
        <v>0</v>
      </c>
      <c r="M179" s="2"/>
      <c r="O179" s="19"/>
      <c r="P179" s="19"/>
      <c r="Q179" s="19"/>
      <c r="R179" s="21"/>
      <c r="S179" s="46"/>
      <c r="T179" s="44"/>
      <c r="U179" s="77"/>
      <c r="V179" s="24"/>
      <c r="W179" s="24"/>
      <c r="X179" s="193"/>
      <c r="Y179" s="15"/>
    </row>
    <row r="180" spans="2:25" x14ac:dyDescent="0.25">
      <c r="B180" s="15">
        <v>178</v>
      </c>
      <c r="C180" s="8"/>
      <c r="E180" s="67"/>
      <c r="F180" s="16"/>
      <c r="G180" s="8"/>
      <c r="H180" s="8"/>
      <c r="I180" s="8"/>
      <c r="J180" s="9"/>
      <c r="K180" s="9">
        <f t="shared" si="35"/>
        <v>0</v>
      </c>
      <c r="L180" s="35">
        <f t="shared" si="36"/>
        <v>0</v>
      </c>
      <c r="M180" s="2"/>
      <c r="O180" s="19"/>
      <c r="P180" s="19"/>
      <c r="Q180" s="19"/>
      <c r="R180" s="21"/>
      <c r="S180" s="46"/>
      <c r="T180" s="44"/>
      <c r="U180" s="77"/>
      <c r="V180" s="24"/>
      <c r="W180" s="24"/>
      <c r="X180" s="193"/>
      <c r="Y180" s="15"/>
    </row>
    <row r="181" spans="2:25" x14ac:dyDescent="0.25">
      <c r="B181" s="15">
        <v>179</v>
      </c>
      <c r="C181" s="8"/>
      <c r="E181" s="67"/>
      <c r="F181" s="16"/>
      <c r="G181" s="8"/>
      <c r="H181" s="8"/>
      <c r="I181" s="8"/>
      <c r="J181" s="9"/>
      <c r="K181" s="9">
        <f t="shared" si="35"/>
        <v>0</v>
      </c>
      <c r="L181" s="35">
        <f t="shared" si="36"/>
        <v>0</v>
      </c>
      <c r="M181" s="2"/>
      <c r="O181" s="19"/>
      <c r="P181" s="19"/>
      <c r="Q181" s="19"/>
      <c r="R181" s="21"/>
      <c r="S181" s="46"/>
      <c r="T181" s="44"/>
      <c r="U181" s="77"/>
      <c r="V181" s="24"/>
      <c r="W181" s="24"/>
      <c r="X181" s="193"/>
      <c r="Y181" s="15"/>
    </row>
    <row r="182" spans="2:25" x14ac:dyDescent="0.25">
      <c r="B182" s="15">
        <v>180</v>
      </c>
      <c r="C182" s="8"/>
      <c r="E182" s="67"/>
      <c r="F182" s="16"/>
      <c r="G182" s="8"/>
      <c r="H182" s="8"/>
      <c r="I182" s="8"/>
      <c r="J182" s="9"/>
      <c r="K182" s="9">
        <f t="shared" si="35"/>
        <v>0</v>
      </c>
      <c r="L182" s="35">
        <f t="shared" si="36"/>
        <v>0</v>
      </c>
      <c r="M182" s="2"/>
      <c r="O182" s="19"/>
      <c r="P182" s="19"/>
      <c r="Q182" s="19"/>
      <c r="R182" s="21"/>
      <c r="S182" s="46"/>
      <c r="T182" s="44"/>
      <c r="U182" s="77"/>
      <c r="V182" s="24"/>
      <c r="W182" s="24"/>
      <c r="X182" s="193"/>
      <c r="Y182" s="15"/>
    </row>
    <row r="183" spans="2:25" x14ac:dyDescent="0.25">
      <c r="B183" s="15">
        <v>181</v>
      </c>
      <c r="C183" s="8"/>
      <c r="E183" s="67"/>
      <c r="F183" s="16"/>
      <c r="G183" s="8"/>
      <c r="H183" s="8"/>
      <c r="I183" s="8"/>
      <c r="J183" s="9"/>
      <c r="K183" s="9">
        <f t="shared" si="35"/>
        <v>0</v>
      </c>
      <c r="L183" s="35">
        <f t="shared" si="36"/>
        <v>0</v>
      </c>
      <c r="M183" s="2"/>
      <c r="O183" s="19"/>
      <c r="P183" s="19"/>
      <c r="Q183" s="19"/>
      <c r="R183" s="21"/>
      <c r="S183" s="46"/>
      <c r="T183" s="44"/>
      <c r="U183" s="77"/>
      <c r="V183" s="30"/>
      <c r="W183" s="24"/>
      <c r="X183" s="193"/>
      <c r="Y183" s="15"/>
    </row>
    <row r="184" spans="2:25" x14ac:dyDescent="0.25">
      <c r="B184" s="15">
        <v>182</v>
      </c>
      <c r="C184" s="8"/>
      <c r="E184" s="67"/>
      <c r="F184" s="16"/>
      <c r="G184" s="8"/>
      <c r="H184" s="8"/>
      <c r="I184" s="8"/>
      <c r="J184" s="9"/>
      <c r="K184" s="9">
        <f t="shared" si="35"/>
        <v>0</v>
      </c>
      <c r="L184" s="35">
        <f t="shared" si="36"/>
        <v>0</v>
      </c>
      <c r="M184" s="2"/>
      <c r="O184" s="19"/>
      <c r="P184" s="19"/>
      <c r="Q184" s="19"/>
      <c r="R184" s="21"/>
      <c r="S184" s="46"/>
      <c r="T184" s="44"/>
      <c r="U184" s="77"/>
      <c r="V184" s="30"/>
      <c r="W184" s="24"/>
      <c r="X184" s="193"/>
      <c r="Y184" s="15"/>
    </row>
    <row r="185" spans="2:25" x14ac:dyDescent="0.25">
      <c r="B185" s="15">
        <v>183</v>
      </c>
      <c r="C185" s="8"/>
      <c r="E185" s="67"/>
      <c r="F185" s="16"/>
      <c r="G185" s="8"/>
      <c r="H185" s="8"/>
      <c r="I185" s="8"/>
      <c r="J185" s="9"/>
      <c r="K185" s="9">
        <f t="shared" si="35"/>
        <v>0</v>
      </c>
      <c r="L185" s="35">
        <f t="shared" si="36"/>
        <v>0</v>
      </c>
      <c r="M185" s="2"/>
      <c r="O185" s="19"/>
      <c r="P185" s="19"/>
      <c r="Q185" s="19"/>
      <c r="R185" s="21"/>
      <c r="S185" s="46"/>
      <c r="T185" s="44"/>
      <c r="U185" s="77"/>
      <c r="V185" s="30"/>
      <c r="W185" s="24"/>
      <c r="X185" s="193"/>
      <c r="Y185" s="15"/>
    </row>
    <row r="186" spans="2:25" x14ac:dyDescent="0.25">
      <c r="B186" s="15">
        <v>184</v>
      </c>
      <c r="C186" s="8"/>
      <c r="E186" s="67"/>
      <c r="F186" s="16"/>
      <c r="G186" s="8"/>
      <c r="H186" s="8"/>
      <c r="I186" s="8"/>
      <c r="J186" s="9"/>
      <c r="K186" s="9">
        <f t="shared" si="35"/>
        <v>0</v>
      </c>
      <c r="L186" s="35">
        <f t="shared" si="36"/>
        <v>0</v>
      </c>
      <c r="M186" s="2"/>
      <c r="O186" s="19"/>
      <c r="P186" s="19"/>
      <c r="Q186" s="19"/>
      <c r="R186" s="21"/>
      <c r="S186" s="46"/>
      <c r="T186" s="44"/>
      <c r="U186" s="77"/>
      <c r="V186" s="30"/>
      <c r="W186" s="24"/>
      <c r="X186" s="193"/>
      <c r="Y186" s="15"/>
    </row>
    <row r="187" spans="2:25" x14ac:dyDescent="0.25">
      <c r="B187" s="15">
        <v>185</v>
      </c>
      <c r="C187" s="8"/>
      <c r="E187" s="67"/>
      <c r="F187" s="16"/>
      <c r="G187" s="8"/>
      <c r="H187" s="8"/>
      <c r="I187" s="8"/>
      <c r="J187" s="9"/>
      <c r="K187" s="9">
        <f t="shared" si="35"/>
        <v>0</v>
      </c>
      <c r="L187" s="35">
        <f t="shared" si="36"/>
        <v>0</v>
      </c>
      <c r="M187" s="2"/>
      <c r="O187" s="19"/>
      <c r="P187" s="19"/>
      <c r="Q187" s="19"/>
      <c r="R187" s="21"/>
      <c r="S187" s="46"/>
      <c r="T187" s="44"/>
      <c r="U187" s="77"/>
      <c r="V187" s="24"/>
      <c r="W187" s="24"/>
      <c r="X187" s="193"/>
      <c r="Y187" s="15"/>
    </row>
    <row r="188" spans="2:25" x14ac:dyDescent="0.25">
      <c r="B188" s="15">
        <v>186</v>
      </c>
      <c r="C188" s="8"/>
      <c r="E188" s="67"/>
      <c r="F188" s="16"/>
      <c r="G188" s="8"/>
      <c r="H188" s="8"/>
      <c r="I188" s="8"/>
      <c r="J188" s="9"/>
      <c r="K188" s="9">
        <f t="shared" si="35"/>
        <v>0</v>
      </c>
      <c r="L188" s="35">
        <f t="shared" si="36"/>
        <v>0</v>
      </c>
      <c r="M188" s="2"/>
      <c r="O188" s="19"/>
      <c r="P188" s="19"/>
      <c r="Q188" s="19"/>
      <c r="R188" s="21"/>
      <c r="S188" s="46"/>
      <c r="T188" s="44"/>
      <c r="U188" s="77"/>
      <c r="V188" s="24"/>
      <c r="W188" s="24"/>
      <c r="X188" s="193"/>
      <c r="Y188" s="15"/>
    </row>
    <row r="189" spans="2:25" x14ac:dyDescent="0.25">
      <c r="B189" s="15">
        <v>187</v>
      </c>
      <c r="C189" s="8"/>
      <c r="E189" s="67"/>
      <c r="F189" s="16"/>
      <c r="G189" s="8"/>
      <c r="H189" s="8"/>
      <c r="I189" s="8"/>
      <c r="J189" s="9"/>
      <c r="K189" s="9">
        <f t="shared" si="35"/>
        <v>0</v>
      </c>
      <c r="L189" s="35">
        <f t="shared" si="36"/>
        <v>0</v>
      </c>
      <c r="M189" s="2"/>
      <c r="O189" s="19"/>
      <c r="P189" s="19"/>
      <c r="Q189" s="19"/>
      <c r="R189" s="21"/>
      <c r="S189" s="46"/>
      <c r="T189" s="44"/>
      <c r="U189" s="77"/>
      <c r="V189" s="24"/>
      <c r="W189" s="24"/>
      <c r="X189" s="193"/>
      <c r="Y189" s="15"/>
    </row>
    <row r="190" spans="2:25" x14ac:dyDescent="0.25">
      <c r="B190" s="15">
        <v>188</v>
      </c>
      <c r="C190" s="8"/>
      <c r="E190" s="67"/>
      <c r="F190" s="16"/>
      <c r="G190" s="8"/>
      <c r="H190" s="8"/>
      <c r="I190" s="8"/>
      <c r="J190" s="9"/>
      <c r="K190" s="9">
        <f t="shared" si="35"/>
        <v>0</v>
      </c>
      <c r="L190" s="35">
        <f t="shared" si="36"/>
        <v>0</v>
      </c>
      <c r="M190" s="2"/>
      <c r="O190" s="19"/>
      <c r="P190" s="19"/>
      <c r="Q190" s="19"/>
      <c r="R190" s="279"/>
      <c r="S190" s="46"/>
      <c r="T190" s="44"/>
      <c r="U190" s="77"/>
      <c r="V190" s="24"/>
      <c r="W190" s="24"/>
      <c r="X190" s="193"/>
      <c r="Y190" s="15"/>
    </row>
    <row r="191" spans="2:25" x14ac:dyDescent="0.25">
      <c r="B191" s="15">
        <v>189</v>
      </c>
      <c r="C191" s="8"/>
      <c r="E191" s="67"/>
      <c r="F191" s="16"/>
      <c r="G191" s="8"/>
      <c r="H191" s="8"/>
      <c r="I191" s="8"/>
      <c r="J191" s="9"/>
      <c r="K191" s="9">
        <f t="shared" si="35"/>
        <v>0</v>
      </c>
      <c r="L191" s="35">
        <f t="shared" si="36"/>
        <v>0</v>
      </c>
      <c r="M191" s="2"/>
      <c r="O191" s="19"/>
      <c r="P191" s="19"/>
      <c r="Q191" s="19"/>
      <c r="R191" s="21"/>
      <c r="S191" s="46"/>
      <c r="T191" s="44"/>
      <c r="U191" s="77"/>
      <c r="V191" s="24"/>
      <c r="W191" s="24"/>
      <c r="X191" s="193"/>
      <c r="Y191" s="15"/>
    </row>
    <row r="192" spans="2:25" x14ac:dyDescent="0.25">
      <c r="B192" s="15">
        <v>190</v>
      </c>
      <c r="C192" s="8"/>
      <c r="E192" s="67"/>
      <c r="F192" s="16"/>
      <c r="G192" s="8"/>
      <c r="H192" s="8"/>
      <c r="I192" s="8"/>
      <c r="J192" s="9"/>
      <c r="K192" s="9">
        <f t="shared" si="35"/>
        <v>0</v>
      </c>
      <c r="L192" s="35">
        <f t="shared" si="36"/>
        <v>0</v>
      </c>
      <c r="M192" s="2"/>
      <c r="O192" s="19"/>
      <c r="P192" s="19"/>
      <c r="Q192" s="19"/>
      <c r="R192" s="21"/>
      <c r="S192" s="46"/>
      <c r="T192" s="44"/>
      <c r="U192" s="77"/>
      <c r="V192" s="30"/>
      <c r="W192" s="24"/>
      <c r="X192" s="193"/>
      <c r="Y192" s="15"/>
    </row>
    <row r="193" spans="2:25" x14ac:dyDescent="0.25">
      <c r="B193" s="15">
        <v>191</v>
      </c>
      <c r="C193" s="8"/>
      <c r="E193" s="67"/>
      <c r="F193" s="16"/>
      <c r="G193" s="8"/>
      <c r="H193" s="8"/>
      <c r="I193" s="8"/>
      <c r="J193" s="9"/>
      <c r="K193" s="9">
        <f t="shared" si="35"/>
        <v>0</v>
      </c>
      <c r="L193" s="35">
        <f t="shared" si="36"/>
        <v>0</v>
      </c>
      <c r="M193" s="2"/>
      <c r="O193" s="19"/>
      <c r="P193" s="19"/>
      <c r="Q193" s="19"/>
      <c r="R193" s="21"/>
      <c r="S193" s="46"/>
      <c r="T193" s="44"/>
      <c r="U193" s="77"/>
      <c r="V193" s="30"/>
      <c r="W193" s="24"/>
      <c r="X193" s="193"/>
      <c r="Y193" s="15"/>
    </row>
    <row r="194" spans="2:25" x14ac:dyDescent="0.25">
      <c r="B194" s="15">
        <v>192</v>
      </c>
      <c r="C194" s="8"/>
      <c r="E194" s="67"/>
      <c r="F194" s="16"/>
      <c r="G194" s="8"/>
      <c r="H194" s="8"/>
      <c r="I194" s="8"/>
      <c r="J194" s="9"/>
      <c r="K194" s="9">
        <f t="shared" si="35"/>
        <v>0</v>
      </c>
      <c r="L194" s="35">
        <f t="shared" si="36"/>
        <v>0</v>
      </c>
      <c r="M194" s="2"/>
      <c r="O194" s="19"/>
      <c r="P194" s="19"/>
      <c r="Q194" s="19"/>
      <c r="R194" s="21"/>
      <c r="S194" s="46"/>
      <c r="T194" s="44"/>
      <c r="U194" s="77"/>
      <c r="V194" s="24"/>
      <c r="W194" s="24"/>
      <c r="X194" s="193"/>
      <c r="Y194" s="15"/>
    </row>
    <row r="195" spans="2:25" x14ac:dyDescent="0.25">
      <c r="B195" s="15">
        <v>193</v>
      </c>
      <c r="C195" s="8"/>
      <c r="E195" s="67"/>
      <c r="F195" s="16"/>
      <c r="G195" s="8"/>
      <c r="H195" s="8"/>
      <c r="I195" s="8"/>
      <c r="J195" s="9"/>
      <c r="K195" s="9">
        <f t="shared" ref="K195:K258" si="37">J195*1.1</f>
        <v>0</v>
      </c>
      <c r="L195" s="35">
        <f t="shared" ref="L195:L258" si="38">J195*0.00000001</f>
        <v>0</v>
      </c>
      <c r="M195" s="2"/>
      <c r="O195" s="19"/>
      <c r="P195" s="19"/>
      <c r="Q195" s="19"/>
      <c r="R195" s="21"/>
      <c r="S195" s="46"/>
      <c r="T195" s="44"/>
      <c r="U195" s="77"/>
      <c r="V195" s="24"/>
      <c r="W195" s="24"/>
      <c r="X195" s="193"/>
      <c r="Y195" s="15"/>
    </row>
    <row r="196" spans="2:25" x14ac:dyDescent="0.25">
      <c r="B196" s="15">
        <v>194</v>
      </c>
      <c r="C196" s="8"/>
      <c r="E196" s="67"/>
      <c r="F196" s="16"/>
      <c r="G196" s="8"/>
      <c r="H196" s="8"/>
      <c r="I196" s="8"/>
      <c r="J196" s="9"/>
      <c r="K196" s="9">
        <f t="shared" si="37"/>
        <v>0</v>
      </c>
      <c r="L196" s="35">
        <f t="shared" si="38"/>
        <v>0</v>
      </c>
      <c r="M196" s="2"/>
      <c r="O196" s="19"/>
      <c r="P196" s="19"/>
      <c r="Q196" s="19"/>
      <c r="R196" s="21"/>
      <c r="S196" s="46"/>
      <c r="T196" s="44"/>
      <c r="U196" s="77"/>
      <c r="V196" s="24"/>
      <c r="W196" s="24"/>
      <c r="X196" s="193"/>
      <c r="Y196" s="15"/>
    </row>
    <row r="197" spans="2:25" x14ac:dyDescent="0.25">
      <c r="B197" s="15">
        <v>195</v>
      </c>
      <c r="C197" s="8"/>
      <c r="E197" s="67"/>
      <c r="F197" s="16"/>
      <c r="G197" s="8"/>
      <c r="H197" s="8"/>
      <c r="I197" s="8"/>
      <c r="J197" s="9"/>
      <c r="K197" s="9">
        <f t="shared" si="37"/>
        <v>0</v>
      </c>
      <c r="L197" s="35">
        <f t="shared" si="38"/>
        <v>0</v>
      </c>
      <c r="M197" s="2"/>
      <c r="O197" s="19"/>
      <c r="P197" s="19"/>
      <c r="Q197" s="19"/>
      <c r="R197" s="21"/>
      <c r="S197" s="46"/>
      <c r="T197" s="44"/>
      <c r="U197" s="77"/>
      <c r="V197" s="24"/>
      <c r="W197" s="24"/>
      <c r="X197" s="193"/>
      <c r="Y197" s="15"/>
    </row>
    <row r="198" spans="2:25" x14ac:dyDescent="0.25">
      <c r="B198" s="15">
        <v>196</v>
      </c>
      <c r="C198" s="8"/>
      <c r="E198" s="67"/>
      <c r="F198" s="16"/>
      <c r="G198" s="8"/>
      <c r="H198" s="8"/>
      <c r="I198" s="8"/>
      <c r="J198" s="9"/>
      <c r="K198" s="9">
        <f t="shared" si="37"/>
        <v>0</v>
      </c>
      <c r="L198" s="35">
        <f t="shared" si="38"/>
        <v>0</v>
      </c>
      <c r="M198" s="2"/>
      <c r="O198" s="19"/>
      <c r="P198" s="19"/>
      <c r="Q198" s="19"/>
      <c r="R198" s="21"/>
      <c r="S198" s="46"/>
      <c r="T198" s="44"/>
      <c r="U198" s="77"/>
      <c r="V198" s="24"/>
      <c r="W198" s="24"/>
      <c r="X198" s="193"/>
      <c r="Y198" s="15"/>
    </row>
    <row r="199" spans="2:25" x14ac:dyDescent="0.25">
      <c r="B199" s="15">
        <v>197</v>
      </c>
      <c r="C199" s="8"/>
      <c r="E199" s="67"/>
      <c r="F199" s="16"/>
      <c r="G199" s="8"/>
      <c r="H199" s="8"/>
      <c r="I199" s="8"/>
      <c r="J199" s="9"/>
      <c r="K199" s="9">
        <f t="shared" si="37"/>
        <v>0</v>
      </c>
      <c r="L199" s="35">
        <f t="shared" si="38"/>
        <v>0</v>
      </c>
      <c r="M199" s="2"/>
      <c r="O199" s="19"/>
      <c r="P199" s="19"/>
      <c r="Q199" s="19"/>
      <c r="R199" s="21"/>
      <c r="S199" s="46"/>
      <c r="T199" s="44"/>
      <c r="U199" s="77"/>
      <c r="V199" s="24"/>
      <c r="W199" s="24"/>
      <c r="X199" s="193"/>
      <c r="Y199" s="15"/>
    </row>
    <row r="200" spans="2:25" x14ac:dyDescent="0.25">
      <c r="B200" s="15">
        <v>198</v>
      </c>
      <c r="C200" s="8"/>
      <c r="E200" s="67"/>
      <c r="F200" s="16"/>
      <c r="G200" s="8"/>
      <c r="H200" s="8"/>
      <c r="I200" s="8"/>
      <c r="J200" s="9"/>
      <c r="K200" s="9">
        <f t="shared" si="37"/>
        <v>0</v>
      </c>
      <c r="L200" s="35">
        <f t="shared" si="38"/>
        <v>0</v>
      </c>
      <c r="M200" s="2"/>
      <c r="O200" s="19"/>
      <c r="P200" s="19"/>
      <c r="Q200" s="19"/>
      <c r="R200" s="21"/>
      <c r="S200" s="46"/>
      <c r="T200" s="44"/>
      <c r="U200" s="77"/>
      <c r="V200" s="30"/>
      <c r="W200" s="24"/>
      <c r="X200" s="193"/>
      <c r="Y200" s="15"/>
    </row>
    <row r="201" spans="2:25" x14ac:dyDescent="0.25">
      <c r="B201" s="15">
        <v>199</v>
      </c>
      <c r="C201" s="8"/>
      <c r="E201" s="67"/>
      <c r="F201" s="16"/>
      <c r="G201" s="8"/>
      <c r="H201" s="8"/>
      <c r="I201" s="8"/>
      <c r="J201" s="9"/>
      <c r="K201" s="9">
        <f t="shared" si="37"/>
        <v>0</v>
      </c>
      <c r="L201" s="35">
        <f t="shared" si="38"/>
        <v>0</v>
      </c>
      <c r="M201" s="2"/>
      <c r="O201" s="19"/>
      <c r="P201" s="19"/>
      <c r="Q201" s="19"/>
      <c r="R201" s="21"/>
      <c r="S201" s="46"/>
      <c r="T201" s="44"/>
      <c r="U201" s="77"/>
      <c r="V201" s="30"/>
      <c r="W201" s="24"/>
      <c r="X201" s="193"/>
      <c r="Y201" s="15"/>
    </row>
    <row r="202" spans="2:25" x14ac:dyDescent="0.25">
      <c r="B202" s="15">
        <v>200</v>
      </c>
      <c r="C202" s="8"/>
      <c r="E202" s="67"/>
      <c r="F202" s="16"/>
      <c r="G202" s="8"/>
      <c r="H202" s="8"/>
      <c r="I202" s="8"/>
      <c r="J202" s="9"/>
      <c r="K202" s="9">
        <f t="shared" si="37"/>
        <v>0</v>
      </c>
      <c r="L202" s="35">
        <f t="shared" si="38"/>
        <v>0</v>
      </c>
      <c r="M202" s="2"/>
      <c r="O202" s="19"/>
      <c r="P202" s="19"/>
      <c r="Q202" s="19"/>
      <c r="R202" s="21"/>
      <c r="S202" s="46"/>
      <c r="T202" s="44"/>
      <c r="U202" s="77"/>
      <c r="V202" s="30"/>
      <c r="W202" s="24"/>
      <c r="X202" s="193"/>
      <c r="Y202" s="15"/>
    </row>
    <row r="203" spans="2:25" x14ac:dyDescent="0.25">
      <c r="B203" s="15">
        <v>201</v>
      </c>
      <c r="C203" s="8"/>
      <c r="E203" s="67"/>
      <c r="F203" s="16"/>
      <c r="G203" s="8"/>
      <c r="H203" s="8"/>
      <c r="I203" s="8"/>
      <c r="J203" s="9"/>
      <c r="K203" s="9">
        <f t="shared" si="37"/>
        <v>0</v>
      </c>
      <c r="L203" s="35">
        <f t="shared" si="38"/>
        <v>0</v>
      </c>
      <c r="M203" s="2"/>
      <c r="O203" s="19"/>
      <c r="P203" s="19"/>
      <c r="Q203" s="19"/>
      <c r="R203" s="21"/>
      <c r="S203" s="46"/>
      <c r="T203" s="44"/>
      <c r="U203" s="77"/>
      <c r="V203" s="24"/>
      <c r="W203" s="24"/>
      <c r="X203" s="193"/>
      <c r="Y203" s="15"/>
    </row>
    <row r="204" spans="2:25" x14ac:dyDescent="0.25">
      <c r="B204" s="15">
        <v>202</v>
      </c>
      <c r="C204" s="8"/>
      <c r="E204" s="67"/>
      <c r="F204" s="16"/>
      <c r="G204" s="8"/>
      <c r="H204" s="8"/>
      <c r="I204" s="8"/>
      <c r="J204" s="9"/>
      <c r="K204" s="9">
        <f t="shared" si="37"/>
        <v>0</v>
      </c>
      <c r="L204" s="35">
        <f t="shared" si="38"/>
        <v>0</v>
      </c>
      <c r="M204" s="2"/>
      <c r="O204" s="19"/>
      <c r="P204" s="19"/>
      <c r="Q204" s="19"/>
      <c r="R204" s="21"/>
      <c r="S204" s="46"/>
      <c r="T204" s="44"/>
      <c r="U204" s="77"/>
      <c r="V204" s="24"/>
      <c r="W204" s="24"/>
      <c r="X204" s="193"/>
      <c r="Y204" s="15"/>
    </row>
    <row r="205" spans="2:25" x14ac:dyDescent="0.25">
      <c r="B205" s="15">
        <v>203</v>
      </c>
      <c r="C205" s="8"/>
      <c r="E205" s="67"/>
      <c r="F205" s="16"/>
      <c r="G205" s="8"/>
      <c r="H205" s="8"/>
      <c r="I205" s="8"/>
      <c r="J205" s="9"/>
      <c r="K205" s="9">
        <f t="shared" si="37"/>
        <v>0</v>
      </c>
      <c r="L205" s="35">
        <f t="shared" si="38"/>
        <v>0</v>
      </c>
      <c r="M205" s="2"/>
      <c r="O205" s="19"/>
      <c r="P205" s="19"/>
      <c r="Q205" s="19"/>
      <c r="R205" s="21"/>
      <c r="S205" s="46"/>
      <c r="T205" s="44"/>
      <c r="U205" s="77"/>
      <c r="V205" s="24"/>
      <c r="W205" s="24"/>
      <c r="X205" s="193"/>
      <c r="Y205" s="15"/>
    </row>
    <row r="206" spans="2:25" x14ac:dyDescent="0.25">
      <c r="B206" s="15">
        <v>204</v>
      </c>
      <c r="C206" s="8"/>
      <c r="E206" s="67"/>
      <c r="F206" s="16"/>
      <c r="G206" s="8"/>
      <c r="H206" s="8"/>
      <c r="I206" s="8"/>
      <c r="J206" s="9"/>
      <c r="K206" s="9">
        <f t="shared" si="37"/>
        <v>0</v>
      </c>
      <c r="L206" s="35">
        <f t="shared" si="38"/>
        <v>0</v>
      </c>
      <c r="M206" s="2"/>
      <c r="O206" s="19"/>
      <c r="P206" s="19"/>
      <c r="Q206" s="19"/>
      <c r="R206" s="21"/>
      <c r="S206" s="46"/>
      <c r="T206" s="44"/>
      <c r="U206" s="77"/>
      <c r="V206" s="24"/>
      <c r="W206" s="24"/>
      <c r="X206" s="193"/>
      <c r="Y206" s="15"/>
    </row>
    <row r="207" spans="2:25" x14ac:dyDescent="0.25">
      <c r="B207" s="15">
        <v>205</v>
      </c>
      <c r="C207" s="8"/>
      <c r="E207" s="67"/>
      <c r="F207" s="16"/>
      <c r="G207" s="8"/>
      <c r="H207" s="8"/>
      <c r="I207" s="8"/>
      <c r="J207" s="9"/>
      <c r="K207" s="9">
        <f t="shared" si="37"/>
        <v>0</v>
      </c>
      <c r="L207" s="35">
        <f t="shared" si="38"/>
        <v>0</v>
      </c>
      <c r="M207" s="2"/>
      <c r="O207" s="19"/>
      <c r="P207" s="19"/>
      <c r="Q207" s="19"/>
      <c r="R207" s="21"/>
      <c r="S207" s="46"/>
      <c r="T207" s="44"/>
      <c r="U207" s="77"/>
      <c r="V207" s="24"/>
      <c r="W207" s="24"/>
      <c r="X207" s="193"/>
      <c r="Y207" s="15"/>
    </row>
    <row r="208" spans="2:25" x14ac:dyDescent="0.25">
      <c r="B208" s="15">
        <v>206</v>
      </c>
      <c r="C208" s="8"/>
      <c r="E208" s="67"/>
      <c r="F208" s="16"/>
      <c r="G208" s="8"/>
      <c r="H208" s="8"/>
      <c r="I208" s="8"/>
      <c r="J208" s="9"/>
      <c r="K208" s="9">
        <f t="shared" si="37"/>
        <v>0</v>
      </c>
      <c r="L208" s="35">
        <f t="shared" si="38"/>
        <v>0</v>
      </c>
      <c r="M208" s="2"/>
      <c r="O208" s="19"/>
      <c r="P208" s="19"/>
      <c r="Q208" s="19"/>
      <c r="R208" s="21"/>
      <c r="S208" s="46"/>
      <c r="T208" s="44"/>
      <c r="U208" s="77"/>
      <c r="V208" s="30"/>
      <c r="W208" s="24"/>
      <c r="X208" s="193"/>
      <c r="Y208" s="15"/>
    </row>
    <row r="209" spans="2:25" x14ac:dyDescent="0.25">
      <c r="B209" s="15">
        <v>207</v>
      </c>
      <c r="C209" s="8"/>
      <c r="E209" s="67"/>
      <c r="F209" s="16"/>
      <c r="G209" s="8"/>
      <c r="H209" s="8"/>
      <c r="I209" s="8"/>
      <c r="J209" s="9"/>
      <c r="K209" s="9">
        <f t="shared" si="37"/>
        <v>0</v>
      </c>
      <c r="L209" s="35">
        <f t="shared" si="38"/>
        <v>0</v>
      </c>
      <c r="M209" s="2"/>
      <c r="O209" s="19"/>
      <c r="P209" s="19"/>
      <c r="Q209" s="19"/>
      <c r="R209" s="21"/>
      <c r="S209" s="46"/>
      <c r="T209" s="44"/>
      <c r="U209" s="77"/>
      <c r="V209" s="30"/>
      <c r="W209" s="24"/>
      <c r="X209" s="193"/>
      <c r="Y209" s="15"/>
    </row>
    <row r="210" spans="2:25" x14ac:dyDescent="0.25">
      <c r="B210" s="15">
        <v>208</v>
      </c>
      <c r="C210" s="8"/>
      <c r="E210" s="67"/>
      <c r="F210" s="16"/>
      <c r="G210" s="8"/>
      <c r="H210" s="8"/>
      <c r="I210" s="8"/>
      <c r="J210" s="9"/>
      <c r="K210" s="9">
        <f t="shared" si="37"/>
        <v>0</v>
      </c>
      <c r="L210" s="35">
        <f t="shared" si="38"/>
        <v>0</v>
      </c>
      <c r="M210" s="2"/>
      <c r="O210" s="19"/>
      <c r="P210" s="19"/>
      <c r="Q210" s="19"/>
      <c r="R210" s="21"/>
      <c r="S210" s="46"/>
      <c r="T210" s="44"/>
      <c r="U210" s="77"/>
      <c r="V210" s="24"/>
      <c r="W210" s="24"/>
      <c r="X210" s="193"/>
      <c r="Y210" s="15"/>
    </row>
    <row r="211" spans="2:25" x14ac:dyDescent="0.25">
      <c r="B211" s="15">
        <v>209</v>
      </c>
      <c r="C211" s="8"/>
      <c r="E211" s="67"/>
      <c r="F211" s="16"/>
      <c r="G211" s="8"/>
      <c r="H211" s="8"/>
      <c r="I211" s="8"/>
      <c r="J211" s="9"/>
      <c r="K211" s="9">
        <f t="shared" si="37"/>
        <v>0</v>
      </c>
      <c r="L211" s="35">
        <f t="shared" si="38"/>
        <v>0</v>
      </c>
      <c r="M211" s="2"/>
      <c r="O211" s="19"/>
      <c r="P211" s="19"/>
      <c r="Q211" s="19"/>
      <c r="R211" s="21"/>
      <c r="S211" s="46"/>
      <c r="T211" s="44"/>
      <c r="U211" s="77"/>
      <c r="V211" s="24"/>
      <c r="W211" s="24"/>
      <c r="X211" s="193"/>
      <c r="Y211" s="15"/>
    </row>
    <row r="212" spans="2:25" x14ac:dyDescent="0.25">
      <c r="B212" s="15">
        <v>210</v>
      </c>
      <c r="C212" s="8"/>
      <c r="E212" s="67"/>
      <c r="F212" s="16"/>
      <c r="G212" s="8"/>
      <c r="H212" s="8"/>
      <c r="I212" s="8"/>
      <c r="J212" s="9"/>
      <c r="K212" s="9">
        <f t="shared" si="37"/>
        <v>0</v>
      </c>
      <c r="L212" s="35">
        <f t="shared" si="38"/>
        <v>0</v>
      </c>
      <c r="M212" s="2"/>
      <c r="O212" s="19"/>
      <c r="P212" s="19"/>
      <c r="Q212" s="19"/>
      <c r="R212" s="21"/>
      <c r="S212" s="46"/>
      <c r="T212" s="44"/>
      <c r="U212" s="77"/>
      <c r="V212" s="24"/>
      <c r="W212" s="24"/>
      <c r="X212" s="193"/>
      <c r="Y212" s="15"/>
    </row>
    <row r="213" spans="2:25" x14ac:dyDescent="0.25">
      <c r="B213" s="15">
        <v>211</v>
      </c>
      <c r="C213" s="8"/>
      <c r="E213" s="67"/>
      <c r="F213" s="16"/>
      <c r="G213" s="8"/>
      <c r="H213" s="8"/>
      <c r="I213" s="8"/>
      <c r="J213" s="9"/>
      <c r="K213" s="9">
        <f t="shared" si="37"/>
        <v>0</v>
      </c>
      <c r="L213" s="35">
        <f t="shared" si="38"/>
        <v>0</v>
      </c>
      <c r="M213" s="2"/>
      <c r="O213" s="19"/>
      <c r="P213" s="19"/>
      <c r="Q213" s="19"/>
      <c r="R213" s="21"/>
      <c r="S213" s="46"/>
      <c r="T213" s="44"/>
      <c r="U213" s="77"/>
      <c r="V213" s="24"/>
      <c r="W213" s="24"/>
      <c r="X213" s="193"/>
      <c r="Y213" s="15"/>
    </row>
    <row r="214" spans="2:25" x14ac:dyDescent="0.25">
      <c r="B214" s="15">
        <v>212</v>
      </c>
      <c r="C214" s="8"/>
      <c r="E214" s="67"/>
      <c r="F214" s="16"/>
      <c r="G214" s="8"/>
      <c r="H214" s="8"/>
      <c r="I214" s="8"/>
      <c r="J214" s="9"/>
      <c r="K214" s="9">
        <f t="shared" si="37"/>
        <v>0</v>
      </c>
      <c r="L214" s="35">
        <f t="shared" si="38"/>
        <v>0</v>
      </c>
      <c r="M214" s="2"/>
      <c r="O214" s="19"/>
      <c r="P214" s="19"/>
      <c r="Q214" s="19"/>
      <c r="R214" s="21"/>
      <c r="S214" s="46"/>
      <c r="T214" s="44"/>
      <c r="U214" s="77"/>
      <c r="V214" s="24"/>
      <c r="W214" s="24"/>
      <c r="X214" s="193"/>
      <c r="Y214" s="15"/>
    </row>
    <row r="215" spans="2:25" x14ac:dyDescent="0.25">
      <c r="B215" s="15">
        <v>213</v>
      </c>
      <c r="C215" s="8"/>
      <c r="E215" s="67"/>
      <c r="F215" s="16"/>
      <c r="G215" s="8"/>
      <c r="H215" s="8"/>
      <c r="I215" s="8"/>
      <c r="J215" s="9"/>
      <c r="K215" s="9">
        <f t="shared" si="37"/>
        <v>0</v>
      </c>
      <c r="L215" s="35">
        <f t="shared" si="38"/>
        <v>0</v>
      </c>
      <c r="M215" s="2"/>
      <c r="O215" s="19"/>
      <c r="P215" s="19"/>
      <c r="Q215" s="19"/>
      <c r="R215" s="21"/>
      <c r="S215" s="46"/>
      <c r="T215" s="44"/>
      <c r="U215" s="77"/>
      <c r="V215" s="30"/>
      <c r="W215" s="24"/>
      <c r="X215" s="193"/>
      <c r="Y215" s="15"/>
    </row>
    <row r="216" spans="2:25" x14ac:dyDescent="0.25">
      <c r="B216" s="15">
        <v>214</v>
      </c>
      <c r="C216" s="8"/>
      <c r="E216" s="67"/>
      <c r="F216" s="16"/>
      <c r="G216" s="8"/>
      <c r="H216" s="8"/>
      <c r="I216" s="8"/>
      <c r="J216" s="9"/>
      <c r="K216" s="9">
        <f t="shared" si="37"/>
        <v>0</v>
      </c>
      <c r="L216" s="35">
        <f t="shared" si="38"/>
        <v>0</v>
      </c>
      <c r="M216" s="2"/>
      <c r="O216" s="19"/>
      <c r="P216" s="19"/>
      <c r="Q216" s="19"/>
      <c r="R216" s="21"/>
      <c r="S216" s="46"/>
      <c r="T216" s="44"/>
      <c r="U216" s="77"/>
      <c r="V216" s="30"/>
      <c r="W216" s="24"/>
      <c r="X216" s="193"/>
      <c r="Y216" s="15"/>
    </row>
    <row r="217" spans="2:25" x14ac:dyDescent="0.25">
      <c r="B217" s="15">
        <v>215</v>
      </c>
      <c r="C217" s="8"/>
      <c r="E217" s="67"/>
      <c r="F217" s="16"/>
      <c r="G217" s="8"/>
      <c r="H217" s="8"/>
      <c r="I217" s="8"/>
      <c r="J217" s="9"/>
      <c r="K217" s="9">
        <f t="shared" si="37"/>
        <v>0</v>
      </c>
      <c r="L217" s="35">
        <f t="shared" si="38"/>
        <v>0</v>
      </c>
      <c r="M217" s="2"/>
      <c r="O217" s="19"/>
      <c r="P217" s="19"/>
      <c r="Q217" s="19"/>
      <c r="R217" s="21"/>
      <c r="S217" s="46"/>
      <c r="T217" s="44"/>
      <c r="U217" s="77"/>
      <c r="V217" s="30"/>
      <c r="W217" s="24"/>
      <c r="X217" s="193"/>
      <c r="Y217" s="15"/>
    </row>
    <row r="218" spans="2:25" x14ac:dyDescent="0.25">
      <c r="B218" s="15">
        <v>216</v>
      </c>
      <c r="C218" s="8"/>
      <c r="E218" s="67"/>
      <c r="F218" s="16"/>
      <c r="G218" s="8"/>
      <c r="H218" s="8"/>
      <c r="I218" s="8"/>
      <c r="J218" s="9"/>
      <c r="K218" s="9">
        <f t="shared" si="37"/>
        <v>0</v>
      </c>
      <c r="L218" s="35">
        <f t="shared" si="38"/>
        <v>0</v>
      </c>
      <c r="M218" s="2"/>
      <c r="O218" s="19"/>
      <c r="P218" s="19"/>
      <c r="Q218" s="19"/>
      <c r="R218" s="21"/>
      <c r="S218" s="46"/>
      <c r="T218" s="44"/>
      <c r="U218" s="77"/>
      <c r="V218" s="30"/>
      <c r="W218" s="24"/>
      <c r="X218" s="193"/>
      <c r="Y218" s="15"/>
    </row>
    <row r="219" spans="2:25" x14ac:dyDescent="0.25">
      <c r="B219" s="15">
        <v>217</v>
      </c>
      <c r="C219" s="8"/>
      <c r="E219" s="67"/>
      <c r="F219" s="16"/>
      <c r="G219" s="8"/>
      <c r="H219" s="8"/>
      <c r="I219" s="8"/>
      <c r="J219" s="9"/>
      <c r="K219" s="9">
        <f t="shared" si="37"/>
        <v>0</v>
      </c>
      <c r="L219" s="35">
        <f t="shared" si="38"/>
        <v>0</v>
      </c>
      <c r="M219" s="2"/>
      <c r="O219" s="19"/>
      <c r="P219" s="19"/>
      <c r="Q219" s="19"/>
      <c r="R219" s="21"/>
      <c r="S219" s="46"/>
      <c r="T219" s="44"/>
      <c r="U219" s="77"/>
      <c r="V219" s="30"/>
      <c r="W219" s="24"/>
      <c r="X219" s="193"/>
      <c r="Y219" s="15"/>
    </row>
    <row r="220" spans="2:25" x14ac:dyDescent="0.25">
      <c r="B220" s="15">
        <v>218</v>
      </c>
      <c r="C220" s="8"/>
      <c r="E220" s="67"/>
      <c r="F220" s="16"/>
      <c r="G220" s="8"/>
      <c r="H220" s="8"/>
      <c r="I220" s="8"/>
      <c r="J220" s="9"/>
      <c r="K220" s="9">
        <f t="shared" si="37"/>
        <v>0</v>
      </c>
      <c r="L220" s="35">
        <f t="shared" si="38"/>
        <v>0</v>
      </c>
      <c r="M220" s="2"/>
      <c r="O220" s="19"/>
      <c r="P220" s="19"/>
      <c r="Q220" s="19"/>
      <c r="R220" s="21"/>
      <c r="S220" s="46"/>
      <c r="T220" s="44"/>
      <c r="U220" s="77"/>
      <c r="V220" s="30"/>
      <c r="W220" s="24"/>
      <c r="X220" s="193"/>
      <c r="Y220" s="15"/>
    </row>
    <row r="221" spans="2:25" x14ac:dyDescent="0.25">
      <c r="B221" s="15">
        <v>219</v>
      </c>
      <c r="C221" s="8"/>
      <c r="E221" s="67"/>
      <c r="F221" s="16"/>
      <c r="G221" s="8"/>
      <c r="H221" s="8"/>
      <c r="I221" s="8"/>
      <c r="J221" s="9"/>
      <c r="K221" s="9">
        <f t="shared" si="37"/>
        <v>0</v>
      </c>
      <c r="L221" s="35">
        <f t="shared" si="38"/>
        <v>0</v>
      </c>
      <c r="M221" s="2"/>
      <c r="O221" s="19"/>
      <c r="P221" s="19"/>
      <c r="Q221" s="19"/>
      <c r="R221" s="21"/>
      <c r="S221" s="46"/>
      <c r="T221" s="44"/>
      <c r="U221" s="77"/>
      <c r="V221" s="24"/>
      <c r="W221" s="24"/>
      <c r="X221" s="193"/>
      <c r="Y221" s="15"/>
    </row>
    <row r="222" spans="2:25" x14ac:dyDescent="0.25">
      <c r="B222" s="15">
        <v>220</v>
      </c>
      <c r="C222" s="8"/>
      <c r="E222" s="67"/>
      <c r="F222" s="16"/>
      <c r="G222" s="8"/>
      <c r="H222" s="8"/>
      <c r="I222" s="8"/>
      <c r="J222" s="9"/>
      <c r="K222" s="9">
        <f t="shared" si="37"/>
        <v>0</v>
      </c>
      <c r="L222" s="35">
        <f t="shared" si="38"/>
        <v>0</v>
      </c>
      <c r="M222" s="2"/>
      <c r="O222" s="19"/>
      <c r="P222" s="19"/>
      <c r="Q222" s="19"/>
      <c r="R222" s="21"/>
      <c r="S222" s="46"/>
      <c r="T222" s="44"/>
      <c r="U222" s="77"/>
      <c r="V222" s="24"/>
      <c r="W222" s="24"/>
      <c r="X222" s="193"/>
      <c r="Y222" s="15"/>
    </row>
    <row r="223" spans="2:25" x14ac:dyDescent="0.25">
      <c r="B223" s="15">
        <v>221</v>
      </c>
      <c r="C223" s="8"/>
      <c r="E223" s="67"/>
      <c r="F223" s="16"/>
      <c r="G223" s="8"/>
      <c r="H223" s="8"/>
      <c r="I223" s="8"/>
      <c r="J223" s="9"/>
      <c r="K223" s="9">
        <f t="shared" si="37"/>
        <v>0</v>
      </c>
      <c r="L223" s="35">
        <f t="shared" si="38"/>
        <v>0</v>
      </c>
      <c r="M223" s="2"/>
      <c r="O223" s="19"/>
      <c r="P223" s="19"/>
      <c r="Q223" s="19"/>
      <c r="R223" s="21"/>
      <c r="S223" s="46"/>
      <c r="T223" s="44"/>
      <c r="U223" s="77"/>
      <c r="V223" s="24"/>
      <c r="W223" s="24"/>
      <c r="X223" s="193"/>
      <c r="Y223" s="15"/>
    </row>
    <row r="224" spans="2:25" x14ac:dyDescent="0.25">
      <c r="B224" s="15">
        <v>222</v>
      </c>
      <c r="C224" s="8"/>
      <c r="E224" s="67"/>
      <c r="F224" s="16"/>
      <c r="G224" s="8"/>
      <c r="H224" s="8"/>
      <c r="I224" s="8"/>
      <c r="J224" s="9"/>
      <c r="K224" s="9">
        <f t="shared" si="37"/>
        <v>0</v>
      </c>
      <c r="L224" s="35">
        <f t="shared" si="38"/>
        <v>0</v>
      </c>
      <c r="M224" s="2"/>
      <c r="O224" s="19"/>
      <c r="P224" s="19"/>
      <c r="Q224" s="19"/>
      <c r="R224" s="21"/>
      <c r="S224" s="46"/>
      <c r="T224" s="44"/>
      <c r="U224" s="77"/>
      <c r="V224" s="30"/>
      <c r="W224" s="24"/>
      <c r="X224" s="193"/>
      <c r="Y224" s="15"/>
    </row>
    <row r="225" spans="2:25" x14ac:dyDescent="0.25">
      <c r="B225" s="15">
        <v>223</v>
      </c>
      <c r="C225" s="8"/>
      <c r="E225" s="67"/>
      <c r="F225" s="16"/>
      <c r="G225" s="8"/>
      <c r="H225" s="8"/>
      <c r="I225" s="8"/>
      <c r="J225" s="9"/>
      <c r="K225" s="9">
        <f t="shared" si="37"/>
        <v>0</v>
      </c>
      <c r="L225" s="35">
        <f t="shared" si="38"/>
        <v>0</v>
      </c>
      <c r="M225" s="2"/>
      <c r="O225" s="19"/>
      <c r="P225" s="19"/>
      <c r="Q225" s="19"/>
      <c r="R225" s="21"/>
      <c r="S225" s="46"/>
      <c r="T225" s="44"/>
      <c r="U225" s="77"/>
      <c r="V225" s="30"/>
      <c r="W225" s="24"/>
      <c r="X225" s="193"/>
      <c r="Y225" s="15"/>
    </row>
    <row r="226" spans="2:25" x14ac:dyDescent="0.25">
      <c r="B226" s="15">
        <v>224</v>
      </c>
      <c r="C226" s="8"/>
      <c r="E226" s="67"/>
      <c r="F226" s="16"/>
      <c r="G226" s="8"/>
      <c r="H226" s="8"/>
      <c r="I226" s="8"/>
      <c r="J226" s="9"/>
      <c r="K226" s="9">
        <f t="shared" si="37"/>
        <v>0</v>
      </c>
      <c r="L226" s="35">
        <f t="shared" si="38"/>
        <v>0</v>
      </c>
      <c r="M226" s="2"/>
      <c r="O226" s="19"/>
      <c r="P226" s="19"/>
      <c r="Q226" s="19"/>
      <c r="R226" s="21"/>
      <c r="S226" s="46"/>
      <c r="T226" s="44"/>
      <c r="U226" s="77"/>
      <c r="V226" s="24"/>
      <c r="W226" s="24"/>
      <c r="X226" s="193"/>
      <c r="Y226" s="15"/>
    </row>
    <row r="227" spans="2:25" x14ac:dyDescent="0.25">
      <c r="B227" s="15">
        <v>225</v>
      </c>
      <c r="C227" s="8"/>
      <c r="E227" s="67"/>
      <c r="F227" s="16"/>
      <c r="G227" s="8"/>
      <c r="H227" s="8"/>
      <c r="I227" s="8"/>
      <c r="J227" s="9"/>
      <c r="K227" s="9">
        <f t="shared" si="37"/>
        <v>0</v>
      </c>
      <c r="L227" s="35">
        <f t="shared" si="38"/>
        <v>0</v>
      </c>
      <c r="M227" s="2"/>
      <c r="O227" s="19"/>
      <c r="P227" s="19"/>
      <c r="Q227" s="19"/>
      <c r="R227" s="21"/>
      <c r="S227" s="46"/>
      <c r="T227" s="44"/>
      <c r="U227" s="77"/>
      <c r="V227" s="24"/>
      <c r="W227" s="24"/>
      <c r="X227" s="193"/>
      <c r="Y227" s="15"/>
    </row>
    <row r="228" spans="2:25" x14ac:dyDescent="0.25">
      <c r="B228" s="15">
        <v>226</v>
      </c>
      <c r="C228" s="8"/>
      <c r="E228" s="67"/>
      <c r="F228" s="16"/>
      <c r="G228" s="8"/>
      <c r="H228" s="8"/>
      <c r="I228" s="8"/>
      <c r="J228" s="9"/>
      <c r="K228" s="9">
        <f t="shared" si="37"/>
        <v>0</v>
      </c>
      <c r="L228" s="35">
        <f t="shared" si="38"/>
        <v>0</v>
      </c>
      <c r="M228" s="2"/>
      <c r="O228" s="19"/>
      <c r="P228" s="19"/>
      <c r="Q228" s="19"/>
      <c r="R228" s="21"/>
      <c r="S228" s="46"/>
      <c r="T228" s="44"/>
      <c r="U228" s="77"/>
      <c r="V228" s="24"/>
      <c r="W228" s="24"/>
      <c r="X228" s="193"/>
      <c r="Y228" s="15"/>
    </row>
    <row r="229" spans="2:25" x14ac:dyDescent="0.25">
      <c r="B229" s="15">
        <v>227</v>
      </c>
      <c r="C229" s="8"/>
      <c r="E229" s="67"/>
      <c r="F229" s="16"/>
      <c r="G229" s="8"/>
      <c r="H229" s="8"/>
      <c r="I229" s="8"/>
      <c r="J229" s="9"/>
      <c r="K229" s="9">
        <f t="shared" si="37"/>
        <v>0</v>
      </c>
      <c r="L229" s="35">
        <f t="shared" si="38"/>
        <v>0</v>
      </c>
      <c r="M229" s="2"/>
      <c r="O229" s="19"/>
      <c r="P229" s="19"/>
      <c r="Q229" s="19"/>
      <c r="R229" s="21"/>
      <c r="S229" s="46"/>
      <c r="T229" s="44"/>
      <c r="U229" s="77"/>
      <c r="V229" s="24"/>
      <c r="W229" s="24"/>
      <c r="X229" s="193"/>
      <c r="Y229" s="15"/>
    </row>
    <row r="230" spans="2:25" x14ac:dyDescent="0.25">
      <c r="B230" s="15">
        <v>228</v>
      </c>
      <c r="C230" s="8"/>
      <c r="E230" s="67"/>
      <c r="F230" s="16"/>
      <c r="G230" s="8"/>
      <c r="H230" s="8"/>
      <c r="I230" s="8"/>
      <c r="J230" s="9"/>
      <c r="K230" s="9">
        <f t="shared" si="37"/>
        <v>0</v>
      </c>
      <c r="L230" s="35">
        <f t="shared" si="38"/>
        <v>0</v>
      </c>
      <c r="M230" s="2"/>
      <c r="O230" s="19"/>
      <c r="P230" s="19"/>
      <c r="Q230" s="19"/>
      <c r="R230" s="21"/>
      <c r="S230" s="46"/>
      <c r="T230" s="44"/>
      <c r="U230" s="77"/>
      <c r="V230" s="30"/>
      <c r="W230" s="24"/>
      <c r="X230" s="193"/>
      <c r="Y230" s="15"/>
    </row>
    <row r="231" spans="2:25" x14ac:dyDescent="0.25">
      <c r="B231" s="15">
        <v>229</v>
      </c>
      <c r="C231" s="8"/>
      <c r="E231" s="67"/>
      <c r="F231" s="16"/>
      <c r="G231" s="8"/>
      <c r="H231" s="8"/>
      <c r="I231" s="8"/>
      <c r="J231" s="9"/>
      <c r="K231" s="9">
        <f t="shared" si="37"/>
        <v>0</v>
      </c>
      <c r="L231" s="35">
        <f t="shared" si="38"/>
        <v>0</v>
      </c>
      <c r="M231" s="2"/>
      <c r="O231" s="19"/>
      <c r="P231" s="19"/>
      <c r="Q231" s="19"/>
      <c r="R231" s="21"/>
      <c r="S231" s="46"/>
      <c r="T231" s="44"/>
      <c r="U231" s="77"/>
      <c r="V231" s="30"/>
      <c r="W231" s="24"/>
      <c r="X231" s="193"/>
      <c r="Y231" s="15"/>
    </row>
    <row r="232" spans="2:25" x14ac:dyDescent="0.25">
      <c r="B232" s="15">
        <v>230</v>
      </c>
      <c r="C232" s="8"/>
      <c r="E232" s="67"/>
      <c r="F232" s="16"/>
      <c r="G232" s="8"/>
      <c r="H232" s="8"/>
      <c r="I232" s="8"/>
      <c r="J232" s="9"/>
      <c r="K232" s="9">
        <f t="shared" si="37"/>
        <v>0</v>
      </c>
      <c r="L232" s="35">
        <f t="shared" si="38"/>
        <v>0</v>
      </c>
      <c r="M232" s="2"/>
      <c r="O232" s="19"/>
      <c r="P232" s="19"/>
      <c r="Q232" s="19"/>
      <c r="R232" s="21"/>
      <c r="S232" s="46"/>
      <c r="T232" s="44"/>
      <c r="U232" s="77"/>
      <c r="V232" s="24"/>
      <c r="W232" s="24"/>
      <c r="X232" s="193"/>
      <c r="Y232" s="15"/>
    </row>
    <row r="233" spans="2:25" x14ac:dyDescent="0.25">
      <c r="B233" s="15">
        <v>231</v>
      </c>
      <c r="C233" s="8"/>
      <c r="E233" s="67"/>
      <c r="F233" s="16"/>
      <c r="G233" s="8"/>
      <c r="H233" s="8"/>
      <c r="I233" s="8"/>
      <c r="J233" s="9"/>
      <c r="K233" s="9">
        <f t="shared" si="37"/>
        <v>0</v>
      </c>
      <c r="L233" s="35">
        <f t="shared" si="38"/>
        <v>0</v>
      </c>
      <c r="M233" s="2"/>
      <c r="O233" s="19"/>
      <c r="P233" s="19"/>
      <c r="Q233" s="19"/>
      <c r="R233" s="21"/>
      <c r="S233" s="46"/>
      <c r="T233" s="44"/>
      <c r="U233" s="77"/>
      <c r="V233" s="24"/>
      <c r="W233" s="24"/>
      <c r="X233" s="193"/>
      <c r="Y233" s="15"/>
    </row>
    <row r="234" spans="2:25" x14ac:dyDescent="0.25">
      <c r="B234" s="15">
        <v>232</v>
      </c>
      <c r="C234" s="8"/>
      <c r="E234" s="67"/>
      <c r="F234" s="16"/>
      <c r="G234" s="8"/>
      <c r="H234" s="8"/>
      <c r="I234" s="8"/>
      <c r="J234" s="9"/>
      <c r="K234" s="9">
        <f t="shared" si="37"/>
        <v>0</v>
      </c>
      <c r="L234" s="35">
        <f t="shared" si="38"/>
        <v>0</v>
      </c>
      <c r="M234" s="2"/>
      <c r="O234" s="19"/>
      <c r="P234" s="19"/>
      <c r="Q234" s="19"/>
      <c r="R234" s="21"/>
      <c r="S234" s="46"/>
      <c r="T234" s="44"/>
      <c r="U234" s="77"/>
      <c r="V234" s="24"/>
      <c r="W234" s="24"/>
      <c r="X234" s="193"/>
      <c r="Y234" s="15"/>
    </row>
    <row r="235" spans="2:25" x14ac:dyDescent="0.25">
      <c r="B235" s="15">
        <v>233</v>
      </c>
      <c r="C235" s="8"/>
      <c r="E235" s="67"/>
      <c r="F235" s="16"/>
      <c r="G235" s="8"/>
      <c r="H235" s="8"/>
      <c r="I235" s="8"/>
      <c r="J235" s="9"/>
      <c r="K235" s="9">
        <f t="shared" si="37"/>
        <v>0</v>
      </c>
      <c r="L235" s="35">
        <f t="shared" si="38"/>
        <v>0</v>
      </c>
      <c r="M235" s="2"/>
      <c r="O235" s="19"/>
      <c r="P235" s="19"/>
      <c r="Q235" s="19"/>
      <c r="R235" s="21"/>
      <c r="S235" s="46"/>
      <c r="T235" s="44"/>
      <c r="U235" s="77"/>
      <c r="V235" s="24"/>
      <c r="W235" s="24"/>
      <c r="X235" s="193"/>
      <c r="Y235" s="15"/>
    </row>
    <row r="236" spans="2:25" x14ac:dyDescent="0.25">
      <c r="B236" s="15">
        <v>234</v>
      </c>
      <c r="C236" s="8"/>
      <c r="E236" s="67"/>
      <c r="F236" s="16"/>
      <c r="G236" s="8"/>
      <c r="H236" s="8"/>
      <c r="I236" s="8"/>
      <c r="J236" s="9"/>
      <c r="K236" s="9">
        <f t="shared" si="37"/>
        <v>0</v>
      </c>
      <c r="L236" s="35">
        <f t="shared" si="38"/>
        <v>0</v>
      </c>
      <c r="M236" s="2"/>
      <c r="O236" s="19"/>
      <c r="P236" s="19"/>
      <c r="Q236" s="19"/>
      <c r="R236" s="21"/>
      <c r="S236" s="46"/>
      <c r="T236" s="44"/>
      <c r="U236" s="77"/>
      <c r="V236" s="24"/>
      <c r="W236" s="24"/>
      <c r="X236" s="193"/>
      <c r="Y236" s="15"/>
    </row>
    <row r="237" spans="2:25" x14ac:dyDescent="0.25">
      <c r="B237" s="15">
        <v>235</v>
      </c>
      <c r="C237" s="8"/>
      <c r="E237" s="67"/>
      <c r="F237" s="16"/>
      <c r="G237" s="8"/>
      <c r="H237" s="8"/>
      <c r="I237" s="8"/>
      <c r="J237" s="9"/>
      <c r="K237" s="9">
        <f t="shared" si="37"/>
        <v>0</v>
      </c>
      <c r="L237" s="35">
        <f t="shared" si="38"/>
        <v>0</v>
      </c>
      <c r="M237" s="2"/>
      <c r="O237" s="19"/>
      <c r="P237" s="19"/>
      <c r="Q237" s="19"/>
      <c r="R237" s="21"/>
      <c r="S237" s="46"/>
      <c r="T237" s="44"/>
      <c r="U237" s="77"/>
      <c r="V237" s="24"/>
      <c r="W237" s="24"/>
      <c r="X237" s="193"/>
      <c r="Y237" s="15"/>
    </row>
    <row r="238" spans="2:25" x14ac:dyDescent="0.25">
      <c r="B238" s="15">
        <v>236</v>
      </c>
      <c r="C238" s="8"/>
      <c r="E238" s="67"/>
      <c r="F238" s="16"/>
      <c r="G238" s="8"/>
      <c r="H238" s="8"/>
      <c r="I238" s="8"/>
      <c r="J238" s="9"/>
      <c r="K238" s="9">
        <f t="shared" si="37"/>
        <v>0</v>
      </c>
      <c r="L238" s="35">
        <f t="shared" si="38"/>
        <v>0</v>
      </c>
      <c r="M238" s="2"/>
      <c r="O238" s="19"/>
      <c r="P238" s="19"/>
      <c r="Q238" s="19"/>
      <c r="R238" s="21"/>
      <c r="S238" s="46"/>
      <c r="T238" s="44"/>
      <c r="U238" s="77"/>
      <c r="V238" s="30"/>
      <c r="W238" s="24"/>
      <c r="X238" s="193"/>
      <c r="Y238" s="15"/>
    </row>
    <row r="239" spans="2:25" x14ac:dyDescent="0.25">
      <c r="B239" s="15">
        <v>235</v>
      </c>
      <c r="C239" s="8"/>
      <c r="E239" s="67"/>
      <c r="F239" s="16"/>
      <c r="G239" s="8"/>
      <c r="H239" s="8"/>
      <c r="I239" s="8"/>
      <c r="J239" s="9"/>
      <c r="K239" s="9">
        <f t="shared" si="37"/>
        <v>0</v>
      </c>
      <c r="L239" s="35">
        <f t="shared" si="38"/>
        <v>0</v>
      </c>
      <c r="M239" s="2"/>
      <c r="O239" s="19"/>
      <c r="P239" s="19"/>
      <c r="Q239" s="19"/>
      <c r="R239" s="21"/>
      <c r="S239" s="46"/>
      <c r="T239" s="44"/>
      <c r="U239" s="77"/>
      <c r="V239" s="24"/>
      <c r="W239" s="24"/>
      <c r="X239" s="193"/>
      <c r="Y239" s="15"/>
    </row>
    <row r="240" spans="2:25" x14ac:dyDescent="0.25">
      <c r="B240" s="15">
        <v>238</v>
      </c>
      <c r="C240" s="8"/>
      <c r="E240" s="67"/>
      <c r="F240" s="16"/>
      <c r="G240" s="8"/>
      <c r="H240" s="8"/>
      <c r="I240" s="8"/>
      <c r="J240" s="9"/>
      <c r="K240" s="9">
        <f t="shared" si="37"/>
        <v>0</v>
      </c>
      <c r="L240" s="35">
        <f t="shared" si="38"/>
        <v>0</v>
      </c>
      <c r="M240" s="2"/>
      <c r="O240" s="19"/>
      <c r="P240" s="19"/>
      <c r="Q240" s="19"/>
      <c r="R240" s="21"/>
      <c r="S240" s="46"/>
      <c r="T240" s="44"/>
      <c r="U240" s="77"/>
      <c r="V240" s="24"/>
      <c r="W240" s="24"/>
      <c r="X240" s="193"/>
      <c r="Y240" s="15"/>
    </row>
    <row r="241" spans="2:25" x14ac:dyDescent="0.25">
      <c r="B241" s="15">
        <v>239</v>
      </c>
      <c r="C241" s="8"/>
      <c r="E241" s="67"/>
      <c r="F241" s="16"/>
      <c r="G241" s="8"/>
      <c r="H241" s="8"/>
      <c r="I241" s="8"/>
      <c r="J241" s="9"/>
      <c r="K241" s="9">
        <f t="shared" si="37"/>
        <v>0</v>
      </c>
      <c r="L241" s="35">
        <f t="shared" si="38"/>
        <v>0</v>
      </c>
      <c r="M241" s="2"/>
      <c r="O241" s="19"/>
      <c r="P241" s="19"/>
      <c r="Q241" s="19"/>
      <c r="R241" s="21"/>
      <c r="S241" s="46"/>
      <c r="T241" s="44"/>
      <c r="U241" s="77"/>
      <c r="V241" s="24"/>
      <c r="W241" s="24"/>
      <c r="X241" s="193"/>
      <c r="Y241" s="15"/>
    </row>
    <row r="242" spans="2:25" x14ac:dyDescent="0.25">
      <c r="B242" s="15">
        <v>240</v>
      </c>
      <c r="C242" s="8"/>
      <c r="E242" s="67"/>
      <c r="F242" s="16"/>
      <c r="G242" s="8"/>
      <c r="H242" s="8"/>
      <c r="I242" s="8"/>
      <c r="J242" s="9"/>
      <c r="K242" s="9">
        <f t="shared" si="37"/>
        <v>0</v>
      </c>
      <c r="L242" s="35">
        <f t="shared" si="38"/>
        <v>0</v>
      </c>
      <c r="M242" s="2"/>
      <c r="O242" s="19"/>
      <c r="P242" s="19"/>
      <c r="Q242" s="19"/>
      <c r="R242" s="21"/>
      <c r="S242" s="46"/>
      <c r="T242" s="44"/>
      <c r="U242" s="77"/>
      <c r="V242" s="24"/>
      <c r="W242" s="24"/>
      <c r="X242" s="193"/>
      <c r="Y242" s="15"/>
    </row>
    <row r="243" spans="2:25" x14ac:dyDescent="0.25">
      <c r="B243" s="15">
        <v>241</v>
      </c>
      <c r="C243" s="8"/>
      <c r="E243" s="67"/>
      <c r="F243" s="16"/>
      <c r="G243" s="8"/>
      <c r="H243" s="8"/>
      <c r="I243" s="8"/>
      <c r="J243" s="9"/>
      <c r="K243" s="9">
        <f t="shared" si="37"/>
        <v>0</v>
      </c>
      <c r="L243" s="35">
        <f t="shared" si="38"/>
        <v>0</v>
      </c>
      <c r="M243" s="2"/>
      <c r="O243" s="19"/>
      <c r="P243" s="19"/>
      <c r="Q243" s="19"/>
      <c r="R243" s="21"/>
      <c r="S243" s="46"/>
      <c r="T243" s="44"/>
      <c r="U243" s="77"/>
      <c r="V243" s="24"/>
      <c r="W243" s="24"/>
      <c r="X243" s="193"/>
      <c r="Y243" s="15"/>
    </row>
    <row r="244" spans="2:25" x14ac:dyDescent="0.25">
      <c r="B244" s="15">
        <v>242</v>
      </c>
      <c r="C244" s="8"/>
      <c r="E244" s="67"/>
      <c r="F244" s="16"/>
      <c r="G244" s="8"/>
      <c r="H244" s="8"/>
      <c r="I244" s="8"/>
      <c r="J244" s="9"/>
      <c r="K244" s="9">
        <f t="shared" si="37"/>
        <v>0</v>
      </c>
      <c r="L244" s="35">
        <f t="shared" si="38"/>
        <v>0</v>
      </c>
      <c r="M244" s="2"/>
      <c r="O244" s="19"/>
      <c r="P244" s="19"/>
      <c r="Q244" s="19"/>
      <c r="R244" s="21"/>
      <c r="S244" s="46"/>
      <c r="T244" s="44"/>
      <c r="U244" s="77"/>
      <c r="V244" s="30"/>
      <c r="W244" s="24"/>
      <c r="X244" s="193"/>
      <c r="Y244" s="15"/>
    </row>
    <row r="245" spans="2:25" x14ac:dyDescent="0.25">
      <c r="B245" s="15">
        <v>243</v>
      </c>
      <c r="C245" s="8"/>
      <c r="E245" s="67"/>
      <c r="F245" s="16"/>
      <c r="G245" s="8"/>
      <c r="H245" s="8"/>
      <c r="I245" s="8"/>
      <c r="J245" s="9"/>
      <c r="K245" s="9">
        <f t="shared" si="37"/>
        <v>0</v>
      </c>
      <c r="L245" s="35">
        <f t="shared" si="38"/>
        <v>0</v>
      </c>
      <c r="M245" s="2"/>
      <c r="O245" s="19"/>
      <c r="P245" s="19"/>
      <c r="Q245" s="19"/>
      <c r="R245" s="21"/>
      <c r="S245" s="46"/>
      <c r="T245" s="44"/>
      <c r="U245" s="77"/>
      <c r="V245" s="30"/>
      <c r="W245" s="24"/>
      <c r="X245" s="193"/>
      <c r="Y245" s="15"/>
    </row>
    <row r="246" spans="2:25" x14ac:dyDescent="0.25">
      <c r="B246" s="15">
        <v>244</v>
      </c>
      <c r="C246" s="8"/>
      <c r="E246" s="67"/>
      <c r="F246" s="16"/>
      <c r="G246" s="8"/>
      <c r="H246" s="8"/>
      <c r="I246" s="8"/>
      <c r="J246" s="9"/>
      <c r="K246" s="9">
        <f t="shared" si="37"/>
        <v>0</v>
      </c>
      <c r="L246" s="35">
        <f t="shared" si="38"/>
        <v>0</v>
      </c>
      <c r="M246" s="2"/>
      <c r="O246" s="19"/>
      <c r="P246" s="19"/>
      <c r="Q246" s="19"/>
      <c r="R246" s="21"/>
      <c r="S246" s="46"/>
      <c r="T246" s="44"/>
      <c r="U246" s="77"/>
      <c r="V246" s="30"/>
      <c r="W246" s="24"/>
      <c r="X246" s="193"/>
      <c r="Y246" s="15"/>
    </row>
    <row r="247" spans="2:25" x14ac:dyDescent="0.25">
      <c r="B247" s="15">
        <v>245</v>
      </c>
      <c r="C247" s="8"/>
      <c r="E247" s="67"/>
      <c r="F247" s="16"/>
      <c r="G247" s="8"/>
      <c r="H247" s="8"/>
      <c r="I247" s="8"/>
      <c r="J247" s="9"/>
      <c r="K247" s="9">
        <f t="shared" si="37"/>
        <v>0</v>
      </c>
      <c r="L247" s="35">
        <f t="shared" si="38"/>
        <v>0</v>
      </c>
      <c r="M247" s="2"/>
      <c r="O247" s="19"/>
      <c r="P247" s="19"/>
      <c r="Q247" s="19"/>
      <c r="R247" s="21"/>
      <c r="S247" s="46"/>
      <c r="T247" s="44"/>
      <c r="U247" s="77"/>
      <c r="V247" s="30"/>
      <c r="W247" s="24"/>
      <c r="X247" s="193"/>
      <c r="Y247" s="15"/>
    </row>
    <row r="248" spans="2:25" x14ac:dyDescent="0.25">
      <c r="B248" s="15">
        <v>246</v>
      </c>
      <c r="C248" s="8"/>
      <c r="E248" s="67"/>
      <c r="F248" s="16"/>
      <c r="G248" s="8"/>
      <c r="H248" s="8"/>
      <c r="I248" s="8"/>
      <c r="J248" s="9"/>
      <c r="K248" s="9">
        <f t="shared" si="37"/>
        <v>0</v>
      </c>
      <c r="L248" s="35">
        <f t="shared" si="38"/>
        <v>0</v>
      </c>
      <c r="M248" s="2"/>
      <c r="O248" s="19"/>
      <c r="P248" s="19"/>
      <c r="Q248" s="19"/>
      <c r="R248" s="21"/>
      <c r="S248" s="46"/>
      <c r="T248" s="44"/>
      <c r="U248" s="77"/>
      <c r="V248" s="24"/>
      <c r="W248" s="24"/>
      <c r="X248" s="193"/>
      <c r="Y248" s="15"/>
    </row>
    <row r="249" spans="2:25" x14ac:dyDescent="0.25">
      <c r="B249" s="15">
        <v>247</v>
      </c>
      <c r="C249" s="8"/>
      <c r="E249" s="67"/>
      <c r="F249" s="16"/>
      <c r="G249" s="8"/>
      <c r="H249" s="8"/>
      <c r="I249" s="8"/>
      <c r="J249" s="9"/>
      <c r="K249" s="9">
        <f t="shared" si="37"/>
        <v>0</v>
      </c>
      <c r="L249" s="35">
        <f t="shared" si="38"/>
        <v>0</v>
      </c>
      <c r="M249" s="2"/>
      <c r="O249" s="19"/>
      <c r="P249" s="19"/>
      <c r="Q249" s="19"/>
      <c r="R249" s="21"/>
      <c r="S249" s="46"/>
      <c r="T249" s="44"/>
      <c r="U249" s="77"/>
      <c r="V249" s="24"/>
      <c r="W249" s="24"/>
      <c r="X249" s="193"/>
      <c r="Y249" s="15"/>
    </row>
    <row r="250" spans="2:25" x14ac:dyDescent="0.25">
      <c r="B250" s="15">
        <v>246</v>
      </c>
      <c r="C250" s="8"/>
      <c r="E250" s="67"/>
      <c r="F250" s="16"/>
      <c r="G250" s="8"/>
      <c r="H250" s="8"/>
      <c r="I250" s="8"/>
      <c r="J250" s="9"/>
      <c r="K250" s="9">
        <f t="shared" si="37"/>
        <v>0</v>
      </c>
      <c r="L250" s="35">
        <f t="shared" si="38"/>
        <v>0</v>
      </c>
      <c r="M250" s="2"/>
      <c r="O250" s="19"/>
      <c r="P250" s="19"/>
      <c r="Q250" s="19"/>
      <c r="R250" s="21"/>
      <c r="S250" s="46"/>
      <c r="T250" s="44"/>
      <c r="U250" s="77"/>
      <c r="V250" s="24"/>
      <c r="W250" s="24"/>
      <c r="X250" s="193"/>
      <c r="Y250" s="15"/>
    </row>
    <row r="251" spans="2:25" x14ac:dyDescent="0.25">
      <c r="B251" s="15">
        <v>249</v>
      </c>
      <c r="C251" s="8"/>
      <c r="E251" s="67"/>
      <c r="F251" s="16"/>
      <c r="G251" s="8"/>
      <c r="H251" s="8"/>
      <c r="I251" s="8"/>
      <c r="J251" s="9"/>
      <c r="K251" s="9">
        <f t="shared" si="37"/>
        <v>0</v>
      </c>
      <c r="L251" s="35">
        <f t="shared" si="38"/>
        <v>0</v>
      </c>
      <c r="M251" s="2"/>
      <c r="O251" s="19"/>
      <c r="P251" s="19"/>
      <c r="Q251" s="19"/>
      <c r="R251" s="21"/>
      <c r="S251" s="46"/>
      <c r="T251" s="44"/>
      <c r="U251" s="77"/>
      <c r="V251" s="24"/>
      <c r="W251" s="24"/>
      <c r="X251" s="193"/>
      <c r="Y251" s="15"/>
    </row>
    <row r="252" spans="2:25" x14ac:dyDescent="0.25">
      <c r="B252" s="15">
        <v>250</v>
      </c>
      <c r="C252" s="8"/>
      <c r="E252" s="67"/>
      <c r="F252" s="16"/>
      <c r="G252" s="8"/>
      <c r="H252" s="8"/>
      <c r="I252" s="8"/>
      <c r="J252" s="9"/>
      <c r="K252" s="9">
        <f t="shared" si="37"/>
        <v>0</v>
      </c>
      <c r="L252" s="35">
        <f t="shared" si="38"/>
        <v>0</v>
      </c>
      <c r="M252" s="2"/>
      <c r="O252" s="19"/>
      <c r="P252" s="19"/>
      <c r="Q252" s="19"/>
      <c r="R252" s="21"/>
      <c r="S252" s="46"/>
      <c r="T252" s="44"/>
      <c r="U252" s="77"/>
      <c r="V252" s="30"/>
      <c r="W252" s="24"/>
      <c r="X252" s="193"/>
      <c r="Y252" s="15"/>
    </row>
    <row r="253" spans="2:25" x14ac:dyDescent="0.25">
      <c r="B253" s="15">
        <v>251</v>
      </c>
      <c r="C253" s="8"/>
      <c r="E253" s="67"/>
      <c r="F253" s="16"/>
      <c r="G253" s="8"/>
      <c r="H253" s="8"/>
      <c r="I253" s="8"/>
      <c r="J253" s="9"/>
      <c r="K253" s="9">
        <f t="shared" si="37"/>
        <v>0</v>
      </c>
      <c r="L253" s="35">
        <f t="shared" si="38"/>
        <v>0</v>
      </c>
      <c r="M253" s="2"/>
      <c r="O253" s="19"/>
      <c r="P253" s="19"/>
      <c r="Q253" s="19"/>
      <c r="R253" s="21"/>
      <c r="S253" s="46"/>
      <c r="T253" s="44"/>
      <c r="U253" s="77"/>
      <c r="V253" s="30"/>
      <c r="W253" s="24"/>
      <c r="X253" s="193"/>
      <c r="Y253" s="15"/>
    </row>
    <row r="254" spans="2:25" x14ac:dyDescent="0.25">
      <c r="B254" s="15">
        <v>252</v>
      </c>
      <c r="C254" s="8"/>
      <c r="E254" s="67"/>
      <c r="F254" s="16"/>
      <c r="G254" s="8"/>
      <c r="H254" s="8"/>
      <c r="I254" s="8"/>
      <c r="J254" s="9"/>
      <c r="K254" s="9">
        <f t="shared" si="37"/>
        <v>0</v>
      </c>
      <c r="L254" s="35">
        <f t="shared" si="38"/>
        <v>0</v>
      </c>
      <c r="M254" s="2"/>
      <c r="O254" s="19"/>
      <c r="P254" s="19"/>
      <c r="Q254" s="19"/>
      <c r="R254" s="21"/>
      <c r="S254" s="46"/>
      <c r="T254" s="44"/>
      <c r="U254" s="77"/>
      <c r="V254" s="24"/>
      <c r="W254" s="24"/>
      <c r="X254" s="193"/>
      <c r="Y254" s="15"/>
    </row>
    <row r="255" spans="2:25" x14ac:dyDescent="0.25">
      <c r="B255" s="15">
        <v>253</v>
      </c>
      <c r="C255" s="8"/>
      <c r="E255" s="67"/>
      <c r="F255" s="16"/>
      <c r="G255" s="8"/>
      <c r="H255" s="8"/>
      <c r="I255" s="8"/>
      <c r="J255" s="9"/>
      <c r="K255" s="9">
        <f t="shared" si="37"/>
        <v>0</v>
      </c>
      <c r="L255" s="35">
        <f t="shared" si="38"/>
        <v>0</v>
      </c>
      <c r="M255" s="2"/>
      <c r="O255" s="19"/>
      <c r="P255" s="19"/>
      <c r="Q255" s="19"/>
      <c r="R255" s="21"/>
      <c r="S255" s="46"/>
      <c r="T255" s="44"/>
      <c r="U255" s="77"/>
      <c r="V255" s="30"/>
      <c r="W255" s="24"/>
      <c r="X255" s="193"/>
      <c r="Y255" s="15"/>
    </row>
    <row r="256" spans="2:25" x14ac:dyDescent="0.25">
      <c r="B256" s="15">
        <v>254</v>
      </c>
      <c r="C256" s="8"/>
      <c r="E256" s="67"/>
      <c r="F256" s="16"/>
      <c r="G256" s="8"/>
      <c r="H256" s="8"/>
      <c r="I256" s="8"/>
      <c r="J256" s="9"/>
      <c r="K256" s="9">
        <f t="shared" si="37"/>
        <v>0</v>
      </c>
      <c r="L256" s="35">
        <f t="shared" si="38"/>
        <v>0</v>
      </c>
      <c r="M256" s="2"/>
      <c r="O256" s="19"/>
      <c r="P256" s="19"/>
      <c r="Q256" s="19"/>
      <c r="R256" s="21"/>
      <c r="S256" s="46"/>
      <c r="T256" s="44"/>
      <c r="U256" s="77"/>
      <c r="V256" s="24"/>
      <c r="W256" s="24"/>
      <c r="X256" s="193"/>
      <c r="Y256" s="15"/>
    </row>
    <row r="257" spans="2:25" x14ac:dyDescent="0.25">
      <c r="B257" s="15">
        <v>255</v>
      </c>
      <c r="C257" s="8"/>
      <c r="E257" s="67"/>
      <c r="F257" s="16"/>
      <c r="G257" s="8"/>
      <c r="H257" s="8"/>
      <c r="I257" s="8"/>
      <c r="J257" s="9"/>
      <c r="K257" s="9">
        <f t="shared" si="37"/>
        <v>0</v>
      </c>
      <c r="L257" s="35">
        <f t="shared" si="38"/>
        <v>0</v>
      </c>
      <c r="M257" s="2"/>
      <c r="O257" s="19"/>
      <c r="P257" s="19"/>
      <c r="Q257" s="19"/>
      <c r="R257" s="21"/>
      <c r="S257" s="46"/>
      <c r="T257" s="44"/>
      <c r="U257" s="77"/>
      <c r="V257" s="24"/>
      <c r="W257" s="24"/>
      <c r="X257" s="193"/>
      <c r="Y257" s="15"/>
    </row>
    <row r="258" spans="2:25" x14ac:dyDescent="0.25">
      <c r="B258" s="15">
        <v>256</v>
      </c>
      <c r="C258" s="8"/>
      <c r="E258" s="67"/>
      <c r="F258" s="16"/>
      <c r="G258" s="8"/>
      <c r="H258" s="8"/>
      <c r="I258" s="8"/>
      <c r="J258" s="9"/>
      <c r="K258" s="9">
        <f t="shared" si="37"/>
        <v>0</v>
      </c>
      <c r="L258" s="35">
        <f t="shared" si="38"/>
        <v>0</v>
      </c>
      <c r="M258" s="2"/>
      <c r="O258" s="19"/>
      <c r="P258" s="19"/>
      <c r="Q258" s="19"/>
      <c r="R258" s="21"/>
      <c r="S258" s="46"/>
      <c r="T258" s="44"/>
      <c r="U258" s="77"/>
      <c r="V258" s="24"/>
      <c r="W258" s="24"/>
      <c r="X258" s="193"/>
      <c r="Y258" s="15"/>
    </row>
    <row r="259" spans="2:25" x14ac:dyDescent="0.25">
      <c r="B259" s="15">
        <v>257</v>
      </c>
      <c r="C259" s="8"/>
      <c r="E259" s="67"/>
      <c r="F259" s="16"/>
      <c r="G259" s="8"/>
      <c r="H259" s="8"/>
      <c r="I259" s="8"/>
      <c r="J259" s="9"/>
      <c r="K259" s="9">
        <f t="shared" ref="K259:K322" si="39">J259*1.1</f>
        <v>0</v>
      </c>
      <c r="L259" s="35">
        <f t="shared" ref="L259:L322" si="40">J259*0.00000001</f>
        <v>0</v>
      </c>
      <c r="M259" s="2"/>
      <c r="O259" s="19"/>
      <c r="P259" s="19"/>
      <c r="Q259" s="19"/>
      <c r="R259" s="21"/>
      <c r="S259" s="46"/>
      <c r="T259" s="44"/>
      <c r="U259" s="77"/>
      <c r="V259" s="30"/>
      <c r="W259" s="24"/>
      <c r="X259" s="193"/>
      <c r="Y259" s="15"/>
    </row>
    <row r="260" spans="2:25" x14ac:dyDescent="0.25">
      <c r="B260" s="15">
        <v>258</v>
      </c>
      <c r="C260" s="8"/>
      <c r="E260" s="67"/>
      <c r="F260" s="16"/>
      <c r="G260" s="8"/>
      <c r="H260" s="8"/>
      <c r="I260" s="8"/>
      <c r="J260" s="9"/>
      <c r="K260" s="9">
        <f t="shared" si="39"/>
        <v>0</v>
      </c>
      <c r="L260" s="35">
        <f t="shared" si="40"/>
        <v>0</v>
      </c>
      <c r="M260" s="2"/>
      <c r="O260" s="19"/>
      <c r="P260" s="19"/>
      <c r="Q260" s="19"/>
      <c r="R260" s="21"/>
      <c r="S260" s="46"/>
      <c r="T260" s="44"/>
      <c r="U260" s="77"/>
      <c r="V260" s="30"/>
      <c r="W260" s="24"/>
      <c r="X260" s="193"/>
      <c r="Y260" s="15"/>
    </row>
    <row r="261" spans="2:25" x14ac:dyDescent="0.25">
      <c r="B261" s="15">
        <v>259</v>
      </c>
      <c r="C261" s="8"/>
      <c r="E261" s="67"/>
      <c r="F261" s="16"/>
      <c r="G261" s="8"/>
      <c r="H261" s="8"/>
      <c r="I261" s="8"/>
      <c r="J261" s="9"/>
      <c r="K261" s="9">
        <f t="shared" si="39"/>
        <v>0</v>
      </c>
      <c r="L261" s="35">
        <f t="shared" si="40"/>
        <v>0</v>
      </c>
      <c r="M261" s="2"/>
      <c r="O261" s="19"/>
      <c r="P261" s="19"/>
      <c r="Q261" s="19"/>
      <c r="R261" s="21"/>
      <c r="S261" s="46"/>
      <c r="T261" s="44"/>
      <c r="U261" s="77"/>
      <c r="V261" s="24"/>
      <c r="W261" s="24"/>
      <c r="X261" s="193"/>
      <c r="Y261" s="15"/>
    </row>
    <row r="262" spans="2:25" x14ac:dyDescent="0.25">
      <c r="B262" s="15">
        <v>260</v>
      </c>
      <c r="C262" s="8"/>
      <c r="E262" s="67"/>
      <c r="F262" s="16"/>
      <c r="G262" s="8"/>
      <c r="H262" s="8"/>
      <c r="I262" s="8"/>
      <c r="J262" s="9"/>
      <c r="K262" s="9">
        <f t="shared" si="39"/>
        <v>0</v>
      </c>
      <c r="L262" s="35">
        <f t="shared" si="40"/>
        <v>0</v>
      </c>
      <c r="M262" s="2"/>
      <c r="O262" s="19"/>
      <c r="P262" s="19"/>
      <c r="Q262" s="19"/>
      <c r="R262" s="21"/>
      <c r="S262" s="46"/>
      <c r="T262" s="44"/>
      <c r="U262" s="77"/>
      <c r="V262" s="24"/>
      <c r="W262" s="24"/>
      <c r="X262" s="193"/>
      <c r="Y262" s="15"/>
    </row>
    <row r="263" spans="2:25" x14ac:dyDescent="0.25">
      <c r="B263" s="15">
        <v>261</v>
      </c>
      <c r="C263" s="8"/>
      <c r="E263" s="67"/>
      <c r="F263" s="16"/>
      <c r="G263" s="8"/>
      <c r="H263" s="8"/>
      <c r="I263" s="8"/>
      <c r="J263" s="9"/>
      <c r="K263" s="9">
        <f t="shared" si="39"/>
        <v>0</v>
      </c>
      <c r="L263" s="35">
        <f t="shared" si="40"/>
        <v>0</v>
      </c>
      <c r="M263" s="2"/>
      <c r="O263" s="19"/>
      <c r="P263" s="19"/>
      <c r="Q263" s="19"/>
      <c r="R263" s="21"/>
      <c r="S263" s="46"/>
      <c r="T263" s="44"/>
      <c r="U263" s="77"/>
      <c r="V263" s="24"/>
      <c r="W263" s="24"/>
      <c r="X263" s="193"/>
      <c r="Y263" s="15"/>
    </row>
    <row r="264" spans="2:25" x14ac:dyDescent="0.25">
      <c r="B264" s="15">
        <v>262</v>
      </c>
      <c r="C264" s="8"/>
      <c r="E264" s="67"/>
      <c r="F264" s="16"/>
      <c r="G264" s="8"/>
      <c r="H264" s="8"/>
      <c r="I264" s="8"/>
      <c r="J264" s="9"/>
      <c r="K264" s="9">
        <f t="shared" si="39"/>
        <v>0</v>
      </c>
      <c r="L264" s="35">
        <f t="shared" si="40"/>
        <v>0</v>
      </c>
      <c r="M264" s="2"/>
      <c r="O264" s="19"/>
      <c r="P264" s="19"/>
      <c r="Q264" s="19"/>
      <c r="R264" s="21"/>
      <c r="S264" s="46"/>
      <c r="T264" s="44"/>
      <c r="U264" s="77"/>
      <c r="V264" s="24"/>
      <c r="W264" s="24"/>
      <c r="X264" s="193"/>
      <c r="Y264" s="15"/>
    </row>
    <row r="265" spans="2:25" x14ac:dyDescent="0.25">
      <c r="B265" s="15">
        <v>263</v>
      </c>
      <c r="C265" s="8"/>
      <c r="E265" s="67"/>
      <c r="F265" s="16"/>
      <c r="G265" s="8"/>
      <c r="H265" s="8"/>
      <c r="I265" s="8"/>
      <c r="J265" s="9"/>
      <c r="K265" s="9">
        <f t="shared" si="39"/>
        <v>0</v>
      </c>
      <c r="L265" s="35">
        <f t="shared" si="40"/>
        <v>0</v>
      </c>
      <c r="M265" s="2"/>
      <c r="O265" s="19"/>
      <c r="P265" s="19"/>
      <c r="Q265" s="19"/>
      <c r="R265" s="21"/>
      <c r="S265" s="46"/>
      <c r="T265" s="44"/>
      <c r="U265" s="77"/>
      <c r="V265" s="24"/>
      <c r="W265" s="24"/>
      <c r="X265" s="193"/>
      <c r="Y265" s="15"/>
    </row>
    <row r="266" spans="2:25" x14ac:dyDescent="0.25">
      <c r="B266" s="15">
        <v>264</v>
      </c>
      <c r="C266" s="8"/>
      <c r="E266" s="67"/>
      <c r="F266" s="16"/>
      <c r="G266" s="8"/>
      <c r="H266" s="8"/>
      <c r="I266" s="8"/>
      <c r="J266" s="9"/>
      <c r="K266" s="9">
        <f t="shared" si="39"/>
        <v>0</v>
      </c>
      <c r="L266" s="35">
        <f t="shared" si="40"/>
        <v>0</v>
      </c>
      <c r="M266" s="2"/>
      <c r="O266" s="19"/>
      <c r="P266" s="19"/>
      <c r="Q266" s="19"/>
      <c r="R266" s="21"/>
      <c r="S266" s="46"/>
      <c r="T266" s="44"/>
      <c r="U266" s="77"/>
      <c r="V266" s="30"/>
      <c r="W266" s="24"/>
      <c r="X266" s="193"/>
      <c r="Y266" s="15"/>
    </row>
    <row r="267" spans="2:25" x14ac:dyDescent="0.25">
      <c r="B267" s="15">
        <v>265</v>
      </c>
      <c r="C267" s="8"/>
      <c r="E267" s="67"/>
      <c r="F267" s="16"/>
      <c r="G267" s="8"/>
      <c r="H267" s="8"/>
      <c r="I267" s="8"/>
      <c r="J267" s="9"/>
      <c r="K267" s="9">
        <f t="shared" si="39"/>
        <v>0</v>
      </c>
      <c r="L267" s="35">
        <f t="shared" si="40"/>
        <v>0</v>
      </c>
      <c r="M267" s="2"/>
      <c r="O267" s="19"/>
      <c r="P267" s="19"/>
      <c r="Q267" s="19"/>
      <c r="R267" s="21"/>
      <c r="S267" s="46"/>
      <c r="T267" s="44"/>
      <c r="U267" s="77"/>
      <c r="V267" s="30"/>
      <c r="W267" s="24"/>
      <c r="X267" s="193"/>
      <c r="Y267" s="15"/>
    </row>
    <row r="268" spans="2:25" x14ac:dyDescent="0.25">
      <c r="B268" s="15">
        <v>266</v>
      </c>
      <c r="C268" s="8"/>
      <c r="E268" s="67"/>
      <c r="F268" s="16"/>
      <c r="G268" s="8"/>
      <c r="H268" s="8"/>
      <c r="I268" s="8"/>
      <c r="J268" s="9"/>
      <c r="K268" s="9">
        <f t="shared" si="39"/>
        <v>0</v>
      </c>
      <c r="L268" s="35">
        <f t="shared" si="40"/>
        <v>0</v>
      </c>
      <c r="M268" s="2"/>
      <c r="O268" s="19"/>
      <c r="P268" s="19"/>
      <c r="Q268" s="19"/>
      <c r="R268" s="21"/>
      <c r="S268" s="46"/>
      <c r="T268" s="44"/>
      <c r="U268" s="77"/>
      <c r="V268" s="30"/>
      <c r="W268" s="24"/>
      <c r="X268" s="193"/>
      <c r="Y268" s="15"/>
    </row>
    <row r="269" spans="2:25" x14ac:dyDescent="0.25">
      <c r="B269" s="15">
        <v>267</v>
      </c>
      <c r="C269" s="8"/>
      <c r="E269" s="67"/>
      <c r="F269" s="16"/>
      <c r="G269" s="8"/>
      <c r="H269" s="8"/>
      <c r="I269" s="8"/>
      <c r="J269" s="9"/>
      <c r="K269" s="9">
        <f t="shared" si="39"/>
        <v>0</v>
      </c>
      <c r="L269" s="35">
        <f t="shared" si="40"/>
        <v>0</v>
      </c>
      <c r="M269" s="2"/>
      <c r="O269" s="19"/>
      <c r="P269" s="19"/>
      <c r="Q269" s="19"/>
      <c r="R269" s="21"/>
      <c r="S269" s="46"/>
      <c r="T269" s="44"/>
      <c r="U269" s="77"/>
      <c r="V269" s="30"/>
      <c r="W269" s="24"/>
      <c r="X269" s="193"/>
      <c r="Y269" s="15"/>
    </row>
    <row r="270" spans="2:25" x14ac:dyDescent="0.25">
      <c r="B270" s="15">
        <v>268</v>
      </c>
      <c r="C270" s="8"/>
      <c r="E270" s="67"/>
      <c r="F270" s="16"/>
      <c r="G270" s="8"/>
      <c r="H270" s="8"/>
      <c r="I270" s="8"/>
      <c r="J270" s="9"/>
      <c r="K270" s="9">
        <f t="shared" si="39"/>
        <v>0</v>
      </c>
      <c r="L270" s="35">
        <f t="shared" si="40"/>
        <v>0</v>
      </c>
      <c r="M270" s="2"/>
      <c r="O270" s="19"/>
      <c r="P270" s="19"/>
      <c r="Q270" s="19"/>
      <c r="R270" s="21"/>
      <c r="S270" s="46"/>
      <c r="T270" s="44"/>
      <c r="U270" s="77"/>
      <c r="V270" s="24"/>
      <c r="W270" s="24"/>
      <c r="X270" s="193"/>
      <c r="Y270" s="15"/>
    </row>
    <row r="271" spans="2:25" x14ac:dyDescent="0.25">
      <c r="B271" s="15">
        <v>269</v>
      </c>
      <c r="C271" s="8"/>
      <c r="E271" s="67"/>
      <c r="F271" s="16"/>
      <c r="G271" s="8"/>
      <c r="H271" s="8"/>
      <c r="I271" s="8"/>
      <c r="J271" s="9"/>
      <c r="K271" s="9">
        <f t="shared" si="39"/>
        <v>0</v>
      </c>
      <c r="L271" s="35">
        <f t="shared" si="40"/>
        <v>0</v>
      </c>
      <c r="M271" s="2"/>
      <c r="O271" s="19"/>
      <c r="P271" s="19"/>
      <c r="Q271" s="19"/>
      <c r="R271" s="21"/>
      <c r="S271" s="46"/>
      <c r="T271" s="44"/>
      <c r="U271" s="77"/>
      <c r="V271" s="24"/>
      <c r="W271" s="24"/>
      <c r="X271" s="193"/>
      <c r="Y271" s="15"/>
    </row>
    <row r="272" spans="2:25" x14ac:dyDescent="0.25">
      <c r="B272" s="15">
        <v>270</v>
      </c>
      <c r="C272" s="8"/>
      <c r="E272" s="67"/>
      <c r="F272" s="16"/>
      <c r="G272" s="8"/>
      <c r="H272" s="8"/>
      <c r="I272" s="8"/>
      <c r="J272" s="9"/>
      <c r="K272" s="9">
        <f t="shared" si="39"/>
        <v>0</v>
      </c>
      <c r="L272" s="35">
        <f t="shared" si="40"/>
        <v>0</v>
      </c>
      <c r="M272" s="2"/>
      <c r="O272" s="19"/>
      <c r="P272" s="19"/>
      <c r="Q272" s="19"/>
      <c r="R272" s="21"/>
      <c r="S272" s="46"/>
      <c r="T272" s="44"/>
      <c r="U272" s="77"/>
      <c r="V272" s="24"/>
      <c r="W272" s="24"/>
      <c r="X272" s="193"/>
      <c r="Y272" s="15"/>
    </row>
    <row r="273" spans="2:25" x14ac:dyDescent="0.25">
      <c r="B273" s="15">
        <v>271</v>
      </c>
      <c r="C273" s="8"/>
      <c r="E273" s="67"/>
      <c r="F273" s="16"/>
      <c r="G273" s="8"/>
      <c r="H273" s="8"/>
      <c r="I273" s="8"/>
      <c r="J273" s="9"/>
      <c r="K273" s="9">
        <f t="shared" si="39"/>
        <v>0</v>
      </c>
      <c r="L273" s="35">
        <f t="shared" si="40"/>
        <v>0</v>
      </c>
      <c r="M273" s="2"/>
      <c r="O273" s="19"/>
      <c r="P273" s="19"/>
      <c r="Q273" s="19"/>
      <c r="R273" s="21"/>
      <c r="S273" s="46"/>
      <c r="T273" s="44"/>
      <c r="U273" s="77"/>
      <c r="V273" s="24"/>
      <c r="W273" s="24"/>
      <c r="X273" s="193"/>
      <c r="Y273" s="15"/>
    </row>
    <row r="274" spans="2:25" x14ac:dyDescent="0.25">
      <c r="B274" s="15">
        <v>272</v>
      </c>
      <c r="C274" s="8"/>
      <c r="E274" s="67"/>
      <c r="F274" s="16"/>
      <c r="G274" s="8"/>
      <c r="H274" s="8"/>
      <c r="I274" s="8"/>
      <c r="J274" s="9"/>
      <c r="K274" s="9">
        <f t="shared" si="39"/>
        <v>0</v>
      </c>
      <c r="L274" s="35">
        <f t="shared" si="40"/>
        <v>0</v>
      </c>
      <c r="M274" s="2"/>
      <c r="O274" s="19"/>
      <c r="P274" s="19"/>
      <c r="Q274" s="19"/>
      <c r="R274" s="21"/>
      <c r="S274" s="46"/>
      <c r="T274" s="44"/>
      <c r="U274" s="77"/>
      <c r="V274" s="24"/>
      <c r="W274" s="24"/>
      <c r="X274" s="193"/>
      <c r="Y274" s="15"/>
    </row>
    <row r="275" spans="2:25" x14ac:dyDescent="0.25">
      <c r="B275" s="15">
        <v>273</v>
      </c>
      <c r="C275" s="8"/>
      <c r="E275" s="67"/>
      <c r="F275" s="16"/>
      <c r="G275" s="8"/>
      <c r="H275" s="8"/>
      <c r="I275" s="8"/>
      <c r="J275" s="9"/>
      <c r="K275" s="9">
        <f t="shared" si="39"/>
        <v>0</v>
      </c>
      <c r="L275" s="35">
        <f t="shared" si="40"/>
        <v>0</v>
      </c>
      <c r="M275" s="2"/>
      <c r="O275" s="19"/>
      <c r="P275" s="19"/>
      <c r="Q275" s="19"/>
      <c r="R275" s="21"/>
      <c r="S275" s="46"/>
      <c r="T275" s="44"/>
      <c r="U275" s="77"/>
      <c r="V275" s="30"/>
      <c r="W275" s="24"/>
      <c r="X275" s="193"/>
      <c r="Y275" s="15"/>
    </row>
    <row r="276" spans="2:25" x14ac:dyDescent="0.25">
      <c r="B276" s="15">
        <v>274</v>
      </c>
      <c r="C276" s="8"/>
      <c r="E276" s="67"/>
      <c r="F276" s="16"/>
      <c r="G276" s="8"/>
      <c r="H276" s="8"/>
      <c r="I276" s="8"/>
      <c r="J276" s="9"/>
      <c r="K276" s="9">
        <f t="shared" si="39"/>
        <v>0</v>
      </c>
      <c r="L276" s="35">
        <f t="shared" si="40"/>
        <v>0</v>
      </c>
      <c r="M276" s="2"/>
      <c r="O276" s="19"/>
      <c r="P276" s="19"/>
      <c r="Q276" s="19"/>
      <c r="R276" s="21"/>
      <c r="S276" s="46"/>
      <c r="T276" s="44"/>
      <c r="U276" s="77"/>
      <c r="V276" s="30"/>
      <c r="W276" s="24"/>
      <c r="X276" s="193"/>
      <c r="Y276" s="15"/>
    </row>
    <row r="277" spans="2:25" x14ac:dyDescent="0.25">
      <c r="B277" s="15">
        <v>275</v>
      </c>
      <c r="C277" s="8"/>
      <c r="E277" s="67"/>
      <c r="F277" s="16"/>
      <c r="G277" s="8"/>
      <c r="H277" s="8"/>
      <c r="I277" s="8"/>
      <c r="J277" s="9"/>
      <c r="K277" s="9">
        <f t="shared" si="39"/>
        <v>0</v>
      </c>
      <c r="L277" s="35">
        <f t="shared" si="40"/>
        <v>0</v>
      </c>
      <c r="M277" s="2"/>
      <c r="O277" s="19"/>
      <c r="P277" s="19"/>
      <c r="Q277" s="19"/>
      <c r="R277" s="21"/>
      <c r="S277" s="46"/>
      <c r="T277" s="44"/>
      <c r="U277" s="77"/>
      <c r="V277" s="24"/>
      <c r="W277" s="24"/>
      <c r="X277" s="193"/>
      <c r="Y277" s="15"/>
    </row>
    <row r="278" spans="2:25" x14ac:dyDescent="0.25">
      <c r="B278" s="15">
        <v>276</v>
      </c>
      <c r="C278" s="8"/>
      <c r="E278" s="67"/>
      <c r="F278" s="16"/>
      <c r="G278" s="8"/>
      <c r="H278" s="8"/>
      <c r="I278" s="8"/>
      <c r="J278" s="9"/>
      <c r="K278" s="9">
        <f t="shared" si="39"/>
        <v>0</v>
      </c>
      <c r="L278" s="35">
        <f t="shared" si="40"/>
        <v>0</v>
      </c>
      <c r="M278" s="2"/>
      <c r="O278" s="19"/>
      <c r="P278" s="19"/>
      <c r="Q278" s="19"/>
      <c r="R278" s="21"/>
      <c r="S278" s="46"/>
      <c r="T278" s="44"/>
      <c r="U278" s="77"/>
      <c r="V278" s="24"/>
      <c r="W278" s="24"/>
      <c r="X278" s="193"/>
      <c r="Y278" s="15"/>
    </row>
    <row r="279" spans="2:25" x14ac:dyDescent="0.25">
      <c r="B279" s="15">
        <v>277</v>
      </c>
      <c r="C279" s="8"/>
      <c r="E279" s="67"/>
      <c r="F279" s="16"/>
      <c r="G279" s="8"/>
      <c r="H279" s="8"/>
      <c r="I279" s="8"/>
      <c r="J279" s="9"/>
      <c r="K279" s="9">
        <f t="shared" si="39"/>
        <v>0</v>
      </c>
      <c r="L279" s="35">
        <f t="shared" si="40"/>
        <v>0</v>
      </c>
      <c r="M279" s="2"/>
      <c r="O279" s="19"/>
      <c r="P279" s="19"/>
      <c r="Q279" s="19"/>
      <c r="R279" s="21"/>
      <c r="S279" s="46"/>
      <c r="T279" s="44"/>
      <c r="U279" s="77"/>
      <c r="V279" s="24"/>
      <c r="W279" s="24"/>
      <c r="X279" s="193"/>
      <c r="Y279" s="15"/>
    </row>
    <row r="280" spans="2:25" x14ac:dyDescent="0.25">
      <c r="B280" s="15">
        <v>278</v>
      </c>
      <c r="C280" s="8"/>
      <c r="E280" s="67"/>
      <c r="F280" s="16"/>
      <c r="G280" s="8"/>
      <c r="H280" s="8"/>
      <c r="I280" s="8"/>
      <c r="J280" s="9"/>
      <c r="K280" s="9">
        <f t="shared" si="39"/>
        <v>0</v>
      </c>
      <c r="L280" s="35">
        <f t="shared" si="40"/>
        <v>0</v>
      </c>
      <c r="M280" s="2"/>
      <c r="O280" s="19"/>
      <c r="P280" s="19"/>
      <c r="Q280" s="19"/>
      <c r="R280" s="21"/>
      <c r="S280" s="46"/>
      <c r="T280" s="44"/>
      <c r="U280" s="77"/>
      <c r="V280" s="24"/>
      <c r="W280" s="24"/>
      <c r="X280" s="193"/>
      <c r="Y280" s="15"/>
    </row>
    <row r="281" spans="2:25" x14ac:dyDescent="0.25">
      <c r="B281" s="15">
        <v>279</v>
      </c>
      <c r="C281" s="8"/>
      <c r="E281" s="67"/>
      <c r="F281" s="16"/>
      <c r="G281" s="8"/>
      <c r="H281" s="8"/>
      <c r="I281" s="8"/>
      <c r="J281" s="9"/>
      <c r="K281" s="9">
        <f t="shared" si="39"/>
        <v>0</v>
      </c>
      <c r="L281" s="35">
        <f t="shared" si="40"/>
        <v>0</v>
      </c>
      <c r="M281" s="2"/>
      <c r="O281" s="19"/>
      <c r="P281" s="19"/>
      <c r="Q281" s="19"/>
      <c r="R281" s="21"/>
      <c r="S281" s="46"/>
      <c r="T281" s="44"/>
      <c r="U281" s="77"/>
      <c r="V281" s="24"/>
      <c r="W281" s="24"/>
      <c r="X281" s="193"/>
      <c r="Y281" s="15"/>
    </row>
    <row r="282" spans="2:25" x14ac:dyDescent="0.25">
      <c r="B282" s="15">
        <v>280</v>
      </c>
      <c r="C282" s="8"/>
      <c r="E282" s="67"/>
      <c r="F282" s="16"/>
      <c r="G282" s="8"/>
      <c r="H282" s="8"/>
      <c r="I282" s="8"/>
      <c r="J282" s="9"/>
      <c r="K282" s="9">
        <f t="shared" si="39"/>
        <v>0</v>
      </c>
      <c r="L282" s="35">
        <f t="shared" si="40"/>
        <v>0</v>
      </c>
      <c r="M282" s="2"/>
      <c r="O282" s="19"/>
      <c r="P282" s="19"/>
      <c r="Q282" s="19"/>
      <c r="R282" s="21"/>
      <c r="S282" s="46"/>
      <c r="T282" s="44"/>
      <c r="U282" s="77"/>
      <c r="V282" s="30"/>
      <c r="W282" s="24"/>
      <c r="X282" s="193"/>
      <c r="Y282" s="15"/>
    </row>
    <row r="283" spans="2:25" x14ac:dyDescent="0.25">
      <c r="B283" s="15">
        <v>281</v>
      </c>
      <c r="C283" s="8"/>
      <c r="E283" s="67"/>
      <c r="F283" s="16"/>
      <c r="G283" s="8"/>
      <c r="H283" s="8"/>
      <c r="I283" s="8"/>
      <c r="J283" s="9"/>
      <c r="K283" s="9">
        <f t="shared" si="39"/>
        <v>0</v>
      </c>
      <c r="L283" s="35">
        <f t="shared" si="40"/>
        <v>0</v>
      </c>
      <c r="M283" s="2"/>
      <c r="O283" s="19"/>
      <c r="P283" s="19"/>
      <c r="Q283" s="19"/>
      <c r="R283" s="21"/>
      <c r="S283" s="46"/>
      <c r="T283" s="44"/>
      <c r="U283" s="77"/>
      <c r="V283" s="30"/>
      <c r="W283" s="24"/>
      <c r="X283" s="193"/>
      <c r="Y283" s="15"/>
    </row>
    <row r="284" spans="2:25" x14ac:dyDescent="0.25">
      <c r="B284" s="15">
        <v>282</v>
      </c>
      <c r="C284" s="8"/>
      <c r="E284" s="67"/>
      <c r="F284" s="16"/>
      <c r="G284" s="8"/>
      <c r="H284" s="8"/>
      <c r="I284" s="8"/>
      <c r="J284" s="9"/>
      <c r="K284" s="9">
        <f t="shared" si="39"/>
        <v>0</v>
      </c>
      <c r="L284" s="35">
        <f t="shared" si="40"/>
        <v>0</v>
      </c>
      <c r="M284" s="2"/>
      <c r="O284" s="19"/>
      <c r="P284" s="19"/>
      <c r="Q284" s="19"/>
      <c r="R284" s="21"/>
      <c r="S284" s="46"/>
      <c r="T284" s="44"/>
      <c r="U284" s="77"/>
      <c r="V284" s="30"/>
      <c r="W284" s="24"/>
      <c r="X284" s="193"/>
      <c r="Y284" s="15"/>
    </row>
    <row r="285" spans="2:25" x14ac:dyDescent="0.25">
      <c r="B285" s="15">
        <v>283</v>
      </c>
      <c r="C285" s="8"/>
      <c r="E285" s="67"/>
      <c r="K285" s="9">
        <f t="shared" si="39"/>
        <v>0</v>
      </c>
      <c r="L285" s="35">
        <f t="shared" si="40"/>
        <v>0</v>
      </c>
      <c r="S285" s="5"/>
      <c r="T285" s="44"/>
      <c r="U285" s="77"/>
      <c r="V285" s="79"/>
      <c r="W285" s="24"/>
      <c r="X285" s="193"/>
      <c r="Y285" s="15"/>
    </row>
    <row r="286" spans="2:25" x14ac:dyDescent="0.25">
      <c r="B286" s="15">
        <v>284</v>
      </c>
      <c r="C286" s="8"/>
      <c r="K286" s="9">
        <f t="shared" si="39"/>
        <v>0</v>
      </c>
      <c r="L286" s="35">
        <f t="shared" si="40"/>
        <v>0</v>
      </c>
      <c r="T286" s="44"/>
      <c r="U286" s="77"/>
      <c r="V286" s="79"/>
      <c r="W286" s="24"/>
      <c r="X286" s="193"/>
      <c r="Y286" s="15"/>
    </row>
    <row r="287" spans="2:25" x14ac:dyDescent="0.25">
      <c r="B287" s="15">
        <v>285</v>
      </c>
      <c r="C287" s="8"/>
      <c r="K287" s="9">
        <f t="shared" si="39"/>
        <v>0</v>
      </c>
      <c r="L287" s="35">
        <f t="shared" si="40"/>
        <v>0</v>
      </c>
      <c r="T287" s="44"/>
      <c r="U287" s="77"/>
      <c r="V287" s="79"/>
      <c r="W287" s="24"/>
      <c r="X287" s="193"/>
      <c r="Y287" s="15"/>
    </row>
    <row r="288" spans="2:25" x14ac:dyDescent="0.25">
      <c r="B288" s="15">
        <v>286</v>
      </c>
      <c r="C288" s="8"/>
      <c r="K288" s="9">
        <f t="shared" si="39"/>
        <v>0</v>
      </c>
      <c r="L288" s="35">
        <f t="shared" si="40"/>
        <v>0</v>
      </c>
      <c r="T288" s="44"/>
      <c r="U288" s="77"/>
      <c r="V288" s="79"/>
      <c r="W288" s="24"/>
      <c r="X288" s="193"/>
      <c r="Y288" s="15"/>
    </row>
    <row r="289" spans="2:25" x14ac:dyDescent="0.25">
      <c r="B289" s="15">
        <v>287</v>
      </c>
      <c r="C289" s="8"/>
      <c r="K289" s="9">
        <f t="shared" si="39"/>
        <v>0</v>
      </c>
      <c r="L289" s="35">
        <f t="shared" si="40"/>
        <v>0</v>
      </c>
      <c r="T289" s="44"/>
      <c r="U289" s="77"/>
      <c r="V289" s="79"/>
      <c r="W289" s="24"/>
      <c r="X289" s="193"/>
      <c r="Y289" s="15"/>
    </row>
    <row r="290" spans="2:25" x14ac:dyDescent="0.25">
      <c r="B290" s="15">
        <v>288</v>
      </c>
      <c r="C290" s="8"/>
      <c r="K290" s="9">
        <f t="shared" si="39"/>
        <v>0</v>
      </c>
      <c r="L290" s="35">
        <f t="shared" si="40"/>
        <v>0</v>
      </c>
      <c r="T290" s="44"/>
      <c r="U290" s="77"/>
      <c r="V290" s="79"/>
      <c r="W290" s="24"/>
      <c r="X290" s="193"/>
      <c r="Y290" s="15"/>
    </row>
    <row r="291" spans="2:25" x14ac:dyDescent="0.25">
      <c r="B291" s="15">
        <v>289</v>
      </c>
      <c r="C291" s="8"/>
      <c r="K291" s="9">
        <f t="shared" si="39"/>
        <v>0</v>
      </c>
      <c r="L291" s="35">
        <f t="shared" si="40"/>
        <v>0</v>
      </c>
      <c r="T291" s="44"/>
      <c r="U291" s="77"/>
      <c r="V291" s="79"/>
      <c r="W291" s="24"/>
      <c r="X291" s="193"/>
      <c r="Y291" s="15"/>
    </row>
    <row r="292" spans="2:25" x14ac:dyDescent="0.25">
      <c r="B292" s="15">
        <v>290</v>
      </c>
      <c r="C292" s="8"/>
      <c r="K292" s="9">
        <f t="shared" si="39"/>
        <v>0</v>
      </c>
      <c r="L292" s="35">
        <f t="shared" si="40"/>
        <v>0</v>
      </c>
      <c r="T292" s="44"/>
      <c r="U292" s="77"/>
      <c r="V292" s="79"/>
      <c r="W292" s="24"/>
      <c r="X292" s="193"/>
      <c r="Y292" s="15"/>
    </row>
    <row r="293" spans="2:25" x14ac:dyDescent="0.25">
      <c r="B293" s="15">
        <v>291</v>
      </c>
      <c r="C293" s="8"/>
      <c r="K293" s="9">
        <f t="shared" si="39"/>
        <v>0</v>
      </c>
      <c r="L293" s="35">
        <f t="shared" si="40"/>
        <v>0</v>
      </c>
      <c r="T293" s="44"/>
      <c r="U293" s="77"/>
      <c r="V293" s="79"/>
      <c r="W293" s="24"/>
      <c r="X293" s="193"/>
      <c r="Y293" s="15"/>
    </row>
    <row r="294" spans="2:25" x14ac:dyDescent="0.25">
      <c r="B294" s="15">
        <v>292</v>
      </c>
      <c r="C294" s="8"/>
      <c r="K294" s="9">
        <f t="shared" si="39"/>
        <v>0</v>
      </c>
      <c r="L294" s="35">
        <f t="shared" si="40"/>
        <v>0</v>
      </c>
      <c r="T294" s="44"/>
      <c r="U294" s="77"/>
      <c r="V294" s="79"/>
      <c r="W294" s="24"/>
      <c r="X294" s="193"/>
      <c r="Y294" s="15"/>
    </row>
    <row r="295" spans="2:25" x14ac:dyDescent="0.25">
      <c r="B295" s="15">
        <v>293</v>
      </c>
      <c r="C295" s="8"/>
      <c r="K295" s="9">
        <f t="shared" si="39"/>
        <v>0</v>
      </c>
      <c r="L295" s="35">
        <f t="shared" si="40"/>
        <v>0</v>
      </c>
      <c r="T295" s="44"/>
      <c r="U295" s="77"/>
      <c r="V295" s="79"/>
      <c r="W295" s="24"/>
      <c r="X295" s="193"/>
      <c r="Y295" s="15"/>
    </row>
    <row r="296" spans="2:25" x14ac:dyDescent="0.25">
      <c r="B296" s="15">
        <v>294</v>
      </c>
      <c r="C296" s="8"/>
      <c r="K296" s="9">
        <f t="shared" si="39"/>
        <v>0</v>
      </c>
      <c r="L296" s="35">
        <f t="shared" si="40"/>
        <v>0</v>
      </c>
      <c r="T296" s="44"/>
      <c r="U296" s="77"/>
      <c r="V296" s="79"/>
      <c r="W296" s="24"/>
      <c r="X296" s="193"/>
      <c r="Y296" s="15"/>
    </row>
    <row r="297" spans="2:25" x14ac:dyDescent="0.25">
      <c r="B297" s="15">
        <v>295</v>
      </c>
      <c r="C297" s="8"/>
      <c r="K297" s="9">
        <f t="shared" si="39"/>
        <v>0</v>
      </c>
      <c r="L297" s="35">
        <f t="shared" si="40"/>
        <v>0</v>
      </c>
      <c r="T297" s="44"/>
      <c r="U297" s="77"/>
      <c r="V297" s="79"/>
      <c r="W297" s="24"/>
      <c r="X297" s="193"/>
      <c r="Y297" s="15"/>
    </row>
    <row r="298" spans="2:25" x14ac:dyDescent="0.25">
      <c r="B298" s="15">
        <v>296</v>
      </c>
      <c r="C298" s="8"/>
      <c r="K298" s="9">
        <f t="shared" si="39"/>
        <v>0</v>
      </c>
      <c r="L298" s="35">
        <f t="shared" si="40"/>
        <v>0</v>
      </c>
      <c r="T298" s="44"/>
      <c r="U298" s="77"/>
      <c r="V298" s="79"/>
      <c r="W298" s="24"/>
      <c r="X298" s="193"/>
      <c r="Y298" s="15"/>
    </row>
    <row r="299" spans="2:25" x14ac:dyDescent="0.25">
      <c r="B299" s="15">
        <v>297</v>
      </c>
      <c r="C299" s="8"/>
      <c r="K299" s="9">
        <f t="shared" si="39"/>
        <v>0</v>
      </c>
      <c r="L299" s="35">
        <f t="shared" si="40"/>
        <v>0</v>
      </c>
      <c r="T299" s="44"/>
      <c r="U299" s="77"/>
      <c r="V299" s="79"/>
      <c r="W299" s="24"/>
      <c r="X299" s="193"/>
      <c r="Y299" s="15"/>
    </row>
    <row r="300" spans="2:25" x14ac:dyDescent="0.25">
      <c r="B300" s="15">
        <v>298</v>
      </c>
      <c r="C300" s="8"/>
      <c r="K300" s="9">
        <f t="shared" si="39"/>
        <v>0</v>
      </c>
      <c r="L300" s="35">
        <f t="shared" si="40"/>
        <v>0</v>
      </c>
      <c r="T300" s="44"/>
      <c r="U300" s="77"/>
      <c r="V300" s="79"/>
      <c r="W300" s="24"/>
      <c r="X300" s="193"/>
      <c r="Y300" s="15"/>
    </row>
    <row r="301" spans="2:25" x14ac:dyDescent="0.25">
      <c r="B301" s="15">
        <v>298</v>
      </c>
      <c r="C301" s="8"/>
      <c r="K301" s="9">
        <f t="shared" si="39"/>
        <v>0</v>
      </c>
      <c r="L301" s="35">
        <f t="shared" si="40"/>
        <v>0</v>
      </c>
      <c r="T301" s="44"/>
      <c r="U301" s="77"/>
      <c r="V301" s="79"/>
      <c r="W301" s="24"/>
      <c r="X301" s="193"/>
      <c r="Y301" s="15"/>
    </row>
    <row r="302" spans="2:25" x14ac:dyDescent="0.25">
      <c r="B302" s="15">
        <v>298</v>
      </c>
      <c r="G302" s="8"/>
      <c r="H302" s="8"/>
      <c r="K302" s="9">
        <f t="shared" si="39"/>
        <v>0</v>
      </c>
      <c r="L302" s="35">
        <f t="shared" si="40"/>
        <v>0</v>
      </c>
      <c r="W302" s="24"/>
    </row>
    <row r="303" spans="2:25" x14ac:dyDescent="0.25">
      <c r="B303" s="15">
        <v>298</v>
      </c>
      <c r="C303" s="8"/>
      <c r="K303" s="9">
        <f t="shared" si="39"/>
        <v>0</v>
      </c>
      <c r="L303" s="35">
        <f t="shared" si="40"/>
        <v>0</v>
      </c>
      <c r="W303" s="24"/>
    </row>
    <row r="304" spans="2:25" x14ac:dyDescent="0.25">
      <c r="B304" s="15">
        <v>298</v>
      </c>
      <c r="C304" s="8"/>
      <c r="K304" s="9">
        <f t="shared" si="39"/>
        <v>0</v>
      </c>
      <c r="L304" s="35">
        <f t="shared" si="40"/>
        <v>0</v>
      </c>
      <c r="W304" s="24"/>
    </row>
    <row r="305" spans="2:25" x14ac:dyDescent="0.25">
      <c r="B305" s="15">
        <v>298</v>
      </c>
      <c r="C305" s="8"/>
      <c r="E305" s="67"/>
      <c r="F305" s="16"/>
      <c r="G305" s="8"/>
      <c r="H305" s="8"/>
      <c r="I305" s="8"/>
      <c r="J305" s="9"/>
      <c r="K305" s="9">
        <f t="shared" si="39"/>
        <v>0</v>
      </c>
      <c r="L305" s="35">
        <f t="shared" si="40"/>
        <v>0</v>
      </c>
      <c r="M305" s="2"/>
      <c r="O305" s="19"/>
      <c r="P305" s="19"/>
      <c r="Q305" s="19"/>
      <c r="R305" s="21"/>
      <c r="S305" s="46"/>
      <c r="T305" s="44"/>
      <c r="U305" s="77"/>
      <c r="V305" s="24"/>
      <c r="W305" s="24"/>
      <c r="X305" s="193"/>
      <c r="Y305" s="15"/>
    </row>
    <row r="306" spans="2:25" x14ac:dyDescent="0.25">
      <c r="B306" s="15">
        <v>298</v>
      </c>
      <c r="C306" s="8"/>
      <c r="E306" s="67"/>
      <c r="F306" s="16"/>
      <c r="G306" s="8"/>
      <c r="H306" s="8"/>
      <c r="I306" s="8"/>
      <c r="J306" s="9"/>
      <c r="K306" s="9">
        <f t="shared" si="39"/>
        <v>0</v>
      </c>
      <c r="L306" s="35">
        <f t="shared" si="40"/>
        <v>0</v>
      </c>
      <c r="M306" s="2"/>
      <c r="O306" s="19"/>
      <c r="P306" s="19"/>
      <c r="Q306" s="19"/>
      <c r="R306" s="21"/>
      <c r="S306" s="46"/>
      <c r="T306" s="44"/>
      <c r="U306" s="77"/>
      <c r="V306" s="24"/>
      <c r="W306" s="24"/>
      <c r="X306" s="193"/>
      <c r="Y306" s="15"/>
    </row>
    <row r="307" spans="2:25" x14ac:dyDescent="0.25">
      <c r="B307" s="15">
        <v>298</v>
      </c>
      <c r="C307" s="8"/>
      <c r="E307" s="67"/>
      <c r="F307" s="16"/>
      <c r="G307" s="8"/>
      <c r="H307" s="8"/>
      <c r="I307" s="8"/>
      <c r="J307" s="9"/>
      <c r="K307" s="9">
        <f t="shared" si="39"/>
        <v>0</v>
      </c>
      <c r="L307" s="35">
        <f t="shared" si="40"/>
        <v>0</v>
      </c>
      <c r="M307" s="2"/>
      <c r="O307" s="19"/>
      <c r="P307" s="19"/>
      <c r="Q307" s="19"/>
      <c r="R307" s="21"/>
      <c r="S307" s="46"/>
      <c r="T307" s="44"/>
      <c r="U307" s="77"/>
      <c r="V307" s="24"/>
      <c r="W307" s="24"/>
      <c r="X307" s="193"/>
      <c r="Y307" s="15"/>
    </row>
    <row r="308" spans="2:25" x14ac:dyDescent="0.25">
      <c r="B308" s="15">
        <v>298</v>
      </c>
      <c r="C308" s="8"/>
      <c r="E308" s="67"/>
      <c r="F308" s="16"/>
      <c r="G308" s="8"/>
      <c r="H308" s="8"/>
      <c r="I308" s="8"/>
      <c r="J308" s="9"/>
      <c r="K308" s="9">
        <f t="shared" si="39"/>
        <v>0</v>
      </c>
      <c r="L308" s="35">
        <f t="shared" si="40"/>
        <v>0</v>
      </c>
      <c r="M308" s="2"/>
      <c r="O308" s="19"/>
      <c r="P308" s="19"/>
      <c r="Q308" s="19"/>
      <c r="R308" s="21"/>
      <c r="S308" s="46"/>
      <c r="T308" s="44"/>
      <c r="U308" s="77"/>
      <c r="V308" s="24"/>
      <c r="W308" s="24"/>
      <c r="X308" s="193"/>
      <c r="Y308" s="15"/>
    </row>
    <row r="309" spans="2:25" x14ac:dyDescent="0.25">
      <c r="B309" s="15">
        <v>298</v>
      </c>
      <c r="C309" s="8"/>
      <c r="E309" s="67"/>
      <c r="F309" s="16"/>
      <c r="G309" s="8"/>
      <c r="H309" s="8"/>
      <c r="I309" s="8"/>
      <c r="J309" s="9"/>
      <c r="K309" s="9">
        <f t="shared" si="39"/>
        <v>0</v>
      </c>
      <c r="L309" s="35">
        <f t="shared" si="40"/>
        <v>0</v>
      </c>
      <c r="M309" s="2"/>
      <c r="O309" s="19"/>
      <c r="P309" s="19"/>
      <c r="Q309" s="19"/>
      <c r="R309" s="21"/>
      <c r="S309" s="46"/>
      <c r="T309" s="44"/>
      <c r="U309" s="77"/>
      <c r="V309" s="24"/>
      <c r="W309" s="24"/>
      <c r="X309" s="193"/>
      <c r="Y309" s="15"/>
    </row>
    <row r="310" spans="2:25" x14ac:dyDescent="0.25">
      <c r="B310" s="15">
        <v>235</v>
      </c>
      <c r="C310" s="8"/>
      <c r="E310" s="67"/>
      <c r="F310" s="16"/>
      <c r="G310" s="8"/>
      <c r="H310" s="8"/>
      <c r="I310" s="8"/>
      <c r="J310" s="9"/>
      <c r="K310" s="9">
        <f t="shared" si="39"/>
        <v>0</v>
      </c>
      <c r="L310" s="35">
        <f t="shared" si="40"/>
        <v>0</v>
      </c>
      <c r="M310" s="2"/>
      <c r="O310" s="19"/>
      <c r="P310" s="19"/>
      <c r="Q310" s="19"/>
      <c r="R310" s="21"/>
      <c r="S310" s="46"/>
      <c r="T310" s="44"/>
      <c r="U310" s="77"/>
      <c r="V310" s="24"/>
      <c r="W310" s="24"/>
      <c r="X310" s="193"/>
      <c r="Y310" s="15"/>
    </row>
    <row r="311" spans="2:25" x14ac:dyDescent="0.25">
      <c r="B311" s="15">
        <v>235</v>
      </c>
      <c r="C311" s="8"/>
      <c r="E311" s="67"/>
      <c r="F311" s="16"/>
      <c r="G311" s="8"/>
      <c r="H311" s="8"/>
      <c r="I311" s="8"/>
      <c r="J311" s="9"/>
      <c r="K311" s="9">
        <f t="shared" si="39"/>
        <v>0</v>
      </c>
      <c r="L311" s="35">
        <f t="shared" si="40"/>
        <v>0</v>
      </c>
      <c r="M311" s="2"/>
      <c r="O311" s="19"/>
      <c r="P311" s="19"/>
      <c r="Q311" s="19"/>
      <c r="R311" s="21"/>
      <c r="S311" s="46"/>
      <c r="T311" s="44"/>
      <c r="U311" s="77"/>
      <c r="V311" s="24"/>
      <c r="W311" s="24"/>
      <c r="X311" s="193"/>
      <c r="Y311" s="15"/>
    </row>
    <row r="312" spans="2:25" x14ac:dyDescent="0.25">
      <c r="B312" s="15">
        <v>235</v>
      </c>
      <c r="C312" s="8"/>
      <c r="E312" s="67"/>
      <c r="F312" s="16"/>
      <c r="G312" s="8"/>
      <c r="H312" s="8"/>
      <c r="I312" s="8"/>
      <c r="J312" s="9"/>
      <c r="K312" s="9">
        <f t="shared" si="39"/>
        <v>0</v>
      </c>
      <c r="L312" s="35">
        <f t="shared" si="40"/>
        <v>0</v>
      </c>
      <c r="M312" s="2"/>
      <c r="O312" s="19"/>
      <c r="P312" s="19"/>
      <c r="Q312" s="19"/>
      <c r="R312" s="21"/>
      <c r="S312" s="46"/>
      <c r="T312" s="44"/>
      <c r="U312" s="77"/>
      <c r="V312" s="24"/>
      <c r="W312" s="24"/>
      <c r="X312" s="193"/>
      <c r="Y312" s="15"/>
    </row>
    <row r="313" spans="2:25" x14ac:dyDescent="0.25">
      <c r="B313" s="15">
        <v>235</v>
      </c>
      <c r="C313" s="8"/>
      <c r="E313" s="67"/>
      <c r="F313" s="16"/>
      <c r="G313" s="8"/>
      <c r="H313" s="8"/>
      <c r="I313" s="8"/>
      <c r="J313" s="9"/>
      <c r="K313" s="9">
        <f t="shared" si="39"/>
        <v>0</v>
      </c>
      <c r="L313" s="35">
        <f t="shared" si="40"/>
        <v>0</v>
      </c>
      <c r="M313" s="2"/>
      <c r="O313" s="19"/>
      <c r="P313" s="19"/>
      <c r="Q313" s="19"/>
      <c r="R313" s="21"/>
      <c r="S313" s="46"/>
      <c r="T313" s="44"/>
      <c r="U313" s="77"/>
      <c r="V313" s="24"/>
      <c r="W313" s="24"/>
      <c r="X313" s="193"/>
      <c r="Y313" s="15"/>
    </row>
    <row r="314" spans="2:25" x14ac:dyDescent="0.25">
      <c r="B314" s="15">
        <v>235</v>
      </c>
      <c r="C314" s="8"/>
      <c r="E314" s="67"/>
      <c r="F314" s="16"/>
      <c r="G314" s="8"/>
      <c r="H314" s="8"/>
      <c r="I314" s="8"/>
      <c r="J314" s="9"/>
      <c r="K314" s="9">
        <f t="shared" si="39"/>
        <v>0</v>
      </c>
      <c r="L314" s="35">
        <f t="shared" si="40"/>
        <v>0</v>
      </c>
      <c r="M314" s="2"/>
      <c r="O314" s="19"/>
      <c r="P314" s="19"/>
      <c r="Q314" s="19"/>
      <c r="R314" s="21"/>
      <c r="S314" s="46"/>
      <c r="T314" s="44"/>
      <c r="U314" s="77"/>
      <c r="V314" s="24"/>
      <c r="W314" s="24"/>
      <c r="X314" s="193"/>
      <c r="Y314" s="15"/>
    </row>
    <row r="315" spans="2:25" x14ac:dyDescent="0.25">
      <c r="B315" s="15">
        <v>235</v>
      </c>
      <c r="C315" s="8"/>
      <c r="E315" s="67"/>
      <c r="F315" s="16"/>
      <c r="G315" s="8"/>
      <c r="H315" s="8"/>
      <c r="I315" s="8"/>
      <c r="J315" s="9"/>
      <c r="K315" s="9">
        <f t="shared" si="39"/>
        <v>0</v>
      </c>
      <c r="L315" s="35">
        <f t="shared" si="40"/>
        <v>0</v>
      </c>
      <c r="M315" s="2"/>
      <c r="O315" s="19"/>
      <c r="P315" s="19"/>
      <c r="Q315" s="19"/>
      <c r="R315" s="21"/>
      <c r="S315" s="46"/>
      <c r="T315" s="44"/>
      <c r="U315" s="77"/>
      <c r="V315" s="24"/>
      <c r="W315" s="24"/>
      <c r="X315" s="193"/>
      <c r="Y315" s="15"/>
    </row>
    <row r="316" spans="2:25" x14ac:dyDescent="0.25">
      <c r="B316" s="15">
        <v>235</v>
      </c>
      <c r="C316" s="8"/>
      <c r="E316" s="67"/>
      <c r="F316" s="16"/>
      <c r="G316" s="8"/>
      <c r="H316" s="8"/>
      <c r="I316" s="8"/>
      <c r="J316" s="9"/>
      <c r="K316" s="9">
        <f t="shared" si="39"/>
        <v>0</v>
      </c>
      <c r="L316" s="35">
        <f t="shared" si="40"/>
        <v>0</v>
      </c>
      <c r="M316" s="2"/>
      <c r="O316" s="19"/>
      <c r="P316" s="19"/>
      <c r="Q316" s="19"/>
      <c r="R316" s="21"/>
      <c r="S316" s="46"/>
      <c r="T316" s="44"/>
      <c r="U316" s="77"/>
      <c r="V316" s="24"/>
      <c r="W316" s="24"/>
      <c r="X316" s="193"/>
      <c r="Y316" s="15"/>
    </row>
    <row r="317" spans="2:25" x14ac:dyDescent="0.25">
      <c r="B317" s="15">
        <v>235</v>
      </c>
      <c r="C317" s="8"/>
      <c r="E317" s="67"/>
      <c r="F317" s="16"/>
      <c r="G317" s="8"/>
      <c r="H317" s="8"/>
      <c r="I317" s="8"/>
      <c r="J317" s="9"/>
      <c r="K317" s="9">
        <f t="shared" si="39"/>
        <v>0</v>
      </c>
      <c r="L317" s="35">
        <f t="shared" si="40"/>
        <v>0</v>
      </c>
      <c r="M317" s="2"/>
      <c r="O317" s="19"/>
      <c r="P317" s="19"/>
      <c r="Q317" s="19"/>
      <c r="R317" s="21"/>
      <c r="S317" s="46"/>
      <c r="T317" s="44"/>
      <c r="U317" s="77"/>
      <c r="V317" s="24"/>
      <c r="W317" s="24"/>
      <c r="X317" s="193"/>
      <c r="Y317" s="15"/>
    </row>
    <row r="318" spans="2:25" x14ac:dyDescent="0.25">
      <c r="B318" s="15">
        <v>235</v>
      </c>
      <c r="C318" s="8"/>
      <c r="E318" s="67"/>
      <c r="F318" s="16"/>
      <c r="G318" s="8"/>
      <c r="H318" s="8"/>
      <c r="I318" s="8"/>
      <c r="J318" s="9"/>
      <c r="K318" s="9">
        <f t="shared" si="39"/>
        <v>0</v>
      </c>
      <c r="L318" s="35">
        <f t="shared" si="40"/>
        <v>0</v>
      </c>
      <c r="M318" s="2"/>
      <c r="O318" s="19"/>
      <c r="P318" s="19"/>
      <c r="Q318" s="19"/>
      <c r="R318" s="21"/>
      <c r="S318" s="46"/>
      <c r="T318" s="44"/>
      <c r="U318" s="77"/>
      <c r="V318" s="24"/>
      <c r="W318" s="24"/>
      <c r="X318" s="193"/>
      <c r="Y318" s="15"/>
    </row>
    <row r="319" spans="2:25" x14ac:dyDescent="0.25">
      <c r="B319" s="15">
        <v>235</v>
      </c>
      <c r="C319" s="8"/>
      <c r="E319" s="67"/>
      <c r="F319" s="16"/>
      <c r="G319" s="8"/>
      <c r="H319" s="8"/>
      <c r="I319" s="8"/>
      <c r="J319" s="9"/>
      <c r="K319" s="9">
        <f t="shared" si="39"/>
        <v>0</v>
      </c>
      <c r="L319" s="35">
        <f t="shared" si="40"/>
        <v>0</v>
      </c>
      <c r="M319" s="2"/>
      <c r="O319" s="19"/>
      <c r="P319" s="19"/>
      <c r="Q319" s="19"/>
      <c r="R319" s="21"/>
      <c r="S319" s="46"/>
      <c r="T319" s="44"/>
      <c r="U319" s="77"/>
      <c r="V319" s="24"/>
      <c r="W319" s="24"/>
      <c r="X319" s="193"/>
      <c r="Y319" s="15"/>
    </row>
    <row r="320" spans="2:25" x14ac:dyDescent="0.25">
      <c r="B320" s="15">
        <v>235</v>
      </c>
      <c r="C320" s="8"/>
      <c r="E320" s="67"/>
      <c r="F320" s="16"/>
      <c r="G320" s="8"/>
      <c r="H320" s="8"/>
      <c r="I320" s="8"/>
      <c r="J320" s="9"/>
      <c r="K320" s="9">
        <f t="shared" si="39"/>
        <v>0</v>
      </c>
      <c r="L320" s="35">
        <f t="shared" si="40"/>
        <v>0</v>
      </c>
      <c r="M320" s="2"/>
      <c r="O320" s="19"/>
      <c r="P320" s="19"/>
      <c r="Q320" s="19"/>
      <c r="R320" s="21"/>
      <c r="S320" s="46"/>
      <c r="T320" s="44"/>
      <c r="U320" s="77"/>
      <c r="V320" s="24"/>
      <c r="W320" s="24"/>
      <c r="X320" s="193"/>
      <c r="Y320" s="15"/>
    </row>
    <row r="321" spans="2:25" x14ac:dyDescent="0.25">
      <c r="B321" s="15">
        <v>235</v>
      </c>
      <c r="C321" s="8"/>
      <c r="E321" s="67"/>
      <c r="F321" s="16"/>
      <c r="G321" s="8"/>
      <c r="H321" s="8"/>
      <c r="I321" s="8"/>
      <c r="J321" s="9"/>
      <c r="K321" s="9">
        <f t="shared" si="39"/>
        <v>0</v>
      </c>
      <c r="L321" s="35">
        <f t="shared" si="40"/>
        <v>0</v>
      </c>
      <c r="M321" s="2"/>
      <c r="O321" s="19"/>
      <c r="P321" s="19"/>
      <c r="Q321" s="19"/>
      <c r="R321" s="21"/>
      <c r="S321" s="46"/>
      <c r="T321" s="44"/>
      <c r="U321" s="77"/>
      <c r="V321" s="24"/>
      <c r="W321" s="24"/>
      <c r="X321" s="193"/>
      <c r="Y321" s="15"/>
    </row>
    <row r="322" spans="2:25" x14ac:dyDescent="0.25">
      <c r="B322" s="15">
        <v>235</v>
      </c>
      <c r="C322" s="8"/>
      <c r="E322" s="67"/>
      <c r="F322" s="16"/>
      <c r="G322" s="8"/>
      <c r="H322" s="8"/>
      <c r="I322" s="8"/>
      <c r="J322" s="9"/>
      <c r="K322" s="9">
        <f t="shared" si="39"/>
        <v>0</v>
      </c>
      <c r="L322" s="35">
        <f t="shared" si="40"/>
        <v>0</v>
      </c>
      <c r="M322" s="2"/>
      <c r="O322" s="19"/>
      <c r="P322" s="19"/>
      <c r="Q322" s="19"/>
      <c r="R322" s="21"/>
      <c r="S322" s="46"/>
      <c r="T322" s="44"/>
      <c r="U322" s="77"/>
      <c r="V322" s="24"/>
      <c r="W322" s="24"/>
      <c r="X322" s="193"/>
      <c r="Y322" s="15"/>
    </row>
    <row r="323" spans="2:25" x14ac:dyDescent="0.25">
      <c r="B323" s="15">
        <v>235</v>
      </c>
      <c r="C323" s="8"/>
      <c r="E323" s="67"/>
      <c r="F323" s="16"/>
      <c r="G323" s="8"/>
      <c r="H323" s="8"/>
      <c r="I323" s="8"/>
      <c r="J323" s="9"/>
      <c r="K323" s="9">
        <f t="shared" ref="K323:K354" si="41">J323*1.1</f>
        <v>0</v>
      </c>
      <c r="L323" s="35">
        <f t="shared" ref="L323:L354" si="42">J323*0.00000001</f>
        <v>0</v>
      </c>
      <c r="M323" s="2"/>
      <c r="O323" s="19"/>
      <c r="P323" s="19"/>
      <c r="Q323" s="19"/>
      <c r="R323" s="21"/>
      <c r="S323" s="46"/>
      <c r="T323" s="44"/>
      <c r="U323" s="77"/>
      <c r="V323" s="24"/>
      <c r="W323" s="24"/>
      <c r="X323" s="193"/>
      <c r="Y323" s="15"/>
    </row>
    <row r="324" spans="2:25" x14ac:dyDescent="0.25">
      <c r="B324" s="15">
        <v>235</v>
      </c>
      <c r="C324" s="8"/>
      <c r="E324" s="67"/>
      <c r="F324" s="16"/>
      <c r="G324" s="8"/>
      <c r="H324" s="8"/>
      <c r="I324" s="8"/>
      <c r="J324" s="9"/>
      <c r="K324" s="9">
        <f t="shared" si="41"/>
        <v>0</v>
      </c>
      <c r="L324" s="35">
        <f t="shared" si="42"/>
        <v>0</v>
      </c>
      <c r="M324" s="2"/>
      <c r="O324" s="19"/>
      <c r="P324" s="19"/>
      <c r="Q324" s="19"/>
      <c r="R324" s="21"/>
      <c r="S324" s="46"/>
      <c r="T324" s="44"/>
      <c r="U324" s="77"/>
      <c r="V324" s="24"/>
      <c r="W324" s="24"/>
      <c r="X324" s="193"/>
      <c r="Y324" s="15"/>
    </row>
    <row r="325" spans="2:25" x14ac:dyDescent="0.25">
      <c r="B325" s="15">
        <v>235</v>
      </c>
      <c r="C325" s="8"/>
      <c r="E325" s="67"/>
      <c r="F325" s="16"/>
      <c r="G325" s="8"/>
      <c r="H325" s="8"/>
      <c r="I325" s="8"/>
      <c r="J325" s="9"/>
      <c r="K325" s="9">
        <f t="shared" si="41"/>
        <v>0</v>
      </c>
      <c r="L325" s="35">
        <f t="shared" si="42"/>
        <v>0</v>
      </c>
      <c r="M325" s="2"/>
      <c r="O325" s="19"/>
      <c r="P325" s="19"/>
      <c r="Q325" s="19"/>
      <c r="R325" s="21"/>
      <c r="S325" s="46"/>
      <c r="T325" s="44"/>
      <c r="U325" s="77"/>
      <c r="V325" s="24"/>
      <c r="W325" s="24"/>
      <c r="X325" s="193"/>
      <c r="Y325" s="15"/>
    </row>
    <row r="326" spans="2:25" x14ac:dyDescent="0.25">
      <c r="B326" s="15">
        <v>235</v>
      </c>
      <c r="C326" s="8"/>
      <c r="E326" s="67"/>
      <c r="F326" s="16"/>
      <c r="G326" s="8"/>
      <c r="H326" s="8"/>
      <c r="I326" s="8"/>
      <c r="J326" s="9"/>
      <c r="K326" s="9">
        <f t="shared" si="41"/>
        <v>0</v>
      </c>
      <c r="L326" s="35">
        <f t="shared" si="42"/>
        <v>0</v>
      </c>
      <c r="M326" s="2"/>
      <c r="O326" s="19"/>
      <c r="P326" s="19"/>
      <c r="Q326" s="19"/>
      <c r="R326" s="21"/>
      <c r="S326" s="46"/>
      <c r="T326" s="44"/>
      <c r="U326" s="77"/>
      <c r="V326" s="24"/>
      <c r="W326" s="24"/>
      <c r="X326" s="193"/>
      <c r="Y326" s="15"/>
    </row>
    <row r="327" spans="2:25" x14ac:dyDescent="0.25">
      <c r="B327" s="15">
        <v>235</v>
      </c>
      <c r="C327" s="8"/>
      <c r="E327" s="67"/>
      <c r="F327" s="16"/>
      <c r="G327" s="8"/>
      <c r="H327" s="8"/>
      <c r="I327" s="8"/>
      <c r="J327" s="9"/>
      <c r="K327" s="9">
        <f t="shared" si="41"/>
        <v>0</v>
      </c>
      <c r="L327" s="35">
        <f t="shared" si="42"/>
        <v>0</v>
      </c>
      <c r="M327" s="2"/>
      <c r="O327" s="19"/>
      <c r="P327" s="19"/>
      <c r="Q327" s="19"/>
      <c r="R327" s="21"/>
      <c r="S327" s="46"/>
      <c r="T327" s="44"/>
      <c r="U327" s="77"/>
      <c r="V327" s="24"/>
      <c r="W327" s="24"/>
      <c r="X327" s="193"/>
      <c r="Y327" s="15"/>
    </row>
    <row r="328" spans="2:25" x14ac:dyDescent="0.25">
      <c r="B328" s="15">
        <v>235</v>
      </c>
      <c r="C328" s="8"/>
      <c r="E328" s="67"/>
      <c r="F328" s="16"/>
      <c r="G328" s="8"/>
      <c r="H328" s="8"/>
      <c r="I328" s="8"/>
      <c r="J328" s="9"/>
      <c r="K328" s="9">
        <f t="shared" si="41"/>
        <v>0</v>
      </c>
      <c r="L328" s="35">
        <f t="shared" si="42"/>
        <v>0</v>
      </c>
      <c r="M328" s="2"/>
      <c r="O328" s="19"/>
      <c r="P328" s="19"/>
      <c r="Q328" s="19"/>
      <c r="R328" s="21"/>
      <c r="S328" s="46"/>
      <c r="T328" s="44"/>
      <c r="U328" s="77"/>
      <c r="V328" s="24"/>
      <c r="W328" s="24"/>
      <c r="X328" s="193"/>
      <c r="Y328" s="15"/>
    </row>
    <row r="329" spans="2:25" x14ac:dyDescent="0.25">
      <c r="B329" s="15">
        <v>235</v>
      </c>
      <c r="K329" s="9">
        <f t="shared" si="41"/>
        <v>0</v>
      </c>
      <c r="L329" s="35">
        <f t="shared" si="42"/>
        <v>0</v>
      </c>
      <c r="T329" s="44"/>
      <c r="U329" s="77"/>
      <c r="V329" s="24"/>
      <c r="W329" s="24"/>
      <c r="X329" s="193"/>
      <c r="Y329" s="15"/>
    </row>
    <row r="330" spans="2:25" x14ac:dyDescent="0.25">
      <c r="B330" s="15">
        <v>235</v>
      </c>
      <c r="K330" s="9">
        <f t="shared" si="41"/>
        <v>0</v>
      </c>
      <c r="L330" s="35">
        <f t="shared" si="42"/>
        <v>0</v>
      </c>
      <c r="T330" s="44"/>
      <c r="U330" s="77"/>
      <c r="V330" s="24"/>
      <c r="W330" s="24"/>
      <c r="X330" s="193"/>
      <c r="Y330" s="15"/>
    </row>
    <row r="331" spans="2:25" x14ac:dyDescent="0.25">
      <c r="B331" s="15">
        <v>235</v>
      </c>
      <c r="K331" s="9">
        <f t="shared" si="41"/>
        <v>0</v>
      </c>
      <c r="L331" s="35">
        <f t="shared" si="42"/>
        <v>0</v>
      </c>
      <c r="T331" s="44"/>
      <c r="U331" s="77"/>
      <c r="V331" s="24"/>
      <c r="W331" s="24"/>
      <c r="X331" s="193"/>
      <c r="Y331" s="15"/>
    </row>
    <row r="332" spans="2:25" x14ac:dyDescent="0.25">
      <c r="B332" s="15">
        <v>235</v>
      </c>
      <c r="K332" s="9">
        <f t="shared" si="41"/>
        <v>0</v>
      </c>
      <c r="L332" s="35">
        <f t="shared" si="42"/>
        <v>0</v>
      </c>
      <c r="T332" s="44"/>
      <c r="U332" s="77"/>
      <c r="V332" s="24"/>
      <c r="W332" s="24"/>
      <c r="X332" s="193"/>
      <c r="Y332" s="15"/>
    </row>
    <row r="333" spans="2:25" x14ac:dyDescent="0.25">
      <c r="B333" s="15">
        <v>235</v>
      </c>
      <c r="K333" s="9">
        <f t="shared" si="41"/>
        <v>0</v>
      </c>
      <c r="L333" s="35">
        <f t="shared" si="42"/>
        <v>0</v>
      </c>
      <c r="T333" s="44"/>
      <c r="U333" s="77"/>
      <c r="V333" s="24"/>
      <c r="W333" s="24"/>
      <c r="X333" s="193"/>
      <c r="Y333" s="15"/>
    </row>
    <row r="334" spans="2:25" x14ac:dyDescent="0.25">
      <c r="B334" s="15">
        <v>235</v>
      </c>
      <c r="K334" s="9">
        <f t="shared" si="41"/>
        <v>0</v>
      </c>
      <c r="L334" s="35">
        <f t="shared" si="42"/>
        <v>0</v>
      </c>
      <c r="T334" s="44"/>
      <c r="U334" s="77"/>
      <c r="V334" s="24"/>
      <c r="W334" s="24"/>
      <c r="X334" s="193"/>
      <c r="Y334" s="15"/>
    </row>
    <row r="335" spans="2:25" x14ac:dyDescent="0.25">
      <c r="B335" s="15">
        <v>235</v>
      </c>
      <c r="K335" s="9">
        <f t="shared" si="41"/>
        <v>0</v>
      </c>
      <c r="L335" s="35">
        <f t="shared" si="42"/>
        <v>0</v>
      </c>
      <c r="T335" s="44"/>
      <c r="U335" s="77"/>
      <c r="V335" s="24"/>
      <c r="W335" s="24"/>
      <c r="X335" s="193"/>
      <c r="Y335" s="15"/>
    </row>
    <row r="336" spans="2:25" x14ac:dyDescent="0.25">
      <c r="B336" t="s">
        <v>184</v>
      </c>
      <c r="K336" s="9">
        <f t="shared" si="41"/>
        <v>0</v>
      </c>
      <c r="L336" s="35">
        <f t="shared" si="42"/>
        <v>0</v>
      </c>
      <c r="T336" s="44"/>
      <c r="U336" s="77"/>
      <c r="V336" s="24"/>
      <c r="W336" s="24"/>
      <c r="X336" s="193"/>
      <c r="Y336" s="15"/>
    </row>
    <row r="337" spans="2:25" x14ac:dyDescent="0.25">
      <c r="B337" s="15">
        <v>247</v>
      </c>
      <c r="C337" s="8"/>
      <c r="E337" s="67"/>
      <c r="F337" s="16"/>
      <c r="G337" s="8"/>
      <c r="H337" s="8"/>
      <c r="I337" s="8"/>
      <c r="J337" s="9"/>
      <c r="K337" s="9">
        <f t="shared" si="41"/>
        <v>0</v>
      </c>
      <c r="L337" s="35">
        <f t="shared" si="42"/>
        <v>0</v>
      </c>
      <c r="M337" s="2"/>
      <c r="O337" s="19"/>
      <c r="P337" s="19"/>
      <c r="Q337" s="19"/>
      <c r="R337" s="21"/>
      <c r="S337" s="46"/>
      <c r="T337" s="44"/>
      <c r="U337" s="77"/>
      <c r="V337" s="24"/>
      <c r="W337" s="24"/>
      <c r="X337" s="193"/>
      <c r="Y337" s="15"/>
    </row>
    <row r="338" spans="2:25" x14ac:dyDescent="0.25">
      <c r="B338" s="15"/>
      <c r="C338" s="8"/>
      <c r="E338" s="67"/>
      <c r="F338" s="16"/>
      <c r="G338" s="8"/>
      <c r="H338" s="8"/>
      <c r="I338" s="8"/>
      <c r="J338" s="9"/>
      <c r="K338" s="9">
        <f t="shared" si="41"/>
        <v>0</v>
      </c>
      <c r="L338" s="35">
        <f t="shared" si="42"/>
        <v>0</v>
      </c>
      <c r="M338" s="2"/>
      <c r="O338" s="19"/>
      <c r="P338" s="19"/>
      <c r="Q338" s="19"/>
      <c r="R338" s="21"/>
      <c r="S338" s="46"/>
      <c r="T338" s="44"/>
      <c r="U338" s="77"/>
      <c r="V338" s="24"/>
      <c r="W338" s="24"/>
      <c r="X338" s="193"/>
      <c r="Y338" s="15"/>
    </row>
    <row r="339" spans="2:25" x14ac:dyDescent="0.25">
      <c r="B339" s="15"/>
      <c r="C339" s="8"/>
      <c r="E339" s="67"/>
      <c r="F339" s="16"/>
      <c r="G339" s="8"/>
      <c r="H339" s="8"/>
      <c r="I339" s="8"/>
      <c r="J339" s="9"/>
      <c r="K339" s="9">
        <f t="shared" si="41"/>
        <v>0</v>
      </c>
      <c r="L339" s="35">
        <f t="shared" si="42"/>
        <v>0</v>
      </c>
      <c r="M339" s="2"/>
      <c r="O339" s="19"/>
      <c r="P339" s="19"/>
      <c r="Q339" s="19"/>
      <c r="R339" s="21"/>
      <c r="S339" s="46"/>
      <c r="T339" s="44"/>
      <c r="U339" s="77"/>
      <c r="V339" s="24"/>
      <c r="W339" s="24"/>
      <c r="X339" s="193"/>
      <c r="Y339" s="15"/>
    </row>
    <row r="340" spans="2:25" x14ac:dyDescent="0.25">
      <c r="B340" s="15"/>
      <c r="C340" s="8"/>
      <c r="E340" s="67"/>
      <c r="F340" s="16"/>
      <c r="G340" s="8"/>
      <c r="H340" s="8"/>
      <c r="I340" s="8"/>
      <c r="J340" s="9"/>
      <c r="K340" s="9">
        <f t="shared" si="41"/>
        <v>0</v>
      </c>
      <c r="L340" s="35">
        <f t="shared" si="42"/>
        <v>0</v>
      </c>
      <c r="M340" s="2"/>
      <c r="O340" s="19"/>
      <c r="P340" s="19"/>
      <c r="Q340" s="19"/>
      <c r="R340" s="21"/>
      <c r="S340" s="46"/>
      <c r="T340" s="44"/>
      <c r="U340" s="77"/>
      <c r="V340" s="24"/>
      <c r="W340" s="24"/>
      <c r="X340" s="193"/>
      <c r="Y340" s="15"/>
    </row>
    <row r="341" spans="2:25" x14ac:dyDescent="0.25">
      <c r="B341" s="15"/>
      <c r="C341" s="8"/>
      <c r="E341" s="67"/>
      <c r="F341" s="16"/>
      <c r="G341" s="8"/>
      <c r="H341" s="8"/>
      <c r="I341" s="8"/>
      <c r="J341" s="9"/>
      <c r="K341" s="9">
        <f t="shared" si="41"/>
        <v>0</v>
      </c>
      <c r="L341" s="35">
        <f t="shared" si="42"/>
        <v>0</v>
      </c>
      <c r="M341" s="2"/>
      <c r="O341" s="19"/>
      <c r="P341" s="19"/>
      <c r="Q341" s="19"/>
      <c r="R341" s="21"/>
      <c r="S341" s="46"/>
      <c r="T341" s="44"/>
      <c r="U341" s="77"/>
      <c r="V341" s="24"/>
      <c r="W341" s="24"/>
      <c r="X341" s="193"/>
      <c r="Y341" s="15"/>
    </row>
    <row r="342" spans="2:25" x14ac:dyDescent="0.25">
      <c r="B342" s="15"/>
      <c r="C342" s="8"/>
      <c r="E342" s="67"/>
      <c r="F342" s="16"/>
      <c r="G342" s="8"/>
      <c r="H342" s="8"/>
      <c r="I342" s="8"/>
      <c r="J342" s="9"/>
      <c r="K342" s="9">
        <f t="shared" si="41"/>
        <v>0</v>
      </c>
      <c r="L342" s="35">
        <f t="shared" si="42"/>
        <v>0</v>
      </c>
      <c r="M342" s="2"/>
      <c r="O342" s="19"/>
      <c r="P342" s="19"/>
      <c r="Q342" s="19"/>
      <c r="R342" s="21"/>
      <c r="S342" s="46"/>
      <c r="T342" s="44"/>
      <c r="U342" s="77"/>
      <c r="V342" s="24"/>
      <c r="W342" s="24"/>
      <c r="X342" s="193"/>
      <c r="Y342" s="15"/>
    </row>
    <row r="343" spans="2:25" x14ac:dyDescent="0.25">
      <c r="B343" s="15"/>
      <c r="C343" s="8"/>
      <c r="E343" s="67"/>
      <c r="F343" s="16"/>
      <c r="G343" s="8"/>
      <c r="H343" s="8"/>
      <c r="I343" s="8"/>
      <c r="J343" s="9"/>
      <c r="K343" s="9">
        <f t="shared" si="41"/>
        <v>0</v>
      </c>
      <c r="L343" s="35">
        <f t="shared" si="42"/>
        <v>0</v>
      </c>
      <c r="M343" s="2"/>
      <c r="O343" s="19"/>
      <c r="P343" s="19"/>
      <c r="Q343" s="19"/>
      <c r="R343" s="21"/>
      <c r="S343" s="46"/>
      <c r="T343" s="44"/>
      <c r="U343" s="77"/>
      <c r="V343" s="24"/>
      <c r="W343" s="24"/>
      <c r="X343" s="193"/>
      <c r="Y343" s="15"/>
    </row>
    <row r="344" spans="2:25" x14ac:dyDescent="0.25">
      <c r="B344" s="15"/>
      <c r="C344" s="8"/>
      <c r="E344" s="67"/>
      <c r="F344" s="16"/>
      <c r="G344" s="8"/>
      <c r="H344" s="8"/>
      <c r="I344" s="8"/>
      <c r="J344" s="9"/>
      <c r="K344" s="9">
        <f t="shared" si="41"/>
        <v>0</v>
      </c>
      <c r="L344" s="35">
        <f t="shared" si="42"/>
        <v>0</v>
      </c>
      <c r="M344" s="2"/>
      <c r="O344" s="19"/>
      <c r="P344" s="19"/>
      <c r="Q344" s="19"/>
      <c r="R344" s="21"/>
      <c r="S344" s="46"/>
      <c r="T344" s="44"/>
      <c r="U344" s="77"/>
      <c r="V344" s="24"/>
      <c r="W344" s="24"/>
      <c r="X344" s="193"/>
      <c r="Y344" s="15"/>
    </row>
    <row r="345" spans="2:25" x14ac:dyDescent="0.25">
      <c r="B345" s="15"/>
      <c r="C345" s="8"/>
      <c r="E345" s="67"/>
      <c r="F345" s="16"/>
      <c r="G345" s="8"/>
      <c r="H345" s="8"/>
      <c r="I345" s="8"/>
      <c r="J345" s="9"/>
      <c r="K345" s="9">
        <f t="shared" si="41"/>
        <v>0</v>
      </c>
      <c r="L345" s="35">
        <f t="shared" si="42"/>
        <v>0</v>
      </c>
      <c r="M345" s="2"/>
      <c r="O345" s="19"/>
      <c r="P345" s="19"/>
      <c r="Q345" s="19"/>
      <c r="R345" s="21"/>
      <c r="S345" s="46"/>
      <c r="T345" s="44"/>
      <c r="U345" s="77"/>
      <c r="V345" s="24"/>
      <c r="W345" s="24"/>
      <c r="X345" s="193"/>
      <c r="Y345" s="15"/>
    </row>
    <row r="346" spans="2:25" x14ac:dyDescent="0.25">
      <c r="B346" s="15"/>
      <c r="C346" s="8"/>
      <c r="E346" s="67"/>
      <c r="F346" s="16"/>
      <c r="G346" s="8"/>
      <c r="H346" s="8"/>
      <c r="I346" s="8"/>
      <c r="J346" s="9"/>
      <c r="K346" s="9">
        <f t="shared" si="41"/>
        <v>0</v>
      </c>
      <c r="L346" s="35">
        <f t="shared" si="42"/>
        <v>0</v>
      </c>
      <c r="M346" s="2"/>
      <c r="O346" s="19"/>
      <c r="P346" s="19"/>
      <c r="Q346" s="19"/>
      <c r="R346" s="21"/>
      <c r="S346" s="46"/>
      <c r="T346" s="44"/>
      <c r="U346" s="77"/>
      <c r="V346" s="24"/>
      <c r="W346" s="24"/>
      <c r="X346" s="193"/>
      <c r="Y346" s="15"/>
    </row>
    <row r="347" spans="2:25" x14ac:dyDescent="0.25">
      <c r="B347" s="15"/>
      <c r="C347" s="8"/>
      <c r="E347" s="67"/>
      <c r="F347" s="16"/>
      <c r="G347" s="8"/>
      <c r="H347" s="8"/>
      <c r="I347" s="8"/>
      <c r="J347" s="9"/>
      <c r="K347" s="9">
        <f t="shared" si="41"/>
        <v>0</v>
      </c>
      <c r="L347" s="35">
        <f t="shared" si="42"/>
        <v>0</v>
      </c>
      <c r="M347" s="2"/>
      <c r="O347" s="19"/>
      <c r="P347" s="19"/>
      <c r="Q347" s="19"/>
      <c r="R347" s="21"/>
      <c r="S347" s="46"/>
      <c r="T347" s="44"/>
      <c r="U347" s="77"/>
      <c r="V347" s="24"/>
      <c r="W347" s="24"/>
      <c r="X347" s="193"/>
      <c r="Y347" s="15"/>
    </row>
    <row r="348" spans="2:25" x14ac:dyDescent="0.25">
      <c r="B348" s="15"/>
      <c r="C348" s="8"/>
      <c r="E348" s="67"/>
      <c r="F348" s="16"/>
      <c r="G348" s="8"/>
      <c r="H348" s="8"/>
      <c r="I348" s="8"/>
      <c r="J348" s="9"/>
      <c r="K348" s="9">
        <f t="shared" si="41"/>
        <v>0</v>
      </c>
      <c r="L348" s="35">
        <f t="shared" si="42"/>
        <v>0</v>
      </c>
      <c r="M348" s="2"/>
      <c r="O348" s="19"/>
      <c r="P348" s="19"/>
      <c r="Q348" s="19"/>
      <c r="R348" s="21"/>
      <c r="S348" s="46"/>
      <c r="T348" s="44"/>
      <c r="U348" s="77"/>
      <c r="V348" s="24"/>
      <c r="W348" s="24"/>
      <c r="X348" s="193"/>
      <c r="Y348" s="15"/>
    </row>
    <row r="349" spans="2:25" x14ac:dyDescent="0.25">
      <c r="B349" s="15"/>
      <c r="C349" s="8"/>
      <c r="E349" s="67"/>
      <c r="F349" s="16"/>
      <c r="G349" s="8"/>
      <c r="H349" s="8"/>
      <c r="I349" s="8"/>
      <c r="J349" s="9"/>
      <c r="K349" s="9">
        <f t="shared" si="41"/>
        <v>0</v>
      </c>
      <c r="L349" s="35">
        <f t="shared" si="42"/>
        <v>0</v>
      </c>
      <c r="M349" s="2"/>
      <c r="O349" s="19"/>
      <c r="P349" s="19"/>
      <c r="Q349" s="19"/>
      <c r="R349" s="21"/>
      <c r="S349" s="46"/>
      <c r="T349" s="44"/>
      <c r="U349" s="77"/>
      <c r="V349" s="24"/>
      <c r="W349" s="24"/>
      <c r="X349" s="193"/>
      <c r="Y349" s="15"/>
    </row>
    <row r="350" spans="2:25" x14ac:dyDescent="0.25">
      <c r="B350" s="15"/>
      <c r="C350" s="8"/>
      <c r="E350" s="67"/>
      <c r="F350" s="16"/>
      <c r="G350" s="8"/>
      <c r="H350" s="8"/>
      <c r="I350" s="8"/>
      <c r="J350" s="9"/>
      <c r="K350" s="9">
        <f t="shared" si="41"/>
        <v>0</v>
      </c>
      <c r="L350" s="35">
        <f t="shared" si="42"/>
        <v>0</v>
      </c>
      <c r="M350" s="2"/>
      <c r="O350" s="19"/>
      <c r="P350" s="19"/>
      <c r="Q350" s="19"/>
      <c r="R350" s="21"/>
      <c r="S350" s="46"/>
      <c r="T350" s="44"/>
      <c r="U350" s="77"/>
      <c r="V350" s="24"/>
      <c r="W350" s="24"/>
      <c r="X350" s="193"/>
      <c r="Y350" s="15"/>
    </row>
    <row r="351" spans="2:25" x14ac:dyDescent="0.25">
      <c r="B351" s="15"/>
      <c r="C351" s="8"/>
      <c r="E351" s="67"/>
      <c r="F351" s="16"/>
      <c r="G351" s="8"/>
      <c r="H351" s="8"/>
      <c r="I351" s="8"/>
      <c r="J351" s="9"/>
      <c r="K351" s="9">
        <f t="shared" si="41"/>
        <v>0</v>
      </c>
      <c r="L351" s="35">
        <f t="shared" si="42"/>
        <v>0</v>
      </c>
      <c r="M351" s="2"/>
      <c r="O351" s="19"/>
      <c r="P351" s="19"/>
      <c r="Q351" s="19"/>
      <c r="R351" s="21"/>
      <c r="S351" s="46"/>
      <c r="T351" s="44"/>
      <c r="U351" s="77"/>
      <c r="V351" s="24"/>
      <c r="W351" s="390"/>
      <c r="X351" s="193"/>
      <c r="Y351" s="15"/>
    </row>
    <row r="352" spans="2:25" x14ac:dyDescent="0.25">
      <c r="B352" s="15"/>
      <c r="C352" s="8"/>
      <c r="E352" s="67"/>
      <c r="F352" s="16"/>
      <c r="G352" s="8"/>
      <c r="H352" s="8"/>
      <c r="I352" s="8"/>
      <c r="J352" s="9"/>
      <c r="K352" s="9">
        <f t="shared" si="41"/>
        <v>0</v>
      </c>
      <c r="L352" s="35">
        <f t="shared" si="42"/>
        <v>0</v>
      </c>
      <c r="M352" s="2"/>
      <c r="O352" s="19"/>
      <c r="P352" s="19"/>
      <c r="Q352" s="19"/>
      <c r="R352" s="21"/>
      <c r="S352" s="46"/>
      <c r="T352" s="44"/>
      <c r="U352" s="77"/>
      <c r="V352" s="24"/>
      <c r="X352" s="193"/>
      <c r="Y352" s="15"/>
    </row>
    <row r="353" spans="2:25" x14ac:dyDescent="0.25">
      <c r="B353" s="15"/>
      <c r="C353" s="8"/>
      <c r="E353" s="67"/>
      <c r="F353" s="16"/>
      <c r="G353" s="8"/>
      <c r="H353" s="8"/>
      <c r="I353" s="8"/>
      <c r="J353" s="9"/>
      <c r="K353" s="9">
        <f t="shared" si="41"/>
        <v>0</v>
      </c>
      <c r="L353" s="35">
        <f t="shared" si="42"/>
        <v>0</v>
      </c>
      <c r="M353" s="2"/>
      <c r="O353" s="19"/>
      <c r="P353" s="19"/>
      <c r="Q353" s="19"/>
      <c r="R353" s="21"/>
      <c r="S353" s="46"/>
      <c r="T353" s="44"/>
      <c r="U353" s="77"/>
      <c r="V353" s="24"/>
      <c r="X353" s="193"/>
      <c r="Y353" s="15"/>
    </row>
    <row r="354" spans="2:25" x14ac:dyDescent="0.25">
      <c r="B354" s="15"/>
      <c r="C354" s="8"/>
      <c r="E354" s="67"/>
      <c r="F354" s="16"/>
      <c r="G354" s="8"/>
      <c r="H354" s="8"/>
      <c r="I354" s="8"/>
      <c r="J354" s="9"/>
      <c r="K354" s="9">
        <f t="shared" si="41"/>
        <v>0</v>
      </c>
      <c r="L354" s="35">
        <f t="shared" si="42"/>
        <v>0</v>
      </c>
      <c r="M354" s="2"/>
      <c r="O354" s="19"/>
      <c r="P354" s="19"/>
      <c r="Q354" s="19"/>
      <c r="R354" s="21"/>
      <c r="S354" s="46"/>
      <c r="T354" s="44"/>
      <c r="U354" s="77"/>
      <c r="V354" s="24"/>
      <c r="X354" s="193"/>
      <c r="Y354" s="15"/>
    </row>
  </sheetData>
  <mergeCells count="15">
    <mergeCell ref="AB69:AB74"/>
    <mergeCell ref="AB75:AC75"/>
    <mergeCell ref="AB33:AB38"/>
    <mergeCell ref="AB39:AB44"/>
    <mergeCell ref="AB45:AB50"/>
    <mergeCell ref="AB51:AB56"/>
    <mergeCell ref="AB57:AB62"/>
    <mergeCell ref="AB63:AB68"/>
    <mergeCell ref="AB21:AB26"/>
    <mergeCell ref="AB27:AB32"/>
    <mergeCell ref="AB1:AS1"/>
    <mergeCell ref="AB2:AC2"/>
    <mergeCell ref="AB3:AB8"/>
    <mergeCell ref="AB9:AB14"/>
    <mergeCell ref="AB15:AB20"/>
  </mergeCells>
  <phoneticPr fontId="7" type="noConversion"/>
  <conditionalFormatting sqref="U1:U1048576 X1:X1048576">
    <cfRule type="cellIs" dxfId="6" priority="1" operator="equal">
      <formula>"마케팅"</formula>
    </cfRule>
  </conditionalFormatting>
  <dataValidations count="10">
    <dataValidation type="list" allowBlank="1" showInputMessage="1" showErrorMessage="1" sqref="S3:S33 S36 S39:S185 S337:S354 S305:S328 S188:S284" xr:uid="{DC4004A9-02B9-45C5-AF99-089E137A45F3}">
      <formula1>"(주)그랜드썬기술단, (주)그랜드썬,지에스피,유지에스"</formula1>
    </dataValidation>
    <dataValidation type="list" allowBlank="1" showInputMessage="1" showErrorMessage="1" sqref="U3:U151 U156 U305:U354 U159:U301" xr:uid="{A8233BA3-C927-4F3E-A262-C8E35DCFD269}">
      <formula1>"소개,그 외"</formula1>
    </dataValidation>
    <dataValidation type="list" allowBlank="1" showInputMessage="1" showErrorMessage="1" sqref="D3:D64 D337:D354 D305:D328 D66:D301" xr:uid="{5BB451F3-FFD1-42FD-8BCB-73A56A78AD68}">
      <formula1>"기존시설물(A),일반부지(B),수면(C)"</formula1>
    </dataValidation>
    <dataValidation type="list" allowBlank="1" showInputMessage="1" showErrorMessage="1" sqref="C303:C328 C337:C354 C3:C301" xr:uid="{EBF9D678-8182-49CC-8506-8A24FA3A66DA}">
      <formula1>"직영(가),외주(나),입찰(다),검토(라)"</formula1>
    </dataValidation>
    <dataValidation type="list" allowBlank="1" showInputMessage="1" showErrorMessage="1" sqref="X3:X125 X127:X152 X305:X354 X154:X301" xr:uid="{3BDF3959-6E96-4658-9109-EFBBB87FD596}">
      <formula1>"산단,공장,창고,축사,근생,자원순환,토지,업무시설"</formula1>
    </dataValidation>
    <dataValidation type="list" allowBlank="1" showInputMessage="1" showErrorMessage="1" sqref="Y305:Y354 Y3:Y301" xr:uid="{8521D16C-766A-43A4-9629-5ADAD22CA26E}">
      <formula1>"유지,보류,취소"</formula1>
    </dataValidation>
    <dataValidation type="list" allowBlank="1" showInputMessage="1" showErrorMessage="1" sqref="Q3:Q250 Q252:Q318" xr:uid="{9EA5DD57-16C4-43DA-9C6F-6160B44C27D1}">
      <formula1>"경기,강원,충남,충북,서울,인천,대전,세종,경남,경북,전남,전북,부산,대구,울산,제주,광주"</formula1>
    </dataValidation>
    <dataValidation type="list" allowBlank="1" showInputMessage="1" showErrorMessage="1" sqref="X153" xr:uid="{C9218438-5C07-4A8E-826F-0BED59508EB0}">
      <formula1>"산단,공장,창고,축사,근생,자원순환,토지,업무시설, 자동차관련시설"</formula1>
    </dataValidation>
    <dataValidation type="list" allowBlank="1" showInputMessage="1" showErrorMessage="1" sqref="X126" xr:uid="{A95FA28F-B7B1-42E6-9B86-7FDB9AFE2563}">
      <formula1>"산단,공장,창고,축사,근생,자원순환, 창고 및 판매시설,토지,업무시설"</formula1>
    </dataValidation>
    <dataValidation type="list" allowBlank="1" showInputMessage="1" showErrorMessage="1" sqref="S34:S35 S37:S38" xr:uid="{163F47E4-6A12-4280-8F70-D3C06D720919}">
      <formula1>"(주)그랜드썬기술단, (주)그랜드썬,지에스피,유지에스,지에스이"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17690E-BEFC-45BE-AF49-730DBC62E4A9}">
          <x14:formula1>
            <xm:f>INDEX!$B$3:$B$6</xm:f>
          </x14:formula1>
          <xm:sqref>W3:W351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W354"/>
  <sheetViews>
    <sheetView zoomScale="85" zoomScaleNormal="85" workbookViewId="0">
      <pane ySplit="2" topLeftCell="A3" activePane="bottomLeft" state="frozen"/>
      <selection activeCell="W1" sqref="W1:W1048576"/>
      <selection pane="bottomLeft" activeCell="V24" sqref="V24"/>
    </sheetView>
  </sheetViews>
  <sheetFormatPr defaultRowHeight="13.5" x14ac:dyDescent="0.25"/>
  <cols>
    <col min="1" max="1" width="3.7109375" customWidth="1"/>
    <col min="2" max="3" width="10.7109375" customWidth="1"/>
    <col min="4" max="4" width="10.7109375" style="5" customWidth="1"/>
    <col min="5" max="5" width="10.7109375" style="70" customWidth="1"/>
    <col min="6" max="6" width="12.7109375" style="382" customWidth="1"/>
    <col min="7" max="8" width="10.7109375" customWidth="1"/>
    <col min="9" max="9" width="11.85546875" customWidth="1"/>
    <col min="10" max="11" width="15.7109375" style="4" customWidth="1"/>
    <col min="12" max="12" width="15.7109375" style="36" customWidth="1"/>
    <col min="13" max="13" width="15.7109375" style="4" customWidth="1"/>
    <col min="14" max="14" width="15.7109375" customWidth="1"/>
    <col min="15" max="15" width="21.42578125" customWidth="1"/>
    <col min="16" max="17" width="6" customWidth="1"/>
    <col min="18" max="18" width="38.42578125" style="20" customWidth="1"/>
    <col min="19" max="19" width="20.7109375" customWidth="1"/>
    <col min="20" max="20" width="13.42578125" customWidth="1"/>
    <col min="21" max="21" width="9.140625" style="32"/>
    <col min="22" max="22" width="47" style="5" customWidth="1"/>
    <col min="23" max="23" width="9.140625" style="5" customWidth="1"/>
    <col min="24" max="24" width="9.140625" style="32"/>
    <col min="30" max="30" width="11.140625" customWidth="1"/>
    <col min="31" max="35" width="11.7109375" customWidth="1"/>
    <col min="36" max="40" width="11.7109375" style="124" customWidth="1"/>
    <col min="41" max="45" width="11.7109375" customWidth="1"/>
  </cols>
  <sheetData>
    <row r="1" spans="2:49" ht="27" thickBot="1" x14ac:dyDescent="0.3">
      <c r="B1" s="31"/>
      <c r="C1" s="31"/>
      <c r="D1" s="253"/>
      <c r="E1" s="68"/>
      <c r="F1" s="17"/>
      <c r="G1" s="6"/>
      <c r="H1" s="6"/>
      <c r="I1" s="22"/>
      <c r="J1" s="7"/>
      <c r="K1" s="7"/>
      <c r="L1" s="33"/>
      <c r="M1" s="7"/>
      <c r="N1" s="7"/>
      <c r="U1" s="42"/>
      <c r="X1" s="42"/>
      <c r="AB1" s="494" t="s">
        <v>3</v>
      </c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6"/>
    </row>
    <row r="2" spans="2:49" ht="40.5" customHeight="1" thickTop="1" thickBot="1" x14ac:dyDescent="0.3">
      <c r="B2" s="14" t="s">
        <v>0</v>
      </c>
      <c r="C2" s="66" t="s">
        <v>66</v>
      </c>
      <c r="D2" s="66" t="s">
        <v>67</v>
      </c>
      <c r="E2" s="69" t="s">
        <v>68</v>
      </c>
      <c r="F2" s="18" t="s">
        <v>1</v>
      </c>
      <c r="G2" s="10" t="s">
        <v>18</v>
      </c>
      <c r="H2" s="10" t="s">
        <v>17</v>
      </c>
      <c r="I2" s="11" t="s">
        <v>2</v>
      </c>
      <c r="J2" s="12" t="s">
        <v>16</v>
      </c>
      <c r="K2" s="12" t="s">
        <v>4</v>
      </c>
      <c r="L2" s="34" t="s">
        <v>44</v>
      </c>
      <c r="M2" s="37" t="s">
        <v>25</v>
      </c>
      <c r="N2" s="10" t="s">
        <v>22</v>
      </c>
      <c r="O2" s="10" t="s">
        <v>24</v>
      </c>
      <c r="P2" s="10" t="s">
        <v>42</v>
      </c>
      <c r="Q2" s="10" t="s">
        <v>206</v>
      </c>
      <c r="R2" s="10" t="s">
        <v>23</v>
      </c>
      <c r="S2" s="13" t="s">
        <v>5</v>
      </c>
      <c r="T2" s="23" t="s">
        <v>33</v>
      </c>
      <c r="U2" s="198" t="s">
        <v>48</v>
      </c>
      <c r="V2" s="14" t="s">
        <v>32</v>
      </c>
      <c r="W2" s="14" t="s">
        <v>1152</v>
      </c>
      <c r="X2" s="198" t="s">
        <v>149</v>
      </c>
      <c r="Y2" s="103" t="s">
        <v>161</v>
      </c>
      <c r="AB2" s="491" t="s">
        <v>108</v>
      </c>
      <c r="AC2" s="492"/>
      <c r="AD2" s="106" t="s">
        <v>1</v>
      </c>
      <c r="AE2" s="107" t="s">
        <v>109</v>
      </c>
      <c r="AF2" s="108" t="s">
        <v>78</v>
      </c>
      <c r="AG2" s="108" t="s">
        <v>77</v>
      </c>
      <c r="AH2" s="108" t="s">
        <v>79</v>
      </c>
      <c r="AI2" s="109" t="s">
        <v>80</v>
      </c>
      <c r="AJ2" s="112" t="s">
        <v>110</v>
      </c>
      <c r="AK2" s="113" t="s">
        <v>78</v>
      </c>
      <c r="AL2" s="113" t="s">
        <v>77</v>
      </c>
      <c r="AM2" s="113" t="s">
        <v>79</v>
      </c>
      <c r="AN2" s="114" t="s">
        <v>80</v>
      </c>
      <c r="AO2" s="110" t="s">
        <v>111</v>
      </c>
      <c r="AP2" s="111" t="s">
        <v>78</v>
      </c>
      <c r="AQ2" s="111" t="s">
        <v>77</v>
      </c>
      <c r="AR2" s="111" t="s">
        <v>79</v>
      </c>
      <c r="AS2" s="111" t="s">
        <v>80</v>
      </c>
      <c r="AU2" s="146"/>
      <c r="AV2" s="147" t="s">
        <v>116</v>
      </c>
      <c r="AW2" s="148"/>
    </row>
    <row r="3" spans="2:49" s="8" customFormat="1" ht="13.5" customHeight="1" x14ac:dyDescent="0.25">
      <c r="B3" s="15">
        <v>1</v>
      </c>
      <c r="C3" s="8" t="s">
        <v>2227</v>
      </c>
      <c r="D3" s="5" t="s">
        <v>246</v>
      </c>
      <c r="E3" s="67" t="s">
        <v>257</v>
      </c>
      <c r="F3" s="380">
        <v>46056</v>
      </c>
      <c r="G3" s="8">
        <v>2</v>
      </c>
      <c r="H3" s="8">
        <v>2</v>
      </c>
      <c r="I3" s="8">
        <v>49.92</v>
      </c>
      <c r="J3" s="9"/>
      <c r="K3" s="9"/>
      <c r="L3" s="35"/>
      <c r="M3" s="2" t="s">
        <v>146</v>
      </c>
      <c r="N3" t="s">
        <v>146</v>
      </c>
      <c r="O3" s="19" t="s">
        <v>481</v>
      </c>
      <c r="P3" s="19">
        <v>1</v>
      </c>
      <c r="Q3" s="19" t="s">
        <v>248</v>
      </c>
      <c r="R3" s="21" t="s">
        <v>482</v>
      </c>
      <c r="S3" s="46" t="s">
        <v>250</v>
      </c>
      <c r="T3" s="81" t="s">
        <v>483</v>
      </c>
      <c r="U3" s="80" t="s">
        <v>252</v>
      </c>
      <c r="V3" s="78" t="s">
        <v>484</v>
      </c>
      <c r="W3" s="78"/>
      <c r="X3" s="192" t="s">
        <v>152</v>
      </c>
      <c r="Y3" s="15"/>
      <c r="AA3">
        <v>1</v>
      </c>
      <c r="AB3" s="486">
        <v>1</v>
      </c>
      <c r="AC3" s="89">
        <v>1</v>
      </c>
      <c r="AD3" s="95" t="s">
        <v>81</v>
      </c>
      <c r="AE3" s="39">
        <f>SUM(AF3:AI3)</f>
        <v>0</v>
      </c>
      <c r="AF3" s="65">
        <f>SUMIFS($I:$I,$C:$C, $AF$2,$G:$G,$AA3,$H:$H,$AC3)</f>
        <v>0</v>
      </c>
      <c r="AG3" s="65">
        <f>SUMIFS($I:$I,$C:$C, $AG$2,$G:$G,$AA3,$H:$H,$AC3)</f>
        <v>0</v>
      </c>
      <c r="AH3" s="65">
        <f>SUMIFS($I:$I,$C:$C, $AH$2,$G:$G,$AA3,$H:$H,$AC3)</f>
        <v>0</v>
      </c>
      <c r="AI3" s="104">
        <f>SUMIFS($I:$I,$C:$C, $AI$2,$G:$G,$AA3,$H:$H,$AC3)</f>
        <v>0</v>
      </c>
      <c r="AJ3" s="115">
        <f>SUM(AK3:AN3)</f>
        <v>0</v>
      </c>
      <c r="AK3" s="116">
        <f>COUNTIFS($C:$C, $AK$2,$G:$G,$AA3,$H:$H,$AC3)</f>
        <v>0</v>
      </c>
      <c r="AL3" s="116">
        <f>COUNTIFS($C:$C, $AL$2,$G:$G,$AA3,$H:$H,$AC3)</f>
        <v>0</v>
      </c>
      <c r="AM3" s="116">
        <f>COUNTIFS($C:$C, $AM$2,$G:$G,$AA3,$H:$H,$AC3)</f>
        <v>0</v>
      </c>
      <c r="AN3" s="117">
        <f>COUNTIFS($C:$C, $AN$2,$G:$G,$AA3,$H:$H,$AC3)</f>
        <v>0</v>
      </c>
      <c r="AO3" s="39">
        <f>SUM(AP3:AS3)</f>
        <v>0</v>
      </c>
      <c r="AP3" s="65">
        <f>SUMIFS($L:$L,$C:$C, $AP$2,$G:$G,$AA3,$H:$H,$AC3)</f>
        <v>0</v>
      </c>
      <c r="AQ3" s="65">
        <f>SUMIFS($L:$L,$C:$C, $AQ$2,$G:$G,$AA3,$H:$H,$AC3)</f>
        <v>0</v>
      </c>
      <c r="AR3" s="65">
        <f>SUMIFS($L:$L,$C:$C, $AR$2,$G:$G,$AA3,$H:$H,$AC3)</f>
        <v>0</v>
      </c>
      <c r="AS3" s="65">
        <f>SUMIFS($L:$L,$C:$C, $AS$2,$G:$G,$AA3,$H:$H,$AC3)</f>
        <v>0</v>
      </c>
      <c r="AU3" s="149" t="s">
        <v>117</v>
      </c>
      <c r="AV3" s="150" t="s">
        <v>118</v>
      </c>
      <c r="AW3" s="151" t="s">
        <v>119</v>
      </c>
    </row>
    <row r="4" spans="2:49" s="8" customFormat="1" ht="13.5" customHeight="1" x14ac:dyDescent="0.25">
      <c r="B4" s="15">
        <v>2</v>
      </c>
      <c r="C4" s="8" t="s">
        <v>112</v>
      </c>
      <c r="D4" s="5" t="s">
        <v>246</v>
      </c>
      <c r="E4" s="67" t="s">
        <v>642</v>
      </c>
      <c r="F4" s="380">
        <v>46064</v>
      </c>
      <c r="G4" s="8">
        <v>2</v>
      </c>
      <c r="H4" s="8">
        <v>4</v>
      </c>
      <c r="I4" s="8">
        <v>499.84</v>
      </c>
      <c r="J4" s="9"/>
      <c r="K4" s="9">
        <f t="shared" ref="K4:K66" si="0">J4*1.1</f>
        <v>0</v>
      </c>
      <c r="L4" s="35">
        <f t="shared" ref="L4:L66" si="1">J4*0.00000001</f>
        <v>0</v>
      </c>
      <c r="M4" s="2" t="s">
        <v>643</v>
      </c>
      <c r="N4" t="s">
        <v>644</v>
      </c>
      <c r="O4" s="19" t="s">
        <v>645</v>
      </c>
      <c r="P4" s="19">
        <v>2</v>
      </c>
      <c r="Q4" s="19" t="s">
        <v>646</v>
      </c>
      <c r="R4" s="21" t="s">
        <v>647</v>
      </c>
      <c r="S4" s="46" t="s">
        <v>250</v>
      </c>
      <c r="T4" s="44" t="s">
        <v>648</v>
      </c>
      <c r="U4" s="76" t="s">
        <v>252</v>
      </c>
      <c r="V4" s="24" t="s">
        <v>649</v>
      </c>
      <c r="W4" s="24"/>
      <c r="X4" s="193" t="s">
        <v>152</v>
      </c>
      <c r="Y4" s="15"/>
      <c r="AA4">
        <v>1</v>
      </c>
      <c r="AB4" s="487"/>
      <c r="AC4" s="90">
        <v>2</v>
      </c>
      <c r="AD4" s="96" t="s">
        <v>54</v>
      </c>
      <c r="AE4" s="39">
        <f t="shared" ref="AE4:AE67" si="2">SUM(AF4:AI4)</f>
        <v>0</v>
      </c>
      <c r="AF4" s="65">
        <f t="shared" ref="AF4:AF67" si="3">SUMIFS($I:$I,$C:$C, $AF$2,$G:$G,$AA4,$H:$H,$AC4)</f>
        <v>0</v>
      </c>
      <c r="AG4" s="65">
        <f t="shared" ref="AG4:AG67" si="4">SUMIFS($I:$I,$C:$C, $AG$2,$G:$G,$AA4,$H:$H,$AC4)</f>
        <v>0</v>
      </c>
      <c r="AH4" s="65">
        <f t="shared" ref="AH4:AH67" si="5">SUMIFS($I:$I,$C:$C, $AH$2,$G:$G,$AA4,$H:$H,$AC4)</f>
        <v>0</v>
      </c>
      <c r="AI4" s="104">
        <f t="shared" ref="AI4:AI67" si="6">SUMIFS($I:$I,$C:$C, $AI$2,$G:$G,$AA4,$H:$H,$AC4)</f>
        <v>0</v>
      </c>
      <c r="AJ4" s="115">
        <f t="shared" ref="AJ4:AJ67" si="7">SUM(AK4:AN4)</f>
        <v>0</v>
      </c>
      <c r="AK4" s="116">
        <f t="shared" ref="AK4:AK67" si="8">COUNTIFS($C:$C, $AK$2,$G:$G,$AA4,$H:$H,$AC4)</f>
        <v>0</v>
      </c>
      <c r="AL4" s="116">
        <f t="shared" ref="AL4:AL67" si="9">COUNTIFS($C:$C, $AL$2,$G:$G,$AA4,$H:$H,$AC4)</f>
        <v>0</v>
      </c>
      <c r="AM4" s="116">
        <f t="shared" ref="AM4:AM67" si="10">COUNTIFS($C:$C, $AM$2,$G:$G,$AA4,$H:$H,$AC4)</f>
        <v>0</v>
      </c>
      <c r="AN4" s="117">
        <f t="shared" ref="AN4:AN67" si="11">COUNTIFS($C:$C, $AN$2,$G:$G,$AA4,$H:$H,$AC4)</f>
        <v>0</v>
      </c>
      <c r="AO4" s="39">
        <f t="shared" ref="AO4:AO67" si="12">SUM(AP4:AS4)</f>
        <v>0</v>
      </c>
      <c r="AP4" s="65">
        <f t="shared" ref="AP4:AP67" si="13">SUMIFS($L:$L,$C:$C, $AP$2,$G:$G,$AA4,$H:$H,$AC4)</f>
        <v>0</v>
      </c>
      <c r="AQ4" s="65">
        <f t="shared" ref="AQ4:AQ67" si="14">SUMIFS($L:$L,$C:$C, $AQ$2,$G:$G,$AA4,$H:$H,$AC4)</f>
        <v>0</v>
      </c>
      <c r="AR4" s="65">
        <f t="shared" ref="AR4:AR67" si="15">SUMIFS($L:$L,$C:$C, $AR$2,$G:$G,$AA4,$H:$H,$AC4)</f>
        <v>0</v>
      </c>
      <c r="AS4" s="65">
        <f t="shared" ref="AS4:AS67" si="16">SUMIFS($L:$L,$C:$C, $AS$2,$G:$G,$AA4,$H:$H,$AC4)</f>
        <v>0</v>
      </c>
      <c r="AU4" s="152">
        <v>1</v>
      </c>
      <c r="AV4" s="153">
        <f>COUNTIFS($U:$U,$AV$3,$G:$G,$AU4)</f>
        <v>0</v>
      </c>
      <c r="AW4" s="154">
        <f>COUNTIFS($U:$U,$AW$3,$G:$G,$AU4)</f>
        <v>0</v>
      </c>
    </row>
    <row r="5" spans="2:49" s="8" customFormat="1" ht="13.5" customHeight="1" x14ac:dyDescent="0.25">
      <c r="B5" s="15">
        <v>3</v>
      </c>
      <c r="C5" s="8" t="s">
        <v>245</v>
      </c>
      <c r="D5" s="5" t="s">
        <v>246</v>
      </c>
      <c r="E5" s="67" t="s">
        <v>274</v>
      </c>
      <c r="F5" s="380">
        <v>46087</v>
      </c>
      <c r="G5" s="8">
        <v>3</v>
      </c>
      <c r="H5" s="8">
        <v>2</v>
      </c>
      <c r="I5" s="8">
        <v>240</v>
      </c>
      <c r="J5" s="9"/>
      <c r="K5" s="9">
        <f t="shared" si="0"/>
        <v>0</v>
      </c>
      <c r="L5" s="35">
        <f t="shared" si="1"/>
        <v>0</v>
      </c>
      <c r="M5" s="2" t="s">
        <v>146</v>
      </c>
      <c r="N5" t="s">
        <v>696</v>
      </c>
      <c r="O5" s="19" t="s">
        <v>701</v>
      </c>
      <c r="P5" s="19">
        <v>3</v>
      </c>
      <c r="Q5" s="19" t="s">
        <v>697</v>
      </c>
      <c r="R5" s="21" t="s">
        <v>698</v>
      </c>
      <c r="S5" s="46" t="s">
        <v>250</v>
      </c>
      <c r="T5" s="44" t="s">
        <v>699</v>
      </c>
      <c r="U5" s="76" t="s">
        <v>252</v>
      </c>
      <c r="V5" s="24" t="s">
        <v>484</v>
      </c>
      <c r="W5" s="24"/>
      <c r="X5" s="193" t="s">
        <v>152</v>
      </c>
      <c r="Y5" s="15"/>
      <c r="AA5">
        <v>1</v>
      </c>
      <c r="AB5" s="487"/>
      <c r="AC5" s="90">
        <v>3</v>
      </c>
      <c r="AD5" s="97" t="s">
        <v>55</v>
      </c>
      <c r="AE5" s="39">
        <f t="shared" si="2"/>
        <v>0</v>
      </c>
      <c r="AF5" s="65">
        <f t="shared" si="3"/>
        <v>0</v>
      </c>
      <c r="AG5" s="65">
        <f t="shared" si="4"/>
        <v>0</v>
      </c>
      <c r="AH5" s="65">
        <f t="shared" si="5"/>
        <v>0</v>
      </c>
      <c r="AI5" s="104">
        <f t="shared" si="6"/>
        <v>0</v>
      </c>
      <c r="AJ5" s="115">
        <f t="shared" si="7"/>
        <v>0</v>
      </c>
      <c r="AK5" s="116">
        <f t="shared" si="8"/>
        <v>0</v>
      </c>
      <c r="AL5" s="116">
        <f t="shared" si="9"/>
        <v>0</v>
      </c>
      <c r="AM5" s="116">
        <f t="shared" si="10"/>
        <v>0</v>
      </c>
      <c r="AN5" s="117">
        <f t="shared" si="11"/>
        <v>0</v>
      </c>
      <c r="AO5" s="39">
        <f t="shared" si="12"/>
        <v>0</v>
      </c>
      <c r="AP5" s="65">
        <f t="shared" si="13"/>
        <v>0</v>
      </c>
      <c r="AQ5" s="65">
        <f t="shared" si="14"/>
        <v>0</v>
      </c>
      <c r="AR5" s="65">
        <f t="shared" si="15"/>
        <v>0</v>
      </c>
      <c r="AS5" s="65">
        <f t="shared" si="16"/>
        <v>0</v>
      </c>
      <c r="AU5" s="152">
        <v>2</v>
      </c>
      <c r="AV5" s="153">
        <f t="shared" ref="AV5:AV15" si="17">COUNTIFS($U:$U,$AV$3,$G:$G,$AU5)</f>
        <v>2</v>
      </c>
      <c r="AW5" s="154">
        <f t="shared" ref="AW5:AW15" si="18">COUNTIFS($U:$U,$AW$3,$G:$G,$AU5)</f>
        <v>0</v>
      </c>
    </row>
    <row r="6" spans="2:49" s="8" customFormat="1" ht="13.5" customHeight="1" x14ac:dyDescent="0.25">
      <c r="B6" s="15">
        <v>4</v>
      </c>
      <c r="C6" s="8" t="s">
        <v>245</v>
      </c>
      <c r="D6" s="5" t="s">
        <v>246</v>
      </c>
      <c r="E6" s="67" t="s">
        <v>258</v>
      </c>
      <c r="F6" s="380">
        <v>46087</v>
      </c>
      <c r="G6" s="8">
        <v>3</v>
      </c>
      <c r="H6" s="8">
        <v>2</v>
      </c>
      <c r="I6" s="8">
        <v>48</v>
      </c>
      <c r="J6" s="9"/>
      <c r="K6" s="9">
        <f t="shared" si="0"/>
        <v>0</v>
      </c>
      <c r="L6" s="35">
        <f t="shared" si="1"/>
        <v>0</v>
      </c>
      <c r="M6" s="2" t="s">
        <v>700</v>
      </c>
      <c r="N6" s="2" t="s">
        <v>700</v>
      </c>
      <c r="O6" s="19" t="s">
        <v>702</v>
      </c>
      <c r="P6" s="19">
        <v>4</v>
      </c>
      <c r="Q6" s="19" t="s">
        <v>703</v>
      </c>
      <c r="R6" s="21" t="s">
        <v>704</v>
      </c>
      <c r="S6" s="46" t="s">
        <v>250</v>
      </c>
      <c r="T6" s="44" t="s">
        <v>705</v>
      </c>
      <c r="U6" s="76" t="s">
        <v>252</v>
      </c>
      <c r="V6" s="24" t="s">
        <v>484</v>
      </c>
      <c r="W6" s="24"/>
      <c r="X6" s="193" t="s">
        <v>155</v>
      </c>
      <c r="Y6" s="15"/>
      <c r="AA6">
        <v>1</v>
      </c>
      <c r="AB6" s="487"/>
      <c r="AC6" s="90">
        <v>4</v>
      </c>
      <c r="AD6" s="97" t="s">
        <v>56</v>
      </c>
      <c r="AE6" s="39">
        <f t="shared" si="2"/>
        <v>0</v>
      </c>
      <c r="AF6" s="65">
        <f t="shared" si="3"/>
        <v>0</v>
      </c>
      <c r="AG6" s="65">
        <f t="shared" si="4"/>
        <v>0</v>
      </c>
      <c r="AH6" s="65">
        <f t="shared" si="5"/>
        <v>0</v>
      </c>
      <c r="AI6" s="104">
        <f t="shared" si="6"/>
        <v>0</v>
      </c>
      <c r="AJ6" s="115">
        <f t="shared" si="7"/>
        <v>0</v>
      </c>
      <c r="AK6" s="116">
        <f t="shared" si="8"/>
        <v>0</v>
      </c>
      <c r="AL6" s="116">
        <f t="shared" si="9"/>
        <v>0</v>
      </c>
      <c r="AM6" s="116">
        <f t="shared" si="10"/>
        <v>0</v>
      </c>
      <c r="AN6" s="117">
        <f t="shared" si="11"/>
        <v>0</v>
      </c>
      <c r="AO6" s="39">
        <f t="shared" si="12"/>
        <v>0</v>
      </c>
      <c r="AP6" s="65">
        <f t="shared" si="13"/>
        <v>0</v>
      </c>
      <c r="AQ6" s="65">
        <f t="shared" si="14"/>
        <v>0</v>
      </c>
      <c r="AR6" s="65">
        <f t="shared" si="15"/>
        <v>0</v>
      </c>
      <c r="AS6" s="65">
        <f t="shared" si="16"/>
        <v>0</v>
      </c>
      <c r="AU6" s="152">
        <v>3</v>
      </c>
      <c r="AV6" s="153">
        <f t="shared" si="17"/>
        <v>2</v>
      </c>
      <c r="AW6" s="154">
        <f t="shared" si="18"/>
        <v>0</v>
      </c>
    </row>
    <row r="7" spans="2:49" s="8" customFormat="1" ht="13.5" customHeight="1" x14ac:dyDescent="0.25">
      <c r="B7" s="15">
        <v>5</v>
      </c>
      <c r="C7" s="8" t="s">
        <v>245</v>
      </c>
      <c r="D7" s="5" t="s">
        <v>246</v>
      </c>
      <c r="E7" s="67" t="s">
        <v>914</v>
      </c>
      <c r="F7" s="380">
        <v>46111</v>
      </c>
      <c r="G7" s="8">
        <v>4</v>
      </c>
      <c r="H7" s="8">
        <v>1</v>
      </c>
      <c r="I7" s="8">
        <v>47.36</v>
      </c>
      <c r="J7" s="9"/>
      <c r="K7" s="9">
        <f t="shared" si="0"/>
        <v>0</v>
      </c>
      <c r="L7" s="35">
        <f t="shared" si="1"/>
        <v>0</v>
      </c>
      <c r="M7" s="2" t="s">
        <v>915</v>
      </c>
      <c r="N7" t="s">
        <v>916</v>
      </c>
      <c r="O7" s="19" t="s">
        <v>917</v>
      </c>
      <c r="P7" s="19">
        <v>5</v>
      </c>
      <c r="Q7" s="19" t="s">
        <v>918</v>
      </c>
      <c r="R7" s="21" t="s">
        <v>919</v>
      </c>
      <c r="S7" s="46" t="s">
        <v>250</v>
      </c>
      <c r="T7" s="44" t="s">
        <v>920</v>
      </c>
      <c r="U7" s="76" t="s">
        <v>921</v>
      </c>
      <c r="V7" s="24" t="s">
        <v>922</v>
      </c>
      <c r="W7" s="24"/>
      <c r="X7" s="193" t="s">
        <v>923</v>
      </c>
      <c r="Y7" s="15"/>
      <c r="AA7">
        <v>1</v>
      </c>
      <c r="AB7" s="487"/>
      <c r="AC7" s="91">
        <v>5</v>
      </c>
      <c r="AD7" s="97" t="s">
        <v>57</v>
      </c>
      <c r="AE7" s="39">
        <f t="shared" si="2"/>
        <v>0</v>
      </c>
      <c r="AF7" s="65">
        <f t="shared" si="3"/>
        <v>0</v>
      </c>
      <c r="AG7" s="65">
        <f t="shared" si="4"/>
        <v>0</v>
      </c>
      <c r="AH7" s="65">
        <f t="shared" si="5"/>
        <v>0</v>
      </c>
      <c r="AI7" s="104">
        <f t="shared" si="6"/>
        <v>0</v>
      </c>
      <c r="AJ7" s="115">
        <f t="shared" si="7"/>
        <v>0</v>
      </c>
      <c r="AK7" s="116">
        <f t="shared" si="8"/>
        <v>0</v>
      </c>
      <c r="AL7" s="116">
        <f t="shared" si="9"/>
        <v>0</v>
      </c>
      <c r="AM7" s="116">
        <f t="shared" si="10"/>
        <v>0</v>
      </c>
      <c r="AN7" s="117">
        <f t="shared" si="11"/>
        <v>0</v>
      </c>
      <c r="AO7" s="39">
        <f t="shared" si="12"/>
        <v>0</v>
      </c>
      <c r="AP7" s="65">
        <f t="shared" si="13"/>
        <v>0</v>
      </c>
      <c r="AQ7" s="65">
        <f t="shared" si="14"/>
        <v>0</v>
      </c>
      <c r="AR7" s="65">
        <f t="shared" si="15"/>
        <v>0</v>
      </c>
      <c r="AS7" s="65">
        <f t="shared" si="16"/>
        <v>0</v>
      </c>
      <c r="AU7" s="152">
        <v>4</v>
      </c>
      <c r="AV7" s="153">
        <f t="shared" si="17"/>
        <v>1</v>
      </c>
      <c r="AW7" s="154">
        <f t="shared" si="18"/>
        <v>0</v>
      </c>
    </row>
    <row r="8" spans="2:49" s="8" customFormat="1" ht="13.5" customHeight="1" thickBot="1" x14ac:dyDescent="0.3">
      <c r="B8" s="15">
        <v>6</v>
      </c>
      <c r="C8" s="8" t="s">
        <v>245</v>
      </c>
      <c r="D8" s="5" t="s">
        <v>246</v>
      </c>
      <c r="E8" s="67" t="s">
        <v>924</v>
      </c>
      <c r="F8" s="380">
        <v>46111</v>
      </c>
      <c r="G8" s="8">
        <v>4</v>
      </c>
      <c r="H8" s="8">
        <v>1</v>
      </c>
      <c r="I8" s="8">
        <v>122.88</v>
      </c>
      <c r="J8" s="9"/>
      <c r="K8" s="9">
        <f t="shared" si="0"/>
        <v>0</v>
      </c>
      <c r="L8" s="35">
        <f t="shared" si="1"/>
        <v>0</v>
      </c>
      <c r="M8" s="2" t="s">
        <v>915</v>
      </c>
      <c r="N8" t="s">
        <v>916</v>
      </c>
      <c r="O8" s="19" t="s">
        <v>925</v>
      </c>
      <c r="P8" s="19">
        <v>6</v>
      </c>
      <c r="Q8" s="19" t="s">
        <v>926</v>
      </c>
      <c r="R8" s="21" t="s">
        <v>927</v>
      </c>
      <c r="S8" s="46" t="s">
        <v>250</v>
      </c>
      <c r="T8" s="44" t="s">
        <v>928</v>
      </c>
      <c r="U8" s="76" t="s">
        <v>929</v>
      </c>
      <c r="V8" s="24" t="s">
        <v>484</v>
      </c>
      <c r="W8" s="24"/>
      <c r="X8" s="193" t="s">
        <v>923</v>
      </c>
      <c r="Y8" s="15"/>
      <c r="AA8">
        <v>1</v>
      </c>
      <c r="AB8" s="488"/>
      <c r="AC8" s="92" t="s">
        <v>3</v>
      </c>
      <c r="AD8" s="98"/>
      <c r="AE8" s="94">
        <f t="shared" ref="AE8:AS8" si="19">SUM(AE3:AE7)</f>
        <v>0</v>
      </c>
      <c r="AF8" s="94">
        <f t="shared" si="19"/>
        <v>0</v>
      </c>
      <c r="AG8" s="94">
        <f t="shared" si="19"/>
        <v>0</v>
      </c>
      <c r="AH8" s="94">
        <f t="shared" si="19"/>
        <v>0</v>
      </c>
      <c r="AI8" s="105">
        <f t="shared" si="19"/>
        <v>0</v>
      </c>
      <c r="AJ8" s="118">
        <f t="shared" si="19"/>
        <v>0</v>
      </c>
      <c r="AK8" s="119">
        <f t="shared" si="19"/>
        <v>0</v>
      </c>
      <c r="AL8" s="119">
        <f t="shared" si="19"/>
        <v>0</v>
      </c>
      <c r="AM8" s="119">
        <f t="shared" si="19"/>
        <v>0</v>
      </c>
      <c r="AN8" s="120">
        <f t="shared" si="19"/>
        <v>0</v>
      </c>
      <c r="AO8" s="94">
        <f t="shared" si="19"/>
        <v>0</v>
      </c>
      <c r="AP8" s="94">
        <f t="shared" si="19"/>
        <v>0</v>
      </c>
      <c r="AQ8" s="94">
        <f t="shared" si="19"/>
        <v>0</v>
      </c>
      <c r="AR8" s="94">
        <f t="shared" si="19"/>
        <v>0</v>
      </c>
      <c r="AS8" s="94">
        <f t="shared" si="19"/>
        <v>0</v>
      </c>
      <c r="AU8" s="152">
        <v>5</v>
      </c>
      <c r="AV8" s="153">
        <f t="shared" si="17"/>
        <v>1</v>
      </c>
      <c r="AW8" s="154">
        <f t="shared" si="18"/>
        <v>0</v>
      </c>
    </row>
    <row r="9" spans="2:49" s="8" customFormat="1" ht="13.5" customHeight="1" x14ac:dyDescent="0.25">
      <c r="B9" s="15">
        <v>7</v>
      </c>
      <c r="C9" s="8" t="s">
        <v>245</v>
      </c>
      <c r="D9" s="5" t="s">
        <v>246</v>
      </c>
      <c r="E9" s="67" t="s">
        <v>1242</v>
      </c>
      <c r="F9" s="380">
        <v>46154</v>
      </c>
      <c r="G9" s="8">
        <v>5</v>
      </c>
      <c r="H9" s="8">
        <v>2</v>
      </c>
      <c r="I9" s="8">
        <v>53.76</v>
      </c>
      <c r="J9" s="9"/>
      <c r="K9" s="9">
        <f t="shared" si="0"/>
        <v>0</v>
      </c>
      <c r="L9" s="35">
        <f t="shared" si="1"/>
        <v>0</v>
      </c>
      <c r="M9" s="2" t="s">
        <v>1243</v>
      </c>
      <c r="N9" t="s">
        <v>1243</v>
      </c>
      <c r="O9" s="19" t="s">
        <v>1276</v>
      </c>
      <c r="P9" s="19">
        <v>7</v>
      </c>
      <c r="Q9" s="19" t="s">
        <v>455</v>
      </c>
      <c r="R9" s="21" t="s">
        <v>1244</v>
      </c>
      <c r="S9" s="46" t="s">
        <v>250</v>
      </c>
      <c r="T9" s="44" t="s">
        <v>1245</v>
      </c>
      <c r="U9" s="76" t="s">
        <v>252</v>
      </c>
      <c r="V9" s="24" t="s">
        <v>1246</v>
      </c>
      <c r="W9" s="24"/>
      <c r="X9" s="193" t="s">
        <v>1247</v>
      </c>
      <c r="Y9" s="15"/>
      <c r="AA9">
        <v>2</v>
      </c>
      <c r="AB9" s="486">
        <v>2</v>
      </c>
      <c r="AC9" s="89">
        <v>1</v>
      </c>
      <c r="AD9" s="99" t="s">
        <v>82</v>
      </c>
      <c r="AE9" s="39">
        <f t="shared" si="2"/>
        <v>0</v>
      </c>
      <c r="AF9" s="65">
        <f t="shared" si="3"/>
        <v>0</v>
      </c>
      <c r="AG9" s="65">
        <f t="shared" si="4"/>
        <v>0</v>
      </c>
      <c r="AH9" s="65">
        <f t="shared" si="5"/>
        <v>0</v>
      </c>
      <c r="AI9" s="104">
        <f t="shared" si="6"/>
        <v>0</v>
      </c>
      <c r="AJ9" s="115">
        <f t="shared" si="7"/>
        <v>0</v>
      </c>
      <c r="AK9" s="116">
        <f t="shared" si="8"/>
        <v>0</v>
      </c>
      <c r="AL9" s="116">
        <f t="shared" si="9"/>
        <v>0</v>
      </c>
      <c r="AM9" s="116">
        <f t="shared" si="10"/>
        <v>0</v>
      </c>
      <c r="AN9" s="117">
        <f t="shared" si="11"/>
        <v>0</v>
      </c>
      <c r="AO9" s="39">
        <f t="shared" si="12"/>
        <v>0</v>
      </c>
      <c r="AP9" s="65">
        <f t="shared" si="13"/>
        <v>0</v>
      </c>
      <c r="AQ9" s="65">
        <f t="shared" si="14"/>
        <v>0</v>
      </c>
      <c r="AR9" s="65">
        <f t="shared" si="15"/>
        <v>0</v>
      </c>
      <c r="AS9" s="65">
        <f t="shared" si="16"/>
        <v>0</v>
      </c>
      <c r="AU9" s="152">
        <v>6</v>
      </c>
      <c r="AV9" s="153">
        <f t="shared" si="17"/>
        <v>3</v>
      </c>
      <c r="AW9" s="154">
        <f t="shared" si="18"/>
        <v>0</v>
      </c>
    </row>
    <row r="10" spans="2:49" s="8" customFormat="1" ht="13.5" customHeight="1" x14ac:dyDescent="0.25">
      <c r="B10" s="15">
        <v>8</v>
      </c>
      <c r="C10" s="8" t="s">
        <v>112</v>
      </c>
      <c r="D10" s="5" t="s">
        <v>246</v>
      </c>
      <c r="E10" s="67" t="s">
        <v>274</v>
      </c>
      <c r="F10" s="380">
        <v>46182</v>
      </c>
      <c r="G10" s="8">
        <v>6</v>
      </c>
      <c r="H10" s="8">
        <v>2</v>
      </c>
      <c r="I10" s="8">
        <v>240.58500000000001</v>
      </c>
      <c r="J10" s="9"/>
      <c r="K10" s="9">
        <f t="shared" si="0"/>
        <v>0</v>
      </c>
      <c r="L10" s="35">
        <f t="shared" si="1"/>
        <v>0</v>
      </c>
      <c r="M10" s="2" t="s">
        <v>1497</v>
      </c>
      <c r="N10" s="2" t="s">
        <v>1498</v>
      </c>
      <c r="O10" s="19" t="s">
        <v>1568</v>
      </c>
      <c r="P10" s="19">
        <v>8</v>
      </c>
      <c r="Q10" s="19" t="s">
        <v>1499</v>
      </c>
      <c r="R10" s="21" t="s">
        <v>1500</v>
      </c>
      <c r="S10" s="46" t="s">
        <v>250</v>
      </c>
      <c r="T10" s="82" t="s">
        <v>1501</v>
      </c>
      <c r="U10" s="76" t="s">
        <v>252</v>
      </c>
      <c r="V10" s="24" t="s">
        <v>1561</v>
      </c>
      <c r="W10" s="24"/>
      <c r="X10" s="193" t="s">
        <v>152</v>
      </c>
      <c r="Y10" s="15"/>
      <c r="AA10">
        <v>2</v>
      </c>
      <c r="AB10" s="487"/>
      <c r="AC10" s="90">
        <v>2</v>
      </c>
      <c r="AD10" s="97" t="s">
        <v>58</v>
      </c>
      <c r="AE10" s="39">
        <f t="shared" si="2"/>
        <v>49.92</v>
      </c>
      <c r="AF10" s="65">
        <f t="shared" si="3"/>
        <v>0</v>
      </c>
      <c r="AG10" s="65">
        <f t="shared" si="4"/>
        <v>49.92</v>
      </c>
      <c r="AH10" s="65">
        <f t="shared" si="5"/>
        <v>0</v>
      </c>
      <c r="AI10" s="104">
        <f t="shared" si="6"/>
        <v>0</v>
      </c>
      <c r="AJ10" s="115">
        <f t="shared" si="7"/>
        <v>1</v>
      </c>
      <c r="AK10" s="116">
        <f t="shared" si="8"/>
        <v>0</v>
      </c>
      <c r="AL10" s="116">
        <f t="shared" si="9"/>
        <v>1</v>
      </c>
      <c r="AM10" s="116">
        <f t="shared" si="10"/>
        <v>0</v>
      </c>
      <c r="AN10" s="117">
        <f t="shared" si="11"/>
        <v>0</v>
      </c>
      <c r="AO10" s="39">
        <f t="shared" si="12"/>
        <v>0</v>
      </c>
      <c r="AP10" s="65">
        <f t="shared" si="13"/>
        <v>0</v>
      </c>
      <c r="AQ10" s="65">
        <f t="shared" si="14"/>
        <v>0</v>
      </c>
      <c r="AR10" s="65">
        <f t="shared" si="15"/>
        <v>0</v>
      </c>
      <c r="AS10" s="65">
        <f t="shared" si="16"/>
        <v>0</v>
      </c>
      <c r="AU10" s="152">
        <v>7</v>
      </c>
      <c r="AV10" s="153">
        <f t="shared" si="17"/>
        <v>1</v>
      </c>
      <c r="AW10" s="154">
        <f t="shared" si="18"/>
        <v>0</v>
      </c>
    </row>
    <row r="11" spans="2:49" s="8" customFormat="1" ht="13.5" customHeight="1" x14ac:dyDescent="0.25">
      <c r="B11" s="15">
        <v>9</v>
      </c>
      <c r="C11" s="8" t="s">
        <v>112</v>
      </c>
      <c r="D11" s="5" t="s">
        <v>246</v>
      </c>
      <c r="E11" s="67" t="s">
        <v>1526</v>
      </c>
      <c r="F11" s="380">
        <v>46185</v>
      </c>
      <c r="G11" s="8">
        <v>6</v>
      </c>
      <c r="H11" s="8">
        <v>3</v>
      </c>
      <c r="I11" s="8">
        <v>309.60000000000002</v>
      </c>
      <c r="J11" s="9"/>
      <c r="K11" s="9">
        <f t="shared" si="0"/>
        <v>0</v>
      </c>
      <c r="L11" s="35">
        <f t="shared" si="1"/>
        <v>0</v>
      </c>
      <c r="M11" s="2" t="s">
        <v>1523</v>
      </c>
      <c r="N11" t="s">
        <v>1524</v>
      </c>
      <c r="O11" s="19" t="s">
        <v>1545</v>
      </c>
      <c r="P11" s="19">
        <v>9</v>
      </c>
      <c r="Q11" s="19" t="s">
        <v>1527</v>
      </c>
      <c r="R11" s="21" t="s">
        <v>1528</v>
      </c>
      <c r="S11" s="46" t="s">
        <v>250</v>
      </c>
      <c r="T11" s="44" t="s">
        <v>1529</v>
      </c>
      <c r="U11" s="76" t="s">
        <v>252</v>
      </c>
      <c r="V11" s="24" t="s">
        <v>1525</v>
      </c>
      <c r="W11" s="24"/>
      <c r="X11" s="193" t="s">
        <v>151</v>
      </c>
      <c r="Y11" s="15"/>
      <c r="AA11">
        <v>2</v>
      </c>
      <c r="AB11" s="487"/>
      <c r="AC11" s="90">
        <v>3</v>
      </c>
      <c r="AD11" s="97" t="s">
        <v>59</v>
      </c>
      <c r="AE11" s="39">
        <f t="shared" si="2"/>
        <v>0</v>
      </c>
      <c r="AF11" s="65">
        <f t="shared" si="3"/>
        <v>0</v>
      </c>
      <c r="AG11" s="65">
        <f t="shared" si="4"/>
        <v>0</v>
      </c>
      <c r="AH11" s="65">
        <f t="shared" si="5"/>
        <v>0</v>
      </c>
      <c r="AI11" s="104">
        <f t="shared" si="6"/>
        <v>0</v>
      </c>
      <c r="AJ11" s="115">
        <f t="shared" si="7"/>
        <v>0</v>
      </c>
      <c r="AK11" s="116">
        <f t="shared" si="8"/>
        <v>0</v>
      </c>
      <c r="AL11" s="116">
        <f t="shared" si="9"/>
        <v>0</v>
      </c>
      <c r="AM11" s="116">
        <f t="shared" si="10"/>
        <v>0</v>
      </c>
      <c r="AN11" s="117">
        <f t="shared" si="11"/>
        <v>0</v>
      </c>
      <c r="AO11" s="39">
        <f t="shared" si="12"/>
        <v>0</v>
      </c>
      <c r="AP11" s="65">
        <f t="shared" si="13"/>
        <v>0</v>
      </c>
      <c r="AQ11" s="65">
        <f t="shared" si="14"/>
        <v>0</v>
      </c>
      <c r="AR11" s="65">
        <f t="shared" si="15"/>
        <v>0</v>
      </c>
      <c r="AS11" s="65">
        <f t="shared" si="16"/>
        <v>0</v>
      </c>
      <c r="AU11" s="152">
        <v>8</v>
      </c>
      <c r="AV11" s="153">
        <f t="shared" si="17"/>
        <v>0</v>
      </c>
      <c r="AW11" s="154">
        <f t="shared" si="18"/>
        <v>0</v>
      </c>
    </row>
    <row r="12" spans="2:49" s="8" customFormat="1" ht="13.5" customHeight="1" x14ac:dyDescent="0.25">
      <c r="B12" s="15">
        <v>10</v>
      </c>
      <c r="C12" s="8" t="s">
        <v>112</v>
      </c>
      <c r="D12" s="5" t="s">
        <v>246</v>
      </c>
      <c r="E12" s="67" t="s">
        <v>1562</v>
      </c>
      <c r="F12" s="380">
        <v>46195</v>
      </c>
      <c r="G12" s="8">
        <v>6</v>
      </c>
      <c r="H12" s="8">
        <v>4</v>
      </c>
      <c r="I12" s="8">
        <v>499.875</v>
      </c>
      <c r="J12" s="9"/>
      <c r="K12" s="9">
        <f t="shared" si="0"/>
        <v>0</v>
      </c>
      <c r="L12" s="35">
        <f t="shared" si="1"/>
        <v>0</v>
      </c>
      <c r="M12" s="2" t="s">
        <v>1563</v>
      </c>
      <c r="N12" t="s">
        <v>1557</v>
      </c>
      <c r="O12" s="19" t="s">
        <v>1564</v>
      </c>
      <c r="P12" s="19">
        <v>10</v>
      </c>
      <c r="Q12" s="19" t="s">
        <v>1565</v>
      </c>
      <c r="R12" s="21" t="s">
        <v>1566</v>
      </c>
      <c r="S12" s="46" t="s">
        <v>250</v>
      </c>
      <c r="T12" s="44" t="s">
        <v>1567</v>
      </c>
      <c r="U12" s="76" t="s">
        <v>252</v>
      </c>
      <c r="V12" s="24" t="s">
        <v>1561</v>
      </c>
      <c r="W12" s="24"/>
      <c r="X12" s="193" t="s">
        <v>152</v>
      </c>
      <c r="Y12" s="15"/>
      <c r="AA12">
        <v>2</v>
      </c>
      <c r="AB12" s="487"/>
      <c r="AC12" s="90">
        <v>4</v>
      </c>
      <c r="AD12" s="97" t="s">
        <v>60</v>
      </c>
      <c r="AE12" s="39">
        <f t="shared" si="2"/>
        <v>499.84</v>
      </c>
      <c r="AF12" s="65">
        <f t="shared" si="3"/>
        <v>499.84</v>
      </c>
      <c r="AG12" s="65">
        <f t="shared" si="4"/>
        <v>0</v>
      </c>
      <c r="AH12" s="65">
        <f t="shared" si="5"/>
        <v>0</v>
      </c>
      <c r="AI12" s="104">
        <f t="shared" si="6"/>
        <v>0</v>
      </c>
      <c r="AJ12" s="115">
        <f t="shared" si="7"/>
        <v>1</v>
      </c>
      <c r="AK12" s="116">
        <f t="shared" si="8"/>
        <v>1</v>
      </c>
      <c r="AL12" s="116">
        <f t="shared" si="9"/>
        <v>0</v>
      </c>
      <c r="AM12" s="116">
        <f t="shared" si="10"/>
        <v>0</v>
      </c>
      <c r="AN12" s="117">
        <f t="shared" si="11"/>
        <v>0</v>
      </c>
      <c r="AO12" s="39">
        <f t="shared" si="12"/>
        <v>0</v>
      </c>
      <c r="AP12" s="65">
        <f t="shared" si="13"/>
        <v>0</v>
      </c>
      <c r="AQ12" s="65">
        <f t="shared" si="14"/>
        <v>0</v>
      </c>
      <c r="AR12" s="65">
        <f t="shared" si="15"/>
        <v>0</v>
      </c>
      <c r="AS12" s="65">
        <f t="shared" si="16"/>
        <v>0</v>
      </c>
      <c r="AU12" s="152">
        <v>9</v>
      </c>
      <c r="AV12" s="153">
        <f t="shared" si="17"/>
        <v>0</v>
      </c>
      <c r="AW12" s="154">
        <f t="shared" si="18"/>
        <v>0</v>
      </c>
    </row>
    <row r="13" spans="2:49" s="8" customFormat="1" ht="13.5" customHeight="1" x14ac:dyDescent="0.25">
      <c r="B13" s="15">
        <v>11</v>
      </c>
      <c r="C13" s="8" t="s">
        <v>245</v>
      </c>
      <c r="D13" s="5" t="s">
        <v>246</v>
      </c>
      <c r="E13" s="67" t="s">
        <v>1932</v>
      </c>
      <c r="F13" s="380">
        <v>46232</v>
      </c>
      <c r="G13" s="8">
        <v>7</v>
      </c>
      <c r="H13" s="8">
        <v>5</v>
      </c>
      <c r="I13" s="8">
        <v>462.46499999999997</v>
      </c>
      <c r="J13" s="9"/>
      <c r="K13" s="9">
        <f t="shared" si="0"/>
        <v>0</v>
      </c>
      <c r="L13" s="35">
        <f t="shared" si="1"/>
        <v>0</v>
      </c>
      <c r="M13" s="2" t="s">
        <v>1933</v>
      </c>
      <c r="N13" t="s">
        <v>1933</v>
      </c>
      <c r="O13" s="19" t="s">
        <v>1934</v>
      </c>
      <c r="P13" s="19">
        <v>11</v>
      </c>
      <c r="Q13" s="19" t="s">
        <v>1935</v>
      </c>
      <c r="R13" s="21" t="s">
        <v>1936</v>
      </c>
      <c r="S13" s="46" t="s">
        <v>250</v>
      </c>
      <c r="T13" s="44" t="s">
        <v>1937</v>
      </c>
      <c r="U13" s="76" t="s">
        <v>252</v>
      </c>
      <c r="V13" s="24" t="s">
        <v>1938</v>
      </c>
      <c r="W13" s="24"/>
      <c r="X13" s="193" t="s">
        <v>1939</v>
      </c>
      <c r="Y13" s="15"/>
      <c r="AA13">
        <v>2</v>
      </c>
      <c r="AB13" s="487"/>
      <c r="AC13" s="91">
        <v>5</v>
      </c>
      <c r="AD13" s="97"/>
      <c r="AE13" s="39">
        <f t="shared" si="2"/>
        <v>0</v>
      </c>
      <c r="AF13" s="65">
        <f t="shared" si="3"/>
        <v>0</v>
      </c>
      <c r="AG13" s="65">
        <f t="shared" si="4"/>
        <v>0</v>
      </c>
      <c r="AH13" s="65">
        <f t="shared" si="5"/>
        <v>0</v>
      </c>
      <c r="AI13" s="104">
        <f t="shared" si="6"/>
        <v>0</v>
      </c>
      <c r="AJ13" s="115">
        <f t="shared" si="7"/>
        <v>0</v>
      </c>
      <c r="AK13" s="116">
        <f t="shared" si="8"/>
        <v>0</v>
      </c>
      <c r="AL13" s="116">
        <f t="shared" si="9"/>
        <v>0</v>
      </c>
      <c r="AM13" s="116">
        <f t="shared" si="10"/>
        <v>0</v>
      </c>
      <c r="AN13" s="117">
        <f t="shared" si="11"/>
        <v>0</v>
      </c>
      <c r="AO13" s="39">
        <f t="shared" si="12"/>
        <v>0</v>
      </c>
      <c r="AP13" s="65">
        <f t="shared" si="13"/>
        <v>0</v>
      </c>
      <c r="AQ13" s="65">
        <f t="shared" si="14"/>
        <v>0</v>
      </c>
      <c r="AR13" s="65">
        <f t="shared" si="15"/>
        <v>0</v>
      </c>
      <c r="AS13" s="65">
        <f t="shared" si="16"/>
        <v>0</v>
      </c>
      <c r="AU13" s="152">
        <v>10</v>
      </c>
      <c r="AV13" s="153">
        <f t="shared" si="17"/>
        <v>0</v>
      </c>
      <c r="AW13" s="154">
        <f t="shared" si="18"/>
        <v>0</v>
      </c>
    </row>
    <row r="14" spans="2:49" s="8" customFormat="1" ht="13.5" customHeight="1" thickBot="1" x14ac:dyDescent="0.3">
      <c r="B14" s="15">
        <v>12</v>
      </c>
      <c r="C14" s="8" t="s">
        <v>245</v>
      </c>
      <c r="D14" s="5" t="s">
        <v>246</v>
      </c>
      <c r="E14" s="67" t="s">
        <v>257</v>
      </c>
      <c r="F14" s="380">
        <v>46274</v>
      </c>
      <c r="G14" s="8">
        <v>9</v>
      </c>
      <c r="H14" s="8">
        <v>2</v>
      </c>
      <c r="I14" s="8">
        <v>125.13</v>
      </c>
      <c r="J14" s="9"/>
      <c r="K14" s="9">
        <f t="shared" si="0"/>
        <v>0</v>
      </c>
      <c r="L14" s="35">
        <f t="shared" si="1"/>
        <v>0</v>
      </c>
      <c r="M14" s="2" t="s">
        <v>2228</v>
      </c>
      <c r="N14" t="s">
        <v>2229</v>
      </c>
      <c r="O14" s="19" t="s">
        <v>2230</v>
      </c>
      <c r="P14" s="19">
        <v>12</v>
      </c>
      <c r="Q14" s="19" t="s">
        <v>2231</v>
      </c>
      <c r="R14" s="21" t="s">
        <v>2232</v>
      </c>
      <c r="S14" s="46" t="s">
        <v>250</v>
      </c>
      <c r="T14" s="44" t="s">
        <v>2233</v>
      </c>
      <c r="U14" s="76" t="s">
        <v>2234</v>
      </c>
      <c r="V14" s="29" t="s">
        <v>2244</v>
      </c>
      <c r="W14" s="24"/>
      <c r="X14" s="193" t="s">
        <v>2235</v>
      </c>
      <c r="Y14" s="15"/>
      <c r="AA14">
        <v>2</v>
      </c>
      <c r="AB14" s="488"/>
      <c r="AC14" s="92" t="s">
        <v>3</v>
      </c>
      <c r="AD14" s="98"/>
      <c r="AE14" s="94">
        <f t="shared" ref="AE14:AS14" si="20">SUM(AE9:AE13)</f>
        <v>549.76</v>
      </c>
      <c r="AF14" s="94">
        <f t="shared" si="20"/>
        <v>499.84</v>
      </c>
      <c r="AG14" s="94">
        <f t="shared" si="20"/>
        <v>49.92</v>
      </c>
      <c r="AH14" s="94">
        <f t="shared" si="20"/>
        <v>0</v>
      </c>
      <c r="AI14" s="105">
        <f t="shared" si="20"/>
        <v>0</v>
      </c>
      <c r="AJ14" s="118">
        <f t="shared" si="20"/>
        <v>2</v>
      </c>
      <c r="AK14" s="119">
        <f t="shared" si="20"/>
        <v>1</v>
      </c>
      <c r="AL14" s="119">
        <f t="shared" si="20"/>
        <v>1</v>
      </c>
      <c r="AM14" s="119">
        <f t="shared" si="20"/>
        <v>0</v>
      </c>
      <c r="AN14" s="120">
        <f t="shared" si="20"/>
        <v>0</v>
      </c>
      <c r="AO14" s="94">
        <f t="shared" si="20"/>
        <v>0</v>
      </c>
      <c r="AP14" s="94">
        <f t="shared" si="20"/>
        <v>0</v>
      </c>
      <c r="AQ14" s="94">
        <f t="shared" si="20"/>
        <v>0</v>
      </c>
      <c r="AR14" s="94">
        <f t="shared" si="20"/>
        <v>0</v>
      </c>
      <c r="AS14" s="94">
        <f t="shared" si="20"/>
        <v>0</v>
      </c>
      <c r="AU14" s="152">
        <v>11</v>
      </c>
      <c r="AV14" s="153">
        <f t="shared" si="17"/>
        <v>0</v>
      </c>
      <c r="AW14" s="154">
        <f t="shared" si="18"/>
        <v>0</v>
      </c>
    </row>
    <row r="15" spans="2:49" s="8" customFormat="1" ht="13.5" customHeight="1" thickBot="1" x14ac:dyDescent="0.3">
      <c r="B15" s="15">
        <v>13</v>
      </c>
      <c r="D15" s="5"/>
      <c r="E15" s="67"/>
      <c r="F15" s="380"/>
      <c r="J15" s="9"/>
      <c r="K15" s="9">
        <f t="shared" si="0"/>
        <v>0</v>
      </c>
      <c r="L15" s="35">
        <f t="shared" si="1"/>
        <v>0</v>
      </c>
      <c r="M15" s="2"/>
      <c r="N15"/>
      <c r="O15" s="19"/>
      <c r="P15" s="19"/>
      <c r="Q15" s="19"/>
      <c r="R15" s="21"/>
      <c r="S15" s="46"/>
      <c r="T15" s="44"/>
      <c r="U15" s="76"/>
      <c r="V15" s="30"/>
      <c r="W15" s="24"/>
      <c r="X15" s="193"/>
      <c r="Y15" s="15"/>
      <c r="AA15">
        <v>3</v>
      </c>
      <c r="AB15" s="486">
        <v>3</v>
      </c>
      <c r="AC15" s="89">
        <v>1</v>
      </c>
      <c r="AD15" s="95" t="s">
        <v>83</v>
      </c>
      <c r="AE15" s="39">
        <f t="shared" si="2"/>
        <v>0</v>
      </c>
      <c r="AF15" s="65">
        <f t="shared" si="3"/>
        <v>0</v>
      </c>
      <c r="AG15" s="65">
        <f t="shared" si="4"/>
        <v>0</v>
      </c>
      <c r="AH15" s="65">
        <f t="shared" si="5"/>
        <v>0</v>
      </c>
      <c r="AI15" s="104">
        <f t="shared" si="6"/>
        <v>0</v>
      </c>
      <c r="AJ15" s="115">
        <f t="shared" si="7"/>
        <v>0</v>
      </c>
      <c r="AK15" s="116">
        <f t="shared" si="8"/>
        <v>0</v>
      </c>
      <c r="AL15" s="116">
        <f t="shared" si="9"/>
        <v>0</v>
      </c>
      <c r="AM15" s="116">
        <f t="shared" si="10"/>
        <v>0</v>
      </c>
      <c r="AN15" s="117">
        <f t="shared" si="11"/>
        <v>0</v>
      </c>
      <c r="AO15" s="39">
        <f t="shared" si="12"/>
        <v>0</v>
      </c>
      <c r="AP15" s="65">
        <f t="shared" si="13"/>
        <v>0</v>
      </c>
      <c r="AQ15" s="65">
        <f t="shared" si="14"/>
        <v>0</v>
      </c>
      <c r="AR15" s="65">
        <f t="shared" si="15"/>
        <v>0</v>
      </c>
      <c r="AS15" s="65">
        <f t="shared" si="16"/>
        <v>0</v>
      </c>
      <c r="AU15" s="155">
        <v>12</v>
      </c>
      <c r="AV15" s="153">
        <f t="shared" si="17"/>
        <v>0</v>
      </c>
      <c r="AW15" s="154">
        <f t="shared" si="18"/>
        <v>0</v>
      </c>
    </row>
    <row r="16" spans="2:49" s="8" customFormat="1" ht="13.5" customHeight="1" thickBot="1" x14ac:dyDescent="0.3">
      <c r="B16" s="15">
        <v>14</v>
      </c>
      <c r="D16" s="5"/>
      <c r="E16" s="67"/>
      <c r="F16" s="380"/>
      <c r="J16" s="9"/>
      <c r="K16" s="9">
        <f t="shared" si="0"/>
        <v>0</v>
      </c>
      <c r="L16" s="35">
        <f t="shared" si="1"/>
        <v>0</v>
      </c>
      <c r="M16" s="2"/>
      <c r="N16"/>
      <c r="O16" s="19"/>
      <c r="P16" s="19"/>
      <c r="Q16" s="19"/>
      <c r="R16" s="21"/>
      <c r="S16" s="46"/>
      <c r="T16" s="44"/>
      <c r="U16" s="76"/>
      <c r="V16" s="30"/>
      <c r="W16" s="24"/>
      <c r="X16" s="193"/>
      <c r="Y16" s="15"/>
      <c r="AA16">
        <v>3</v>
      </c>
      <c r="AB16" s="487"/>
      <c r="AC16" s="90">
        <v>2</v>
      </c>
      <c r="AD16" s="96" t="s">
        <v>58</v>
      </c>
      <c r="AE16" s="39">
        <f t="shared" si="2"/>
        <v>288</v>
      </c>
      <c r="AF16" s="65">
        <f t="shared" si="3"/>
        <v>0</v>
      </c>
      <c r="AG16" s="65">
        <f t="shared" si="4"/>
        <v>288</v>
      </c>
      <c r="AH16" s="65">
        <f t="shared" si="5"/>
        <v>0</v>
      </c>
      <c r="AI16" s="104">
        <f t="shared" si="6"/>
        <v>0</v>
      </c>
      <c r="AJ16" s="115">
        <f t="shared" si="7"/>
        <v>2</v>
      </c>
      <c r="AK16" s="116">
        <f t="shared" si="8"/>
        <v>0</v>
      </c>
      <c r="AL16" s="116">
        <f t="shared" si="9"/>
        <v>2</v>
      </c>
      <c r="AM16" s="116">
        <f t="shared" si="10"/>
        <v>0</v>
      </c>
      <c r="AN16" s="117">
        <f t="shared" si="11"/>
        <v>0</v>
      </c>
      <c r="AO16" s="39">
        <f t="shared" si="12"/>
        <v>0</v>
      </c>
      <c r="AP16" s="65">
        <f t="shared" si="13"/>
        <v>0</v>
      </c>
      <c r="AQ16" s="65">
        <f t="shared" si="14"/>
        <v>0</v>
      </c>
      <c r="AR16" s="65">
        <f t="shared" si="15"/>
        <v>0</v>
      </c>
      <c r="AS16" s="65">
        <f t="shared" si="16"/>
        <v>0</v>
      </c>
      <c r="AU16" s="156" t="s">
        <v>3</v>
      </c>
      <c r="AV16" s="157">
        <f>SUM(AV4:AV15)</f>
        <v>10</v>
      </c>
      <c r="AW16" s="157">
        <f>SUM(AW4:AW15)</f>
        <v>0</v>
      </c>
    </row>
    <row r="17" spans="2:49" s="8" customFormat="1" ht="13.5" customHeight="1" thickBot="1" x14ac:dyDescent="0.3">
      <c r="B17" s="15">
        <v>15</v>
      </c>
      <c r="D17" s="5"/>
      <c r="E17" s="67"/>
      <c r="F17" s="380"/>
      <c r="J17" s="9"/>
      <c r="K17" s="9">
        <f t="shared" si="0"/>
        <v>0</v>
      </c>
      <c r="L17" s="35">
        <f t="shared" si="1"/>
        <v>0</v>
      </c>
      <c r="M17" s="2"/>
      <c r="N17"/>
      <c r="O17" s="19"/>
      <c r="P17" s="19"/>
      <c r="Q17" s="19"/>
      <c r="R17" s="21"/>
      <c r="S17" s="46"/>
      <c r="T17" s="83"/>
      <c r="U17" s="76"/>
      <c r="V17" s="30"/>
      <c r="W17" s="24"/>
      <c r="X17" s="193"/>
      <c r="Y17" s="15"/>
      <c r="AA17">
        <v>3</v>
      </c>
      <c r="AB17" s="487"/>
      <c r="AC17" s="90">
        <v>3</v>
      </c>
      <c r="AD17" s="97" t="s">
        <v>59</v>
      </c>
      <c r="AE17" s="39">
        <f t="shared" si="2"/>
        <v>0</v>
      </c>
      <c r="AF17" s="65">
        <f t="shared" si="3"/>
        <v>0</v>
      </c>
      <c r="AG17" s="65">
        <f t="shared" si="4"/>
        <v>0</v>
      </c>
      <c r="AH17" s="65">
        <f t="shared" si="5"/>
        <v>0</v>
      </c>
      <c r="AI17" s="104">
        <f t="shared" si="6"/>
        <v>0</v>
      </c>
      <c r="AJ17" s="115">
        <f t="shared" si="7"/>
        <v>0</v>
      </c>
      <c r="AK17" s="116">
        <f t="shared" si="8"/>
        <v>0</v>
      </c>
      <c r="AL17" s="116">
        <f t="shared" si="9"/>
        <v>0</v>
      </c>
      <c r="AM17" s="116">
        <f t="shared" si="10"/>
        <v>0</v>
      </c>
      <c r="AN17" s="117">
        <f t="shared" si="11"/>
        <v>0</v>
      </c>
      <c r="AO17" s="39">
        <f t="shared" si="12"/>
        <v>0</v>
      </c>
      <c r="AP17" s="65">
        <f t="shared" si="13"/>
        <v>0</v>
      </c>
      <c r="AQ17" s="65">
        <f t="shared" si="14"/>
        <v>0</v>
      </c>
      <c r="AR17" s="65">
        <f t="shared" si="15"/>
        <v>0</v>
      </c>
      <c r="AS17" s="65">
        <f t="shared" si="16"/>
        <v>0</v>
      </c>
      <c r="AU17" s="156" t="s">
        <v>120</v>
      </c>
      <c r="AV17" s="158">
        <f>AV16/($AV$16+$AW$16)</f>
        <v>1</v>
      </c>
      <c r="AW17" s="159">
        <f>AW16/($AW$16+$AV$16)</f>
        <v>0</v>
      </c>
    </row>
    <row r="18" spans="2:49" s="8" customFormat="1" ht="13.5" customHeight="1" x14ac:dyDescent="0.25">
      <c r="B18" s="15">
        <v>16</v>
      </c>
      <c r="D18" s="5"/>
      <c r="E18" s="67"/>
      <c r="F18" s="380"/>
      <c r="J18" s="9"/>
      <c r="K18" s="9">
        <f t="shared" si="0"/>
        <v>0</v>
      </c>
      <c r="L18" s="35">
        <f t="shared" si="1"/>
        <v>0</v>
      </c>
      <c r="M18" s="2"/>
      <c r="N18"/>
      <c r="O18" s="19"/>
      <c r="P18" s="19"/>
      <c r="Q18" s="19"/>
      <c r="R18" s="21"/>
      <c r="S18" s="46"/>
      <c r="T18" s="44"/>
      <c r="U18" s="76"/>
      <c r="V18" s="24"/>
      <c r="W18" s="24"/>
      <c r="X18" s="193"/>
      <c r="Y18" s="15"/>
      <c r="AA18">
        <v>3</v>
      </c>
      <c r="AB18" s="487"/>
      <c r="AC18" s="90">
        <v>4</v>
      </c>
      <c r="AD18" s="97" t="s">
        <v>60</v>
      </c>
      <c r="AE18" s="39">
        <f t="shared" si="2"/>
        <v>0</v>
      </c>
      <c r="AF18" s="65">
        <f t="shared" si="3"/>
        <v>0</v>
      </c>
      <c r="AG18" s="65">
        <f t="shared" si="4"/>
        <v>0</v>
      </c>
      <c r="AH18" s="65">
        <f t="shared" si="5"/>
        <v>0</v>
      </c>
      <c r="AI18" s="104">
        <f t="shared" si="6"/>
        <v>0</v>
      </c>
      <c r="AJ18" s="115">
        <f t="shared" si="7"/>
        <v>0</v>
      </c>
      <c r="AK18" s="116">
        <f t="shared" si="8"/>
        <v>0</v>
      </c>
      <c r="AL18" s="116">
        <f t="shared" si="9"/>
        <v>0</v>
      </c>
      <c r="AM18" s="116">
        <f t="shared" si="10"/>
        <v>0</v>
      </c>
      <c r="AN18" s="117">
        <f t="shared" si="11"/>
        <v>0</v>
      </c>
      <c r="AO18" s="39">
        <f t="shared" si="12"/>
        <v>0</v>
      </c>
      <c r="AP18" s="65">
        <f t="shared" si="13"/>
        <v>0</v>
      </c>
      <c r="AQ18" s="65">
        <f t="shared" si="14"/>
        <v>0</v>
      </c>
      <c r="AR18" s="65">
        <f t="shared" si="15"/>
        <v>0</v>
      </c>
      <c r="AS18" s="65">
        <f t="shared" si="16"/>
        <v>0</v>
      </c>
    </row>
    <row r="19" spans="2:49" s="8" customFormat="1" ht="13.5" customHeight="1" x14ac:dyDescent="0.25">
      <c r="B19" s="15">
        <v>17</v>
      </c>
      <c r="D19" s="5"/>
      <c r="E19" s="67"/>
      <c r="F19" s="380"/>
      <c r="J19" s="9"/>
      <c r="K19" s="9">
        <f t="shared" si="0"/>
        <v>0</v>
      </c>
      <c r="L19" s="35">
        <f t="shared" si="1"/>
        <v>0</v>
      </c>
      <c r="M19" s="2"/>
      <c r="N19"/>
      <c r="O19" s="19"/>
      <c r="P19" s="19"/>
      <c r="Q19" s="19"/>
      <c r="R19" s="21"/>
      <c r="S19" s="46"/>
      <c r="T19" s="44"/>
      <c r="U19" s="76"/>
      <c r="V19" s="24"/>
      <c r="W19" s="24"/>
      <c r="X19" s="193"/>
      <c r="Y19" s="15"/>
      <c r="AA19">
        <v>3</v>
      </c>
      <c r="AB19" s="487"/>
      <c r="AC19" s="91">
        <v>5</v>
      </c>
      <c r="AD19" s="97"/>
      <c r="AE19" s="39">
        <f t="shared" si="2"/>
        <v>0</v>
      </c>
      <c r="AF19" s="65">
        <f t="shared" si="3"/>
        <v>0</v>
      </c>
      <c r="AG19" s="65">
        <f t="shared" si="4"/>
        <v>0</v>
      </c>
      <c r="AH19" s="65">
        <f t="shared" si="5"/>
        <v>0</v>
      </c>
      <c r="AI19" s="104">
        <f t="shared" si="6"/>
        <v>0</v>
      </c>
      <c r="AJ19" s="115">
        <f t="shared" si="7"/>
        <v>0</v>
      </c>
      <c r="AK19" s="116">
        <f t="shared" si="8"/>
        <v>0</v>
      </c>
      <c r="AL19" s="116">
        <f t="shared" si="9"/>
        <v>0</v>
      </c>
      <c r="AM19" s="116">
        <f t="shared" si="10"/>
        <v>0</v>
      </c>
      <c r="AN19" s="117">
        <f t="shared" si="11"/>
        <v>0</v>
      </c>
      <c r="AO19" s="39">
        <f t="shared" si="12"/>
        <v>0</v>
      </c>
      <c r="AP19" s="65">
        <f t="shared" si="13"/>
        <v>0</v>
      </c>
      <c r="AQ19" s="65">
        <f t="shared" si="14"/>
        <v>0</v>
      </c>
      <c r="AR19" s="65">
        <f t="shared" si="15"/>
        <v>0</v>
      </c>
      <c r="AS19" s="65">
        <f t="shared" si="16"/>
        <v>0</v>
      </c>
    </row>
    <row r="20" spans="2:49" s="8" customFormat="1" ht="13.5" customHeight="1" thickBot="1" x14ac:dyDescent="0.3">
      <c r="B20" s="15">
        <v>18</v>
      </c>
      <c r="D20" s="5"/>
      <c r="E20" s="67"/>
      <c r="F20" s="380"/>
      <c r="J20" s="9"/>
      <c r="K20" s="9">
        <f t="shared" si="0"/>
        <v>0</v>
      </c>
      <c r="L20" s="35">
        <f t="shared" si="1"/>
        <v>0</v>
      </c>
      <c r="M20" s="2"/>
      <c r="N20"/>
      <c r="O20" s="19"/>
      <c r="P20" s="19"/>
      <c r="Q20" s="19"/>
      <c r="R20" s="21"/>
      <c r="S20" s="46"/>
      <c r="T20" s="44"/>
      <c r="U20" s="76"/>
      <c r="V20" s="24"/>
      <c r="W20" s="24"/>
      <c r="X20" s="193"/>
      <c r="Y20" s="15"/>
      <c r="AA20">
        <v>3</v>
      </c>
      <c r="AB20" s="488"/>
      <c r="AC20" s="92" t="s">
        <v>3</v>
      </c>
      <c r="AD20" s="98"/>
      <c r="AE20" s="94">
        <f t="shared" ref="AE20:AS20" si="21">SUM(AE15:AE19)</f>
        <v>288</v>
      </c>
      <c r="AF20" s="94">
        <f t="shared" si="21"/>
        <v>0</v>
      </c>
      <c r="AG20" s="94">
        <f t="shared" si="21"/>
        <v>288</v>
      </c>
      <c r="AH20" s="94">
        <f t="shared" si="21"/>
        <v>0</v>
      </c>
      <c r="AI20" s="105">
        <f t="shared" si="21"/>
        <v>0</v>
      </c>
      <c r="AJ20" s="118">
        <f t="shared" si="21"/>
        <v>2</v>
      </c>
      <c r="AK20" s="119">
        <f t="shared" si="21"/>
        <v>0</v>
      </c>
      <c r="AL20" s="119">
        <f t="shared" si="21"/>
        <v>2</v>
      </c>
      <c r="AM20" s="119">
        <f t="shared" si="21"/>
        <v>0</v>
      </c>
      <c r="AN20" s="120">
        <f t="shared" si="21"/>
        <v>0</v>
      </c>
      <c r="AO20" s="94">
        <f t="shared" si="21"/>
        <v>0</v>
      </c>
      <c r="AP20" s="94">
        <f t="shared" si="21"/>
        <v>0</v>
      </c>
      <c r="AQ20" s="94">
        <f t="shared" si="21"/>
        <v>0</v>
      </c>
      <c r="AR20" s="94">
        <f t="shared" si="21"/>
        <v>0</v>
      </c>
      <c r="AS20" s="94">
        <f t="shared" si="21"/>
        <v>0</v>
      </c>
    </row>
    <row r="21" spans="2:49" s="8" customFormat="1" ht="13.5" customHeight="1" x14ac:dyDescent="0.25">
      <c r="B21" s="15">
        <v>19</v>
      </c>
      <c r="D21" s="5"/>
      <c r="E21" s="67"/>
      <c r="F21" s="380"/>
      <c r="J21" s="9"/>
      <c r="K21" s="9">
        <f t="shared" si="0"/>
        <v>0</v>
      </c>
      <c r="L21" s="35">
        <f t="shared" si="1"/>
        <v>0</v>
      </c>
      <c r="M21" s="2"/>
      <c r="N21"/>
      <c r="O21" s="19"/>
      <c r="P21" s="19"/>
      <c r="Q21" s="19"/>
      <c r="R21" s="21"/>
      <c r="S21" s="46"/>
      <c r="T21" s="44"/>
      <c r="U21" s="76"/>
      <c r="V21" s="24"/>
      <c r="W21" s="24"/>
      <c r="X21" s="193"/>
      <c r="Y21" s="15"/>
      <c r="AA21">
        <v>4</v>
      </c>
      <c r="AB21" s="486">
        <v>4</v>
      </c>
      <c r="AC21" s="89">
        <v>1</v>
      </c>
      <c r="AD21" s="95" t="s">
        <v>84</v>
      </c>
      <c r="AE21" s="39">
        <f t="shared" si="2"/>
        <v>170.24</v>
      </c>
      <c r="AF21" s="65">
        <f t="shared" si="3"/>
        <v>0</v>
      </c>
      <c r="AG21" s="65">
        <f t="shared" si="4"/>
        <v>170.24</v>
      </c>
      <c r="AH21" s="65">
        <f t="shared" si="5"/>
        <v>0</v>
      </c>
      <c r="AI21" s="104">
        <f t="shared" si="6"/>
        <v>0</v>
      </c>
      <c r="AJ21" s="115">
        <f t="shared" si="7"/>
        <v>2</v>
      </c>
      <c r="AK21" s="116">
        <f t="shared" si="8"/>
        <v>0</v>
      </c>
      <c r="AL21" s="116">
        <f t="shared" si="9"/>
        <v>2</v>
      </c>
      <c r="AM21" s="116">
        <f t="shared" si="10"/>
        <v>0</v>
      </c>
      <c r="AN21" s="117">
        <f t="shared" si="11"/>
        <v>0</v>
      </c>
      <c r="AO21" s="39">
        <f t="shared" si="12"/>
        <v>0</v>
      </c>
      <c r="AP21" s="65">
        <f t="shared" si="13"/>
        <v>0</v>
      </c>
      <c r="AQ21" s="65">
        <f t="shared" si="14"/>
        <v>0</v>
      </c>
      <c r="AR21" s="65">
        <f t="shared" si="15"/>
        <v>0</v>
      </c>
      <c r="AS21" s="65">
        <f t="shared" si="16"/>
        <v>0</v>
      </c>
    </row>
    <row r="22" spans="2:49" s="8" customFormat="1" ht="13.5" customHeight="1" x14ac:dyDescent="0.25">
      <c r="B22" s="15">
        <v>20</v>
      </c>
      <c r="D22" s="5"/>
      <c r="E22" s="67"/>
      <c r="F22" s="380"/>
      <c r="J22" s="9"/>
      <c r="K22" s="9">
        <f t="shared" si="0"/>
        <v>0</v>
      </c>
      <c r="L22" s="35">
        <f t="shared" si="1"/>
        <v>0</v>
      </c>
      <c r="M22" s="2"/>
      <c r="N22"/>
      <c r="O22" s="19"/>
      <c r="P22" s="19"/>
      <c r="Q22" s="19"/>
      <c r="R22" s="21"/>
      <c r="S22" s="46"/>
      <c r="T22" s="44"/>
      <c r="U22" s="76"/>
      <c r="V22" s="24"/>
      <c r="W22" s="24"/>
      <c r="X22" s="193"/>
      <c r="Y22" s="15"/>
      <c r="AA22">
        <v>4</v>
      </c>
      <c r="AB22" s="487"/>
      <c r="AC22" s="90">
        <v>2</v>
      </c>
      <c r="AD22" s="97" t="s">
        <v>61</v>
      </c>
      <c r="AE22" s="39">
        <f t="shared" si="2"/>
        <v>0</v>
      </c>
      <c r="AF22" s="65">
        <f t="shared" si="3"/>
        <v>0</v>
      </c>
      <c r="AG22" s="65">
        <f t="shared" si="4"/>
        <v>0</v>
      </c>
      <c r="AH22" s="65">
        <f t="shared" si="5"/>
        <v>0</v>
      </c>
      <c r="AI22" s="104">
        <f t="shared" si="6"/>
        <v>0</v>
      </c>
      <c r="AJ22" s="115">
        <f t="shared" si="7"/>
        <v>0</v>
      </c>
      <c r="AK22" s="116">
        <f t="shared" si="8"/>
        <v>0</v>
      </c>
      <c r="AL22" s="116">
        <f t="shared" si="9"/>
        <v>0</v>
      </c>
      <c r="AM22" s="116">
        <f t="shared" si="10"/>
        <v>0</v>
      </c>
      <c r="AN22" s="117">
        <f t="shared" si="11"/>
        <v>0</v>
      </c>
      <c r="AO22" s="39">
        <f t="shared" si="12"/>
        <v>0</v>
      </c>
      <c r="AP22" s="65">
        <f t="shared" si="13"/>
        <v>0</v>
      </c>
      <c r="AQ22" s="65">
        <f t="shared" si="14"/>
        <v>0</v>
      </c>
      <c r="AR22" s="65">
        <f t="shared" si="15"/>
        <v>0</v>
      </c>
      <c r="AS22" s="65">
        <f t="shared" si="16"/>
        <v>0</v>
      </c>
    </row>
    <row r="23" spans="2:49" s="8" customFormat="1" ht="13.5" customHeight="1" x14ac:dyDescent="0.25">
      <c r="B23" s="15">
        <v>21</v>
      </c>
      <c r="D23" s="5"/>
      <c r="E23" s="67"/>
      <c r="F23" s="380"/>
      <c r="J23" s="9"/>
      <c r="K23" s="9">
        <f t="shared" si="0"/>
        <v>0</v>
      </c>
      <c r="L23" s="35">
        <f t="shared" si="1"/>
        <v>0</v>
      </c>
      <c r="M23" s="2"/>
      <c r="N23" s="2"/>
      <c r="O23" s="19"/>
      <c r="P23" s="19"/>
      <c r="Q23" s="19"/>
      <c r="R23" s="21"/>
      <c r="S23" s="46"/>
      <c r="T23" s="44"/>
      <c r="U23" s="76"/>
      <c r="V23" s="24"/>
      <c r="W23" s="24"/>
      <c r="X23" s="193"/>
      <c r="Y23" s="15"/>
      <c r="AA23">
        <v>4</v>
      </c>
      <c r="AB23" s="487"/>
      <c r="AC23" s="90">
        <v>3</v>
      </c>
      <c r="AD23" s="97" t="s">
        <v>62</v>
      </c>
      <c r="AE23" s="39">
        <f t="shared" si="2"/>
        <v>0</v>
      </c>
      <c r="AF23" s="65">
        <f t="shared" si="3"/>
        <v>0</v>
      </c>
      <c r="AG23" s="65">
        <f t="shared" si="4"/>
        <v>0</v>
      </c>
      <c r="AH23" s="65">
        <f t="shared" si="5"/>
        <v>0</v>
      </c>
      <c r="AI23" s="104">
        <f t="shared" si="6"/>
        <v>0</v>
      </c>
      <c r="AJ23" s="115">
        <f t="shared" si="7"/>
        <v>0</v>
      </c>
      <c r="AK23" s="116">
        <f t="shared" si="8"/>
        <v>0</v>
      </c>
      <c r="AL23" s="116">
        <f t="shared" si="9"/>
        <v>0</v>
      </c>
      <c r="AM23" s="116">
        <f t="shared" si="10"/>
        <v>0</v>
      </c>
      <c r="AN23" s="117">
        <f t="shared" si="11"/>
        <v>0</v>
      </c>
      <c r="AO23" s="39">
        <f t="shared" si="12"/>
        <v>0</v>
      </c>
      <c r="AP23" s="65">
        <f t="shared" si="13"/>
        <v>0</v>
      </c>
      <c r="AQ23" s="65">
        <f t="shared" si="14"/>
        <v>0</v>
      </c>
      <c r="AR23" s="65">
        <f t="shared" si="15"/>
        <v>0</v>
      </c>
      <c r="AS23" s="65">
        <f t="shared" si="16"/>
        <v>0</v>
      </c>
    </row>
    <row r="24" spans="2:49" s="8" customFormat="1" ht="13.5" customHeight="1" x14ac:dyDescent="0.25">
      <c r="B24" s="15">
        <v>22</v>
      </c>
      <c r="D24" s="5"/>
      <c r="E24" s="67"/>
      <c r="F24" s="380"/>
      <c r="J24" s="9"/>
      <c r="K24" s="9">
        <f t="shared" si="0"/>
        <v>0</v>
      </c>
      <c r="L24" s="35">
        <f t="shared" si="1"/>
        <v>0</v>
      </c>
      <c r="M24" s="2"/>
      <c r="N24" s="2"/>
      <c r="O24" s="19"/>
      <c r="P24" s="19"/>
      <c r="Q24" s="19"/>
      <c r="R24" s="21"/>
      <c r="S24" s="46"/>
      <c r="T24" s="44"/>
      <c r="U24" s="76"/>
      <c r="V24" s="24"/>
      <c r="W24" s="24"/>
      <c r="X24" s="193"/>
      <c r="Y24" s="15"/>
      <c r="AA24">
        <v>4</v>
      </c>
      <c r="AB24" s="487"/>
      <c r="AC24" s="90">
        <v>4</v>
      </c>
      <c r="AD24" s="97" t="s">
        <v>63</v>
      </c>
      <c r="AE24" s="39">
        <f t="shared" si="2"/>
        <v>0</v>
      </c>
      <c r="AF24" s="65">
        <f t="shared" si="3"/>
        <v>0</v>
      </c>
      <c r="AG24" s="65">
        <f t="shared" si="4"/>
        <v>0</v>
      </c>
      <c r="AH24" s="65">
        <f t="shared" si="5"/>
        <v>0</v>
      </c>
      <c r="AI24" s="104">
        <f t="shared" si="6"/>
        <v>0</v>
      </c>
      <c r="AJ24" s="115">
        <f t="shared" si="7"/>
        <v>0</v>
      </c>
      <c r="AK24" s="116">
        <f t="shared" si="8"/>
        <v>0</v>
      </c>
      <c r="AL24" s="116">
        <f t="shared" si="9"/>
        <v>0</v>
      </c>
      <c r="AM24" s="116">
        <f t="shared" si="10"/>
        <v>0</v>
      </c>
      <c r="AN24" s="117">
        <f t="shared" si="11"/>
        <v>0</v>
      </c>
      <c r="AO24" s="39">
        <f t="shared" si="12"/>
        <v>0</v>
      </c>
      <c r="AP24" s="65">
        <f t="shared" si="13"/>
        <v>0</v>
      </c>
      <c r="AQ24" s="65">
        <f t="shared" si="14"/>
        <v>0</v>
      </c>
      <c r="AR24" s="65">
        <f t="shared" si="15"/>
        <v>0</v>
      </c>
      <c r="AS24" s="65">
        <f t="shared" si="16"/>
        <v>0</v>
      </c>
      <c r="AU24" s="194" t="s">
        <v>149</v>
      </c>
      <c r="AV24" s="194" t="s">
        <v>150</v>
      </c>
      <c r="AW24" s="194" t="s">
        <v>120</v>
      </c>
    </row>
    <row r="25" spans="2:49" s="8" customFormat="1" ht="13.5" customHeight="1" x14ac:dyDescent="0.25">
      <c r="B25" s="15">
        <v>23</v>
      </c>
      <c r="D25" s="5"/>
      <c r="E25" s="67"/>
      <c r="F25" s="380"/>
      <c r="J25" s="9"/>
      <c r="K25" s="9">
        <f t="shared" si="0"/>
        <v>0</v>
      </c>
      <c r="L25" s="35">
        <f t="shared" si="1"/>
        <v>0</v>
      </c>
      <c r="M25" s="2"/>
      <c r="N25"/>
      <c r="O25" s="19"/>
      <c r="P25" s="19"/>
      <c r="Q25" s="19"/>
      <c r="R25" s="21"/>
      <c r="S25" s="46"/>
      <c r="T25" s="44"/>
      <c r="U25" s="76"/>
      <c r="V25" s="24"/>
      <c r="W25" s="24"/>
      <c r="X25" s="193"/>
      <c r="Y25" s="15"/>
      <c r="AA25">
        <v>4</v>
      </c>
      <c r="AB25" s="487"/>
      <c r="AC25" s="91">
        <v>5</v>
      </c>
      <c r="AD25" s="97" t="s">
        <v>85</v>
      </c>
      <c r="AE25" s="39">
        <f t="shared" si="2"/>
        <v>0</v>
      </c>
      <c r="AF25" s="65">
        <f t="shared" si="3"/>
        <v>0</v>
      </c>
      <c r="AG25" s="65">
        <f t="shared" si="4"/>
        <v>0</v>
      </c>
      <c r="AH25" s="65">
        <f t="shared" si="5"/>
        <v>0</v>
      </c>
      <c r="AI25" s="104">
        <f t="shared" si="6"/>
        <v>0</v>
      </c>
      <c r="AJ25" s="115">
        <f t="shared" si="7"/>
        <v>0</v>
      </c>
      <c r="AK25" s="116">
        <f t="shared" si="8"/>
        <v>0</v>
      </c>
      <c r="AL25" s="116">
        <f t="shared" si="9"/>
        <v>0</v>
      </c>
      <c r="AM25" s="116">
        <f t="shared" si="10"/>
        <v>0</v>
      </c>
      <c r="AN25" s="117">
        <f t="shared" si="11"/>
        <v>0</v>
      </c>
      <c r="AO25" s="39">
        <f t="shared" si="12"/>
        <v>0</v>
      </c>
      <c r="AP25" s="65">
        <f t="shared" si="13"/>
        <v>0</v>
      </c>
      <c r="AQ25" s="65">
        <f t="shared" si="14"/>
        <v>0</v>
      </c>
      <c r="AR25" s="65">
        <f t="shared" si="15"/>
        <v>0</v>
      </c>
      <c r="AS25" s="65">
        <f t="shared" si="16"/>
        <v>0</v>
      </c>
      <c r="AU25" s="195" t="s">
        <v>160</v>
      </c>
      <c r="AV25" s="195">
        <f>COUNTIF($X:$X, AU25)</f>
        <v>2</v>
      </c>
      <c r="AW25" s="196">
        <f>AV25/$AV$33</f>
        <v>0.16666666666666666</v>
      </c>
    </row>
    <row r="26" spans="2:49" s="8" customFormat="1" ht="13.5" customHeight="1" thickBot="1" x14ac:dyDescent="0.3">
      <c r="B26" s="15">
        <v>24</v>
      </c>
      <c r="D26" s="5"/>
      <c r="E26" s="67"/>
      <c r="F26" s="380"/>
      <c r="J26" s="9"/>
      <c r="K26" s="9">
        <f t="shared" si="0"/>
        <v>0</v>
      </c>
      <c r="L26" s="35">
        <f t="shared" si="1"/>
        <v>0</v>
      </c>
      <c r="M26" s="2"/>
      <c r="N26"/>
      <c r="O26" s="19"/>
      <c r="P26" s="19"/>
      <c r="Q26" s="19"/>
      <c r="R26" s="21"/>
      <c r="S26" s="46"/>
      <c r="T26" s="44"/>
      <c r="U26" s="76"/>
      <c r="V26" s="24"/>
      <c r="W26" s="24"/>
      <c r="X26" s="193"/>
      <c r="Y26" s="15"/>
      <c r="AA26">
        <v>4</v>
      </c>
      <c r="AB26" s="488"/>
      <c r="AC26" s="92" t="s">
        <v>3</v>
      </c>
      <c r="AD26" s="98"/>
      <c r="AE26" s="94">
        <f t="shared" ref="AE26:AS26" si="22">SUM(AE21:AE25)</f>
        <v>170.24</v>
      </c>
      <c r="AF26" s="94">
        <f t="shared" si="22"/>
        <v>0</v>
      </c>
      <c r="AG26" s="94">
        <f t="shared" si="22"/>
        <v>170.24</v>
      </c>
      <c r="AH26" s="94">
        <f t="shared" si="22"/>
        <v>0</v>
      </c>
      <c r="AI26" s="105">
        <f t="shared" si="22"/>
        <v>0</v>
      </c>
      <c r="AJ26" s="118">
        <f t="shared" si="22"/>
        <v>2</v>
      </c>
      <c r="AK26" s="119">
        <f t="shared" si="22"/>
        <v>0</v>
      </c>
      <c r="AL26" s="119">
        <f t="shared" si="22"/>
        <v>2</v>
      </c>
      <c r="AM26" s="119">
        <f t="shared" si="22"/>
        <v>0</v>
      </c>
      <c r="AN26" s="120">
        <f t="shared" si="22"/>
        <v>0</v>
      </c>
      <c r="AO26" s="94">
        <f t="shared" si="22"/>
        <v>0</v>
      </c>
      <c r="AP26" s="94">
        <f t="shared" si="22"/>
        <v>0</v>
      </c>
      <c r="AQ26" s="94">
        <f t="shared" si="22"/>
        <v>0</v>
      </c>
      <c r="AR26" s="94">
        <f t="shared" si="22"/>
        <v>0</v>
      </c>
      <c r="AS26" s="94">
        <f t="shared" si="22"/>
        <v>0</v>
      </c>
      <c r="AU26" s="195" t="s">
        <v>152</v>
      </c>
      <c r="AV26" s="195">
        <f t="shared" ref="AV26:AV32" si="23">COUNTIF($X:$X, AU26)</f>
        <v>9</v>
      </c>
      <c r="AW26" s="196">
        <f t="shared" ref="AW26:AW33" si="24">AV26/$AV$33</f>
        <v>0.75</v>
      </c>
    </row>
    <row r="27" spans="2:49" s="8" customFormat="1" ht="13.5" customHeight="1" x14ac:dyDescent="0.25">
      <c r="B27" s="15">
        <v>25</v>
      </c>
      <c r="D27" s="5"/>
      <c r="E27" s="67"/>
      <c r="F27" s="380"/>
      <c r="J27" s="9"/>
      <c r="K27" s="9">
        <f t="shared" si="0"/>
        <v>0</v>
      </c>
      <c r="L27" s="35">
        <f t="shared" si="1"/>
        <v>0</v>
      </c>
      <c r="M27" s="2"/>
      <c r="N27"/>
      <c r="O27" s="19"/>
      <c r="P27" s="19"/>
      <c r="Q27" s="19"/>
      <c r="R27" s="21"/>
      <c r="S27" s="46"/>
      <c r="T27" s="44"/>
      <c r="U27" s="76"/>
      <c r="V27" s="24"/>
      <c r="W27" s="24"/>
      <c r="X27" s="193"/>
      <c r="Y27" s="15"/>
      <c r="AA27">
        <v>5</v>
      </c>
      <c r="AB27" s="486">
        <v>5</v>
      </c>
      <c r="AC27" s="89">
        <v>1</v>
      </c>
      <c r="AD27" s="95" t="s">
        <v>86</v>
      </c>
      <c r="AE27" s="39">
        <f t="shared" si="2"/>
        <v>0</v>
      </c>
      <c r="AF27" s="65">
        <f t="shared" si="3"/>
        <v>0</v>
      </c>
      <c r="AG27" s="65">
        <f t="shared" si="4"/>
        <v>0</v>
      </c>
      <c r="AH27" s="65">
        <f t="shared" si="5"/>
        <v>0</v>
      </c>
      <c r="AI27" s="104">
        <f t="shared" si="6"/>
        <v>0</v>
      </c>
      <c r="AJ27" s="115">
        <f t="shared" si="7"/>
        <v>0</v>
      </c>
      <c r="AK27" s="116">
        <f t="shared" si="8"/>
        <v>0</v>
      </c>
      <c r="AL27" s="116">
        <f t="shared" si="9"/>
        <v>0</v>
      </c>
      <c r="AM27" s="116">
        <f t="shared" si="10"/>
        <v>0</v>
      </c>
      <c r="AN27" s="117">
        <f t="shared" si="11"/>
        <v>0</v>
      </c>
      <c r="AO27" s="39">
        <f t="shared" si="12"/>
        <v>0</v>
      </c>
      <c r="AP27" s="65">
        <f t="shared" si="13"/>
        <v>0</v>
      </c>
      <c r="AQ27" s="65">
        <f t="shared" si="14"/>
        <v>0</v>
      </c>
      <c r="AR27" s="65">
        <f t="shared" si="15"/>
        <v>0</v>
      </c>
      <c r="AS27" s="65">
        <f t="shared" si="16"/>
        <v>0</v>
      </c>
      <c r="AU27" s="195" t="s">
        <v>153</v>
      </c>
      <c r="AV27" s="195">
        <f t="shared" si="23"/>
        <v>0</v>
      </c>
      <c r="AW27" s="196">
        <f t="shared" si="24"/>
        <v>0</v>
      </c>
    </row>
    <row r="28" spans="2:49" s="8" customFormat="1" ht="13.5" customHeight="1" x14ac:dyDescent="0.25">
      <c r="B28" s="15">
        <v>26</v>
      </c>
      <c r="D28" s="5"/>
      <c r="E28" s="67"/>
      <c r="F28" s="380"/>
      <c r="J28" s="9"/>
      <c r="K28" s="9">
        <f t="shared" si="0"/>
        <v>0</v>
      </c>
      <c r="L28" s="35">
        <f t="shared" si="1"/>
        <v>0</v>
      </c>
      <c r="M28" s="2"/>
      <c r="N28"/>
      <c r="O28" s="19"/>
      <c r="P28" s="19"/>
      <c r="Q28" s="19"/>
      <c r="R28" s="21"/>
      <c r="S28" s="46"/>
      <c r="T28" s="44"/>
      <c r="U28" s="76"/>
      <c r="V28" s="24"/>
      <c r="W28" s="24"/>
      <c r="X28" s="193"/>
      <c r="Y28" s="15"/>
      <c r="AA28">
        <v>5</v>
      </c>
      <c r="AB28" s="487"/>
      <c r="AC28" s="90">
        <v>2</v>
      </c>
      <c r="AD28" s="97" t="s">
        <v>87</v>
      </c>
      <c r="AE28" s="39">
        <f t="shared" si="2"/>
        <v>53.76</v>
      </c>
      <c r="AF28" s="65">
        <f t="shared" si="3"/>
        <v>0</v>
      </c>
      <c r="AG28" s="65">
        <f t="shared" si="4"/>
        <v>53.76</v>
      </c>
      <c r="AH28" s="65">
        <f t="shared" si="5"/>
        <v>0</v>
      </c>
      <c r="AI28" s="104">
        <f t="shared" si="6"/>
        <v>0</v>
      </c>
      <c r="AJ28" s="115">
        <f t="shared" si="7"/>
        <v>1</v>
      </c>
      <c r="AK28" s="116">
        <f t="shared" si="8"/>
        <v>0</v>
      </c>
      <c r="AL28" s="116">
        <f t="shared" si="9"/>
        <v>1</v>
      </c>
      <c r="AM28" s="116">
        <f t="shared" si="10"/>
        <v>0</v>
      </c>
      <c r="AN28" s="117">
        <f t="shared" si="11"/>
        <v>0</v>
      </c>
      <c r="AO28" s="39">
        <f t="shared" si="12"/>
        <v>0</v>
      </c>
      <c r="AP28" s="65">
        <f t="shared" si="13"/>
        <v>0</v>
      </c>
      <c r="AQ28" s="65">
        <f t="shared" si="14"/>
        <v>0</v>
      </c>
      <c r="AR28" s="65">
        <f t="shared" si="15"/>
        <v>0</v>
      </c>
      <c r="AS28" s="65">
        <f t="shared" si="16"/>
        <v>0</v>
      </c>
      <c r="AU28" s="195" t="s">
        <v>154</v>
      </c>
      <c r="AV28" s="195">
        <f t="shared" si="23"/>
        <v>0</v>
      </c>
      <c r="AW28" s="196">
        <f t="shared" si="24"/>
        <v>0</v>
      </c>
    </row>
    <row r="29" spans="2:49" s="8" customFormat="1" ht="13.5" customHeight="1" x14ac:dyDescent="0.25">
      <c r="B29" s="15">
        <v>27</v>
      </c>
      <c r="D29" s="5"/>
      <c r="E29" s="67"/>
      <c r="F29" s="380"/>
      <c r="J29" s="9"/>
      <c r="K29" s="9">
        <f t="shared" si="0"/>
        <v>0</v>
      </c>
      <c r="L29" s="35">
        <f t="shared" si="1"/>
        <v>0</v>
      </c>
      <c r="M29" s="2"/>
      <c r="N29"/>
      <c r="O29" s="19"/>
      <c r="P29" s="19"/>
      <c r="Q29" s="19"/>
      <c r="R29" s="21"/>
      <c r="S29" s="46"/>
      <c r="T29" s="44"/>
      <c r="U29" s="76"/>
      <c r="V29" s="24"/>
      <c r="W29" s="24"/>
      <c r="X29" s="193"/>
      <c r="Y29" s="15"/>
      <c r="AA29">
        <v>5</v>
      </c>
      <c r="AB29" s="487"/>
      <c r="AC29" s="90">
        <v>3</v>
      </c>
      <c r="AD29" s="97" t="s">
        <v>88</v>
      </c>
      <c r="AE29" s="39">
        <f t="shared" si="2"/>
        <v>0</v>
      </c>
      <c r="AF29" s="65">
        <f t="shared" si="3"/>
        <v>0</v>
      </c>
      <c r="AG29" s="65">
        <f t="shared" si="4"/>
        <v>0</v>
      </c>
      <c r="AH29" s="65">
        <f t="shared" si="5"/>
        <v>0</v>
      </c>
      <c r="AI29" s="104">
        <f t="shared" si="6"/>
        <v>0</v>
      </c>
      <c r="AJ29" s="115">
        <f t="shared" si="7"/>
        <v>0</v>
      </c>
      <c r="AK29" s="116">
        <f t="shared" si="8"/>
        <v>0</v>
      </c>
      <c r="AL29" s="116">
        <f t="shared" si="9"/>
        <v>0</v>
      </c>
      <c r="AM29" s="116">
        <f t="shared" si="10"/>
        <v>0</v>
      </c>
      <c r="AN29" s="117">
        <f t="shared" si="11"/>
        <v>0</v>
      </c>
      <c r="AO29" s="39">
        <f t="shared" si="12"/>
        <v>0</v>
      </c>
      <c r="AP29" s="65">
        <f t="shared" si="13"/>
        <v>0</v>
      </c>
      <c r="AQ29" s="65">
        <f t="shared" si="14"/>
        <v>0</v>
      </c>
      <c r="AR29" s="65">
        <f t="shared" si="15"/>
        <v>0</v>
      </c>
      <c r="AS29" s="65">
        <f t="shared" si="16"/>
        <v>0</v>
      </c>
      <c r="AU29" s="195" t="s">
        <v>155</v>
      </c>
      <c r="AV29" s="195">
        <f t="shared" si="23"/>
        <v>1</v>
      </c>
      <c r="AW29" s="196">
        <f t="shared" si="24"/>
        <v>8.3333333333333329E-2</v>
      </c>
    </row>
    <row r="30" spans="2:49" s="8" customFormat="1" ht="14.25" customHeight="1" x14ac:dyDescent="0.25">
      <c r="B30" s="15">
        <v>28</v>
      </c>
      <c r="D30" s="5"/>
      <c r="E30" s="67"/>
      <c r="F30" s="380"/>
      <c r="J30" s="9"/>
      <c r="K30" s="9">
        <f t="shared" si="0"/>
        <v>0</v>
      </c>
      <c r="L30" s="35">
        <f t="shared" si="1"/>
        <v>0</v>
      </c>
      <c r="M30" s="2"/>
      <c r="N30"/>
      <c r="O30" s="19"/>
      <c r="P30" s="19"/>
      <c r="Q30" s="19"/>
      <c r="R30" s="21"/>
      <c r="S30" s="46"/>
      <c r="T30" s="44"/>
      <c r="U30" s="76"/>
      <c r="V30" s="24"/>
      <c r="W30" s="24"/>
      <c r="X30" s="193"/>
      <c r="Y30" s="15"/>
      <c r="AA30">
        <v>5</v>
      </c>
      <c r="AB30" s="487"/>
      <c r="AC30" s="90">
        <v>4</v>
      </c>
      <c r="AD30" s="97" t="s">
        <v>89</v>
      </c>
      <c r="AE30" s="39">
        <f t="shared" si="2"/>
        <v>0</v>
      </c>
      <c r="AF30" s="65">
        <f t="shared" si="3"/>
        <v>0</v>
      </c>
      <c r="AG30" s="65">
        <f t="shared" si="4"/>
        <v>0</v>
      </c>
      <c r="AH30" s="65">
        <f t="shared" si="5"/>
        <v>0</v>
      </c>
      <c r="AI30" s="104">
        <f t="shared" si="6"/>
        <v>0</v>
      </c>
      <c r="AJ30" s="115">
        <f t="shared" si="7"/>
        <v>0</v>
      </c>
      <c r="AK30" s="116">
        <f t="shared" si="8"/>
        <v>0</v>
      </c>
      <c r="AL30" s="116">
        <f t="shared" si="9"/>
        <v>0</v>
      </c>
      <c r="AM30" s="116">
        <f t="shared" si="10"/>
        <v>0</v>
      </c>
      <c r="AN30" s="117">
        <f t="shared" si="11"/>
        <v>0</v>
      </c>
      <c r="AO30" s="39">
        <f t="shared" si="12"/>
        <v>0</v>
      </c>
      <c r="AP30" s="65">
        <f t="shared" si="13"/>
        <v>0</v>
      </c>
      <c r="AQ30" s="65">
        <f t="shared" si="14"/>
        <v>0</v>
      </c>
      <c r="AR30" s="65">
        <f t="shared" si="15"/>
        <v>0</v>
      </c>
      <c r="AS30" s="65">
        <f t="shared" si="16"/>
        <v>0</v>
      </c>
      <c r="AU30" s="195" t="s">
        <v>156</v>
      </c>
      <c r="AV30" s="195">
        <f t="shared" si="23"/>
        <v>0</v>
      </c>
      <c r="AW30" s="196">
        <f t="shared" si="24"/>
        <v>0</v>
      </c>
    </row>
    <row r="31" spans="2:49" s="8" customFormat="1" ht="13.5" customHeight="1" x14ac:dyDescent="0.25">
      <c r="B31" s="15">
        <v>29</v>
      </c>
      <c r="D31" s="5"/>
      <c r="E31" s="67"/>
      <c r="F31" s="380"/>
      <c r="J31" s="9"/>
      <c r="K31" s="9">
        <f t="shared" si="0"/>
        <v>0</v>
      </c>
      <c r="L31" s="35">
        <f t="shared" si="1"/>
        <v>0</v>
      </c>
      <c r="M31" s="2"/>
      <c r="N31"/>
      <c r="O31" s="19"/>
      <c r="P31" s="19"/>
      <c r="Q31" s="19"/>
      <c r="R31" s="21"/>
      <c r="S31" s="46"/>
      <c r="T31" s="44"/>
      <c r="U31" s="76"/>
      <c r="V31" s="24"/>
      <c r="W31" s="24"/>
      <c r="X31" s="193"/>
      <c r="Y31" s="15"/>
      <c r="AA31">
        <v>5</v>
      </c>
      <c r="AB31" s="487"/>
      <c r="AC31" s="91">
        <v>5</v>
      </c>
      <c r="AD31" s="97"/>
      <c r="AE31" s="39">
        <f t="shared" si="2"/>
        <v>0</v>
      </c>
      <c r="AF31" s="65">
        <f t="shared" si="3"/>
        <v>0</v>
      </c>
      <c r="AG31" s="65">
        <f t="shared" si="4"/>
        <v>0</v>
      </c>
      <c r="AH31" s="65">
        <f t="shared" si="5"/>
        <v>0</v>
      </c>
      <c r="AI31" s="104">
        <f t="shared" si="6"/>
        <v>0</v>
      </c>
      <c r="AJ31" s="115">
        <f t="shared" si="7"/>
        <v>0</v>
      </c>
      <c r="AK31" s="116">
        <f t="shared" si="8"/>
        <v>0</v>
      </c>
      <c r="AL31" s="116">
        <f t="shared" si="9"/>
        <v>0</v>
      </c>
      <c r="AM31" s="116">
        <f t="shared" si="10"/>
        <v>0</v>
      </c>
      <c r="AN31" s="117">
        <f t="shared" si="11"/>
        <v>0</v>
      </c>
      <c r="AO31" s="39">
        <f t="shared" si="12"/>
        <v>0</v>
      </c>
      <c r="AP31" s="65">
        <f t="shared" si="13"/>
        <v>0</v>
      </c>
      <c r="AQ31" s="65">
        <f t="shared" si="14"/>
        <v>0</v>
      </c>
      <c r="AR31" s="65">
        <f t="shared" si="15"/>
        <v>0</v>
      </c>
      <c r="AS31" s="65">
        <f t="shared" si="16"/>
        <v>0</v>
      </c>
      <c r="AU31" s="195" t="s">
        <v>157</v>
      </c>
      <c r="AV31" s="195">
        <f t="shared" si="23"/>
        <v>0</v>
      </c>
      <c r="AW31" s="196">
        <f t="shared" si="24"/>
        <v>0</v>
      </c>
    </row>
    <row r="32" spans="2:49" s="8" customFormat="1" ht="13.5" customHeight="1" thickBot="1" x14ac:dyDescent="0.3">
      <c r="B32" s="15">
        <v>30</v>
      </c>
      <c r="D32" s="5"/>
      <c r="E32" s="67"/>
      <c r="F32" s="380"/>
      <c r="J32" s="9"/>
      <c r="K32" s="9">
        <f t="shared" si="0"/>
        <v>0</v>
      </c>
      <c r="L32" s="35">
        <f t="shared" si="1"/>
        <v>0</v>
      </c>
      <c r="M32" s="2"/>
      <c r="N32"/>
      <c r="O32" s="19"/>
      <c r="P32" s="19"/>
      <c r="Q32" s="19"/>
      <c r="R32" s="21"/>
      <c r="S32" s="46"/>
      <c r="T32" s="44"/>
      <c r="U32" s="76"/>
      <c r="V32" s="24"/>
      <c r="W32" s="24"/>
      <c r="X32" s="193"/>
      <c r="Y32" s="15"/>
      <c r="AA32">
        <v>5</v>
      </c>
      <c r="AB32" s="488"/>
      <c r="AC32" s="92" t="s">
        <v>3</v>
      </c>
      <c r="AD32" s="98"/>
      <c r="AE32" s="94">
        <f t="shared" ref="AE32:AS32" si="25">SUM(AE27:AE31)</f>
        <v>53.76</v>
      </c>
      <c r="AF32" s="94">
        <f t="shared" si="25"/>
        <v>0</v>
      </c>
      <c r="AG32" s="94">
        <f t="shared" si="25"/>
        <v>53.76</v>
      </c>
      <c r="AH32" s="94">
        <f t="shared" si="25"/>
        <v>0</v>
      </c>
      <c r="AI32" s="105">
        <f t="shared" si="25"/>
        <v>0</v>
      </c>
      <c r="AJ32" s="118">
        <f t="shared" si="25"/>
        <v>1</v>
      </c>
      <c r="AK32" s="119">
        <f t="shared" si="25"/>
        <v>0</v>
      </c>
      <c r="AL32" s="119">
        <f t="shared" si="25"/>
        <v>1</v>
      </c>
      <c r="AM32" s="119">
        <f t="shared" si="25"/>
        <v>0</v>
      </c>
      <c r="AN32" s="120">
        <f t="shared" si="25"/>
        <v>0</v>
      </c>
      <c r="AO32" s="94">
        <f t="shared" si="25"/>
        <v>0</v>
      </c>
      <c r="AP32" s="94">
        <f t="shared" si="25"/>
        <v>0</v>
      </c>
      <c r="AQ32" s="94">
        <f t="shared" si="25"/>
        <v>0</v>
      </c>
      <c r="AR32" s="94">
        <f t="shared" si="25"/>
        <v>0</v>
      </c>
      <c r="AS32" s="94">
        <f t="shared" si="25"/>
        <v>0</v>
      </c>
      <c r="AU32" s="195" t="s">
        <v>158</v>
      </c>
      <c r="AV32" s="195">
        <f t="shared" si="23"/>
        <v>0</v>
      </c>
      <c r="AW32" s="196">
        <f t="shared" si="24"/>
        <v>0</v>
      </c>
    </row>
    <row r="33" spans="2:49" s="8" customFormat="1" ht="13.5" customHeight="1" x14ac:dyDescent="0.25">
      <c r="B33" s="15">
        <v>31</v>
      </c>
      <c r="D33" s="5"/>
      <c r="E33" s="67"/>
      <c r="F33" s="380"/>
      <c r="J33" s="9"/>
      <c r="K33" s="9">
        <f t="shared" si="0"/>
        <v>0</v>
      </c>
      <c r="L33" s="35">
        <f t="shared" si="1"/>
        <v>0</v>
      </c>
      <c r="M33" s="2"/>
      <c r="N33"/>
      <c r="O33" s="19"/>
      <c r="P33" s="19"/>
      <c r="Q33" s="19"/>
      <c r="R33" s="21"/>
      <c r="S33" s="46"/>
      <c r="T33" s="44"/>
      <c r="U33" s="76"/>
      <c r="V33" s="24"/>
      <c r="W33" s="24"/>
      <c r="X33" s="193"/>
      <c r="Y33" s="15"/>
      <c r="AA33">
        <v>6</v>
      </c>
      <c r="AB33" s="486">
        <v>6</v>
      </c>
      <c r="AC33" s="89">
        <v>1</v>
      </c>
      <c r="AD33" s="95" t="s">
        <v>90</v>
      </c>
      <c r="AE33" s="39">
        <f t="shared" si="2"/>
        <v>0</v>
      </c>
      <c r="AF33" s="65">
        <f t="shared" si="3"/>
        <v>0</v>
      </c>
      <c r="AG33" s="65">
        <f t="shared" si="4"/>
        <v>0</v>
      </c>
      <c r="AH33" s="65">
        <f t="shared" si="5"/>
        <v>0</v>
      </c>
      <c r="AI33" s="104">
        <f t="shared" si="6"/>
        <v>0</v>
      </c>
      <c r="AJ33" s="115">
        <f t="shared" si="7"/>
        <v>0</v>
      </c>
      <c r="AK33" s="116">
        <f t="shared" si="8"/>
        <v>0</v>
      </c>
      <c r="AL33" s="116">
        <f t="shared" si="9"/>
        <v>0</v>
      </c>
      <c r="AM33" s="116">
        <f t="shared" si="10"/>
        <v>0</v>
      </c>
      <c r="AN33" s="117">
        <f t="shared" si="11"/>
        <v>0</v>
      </c>
      <c r="AO33" s="39">
        <f t="shared" si="12"/>
        <v>0</v>
      </c>
      <c r="AP33" s="65">
        <f t="shared" si="13"/>
        <v>0</v>
      </c>
      <c r="AQ33" s="65">
        <f t="shared" si="14"/>
        <v>0</v>
      </c>
      <c r="AR33" s="65">
        <f t="shared" si="15"/>
        <v>0</v>
      </c>
      <c r="AS33" s="65">
        <f t="shared" si="16"/>
        <v>0</v>
      </c>
      <c r="AU33" s="194" t="s">
        <v>159</v>
      </c>
      <c r="AV33" s="194">
        <f>SUM(AV25:AV32)</f>
        <v>12</v>
      </c>
      <c r="AW33" s="197">
        <f t="shared" si="24"/>
        <v>1</v>
      </c>
    </row>
    <row r="34" spans="2:49" s="8" customFormat="1" ht="13.5" customHeight="1" x14ac:dyDescent="0.25">
      <c r="B34" s="15">
        <v>32</v>
      </c>
      <c r="D34" s="5"/>
      <c r="E34" s="67"/>
      <c r="F34" s="380"/>
      <c r="J34" s="9"/>
      <c r="K34" s="9">
        <f t="shared" si="0"/>
        <v>0</v>
      </c>
      <c r="L34" s="35">
        <f t="shared" si="1"/>
        <v>0</v>
      </c>
      <c r="M34" s="2"/>
      <c r="N34"/>
      <c r="O34" s="19"/>
      <c r="P34" s="19"/>
      <c r="Q34" s="19"/>
      <c r="R34" s="21"/>
      <c r="S34" s="46"/>
      <c r="T34" s="44"/>
      <c r="U34" s="76"/>
      <c r="V34" s="24"/>
      <c r="W34" s="24"/>
      <c r="X34" s="193"/>
      <c r="Y34" s="15"/>
      <c r="AA34">
        <v>6</v>
      </c>
      <c r="AB34" s="487"/>
      <c r="AC34" s="90">
        <v>2</v>
      </c>
      <c r="AD34" s="97" t="s">
        <v>91</v>
      </c>
      <c r="AE34" s="39">
        <f t="shared" si="2"/>
        <v>240.58500000000001</v>
      </c>
      <c r="AF34" s="65">
        <f t="shared" si="3"/>
        <v>240.58500000000001</v>
      </c>
      <c r="AG34" s="65">
        <f t="shared" si="4"/>
        <v>0</v>
      </c>
      <c r="AH34" s="65">
        <f t="shared" si="5"/>
        <v>0</v>
      </c>
      <c r="AI34" s="104">
        <f t="shared" si="6"/>
        <v>0</v>
      </c>
      <c r="AJ34" s="115">
        <f t="shared" si="7"/>
        <v>1</v>
      </c>
      <c r="AK34" s="116">
        <f t="shared" si="8"/>
        <v>1</v>
      </c>
      <c r="AL34" s="116">
        <f t="shared" si="9"/>
        <v>0</v>
      </c>
      <c r="AM34" s="116">
        <f t="shared" si="10"/>
        <v>0</v>
      </c>
      <c r="AN34" s="117">
        <f t="shared" si="11"/>
        <v>0</v>
      </c>
      <c r="AO34" s="39">
        <f t="shared" si="12"/>
        <v>0</v>
      </c>
      <c r="AP34" s="65">
        <f t="shared" si="13"/>
        <v>0</v>
      </c>
      <c r="AQ34" s="65">
        <f t="shared" si="14"/>
        <v>0</v>
      </c>
      <c r="AR34" s="65">
        <f t="shared" si="15"/>
        <v>0</v>
      </c>
      <c r="AS34" s="65">
        <f t="shared" si="16"/>
        <v>0</v>
      </c>
    </row>
    <row r="35" spans="2:49" s="8" customFormat="1" ht="13.5" customHeight="1" x14ac:dyDescent="0.25">
      <c r="B35" s="15">
        <v>33</v>
      </c>
      <c r="D35" s="5"/>
      <c r="E35" s="67"/>
      <c r="F35" s="380"/>
      <c r="J35" s="9"/>
      <c r="K35" s="9">
        <f t="shared" si="0"/>
        <v>0</v>
      </c>
      <c r="L35" s="35">
        <f t="shared" si="1"/>
        <v>0</v>
      </c>
      <c r="M35" s="2"/>
      <c r="N35"/>
      <c r="O35" s="19"/>
      <c r="P35" s="19"/>
      <c r="Q35" s="19"/>
      <c r="R35" s="21"/>
      <c r="S35" s="46"/>
      <c r="T35" s="44"/>
      <c r="U35" s="76"/>
      <c r="V35" s="24"/>
      <c r="W35" s="24"/>
      <c r="X35" s="193"/>
      <c r="Y35" s="15"/>
      <c r="AA35">
        <v>6</v>
      </c>
      <c r="AB35" s="487"/>
      <c r="AC35" s="90">
        <v>3</v>
      </c>
      <c r="AD35" s="97" t="s">
        <v>92</v>
      </c>
      <c r="AE35" s="39">
        <f t="shared" si="2"/>
        <v>309.60000000000002</v>
      </c>
      <c r="AF35" s="65">
        <f t="shared" si="3"/>
        <v>309.60000000000002</v>
      </c>
      <c r="AG35" s="65">
        <f t="shared" si="4"/>
        <v>0</v>
      </c>
      <c r="AH35" s="65">
        <f t="shared" si="5"/>
        <v>0</v>
      </c>
      <c r="AI35" s="104">
        <f t="shared" si="6"/>
        <v>0</v>
      </c>
      <c r="AJ35" s="115">
        <f t="shared" si="7"/>
        <v>1</v>
      </c>
      <c r="AK35" s="116">
        <f t="shared" si="8"/>
        <v>1</v>
      </c>
      <c r="AL35" s="116">
        <f t="shared" si="9"/>
        <v>0</v>
      </c>
      <c r="AM35" s="116">
        <f t="shared" si="10"/>
        <v>0</v>
      </c>
      <c r="AN35" s="117">
        <f t="shared" si="11"/>
        <v>0</v>
      </c>
      <c r="AO35" s="39">
        <f t="shared" si="12"/>
        <v>0</v>
      </c>
      <c r="AP35" s="65">
        <f t="shared" si="13"/>
        <v>0</v>
      </c>
      <c r="AQ35" s="65">
        <f t="shared" si="14"/>
        <v>0</v>
      </c>
      <c r="AR35" s="65">
        <f t="shared" si="15"/>
        <v>0</v>
      </c>
      <c r="AS35" s="65">
        <f t="shared" si="16"/>
        <v>0</v>
      </c>
    </row>
    <row r="36" spans="2:49" s="8" customFormat="1" ht="13.5" customHeight="1" x14ac:dyDescent="0.25">
      <c r="B36" s="15">
        <v>34</v>
      </c>
      <c r="D36" s="5"/>
      <c r="E36" s="67"/>
      <c r="F36" s="380"/>
      <c r="J36" s="9"/>
      <c r="K36" s="9">
        <f t="shared" si="0"/>
        <v>0</v>
      </c>
      <c r="L36" s="35">
        <f t="shared" si="1"/>
        <v>0</v>
      </c>
      <c r="M36" s="2"/>
      <c r="N36"/>
      <c r="O36" s="19"/>
      <c r="P36" s="19"/>
      <c r="Q36" s="19"/>
      <c r="R36" s="21"/>
      <c r="S36" s="46"/>
      <c r="T36" s="44"/>
      <c r="U36" s="76"/>
      <c r="V36" s="24"/>
      <c r="W36" s="24"/>
      <c r="X36" s="193"/>
      <c r="Y36" s="15"/>
      <c r="AA36">
        <v>6</v>
      </c>
      <c r="AB36" s="487"/>
      <c r="AC36" s="90">
        <v>4</v>
      </c>
      <c r="AD36" s="97" t="s">
        <v>93</v>
      </c>
      <c r="AE36" s="39">
        <f t="shared" si="2"/>
        <v>499.875</v>
      </c>
      <c r="AF36" s="65">
        <f t="shared" si="3"/>
        <v>499.875</v>
      </c>
      <c r="AG36" s="65">
        <f t="shared" si="4"/>
        <v>0</v>
      </c>
      <c r="AH36" s="65">
        <f t="shared" si="5"/>
        <v>0</v>
      </c>
      <c r="AI36" s="104">
        <f t="shared" si="6"/>
        <v>0</v>
      </c>
      <c r="AJ36" s="115">
        <f t="shared" si="7"/>
        <v>1</v>
      </c>
      <c r="AK36" s="116">
        <f t="shared" si="8"/>
        <v>1</v>
      </c>
      <c r="AL36" s="116">
        <f t="shared" si="9"/>
        <v>0</v>
      </c>
      <c r="AM36" s="116">
        <f t="shared" si="10"/>
        <v>0</v>
      </c>
      <c r="AN36" s="117">
        <f t="shared" si="11"/>
        <v>0</v>
      </c>
      <c r="AO36" s="39">
        <f t="shared" si="12"/>
        <v>0</v>
      </c>
      <c r="AP36" s="65">
        <f t="shared" si="13"/>
        <v>0</v>
      </c>
      <c r="AQ36" s="65">
        <f t="shared" si="14"/>
        <v>0</v>
      </c>
      <c r="AR36" s="65">
        <f t="shared" si="15"/>
        <v>0</v>
      </c>
      <c r="AS36" s="65">
        <f t="shared" si="16"/>
        <v>0</v>
      </c>
    </row>
    <row r="37" spans="2:49" s="8" customFormat="1" ht="13.5" customHeight="1" x14ac:dyDescent="0.25">
      <c r="B37" s="15">
        <v>35</v>
      </c>
      <c r="D37" s="5"/>
      <c r="E37" s="67"/>
      <c r="F37" s="380"/>
      <c r="J37" s="9"/>
      <c r="K37" s="9">
        <f t="shared" si="0"/>
        <v>0</v>
      </c>
      <c r="L37" s="35">
        <f t="shared" si="1"/>
        <v>0</v>
      </c>
      <c r="M37" s="2"/>
      <c r="N37"/>
      <c r="O37" s="19"/>
      <c r="P37" s="19"/>
      <c r="Q37" s="19"/>
      <c r="R37" s="21"/>
      <c r="S37" s="46"/>
      <c r="T37" s="250"/>
      <c r="U37" s="76"/>
      <c r="V37" s="24"/>
      <c r="W37" s="24"/>
      <c r="X37" s="193"/>
      <c r="Y37" s="15"/>
      <c r="AA37">
        <v>6</v>
      </c>
      <c r="AB37" s="487"/>
      <c r="AC37" s="91">
        <v>5</v>
      </c>
      <c r="AD37" s="97"/>
      <c r="AE37" s="39">
        <f t="shared" si="2"/>
        <v>0</v>
      </c>
      <c r="AF37" s="65">
        <f t="shared" si="3"/>
        <v>0</v>
      </c>
      <c r="AG37" s="65">
        <f t="shared" si="4"/>
        <v>0</v>
      </c>
      <c r="AH37" s="65">
        <f t="shared" si="5"/>
        <v>0</v>
      </c>
      <c r="AI37" s="104">
        <f t="shared" si="6"/>
        <v>0</v>
      </c>
      <c r="AJ37" s="115">
        <f t="shared" si="7"/>
        <v>0</v>
      </c>
      <c r="AK37" s="116">
        <f t="shared" si="8"/>
        <v>0</v>
      </c>
      <c r="AL37" s="116">
        <f t="shared" si="9"/>
        <v>0</v>
      </c>
      <c r="AM37" s="116">
        <f t="shared" si="10"/>
        <v>0</v>
      </c>
      <c r="AN37" s="117">
        <f t="shared" si="11"/>
        <v>0</v>
      </c>
      <c r="AO37" s="39">
        <f t="shared" si="12"/>
        <v>0</v>
      </c>
      <c r="AP37" s="65">
        <f t="shared" si="13"/>
        <v>0</v>
      </c>
      <c r="AQ37" s="65">
        <f t="shared" si="14"/>
        <v>0</v>
      </c>
      <c r="AR37" s="65">
        <f t="shared" si="15"/>
        <v>0</v>
      </c>
      <c r="AS37" s="65">
        <f t="shared" si="16"/>
        <v>0</v>
      </c>
    </row>
    <row r="38" spans="2:49" s="8" customFormat="1" ht="13.5" customHeight="1" thickBot="1" x14ac:dyDescent="0.3">
      <c r="B38" s="15">
        <v>36</v>
      </c>
      <c r="D38" s="5"/>
      <c r="E38" s="67"/>
      <c r="F38" s="380"/>
      <c r="J38" s="9"/>
      <c r="K38" s="9">
        <f t="shared" si="0"/>
        <v>0</v>
      </c>
      <c r="L38" s="35">
        <f t="shared" si="1"/>
        <v>0</v>
      </c>
      <c r="M38" s="2"/>
      <c r="N38"/>
      <c r="O38" s="19"/>
      <c r="P38" s="19"/>
      <c r="Q38" s="19"/>
      <c r="R38" s="21"/>
      <c r="S38" s="46"/>
      <c r="T38" s="44"/>
      <c r="U38" s="76"/>
      <c r="V38" s="24"/>
      <c r="W38" s="24"/>
      <c r="X38" s="193"/>
      <c r="Y38" s="15"/>
      <c r="AA38">
        <v>6</v>
      </c>
      <c r="AB38" s="488"/>
      <c r="AC38" s="92" t="s">
        <v>3</v>
      </c>
      <c r="AD38" s="98"/>
      <c r="AE38" s="94">
        <f t="shared" ref="AE38:AS38" si="26">SUM(AE33:AE37)</f>
        <v>1050.06</v>
      </c>
      <c r="AF38" s="94">
        <f t="shared" si="26"/>
        <v>1050.06</v>
      </c>
      <c r="AG38" s="94">
        <f t="shared" si="26"/>
        <v>0</v>
      </c>
      <c r="AH38" s="94">
        <f t="shared" si="26"/>
        <v>0</v>
      </c>
      <c r="AI38" s="105">
        <f t="shared" si="26"/>
        <v>0</v>
      </c>
      <c r="AJ38" s="118">
        <f t="shared" si="26"/>
        <v>3</v>
      </c>
      <c r="AK38" s="119">
        <f t="shared" si="26"/>
        <v>3</v>
      </c>
      <c r="AL38" s="119">
        <f t="shared" si="26"/>
        <v>0</v>
      </c>
      <c r="AM38" s="119">
        <f t="shared" si="26"/>
        <v>0</v>
      </c>
      <c r="AN38" s="120">
        <f t="shared" si="26"/>
        <v>0</v>
      </c>
      <c r="AO38" s="94">
        <f t="shared" si="26"/>
        <v>0</v>
      </c>
      <c r="AP38" s="94">
        <f t="shared" si="26"/>
        <v>0</v>
      </c>
      <c r="AQ38" s="94">
        <f t="shared" si="26"/>
        <v>0</v>
      </c>
      <c r="AR38" s="94">
        <f t="shared" si="26"/>
        <v>0</v>
      </c>
      <c r="AS38" s="94">
        <f t="shared" si="26"/>
        <v>0</v>
      </c>
    </row>
    <row r="39" spans="2:49" s="8" customFormat="1" ht="13.5" customHeight="1" x14ac:dyDescent="0.25">
      <c r="B39" s="15">
        <v>37</v>
      </c>
      <c r="D39" s="5"/>
      <c r="E39" s="67"/>
      <c r="F39" s="380"/>
      <c r="J39" s="9"/>
      <c r="K39" s="9">
        <f t="shared" si="0"/>
        <v>0</v>
      </c>
      <c r="L39" s="35">
        <f t="shared" si="1"/>
        <v>0</v>
      </c>
      <c r="M39" s="2"/>
      <c r="N39"/>
      <c r="O39" s="19"/>
      <c r="P39" s="19"/>
      <c r="Q39" s="19"/>
      <c r="R39" s="21"/>
      <c r="S39" s="46"/>
      <c r="T39" s="44"/>
      <c r="U39" s="76"/>
      <c r="V39" s="24"/>
      <c r="W39" s="24"/>
      <c r="X39" s="193"/>
      <c r="Y39" s="15"/>
      <c r="AA39">
        <v>7</v>
      </c>
      <c r="AB39" s="486">
        <v>7</v>
      </c>
      <c r="AC39" s="89">
        <v>1</v>
      </c>
      <c r="AD39" s="95" t="s">
        <v>94</v>
      </c>
      <c r="AE39" s="39">
        <f t="shared" si="2"/>
        <v>0</v>
      </c>
      <c r="AF39" s="65">
        <f t="shared" si="3"/>
        <v>0</v>
      </c>
      <c r="AG39" s="65">
        <f t="shared" si="4"/>
        <v>0</v>
      </c>
      <c r="AH39" s="65">
        <f t="shared" si="5"/>
        <v>0</v>
      </c>
      <c r="AI39" s="104">
        <f t="shared" si="6"/>
        <v>0</v>
      </c>
      <c r="AJ39" s="115">
        <f t="shared" si="7"/>
        <v>0</v>
      </c>
      <c r="AK39" s="116">
        <f t="shared" si="8"/>
        <v>0</v>
      </c>
      <c r="AL39" s="116">
        <f t="shared" si="9"/>
        <v>0</v>
      </c>
      <c r="AM39" s="116">
        <f t="shared" si="10"/>
        <v>0</v>
      </c>
      <c r="AN39" s="117">
        <f t="shared" si="11"/>
        <v>0</v>
      </c>
      <c r="AO39" s="39">
        <f t="shared" si="12"/>
        <v>0</v>
      </c>
      <c r="AP39" s="65">
        <f t="shared" si="13"/>
        <v>0</v>
      </c>
      <c r="AQ39" s="65">
        <f t="shared" si="14"/>
        <v>0</v>
      </c>
      <c r="AR39" s="65">
        <f t="shared" si="15"/>
        <v>0</v>
      </c>
      <c r="AS39" s="65">
        <f t="shared" si="16"/>
        <v>0</v>
      </c>
    </row>
    <row r="40" spans="2:49" s="8" customFormat="1" ht="13.5" customHeight="1" x14ac:dyDescent="0.25">
      <c r="B40" s="15">
        <v>38</v>
      </c>
      <c r="D40" s="5"/>
      <c r="E40" s="67"/>
      <c r="F40" s="380"/>
      <c r="J40" s="9"/>
      <c r="K40" s="9">
        <f t="shared" si="0"/>
        <v>0</v>
      </c>
      <c r="L40" s="35">
        <f t="shared" si="1"/>
        <v>0</v>
      </c>
      <c r="M40" s="2"/>
      <c r="N40"/>
      <c r="O40" s="19"/>
      <c r="P40" s="19"/>
      <c r="Q40" s="19"/>
      <c r="R40" s="21"/>
      <c r="S40" s="46"/>
      <c r="T40" s="44"/>
      <c r="U40" s="76"/>
      <c r="V40" s="24"/>
      <c r="W40" s="24"/>
      <c r="X40" s="193"/>
      <c r="Y40" s="15"/>
      <c r="AA40">
        <v>7</v>
      </c>
      <c r="AB40" s="487"/>
      <c r="AC40" s="90">
        <v>2</v>
      </c>
      <c r="AD40" s="97" t="s">
        <v>61</v>
      </c>
      <c r="AE40" s="39">
        <f t="shared" si="2"/>
        <v>0</v>
      </c>
      <c r="AF40" s="65">
        <f t="shared" si="3"/>
        <v>0</v>
      </c>
      <c r="AG40" s="65">
        <f t="shared" si="4"/>
        <v>0</v>
      </c>
      <c r="AH40" s="65">
        <f t="shared" si="5"/>
        <v>0</v>
      </c>
      <c r="AI40" s="104">
        <f t="shared" si="6"/>
        <v>0</v>
      </c>
      <c r="AJ40" s="115">
        <f t="shared" si="7"/>
        <v>0</v>
      </c>
      <c r="AK40" s="116">
        <f t="shared" si="8"/>
        <v>0</v>
      </c>
      <c r="AL40" s="116">
        <f t="shared" si="9"/>
        <v>0</v>
      </c>
      <c r="AM40" s="116">
        <f t="shared" si="10"/>
        <v>0</v>
      </c>
      <c r="AN40" s="117">
        <f t="shared" si="11"/>
        <v>0</v>
      </c>
      <c r="AO40" s="39">
        <f t="shared" si="12"/>
        <v>0</v>
      </c>
      <c r="AP40" s="65">
        <f t="shared" si="13"/>
        <v>0</v>
      </c>
      <c r="AQ40" s="65">
        <f t="shared" si="14"/>
        <v>0</v>
      </c>
      <c r="AR40" s="65">
        <f t="shared" si="15"/>
        <v>0</v>
      </c>
      <c r="AS40" s="65">
        <f t="shared" si="16"/>
        <v>0</v>
      </c>
    </row>
    <row r="41" spans="2:49" s="8" customFormat="1" ht="13.5" customHeight="1" x14ac:dyDescent="0.25">
      <c r="B41" s="15">
        <v>39</v>
      </c>
      <c r="D41" s="5"/>
      <c r="E41" s="67"/>
      <c r="F41" s="380"/>
      <c r="J41" s="9"/>
      <c r="K41" s="9">
        <f t="shared" si="0"/>
        <v>0</v>
      </c>
      <c r="L41" s="35">
        <f t="shared" si="1"/>
        <v>0</v>
      </c>
      <c r="M41" s="2"/>
      <c r="N41"/>
      <c r="O41" s="19"/>
      <c r="P41" s="19"/>
      <c r="Q41" s="19"/>
      <c r="R41" s="21"/>
      <c r="S41" s="46"/>
      <c r="T41" s="44"/>
      <c r="U41" s="76"/>
      <c r="V41" s="24"/>
      <c r="W41" s="24"/>
      <c r="X41" s="193"/>
      <c r="Y41" s="15"/>
      <c r="AA41">
        <v>7</v>
      </c>
      <c r="AB41" s="487"/>
      <c r="AC41" s="90">
        <v>3</v>
      </c>
      <c r="AD41" s="97" t="s">
        <v>62</v>
      </c>
      <c r="AE41" s="39">
        <f t="shared" si="2"/>
        <v>0</v>
      </c>
      <c r="AF41" s="65">
        <f t="shared" si="3"/>
        <v>0</v>
      </c>
      <c r="AG41" s="65">
        <f t="shared" si="4"/>
        <v>0</v>
      </c>
      <c r="AH41" s="65">
        <f t="shared" si="5"/>
        <v>0</v>
      </c>
      <c r="AI41" s="104">
        <f t="shared" si="6"/>
        <v>0</v>
      </c>
      <c r="AJ41" s="115">
        <f t="shared" si="7"/>
        <v>0</v>
      </c>
      <c r="AK41" s="116">
        <f t="shared" si="8"/>
        <v>0</v>
      </c>
      <c r="AL41" s="116">
        <f t="shared" si="9"/>
        <v>0</v>
      </c>
      <c r="AM41" s="116">
        <f t="shared" si="10"/>
        <v>0</v>
      </c>
      <c r="AN41" s="117">
        <f t="shared" si="11"/>
        <v>0</v>
      </c>
      <c r="AO41" s="39">
        <f t="shared" si="12"/>
        <v>0</v>
      </c>
      <c r="AP41" s="65">
        <f t="shared" si="13"/>
        <v>0</v>
      </c>
      <c r="AQ41" s="65">
        <f t="shared" si="14"/>
        <v>0</v>
      </c>
      <c r="AR41" s="65">
        <f t="shared" si="15"/>
        <v>0</v>
      </c>
      <c r="AS41" s="65">
        <f t="shared" si="16"/>
        <v>0</v>
      </c>
    </row>
    <row r="42" spans="2:49" s="8" customFormat="1" ht="13.5" customHeight="1" x14ac:dyDescent="0.25">
      <c r="B42" s="15">
        <v>40</v>
      </c>
      <c r="D42" s="5"/>
      <c r="E42" s="67"/>
      <c r="F42" s="380"/>
      <c r="J42" s="9"/>
      <c r="K42" s="9">
        <f t="shared" si="0"/>
        <v>0</v>
      </c>
      <c r="L42" s="35">
        <f t="shared" si="1"/>
        <v>0</v>
      </c>
      <c r="M42" s="2"/>
      <c r="N42"/>
      <c r="O42" s="19"/>
      <c r="P42" s="19"/>
      <c r="Q42" s="19"/>
      <c r="R42" s="21"/>
      <c r="S42" s="46"/>
      <c r="T42" s="44"/>
      <c r="U42" s="76"/>
      <c r="V42" s="24"/>
      <c r="W42" s="24"/>
      <c r="X42" s="193"/>
      <c r="Y42" s="15"/>
      <c r="AA42">
        <v>7</v>
      </c>
      <c r="AB42" s="487"/>
      <c r="AC42" s="90">
        <v>4</v>
      </c>
      <c r="AD42" s="97" t="s">
        <v>63</v>
      </c>
      <c r="AE42" s="39">
        <f t="shared" si="2"/>
        <v>0</v>
      </c>
      <c r="AF42" s="65">
        <f t="shared" si="3"/>
        <v>0</v>
      </c>
      <c r="AG42" s="65">
        <f t="shared" si="4"/>
        <v>0</v>
      </c>
      <c r="AH42" s="65">
        <f t="shared" si="5"/>
        <v>0</v>
      </c>
      <c r="AI42" s="104">
        <f t="shared" si="6"/>
        <v>0</v>
      </c>
      <c r="AJ42" s="115">
        <f t="shared" si="7"/>
        <v>0</v>
      </c>
      <c r="AK42" s="116">
        <f t="shared" si="8"/>
        <v>0</v>
      </c>
      <c r="AL42" s="116">
        <f t="shared" si="9"/>
        <v>0</v>
      </c>
      <c r="AM42" s="116">
        <f t="shared" si="10"/>
        <v>0</v>
      </c>
      <c r="AN42" s="117">
        <f t="shared" si="11"/>
        <v>0</v>
      </c>
      <c r="AO42" s="39">
        <f t="shared" si="12"/>
        <v>0</v>
      </c>
      <c r="AP42" s="65">
        <f t="shared" si="13"/>
        <v>0</v>
      </c>
      <c r="AQ42" s="65">
        <f t="shared" si="14"/>
        <v>0</v>
      </c>
      <c r="AR42" s="65">
        <f t="shared" si="15"/>
        <v>0</v>
      </c>
      <c r="AS42" s="65">
        <f t="shared" si="16"/>
        <v>0</v>
      </c>
    </row>
    <row r="43" spans="2:49" x14ac:dyDescent="0.25">
      <c r="B43" s="15">
        <v>41</v>
      </c>
      <c r="C43" s="8"/>
      <c r="E43" s="67"/>
      <c r="F43" s="380"/>
      <c r="G43" s="8"/>
      <c r="H43" s="8"/>
      <c r="I43" s="8"/>
      <c r="J43" s="9"/>
      <c r="K43" s="9">
        <f t="shared" si="0"/>
        <v>0</v>
      </c>
      <c r="L43" s="35">
        <f t="shared" si="1"/>
        <v>0</v>
      </c>
      <c r="M43" s="2"/>
      <c r="O43" s="19"/>
      <c r="P43" s="19"/>
      <c r="Q43" s="19"/>
      <c r="R43" s="21"/>
      <c r="S43" s="46"/>
      <c r="T43" s="44"/>
      <c r="U43" s="77"/>
      <c r="V43" s="30"/>
      <c r="W43" s="24"/>
      <c r="X43" s="193"/>
      <c r="Y43" s="15"/>
      <c r="AA43">
        <v>7</v>
      </c>
      <c r="AB43" s="487"/>
      <c r="AC43" s="91">
        <v>5</v>
      </c>
      <c r="AD43" s="100" t="s">
        <v>95</v>
      </c>
      <c r="AE43" s="39">
        <f t="shared" si="2"/>
        <v>462.46499999999997</v>
      </c>
      <c r="AF43" s="65">
        <f t="shared" si="3"/>
        <v>0</v>
      </c>
      <c r="AG43" s="65">
        <f t="shared" si="4"/>
        <v>462.46499999999997</v>
      </c>
      <c r="AH43" s="65">
        <f t="shared" si="5"/>
        <v>0</v>
      </c>
      <c r="AI43" s="104">
        <f t="shared" si="6"/>
        <v>0</v>
      </c>
      <c r="AJ43" s="115">
        <f t="shared" si="7"/>
        <v>1</v>
      </c>
      <c r="AK43" s="116">
        <f t="shared" si="8"/>
        <v>0</v>
      </c>
      <c r="AL43" s="116">
        <f t="shared" si="9"/>
        <v>1</v>
      </c>
      <c r="AM43" s="116">
        <f t="shared" si="10"/>
        <v>0</v>
      </c>
      <c r="AN43" s="117">
        <f t="shared" si="11"/>
        <v>0</v>
      </c>
      <c r="AO43" s="39">
        <f t="shared" si="12"/>
        <v>0</v>
      </c>
      <c r="AP43" s="65">
        <f t="shared" si="13"/>
        <v>0</v>
      </c>
      <c r="AQ43" s="65">
        <f t="shared" si="14"/>
        <v>0</v>
      </c>
      <c r="AR43" s="65">
        <f t="shared" si="15"/>
        <v>0</v>
      </c>
      <c r="AS43" s="65">
        <f t="shared" si="16"/>
        <v>0</v>
      </c>
    </row>
    <row r="44" spans="2:49" ht="14.25" thickBot="1" x14ac:dyDescent="0.3">
      <c r="B44" s="15">
        <v>42</v>
      </c>
      <c r="C44" s="8"/>
      <c r="E44" s="67"/>
      <c r="F44" s="380"/>
      <c r="G44" s="8"/>
      <c r="H44" s="8"/>
      <c r="I44" s="8"/>
      <c r="J44" s="9"/>
      <c r="K44" s="9">
        <f t="shared" si="0"/>
        <v>0</v>
      </c>
      <c r="L44" s="35">
        <f t="shared" si="1"/>
        <v>0</v>
      </c>
      <c r="M44" s="2"/>
      <c r="O44" s="19"/>
      <c r="P44" s="19"/>
      <c r="Q44" s="19"/>
      <c r="R44" s="21"/>
      <c r="S44" s="46"/>
      <c r="T44" s="44"/>
      <c r="U44" s="77"/>
      <c r="V44" s="30"/>
      <c r="W44" s="24"/>
      <c r="X44" s="193"/>
      <c r="Y44" s="15"/>
      <c r="AA44">
        <v>7</v>
      </c>
      <c r="AB44" s="488"/>
      <c r="AC44" s="92" t="s">
        <v>3</v>
      </c>
      <c r="AD44" s="101"/>
      <c r="AE44" s="94">
        <f t="shared" ref="AE44:AS44" si="27">SUM(AE39:AE43)</f>
        <v>462.46499999999997</v>
      </c>
      <c r="AF44" s="94">
        <f t="shared" si="27"/>
        <v>0</v>
      </c>
      <c r="AG44" s="94">
        <f t="shared" si="27"/>
        <v>462.46499999999997</v>
      </c>
      <c r="AH44" s="94">
        <f t="shared" si="27"/>
        <v>0</v>
      </c>
      <c r="AI44" s="105">
        <f t="shared" si="27"/>
        <v>0</v>
      </c>
      <c r="AJ44" s="118">
        <f t="shared" si="27"/>
        <v>1</v>
      </c>
      <c r="AK44" s="119">
        <f t="shared" si="27"/>
        <v>0</v>
      </c>
      <c r="AL44" s="119">
        <f t="shared" si="27"/>
        <v>1</v>
      </c>
      <c r="AM44" s="119">
        <f t="shared" si="27"/>
        <v>0</v>
      </c>
      <c r="AN44" s="120">
        <f t="shared" si="27"/>
        <v>0</v>
      </c>
      <c r="AO44" s="94">
        <f t="shared" si="27"/>
        <v>0</v>
      </c>
      <c r="AP44" s="94">
        <f t="shared" si="27"/>
        <v>0</v>
      </c>
      <c r="AQ44" s="94">
        <f t="shared" si="27"/>
        <v>0</v>
      </c>
      <c r="AR44" s="94">
        <f t="shared" si="27"/>
        <v>0</v>
      </c>
      <c r="AS44" s="94">
        <f t="shared" si="27"/>
        <v>0</v>
      </c>
    </row>
    <row r="45" spans="2:49" x14ac:dyDescent="0.25">
      <c r="B45" s="15">
        <v>43</v>
      </c>
      <c r="C45" s="8"/>
      <c r="E45" s="67"/>
      <c r="F45" s="380"/>
      <c r="G45" s="8"/>
      <c r="H45" s="8"/>
      <c r="I45" s="8"/>
      <c r="J45" s="9"/>
      <c r="K45" s="9">
        <f t="shared" si="0"/>
        <v>0</v>
      </c>
      <c r="L45" s="35">
        <f t="shared" si="1"/>
        <v>0</v>
      </c>
      <c r="M45" s="2"/>
      <c r="O45" s="19"/>
      <c r="P45" s="19"/>
      <c r="Q45" s="19"/>
      <c r="R45" s="21"/>
      <c r="S45" s="46"/>
      <c r="T45" s="44"/>
      <c r="U45" s="77"/>
      <c r="V45" s="30"/>
      <c r="W45" s="24"/>
      <c r="X45" s="193"/>
      <c r="Y45" s="15"/>
      <c r="AA45">
        <v>8</v>
      </c>
      <c r="AB45" s="486">
        <v>8</v>
      </c>
      <c r="AC45" s="89">
        <v>1</v>
      </c>
      <c r="AD45" s="95" t="s">
        <v>96</v>
      </c>
      <c r="AE45" s="39">
        <f t="shared" si="2"/>
        <v>0</v>
      </c>
      <c r="AF45" s="65">
        <f t="shared" si="3"/>
        <v>0</v>
      </c>
      <c r="AG45" s="65">
        <f t="shared" si="4"/>
        <v>0</v>
      </c>
      <c r="AH45" s="65">
        <f t="shared" si="5"/>
        <v>0</v>
      </c>
      <c r="AI45" s="104">
        <f t="shared" si="6"/>
        <v>0</v>
      </c>
      <c r="AJ45" s="115">
        <f t="shared" si="7"/>
        <v>0</v>
      </c>
      <c r="AK45" s="116">
        <f t="shared" si="8"/>
        <v>0</v>
      </c>
      <c r="AL45" s="116">
        <f t="shared" si="9"/>
        <v>0</v>
      </c>
      <c r="AM45" s="116">
        <f t="shared" si="10"/>
        <v>0</v>
      </c>
      <c r="AN45" s="117">
        <f t="shared" si="11"/>
        <v>0</v>
      </c>
      <c r="AO45" s="39">
        <f t="shared" si="12"/>
        <v>0</v>
      </c>
      <c r="AP45" s="65">
        <f t="shared" si="13"/>
        <v>0</v>
      </c>
      <c r="AQ45" s="65">
        <f t="shared" si="14"/>
        <v>0</v>
      </c>
      <c r="AR45" s="65">
        <f t="shared" si="15"/>
        <v>0</v>
      </c>
      <c r="AS45" s="65">
        <f t="shared" si="16"/>
        <v>0</v>
      </c>
    </row>
    <row r="46" spans="2:49" x14ac:dyDescent="0.25">
      <c r="B46" s="15">
        <v>44</v>
      </c>
      <c r="C46" s="8"/>
      <c r="E46" s="67"/>
      <c r="F46" s="380"/>
      <c r="G46" s="8"/>
      <c r="H46" s="8"/>
      <c r="I46" s="8"/>
      <c r="J46" s="9"/>
      <c r="K46" s="9">
        <f t="shared" si="0"/>
        <v>0</v>
      </c>
      <c r="L46" s="35">
        <f t="shared" si="1"/>
        <v>0</v>
      </c>
      <c r="M46" s="2"/>
      <c r="O46" s="19"/>
      <c r="P46" s="19"/>
      <c r="Q46" s="19"/>
      <c r="R46" s="21"/>
      <c r="S46" s="46"/>
      <c r="T46" s="44"/>
      <c r="U46" s="77"/>
      <c r="V46" s="24"/>
      <c r="W46" s="24"/>
      <c r="X46" s="193"/>
      <c r="Y46" s="15"/>
      <c r="AA46">
        <v>8</v>
      </c>
      <c r="AB46" s="487"/>
      <c r="AC46" s="90">
        <v>2</v>
      </c>
      <c r="AD46" s="97" t="s">
        <v>97</v>
      </c>
      <c r="AE46" s="39">
        <f t="shared" si="2"/>
        <v>0</v>
      </c>
      <c r="AF46" s="65">
        <f t="shared" si="3"/>
        <v>0</v>
      </c>
      <c r="AG46" s="65">
        <f t="shared" si="4"/>
        <v>0</v>
      </c>
      <c r="AH46" s="65">
        <f t="shared" si="5"/>
        <v>0</v>
      </c>
      <c r="AI46" s="104">
        <f t="shared" si="6"/>
        <v>0</v>
      </c>
      <c r="AJ46" s="115">
        <f t="shared" si="7"/>
        <v>0</v>
      </c>
      <c r="AK46" s="116">
        <f t="shared" si="8"/>
        <v>0</v>
      </c>
      <c r="AL46" s="116">
        <f t="shared" si="9"/>
        <v>0</v>
      </c>
      <c r="AM46" s="116">
        <f t="shared" si="10"/>
        <v>0</v>
      </c>
      <c r="AN46" s="117">
        <f t="shared" si="11"/>
        <v>0</v>
      </c>
      <c r="AO46" s="39">
        <f t="shared" si="12"/>
        <v>0</v>
      </c>
      <c r="AP46" s="65">
        <f t="shared" si="13"/>
        <v>0</v>
      </c>
      <c r="AQ46" s="65">
        <f t="shared" si="14"/>
        <v>0</v>
      </c>
      <c r="AR46" s="65">
        <f t="shared" si="15"/>
        <v>0</v>
      </c>
      <c r="AS46" s="65">
        <f t="shared" si="16"/>
        <v>0</v>
      </c>
    </row>
    <row r="47" spans="2:49" x14ac:dyDescent="0.25">
      <c r="B47" s="15">
        <v>45</v>
      </c>
      <c r="C47" s="8"/>
      <c r="E47" s="67"/>
      <c r="F47" s="380"/>
      <c r="G47" s="8"/>
      <c r="H47" s="8"/>
      <c r="I47" s="8"/>
      <c r="J47" s="9"/>
      <c r="K47" s="9">
        <f t="shared" si="0"/>
        <v>0</v>
      </c>
      <c r="L47" s="35">
        <f t="shared" si="1"/>
        <v>0</v>
      </c>
      <c r="M47" s="2"/>
      <c r="O47" s="19"/>
      <c r="P47" s="19"/>
      <c r="Q47" s="19"/>
      <c r="R47" s="21"/>
      <c r="S47" s="46"/>
      <c r="T47" s="44"/>
      <c r="U47" s="77"/>
      <c r="V47" s="24"/>
      <c r="W47" s="24"/>
      <c r="X47" s="193"/>
      <c r="Y47" s="15"/>
      <c r="AA47">
        <v>8</v>
      </c>
      <c r="AB47" s="487"/>
      <c r="AC47" s="90">
        <v>3</v>
      </c>
      <c r="AD47" s="97" t="s">
        <v>98</v>
      </c>
      <c r="AE47" s="39">
        <f t="shared" si="2"/>
        <v>0</v>
      </c>
      <c r="AF47" s="65">
        <f t="shared" si="3"/>
        <v>0</v>
      </c>
      <c r="AG47" s="65">
        <f t="shared" si="4"/>
        <v>0</v>
      </c>
      <c r="AH47" s="65">
        <f t="shared" si="5"/>
        <v>0</v>
      </c>
      <c r="AI47" s="104">
        <f t="shared" si="6"/>
        <v>0</v>
      </c>
      <c r="AJ47" s="115">
        <f t="shared" si="7"/>
        <v>0</v>
      </c>
      <c r="AK47" s="116">
        <f t="shared" si="8"/>
        <v>0</v>
      </c>
      <c r="AL47" s="116">
        <f t="shared" si="9"/>
        <v>0</v>
      </c>
      <c r="AM47" s="116">
        <f t="shared" si="10"/>
        <v>0</v>
      </c>
      <c r="AN47" s="117">
        <f t="shared" si="11"/>
        <v>0</v>
      </c>
      <c r="AO47" s="39">
        <f t="shared" si="12"/>
        <v>0</v>
      </c>
      <c r="AP47" s="65">
        <f t="shared" si="13"/>
        <v>0</v>
      </c>
      <c r="AQ47" s="65">
        <f t="shared" si="14"/>
        <v>0</v>
      </c>
      <c r="AR47" s="65">
        <f t="shared" si="15"/>
        <v>0</v>
      </c>
      <c r="AS47" s="65">
        <f t="shared" si="16"/>
        <v>0</v>
      </c>
    </row>
    <row r="48" spans="2:49" x14ac:dyDescent="0.25">
      <c r="B48" s="15">
        <v>46</v>
      </c>
      <c r="C48" s="8"/>
      <c r="E48" s="67"/>
      <c r="F48" s="380"/>
      <c r="G48" s="8"/>
      <c r="H48" s="8"/>
      <c r="I48" s="8"/>
      <c r="J48" s="9"/>
      <c r="K48" s="9">
        <f t="shared" si="0"/>
        <v>0</v>
      </c>
      <c r="L48" s="35">
        <f t="shared" si="1"/>
        <v>0</v>
      </c>
      <c r="M48" s="2"/>
      <c r="O48" s="19"/>
      <c r="P48" s="19"/>
      <c r="Q48" s="19"/>
      <c r="R48" s="21"/>
      <c r="S48" s="46"/>
      <c r="T48" s="44"/>
      <c r="U48" s="77"/>
      <c r="V48" s="24"/>
      <c r="W48" s="24"/>
      <c r="X48" s="193"/>
      <c r="Y48" s="15"/>
      <c r="AA48">
        <v>8</v>
      </c>
      <c r="AB48" s="487"/>
      <c r="AC48" s="90">
        <v>4</v>
      </c>
      <c r="AD48" s="97" t="s">
        <v>99</v>
      </c>
      <c r="AE48" s="39">
        <f t="shared" si="2"/>
        <v>0</v>
      </c>
      <c r="AF48" s="65">
        <f t="shared" si="3"/>
        <v>0</v>
      </c>
      <c r="AG48" s="65">
        <f t="shared" si="4"/>
        <v>0</v>
      </c>
      <c r="AH48" s="65">
        <f t="shared" si="5"/>
        <v>0</v>
      </c>
      <c r="AI48" s="104">
        <f t="shared" si="6"/>
        <v>0</v>
      </c>
      <c r="AJ48" s="115">
        <f t="shared" si="7"/>
        <v>0</v>
      </c>
      <c r="AK48" s="116">
        <f t="shared" si="8"/>
        <v>0</v>
      </c>
      <c r="AL48" s="116">
        <f t="shared" si="9"/>
        <v>0</v>
      </c>
      <c r="AM48" s="116">
        <f t="shared" si="10"/>
        <v>0</v>
      </c>
      <c r="AN48" s="117">
        <f t="shared" si="11"/>
        <v>0</v>
      </c>
      <c r="AO48" s="39">
        <f t="shared" si="12"/>
        <v>0</v>
      </c>
      <c r="AP48" s="65">
        <f t="shared" si="13"/>
        <v>0</v>
      </c>
      <c r="AQ48" s="65">
        <f t="shared" si="14"/>
        <v>0</v>
      </c>
      <c r="AR48" s="65">
        <f t="shared" si="15"/>
        <v>0</v>
      </c>
      <c r="AS48" s="65">
        <f t="shared" si="16"/>
        <v>0</v>
      </c>
    </row>
    <row r="49" spans="2:45" x14ac:dyDescent="0.25">
      <c r="B49" s="15">
        <v>47</v>
      </c>
      <c r="C49" s="8"/>
      <c r="E49" s="67"/>
      <c r="F49" s="380"/>
      <c r="G49" s="8"/>
      <c r="H49" s="8"/>
      <c r="I49" s="8"/>
      <c r="K49" s="9">
        <f t="shared" si="0"/>
        <v>0</v>
      </c>
      <c r="L49" s="35">
        <f t="shared" si="1"/>
        <v>0</v>
      </c>
      <c r="M49" s="2"/>
      <c r="O49" s="19"/>
      <c r="P49" s="19"/>
      <c r="Q49" s="19"/>
      <c r="R49" s="21"/>
      <c r="S49" s="46"/>
      <c r="T49" s="44"/>
      <c r="U49" s="77"/>
      <c r="V49" s="30"/>
      <c r="W49" s="24"/>
      <c r="X49" s="193"/>
      <c r="Y49" s="15"/>
      <c r="AA49">
        <v>8</v>
      </c>
      <c r="AB49" s="487"/>
      <c r="AC49" s="91">
        <v>5</v>
      </c>
      <c r="AD49" s="100"/>
      <c r="AE49" s="39">
        <f t="shared" si="2"/>
        <v>0</v>
      </c>
      <c r="AF49" s="65">
        <f t="shared" si="3"/>
        <v>0</v>
      </c>
      <c r="AG49" s="65">
        <f t="shared" si="4"/>
        <v>0</v>
      </c>
      <c r="AH49" s="65">
        <f t="shared" si="5"/>
        <v>0</v>
      </c>
      <c r="AI49" s="104">
        <f t="shared" si="6"/>
        <v>0</v>
      </c>
      <c r="AJ49" s="115">
        <f t="shared" si="7"/>
        <v>0</v>
      </c>
      <c r="AK49" s="116">
        <f t="shared" si="8"/>
        <v>0</v>
      </c>
      <c r="AL49" s="116">
        <f t="shared" si="9"/>
        <v>0</v>
      </c>
      <c r="AM49" s="116">
        <f t="shared" si="10"/>
        <v>0</v>
      </c>
      <c r="AN49" s="117">
        <f t="shared" si="11"/>
        <v>0</v>
      </c>
      <c r="AO49" s="39">
        <f t="shared" si="12"/>
        <v>0</v>
      </c>
      <c r="AP49" s="65">
        <f t="shared" si="13"/>
        <v>0</v>
      </c>
      <c r="AQ49" s="65">
        <f t="shared" si="14"/>
        <v>0</v>
      </c>
      <c r="AR49" s="65">
        <f t="shared" si="15"/>
        <v>0</v>
      </c>
      <c r="AS49" s="65">
        <f t="shared" si="16"/>
        <v>0</v>
      </c>
    </row>
    <row r="50" spans="2:45" ht="14.25" thickBot="1" x14ac:dyDescent="0.3">
      <c r="B50" s="15">
        <v>48</v>
      </c>
      <c r="C50" s="8"/>
      <c r="E50" s="67"/>
      <c r="F50" s="380"/>
      <c r="G50" s="8"/>
      <c r="H50" s="8"/>
      <c r="I50" s="8"/>
      <c r="J50" s="9"/>
      <c r="K50" s="9">
        <f t="shared" si="0"/>
        <v>0</v>
      </c>
      <c r="L50" s="35">
        <f t="shared" si="1"/>
        <v>0</v>
      </c>
      <c r="M50" s="2"/>
      <c r="O50" s="19"/>
      <c r="P50" s="19"/>
      <c r="Q50" s="19"/>
      <c r="R50" s="21"/>
      <c r="S50" s="46"/>
      <c r="T50" s="44"/>
      <c r="U50" s="77"/>
      <c r="V50" s="30"/>
      <c r="W50" s="24"/>
      <c r="X50" s="193"/>
      <c r="Y50" s="15"/>
      <c r="AA50">
        <v>8</v>
      </c>
      <c r="AB50" s="488"/>
      <c r="AC50" s="92" t="s">
        <v>3</v>
      </c>
      <c r="AD50" s="101"/>
      <c r="AE50" s="94">
        <f t="shared" ref="AE50:AS50" si="28">SUM(AE45:AE49)</f>
        <v>0</v>
      </c>
      <c r="AF50" s="94">
        <f t="shared" si="28"/>
        <v>0</v>
      </c>
      <c r="AG50" s="94">
        <f t="shared" si="28"/>
        <v>0</v>
      </c>
      <c r="AH50" s="94">
        <f t="shared" si="28"/>
        <v>0</v>
      </c>
      <c r="AI50" s="105">
        <f t="shared" si="28"/>
        <v>0</v>
      </c>
      <c r="AJ50" s="118">
        <f t="shared" si="28"/>
        <v>0</v>
      </c>
      <c r="AK50" s="119">
        <f t="shared" si="28"/>
        <v>0</v>
      </c>
      <c r="AL50" s="119">
        <f t="shared" si="28"/>
        <v>0</v>
      </c>
      <c r="AM50" s="119">
        <f t="shared" si="28"/>
        <v>0</v>
      </c>
      <c r="AN50" s="120">
        <f t="shared" si="28"/>
        <v>0</v>
      </c>
      <c r="AO50" s="94">
        <f t="shared" si="28"/>
        <v>0</v>
      </c>
      <c r="AP50" s="94">
        <f t="shared" si="28"/>
        <v>0</v>
      </c>
      <c r="AQ50" s="94">
        <f t="shared" si="28"/>
        <v>0</v>
      </c>
      <c r="AR50" s="94">
        <f t="shared" si="28"/>
        <v>0</v>
      </c>
      <c r="AS50" s="94">
        <f t="shared" si="28"/>
        <v>0</v>
      </c>
    </row>
    <row r="51" spans="2:45" x14ac:dyDescent="0.25">
      <c r="B51" s="15">
        <v>49</v>
      </c>
      <c r="C51" s="8"/>
      <c r="E51" s="67"/>
      <c r="F51" s="380"/>
      <c r="G51" s="8"/>
      <c r="H51" s="8"/>
      <c r="I51" s="8"/>
      <c r="J51" s="9"/>
      <c r="K51" s="9">
        <f t="shared" si="0"/>
        <v>0</v>
      </c>
      <c r="L51" s="35">
        <f t="shared" si="1"/>
        <v>0</v>
      </c>
      <c r="M51" s="2"/>
      <c r="O51" s="19"/>
      <c r="P51" s="19"/>
      <c r="Q51" s="19"/>
      <c r="R51" s="21"/>
      <c r="S51" s="46"/>
      <c r="T51" s="44"/>
      <c r="U51" s="77"/>
      <c r="V51" s="30"/>
      <c r="W51" s="24"/>
      <c r="X51" s="193"/>
      <c r="Y51" s="15"/>
      <c r="AA51">
        <v>9</v>
      </c>
      <c r="AB51" s="486">
        <v>9</v>
      </c>
      <c r="AC51" s="89">
        <v>1</v>
      </c>
      <c r="AD51" s="95" t="s">
        <v>100</v>
      </c>
      <c r="AE51" s="39">
        <f t="shared" si="2"/>
        <v>0</v>
      </c>
      <c r="AF51" s="65">
        <f t="shared" si="3"/>
        <v>0</v>
      </c>
      <c r="AG51" s="65">
        <f t="shared" si="4"/>
        <v>0</v>
      </c>
      <c r="AH51" s="65">
        <f t="shared" si="5"/>
        <v>0</v>
      </c>
      <c r="AI51" s="104">
        <f t="shared" si="6"/>
        <v>0</v>
      </c>
      <c r="AJ51" s="115">
        <f t="shared" si="7"/>
        <v>0</v>
      </c>
      <c r="AK51" s="116">
        <f t="shared" si="8"/>
        <v>0</v>
      </c>
      <c r="AL51" s="116">
        <f t="shared" si="9"/>
        <v>0</v>
      </c>
      <c r="AM51" s="116">
        <f t="shared" si="10"/>
        <v>0</v>
      </c>
      <c r="AN51" s="117">
        <f t="shared" si="11"/>
        <v>0</v>
      </c>
      <c r="AO51" s="39">
        <f t="shared" si="12"/>
        <v>0</v>
      </c>
      <c r="AP51" s="65">
        <f t="shared" si="13"/>
        <v>0</v>
      </c>
      <c r="AQ51" s="65">
        <f t="shared" si="14"/>
        <v>0</v>
      </c>
      <c r="AR51" s="65">
        <f t="shared" si="15"/>
        <v>0</v>
      </c>
      <c r="AS51" s="65">
        <f t="shared" si="16"/>
        <v>0</v>
      </c>
    </row>
    <row r="52" spans="2:45" x14ac:dyDescent="0.25">
      <c r="B52" s="15">
        <v>50</v>
      </c>
      <c r="C52" s="8"/>
      <c r="E52" s="67"/>
      <c r="F52" s="380"/>
      <c r="G52" s="8"/>
      <c r="H52" s="8"/>
      <c r="I52" s="8"/>
      <c r="J52" s="9"/>
      <c r="K52" s="9">
        <f t="shared" si="0"/>
        <v>0</v>
      </c>
      <c r="L52" s="35">
        <f t="shared" si="1"/>
        <v>0</v>
      </c>
      <c r="M52" s="2"/>
      <c r="O52" s="19"/>
      <c r="P52" s="19"/>
      <c r="Q52" s="19"/>
      <c r="R52" s="21"/>
      <c r="S52" s="46"/>
      <c r="T52" s="44"/>
      <c r="U52" s="77"/>
      <c r="V52" s="30"/>
      <c r="W52" s="24"/>
      <c r="X52" s="193"/>
      <c r="Y52" s="15"/>
      <c r="AA52">
        <v>9</v>
      </c>
      <c r="AB52" s="487"/>
      <c r="AC52" s="90">
        <v>2</v>
      </c>
      <c r="AD52" s="97" t="s">
        <v>101</v>
      </c>
      <c r="AE52" s="39">
        <f t="shared" si="2"/>
        <v>125.13</v>
      </c>
      <c r="AF52" s="65">
        <f t="shared" si="3"/>
        <v>0</v>
      </c>
      <c r="AG52" s="65">
        <f t="shared" si="4"/>
        <v>125.13</v>
      </c>
      <c r="AH52" s="65">
        <f t="shared" si="5"/>
        <v>0</v>
      </c>
      <c r="AI52" s="104">
        <f t="shared" si="6"/>
        <v>0</v>
      </c>
      <c r="AJ52" s="115">
        <f t="shared" si="7"/>
        <v>1</v>
      </c>
      <c r="AK52" s="116">
        <f t="shared" si="8"/>
        <v>0</v>
      </c>
      <c r="AL52" s="116">
        <f t="shared" si="9"/>
        <v>1</v>
      </c>
      <c r="AM52" s="116">
        <f t="shared" si="10"/>
        <v>0</v>
      </c>
      <c r="AN52" s="117">
        <f t="shared" si="11"/>
        <v>0</v>
      </c>
      <c r="AO52" s="39">
        <f t="shared" si="12"/>
        <v>0</v>
      </c>
      <c r="AP52" s="65">
        <f t="shared" si="13"/>
        <v>0</v>
      </c>
      <c r="AQ52" s="65">
        <f t="shared" si="14"/>
        <v>0</v>
      </c>
      <c r="AR52" s="65">
        <f t="shared" si="15"/>
        <v>0</v>
      </c>
      <c r="AS52" s="65">
        <f t="shared" si="16"/>
        <v>0</v>
      </c>
    </row>
    <row r="53" spans="2:45" x14ac:dyDescent="0.25">
      <c r="B53" s="15">
        <v>51</v>
      </c>
      <c r="C53" s="8"/>
      <c r="E53" s="67"/>
      <c r="F53" s="380"/>
      <c r="G53" s="8"/>
      <c r="H53" s="8"/>
      <c r="I53" s="8"/>
      <c r="J53" s="9"/>
      <c r="K53" s="9">
        <f t="shared" si="0"/>
        <v>0</v>
      </c>
      <c r="L53" s="35">
        <f t="shared" si="1"/>
        <v>0</v>
      </c>
      <c r="M53" s="2"/>
      <c r="O53" s="19"/>
      <c r="P53" s="19"/>
      <c r="Q53" s="19"/>
      <c r="R53" s="21"/>
      <c r="S53" s="46"/>
      <c r="T53" s="44"/>
      <c r="U53" s="77"/>
      <c r="V53" s="30"/>
      <c r="W53" s="24"/>
      <c r="X53" s="193"/>
      <c r="Y53" s="15"/>
      <c r="AA53">
        <v>9</v>
      </c>
      <c r="AB53" s="487"/>
      <c r="AC53" s="90">
        <v>3</v>
      </c>
      <c r="AD53" s="97" t="s">
        <v>102</v>
      </c>
      <c r="AE53" s="39">
        <f t="shared" si="2"/>
        <v>0</v>
      </c>
      <c r="AF53" s="65">
        <f t="shared" si="3"/>
        <v>0</v>
      </c>
      <c r="AG53" s="65">
        <f t="shared" si="4"/>
        <v>0</v>
      </c>
      <c r="AH53" s="65">
        <f t="shared" si="5"/>
        <v>0</v>
      </c>
      <c r="AI53" s="104">
        <f t="shared" si="6"/>
        <v>0</v>
      </c>
      <c r="AJ53" s="115">
        <f t="shared" si="7"/>
        <v>0</v>
      </c>
      <c r="AK53" s="116">
        <f t="shared" si="8"/>
        <v>0</v>
      </c>
      <c r="AL53" s="116">
        <f t="shared" si="9"/>
        <v>0</v>
      </c>
      <c r="AM53" s="116">
        <f t="shared" si="10"/>
        <v>0</v>
      </c>
      <c r="AN53" s="117">
        <f t="shared" si="11"/>
        <v>0</v>
      </c>
      <c r="AO53" s="39">
        <f t="shared" si="12"/>
        <v>0</v>
      </c>
      <c r="AP53" s="65">
        <f t="shared" si="13"/>
        <v>0</v>
      </c>
      <c r="AQ53" s="65">
        <f t="shared" si="14"/>
        <v>0</v>
      </c>
      <c r="AR53" s="65">
        <f t="shared" si="15"/>
        <v>0</v>
      </c>
      <c r="AS53" s="65">
        <f t="shared" si="16"/>
        <v>0</v>
      </c>
    </row>
    <row r="54" spans="2:45" x14ac:dyDescent="0.25">
      <c r="B54" s="15">
        <v>52</v>
      </c>
      <c r="C54" s="8"/>
      <c r="E54" s="67"/>
      <c r="F54" s="380"/>
      <c r="G54" s="8"/>
      <c r="H54" s="8"/>
      <c r="I54" s="8"/>
      <c r="J54" s="9"/>
      <c r="K54" s="9">
        <f t="shared" si="0"/>
        <v>0</v>
      </c>
      <c r="L54" s="35">
        <f t="shared" si="1"/>
        <v>0</v>
      </c>
      <c r="M54" s="2"/>
      <c r="O54" s="19"/>
      <c r="P54" s="19"/>
      <c r="Q54" s="19"/>
      <c r="R54" s="21"/>
      <c r="S54" s="46"/>
      <c r="T54" s="44"/>
      <c r="U54" s="77"/>
      <c r="V54" s="30"/>
      <c r="W54" s="24"/>
      <c r="X54" s="193"/>
      <c r="Y54" s="15"/>
      <c r="AA54">
        <v>9</v>
      </c>
      <c r="AB54" s="487"/>
      <c r="AC54" s="90">
        <v>4</v>
      </c>
      <c r="AD54" s="97" t="s">
        <v>103</v>
      </c>
      <c r="AE54" s="39">
        <f t="shared" si="2"/>
        <v>0</v>
      </c>
      <c r="AF54" s="65">
        <f t="shared" si="3"/>
        <v>0</v>
      </c>
      <c r="AG54" s="65">
        <f t="shared" si="4"/>
        <v>0</v>
      </c>
      <c r="AH54" s="65">
        <f t="shared" si="5"/>
        <v>0</v>
      </c>
      <c r="AI54" s="104">
        <f t="shared" si="6"/>
        <v>0</v>
      </c>
      <c r="AJ54" s="115">
        <f t="shared" si="7"/>
        <v>0</v>
      </c>
      <c r="AK54" s="116">
        <f t="shared" si="8"/>
        <v>0</v>
      </c>
      <c r="AL54" s="116">
        <f t="shared" si="9"/>
        <v>0</v>
      </c>
      <c r="AM54" s="116">
        <f t="shared" si="10"/>
        <v>0</v>
      </c>
      <c r="AN54" s="117">
        <f t="shared" si="11"/>
        <v>0</v>
      </c>
      <c r="AO54" s="39">
        <f t="shared" si="12"/>
        <v>0</v>
      </c>
      <c r="AP54" s="65">
        <f t="shared" si="13"/>
        <v>0</v>
      </c>
      <c r="AQ54" s="65">
        <f t="shared" si="14"/>
        <v>0</v>
      </c>
      <c r="AR54" s="65">
        <f t="shared" si="15"/>
        <v>0</v>
      </c>
      <c r="AS54" s="65">
        <f t="shared" si="16"/>
        <v>0</v>
      </c>
    </row>
    <row r="55" spans="2:45" x14ac:dyDescent="0.25">
      <c r="B55" s="15">
        <v>53</v>
      </c>
      <c r="C55" s="8"/>
      <c r="E55" s="67"/>
      <c r="F55" s="380"/>
      <c r="G55" s="8"/>
      <c r="H55" s="8"/>
      <c r="I55" s="8"/>
      <c r="J55" s="9"/>
      <c r="K55" s="9">
        <f t="shared" si="0"/>
        <v>0</v>
      </c>
      <c r="L55" s="35">
        <f t="shared" si="1"/>
        <v>0</v>
      </c>
      <c r="M55" s="2"/>
      <c r="O55" s="19"/>
      <c r="P55" s="19"/>
      <c r="Q55" s="19"/>
      <c r="R55" s="21"/>
      <c r="S55" s="46"/>
      <c r="T55" s="44"/>
      <c r="U55" s="77"/>
      <c r="V55" s="24"/>
      <c r="W55" s="24"/>
      <c r="X55" s="193"/>
      <c r="Y55" s="15"/>
      <c r="AA55">
        <v>9</v>
      </c>
      <c r="AB55" s="487"/>
      <c r="AC55" s="91">
        <v>5</v>
      </c>
      <c r="AD55" s="100"/>
      <c r="AE55" s="39">
        <f t="shared" si="2"/>
        <v>0</v>
      </c>
      <c r="AF55" s="65">
        <f t="shared" si="3"/>
        <v>0</v>
      </c>
      <c r="AG55" s="65">
        <f t="shared" si="4"/>
        <v>0</v>
      </c>
      <c r="AH55" s="65">
        <f t="shared" si="5"/>
        <v>0</v>
      </c>
      <c r="AI55" s="104">
        <f t="shared" si="6"/>
        <v>0</v>
      </c>
      <c r="AJ55" s="115">
        <f t="shared" si="7"/>
        <v>0</v>
      </c>
      <c r="AK55" s="116">
        <f t="shared" si="8"/>
        <v>0</v>
      </c>
      <c r="AL55" s="116">
        <f t="shared" si="9"/>
        <v>0</v>
      </c>
      <c r="AM55" s="116">
        <f t="shared" si="10"/>
        <v>0</v>
      </c>
      <c r="AN55" s="117">
        <f t="shared" si="11"/>
        <v>0</v>
      </c>
      <c r="AO55" s="39">
        <f t="shared" si="12"/>
        <v>0</v>
      </c>
      <c r="AP55" s="65">
        <f t="shared" si="13"/>
        <v>0</v>
      </c>
      <c r="AQ55" s="65">
        <f t="shared" si="14"/>
        <v>0</v>
      </c>
      <c r="AR55" s="65">
        <f t="shared" si="15"/>
        <v>0</v>
      </c>
      <c r="AS55" s="65">
        <f t="shared" si="16"/>
        <v>0</v>
      </c>
    </row>
    <row r="56" spans="2:45" ht="14.25" thickBot="1" x14ac:dyDescent="0.3">
      <c r="B56" s="15">
        <v>54</v>
      </c>
      <c r="C56" s="8"/>
      <c r="E56" s="67"/>
      <c r="F56" s="380"/>
      <c r="G56" s="8"/>
      <c r="H56" s="8"/>
      <c r="I56" s="8"/>
      <c r="J56" s="9"/>
      <c r="K56" s="9">
        <f t="shared" si="0"/>
        <v>0</v>
      </c>
      <c r="L56" s="35">
        <f t="shared" si="1"/>
        <v>0</v>
      </c>
      <c r="O56" s="19"/>
      <c r="P56" s="19"/>
      <c r="Q56" s="19"/>
      <c r="R56" s="21"/>
      <c r="S56" s="46"/>
      <c r="T56" s="44"/>
      <c r="U56" s="76"/>
      <c r="V56" s="24"/>
      <c r="W56" s="24"/>
      <c r="X56" s="193"/>
      <c r="Y56" s="15"/>
      <c r="AA56">
        <v>9</v>
      </c>
      <c r="AB56" s="488"/>
      <c r="AC56" s="92" t="s">
        <v>3</v>
      </c>
      <c r="AD56" s="101"/>
      <c r="AE56" s="94">
        <f t="shared" ref="AE56:AS56" si="29">SUM(AE51:AE55)</f>
        <v>125.13</v>
      </c>
      <c r="AF56" s="94">
        <f t="shared" si="29"/>
        <v>0</v>
      </c>
      <c r="AG56" s="94">
        <f t="shared" si="29"/>
        <v>125.13</v>
      </c>
      <c r="AH56" s="94">
        <f t="shared" si="29"/>
        <v>0</v>
      </c>
      <c r="AI56" s="105">
        <f t="shared" si="29"/>
        <v>0</v>
      </c>
      <c r="AJ56" s="118">
        <f t="shared" si="29"/>
        <v>1</v>
      </c>
      <c r="AK56" s="119">
        <f t="shared" si="29"/>
        <v>0</v>
      </c>
      <c r="AL56" s="119">
        <f t="shared" si="29"/>
        <v>1</v>
      </c>
      <c r="AM56" s="119">
        <f t="shared" si="29"/>
        <v>0</v>
      </c>
      <c r="AN56" s="120">
        <f t="shared" si="29"/>
        <v>0</v>
      </c>
      <c r="AO56" s="94">
        <f t="shared" si="29"/>
        <v>0</v>
      </c>
      <c r="AP56" s="94">
        <f t="shared" si="29"/>
        <v>0</v>
      </c>
      <c r="AQ56" s="94">
        <f t="shared" si="29"/>
        <v>0</v>
      </c>
      <c r="AR56" s="94">
        <f t="shared" si="29"/>
        <v>0</v>
      </c>
      <c r="AS56" s="94">
        <f t="shared" si="29"/>
        <v>0</v>
      </c>
    </row>
    <row r="57" spans="2:45" x14ac:dyDescent="0.25">
      <c r="B57" s="15">
        <v>55</v>
      </c>
      <c r="C57" s="8"/>
      <c r="E57" s="67"/>
      <c r="F57" s="380"/>
      <c r="G57" s="8"/>
      <c r="H57" s="8"/>
      <c r="I57" s="8"/>
      <c r="J57" s="9"/>
      <c r="K57" s="9">
        <f t="shared" si="0"/>
        <v>0</v>
      </c>
      <c r="L57" s="35">
        <f t="shared" si="1"/>
        <v>0</v>
      </c>
      <c r="M57" s="2"/>
      <c r="O57" s="19"/>
      <c r="P57" s="19"/>
      <c r="Q57" s="19"/>
      <c r="R57" s="21"/>
      <c r="S57" s="46"/>
      <c r="T57" s="44"/>
      <c r="U57" s="77"/>
      <c r="V57" s="30"/>
      <c r="W57" s="24"/>
      <c r="X57" s="193"/>
      <c r="Y57" s="15"/>
      <c r="AA57">
        <v>10</v>
      </c>
      <c r="AB57" s="486">
        <v>10</v>
      </c>
      <c r="AC57" s="89">
        <v>1</v>
      </c>
      <c r="AD57" s="95" t="s">
        <v>104</v>
      </c>
      <c r="AE57" s="39">
        <f t="shared" si="2"/>
        <v>0</v>
      </c>
      <c r="AF57" s="65">
        <f t="shared" si="3"/>
        <v>0</v>
      </c>
      <c r="AG57" s="65">
        <f t="shared" si="4"/>
        <v>0</v>
      </c>
      <c r="AH57" s="65">
        <f t="shared" si="5"/>
        <v>0</v>
      </c>
      <c r="AI57" s="104">
        <f t="shared" si="6"/>
        <v>0</v>
      </c>
      <c r="AJ57" s="115">
        <f t="shared" si="7"/>
        <v>0</v>
      </c>
      <c r="AK57" s="116">
        <f t="shared" si="8"/>
        <v>0</v>
      </c>
      <c r="AL57" s="116">
        <f t="shared" si="9"/>
        <v>0</v>
      </c>
      <c r="AM57" s="116">
        <f t="shared" si="10"/>
        <v>0</v>
      </c>
      <c r="AN57" s="117">
        <f t="shared" si="11"/>
        <v>0</v>
      </c>
      <c r="AO57" s="39">
        <f t="shared" si="12"/>
        <v>0</v>
      </c>
      <c r="AP57" s="65">
        <f t="shared" si="13"/>
        <v>0</v>
      </c>
      <c r="AQ57" s="65">
        <f t="shared" si="14"/>
        <v>0</v>
      </c>
      <c r="AR57" s="65">
        <f t="shared" si="15"/>
        <v>0</v>
      </c>
      <c r="AS57" s="65">
        <f t="shared" si="16"/>
        <v>0</v>
      </c>
    </row>
    <row r="58" spans="2:45" x14ac:dyDescent="0.25">
      <c r="B58" s="15">
        <v>56</v>
      </c>
      <c r="C58" s="8"/>
      <c r="E58" s="67"/>
      <c r="F58" s="380"/>
      <c r="G58" s="8"/>
      <c r="H58" s="8"/>
      <c r="I58" s="8"/>
      <c r="J58" s="9"/>
      <c r="K58" s="9">
        <f t="shared" si="0"/>
        <v>0</v>
      </c>
      <c r="L58" s="35">
        <f t="shared" si="1"/>
        <v>0</v>
      </c>
      <c r="M58" s="2"/>
      <c r="O58" s="19"/>
      <c r="P58" s="19"/>
      <c r="Q58" s="19"/>
      <c r="R58" s="21"/>
      <c r="S58" s="46"/>
      <c r="T58" s="44"/>
      <c r="U58" s="77"/>
      <c r="V58" s="30"/>
      <c r="W58" s="24"/>
      <c r="X58" s="193"/>
      <c r="Y58" s="15"/>
      <c r="AA58">
        <v>10</v>
      </c>
      <c r="AB58" s="487"/>
      <c r="AC58" s="90">
        <v>2</v>
      </c>
      <c r="AD58" s="96" t="s">
        <v>54</v>
      </c>
      <c r="AE58" s="39">
        <f t="shared" si="2"/>
        <v>0</v>
      </c>
      <c r="AF58" s="65">
        <f t="shared" si="3"/>
        <v>0</v>
      </c>
      <c r="AG58" s="65">
        <f t="shared" si="4"/>
        <v>0</v>
      </c>
      <c r="AH58" s="65">
        <f t="shared" si="5"/>
        <v>0</v>
      </c>
      <c r="AI58" s="104">
        <f t="shared" si="6"/>
        <v>0</v>
      </c>
      <c r="AJ58" s="115">
        <f t="shared" si="7"/>
        <v>0</v>
      </c>
      <c r="AK58" s="116">
        <f t="shared" si="8"/>
        <v>0</v>
      </c>
      <c r="AL58" s="116">
        <f t="shared" si="9"/>
        <v>0</v>
      </c>
      <c r="AM58" s="116">
        <f t="shared" si="10"/>
        <v>0</v>
      </c>
      <c r="AN58" s="117">
        <f t="shared" si="11"/>
        <v>0</v>
      </c>
      <c r="AO58" s="39">
        <f t="shared" si="12"/>
        <v>0</v>
      </c>
      <c r="AP58" s="65">
        <f t="shared" si="13"/>
        <v>0</v>
      </c>
      <c r="AQ58" s="65">
        <f t="shared" si="14"/>
        <v>0</v>
      </c>
      <c r="AR58" s="65">
        <f t="shared" si="15"/>
        <v>0</v>
      </c>
      <c r="AS58" s="65">
        <f t="shared" si="16"/>
        <v>0</v>
      </c>
    </row>
    <row r="59" spans="2:45" x14ac:dyDescent="0.25">
      <c r="B59" s="15">
        <v>57</v>
      </c>
      <c r="C59" s="8"/>
      <c r="E59" s="67"/>
      <c r="F59" s="380"/>
      <c r="G59" s="8"/>
      <c r="H59" s="8"/>
      <c r="I59" s="8"/>
      <c r="J59" s="9"/>
      <c r="K59" s="9">
        <f t="shared" si="0"/>
        <v>0</v>
      </c>
      <c r="L59" s="35">
        <f t="shared" si="1"/>
        <v>0</v>
      </c>
      <c r="M59" s="2"/>
      <c r="O59" s="19"/>
      <c r="P59" s="19"/>
      <c r="Q59" s="19"/>
      <c r="R59" s="21"/>
      <c r="S59" s="46"/>
      <c r="T59" s="44"/>
      <c r="U59" s="77"/>
      <c r="V59" s="30"/>
      <c r="W59" s="24"/>
      <c r="X59" s="193"/>
      <c r="Y59" s="15"/>
      <c r="AA59">
        <v>10</v>
      </c>
      <c r="AB59" s="487"/>
      <c r="AC59" s="90">
        <v>3</v>
      </c>
      <c r="AD59" s="97" t="s">
        <v>55</v>
      </c>
      <c r="AE59" s="39">
        <f t="shared" si="2"/>
        <v>0</v>
      </c>
      <c r="AF59" s="65">
        <f t="shared" si="3"/>
        <v>0</v>
      </c>
      <c r="AG59" s="65">
        <f t="shared" si="4"/>
        <v>0</v>
      </c>
      <c r="AH59" s="65">
        <f t="shared" si="5"/>
        <v>0</v>
      </c>
      <c r="AI59" s="104">
        <f t="shared" si="6"/>
        <v>0</v>
      </c>
      <c r="AJ59" s="115">
        <f t="shared" si="7"/>
        <v>0</v>
      </c>
      <c r="AK59" s="116">
        <f t="shared" si="8"/>
        <v>0</v>
      </c>
      <c r="AL59" s="116">
        <f t="shared" si="9"/>
        <v>0</v>
      </c>
      <c r="AM59" s="116">
        <f t="shared" si="10"/>
        <v>0</v>
      </c>
      <c r="AN59" s="117">
        <f t="shared" si="11"/>
        <v>0</v>
      </c>
      <c r="AO59" s="39">
        <f t="shared" si="12"/>
        <v>0</v>
      </c>
      <c r="AP59" s="65">
        <f t="shared" si="13"/>
        <v>0</v>
      </c>
      <c r="AQ59" s="65">
        <f t="shared" si="14"/>
        <v>0</v>
      </c>
      <c r="AR59" s="65">
        <f t="shared" si="15"/>
        <v>0</v>
      </c>
      <c r="AS59" s="65">
        <f t="shared" si="16"/>
        <v>0</v>
      </c>
    </row>
    <row r="60" spans="2:45" x14ac:dyDescent="0.25">
      <c r="B60" s="15">
        <v>58</v>
      </c>
      <c r="C60" s="8"/>
      <c r="E60" s="67"/>
      <c r="F60" s="380"/>
      <c r="G60" s="8"/>
      <c r="H60" s="8"/>
      <c r="I60" s="8"/>
      <c r="J60" s="9"/>
      <c r="K60" s="9">
        <f t="shared" si="0"/>
        <v>0</v>
      </c>
      <c r="L60" s="35">
        <f t="shared" si="1"/>
        <v>0</v>
      </c>
      <c r="M60" s="2"/>
      <c r="O60" s="19"/>
      <c r="P60" s="19"/>
      <c r="Q60" s="19"/>
      <c r="R60" s="21"/>
      <c r="S60" s="46"/>
      <c r="T60" s="44"/>
      <c r="U60" s="77"/>
      <c r="V60" s="30"/>
      <c r="W60" s="24"/>
      <c r="X60" s="193"/>
      <c r="Y60" s="15"/>
      <c r="AA60">
        <v>10</v>
      </c>
      <c r="AB60" s="487"/>
      <c r="AC60" s="90">
        <v>4</v>
      </c>
      <c r="AD60" s="97" t="s">
        <v>56</v>
      </c>
      <c r="AE60" s="39">
        <f t="shared" si="2"/>
        <v>0</v>
      </c>
      <c r="AF60" s="65">
        <f t="shared" si="3"/>
        <v>0</v>
      </c>
      <c r="AG60" s="65">
        <f t="shared" si="4"/>
        <v>0</v>
      </c>
      <c r="AH60" s="65">
        <f t="shared" si="5"/>
        <v>0</v>
      </c>
      <c r="AI60" s="104">
        <f t="shared" si="6"/>
        <v>0</v>
      </c>
      <c r="AJ60" s="115">
        <f t="shared" si="7"/>
        <v>0</v>
      </c>
      <c r="AK60" s="116">
        <f t="shared" si="8"/>
        <v>0</v>
      </c>
      <c r="AL60" s="116">
        <f t="shared" si="9"/>
        <v>0</v>
      </c>
      <c r="AM60" s="116">
        <f t="shared" si="10"/>
        <v>0</v>
      </c>
      <c r="AN60" s="117">
        <f t="shared" si="11"/>
        <v>0</v>
      </c>
      <c r="AO60" s="39">
        <f t="shared" si="12"/>
        <v>0</v>
      </c>
      <c r="AP60" s="65">
        <f t="shared" si="13"/>
        <v>0</v>
      </c>
      <c r="AQ60" s="65">
        <f t="shared" si="14"/>
        <v>0</v>
      </c>
      <c r="AR60" s="65">
        <f t="shared" si="15"/>
        <v>0</v>
      </c>
      <c r="AS60" s="65">
        <f t="shared" si="16"/>
        <v>0</v>
      </c>
    </row>
    <row r="61" spans="2:45" x14ac:dyDescent="0.25">
      <c r="B61" s="15">
        <v>59</v>
      </c>
      <c r="C61" s="8"/>
      <c r="E61" s="67"/>
      <c r="F61" s="380"/>
      <c r="G61" s="8"/>
      <c r="H61" s="8"/>
      <c r="I61" s="8"/>
      <c r="J61" s="9"/>
      <c r="K61" s="9">
        <f t="shared" si="0"/>
        <v>0</v>
      </c>
      <c r="L61" s="35">
        <f t="shared" si="1"/>
        <v>0</v>
      </c>
      <c r="M61" s="2"/>
      <c r="O61" s="19"/>
      <c r="P61" s="19"/>
      <c r="Q61" s="19"/>
      <c r="R61" s="21"/>
      <c r="S61" s="46"/>
      <c r="T61" s="44"/>
      <c r="U61" s="77"/>
      <c r="V61" s="30"/>
      <c r="W61" s="24"/>
      <c r="X61" s="193"/>
      <c r="Y61" s="15"/>
      <c r="AA61">
        <v>10</v>
      </c>
      <c r="AB61" s="487"/>
      <c r="AC61" s="91">
        <v>5</v>
      </c>
      <c r="AD61" s="51" t="s">
        <v>57</v>
      </c>
      <c r="AE61" s="39">
        <f t="shared" si="2"/>
        <v>0</v>
      </c>
      <c r="AF61" s="65">
        <f t="shared" si="3"/>
        <v>0</v>
      </c>
      <c r="AG61" s="65">
        <f t="shared" si="4"/>
        <v>0</v>
      </c>
      <c r="AH61" s="65">
        <f t="shared" si="5"/>
        <v>0</v>
      </c>
      <c r="AI61" s="104">
        <f t="shared" si="6"/>
        <v>0</v>
      </c>
      <c r="AJ61" s="115">
        <f t="shared" si="7"/>
        <v>0</v>
      </c>
      <c r="AK61" s="116">
        <f t="shared" si="8"/>
        <v>0</v>
      </c>
      <c r="AL61" s="116">
        <f t="shared" si="9"/>
        <v>0</v>
      </c>
      <c r="AM61" s="116">
        <f t="shared" si="10"/>
        <v>0</v>
      </c>
      <c r="AN61" s="117">
        <f t="shared" si="11"/>
        <v>0</v>
      </c>
      <c r="AO61" s="39">
        <f t="shared" si="12"/>
        <v>0</v>
      </c>
      <c r="AP61" s="65">
        <f t="shared" si="13"/>
        <v>0</v>
      </c>
      <c r="AQ61" s="65">
        <f t="shared" si="14"/>
        <v>0</v>
      </c>
      <c r="AR61" s="65">
        <f t="shared" si="15"/>
        <v>0</v>
      </c>
      <c r="AS61" s="65">
        <f t="shared" si="16"/>
        <v>0</v>
      </c>
    </row>
    <row r="62" spans="2:45" ht="14.25" thickBot="1" x14ac:dyDescent="0.3">
      <c r="B62" s="15">
        <v>60</v>
      </c>
      <c r="C62" s="8"/>
      <c r="E62" s="67"/>
      <c r="F62" s="380"/>
      <c r="G62" s="8"/>
      <c r="H62" s="8"/>
      <c r="I62" s="8"/>
      <c r="J62" s="9"/>
      <c r="K62" s="9">
        <f t="shared" si="0"/>
        <v>0</v>
      </c>
      <c r="L62" s="35">
        <f t="shared" si="1"/>
        <v>0</v>
      </c>
      <c r="M62" s="2"/>
      <c r="O62" s="19"/>
      <c r="P62" s="19"/>
      <c r="Q62" s="19"/>
      <c r="R62" s="21"/>
      <c r="S62" s="46"/>
      <c r="T62" s="44"/>
      <c r="U62" s="77"/>
      <c r="V62" s="30"/>
      <c r="W62" s="24"/>
      <c r="X62" s="193"/>
      <c r="Y62" s="15"/>
      <c r="AA62">
        <v>10</v>
      </c>
      <c r="AB62" s="488"/>
      <c r="AC62" s="92" t="s">
        <v>3</v>
      </c>
      <c r="AD62" s="101"/>
      <c r="AE62" s="94">
        <f t="shared" ref="AE62:AS62" si="30">SUM(AE57:AE61)</f>
        <v>0</v>
      </c>
      <c r="AF62" s="94">
        <f t="shared" si="30"/>
        <v>0</v>
      </c>
      <c r="AG62" s="94">
        <f t="shared" si="30"/>
        <v>0</v>
      </c>
      <c r="AH62" s="94">
        <f t="shared" si="30"/>
        <v>0</v>
      </c>
      <c r="AI62" s="105">
        <f t="shared" si="30"/>
        <v>0</v>
      </c>
      <c r="AJ62" s="118">
        <f t="shared" si="30"/>
        <v>0</v>
      </c>
      <c r="AK62" s="119">
        <f t="shared" si="30"/>
        <v>0</v>
      </c>
      <c r="AL62" s="119">
        <f t="shared" si="30"/>
        <v>0</v>
      </c>
      <c r="AM62" s="119">
        <f t="shared" si="30"/>
        <v>0</v>
      </c>
      <c r="AN62" s="120">
        <f t="shared" si="30"/>
        <v>0</v>
      </c>
      <c r="AO62" s="94">
        <f t="shared" si="30"/>
        <v>0</v>
      </c>
      <c r="AP62" s="94">
        <f t="shared" si="30"/>
        <v>0</v>
      </c>
      <c r="AQ62" s="94">
        <f t="shared" si="30"/>
        <v>0</v>
      </c>
      <c r="AR62" s="94">
        <f t="shared" si="30"/>
        <v>0</v>
      </c>
      <c r="AS62" s="94">
        <f t="shared" si="30"/>
        <v>0</v>
      </c>
    </row>
    <row r="63" spans="2:45" x14ac:dyDescent="0.25">
      <c r="B63" s="15">
        <v>61</v>
      </c>
      <c r="C63" s="8"/>
      <c r="E63" s="67"/>
      <c r="F63" s="380"/>
      <c r="G63" s="8"/>
      <c r="H63" s="8"/>
      <c r="I63" s="8"/>
      <c r="J63" s="9"/>
      <c r="K63" s="9">
        <f t="shared" si="0"/>
        <v>0</v>
      </c>
      <c r="L63" s="35">
        <f t="shared" si="1"/>
        <v>0</v>
      </c>
      <c r="M63" s="2"/>
      <c r="O63" s="19"/>
      <c r="P63" s="19"/>
      <c r="Q63" s="19"/>
      <c r="R63" s="21"/>
      <c r="S63" s="46"/>
      <c r="T63" s="44"/>
      <c r="U63" s="77"/>
      <c r="V63" s="30"/>
      <c r="W63" s="24"/>
      <c r="X63" s="193"/>
      <c r="Y63" s="15"/>
      <c r="AA63">
        <v>11</v>
      </c>
      <c r="AB63" s="486">
        <v>11</v>
      </c>
      <c r="AC63" s="89">
        <v>1</v>
      </c>
      <c r="AD63" s="95" t="s">
        <v>105</v>
      </c>
      <c r="AE63" s="39">
        <f t="shared" si="2"/>
        <v>0</v>
      </c>
      <c r="AF63" s="65">
        <f t="shared" si="3"/>
        <v>0</v>
      </c>
      <c r="AG63" s="65">
        <f t="shared" si="4"/>
        <v>0</v>
      </c>
      <c r="AH63" s="65">
        <f t="shared" si="5"/>
        <v>0</v>
      </c>
      <c r="AI63" s="104">
        <f t="shared" si="6"/>
        <v>0</v>
      </c>
      <c r="AJ63" s="115">
        <f t="shared" si="7"/>
        <v>0</v>
      </c>
      <c r="AK63" s="116">
        <f t="shared" si="8"/>
        <v>0</v>
      </c>
      <c r="AL63" s="116">
        <f t="shared" si="9"/>
        <v>0</v>
      </c>
      <c r="AM63" s="116">
        <f t="shared" si="10"/>
        <v>0</v>
      </c>
      <c r="AN63" s="117">
        <f t="shared" si="11"/>
        <v>0</v>
      </c>
      <c r="AO63" s="39">
        <f t="shared" si="12"/>
        <v>0</v>
      </c>
      <c r="AP63" s="65">
        <f t="shared" si="13"/>
        <v>0</v>
      </c>
      <c r="AQ63" s="65">
        <f t="shared" si="14"/>
        <v>0</v>
      </c>
      <c r="AR63" s="65">
        <f t="shared" si="15"/>
        <v>0</v>
      </c>
      <c r="AS63" s="65">
        <f t="shared" si="16"/>
        <v>0</v>
      </c>
    </row>
    <row r="64" spans="2:45" x14ac:dyDescent="0.25">
      <c r="B64" s="15">
        <v>62</v>
      </c>
      <c r="C64" s="8"/>
      <c r="E64" s="67"/>
      <c r="F64" s="380"/>
      <c r="G64" s="8"/>
      <c r="H64" s="8"/>
      <c r="I64" s="8"/>
      <c r="J64" s="9"/>
      <c r="K64" s="9">
        <f t="shared" si="0"/>
        <v>0</v>
      </c>
      <c r="L64" s="35">
        <f t="shared" si="1"/>
        <v>0</v>
      </c>
      <c r="M64" s="2"/>
      <c r="O64" s="19"/>
      <c r="P64" s="19"/>
      <c r="Q64" s="19"/>
      <c r="R64" s="21"/>
      <c r="S64" s="46"/>
      <c r="T64" s="44"/>
      <c r="U64" s="77"/>
      <c r="V64" s="30"/>
      <c r="W64" s="24"/>
      <c r="X64" s="193"/>
      <c r="Y64" s="15"/>
      <c r="AA64">
        <v>11</v>
      </c>
      <c r="AB64" s="487"/>
      <c r="AC64" s="90">
        <v>2</v>
      </c>
      <c r="AD64" s="97" t="s">
        <v>58</v>
      </c>
      <c r="AE64" s="39">
        <f t="shared" si="2"/>
        <v>0</v>
      </c>
      <c r="AF64" s="65">
        <f t="shared" si="3"/>
        <v>0</v>
      </c>
      <c r="AG64" s="65">
        <f t="shared" si="4"/>
        <v>0</v>
      </c>
      <c r="AH64" s="65">
        <f t="shared" si="5"/>
        <v>0</v>
      </c>
      <c r="AI64" s="104">
        <f t="shared" si="6"/>
        <v>0</v>
      </c>
      <c r="AJ64" s="115">
        <f t="shared" si="7"/>
        <v>0</v>
      </c>
      <c r="AK64" s="116">
        <f t="shared" si="8"/>
        <v>0</v>
      </c>
      <c r="AL64" s="116">
        <f t="shared" si="9"/>
        <v>0</v>
      </c>
      <c r="AM64" s="116">
        <f t="shared" si="10"/>
        <v>0</v>
      </c>
      <c r="AN64" s="117">
        <f t="shared" si="11"/>
        <v>0</v>
      </c>
      <c r="AO64" s="39">
        <f t="shared" si="12"/>
        <v>0</v>
      </c>
      <c r="AP64" s="65">
        <f t="shared" si="13"/>
        <v>0</v>
      </c>
      <c r="AQ64" s="65">
        <f t="shared" si="14"/>
        <v>0</v>
      </c>
      <c r="AR64" s="65">
        <f t="shared" si="15"/>
        <v>0</v>
      </c>
      <c r="AS64" s="65">
        <f t="shared" si="16"/>
        <v>0</v>
      </c>
    </row>
    <row r="65" spans="2:45" x14ac:dyDescent="0.25">
      <c r="B65" s="15">
        <v>63</v>
      </c>
      <c r="C65" s="8"/>
      <c r="E65" s="67"/>
      <c r="F65" s="380"/>
      <c r="G65" s="8"/>
      <c r="H65" s="8"/>
      <c r="I65" s="8"/>
      <c r="J65" s="9"/>
      <c r="K65" s="9">
        <f t="shared" si="0"/>
        <v>0</v>
      </c>
      <c r="L65" s="35">
        <f t="shared" si="1"/>
        <v>0</v>
      </c>
      <c r="M65" s="2"/>
      <c r="O65" s="19"/>
      <c r="P65" s="19"/>
      <c r="Q65" s="19"/>
      <c r="R65" s="21"/>
      <c r="S65" s="46"/>
      <c r="T65" s="44"/>
      <c r="U65" s="77"/>
      <c r="V65" s="30"/>
      <c r="W65" s="24"/>
      <c r="X65" s="193"/>
      <c r="Y65" s="15"/>
      <c r="AA65">
        <v>11</v>
      </c>
      <c r="AB65" s="487"/>
      <c r="AC65" s="90">
        <v>3</v>
      </c>
      <c r="AD65" s="97" t="s">
        <v>59</v>
      </c>
      <c r="AE65" s="39">
        <f t="shared" si="2"/>
        <v>0</v>
      </c>
      <c r="AF65" s="65">
        <f t="shared" si="3"/>
        <v>0</v>
      </c>
      <c r="AG65" s="65">
        <f t="shared" si="4"/>
        <v>0</v>
      </c>
      <c r="AH65" s="65">
        <f t="shared" si="5"/>
        <v>0</v>
      </c>
      <c r="AI65" s="104">
        <f t="shared" si="6"/>
        <v>0</v>
      </c>
      <c r="AJ65" s="115">
        <f t="shared" si="7"/>
        <v>0</v>
      </c>
      <c r="AK65" s="116">
        <f t="shared" si="8"/>
        <v>0</v>
      </c>
      <c r="AL65" s="116">
        <f t="shared" si="9"/>
        <v>0</v>
      </c>
      <c r="AM65" s="116">
        <f t="shared" si="10"/>
        <v>0</v>
      </c>
      <c r="AN65" s="117">
        <f t="shared" si="11"/>
        <v>0</v>
      </c>
      <c r="AO65" s="39">
        <f t="shared" si="12"/>
        <v>0</v>
      </c>
      <c r="AP65" s="65">
        <f t="shared" si="13"/>
        <v>0</v>
      </c>
      <c r="AQ65" s="65">
        <f t="shared" si="14"/>
        <v>0</v>
      </c>
      <c r="AR65" s="65">
        <f t="shared" si="15"/>
        <v>0</v>
      </c>
      <c r="AS65" s="65">
        <f t="shared" si="16"/>
        <v>0</v>
      </c>
    </row>
    <row r="66" spans="2:45" x14ac:dyDescent="0.25">
      <c r="B66" s="15">
        <v>64</v>
      </c>
      <c r="C66" s="8"/>
      <c r="E66" s="67"/>
      <c r="F66" s="380"/>
      <c r="G66" s="8"/>
      <c r="H66" s="8"/>
      <c r="I66" s="8"/>
      <c r="J66" s="9"/>
      <c r="K66" s="9">
        <f t="shared" si="0"/>
        <v>0</v>
      </c>
      <c r="L66" s="35">
        <f t="shared" si="1"/>
        <v>0</v>
      </c>
      <c r="M66" s="2"/>
      <c r="O66" s="19"/>
      <c r="P66" s="19"/>
      <c r="Q66" s="19"/>
      <c r="R66" s="21"/>
      <c r="S66" s="46"/>
      <c r="T66" s="44"/>
      <c r="U66" s="77"/>
      <c r="V66" s="30"/>
      <c r="W66" s="24"/>
      <c r="X66" s="193"/>
      <c r="Y66" s="15"/>
      <c r="AA66">
        <v>11</v>
      </c>
      <c r="AB66" s="487"/>
      <c r="AC66" s="90">
        <v>4</v>
      </c>
      <c r="AD66" s="97" t="s">
        <v>60</v>
      </c>
      <c r="AE66" s="39">
        <f t="shared" si="2"/>
        <v>0</v>
      </c>
      <c r="AF66" s="65">
        <f t="shared" si="3"/>
        <v>0</v>
      </c>
      <c r="AG66" s="65">
        <f t="shared" si="4"/>
        <v>0</v>
      </c>
      <c r="AH66" s="65">
        <f t="shared" si="5"/>
        <v>0</v>
      </c>
      <c r="AI66" s="104">
        <f t="shared" si="6"/>
        <v>0</v>
      </c>
      <c r="AJ66" s="115">
        <f t="shared" si="7"/>
        <v>0</v>
      </c>
      <c r="AK66" s="116">
        <f t="shared" si="8"/>
        <v>0</v>
      </c>
      <c r="AL66" s="116">
        <f t="shared" si="9"/>
        <v>0</v>
      </c>
      <c r="AM66" s="116">
        <f t="shared" si="10"/>
        <v>0</v>
      </c>
      <c r="AN66" s="117">
        <f t="shared" si="11"/>
        <v>0</v>
      </c>
      <c r="AO66" s="39">
        <f t="shared" si="12"/>
        <v>0</v>
      </c>
      <c r="AP66" s="65">
        <f t="shared" si="13"/>
        <v>0</v>
      </c>
      <c r="AQ66" s="65">
        <f t="shared" si="14"/>
        <v>0</v>
      </c>
      <c r="AR66" s="65">
        <f t="shared" si="15"/>
        <v>0</v>
      </c>
      <c r="AS66" s="65">
        <f t="shared" si="16"/>
        <v>0</v>
      </c>
    </row>
    <row r="67" spans="2:45" x14ac:dyDescent="0.25">
      <c r="B67" s="15">
        <v>65</v>
      </c>
      <c r="C67" s="8"/>
      <c r="E67" s="67"/>
      <c r="F67" s="380"/>
      <c r="G67" s="8"/>
      <c r="H67" s="8"/>
      <c r="I67" s="8"/>
      <c r="J67" s="9"/>
      <c r="K67" s="9">
        <f t="shared" ref="K67:K130" si="31">J67*1.1</f>
        <v>0</v>
      </c>
      <c r="L67" s="35">
        <f t="shared" ref="L67:L130" si="32">J67*0.00000001</f>
        <v>0</v>
      </c>
      <c r="M67" s="2"/>
      <c r="O67" s="19"/>
      <c r="P67" s="19"/>
      <c r="Q67" s="19"/>
      <c r="R67" s="21"/>
      <c r="S67" s="46"/>
      <c r="T67" s="44"/>
      <c r="U67" s="77"/>
      <c r="V67" s="30"/>
      <c r="W67" s="24"/>
      <c r="X67" s="193"/>
      <c r="Y67" s="15"/>
      <c r="AA67">
        <v>11</v>
      </c>
      <c r="AB67" s="487"/>
      <c r="AC67" s="91">
        <v>5</v>
      </c>
      <c r="AD67" s="100"/>
      <c r="AE67" s="39">
        <f t="shared" si="2"/>
        <v>0</v>
      </c>
      <c r="AF67" s="65">
        <f t="shared" si="3"/>
        <v>0</v>
      </c>
      <c r="AG67" s="65">
        <f t="shared" si="4"/>
        <v>0</v>
      </c>
      <c r="AH67" s="65">
        <f t="shared" si="5"/>
        <v>0</v>
      </c>
      <c r="AI67" s="104">
        <f t="shared" si="6"/>
        <v>0</v>
      </c>
      <c r="AJ67" s="115">
        <f t="shared" si="7"/>
        <v>0</v>
      </c>
      <c r="AK67" s="116">
        <f t="shared" si="8"/>
        <v>0</v>
      </c>
      <c r="AL67" s="116">
        <f t="shared" si="9"/>
        <v>0</v>
      </c>
      <c r="AM67" s="116">
        <f t="shared" si="10"/>
        <v>0</v>
      </c>
      <c r="AN67" s="117">
        <f t="shared" si="11"/>
        <v>0</v>
      </c>
      <c r="AO67" s="39">
        <f t="shared" si="12"/>
        <v>0</v>
      </c>
      <c r="AP67" s="65">
        <f t="shared" si="13"/>
        <v>0</v>
      </c>
      <c r="AQ67" s="65">
        <f t="shared" si="14"/>
        <v>0</v>
      </c>
      <c r="AR67" s="65">
        <f t="shared" si="15"/>
        <v>0</v>
      </c>
      <c r="AS67" s="65">
        <f t="shared" si="16"/>
        <v>0</v>
      </c>
    </row>
    <row r="68" spans="2:45" ht="14.25" thickBot="1" x14ac:dyDescent="0.3">
      <c r="B68" s="15">
        <v>66</v>
      </c>
      <c r="C68" s="8"/>
      <c r="E68" s="67"/>
      <c r="F68" s="380"/>
      <c r="G68" s="8"/>
      <c r="H68" s="8"/>
      <c r="I68" s="8"/>
      <c r="J68" s="9"/>
      <c r="K68" s="9">
        <f t="shared" si="31"/>
        <v>0</v>
      </c>
      <c r="L68" s="35">
        <f t="shared" si="32"/>
        <v>0</v>
      </c>
      <c r="M68" s="2"/>
      <c r="O68" s="19"/>
      <c r="P68" s="19"/>
      <c r="Q68" s="19"/>
      <c r="R68" s="21"/>
      <c r="S68" s="46"/>
      <c r="T68" s="44"/>
      <c r="U68" s="77"/>
      <c r="V68" s="30"/>
      <c r="W68" s="24"/>
      <c r="X68" s="193"/>
      <c r="Y68" s="15"/>
      <c r="AA68">
        <v>11</v>
      </c>
      <c r="AB68" s="488"/>
      <c r="AC68" s="92" t="s">
        <v>3</v>
      </c>
      <c r="AD68" s="101"/>
      <c r="AE68" s="94">
        <f t="shared" ref="AE68:AS68" si="33">SUM(AE63:AE67)</f>
        <v>0</v>
      </c>
      <c r="AF68" s="94">
        <f t="shared" si="33"/>
        <v>0</v>
      </c>
      <c r="AG68" s="94">
        <f t="shared" si="33"/>
        <v>0</v>
      </c>
      <c r="AH68" s="94">
        <f t="shared" si="33"/>
        <v>0</v>
      </c>
      <c r="AI68" s="105">
        <f t="shared" si="33"/>
        <v>0</v>
      </c>
      <c r="AJ68" s="118">
        <f t="shared" si="33"/>
        <v>0</v>
      </c>
      <c r="AK68" s="119">
        <f t="shared" si="33"/>
        <v>0</v>
      </c>
      <c r="AL68" s="119">
        <f t="shared" si="33"/>
        <v>0</v>
      </c>
      <c r="AM68" s="119">
        <f t="shared" si="33"/>
        <v>0</v>
      </c>
      <c r="AN68" s="120">
        <f t="shared" si="33"/>
        <v>0</v>
      </c>
      <c r="AO68" s="94">
        <f t="shared" si="33"/>
        <v>0</v>
      </c>
      <c r="AP68" s="94">
        <f t="shared" si="33"/>
        <v>0</v>
      </c>
      <c r="AQ68" s="94">
        <f t="shared" si="33"/>
        <v>0</v>
      </c>
      <c r="AR68" s="94">
        <f t="shared" si="33"/>
        <v>0</v>
      </c>
      <c r="AS68" s="94">
        <f t="shared" si="33"/>
        <v>0</v>
      </c>
    </row>
    <row r="69" spans="2:45" x14ac:dyDescent="0.25">
      <c r="B69" s="15">
        <v>67</v>
      </c>
      <c r="C69" s="8"/>
      <c r="E69" s="67"/>
      <c r="F69" s="380"/>
      <c r="G69" s="8"/>
      <c r="H69" s="8"/>
      <c r="I69" s="8"/>
      <c r="J69" s="9"/>
      <c r="K69" s="9">
        <f t="shared" si="31"/>
        <v>0</v>
      </c>
      <c r="L69" s="35">
        <f t="shared" si="32"/>
        <v>0</v>
      </c>
      <c r="M69" s="2"/>
      <c r="O69" s="19"/>
      <c r="P69" s="19"/>
      <c r="Q69" s="19"/>
      <c r="R69" s="21"/>
      <c r="S69" s="46"/>
      <c r="T69" s="44"/>
      <c r="U69" s="77"/>
      <c r="V69" s="30"/>
      <c r="W69" s="24"/>
      <c r="X69" s="193"/>
      <c r="Y69" s="15"/>
      <c r="AA69">
        <v>12</v>
      </c>
      <c r="AB69" s="493">
        <v>12</v>
      </c>
      <c r="AC69" s="93">
        <v>1</v>
      </c>
      <c r="AD69" s="102" t="s">
        <v>106</v>
      </c>
      <c r="AE69" s="39">
        <f>SUM(AF69:AI69)</f>
        <v>0</v>
      </c>
      <c r="AF69" s="65">
        <f>SUMIFS($I:$I,$C:$C, $AF$2,$G:$G,$AA69,$H:$H,$AC69)</f>
        <v>0</v>
      </c>
      <c r="AG69" s="65">
        <f>SUMIFS($I:$I,$C:$C, $AG$2,$G:$G,$AA69,$H:$H,$AC69)</f>
        <v>0</v>
      </c>
      <c r="AH69" s="65">
        <f>SUMIFS($I:$I,$C:$C, $AH$2,$G:$G,$AA69,$H:$H,$AC69)</f>
        <v>0</v>
      </c>
      <c r="AI69" s="104">
        <f>SUMIFS($I:$I,$C:$C, $AI$2,$G:$G,$AA69,$H:$H,$AC69)</f>
        <v>0</v>
      </c>
      <c r="AJ69" s="115">
        <f>SUM(AK69:AN69)</f>
        <v>0</v>
      </c>
      <c r="AK69" s="116">
        <f>COUNTIFS($C:$C, $AK$2,$G:$G,$AA69,$H:$H,$AC69)</f>
        <v>0</v>
      </c>
      <c r="AL69" s="116">
        <f>COUNTIFS($C:$C, $AL$2,$G:$G,$AA69,$H:$H,$AC69)</f>
        <v>0</v>
      </c>
      <c r="AM69" s="116">
        <f>COUNTIFS($C:$C, $AM$2,$G:$G,$AA69,$H:$H,$AC69)</f>
        <v>0</v>
      </c>
      <c r="AN69" s="117">
        <f>COUNTIFS($C:$C, $AN$2,$G:$G,$AA69,$H:$H,$AC69)</f>
        <v>0</v>
      </c>
      <c r="AO69" s="39">
        <f>SUM(AP69:AS69)</f>
        <v>0</v>
      </c>
      <c r="AP69" s="65">
        <f>SUMIFS($L:$L,$C:$C, $AP$2,$G:$G,$AA69,$H:$H,$AC69)</f>
        <v>0</v>
      </c>
      <c r="AQ69" s="65">
        <f>SUMIFS($L:$L,$C:$C, $AQ$2,$G:$G,$AA69,$H:$H,$AC69)</f>
        <v>0</v>
      </c>
      <c r="AR69" s="65">
        <f>SUMIFS($L:$L,$C:$C, $AR$2,$G:$G,$AA69,$H:$H,$AC69)</f>
        <v>0</v>
      </c>
      <c r="AS69" s="65">
        <f>SUMIFS($L:$L,$C:$C, $AS$2,$G:$G,$AA69,$H:$H,$AC69)</f>
        <v>0</v>
      </c>
    </row>
    <row r="70" spans="2:45" x14ac:dyDescent="0.25">
      <c r="B70" s="15">
        <v>68</v>
      </c>
      <c r="C70" s="8"/>
      <c r="E70" s="67"/>
      <c r="F70" s="380"/>
      <c r="G70" s="8"/>
      <c r="H70" s="8"/>
      <c r="I70" s="8"/>
      <c r="J70" s="9"/>
      <c r="K70" s="9">
        <f t="shared" si="31"/>
        <v>0</v>
      </c>
      <c r="L70" s="35">
        <f t="shared" si="32"/>
        <v>0</v>
      </c>
      <c r="M70" s="2"/>
      <c r="O70" s="19"/>
      <c r="P70" s="19"/>
      <c r="Q70" s="19"/>
      <c r="R70" s="21"/>
      <c r="S70" s="46"/>
      <c r="T70" s="44"/>
      <c r="U70" s="77"/>
      <c r="V70" s="30"/>
      <c r="W70" s="24"/>
      <c r="X70" s="193"/>
      <c r="Y70" s="15"/>
      <c r="AA70">
        <v>12</v>
      </c>
      <c r="AB70" s="487"/>
      <c r="AC70" s="90">
        <v>2</v>
      </c>
      <c r="AD70" s="97" t="s">
        <v>101</v>
      </c>
      <c r="AE70" s="39">
        <f>SUM(AF70:AI70)</f>
        <v>0</v>
      </c>
      <c r="AF70" s="65">
        <f>SUMIFS($I:$I,$C:$C, $AF$2,$G:$G,$AA70,$H:$H,$AC70)</f>
        <v>0</v>
      </c>
      <c r="AG70" s="65">
        <f>SUMIFS($I:$I,$C:$C, $AG$2,$G:$G,$AA70,$H:$H,$AC70)</f>
        <v>0</v>
      </c>
      <c r="AH70" s="65">
        <f>SUMIFS($I:$I,$C:$C, $AH$2,$G:$G,$AA70,$H:$H,$AC70)</f>
        <v>0</v>
      </c>
      <c r="AI70" s="104">
        <f>SUMIFS($I:$I,$C:$C, $AI$2,$G:$G,$AA70,$H:$H,$AC70)</f>
        <v>0</v>
      </c>
      <c r="AJ70" s="115">
        <f>SUM(AK70:AN70)</f>
        <v>0</v>
      </c>
      <c r="AK70" s="116">
        <f>COUNTIFS($C:$C, $AK$2,$G:$G,$AA70,$H:$H,$AC70)</f>
        <v>0</v>
      </c>
      <c r="AL70" s="116">
        <f>COUNTIFS($C:$C, $AL$2,$G:$G,$AA70,$H:$H,$AC70)</f>
        <v>0</v>
      </c>
      <c r="AM70" s="116">
        <f>COUNTIFS($C:$C, $AM$2,$G:$G,$AA70,$H:$H,$AC70)</f>
        <v>0</v>
      </c>
      <c r="AN70" s="117">
        <f>COUNTIFS($C:$C, $AN$2,$G:$G,$AA70,$H:$H,$AC70)</f>
        <v>0</v>
      </c>
      <c r="AO70" s="39">
        <f>SUM(AP70:AS70)</f>
        <v>0</v>
      </c>
      <c r="AP70" s="65">
        <f>SUMIFS($L:$L,$C:$C, $AP$2,$G:$G,$AA70,$H:$H,$AC70)</f>
        <v>0</v>
      </c>
      <c r="AQ70" s="65">
        <f>SUMIFS($L:$L,$C:$C, $AQ$2,$G:$G,$AA70,$H:$H,$AC70)</f>
        <v>0</v>
      </c>
      <c r="AR70" s="65">
        <f>SUMIFS($L:$L,$C:$C, $AR$2,$G:$G,$AA70,$H:$H,$AC70)</f>
        <v>0</v>
      </c>
      <c r="AS70" s="65">
        <f>SUMIFS($L:$L,$C:$C, $AS$2,$G:$G,$AA70,$H:$H,$AC70)</f>
        <v>0</v>
      </c>
    </row>
    <row r="71" spans="2:45" x14ac:dyDescent="0.25">
      <c r="B71" s="15">
        <v>69</v>
      </c>
      <c r="C71" s="8"/>
      <c r="E71" s="67"/>
      <c r="F71" s="380"/>
      <c r="G71" s="8"/>
      <c r="H71" s="8"/>
      <c r="I71" s="8"/>
      <c r="J71" s="9"/>
      <c r="K71" s="9">
        <f t="shared" si="31"/>
        <v>0</v>
      </c>
      <c r="L71" s="35">
        <f t="shared" si="32"/>
        <v>0</v>
      </c>
      <c r="M71" s="2"/>
      <c r="O71" s="19"/>
      <c r="P71" s="19"/>
      <c r="Q71" s="19"/>
      <c r="R71" s="21"/>
      <c r="S71" s="46"/>
      <c r="T71" s="44"/>
      <c r="U71" s="77"/>
      <c r="V71" s="30"/>
      <c r="W71" s="24"/>
      <c r="X71" s="193"/>
      <c r="Y71" s="15"/>
      <c r="AA71">
        <v>12</v>
      </c>
      <c r="AB71" s="487"/>
      <c r="AC71" s="90">
        <v>3</v>
      </c>
      <c r="AD71" s="97" t="s">
        <v>102</v>
      </c>
      <c r="AE71" s="39">
        <f>SUM(AF71:AI71)</f>
        <v>0</v>
      </c>
      <c r="AF71" s="65">
        <f>SUMIFS($I:$I,$C:$C, $AF$2,$G:$G,$AA71,$H:$H,$AC71)</f>
        <v>0</v>
      </c>
      <c r="AG71" s="65">
        <f>SUMIFS($I:$I,$C:$C, $AG$2,$G:$G,$AA71,$H:$H,$AC71)</f>
        <v>0</v>
      </c>
      <c r="AH71" s="65">
        <f>SUMIFS($I:$I,$C:$C, $AH$2,$G:$G,$AA71,$H:$H,$AC71)</f>
        <v>0</v>
      </c>
      <c r="AI71" s="104">
        <f>SUMIFS($I:$I,$C:$C, $AI$2,$G:$G,$AA71,$H:$H,$AC71)</f>
        <v>0</v>
      </c>
      <c r="AJ71" s="115">
        <f>SUM(AK71:AN71)</f>
        <v>0</v>
      </c>
      <c r="AK71" s="116">
        <f>COUNTIFS($C:$C, $AK$2,$G:$G,$AA71,$H:$H,$AC71)</f>
        <v>0</v>
      </c>
      <c r="AL71" s="116">
        <f>COUNTIFS($C:$C, $AL$2,$G:$G,$AA71,$H:$H,$AC71)</f>
        <v>0</v>
      </c>
      <c r="AM71" s="116">
        <f>COUNTIFS($C:$C, $AM$2,$G:$G,$AA71,$H:$H,$AC71)</f>
        <v>0</v>
      </c>
      <c r="AN71" s="117">
        <f>COUNTIFS($C:$C, $AN$2,$G:$G,$AA71,$H:$H,$AC71)</f>
        <v>0</v>
      </c>
      <c r="AO71" s="39">
        <f>SUM(AP71:AS71)</f>
        <v>0</v>
      </c>
      <c r="AP71" s="65">
        <f>SUMIFS($L:$L,$C:$C, $AP$2,$G:$G,$AA71,$H:$H,$AC71)</f>
        <v>0</v>
      </c>
      <c r="AQ71" s="65">
        <f>SUMIFS($L:$L,$C:$C, $AQ$2,$G:$G,$AA71,$H:$H,$AC71)</f>
        <v>0</v>
      </c>
      <c r="AR71" s="65">
        <f>SUMIFS($L:$L,$C:$C, $AR$2,$G:$G,$AA71,$H:$H,$AC71)</f>
        <v>0</v>
      </c>
      <c r="AS71" s="65">
        <f>SUMIFS($L:$L,$C:$C, $AS$2,$G:$G,$AA71,$H:$H,$AC71)</f>
        <v>0</v>
      </c>
    </row>
    <row r="72" spans="2:45" x14ac:dyDescent="0.25">
      <c r="B72" s="15">
        <v>70</v>
      </c>
      <c r="C72" s="8"/>
      <c r="E72" s="67"/>
      <c r="F72" s="380"/>
      <c r="G72" s="8"/>
      <c r="H72" s="8"/>
      <c r="I72" s="8"/>
      <c r="J72" s="9"/>
      <c r="K72" s="9">
        <f t="shared" si="31"/>
        <v>0</v>
      </c>
      <c r="L72" s="35">
        <f t="shared" si="32"/>
        <v>0</v>
      </c>
      <c r="M72" s="2"/>
      <c r="O72" s="19"/>
      <c r="P72" s="19"/>
      <c r="Q72" s="19"/>
      <c r="R72" s="21"/>
      <c r="S72" s="46"/>
      <c r="T72" s="44"/>
      <c r="U72" s="77"/>
      <c r="V72" s="30"/>
      <c r="W72" s="24"/>
      <c r="X72" s="193"/>
      <c r="Y72" s="15"/>
      <c r="AA72">
        <v>12</v>
      </c>
      <c r="AB72" s="487"/>
      <c r="AC72" s="90">
        <v>4</v>
      </c>
      <c r="AD72" s="97" t="s">
        <v>103</v>
      </c>
      <c r="AE72" s="39">
        <f>SUM(AF72:AI72)</f>
        <v>0</v>
      </c>
      <c r="AF72" s="65">
        <f>SUMIFS($I:$I,$C:$C, $AF$2,$G:$G,$AA72,$H:$H,$AC72)</f>
        <v>0</v>
      </c>
      <c r="AG72" s="65">
        <f>SUMIFS($I:$I,$C:$C, $AG$2,$G:$G,$AA72,$H:$H,$AC72)</f>
        <v>0</v>
      </c>
      <c r="AH72" s="65">
        <f>SUMIFS($I:$I,$C:$C, $AH$2,$G:$G,$AA72,$H:$H,$AC72)</f>
        <v>0</v>
      </c>
      <c r="AI72" s="104">
        <f>SUMIFS($I:$I,$C:$C, $AI$2,$G:$G,$AA72,$H:$H,$AC72)</f>
        <v>0</v>
      </c>
      <c r="AJ72" s="115">
        <f>SUM(AK72:AN72)</f>
        <v>0</v>
      </c>
      <c r="AK72" s="116">
        <f>COUNTIFS($C:$C, $AK$2,$G:$G,$AA72,$H:$H,$AC72)</f>
        <v>0</v>
      </c>
      <c r="AL72" s="116">
        <f>COUNTIFS($C:$C, $AL$2,$G:$G,$AA72,$H:$H,$AC72)</f>
        <v>0</v>
      </c>
      <c r="AM72" s="116">
        <f>COUNTIFS($C:$C, $AM$2,$G:$G,$AA72,$H:$H,$AC72)</f>
        <v>0</v>
      </c>
      <c r="AN72" s="117">
        <f>COUNTIFS($C:$C, $AN$2,$G:$G,$AA72,$H:$H,$AC72)</f>
        <v>0</v>
      </c>
      <c r="AO72" s="39">
        <f>SUM(AP72:AS72)</f>
        <v>0</v>
      </c>
      <c r="AP72" s="65">
        <f>SUMIFS($L:$L,$C:$C, $AP$2,$G:$G,$AA72,$H:$H,$AC72)</f>
        <v>0</v>
      </c>
      <c r="AQ72" s="65">
        <f>SUMIFS($L:$L,$C:$C, $AQ$2,$G:$G,$AA72,$H:$H,$AC72)</f>
        <v>0</v>
      </c>
      <c r="AR72" s="65">
        <f>SUMIFS($L:$L,$C:$C, $AR$2,$G:$G,$AA72,$H:$H,$AC72)</f>
        <v>0</v>
      </c>
      <c r="AS72" s="65">
        <f>SUMIFS($L:$L,$C:$C, $AS$2,$G:$G,$AA72,$H:$H,$AC72)</f>
        <v>0</v>
      </c>
    </row>
    <row r="73" spans="2:45" x14ac:dyDescent="0.25">
      <c r="B73" s="15">
        <v>71</v>
      </c>
      <c r="C73" s="8"/>
      <c r="E73" s="67"/>
      <c r="F73" s="380"/>
      <c r="G73" s="8"/>
      <c r="H73" s="8"/>
      <c r="I73" s="8"/>
      <c r="J73" s="9"/>
      <c r="K73" s="9">
        <f t="shared" si="31"/>
        <v>0</v>
      </c>
      <c r="L73" s="35">
        <f t="shared" si="32"/>
        <v>0</v>
      </c>
      <c r="M73" s="2"/>
      <c r="O73" s="19"/>
      <c r="P73" s="19"/>
      <c r="Q73" s="19"/>
      <c r="R73" s="21"/>
      <c r="S73" s="46"/>
      <c r="T73" s="44"/>
      <c r="U73" s="77"/>
      <c r="V73" s="24"/>
      <c r="W73" s="24"/>
      <c r="X73" s="193"/>
      <c r="Y73" s="15"/>
      <c r="AA73">
        <v>12</v>
      </c>
      <c r="AB73" s="487"/>
      <c r="AC73" s="91">
        <v>5</v>
      </c>
      <c r="AD73" s="100" t="s">
        <v>107</v>
      </c>
      <c r="AE73" s="39">
        <f>SUM(AF73:AI73)</f>
        <v>0</v>
      </c>
      <c r="AF73" s="65">
        <f>SUMIFS($I:$I,$C:$C, $AF$2,$G:$G,$AA73,$H:$H,$AC73)</f>
        <v>0</v>
      </c>
      <c r="AG73" s="65">
        <f>SUMIFS($I:$I,$C:$C, $AG$2,$G:$G,$AA73,$H:$H,$AC73)</f>
        <v>0</v>
      </c>
      <c r="AH73" s="65">
        <f>SUMIFS($I:$I,$C:$C, $AH$2,$G:$G,$AA73,$H:$H,$AC73)</f>
        <v>0</v>
      </c>
      <c r="AI73" s="104">
        <f>SUMIFS($I:$I,$C:$C, $AI$2,$G:$G,$AA73,$H:$H,$AC73)</f>
        <v>0</v>
      </c>
      <c r="AJ73" s="115">
        <f>SUM(AK73:AN73)</f>
        <v>0</v>
      </c>
      <c r="AK73" s="116">
        <f>COUNTIFS($C:$C, $AK$2,$G:$G,$AA73,$H:$H,$AC73)</f>
        <v>0</v>
      </c>
      <c r="AL73" s="116">
        <f>COUNTIFS($C:$C, $AL$2,$G:$G,$AA73,$H:$H,$AC73)</f>
        <v>0</v>
      </c>
      <c r="AM73" s="116">
        <f>COUNTIFS($C:$C, $AM$2,$G:$G,$AA73,$H:$H,$AC73)</f>
        <v>0</v>
      </c>
      <c r="AN73" s="117">
        <f>COUNTIFS($C:$C, $AN$2,$G:$G,$AA73,$H:$H,$AC73)</f>
        <v>0</v>
      </c>
      <c r="AO73" s="39">
        <f>SUM(AP73:AS73)</f>
        <v>0</v>
      </c>
      <c r="AP73" s="65">
        <f>SUMIFS($L:$L,$C:$C, $AP$2,$G:$G,$AA73,$H:$H,$AC73)</f>
        <v>0</v>
      </c>
      <c r="AQ73" s="65">
        <f>SUMIFS($L:$L,$C:$C, $AQ$2,$G:$G,$AA73,$H:$H,$AC73)</f>
        <v>0</v>
      </c>
      <c r="AR73" s="65">
        <f>SUMIFS($L:$L,$C:$C, $AR$2,$G:$G,$AA73,$H:$H,$AC73)</f>
        <v>0</v>
      </c>
      <c r="AS73" s="65">
        <f>SUMIFS($L:$L,$C:$C, $AS$2,$G:$G,$AA73,$H:$H,$AC73)</f>
        <v>0</v>
      </c>
    </row>
    <row r="74" spans="2:45" ht="14.25" thickBot="1" x14ac:dyDescent="0.3">
      <c r="B74" s="15">
        <v>72</v>
      </c>
      <c r="C74" s="8"/>
      <c r="E74" s="67"/>
      <c r="F74" s="380"/>
      <c r="G74" s="8"/>
      <c r="H74" s="8"/>
      <c r="I74" s="8"/>
      <c r="J74" s="9"/>
      <c r="K74" s="9">
        <f t="shared" si="31"/>
        <v>0</v>
      </c>
      <c r="L74" s="35">
        <f t="shared" si="32"/>
        <v>0</v>
      </c>
      <c r="M74" s="2"/>
      <c r="O74" s="19"/>
      <c r="P74" s="19"/>
      <c r="Q74" s="19"/>
      <c r="R74" s="21"/>
      <c r="S74" s="46"/>
      <c r="T74" s="44"/>
      <c r="U74" s="77"/>
      <c r="V74" s="24"/>
      <c r="W74" s="24"/>
      <c r="X74" s="193"/>
      <c r="Y74" s="15"/>
      <c r="AA74">
        <v>12</v>
      </c>
      <c r="AB74" s="488"/>
      <c r="AC74" s="92" t="s">
        <v>3</v>
      </c>
      <c r="AD74" s="101"/>
      <c r="AE74" s="94">
        <f>SUM(AE69:AE73)</f>
        <v>0</v>
      </c>
      <c r="AF74" s="94">
        <f t="shared" ref="AF74:AS74" si="34">SUM(AF69:AF73)</f>
        <v>0</v>
      </c>
      <c r="AG74" s="94">
        <f t="shared" si="34"/>
        <v>0</v>
      </c>
      <c r="AH74" s="94">
        <f t="shared" si="34"/>
        <v>0</v>
      </c>
      <c r="AI74" s="105">
        <f t="shared" si="34"/>
        <v>0</v>
      </c>
      <c r="AJ74" s="118">
        <f t="shared" si="34"/>
        <v>0</v>
      </c>
      <c r="AK74" s="119">
        <f t="shared" si="34"/>
        <v>0</v>
      </c>
      <c r="AL74" s="119">
        <f t="shared" si="34"/>
        <v>0</v>
      </c>
      <c r="AM74" s="119">
        <f t="shared" si="34"/>
        <v>0</v>
      </c>
      <c r="AN74" s="120">
        <f t="shared" si="34"/>
        <v>0</v>
      </c>
      <c r="AO74" s="94">
        <f t="shared" si="34"/>
        <v>0</v>
      </c>
      <c r="AP74" s="94">
        <f t="shared" si="34"/>
        <v>0</v>
      </c>
      <c r="AQ74" s="94">
        <f t="shared" si="34"/>
        <v>0</v>
      </c>
      <c r="AR74" s="94">
        <f t="shared" si="34"/>
        <v>0</v>
      </c>
      <c r="AS74" s="94">
        <f t="shared" si="34"/>
        <v>0</v>
      </c>
    </row>
    <row r="75" spans="2:45" ht="17.25" thickBot="1" x14ac:dyDescent="0.3">
      <c r="B75" s="15">
        <v>73</v>
      </c>
      <c r="C75" s="8"/>
      <c r="E75" s="67"/>
      <c r="F75" s="380"/>
      <c r="G75" s="8"/>
      <c r="H75" s="8"/>
      <c r="I75" s="8"/>
      <c r="J75" s="9"/>
      <c r="K75" s="9">
        <f t="shared" si="31"/>
        <v>0</v>
      </c>
      <c r="L75" s="35">
        <f t="shared" si="32"/>
        <v>0</v>
      </c>
      <c r="M75" s="2"/>
      <c r="O75" s="19"/>
      <c r="P75" s="19"/>
      <c r="Q75" s="19"/>
      <c r="R75" s="21"/>
      <c r="S75" s="46"/>
      <c r="T75" s="44"/>
      <c r="U75" s="77"/>
      <c r="V75" s="24"/>
      <c r="W75" s="24"/>
      <c r="X75" s="193"/>
      <c r="Y75" s="15"/>
      <c r="AB75" s="489" t="s">
        <v>31</v>
      </c>
      <c r="AC75" s="490"/>
      <c r="AD75" s="103"/>
      <c r="AE75" s="85">
        <f>SUM(AE8,AE14,AE20,AE26,AE32,AE38,AE44,AE50,AE56,AE62,AE68,AE74)</f>
        <v>2699.415</v>
      </c>
      <c r="AF75" s="85"/>
      <c r="AG75" s="85"/>
      <c r="AH75" s="86"/>
      <c r="AI75" s="86"/>
      <c r="AJ75" s="121"/>
      <c r="AK75" s="122"/>
      <c r="AL75" s="122"/>
      <c r="AM75" s="122"/>
      <c r="AN75" s="123"/>
      <c r="AO75" s="87"/>
      <c r="AP75" s="87"/>
      <c r="AQ75" s="87"/>
      <c r="AR75" s="87"/>
      <c r="AS75" s="88"/>
    </row>
    <row r="76" spans="2:45" x14ac:dyDescent="0.25">
      <c r="B76" s="15">
        <v>74</v>
      </c>
      <c r="C76" s="8"/>
      <c r="E76" s="67"/>
      <c r="F76" s="380"/>
      <c r="G76" s="8"/>
      <c r="H76" s="8"/>
      <c r="I76" s="8"/>
      <c r="J76" s="9"/>
      <c r="K76" s="9">
        <f t="shared" si="31"/>
        <v>0</v>
      </c>
      <c r="L76" s="35">
        <f t="shared" si="32"/>
        <v>0</v>
      </c>
      <c r="M76" s="2"/>
      <c r="O76" s="19"/>
      <c r="P76" s="19"/>
      <c r="Q76" s="19"/>
      <c r="R76" s="21"/>
      <c r="S76" s="46"/>
      <c r="T76" s="44"/>
      <c r="U76" s="77"/>
      <c r="V76" s="30"/>
      <c r="W76" s="24"/>
      <c r="X76" s="193"/>
      <c r="Y76" s="15"/>
    </row>
    <row r="77" spans="2:45" x14ac:dyDescent="0.25">
      <c r="B77" s="15">
        <v>75</v>
      </c>
      <c r="C77" s="8"/>
      <c r="E77" s="67"/>
      <c r="F77" s="380"/>
      <c r="G77" s="8"/>
      <c r="H77" s="8"/>
      <c r="I77" s="8"/>
      <c r="J77" s="9"/>
      <c r="K77" s="9">
        <f t="shared" si="31"/>
        <v>0</v>
      </c>
      <c r="L77" s="35">
        <f t="shared" si="32"/>
        <v>0</v>
      </c>
      <c r="M77" s="2"/>
      <c r="O77" s="19"/>
      <c r="P77" s="19"/>
      <c r="Q77" s="19"/>
      <c r="R77" s="21"/>
      <c r="S77" s="46"/>
      <c r="T77" s="44"/>
      <c r="U77" s="77"/>
      <c r="V77" s="24"/>
      <c r="W77" s="24"/>
      <c r="X77" s="193"/>
      <c r="Y77" s="15"/>
    </row>
    <row r="78" spans="2:45" x14ac:dyDescent="0.25">
      <c r="B78" s="15">
        <v>76</v>
      </c>
      <c r="C78" s="8"/>
      <c r="E78" s="67"/>
      <c r="F78" s="380"/>
      <c r="G78" s="8"/>
      <c r="H78" s="8"/>
      <c r="I78" s="8"/>
      <c r="J78" s="9"/>
      <c r="K78" s="9">
        <f t="shared" si="31"/>
        <v>0</v>
      </c>
      <c r="L78" s="35">
        <f t="shared" si="32"/>
        <v>0</v>
      </c>
      <c r="M78" s="2"/>
      <c r="O78" s="19"/>
      <c r="P78" s="19"/>
      <c r="Q78" s="19"/>
      <c r="R78" s="21"/>
      <c r="S78" s="46"/>
      <c r="T78" s="44"/>
      <c r="U78" s="77"/>
      <c r="V78" s="24"/>
      <c r="W78" s="24"/>
      <c r="X78" s="193"/>
      <c r="Y78" s="15"/>
    </row>
    <row r="79" spans="2:45" x14ac:dyDescent="0.25">
      <c r="B79" s="15">
        <v>77</v>
      </c>
      <c r="C79" s="8"/>
      <c r="E79" s="67"/>
      <c r="F79" s="380"/>
      <c r="G79" s="8"/>
      <c r="H79" s="8"/>
      <c r="I79" s="8"/>
      <c r="J79" s="9"/>
      <c r="K79" s="9">
        <f t="shared" si="31"/>
        <v>0</v>
      </c>
      <c r="L79" s="35">
        <f t="shared" si="32"/>
        <v>0</v>
      </c>
      <c r="M79" s="2"/>
      <c r="O79" s="19"/>
      <c r="P79" s="19"/>
      <c r="Q79" s="19"/>
      <c r="R79" s="21"/>
      <c r="S79" s="46"/>
      <c r="T79" s="44"/>
      <c r="U79" s="77"/>
      <c r="V79" s="24"/>
      <c r="W79" s="24"/>
      <c r="X79" s="193"/>
      <c r="Y79" s="15"/>
    </row>
    <row r="80" spans="2:45" x14ac:dyDescent="0.25">
      <c r="B80" s="15">
        <v>78</v>
      </c>
      <c r="C80" s="8"/>
      <c r="E80" s="67"/>
      <c r="F80" s="380"/>
      <c r="G80" s="8"/>
      <c r="H80" s="8"/>
      <c r="I80" s="8"/>
      <c r="J80" s="9"/>
      <c r="K80" s="9">
        <f t="shared" si="31"/>
        <v>0</v>
      </c>
      <c r="L80" s="35">
        <f t="shared" si="32"/>
        <v>0</v>
      </c>
      <c r="M80" s="2"/>
      <c r="O80" s="19"/>
      <c r="P80" s="19"/>
      <c r="Q80" s="19"/>
      <c r="R80" s="21"/>
      <c r="S80" s="46"/>
      <c r="T80" s="44"/>
      <c r="U80" s="77"/>
      <c r="V80" s="24"/>
      <c r="W80" s="24"/>
      <c r="X80" s="193"/>
      <c r="Y80" s="15"/>
    </row>
    <row r="81" spans="2:25" x14ac:dyDescent="0.25">
      <c r="B81" s="15">
        <v>79</v>
      </c>
      <c r="C81" s="8"/>
      <c r="E81" s="67"/>
      <c r="F81" s="380"/>
      <c r="G81" s="8"/>
      <c r="H81" s="8"/>
      <c r="I81" s="8"/>
      <c r="J81" s="9"/>
      <c r="K81" s="9">
        <f t="shared" si="31"/>
        <v>0</v>
      </c>
      <c r="L81" s="35">
        <f t="shared" si="32"/>
        <v>0</v>
      </c>
      <c r="M81" s="2"/>
      <c r="O81" s="19"/>
      <c r="P81" s="19"/>
      <c r="Q81" s="19"/>
      <c r="R81" s="21"/>
      <c r="S81" s="46"/>
      <c r="T81" s="44"/>
      <c r="U81" s="77"/>
      <c r="V81" s="24"/>
      <c r="W81" s="24"/>
      <c r="X81" s="193"/>
      <c r="Y81" s="15"/>
    </row>
    <row r="82" spans="2:25" x14ac:dyDescent="0.25">
      <c r="B82" s="15">
        <v>80</v>
      </c>
      <c r="C82" s="8"/>
      <c r="E82" s="67"/>
      <c r="F82" s="380"/>
      <c r="G82" s="8"/>
      <c r="H82" s="8"/>
      <c r="I82" s="8"/>
      <c r="J82" s="9"/>
      <c r="K82" s="9">
        <f t="shared" si="31"/>
        <v>0</v>
      </c>
      <c r="L82" s="35">
        <f t="shared" si="32"/>
        <v>0</v>
      </c>
      <c r="M82" s="2"/>
      <c r="O82" s="19"/>
      <c r="P82" s="19"/>
      <c r="Q82" s="19"/>
      <c r="R82" s="21"/>
      <c r="S82" s="46"/>
      <c r="T82" s="44"/>
      <c r="U82" s="77"/>
      <c r="V82" s="30"/>
      <c r="W82" s="24"/>
      <c r="X82" s="193"/>
      <c r="Y82" s="15"/>
    </row>
    <row r="83" spans="2:25" x14ac:dyDescent="0.25">
      <c r="B83" s="15">
        <v>81</v>
      </c>
      <c r="C83" s="8"/>
      <c r="E83" s="67"/>
      <c r="F83" s="380"/>
      <c r="G83" s="8"/>
      <c r="H83" s="8"/>
      <c r="I83" s="8"/>
      <c r="J83" s="9"/>
      <c r="K83" s="9">
        <f t="shared" si="31"/>
        <v>0</v>
      </c>
      <c r="L83" s="35">
        <f t="shared" si="32"/>
        <v>0</v>
      </c>
      <c r="M83" s="2"/>
      <c r="O83" s="19"/>
      <c r="P83" s="19"/>
      <c r="Q83" s="19"/>
      <c r="R83" s="21"/>
      <c r="S83" s="46"/>
      <c r="T83" s="44"/>
      <c r="U83" s="77"/>
      <c r="V83" s="24"/>
      <c r="W83" s="24"/>
      <c r="X83" s="193"/>
      <c r="Y83" s="15"/>
    </row>
    <row r="84" spans="2:25" x14ac:dyDescent="0.25">
      <c r="B84" s="15">
        <v>82</v>
      </c>
      <c r="C84" s="8"/>
      <c r="E84" s="67"/>
      <c r="F84" s="380"/>
      <c r="G84" s="8"/>
      <c r="H84" s="8"/>
      <c r="I84" s="8"/>
      <c r="J84" s="9"/>
      <c r="K84" s="9">
        <f t="shared" si="31"/>
        <v>0</v>
      </c>
      <c r="L84" s="35">
        <f t="shared" si="32"/>
        <v>0</v>
      </c>
      <c r="M84" s="2"/>
      <c r="O84" s="19"/>
      <c r="P84" s="19"/>
      <c r="Q84" s="19"/>
      <c r="R84" s="21"/>
      <c r="S84" s="46"/>
      <c r="T84" s="44"/>
      <c r="U84" s="77"/>
      <c r="V84" s="24"/>
      <c r="W84" s="24"/>
      <c r="X84" s="193"/>
      <c r="Y84" s="15"/>
    </row>
    <row r="85" spans="2:25" x14ac:dyDescent="0.25">
      <c r="B85" s="15">
        <v>83</v>
      </c>
      <c r="C85" s="8"/>
      <c r="E85" s="67"/>
      <c r="F85" s="380"/>
      <c r="G85" s="8"/>
      <c r="H85" s="8"/>
      <c r="I85" s="8"/>
      <c r="J85" s="9"/>
      <c r="K85" s="9">
        <f t="shared" si="31"/>
        <v>0</v>
      </c>
      <c r="L85" s="35">
        <f t="shared" si="32"/>
        <v>0</v>
      </c>
      <c r="M85" s="2"/>
      <c r="O85" s="19"/>
      <c r="P85" s="19"/>
      <c r="Q85" s="19"/>
      <c r="R85" s="21"/>
      <c r="S85" s="46"/>
      <c r="T85" s="44"/>
      <c r="U85" s="77"/>
      <c r="V85" s="24"/>
      <c r="W85" s="24"/>
      <c r="X85" s="193"/>
      <c r="Y85" s="15"/>
    </row>
    <row r="86" spans="2:25" x14ac:dyDescent="0.25">
      <c r="B86" s="15">
        <v>84</v>
      </c>
      <c r="C86" s="8"/>
      <c r="E86" s="67"/>
      <c r="F86" s="380"/>
      <c r="G86" s="8"/>
      <c r="H86" s="8"/>
      <c r="I86" s="8"/>
      <c r="J86" s="9"/>
      <c r="K86" s="9">
        <f t="shared" si="31"/>
        <v>0</v>
      </c>
      <c r="L86" s="35">
        <f t="shared" si="32"/>
        <v>0</v>
      </c>
      <c r="M86" s="2"/>
      <c r="O86" s="19"/>
      <c r="P86" s="19"/>
      <c r="Q86" s="19"/>
      <c r="R86" s="21"/>
      <c r="S86" s="46"/>
      <c r="T86" s="44"/>
      <c r="U86" s="77"/>
      <c r="V86" s="24"/>
      <c r="W86" s="24"/>
      <c r="X86" s="193"/>
      <c r="Y86" s="15"/>
    </row>
    <row r="87" spans="2:25" x14ac:dyDescent="0.25">
      <c r="B87" s="15">
        <v>85</v>
      </c>
      <c r="C87" s="8"/>
      <c r="E87" s="67"/>
      <c r="F87" s="380"/>
      <c r="G87" s="8"/>
      <c r="H87" s="8"/>
      <c r="I87" s="8"/>
      <c r="J87" s="9"/>
      <c r="K87" s="9">
        <f t="shared" si="31"/>
        <v>0</v>
      </c>
      <c r="L87" s="35">
        <f t="shared" si="32"/>
        <v>0</v>
      </c>
      <c r="M87" s="2"/>
      <c r="O87" s="19"/>
      <c r="P87" s="19"/>
      <c r="Q87" s="19"/>
      <c r="R87" s="21"/>
      <c r="S87" s="46"/>
      <c r="T87" s="44"/>
      <c r="U87" s="77"/>
      <c r="V87" s="24"/>
      <c r="W87" s="24"/>
      <c r="X87" s="193"/>
      <c r="Y87" s="15"/>
    </row>
    <row r="88" spans="2:25" x14ac:dyDescent="0.25">
      <c r="B88" s="15">
        <v>86</v>
      </c>
      <c r="C88" s="8"/>
      <c r="E88" s="67"/>
      <c r="F88" s="380"/>
      <c r="G88" s="8"/>
      <c r="H88" s="8"/>
      <c r="I88" s="8"/>
      <c r="J88" s="9"/>
      <c r="K88" s="9">
        <f t="shared" si="31"/>
        <v>0</v>
      </c>
      <c r="L88" s="35">
        <f t="shared" si="32"/>
        <v>0</v>
      </c>
      <c r="M88" s="2"/>
      <c r="O88" s="19"/>
      <c r="P88" s="19"/>
      <c r="Q88" s="19"/>
      <c r="R88" s="21"/>
      <c r="S88" s="46"/>
      <c r="T88" s="44"/>
      <c r="U88" s="77"/>
      <c r="V88" s="30"/>
      <c r="W88" s="24"/>
      <c r="X88" s="193"/>
      <c r="Y88" s="15"/>
    </row>
    <row r="89" spans="2:25" x14ac:dyDescent="0.25">
      <c r="B89" s="15">
        <v>87</v>
      </c>
      <c r="C89" s="8"/>
      <c r="E89" s="67"/>
      <c r="F89" s="380"/>
      <c r="G89" s="8"/>
      <c r="H89" s="8"/>
      <c r="I89" s="8"/>
      <c r="J89" s="9"/>
      <c r="K89" s="9">
        <f t="shared" si="31"/>
        <v>0</v>
      </c>
      <c r="L89" s="35">
        <f t="shared" si="32"/>
        <v>0</v>
      </c>
      <c r="M89" s="2"/>
      <c r="O89" s="19"/>
      <c r="P89" s="19"/>
      <c r="Q89" s="19"/>
      <c r="R89" s="21"/>
      <c r="S89" s="46"/>
      <c r="T89" s="44"/>
      <c r="U89" s="77"/>
      <c r="V89" s="30"/>
      <c r="W89" s="24"/>
      <c r="X89" s="193"/>
      <c r="Y89" s="15"/>
    </row>
    <row r="90" spans="2:25" x14ac:dyDescent="0.25">
      <c r="B90" s="15">
        <v>88</v>
      </c>
      <c r="C90" s="8"/>
      <c r="E90" s="67"/>
      <c r="F90" s="380"/>
      <c r="G90" s="8"/>
      <c r="H90" s="8"/>
      <c r="I90" s="8"/>
      <c r="J90" s="9"/>
      <c r="K90" s="9">
        <f t="shared" si="31"/>
        <v>0</v>
      </c>
      <c r="L90" s="35">
        <f t="shared" si="32"/>
        <v>0</v>
      </c>
      <c r="M90" s="2"/>
      <c r="O90" s="19"/>
      <c r="P90" s="19"/>
      <c r="Q90" s="19"/>
      <c r="R90" s="21"/>
      <c r="S90" s="46"/>
      <c r="T90" s="44"/>
      <c r="U90" s="77"/>
      <c r="V90" s="24"/>
      <c r="W90" s="24"/>
      <c r="X90" s="193"/>
      <c r="Y90" s="15"/>
    </row>
    <row r="91" spans="2:25" x14ac:dyDescent="0.25">
      <c r="B91" s="15">
        <v>89</v>
      </c>
      <c r="C91" s="8"/>
      <c r="E91" s="67"/>
      <c r="F91" s="380"/>
      <c r="G91" s="8"/>
      <c r="H91" s="8"/>
      <c r="I91" s="8"/>
      <c r="J91" s="9"/>
      <c r="K91" s="9">
        <f t="shared" si="31"/>
        <v>0</v>
      </c>
      <c r="L91" s="35">
        <f t="shared" si="32"/>
        <v>0</v>
      </c>
      <c r="M91" s="2"/>
      <c r="O91" s="19"/>
      <c r="P91" s="19"/>
      <c r="Q91" s="19"/>
      <c r="R91" s="21"/>
      <c r="S91" s="46"/>
      <c r="T91" s="44"/>
      <c r="U91" s="77"/>
      <c r="V91" s="24"/>
      <c r="W91" s="24"/>
      <c r="X91" s="193"/>
      <c r="Y91" s="15"/>
    </row>
    <row r="92" spans="2:25" x14ac:dyDescent="0.25">
      <c r="B92" s="15">
        <v>90</v>
      </c>
      <c r="C92" s="8"/>
      <c r="E92" s="67"/>
      <c r="F92" s="380"/>
      <c r="G92" s="8"/>
      <c r="H92" s="8"/>
      <c r="I92" s="8"/>
      <c r="J92" s="9"/>
      <c r="K92" s="9">
        <f t="shared" si="31"/>
        <v>0</v>
      </c>
      <c r="L92" s="35">
        <f t="shared" si="32"/>
        <v>0</v>
      </c>
      <c r="M92" s="2"/>
      <c r="O92" s="19"/>
      <c r="P92" s="19"/>
      <c r="Q92" s="19"/>
      <c r="R92" s="21"/>
      <c r="S92" s="46"/>
      <c r="T92" s="44"/>
      <c r="U92" s="77"/>
      <c r="V92" s="24"/>
      <c r="W92" s="24"/>
      <c r="X92" s="193"/>
      <c r="Y92" s="15"/>
    </row>
    <row r="93" spans="2:25" x14ac:dyDescent="0.25">
      <c r="B93" s="15">
        <v>91</v>
      </c>
      <c r="C93" s="8"/>
      <c r="E93" s="67"/>
      <c r="F93" s="380"/>
      <c r="G93" s="8"/>
      <c r="H93" s="8"/>
      <c r="I93" s="8"/>
      <c r="J93" s="9"/>
      <c r="K93" s="9">
        <f t="shared" si="31"/>
        <v>0</v>
      </c>
      <c r="L93" s="35">
        <f t="shared" si="32"/>
        <v>0</v>
      </c>
      <c r="M93" s="2"/>
      <c r="O93" s="19"/>
      <c r="P93" s="19"/>
      <c r="Q93" s="19"/>
      <c r="R93" s="21"/>
      <c r="S93" s="46"/>
      <c r="T93" s="44"/>
      <c r="U93" s="77"/>
      <c r="V93" s="24"/>
      <c r="W93" s="24"/>
      <c r="X93" s="193"/>
      <c r="Y93" s="15"/>
    </row>
    <row r="94" spans="2:25" x14ac:dyDescent="0.25">
      <c r="B94" s="15">
        <v>92</v>
      </c>
      <c r="C94" s="8"/>
      <c r="E94" s="67"/>
      <c r="F94" s="380"/>
      <c r="G94" s="8"/>
      <c r="H94" s="8"/>
      <c r="I94" s="8"/>
      <c r="J94" s="9"/>
      <c r="K94" s="9">
        <f t="shared" si="31"/>
        <v>0</v>
      </c>
      <c r="L94" s="35">
        <f t="shared" si="32"/>
        <v>0</v>
      </c>
      <c r="M94" s="2"/>
      <c r="O94" s="19"/>
      <c r="P94" s="19"/>
      <c r="Q94" s="19"/>
      <c r="R94" s="21"/>
      <c r="S94" s="46"/>
      <c r="T94" s="44"/>
      <c r="U94" s="77"/>
      <c r="V94" s="24"/>
      <c r="W94" s="24"/>
      <c r="X94" s="193"/>
      <c r="Y94" s="15"/>
    </row>
    <row r="95" spans="2:25" x14ac:dyDescent="0.25">
      <c r="B95" s="15">
        <v>93</v>
      </c>
      <c r="C95" s="8"/>
      <c r="E95" s="67"/>
      <c r="F95" s="380"/>
      <c r="G95" s="8"/>
      <c r="H95" s="8"/>
      <c r="I95" s="8"/>
      <c r="J95" s="9"/>
      <c r="K95" s="9">
        <f t="shared" si="31"/>
        <v>0</v>
      </c>
      <c r="L95" s="35">
        <f t="shared" si="32"/>
        <v>0</v>
      </c>
      <c r="M95" s="2"/>
      <c r="O95" s="19"/>
      <c r="P95" s="19"/>
      <c r="Q95" s="19"/>
      <c r="R95" s="46"/>
      <c r="S95" s="46"/>
      <c r="T95" s="44"/>
      <c r="U95" s="77"/>
      <c r="V95" s="30"/>
      <c r="W95" s="24"/>
      <c r="X95" s="193"/>
      <c r="Y95" s="15"/>
    </row>
    <row r="96" spans="2:25" x14ac:dyDescent="0.25">
      <c r="B96" s="15">
        <v>94</v>
      </c>
      <c r="C96" s="8"/>
      <c r="E96" s="67"/>
      <c r="F96" s="380"/>
      <c r="G96" s="8"/>
      <c r="H96" s="8"/>
      <c r="I96" s="8"/>
      <c r="J96" s="9"/>
      <c r="K96" s="9">
        <f t="shared" si="31"/>
        <v>0</v>
      </c>
      <c r="L96" s="35">
        <f t="shared" si="32"/>
        <v>0</v>
      </c>
      <c r="M96" s="2"/>
      <c r="O96" s="19"/>
      <c r="P96" s="19"/>
      <c r="Q96" s="19"/>
      <c r="R96" s="254"/>
      <c r="S96" s="46"/>
      <c r="T96" s="44"/>
      <c r="U96" s="77"/>
      <c r="V96" s="30"/>
      <c r="W96" s="24"/>
      <c r="X96" s="193"/>
      <c r="Y96" s="15"/>
    </row>
    <row r="97" spans="2:25" x14ac:dyDescent="0.25">
      <c r="B97" s="15">
        <v>95</v>
      </c>
      <c r="C97" s="8"/>
      <c r="E97" s="67"/>
      <c r="F97" s="380"/>
      <c r="G97" s="8"/>
      <c r="H97" s="8"/>
      <c r="I97" s="8"/>
      <c r="J97" s="9"/>
      <c r="K97" s="9">
        <f t="shared" si="31"/>
        <v>0</v>
      </c>
      <c r="L97" s="35">
        <f t="shared" si="32"/>
        <v>0</v>
      </c>
      <c r="M97" s="2"/>
      <c r="O97" s="19"/>
      <c r="P97" s="19"/>
      <c r="Q97" s="19"/>
      <c r="R97" s="21"/>
      <c r="S97" s="46"/>
      <c r="T97" s="44"/>
      <c r="U97" s="77"/>
      <c r="V97" s="30"/>
      <c r="W97" s="24"/>
      <c r="X97" s="193"/>
      <c r="Y97" s="15"/>
    </row>
    <row r="98" spans="2:25" x14ac:dyDescent="0.25">
      <c r="B98" s="15">
        <v>96</v>
      </c>
      <c r="C98" s="8"/>
      <c r="E98" s="67"/>
      <c r="F98" s="380"/>
      <c r="G98" s="8"/>
      <c r="H98" s="8"/>
      <c r="I98" s="8"/>
      <c r="J98" s="9"/>
      <c r="K98" s="9">
        <f t="shared" si="31"/>
        <v>0</v>
      </c>
      <c r="L98" s="35">
        <f t="shared" si="32"/>
        <v>0</v>
      </c>
      <c r="M98" s="2"/>
      <c r="O98" s="19"/>
      <c r="P98" s="19"/>
      <c r="Q98" s="19"/>
      <c r="R98" s="21"/>
      <c r="S98" s="46"/>
      <c r="T98" s="44"/>
      <c r="U98" s="77"/>
      <c r="V98" s="24"/>
      <c r="W98" s="24"/>
      <c r="X98" s="193"/>
      <c r="Y98" s="15"/>
    </row>
    <row r="99" spans="2:25" x14ac:dyDescent="0.25">
      <c r="B99" s="15">
        <v>97</v>
      </c>
      <c r="C99" s="8"/>
      <c r="E99" s="67"/>
      <c r="F99" s="380"/>
      <c r="G99" s="8"/>
      <c r="H99" s="8"/>
      <c r="I99" s="8"/>
      <c r="J99" s="9"/>
      <c r="K99" s="9">
        <f t="shared" si="31"/>
        <v>0</v>
      </c>
      <c r="L99" s="35">
        <f t="shared" si="32"/>
        <v>0</v>
      </c>
      <c r="M99" s="2"/>
      <c r="O99" s="19"/>
      <c r="P99" s="19"/>
      <c r="Q99" s="19"/>
      <c r="R99" s="21"/>
      <c r="S99" s="46"/>
      <c r="T99" s="44"/>
      <c r="U99" s="77"/>
      <c r="V99" s="24"/>
      <c r="W99" s="24"/>
      <c r="X99" s="193"/>
      <c r="Y99" s="15"/>
    </row>
    <row r="100" spans="2:25" x14ac:dyDescent="0.25">
      <c r="B100" s="15">
        <v>98</v>
      </c>
      <c r="C100" s="8"/>
      <c r="E100" s="67"/>
      <c r="F100" s="380"/>
      <c r="G100" s="8"/>
      <c r="H100" s="8"/>
      <c r="I100" s="8"/>
      <c r="J100" s="9"/>
      <c r="K100" s="9">
        <f t="shared" si="31"/>
        <v>0</v>
      </c>
      <c r="L100" s="35">
        <f t="shared" si="32"/>
        <v>0</v>
      </c>
      <c r="M100" s="2"/>
      <c r="O100" s="19"/>
      <c r="P100" s="19"/>
      <c r="Q100" s="19"/>
      <c r="R100" s="21"/>
      <c r="S100" s="46"/>
      <c r="T100" s="44"/>
      <c r="U100" s="77"/>
      <c r="V100" s="24"/>
      <c r="W100" s="24"/>
      <c r="X100" s="193"/>
      <c r="Y100" s="15"/>
    </row>
    <row r="101" spans="2:25" x14ac:dyDescent="0.25">
      <c r="B101" s="15">
        <v>99</v>
      </c>
      <c r="C101" s="8"/>
      <c r="E101" s="67"/>
      <c r="F101" s="380"/>
      <c r="G101" s="8"/>
      <c r="H101" s="8"/>
      <c r="I101" s="8"/>
      <c r="J101" s="9"/>
      <c r="K101" s="9">
        <f t="shared" si="31"/>
        <v>0</v>
      </c>
      <c r="L101" s="35">
        <f t="shared" si="32"/>
        <v>0</v>
      </c>
      <c r="M101" s="2"/>
      <c r="O101" s="19"/>
      <c r="P101" s="19"/>
      <c r="Q101" s="19"/>
      <c r="R101" s="21"/>
      <c r="S101" s="46"/>
      <c r="T101" s="44"/>
      <c r="U101" s="77"/>
      <c r="V101" s="24"/>
      <c r="W101" s="24"/>
      <c r="X101" s="193"/>
      <c r="Y101" s="15"/>
    </row>
    <row r="102" spans="2:25" x14ac:dyDescent="0.25">
      <c r="B102" s="15">
        <v>100</v>
      </c>
      <c r="C102" s="8"/>
      <c r="E102" s="67"/>
      <c r="F102" s="380"/>
      <c r="G102" s="8"/>
      <c r="H102" s="8"/>
      <c r="I102" s="8"/>
      <c r="J102" s="9"/>
      <c r="K102" s="9">
        <f t="shared" si="31"/>
        <v>0</v>
      </c>
      <c r="L102" s="35">
        <f t="shared" si="32"/>
        <v>0</v>
      </c>
      <c r="M102" s="2"/>
      <c r="O102" s="19"/>
      <c r="P102" s="19"/>
      <c r="Q102" s="19"/>
      <c r="R102" s="21"/>
      <c r="S102" s="46"/>
      <c r="T102" s="44"/>
      <c r="U102" s="77"/>
      <c r="V102" s="24"/>
      <c r="W102" s="24"/>
      <c r="X102" s="193"/>
      <c r="Y102" s="15"/>
    </row>
    <row r="103" spans="2:25" x14ac:dyDescent="0.25">
      <c r="B103" s="15">
        <v>101</v>
      </c>
      <c r="C103" s="8"/>
      <c r="E103" s="67"/>
      <c r="F103" s="380"/>
      <c r="G103" s="8"/>
      <c r="H103" s="8"/>
      <c r="I103" s="8"/>
      <c r="J103" s="9"/>
      <c r="K103" s="9">
        <f t="shared" si="31"/>
        <v>0</v>
      </c>
      <c r="L103" s="35">
        <f t="shared" si="32"/>
        <v>0</v>
      </c>
      <c r="M103" s="2"/>
      <c r="O103" s="19"/>
      <c r="P103" s="19"/>
      <c r="Q103" s="19"/>
      <c r="R103" s="21"/>
      <c r="S103" s="46"/>
      <c r="T103" s="44"/>
      <c r="U103" s="77"/>
      <c r="V103" s="30"/>
      <c r="W103" s="24"/>
      <c r="X103" s="193"/>
      <c r="Y103" s="15"/>
    </row>
    <row r="104" spans="2:25" x14ac:dyDescent="0.25">
      <c r="B104" s="15">
        <v>102</v>
      </c>
      <c r="C104" s="8"/>
      <c r="E104" s="67"/>
      <c r="F104" s="380"/>
      <c r="G104" s="8"/>
      <c r="H104" s="8"/>
      <c r="I104" s="8"/>
      <c r="J104" s="9"/>
      <c r="K104" s="9">
        <f t="shared" si="31"/>
        <v>0</v>
      </c>
      <c r="L104" s="35">
        <f t="shared" si="32"/>
        <v>0</v>
      </c>
      <c r="M104" s="2"/>
      <c r="O104" s="19"/>
      <c r="P104" s="19"/>
      <c r="Q104" s="19"/>
      <c r="R104" s="21"/>
      <c r="S104" s="46"/>
      <c r="T104" s="44"/>
      <c r="U104" s="77"/>
      <c r="V104" s="24"/>
      <c r="W104" s="24"/>
      <c r="X104" s="193"/>
      <c r="Y104" s="15"/>
    </row>
    <row r="105" spans="2:25" x14ac:dyDescent="0.25">
      <c r="B105" s="15">
        <v>103</v>
      </c>
      <c r="C105" s="8"/>
      <c r="E105" s="67"/>
      <c r="F105" s="380"/>
      <c r="G105" s="8"/>
      <c r="H105" s="8"/>
      <c r="I105" s="8"/>
      <c r="J105" s="9"/>
      <c r="K105" s="9">
        <f t="shared" si="31"/>
        <v>0</v>
      </c>
      <c r="L105" s="35">
        <f t="shared" si="32"/>
        <v>0</v>
      </c>
      <c r="M105" s="2"/>
      <c r="O105" s="19"/>
      <c r="P105" s="19"/>
      <c r="Q105" s="19"/>
      <c r="R105" s="21"/>
      <c r="S105" s="46"/>
      <c r="T105" s="44"/>
      <c r="U105" s="77"/>
      <c r="V105" s="24"/>
      <c r="W105" s="24"/>
      <c r="X105" s="193"/>
      <c r="Y105" s="15"/>
    </row>
    <row r="106" spans="2:25" x14ac:dyDescent="0.25">
      <c r="B106" s="15">
        <v>104</v>
      </c>
      <c r="C106" s="8"/>
      <c r="E106" s="67"/>
      <c r="F106" s="381"/>
      <c r="G106" s="8"/>
      <c r="H106" s="8"/>
      <c r="I106" s="8"/>
      <c r="J106" s="9"/>
      <c r="K106" s="9">
        <f t="shared" si="31"/>
        <v>0</v>
      </c>
      <c r="L106" s="35">
        <f t="shared" si="32"/>
        <v>0</v>
      </c>
      <c r="M106" s="2"/>
      <c r="O106" s="19"/>
      <c r="P106" s="19"/>
      <c r="Q106" s="19"/>
      <c r="R106" s="21"/>
      <c r="S106" s="46"/>
      <c r="T106" s="44"/>
      <c r="U106" s="77"/>
      <c r="V106" s="24"/>
      <c r="W106" s="24"/>
      <c r="X106" s="193"/>
      <c r="Y106" s="15"/>
    </row>
    <row r="107" spans="2:25" x14ac:dyDescent="0.25">
      <c r="B107" s="15">
        <v>105</v>
      </c>
      <c r="C107" s="8"/>
      <c r="E107" s="67"/>
      <c r="F107" s="380"/>
      <c r="G107" s="8"/>
      <c r="H107" s="8"/>
      <c r="I107" s="8"/>
      <c r="J107" s="9"/>
      <c r="K107" s="9">
        <f t="shared" si="31"/>
        <v>0</v>
      </c>
      <c r="L107" s="35">
        <f t="shared" si="32"/>
        <v>0</v>
      </c>
      <c r="M107" s="2"/>
      <c r="O107" s="19"/>
      <c r="P107" s="19"/>
      <c r="Q107" s="19"/>
      <c r="R107" s="21"/>
      <c r="S107" s="46"/>
      <c r="T107" s="44"/>
      <c r="U107" s="77"/>
      <c r="V107" s="24"/>
      <c r="W107" s="24"/>
      <c r="X107" s="193"/>
      <c r="Y107" s="15"/>
    </row>
    <row r="108" spans="2:25" x14ac:dyDescent="0.25">
      <c r="B108" s="15">
        <v>106</v>
      </c>
      <c r="C108" s="8"/>
      <c r="E108" s="67"/>
      <c r="F108" s="380"/>
      <c r="G108" s="8"/>
      <c r="H108" s="8"/>
      <c r="I108" s="8"/>
      <c r="J108" s="9"/>
      <c r="K108" s="9">
        <f t="shared" si="31"/>
        <v>0</v>
      </c>
      <c r="L108" s="35">
        <f t="shared" si="32"/>
        <v>0</v>
      </c>
      <c r="M108" s="2"/>
      <c r="O108" s="19"/>
      <c r="P108" s="19"/>
      <c r="Q108" s="19"/>
      <c r="R108" s="21"/>
      <c r="S108" s="46"/>
      <c r="T108" s="44"/>
      <c r="U108" s="77"/>
      <c r="V108" s="24"/>
      <c r="W108" s="24"/>
      <c r="X108" s="193"/>
      <c r="Y108" s="15"/>
    </row>
    <row r="109" spans="2:25" x14ac:dyDescent="0.25">
      <c r="B109" s="15">
        <v>107</v>
      </c>
      <c r="C109" s="8"/>
      <c r="E109" s="67"/>
      <c r="F109" s="380"/>
      <c r="G109" s="8"/>
      <c r="H109" s="8"/>
      <c r="I109" s="8"/>
      <c r="J109" s="9"/>
      <c r="K109" s="9">
        <f t="shared" si="31"/>
        <v>0</v>
      </c>
      <c r="L109" s="35">
        <f t="shared" si="32"/>
        <v>0</v>
      </c>
      <c r="M109" s="2"/>
      <c r="O109" s="19"/>
      <c r="P109" s="19"/>
      <c r="Q109" s="19"/>
      <c r="R109" s="21"/>
      <c r="S109" s="46"/>
      <c r="T109" s="44"/>
      <c r="U109" s="77"/>
      <c r="V109" s="30"/>
      <c r="W109" s="24"/>
      <c r="X109" s="193"/>
      <c r="Y109" s="15"/>
    </row>
    <row r="110" spans="2:25" x14ac:dyDescent="0.25">
      <c r="B110" s="15">
        <v>108</v>
      </c>
      <c r="C110" s="8"/>
      <c r="E110" s="67"/>
      <c r="F110" s="380"/>
      <c r="G110" s="8"/>
      <c r="H110" s="8"/>
      <c r="I110" s="8"/>
      <c r="J110" s="9"/>
      <c r="K110" s="9">
        <f t="shared" si="31"/>
        <v>0</v>
      </c>
      <c r="L110" s="35">
        <f t="shared" si="32"/>
        <v>0</v>
      </c>
      <c r="M110" s="2"/>
      <c r="O110" s="19"/>
      <c r="P110" s="19"/>
      <c r="Q110" s="19"/>
      <c r="R110" s="21"/>
      <c r="S110" s="46"/>
      <c r="T110" s="44"/>
      <c r="U110" s="77"/>
      <c r="V110" s="30"/>
      <c r="W110" s="24"/>
      <c r="X110" s="193"/>
      <c r="Y110" s="15"/>
    </row>
    <row r="111" spans="2:25" x14ac:dyDescent="0.25">
      <c r="B111" s="15">
        <v>109</v>
      </c>
      <c r="C111" s="8"/>
      <c r="E111" s="67"/>
      <c r="F111" s="380"/>
      <c r="G111" s="8"/>
      <c r="H111" s="8"/>
      <c r="I111" s="8"/>
      <c r="J111" s="9"/>
      <c r="K111" s="9">
        <f t="shared" si="31"/>
        <v>0</v>
      </c>
      <c r="L111" s="35">
        <f t="shared" si="32"/>
        <v>0</v>
      </c>
      <c r="M111" s="2"/>
      <c r="O111" s="19"/>
      <c r="P111" s="19"/>
      <c r="Q111" s="19"/>
      <c r="R111" s="21"/>
      <c r="S111" s="46"/>
      <c r="T111" s="44"/>
      <c r="U111" s="77"/>
      <c r="V111" s="30"/>
      <c r="W111" s="24"/>
      <c r="X111" s="193"/>
      <c r="Y111" s="15"/>
    </row>
    <row r="112" spans="2:25" x14ac:dyDescent="0.25">
      <c r="B112" s="15">
        <v>110</v>
      </c>
      <c r="C112" s="8"/>
      <c r="E112" s="67"/>
      <c r="F112" s="380"/>
      <c r="G112" s="8"/>
      <c r="H112" s="8"/>
      <c r="I112" s="8"/>
      <c r="J112" s="9"/>
      <c r="K112" s="9">
        <f t="shared" si="31"/>
        <v>0</v>
      </c>
      <c r="L112" s="35">
        <f t="shared" si="32"/>
        <v>0</v>
      </c>
      <c r="M112" s="2"/>
      <c r="O112" s="19"/>
      <c r="P112" s="19"/>
      <c r="Q112" s="19"/>
      <c r="R112" s="21"/>
      <c r="S112" s="46"/>
      <c r="T112" s="44"/>
      <c r="U112" s="77"/>
      <c r="V112" s="24"/>
      <c r="W112" s="24"/>
      <c r="X112" s="193"/>
      <c r="Y112" s="15"/>
    </row>
    <row r="113" spans="2:25" x14ac:dyDescent="0.25">
      <c r="B113" s="15">
        <v>111</v>
      </c>
      <c r="C113" s="8"/>
      <c r="E113" s="67"/>
      <c r="F113" s="380"/>
      <c r="G113" s="8"/>
      <c r="H113" s="8"/>
      <c r="I113" s="8"/>
      <c r="J113" s="9"/>
      <c r="K113" s="9">
        <f t="shared" si="31"/>
        <v>0</v>
      </c>
      <c r="L113" s="35">
        <f t="shared" si="32"/>
        <v>0</v>
      </c>
      <c r="M113" s="2"/>
      <c r="O113" s="19"/>
      <c r="P113" s="19"/>
      <c r="Q113" s="19"/>
      <c r="R113" s="21"/>
      <c r="S113" s="46"/>
      <c r="T113" s="44"/>
      <c r="U113" s="77"/>
      <c r="V113" s="24"/>
      <c r="W113" s="24"/>
      <c r="X113" s="193"/>
      <c r="Y113" s="15"/>
    </row>
    <row r="114" spans="2:25" x14ac:dyDescent="0.25">
      <c r="B114" s="15">
        <v>112</v>
      </c>
      <c r="C114" s="8"/>
      <c r="E114" s="67"/>
      <c r="F114" s="380"/>
      <c r="G114" s="8"/>
      <c r="H114" s="8"/>
      <c r="I114" s="8"/>
      <c r="J114" s="9"/>
      <c r="K114" s="9">
        <f t="shared" si="31"/>
        <v>0</v>
      </c>
      <c r="L114" s="35">
        <f t="shared" si="32"/>
        <v>0</v>
      </c>
      <c r="M114" s="2"/>
      <c r="O114" s="19"/>
      <c r="P114" s="19"/>
      <c r="Q114" s="19"/>
      <c r="R114" s="21"/>
      <c r="S114" s="46"/>
      <c r="T114" s="44"/>
      <c r="U114" s="77"/>
      <c r="V114" s="24"/>
      <c r="W114" s="24"/>
      <c r="X114" s="193"/>
      <c r="Y114" s="15"/>
    </row>
    <row r="115" spans="2:25" x14ac:dyDescent="0.25">
      <c r="B115" s="15">
        <v>113</v>
      </c>
      <c r="C115" s="8"/>
      <c r="E115" s="67"/>
      <c r="F115" s="380"/>
      <c r="G115" s="8"/>
      <c r="H115" s="8"/>
      <c r="I115" s="8"/>
      <c r="J115" s="9"/>
      <c r="K115" s="9">
        <f t="shared" si="31"/>
        <v>0</v>
      </c>
      <c r="L115" s="35">
        <f t="shared" si="32"/>
        <v>0</v>
      </c>
      <c r="M115" s="2"/>
      <c r="O115" s="19"/>
      <c r="P115" s="19"/>
      <c r="Q115" s="19"/>
      <c r="R115" s="21"/>
      <c r="S115" s="46"/>
      <c r="T115" s="44"/>
      <c r="U115" s="77"/>
      <c r="V115" s="24"/>
      <c r="W115" s="24"/>
      <c r="X115" s="193"/>
      <c r="Y115" s="15"/>
    </row>
    <row r="116" spans="2:25" x14ac:dyDescent="0.25">
      <c r="B116" s="15">
        <v>114</v>
      </c>
      <c r="C116" s="8"/>
      <c r="E116" s="67"/>
      <c r="F116" s="380"/>
      <c r="G116" s="8"/>
      <c r="H116" s="8"/>
      <c r="I116" s="8"/>
      <c r="J116" s="9"/>
      <c r="K116" s="9">
        <f t="shared" si="31"/>
        <v>0</v>
      </c>
      <c r="L116" s="35">
        <f t="shared" si="32"/>
        <v>0</v>
      </c>
      <c r="M116" s="2"/>
      <c r="O116" s="19"/>
      <c r="P116" s="19"/>
      <c r="Q116" s="19"/>
      <c r="R116" s="21"/>
      <c r="S116" s="46"/>
      <c r="T116" s="44"/>
      <c r="U116" s="77"/>
      <c r="V116" s="30"/>
      <c r="W116" s="24"/>
      <c r="X116" s="193"/>
      <c r="Y116" s="15"/>
    </row>
    <row r="117" spans="2:25" x14ac:dyDescent="0.25">
      <c r="B117" s="15">
        <v>115</v>
      </c>
      <c r="C117" s="8"/>
      <c r="E117" s="67"/>
      <c r="F117" s="380"/>
      <c r="G117" s="8"/>
      <c r="H117" s="8"/>
      <c r="I117" s="8"/>
      <c r="J117" s="9"/>
      <c r="K117" s="9">
        <f t="shared" si="31"/>
        <v>0</v>
      </c>
      <c r="L117" s="35">
        <f t="shared" si="32"/>
        <v>0</v>
      </c>
      <c r="M117" s="2"/>
      <c r="O117" s="19"/>
      <c r="P117" s="19"/>
      <c r="Q117" s="19"/>
      <c r="R117" s="21"/>
      <c r="S117" s="46"/>
      <c r="T117" s="44"/>
      <c r="U117" s="77"/>
      <c r="V117" s="30"/>
      <c r="W117" s="24"/>
      <c r="X117" s="193"/>
      <c r="Y117" s="15"/>
    </row>
    <row r="118" spans="2:25" x14ac:dyDescent="0.25">
      <c r="B118" s="15">
        <v>116</v>
      </c>
      <c r="C118" s="8"/>
      <c r="E118" s="67"/>
      <c r="F118" s="380"/>
      <c r="G118" s="8"/>
      <c r="H118" s="8"/>
      <c r="I118" s="8"/>
      <c r="J118" s="9"/>
      <c r="K118" s="9">
        <f t="shared" si="31"/>
        <v>0</v>
      </c>
      <c r="L118" s="35">
        <f t="shared" si="32"/>
        <v>0</v>
      </c>
      <c r="M118" s="2"/>
      <c r="O118" s="19"/>
      <c r="P118" s="19"/>
      <c r="Q118" s="19"/>
      <c r="R118" s="21"/>
      <c r="S118" s="46"/>
      <c r="T118" s="44"/>
      <c r="U118" s="77"/>
      <c r="V118" s="30"/>
      <c r="W118" s="24"/>
      <c r="X118" s="193"/>
      <c r="Y118" s="15"/>
    </row>
    <row r="119" spans="2:25" x14ac:dyDescent="0.25">
      <c r="B119" s="15">
        <v>117</v>
      </c>
      <c r="C119" s="8"/>
      <c r="E119" s="67"/>
      <c r="F119" s="380"/>
      <c r="G119" s="8"/>
      <c r="H119" s="8"/>
      <c r="I119" s="8"/>
      <c r="J119" s="9"/>
      <c r="K119" s="9">
        <f t="shared" si="31"/>
        <v>0</v>
      </c>
      <c r="L119" s="35">
        <f t="shared" si="32"/>
        <v>0</v>
      </c>
      <c r="M119" s="2"/>
      <c r="O119" s="19"/>
      <c r="P119" s="19"/>
      <c r="Q119" s="19"/>
      <c r="R119" s="21"/>
      <c r="S119" s="46"/>
      <c r="T119" s="44"/>
      <c r="U119" s="77"/>
      <c r="V119" s="30"/>
      <c r="W119" s="24"/>
      <c r="X119" s="193"/>
      <c r="Y119" s="15"/>
    </row>
    <row r="120" spans="2:25" x14ac:dyDescent="0.25">
      <c r="B120" s="15">
        <v>118</v>
      </c>
      <c r="C120" s="8"/>
      <c r="E120" s="67"/>
      <c r="G120" s="8"/>
      <c r="H120" s="8"/>
      <c r="I120" s="8"/>
      <c r="J120" s="9"/>
      <c r="K120" s="9">
        <f t="shared" si="31"/>
        <v>0</v>
      </c>
      <c r="L120" s="35">
        <f t="shared" si="32"/>
        <v>0</v>
      </c>
      <c r="M120" s="2"/>
      <c r="O120" s="19"/>
      <c r="P120" s="19"/>
      <c r="Q120" s="19"/>
      <c r="R120" s="21"/>
      <c r="S120" s="46"/>
      <c r="T120" s="44"/>
      <c r="U120" s="77"/>
      <c r="V120" s="24"/>
      <c r="W120" s="24"/>
      <c r="X120" s="193"/>
      <c r="Y120" s="15"/>
    </row>
    <row r="121" spans="2:25" x14ac:dyDescent="0.25">
      <c r="B121" s="15">
        <v>119</v>
      </c>
      <c r="C121" s="8"/>
      <c r="E121" s="67"/>
      <c r="G121" s="8"/>
      <c r="H121" s="8"/>
      <c r="I121" s="8"/>
      <c r="J121" s="9"/>
      <c r="K121" s="9">
        <f t="shared" si="31"/>
        <v>0</v>
      </c>
      <c r="L121" s="35">
        <f t="shared" si="32"/>
        <v>0</v>
      </c>
      <c r="M121" s="2"/>
      <c r="O121" s="19"/>
      <c r="P121" s="19"/>
      <c r="Q121" s="19"/>
      <c r="R121" s="21"/>
      <c r="S121" s="46"/>
      <c r="T121" s="44"/>
      <c r="U121" s="77"/>
      <c r="V121" s="24"/>
      <c r="W121" s="24"/>
      <c r="X121" s="193"/>
      <c r="Y121" s="15"/>
    </row>
    <row r="122" spans="2:25" x14ac:dyDescent="0.25">
      <c r="B122" s="15">
        <v>120</v>
      </c>
      <c r="C122" s="8"/>
      <c r="E122" s="67"/>
      <c r="F122" s="380"/>
      <c r="G122" s="8"/>
      <c r="H122" s="8"/>
      <c r="I122" s="8"/>
      <c r="J122" s="9"/>
      <c r="K122" s="9">
        <f t="shared" si="31"/>
        <v>0</v>
      </c>
      <c r="L122" s="35">
        <f t="shared" si="32"/>
        <v>0</v>
      </c>
      <c r="M122" s="2"/>
      <c r="O122" s="19"/>
      <c r="P122" s="19"/>
      <c r="Q122" s="19"/>
      <c r="R122" s="21"/>
      <c r="S122" s="46"/>
      <c r="T122" s="44"/>
      <c r="U122" s="77"/>
      <c r="V122" s="24"/>
      <c r="W122" s="24"/>
      <c r="X122" s="193"/>
      <c r="Y122" s="15"/>
    </row>
    <row r="123" spans="2:25" x14ac:dyDescent="0.25">
      <c r="B123" s="15">
        <v>121</v>
      </c>
      <c r="C123" s="8"/>
      <c r="E123" s="67"/>
      <c r="F123" s="380"/>
      <c r="G123" s="8"/>
      <c r="H123" s="8"/>
      <c r="I123" s="8"/>
      <c r="J123" s="9"/>
      <c r="K123" s="9">
        <f t="shared" si="31"/>
        <v>0</v>
      </c>
      <c r="L123" s="35">
        <f t="shared" si="32"/>
        <v>0</v>
      </c>
      <c r="M123" s="2"/>
      <c r="O123" s="19"/>
      <c r="P123" s="19"/>
      <c r="Q123" s="19"/>
      <c r="R123" s="21"/>
      <c r="S123" s="46"/>
      <c r="T123" s="44"/>
      <c r="U123" s="77"/>
      <c r="V123" s="24"/>
      <c r="W123" s="24"/>
      <c r="X123" s="193"/>
      <c r="Y123" s="15"/>
    </row>
    <row r="124" spans="2:25" x14ac:dyDescent="0.25">
      <c r="B124" s="15">
        <v>122</v>
      </c>
      <c r="C124" s="8"/>
      <c r="E124" s="67"/>
      <c r="F124" s="380"/>
      <c r="G124" s="8"/>
      <c r="H124" s="8"/>
      <c r="I124" s="8"/>
      <c r="J124" s="9"/>
      <c r="K124" s="9">
        <f t="shared" si="31"/>
        <v>0</v>
      </c>
      <c r="L124" s="35">
        <f t="shared" si="32"/>
        <v>0</v>
      </c>
      <c r="M124" s="2"/>
      <c r="O124" s="19"/>
      <c r="P124" s="19"/>
      <c r="Q124" s="19"/>
      <c r="R124" s="21"/>
      <c r="S124" s="46"/>
      <c r="T124" s="44"/>
      <c r="U124" s="77"/>
      <c r="V124" s="24"/>
      <c r="W124" s="24"/>
      <c r="X124" s="193"/>
      <c r="Y124" s="15"/>
    </row>
    <row r="125" spans="2:25" x14ac:dyDescent="0.25">
      <c r="B125" s="15">
        <v>123</v>
      </c>
      <c r="C125" s="8"/>
      <c r="E125" s="67"/>
      <c r="F125" s="380"/>
      <c r="G125" s="8"/>
      <c r="H125" s="8"/>
      <c r="I125" s="8"/>
      <c r="J125" s="9"/>
      <c r="K125" s="9">
        <f t="shared" si="31"/>
        <v>0</v>
      </c>
      <c r="L125" s="35">
        <f t="shared" si="32"/>
        <v>0</v>
      </c>
      <c r="M125" s="2"/>
      <c r="O125" s="19"/>
      <c r="P125" s="19"/>
      <c r="Q125" s="19"/>
      <c r="R125" s="21"/>
      <c r="S125" s="46"/>
      <c r="T125" s="44"/>
      <c r="U125" s="77"/>
      <c r="V125" s="30"/>
      <c r="W125" s="24"/>
      <c r="X125" s="193"/>
      <c r="Y125" s="15"/>
    </row>
    <row r="126" spans="2:25" x14ac:dyDescent="0.25">
      <c r="B126" s="15">
        <v>124</v>
      </c>
      <c r="C126" s="8"/>
      <c r="E126" s="67"/>
      <c r="F126" s="380"/>
      <c r="G126" s="8"/>
      <c r="H126" s="8"/>
      <c r="I126" s="8"/>
      <c r="J126" s="9"/>
      <c r="K126" s="9">
        <f t="shared" si="31"/>
        <v>0</v>
      </c>
      <c r="L126" s="35">
        <f t="shared" si="32"/>
        <v>0</v>
      </c>
      <c r="M126" s="2"/>
      <c r="O126" s="19"/>
      <c r="P126" s="19"/>
      <c r="Q126" s="19"/>
      <c r="R126" s="21"/>
      <c r="S126" s="46"/>
      <c r="T126" s="44"/>
      <c r="U126" s="77"/>
      <c r="V126" s="30"/>
      <c r="W126" s="24"/>
      <c r="X126" s="193"/>
      <c r="Y126" s="15"/>
    </row>
    <row r="127" spans="2:25" x14ac:dyDescent="0.25">
      <c r="B127" s="15">
        <v>125</v>
      </c>
      <c r="C127" s="8"/>
      <c r="E127" s="67"/>
      <c r="F127" s="380"/>
      <c r="G127" s="8"/>
      <c r="H127" s="8"/>
      <c r="I127" s="8"/>
      <c r="J127" s="9"/>
      <c r="K127" s="9">
        <f t="shared" si="31"/>
        <v>0</v>
      </c>
      <c r="L127" s="35">
        <f t="shared" si="32"/>
        <v>0</v>
      </c>
      <c r="M127" s="2"/>
      <c r="O127" s="19"/>
      <c r="P127" s="19"/>
      <c r="Q127" s="19"/>
      <c r="R127" s="21"/>
      <c r="S127" s="46"/>
      <c r="T127" s="44"/>
      <c r="U127" s="77"/>
      <c r="V127" s="24"/>
      <c r="W127" s="24"/>
      <c r="X127" s="193"/>
      <c r="Y127" s="15"/>
    </row>
    <row r="128" spans="2:25" x14ac:dyDescent="0.25">
      <c r="B128" s="15">
        <v>126</v>
      </c>
      <c r="C128" s="8"/>
      <c r="E128" s="67"/>
      <c r="F128" s="380"/>
      <c r="G128" s="8"/>
      <c r="H128" s="8"/>
      <c r="I128" s="8"/>
      <c r="J128" s="9"/>
      <c r="K128" s="9">
        <f t="shared" si="31"/>
        <v>0</v>
      </c>
      <c r="L128" s="35">
        <f t="shared" si="32"/>
        <v>0</v>
      </c>
      <c r="M128" s="2"/>
      <c r="O128" s="19"/>
      <c r="P128" s="19"/>
      <c r="Q128" s="19"/>
      <c r="R128" s="21"/>
      <c r="S128" s="46"/>
      <c r="T128" s="44"/>
      <c r="U128" s="77"/>
      <c r="V128" s="24"/>
      <c r="W128" s="24"/>
      <c r="X128" s="193"/>
      <c r="Y128" s="15"/>
    </row>
    <row r="129" spans="2:25" x14ac:dyDescent="0.25">
      <c r="B129" s="15">
        <v>127</v>
      </c>
      <c r="C129" s="8"/>
      <c r="E129" s="67"/>
      <c r="F129" s="380"/>
      <c r="G129" s="8"/>
      <c r="H129" s="8"/>
      <c r="I129" s="8"/>
      <c r="J129" s="9"/>
      <c r="K129" s="9">
        <f t="shared" si="31"/>
        <v>0</v>
      </c>
      <c r="L129" s="35">
        <f t="shared" si="32"/>
        <v>0</v>
      </c>
      <c r="M129" s="2"/>
      <c r="O129" s="19"/>
      <c r="P129" s="19"/>
      <c r="Q129" s="19"/>
      <c r="R129" s="21"/>
      <c r="S129" s="46"/>
      <c r="T129" s="44"/>
      <c r="U129" s="77"/>
      <c r="V129" s="24"/>
      <c r="W129" s="24"/>
      <c r="X129" s="193"/>
      <c r="Y129" s="15"/>
    </row>
    <row r="130" spans="2:25" x14ac:dyDescent="0.25">
      <c r="B130" s="15">
        <v>128</v>
      </c>
      <c r="C130" s="8"/>
      <c r="E130" s="67"/>
      <c r="F130" s="380"/>
      <c r="G130" s="8"/>
      <c r="H130" s="8"/>
      <c r="I130" s="8"/>
      <c r="J130" s="9"/>
      <c r="K130" s="9">
        <f t="shared" si="31"/>
        <v>0</v>
      </c>
      <c r="L130" s="35">
        <f t="shared" si="32"/>
        <v>0</v>
      </c>
      <c r="M130" s="2"/>
      <c r="O130" s="19"/>
      <c r="P130" s="19"/>
      <c r="Q130" s="19"/>
      <c r="R130" s="21"/>
      <c r="S130" s="46"/>
      <c r="T130" s="44"/>
      <c r="U130" s="77"/>
      <c r="V130" s="24"/>
      <c r="W130" s="24"/>
      <c r="X130" s="193"/>
      <c r="Y130" s="15"/>
    </row>
    <row r="131" spans="2:25" x14ac:dyDescent="0.25">
      <c r="B131" s="15">
        <v>129</v>
      </c>
      <c r="C131" s="8"/>
      <c r="E131" s="67"/>
      <c r="F131" s="380"/>
      <c r="G131" s="8"/>
      <c r="H131" s="8"/>
      <c r="I131" s="8"/>
      <c r="J131" s="9"/>
      <c r="K131" s="9">
        <f t="shared" ref="K131:K194" si="35">J131*1.1</f>
        <v>0</v>
      </c>
      <c r="L131" s="35">
        <f t="shared" ref="L131:L194" si="36">J131*0.00000001</f>
        <v>0</v>
      </c>
      <c r="M131" s="2"/>
      <c r="O131" s="19"/>
      <c r="P131" s="19"/>
      <c r="Q131" s="19"/>
      <c r="R131" s="21"/>
      <c r="S131" s="46"/>
      <c r="T131" s="44"/>
      <c r="U131" s="77"/>
      <c r="V131" s="24"/>
      <c r="W131" s="24"/>
      <c r="X131" s="193"/>
      <c r="Y131" s="15"/>
    </row>
    <row r="132" spans="2:25" x14ac:dyDescent="0.25">
      <c r="B132" s="15">
        <v>130</v>
      </c>
      <c r="C132" s="8"/>
      <c r="E132" s="67"/>
      <c r="F132" s="380"/>
      <c r="G132" s="8"/>
      <c r="H132" s="8"/>
      <c r="I132" s="8"/>
      <c r="J132" s="9"/>
      <c r="K132" s="9">
        <f t="shared" si="35"/>
        <v>0</v>
      </c>
      <c r="L132" s="35">
        <f t="shared" si="36"/>
        <v>0</v>
      </c>
      <c r="M132" s="2"/>
      <c r="O132" s="19"/>
      <c r="P132" s="19"/>
      <c r="Q132" s="19"/>
      <c r="R132" s="21"/>
      <c r="S132" s="46"/>
      <c r="T132" s="44"/>
      <c r="U132" s="77"/>
      <c r="V132" s="24"/>
      <c r="W132" s="24"/>
      <c r="X132" s="193"/>
      <c r="Y132" s="15"/>
    </row>
    <row r="133" spans="2:25" x14ac:dyDescent="0.25">
      <c r="B133" s="15">
        <v>131</v>
      </c>
      <c r="C133" s="8"/>
      <c r="E133" s="67"/>
      <c r="F133" s="380"/>
      <c r="G133" s="8"/>
      <c r="H133" s="8"/>
      <c r="I133" s="8"/>
      <c r="J133" s="9"/>
      <c r="K133" s="9">
        <f t="shared" si="35"/>
        <v>0</v>
      </c>
      <c r="L133" s="35">
        <f t="shared" si="36"/>
        <v>0</v>
      </c>
      <c r="M133" s="2"/>
      <c r="O133" s="19"/>
      <c r="P133" s="19"/>
      <c r="Q133" s="19"/>
      <c r="R133" s="21"/>
      <c r="S133" s="46"/>
      <c r="T133" s="44"/>
      <c r="U133" s="77"/>
      <c r="V133" s="24"/>
      <c r="W133" s="24"/>
      <c r="X133" s="193"/>
      <c r="Y133" s="15"/>
    </row>
    <row r="134" spans="2:25" x14ac:dyDescent="0.25">
      <c r="B134" s="15">
        <v>132</v>
      </c>
      <c r="C134" s="8"/>
      <c r="E134" s="67"/>
      <c r="F134" s="380"/>
      <c r="G134" s="8"/>
      <c r="H134" s="8"/>
      <c r="I134" s="8"/>
      <c r="J134" s="9"/>
      <c r="K134" s="9">
        <f t="shared" si="35"/>
        <v>0</v>
      </c>
      <c r="L134" s="35">
        <f t="shared" si="36"/>
        <v>0</v>
      </c>
      <c r="M134" s="2"/>
      <c r="O134" s="19"/>
      <c r="P134" s="19"/>
      <c r="Q134" s="19"/>
      <c r="R134" s="21"/>
      <c r="S134" s="46"/>
      <c r="T134" s="44"/>
      <c r="U134" s="77"/>
      <c r="V134" s="24"/>
      <c r="W134" s="24"/>
      <c r="X134" s="193"/>
      <c r="Y134" s="15"/>
    </row>
    <row r="135" spans="2:25" x14ac:dyDescent="0.25">
      <c r="B135" s="15">
        <v>132</v>
      </c>
      <c r="C135" s="8"/>
      <c r="E135" s="67"/>
      <c r="F135" s="380"/>
      <c r="G135" s="8"/>
      <c r="H135" s="8"/>
      <c r="I135" s="8"/>
      <c r="J135" s="9"/>
      <c r="K135" s="9">
        <f t="shared" si="35"/>
        <v>0</v>
      </c>
      <c r="L135" s="35">
        <f t="shared" si="36"/>
        <v>0</v>
      </c>
      <c r="M135" s="2"/>
      <c r="O135" s="19"/>
      <c r="P135" s="19"/>
      <c r="Q135" s="19"/>
      <c r="R135" s="21"/>
      <c r="S135" s="46"/>
      <c r="T135" s="44"/>
      <c r="U135" s="77"/>
      <c r="V135" s="24"/>
      <c r="W135" s="24"/>
      <c r="X135" s="193"/>
      <c r="Y135" s="15"/>
    </row>
    <row r="136" spans="2:25" x14ac:dyDescent="0.25">
      <c r="B136" s="15">
        <v>133</v>
      </c>
      <c r="C136" s="8"/>
      <c r="E136" s="67"/>
      <c r="F136" s="380"/>
      <c r="G136" s="8"/>
      <c r="H136" s="8"/>
      <c r="I136" s="8"/>
      <c r="J136" s="9"/>
      <c r="K136" s="9">
        <f t="shared" si="35"/>
        <v>0</v>
      </c>
      <c r="L136" s="35">
        <f t="shared" si="36"/>
        <v>0</v>
      </c>
      <c r="M136" s="2"/>
      <c r="O136" s="19"/>
      <c r="P136" s="19"/>
      <c r="Q136" s="19"/>
      <c r="R136" s="21"/>
      <c r="S136" s="46"/>
      <c r="T136" s="44"/>
      <c r="U136" s="77"/>
      <c r="V136" s="24"/>
      <c r="W136" s="24"/>
      <c r="X136" s="193"/>
      <c r="Y136" s="15"/>
    </row>
    <row r="137" spans="2:25" x14ac:dyDescent="0.25">
      <c r="B137" s="15">
        <v>134</v>
      </c>
      <c r="C137" s="8"/>
      <c r="E137" s="67"/>
      <c r="F137" s="380"/>
      <c r="G137" s="8"/>
      <c r="H137" s="8"/>
      <c r="I137" s="8"/>
      <c r="K137" s="9">
        <f t="shared" si="35"/>
        <v>0</v>
      </c>
      <c r="L137" s="35">
        <f t="shared" si="36"/>
        <v>0</v>
      </c>
      <c r="M137" s="2"/>
      <c r="O137" s="19"/>
      <c r="P137" s="19"/>
      <c r="Q137" s="19"/>
      <c r="S137" s="46"/>
      <c r="T137" s="44"/>
      <c r="U137" s="77"/>
      <c r="V137" s="24"/>
      <c r="W137" s="24"/>
      <c r="X137" s="193"/>
      <c r="Y137" s="15"/>
    </row>
    <row r="138" spans="2:25" x14ac:dyDescent="0.25">
      <c r="B138" s="15">
        <v>135</v>
      </c>
      <c r="C138" s="8"/>
      <c r="E138" s="67"/>
      <c r="F138" s="380"/>
      <c r="G138" s="8"/>
      <c r="H138" s="8"/>
      <c r="I138" s="8"/>
      <c r="K138" s="9">
        <f t="shared" si="35"/>
        <v>0</v>
      </c>
      <c r="L138" s="35">
        <f t="shared" si="36"/>
        <v>0</v>
      </c>
      <c r="M138" s="2"/>
      <c r="O138" s="19"/>
      <c r="P138" s="19"/>
      <c r="Q138" s="19"/>
      <c r="S138" s="46"/>
      <c r="T138" s="44"/>
      <c r="U138" s="77"/>
      <c r="V138" s="24"/>
      <c r="W138" s="24"/>
      <c r="X138" s="193"/>
      <c r="Y138" s="15"/>
    </row>
    <row r="139" spans="2:25" x14ac:dyDescent="0.25">
      <c r="B139" s="15">
        <v>136</v>
      </c>
      <c r="C139" s="8"/>
      <c r="E139" s="67"/>
      <c r="F139" s="380"/>
      <c r="G139" s="8"/>
      <c r="H139" s="8"/>
      <c r="I139" s="8"/>
      <c r="K139" s="9">
        <f t="shared" si="35"/>
        <v>0</v>
      </c>
      <c r="L139" s="35">
        <f t="shared" si="36"/>
        <v>0</v>
      </c>
      <c r="M139" s="2"/>
      <c r="O139" s="19"/>
      <c r="P139" s="19"/>
      <c r="Q139" s="19"/>
      <c r="S139" s="46"/>
      <c r="T139" s="44"/>
      <c r="U139" s="77"/>
      <c r="V139" s="24"/>
      <c r="W139" s="24"/>
      <c r="X139" s="193"/>
      <c r="Y139" s="15"/>
    </row>
    <row r="140" spans="2:25" x14ac:dyDescent="0.25">
      <c r="B140" s="15">
        <v>138</v>
      </c>
      <c r="C140" s="8"/>
      <c r="E140" s="67"/>
      <c r="F140" s="380"/>
      <c r="G140" s="8"/>
      <c r="H140" s="8"/>
      <c r="I140" s="8"/>
      <c r="J140" s="9"/>
      <c r="K140" s="9">
        <f t="shared" si="35"/>
        <v>0</v>
      </c>
      <c r="L140" s="35">
        <f t="shared" si="36"/>
        <v>0</v>
      </c>
      <c r="M140" s="2"/>
      <c r="O140" s="19"/>
      <c r="P140" s="19"/>
      <c r="Q140" s="19"/>
      <c r="R140" s="21"/>
      <c r="S140" s="46"/>
      <c r="T140" s="44"/>
      <c r="U140" s="77"/>
      <c r="V140" s="24"/>
      <c r="W140" s="24"/>
      <c r="X140" s="193"/>
      <c r="Y140" s="15"/>
    </row>
    <row r="141" spans="2:25" x14ac:dyDescent="0.25">
      <c r="B141" s="15">
        <v>139</v>
      </c>
      <c r="C141" s="8"/>
      <c r="E141" s="67"/>
      <c r="F141" s="380"/>
      <c r="G141" s="8"/>
      <c r="H141" s="8"/>
      <c r="I141" s="8"/>
      <c r="J141" s="9"/>
      <c r="K141" s="9">
        <f t="shared" si="35"/>
        <v>0</v>
      </c>
      <c r="L141" s="35">
        <f t="shared" si="36"/>
        <v>0</v>
      </c>
      <c r="M141" s="2"/>
      <c r="O141" s="19"/>
      <c r="P141" s="19"/>
      <c r="Q141" s="19"/>
      <c r="R141" s="21"/>
      <c r="S141" s="46"/>
      <c r="T141" s="44"/>
      <c r="U141" s="77"/>
      <c r="V141" s="30"/>
      <c r="W141" s="24"/>
      <c r="X141" s="193"/>
      <c r="Y141" s="15"/>
    </row>
    <row r="142" spans="2:25" x14ac:dyDescent="0.25">
      <c r="B142" s="15">
        <v>140</v>
      </c>
      <c r="C142" s="8"/>
      <c r="E142" s="67"/>
      <c r="F142" s="380"/>
      <c r="G142" s="8"/>
      <c r="H142" s="8"/>
      <c r="I142" s="8"/>
      <c r="J142" s="9"/>
      <c r="K142" s="9">
        <f t="shared" si="35"/>
        <v>0</v>
      </c>
      <c r="L142" s="35">
        <f t="shared" si="36"/>
        <v>0</v>
      </c>
      <c r="M142" s="2"/>
      <c r="O142" s="19"/>
      <c r="P142" s="19"/>
      <c r="Q142" s="19"/>
      <c r="R142" s="21"/>
      <c r="S142" s="46"/>
      <c r="T142" s="44"/>
      <c r="U142" s="77"/>
      <c r="V142" s="30"/>
      <c r="W142" s="24"/>
      <c r="X142" s="193"/>
      <c r="Y142" s="15"/>
    </row>
    <row r="143" spans="2:25" x14ac:dyDescent="0.25">
      <c r="B143" s="15">
        <v>141</v>
      </c>
      <c r="C143" s="8"/>
      <c r="E143" s="67"/>
      <c r="F143" s="380"/>
      <c r="G143" s="8"/>
      <c r="H143" s="8"/>
      <c r="I143" s="8"/>
      <c r="J143" s="9"/>
      <c r="K143" s="9">
        <f t="shared" si="35"/>
        <v>0</v>
      </c>
      <c r="L143" s="35">
        <f t="shared" si="36"/>
        <v>0</v>
      </c>
      <c r="M143" s="2"/>
      <c r="O143" s="19"/>
      <c r="P143" s="19"/>
      <c r="Q143" s="19"/>
      <c r="R143" s="21"/>
      <c r="S143" s="46"/>
      <c r="T143" s="44"/>
      <c r="U143" s="77"/>
      <c r="V143" s="24"/>
      <c r="W143" s="24"/>
      <c r="X143" s="193"/>
      <c r="Y143" s="15"/>
    </row>
    <row r="144" spans="2:25" x14ac:dyDescent="0.25">
      <c r="B144" s="15">
        <v>142</v>
      </c>
      <c r="C144" s="8"/>
      <c r="E144" s="67"/>
      <c r="F144" s="380"/>
      <c r="G144" s="8"/>
      <c r="H144" s="8"/>
      <c r="I144" s="8"/>
      <c r="J144" s="9"/>
      <c r="K144" s="9">
        <f t="shared" si="35"/>
        <v>0</v>
      </c>
      <c r="L144" s="35">
        <f t="shared" si="36"/>
        <v>0</v>
      </c>
      <c r="M144" s="2"/>
      <c r="O144" s="19"/>
      <c r="P144" s="19"/>
      <c r="Q144" s="19"/>
      <c r="R144" s="21"/>
      <c r="S144" s="46"/>
      <c r="T144" s="44"/>
      <c r="U144" s="77"/>
      <c r="V144" s="24"/>
      <c r="W144" s="24"/>
      <c r="X144" s="193"/>
      <c r="Y144" s="15"/>
    </row>
    <row r="145" spans="2:25" x14ac:dyDescent="0.25">
      <c r="B145" s="15">
        <v>143</v>
      </c>
      <c r="C145" s="8"/>
      <c r="E145" s="67"/>
      <c r="F145" s="380"/>
      <c r="G145" s="8"/>
      <c r="H145" s="8"/>
      <c r="I145" s="8"/>
      <c r="J145" s="9"/>
      <c r="K145" s="9">
        <f t="shared" si="35"/>
        <v>0</v>
      </c>
      <c r="L145" s="35">
        <f t="shared" si="36"/>
        <v>0</v>
      </c>
      <c r="M145" s="2"/>
      <c r="O145" s="19"/>
      <c r="P145" s="19"/>
      <c r="Q145" s="19"/>
      <c r="R145" s="21"/>
      <c r="S145" s="46"/>
      <c r="T145" s="44"/>
      <c r="U145" s="77"/>
      <c r="V145" s="24"/>
      <c r="W145" s="24"/>
      <c r="X145" s="193"/>
      <c r="Y145" s="15"/>
    </row>
    <row r="146" spans="2:25" x14ac:dyDescent="0.25">
      <c r="B146" s="15">
        <v>144</v>
      </c>
      <c r="C146" s="8"/>
      <c r="E146" s="67"/>
      <c r="F146" s="380"/>
      <c r="G146" s="8"/>
      <c r="H146" s="8"/>
      <c r="I146" s="8"/>
      <c r="J146" s="9"/>
      <c r="K146" s="9">
        <f t="shared" si="35"/>
        <v>0</v>
      </c>
      <c r="L146" s="35">
        <f t="shared" si="36"/>
        <v>0</v>
      </c>
      <c r="M146" s="2"/>
      <c r="O146" s="19"/>
      <c r="P146" s="19"/>
      <c r="Q146" s="19"/>
      <c r="R146" s="21"/>
      <c r="S146" s="46"/>
      <c r="T146" s="44"/>
      <c r="U146" s="77"/>
      <c r="V146" s="24"/>
      <c r="W146" s="24"/>
      <c r="X146" s="193"/>
      <c r="Y146" s="15"/>
    </row>
    <row r="147" spans="2:25" x14ac:dyDescent="0.25">
      <c r="B147" s="15">
        <v>145</v>
      </c>
      <c r="C147" s="8"/>
      <c r="E147" s="67"/>
      <c r="F147" s="380"/>
      <c r="G147" s="8"/>
      <c r="H147" s="8"/>
      <c r="I147" s="8"/>
      <c r="J147" s="9"/>
      <c r="K147" s="9">
        <f t="shared" si="35"/>
        <v>0</v>
      </c>
      <c r="L147" s="35">
        <f t="shared" si="36"/>
        <v>0</v>
      </c>
      <c r="M147" s="2"/>
      <c r="O147" s="19"/>
      <c r="P147" s="19"/>
      <c r="Q147" s="19"/>
      <c r="R147" s="21"/>
      <c r="S147" s="46"/>
      <c r="T147" s="44"/>
      <c r="U147" s="77"/>
      <c r="V147" s="24"/>
      <c r="W147" s="24"/>
      <c r="X147" s="193"/>
      <c r="Y147" s="15"/>
    </row>
    <row r="148" spans="2:25" x14ac:dyDescent="0.25">
      <c r="B148" s="15">
        <v>146</v>
      </c>
      <c r="C148" s="8"/>
      <c r="E148" s="67"/>
      <c r="F148" s="380"/>
      <c r="G148" s="8"/>
      <c r="H148" s="8"/>
      <c r="I148" s="8"/>
      <c r="J148" s="9"/>
      <c r="K148" s="9">
        <f t="shared" si="35"/>
        <v>0</v>
      </c>
      <c r="L148" s="35">
        <f t="shared" si="36"/>
        <v>0</v>
      </c>
      <c r="M148" s="2"/>
      <c r="O148" s="19"/>
      <c r="P148" s="19"/>
      <c r="Q148" s="19"/>
      <c r="R148" s="21"/>
      <c r="S148" s="46"/>
      <c r="T148" s="44"/>
      <c r="U148" s="77"/>
      <c r="V148" s="30"/>
      <c r="W148" s="24"/>
      <c r="X148" s="193"/>
      <c r="Y148" s="15"/>
    </row>
    <row r="149" spans="2:25" x14ac:dyDescent="0.25">
      <c r="B149" s="15">
        <v>147</v>
      </c>
      <c r="C149" s="8"/>
      <c r="E149" s="67"/>
      <c r="F149" s="380"/>
      <c r="G149" s="8"/>
      <c r="H149" s="8"/>
      <c r="I149" s="8"/>
      <c r="K149" s="9">
        <f t="shared" si="35"/>
        <v>0</v>
      </c>
      <c r="L149" s="35">
        <f t="shared" si="36"/>
        <v>0</v>
      </c>
      <c r="O149" s="19"/>
      <c r="P149" s="19"/>
      <c r="Q149" s="19"/>
      <c r="S149" s="46"/>
      <c r="T149" s="44"/>
      <c r="U149" s="77"/>
      <c r="V149" s="79"/>
      <c r="W149" s="24"/>
      <c r="X149" s="193"/>
      <c r="Y149" s="15"/>
    </row>
    <row r="150" spans="2:25" x14ac:dyDescent="0.25">
      <c r="B150" s="15">
        <v>148</v>
      </c>
      <c r="C150" s="8"/>
      <c r="E150" s="67"/>
      <c r="F150" s="380"/>
      <c r="G150" s="8"/>
      <c r="H150" s="8"/>
      <c r="I150" s="8"/>
      <c r="J150" s="9"/>
      <c r="K150" s="9">
        <f t="shared" si="35"/>
        <v>0</v>
      </c>
      <c r="L150" s="35">
        <f t="shared" si="36"/>
        <v>0</v>
      </c>
      <c r="M150" s="2"/>
      <c r="O150" s="19"/>
      <c r="P150" s="19"/>
      <c r="Q150" s="19"/>
      <c r="R150" s="21"/>
      <c r="S150" s="46"/>
      <c r="T150" s="44"/>
      <c r="U150" s="77"/>
      <c r="V150" s="79"/>
      <c r="W150" s="24"/>
      <c r="X150" s="193"/>
      <c r="Y150" s="15"/>
    </row>
    <row r="151" spans="2:25" x14ac:dyDescent="0.25">
      <c r="B151" s="15">
        <v>149</v>
      </c>
      <c r="C151" s="8"/>
      <c r="E151" s="67"/>
      <c r="F151" s="380"/>
      <c r="G151" s="8"/>
      <c r="H151" s="8"/>
      <c r="I151" s="8"/>
      <c r="J151" s="9"/>
      <c r="K151" s="9">
        <f t="shared" si="35"/>
        <v>0</v>
      </c>
      <c r="L151" s="35">
        <f t="shared" si="36"/>
        <v>0</v>
      </c>
      <c r="M151" s="2"/>
      <c r="O151" s="19"/>
      <c r="P151" s="19"/>
      <c r="Q151" s="19"/>
      <c r="R151" s="21"/>
      <c r="S151" s="46"/>
      <c r="T151" s="44"/>
      <c r="U151" s="77"/>
      <c r="V151" s="24"/>
      <c r="W151" s="24"/>
      <c r="X151" s="193"/>
      <c r="Y151" s="15"/>
    </row>
    <row r="152" spans="2:25" x14ac:dyDescent="0.25">
      <c r="B152" s="15">
        <v>150</v>
      </c>
      <c r="C152" s="8"/>
      <c r="E152" s="67"/>
      <c r="F152" s="380"/>
      <c r="G152" s="8"/>
      <c r="H152" s="8"/>
      <c r="I152" s="8"/>
      <c r="J152" s="9"/>
      <c r="K152" s="9">
        <f t="shared" si="35"/>
        <v>0</v>
      </c>
      <c r="L152" s="35">
        <f t="shared" si="36"/>
        <v>0</v>
      </c>
      <c r="M152" s="2"/>
      <c r="O152" s="19"/>
      <c r="P152" s="19"/>
      <c r="Q152" s="19"/>
      <c r="R152" s="21"/>
      <c r="S152" s="46"/>
      <c r="T152" s="44"/>
      <c r="U152" s="77"/>
      <c r="V152" s="24"/>
      <c r="W152" s="24"/>
      <c r="X152" s="193"/>
      <c r="Y152" s="15"/>
    </row>
    <row r="153" spans="2:25" x14ac:dyDescent="0.25">
      <c r="B153" s="15">
        <v>151</v>
      </c>
      <c r="C153" s="8"/>
      <c r="E153" s="67"/>
      <c r="F153" s="380"/>
      <c r="G153" s="8"/>
      <c r="H153" s="8"/>
      <c r="I153" s="8"/>
      <c r="J153" s="9"/>
      <c r="K153" s="9">
        <f t="shared" si="35"/>
        <v>0</v>
      </c>
      <c r="L153" s="35">
        <f t="shared" si="36"/>
        <v>0</v>
      </c>
      <c r="M153" s="2"/>
      <c r="O153" s="19"/>
      <c r="P153" s="19"/>
      <c r="Q153" s="19"/>
      <c r="R153" s="21"/>
      <c r="S153" s="46"/>
      <c r="T153" s="44"/>
      <c r="U153" s="77"/>
      <c r="V153" s="24"/>
      <c r="W153" s="24"/>
      <c r="X153" s="193"/>
      <c r="Y153" s="15"/>
    </row>
    <row r="154" spans="2:25" x14ac:dyDescent="0.25">
      <c r="B154" s="15">
        <v>152</v>
      </c>
      <c r="C154" s="8"/>
      <c r="E154" s="67"/>
      <c r="F154" s="380"/>
      <c r="G154" s="8"/>
      <c r="H154" s="8"/>
      <c r="I154" s="8"/>
      <c r="J154" s="9"/>
      <c r="K154" s="9">
        <f t="shared" si="35"/>
        <v>0</v>
      </c>
      <c r="L154" s="35">
        <f t="shared" si="36"/>
        <v>0</v>
      </c>
      <c r="M154" s="2"/>
      <c r="O154" s="19"/>
      <c r="P154" s="19"/>
      <c r="Q154" s="19"/>
      <c r="R154" s="21"/>
      <c r="S154" s="46"/>
      <c r="T154" s="44"/>
      <c r="U154" s="77"/>
      <c r="V154" s="24"/>
      <c r="W154" s="24"/>
      <c r="X154" s="193"/>
      <c r="Y154" s="15"/>
    </row>
    <row r="155" spans="2:25" x14ac:dyDescent="0.25">
      <c r="B155" s="15">
        <v>153</v>
      </c>
      <c r="C155" s="8"/>
      <c r="E155" s="67"/>
      <c r="F155" s="380"/>
      <c r="G155" s="8"/>
      <c r="H155" s="8"/>
      <c r="I155" s="8"/>
      <c r="J155" s="9"/>
      <c r="K155" s="9">
        <f t="shared" si="35"/>
        <v>0</v>
      </c>
      <c r="L155" s="35">
        <f t="shared" si="36"/>
        <v>0</v>
      </c>
      <c r="M155" s="2"/>
      <c r="O155" s="19"/>
      <c r="P155" s="19"/>
      <c r="Q155" s="19"/>
      <c r="R155" s="21"/>
      <c r="S155" s="46"/>
      <c r="T155" s="44"/>
      <c r="U155" s="77"/>
      <c r="V155" s="30"/>
      <c r="W155" s="24"/>
      <c r="X155" s="193"/>
      <c r="Y155" s="15"/>
    </row>
    <row r="156" spans="2:25" x14ac:dyDescent="0.25">
      <c r="B156" s="15">
        <v>154</v>
      </c>
      <c r="C156" s="8"/>
      <c r="E156" s="67"/>
      <c r="F156" s="380"/>
      <c r="G156" s="8"/>
      <c r="H156" s="8"/>
      <c r="I156" s="8"/>
      <c r="J156" s="9"/>
      <c r="K156" s="9">
        <f t="shared" si="35"/>
        <v>0</v>
      </c>
      <c r="L156" s="35">
        <f t="shared" si="36"/>
        <v>0</v>
      </c>
      <c r="M156" s="2"/>
      <c r="O156" s="19"/>
      <c r="P156" s="19"/>
      <c r="Q156" s="19"/>
      <c r="R156" s="21"/>
      <c r="S156" s="46"/>
      <c r="T156" s="44"/>
      <c r="U156" s="77"/>
      <c r="V156" s="24"/>
      <c r="W156" s="24"/>
      <c r="X156" s="193"/>
      <c r="Y156" s="15"/>
    </row>
    <row r="157" spans="2:25" x14ac:dyDescent="0.25">
      <c r="B157" s="15">
        <v>155</v>
      </c>
      <c r="C157" s="8"/>
      <c r="E157" s="67"/>
      <c r="F157" s="380"/>
      <c r="G157" s="8"/>
      <c r="H157" s="8"/>
      <c r="I157" s="8"/>
      <c r="J157" s="9"/>
      <c r="K157" s="9">
        <f t="shared" si="35"/>
        <v>0</v>
      </c>
      <c r="L157" s="35">
        <f t="shared" si="36"/>
        <v>0</v>
      </c>
      <c r="M157" s="2"/>
      <c r="O157" s="19"/>
      <c r="P157" s="19"/>
      <c r="Q157" s="19"/>
      <c r="R157" s="21"/>
      <c r="S157" s="46"/>
      <c r="T157" s="44"/>
      <c r="U157" s="77"/>
      <c r="V157" s="24"/>
      <c r="W157" s="24"/>
      <c r="X157" s="193"/>
      <c r="Y157" s="15"/>
    </row>
    <row r="158" spans="2:25" x14ac:dyDescent="0.25">
      <c r="B158" s="15">
        <v>156</v>
      </c>
      <c r="C158" s="8"/>
      <c r="E158" s="67"/>
      <c r="F158" s="380"/>
      <c r="G158" s="8"/>
      <c r="H158" s="8"/>
      <c r="I158" s="8"/>
      <c r="J158" s="9"/>
      <c r="K158" s="9">
        <f t="shared" si="35"/>
        <v>0</v>
      </c>
      <c r="L158" s="35">
        <f t="shared" si="36"/>
        <v>0</v>
      </c>
      <c r="M158" s="2"/>
      <c r="O158" s="19"/>
      <c r="P158" s="19"/>
      <c r="Q158" s="19"/>
      <c r="R158" s="21"/>
      <c r="S158" s="46"/>
      <c r="T158" s="44"/>
      <c r="U158" s="77"/>
      <c r="V158" s="24"/>
      <c r="W158" s="24"/>
      <c r="X158" s="193"/>
      <c r="Y158" s="15"/>
    </row>
    <row r="159" spans="2:25" x14ac:dyDescent="0.25">
      <c r="B159" s="15">
        <v>157</v>
      </c>
      <c r="C159" s="8"/>
      <c r="E159" s="67"/>
      <c r="F159" s="380"/>
      <c r="G159" s="8"/>
      <c r="H159" s="8"/>
      <c r="I159" s="8"/>
      <c r="J159" s="9"/>
      <c r="K159" s="9">
        <f t="shared" si="35"/>
        <v>0</v>
      </c>
      <c r="L159" s="35">
        <f t="shared" si="36"/>
        <v>0</v>
      </c>
      <c r="M159" s="2"/>
      <c r="O159" s="19"/>
      <c r="P159" s="19"/>
      <c r="Q159" s="19"/>
      <c r="R159" s="21"/>
      <c r="S159" s="46"/>
      <c r="T159" s="44"/>
      <c r="U159" s="77"/>
      <c r="V159" s="24"/>
      <c r="W159" s="24"/>
      <c r="X159" s="193"/>
      <c r="Y159" s="15"/>
    </row>
    <row r="160" spans="2:25" x14ac:dyDescent="0.25">
      <c r="B160" s="15">
        <v>158</v>
      </c>
      <c r="C160" s="8"/>
      <c r="E160" s="67"/>
      <c r="F160" s="380"/>
      <c r="G160" s="8"/>
      <c r="H160" s="8"/>
      <c r="I160" s="8"/>
      <c r="J160" s="9"/>
      <c r="K160" s="9">
        <f t="shared" si="35"/>
        <v>0</v>
      </c>
      <c r="L160" s="35">
        <f t="shared" si="36"/>
        <v>0</v>
      </c>
      <c r="M160" s="2"/>
      <c r="O160" s="19"/>
      <c r="P160" s="19"/>
      <c r="Q160" s="19"/>
      <c r="R160" s="21"/>
      <c r="S160" s="46"/>
      <c r="T160" s="44"/>
      <c r="U160" s="77"/>
      <c r="V160" s="24"/>
      <c r="W160" s="24"/>
      <c r="X160" s="193"/>
      <c r="Y160" s="15"/>
    </row>
    <row r="161" spans="2:25" x14ac:dyDescent="0.25">
      <c r="B161" s="15">
        <v>159</v>
      </c>
      <c r="C161" s="8"/>
      <c r="E161" s="67"/>
      <c r="F161" s="380"/>
      <c r="G161" s="8"/>
      <c r="H161" s="8"/>
      <c r="I161" s="8"/>
      <c r="J161" s="9"/>
      <c r="K161" s="9">
        <f t="shared" si="35"/>
        <v>0</v>
      </c>
      <c r="L161" s="35">
        <f t="shared" si="36"/>
        <v>0</v>
      </c>
      <c r="M161" s="2"/>
      <c r="O161" s="19"/>
      <c r="P161" s="19"/>
      <c r="Q161" s="19"/>
      <c r="R161" s="21"/>
      <c r="S161" s="46"/>
      <c r="T161" s="44"/>
      <c r="U161" s="77"/>
      <c r="V161" s="30"/>
      <c r="W161" s="24"/>
      <c r="X161" s="193"/>
      <c r="Y161" s="15"/>
    </row>
    <row r="162" spans="2:25" x14ac:dyDescent="0.25">
      <c r="B162" s="15">
        <v>160</v>
      </c>
      <c r="C162" s="8"/>
      <c r="E162" s="67"/>
      <c r="F162" s="380"/>
      <c r="G162" s="8"/>
      <c r="H162" s="8"/>
      <c r="I162" s="8"/>
      <c r="J162" s="9"/>
      <c r="K162" s="9">
        <f t="shared" si="35"/>
        <v>0</v>
      </c>
      <c r="L162" s="35">
        <f t="shared" si="36"/>
        <v>0</v>
      </c>
      <c r="M162" s="2"/>
      <c r="O162" s="19"/>
      <c r="P162" s="19"/>
      <c r="Q162" s="19"/>
      <c r="R162" s="21"/>
      <c r="S162" s="46"/>
      <c r="T162" s="44"/>
      <c r="U162" s="77"/>
      <c r="V162" s="30"/>
      <c r="W162" s="24"/>
      <c r="X162" s="193"/>
      <c r="Y162" s="15"/>
    </row>
    <row r="163" spans="2:25" x14ac:dyDescent="0.25">
      <c r="B163" s="15">
        <v>161</v>
      </c>
      <c r="C163" s="8"/>
      <c r="E163" s="67"/>
      <c r="F163" s="380"/>
      <c r="G163" s="8"/>
      <c r="H163" s="8"/>
      <c r="I163" s="8"/>
      <c r="J163" s="9"/>
      <c r="K163" s="9">
        <f t="shared" si="35"/>
        <v>0</v>
      </c>
      <c r="L163" s="35">
        <f t="shared" si="36"/>
        <v>0</v>
      </c>
      <c r="M163" s="2"/>
      <c r="O163" s="19"/>
      <c r="P163" s="19"/>
      <c r="Q163" s="19"/>
      <c r="R163" s="21"/>
      <c r="S163" s="46"/>
      <c r="T163" s="44"/>
      <c r="U163" s="77"/>
      <c r="V163" s="30"/>
      <c r="W163" s="24"/>
      <c r="X163" s="193"/>
      <c r="Y163" s="15"/>
    </row>
    <row r="164" spans="2:25" x14ac:dyDescent="0.25">
      <c r="B164" s="15">
        <v>162</v>
      </c>
      <c r="C164" s="8"/>
      <c r="E164" s="67"/>
      <c r="F164" s="380"/>
      <c r="G164" s="8"/>
      <c r="H164" s="8"/>
      <c r="I164" s="8"/>
      <c r="J164" s="9"/>
      <c r="K164" s="9">
        <f t="shared" si="35"/>
        <v>0</v>
      </c>
      <c r="L164" s="35">
        <f t="shared" si="36"/>
        <v>0</v>
      </c>
      <c r="M164" s="2"/>
      <c r="O164" s="19"/>
      <c r="P164" s="19"/>
      <c r="Q164" s="19"/>
      <c r="R164" s="21"/>
      <c r="S164" s="46"/>
      <c r="T164" s="44"/>
      <c r="U164" s="77"/>
      <c r="V164" s="30"/>
      <c r="W164" s="24"/>
      <c r="X164" s="193"/>
      <c r="Y164" s="15"/>
    </row>
    <row r="165" spans="2:25" x14ac:dyDescent="0.25">
      <c r="B165" s="15">
        <v>163</v>
      </c>
      <c r="C165" s="8"/>
      <c r="E165" s="67"/>
      <c r="F165" s="380"/>
      <c r="G165" s="8"/>
      <c r="H165" s="8"/>
      <c r="I165" s="8"/>
      <c r="J165" s="9"/>
      <c r="K165" s="9">
        <f t="shared" si="35"/>
        <v>0</v>
      </c>
      <c r="L165" s="35">
        <f t="shared" si="36"/>
        <v>0</v>
      </c>
      <c r="M165" s="2"/>
      <c r="O165" s="19"/>
      <c r="P165" s="19"/>
      <c r="Q165" s="19"/>
      <c r="R165" s="21"/>
      <c r="S165" s="46"/>
      <c r="T165" s="44"/>
      <c r="U165" s="77"/>
      <c r="V165" s="24"/>
      <c r="W165" s="24"/>
      <c r="X165" s="193"/>
      <c r="Y165" s="15"/>
    </row>
    <row r="166" spans="2:25" x14ac:dyDescent="0.25">
      <c r="B166" s="15">
        <v>164</v>
      </c>
      <c r="C166" s="8"/>
      <c r="E166" s="67"/>
      <c r="F166" s="380"/>
      <c r="G166" s="8"/>
      <c r="H166" s="8"/>
      <c r="I166" s="8"/>
      <c r="J166" s="9"/>
      <c r="K166" s="9">
        <f t="shared" si="35"/>
        <v>0</v>
      </c>
      <c r="L166" s="35">
        <f t="shared" si="36"/>
        <v>0</v>
      </c>
      <c r="M166" s="2"/>
      <c r="O166" s="19"/>
      <c r="P166" s="19"/>
      <c r="Q166" s="19"/>
      <c r="R166" s="21"/>
      <c r="S166" s="46"/>
      <c r="T166" s="44"/>
      <c r="U166" s="77"/>
      <c r="V166" s="24"/>
      <c r="W166" s="24"/>
      <c r="X166" s="193"/>
      <c r="Y166" s="15"/>
    </row>
    <row r="167" spans="2:25" x14ac:dyDescent="0.25">
      <c r="B167" s="15">
        <v>165</v>
      </c>
      <c r="C167" s="8"/>
      <c r="E167" s="67"/>
      <c r="F167" s="380"/>
      <c r="G167" s="8"/>
      <c r="H167" s="8"/>
      <c r="I167" s="8"/>
      <c r="J167" s="9"/>
      <c r="K167" s="9">
        <f t="shared" si="35"/>
        <v>0</v>
      </c>
      <c r="L167" s="35">
        <f t="shared" si="36"/>
        <v>0</v>
      </c>
      <c r="M167" s="2"/>
      <c r="O167" s="19"/>
      <c r="P167" s="19"/>
      <c r="Q167" s="19"/>
      <c r="R167" s="21"/>
      <c r="S167" s="46"/>
      <c r="T167" s="44"/>
      <c r="U167" s="77"/>
      <c r="V167" s="24"/>
      <c r="W167" s="24"/>
      <c r="X167" s="193"/>
      <c r="Y167" s="15"/>
    </row>
    <row r="168" spans="2:25" x14ac:dyDescent="0.25">
      <c r="B168" s="15">
        <v>166</v>
      </c>
      <c r="C168" s="8"/>
      <c r="E168" s="67"/>
      <c r="F168" s="380"/>
      <c r="G168" s="8"/>
      <c r="H168" s="8"/>
      <c r="I168" s="8"/>
      <c r="J168" s="9"/>
      <c r="K168" s="9">
        <f t="shared" si="35"/>
        <v>0</v>
      </c>
      <c r="L168" s="35">
        <f t="shared" si="36"/>
        <v>0</v>
      </c>
      <c r="M168" s="2"/>
      <c r="O168" s="19"/>
      <c r="P168" s="19"/>
      <c r="Q168" s="19"/>
      <c r="R168" s="21"/>
      <c r="S168" s="46"/>
      <c r="T168" s="44"/>
      <c r="U168" s="77"/>
      <c r="V168" s="24"/>
      <c r="W168" s="24"/>
      <c r="X168" s="193"/>
      <c r="Y168" s="15"/>
    </row>
    <row r="169" spans="2:25" x14ac:dyDescent="0.25">
      <c r="B169" s="15">
        <v>167</v>
      </c>
      <c r="C169" s="8"/>
      <c r="E169" s="67"/>
      <c r="F169" s="380"/>
      <c r="G169" s="8"/>
      <c r="H169" s="8"/>
      <c r="I169" s="8"/>
      <c r="J169" s="9"/>
      <c r="K169" s="9">
        <f t="shared" si="35"/>
        <v>0</v>
      </c>
      <c r="L169" s="35">
        <f t="shared" si="36"/>
        <v>0</v>
      </c>
      <c r="M169" s="2"/>
      <c r="O169" s="19"/>
      <c r="P169" s="19"/>
      <c r="Q169" s="19"/>
      <c r="R169" s="21"/>
      <c r="S169" s="46"/>
      <c r="T169" s="44"/>
      <c r="U169" s="77"/>
      <c r="V169" s="30"/>
      <c r="W169" s="24"/>
      <c r="X169" s="193"/>
      <c r="Y169" s="15"/>
    </row>
    <row r="170" spans="2:25" x14ac:dyDescent="0.25">
      <c r="B170" s="15">
        <v>168</v>
      </c>
      <c r="C170" s="8"/>
      <c r="E170" s="67"/>
      <c r="F170" s="380"/>
      <c r="G170" s="8"/>
      <c r="H170" s="8"/>
      <c r="I170" s="8"/>
      <c r="J170" s="9"/>
      <c r="K170" s="9">
        <f t="shared" si="35"/>
        <v>0</v>
      </c>
      <c r="L170" s="35">
        <f t="shared" si="36"/>
        <v>0</v>
      </c>
      <c r="M170" s="2"/>
      <c r="O170" s="19"/>
      <c r="P170" s="19"/>
      <c r="Q170" s="19"/>
      <c r="R170" s="21"/>
      <c r="S170" s="46"/>
      <c r="T170" s="44"/>
      <c r="U170" s="77"/>
      <c r="V170" s="30"/>
      <c r="W170" s="24"/>
      <c r="X170" s="193"/>
      <c r="Y170" s="15"/>
    </row>
    <row r="171" spans="2:25" x14ac:dyDescent="0.25">
      <c r="B171" s="15">
        <v>169</v>
      </c>
      <c r="C171" s="8"/>
      <c r="E171" s="67"/>
      <c r="F171" s="380"/>
      <c r="G171" s="8"/>
      <c r="H171" s="8"/>
      <c r="I171" s="8"/>
      <c r="J171" s="9"/>
      <c r="K171" s="9">
        <f t="shared" si="35"/>
        <v>0</v>
      </c>
      <c r="L171" s="35">
        <f t="shared" si="36"/>
        <v>0</v>
      </c>
      <c r="M171" s="2"/>
      <c r="O171" s="19"/>
      <c r="P171" s="19"/>
      <c r="Q171" s="19"/>
      <c r="R171" s="21"/>
      <c r="S171" s="46"/>
      <c r="T171" s="44"/>
      <c r="U171" s="77"/>
      <c r="V171" s="24"/>
      <c r="W171" s="24"/>
      <c r="X171" s="193"/>
      <c r="Y171" s="15"/>
    </row>
    <row r="172" spans="2:25" x14ac:dyDescent="0.25">
      <c r="B172" s="15">
        <v>170</v>
      </c>
      <c r="C172" s="8"/>
      <c r="E172" s="67"/>
      <c r="F172" s="380"/>
      <c r="G172" s="8"/>
      <c r="H172" s="8"/>
      <c r="I172" s="8"/>
      <c r="J172" s="9"/>
      <c r="K172" s="9">
        <f t="shared" si="35"/>
        <v>0</v>
      </c>
      <c r="L172" s="35">
        <f t="shared" si="36"/>
        <v>0</v>
      </c>
      <c r="M172" s="2"/>
      <c r="O172" s="19"/>
      <c r="P172" s="19"/>
      <c r="Q172" s="19"/>
      <c r="R172" s="21"/>
      <c r="S172" s="46"/>
      <c r="T172" s="44"/>
      <c r="U172" s="77"/>
      <c r="V172" s="24"/>
      <c r="W172" s="24"/>
      <c r="X172" s="193"/>
      <c r="Y172" s="15"/>
    </row>
    <row r="173" spans="2:25" x14ac:dyDescent="0.25">
      <c r="B173" s="15">
        <v>171</v>
      </c>
      <c r="C173" s="8"/>
      <c r="E173" s="67"/>
      <c r="F173" s="380"/>
      <c r="G173" s="8"/>
      <c r="H173" s="8"/>
      <c r="I173" s="8"/>
      <c r="J173" s="9"/>
      <c r="K173" s="9">
        <f t="shared" si="35"/>
        <v>0</v>
      </c>
      <c r="L173" s="35">
        <f t="shared" si="36"/>
        <v>0</v>
      </c>
      <c r="M173" s="2"/>
      <c r="O173" s="19"/>
      <c r="P173" s="19"/>
      <c r="Q173" s="19"/>
      <c r="R173" s="21"/>
      <c r="S173" s="46"/>
      <c r="T173" s="44"/>
      <c r="U173" s="77"/>
      <c r="V173" s="24"/>
      <c r="W173" s="24"/>
      <c r="X173" s="193"/>
      <c r="Y173" s="15"/>
    </row>
    <row r="174" spans="2:25" x14ac:dyDescent="0.25">
      <c r="B174" s="15">
        <v>172</v>
      </c>
      <c r="C174" s="8"/>
      <c r="E174" s="67"/>
      <c r="F174" s="380"/>
      <c r="G174" s="8"/>
      <c r="H174" s="8"/>
      <c r="I174" s="8"/>
      <c r="J174" s="9"/>
      <c r="K174" s="9">
        <f t="shared" si="35"/>
        <v>0</v>
      </c>
      <c r="L174" s="35">
        <f t="shared" si="36"/>
        <v>0</v>
      </c>
      <c r="M174" s="2"/>
      <c r="O174" s="19"/>
      <c r="P174" s="19"/>
      <c r="Q174" s="19"/>
      <c r="R174" s="21"/>
      <c r="S174" s="46"/>
      <c r="T174" s="44"/>
      <c r="U174" s="77"/>
      <c r="V174" s="24"/>
      <c r="W174" s="24"/>
      <c r="X174" s="193"/>
      <c r="Y174" s="15"/>
    </row>
    <row r="175" spans="2:25" x14ac:dyDescent="0.25">
      <c r="B175" s="15">
        <v>173</v>
      </c>
      <c r="C175" s="8"/>
      <c r="E175" s="67"/>
      <c r="F175" s="380"/>
      <c r="G175" s="8"/>
      <c r="H175" s="8"/>
      <c r="I175" s="8"/>
      <c r="J175" s="9"/>
      <c r="K175" s="9">
        <f t="shared" si="35"/>
        <v>0</v>
      </c>
      <c r="L175" s="35">
        <f t="shared" si="36"/>
        <v>0</v>
      </c>
      <c r="M175" s="2"/>
      <c r="O175" s="19"/>
      <c r="P175" s="19"/>
      <c r="Q175" s="19"/>
      <c r="R175" s="21"/>
      <c r="S175" s="46"/>
      <c r="T175" s="44"/>
      <c r="U175" s="77"/>
      <c r="V175" s="24"/>
      <c r="W175" s="24"/>
      <c r="X175" s="193"/>
      <c r="Y175" s="15"/>
    </row>
    <row r="176" spans="2:25" x14ac:dyDescent="0.25">
      <c r="B176" s="15">
        <v>174</v>
      </c>
      <c r="C176" s="8"/>
      <c r="E176" s="67"/>
      <c r="F176" s="380"/>
      <c r="G176" s="8"/>
      <c r="H176" s="8"/>
      <c r="I176" s="8"/>
      <c r="J176" s="9"/>
      <c r="K176" s="9">
        <f t="shared" si="35"/>
        <v>0</v>
      </c>
      <c r="L176" s="35">
        <f t="shared" si="36"/>
        <v>0</v>
      </c>
      <c r="M176" s="2"/>
      <c r="O176" s="19"/>
      <c r="P176" s="19"/>
      <c r="Q176" s="19"/>
      <c r="R176" s="21"/>
      <c r="S176" s="46"/>
      <c r="T176" s="44"/>
      <c r="U176" s="77"/>
      <c r="V176" s="30"/>
      <c r="W176" s="24"/>
      <c r="X176" s="193"/>
      <c r="Y176" s="15"/>
    </row>
    <row r="177" spans="2:25" x14ac:dyDescent="0.25">
      <c r="B177" s="15">
        <v>175</v>
      </c>
      <c r="C177" s="8"/>
      <c r="E177" s="67"/>
      <c r="F177" s="380"/>
      <c r="G177" s="8"/>
      <c r="H177" s="8"/>
      <c r="I177" s="8"/>
      <c r="J177" s="9"/>
      <c r="K177" s="9">
        <f t="shared" si="35"/>
        <v>0</v>
      </c>
      <c r="L177" s="35">
        <f t="shared" si="36"/>
        <v>0</v>
      </c>
      <c r="M177" s="2"/>
      <c r="O177" s="19"/>
      <c r="P177" s="19"/>
      <c r="Q177" s="19"/>
      <c r="R177" s="21"/>
      <c r="S177" s="46"/>
      <c r="T177" s="44"/>
      <c r="U177" s="77"/>
      <c r="V177" s="30"/>
      <c r="W177" s="24"/>
      <c r="X177" s="193"/>
      <c r="Y177" s="15"/>
    </row>
    <row r="178" spans="2:25" x14ac:dyDescent="0.25">
      <c r="B178" s="15">
        <v>176</v>
      </c>
      <c r="C178" s="8"/>
      <c r="E178" s="67"/>
      <c r="F178" s="380"/>
      <c r="G178" s="8"/>
      <c r="H178" s="8"/>
      <c r="I178" s="8"/>
      <c r="J178" s="9"/>
      <c r="K178" s="9">
        <f t="shared" si="35"/>
        <v>0</v>
      </c>
      <c r="L178" s="35">
        <f t="shared" si="36"/>
        <v>0</v>
      </c>
      <c r="M178" s="2"/>
      <c r="O178" s="19"/>
      <c r="P178" s="19"/>
      <c r="Q178" s="19"/>
      <c r="R178" s="21"/>
      <c r="S178" s="46"/>
      <c r="T178" s="44"/>
      <c r="U178" s="77"/>
      <c r="V178" s="24"/>
      <c r="W178" s="24"/>
      <c r="X178" s="193"/>
      <c r="Y178" s="15"/>
    </row>
    <row r="179" spans="2:25" x14ac:dyDescent="0.25">
      <c r="B179" s="15">
        <v>177</v>
      </c>
      <c r="C179" s="8"/>
      <c r="E179" s="67"/>
      <c r="F179" s="380"/>
      <c r="G179" s="8"/>
      <c r="H179" s="8"/>
      <c r="I179" s="8"/>
      <c r="J179" s="9"/>
      <c r="K179" s="9">
        <f t="shared" si="35"/>
        <v>0</v>
      </c>
      <c r="L179" s="35">
        <f t="shared" si="36"/>
        <v>0</v>
      </c>
      <c r="M179" s="2"/>
      <c r="O179" s="19"/>
      <c r="P179" s="19"/>
      <c r="Q179" s="19"/>
      <c r="R179" s="21"/>
      <c r="S179" s="46"/>
      <c r="T179" s="44"/>
      <c r="U179" s="77"/>
      <c r="V179" s="24"/>
      <c r="W179" s="24"/>
      <c r="X179" s="193"/>
      <c r="Y179" s="15"/>
    </row>
    <row r="180" spans="2:25" x14ac:dyDescent="0.25">
      <c r="B180" s="15">
        <v>178</v>
      </c>
      <c r="C180" s="8"/>
      <c r="E180" s="67"/>
      <c r="F180" s="380"/>
      <c r="G180" s="8"/>
      <c r="H180" s="8"/>
      <c r="I180" s="8"/>
      <c r="J180" s="9"/>
      <c r="K180" s="9">
        <f t="shared" si="35"/>
        <v>0</v>
      </c>
      <c r="L180" s="35">
        <f t="shared" si="36"/>
        <v>0</v>
      </c>
      <c r="M180" s="2"/>
      <c r="O180" s="19"/>
      <c r="P180" s="19"/>
      <c r="Q180" s="19"/>
      <c r="R180" s="21"/>
      <c r="S180" s="46"/>
      <c r="T180" s="44"/>
      <c r="U180" s="77"/>
      <c r="V180" s="24"/>
      <c r="W180" s="24"/>
      <c r="X180" s="193"/>
      <c r="Y180" s="15"/>
    </row>
    <row r="181" spans="2:25" x14ac:dyDescent="0.25">
      <c r="B181" s="15">
        <v>179</v>
      </c>
      <c r="C181" s="8"/>
      <c r="E181" s="67"/>
      <c r="F181" s="380"/>
      <c r="G181" s="8"/>
      <c r="H181" s="8"/>
      <c r="I181" s="8"/>
      <c r="J181" s="9"/>
      <c r="K181" s="9">
        <f t="shared" si="35"/>
        <v>0</v>
      </c>
      <c r="L181" s="35">
        <f t="shared" si="36"/>
        <v>0</v>
      </c>
      <c r="M181" s="2"/>
      <c r="O181" s="19"/>
      <c r="P181" s="19"/>
      <c r="Q181" s="19"/>
      <c r="R181" s="21"/>
      <c r="S181" s="46"/>
      <c r="T181" s="44"/>
      <c r="U181" s="77"/>
      <c r="V181" s="24"/>
      <c r="W181" s="24"/>
      <c r="X181" s="193"/>
      <c r="Y181" s="15"/>
    </row>
    <row r="182" spans="2:25" x14ac:dyDescent="0.25">
      <c r="B182" s="15">
        <v>180</v>
      </c>
      <c r="C182" s="8"/>
      <c r="E182" s="67"/>
      <c r="F182" s="380"/>
      <c r="G182" s="8"/>
      <c r="H182" s="8"/>
      <c r="I182" s="8"/>
      <c r="J182" s="9"/>
      <c r="K182" s="9">
        <f t="shared" si="35"/>
        <v>0</v>
      </c>
      <c r="L182" s="35">
        <f t="shared" si="36"/>
        <v>0</v>
      </c>
      <c r="M182" s="2"/>
      <c r="O182" s="19"/>
      <c r="P182" s="19"/>
      <c r="Q182" s="19"/>
      <c r="R182" s="21"/>
      <c r="S182" s="46"/>
      <c r="T182" s="44"/>
      <c r="U182" s="77"/>
      <c r="V182" s="24"/>
      <c r="W182" s="24"/>
      <c r="X182" s="193"/>
      <c r="Y182" s="15"/>
    </row>
    <row r="183" spans="2:25" x14ac:dyDescent="0.25">
      <c r="B183" s="15">
        <v>181</v>
      </c>
      <c r="C183" s="8"/>
      <c r="E183" s="67"/>
      <c r="F183" s="380"/>
      <c r="G183" s="8"/>
      <c r="H183" s="8"/>
      <c r="I183" s="8"/>
      <c r="J183" s="9"/>
      <c r="K183" s="9">
        <f t="shared" si="35"/>
        <v>0</v>
      </c>
      <c r="L183" s="35">
        <f t="shared" si="36"/>
        <v>0</v>
      </c>
      <c r="M183" s="2"/>
      <c r="O183" s="19"/>
      <c r="P183" s="19"/>
      <c r="Q183" s="19"/>
      <c r="R183" s="21"/>
      <c r="S183" s="46"/>
      <c r="T183" s="44"/>
      <c r="U183" s="77"/>
      <c r="V183" s="30"/>
      <c r="W183" s="24"/>
      <c r="X183" s="193"/>
      <c r="Y183" s="15"/>
    </row>
    <row r="184" spans="2:25" x14ac:dyDescent="0.25">
      <c r="B184" s="15">
        <v>182</v>
      </c>
      <c r="C184" s="8"/>
      <c r="E184" s="67"/>
      <c r="F184" s="380"/>
      <c r="G184" s="8"/>
      <c r="H184" s="8"/>
      <c r="I184" s="8"/>
      <c r="J184" s="9"/>
      <c r="K184" s="9">
        <f t="shared" si="35"/>
        <v>0</v>
      </c>
      <c r="L184" s="35">
        <f t="shared" si="36"/>
        <v>0</v>
      </c>
      <c r="M184" s="2"/>
      <c r="O184" s="19"/>
      <c r="P184" s="19"/>
      <c r="Q184" s="19"/>
      <c r="R184" s="21"/>
      <c r="S184" s="46"/>
      <c r="T184" s="44"/>
      <c r="U184" s="77"/>
      <c r="V184" s="30"/>
      <c r="W184" s="24"/>
      <c r="X184" s="193"/>
      <c r="Y184" s="15"/>
    </row>
    <row r="185" spans="2:25" x14ac:dyDescent="0.25">
      <c r="B185" s="15">
        <v>183</v>
      </c>
      <c r="C185" s="8"/>
      <c r="E185" s="67"/>
      <c r="F185" s="380"/>
      <c r="G185" s="8"/>
      <c r="H185" s="8"/>
      <c r="I185" s="8"/>
      <c r="J185" s="9"/>
      <c r="K185" s="9">
        <f t="shared" si="35"/>
        <v>0</v>
      </c>
      <c r="L185" s="35">
        <f t="shared" si="36"/>
        <v>0</v>
      </c>
      <c r="M185" s="2"/>
      <c r="O185" s="19"/>
      <c r="P185" s="19"/>
      <c r="Q185" s="19"/>
      <c r="R185" s="21"/>
      <c r="S185" s="46"/>
      <c r="T185" s="44"/>
      <c r="U185" s="77"/>
      <c r="V185" s="30"/>
      <c r="W185" s="24"/>
      <c r="X185" s="193"/>
      <c r="Y185" s="15"/>
    </row>
    <row r="186" spans="2:25" x14ac:dyDescent="0.25">
      <c r="B186" s="15">
        <v>184</v>
      </c>
      <c r="C186" s="8"/>
      <c r="E186" s="67"/>
      <c r="F186" s="380"/>
      <c r="G186" s="8"/>
      <c r="H186" s="8"/>
      <c r="I186" s="8"/>
      <c r="J186" s="9"/>
      <c r="K186" s="9">
        <f t="shared" si="35"/>
        <v>0</v>
      </c>
      <c r="L186" s="35">
        <f t="shared" si="36"/>
        <v>0</v>
      </c>
      <c r="M186" s="2"/>
      <c r="O186" s="19"/>
      <c r="P186" s="19"/>
      <c r="Q186" s="19"/>
      <c r="R186" s="21"/>
      <c r="S186" s="46"/>
      <c r="T186" s="44"/>
      <c r="U186" s="77"/>
      <c r="V186" s="30"/>
      <c r="W186" s="24"/>
      <c r="X186" s="193"/>
      <c r="Y186" s="15"/>
    </row>
    <row r="187" spans="2:25" x14ac:dyDescent="0.25">
      <c r="B187" s="15">
        <v>185</v>
      </c>
      <c r="C187" s="8"/>
      <c r="E187" s="67"/>
      <c r="F187" s="380"/>
      <c r="G187" s="8"/>
      <c r="H187" s="8"/>
      <c r="I187" s="8"/>
      <c r="J187" s="9"/>
      <c r="K187" s="9">
        <f t="shared" si="35"/>
        <v>0</v>
      </c>
      <c r="L187" s="35">
        <f t="shared" si="36"/>
        <v>0</v>
      </c>
      <c r="M187" s="2"/>
      <c r="O187" s="19"/>
      <c r="P187" s="19"/>
      <c r="Q187" s="19"/>
      <c r="R187" s="21"/>
      <c r="S187" s="46"/>
      <c r="T187" s="44"/>
      <c r="U187" s="77"/>
      <c r="V187" s="24"/>
      <c r="W187" s="24"/>
      <c r="X187" s="193"/>
      <c r="Y187" s="15"/>
    </row>
    <row r="188" spans="2:25" x14ac:dyDescent="0.25">
      <c r="B188" s="15">
        <v>186</v>
      </c>
      <c r="C188" s="8"/>
      <c r="E188" s="67"/>
      <c r="F188" s="380"/>
      <c r="G188" s="8"/>
      <c r="H188" s="8"/>
      <c r="I188" s="8"/>
      <c r="J188" s="9"/>
      <c r="K188" s="9">
        <f t="shared" si="35"/>
        <v>0</v>
      </c>
      <c r="L188" s="35">
        <f t="shared" si="36"/>
        <v>0</v>
      </c>
      <c r="M188" s="2"/>
      <c r="O188" s="19"/>
      <c r="P188" s="19"/>
      <c r="Q188" s="19"/>
      <c r="R188" s="21"/>
      <c r="S188" s="46"/>
      <c r="T188" s="44"/>
      <c r="U188" s="77"/>
      <c r="V188" s="24"/>
      <c r="W188" s="24"/>
      <c r="X188" s="193"/>
      <c r="Y188" s="15"/>
    </row>
    <row r="189" spans="2:25" x14ac:dyDescent="0.25">
      <c r="B189" s="15">
        <v>187</v>
      </c>
      <c r="C189" s="8"/>
      <c r="E189" s="67"/>
      <c r="F189" s="380"/>
      <c r="G189" s="8"/>
      <c r="H189" s="8"/>
      <c r="I189" s="8"/>
      <c r="J189" s="9"/>
      <c r="K189" s="9">
        <f t="shared" si="35"/>
        <v>0</v>
      </c>
      <c r="L189" s="35">
        <f t="shared" si="36"/>
        <v>0</v>
      </c>
      <c r="M189" s="2"/>
      <c r="O189" s="19"/>
      <c r="P189" s="19"/>
      <c r="Q189" s="19"/>
      <c r="R189" s="21"/>
      <c r="S189" s="46"/>
      <c r="T189" s="44"/>
      <c r="U189" s="77"/>
      <c r="V189" s="24"/>
      <c r="W189" s="24"/>
      <c r="X189" s="193"/>
      <c r="Y189" s="15"/>
    </row>
    <row r="190" spans="2:25" x14ac:dyDescent="0.25">
      <c r="B190" s="15">
        <v>188</v>
      </c>
      <c r="C190" s="8"/>
      <c r="E190" s="67"/>
      <c r="F190" s="380"/>
      <c r="G190" s="8"/>
      <c r="H190" s="8"/>
      <c r="I190" s="8"/>
      <c r="J190" s="9"/>
      <c r="K190" s="9">
        <f t="shared" si="35"/>
        <v>0</v>
      </c>
      <c r="L190" s="35">
        <f t="shared" si="36"/>
        <v>0</v>
      </c>
      <c r="M190" s="2"/>
      <c r="O190" s="19"/>
      <c r="P190" s="19"/>
      <c r="Q190" s="19"/>
      <c r="R190" s="279"/>
      <c r="S190" s="46"/>
      <c r="T190" s="44"/>
      <c r="U190" s="77"/>
      <c r="V190" s="24"/>
      <c r="W190" s="24"/>
      <c r="X190" s="193"/>
      <c r="Y190" s="15"/>
    </row>
    <row r="191" spans="2:25" x14ac:dyDescent="0.25">
      <c r="B191" s="15">
        <v>189</v>
      </c>
      <c r="C191" s="8"/>
      <c r="E191" s="67"/>
      <c r="F191" s="380"/>
      <c r="G191" s="8"/>
      <c r="H191" s="8"/>
      <c r="I191" s="8"/>
      <c r="J191" s="9"/>
      <c r="K191" s="9">
        <f t="shared" si="35"/>
        <v>0</v>
      </c>
      <c r="L191" s="35">
        <f t="shared" si="36"/>
        <v>0</v>
      </c>
      <c r="M191" s="2"/>
      <c r="O191" s="19"/>
      <c r="P191" s="19"/>
      <c r="Q191" s="19"/>
      <c r="R191" s="21"/>
      <c r="S191" s="46"/>
      <c r="T191" s="44"/>
      <c r="U191" s="77"/>
      <c r="V191" s="24"/>
      <c r="W191" s="24"/>
      <c r="X191" s="193"/>
      <c r="Y191" s="15"/>
    </row>
    <row r="192" spans="2:25" x14ac:dyDescent="0.25">
      <c r="B192" s="15">
        <v>190</v>
      </c>
      <c r="C192" s="8"/>
      <c r="E192" s="67"/>
      <c r="F192" s="380"/>
      <c r="G192" s="8"/>
      <c r="H192" s="8"/>
      <c r="I192" s="8"/>
      <c r="J192" s="9"/>
      <c r="K192" s="9">
        <f t="shared" si="35"/>
        <v>0</v>
      </c>
      <c r="L192" s="35">
        <f t="shared" si="36"/>
        <v>0</v>
      </c>
      <c r="M192" s="2"/>
      <c r="O192" s="19"/>
      <c r="P192" s="19"/>
      <c r="Q192" s="19"/>
      <c r="R192" s="21"/>
      <c r="S192" s="46"/>
      <c r="T192" s="44"/>
      <c r="U192" s="77"/>
      <c r="V192" s="30"/>
      <c r="W192" s="24"/>
      <c r="X192" s="193"/>
      <c r="Y192" s="15"/>
    </row>
    <row r="193" spans="2:25" x14ac:dyDescent="0.25">
      <c r="B193" s="15">
        <v>191</v>
      </c>
      <c r="C193" s="8"/>
      <c r="E193" s="67"/>
      <c r="F193" s="380"/>
      <c r="G193" s="8"/>
      <c r="H193" s="8"/>
      <c r="I193" s="8"/>
      <c r="J193" s="9"/>
      <c r="K193" s="9">
        <f t="shared" si="35"/>
        <v>0</v>
      </c>
      <c r="L193" s="35">
        <f t="shared" si="36"/>
        <v>0</v>
      </c>
      <c r="M193" s="2"/>
      <c r="O193" s="19"/>
      <c r="P193" s="19"/>
      <c r="Q193" s="19"/>
      <c r="R193" s="21"/>
      <c r="S193" s="46"/>
      <c r="T193" s="44"/>
      <c r="U193" s="77"/>
      <c r="V193" s="30"/>
      <c r="W193" s="24"/>
      <c r="X193" s="193"/>
      <c r="Y193" s="15"/>
    </row>
    <row r="194" spans="2:25" x14ac:dyDescent="0.25">
      <c r="B194" s="15">
        <v>192</v>
      </c>
      <c r="C194" s="8"/>
      <c r="E194" s="67"/>
      <c r="F194" s="380"/>
      <c r="G194" s="8"/>
      <c r="H194" s="8"/>
      <c r="I194" s="8"/>
      <c r="J194" s="9"/>
      <c r="K194" s="9">
        <f t="shared" si="35"/>
        <v>0</v>
      </c>
      <c r="L194" s="35">
        <f t="shared" si="36"/>
        <v>0</v>
      </c>
      <c r="M194" s="2"/>
      <c r="O194" s="19"/>
      <c r="P194" s="19"/>
      <c r="Q194" s="19"/>
      <c r="R194" s="21"/>
      <c r="S194" s="46"/>
      <c r="T194" s="44"/>
      <c r="U194" s="77"/>
      <c r="V194" s="24"/>
      <c r="W194" s="24"/>
      <c r="X194" s="193"/>
      <c r="Y194" s="15"/>
    </row>
    <row r="195" spans="2:25" x14ac:dyDescent="0.25">
      <c r="B195" s="15">
        <v>193</v>
      </c>
      <c r="C195" s="8"/>
      <c r="E195" s="67"/>
      <c r="F195" s="380"/>
      <c r="G195" s="8"/>
      <c r="H195" s="8"/>
      <c r="I195" s="8"/>
      <c r="J195" s="9"/>
      <c r="K195" s="9">
        <f t="shared" ref="K195:K258" si="37">J195*1.1</f>
        <v>0</v>
      </c>
      <c r="L195" s="35">
        <f t="shared" ref="L195:L258" si="38">J195*0.00000001</f>
        <v>0</v>
      </c>
      <c r="M195" s="2"/>
      <c r="O195" s="19"/>
      <c r="P195" s="19"/>
      <c r="Q195" s="19"/>
      <c r="R195" s="21"/>
      <c r="S195" s="46"/>
      <c r="T195" s="44"/>
      <c r="U195" s="77"/>
      <c r="V195" s="24"/>
      <c r="W195" s="24"/>
      <c r="X195" s="193"/>
      <c r="Y195" s="15"/>
    </row>
    <row r="196" spans="2:25" x14ac:dyDescent="0.25">
      <c r="B196" s="15">
        <v>194</v>
      </c>
      <c r="C196" s="8"/>
      <c r="E196" s="67"/>
      <c r="F196" s="380"/>
      <c r="G196" s="8"/>
      <c r="H196" s="8"/>
      <c r="I196" s="8"/>
      <c r="J196" s="9"/>
      <c r="K196" s="9">
        <f t="shared" si="37"/>
        <v>0</v>
      </c>
      <c r="L196" s="35">
        <f t="shared" si="38"/>
        <v>0</v>
      </c>
      <c r="M196" s="2"/>
      <c r="O196" s="19"/>
      <c r="P196" s="19"/>
      <c r="Q196" s="19"/>
      <c r="R196" s="21"/>
      <c r="S196" s="46"/>
      <c r="T196" s="44"/>
      <c r="U196" s="77"/>
      <c r="V196" s="24"/>
      <c r="W196" s="24"/>
      <c r="X196" s="193"/>
      <c r="Y196" s="15"/>
    </row>
    <row r="197" spans="2:25" x14ac:dyDescent="0.25">
      <c r="B197" s="15">
        <v>195</v>
      </c>
      <c r="C197" s="8"/>
      <c r="E197" s="67"/>
      <c r="F197" s="380"/>
      <c r="G197" s="8"/>
      <c r="H197" s="8"/>
      <c r="I197" s="8"/>
      <c r="J197" s="9"/>
      <c r="K197" s="9">
        <f t="shared" si="37"/>
        <v>0</v>
      </c>
      <c r="L197" s="35">
        <f t="shared" si="38"/>
        <v>0</v>
      </c>
      <c r="M197" s="2"/>
      <c r="O197" s="19"/>
      <c r="P197" s="19"/>
      <c r="Q197" s="19"/>
      <c r="R197" s="21"/>
      <c r="S197" s="46"/>
      <c r="T197" s="44"/>
      <c r="U197" s="77"/>
      <c r="V197" s="24"/>
      <c r="W197" s="24"/>
      <c r="X197" s="193"/>
      <c r="Y197" s="15"/>
    </row>
    <row r="198" spans="2:25" x14ac:dyDescent="0.25">
      <c r="B198" s="15">
        <v>196</v>
      </c>
      <c r="C198" s="8"/>
      <c r="E198" s="67"/>
      <c r="F198" s="380"/>
      <c r="G198" s="8"/>
      <c r="H198" s="8"/>
      <c r="I198" s="8"/>
      <c r="J198" s="9"/>
      <c r="K198" s="9">
        <f t="shared" si="37"/>
        <v>0</v>
      </c>
      <c r="L198" s="35">
        <f t="shared" si="38"/>
        <v>0</v>
      </c>
      <c r="M198" s="2"/>
      <c r="O198" s="19"/>
      <c r="P198" s="19"/>
      <c r="Q198" s="19"/>
      <c r="R198" s="21"/>
      <c r="S198" s="46"/>
      <c r="T198" s="44"/>
      <c r="U198" s="77"/>
      <c r="V198" s="24"/>
      <c r="W198" s="24"/>
      <c r="X198" s="193"/>
      <c r="Y198" s="15"/>
    </row>
    <row r="199" spans="2:25" x14ac:dyDescent="0.25">
      <c r="B199" s="15">
        <v>197</v>
      </c>
      <c r="C199" s="8"/>
      <c r="E199" s="67"/>
      <c r="F199" s="380"/>
      <c r="G199" s="8"/>
      <c r="H199" s="8"/>
      <c r="I199" s="8"/>
      <c r="J199" s="9"/>
      <c r="K199" s="9">
        <f t="shared" si="37"/>
        <v>0</v>
      </c>
      <c r="L199" s="35">
        <f t="shared" si="38"/>
        <v>0</v>
      </c>
      <c r="M199" s="2"/>
      <c r="O199" s="19"/>
      <c r="P199" s="19"/>
      <c r="Q199" s="19"/>
      <c r="R199" s="21"/>
      <c r="S199" s="46"/>
      <c r="T199" s="44"/>
      <c r="U199" s="77"/>
      <c r="V199" s="24"/>
      <c r="W199" s="24"/>
      <c r="X199" s="193"/>
      <c r="Y199" s="15"/>
    </row>
    <row r="200" spans="2:25" x14ac:dyDescent="0.25">
      <c r="B200" s="15">
        <v>198</v>
      </c>
      <c r="C200" s="8"/>
      <c r="E200" s="67"/>
      <c r="F200" s="380"/>
      <c r="G200" s="8"/>
      <c r="H200" s="8"/>
      <c r="I200" s="8"/>
      <c r="J200" s="9"/>
      <c r="K200" s="9">
        <f t="shared" si="37"/>
        <v>0</v>
      </c>
      <c r="L200" s="35">
        <f t="shared" si="38"/>
        <v>0</v>
      </c>
      <c r="M200" s="2"/>
      <c r="O200" s="19"/>
      <c r="P200" s="19"/>
      <c r="Q200" s="19"/>
      <c r="R200" s="21"/>
      <c r="S200" s="46"/>
      <c r="T200" s="44"/>
      <c r="U200" s="77"/>
      <c r="V200" s="30"/>
      <c r="W200" s="24"/>
      <c r="X200" s="193"/>
      <c r="Y200" s="15"/>
    </row>
    <row r="201" spans="2:25" x14ac:dyDescent="0.25">
      <c r="B201" s="15">
        <v>199</v>
      </c>
      <c r="C201" s="8"/>
      <c r="E201" s="67"/>
      <c r="F201" s="380"/>
      <c r="G201" s="8"/>
      <c r="H201" s="8"/>
      <c r="I201" s="8"/>
      <c r="J201" s="9"/>
      <c r="K201" s="9">
        <f t="shared" si="37"/>
        <v>0</v>
      </c>
      <c r="L201" s="35">
        <f t="shared" si="38"/>
        <v>0</v>
      </c>
      <c r="M201" s="2"/>
      <c r="O201" s="19"/>
      <c r="P201" s="19"/>
      <c r="Q201" s="19"/>
      <c r="R201" s="21"/>
      <c r="S201" s="46"/>
      <c r="T201" s="44"/>
      <c r="U201" s="77"/>
      <c r="V201" s="30"/>
      <c r="W201" s="24"/>
      <c r="X201" s="193"/>
      <c r="Y201" s="15"/>
    </row>
    <row r="202" spans="2:25" x14ac:dyDescent="0.25">
      <c r="B202" s="15">
        <v>200</v>
      </c>
      <c r="C202" s="8"/>
      <c r="E202" s="67"/>
      <c r="F202" s="380"/>
      <c r="G202" s="8"/>
      <c r="H202" s="8"/>
      <c r="I202" s="8"/>
      <c r="J202" s="9"/>
      <c r="K202" s="9">
        <f t="shared" si="37"/>
        <v>0</v>
      </c>
      <c r="L202" s="35">
        <f t="shared" si="38"/>
        <v>0</v>
      </c>
      <c r="M202" s="2"/>
      <c r="O202" s="19"/>
      <c r="P202" s="19"/>
      <c r="Q202" s="19"/>
      <c r="R202" s="21"/>
      <c r="S202" s="46"/>
      <c r="T202" s="44"/>
      <c r="U202" s="77"/>
      <c r="V202" s="30"/>
      <c r="W202" s="24"/>
      <c r="X202" s="193"/>
      <c r="Y202" s="15"/>
    </row>
    <row r="203" spans="2:25" x14ac:dyDescent="0.25">
      <c r="B203" s="15">
        <v>201</v>
      </c>
      <c r="C203" s="8"/>
      <c r="E203" s="67"/>
      <c r="F203" s="380"/>
      <c r="G203" s="8"/>
      <c r="H203" s="8"/>
      <c r="I203" s="8"/>
      <c r="J203" s="9"/>
      <c r="K203" s="9">
        <f t="shared" si="37"/>
        <v>0</v>
      </c>
      <c r="L203" s="35">
        <f t="shared" si="38"/>
        <v>0</v>
      </c>
      <c r="M203" s="2"/>
      <c r="O203" s="19"/>
      <c r="P203" s="19"/>
      <c r="Q203" s="19"/>
      <c r="R203" s="21"/>
      <c r="S203" s="46"/>
      <c r="T203" s="44"/>
      <c r="U203" s="77"/>
      <c r="V203" s="24"/>
      <c r="W203" s="24"/>
      <c r="X203" s="193"/>
      <c r="Y203" s="15"/>
    </row>
    <row r="204" spans="2:25" x14ac:dyDescent="0.25">
      <c r="B204" s="15">
        <v>202</v>
      </c>
      <c r="C204" s="8"/>
      <c r="E204" s="67"/>
      <c r="F204" s="380"/>
      <c r="G204" s="8"/>
      <c r="H204" s="8"/>
      <c r="I204" s="8"/>
      <c r="J204" s="9"/>
      <c r="K204" s="9">
        <f t="shared" si="37"/>
        <v>0</v>
      </c>
      <c r="L204" s="35">
        <f t="shared" si="38"/>
        <v>0</v>
      </c>
      <c r="M204" s="2"/>
      <c r="O204" s="19"/>
      <c r="P204" s="19"/>
      <c r="Q204" s="19"/>
      <c r="R204" s="21"/>
      <c r="S204" s="46"/>
      <c r="T204" s="44"/>
      <c r="U204" s="77"/>
      <c r="V204" s="24"/>
      <c r="W204" s="24"/>
      <c r="X204" s="193"/>
      <c r="Y204" s="15"/>
    </row>
    <row r="205" spans="2:25" x14ac:dyDescent="0.25">
      <c r="B205" s="15">
        <v>203</v>
      </c>
      <c r="C205" s="8"/>
      <c r="E205" s="67"/>
      <c r="F205" s="380"/>
      <c r="G205" s="8"/>
      <c r="H205" s="8"/>
      <c r="I205" s="8"/>
      <c r="J205" s="9"/>
      <c r="K205" s="9">
        <f t="shared" si="37"/>
        <v>0</v>
      </c>
      <c r="L205" s="35">
        <f t="shared" si="38"/>
        <v>0</v>
      </c>
      <c r="M205" s="2"/>
      <c r="O205" s="19"/>
      <c r="P205" s="19"/>
      <c r="Q205" s="19"/>
      <c r="R205" s="21"/>
      <c r="S205" s="46"/>
      <c r="T205" s="44"/>
      <c r="U205" s="77"/>
      <c r="V205" s="24"/>
      <c r="W205" s="24"/>
      <c r="X205" s="193"/>
      <c r="Y205" s="15"/>
    </row>
    <row r="206" spans="2:25" x14ac:dyDescent="0.25">
      <c r="B206" s="15">
        <v>204</v>
      </c>
      <c r="C206" s="8"/>
      <c r="E206" s="67"/>
      <c r="F206" s="380"/>
      <c r="G206" s="8"/>
      <c r="H206" s="8"/>
      <c r="I206" s="8"/>
      <c r="J206" s="9"/>
      <c r="K206" s="9">
        <f t="shared" si="37"/>
        <v>0</v>
      </c>
      <c r="L206" s="35">
        <f t="shared" si="38"/>
        <v>0</v>
      </c>
      <c r="M206" s="2"/>
      <c r="O206" s="19"/>
      <c r="P206" s="19"/>
      <c r="Q206" s="19"/>
      <c r="R206" s="21"/>
      <c r="S206" s="46"/>
      <c r="T206" s="44"/>
      <c r="U206" s="77"/>
      <c r="V206" s="24"/>
      <c r="W206" s="24"/>
      <c r="X206" s="193"/>
      <c r="Y206" s="15"/>
    </row>
    <row r="207" spans="2:25" x14ac:dyDescent="0.25">
      <c r="B207" s="15">
        <v>205</v>
      </c>
      <c r="C207" s="8"/>
      <c r="E207" s="67"/>
      <c r="F207" s="380"/>
      <c r="G207" s="8"/>
      <c r="H207" s="8"/>
      <c r="I207" s="8"/>
      <c r="J207" s="9"/>
      <c r="K207" s="9">
        <f t="shared" si="37"/>
        <v>0</v>
      </c>
      <c r="L207" s="35">
        <f t="shared" si="38"/>
        <v>0</v>
      </c>
      <c r="M207" s="2"/>
      <c r="O207" s="19"/>
      <c r="P207" s="19"/>
      <c r="Q207" s="19"/>
      <c r="R207" s="21"/>
      <c r="S207" s="46"/>
      <c r="T207" s="44"/>
      <c r="U207" s="77"/>
      <c r="V207" s="24"/>
      <c r="W207" s="24"/>
      <c r="X207" s="193"/>
      <c r="Y207" s="15"/>
    </row>
    <row r="208" spans="2:25" x14ac:dyDescent="0.25">
      <c r="B208" s="15">
        <v>206</v>
      </c>
      <c r="C208" s="8"/>
      <c r="E208" s="67"/>
      <c r="F208" s="380"/>
      <c r="G208" s="8"/>
      <c r="H208" s="8"/>
      <c r="I208" s="8"/>
      <c r="J208" s="9"/>
      <c r="K208" s="9">
        <f t="shared" si="37"/>
        <v>0</v>
      </c>
      <c r="L208" s="35">
        <f t="shared" si="38"/>
        <v>0</v>
      </c>
      <c r="M208" s="2"/>
      <c r="O208" s="19"/>
      <c r="P208" s="19"/>
      <c r="Q208" s="19"/>
      <c r="R208" s="21"/>
      <c r="S208" s="46"/>
      <c r="T208" s="44"/>
      <c r="U208" s="77"/>
      <c r="V208" s="30"/>
      <c r="W208" s="24"/>
      <c r="X208" s="193"/>
      <c r="Y208" s="15"/>
    </row>
    <row r="209" spans="2:25" x14ac:dyDescent="0.25">
      <c r="B209" s="15">
        <v>207</v>
      </c>
      <c r="C209" s="8"/>
      <c r="E209" s="67"/>
      <c r="F209" s="380"/>
      <c r="G209" s="8"/>
      <c r="H209" s="8"/>
      <c r="I209" s="8"/>
      <c r="J209" s="9"/>
      <c r="K209" s="9">
        <f t="shared" si="37"/>
        <v>0</v>
      </c>
      <c r="L209" s="35">
        <f t="shared" si="38"/>
        <v>0</v>
      </c>
      <c r="M209" s="2"/>
      <c r="O209" s="19"/>
      <c r="P209" s="19"/>
      <c r="Q209" s="19"/>
      <c r="R209" s="21"/>
      <c r="S209" s="46"/>
      <c r="T209" s="44"/>
      <c r="U209" s="77"/>
      <c r="V209" s="30"/>
      <c r="W209" s="24"/>
      <c r="X209" s="193"/>
      <c r="Y209" s="15"/>
    </row>
    <row r="210" spans="2:25" x14ac:dyDescent="0.25">
      <c r="B210" s="15">
        <v>208</v>
      </c>
      <c r="C210" s="8"/>
      <c r="E210" s="67"/>
      <c r="F210" s="380"/>
      <c r="G210" s="8"/>
      <c r="H210" s="8"/>
      <c r="I210" s="8"/>
      <c r="J210" s="9"/>
      <c r="K210" s="9">
        <f t="shared" si="37"/>
        <v>0</v>
      </c>
      <c r="L210" s="35">
        <f t="shared" si="38"/>
        <v>0</v>
      </c>
      <c r="M210" s="2"/>
      <c r="O210" s="19"/>
      <c r="P210" s="19"/>
      <c r="Q210" s="19"/>
      <c r="R210" s="21"/>
      <c r="S210" s="46"/>
      <c r="T210" s="44"/>
      <c r="U210" s="77"/>
      <c r="V210" s="24"/>
      <c r="W210" s="24"/>
      <c r="X210" s="193"/>
      <c r="Y210" s="15"/>
    </row>
    <row r="211" spans="2:25" x14ac:dyDescent="0.25">
      <c r="B211" s="15">
        <v>209</v>
      </c>
      <c r="C211" s="8"/>
      <c r="E211" s="67"/>
      <c r="F211" s="380"/>
      <c r="G211" s="8"/>
      <c r="H211" s="8"/>
      <c r="I211" s="8"/>
      <c r="J211" s="9"/>
      <c r="K211" s="9">
        <f t="shared" si="37"/>
        <v>0</v>
      </c>
      <c r="L211" s="35">
        <f t="shared" si="38"/>
        <v>0</v>
      </c>
      <c r="M211" s="2"/>
      <c r="O211" s="19"/>
      <c r="P211" s="19"/>
      <c r="Q211" s="19"/>
      <c r="R211" s="21"/>
      <c r="S211" s="46"/>
      <c r="T211" s="44"/>
      <c r="U211" s="77"/>
      <c r="V211" s="24"/>
      <c r="W211" s="24"/>
      <c r="X211" s="193"/>
      <c r="Y211" s="15"/>
    </row>
    <row r="212" spans="2:25" x14ac:dyDescent="0.25">
      <c r="B212" s="15">
        <v>210</v>
      </c>
      <c r="C212" s="8"/>
      <c r="E212" s="67"/>
      <c r="F212" s="380"/>
      <c r="G212" s="8"/>
      <c r="H212" s="8"/>
      <c r="I212" s="8"/>
      <c r="J212" s="9"/>
      <c r="K212" s="9">
        <f t="shared" si="37"/>
        <v>0</v>
      </c>
      <c r="L212" s="35">
        <f t="shared" si="38"/>
        <v>0</v>
      </c>
      <c r="M212" s="2"/>
      <c r="O212" s="19"/>
      <c r="P212" s="19"/>
      <c r="Q212" s="19"/>
      <c r="R212" s="21"/>
      <c r="S212" s="46"/>
      <c r="T212" s="44"/>
      <c r="U212" s="77"/>
      <c r="V212" s="24"/>
      <c r="W212" s="24"/>
      <c r="X212" s="193"/>
      <c r="Y212" s="15"/>
    </row>
    <row r="213" spans="2:25" x14ac:dyDescent="0.25">
      <c r="B213" s="15">
        <v>211</v>
      </c>
      <c r="C213" s="8"/>
      <c r="E213" s="67"/>
      <c r="F213" s="380"/>
      <c r="G213" s="8"/>
      <c r="H213" s="8"/>
      <c r="I213" s="8"/>
      <c r="J213" s="9"/>
      <c r="K213" s="9">
        <f t="shared" si="37"/>
        <v>0</v>
      </c>
      <c r="L213" s="35">
        <f t="shared" si="38"/>
        <v>0</v>
      </c>
      <c r="M213" s="2"/>
      <c r="O213" s="19"/>
      <c r="P213" s="19"/>
      <c r="Q213" s="19"/>
      <c r="R213" s="21"/>
      <c r="S213" s="46"/>
      <c r="T213" s="44"/>
      <c r="U213" s="77"/>
      <c r="V213" s="24"/>
      <c r="W213" s="24"/>
      <c r="X213" s="193"/>
      <c r="Y213" s="15"/>
    </row>
    <row r="214" spans="2:25" x14ac:dyDescent="0.25">
      <c r="B214" s="15">
        <v>212</v>
      </c>
      <c r="C214" s="8"/>
      <c r="E214" s="67"/>
      <c r="F214" s="380"/>
      <c r="G214" s="8"/>
      <c r="H214" s="8"/>
      <c r="I214" s="8"/>
      <c r="J214" s="9"/>
      <c r="K214" s="9">
        <f t="shared" si="37"/>
        <v>0</v>
      </c>
      <c r="L214" s="35">
        <f t="shared" si="38"/>
        <v>0</v>
      </c>
      <c r="M214" s="2"/>
      <c r="O214" s="19"/>
      <c r="P214" s="19"/>
      <c r="Q214" s="19"/>
      <c r="R214" s="21"/>
      <c r="S214" s="46"/>
      <c r="T214" s="44"/>
      <c r="U214" s="77"/>
      <c r="V214" s="24"/>
      <c r="W214" s="24"/>
      <c r="X214" s="193"/>
      <c r="Y214" s="15"/>
    </row>
    <row r="215" spans="2:25" x14ac:dyDescent="0.25">
      <c r="B215" s="15">
        <v>213</v>
      </c>
      <c r="C215" s="8"/>
      <c r="E215" s="67"/>
      <c r="F215" s="380"/>
      <c r="G215" s="8"/>
      <c r="H215" s="8"/>
      <c r="I215" s="8"/>
      <c r="J215" s="9"/>
      <c r="K215" s="9">
        <f t="shared" si="37"/>
        <v>0</v>
      </c>
      <c r="L215" s="35">
        <f t="shared" si="38"/>
        <v>0</v>
      </c>
      <c r="M215" s="2"/>
      <c r="O215" s="19"/>
      <c r="P215" s="19"/>
      <c r="Q215" s="19"/>
      <c r="R215" s="21"/>
      <c r="S215" s="46"/>
      <c r="T215" s="44"/>
      <c r="U215" s="77"/>
      <c r="V215" s="30"/>
      <c r="W215" s="24"/>
      <c r="X215" s="193"/>
      <c r="Y215" s="15"/>
    </row>
    <row r="216" spans="2:25" x14ac:dyDescent="0.25">
      <c r="B216" s="15">
        <v>214</v>
      </c>
      <c r="C216" s="8"/>
      <c r="E216" s="67"/>
      <c r="F216" s="380"/>
      <c r="G216" s="8"/>
      <c r="H216" s="8"/>
      <c r="I216" s="8"/>
      <c r="J216" s="9"/>
      <c r="K216" s="9">
        <f t="shared" si="37"/>
        <v>0</v>
      </c>
      <c r="L216" s="35">
        <f t="shared" si="38"/>
        <v>0</v>
      </c>
      <c r="M216" s="2"/>
      <c r="O216" s="19"/>
      <c r="P216" s="19"/>
      <c r="Q216" s="19"/>
      <c r="R216" s="21"/>
      <c r="S216" s="46"/>
      <c r="T216" s="44"/>
      <c r="U216" s="77"/>
      <c r="V216" s="30"/>
      <c r="W216" s="24"/>
      <c r="X216" s="193"/>
      <c r="Y216" s="15"/>
    </row>
    <row r="217" spans="2:25" x14ac:dyDescent="0.25">
      <c r="B217" s="15">
        <v>215</v>
      </c>
      <c r="C217" s="8"/>
      <c r="E217" s="67"/>
      <c r="F217" s="380"/>
      <c r="G217" s="8"/>
      <c r="H217" s="8"/>
      <c r="I217" s="8"/>
      <c r="J217" s="9"/>
      <c r="K217" s="9">
        <f t="shared" si="37"/>
        <v>0</v>
      </c>
      <c r="L217" s="35">
        <f t="shared" si="38"/>
        <v>0</v>
      </c>
      <c r="M217" s="2"/>
      <c r="O217" s="19"/>
      <c r="P217" s="19"/>
      <c r="Q217" s="19"/>
      <c r="R217" s="21"/>
      <c r="S217" s="46"/>
      <c r="T217" s="44"/>
      <c r="U217" s="77"/>
      <c r="V217" s="30"/>
      <c r="W217" s="24"/>
      <c r="X217" s="193"/>
      <c r="Y217" s="15"/>
    </row>
    <row r="218" spans="2:25" x14ac:dyDescent="0.25">
      <c r="B218" s="15">
        <v>216</v>
      </c>
      <c r="C218" s="8"/>
      <c r="E218" s="67"/>
      <c r="F218" s="380"/>
      <c r="G218" s="8"/>
      <c r="H218" s="8"/>
      <c r="I218" s="8"/>
      <c r="J218" s="9"/>
      <c r="K218" s="9">
        <f t="shared" si="37"/>
        <v>0</v>
      </c>
      <c r="L218" s="35">
        <f t="shared" si="38"/>
        <v>0</v>
      </c>
      <c r="M218" s="2"/>
      <c r="O218" s="19"/>
      <c r="P218" s="19"/>
      <c r="Q218" s="19"/>
      <c r="R218" s="21"/>
      <c r="S218" s="46"/>
      <c r="T218" s="44"/>
      <c r="U218" s="77"/>
      <c r="V218" s="30"/>
      <c r="W218" s="24"/>
      <c r="X218" s="193"/>
      <c r="Y218" s="15"/>
    </row>
    <row r="219" spans="2:25" x14ac:dyDescent="0.25">
      <c r="B219" s="15">
        <v>217</v>
      </c>
      <c r="C219" s="8"/>
      <c r="E219" s="67"/>
      <c r="F219" s="380"/>
      <c r="G219" s="8"/>
      <c r="H219" s="8"/>
      <c r="I219" s="8"/>
      <c r="J219" s="9"/>
      <c r="K219" s="9">
        <f t="shared" si="37"/>
        <v>0</v>
      </c>
      <c r="L219" s="35">
        <f t="shared" si="38"/>
        <v>0</v>
      </c>
      <c r="M219" s="2"/>
      <c r="O219" s="19"/>
      <c r="P219" s="19"/>
      <c r="Q219" s="19"/>
      <c r="R219" s="21"/>
      <c r="S219" s="46"/>
      <c r="T219" s="44"/>
      <c r="U219" s="77"/>
      <c r="V219" s="30"/>
      <c r="W219" s="24"/>
      <c r="X219" s="193"/>
      <c r="Y219" s="15"/>
    </row>
    <row r="220" spans="2:25" x14ac:dyDescent="0.25">
      <c r="B220" s="15">
        <v>218</v>
      </c>
      <c r="C220" s="8"/>
      <c r="E220" s="67"/>
      <c r="F220" s="380"/>
      <c r="G220" s="8"/>
      <c r="H220" s="8"/>
      <c r="I220" s="8"/>
      <c r="J220" s="9"/>
      <c r="K220" s="9">
        <f t="shared" si="37"/>
        <v>0</v>
      </c>
      <c r="L220" s="35">
        <f t="shared" si="38"/>
        <v>0</v>
      </c>
      <c r="M220" s="2"/>
      <c r="O220" s="19"/>
      <c r="P220" s="19"/>
      <c r="Q220" s="19"/>
      <c r="R220" s="21"/>
      <c r="S220" s="46"/>
      <c r="T220" s="44"/>
      <c r="U220" s="77"/>
      <c r="V220" s="30"/>
      <c r="W220" s="24"/>
      <c r="X220" s="193"/>
      <c r="Y220" s="15"/>
    </row>
    <row r="221" spans="2:25" x14ac:dyDescent="0.25">
      <c r="B221" s="15">
        <v>219</v>
      </c>
      <c r="C221" s="8"/>
      <c r="E221" s="67"/>
      <c r="F221" s="380"/>
      <c r="G221" s="8"/>
      <c r="H221" s="8"/>
      <c r="I221" s="8"/>
      <c r="J221" s="9"/>
      <c r="K221" s="9">
        <f t="shared" si="37"/>
        <v>0</v>
      </c>
      <c r="L221" s="35">
        <f t="shared" si="38"/>
        <v>0</v>
      </c>
      <c r="M221" s="2"/>
      <c r="O221" s="19"/>
      <c r="P221" s="19"/>
      <c r="Q221" s="19"/>
      <c r="R221" s="21"/>
      <c r="S221" s="46"/>
      <c r="T221" s="44"/>
      <c r="U221" s="77"/>
      <c r="V221" s="24"/>
      <c r="W221" s="24"/>
      <c r="X221" s="193"/>
      <c r="Y221" s="15"/>
    </row>
    <row r="222" spans="2:25" x14ac:dyDescent="0.25">
      <c r="B222" s="15">
        <v>220</v>
      </c>
      <c r="C222" s="8"/>
      <c r="E222" s="67"/>
      <c r="F222" s="380"/>
      <c r="G222" s="8"/>
      <c r="H222" s="8"/>
      <c r="I222" s="8"/>
      <c r="J222" s="9"/>
      <c r="K222" s="9">
        <f t="shared" si="37"/>
        <v>0</v>
      </c>
      <c r="L222" s="35">
        <f t="shared" si="38"/>
        <v>0</v>
      </c>
      <c r="M222" s="2"/>
      <c r="O222" s="19"/>
      <c r="P222" s="19"/>
      <c r="Q222" s="19"/>
      <c r="R222" s="21"/>
      <c r="S222" s="46"/>
      <c r="T222" s="44"/>
      <c r="U222" s="77"/>
      <c r="V222" s="24"/>
      <c r="W222" s="24"/>
      <c r="X222" s="193"/>
      <c r="Y222" s="15"/>
    </row>
    <row r="223" spans="2:25" x14ac:dyDescent="0.25">
      <c r="B223" s="15">
        <v>221</v>
      </c>
      <c r="C223" s="8"/>
      <c r="E223" s="67"/>
      <c r="F223" s="380"/>
      <c r="G223" s="8"/>
      <c r="H223" s="8"/>
      <c r="I223" s="8"/>
      <c r="J223" s="9"/>
      <c r="K223" s="9">
        <f t="shared" si="37"/>
        <v>0</v>
      </c>
      <c r="L223" s="35">
        <f t="shared" si="38"/>
        <v>0</v>
      </c>
      <c r="M223" s="2"/>
      <c r="O223" s="19"/>
      <c r="P223" s="19"/>
      <c r="Q223" s="19"/>
      <c r="R223" s="21"/>
      <c r="S223" s="46"/>
      <c r="T223" s="44"/>
      <c r="U223" s="77"/>
      <c r="V223" s="24"/>
      <c r="W223" s="24"/>
      <c r="X223" s="193"/>
      <c r="Y223" s="15"/>
    </row>
    <row r="224" spans="2:25" x14ac:dyDescent="0.25">
      <c r="B224" s="15">
        <v>222</v>
      </c>
      <c r="C224" s="8"/>
      <c r="E224" s="67"/>
      <c r="F224" s="380"/>
      <c r="G224" s="8"/>
      <c r="H224" s="8"/>
      <c r="I224" s="8"/>
      <c r="J224" s="9"/>
      <c r="K224" s="9">
        <f t="shared" si="37"/>
        <v>0</v>
      </c>
      <c r="L224" s="35">
        <f t="shared" si="38"/>
        <v>0</v>
      </c>
      <c r="M224" s="2"/>
      <c r="O224" s="19"/>
      <c r="P224" s="19"/>
      <c r="Q224" s="19"/>
      <c r="R224" s="21"/>
      <c r="S224" s="46"/>
      <c r="T224" s="44"/>
      <c r="U224" s="77"/>
      <c r="V224" s="30"/>
      <c r="W224" s="24"/>
      <c r="X224" s="193"/>
      <c r="Y224" s="15"/>
    </row>
    <row r="225" spans="2:25" x14ac:dyDescent="0.25">
      <c r="B225" s="15">
        <v>223</v>
      </c>
      <c r="C225" s="8"/>
      <c r="E225" s="67"/>
      <c r="F225" s="380"/>
      <c r="G225" s="8"/>
      <c r="H225" s="8"/>
      <c r="I225" s="8"/>
      <c r="J225" s="9"/>
      <c r="K225" s="9">
        <f t="shared" si="37"/>
        <v>0</v>
      </c>
      <c r="L225" s="35">
        <f t="shared" si="38"/>
        <v>0</v>
      </c>
      <c r="M225" s="2"/>
      <c r="O225" s="19"/>
      <c r="P225" s="19"/>
      <c r="Q225" s="19"/>
      <c r="R225" s="21"/>
      <c r="S225" s="46"/>
      <c r="T225" s="44"/>
      <c r="U225" s="77"/>
      <c r="V225" s="30"/>
      <c r="W225" s="24"/>
      <c r="X225" s="193"/>
      <c r="Y225" s="15"/>
    </row>
    <row r="226" spans="2:25" x14ac:dyDescent="0.25">
      <c r="B226" s="15">
        <v>224</v>
      </c>
      <c r="C226" s="8"/>
      <c r="E226" s="67"/>
      <c r="F226" s="380"/>
      <c r="G226" s="8"/>
      <c r="H226" s="8"/>
      <c r="I226" s="8"/>
      <c r="J226" s="9"/>
      <c r="K226" s="9">
        <f t="shared" si="37"/>
        <v>0</v>
      </c>
      <c r="L226" s="35">
        <f t="shared" si="38"/>
        <v>0</v>
      </c>
      <c r="M226" s="2"/>
      <c r="O226" s="19"/>
      <c r="P226" s="19"/>
      <c r="Q226" s="19"/>
      <c r="R226" s="21"/>
      <c r="S226" s="46"/>
      <c r="T226" s="44"/>
      <c r="U226" s="77"/>
      <c r="V226" s="24"/>
      <c r="W226" s="24"/>
      <c r="X226" s="193"/>
      <c r="Y226" s="15"/>
    </row>
    <row r="227" spans="2:25" x14ac:dyDescent="0.25">
      <c r="B227" s="15">
        <v>225</v>
      </c>
      <c r="C227" s="8"/>
      <c r="E227" s="67"/>
      <c r="F227" s="380"/>
      <c r="G227" s="8"/>
      <c r="H227" s="8"/>
      <c r="I227" s="8"/>
      <c r="J227" s="9"/>
      <c r="K227" s="9">
        <f t="shared" si="37"/>
        <v>0</v>
      </c>
      <c r="L227" s="35">
        <f t="shared" si="38"/>
        <v>0</v>
      </c>
      <c r="M227" s="2"/>
      <c r="O227" s="19"/>
      <c r="P227" s="19"/>
      <c r="Q227" s="19"/>
      <c r="R227" s="21"/>
      <c r="S227" s="46"/>
      <c r="T227" s="44"/>
      <c r="U227" s="77"/>
      <c r="V227" s="24"/>
      <c r="W227" s="24"/>
      <c r="X227" s="193"/>
      <c r="Y227" s="15"/>
    </row>
    <row r="228" spans="2:25" x14ac:dyDescent="0.25">
      <c r="B228" s="15">
        <v>226</v>
      </c>
      <c r="C228" s="8"/>
      <c r="E228" s="67"/>
      <c r="F228" s="380"/>
      <c r="G228" s="8"/>
      <c r="H228" s="8"/>
      <c r="I228" s="8"/>
      <c r="J228" s="9"/>
      <c r="K228" s="9">
        <f t="shared" si="37"/>
        <v>0</v>
      </c>
      <c r="L228" s="35">
        <f t="shared" si="38"/>
        <v>0</v>
      </c>
      <c r="M228" s="2"/>
      <c r="O228" s="19"/>
      <c r="P228" s="19"/>
      <c r="Q228" s="19"/>
      <c r="R228" s="21"/>
      <c r="S228" s="46"/>
      <c r="T228" s="44"/>
      <c r="U228" s="77"/>
      <c r="V228" s="24"/>
      <c r="W228" s="24"/>
      <c r="X228" s="193"/>
      <c r="Y228" s="15"/>
    </row>
    <row r="229" spans="2:25" x14ac:dyDescent="0.25">
      <c r="B229" s="15">
        <v>227</v>
      </c>
      <c r="C229" s="8"/>
      <c r="E229" s="67"/>
      <c r="F229" s="380"/>
      <c r="G229" s="8"/>
      <c r="H229" s="8"/>
      <c r="I229" s="8"/>
      <c r="J229" s="9"/>
      <c r="K229" s="9">
        <f t="shared" si="37"/>
        <v>0</v>
      </c>
      <c r="L229" s="35">
        <f t="shared" si="38"/>
        <v>0</v>
      </c>
      <c r="M229" s="2"/>
      <c r="O229" s="19"/>
      <c r="P229" s="19"/>
      <c r="Q229" s="19"/>
      <c r="R229" s="21"/>
      <c r="S229" s="46"/>
      <c r="T229" s="44"/>
      <c r="U229" s="77"/>
      <c r="V229" s="24"/>
      <c r="W229" s="24"/>
      <c r="X229" s="193"/>
      <c r="Y229" s="15"/>
    </row>
    <row r="230" spans="2:25" x14ac:dyDescent="0.25">
      <c r="B230" s="15">
        <v>228</v>
      </c>
      <c r="C230" s="8"/>
      <c r="E230" s="67"/>
      <c r="F230" s="380"/>
      <c r="G230" s="8"/>
      <c r="H230" s="8"/>
      <c r="I230" s="8"/>
      <c r="J230" s="9"/>
      <c r="K230" s="9">
        <f t="shared" si="37"/>
        <v>0</v>
      </c>
      <c r="L230" s="35">
        <f t="shared" si="38"/>
        <v>0</v>
      </c>
      <c r="M230" s="2"/>
      <c r="O230" s="19"/>
      <c r="P230" s="19"/>
      <c r="Q230" s="19"/>
      <c r="R230" s="21"/>
      <c r="S230" s="46"/>
      <c r="T230" s="44"/>
      <c r="U230" s="77"/>
      <c r="V230" s="30"/>
      <c r="W230" s="24"/>
      <c r="X230" s="193"/>
      <c r="Y230" s="15"/>
    </row>
    <row r="231" spans="2:25" x14ac:dyDescent="0.25">
      <c r="B231" s="15">
        <v>229</v>
      </c>
      <c r="C231" s="8"/>
      <c r="E231" s="67"/>
      <c r="F231" s="380"/>
      <c r="G231" s="8"/>
      <c r="H231" s="8"/>
      <c r="I231" s="8"/>
      <c r="J231" s="9"/>
      <c r="K231" s="9">
        <f t="shared" si="37"/>
        <v>0</v>
      </c>
      <c r="L231" s="35">
        <f t="shared" si="38"/>
        <v>0</v>
      </c>
      <c r="M231" s="2"/>
      <c r="O231" s="19"/>
      <c r="P231" s="19"/>
      <c r="Q231" s="19"/>
      <c r="R231" s="21"/>
      <c r="S231" s="46"/>
      <c r="T231" s="44"/>
      <c r="U231" s="77"/>
      <c r="V231" s="30"/>
      <c r="W231" s="24"/>
      <c r="X231" s="193"/>
      <c r="Y231" s="15"/>
    </row>
    <row r="232" spans="2:25" x14ac:dyDescent="0.25">
      <c r="B232" s="15">
        <v>230</v>
      </c>
      <c r="C232" s="8"/>
      <c r="E232" s="67"/>
      <c r="F232" s="380"/>
      <c r="G232" s="8"/>
      <c r="H232" s="8"/>
      <c r="I232" s="8"/>
      <c r="J232" s="9"/>
      <c r="K232" s="9">
        <f t="shared" si="37"/>
        <v>0</v>
      </c>
      <c r="L232" s="35">
        <f t="shared" si="38"/>
        <v>0</v>
      </c>
      <c r="M232" s="2"/>
      <c r="O232" s="19"/>
      <c r="P232" s="19"/>
      <c r="Q232" s="19"/>
      <c r="R232" s="21"/>
      <c r="S232" s="46"/>
      <c r="T232" s="44"/>
      <c r="U232" s="77"/>
      <c r="V232" s="24"/>
      <c r="W232" s="24"/>
      <c r="X232" s="193"/>
      <c r="Y232" s="15"/>
    </row>
    <row r="233" spans="2:25" x14ac:dyDescent="0.25">
      <c r="B233" s="15">
        <v>231</v>
      </c>
      <c r="C233" s="8"/>
      <c r="E233" s="67"/>
      <c r="F233" s="380"/>
      <c r="G233" s="8"/>
      <c r="H233" s="8"/>
      <c r="I233" s="8"/>
      <c r="J233" s="9"/>
      <c r="K233" s="9">
        <f t="shared" si="37"/>
        <v>0</v>
      </c>
      <c r="L233" s="35">
        <f t="shared" si="38"/>
        <v>0</v>
      </c>
      <c r="M233" s="2"/>
      <c r="O233" s="19"/>
      <c r="P233" s="19"/>
      <c r="Q233" s="19"/>
      <c r="R233" s="21"/>
      <c r="S233" s="46"/>
      <c r="T233" s="44"/>
      <c r="U233" s="77"/>
      <c r="V233" s="24"/>
      <c r="W233" s="24"/>
      <c r="X233" s="193"/>
      <c r="Y233" s="15"/>
    </row>
    <row r="234" spans="2:25" x14ac:dyDescent="0.25">
      <c r="B234" s="15">
        <v>232</v>
      </c>
      <c r="C234" s="8"/>
      <c r="E234" s="67"/>
      <c r="F234" s="380"/>
      <c r="G234" s="8"/>
      <c r="H234" s="8"/>
      <c r="I234" s="8"/>
      <c r="J234" s="9"/>
      <c r="K234" s="9">
        <f t="shared" si="37"/>
        <v>0</v>
      </c>
      <c r="L234" s="35">
        <f t="shared" si="38"/>
        <v>0</v>
      </c>
      <c r="M234" s="2"/>
      <c r="O234" s="19"/>
      <c r="P234" s="19"/>
      <c r="Q234" s="19"/>
      <c r="R234" s="21"/>
      <c r="S234" s="46"/>
      <c r="T234" s="44"/>
      <c r="U234" s="77"/>
      <c r="V234" s="24"/>
      <c r="W234" s="24"/>
      <c r="X234" s="193"/>
      <c r="Y234" s="15"/>
    </row>
    <row r="235" spans="2:25" x14ac:dyDescent="0.25">
      <c r="B235" s="15">
        <v>233</v>
      </c>
      <c r="C235" s="8"/>
      <c r="E235" s="67"/>
      <c r="F235" s="380"/>
      <c r="G235" s="8"/>
      <c r="H235" s="8"/>
      <c r="I235" s="8"/>
      <c r="J235" s="9"/>
      <c r="K235" s="9">
        <f t="shared" si="37"/>
        <v>0</v>
      </c>
      <c r="L235" s="35">
        <f t="shared" si="38"/>
        <v>0</v>
      </c>
      <c r="M235" s="2"/>
      <c r="O235" s="19"/>
      <c r="P235" s="19"/>
      <c r="Q235" s="19"/>
      <c r="R235" s="21"/>
      <c r="S235" s="46"/>
      <c r="T235" s="44"/>
      <c r="U235" s="77"/>
      <c r="V235" s="24"/>
      <c r="W235" s="24"/>
      <c r="X235" s="193"/>
      <c r="Y235" s="15"/>
    </row>
    <row r="236" spans="2:25" x14ac:dyDescent="0.25">
      <c r="B236" s="15">
        <v>234</v>
      </c>
      <c r="C236" s="8"/>
      <c r="E236" s="67"/>
      <c r="F236" s="380"/>
      <c r="G236" s="8"/>
      <c r="H236" s="8"/>
      <c r="I236" s="8"/>
      <c r="J236" s="9"/>
      <c r="K236" s="9">
        <f t="shared" si="37"/>
        <v>0</v>
      </c>
      <c r="L236" s="35">
        <f t="shared" si="38"/>
        <v>0</v>
      </c>
      <c r="M236" s="2"/>
      <c r="O236" s="19"/>
      <c r="P236" s="19"/>
      <c r="Q236" s="19"/>
      <c r="R236" s="21"/>
      <c r="S236" s="46"/>
      <c r="T236" s="44"/>
      <c r="U236" s="77"/>
      <c r="V236" s="24"/>
      <c r="W236" s="24"/>
      <c r="X236" s="193"/>
      <c r="Y236" s="15"/>
    </row>
    <row r="237" spans="2:25" x14ac:dyDescent="0.25">
      <c r="B237" s="15">
        <v>235</v>
      </c>
      <c r="C237" s="8"/>
      <c r="E237" s="67"/>
      <c r="F237" s="380"/>
      <c r="G237" s="8"/>
      <c r="H237" s="8"/>
      <c r="I237" s="8"/>
      <c r="J237" s="9"/>
      <c r="K237" s="9">
        <f t="shared" si="37"/>
        <v>0</v>
      </c>
      <c r="L237" s="35">
        <f t="shared" si="38"/>
        <v>0</v>
      </c>
      <c r="M237" s="2"/>
      <c r="O237" s="19"/>
      <c r="P237" s="19"/>
      <c r="Q237" s="19"/>
      <c r="R237" s="21"/>
      <c r="S237" s="46"/>
      <c r="T237" s="44"/>
      <c r="U237" s="77"/>
      <c r="V237" s="24"/>
      <c r="W237" s="24"/>
      <c r="X237" s="193"/>
      <c r="Y237" s="15"/>
    </row>
    <row r="238" spans="2:25" x14ac:dyDescent="0.25">
      <c r="B238" s="15">
        <v>236</v>
      </c>
      <c r="C238" s="8"/>
      <c r="E238" s="67"/>
      <c r="F238" s="380"/>
      <c r="G238" s="8"/>
      <c r="H238" s="8"/>
      <c r="I238" s="8"/>
      <c r="J238" s="9"/>
      <c r="K238" s="9">
        <f t="shared" si="37"/>
        <v>0</v>
      </c>
      <c r="L238" s="35">
        <f t="shared" si="38"/>
        <v>0</v>
      </c>
      <c r="M238" s="2"/>
      <c r="O238" s="19"/>
      <c r="P238" s="19"/>
      <c r="Q238" s="19"/>
      <c r="R238" s="21"/>
      <c r="S238" s="46"/>
      <c r="T238" s="44"/>
      <c r="U238" s="77"/>
      <c r="V238" s="30"/>
      <c r="W238" s="24"/>
      <c r="X238" s="193"/>
      <c r="Y238" s="15"/>
    </row>
    <row r="239" spans="2:25" x14ac:dyDescent="0.25">
      <c r="B239" s="15">
        <v>235</v>
      </c>
      <c r="C239" s="8"/>
      <c r="E239" s="67"/>
      <c r="F239" s="380"/>
      <c r="G239" s="8"/>
      <c r="H239" s="8"/>
      <c r="I239" s="8"/>
      <c r="J239" s="9"/>
      <c r="K239" s="9">
        <f t="shared" si="37"/>
        <v>0</v>
      </c>
      <c r="L239" s="35">
        <f t="shared" si="38"/>
        <v>0</v>
      </c>
      <c r="M239" s="2"/>
      <c r="O239" s="19"/>
      <c r="P239" s="19"/>
      <c r="Q239" s="19"/>
      <c r="R239" s="21"/>
      <c r="S239" s="46"/>
      <c r="T239" s="44"/>
      <c r="U239" s="77"/>
      <c r="V239" s="24"/>
      <c r="W239" s="24"/>
      <c r="X239" s="193"/>
      <c r="Y239" s="15"/>
    </row>
    <row r="240" spans="2:25" x14ac:dyDescent="0.25">
      <c r="B240" s="15">
        <v>238</v>
      </c>
      <c r="C240" s="8"/>
      <c r="E240" s="67"/>
      <c r="F240" s="380"/>
      <c r="G240" s="8"/>
      <c r="H240" s="8"/>
      <c r="I240" s="8"/>
      <c r="J240" s="9"/>
      <c r="K240" s="9">
        <f t="shared" si="37"/>
        <v>0</v>
      </c>
      <c r="L240" s="35">
        <f t="shared" si="38"/>
        <v>0</v>
      </c>
      <c r="M240" s="2"/>
      <c r="O240" s="19"/>
      <c r="P240" s="19"/>
      <c r="Q240" s="19"/>
      <c r="R240" s="21"/>
      <c r="S240" s="46"/>
      <c r="T240" s="44"/>
      <c r="U240" s="77"/>
      <c r="V240" s="24"/>
      <c r="W240" s="24"/>
      <c r="X240" s="193"/>
      <c r="Y240" s="15"/>
    </row>
    <row r="241" spans="2:25" x14ac:dyDescent="0.25">
      <c r="B241" s="15">
        <v>239</v>
      </c>
      <c r="C241" s="8"/>
      <c r="E241" s="67"/>
      <c r="F241" s="380"/>
      <c r="G241" s="8"/>
      <c r="H241" s="8"/>
      <c r="I241" s="8"/>
      <c r="J241" s="9"/>
      <c r="K241" s="9">
        <f t="shared" si="37"/>
        <v>0</v>
      </c>
      <c r="L241" s="35">
        <f t="shared" si="38"/>
        <v>0</v>
      </c>
      <c r="M241" s="2"/>
      <c r="O241" s="19"/>
      <c r="P241" s="19"/>
      <c r="Q241" s="19"/>
      <c r="R241" s="21"/>
      <c r="S241" s="46"/>
      <c r="T241" s="44"/>
      <c r="U241" s="77"/>
      <c r="V241" s="24"/>
      <c r="W241" s="24"/>
      <c r="X241" s="193"/>
      <c r="Y241" s="15"/>
    </row>
    <row r="242" spans="2:25" x14ac:dyDescent="0.25">
      <c r="B242" s="15">
        <v>240</v>
      </c>
      <c r="C242" s="8"/>
      <c r="E242" s="67"/>
      <c r="F242" s="380"/>
      <c r="G242" s="8"/>
      <c r="H242" s="8"/>
      <c r="I242" s="8"/>
      <c r="J242" s="9"/>
      <c r="K242" s="9">
        <f t="shared" si="37"/>
        <v>0</v>
      </c>
      <c r="L242" s="35">
        <f t="shared" si="38"/>
        <v>0</v>
      </c>
      <c r="M242" s="2"/>
      <c r="O242" s="19"/>
      <c r="P242" s="19"/>
      <c r="Q242" s="19"/>
      <c r="R242" s="21"/>
      <c r="S242" s="46"/>
      <c r="T242" s="44"/>
      <c r="U242" s="77"/>
      <c r="V242" s="24"/>
      <c r="W242" s="24"/>
      <c r="X242" s="193"/>
      <c r="Y242" s="15"/>
    </row>
    <row r="243" spans="2:25" x14ac:dyDescent="0.25">
      <c r="B243" s="15">
        <v>241</v>
      </c>
      <c r="C243" s="8"/>
      <c r="E243" s="67"/>
      <c r="F243" s="380"/>
      <c r="G243" s="8"/>
      <c r="H243" s="8"/>
      <c r="I243" s="8"/>
      <c r="J243" s="9"/>
      <c r="K243" s="9">
        <f t="shared" si="37"/>
        <v>0</v>
      </c>
      <c r="L243" s="35">
        <f t="shared" si="38"/>
        <v>0</v>
      </c>
      <c r="M243" s="2"/>
      <c r="O243" s="19"/>
      <c r="P243" s="19"/>
      <c r="Q243" s="19"/>
      <c r="R243" s="21"/>
      <c r="S243" s="46"/>
      <c r="T243" s="44"/>
      <c r="U243" s="77"/>
      <c r="V243" s="24"/>
      <c r="W243" s="24"/>
      <c r="X243" s="193"/>
      <c r="Y243" s="15"/>
    </row>
    <row r="244" spans="2:25" x14ac:dyDescent="0.25">
      <c r="B244" s="15">
        <v>242</v>
      </c>
      <c r="C244" s="8"/>
      <c r="E244" s="67"/>
      <c r="F244" s="380"/>
      <c r="G244" s="8"/>
      <c r="H244" s="8"/>
      <c r="I244" s="8"/>
      <c r="J244" s="9"/>
      <c r="K244" s="9">
        <f t="shared" si="37"/>
        <v>0</v>
      </c>
      <c r="L244" s="35">
        <f t="shared" si="38"/>
        <v>0</v>
      </c>
      <c r="M244" s="2"/>
      <c r="O244" s="19"/>
      <c r="P244" s="19"/>
      <c r="Q244" s="19"/>
      <c r="R244" s="21"/>
      <c r="S244" s="46"/>
      <c r="T244" s="44"/>
      <c r="U244" s="77"/>
      <c r="V244" s="30"/>
      <c r="W244" s="24"/>
      <c r="X244" s="193"/>
      <c r="Y244" s="15"/>
    </row>
    <row r="245" spans="2:25" x14ac:dyDescent="0.25">
      <c r="B245" s="15">
        <v>243</v>
      </c>
      <c r="C245" s="8"/>
      <c r="E245" s="67"/>
      <c r="F245" s="380"/>
      <c r="G245" s="8"/>
      <c r="H245" s="8"/>
      <c r="I245" s="8"/>
      <c r="J245" s="9"/>
      <c r="K245" s="9">
        <f t="shared" si="37"/>
        <v>0</v>
      </c>
      <c r="L245" s="35">
        <f t="shared" si="38"/>
        <v>0</v>
      </c>
      <c r="M245" s="2"/>
      <c r="O245" s="19"/>
      <c r="P245" s="19"/>
      <c r="Q245" s="19"/>
      <c r="R245" s="21"/>
      <c r="S245" s="46"/>
      <c r="T245" s="44"/>
      <c r="U245" s="77"/>
      <c r="V245" s="30"/>
      <c r="W245" s="24"/>
      <c r="X245" s="193"/>
      <c r="Y245" s="15"/>
    </row>
    <row r="246" spans="2:25" x14ac:dyDescent="0.25">
      <c r="B246" s="15">
        <v>244</v>
      </c>
      <c r="C246" s="8"/>
      <c r="E246" s="67"/>
      <c r="F246" s="380"/>
      <c r="G246" s="8"/>
      <c r="H246" s="8"/>
      <c r="I246" s="8"/>
      <c r="J246" s="9"/>
      <c r="K246" s="9">
        <f t="shared" si="37"/>
        <v>0</v>
      </c>
      <c r="L246" s="35">
        <f t="shared" si="38"/>
        <v>0</v>
      </c>
      <c r="M246" s="2"/>
      <c r="O246" s="19"/>
      <c r="P246" s="19"/>
      <c r="Q246" s="19"/>
      <c r="R246" s="21"/>
      <c r="S246" s="46"/>
      <c r="T246" s="44"/>
      <c r="U246" s="77"/>
      <c r="V246" s="30"/>
      <c r="W246" s="24"/>
      <c r="X246" s="193"/>
      <c r="Y246" s="15"/>
    </row>
    <row r="247" spans="2:25" x14ac:dyDescent="0.25">
      <c r="B247" s="15">
        <v>245</v>
      </c>
      <c r="C247" s="8"/>
      <c r="E247" s="67"/>
      <c r="F247" s="380"/>
      <c r="G247" s="8"/>
      <c r="H247" s="8"/>
      <c r="I247" s="8"/>
      <c r="J247" s="9"/>
      <c r="K247" s="9">
        <f t="shared" si="37"/>
        <v>0</v>
      </c>
      <c r="L247" s="35">
        <f t="shared" si="38"/>
        <v>0</v>
      </c>
      <c r="M247" s="2"/>
      <c r="O247" s="19"/>
      <c r="P247" s="19"/>
      <c r="Q247" s="19"/>
      <c r="R247" s="21"/>
      <c r="S247" s="46"/>
      <c r="T247" s="44"/>
      <c r="U247" s="77"/>
      <c r="V247" s="30"/>
      <c r="W247" s="24"/>
      <c r="X247" s="193"/>
      <c r="Y247" s="15"/>
    </row>
    <row r="248" spans="2:25" x14ac:dyDescent="0.25">
      <c r="B248" s="15">
        <v>246</v>
      </c>
      <c r="C248" s="8"/>
      <c r="E248" s="67"/>
      <c r="F248" s="380"/>
      <c r="G248" s="8"/>
      <c r="H248" s="8"/>
      <c r="I248" s="8"/>
      <c r="J248" s="9"/>
      <c r="K248" s="9">
        <f t="shared" si="37"/>
        <v>0</v>
      </c>
      <c r="L248" s="35">
        <f t="shared" si="38"/>
        <v>0</v>
      </c>
      <c r="M248" s="2"/>
      <c r="O248" s="19"/>
      <c r="P248" s="19"/>
      <c r="Q248" s="19"/>
      <c r="R248" s="21"/>
      <c r="S248" s="46"/>
      <c r="T248" s="44"/>
      <c r="U248" s="77"/>
      <c r="V248" s="24"/>
      <c r="W248" s="24"/>
      <c r="X248" s="193"/>
      <c r="Y248" s="15"/>
    </row>
    <row r="249" spans="2:25" x14ac:dyDescent="0.25">
      <c r="B249" s="15">
        <v>247</v>
      </c>
      <c r="C249" s="8"/>
      <c r="E249" s="67"/>
      <c r="F249" s="380"/>
      <c r="G249" s="8"/>
      <c r="H249" s="8"/>
      <c r="I249" s="8"/>
      <c r="J249" s="9"/>
      <c r="K249" s="9">
        <f t="shared" si="37"/>
        <v>0</v>
      </c>
      <c r="L249" s="35">
        <f t="shared" si="38"/>
        <v>0</v>
      </c>
      <c r="M249" s="2"/>
      <c r="O249" s="19"/>
      <c r="P249" s="19"/>
      <c r="Q249" s="19"/>
      <c r="R249" s="21"/>
      <c r="S249" s="46"/>
      <c r="T249" s="44"/>
      <c r="U249" s="77"/>
      <c r="V249" s="24"/>
      <c r="W249" s="24"/>
      <c r="X249" s="193"/>
      <c r="Y249" s="15"/>
    </row>
    <row r="250" spans="2:25" x14ac:dyDescent="0.25">
      <c r="B250" s="15">
        <v>246</v>
      </c>
      <c r="C250" s="8"/>
      <c r="E250" s="67"/>
      <c r="F250" s="380"/>
      <c r="G250" s="8"/>
      <c r="H250" s="8"/>
      <c r="I250" s="8"/>
      <c r="J250" s="9"/>
      <c r="K250" s="9">
        <f t="shared" si="37"/>
        <v>0</v>
      </c>
      <c r="L250" s="35">
        <f t="shared" si="38"/>
        <v>0</v>
      </c>
      <c r="M250" s="2"/>
      <c r="O250" s="19"/>
      <c r="P250" s="19"/>
      <c r="Q250" s="19"/>
      <c r="R250" s="21"/>
      <c r="S250" s="46"/>
      <c r="T250" s="44"/>
      <c r="U250" s="77"/>
      <c r="V250" s="24"/>
      <c r="W250" s="24"/>
      <c r="X250" s="193"/>
      <c r="Y250" s="15"/>
    </row>
    <row r="251" spans="2:25" x14ac:dyDescent="0.25">
      <c r="B251" s="15">
        <v>249</v>
      </c>
      <c r="C251" s="8"/>
      <c r="E251" s="67"/>
      <c r="F251" s="380"/>
      <c r="G251" s="8"/>
      <c r="H251" s="8"/>
      <c r="I251" s="8"/>
      <c r="J251" s="9"/>
      <c r="K251" s="9">
        <f t="shared" si="37"/>
        <v>0</v>
      </c>
      <c r="L251" s="35">
        <f t="shared" si="38"/>
        <v>0</v>
      </c>
      <c r="M251" s="2"/>
      <c r="O251" s="19"/>
      <c r="P251" s="19"/>
      <c r="Q251" s="19"/>
      <c r="R251" s="21"/>
      <c r="S251" s="46"/>
      <c r="T251" s="44"/>
      <c r="U251" s="77"/>
      <c r="V251" s="24"/>
      <c r="W251" s="24"/>
      <c r="X251" s="193"/>
      <c r="Y251" s="15"/>
    </row>
    <row r="252" spans="2:25" x14ac:dyDescent="0.25">
      <c r="B252" s="15">
        <v>250</v>
      </c>
      <c r="C252" s="8"/>
      <c r="E252" s="67"/>
      <c r="F252" s="380"/>
      <c r="G252" s="8"/>
      <c r="H252" s="8"/>
      <c r="I252" s="8"/>
      <c r="J252" s="9"/>
      <c r="K252" s="9">
        <f t="shared" si="37"/>
        <v>0</v>
      </c>
      <c r="L252" s="35">
        <f t="shared" si="38"/>
        <v>0</v>
      </c>
      <c r="M252" s="2"/>
      <c r="O252" s="19"/>
      <c r="P252" s="19"/>
      <c r="Q252" s="19"/>
      <c r="R252" s="21"/>
      <c r="S252" s="46"/>
      <c r="T252" s="44"/>
      <c r="U252" s="77"/>
      <c r="V252" s="30"/>
      <c r="W252" s="24"/>
      <c r="X252" s="193"/>
      <c r="Y252" s="15"/>
    </row>
    <row r="253" spans="2:25" x14ac:dyDescent="0.25">
      <c r="B253" s="15">
        <v>251</v>
      </c>
      <c r="C253" s="8"/>
      <c r="E253" s="67"/>
      <c r="F253" s="380"/>
      <c r="G253" s="8"/>
      <c r="H253" s="8"/>
      <c r="I253" s="8"/>
      <c r="J253" s="9"/>
      <c r="K253" s="9">
        <f t="shared" si="37"/>
        <v>0</v>
      </c>
      <c r="L253" s="35">
        <f t="shared" si="38"/>
        <v>0</v>
      </c>
      <c r="M253" s="2"/>
      <c r="O253" s="19"/>
      <c r="P253" s="19"/>
      <c r="Q253" s="19"/>
      <c r="R253" s="21"/>
      <c r="S253" s="46"/>
      <c r="T253" s="44"/>
      <c r="U253" s="77"/>
      <c r="V253" s="30"/>
      <c r="W253" s="24"/>
      <c r="X253" s="193"/>
      <c r="Y253" s="15"/>
    </row>
    <row r="254" spans="2:25" x14ac:dyDescent="0.25">
      <c r="B254" s="15">
        <v>252</v>
      </c>
      <c r="C254" s="8"/>
      <c r="E254" s="67"/>
      <c r="F254" s="380"/>
      <c r="G254" s="8"/>
      <c r="H254" s="8"/>
      <c r="I254" s="8"/>
      <c r="J254" s="9"/>
      <c r="K254" s="9">
        <f t="shared" si="37"/>
        <v>0</v>
      </c>
      <c r="L254" s="35">
        <f t="shared" si="38"/>
        <v>0</v>
      </c>
      <c r="M254" s="2"/>
      <c r="O254" s="19"/>
      <c r="P254" s="19"/>
      <c r="Q254" s="19"/>
      <c r="R254" s="21"/>
      <c r="S254" s="46"/>
      <c r="T254" s="44"/>
      <c r="U254" s="77"/>
      <c r="V254" s="24"/>
      <c r="W254" s="24"/>
      <c r="X254" s="193"/>
      <c r="Y254" s="15"/>
    </row>
    <row r="255" spans="2:25" x14ac:dyDescent="0.25">
      <c r="B255" s="15">
        <v>253</v>
      </c>
      <c r="C255" s="8"/>
      <c r="E255" s="67"/>
      <c r="F255" s="380"/>
      <c r="G255" s="8"/>
      <c r="H255" s="8"/>
      <c r="I255" s="8"/>
      <c r="J255" s="9"/>
      <c r="K255" s="9">
        <f t="shared" si="37"/>
        <v>0</v>
      </c>
      <c r="L255" s="35">
        <f t="shared" si="38"/>
        <v>0</v>
      </c>
      <c r="M255" s="2"/>
      <c r="O255" s="19"/>
      <c r="P255" s="19"/>
      <c r="Q255" s="19"/>
      <c r="R255" s="21"/>
      <c r="S255" s="46"/>
      <c r="T255" s="44"/>
      <c r="U255" s="77"/>
      <c r="V255" s="30"/>
      <c r="W255" s="24"/>
      <c r="X255" s="193"/>
      <c r="Y255" s="15"/>
    </row>
    <row r="256" spans="2:25" x14ac:dyDescent="0.25">
      <c r="B256" s="15">
        <v>254</v>
      </c>
      <c r="C256" s="8"/>
      <c r="E256" s="67"/>
      <c r="F256" s="380"/>
      <c r="G256" s="8"/>
      <c r="H256" s="8"/>
      <c r="I256" s="8"/>
      <c r="J256" s="9"/>
      <c r="K256" s="9">
        <f t="shared" si="37"/>
        <v>0</v>
      </c>
      <c r="L256" s="35">
        <f t="shared" si="38"/>
        <v>0</v>
      </c>
      <c r="M256" s="2"/>
      <c r="O256" s="19"/>
      <c r="P256" s="19"/>
      <c r="Q256" s="19"/>
      <c r="R256" s="21"/>
      <c r="S256" s="46"/>
      <c r="T256" s="44"/>
      <c r="U256" s="77"/>
      <c r="V256" s="24"/>
      <c r="W256" s="24"/>
      <c r="X256" s="193"/>
      <c r="Y256" s="15"/>
    </row>
    <row r="257" spans="2:25" x14ac:dyDescent="0.25">
      <c r="B257" s="15">
        <v>255</v>
      </c>
      <c r="C257" s="8"/>
      <c r="E257" s="67"/>
      <c r="F257" s="380"/>
      <c r="G257" s="8"/>
      <c r="H257" s="8"/>
      <c r="I257" s="8"/>
      <c r="J257" s="9"/>
      <c r="K257" s="9">
        <f t="shared" si="37"/>
        <v>0</v>
      </c>
      <c r="L257" s="35">
        <f t="shared" si="38"/>
        <v>0</v>
      </c>
      <c r="M257" s="2"/>
      <c r="O257" s="19"/>
      <c r="P257" s="19"/>
      <c r="Q257" s="19"/>
      <c r="R257" s="21"/>
      <c r="S257" s="46"/>
      <c r="T257" s="44"/>
      <c r="U257" s="77"/>
      <c r="V257" s="24"/>
      <c r="W257" s="24"/>
      <c r="X257" s="193"/>
      <c r="Y257" s="15"/>
    </row>
    <row r="258" spans="2:25" x14ac:dyDescent="0.25">
      <c r="B258" s="15">
        <v>256</v>
      </c>
      <c r="C258" s="8"/>
      <c r="E258" s="67"/>
      <c r="F258" s="380"/>
      <c r="G258" s="8"/>
      <c r="H258" s="8"/>
      <c r="I258" s="8"/>
      <c r="J258" s="9"/>
      <c r="K258" s="9">
        <f t="shared" si="37"/>
        <v>0</v>
      </c>
      <c r="L258" s="35">
        <f t="shared" si="38"/>
        <v>0</v>
      </c>
      <c r="M258" s="2"/>
      <c r="O258" s="19"/>
      <c r="P258" s="19"/>
      <c r="Q258" s="19"/>
      <c r="R258" s="21"/>
      <c r="S258" s="46"/>
      <c r="T258" s="44"/>
      <c r="U258" s="77"/>
      <c r="V258" s="24"/>
      <c r="W258" s="24"/>
      <c r="X258" s="193"/>
      <c r="Y258" s="15"/>
    </row>
    <row r="259" spans="2:25" x14ac:dyDescent="0.25">
      <c r="B259" s="15">
        <v>257</v>
      </c>
      <c r="C259" s="8"/>
      <c r="E259" s="67"/>
      <c r="F259" s="380"/>
      <c r="G259" s="8"/>
      <c r="H259" s="8"/>
      <c r="I259" s="8"/>
      <c r="J259" s="9"/>
      <c r="K259" s="9">
        <f t="shared" ref="K259:K322" si="39">J259*1.1</f>
        <v>0</v>
      </c>
      <c r="L259" s="35">
        <f t="shared" ref="L259:L322" si="40">J259*0.00000001</f>
        <v>0</v>
      </c>
      <c r="M259" s="2"/>
      <c r="O259" s="19"/>
      <c r="P259" s="19"/>
      <c r="Q259" s="19"/>
      <c r="R259" s="21"/>
      <c r="S259" s="46"/>
      <c r="T259" s="44"/>
      <c r="U259" s="77"/>
      <c r="V259" s="30"/>
      <c r="W259" s="24"/>
      <c r="X259" s="193"/>
      <c r="Y259" s="15"/>
    </row>
    <row r="260" spans="2:25" x14ac:dyDescent="0.25">
      <c r="B260" s="15">
        <v>258</v>
      </c>
      <c r="C260" s="8"/>
      <c r="E260" s="67"/>
      <c r="F260" s="380"/>
      <c r="G260" s="8"/>
      <c r="H260" s="8"/>
      <c r="I260" s="8"/>
      <c r="J260" s="9"/>
      <c r="K260" s="9">
        <f t="shared" si="39"/>
        <v>0</v>
      </c>
      <c r="L260" s="35">
        <f t="shared" si="40"/>
        <v>0</v>
      </c>
      <c r="M260" s="2"/>
      <c r="O260" s="19"/>
      <c r="P260" s="19"/>
      <c r="Q260" s="19"/>
      <c r="R260" s="21"/>
      <c r="S260" s="46"/>
      <c r="T260" s="44"/>
      <c r="U260" s="77"/>
      <c r="V260" s="30"/>
      <c r="W260" s="24"/>
      <c r="X260" s="193"/>
      <c r="Y260" s="15"/>
    </row>
    <row r="261" spans="2:25" x14ac:dyDescent="0.25">
      <c r="B261" s="15">
        <v>259</v>
      </c>
      <c r="C261" s="8"/>
      <c r="E261" s="67"/>
      <c r="F261" s="380"/>
      <c r="G261" s="8"/>
      <c r="H261" s="8"/>
      <c r="I261" s="8"/>
      <c r="J261" s="9"/>
      <c r="K261" s="9">
        <f t="shared" si="39"/>
        <v>0</v>
      </c>
      <c r="L261" s="35">
        <f t="shared" si="40"/>
        <v>0</v>
      </c>
      <c r="M261" s="2"/>
      <c r="O261" s="19"/>
      <c r="P261" s="19"/>
      <c r="Q261" s="19"/>
      <c r="R261" s="21"/>
      <c r="S261" s="46"/>
      <c r="T261" s="44"/>
      <c r="U261" s="77"/>
      <c r="V261" s="24"/>
      <c r="W261" s="24"/>
      <c r="X261" s="193"/>
      <c r="Y261" s="15"/>
    </row>
    <row r="262" spans="2:25" x14ac:dyDescent="0.25">
      <c r="B262" s="15">
        <v>260</v>
      </c>
      <c r="C262" s="8"/>
      <c r="E262" s="67"/>
      <c r="F262" s="380"/>
      <c r="G262" s="8"/>
      <c r="H262" s="8"/>
      <c r="I262" s="8"/>
      <c r="J262" s="9"/>
      <c r="K262" s="9">
        <f t="shared" si="39"/>
        <v>0</v>
      </c>
      <c r="L262" s="35">
        <f t="shared" si="40"/>
        <v>0</v>
      </c>
      <c r="M262" s="2"/>
      <c r="O262" s="19"/>
      <c r="P262" s="19"/>
      <c r="Q262" s="19"/>
      <c r="R262" s="21"/>
      <c r="S262" s="46"/>
      <c r="T262" s="44"/>
      <c r="U262" s="77"/>
      <c r="V262" s="24"/>
      <c r="W262" s="24"/>
      <c r="X262" s="193"/>
      <c r="Y262" s="15"/>
    </row>
    <row r="263" spans="2:25" x14ac:dyDescent="0.25">
      <c r="B263" s="15">
        <v>261</v>
      </c>
      <c r="C263" s="8"/>
      <c r="E263" s="67"/>
      <c r="F263" s="380"/>
      <c r="G263" s="8"/>
      <c r="H263" s="8"/>
      <c r="I263" s="8"/>
      <c r="J263" s="9"/>
      <c r="K263" s="9">
        <f t="shared" si="39"/>
        <v>0</v>
      </c>
      <c r="L263" s="35">
        <f t="shared" si="40"/>
        <v>0</v>
      </c>
      <c r="M263" s="2"/>
      <c r="O263" s="19"/>
      <c r="P263" s="19"/>
      <c r="Q263" s="19"/>
      <c r="R263" s="21"/>
      <c r="S263" s="46"/>
      <c r="T263" s="44"/>
      <c r="U263" s="77"/>
      <c r="V263" s="24"/>
      <c r="W263" s="24"/>
      <c r="X263" s="193"/>
      <c r="Y263" s="15"/>
    </row>
    <row r="264" spans="2:25" x14ac:dyDescent="0.25">
      <c r="B264" s="15">
        <v>262</v>
      </c>
      <c r="C264" s="8"/>
      <c r="E264" s="67"/>
      <c r="F264" s="380"/>
      <c r="G264" s="8"/>
      <c r="H264" s="8"/>
      <c r="I264" s="8"/>
      <c r="J264" s="9"/>
      <c r="K264" s="9">
        <f t="shared" si="39"/>
        <v>0</v>
      </c>
      <c r="L264" s="35">
        <f t="shared" si="40"/>
        <v>0</v>
      </c>
      <c r="M264" s="2"/>
      <c r="O264" s="19"/>
      <c r="P264" s="19"/>
      <c r="Q264" s="19"/>
      <c r="R264" s="21"/>
      <c r="S264" s="46"/>
      <c r="T264" s="44"/>
      <c r="U264" s="77"/>
      <c r="V264" s="24"/>
      <c r="W264" s="24"/>
      <c r="X264" s="193"/>
      <c r="Y264" s="15"/>
    </row>
    <row r="265" spans="2:25" x14ac:dyDescent="0.25">
      <c r="B265" s="15">
        <v>263</v>
      </c>
      <c r="C265" s="8"/>
      <c r="E265" s="67"/>
      <c r="F265" s="380"/>
      <c r="G265" s="8"/>
      <c r="H265" s="8"/>
      <c r="I265" s="8"/>
      <c r="J265" s="9"/>
      <c r="K265" s="9">
        <f t="shared" si="39"/>
        <v>0</v>
      </c>
      <c r="L265" s="35">
        <f t="shared" si="40"/>
        <v>0</v>
      </c>
      <c r="M265" s="2"/>
      <c r="O265" s="19"/>
      <c r="P265" s="19"/>
      <c r="Q265" s="19"/>
      <c r="R265" s="21"/>
      <c r="S265" s="46"/>
      <c r="T265" s="44"/>
      <c r="U265" s="77"/>
      <c r="V265" s="24"/>
      <c r="W265" s="24"/>
      <c r="X265" s="193"/>
      <c r="Y265" s="15"/>
    </row>
    <row r="266" spans="2:25" x14ac:dyDescent="0.25">
      <c r="B266" s="15">
        <v>264</v>
      </c>
      <c r="C266" s="8"/>
      <c r="E266" s="67"/>
      <c r="F266" s="380"/>
      <c r="G266" s="8"/>
      <c r="H266" s="8"/>
      <c r="I266" s="8"/>
      <c r="J266" s="9"/>
      <c r="K266" s="9">
        <f t="shared" si="39"/>
        <v>0</v>
      </c>
      <c r="L266" s="35">
        <f t="shared" si="40"/>
        <v>0</v>
      </c>
      <c r="M266" s="2"/>
      <c r="O266" s="19"/>
      <c r="P266" s="19"/>
      <c r="Q266" s="19"/>
      <c r="R266" s="21"/>
      <c r="S266" s="46"/>
      <c r="T266" s="44"/>
      <c r="U266" s="77"/>
      <c r="V266" s="30"/>
      <c r="W266" s="24"/>
      <c r="X266" s="193"/>
      <c r="Y266" s="15"/>
    </row>
    <row r="267" spans="2:25" x14ac:dyDescent="0.25">
      <c r="B267" s="15">
        <v>265</v>
      </c>
      <c r="C267" s="8"/>
      <c r="E267" s="67"/>
      <c r="F267" s="380"/>
      <c r="G267" s="8"/>
      <c r="H267" s="8"/>
      <c r="I267" s="8"/>
      <c r="J267" s="9"/>
      <c r="K267" s="9">
        <f t="shared" si="39"/>
        <v>0</v>
      </c>
      <c r="L267" s="35">
        <f t="shared" si="40"/>
        <v>0</v>
      </c>
      <c r="M267" s="2"/>
      <c r="O267" s="19"/>
      <c r="P267" s="19"/>
      <c r="Q267" s="19"/>
      <c r="R267" s="21"/>
      <c r="S267" s="46"/>
      <c r="T267" s="44"/>
      <c r="U267" s="77"/>
      <c r="V267" s="30"/>
      <c r="W267" s="24"/>
      <c r="X267" s="193"/>
      <c r="Y267" s="15"/>
    </row>
    <row r="268" spans="2:25" x14ac:dyDescent="0.25">
      <c r="B268" s="15">
        <v>266</v>
      </c>
      <c r="C268" s="8"/>
      <c r="E268" s="67"/>
      <c r="F268" s="380"/>
      <c r="G268" s="8"/>
      <c r="H268" s="8"/>
      <c r="I268" s="8"/>
      <c r="J268" s="9"/>
      <c r="K268" s="9">
        <f t="shared" si="39"/>
        <v>0</v>
      </c>
      <c r="L268" s="35">
        <f t="shared" si="40"/>
        <v>0</v>
      </c>
      <c r="M268" s="2"/>
      <c r="O268" s="19"/>
      <c r="P268" s="19"/>
      <c r="Q268" s="19"/>
      <c r="R268" s="21"/>
      <c r="S268" s="46"/>
      <c r="T268" s="44"/>
      <c r="U268" s="77"/>
      <c r="V268" s="30"/>
      <c r="W268" s="24"/>
      <c r="X268" s="193"/>
      <c r="Y268" s="15"/>
    </row>
    <row r="269" spans="2:25" x14ac:dyDescent="0.25">
      <c r="B269" s="15">
        <v>267</v>
      </c>
      <c r="C269" s="8"/>
      <c r="E269" s="67"/>
      <c r="F269" s="380"/>
      <c r="G269" s="8"/>
      <c r="H269" s="8"/>
      <c r="I269" s="8"/>
      <c r="J269" s="9"/>
      <c r="K269" s="9">
        <f t="shared" si="39"/>
        <v>0</v>
      </c>
      <c r="L269" s="35">
        <f t="shared" si="40"/>
        <v>0</v>
      </c>
      <c r="M269" s="2"/>
      <c r="O269" s="19"/>
      <c r="P269" s="19"/>
      <c r="Q269" s="19"/>
      <c r="R269" s="21"/>
      <c r="S269" s="46"/>
      <c r="T269" s="44"/>
      <c r="U269" s="77"/>
      <c r="V269" s="30"/>
      <c r="W269" s="24"/>
      <c r="X269" s="193"/>
      <c r="Y269" s="15"/>
    </row>
    <row r="270" spans="2:25" x14ac:dyDescent="0.25">
      <c r="B270" s="15">
        <v>268</v>
      </c>
      <c r="C270" s="8"/>
      <c r="E270" s="67"/>
      <c r="F270" s="380"/>
      <c r="G270" s="8"/>
      <c r="H270" s="8"/>
      <c r="I270" s="8"/>
      <c r="J270" s="9"/>
      <c r="K270" s="9">
        <f t="shared" si="39"/>
        <v>0</v>
      </c>
      <c r="L270" s="35">
        <f t="shared" si="40"/>
        <v>0</v>
      </c>
      <c r="M270" s="2"/>
      <c r="O270" s="19"/>
      <c r="P270" s="19"/>
      <c r="Q270" s="19"/>
      <c r="R270" s="21"/>
      <c r="S270" s="46"/>
      <c r="T270" s="44"/>
      <c r="U270" s="77"/>
      <c r="V270" s="24"/>
      <c r="W270" s="24"/>
      <c r="X270" s="193"/>
      <c r="Y270" s="15"/>
    </row>
    <row r="271" spans="2:25" x14ac:dyDescent="0.25">
      <c r="B271" s="15">
        <v>269</v>
      </c>
      <c r="C271" s="8"/>
      <c r="E271" s="67"/>
      <c r="F271" s="380"/>
      <c r="G271" s="8"/>
      <c r="H271" s="8"/>
      <c r="I271" s="8"/>
      <c r="J271" s="9"/>
      <c r="K271" s="9">
        <f t="shared" si="39"/>
        <v>0</v>
      </c>
      <c r="L271" s="35">
        <f t="shared" si="40"/>
        <v>0</v>
      </c>
      <c r="M271" s="2"/>
      <c r="O271" s="19"/>
      <c r="P271" s="19"/>
      <c r="Q271" s="19"/>
      <c r="R271" s="21"/>
      <c r="S271" s="46"/>
      <c r="T271" s="44"/>
      <c r="U271" s="77"/>
      <c r="V271" s="24"/>
      <c r="W271" s="24"/>
      <c r="X271" s="193"/>
      <c r="Y271" s="15"/>
    </row>
    <row r="272" spans="2:25" x14ac:dyDescent="0.25">
      <c r="B272" s="15">
        <v>270</v>
      </c>
      <c r="C272" s="8"/>
      <c r="E272" s="67"/>
      <c r="F272" s="380"/>
      <c r="G272" s="8"/>
      <c r="H272" s="8"/>
      <c r="I272" s="8"/>
      <c r="J272" s="9"/>
      <c r="K272" s="9">
        <f t="shared" si="39"/>
        <v>0</v>
      </c>
      <c r="L272" s="35">
        <f t="shared" si="40"/>
        <v>0</v>
      </c>
      <c r="M272" s="2"/>
      <c r="O272" s="19"/>
      <c r="P272" s="19"/>
      <c r="Q272" s="19"/>
      <c r="R272" s="21"/>
      <c r="S272" s="46"/>
      <c r="T272" s="44"/>
      <c r="U272" s="77"/>
      <c r="V272" s="24"/>
      <c r="W272" s="24"/>
      <c r="X272" s="193"/>
      <c r="Y272" s="15"/>
    </row>
    <row r="273" spans="2:25" x14ac:dyDescent="0.25">
      <c r="B273" s="15">
        <v>271</v>
      </c>
      <c r="C273" s="8"/>
      <c r="E273" s="67"/>
      <c r="F273" s="380"/>
      <c r="G273" s="8"/>
      <c r="H273" s="8"/>
      <c r="I273" s="8"/>
      <c r="J273" s="9"/>
      <c r="K273" s="9">
        <f t="shared" si="39"/>
        <v>0</v>
      </c>
      <c r="L273" s="35">
        <f t="shared" si="40"/>
        <v>0</v>
      </c>
      <c r="M273" s="2"/>
      <c r="O273" s="19"/>
      <c r="P273" s="19"/>
      <c r="Q273" s="19"/>
      <c r="R273" s="21"/>
      <c r="S273" s="46"/>
      <c r="T273" s="44"/>
      <c r="U273" s="77"/>
      <c r="V273" s="24"/>
      <c r="W273" s="24"/>
      <c r="X273" s="193"/>
      <c r="Y273" s="15"/>
    </row>
    <row r="274" spans="2:25" x14ac:dyDescent="0.25">
      <c r="B274" s="15">
        <v>272</v>
      </c>
      <c r="C274" s="8"/>
      <c r="E274" s="67"/>
      <c r="F274" s="380"/>
      <c r="G274" s="8"/>
      <c r="H274" s="8"/>
      <c r="I274" s="8"/>
      <c r="J274" s="9"/>
      <c r="K274" s="9">
        <f t="shared" si="39"/>
        <v>0</v>
      </c>
      <c r="L274" s="35">
        <f t="shared" si="40"/>
        <v>0</v>
      </c>
      <c r="M274" s="2"/>
      <c r="O274" s="19"/>
      <c r="P274" s="19"/>
      <c r="Q274" s="19"/>
      <c r="R274" s="21"/>
      <c r="S274" s="46"/>
      <c r="T274" s="44"/>
      <c r="U274" s="77"/>
      <c r="V274" s="24"/>
      <c r="W274" s="24"/>
      <c r="X274" s="193"/>
      <c r="Y274" s="15"/>
    </row>
    <row r="275" spans="2:25" x14ac:dyDescent="0.25">
      <c r="B275" s="15">
        <v>273</v>
      </c>
      <c r="C275" s="8"/>
      <c r="E275" s="67"/>
      <c r="F275" s="380"/>
      <c r="G275" s="8"/>
      <c r="H275" s="8"/>
      <c r="I275" s="8"/>
      <c r="J275" s="9"/>
      <c r="K275" s="9">
        <f t="shared" si="39"/>
        <v>0</v>
      </c>
      <c r="L275" s="35">
        <f t="shared" si="40"/>
        <v>0</v>
      </c>
      <c r="M275" s="2"/>
      <c r="O275" s="19"/>
      <c r="P275" s="19"/>
      <c r="Q275" s="19"/>
      <c r="R275" s="21"/>
      <c r="S275" s="46"/>
      <c r="T275" s="44"/>
      <c r="U275" s="77"/>
      <c r="V275" s="30"/>
      <c r="W275" s="24"/>
      <c r="X275" s="193"/>
      <c r="Y275" s="15"/>
    </row>
    <row r="276" spans="2:25" x14ac:dyDescent="0.25">
      <c r="B276" s="15">
        <v>274</v>
      </c>
      <c r="C276" s="8"/>
      <c r="E276" s="67"/>
      <c r="F276" s="380"/>
      <c r="G276" s="8"/>
      <c r="H276" s="8"/>
      <c r="I276" s="8"/>
      <c r="J276" s="9"/>
      <c r="K276" s="9">
        <f t="shared" si="39"/>
        <v>0</v>
      </c>
      <c r="L276" s="35">
        <f t="shared" si="40"/>
        <v>0</v>
      </c>
      <c r="M276" s="2"/>
      <c r="O276" s="19"/>
      <c r="P276" s="19"/>
      <c r="Q276" s="19"/>
      <c r="R276" s="21"/>
      <c r="S276" s="46"/>
      <c r="T276" s="44"/>
      <c r="U276" s="77"/>
      <c r="V276" s="30"/>
      <c r="W276" s="24"/>
      <c r="X276" s="193"/>
      <c r="Y276" s="15"/>
    </row>
    <row r="277" spans="2:25" x14ac:dyDescent="0.25">
      <c r="B277" s="15">
        <v>275</v>
      </c>
      <c r="C277" s="8"/>
      <c r="E277" s="67"/>
      <c r="F277" s="380"/>
      <c r="G277" s="8"/>
      <c r="H277" s="8"/>
      <c r="I277" s="8"/>
      <c r="J277" s="9"/>
      <c r="K277" s="9">
        <f t="shared" si="39"/>
        <v>0</v>
      </c>
      <c r="L277" s="35">
        <f t="shared" si="40"/>
        <v>0</v>
      </c>
      <c r="M277" s="2"/>
      <c r="O277" s="19"/>
      <c r="P277" s="19"/>
      <c r="Q277" s="19"/>
      <c r="R277" s="21"/>
      <c r="S277" s="46"/>
      <c r="T277" s="44"/>
      <c r="U277" s="77"/>
      <c r="V277" s="24"/>
      <c r="W277" s="24"/>
      <c r="X277" s="193"/>
      <c r="Y277" s="15"/>
    </row>
    <row r="278" spans="2:25" x14ac:dyDescent="0.25">
      <c r="B278" s="15">
        <v>276</v>
      </c>
      <c r="C278" s="8"/>
      <c r="E278" s="67"/>
      <c r="F278" s="380"/>
      <c r="G278" s="8"/>
      <c r="H278" s="8"/>
      <c r="I278" s="8"/>
      <c r="J278" s="9"/>
      <c r="K278" s="9">
        <f t="shared" si="39"/>
        <v>0</v>
      </c>
      <c r="L278" s="35">
        <f t="shared" si="40"/>
        <v>0</v>
      </c>
      <c r="M278" s="2"/>
      <c r="O278" s="19"/>
      <c r="P278" s="19"/>
      <c r="Q278" s="19"/>
      <c r="R278" s="21"/>
      <c r="S278" s="46"/>
      <c r="T278" s="44"/>
      <c r="U278" s="77"/>
      <c r="V278" s="24"/>
      <c r="W278" s="24"/>
      <c r="X278" s="193"/>
      <c r="Y278" s="15"/>
    </row>
    <row r="279" spans="2:25" x14ac:dyDescent="0.25">
      <c r="B279" s="15">
        <v>277</v>
      </c>
      <c r="C279" s="8"/>
      <c r="E279" s="67"/>
      <c r="F279" s="380"/>
      <c r="G279" s="8"/>
      <c r="H279" s="8"/>
      <c r="I279" s="8"/>
      <c r="J279" s="9"/>
      <c r="K279" s="9">
        <f t="shared" si="39"/>
        <v>0</v>
      </c>
      <c r="L279" s="35">
        <f t="shared" si="40"/>
        <v>0</v>
      </c>
      <c r="M279" s="2"/>
      <c r="O279" s="19"/>
      <c r="P279" s="19"/>
      <c r="Q279" s="19"/>
      <c r="R279" s="21"/>
      <c r="S279" s="46"/>
      <c r="T279" s="44"/>
      <c r="U279" s="77"/>
      <c r="V279" s="24"/>
      <c r="W279" s="24"/>
      <c r="X279" s="193"/>
      <c r="Y279" s="15"/>
    </row>
    <row r="280" spans="2:25" x14ac:dyDescent="0.25">
      <c r="B280" s="15">
        <v>278</v>
      </c>
      <c r="C280" s="8"/>
      <c r="E280" s="67"/>
      <c r="F280" s="380"/>
      <c r="G280" s="8"/>
      <c r="H280" s="8"/>
      <c r="I280" s="8"/>
      <c r="J280" s="9"/>
      <c r="K280" s="9">
        <f t="shared" si="39"/>
        <v>0</v>
      </c>
      <c r="L280" s="35">
        <f t="shared" si="40"/>
        <v>0</v>
      </c>
      <c r="M280" s="2"/>
      <c r="O280" s="19"/>
      <c r="P280" s="19"/>
      <c r="Q280" s="19"/>
      <c r="R280" s="21"/>
      <c r="S280" s="46"/>
      <c r="T280" s="44"/>
      <c r="U280" s="77"/>
      <c r="V280" s="24"/>
      <c r="W280" s="24"/>
      <c r="X280" s="193"/>
      <c r="Y280" s="15"/>
    </row>
    <row r="281" spans="2:25" x14ac:dyDescent="0.25">
      <c r="B281" s="15">
        <v>279</v>
      </c>
      <c r="C281" s="8"/>
      <c r="E281" s="67"/>
      <c r="F281" s="380"/>
      <c r="G281" s="8"/>
      <c r="H281" s="8"/>
      <c r="I281" s="8"/>
      <c r="J281" s="9"/>
      <c r="K281" s="9">
        <f t="shared" si="39"/>
        <v>0</v>
      </c>
      <c r="L281" s="35">
        <f t="shared" si="40"/>
        <v>0</v>
      </c>
      <c r="M281" s="2"/>
      <c r="O281" s="19"/>
      <c r="P281" s="19"/>
      <c r="Q281" s="19"/>
      <c r="R281" s="21"/>
      <c r="S281" s="46"/>
      <c r="T281" s="44"/>
      <c r="U281" s="77"/>
      <c r="V281" s="24"/>
      <c r="W281" s="24"/>
      <c r="X281" s="193"/>
      <c r="Y281" s="15"/>
    </row>
    <row r="282" spans="2:25" x14ac:dyDescent="0.25">
      <c r="B282" s="15">
        <v>280</v>
      </c>
      <c r="C282" s="8"/>
      <c r="E282" s="67"/>
      <c r="F282" s="380"/>
      <c r="G282" s="8"/>
      <c r="H282" s="8"/>
      <c r="I282" s="8"/>
      <c r="J282" s="9"/>
      <c r="K282" s="9">
        <f t="shared" si="39"/>
        <v>0</v>
      </c>
      <c r="L282" s="35">
        <f t="shared" si="40"/>
        <v>0</v>
      </c>
      <c r="M282" s="2"/>
      <c r="O282" s="19"/>
      <c r="P282" s="19"/>
      <c r="Q282" s="19"/>
      <c r="R282" s="21"/>
      <c r="S282" s="46"/>
      <c r="T282" s="44"/>
      <c r="U282" s="77"/>
      <c r="V282" s="30"/>
      <c r="W282" s="24"/>
      <c r="X282" s="193"/>
      <c r="Y282" s="15"/>
    </row>
    <row r="283" spans="2:25" x14ac:dyDescent="0.25">
      <c r="B283" s="15">
        <v>281</v>
      </c>
      <c r="C283" s="8"/>
      <c r="E283" s="67"/>
      <c r="F283" s="380"/>
      <c r="G283" s="8"/>
      <c r="H283" s="8"/>
      <c r="I283" s="8"/>
      <c r="J283" s="9"/>
      <c r="K283" s="9">
        <f t="shared" si="39"/>
        <v>0</v>
      </c>
      <c r="L283" s="35">
        <f t="shared" si="40"/>
        <v>0</v>
      </c>
      <c r="M283" s="2"/>
      <c r="O283" s="19"/>
      <c r="P283" s="19"/>
      <c r="Q283" s="19"/>
      <c r="R283" s="21"/>
      <c r="S283" s="46"/>
      <c r="T283" s="44"/>
      <c r="U283" s="77"/>
      <c r="V283" s="30"/>
      <c r="W283" s="24"/>
      <c r="X283" s="193"/>
      <c r="Y283" s="15"/>
    </row>
    <row r="284" spans="2:25" x14ac:dyDescent="0.25">
      <c r="B284" s="15">
        <v>282</v>
      </c>
      <c r="C284" s="8"/>
      <c r="E284" s="67"/>
      <c r="F284" s="380"/>
      <c r="G284" s="8"/>
      <c r="H284" s="8"/>
      <c r="I284" s="8"/>
      <c r="J284" s="9"/>
      <c r="K284" s="9">
        <f t="shared" si="39"/>
        <v>0</v>
      </c>
      <c r="L284" s="35">
        <f t="shared" si="40"/>
        <v>0</v>
      </c>
      <c r="M284" s="2"/>
      <c r="O284" s="19"/>
      <c r="P284" s="19"/>
      <c r="Q284" s="19"/>
      <c r="R284" s="21"/>
      <c r="S284" s="46"/>
      <c r="T284" s="44"/>
      <c r="U284" s="77"/>
      <c r="V284" s="30"/>
      <c r="W284" s="24"/>
      <c r="X284" s="193"/>
      <c r="Y284" s="15"/>
    </row>
    <row r="285" spans="2:25" x14ac:dyDescent="0.25">
      <c r="B285" s="15">
        <v>283</v>
      </c>
      <c r="C285" s="8"/>
      <c r="E285" s="67"/>
      <c r="K285" s="9">
        <f t="shared" si="39"/>
        <v>0</v>
      </c>
      <c r="L285" s="35">
        <f t="shared" si="40"/>
        <v>0</v>
      </c>
      <c r="S285" s="5"/>
      <c r="T285" s="44"/>
      <c r="U285" s="77"/>
      <c r="V285" s="79"/>
      <c r="W285" s="24"/>
      <c r="X285" s="193"/>
      <c r="Y285" s="15"/>
    </row>
    <row r="286" spans="2:25" x14ac:dyDescent="0.25">
      <c r="B286" s="15">
        <v>284</v>
      </c>
      <c r="C286" s="8"/>
      <c r="K286" s="9">
        <f t="shared" si="39"/>
        <v>0</v>
      </c>
      <c r="L286" s="35">
        <f t="shared" si="40"/>
        <v>0</v>
      </c>
      <c r="T286" s="44"/>
      <c r="U286" s="77"/>
      <c r="V286" s="79"/>
      <c r="W286" s="24"/>
      <c r="X286" s="193"/>
      <c r="Y286" s="15"/>
    </row>
    <row r="287" spans="2:25" x14ac:dyDescent="0.25">
      <c r="B287" s="15">
        <v>285</v>
      </c>
      <c r="C287" s="8"/>
      <c r="K287" s="9">
        <f t="shared" si="39"/>
        <v>0</v>
      </c>
      <c r="L287" s="35">
        <f t="shared" si="40"/>
        <v>0</v>
      </c>
      <c r="T287" s="44"/>
      <c r="U287" s="77"/>
      <c r="V287" s="79"/>
      <c r="W287" s="24"/>
      <c r="X287" s="193"/>
      <c r="Y287" s="15"/>
    </row>
    <row r="288" spans="2:25" x14ac:dyDescent="0.25">
      <c r="B288" s="15">
        <v>286</v>
      </c>
      <c r="C288" s="8"/>
      <c r="K288" s="9">
        <f t="shared" si="39"/>
        <v>0</v>
      </c>
      <c r="L288" s="35">
        <f t="shared" si="40"/>
        <v>0</v>
      </c>
      <c r="T288" s="44"/>
      <c r="U288" s="77"/>
      <c r="V288" s="79"/>
      <c r="W288" s="24"/>
      <c r="X288" s="193"/>
      <c r="Y288" s="15"/>
    </row>
    <row r="289" spans="2:25" x14ac:dyDescent="0.25">
      <c r="B289" s="15">
        <v>287</v>
      </c>
      <c r="C289" s="8"/>
      <c r="K289" s="9">
        <f t="shared" si="39"/>
        <v>0</v>
      </c>
      <c r="L289" s="35">
        <f t="shared" si="40"/>
        <v>0</v>
      </c>
      <c r="T289" s="44"/>
      <c r="U289" s="77"/>
      <c r="V289" s="79"/>
      <c r="W289" s="24"/>
      <c r="X289" s="193"/>
      <c r="Y289" s="15"/>
    </row>
    <row r="290" spans="2:25" x14ac:dyDescent="0.25">
      <c r="B290" s="15">
        <v>288</v>
      </c>
      <c r="C290" s="8"/>
      <c r="K290" s="9">
        <f t="shared" si="39"/>
        <v>0</v>
      </c>
      <c r="L290" s="35">
        <f t="shared" si="40"/>
        <v>0</v>
      </c>
      <c r="T290" s="44"/>
      <c r="U290" s="77"/>
      <c r="V290" s="79"/>
      <c r="W290" s="24"/>
      <c r="X290" s="193"/>
      <c r="Y290" s="15"/>
    </row>
    <row r="291" spans="2:25" x14ac:dyDescent="0.25">
      <c r="B291" s="15">
        <v>289</v>
      </c>
      <c r="C291" s="8"/>
      <c r="K291" s="9">
        <f t="shared" si="39"/>
        <v>0</v>
      </c>
      <c r="L291" s="35">
        <f t="shared" si="40"/>
        <v>0</v>
      </c>
      <c r="T291" s="44"/>
      <c r="U291" s="77"/>
      <c r="V291" s="79"/>
      <c r="W291" s="24"/>
      <c r="X291" s="193"/>
      <c r="Y291" s="15"/>
    </row>
    <row r="292" spans="2:25" x14ac:dyDescent="0.25">
      <c r="B292" s="15">
        <v>290</v>
      </c>
      <c r="C292" s="8"/>
      <c r="K292" s="9">
        <f t="shared" si="39"/>
        <v>0</v>
      </c>
      <c r="L292" s="35">
        <f t="shared" si="40"/>
        <v>0</v>
      </c>
      <c r="T292" s="44"/>
      <c r="U292" s="77"/>
      <c r="V292" s="79"/>
      <c r="W292" s="24"/>
      <c r="X292" s="193"/>
      <c r="Y292" s="15"/>
    </row>
    <row r="293" spans="2:25" x14ac:dyDescent="0.25">
      <c r="B293" s="15">
        <v>291</v>
      </c>
      <c r="C293" s="8"/>
      <c r="K293" s="9">
        <f t="shared" si="39"/>
        <v>0</v>
      </c>
      <c r="L293" s="35">
        <f t="shared" si="40"/>
        <v>0</v>
      </c>
      <c r="T293" s="44"/>
      <c r="U293" s="77"/>
      <c r="V293" s="79"/>
      <c r="W293" s="24"/>
      <c r="X293" s="193"/>
      <c r="Y293" s="15"/>
    </row>
    <row r="294" spans="2:25" x14ac:dyDescent="0.25">
      <c r="B294" s="15">
        <v>292</v>
      </c>
      <c r="C294" s="8"/>
      <c r="K294" s="9">
        <f t="shared" si="39"/>
        <v>0</v>
      </c>
      <c r="L294" s="35">
        <f t="shared" si="40"/>
        <v>0</v>
      </c>
      <c r="T294" s="44"/>
      <c r="U294" s="77"/>
      <c r="V294" s="79"/>
      <c r="W294" s="24"/>
      <c r="X294" s="193"/>
      <c r="Y294" s="15"/>
    </row>
    <row r="295" spans="2:25" x14ac:dyDescent="0.25">
      <c r="B295" s="15">
        <v>293</v>
      </c>
      <c r="C295" s="8"/>
      <c r="K295" s="9">
        <f t="shared" si="39"/>
        <v>0</v>
      </c>
      <c r="L295" s="35">
        <f t="shared" si="40"/>
        <v>0</v>
      </c>
      <c r="T295" s="44"/>
      <c r="U295" s="77"/>
      <c r="V295" s="79"/>
      <c r="W295" s="24"/>
      <c r="X295" s="193"/>
      <c r="Y295" s="15"/>
    </row>
    <row r="296" spans="2:25" x14ac:dyDescent="0.25">
      <c r="B296" s="15">
        <v>294</v>
      </c>
      <c r="C296" s="8"/>
      <c r="K296" s="9">
        <f t="shared" si="39"/>
        <v>0</v>
      </c>
      <c r="L296" s="35">
        <f t="shared" si="40"/>
        <v>0</v>
      </c>
      <c r="T296" s="44"/>
      <c r="U296" s="77"/>
      <c r="V296" s="79"/>
      <c r="W296" s="24"/>
      <c r="X296" s="193"/>
      <c r="Y296" s="15"/>
    </row>
    <row r="297" spans="2:25" x14ac:dyDescent="0.25">
      <c r="B297" s="15">
        <v>295</v>
      </c>
      <c r="C297" s="8"/>
      <c r="K297" s="9">
        <f t="shared" si="39"/>
        <v>0</v>
      </c>
      <c r="L297" s="35">
        <f t="shared" si="40"/>
        <v>0</v>
      </c>
      <c r="T297" s="44"/>
      <c r="U297" s="77"/>
      <c r="V297" s="79"/>
      <c r="W297" s="24"/>
      <c r="X297" s="193"/>
      <c r="Y297" s="15"/>
    </row>
    <row r="298" spans="2:25" x14ac:dyDescent="0.25">
      <c r="B298" s="15">
        <v>296</v>
      </c>
      <c r="C298" s="8"/>
      <c r="K298" s="9">
        <f t="shared" si="39"/>
        <v>0</v>
      </c>
      <c r="L298" s="35">
        <f t="shared" si="40"/>
        <v>0</v>
      </c>
      <c r="T298" s="44"/>
      <c r="U298" s="77"/>
      <c r="V298" s="79"/>
      <c r="W298" s="24"/>
      <c r="X298" s="193"/>
      <c r="Y298" s="15"/>
    </row>
    <row r="299" spans="2:25" x14ac:dyDescent="0.25">
      <c r="B299" s="15">
        <v>297</v>
      </c>
      <c r="C299" s="8"/>
      <c r="K299" s="9">
        <f t="shared" si="39"/>
        <v>0</v>
      </c>
      <c r="L299" s="35">
        <f t="shared" si="40"/>
        <v>0</v>
      </c>
      <c r="T299" s="44"/>
      <c r="U299" s="77"/>
      <c r="V299" s="79"/>
      <c r="W299" s="24"/>
      <c r="X299" s="193"/>
      <c r="Y299" s="15"/>
    </row>
    <row r="300" spans="2:25" x14ac:dyDescent="0.25">
      <c r="B300" s="15">
        <v>298</v>
      </c>
      <c r="C300" s="8"/>
      <c r="K300" s="9">
        <f t="shared" si="39"/>
        <v>0</v>
      </c>
      <c r="L300" s="35">
        <f t="shared" si="40"/>
        <v>0</v>
      </c>
      <c r="T300" s="44"/>
      <c r="U300" s="77"/>
      <c r="V300" s="79"/>
      <c r="W300" s="24"/>
      <c r="X300" s="193"/>
      <c r="Y300" s="15"/>
    </row>
    <row r="301" spans="2:25" x14ac:dyDescent="0.25">
      <c r="B301" s="15">
        <v>298</v>
      </c>
      <c r="C301" s="8"/>
      <c r="K301" s="9">
        <f t="shared" si="39"/>
        <v>0</v>
      </c>
      <c r="L301" s="35">
        <f t="shared" si="40"/>
        <v>0</v>
      </c>
      <c r="T301" s="44"/>
      <c r="U301" s="77"/>
      <c r="V301" s="79"/>
      <c r="W301" s="24"/>
      <c r="X301" s="193"/>
      <c r="Y301" s="15"/>
    </row>
    <row r="302" spans="2:25" x14ac:dyDescent="0.25">
      <c r="B302" s="15">
        <v>298</v>
      </c>
      <c r="G302" s="8"/>
      <c r="H302" s="8"/>
      <c r="K302" s="9">
        <f t="shared" si="39"/>
        <v>0</v>
      </c>
      <c r="L302" s="35">
        <f t="shared" si="40"/>
        <v>0</v>
      </c>
      <c r="W302" s="24"/>
    </row>
    <row r="303" spans="2:25" x14ac:dyDescent="0.25">
      <c r="B303" s="15">
        <v>298</v>
      </c>
      <c r="C303" s="8"/>
      <c r="K303" s="9">
        <f t="shared" si="39"/>
        <v>0</v>
      </c>
      <c r="L303" s="35">
        <f t="shared" si="40"/>
        <v>0</v>
      </c>
      <c r="W303" s="24"/>
    </row>
    <row r="304" spans="2:25" x14ac:dyDescent="0.25">
      <c r="B304" s="15">
        <v>298</v>
      </c>
      <c r="C304" s="8"/>
      <c r="K304" s="9">
        <f t="shared" si="39"/>
        <v>0</v>
      </c>
      <c r="L304" s="35">
        <f t="shared" si="40"/>
        <v>0</v>
      </c>
      <c r="W304" s="24"/>
    </row>
    <row r="305" spans="2:25" x14ac:dyDescent="0.25">
      <c r="B305" s="15">
        <v>298</v>
      </c>
      <c r="C305" s="8"/>
      <c r="E305" s="67"/>
      <c r="F305" s="380"/>
      <c r="G305" s="8"/>
      <c r="H305" s="8"/>
      <c r="I305" s="8"/>
      <c r="J305" s="9"/>
      <c r="K305" s="9">
        <f t="shared" si="39"/>
        <v>0</v>
      </c>
      <c r="L305" s="35">
        <f t="shared" si="40"/>
        <v>0</v>
      </c>
      <c r="M305" s="2"/>
      <c r="O305" s="19"/>
      <c r="P305" s="19"/>
      <c r="Q305" s="19"/>
      <c r="R305" s="21"/>
      <c r="S305" s="46"/>
      <c r="T305" s="44"/>
      <c r="U305" s="77"/>
      <c r="V305" s="24"/>
      <c r="W305" s="24"/>
      <c r="X305" s="193"/>
      <c r="Y305" s="15"/>
    </row>
    <row r="306" spans="2:25" x14ac:dyDescent="0.25">
      <c r="B306" s="15">
        <v>298</v>
      </c>
      <c r="C306" s="8"/>
      <c r="E306" s="67"/>
      <c r="F306" s="380"/>
      <c r="G306" s="8"/>
      <c r="H306" s="8"/>
      <c r="I306" s="8"/>
      <c r="J306" s="9"/>
      <c r="K306" s="9">
        <f t="shared" si="39"/>
        <v>0</v>
      </c>
      <c r="L306" s="35">
        <f t="shared" si="40"/>
        <v>0</v>
      </c>
      <c r="M306" s="2"/>
      <c r="O306" s="19"/>
      <c r="P306" s="19"/>
      <c r="Q306" s="19"/>
      <c r="R306" s="21"/>
      <c r="S306" s="46"/>
      <c r="T306" s="44"/>
      <c r="U306" s="77"/>
      <c r="V306" s="24"/>
      <c r="W306" s="24"/>
      <c r="X306" s="193"/>
      <c r="Y306" s="15"/>
    </row>
    <row r="307" spans="2:25" x14ac:dyDescent="0.25">
      <c r="B307" s="15">
        <v>298</v>
      </c>
      <c r="C307" s="8"/>
      <c r="E307" s="67"/>
      <c r="F307" s="380"/>
      <c r="G307" s="8"/>
      <c r="H307" s="8"/>
      <c r="I307" s="8"/>
      <c r="J307" s="9"/>
      <c r="K307" s="9">
        <f t="shared" si="39"/>
        <v>0</v>
      </c>
      <c r="L307" s="35">
        <f t="shared" si="40"/>
        <v>0</v>
      </c>
      <c r="M307" s="2"/>
      <c r="O307" s="19"/>
      <c r="P307" s="19"/>
      <c r="Q307" s="19"/>
      <c r="R307" s="21"/>
      <c r="S307" s="46"/>
      <c r="T307" s="44"/>
      <c r="U307" s="77"/>
      <c r="V307" s="24"/>
      <c r="W307" s="24"/>
      <c r="X307" s="193"/>
      <c r="Y307" s="15"/>
    </row>
    <row r="308" spans="2:25" x14ac:dyDescent="0.25">
      <c r="B308" s="15">
        <v>298</v>
      </c>
      <c r="C308" s="8"/>
      <c r="E308" s="67"/>
      <c r="F308" s="380"/>
      <c r="G308" s="8"/>
      <c r="H308" s="8"/>
      <c r="I308" s="8"/>
      <c r="J308" s="9"/>
      <c r="K308" s="9">
        <f t="shared" si="39"/>
        <v>0</v>
      </c>
      <c r="L308" s="35">
        <f t="shared" si="40"/>
        <v>0</v>
      </c>
      <c r="M308" s="2"/>
      <c r="O308" s="19"/>
      <c r="P308" s="19"/>
      <c r="Q308" s="19"/>
      <c r="R308" s="21"/>
      <c r="S308" s="46"/>
      <c r="T308" s="44"/>
      <c r="U308" s="77"/>
      <c r="V308" s="24"/>
      <c r="W308" s="24"/>
      <c r="X308" s="193"/>
      <c r="Y308" s="15"/>
    </row>
    <row r="309" spans="2:25" x14ac:dyDescent="0.25">
      <c r="B309" s="15">
        <v>298</v>
      </c>
      <c r="C309" s="8"/>
      <c r="E309" s="67"/>
      <c r="F309" s="380"/>
      <c r="G309" s="8"/>
      <c r="H309" s="8"/>
      <c r="I309" s="8"/>
      <c r="J309" s="9"/>
      <c r="K309" s="9">
        <f t="shared" si="39"/>
        <v>0</v>
      </c>
      <c r="L309" s="35">
        <f t="shared" si="40"/>
        <v>0</v>
      </c>
      <c r="M309" s="2"/>
      <c r="O309" s="19"/>
      <c r="P309" s="19"/>
      <c r="Q309" s="19"/>
      <c r="R309" s="21"/>
      <c r="S309" s="46"/>
      <c r="T309" s="44"/>
      <c r="U309" s="77"/>
      <c r="V309" s="24"/>
      <c r="W309" s="24"/>
      <c r="X309" s="193"/>
      <c r="Y309" s="15"/>
    </row>
    <row r="310" spans="2:25" x14ac:dyDescent="0.25">
      <c r="B310" s="15">
        <v>235</v>
      </c>
      <c r="C310" s="8"/>
      <c r="E310" s="67"/>
      <c r="F310" s="380"/>
      <c r="G310" s="8"/>
      <c r="H310" s="8"/>
      <c r="I310" s="8"/>
      <c r="J310" s="9"/>
      <c r="K310" s="9">
        <f t="shared" si="39"/>
        <v>0</v>
      </c>
      <c r="L310" s="35">
        <f t="shared" si="40"/>
        <v>0</v>
      </c>
      <c r="M310" s="2"/>
      <c r="O310" s="19"/>
      <c r="P310" s="19"/>
      <c r="Q310" s="19"/>
      <c r="R310" s="21"/>
      <c r="S310" s="46"/>
      <c r="T310" s="44"/>
      <c r="U310" s="77"/>
      <c r="V310" s="24"/>
      <c r="W310" s="24"/>
      <c r="X310" s="193"/>
      <c r="Y310" s="15"/>
    </row>
    <row r="311" spans="2:25" x14ac:dyDescent="0.25">
      <c r="B311" s="15">
        <v>235</v>
      </c>
      <c r="C311" s="8"/>
      <c r="E311" s="67"/>
      <c r="F311" s="380"/>
      <c r="G311" s="8"/>
      <c r="H311" s="8"/>
      <c r="I311" s="8"/>
      <c r="J311" s="9"/>
      <c r="K311" s="9">
        <f t="shared" si="39"/>
        <v>0</v>
      </c>
      <c r="L311" s="35">
        <f t="shared" si="40"/>
        <v>0</v>
      </c>
      <c r="M311" s="2"/>
      <c r="O311" s="19"/>
      <c r="P311" s="19"/>
      <c r="Q311" s="19"/>
      <c r="R311" s="21"/>
      <c r="S311" s="46"/>
      <c r="T311" s="44"/>
      <c r="U311" s="77"/>
      <c r="V311" s="24"/>
      <c r="W311" s="24"/>
      <c r="X311" s="193"/>
      <c r="Y311" s="15"/>
    </row>
    <row r="312" spans="2:25" x14ac:dyDescent="0.25">
      <c r="B312" s="15">
        <v>235</v>
      </c>
      <c r="C312" s="8"/>
      <c r="E312" s="67"/>
      <c r="F312" s="380"/>
      <c r="G312" s="8"/>
      <c r="H312" s="8"/>
      <c r="I312" s="8"/>
      <c r="J312" s="9"/>
      <c r="K312" s="9">
        <f t="shared" si="39"/>
        <v>0</v>
      </c>
      <c r="L312" s="35">
        <f t="shared" si="40"/>
        <v>0</v>
      </c>
      <c r="M312" s="2"/>
      <c r="O312" s="19"/>
      <c r="P312" s="19"/>
      <c r="Q312" s="19"/>
      <c r="R312" s="21"/>
      <c r="S312" s="46"/>
      <c r="T312" s="44"/>
      <c r="U312" s="77"/>
      <c r="V312" s="24"/>
      <c r="W312" s="24"/>
      <c r="X312" s="193"/>
      <c r="Y312" s="15"/>
    </row>
    <row r="313" spans="2:25" x14ac:dyDescent="0.25">
      <c r="B313" s="15">
        <v>235</v>
      </c>
      <c r="C313" s="8"/>
      <c r="E313" s="67"/>
      <c r="F313" s="380"/>
      <c r="G313" s="8"/>
      <c r="H313" s="8"/>
      <c r="I313" s="8"/>
      <c r="J313" s="9"/>
      <c r="K313" s="9">
        <f t="shared" si="39"/>
        <v>0</v>
      </c>
      <c r="L313" s="35">
        <f t="shared" si="40"/>
        <v>0</v>
      </c>
      <c r="M313" s="2"/>
      <c r="O313" s="19"/>
      <c r="P313" s="19"/>
      <c r="Q313" s="19"/>
      <c r="R313" s="21"/>
      <c r="S313" s="46"/>
      <c r="T313" s="44"/>
      <c r="U313" s="77"/>
      <c r="V313" s="24"/>
      <c r="W313" s="24"/>
      <c r="X313" s="193"/>
      <c r="Y313" s="15"/>
    </row>
    <row r="314" spans="2:25" x14ac:dyDescent="0.25">
      <c r="B314" s="15">
        <v>235</v>
      </c>
      <c r="C314" s="8"/>
      <c r="E314" s="67"/>
      <c r="F314" s="380"/>
      <c r="G314" s="8"/>
      <c r="H314" s="8"/>
      <c r="I314" s="8"/>
      <c r="J314" s="9"/>
      <c r="K314" s="9">
        <f t="shared" si="39"/>
        <v>0</v>
      </c>
      <c r="L314" s="35">
        <f t="shared" si="40"/>
        <v>0</v>
      </c>
      <c r="M314" s="2"/>
      <c r="O314" s="19"/>
      <c r="P314" s="19"/>
      <c r="Q314" s="19"/>
      <c r="R314" s="21"/>
      <c r="S314" s="46"/>
      <c r="T314" s="44"/>
      <c r="U314" s="77"/>
      <c r="V314" s="24"/>
      <c r="W314" s="24"/>
      <c r="X314" s="193"/>
      <c r="Y314" s="15"/>
    </row>
    <row r="315" spans="2:25" x14ac:dyDescent="0.25">
      <c r="B315" s="15">
        <v>235</v>
      </c>
      <c r="C315" s="8"/>
      <c r="E315" s="67"/>
      <c r="F315" s="380"/>
      <c r="G315" s="8"/>
      <c r="H315" s="8"/>
      <c r="I315" s="8"/>
      <c r="J315" s="9"/>
      <c r="K315" s="9">
        <f t="shared" si="39"/>
        <v>0</v>
      </c>
      <c r="L315" s="35">
        <f t="shared" si="40"/>
        <v>0</v>
      </c>
      <c r="M315" s="2"/>
      <c r="O315" s="19"/>
      <c r="P315" s="19"/>
      <c r="Q315" s="19"/>
      <c r="R315" s="21"/>
      <c r="S315" s="46"/>
      <c r="T315" s="44"/>
      <c r="U315" s="77"/>
      <c r="V315" s="24"/>
      <c r="W315" s="24"/>
      <c r="X315" s="193"/>
      <c r="Y315" s="15"/>
    </row>
    <row r="316" spans="2:25" x14ac:dyDescent="0.25">
      <c r="B316" s="15">
        <v>235</v>
      </c>
      <c r="C316" s="8"/>
      <c r="E316" s="67"/>
      <c r="F316" s="380"/>
      <c r="G316" s="8"/>
      <c r="H316" s="8"/>
      <c r="I316" s="8"/>
      <c r="J316" s="9"/>
      <c r="K316" s="9">
        <f t="shared" si="39"/>
        <v>0</v>
      </c>
      <c r="L316" s="35">
        <f t="shared" si="40"/>
        <v>0</v>
      </c>
      <c r="M316" s="2"/>
      <c r="O316" s="19"/>
      <c r="P316" s="19"/>
      <c r="Q316" s="19"/>
      <c r="R316" s="21"/>
      <c r="S316" s="46"/>
      <c r="T316" s="44"/>
      <c r="U316" s="77"/>
      <c r="V316" s="24"/>
      <c r="W316" s="24"/>
      <c r="X316" s="193"/>
      <c r="Y316" s="15"/>
    </row>
    <row r="317" spans="2:25" x14ac:dyDescent="0.25">
      <c r="B317" s="15">
        <v>235</v>
      </c>
      <c r="C317" s="8"/>
      <c r="E317" s="67"/>
      <c r="F317" s="380"/>
      <c r="G317" s="8"/>
      <c r="H317" s="8"/>
      <c r="I317" s="8"/>
      <c r="J317" s="9"/>
      <c r="K317" s="9">
        <f t="shared" si="39"/>
        <v>0</v>
      </c>
      <c r="L317" s="35">
        <f t="shared" si="40"/>
        <v>0</v>
      </c>
      <c r="M317" s="2"/>
      <c r="O317" s="19"/>
      <c r="P317" s="19"/>
      <c r="Q317" s="19"/>
      <c r="R317" s="21"/>
      <c r="S317" s="46"/>
      <c r="T317" s="44"/>
      <c r="U317" s="77"/>
      <c r="V317" s="24"/>
      <c r="W317" s="24"/>
      <c r="X317" s="193"/>
      <c r="Y317" s="15"/>
    </row>
    <row r="318" spans="2:25" x14ac:dyDescent="0.25">
      <c r="B318" s="15">
        <v>235</v>
      </c>
      <c r="C318" s="8"/>
      <c r="E318" s="67"/>
      <c r="F318" s="380"/>
      <c r="G318" s="8"/>
      <c r="H318" s="8"/>
      <c r="I318" s="8"/>
      <c r="J318" s="9"/>
      <c r="K318" s="9">
        <f t="shared" si="39"/>
        <v>0</v>
      </c>
      <c r="L318" s="35">
        <f t="shared" si="40"/>
        <v>0</v>
      </c>
      <c r="M318" s="2"/>
      <c r="O318" s="19"/>
      <c r="P318" s="19"/>
      <c r="Q318" s="19"/>
      <c r="R318" s="21"/>
      <c r="S318" s="46"/>
      <c r="T318" s="44"/>
      <c r="U318" s="77"/>
      <c r="V318" s="24"/>
      <c r="W318" s="24"/>
      <c r="X318" s="193"/>
      <c r="Y318" s="15"/>
    </row>
    <row r="319" spans="2:25" x14ac:dyDescent="0.25">
      <c r="B319" s="15">
        <v>235</v>
      </c>
      <c r="C319" s="8"/>
      <c r="E319" s="67"/>
      <c r="F319" s="380"/>
      <c r="G319" s="8"/>
      <c r="H319" s="8"/>
      <c r="I319" s="8"/>
      <c r="J319" s="9"/>
      <c r="K319" s="9">
        <f t="shared" si="39"/>
        <v>0</v>
      </c>
      <c r="L319" s="35">
        <f t="shared" si="40"/>
        <v>0</v>
      </c>
      <c r="M319" s="2"/>
      <c r="O319" s="19"/>
      <c r="P319" s="19"/>
      <c r="Q319" s="19"/>
      <c r="R319" s="21"/>
      <c r="S319" s="46"/>
      <c r="T319" s="44"/>
      <c r="U319" s="77"/>
      <c r="V319" s="24"/>
      <c r="W319" s="24"/>
      <c r="X319" s="193"/>
      <c r="Y319" s="15"/>
    </row>
    <row r="320" spans="2:25" x14ac:dyDescent="0.25">
      <c r="B320" s="15">
        <v>235</v>
      </c>
      <c r="C320" s="8"/>
      <c r="E320" s="67"/>
      <c r="F320" s="380"/>
      <c r="G320" s="8"/>
      <c r="H320" s="8"/>
      <c r="I320" s="8"/>
      <c r="J320" s="9"/>
      <c r="K320" s="9">
        <f t="shared" si="39"/>
        <v>0</v>
      </c>
      <c r="L320" s="35">
        <f t="shared" si="40"/>
        <v>0</v>
      </c>
      <c r="M320" s="2"/>
      <c r="O320" s="19"/>
      <c r="P320" s="19"/>
      <c r="Q320" s="19"/>
      <c r="R320" s="21"/>
      <c r="S320" s="46"/>
      <c r="T320" s="44"/>
      <c r="U320" s="77"/>
      <c r="V320" s="24"/>
      <c r="W320" s="24"/>
      <c r="X320" s="193"/>
      <c r="Y320" s="15"/>
    </row>
    <row r="321" spans="2:25" x14ac:dyDescent="0.25">
      <c r="B321" s="15">
        <v>235</v>
      </c>
      <c r="C321" s="8"/>
      <c r="E321" s="67"/>
      <c r="F321" s="380"/>
      <c r="G321" s="8"/>
      <c r="H321" s="8"/>
      <c r="I321" s="8"/>
      <c r="J321" s="9"/>
      <c r="K321" s="9">
        <f t="shared" si="39"/>
        <v>0</v>
      </c>
      <c r="L321" s="35">
        <f t="shared" si="40"/>
        <v>0</v>
      </c>
      <c r="M321" s="2"/>
      <c r="O321" s="19"/>
      <c r="P321" s="19"/>
      <c r="Q321" s="19"/>
      <c r="R321" s="21"/>
      <c r="S321" s="46"/>
      <c r="T321" s="44"/>
      <c r="U321" s="77"/>
      <c r="V321" s="24"/>
      <c r="W321" s="24"/>
      <c r="X321" s="193"/>
      <c r="Y321" s="15"/>
    </row>
    <row r="322" spans="2:25" x14ac:dyDescent="0.25">
      <c r="B322" s="15">
        <v>235</v>
      </c>
      <c r="C322" s="8"/>
      <c r="E322" s="67"/>
      <c r="F322" s="380"/>
      <c r="G322" s="8"/>
      <c r="H322" s="8"/>
      <c r="I322" s="8"/>
      <c r="J322" s="9"/>
      <c r="K322" s="9">
        <f t="shared" si="39"/>
        <v>0</v>
      </c>
      <c r="L322" s="35">
        <f t="shared" si="40"/>
        <v>0</v>
      </c>
      <c r="M322" s="2"/>
      <c r="O322" s="19"/>
      <c r="P322" s="19"/>
      <c r="Q322" s="19"/>
      <c r="R322" s="21"/>
      <c r="S322" s="46"/>
      <c r="T322" s="44"/>
      <c r="U322" s="77"/>
      <c r="V322" s="24"/>
      <c r="W322" s="24"/>
      <c r="X322" s="193"/>
      <c r="Y322" s="15"/>
    </row>
    <row r="323" spans="2:25" x14ac:dyDescent="0.25">
      <c r="B323" s="15">
        <v>235</v>
      </c>
      <c r="C323" s="8"/>
      <c r="E323" s="67"/>
      <c r="F323" s="380"/>
      <c r="G323" s="8"/>
      <c r="H323" s="8"/>
      <c r="I323" s="8"/>
      <c r="J323" s="9"/>
      <c r="K323" s="9">
        <f t="shared" ref="K323:K354" si="41">J323*1.1</f>
        <v>0</v>
      </c>
      <c r="L323" s="35">
        <f t="shared" ref="L323:L354" si="42">J323*0.00000001</f>
        <v>0</v>
      </c>
      <c r="M323" s="2"/>
      <c r="O323" s="19"/>
      <c r="P323" s="19"/>
      <c r="Q323" s="19"/>
      <c r="R323" s="21"/>
      <c r="S323" s="46"/>
      <c r="T323" s="44"/>
      <c r="U323" s="77"/>
      <c r="V323" s="24"/>
      <c r="W323" s="24"/>
      <c r="X323" s="193"/>
      <c r="Y323" s="15"/>
    </row>
    <row r="324" spans="2:25" x14ac:dyDescent="0.25">
      <c r="B324" s="15">
        <v>235</v>
      </c>
      <c r="C324" s="8"/>
      <c r="E324" s="67"/>
      <c r="F324" s="380"/>
      <c r="G324" s="8"/>
      <c r="H324" s="8"/>
      <c r="I324" s="8"/>
      <c r="J324" s="9"/>
      <c r="K324" s="9">
        <f t="shared" si="41"/>
        <v>0</v>
      </c>
      <c r="L324" s="35">
        <f t="shared" si="42"/>
        <v>0</v>
      </c>
      <c r="M324" s="2"/>
      <c r="O324" s="19"/>
      <c r="P324" s="19"/>
      <c r="Q324" s="19"/>
      <c r="R324" s="21"/>
      <c r="S324" s="46"/>
      <c r="T324" s="44"/>
      <c r="U324" s="77"/>
      <c r="V324" s="24"/>
      <c r="W324" s="24"/>
      <c r="X324" s="193"/>
      <c r="Y324" s="15"/>
    </row>
    <row r="325" spans="2:25" x14ac:dyDescent="0.25">
      <c r="B325" s="15">
        <v>235</v>
      </c>
      <c r="C325" s="8"/>
      <c r="E325" s="67"/>
      <c r="F325" s="380"/>
      <c r="G325" s="8"/>
      <c r="H325" s="8"/>
      <c r="I325" s="8"/>
      <c r="J325" s="9"/>
      <c r="K325" s="9">
        <f t="shared" si="41"/>
        <v>0</v>
      </c>
      <c r="L325" s="35">
        <f t="shared" si="42"/>
        <v>0</v>
      </c>
      <c r="M325" s="2"/>
      <c r="O325" s="19"/>
      <c r="P325" s="19"/>
      <c r="Q325" s="19"/>
      <c r="R325" s="21"/>
      <c r="S325" s="46"/>
      <c r="T325" s="44"/>
      <c r="U325" s="77"/>
      <c r="V325" s="24"/>
      <c r="W325" s="24"/>
      <c r="X325" s="193"/>
      <c r="Y325" s="15"/>
    </row>
    <row r="326" spans="2:25" x14ac:dyDescent="0.25">
      <c r="B326" s="15">
        <v>235</v>
      </c>
      <c r="C326" s="8"/>
      <c r="E326" s="67"/>
      <c r="F326" s="380"/>
      <c r="G326" s="8"/>
      <c r="H326" s="8"/>
      <c r="I326" s="8"/>
      <c r="J326" s="9"/>
      <c r="K326" s="9">
        <f t="shared" si="41"/>
        <v>0</v>
      </c>
      <c r="L326" s="35">
        <f t="shared" si="42"/>
        <v>0</v>
      </c>
      <c r="M326" s="2"/>
      <c r="O326" s="19"/>
      <c r="P326" s="19"/>
      <c r="Q326" s="19"/>
      <c r="R326" s="21"/>
      <c r="S326" s="46"/>
      <c r="T326" s="44"/>
      <c r="U326" s="77"/>
      <c r="V326" s="24"/>
      <c r="W326" s="24"/>
      <c r="X326" s="193"/>
      <c r="Y326" s="15"/>
    </row>
    <row r="327" spans="2:25" x14ac:dyDescent="0.25">
      <c r="B327" s="15">
        <v>235</v>
      </c>
      <c r="C327" s="8"/>
      <c r="E327" s="67"/>
      <c r="F327" s="380"/>
      <c r="G327" s="8"/>
      <c r="H327" s="8"/>
      <c r="I327" s="8"/>
      <c r="J327" s="9"/>
      <c r="K327" s="9">
        <f t="shared" si="41"/>
        <v>0</v>
      </c>
      <c r="L327" s="35">
        <f t="shared" si="42"/>
        <v>0</v>
      </c>
      <c r="M327" s="2"/>
      <c r="O327" s="19"/>
      <c r="P327" s="19"/>
      <c r="Q327" s="19"/>
      <c r="R327" s="21"/>
      <c r="S327" s="46"/>
      <c r="T327" s="44"/>
      <c r="U327" s="77"/>
      <c r="V327" s="24"/>
      <c r="W327" s="24"/>
      <c r="X327" s="193"/>
      <c r="Y327" s="15"/>
    </row>
    <row r="328" spans="2:25" x14ac:dyDescent="0.25">
      <c r="B328" s="15">
        <v>235</v>
      </c>
      <c r="C328" s="8"/>
      <c r="E328" s="67"/>
      <c r="F328" s="380"/>
      <c r="G328" s="8"/>
      <c r="H328" s="8"/>
      <c r="I328" s="8"/>
      <c r="J328" s="9"/>
      <c r="K328" s="9">
        <f t="shared" si="41"/>
        <v>0</v>
      </c>
      <c r="L328" s="35">
        <f t="shared" si="42"/>
        <v>0</v>
      </c>
      <c r="M328" s="2"/>
      <c r="O328" s="19"/>
      <c r="P328" s="19"/>
      <c r="Q328" s="19"/>
      <c r="R328" s="21"/>
      <c r="S328" s="46"/>
      <c r="T328" s="44"/>
      <c r="U328" s="77"/>
      <c r="V328" s="24"/>
      <c r="W328" s="24"/>
      <c r="X328" s="193"/>
      <c r="Y328" s="15"/>
    </row>
    <row r="329" spans="2:25" x14ac:dyDescent="0.25">
      <c r="B329" s="15">
        <v>235</v>
      </c>
      <c r="K329" s="9">
        <f t="shared" si="41"/>
        <v>0</v>
      </c>
      <c r="L329" s="35">
        <f t="shared" si="42"/>
        <v>0</v>
      </c>
      <c r="T329" s="44"/>
      <c r="U329" s="77"/>
      <c r="V329" s="24"/>
      <c r="W329" s="24"/>
      <c r="X329" s="193"/>
      <c r="Y329" s="15"/>
    </row>
    <row r="330" spans="2:25" x14ac:dyDescent="0.25">
      <c r="B330" s="15">
        <v>235</v>
      </c>
      <c r="K330" s="9">
        <f t="shared" si="41"/>
        <v>0</v>
      </c>
      <c r="L330" s="35">
        <f t="shared" si="42"/>
        <v>0</v>
      </c>
      <c r="T330" s="44"/>
      <c r="U330" s="77"/>
      <c r="V330" s="24"/>
      <c r="W330" s="24"/>
      <c r="X330" s="193"/>
      <c r="Y330" s="15"/>
    </row>
    <row r="331" spans="2:25" x14ac:dyDescent="0.25">
      <c r="B331" s="15">
        <v>235</v>
      </c>
      <c r="K331" s="9">
        <f t="shared" si="41"/>
        <v>0</v>
      </c>
      <c r="L331" s="35">
        <f t="shared" si="42"/>
        <v>0</v>
      </c>
      <c r="T331" s="44"/>
      <c r="U331" s="77"/>
      <c r="V331" s="24"/>
      <c r="W331" s="24"/>
      <c r="X331" s="193"/>
      <c r="Y331" s="15"/>
    </row>
    <row r="332" spans="2:25" x14ac:dyDescent="0.25">
      <c r="B332" s="15">
        <v>235</v>
      </c>
      <c r="K332" s="9">
        <f t="shared" si="41"/>
        <v>0</v>
      </c>
      <c r="L332" s="35">
        <f t="shared" si="42"/>
        <v>0</v>
      </c>
      <c r="T332" s="44"/>
      <c r="U332" s="77"/>
      <c r="V332" s="24"/>
      <c r="W332" s="24"/>
      <c r="X332" s="193"/>
      <c r="Y332" s="15"/>
    </row>
    <row r="333" spans="2:25" x14ac:dyDescent="0.25">
      <c r="B333" s="15">
        <v>235</v>
      </c>
      <c r="K333" s="9">
        <f t="shared" si="41"/>
        <v>0</v>
      </c>
      <c r="L333" s="35">
        <f t="shared" si="42"/>
        <v>0</v>
      </c>
      <c r="T333" s="44"/>
      <c r="U333" s="77"/>
      <c r="V333" s="24"/>
      <c r="W333" s="24"/>
      <c r="X333" s="193"/>
      <c r="Y333" s="15"/>
    </row>
    <row r="334" spans="2:25" x14ac:dyDescent="0.25">
      <c r="B334" s="15">
        <v>235</v>
      </c>
      <c r="K334" s="9">
        <f t="shared" si="41"/>
        <v>0</v>
      </c>
      <c r="L334" s="35">
        <f t="shared" si="42"/>
        <v>0</v>
      </c>
      <c r="T334" s="44"/>
      <c r="U334" s="77"/>
      <c r="V334" s="24"/>
      <c r="W334" s="24"/>
      <c r="X334" s="193"/>
      <c r="Y334" s="15"/>
    </row>
    <row r="335" spans="2:25" x14ac:dyDescent="0.25">
      <c r="B335" s="15">
        <v>235</v>
      </c>
      <c r="K335" s="9">
        <f t="shared" si="41"/>
        <v>0</v>
      </c>
      <c r="L335" s="35">
        <f t="shared" si="42"/>
        <v>0</v>
      </c>
      <c r="T335" s="44"/>
      <c r="U335" s="77"/>
      <c r="V335" s="24"/>
      <c r="W335" s="24"/>
      <c r="X335" s="193"/>
      <c r="Y335" s="15"/>
    </row>
    <row r="336" spans="2:25" x14ac:dyDescent="0.25">
      <c r="B336" t="s">
        <v>184</v>
      </c>
      <c r="K336" s="9">
        <f t="shared" si="41"/>
        <v>0</v>
      </c>
      <c r="L336" s="35">
        <f t="shared" si="42"/>
        <v>0</v>
      </c>
      <c r="T336" s="44"/>
      <c r="U336" s="77"/>
      <c r="V336" s="24"/>
      <c r="W336" s="24"/>
      <c r="X336" s="193"/>
      <c r="Y336" s="15"/>
    </row>
    <row r="337" spans="2:25" x14ac:dyDescent="0.25">
      <c r="B337" s="15">
        <v>247</v>
      </c>
      <c r="C337" s="8"/>
      <c r="E337" s="67"/>
      <c r="F337" s="380"/>
      <c r="G337" s="8"/>
      <c r="H337" s="8"/>
      <c r="I337" s="8"/>
      <c r="J337" s="9"/>
      <c r="K337" s="9">
        <f t="shared" si="41"/>
        <v>0</v>
      </c>
      <c r="L337" s="35">
        <f t="shared" si="42"/>
        <v>0</v>
      </c>
      <c r="M337" s="2"/>
      <c r="O337" s="19"/>
      <c r="P337" s="19"/>
      <c r="Q337" s="19"/>
      <c r="R337" s="21"/>
      <c r="S337" s="46"/>
      <c r="T337" s="44"/>
      <c r="U337" s="77"/>
      <c r="V337" s="24"/>
      <c r="W337" s="24"/>
      <c r="X337" s="193"/>
      <c r="Y337" s="15"/>
    </row>
    <row r="338" spans="2:25" x14ac:dyDescent="0.25">
      <c r="B338" s="15"/>
      <c r="C338" s="8"/>
      <c r="E338" s="67"/>
      <c r="F338" s="380"/>
      <c r="G338" s="8"/>
      <c r="H338" s="8"/>
      <c r="I338" s="8"/>
      <c r="J338" s="9"/>
      <c r="K338" s="9">
        <f t="shared" si="41"/>
        <v>0</v>
      </c>
      <c r="L338" s="35">
        <f t="shared" si="42"/>
        <v>0</v>
      </c>
      <c r="M338" s="2"/>
      <c r="O338" s="19"/>
      <c r="P338" s="19"/>
      <c r="Q338" s="19"/>
      <c r="R338" s="21"/>
      <c r="S338" s="46"/>
      <c r="T338" s="44"/>
      <c r="U338" s="77"/>
      <c r="V338" s="24"/>
      <c r="W338" s="24"/>
      <c r="X338" s="193"/>
      <c r="Y338" s="15"/>
    </row>
    <row r="339" spans="2:25" x14ac:dyDescent="0.25">
      <c r="B339" s="15"/>
      <c r="C339" s="8"/>
      <c r="E339" s="67"/>
      <c r="F339" s="380"/>
      <c r="G339" s="8"/>
      <c r="H339" s="8"/>
      <c r="I339" s="8"/>
      <c r="J339" s="9"/>
      <c r="K339" s="9">
        <f t="shared" si="41"/>
        <v>0</v>
      </c>
      <c r="L339" s="35">
        <f t="shared" si="42"/>
        <v>0</v>
      </c>
      <c r="M339" s="2"/>
      <c r="O339" s="19"/>
      <c r="P339" s="19"/>
      <c r="Q339" s="19"/>
      <c r="R339" s="21"/>
      <c r="S339" s="46"/>
      <c r="T339" s="44"/>
      <c r="U339" s="77"/>
      <c r="V339" s="24"/>
      <c r="W339" s="24"/>
      <c r="X339" s="193"/>
      <c r="Y339" s="15"/>
    </row>
    <row r="340" spans="2:25" x14ac:dyDescent="0.25">
      <c r="B340" s="15"/>
      <c r="C340" s="8"/>
      <c r="E340" s="67"/>
      <c r="F340" s="380"/>
      <c r="G340" s="8"/>
      <c r="H340" s="8"/>
      <c r="I340" s="8"/>
      <c r="J340" s="9"/>
      <c r="K340" s="9">
        <f t="shared" si="41"/>
        <v>0</v>
      </c>
      <c r="L340" s="35">
        <f t="shared" si="42"/>
        <v>0</v>
      </c>
      <c r="M340" s="2"/>
      <c r="O340" s="19"/>
      <c r="P340" s="19"/>
      <c r="Q340" s="19"/>
      <c r="R340" s="21"/>
      <c r="S340" s="46"/>
      <c r="T340" s="44"/>
      <c r="U340" s="77"/>
      <c r="V340" s="24"/>
      <c r="W340" s="24"/>
      <c r="X340" s="193"/>
      <c r="Y340" s="15"/>
    </row>
    <row r="341" spans="2:25" x14ac:dyDescent="0.25">
      <c r="B341" s="15"/>
      <c r="C341" s="8"/>
      <c r="E341" s="67"/>
      <c r="F341" s="380"/>
      <c r="G341" s="8"/>
      <c r="H341" s="8"/>
      <c r="I341" s="8"/>
      <c r="J341" s="9"/>
      <c r="K341" s="9">
        <f t="shared" si="41"/>
        <v>0</v>
      </c>
      <c r="L341" s="35">
        <f t="shared" si="42"/>
        <v>0</v>
      </c>
      <c r="M341" s="2"/>
      <c r="O341" s="19"/>
      <c r="P341" s="19"/>
      <c r="Q341" s="19"/>
      <c r="R341" s="21"/>
      <c r="S341" s="46"/>
      <c r="T341" s="44"/>
      <c r="U341" s="77"/>
      <c r="V341" s="24"/>
      <c r="W341" s="24"/>
      <c r="X341" s="193"/>
      <c r="Y341" s="15"/>
    </row>
    <row r="342" spans="2:25" x14ac:dyDescent="0.25">
      <c r="B342" s="15"/>
      <c r="C342" s="8"/>
      <c r="E342" s="67"/>
      <c r="F342" s="380"/>
      <c r="G342" s="8"/>
      <c r="H342" s="8"/>
      <c r="I342" s="8"/>
      <c r="J342" s="9"/>
      <c r="K342" s="9">
        <f t="shared" si="41"/>
        <v>0</v>
      </c>
      <c r="L342" s="35">
        <f t="shared" si="42"/>
        <v>0</v>
      </c>
      <c r="M342" s="2"/>
      <c r="O342" s="19"/>
      <c r="P342" s="19"/>
      <c r="Q342" s="19"/>
      <c r="R342" s="21"/>
      <c r="S342" s="46"/>
      <c r="T342" s="44"/>
      <c r="U342" s="77"/>
      <c r="V342" s="24"/>
      <c r="W342" s="24"/>
      <c r="X342" s="193"/>
      <c r="Y342" s="15"/>
    </row>
    <row r="343" spans="2:25" x14ac:dyDescent="0.25">
      <c r="B343" s="15"/>
      <c r="C343" s="8"/>
      <c r="E343" s="67"/>
      <c r="F343" s="380"/>
      <c r="G343" s="8"/>
      <c r="H343" s="8"/>
      <c r="I343" s="8"/>
      <c r="J343" s="9"/>
      <c r="K343" s="9">
        <f t="shared" si="41"/>
        <v>0</v>
      </c>
      <c r="L343" s="35">
        <f t="shared" si="42"/>
        <v>0</v>
      </c>
      <c r="M343" s="2"/>
      <c r="O343" s="19"/>
      <c r="P343" s="19"/>
      <c r="Q343" s="19"/>
      <c r="R343" s="21"/>
      <c r="S343" s="46"/>
      <c r="T343" s="44"/>
      <c r="U343" s="77"/>
      <c r="V343" s="24"/>
      <c r="W343" s="24"/>
      <c r="X343" s="193"/>
      <c r="Y343" s="15"/>
    </row>
    <row r="344" spans="2:25" x14ac:dyDescent="0.25">
      <c r="B344" s="15"/>
      <c r="C344" s="8"/>
      <c r="E344" s="67"/>
      <c r="F344" s="380"/>
      <c r="G344" s="8"/>
      <c r="H344" s="8"/>
      <c r="I344" s="8"/>
      <c r="J344" s="9"/>
      <c r="K344" s="9">
        <f t="shared" si="41"/>
        <v>0</v>
      </c>
      <c r="L344" s="35">
        <f t="shared" si="42"/>
        <v>0</v>
      </c>
      <c r="M344" s="2"/>
      <c r="O344" s="19"/>
      <c r="P344" s="19"/>
      <c r="Q344" s="19"/>
      <c r="R344" s="21"/>
      <c r="S344" s="46"/>
      <c r="T344" s="44"/>
      <c r="U344" s="77"/>
      <c r="V344" s="24"/>
      <c r="W344" s="24"/>
      <c r="X344" s="193"/>
      <c r="Y344" s="15"/>
    </row>
    <row r="345" spans="2:25" x14ac:dyDescent="0.25">
      <c r="B345" s="15"/>
      <c r="C345" s="8"/>
      <c r="E345" s="67"/>
      <c r="F345" s="380"/>
      <c r="G345" s="8"/>
      <c r="H345" s="8"/>
      <c r="I345" s="8"/>
      <c r="J345" s="9"/>
      <c r="K345" s="9">
        <f t="shared" si="41"/>
        <v>0</v>
      </c>
      <c r="L345" s="35">
        <f t="shared" si="42"/>
        <v>0</v>
      </c>
      <c r="M345" s="2"/>
      <c r="O345" s="19"/>
      <c r="P345" s="19"/>
      <c r="Q345" s="19"/>
      <c r="R345" s="21"/>
      <c r="S345" s="46"/>
      <c r="T345" s="44"/>
      <c r="U345" s="77"/>
      <c r="V345" s="24"/>
      <c r="W345" s="24"/>
      <c r="X345" s="193"/>
      <c r="Y345" s="15"/>
    </row>
    <row r="346" spans="2:25" x14ac:dyDescent="0.25">
      <c r="B346" s="15"/>
      <c r="C346" s="8"/>
      <c r="E346" s="67"/>
      <c r="F346" s="380"/>
      <c r="G346" s="8"/>
      <c r="H346" s="8"/>
      <c r="I346" s="8"/>
      <c r="J346" s="9"/>
      <c r="K346" s="9">
        <f t="shared" si="41"/>
        <v>0</v>
      </c>
      <c r="L346" s="35">
        <f t="shared" si="42"/>
        <v>0</v>
      </c>
      <c r="M346" s="2"/>
      <c r="O346" s="19"/>
      <c r="P346" s="19"/>
      <c r="Q346" s="19"/>
      <c r="R346" s="21"/>
      <c r="S346" s="46"/>
      <c r="T346" s="44"/>
      <c r="U346" s="77"/>
      <c r="V346" s="24"/>
      <c r="W346" s="24"/>
      <c r="X346" s="193"/>
      <c r="Y346" s="15"/>
    </row>
    <row r="347" spans="2:25" x14ac:dyDescent="0.25">
      <c r="B347" s="15"/>
      <c r="C347" s="8"/>
      <c r="E347" s="67"/>
      <c r="F347" s="380"/>
      <c r="G347" s="8"/>
      <c r="H347" s="8"/>
      <c r="I347" s="8"/>
      <c r="J347" s="9"/>
      <c r="K347" s="9">
        <f t="shared" si="41"/>
        <v>0</v>
      </c>
      <c r="L347" s="35">
        <f t="shared" si="42"/>
        <v>0</v>
      </c>
      <c r="M347" s="2"/>
      <c r="O347" s="19"/>
      <c r="P347" s="19"/>
      <c r="Q347" s="19"/>
      <c r="R347" s="21"/>
      <c r="S347" s="46"/>
      <c r="T347" s="44"/>
      <c r="U347" s="77"/>
      <c r="V347" s="24"/>
      <c r="W347" s="24"/>
      <c r="X347" s="193"/>
      <c r="Y347" s="15"/>
    </row>
    <row r="348" spans="2:25" x14ac:dyDescent="0.25">
      <c r="B348" s="15"/>
      <c r="C348" s="8"/>
      <c r="E348" s="67"/>
      <c r="F348" s="380"/>
      <c r="G348" s="8"/>
      <c r="H348" s="8"/>
      <c r="I348" s="8"/>
      <c r="J348" s="9"/>
      <c r="K348" s="9">
        <f t="shared" si="41"/>
        <v>0</v>
      </c>
      <c r="L348" s="35">
        <f t="shared" si="42"/>
        <v>0</v>
      </c>
      <c r="M348" s="2"/>
      <c r="O348" s="19"/>
      <c r="P348" s="19"/>
      <c r="Q348" s="19"/>
      <c r="R348" s="21"/>
      <c r="S348" s="46"/>
      <c r="T348" s="44"/>
      <c r="U348" s="77"/>
      <c r="V348" s="24"/>
      <c r="W348" s="24"/>
      <c r="X348" s="193"/>
      <c r="Y348" s="15"/>
    </row>
    <row r="349" spans="2:25" x14ac:dyDescent="0.25">
      <c r="B349" s="15"/>
      <c r="C349" s="8"/>
      <c r="E349" s="67"/>
      <c r="F349" s="380"/>
      <c r="G349" s="8"/>
      <c r="H349" s="8"/>
      <c r="I349" s="8"/>
      <c r="J349" s="9"/>
      <c r="K349" s="9">
        <f t="shared" si="41"/>
        <v>0</v>
      </c>
      <c r="L349" s="35">
        <f t="shared" si="42"/>
        <v>0</v>
      </c>
      <c r="M349" s="2"/>
      <c r="O349" s="19"/>
      <c r="P349" s="19"/>
      <c r="Q349" s="19"/>
      <c r="R349" s="21"/>
      <c r="S349" s="46"/>
      <c r="T349" s="44"/>
      <c r="U349" s="77"/>
      <c r="V349" s="24"/>
      <c r="W349" s="24"/>
      <c r="X349" s="193"/>
      <c r="Y349" s="15"/>
    </row>
    <row r="350" spans="2:25" x14ac:dyDescent="0.25">
      <c r="B350" s="15"/>
      <c r="C350" s="8"/>
      <c r="E350" s="67"/>
      <c r="F350" s="380"/>
      <c r="G350" s="8"/>
      <c r="H350" s="8"/>
      <c r="I350" s="8"/>
      <c r="J350" s="9"/>
      <c r="K350" s="9">
        <f t="shared" si="41"/>
        <v>0</v>
      </c>
      <c r="L350" s="35">
        <f t="shared" si="42"/>
        <v>0</v>
      </c>
      <c r="M350" s="2"/>
      <c r="O350" s="19"/>
      <c r="P350" s="19"/>
      <c r="Q350" s="19"/>
      <c r="R350" s="21"/>
      <c r="S350" s="46"/>
      <c r="T350" s="44"/>
      <c r="U350" s="77"/>
      <c r="V350" s="24"/>
      <c r="W350" s="24"/>
      <c r="X350" s="193"/>
      <c r="Y350" s="15"/>
    </row>
    <row r="351" spans="2:25" x14ac:dyDescent="0.25">
      <c r="B351" s="15"/>
      <c r="C351" s="8"/>
      <c r="E351" s="67"/>
      <c r="F351" s="380"/>
      <c r="G351" s="8"/>
      <c r="H351" s="8"/>
      <c r="I351" s="8"/>
      <c r="J351" s="9"/>
      <c r="K351" s="9">
        <f t="shared" si="41"/>
        <v>0</v>
      </c>
      <c r="L351" s="35">
        <f t="shared" si="42"/>
        <v>0</v>
      </c>
      <c r="M351" s="2"/>
      <c r="O351" s="19"/>
      <c r="P351" s="19"/>
      <c r="Q351" s="19"/>
      <c r="R351" s="21"/>
      <c r="S351" s="46"/>
      <c r="T351" s="44"/>
      <c r="U351" s="77"/>
      <c r="V351" s="24"/>
      <c r="W351" s="390"/>
      <c r="X351" s="193"/>
      <c r="Y351" s="15"/>
    </row>
    <row r="352" spans="2:25" x14ac:dyDescent="0.25">
      <c r="B352" s="15"/>
      <c r="C352" s="8"/>
      <c r="E352" s="67"/>
      <c r="F352" s="380"/>
      <c r="G352" s="8"/>
      <c r="H352" s="8"/>
      <c r="I352" s="8"/>
      <c r="J352" s="9"/>
      <c r="K352" s="9">
        <f t="shared" si="41"/>
        <v>0</v>
      </c>
      <c r="L352" s="35">
        <f t="shared" si="42"/>
        <v>0</v>
      </c>
      <c r="M352" s="2"/>
      <c r="O352" s="19"/>
      <c r="P352" s="19"/>
      <c r="Q352" s="19"/>
      <c r="R352" s="21"/>
      <c r="S352" s="46"/>
      <c r="T352" s="44"/>
      <c r="U352" s="77"/>
      <c r="V352" s="24"/>
      <c r="X352" s="193"/>
      <c r="Y352" s="15"/>
    </row>
    <row r="353" spans="2:25" x14ac:dyDescent="0.25">
      <c r="B353" s="15"/>
      <c r="C353" s="8"/>
      <c r="E353" s="67"/>
      <c r="F353" s="380"/>
      <c r="G353" s="8"/>
      <c r="H353" s="8"/>
      <c r="I353" s="8"/>
      <c r="J353" s="9"/>
      <c r="K353" s="9">
        <f t="shared" si="41"/>
        <v>0</v>
      </c>
      <c r="L353" s="35">
        <f t="shared" si="42"/>
        <v>0</v>
      </c>
      <c r="M353" s="2"/>
      <c r="O353" s="19"/>
      <c r="P353" s="19"/>
      <c r="Q353" s="19"/>
      <c r="R353" s="21"/>
      <c r="S353" s="46"/>
      <c r="T353" s="44"/>
      <c r="U353" s="77"/>
      <c r="V353" s="24"/>
      <c r="X353" s="193"/>
      <c r="Y353" s="15"/>
    </row>
    <row r="354" spans="2:25" x14ac:dyDescent="0.25">
      <c r="B354" s="15"/>
      <c r="C354" s="8"/>
      <c r="E354" s="67"/>
      <c r="F354" s="380"/>
      <c r="G354" s="8"/>
      <c r="H354" s="8"/>
      <c r="I354" s="8"/>
      <c r="J354" s="9"/>
      <c r="K354" s="9">
        <f t="shared" si="41"/>
        <v>0</v>
      </c>
      <c r="L354" s="35">
        <f t="shared" si="42"/>
        <v>0</v>
      </c>
      <c r="M354" s="2"/>
      <c r="O354" s="19"/>
      <c r="P354" s="19"/>
      <c r="Q354" s="19"/>
      <c r="R354" s="21"/>
      <c r="S354" s="46"/>
      <c r="T354" s="44"/>
      <c r="U354" s="77"/>
      <c r="V354" s="24"/>
      <c r="X354" s="193"/>
      <c r="Y354" s="15"/>
    </row>
  </sheetData>
  <autoFilter ref="B2:AW354" xr:uid="{00000000-0001-0000-0A00-000000000000}">
    <filterColumn colId="26" showButton="0"/>
  </autoFilter>
  <mergeCells count="15">
    <mergeCell ref="AB69:AB74"/>
    <mergeCell ref="AB75:AC75"/>
    <mergeCell ref="AB33:AB38"/>
    <mergeCell ref="AB39:AB44"/>
    <mergeCell ref="AB45:AB50"/>
    <mergeCell ref="AB51:AB56"/>
    <mergeCell ref="AB57:AB62"/>
    <mergeCell ref="AB63:AB68"/>
    <mergeCell ref="AB21:AB26"/>
    <mergeCell ref="AB27:AB32"/>
    <mergeCell ref="AB1:AS1"/>
    <mergeCell ref="AB2:AC2"/>
    <mergeCell ref="AB3:AB8"/>
    <mergeCell ref="AB9:AB14"/>
    <mergeCell ref="AB15:AB20"/>
  </mergeCells>
  <phoneticPr fontId="7" type="noConversion"/>
  <conditionalFormatting sqref="U1:U1048576 X1:X1048576">
    <cfRule type="cellIs" dxfId="5" priority="1" operator="equal">
      <formula>"마케팅"</formula>
    </cfRule>
  </conditionalFormatting>
  <dataValidations count="10">
    <dataValidation type="list" allowBlank="1" showInputMessage="1" showErrorMessage="1" sqref="S188:S284 S36 S39:S185 S337:S354 S305:S328 S3:S33" xr:uid="{D8B9AD2B-0EEC-4629-8D03-C3E527655BBD}">
      <formula1>"(주)그랜드썬기술단, (주)그랜드썬,지에스피,유지에스"</formula1>
    </dataValidation>
    <dataValidation type="list" allowBlank="1" showInputMessage="1" showErrorMessage="1" sqref="U159:U301 U156 U305:U354 U3:U151" xr:uid="{B1416B59-AE0F-495E-A59B-48BE9FB36AFC}">
      <formula1>"소개,그 외"</formula1>
    </dataValidation>
    <dataValidation type="list" allowBlank="1" showInputMessage="1" showErrorMessage="1" sqref="D66:D301 D337:D354 D305:D328 D3:D64" xr:uid="{7DB15A5F-84CF-4FE9-90F4-4A71C27A715F}">
      <formula1>"기존시설물(A),일반부지(B),수면(C)"</formula1>
    </dataValidation>
    <dataValidation type="list" allowBlank="1" showInputMessage="1" showErrorMessage="1" sqref="C303:C328 C337:C354 C3:C301" xr:uid="{5D0D7A95-8C29-4D65-BA6D-D3CA6E95CB27}">
      <formula1>"직영(가),외주(나),입찰(다),검토(라)"</formula1>
    </dataValidation>
    <dataValidation type="list" allowBlank="1" showInputMessage="1" showErrorMessage="1" sqref="X154:X301 X127:X152 X305:X354 X3:X125" xr:uid="{7884608A-C9DF-494F-95C0-BE00B39D4953}">
      <formula1>"산단,공장,창고,축사,근생,자원순환,토지,업무시설"</formula1>
    </dataValidation>
    <dataValidation type="list" allowBlank="1" showInputMessage="1" showErrorMessage="1" sqref="Y305:Y354 Y3:Y301" xr:uid="{A1791E56-3526-4A63-9D9B-B96EDE4A59F3}">
      <formula1>"유지,보류,취소"</formula1>
    </dataValidation>
    <dataValidation type="list" allowBlank="1" showInputMessage="1" showErrorMessage="1" sqref="Q3:Q250 Q252:Q318" xr:uid="{75884C50-BD0B-4ABA-BEB4-6D07E024C839}">
      <formula1>"경기,강원,충남,충북,서울,인천,대전,세종,경남,경북,전남,전북,부산,대구,울산,제주,광주"</formula1>
    </dataValidation>
    <dataValidation type="list" allowBlank="1" showInputMessage="1" showErrorMessage="1" sqref="X153" xr:uid="{2B5D61BB-8013-43EF-9B4F-0800476A0D2B}">
      <formula1>"산단,공장,창고,축사,근생,자원순환,토지,업무시설, 자동차관련시설"</formula1>
    </dataValidation>
    <dataValidation type="list" allowBlank="1" showInputMessage="1" showErrorMessage="1" sqref="X126" xr:uid="{502AC1B4-84FC-4A15-AA81-3C211170B9CC}">
      <formula1>"산단,공장,창고,축사,근생,자원순환, 창고 및 판매시설,토지,업무시설"</formula1>
    </dataValidation>
    <dataValidation type="list" allowBlank="1" showInputMessage="1" showErrorMessage="1" sqref="S34:S35 S37:S38" xr:uid="{8F2D450B-7423-44D2-87DD-45B8C088FBDB}">
      <formula1>"(주)그랜드썬기술단, (주)그랜드썬,지에스피,유지에스,지에스이"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3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D9E283-846E-42F8-BF01-EC9A15AAFE56}">
          <x14:formula1>
            <xm:f>INDEX!$B$3:$B$6</xm:f>
          </x14:formula1>
          <xm:sqref>W3:W351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W354"/>
  <sheetViews>
    <sheetView tabSelected="1" zoomScale="70" zoomScaleNormal="70" workbookViewId="0">
      <pane ySplit="2" topLeftCell="A3" activePane="bottomLeft" state="frozen"/>
      <selection activeCell="W1" sqref="W1:W1048576"/>
      <selection pane="bottomLeft" activeCell="M20" sqref="M20"/>
    </sheetView>
  </sheetViews>
  <sheetFormatPr defaultRowHeight="13.5" x14ac:dyDescent="0.25"/>
  <cols>
    <col min="1" max="1" width="3.7109375" customWidth="1"/>
    <col min="2" max="3" width="10.7109375" customWidth="1"/>
    <col min="4" max="4" width="10.7109375" style="5" customWidth="1"/>
    <col min="5" max="5" width="10.7109375" style="70" customWidth="1"/>
    <col min="6" max="6" width="12.7109375" style="17" customWidth="1"/>
    <col min="7" max="8" width="10.7109375" customWidth="1"/>
    <col min="9" max="9" width="11.85546875" customWidth="1"/>
    <col min="10" max="11" width="15.7109375" style="4" customWidth="1"/>
    <col min="12" max="12" width="15.7109375" style="36" customWidth="1"/>
    <col min="13" max="13" width="15.7109375" style="4" customWidth="1"/>
    <col min="14" max="14" width="15.7109375" customWidth="1"/>
    <col min="15" max="15" width="21.42578125" customWidth="1"/>
    <col min="16" max="17" width="6" customWidth="1"/>
    <col min="18" max="18" width="38.42578125" style="20" customWidth="1"/>
    <col min="19" max="19" width="20.7109375" customWidth="1"/>
    <col min="20" max="20" width="13.42578125" customWidth="1"/>
    <col min="21" max="21" width="9.140625" style="32"/>
    <col min="22" max="22" width="47" style="5" customWidth="1"/>
    <col min="23" max="23" width="9.140625" style="5" customWidth="1"/>
    <col min="24" max="24" width="9.140625" style="32"/>
    <col min="30" max="30" width="11.140625" customWidth="1"/>
    <col min="31" max="35" width="11.7109375" customWidth="1"/>
    <col min="36" max="40" width="11.7109375" style="124" customWidth="1"/>
    <col min="41" max="45" width="11.7109375" customWidth="1"/>
  </cols>
  <sheetData>
    <row r="1" spans="2:49" ht="27" thickBot="1" x14ac:dyDescent="0.3">
      <c r="B1" s="31"/>
      <c r="C1" s="31"/>
      <c r="D1" s="253"/>
      <c r="E1" s="68"/>
      <c r="G1" s="6"/>
      <c r="H1" s="6"/>
      <c r="I1" s="22"/>
      <c r="J1" s="7"/>
      <c r="K1" s="7"/>
      <c r="L1" s="33"/>
      <c r="M1" s="7"/>
      <c r="N1" s="7"/>
      <c r="U1" s="42"/>
      <c r="X1" s="42"/>
      <c r="AB1" s="494" t="s">
        <v>3</v>
      </c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6"/>
    </row>
    <row r="2" spans="2:49" ht="43.5" customHeight="1" thickTop="1" thickBot="1" x14ac:dyDescent="0.3">
      <c r="B2" s="14" t="s">
        <v>0</v>
      </c>
      <c r="C2" s="66" t="s">
        <v>66</v>
      </c>
      <c r="D2" s="66" t="s">
        <v>67</v>
      </c>
      <c r="E2" s="69" t="s">
        <v>68</v>
      </c>
      <c r="F2" s="18" t="s">
        <v>1</v>
      </c>
      <c r="G2" s="10" t="s">
        <v>18</v>
      </c>
      <c r="H2" s="10" t="s">
        <v>17</v>
      </c>
      <c r="I2" s="11" t="s">
        <v>2</v>
      </c>
      <c r="J2" s="12" t="s">
        <v>16</v>
      </c>
      <c r="K2" s="12" t="s">
        <v>4</v>
      </c>
      <c r="L2" s="34" t="s">
        <v>44</v>
      </c>
      <c r="M2" s="37" t="s">
        <v>25</v>
      </c>
      <c r="N2" s="10" t="s">
        <v>22</v>
      </c>
      <c r="O2" s="10" t="s">
        <v>24</v>
      </c>
      <c r="P2" s="10" t="s">
        <v>42</v>
      </c>
      <c r="Q2" s="10" t="s">
        <v>206</v>
      </c>
      <c r="R2" s="10" t="s">
        <v>23</v>
      </c>
      <c r="S2" s="13" t="s">
        <v>5</v>
      </c>
      <c r="T2" s="23" t="s">
        <v>33</v>
      </c>
      <c r="U2" s="198" t="s">
        <v>48</v>
      </c>
      <c r="V2" s="14" t="s">
        <v>32</v>
      </c>
      <c r="W2" s="14" t="s">
        <v>1152</v>
      </c>
      <c r="X2" s="198" t="s">
        <v>149</v>
      </c>
      <c r="Y2" s="103" t="s">
        <v>161</v>
      </c>
      <c r="AB2" s="491" t="s">
        <v>108</v>
      </c>
      <c r="AC2" s="492"/>
      <c r="AD2" s="106" t="s">
        <v>1</v>
      </c>
      <c r="AE2" s="107" t="s">
        <v>109</v>
      </c>
      <c r="AF2" s="108" t="s">
        <v>78</v>
      </c>
      <c r="AG2" s="108" t="s">
        <v>77</v>
      </c>
      <c r="AH2" s="108" t="s">
        <v>79</v>
      </c>
      <c r="AI2" s="109" t="s">
        <v>80</v>
      </c>
      <c r="AJ2" s="112" t="s">
        <v>110</v>
      </c>
      <c r="AK2" s="113" t="s">
        <v>78</v>
      </c>
      <c r="AL2" s="113" t="s">
        <v>77</v>
      </c>
      <c r="AM2" s="113" t="s">
        <v>79</v>
      </c>
      <c r="AN2" s="114" t="s">
        <v>80</v>
      </c>
      <c r="AO2" s="110" t="s">
        <v>111</v>
      </c>
      <c r="AP2" s="111" t="s">
        <v>78</v>
      </c>
      <c r="AQ2" s="111" t="s">
        <v>77</v>
      </c>
      <c r="AR2" s="111" t="s">
        <v>79</v>
      </c>
      <c r="AS2" s="111" t="s">
        <v>80</v>
      </c>
      <c r="AU2" s="146"/>
      <c r="AV2" s="147" t="s">
        <v>116</v>
      </c>
      <c r="AW2" s="148"/>
    </row>
    <row r="3" spans="2:49" s="8" customFormat="1" ht="13.5" customHeight="1" x14ac:dyDescent="0.25">
      <c r="B3" s="15">
        <v>1</v>
      </c>
      <c r="C3" s="8" t="s">
        <v>380</v>
      </c>
      <c r="D3" s="5" t="s">
        <v>246</v>
      </c>
      <c r="E3" s="67" t="s">
        <v>257</v>
      </c>
      <c r="F3" s="16" t="s">
        <v>908</v>
      </c>
      <c r="G3" s="8">
        <v>3</v>
      </c>
      <c r="H3" s="8">
        <v>4</v>
      </c>
      <c r="I3" s="8">
        <v>349.44</v>
      </c>
      <c r="J3" s="9">
        <v>350000000</v>
      </c>
      <c r="K3" s="9">
        <f t="shared" ref="K3:K66" si="0">J3*1.1</f>
        <v>385000000.00000006</v>
      </c>
      <c r="L3" s="35">
        <f t="shared" ref="L3:L66" si="1">J3*0.00000001</f>
        <v>3.5</v>
      </c>
      <c r="M3" s="2" t="s">
        <v>49</v>
      </c>
      <c r="N3" t="s">
        <v>911</v>
      </c>
      <c r="O3" s="19" t="s">
        <v>912</v>
      </c>
      <c r="P3" s="19">
        <v>1</v>
      </c>
      <c r="Q3" s="19" t="s">
        <v>202</v>
      </c>
      <c r="R3" s="21" t="s">
        <v>913</v>
      </c>
      <c r="S3" s="46" t="s">
        <v>250</v>
      </c>
      <c r="T3" s="81"/>
      <c r="U3" s="80" t="s">
        <v>252</v>
      </c>
      <c r="V3" s="78" t="s">
        <v>268</v>
      </c>
      <c r="W3" s="78"/>
      <c r="X3" s="192" t="s">
        <v>152</v>
      </c>
      <c r="Y3" s="15"/>
      <c r="AA3">
        <v>1</v>
      </c>
      <c r="AB3" s="486">
        <v>1</v>
      </c>
      <c r="AC3" s="89">
        <v>1</v>
      </c>
      <c r="AD3" s="95" t="s">
        <v>81</v>
      </c>
      <c r="AE3" s="39">
        <f>SUM(AF3:AI3)</f>
        <v>0</v>
      </c>
      <c r="AF3" s="65">
        <f>SUMIFS($I:$I,$C:$C, $AF$2,$G:$G,$AA3,$H:$H,$AC3)</f>
        <v>0</v>
      </c>
      <c r="AG3" s="65">
        <f>SUMIFS($I:$I,$C:$C, $AG$2,$G:$G,$AA3,$H:$H,$AC3)</f>
        <v>0</v>
      </c>
      <c r="AH3" s="65">
        <f>SUMIFS($I:$I,$C:$C, $AH$2,$G:$G,$AA3,$H:$H,$AC3)</f>
        <v>0</v>
      </c>
      <c r="AI3" s="104">
        <f>SUMIFS($I:$I,$C:$C, $AI$2,$G:$G,$AA3,$H:$H,$AC3)</f>
        <v>0</v>
      </c>
      <c r="AJ3" s="115">
        <f>SUM(AK3:AN3)</f>
        <v>0</v>
      </c>
      <c r="AK3" s="116">
        <f>COUNTIFS($C:$C, $AK$2,$G:$G,$AA3,$H:$H,$AC3)</f>
        <v>0</v>
      </c>
      <c r="AL3" s="116">
        <f>COUNTIFS($C:$C, $AL$2,$G:$G,$AA3,$H:$H,$AC3)</f>
        <v>0</v>
      </c>
      <c r="AM3" s="116">
        <f>COUNTIFS($C:$C, $AM$2,$G:$G,$AA3,$H:$H,$AC3)</f>
        <v>0</v>
      </c>
      <c r="AN3" s="117">
        <f>COUNTIFS($C:$C, $AN$2,$G:$G,$AA3,$H:$H,$AC3)</f>
        <v>0</v>
      </c>
      <c r="AO3" s="39">
        <f>SUM(AP3:AS3)</f>
        <v>0</v>
      </c>
      <c r="AP3" s="65">
        <f>SUMIFS($L:$L,$C:$C, $AP$2,$G:$G,$AA3,$H:$H,$AC3)</f>
        <v>0</v>
      </c>
      <c r="AQ3" s="65">
        <f>SUMIFS($L:$L,$C:$C, $AQ$2,$G:$G,$AA3,$H:$H,$AC3)</f>
        <v>0</v>
      </c>
      <c r="AR3" s="65">
        <f>SUMIFS($L:$L,$C:$C, $AR$2,$G:$G,$AA3,$H:$H,$AC3)</f>
        <v>0</v>
      </c>
      <c r="AS3" s="65">
        <f>SUMIFS($L:$L,$C:$C, $AS$2,$G:$G,$AA3,$H:$H,$AC3)</f>
        <v>0</v>
      </c>
      <c r="AU3" s="149" t="s">
        <v>117</v>
      </c>
      <c r="AV3" s="150" t="s">
        <v>118</v>
      </c>
      <c r="AW3" s="151" t="s">
        <v>119</v>
      </c>
    </row>
    <row r="4" spans="2:49" s="8" customFormat="1" ht="13.5" customHeight="1" x14ac:dyDescent="0.25">
      <c r="B4" s="15">
        <v>2</v>
      </c>
      <c r="C4" s="8" t="s">
        <v>79</v>
      </c>
      <c r="D4" s="5" t="s">
        <v>246</v>
      </c>
      <c r="E4" s="67" t="s">
        <v>274</v>
      </c>
      <c r="F4" s="16" t="s">
        <v>2263</v>
      </c>
      <c r="G4" s="8">
        <v>9</v>
      </c>
      <c r="H4" s="8">
        <v>3</v>
      </c>
      <c r="I4" s="8">
        <v>595.33500000000004</v>
      </c>
      <c r="J4" s="9">
        <v>654000000</v>
      </c>
      <c r="K4" s="9">
        <f t="shared" si="0"/>
        <v>719400000</v>
      </c>
      <c r="L4" s="35">
        <f t="shared" si="1"/>
        <v>6.54</v>
      </c>
      <c r="M4" s="2" t="s">
        <v>911</v>
      </c>
      <c r="N4" t="s">
        <v>911</v>
      </c>
      <c r="O4" s="19" t="s">
        <v>2264</v>
      </c>
      <c r="P4" s="19">
        <v>2</v>
      </c>
      <c r="Q4" s="19" t="s">
        <v>515</v>
      </c>
      <c r="R4" s="21" t="s">
        <v>2265</v>
      </c>
      <c r="S4" s="46" t="s">
        <v>250</v>
      </c>
      <c r="T4" s="44"/>
      <c r="U4" s="76" t="s">
        <v>118</v>
      </c>
      <c r="V4" s="24" t="s">
        <v>268</v>
      </c>
      <c r="W4" s="24"/>
      <c r="X4" s="193" t="s">
        <v>254</v>
      </c>
      <c r="Y4" s="15"/>
      <c r="AA4">
        <v>1</v>
      </c>
      <c r="AB4" s="487"/>
      <c r="AC4" s="90">
        <v>2</v>
      </c>
      <c r="AD4" s="96" t="s">
        <v>54</v>
      </c>
      <c r="AE4" s="39">
        <f t="shared" ref="AE4:AE67" si="2">SUM(AF4:AI4)</f>
        <v>0</v>
      </c>
      <c r="AF4" s="65">
        <f t="shared" ref="AF4:AF67" si="3">SUMIFS($I:$I,$C:$C, $AF$2,$G:$G,$AA4,$H:$H,$AC4)</f>
        <v>0</v>
      </c>
      <c r="AG4" s="65">
        <f t="shared" ref="AG4:AG67" si="4">SUMIFS($I:$I,$C:$C, $AG$2,$G:$G,$AA4,$H:$H,$AC4)</f>
        <v>0</v>
      </c>
      <c r="AH4" s="65">
        <f t="shared" ref="AH4:AH67" si="5">SUMIFS($I:$I,$C:$C, $AH$2,$G:$G,$AA4,$H:$H,$AC4)</f>
        <v>0</v>
      </c>
      <c r="AI4" s="104">
        <f t="shared" ref="AI4:AI67" si="6">SUMIFS($I:$I,$C:$C, $AI$2,$G:$G,$AA4,$H:$H,$AC4)</f>
        <v>0</v>
      </c>
      <c r="AJ4" s="115">
        <f t="shared" ref="AJ4:AJ67" si="7">SUM(AK4:AN4)</f>
        <v>0</v>
      </c>
      <c r="AK4" s="116">
        <f t="shared" ref="AK4:AK67" si="8">COUNTIFS($C:$C, $AK$2,$G:$G,$AA4,$H:$H,$AC4)</f>
        <v>0</v>
      </c>
      <c r="AL4" s="116">
        <f t="shared" ref="AL4:AL67" si="9">COUNTIFS($C:$C, $AL$2,$G:$G,$AA4,$H:$H,$AC4)</f>
        <v>0</v>
      </c>
      <c r="AM4" s="116">
        <f t="shared" ref="AM4:AM67" si="10">COUNTIFS($C:$C, $AM$2,$G:$G,$AA4,$H:$H,$AC4)</f>
        <v>0</v>
      </c>
      <c r="AN4" s="117">
        <f t="shared" ref="AN4:AN67" si="11">COUNTIFS($C:$C, $AN$2,$G:$G,$AA4,$H:$H,$AC4)</f>
        <v>0</v>
      </c>
      <c r="AO4" s="39">
        <f t="shared" ref="AO4:AO67" si="12">SUM(AP4:AS4)</f>
        <v>0</v>
      </c>
      <c r="AP4" s="65">
        <f t="shared" ref="AP4:AP67" si="13">SUMIFS($L:$L,$C:$C, $AP$2,$G:$G,$AA4,$H:$H,$AC4)</f>
        <v>0</v>
      </c>
      <c r="AQ4" s="65">
        <f t="shared" ref="AQ4:AQ67" si="14">SUMIFS($L:$L,$C:$C, $AQ$2,$G:$G,$AA4,$H:$H,$AC4)</f>
        <v>0</v>
      </c>
      <c r="AR4" s="65">
        <f t="shared" ref="AR4:AR67" si="15">SUMIFS($L:$L,$C:$C, $AR$2,$G:$G,$AA4,$H:$H,$AC4)</f>
        <v>0</v>
      </c>
      <c r="AS4" s="65">
        <f t="shared" ref="AS4:AS67" si="16">SUMIFS($L:$L,$C:$C, $AS$2,$G:$G,$AA4,$H:$H,$AC4)</f>
        <v>0</v>
      </c>
      <c r="AU4" s="152">
        <v>1</v>
      </c>
      <c r="AV4" s="153">
        <f>COUNTIFS($U:$U,$AV$3,$G:$G,$AU4)</f>
        <v>0</v>
      </c>
      <c r="AW4" s="154">
        <f>COUNTIFS($U:$U,$AW$3,$G:$G,$AU4)</f>
        <v>0</v>
      </c>
    </row>
    <row r="5" spans="2:49" s="8" customFormat="1" ht="13.5" customHeight="1" x14ac:dyDescent="0.25">
      <c r="B5" s="15">
        <v>3</v>
      </c>
      <c r="C5" s="8" t="s">
        <v>79</v>
      </c>
      <c r="D5" s="5" t="s">
        <v>246</v>
      </c>
      <c r="E5" s="67" t="s">
        <v>258</v>
      </c>
      <c r="F5" s="16" t="s">
        <v>2293</v>
      </c>
      <c r="G5" s="8">
        <v>9</v>
      </c>
      <c r="H5" s="8">
        <v>5</v>
      </c>
      <c r="I5" s="8">
        <v>2149.14</v>
      </c>
      <c r="J5" s="9">
        <v>3070000000</v>
      </c>
      <c r="K5" s="9">
        <f t="shared" si="0"/>
        <v>3377000000.0000005</v>
      </c>
      <c r="L5" s="35">
        <f t="shared" si="1"/>
        <v>30.7</v>
      </c>
      <c r="M5" s="2" t="s">
        <v>911</v>
      </c>
      <c r="N5" t="s">
        <v>911</v>
      </c>
      <c r="O5" s="19" t="s">
        <v>2294</v>
      </c>
      <c r="P5" s="19">
        <v>3</v>
      </c>
      <c r="Q5" s="19" t="s">
        <v>200</v>
      </c>
      <c r="R5" s="21" t="s">
        <v>2295</v>
      </c>
      <c r="S5" s="46" t="s">
        <v>250</v>
      </c>
      <c r="T5" s="44"/>
      <c r="U5" s="76" t="s">
        <v>118</v>
      </c>
      <c r="V5" s="24" t="s">
        <v>268</v>
      </c>
      <c r="W5" s="24"/>
      <c r="X5" s="193" t="s">
        <v>254</v>
      </c>
      <c r="Y5" s="15"/>
      <c r="AA5">
        <v>1</v>
      </c>
      <c r="AB5" s="487"/>
      <c r="AC5" s="90">
        <v>3</v>
      </c>
      <c r="AD5" s="97" t="s">
        <v>55</v>
      </c>
      <c r="AE5" s="39">
        <f t="shared" si="2"/>
        <v>0</v>
      </c>
      <c r="AF5" s="65">
        <f t="shared" si="3"/>
        <v>0</v>
      </c>
      <c r="AG5" s="65">
        <f t="shared" si="4"/>
        <v>0</v>
      </c>
      <c r="AH5" s="65">
        <f t="shared" si="5"/>
        <v>0</v>
      </c>
      <c r="AI5" s="104">
        <f t="shared" si="6"/>
        <v>0</v>
      </c>
      <c r="AJ5" s="115">
        <f t="shared" si="7"/>
        <v>0</v>
      </c>
      <c r="AK5" s="116">
        <f t="shared" si="8"/>
        <v>0</v>
      </c>
      <c r="AL5" s="116">
        <f t="shared" si="9"/>
        <v>0</v>
      </c>
      <c r="AM5" s="116">
        <f t="shared" si="10"/>
        <v>0</v>
      </c>
      <c r="AN5" s="117">
        <f t="shared" si="11"/>
        <v>0</v>
      </c>
      <c r="AO5" s="39">
        <f t="shared" si="12"/>
        <v>0</v>
      </c>
      <c r="AP5" s="65">
        <f t="shared" si="13"/>
        <v>0</v>
      </c>
      <c r="AQ5" s="65">
        <f t="shared" si="14"/>
        <v>0</v>
      </c>
      <c r="AR5" s="65">
        <f t="shared" si="15"/>
        <v>0</v>
      </c>
      <c r="AS5" s="65">
        <f t="shared" si="16"/>
        <v>0</v>
      </c>
      <c r="AU5" s="152">
        <v>2</v>
      </c>
      <c r="AV5" s="153">
        <f t="shared" ref="AV5:AV15" si="17">COUNTIFS($U:$U,$AV$3,$G:$G,$AU5)</f>
        <v>0</v>
      </c>
      <c r="AW5" s="154">
        <f t="shared" ref="AW5:AW15" si="18">COUNTIFS($U:$U,$AW$3,$G:$G,$AU5)</f>
        <v>0</v>
      </c>
    </row>
    <row r="6" spans="2:49" s="8" customFormat="1" ht="13.5" customHeight="1" x14ac:dyDescent="0.25">
      <c r="B6" s="15">
        <v>4</v>
      </c>
      <c r="D6" s="5"/>
      <c r="E6" s="67"/>
      <c r="F6" s="16"/>
      <c r="J6" s="9"/>
      <c r="K6" s="9">
        <f t="shared" si="0"/>
        <v>0</v>
      </c>
      <c r="L6" s="35">
        <f t="shared" si="1"/>
        <v>0</v>
      </c>
      <c r="M6" s="2"/>
      <c r="N6" s="2"/>
      <c r="O6" s="19"/>
      <c r="P6" s="19"/>
      <c r="Q6" s="19"/>
      <c r="R6" s="21"/>
      <c r="S6" s="46"/>
      <c r="T6" s="44"/>
      <c r="U6" s="76"/>
      <c r="V6" s="24"/>
      <c r="W6" s="24"/>
      <c r="X6" s="193"/>
      <c r="Y6" s="15"/>
      <c r="AA6">
        <v>1</v>
      </c>
      <c r="AB6" s="487"/>
      <c r="AC6" s="90">
        <v>4</v>
      </c>
      <c r="AD6" s="97" t="s">
        <v>56</v>
      </c>
      <c r="AE6" s="39">
        <f t="shared" si="2"/>
        <v>0</v>
      </c>
      <c r="AF6" s="65">
        <f t="shared" si="3"/>
        <v>0</v>
      </c>
      <c r="AG6" s="65">
        <f t="shared" si="4"/>
        <v>0</v>
      </c>
      <c r="AH6" s="65">
        <f t="shared" si="5"/>
        <v>0</v>
      </c>
      <c r="AI6" s="104">
        <f t="shared" si="6"/>
        <v>0</v>
      </c>
      <c r="AJ6" s="115">
        <f t="shared" si="7"/>
        <v>0</v>
      </c>
      <c r="AK6" s="116">
        <f t="shared" si="8"/>
        <v>0</v>
      </c>
      <c r="AL6" s="116">
        <f t="shared" si="9"/>
        <v>0</v>
      </c>
      <c r="AM6" s="116">
        <f t="shared" si="10"/>
        <v>0</v>
      </c>
      <c r="AN6" s="117">
        <f t="shared" si="11"/>
        <v>0</v>
      </c>
      <c r="AO6" s="39">
        <f t="shared" si="12"/>
        <v>0</v>
      </c>
      <c r="AP6" s="65">
        <f t="shared" si="13"/>
        <v>0</v>
      </c>
      <c r="AQ6" s="65">
        <f t="shared" si="14"/>
        <v>0</v>
      </c>
      <c r="AR6" s="65">
        <f t="shared" si="15"/>
        <v>0</v>
      </c>
      <c r="AS6" s="65">
        <f t="shared" si="16"/>
        <v>0</v>
      </c>
      <c r="AU6" s="152">
        <v>3</v>
      </c>
      <c r="AV6" s="153">
        <f t="shared" si="17"/>
        <v>1</v>
      </c>
      <c r="AW6" s="154">
        <f t="shared" si="18"/>
        <v>0</v>
      </c>
    </row>
    <row r="7" spans="2:49" s="8" customFormat="1" ht="13.5" customHeight="1" x14ac:dyDescent="0.25">
      <c r="B7" s="15">
        <v>5</v>
      </c>
      <c r="D7" s="5"/>
      <c r="E7" s="67"/>
      <c r="F7" s="16"/>
      <c r="J7" s="9"/>
      <c r="K7" s="9">
        <f t="shared" si="0"/>
        <v>0</v>
      </c>
      <c r="L7" s="35">
        <f t="shared" si="1"/>
        <v>0</v>
      </c>
      <c r="M7" s="2"/>
      <c r="N7"/>
      <c r="O7" s="19"/>
      <c r="P7" s="19"/>
      <c r="Q7" s="19"/>
      <c r="R7" s="21"/>
      <c r="S7" s="46"/>
      <c r="T7" s="44"/>
      <c r="U7" s="76"/>
      <c r="V7" s="24"/>
      <c r="W7" s="24"/>
      <c r="X7" s="193"/>
      <c r="Y7" s="15"/>
      <c r="AA7">
        <v>1</v>
      </c>
      <c r="AB7" s="487"/>
      <c r="AC7" s="91">
        <v>5</v>
      </c>
      <c r="AD7" s="97" t="s">
        <v>57</v>
      </c>
      <c r="AE7" s="39">
        <f t="shared" si="2"/>
        <v>0</v>
      </c>
      <c r="AF7" s="65">
        <f t="shared" si="3"/>
        <v>0</v>
      </c>
      <c r="AG7" s="65">
        <f t="shared" si="4"/>
        <v>0</v>
      </c>
      <c r="AH7" s="65">
        <f t="shared" si="5"/>
        <v>0</v>
      </c>
      <c r="AI7" s="104">
        <f t="shared" si="6"/>
        <v>0</v>
      </c>
      <c r="AJ7" s="115">
        <f t="shared" si="7"/>
        <v>0</v>
      </c>
      <c r="AK7" s="116">
        <f t="shared" si="8"/>
        <v>0</v>
      </c>
      <c r="AL7" s="116">
        <f t="shared" si="9"/>
        <v>0</v>
      </c>
      <c r="AM7" s="116">
        <f t="shared" si="10"/>
        <v>0</v>
      </c>
      <c r="AN7" s="117">
        <f t="shared" si="11"/>
        <v>0</v>
      </c>
      <c r="AO7" s="39">
        <f t="shared" si="12"/>
        <v>0</v>
      </c>
      <c r="AP7" s="65">
        <f t="shared" si="13"/>
        <v>0</v>
      </c>
      <c r="AQ7" s="65">
        <f t="shared" si="14"/>
        <v>0</v>
      </c>
      <c r="AR7" s="65">
        <f t="shared" si="15"/>
        <v>0</v>
      </c>
      <c r="AS7" s="65">
        <f t="shared" si="16"/>
        <v>0</v>
      </c>
      <c r="AU7" s="152">
        <v>4</v>
      </c>
      <c r="AV7" s="153">
        <f t="shared" si="17"/>
        <v>0</v>
      </c>
      <c r="AW7" s="154">
        <f t="shared" si="18"/>
        <v>0</v>
      </c>
    </row>
    <row r="8" spans="2:49" s="8" customFormat="1" ht="13.5" customHeight="1" thickBot="1" x14ac:dyDescent="0.3">
      <c r="B8" s="15">
        <v>6</v>
      </c>
      <c r="D8" s="5"/>
      <c r="E8" s="67"/>
      <c r="F8" s="16"/>
      <c r="J8" s="9"/>
      <c r="K8" s="9">
        <f t="shared" si="0"/>
        <v>0</v>
      </c>
      <c r="L8" s="35">
        <f t="shared" si="1"/>
        <v>0</v>
      </c>
      <c r="M8" s="2"/>
      <c r="N8"/>
      <c r="O8" s="19"/>
      <c r="P8" s="19"/>
      <c r="Q8" s="19"/>
      <c r="R8" s="21"/>
      <c r="S8" s="46"/>
      <c r="T8" s="44"/>
      <c r="U8" s="76"/>
      <c r="V8" s="24"/>
      <c r="W8" s="24"/>
      <c r="X8" s="193"/>
      <c r="Y8" s="15"/>
      <c r="AA8">
        <v>1</v>
      </c>
      <c r="AB8" s="488"/>
      <c r="AC8" s="92" t="s">
        <v>3</v>
      </c>
      <c r="AD8" s="98"/>
      <c r="AE8" s="94">
        <f t="shared" ref="AE8:AS8" si="19">SUM(AE3:AE7)</f>
        <v>0</v>
      </c>
      <c r="AF8" s="94">
        <f t="shared" si="19"/>
        <v>0</v>
      </c>
      <c r="AG8" s="94">
        <f t="shared" si="19"/>
        <v>0</v>
      </c>
      <c r="AH8" s="94">
        <f t="shared" si="19"/>
        <v>0</v>
      </c>
      <c r="AI8" s="105">
        <f t="shared" si="19"/>
        <v>0</v>
      </c>
      <c r="AJ8" s="118">
        <f t="shared" si="19"/>
        <v>0</v>
      </c>
      <c r="AK8" s="119">
        <f t="shared" si="19"/>
        <v>0</v>
      </c>
      <c r="AL8" s="119">
        <f t="shared" si="19"/>
        <v>0</v>
      </c>
      <c r="AM8" s="119">
        <f t="shared" si="19"/>
        <v>0</v>
      </c>
      <c r="AN8" s="120">
        <f t="shared" si="19"/>
        <v>0</v>
      </c>
      <c r="AO8" s="94">
        <f t="shared" si="19"/>
        <v>0</v>
      </c>
      <c r="AP8" s="94">
        <f t="shared" si="19"/>
        <v>0</v>
      </c>
      <c r="AQ8" s="94">
        <f t="shared" si="19"/>
        <v>0</v>
      </c>
      <c r="AR8" s="94">
        <f t="shared" si="19"/>
        <v>0</v>
      </c>
      <c r="AS8" s="94">
        <f t="shared" si="19"/>
        <v>0</v>
      </c>
      <c r="AU8" s="152">
        <v>5</v>
      </c>
      <c r="AV8" s="153">
        <f t="shared" si="17"/>
        <v>0</v>
      </c>
      <c r="AW8" s="154">
        <f t="shared" si="18"/>
        <v>0</v>
      </c>
    </row>
    <row r="9" spans="2:49" s="8" customFormat="1" ht="13.5" customHeight="1" x14ac:dyDescent="0.25">
      <c r="B9" s="15">
        <v>7</v>
      </c>
      <c r="D9" s="5"/>
      <c r="E9" s="67"/>
      <c r="F9" s="16"/>
      <c r="J9" s="9"/>
      <c r="K9" s="9">
        <f t="shared" si="0"/>
        <v>0</v>
      </c>
      <c r="L9" s="35">
        <f t="shared" si="1"/>
        <v>0</v>
      </c>
      <c r="M9" s="2"/>
      <c r="N9"/>
      <c r="O9" s="19"/>
      <c r="P9" s="19"/>
      <c r="Q9" s="19"/>
      <c r="R9" s="21"/>
      <c r="S9" s="46"/>
      <c r="T9" s="44"/>
      <c r="U9" s="76"/>
      <c r="V9" s="24"/>
      <c r="W9" s="24"/>
      <c r="X9" s="193"/>
      <c r="Y9" s="15"/>
      <c r="AA9">
        <v>2</v>
      </c>
      <c r="AB9" s="486">
        <v>2</v>
      </c>
      <c r="AC9" s="89">
        <v>1</v>
      </c>
      <c r="AD9" s="99" t="s">
        <v>82</v>
      </c>
      <c r="AE9" s="39">
        <f t="shared" si="2"/>
        <v>0</v>
      </c>
      <c r="AF9" s="65">
        <f t="shared" si="3"/>
        <v>0</v>
      </c>
      <c r="AG9" s="65">
        <f t="shared" si="4"/>
        <v>0</v>
      </c>
      <c r="AH9" s="65">
        <f t="shared" si="5"/>
        <v>0</v>
      </c>
      <c r="AI9" s="104">
        <f t="shared" si="6"/>
        <v>0</v>
      </c>
      <c r="AJ9" s="115">
        <f t="shared" si="7"/>
        <v>0</v>
      </c>
      <c r="AK9" s="116">
        <f t="shared" si="8"/>
        <v>0</v>
      </c>
      <c r="AL9" s="116">
        <f t="shared" si="9"/>
        <v>0</v>
      </c>
      <c r="AM9" s="116">
        <f t="shared" si="10"/>
        <v>0</v>
      </c>
      <c r="AN9" s="117">
        <f t="shared" si="11"/>
        <v>0</v>
      </c>
      <c r="AO9" s="39">
        <f t="shared" si="12"/>
        <v>0</v>
      </c>
      <c r="AP9" s="65">
        <f t="shared" si="13"/>
        <v>0</v>
      </c>
      <c r="AQ9" s="65">
        <f t="shared" si="14"/>
        <v>0</v>
      </c>
      <c r="AR9" s="65">
        <f t="shared" si="15"/>
        <v>0</v>
      </c>
      <c r="AS9" s="65">
        <f t="shared" si="16"/>
        <v>0</v>
      </c>
      <c r="AU9" s="152">
        <v>6</v>
      </c>
      <c r="AV9" s="153">
        <f t="shared" si="17"/>
        <v>0</v>
      </c>
      <c r="AW9" s="154">
        <f t="shared" si="18"/>
        <v>0</v>
      </c>
    </row>
    <row r="10" spans="2:49" s="8" customFormat="1" ht="13.5" customHeight="1" x14ac:dyDescent="0.25">
      <c r="B10" s="15">
        <v>8</v>
      </c>
      <c r="D10" s="5"/>
      <c r="E10" s="67"/>
      <c r="F10" s="16"/>
      <c r="J10" s="9"/>
      <c r="K10" s="9">
        <f t="shared" si="0"/>
        <v>0</v>
      </c>
      <c r="L10" s="35">
        <f t="shared" si="1"/>
        <v>0</v>
      </c>
      <c r="M10" s="2"/>
      <c r="N10" s="2"/>
      <c r="O10" s="19"/>
      <c r="P10" s="19"/>
      <c r="Q10" s="19"/>
      <c r="R10" s="21"/>
      <c r="S10" s="46"/>
      <c r="T10" s="82"/>
      <c r="U10" s="76"/>
      <c r="V10" s="24"/>
      <c r="W10" s="24"/>
      <c r="X10" s="193"/>
      <c r="Y10" s="15"/>
      <c r="AA10">
        <v>2</v>
      </c>
      <c r="AB10" s="487"/>
      <c r="AC10" s="90">
        <v>2</v>
      </c>
      <c r="AD10" s="97" t="s">
        <v>58</v>
      </c>
      <c r="AE10" s="39">
        <f t="shared" si="2"/>
        <v>0</v>
      </c>
      <c r="AF10" s="65">
        <f t="shared" si="3"/>
        <v>0</v>
      </c>
      <c r="AG10" s="65">
        <f t="shared" si="4"/>
        <v>0</v>
      </c>
      <c r="AH10" s="65">
        <f t="shared" si="5"/>
        <v>0</v>
      </c>
      <c r="AI10" s="104">
        <f t="shared" si="6"/>
        <v>0</v>
      </c>
      <c r="AJ10" s="115">
        <f t="shared" si="7"/>
        <v>0</v>
      </c>
      <c r="AK10" s="116">
        <f t="shared" si="8"/>
        <v>0</v>
      </c>
      <c r="AL10" s="116">
        <f t="shared" si="9"/>
        <v>0</v>
      </c>
      <c r="AM10" s="116">
        <f t="shared" si="10"/>
        <v>0</v>
      </c>
      <c r="AN10" s="117">
        <f t="shared" si="11"/>
        <v>0</v>
      </c>
      <c r="AO10" s="39">
        <f t="shared" si="12"/>
        <v>0</v>
      </c>
      <c r="AP10" s="65">
        <f t="shared" si="13"/>
        <v>0</v>
      </c>
      <c r="AQ10" s="65">
        <f t="shared" si="14"/>
        <v>0</v>
      </c>
      <c r="AR10" s="65">
        <f t="shared" si="15"/>
        <v>0</v>
      </c>
      <c r="AS10" s="65">
        <f t="shared" si="16"/>
        <v>0</v>
      </c>
      <c r="AU10" s="152">
        <v>7</v>
      </c>
      <c r="AV10" s="153">
        <f t="shared" si="17"/>
        <v>0</v>
      </c>
      <c r="AW10" s="154">
        <f t="shared" si="18"/>
        <v>0</v>
      </c>
    </row>
    <row r="11" spans="2:49" s="8" customFormat="1" ht="13.5" customHeight="1" x14ac:dyDescent="0.25">
      <c r="B11" s="15">
        <v>9</v>
      </c>
      <c r="D11" s="5"/>
      <c r="E11" s="67"/>
      <c r="F11" s="16"/>
      <c r="J11" s="9"/>
      <c r="K11" s="9">
        <f t="shared" si="0"/>
        <v>0</v>
      </c>
      <c r="L11" s="35">
        <f t="shared" si="1"/>
        <v>0</v>
      </c>
      <c r="M11" s="2"/>
      <c r="N11"/>
      <c r="O11" s="19"/>
      <c r="P11" s="19"/>
      <c r="Q11" s="19"/>
      <c r="R11" s="21"/>
      <c r="S11" s="46"/>
      <c r="T11" s="44"/>
      <c r="U11" s="76"/>
      <c r="V11" s="24"/>
      <c r="W11" s="24"/>
      <c r="X11" s="193"/>
      <c r="Y11" s="15"/>
      <c r="AA11">
        <v>2</v>
      </c>
      <c r="AB11" s="487"/>
      <c r="AC11" s="90">
        <v>3</v>
      </c>
      <c r="AD11" s="97" t="s">
        <v>59</v>
      </c>
      <c r="AE11" s="39">
        <f t="shared" si="2"/>
        <v>0</v>
      </c>
      <c r="AF11" s="65">
        <f t="shared" si="3"/>
        <v>0</v>
      </c>
      <c r="AG11" s="65">
        <f t="shared" si="4"/>
        <v>0</v>
      </c>
      <c r="AH11" s="65">
        <f t="shared" si="5"/>
        <v>0</v>
      </c>
      <c r="AI11" s="104">
        <f t="shared" si="6"/>
        <v>0</v>
      </c>
      <c r="AJ11" s="115">
        <f t="shared" si="7"/>
        <v>0</v>
      </c>
      <c r="AK11" s="116">
        <f t="shared" si="8"/>
        <v>0</v>
      </c>
      <c r="AL11" s="116">
        <f t="shared" si="9"/>
        <v>0</v>
      </c>
      <c r="AM11" s="116">
        <f t="shared" si="10"/>
        <v>0</v>
      </c>
      <c r="AN11" s="117">
        <f t="shared" si="11"/>
        <v>0</v>
      </c>
      <c r="AO11" s="39">
        <f t="shared" si="12"/>
        <v>0</v>
      </c>
      <c r="AP11" s="65">
        <f t="shared" si="13"/>
        <v>0</v>
      </c>
      <c r="AQ11" s="65">
        <f t="shared" si="14"/>
        <v>0</v>
      </c>
      <c r="AR11" s="65">
        <f t="shared" si="15"/>
        <v>0</v>
      </c>
      <c r="AS11" s="65">
        <f t="shared" si="16"/>
        <v>0</v>
      </c>
      <c r="AU11" s="152">
        <v>8</v>
      </c>
      <c r="AV11" s="153">
        <f t="shared" si="17"/>
        <v>0</v>
      </c>
      <c r="AW11" s="154">
        <f t="shared" si="18"/>
        <v>0</v>
      </c>
    </row>
    <row r="12" spans="2:49" s="8" customFormat="1" ht="13.5" customHeight="1" x14ac:dyDescent="0.25">
      <c r="B12" s="15">
        <v>10</v>
      </c>
      <c r="D12" s="5"/>
      <c r="E12" s="67"/>
      <c r="F12" s="16"/>
      <c r="J12" s="9"/>
      <c r="K12" s="9">
        <f t="shared" si="0"/>
        <v>0</v>
      </c>
      <c r="L12" s="35">
        <f t="shared" si="1"/>
        <v>0</v>
      </c>
      <c r="M12" s="2"/>
      <c r="N12"/>
      <c r="O12" s="19"/>
      <c r="P12" s="19"/>
      <c r="Q12" s="19"/>
      <c r="R12" s="21"/>
      <c r="S12" s="46"/>
      <c r="T12" s="44"/>
      <c r="U12" s="76"/>
      <c r="V12" s="24"/>
      <c r="W12" s="24"/>
      <c r="X12" s="193"/>
      <c r="Y12" s="15"/>
      <c r="AA12">
        <v>2</v>
      </c>
      <c r="AB12" s="487"/>
      <c r="AC12" s="90">
        <v>4</v>
      </c>
      <c r="AD12" s="97" t="s">
        <v>60</v>
      </c>
      <c r="AE12" s="39">
        <f t="shared" si="2"/>
        <v>0</v>
      </c>
      <c r="AF12" s="65">
        <f t="shared" si="3"/>
        <v>0</v>
      </c>
      <c r="AG12" s="65">
        <f t="shared" si="4"/>
        <v>0</v>
      </c>
      <c r="AH12" s="65">
        <f t="shared" si="5"/>
        <v>0</v>
      </c>
      <c r="AI12" s="104">
        <f t="shared" si="6"/>
        <v>0</v>
      </c>
      <c r="AJ12" s="115">
        <f t="shared" si="7"/>
        <v>0</v>
      </c>
      <c r="AK12" s="116">
        <f t="shared" si="8"/>
        <v>0</v>
      </c>
      <c r="AL12" s="116">
        <f t="shared" si="9"/>
        <v>0</v>
      </c>
      <c r="AM12" s="116">
        <f t="shared" si="10"/>
        <v>0</v>
      </c>
      <c r="AN12" s="117">
        <f t="shared" si="11"/>
        <v>0</v>
      </c>
      <c r="AO12" s="39">
        <f t="shared" si="12"/>
        <v>0</v>
      </c>
      <c r="AP12" s="65">
        <f t="shared" si="13"/>
        <v>0</v>
      </c>
      <c r="AQ12" s="65">
        <f t="shared" si="14"/>
        <v>0</v>
      </c>
      <c r="AR12" s="65">
        <f t="shared" si="15"/>
        <v>0</v>
      </c>
      <c r="AS12" s="65">
        <f t="shared" si="16"/>
        <v>0</v>
      </c>
      <c r="AU12" s="152">
        <v>9</v>
      </c>
      <c r="AV12" s="153">
        <f t="shared" si="17"/>
        <v>2</v>
      </c>
      <c r="AW12" s="154">
        <f t="shared" si="18"/>
        <v>0</v>
      </c>
    </row>
    <row r="13" spans="2:49" s="8" customFormat="1" ht="13.5" customHeight="1" x14ac:dyDescent="0.25">
      <c r="B13" s="15">
        <v>11</v>
      </c>
      <c r="D13" s="5"/>
      <c r="E13" s="67"/>
      <c r="F13" s="16"/>
      <c r="J13" s="9"/>
      <c r="K13" s="9">
        <f t="shared" si="0"/>
        <v>0</v>
      </c>
      <c r="L13" s="35">
        <f t="shared" si="1"/>
        <v>0</v>
      </c>
      <c r="M13" s="2"/>
      <c r="N13"/>
      <c r="O13" s="19"/>
      <c r="P13" s="19"/>
      <c r="Q13" s="19"/>
      <c r="R13" s="21"/>
      <c r="S13" s="46"/>
      <c r="T13" s="44"/>
      <c r="U13" s="76"/>
      <c r="V13" s="24"/>
      <c r="W13" s="24"/>
      <c r="X13" s="193"/>
      <c r="Y13" s="15"/>
      <c r="AA13">
        <v>2</v>
      </c>
      <c r="AB13" s="487"/>
      <c r="AC13" s="91">
        <v>5</v>
      </c>
      <c r="AD13" s="97"/>
      <c r="AE13" s="39">
        <f t="shared" si="2"/>
        <v>0</v>
      </c>
      <c r="AF13" s="65">
        <f t="shared" si="3"/>
        <v>0</v>
      </c>
      <c r="AG13" s="65">
        <f t="shared" si="4"/>
        <v>0</v>
      </c>
      <c r="AH13" s="65">
        <f t="shared" si="5"/>
        <v>0</v>
      </c>
      <c r="AI13" s="104">
        <f t="shared" si="6"/>
        <v>0</v>
      </c>
      <c r="AJ13" s="115">
        <f t="shared" si="7"/>
        <v>0</v>
      </c>
      <c r="AK13" s="116">
        <f t="shared" si="8"/>
        <v>0</v>
      </c>
      <c r="AL13" s="116">
        <f t="shared" si="9"/>
        <v>0</v>
      </c>
      <c r="AM13" s="116">
        <f t="shared" si="10"/>
        <v>0</v>
      </c>
      <c r="AN13" s="117">
        <f t="shared" si="11"/>
        <v>0</v>
      </c>
      <c r="AO13" s="39">
        <f t="shared" si="12"/>
        <v>0</v>
      </c>
      <c r="AP13" s="65">
        <f t="shared" si="13"/>
        <v>0</v>
      </c>
      <c r="AQ13" s="65">
        <f t="shared" si="14"/>
        <v>0</v>
      </c>
      <c r="AR13" s="65">
        <f t="shared" si="15"/>
        <v>0</v>
      </c>
      <c r="AS13" s="65">
        <f t="shared" si="16"/>
        <v>0</v>
      </c>
      <c r="AU13" s="152">
        <v>10</v>
      </c>
      <c r="AV13" s="153">
        <f t="shared" si="17"/>
        <v>0</v>
      </c>
      <c r="AW13" s="154">
        <f t="shared" si="18"/>
        <v>0</v>
      </c>
    </row>
    <row r="14" spans="2:49" s="8" customFormat="1" ht="13.5" customHeight="1" thickBot="1" x14ac:dyDescent="0.3">
      <c r="B14" s="15">
        <v>12</v>
      </c>
      <c r="D14" s="5"/>
      <c r="E14" s="67"/>
      <c r="F14" s="16"/>
      <c r="J14" s="9"/>
      <c r="K14" s="9">
        <f t="shared" si="0"/>
        <v>0</v>
      </c>
      <c r="L14" s="35">
        <f t="shared" si="1"/>
        <v>0</v>
      </c>
      <c r="M14" s="2"/>
      <c r="N14"/>
      <c r="O14" s="19"/>
      <c r="P14" s="19"/>
      <c r="Q14" s="19"/>
      <c r="R14" s="21"/>
      <c r="S14" s="46"/>
      <c r="T14" s="44"/>
      <c r="U14" s="76"/>
      <c r="V14" s="29"/>
      <c r="W14" s="24"/>
      <c r="X14" s="193"/>
      <c r="Y14" s="15"/>
      <c r="AA14">
        <v>2</v>
      </c>
      <c r="AB14" s="488"/>
      <c r="AC14" s="92" t="s">
        <v>3</v>
      </c>
      <c r="AD14" s="98"/>
      <c r="AE14" s="94">
        <f t="shared" ref="AE14:AS14" si="20">SUM(AE9:AE13)</f>
        <v>0</v>
      </c>
      <c r="AF14" s="94">
        <f t="shared" si="20"/>
        <v>0</v>
      </c>
      <c r="AG14" s="94">
        <f t="shared" si="20"/>
        <v>0</v>
      </c>
      <c r="AH14" s="94">
        <f t="shared" si="20"/>
        <v>0</v>
      </c>
      <c r="AI14" s="105">
        <f t="shared" si="20"/>
        <v>0</v>
      </c>
      <c r="AJ14" s="118">
        <f t="shared" si="20"/>
        <v>0</v>
      </c>
      <c r="AK14" s="119">
        <f t="shared" si="20"/>
        <v>0</v>
      </c>
      <c r="AL14" s="119">
        <f t="shared" si="20"/>
        <v>0</v>
      </c>
      <c r="AM14" s="119">
        <f t="shared" si="20"/>
        <v>0</v>
      </c>
      <c r="AN14" s="120">
        <f t="shared" si="20"/>
        <v>0</v>
      </c>
      <c r="AO14" s="94">
        <f t="shared" si="20"/>
        <v>0</v>
      </c>
      <c r="AP14" s="94">
        <f t="shared" si="20"/>
        <v>0</v>
      </c>
      <c r="AQ14" s="94">
        <f t="shared" si="20"/>
        <v>0</v>
      </c>
      <c r="AR14" s="94">
        <f t="shared" si="20"/>
        <v>0</v>
      </c>
      <c r="AS14" s="94">
        <f t="shared" si="20"/>
        <v>0</v>
      </c>
      <c r="AU14" s="152">
        <v>11</v>
      </c>
      <c r="AV14" s="153">
        <f t="shared" si="17"/>
        <v>0</v>
      </c>
      <c r="AW14" s="154">
        <f t="shared" si="18"/>
        <v>0</v>
      </c>
    </row>
    <row r="15" spans="2:49" s="8" customFormat="1" ht="13.5" customHeight="1" thickBot="1" x14ac:dyDescent="0.3">
      <c r="B15" s="15">
        <v>13</v>
      </c>
      <c r="D15" s="5"/>
      <c r="E15" s="67"/>
      <c r="F15" s="16"/>
      <c r="J15" s="9"/>
      <c r="K15" s="9">
        <f t="shared" si="0"/>
        <v>0</v>
      </c>
      <c r="L15" s="35">
        <f t="shared" si="1"/>
        <v>0</v>
      </c>
      <c r="M15" s="2"/>
      <c r="N15"/>
      <c r="O15" s="19"/>
      <c r="P15" s="19"/>
      <c r="Q15" s="19"/>
      <c r="R15" s="21"/>
      <c r="S15" s="46"/>
      <c r="T15" s="44"/>
      <c r="U15" s="76"/>
      <c r="V15" s="30"/>
      <c r="W15" s="24"/>
      <c r="X15" s="193"/>
      <c r="Y15" s="15"/>
      <c r="AA15">
        <v>3</v>
      </c>
      <c r="AB15" s="486">
        <v>3</v>
      </c>
      <c r="AC15" s="89">
        <v>1</v>
      </c>
      <c r="AD15" s="95" t="s">
        <v>83</v>
      </c>
      <c r="AE15" s="39">
        <f t="shared" si="2"/>
        <v>0</v>
      </c>
      <c r="AF15" s="65">
        <f t="shared" si="3"/>
        <v>0</v>
      </c>
      <c r="AG15" s="65">
        <f t="shared" si="4"/>
        <v>0</v>
      </c>
      <c r="AH15" s="65">
        <f t="shared" si="5"/>
        <v>0</v>
      </c>
      <c r="AI15" s="104">
        <f t="shared" si="6"/>
        <v>0</v>
      </c>
      <c r="AJ15" s="115">
        <f t="shared" si="7"/>
        <v>0</v>
      </c>
      <c r="AK15" s="116">
        <f t="shared" si="8"/>
        <v>0</v>
      </c>
      <c r="AL15" s="116">
        <f t="shared" si="9"/>
        <v>0</v>
      </c>
      <c r="AM15" s="116">
        <f t="shared" si="10"/>
        <v>0</v>
      </c>
      <c r="AN15" s="117">
        <f t="shared" si="11"/>
        <v>0</v>
      </c>
      <c r="AO15" s="39">
        <f t="shared" si="12"/>
        <v>0</v>
      </c>
      <c r="AP15" s="65">
        <f t="shared" si="13"/>
        <v>0</v>
      </c>
      <c r="AQ15" s="65">
        <f t="shared" si="14"/>
        <v>0</v>
      </c>
      <c r="AR15" s="65">
        <f t="shared" si="15"/>
        <v>0</v>
      </c>
      <c r="AS15" s="65">
        <f t="shared" si="16"/>
        <v>0</v>
      </c>
      <c r="AU15" s="155">
        <v>12</v>
      </c>
      <c r="AV15" s="153">
        <f t="shared" si="17"/>
        <v>0</v>
      </c>
      <c r="AW15" s="154">
        <f t="shared" si="18"/>
        <v>0</v>
      </c>
    </row>
    <row r="16" spans="2:49" s="8" customFormat="1" ht="13.5" customHeight="1" thickBot="1" x14ac:dyDescent="0.3">
      <c r="B16" s="15">
        <v>14</v>
      </c>
      <c r="D16" s="5"/>
      <c r="E16" s="67"/>
      <c r="F16" s="16"/>
      <c r="J16" s="9"/>
      <c r="K16" s="9">
        <f t="shared" si="0"/>
        <v>0</v>
      </c>
      <c r="L16" s="35">
        <f t="shared" si="1"/>
        <v>0</v>
      </c>
      <c r="M16" s="2"/>
      <c r="N16"/>
      <c r="O16" s="19"/>
      <c r="P16" s="19"/>
      <c r="Q16" s="19"/>
      <c r="R16" s="21"/>
      <c r="S16" s="46"/>
      <c r="T16" s="44"/>
      <c r="U16" s="76"/>
      <c r="V16" s="30"/>
      <c r="W16" s="24"/>
      <c r="X16" s="193"/>
      <c r="Y16" s="15"/>
      <c r="AA16">
        <v>3</v>
      </c>
      <c r="AB16" s="487"/>
      <c r="AC16" s="90">
        <v>2</v>
      </c>
      <c r="AD16" s="96" t="s">
        <v>58</v>
      </c>
      <c r="AE16" s="39">
        <f t="shared" si="2"/>
        <v>0</v>
      </c>
      <c r="AF16" s="65">
        <f t="shared" si="3"/>
        <v>0</v>
      </c>
      <c r="AG16" s="65">
        <f t="shared" si="4"/>
        <v>0</v>
      </c>
      <c r="AH16" s="65">
        <f t="shared" si="5"/>
        <v>0</v>
      </c>
      <c r="AI16" s="104">
        <f t="shared" si="6"/>
        <v>0</v>
      </c>
      <c r="AJ16" s="115">
        <f t="shared" si="7"/>
        <v>0</v>
      </c>
      <c r="AK16" s="116">
        <f t="shared" si="8"/>
        <v>0</v>
      </c>
      <c r="AL16" s="116">
        <f t="shared" si="9"/>
        <v>0</v>
      </c>
      <c r="AM16" s="116">
        <f t="shared" si="10"/>
        <v>0</v>
      </c>
      <c r="AN16" s="117">
        <f t="shared" si="11"/>
        <v>0</v>
      </c>
      <c r="AO16" s="39">
        <f t="shared" si="12"/>
        <v>0</v>
      </c>
      <c r="AP16" s="65">
        <f t="shared" si="13"/>
        <v>0</v>
      </c>
      <c r="AQ16" s="65">
        <f t="shared" si="14"/>
        <v>0</v>
      </c>
      <c r="AR16" s="65">
        <f t="shared" si="15"/>
        <v>0</v>
      </c>
      <c r="AS16" s="65">
        <f t="shared" si="16"/>
        <v>0</v>
      </c>
      <c r="AU16" s="156" t="s">
        <v>3</v>
      </c>
      <c r="AV16" s="157">
        <f>SUM(AV4:AV15)</f>
        <v>3</v>
      </c>
      <c r="AW16" s="157">
        <f>SUM(AW4:AW15)</f>
        <v>0</v>
      </c>
    </row>
    <row r="17" spans="2:49" s="8" customFormat="1" ht="13.5" customHeight="1" thickBot="1" x14ac:dyDescent="0.3">
      <c r="B17" s="15">
        <v>15</v>
      </c>
      <c r="D17" s="5"/>
      <c r="E17" s="67"/>
      <c r="F17" s="16"/>
      <c r="J17" s="9"/>
      <c r="K17" s="9">
        <f t="shared" si="0"/>
        <v>0</v>
      </c>
      <c r="L17" s="35">
        <f t="shared" si="1"/>
        <v>0</v>
      </c>
      <c r="M17" s="2"/>
      <c r="N17"/>
      <c r="O17" s="19"/>
      <c r="P17" s="19"/>
      <c r="Q17" s="19"/>
      <c r="R17" s="21"/>
      <c r="S17" s="46"/>
      <c r="T17" s="83"/>
      <c r="U17" s="76"/>
      <c r="V17" s="30"/>
      <c r="W17" s="24"/>
      <c r="X17" s="193"/>
      <c r="Y17" s="15"/>
      <c r="AA17">
        <v>3</v>
      </c>
      <c r="AB17" s="487"/>
      <c r="AC17" s="90">
        <v>3</v>
      </c>
      <c r="AD17" s="97" t="s">
        <v>59</v>
      </c>
      <c r="AE17" s="39">
        <f t="shared" si="2"/>
        <v>0</v>
      </c>
      <c r="AF17" s="65">
        <f t="shared" si="3"/>
        <v>0</v>
      </c>
      <c r="AG17" s="65">
        <f t="shared" si="4"/>
        <v>0</v>
      </c>
      <c r="AH17" s="65">
        <f t="shared" si="5"/>
        <v>0</v>
      </c>
      <c r="AI17" s="104">
        <f t="shared" si="6"/>
        <v>0</v>
      </c>
      <c r="AJ17" s="115">
        <f t="shared" si="7"/>
        <v>0</v>
      </c>
      <c r="AK17" s="116">
        <f t="shared" si="8"/>
        <v>0</v>
      </c>
      <c r="AL17" s="116">
        <f t="shared" si="9"/>
        <v>0</v>
      </c>
      <c r="AM17" s="116">
        <f t="shared" si="10"/>
        <v>0</v>
      </c>
      <c r="AN17" s="117">
        <f t="shared" si="11"/>
        <v>0</v>
      </c>
      <c r="AO17" s="39">
        <f t="shared" si="12"/>
        <v>0</v>
      </c>
      <c r="AP17" s="65">
        <f t="shared" si="13"/>
        <v>0</v>
      </c>
      <c r="AQ17" s="65">
        <f t="shared" si="14"/>
        <v>0</v>
      </c>
      <c r="AR17" s="65">
        <f t="shared" si="15"/>
        <v>0</v>
      </c>
      <c r="AS17" s="65">
        <f t="shared" si="16"/>
        <v>0</v>
      </c>
      <c r="AU17" s="156" t="s">
        <v>120</v>
      </c>
      <c r="AV17" s="158">
        <f>AV16/($AV$16+$AW$16)</f>
        <v>1</v>
      </c>
      <c r="AW17" s="159">
        <f>AW16/($AW$16+$AV$16)</f>
        <v>0</v>
      </c>
    </row>
    <row r="18" spans="2:49" s="8" customFormat="1" ht="13.5" customHeight="1" x14ac:dyDescent="0.25">
      <c r="B18" s="15">
        <v>16</v>
      </c>
      <c r="D18" s="5"/>
      <c r="E18" s="67"/>
      <c r="F18" s="16"/>
      <c r="J18" s="9"/>
      <c r="K18" s="9">
        <f t="shared" si="0"/>
        <v>0</v>
      </c>
      <c r="L18" s="35">
        <f t="shared" si="1"/>
        <v>0</v>
      </c>
      <c r="M18" s="2"/>
      <c r="N18"/>
      <c r="O18" s="19"/>
      <c r="P18" s="19"/>
      <c r="Q18" s="19"/>
      <c r="R18" s="21"/>
      <c r="S18" s="46"/>
      <c r="T18" s="44"/>
      <c r="U18" s="76"/>
      <c r="V18" s="24"/>
      <c r="W18" s="24"/>
      <c r="X18" s="193"/>
      <c r="Y18" s="15"/>
      <c r="AA18">
        <v>3</v>
      </c>
      <c r="AB18" s="487"/>
      <c r="AC18" s="90">
        <v>4</v>
      </c>
      <c r="AD18" s="97" t="s">
        <v>60</v>
      </c>
      <c r="AE18" s="39">
        <f t="shared" si="2"/>
        <v>349.44</v>
      </c>
      <c r="AF18" s="65">
        <f t="shared" si="3"/>
        <v>0</v>
      </c>
      <c r="AG18" s="65">
        <f t="shared" si="4"/>
        <v>0</v>
      </c>
      <c r="AH18" s="65">
        <f t="shared" si="5"/>
        <v>349.44</v>
      </c>
      <c r="AI18" s="104">
        <f t="shared" si="6"/>
        <v>0</v>
      </c>
      <c r="AJ18" s="115">
        <f t="shared" si="7"/>
        <v>1</v>
      </c>
      <c r="AK18" s="116">
        <f t="shared" si="8"/>
        <v>0</v>
      </c>
      <c r="AL18" s="116">
        <f t="shared" si="9"/>
        <v>0</v>
      </c>
      <c r="AM18" s="116">
        <f t="shared" si="10"/>
        <v>1</v>
      </c>
      <c r="AN18" s="117">
        <f t="shared" si="11"/>
        <v>0</v>
      </c>
      <c r="AO18" s="39">
        <f t="shared" si="12"/>
        <v>3.5</v>
      </c>
      <c r="AP18" s="65">
        <f t="shared" si="13"/>
        <v>0</v>
      </c>
      <c r="AQ18" s="65">
        <f t="shared" si="14"/>
        <v>0</v>
      </c>
      <c r="AR18" s="65">
        <f t="shared" si="15"/>
        <v>3.5</v>
      </c>
      <c r="AS18" s="65">
        <f t="shared" si="16"/>
        <v>0</v>
      </c>
    </row>
    <row r="19" spans="2:49" s="8" customFormat="1" ht="13.5" customHeight="1" x14ac:dyDescent="0.25">
      <c r="B19" s="15">
        <v>17</v>
      </c>
      <c r="D19" s="5"/>
      <c r="E19" s="67"/>
      <c r="F19" s="16"/>
      <c r="J19" s="9"/>
      <c r="K19" s="9">
        <f t="shared" si="0"/>
        <v>0</v>
      </c>
      <c r="L19" s="35">
        <f t="shared" si="1"/>
        <v>0</v>
      </c>
      <c r="M19" s="2"/>
      <c r="N19"/>
      <c r="O19" s="19"/>
      <c r="P19" s="19"/>
      <c r="Q19" s="19"/>
      <c r="R19" s="21"/>
      <c r="S19" s="46"/>
      <c r="T19" s="44"/>
      <c r="U19" s="76"/>
      <c r="V19" s="24"/>
      <c r="W19" s="24"/>
      <c r="X19" s="193"/>
      <c r="Y19" s="15"/>
      <c r="AA19">
        <v>3</v>
      </c>
      <c r="AB19" s="487"/>
      <c r="AC19" s="91">
        <v>5</v>
      </c>
      <c r="AD19" s="97"/>
      <c r="AE19" s="39">
        <f t="shared" si="2"/>
        <v>0</v>
      </c>
      <c r="AF19" s="65">
        <f t="shared" si="3"/>
        <v>0</v>
      </c>
      <c r="AG19" s="65">
        <f t="shared" si="4"/>
        <v>0</v>
      </c>
      <c r="AH19" s="65">
        <f t="shared" si="5"/>
        <v>0</v>
      </c>
      <c r="AI19" s="104">
        <f t="shared" si="6"/>
        <v>0</v>
      </c>
      <c r="AJ19" s="115">
        <f t="shared" si="7"/>
        <v>0</v>
      </c>
      <c r="AK19" s="116">
        <f t="shared" si="8"/>
        <v>0</v>
      </c>
      <c r="AL19" s="116">
        <f t="shared" si="9"/>
        <v>0</v>
      </c>
      <c r="AM19" s="116">
        <f t="shared" si="10"/>
        <v>0</v>
      </c>
      <c r="AN19" s="117">
        <f t="shared" si="11"/>
        <v>0</v>
      </c>
      <c r="AO19" s="39">
        <f t="shared" si="12"/>
        <v>0</v>
      </c>
      <c r="AP19" s="65">
        <f t="shared" si="13"/>
        <v>0</v>
      </c>
      <c r="AQ19" s="65">
        <f t="shared" si="14"/>
        <v>0</v>
      </c>
      <c r="AR19" s="65">
        <f t="shared" si="15"/>
        <v>0</v>
      </c>
      <c r="AS19" s="65">
        <f t="shared" si="16"/>
        <v>0</v>
      </c>
    </row>
    <row r="20" spans="2:49" s="8" customFormat="1" ht="13.5" customHeight="1" thickBot="1" x14ac:dyDescent="0.3">
      <c r="B20" s="15">
        <v>18</v>
      </c>
      <c r="D20" s="5"/>
      <c r="E20" s="67"/>
      <c r="F20" s="16"/>
      <c r="J20" s="9"/>
      <c r="K20" s="9">
        <f t="shared" si="0"/>
        <v>0</v>
      </c>
      <c r="L20" s="35">
        <f t="shared" si="1"/>
        <v>0</v>
      </c>
      <c r="M20" s="2"/>
      <c r="N20"/>
      <c r="O20" s="19"/>
      <c r="P20" s="19"/>
      <c r="Q20" s="19"/>
      <c r="R20" s="21"/>
      <c r="S20" s="46"/>
      <c r="T20" s="44"/>
      <c r="U20" s="76"/>
      <c r="V20" s="24"/>
      <c r="W20" s="24"/>
      <c r="X20" s="193"/>
      <c r="Y20" s="15"/>
      <c r="AA20">
        <v>3</v>
      </c>
      <c r="AB20" s="488"/>
      <c r="AC20" s="92" t="s">
        <v>3</v>
      </c>
      <c r="AD20" s="98"/>
      <c r="AE20" s="94">
        <f t="shared" ref="AE20:AS20" si="21">SUM(AE15:AE19)</f>
        <v>349.44</v>
      </c>
      <c r="AF20" s="94">
        <f t="shared" si="21"/>
        <v>0</v>
      </c>
      <c r="AG20" s="94">
        <f t="shared" si="21"/>
        <v>0</v>
      </c>
      <c r="AH20" s="94">
        <f t="shared" si="21"/>
        <v>349.44</v>
      </c>
      <c r="AI20" s="105">
        <f t="shared" si="21"/>
        <v>0</v>
      </c>
      <c r="AJ20" s="118">
        <f t="shared" si="21"/>
        <v>1</v>
      </c>
      <c r="AK20" s="119">
        <f t="shared" si="21"/>
        <v>0</v>
      </c>
      <c r="AL20" s="119">
        <f t="shared" si="21"/>
        <v>0</v>
      </c>
      <c r="AM20" s="119">
        <f t="shared" si="21"/>
        <v>1</v>
      </c>
      <c r="AN20" s="120">
        <f t="shared" si="21"/>
        <v>0</v>
      </c>
      <c r="AO20" s="94">
        <f t="shared" si="21"/>
        <v>3.5</v>
      </c>
      <c r="AP20" s="94">
        <f t="shared" si="21"/>
        <v>0</v>
      </c>
      <c r="AQ20" s="94">
        <f t="shared" si="21"/>
        <v>0</v>
      </c>
      <c r="AR20" s="94">
        <f t="shared" si="21"/>
        <v>3.5</v>
      </c>
      <c r="AS20" s="94">
        <f t="shared" si="21"/>
        <v>0</v>
      </c>
    </row>
    <row r="21" spans="2:49" s="8" customFormat="1" ht="13.5" customHeight="1" x14ac:dyDescent="0.25">
      <c r="B21" s="15">
        <v>19</v>
      </c>
      <c r="D21" s="5"/>
      <c r="E21" s="67"/>
      <c r="F21" s="16"/>
      <c r="J21" s="9"/>
      <c r="K21" s="9">
        <f t="shared" si="0"/>
        <v>0</v>
      </c>
      <c r="L21" s="35">
        <f t="shared" si="1"/>
        <v>0</v>
      </c>
      <c r="M21" s="2"/>
      <c r="N21"/>
      <c r="O21" s="19"/>
      <c r="P21" s="19"/>
      <c r="Q21" s="19"/>
      <c r="R21" s="21"/>
      <c r="S21" s="46"/>
      <c r="T21" s="44"/>
      <c r="U21" s="76"/>
      <c r="V21" s="24"/>
      <c r="W21" s="24"/>
      <c r="X21" s="193"/>
      <c r="Y21" s="15"/>
      <c r="AA21">
        <v>4</v>
      </c>
      <c r="AB21" s="486">
        <v>4</v>
      </c>
      <c r="AC21" s="89">
        <v>1</v>
      </c>
      <c r="AD21" s="95" t="s">
        <v>84</v>
      </c>
      <c r="AE21" s="39">
        <f t="shared" si="2"/>
        <v>0</v>
      </c>
      <c r="AF21" s="65">
        <f t="shared" si="3"/>
        <v>0</v>
      </c>
      <c r="AG21" s="65">
        <f t="shared" si="4"/>
        <v>0</v>
      </c>
      <c r="AH21" s="65">
        <f t="shared" si="5"/>
        <v>0</v>
      </c>
      <c r="AI21" s="104">
        <f t="shared" si="6"/>
        <v>0</v>
      </c>
      <c r="AJ21" s="115">
        <f t="shared" si="7"/>
        <v>0</v>
      </c>
      <c r="AK21" s="116">
        <f t="shared" si="8"/>
        <v>0</v>
      </c>
      <c r="AL21" s="116">
        <f t="shared" si="9"/>
        <v>0</v>
      </c>
      <c r="AM21" s="116">
        <f t="shared" si="10"/>
        <v>0</v>
      </c>
      <c r="AN21" s="117">
        <f t="shared" si="11"/>
        <v>0</v>
      </c>
      <c r="AO21" s="39">
        <f t="shared" si="12"/>
        <v>0</v>
      </c>
      <c r="AP21" s="65">
        <f t="shared" si="13"/>
        <v>0</v>
      </c>
      <c r="AQ21" s="65">
        <f t="shared" si="14"/>
        <v>0</v>
      </c>
      <c r="AR21" s="65">
        <f t="shared" si="15"/>
        <v>0</v>
      </c>
      <c r="AS21" s="65">
        <f t="shared" si="16"/>
        <v>0</v>
      </c>
    </row>
    <row r="22" spans="2:49" s="8" customFormat="1" ht="13.5" customHeight="1" x14ac:dyDescent="0.25">
      <c r="B22" s="15">
        <v>20</v>
      </c>
      <c r="D22" s="5"/>
      <c r="E22" s="67"/>
      <c r="F22" s="16"/>
      <c r="J22" s="9"/>
      <c r="K22" s="9">
        <f t="shared" si="0"/>
        <v>0</v>
      </c>
      <c r="L22" s="35">
        <f t="shared" si="1"/>
        <v>0</v>
      </c>
      <c r="M22" s="2"/>
      <c r="N22"/>
      <c r="O22" s="19"/>
      <c r="P22" s="19"/>
      <c r="Q22" s="19"/>
      <c r="R22" s="21"/>
      <c r="S22" s="46"/>
      <c r="T22" s="44"/>
      <c r="U22" s="76"/>
      <c r="V22" s="24"/>
      <c r="W22" s="24"/>
      <c r="X22" s="193"/>
      <c r="Y22" s="15"/>
      <c r="AA22">
        <v>4</v>
      </c>
      <c r="AB22" s="487"/>
      <c r="AC22" s="90">
        <v>2</v>
      </c>
      <c r="AD22" s="97" t="s">
        <v>61</v>
      </c>
      <c r="AE22" s="39">
        <f t="shared" si="2"/>
        <v>0</v>
      </c>
      <c r="AF22" s="65">
        <f t="shared" si="3"/>
        <v>0</v>
      </c>
      <c r="AG22" s="65">
        <f t="shared" si="4"/>
        <v>0</v>
      </c>
      <c r="AH22" s="65">
        <f t="shared" si="5"/>
        <v>0</v>
      </c>
      <c r="AI22" s="104">
        <f t="shared" si="6"/>
        <v>0</v>
      </c>
      <c r="AJ22" s="115">
        <f t="shared" si="7"/>
        <v>0</v>
      </c>
      <c r="AK22" s="116">
        <f t="shared" si="8"/>
        <v>0</v>
      </c>
      <c r="AL22" s="116">
        <f t="shared" si="9"/>
        <v>0</v>
      </c>
      <c r="AM22" s="116">
        <f t="shared" si="10"/>
        <v>0</v>
      </c>
      <c r="AN22" s="117">
        <f t="shared" si="11"/>
        <v>0</v>
      </c>
      <c r="AO22" s="39">
        <f t="shared" si="12"/>
        <v>0</v>
      </c>
      <c r="AP22" s="65">
        <f t="shared" si="13"/>
        <v>0</v>
      </c>
      <c r="AQ22" s="65">
        <f t="shared" si="14"/>
        <v>0</v>
      </c>
      <c r="AR22" s="65">
        <f t="shared" si="15"/>
        <v>0</v>
      </c>
      <c r="AS22" s="65">
        <f t="shared" si="16"/>
        <v>0</v>
      </c>
    </row>
    <row r="23" spans="2:49" s="8" customFormat="1" ht="13.5" customHeight="1" x14ac:dyDescent="0.25">
      <c r="B23" s="15">
        <v>21</v>
      </c>
      <c r="D23" s="5"/>
      <c r="E23" s="67"/>
      <c r="F23" s="16"/>
      <c r="J23" s="9"/>
      <c r="K23" s="9">
        <f t="shared" si="0"/>
        <v>0</v>
      </c>
      <c r="L23" s="35">
        <f t="shared" si="1"/>
        <v>0</v>
      </c>
      <c r="M23" s="2"/>
      <c r="N23" s="2"/>
      <c r="O23" s="19"/>
      <c r="P23" s="19"/>
      <c r="Q23" s="19"/>
      <c r="R23" s="21"/>
      <c r="S23" s="46"/>
      <c r="T23" s="44"/>
      <c r="U23" s="76"/>
      <c r="V23" s="24"/>
      <c r="W23" s="24"/>
      <c r="X23" s="193"/>
      <c r="Y23" s="15"/>
      <c r="AA23">
        <v>4</v>
      </c>
      <c r="AB23" s="487"/>
      <c r="AC23" s="90">
        <v>3</v>
      </c>
      <c r="AD23" s="97" t="s">
        <v>62</v>
      </c>
      <c r="AE23" s="39">
        <f t="shared" si="2"/>
        <v>0</v>
      </c>
      <c r="AF23" s="65">
        <f t="shared" si="3"/>
        <v>0</v>
      </c>
      <c r="AG23" s="65">
        <f t="shared" si="4"/>
        <v>0</v>
      </c>
      <c r="AH23" s="65">
        <f t="shared" si="5"/>
        <v>0</v>
      </c>
      <c r="AI23" s="104">
        <f t="shared" si="6"/>
        <v>0</v>
      </c>
      <c r="AJ23" s="115">
        <f t="shared" si="7"/>
        <v>0</v>
      </c>
      <c r="AK23" s="116">
        <f t="shared" si="8"/>
        <v>0</v>
      </c>
      <c r="AL23" s="116">
        <f t="shared" si="9"/>
        <v>0</v>
      </c>
      <c r="AM23" s="116">
        <f t="shared" si="10"/>
        <v>0</v>
      </c>
      <c r="AN23" s="117">
        <f t="shared" si="11"/>
        <v>0</v>
      </c>
      <c r="AO23" s="39">
        <f t="shared" si="12"/>
        <v>0</v>
      </c>
      <c r="AP23" s="65">
        <f t="shared" si="13"/>
        <v>0</v>
      </c>
      <c r="AQ23" s="65">
        <f t="shared" si="14"/>
        <v>0</v>
      </c>
      <c r="AR23" s="65">
        <f t="shared" si="15"/>
        <v>0</v>
      </c>
      <c r="AS23" s="65">
        <f t="shared" si="16"/>
        <v>0</v>
      </c>
    </row>
    <row r="24" spans="2:49" s="8" customFormat="1" ht="13.5" customHeight="1" x14ac:dyDescent="0.25">
      <c r="B24" s="15">
        <v>22</v>
      </c>
      <c r="D24" s="5"/>
      <c r="E24" s="67"/>
      <c r="F24" s="16"/>
      <c r="J24" s="9"/>
      <c r="K24" s="9">
        <f t="shared" si="0"/>
        <v>0</v>
      </c>
      <c r="L24" s="35">
        <f t="shared" si="1"/>
        <v>0</v>
      </c>
      <c r="M24" s="2"/>
      <c r="N24" s="2"/>
      <c r="O24" s="19"/>
      <c r="P24" s="19"/>
      <c r="Q24" s="19"/>
      <c r="R24" s="21"/>
      <c r="S24" s="46"/>
      <c r="T24" s="44"/>
      <c r="U24" s="76"/>
      <c r="V24" s="24"/>
      <c r="W24" s="24"/>
      <c r="X24" s="193"/>
      <c r="Y24" s="15"/>
      <c r="AA24">
        <v>4</v>
      </c>
      <c r="AB24" s="487"/>
      <c r="AC24" s="90">
        <v>4</v>
      </c>
      <c r="AD24" s="97" t="s">
        <v>63</v>
      </c>
      <c r="AE24" s="39">
        <f t="shared" si="2"/>
        <v>0</v>
      </c>
      <c r="AF24" s="65">
        <f t="shared" si="3"/>
        <v>0</v>
      </c>
      <c r="AG24" s="65">
        <f t="shared" si="4"/>
        <v>0</v>
      </c>
      <c r="AH24" s="65">
        <f t="shared" si="5"/>
        <v>0</v>
      </c>
      <c r="AI24" s="104">
        <f t="shared" si="6"/>
        <v>0</v>
      </c>
      <c r="AJ24" s="115">
        <f t="shared" si="7"/>
        <v>0</v>
      </c>
      <c r="AK24" s="116">
        <f t="shared" si="8"/>
        <v>0</v>
      </c>
      <c r="AL24" s="116">
        <f t="shared" si="9"/>
        <v>0</v>
      </c>
      <c r="AM24" s="116">
        <f t="shared" si="10"/>
        <v>0</v>
      </c>
      <c r="AN24" s="117">
        <f t="shared" si="11"/>
        <v>0</v>
      </c>
      <c r="AO24" s="39">
        <f t="shared" si="12"/>
        <v>0</v>
      </c>
      <c r="AP24" s="65">
        <f t="shared" si="13"/>
        <v>0</v>
      </c>
      <c r="AQ24" s="65">
        <f t="shared" si="14"/>
        <v>0</v>
      </c>
      <c r="AR24" s="65">
        <f t="shared" si="15"/>
        <v>0</v>
      </c>
      <c r="AS24" s="65">
        <f t="shared" si="16"/>
        <v>0</v>
      </c>
      <c r="AU24" s="194" t="s">
        <v>149</v>
      </c>
      <c r="AV24" s="194" t="s">
        <v>150</v>
      </c>
      <c r="AW24" s="194" t="s">
        <v>120</v>
      </c>
    </row>
    <row r="25" spans="2:49" s="8" customFormat="1" ht="13.5" customHeight="1" x14ac:dyDescent="0.25">
      <c r="B25" s="15">
        <v>23</v>
      </c>
      <c r="D25" s="5"/>
      <c r="E25" s="67"/>
      <c r="F25" s="16"/>
      <c r="J25" s="9"/>
      <c r="K25" s="9">
        <f t="shared" si="0"/>
        <v>0</v>
      </c>
      <c r="L25" s="35">
        <f t="shared" si="1"/>
        <v>0</v>
      </c>
      <c r="M25" s="2"/>
      <c r="N25"/>
      <c r="O25" s="19"/>
      <c r="P25" s="19"/>
      <c r="Q25" s="19"/>
      <c r="R25" s="21"/>
      <c r="S25" s="46"/>
      <c r="T25" s="44"/>
      <c r="U25" s="76"/>
      <c r="V25" s="24"/>
      <c r="W25" s="24"/>
      <c r="X25" s="193"/>
      <c r="Y25" s="15"/>
      <c r="AA25">
        <v>4</v>
      </c>
      <c r="AB25" s="487"/>
      <c r="AC25" s="91">
        <v>5</v>
      </c>
      <c r="AD25" s="97" t="s">
        <v>85</v>
      </c>
      <c r="AE25" s="39">
        <f t="shared" si="2"/>
        <v>0</v>
      </c>
      <c r="AF25" s="65">
        <f t="shared" si="3"/>
        <v>0</v>
      </c>
      <c r="AG25" s="65">
        <f t="shared" si="4"/>
        <v>0</v>
      </c>
      <c r="AH25" s="65">
        <f t="shared" si="5"/>
        <v>0</v>
      </c>
      <c r="AI25" s="104">
        <f t="shared" si="6"/>
        <v>0</v>
      </c>
      <c r="AJ25" s="115">
        <f t="shared" si="7"/>
        <v>0</v>
      </c>
      <c r="AK25" s="116">
        <f t="shared" si="8"/>
        <v>0</v>
      </c>
      <c r="AL25" s="116">
        <f t="shared" si="9"/>
        <v>0</v>
      </c>
      <c r="AM25" s="116">
        <f t="shared" si="10"/>
        <v>0</v>
      </c>
      <c r="AN25" s="117">
        <f t="shared" si="11"/>
        <v>0</v>
      </c>
      <c r="AO25" s="39">
        <f t="shared" si="12"/>
        <v>0</v>
      </c>
      <c r="AP25" s="65">
        <f t="shared" si="13"/>
        <v>0</v>
      </c>
      <c r="AQ25" s="65">
        <f t="shared" si="14"/>
        <v>0</v>
      </c>
      <c r="AR25" s="65">
        <f t="shared" si="15"/>
        <v>0</v>
      </c>
      <c r="AS25" s="65">
        <f t="shared" si="16"/>
        <v>0</v>
      </c>
      <c r="AU25" s="195" t="s">
        <v>160</v>
      </c>
      <c r="AV25" s="195">
        <f>COUNTIF($X:$X, AU25)</f>
        <v>0</v>
      </c>
      <c r="AW25" s="196">
        <f>AV25/$AV$33</f>
        <v>0</v>
      </c>
    </row>
    <row r="26" spans="2:49" s="8" customFormat="1" ht="13.5" customHeight="1" thickBot="1" x14ac:dyDescent="0.3">
      <c r="B26" s="15">
        <v>24</v>
      </c>
      <c r="D26" s="5"/>
      <c r="E26" s="67"/>
      <c r="F26" s="16"/>
      <c r="J26" s="9"/>
      <c r="K26" s="9">
        <f t="shared" si="0"/>
        <v>0</v>
      </c>
      <c r="L26" s="35">
        <f t="shared" si="1"/>
        <v>0</v>
      </c>
      <c r="M26" s="2"/>
      <c r="N26"/>
      <c r="O26" s="19"/>
      <c r="P26" s="19"/>
      <c r="Q26" s="19"/>
      <c r="R26" s="21"/>
      <c r="S26" s="46"/>
      <c r="T26" s="44"/>
      <c r="U26" s="76"/>
      <c r="V26" s="24"/>
      <c r="W26" s="24"/>
      <c r="X26" s="193"/>
      <c r="Y26" s="15"/>
      <c r="AA26">
        <v>4</v>
      </c>
      <c r="AB26" s="488"/>
      <c r="AC26" s="92" t="s">
        <v>3</v>
      </c>
      <c r="AD26" s="98"/>
      <c r="AE26" s="94">
        <f t="shared" ref="AE26:AS26" si="22">SUM(AE21:AE25)</f>
        <v>0</v>
      </c>
      <c r="AF26" s="94">
        <f t="shared" si="22"/>
        <v>0</v>
      </c>
      <c r="AG26" s="94">
        <f t="shared" si="22"/>
        <v>0</v>
      </c>
      <c r="AH26" s="94">
        <f t="shared" si="22"/>
        <v>0</v>
      </c>
      <c r="AI26" s="105">
        <f t="shared" si="22"/>
        <v>0</v>
      </c>
      <c r="AJ26" s="118">
        <f t="shared" si="22"/>
        <v>0</v>
      </c>
      <c r="AK26" s="119">
        <f t="shared" si="22"/>
        <v>0</v>
      </c>
      <c r="AL26" s="119">
        <f t="shared" si="22"/>
        <v>0</v>
      </c>
      <c r="AM26" s="119">
        <f t="shared" si="22"/>
        <v>0</v>
      </c>
      <c r="AN26" s="120">
        <f t="shared" si="22"/>
        <v>0</v>
      </c>
      <c r="AO26" s="94">
        <f t="shared" si="22"/>
        <v>0</v>
      </c>
      <c r="AP26" s="94">
        <f t="shared" si="22"/>
        <v>0</v>
      </c>
      <c r="AQ26" s="94">
        <f t="shared" si="22"/>
        <v>0</v>
      </c>
      <c r="AR26" s="94">
        <f t="shared" si="22"/>
        <v>0</v>
      </c>
      <c r="AS26" s="94">
        <f t="shared" si="22"/>
        <v>0</v>
      </c>
      <c r="AU26" s="195" t="s">
        <v>152</v>
      </c>
      <c r="AV26" s="195">
        <f t="shared" ref="AV26:AV32" si="23">COUNTIF($X:$X, AU26)</f>
        <v>3</v>
      </c>
      <c r="AW26" s="196">
        <f t="shared" ref="AW26:AW33" si="24">AV26/$AV$33</f>
        <v>1</v>
      </c>
    </row>
    <row r="27" spans="2:49" s="8" customFormat="1" ht="13.5" customHeight="1" x14ac:dyDescent="0.25">
      <c r="B27" s="15">
        <v>25</v>
      </c>
      <c r="D27" s="5"/>
      <c r="E27" s="67"/>
      <c r="F27" s="16"/>
      <c r="J27" s="9"/>
      <c r="K27" s="9">
        <f t="shared" si="0"/>
        <v>0</v>
      </c>
      <c r="L27" s="35">
        <f t="shared" si="1"/>
        <v>0</v>
      </c>
      <c r="M27" s="2"/>
      <c r="N27"/>
      <c r="O27" s="19"/>
      <c r="P27" s="19"/>
      <c r="Q27" s="19"/>
      <c r="R27" s="21"/>
      <c r="S27" s="46"/>
      <c r="T27" s="44"/>
      <c r="U27" s="76"/>
      <c r="V27" s="24"/>
      <c r="W27" s="24"/>
      <c r="X27" s="193"/>
      <c r="Y27" s="15"/>
      <c r="AA27">
        <v>5</v>
      </c>
      <c r="AB27" s="486">
        <v>5</v>
      </c>
      <c r="AC27" s="89">
        <v>1</v>
      </c>
      <c r="AD27" s="95" t="s">
        <v>86</v>
      </c>
      <c r="AE27" s="39">
        <f t="shared" si="2"/>
        <v>0</v>
      </c>
      <c r="AF27" s="65">
        <f t="shared" si="3"/>
        <v>0</v>
      </c>
      <c r="AG27" s="65">
        <f t="shared" si="4"/>
        <v>0</v>
      </c>
      <c r="AH27" s="65">
        <f t="shared" si="5"/>
        <v>0</v>
      </c>
      <c r="AI27" s="104">
        <f t="shared" si="6"/>
        <v>0</v>
      </c>
      <c r="AJ27" s="115">
        <f t="shared" si="7"/>
        <v>0</v>
      </c>
      <c r="AK27" s="116">
        <f t="shared" si="8"/>
        <v>0</v>
      </c>
      <c r="AL27" s="116">
        <f t="shared" si="9"/>
        <v>0</v>
      </c>
      <c r="AM27" s="116">
        <f t="shared" si="10"/>
        <v>0</v>
      </c>
      <c r="AN27" s="117">
        <f t="shared" si="11"/>
        <v>0</v>
      </c>
      <c r="AO27" s="39">
        <f t="shared" si="12"/>
        <v>0</v>
      </c>
      <c r="AP27" s="65">
        <f t="shared" si="13"/>
        <v>0</v>
      </c>
      <c r="AQ27" s="65">
        <f t="shared" si="14"/>
        <v>0</v>
      </c>
      <c r="AR27" s="65">
        <f t="shared" si="15"/>
        <v>0</v>
      </c>
      <c r="AS27" s="65">
        <f t="shared" si="16"/>
        <v>0</v>
      </c>
      <c r="AU27" s="195" t="s">
        <v>153</v>
      </c>
      <c r="AV27" s="195">
        <f t="shared" si="23"/>
        <v>0</v>
      </c>
      <c r="AW27" s="196">
        <f t="shared" si="24"/>
        <v>0</v>
      </c>
    </row>
    <row r="28" spans="2:49" s="8" customFormat="1" ht="13.5" customHeight="1" x14ac:dyDescent="0.25">
      <c r="B28" s="15">
        <v>26</v>
      </c>
      <c r="D28" s="5"/>
      <c r="E28" s="67"/>
      <c r="F28" s="16"/>
      <c r="J28" s="9"/>
      <c r="K28" s="9">
        <f t="shared" si="0"/>
        <v>0</v>
      </c>
      <c r="L28" s="35">
        <f t="shared" si="1"/>
        <v>0</v>
      </c>
      <c r="M28" s="2"/>
      <c r="N28"/>
      <c r="O28" s="19"/>
      <c r="P28" s="19"/>
      <c r="Q28" s="19"/>
      <c r="R28" s="21"/>
      <c r="S28" s="46"/>
      <c r="T28" s="44"/>
      <c r="U28" s="76"/>
      <c r="V28" s="24"/>
      <c r="W28" s="24"/>
      <c r="X28" s="193"/>
      <c r="Y28" s="15"/>
      <c r="AA28">
        <v>5</v>
      </c>
      <c r="AB28" s="487"/>
      <c r="AC28" s="90">
        <v>2</v>
      </c>
      <c r="AD28" s="97" t="s">
        <v>87</v>
      </c>
      <c r="AE28" s="39">
        <f t="shared" si="2"/>
        <v>0</v>
      </c>
      <c r="AF28" s="65">
        <f t="shared" si="3"/>
        <v>0</v>
      </c>
      <c r="AG28" s="65">
        <f t="shared" si="4"/>
        <v>0</v>
      </c>
      <c r="AH28" s="65">
        <f t="shared" si="5"/>
        <v>0</v>
      </c>
      <c r="AI28" s="104">
        <f t="shared" si="6"/>
        <v>0</v>
      </c>
      <c r="AJ28" s="115">
        <f t="shared" si="7"/>
        <v>0</v>
      </c>
      <c r="AK28" s="116">
        <f t="shared" si="8"/>
        <v>0</v>
      </c>
      <c r="AL28" s="116">
        <f t="shared" si="9"/>
        <v>0</v>
      </c>
      <c r="AM28" s="116">
        <f t="shared" si="10"/>
        <v>0</v>
      </c>
      <c r="AN28" s="117">
        <f t="shared" si="11"/>
        <v>0</v>
      </c>
      <c r="AO28" s="39">
        <f t="shared" si="12"/>
        <v>0</v>
      </c>
      <c r="AP28" s="65">
        <f t="shared" si="13"/>
        <v>0</v>
      </c>
      <c r="AQ28" s="65">
        <f t="shared" si="14"/>
        <v>0</v>
      </c>
      <c r="AR28" s="65">
        <f t="shared" si="15"/>
        <v>0</v>
      </c>
      <c r="AS28" s="65">
        <f t="shared" si="16"/>
        <v>0</v>
      </c>
      <c r="AU28" s="195" t="s">
        <v>154</v>
      </c>
      <c r="AV28" s="195">
        <f t="shared" si="23"/>
        <v>0</v>
      </c>
      <c r="AW28" s="196">
        <f t="shared" si="24"/>
        <v>0</v>
      </c>
    </row>
    <row r="29" spans="2:49" s="8" customFormat="1" ht="13.5" customHeight="1" x14ac:dyDescent="0.25">
      <c r="B29" s="15">
        <v>27</v>
      </c>
      <c r="D29" s="5"/>
      <c r="E29" s="67"/>
      <c r="F29" s="16"/>
      <c r="J29" s="9"/>
      <c r="K29" s="9">
        <f t="shared" si="0"/>
        <v>0</v>
      </c>
      <c r="L29" s="35">
        <f t="shared" si="1"/>
        <v>0</v>
      </c>
      <c r="M29" s="2"/>
      <c r="N29"/>
      <c r="O29" s="19"/>
      <c r="P29" s="19"/>
      <c r="Q29" s="19"/>
      <c r="R29" s="21"/>
      <c r="S29" s="46"/>
      <c r="T29" s="44"/>
      <c r="U29" s="76"/>
      <c r="V29" s="24"/>
      <c r="W29" s="24"/>
      <c r="X29" s="193"/>
      <c r="Y29" s="15"/>
      <c r="AA29">
        <v>5</v>
      </c>
      <c r="AB29" s="487"/>
      <c r="AC29" s="90">
        <v>3</v>
      </c>
      <c r="AD29" s="97" t="s">
        <v>88</v>
      </c>
      <c r="AE29" s="39">
        <f t="shared" si="2"/>
        <v>0</v>
      </c>
      <c r="AF29" s="65">
        <f t="shared" si="3"/>
        <v>0</v>
      </c>
      <c r="AG29" s="65">
        <f t="shared" si="4"/>
        <v>0</v>
      </c>
      <c r="AH29" s="65">
        <f t="shared" si="5"/>
        <v>0</v>
      </c>
      <c r="AI29" s="104">
        <f t="shared" si="6"/>
        <v>0</v>
      </c>
      <c r="AJ29" s="115">
        <f t="shared" si="7"/>
        <v>0</v>
      </c>
      <c r="AK29" s="116">
        <f t="shared" si="8"/>
        <v>0</v>
      </c>
      <c r="AL29" s="116">
        <f t="shared" si="9"/>
        <v>0</v>
      </c>
      <c r="AM29" s="116">
        <f t="shared" si="10"/>
        <v>0</v>
      </c>
      <c r="AN29" s="117">
        <f t="shared" si="11"/>
        <v>0</v>
      </c>
      <c r="AO29" s="39">
        <f t="shared" si="12"/>
        <v>0</v>
      </c>
      <c r="AP29" s="65">
        <f t="shared" si="13"/>
        <v>0</v>
      </c>
      <c r="AQ29" s="65">
        <f t="shared" si="14"/>
        <v>0</v>
      </c>
      <c r="AR29" s="65">
        <f t="shared" si="15"/>
        <v>0</v>
      </c>
      <c r="AS29" s="65">
        <f t="shared" si="16"/>
        <v>0</v>
      </c>
      <c r="AU29" s="195" t="s">
        <v>155</v>
      </c>
      <c r="AV29" s="195">
        <f t="shared" si="23"/>
        <v>0</v>
      </c>
      <c r="AW29" s="196">
        <f t="shared" si="24"/>
        <v>0</v>
      </c>
    </row>
    <row r="30" spans="2:49" s="8" customFormat="1" ht="13.5" customHeight="1" x14ac:dyDescent="0.25">
      <c r="B30" s="15">
        <v>28</v>
      </c>
      <c r="D30" s="5"/>
      <c r="E30" s="67"/>
      <c r="F30" s="16"/>
      <c r="J30" s="9"/>
      <c r="K30" s="9">
        <f t="shared" si="0"/>
        <v>0</v>
      </c>
      <c r="L30" s="35">
        <f t="shared" si="1"/>
        <v>0</v>
      </c>
      <c r="M30" s="2"/>
      <c r="N30"/>
      <c r="O30" s="19"/>
      <c r="P30" s="19"/>
      <c r="Q30" s="19"/>
      <c r="R30" s="21"/>
      <c r="S30" s="46"/>
      <c r="T30" s="44"/>
      <c r="U30" s="76"/>
      <c r="V30" s="24"/>
      <c r="W30" s="24"/>
      <c r="X30" s="193"/>
      <c r="Y30" s="15"/>
      <c r="AA30">
        <v>5</v>
      </c>
      <c r="AB30" s="487"/>
      <c r="AC30" s="90">
        <v>4</v>
      </c>
      <c r="AD30" s="97" t="s">
        <v>89</v>
      </c>
      <c r="AE30" s="39">
        <f t="shared" si="2"/>
        <v>0</v>
      </c>
      <c r="AF30" s="65">
        <f t="shared" si="3"/>
        <v>0</v>
      </c>
      <c r="AG30" s="65">
        <f t="shared" si="4"/>
        <v>0</v>
      </c>
      <c r="AH30" s="65">
        <f t="shared" si="5"/>
        <v>0</v>
      </c>
      <c r="AI30" s="104">
        <f t="shared" si="6"/>
        <v>0</v>
      </c>
      <c r="AJ30" s="115">
        <f t="shared" si="7"/>
        <v>0</v>
      </c>
      <c r="AK30" s="116">
        <f t="shared" si="8"/>
        <v>0</v>
      </c>
      <c r="AL30" s="116">
        <f t="shared" si="9"/>
        <v>0</v>
      </c>
      <c r="AM30" s="116">
        <f t="shared" si="10"/>
        <v>0</v>
      </c>
      <c r="AN30" s="117">
        <f t="shared" si="11"/>
        <v>0</v>
      </c>
      <c r="AO30" s="39">
        <f t="shared" si="12"/>
        <v>0</v>
      </c>
      <c r="AP30" s="65">
        <f t="shared" si="13"/>
        <v>0</v>
      </c>
      <c r="AQ30" s="65">
        <f t="shared" si="14"/>
        <v>0</v>
      </c>
      <c r="AR30" s="65">
        <f t="shared" si="15"/>
        <v>0</v>
      </c>
      <c r="AS30" s="65">
        <f t="shared" si="16"/>
        <v>0</v>
      </c>
      <c r="AU30" s="195" t="s">
        <v>156</v>
      </c>
      <c r="AV30" s="195">
        <f t="shared" si="23"/>
        <v>0</v>
      </c>
      <c r="AW30" s="196">
        <f t="shared" si="24"/>
        <v>0</v>
      </c>
    </row>
    <row r="31" spans="2:49" s="8" customFormat="1" ht="13.5" customHeight="1" x14ac:dyDescent="0.25">
      <c r="B31" s="15">
        <v>29</v>
      </c>
      <c r="D31" s="5"/>
      <c r="E31" s="67"/>
      <c r="F31" s="16"/>
      <c r="J31" s="9"/>
      <c r="K31" s="9">
        <f t="shared" si="0"/>
        <v>0</v>
      </c>
      <c r="L31" s="35">
        <f t="shared" si="1"/>
        <v>0</v>
      </c>
      <c r="M31" s="2"/>
      <c r="N31"/>
      <c r="O31" s="19"/>
      <c r="P31" s="19"/>
      <c r="Q31" s="19"/>
      <c r="R31" s="21"/>
      <c r="S31" s="46"/>
      <c r="T31" s="44"/>
      <c r="U31" s="76"/>
      <c r="V31" s="24"/>
      <c r="W31" s="24"/>
      <c r="X31" s="193"/>
      <c r="Y31" s="15"/>
      <c r="AA31">
        <v>5</v>
      </c>
      <c r="AB31" s="487"/>
      <c r="AC31" s="91">
        <v>5</v>
      </c>
      <c r="AD31" s="97"/>
      <c r="AE31" s="39">
        <f t="shared" si="2"/>
        <v>0</v>
      </c>
      <c r="AF31" s="65">
        <f t="shared" si="3"/>
        <v>0</v>
      </c>
      <c r="AG31" s="65">
        <f t="shared" si="4"/>
        <v>0</v>
      </c>
      <c r="AH31" s="65">
        <f t="shared" si="5"/>
        <v>0</v>
      </c>
      <c r="AI31" s="104">
        <f t="shared" si="6"/>
        <v>0</v>
      </c>
      <c r="AJ31" s="115">
        <f t="shared" si="7"/>
        <v>0</v>
      </c>
      <c r="AK31" s="116">
        <f t="shared" si="8"/>
        <v>0</v>
      </c>
      <c r="AL31" s="116">
        <f t="shared" si="9"/>
        <v>0</v>
      </c>
      <c r="AM31" s="116">
        <f t="shared" si="10"/>
        <v>0</v>
      </c>
      <c r="AN31" s="117">
        <f t="shared" si="11"/>
        <v>0</v>
      </c>
      <c r="AO31" s="39">
        <f t="shared" si="12"/>
        <v>0</v>
      </c>
      <c r="AP31" s="65">
        <f t="shared" si="13"/>
        <v>0</v>
      </c>
      <c r="AQ31" s="65">
        <f t="shared" si="14"/>
        <v>0</v>
      </c>
      <c r="AR31" s="65">
        <f t="shared" si="15"/>
        <v>0</v>
      </c>
      <c r="AS31" s="65">
        <f t="shared" si="16"/>
        <v>0</v>
      </c>
      <c r="AU31" s="195" t="s">
        <v>157</v>
      </c>
      <c r="AV31" s="195">
        <f t="shared" si="23"/>
        <v>0</v>
      </c>
      <c r="AW31" s="196">
        <f t="shared" si="24"/>
        <v>0</v>
      </c>
    </row>
    <row r="32" spans="2:49" s="8" customFormat="1" ht="13.5" customHeight="1" thickBot="1" x14ac:dyDescent="0.3">
      <c r="B32" s="15">
        <v>30</v>
      </c>
      <c r="D32" s="5"/>
      <c r="E32" s="67"/>
      <c r="F32" s="16"/>
      <c r="J32" s="9"/>
      <c r="K32" s="9">
        <f t="shared" si="0"/>
        <v>0</v>
      </c>
      <c r="L32" s="35">
        <f t="shared" si="1"/>
        <v>0</v>
      </c>
      <c r="M32" s="2"/>
      <c r="N32"/>
      <c r="O32" s="19"/>
      <c r="P32" s="19"/>
      <c r="Q32" s="19"/>
      <c r="R32" s="21"/>
      <c r="S32" s="46"/>
      <c r="T32" s="44"/>
      <c r="U32" s="76"/>
      <c r="V32" s="24"/>
      <c r="W32" s="24"/>
      <c r="X32" s="193"/>
      <c r="Y32" s="15"/>
      <c r="AA32">
        <v>5</v>
      </c>
      <c r="AB32" s="488"/>
      <c r="AC32" s="92" t="s">
        <v>3</v>
      </c>
      <c r="AD32" s="98"/>
      <c r="AE32" s="94">
        <f t="shared" ref="AE32:AS32" si="25">SUM(AE27:AE31)</f>
        <v>0</v>
      </c>
      <c r="AF32" s="94">
        <f t="shared" si="25"/>
        <v>0</v>
      </c>
      <c r="AG32" s="94">
        <f t="shared" si="25"/>
        <v>0</v>
      </c>
      <c r="AH32" s="94">
        <f t="shared" si="25"/>
        <v>0</v>
      </c>
      <c r="AI32" s="105">
        <f t="shared" si="25"/>
        <v>0</v>
      </c>
      <c r="AJ32" s="118">
        <f t="shared" si="25"/>
        <v>0</v>
      </c>
      <c r="AK32" s="119">
        <f t="shared" si="25"/>
        <v>0</v>
      </c>
      <c r="AL32" s="119">
        <f t="shared" si="25"/>
        <v>0</v>
      </c>
      <c r="AM32" s="119">
        <f t="shared" si="25"/>
        <v>0</v>
      </c>
      <c r="AN32" s="120">
        <f t="shared" si="25"/>
        <v>0</v>
      </c>
      <c r="AO32" s="94">
        <f t="shared" si="25"/>
        <v>0</v>
      </c>
      <c r="AP32" s="94">
        <f t="shared" si="25"/>
        <v>0</v>
      </c>
      <c r="AQ32" s="94">
        <f t="shared" si="25"/>
        <v>0</v>
      </c>
      <c r="AR32" s="94">
        <f t="shared" si="25"/>
        <v>0</v>
      </c>
      <c r="AS32" s="94">
        <f t="shared" si="25"/>
        <v>0</v>
      </c>
      <c r="AU32" s="195" t="s">
        <v>158</v>
      </c>
      <c r="AV32" s="195">
        <f t="shared" si="23"/>
        <v>0</v>
      </c>
      <c r="AW32" s="196">
        <f t="shared" si="24"/>
        <v>0</v>
      </c>
    </row>
    <row r="33" spans="2:49" s="8" customFormat="1" ht="13.5" customHeight="1" x14ac:dyDescent="0.25">
      <c r="B33" s="15">
        <v>31</v>
      </c>
      <c r="D33" s="5"/>
      <c r="E33" s="67"/>
      <c r="F33" s="16"/>
      <c r="J33" s="9"/>
      <c r="K33" s="9">
        <f t="shared" si="0"/>
        <v>0</v>
      </c>
      <c r="L33" s="35">
        <f t="shared" si="1"/>
        <v>0</v>
      </c>
      <c r="M33" s="2"/>
      <c r="N33"/>
      <c r="O33" s="19"/>
      <c r="P33" s="19"/>
      <c r="Q33" s="19"/>
      <c r="R33" s="21"/>
      <c r="S33" s="46"/>
      <c r="T33" s="44"/>
      <c r="U33" s="76"/>
      <c r="V33" s="24"/>
      <c r="W33" s="24"/>
      <c r="X33" s="193"/>
      <c r="Y33" s="15"/>
      <c r="AA33">
        <v>6</v>
      </c>
      <c r="AB33" s="486">
        <v>6</v>
      </c>
      <c r="AC33" s="89">
        <v>1</v>
      </c>
      <c r="AD33" s="95" t="s">
        <v>90</v>
      </c>
      <c r="AE33" s="39">
        <f t="shared" si="2"/>
        <v>0</v>
      </c>
      <c r="AF33" s="65">
        <f t="shared" si="3"/>
        <v>0</v>
      </c>
      <c r="AG33" s="65">
        <f t="shared" si="4"/>
        <v>0</v>
      </c>
      <c r="AH33" s="65">
        <f t="shared" si="5"/>
        <v>0</v>
      </c>
      <c r="AI33" s="104">
        <f t="shared" si="6"/>
        <v>0</v>
      </c>
      <c r="AJ33" s="115">
        <f t="shared" si="7"/>
        <v>0</v>
      </c>
      <c r="AK33" s="116">
        <f t="shared" si="8"/>
        <v>0</v>
      </c>
      <c r="AL33" s="116">
        <f t="shared" si="9"/>
        <v>0</v>
      </c>
      <c r="AM33" s="116">
        <f t="shared" si="10"/>
        <v>0</v>
      </c>
      <c r="AN33" s="117">
        <f t="shared" si="11"/>
        <v>0</v>
      </c>
      <c r="AO33" s="39">
        <f t="shared" si="12"/>
        <v>0</v>
      </c>
      <c r="AP33" s="65">
        <f t="shared" si="13"/>
        <v>0</v>
      </c>
      <c r="AQ33" s="65">
        <f t="shared" si="14"/>
        <v>0</v>
      </c>
      <c r="AR33" s="65">
        <f t="shared" si="15"/>
        <v>0</v>
      </c>
      <c r="AS33" s="65">
        <f t="shared" si="16"/>
        <v>0</v>
      </c>
      <c r="AU33" s="194" t="s">
        <v>159</v>
      </c>
      <c r="AV33" s="194">
        <f>SUM(AV25:AV32)</f>
        <v>3</v>
      </c>
      <c r="AW33" s="197">
        <f t="shared" si="24"/>
        <v>1</v>
      </c>
    </row>
    <row r="34" spans="2:49" s="8" customFormat="1" ht="13.5" customHeight="1" x14ac:dyDescent="0.25">
      <c r="B34" s="15">
        <v>32</v>
      </c>
      <c r="D34" s="5"/>
      <c r="E34" s="67"/>
      <c r="F34" s="16"/>
      <c r="J34" s="9"/>
      <c r="K34" s="9">
        <f t="shared" si="0"/>
        <v>0</v>
      </c>
      <c r="L34" s="35">
        <f t="shared" si="1"/>
        <v>0</v>
      </c>
      <c r="M34" s="2"/>
      <c r="N34"/>
      <c r="O34" s="19"/>
      <c r="P34" s="19"/>
      <c r="Q34" s="19"/>
      <c r="R34" s="21"/>
      <c r="S34" s="46"/>
      <c r="T34" s="44"/>
      <c r="U34" s="76"/>
      <c r="V34" s="24"/>
      <c r="W34" s="24"/>
      <c r="X34" s="193"/>
      <c r="Y34" s="15"/>
      <c r="AA34">
        <v>6</v>
      </c>
      <c r="AB34" s="487"/>
      <c r="AC34" s="90">
        <v>2</v>
      </c>
      <c r="AD34" s="97" t="s">
        <v>91</v>
      </c>
      <c r="AE34" s="39">
        <f t="shared" si="2"/>
        <v>0</v>
      </c>
      <c r="AF34" s="65">
        <f t="shared" si="3"/>
        <v>0</v>
      </c>
      <c r="AG34" s="65">
        <f t="shared" si="4"/>
        <v>0</v>
      </c>
      <c r="AH34" s="65">
        <f t="shared" si="5"/>
        <v>0</v>
      </c>
      <c r="AI34" s="104">
        <f t="shared" si="6"/>
        <v>0</v>
      </c>
      <c r="AJ34" s="115">
        <f t="shared" si="7"/>
        <v>0</v>
      </c>
      <c r="AK34" s="116">
        <f t="shared" si="8"/>
        <v>0</v>
      </c>
      <c r="AL34" s="116">
        <f t="shared" si="9"/>
        <v>0</v>
      </c>
      <c r="AM34" s="116">
        <f t="shared" si="10"/>
        <v>0</v>
      </c>
      <c r="AN34" s="117">
        <f t="shared" si="11"/>
        <v>0</v>
      </c>
      <c r="AO34" s="39">
        <f t="shared" si="12"/>
        <v>0</v>
      </c>
      <c r="AP34" s="65">
        <f t="shared" si="13"/>
        <v>0</v>
      </c>
      <c r="AQ34" s="65">
        <f t="shared" si="14"/>
        <v>0</v>
      </c>
      <c r="AR34" s="65">
        <f t="shared" si="15"/>
        <v>0</v>
      </c>
      <c r="AS34" s="65">
        <f t="shared" si="16"/>
        <v>0</v>
      </c>
    </row>
    <row r="35" spans="2:49" s="8" customFormat="1" ht="13.5" customHeight="1" x14ac:dyDescent="0.25">
      <c r="B35" s="15">
        <v>33</v>
      </c>
      <c r="D35" s="5"/>
      <c r="E35" s="67"/>
      <c r="F35" s="16"/>
      <c r="J35" s="9"/>
      <c r="K35" s="9">
        <f t="shared" si="0"/>
        <v>0</v>
      </c>
      <c r="L35" s="35">
        <f t="shared" si="1"/>
        <v>0</v>
      </c>
      <c r="M35" s="2"/>
      <c r="N35"/>
      <c r="O35" s="19"/>
      <c r="P35" s="19"/>
      <c r="Q35" s="19"/>
      <c r="R35" s="21"/>
      <c r="S35" s="46"/>
      <c r="T35" s="44"/>
      <c r="U35" s="76"/>
      <c r="V35" s="24"/>
      <c r="W35" s="24"/>
      <c r="X35" s="193"/>
      <c r="Y35" s="15"/>
      <c r="AA35">
        <v>6</v>
      </c>
      <c r="AB35" s="487"/>
      <c r="AC35" s="90">
        <v>3</v>
      </c>
      <c r="AD35" s="97" t="s">
        <v>92</v>
      </c>
      <c r="AE35" s="39">
        <f t="shared" si="2"/>
        <v>0</v>
      </c>
      <c r="AF35" s="65">
        <f t="shared" si="3"/>
        <v>0</v>
      </c>
      <c r="AG35" s="65">
        <f t="shared" si="4"/>
        <v>0</v>
      </c>
      <c r="AH35" s="65">
        <f t="shared" si="5"/>
        <v>0</v>
      </c>
      <c r="AI35" s="104">
        <f t="shared" si="6"/>
        <v>0</v>
      </c>
      <c r="AJ35" s="115">
        <f t="shared" si="7"/>
        <v>0</v>
      </c>
      <c r="AK35" s="116">
        <f t="shared" si="8"/>
        <v>0</v>
      </c>
      <c r="AL35" s="116">
        <f t="shared" si="9"/>
        <v>0</v>
      </c>
      <c r="AM35" s="116">
        <f t="shared" si="10"/>
        <v>0</v>
      </c>
      <c r="AN35" s="117">
        <f t="shared" si="11"/>
        <v>0</v>
      </c>
      <c r="AO35" s="39">
        <f t="shared" si="12"/>
        <v>0</v>
      </c>
      <c r="AP35" s="65">
        <f t="shared" si="13"/>
        <v>0</v>
      </c>
      <c r="AQ35" s="65">
        <f t="shared" si="14"/>
        <v>0</v>
      </c>
      <c r="AR35" s="65">
        <f t="shared" si="15"/>
        <v>0</v>
      </c>
      <c r="AS35" s="65">
        <f t="shared" si="16"/>
        <v>0</v>
      </c>
    </row>
    <row r="36" spans="2:49" s="8" customFormat="1" ht="13.5" customHeight="1" x14ac:dyDescent="0.25">
      <c r="B36" s="15">
        <v>34</v>
      </c>
      <c r="D36" s="5"/>
      <c r="E36" s="67"/>
      <c r="F36" s="16"/>
      <c r="J36" s="9"/>
      <c r="K36" s="9">
        <f t="shared" si="0"/>
        <v>0</v>
      </c>
      <c r="L36" s="35">
        <f t="shared" si="1"/>
        <v>0</v>
      </c>
      <c r="M36" s="2"/>
      <c r="N36"/>
      <c r="O36" s="19"/>
      <c r="P36" s="19"/>
      <c r="Q36" s="19"/>
      <c r="R36" s="21"/>
      <c r="S36" s="46"/>
      <c r="T36" s="44"/>
      <c r="U36" s="76"/>
      <c r="V36" s="24"/>
      <c r="W36" s="24"/>
      <c r="X36" s="193"/>
      <c r="Y36" s="15"/>
      <c r="AA36">
        <v>6</v>
      </c>
      <c r="AB36" s="487"/>
      <c r="AC36" s="90">
        <v>4</v>
      </c>
      <c r="AD36" s="97" t="s">
        <v>93</v>
      </c>
      <c r="AE36" s="39">
        <f t="shared" si="2"/>
        <v>0</v>
      </c>
      <c r="AF36" s="65">
        <f t="shared" si="3"/>
        <v>0</v>
      </c>
      <c r="AG36" s="65">
        <f t="shared" si="4"/>
        <v>0</v>
      </c>
      <c r="AH36" s="65">
        <f t="shared" si="5"/>
        <v>0</v>
      </c>
      <c r="AI36" s="104">
        <f t="shared" si="6"/>
        <v>0</v>
      </c>
      <c r="AJ36" s="115">
        <f t="shared" si="7"/>
        <v>0</v>
      </c>
      <c r="AK36" s="116">
        <f t="shared" si="8"/>
        <v>0</v>
      </c>
      <c r="AL36" s="116">
        <f t="shared" si="9"/>
        <v>0</v>
      </c>
      <c r="AM36" s="116">
        <f t="shared" si="10"/>
        <v>0</v>
      </c>
      <c r="AN36" s="117">
        <f t="shared" si="11"/>
        <v>0</v>
      </c>
      <c r="AO36" s="39">
        <f t="shared" si="12"/>
        <v>0</v>
      </c>
      <c r="AP36" s="65">
        <f t="shared" si="13"/>
        <v>0</v>
      </c>
      <c r="AQ36" s="65">
        <f t="shared" si="14"/>
        <v>0</v>
      </c>
      <c r="AR36" s="65">
        <f t="shared" si="15"/>
        <v>0</v>
      </c>
      <c r="AS36" s="65">
        <f t="shared" si="16"/>
        <v>0</v>
      </c>
    </row>
    <row r="37" spans="2:49" s="8" customFormat="1" ht="13.5" customHeight="1" x14ac:dyDescent="0.25">
      <c r="B37" s="15">
        <v>35</v>
      </c>
      <c r="D37" s="5"/>
      <c r="E37" s="67"/>
      <c r="F37" s="16"/>
      <c r="J37" s="9"/>
      <c r="K37" s="9">
        <f t="shared" si="0"/>
        <v>0</v>
      </c>
      <c r="L37" s="35">
        <f t="shared" si="1"/>
        <v>0</v>
      </c>
      <c r="M37" s="2"/>
      <c r="N37"/>
      <c r="O37" s="19"/>
      <c r="P37" s="19"/>
      <c r="Q37" s="19"/>
      <c r="R37" s="21"/>
      <c r="S37" s="46"/>
      <c r="T37" s="250"/>
      <c r="U37" s="76"/>
      <c r="V37" s="24"/>
      <c r="W37" s="24"/>
      <c r="X37" s="193"/>
      <c r="Y37" s="15"/>
      <c r="AA37">
        <v>6</v>
      </c>
      <c r="AB37" s="487"/>
      <c r="AC37" s="91">
        <v>5</v>
      </c>
      <c r="AD37" s="97"/>
      <c r="AE37" s="39">
        <f t="shared" si="2"/>
        <v>0</v>
      </c>
      <c r="AF37" s="65">
        <f t="shared" si="3"/>
        <v>0</v>
      </c>
      <c r="AG37" s="65">
        <f t="shared" si="4"/>
        <v>0</v>
      </c>
      <c r="AH37" s="65">
        <f t="shared" si="5"/>
        <v>0</v>
      </c>
      <c r="AI37" s="104">
        <f t="shared" si="6"/>
        <v>0</v>
      </c>
      <c r="AJ37" s="115">
        <f t="shared" si="7"/>
        <v>0</v>
      </c>
      <c r="AK37" s="116">
        <f t="shared" si="8"/>
        <v>0</v>
      </c>
      <c r="AL37" s="116">
        <f t="shared" si="9"/>
        <v>0</v>
      </c>
      <c r="AM37" s="116">
        <f t="shared" si="10"/>
        <v>0</v>
      </c>
      <c r="AN37" s="117">
        <f t="shared" si="11"/>
        <v>0</v>
      </c>
      <c r="AO37" s="39">
        <f t="shared" si="12"/>
        <v>0</v>
      </c>
      <c r="AP37" s="65">
        <f t="shared" si="13"/>
        <v>0</v>
      </c>
      <c r="AQ37" s="65">
        <f t="shared" si="14"/>
        <v>0</v>
      </c>
      <c r="AR37" s="65">
        <f t="shared" si="15"/>
        <v>0</v>
      </c>
      <c r="AS37" s="65">
        <f t="shared" si="16"/>
        <v>0</v>
      </c>
    </row>
    <row r="38" spans="2:49" s="8" customFormat="1" ht="13.5" customHeight="1" thickBot="1" x14ac:dyDescent="0.3">
      <c r="B38" s="15">
        <v>36</v>
      </c>
      <c r="D38" s="5"/>
      <c r="E38" s="67"/>
      <c r="F38" s="16"/>
      <c r="J38" s="9"/>
      <c r="K38" s="9">
        <f t="shared" si="0"/>
        <v>0</v>
      </c>
      <c r="L38" s="35">
        <f t="shared" si="1"/>
        <v>0</v>
      </c>
      <c r="M38" s="2"/>
      <c r="N38"/>
      <c r="O38" s="19"/>
      <c r="P38" s="19"/>
      <c r="Q38" s="19"/>
      <c r="R38" s="21"/>
      <c r="S38" s="46"/>
      <c r="T38" s="44"/>
      <c r="U38" s="76"/>
      <c r="V38" s="24"/>
      <c r="W38" s="24"/>
      <c r="X38" s="193"/>
      <c r="Y38" s="15"/>
      <c r="AA38">
        <v>6</v>
      </c>
      <c r="AB38" s="488"/>
      <c r="AC38" s="92" t="s">
        <v>3</v>
      </c>
      <c r="AD38" s="98"/>
      <c r="AE38" s="94">
        <f t="shared" ref="AE38:AS38" si="26">SUM(AE33:AE37)</f>
        <v>0</v>
      </c>
      <c r="AF38" s="94">
        <f t="shared" si="26"/>
        <v>0</v>
      </c>
      <c r="AG38" s="94">
        <f t="shared" si="26"/>
        <v>0</v>
      </c>
      <c r="AH38" s="94">
        <f t="shared" si="26"/>
        <v>0</v>
      </c>
      <c r="AI38" s="105">
        <f t="shared" si="26"/>
        <v>0</v>
      </c>
      <c r="AJ38" s="118">
        <f t="shared" si="26"/>
        <v>0</v>
      </c>
      <c r="AK38" s="119">
        <f t="shared" si="26"/>
        <v>0</v>
      </c>
      <c r="AL38" s="119">
        <f t="shared" si="26"/>
        <v>0</v>
      </c>
      <c r="AM38" s="119">
        <f t="shared" si="26"/>
        <v>0</v>
      </c>
      <c r="AN38" s="120">
        <f t="shared" si="26"/>
        <v>0</v>
      </c>
      <c r="AO38" s="94">
        <f t="shared" si="26"/>
        <v>0</v>
      </c>
      <c r="AP38" s="94">
        <f t="shared" si="26"/>
        <v>0</v>
      </c>
      <c r="AQ38" s="94">
        <f t="shared" si="26"/>
        <v>0</v>
      </c>
      <c r="AR38" s="94">
        <f t="shared" si="26"/>
        <v>0</v>
      </c>
      <c r="AS38" s="94">
        <f t="shared" si="26"/>
        <v>0</v>
      </c>
    </row>
    <row r="39" spans="2:49" s="8" customFormat="1" ht="13.5" customHeight="1" x14ac:dyDescent="0.25">
      <c r="B39" s="15">
        <v>37</v>
      </c>
      <c r="D39" s="5"/>
      <c r="E39" s="67"/>
      <c r="F39" s="16"/>
      <c r="J39" s="9"/>
      <c r="K39" s="9">
        <f t="shared" si="0"/>
        <v>0</v>
      </c>
      <c r="L39" s="35">
        <f t="shared" si="1"/>
        <v>0</v>
      </c>
      <c r="M39" s="2"/>
      <c r="N39"/>
      <c r="O39" s="19"/>
      <c r="P39" s="19"/>
      <c r="Q39" s="19"/>
      <c r="R39" s="21"/>
      <c r="S39" s="46"/>
      <c r="T39" s="44"/>
      <c r="U39" s="76"/>
      <c r="V39" s="24"/>
      <c r="W39" s="24"/>
      <c r="X39" s="193"/>
      <c r="Y39" s="15"/>
      <c r="AA39">
        <v>7</v>
      </c>
      <c r="AB39" s="486">
        <v>7</v>
      </c>
      <c r="AC39" s="89">
        <v>1</v>
      </c>
      <c r="AD39" s="95" t="s">
        <v>94</v>
      </c>
      <c r="AE39" s="39">
        <f t="shared" si="2"/>
        <v>0</v>
      </c>
      <c r="AF39" s="65">
        <f t="shared" si="3"/>
        <v>0</v>
      </c>
      <c r="AG39" s="65">
        <f t="shared" si="4"/>
        <v>0</v>
      </c>
      <c r="AH39" s="65">
        <f t="shared" si="5"/>
        <v>0</v>
      </c>
      <c r="AI39" s="104">
        <f t="shared" si="6"/>
        <v>0</v>
      </c>
      <c r="AJ39" s="115">
        <f t="shared" si="7"/>
        <v>0</v>
      </c>
      <c r="AK39" s="116">
        <f t="shared" si="8"/>
        <v>0</v>
      </c>
      <c r="AL39" s="116">
        <f t="shared" si="9"/>
        <v>0</v>
      </c>
      <c r="AM39" s="116">
        <f t="shared" si="10"/>
        <v>0</v>
      </c>
      <c r="AN39" s="117">
        <f t="shared" si="11"/>
        <v>0</v>
      </c>
      <c r="AO39" s="39">
        <f t="shared" si="12"/>
        <v>0</v>
      </c>
      <c r="AP39" s="65">
        <f t="shared" si="13"/>
        <v>0</v>
      </c>
      <c r="AQ39" s="65">
        <f t="shared" si="14"/>
        <v>0</v>
      </c>
      <c r="AR39" s="65">
        <f t="shared" si="15"/>
        <v>0</v>
      </c>
      <c r="AS39" s="65">
        <f t="shared" si="16"/>
        <v>0</v>
      </c>
    </row>
    <row r="40" spans="2:49" s="8" customFormat="1" ht="13.5" customHeight="1" x14ac:dyDescent="0.25">
      <c r="B40" s="15">
        <v>38</v>
      </c>
      <c r="D40" s="5"/>
      <c r="E40" s="67"/>
      <c r="F40" s="16"/>
      <c r="J40" s="9"/>
      <c r="K40" s="9">
        <f t="shared" si="0"/>
        <v>0</v>
      </c>
      <c r="L40" s="35">
        <f t="shared" si="1"/>
        <v>0</v>
      </c>
      <c r="M40" s="2"/>
      <c r="N40"/>
      <c r="O40" s="19"/>
      <c r="P40" s="19"/>
      <c r="Q40" s="19"/>
      <c r="R40" s="21"/>
      <c r="S40" s="46"/>
      <c r="T40" s="44"/>
      <c r="U40" s="76"/>
      <c r="V40" s="24"/>
      <c r="W40" s="24"/>
      <c r="X40" s="193"/>
      <c r="Y40" s="15"/>
      <c r="AA40">
        <v>7</v>
      </c>
      <c r="AB40" s="487"/>
      <c r="AC40" s="90">
        <v>2</v>
      </c>
      <c r="AD40" s="97" t="s">
        <v>61</v>
      </c>
      <c r="AE40" s="39">
        <f t="shared" si="2"/>
        <v>0</v>
      </c>
      <c r="AF40" s="65">
        <f t="shared" si="3"/>
        <v>0</v>
      </c>
      <c r="AG40" s="65">
        <f t="shared" si="4"/>
        <v>0</v>
      </c>
      <c r="AH40" s="65">
        <f t="shared" si="5"/>
        <v>0</v>
      </c>
      <c r="AI40" s="104">
        <f t="shared" si="6"/>
        <v>0</v>
      </c>
      <c r="AJ40" s="115">
        <f t="shared" si="7"/>
        <v>0</v>
      </c>
      <c r="AK40" s="116">
        <f t="shared" si="8"/>
        <v>0</v>
      </c>
      <c r="AL40" s="116">
        <f t="shared" si="9"/>
        <v>0</v>
      </c>
      <c r="AM40" s="116">
        <f t="shared" si="10"/>
        <v>0</v>
      </c>
      <c r="AN40" s="117">
        <f t="shared" si="11"/>
        <v>0</v>
      </c>
      <c r="AO40" s="39">
        <f t="shared" si="12"/>
        <v>0</v>
      </c>
      <c r="AP40" s="65">
        <f t="shared" si="13"/>
        <v>0</v>
      </c>
      <c r="AQ40" s="65">
        <f t="shared" si="14"/>
        <v>0</v>
      </c>
      <c r="AR40" s="65">
        <f t="shared" si="15"/>
        <v>0</v>
      </c>
      <c r="AS40" s="65">
        <f t="shared" si="16"/>
        <v>0</v>
      </c>
    </row>
    <row r="41" spans="2:49" s="8" customFormat="1" ht="13.5" customHeight="1" x14ac:dyDescent="0.25">
      <c r="B41" s="15">
        <v>39</v>
      </c>
      <c r="D41" s="5"/>
      <c r="E41" s="67"/>
      <c r="F41" s="16"/>
      <c r="J41" s="9"/>
      <c r="K41" s="9">
        <f t="shared" si="0"/>
        <v>0</v>
      </c>
      <c r="L41" s="35">
        <f t="shared" si="1"/>
        <v>0</v>
      </c>
      <c r="M41" s="2"/>
      <c r="N41"/>
      <c r="O41" s="19"/>
      <c r="P41" s="19"/>
      <c r="Q41" s="19"/>
      <c r="R41" s="21"/>
      <c r="S41" s="46"/>
      <c r="T41" s="44"/>
      <c r="U41" s="76"/>
      <c r="V41" s="24"/>
      <c r="W41" s="24"/>
      <c r="X41" s="193"/>
      <c r="Y41" s="15"/>
      <c r="AA41">
        <v>7</v>
      </c>
      <c r="AB41" s="487"/>
      <c r="AC41" s="90">
        <v>3</v>
      </c>
      <c r="AD41" s="97" t="s">
        <v>62</v>
      </c>
      <c r="AE41" s="39">
        <f t="shared" si="2"/>
        <v>0</v>
      </c>
      <c r="AF41" s="65">
        <f t="shared" si="3"/>
        <v>0</v>
      </c>
      <c r="AG41" s="65">
        <f t="shared" si="4"/>
        <v>0</v>
      </c>
      <c r="AH41" s="65">
        <f t="shared" si="5"/>
        <v>0</v>
      </c>
      <c r="AI41" s="104">
        <f t="shared" si="6"/>
        <v>0</v>
      </c>
      <c r="AJ41" s="115">
        <f t="shared" si="7"/>
        <v>0</v>
      </c>
      <c r="AK41" s="116">
        <f t="shared" si="8"/>
        <v>0</v>
      </c>
      <c r="AL41" s="116">
        <f t="shared" si="9"/>
        <v>0</v>
      </c>
      <c r="AM41" s="116">
        <f t="shared" si="10"/>
        <v>0</v>
      </c>
      <c r="AN41" s="117">
        <f t="shared" si="11"/>
        <v>0</v>
      </c>
      <c r="AO41" s="39">
        <f t="shared" si="12"/>
        <v>0</v>
      </c>
      <c r="AP41" s="65">
        <f t="shared" si="13"/>
        <v>0</v>
      </c>
      <c r="AQ41" s="65">
        <f t="shared" si="14"/>
        <v>0</v>
      </c>
      <c r="AR41" s="65">
        <f t="shared" si="15"/>
        <v>0</v>
      </c>
      <c r="AS41" s="65">
        <f t="shared" si="16"/>
        <v>0</v>
      </c>
    </row>
    <row r="42" spans="2:49" s="8" customFormat="1" ht="13.5" customHeight="1" x14ac:dyDescent="0.25">
      <c r="B42" s="15">
        <v>40</v>
      </c>
      <c r="D42" s="5"/>
      <c r="E42" s="67"/>
      <c r="F42" s="16"/>
      <c r="J42" s="9"/>
      <c r="K42" s="9">
        <f t="shared" si="0"/>
        <v>0</v>
      </c>
      <c r="L42" s="35">
        <f t="shared" si="1"/>
        <v>0</v>
      </c>
      <c r="M42" s="2"/>
      <c r="N42"/>
      <c r="O42" s="19"/>
      <c r="P42" s="19"/>
      <c r="Q42" s="19"/>
      <c r="R42" s="21"/>
      <c r="S42" s="46"/>
      <c r="T42" s="44"/>
      <c r="U42" s="76"/>
      <c r="V42" s="24"/>
      <c r="W42" s="24"/>
      <c r="X42" s="193"/>
      <c r="Y42" s="15"/>
      <c r="AA42">
        <v>7</v>
      </c>
      <c r="AB42" s="487"/>
      <c r="AC42" s="90">
        <v>4</v>
      </c>
      <c r="AD42" s="97" t="s">
        <v>63</v>
      </c>
      <c r="AE42" s="39">
        <f t="shared" si="2"/>
        <v>0</v>
      </c>
      <c r="AF42" s="65">
        <f t="shared" si="3"/>
        <v>0</v>
      </c>
      <c r="AG42" s="65">
        <f t="shared" si="4"/>
        <v>0</v>
      </c>
      <c r="AH42" s="65">
        <f t="shared" si="5"/>
        <v>0</v>
      </c>
      <c r="AI42" s="104">
        <f t="shared" si="6"/>
        <v>0</v>
      </c>
      <c r="AJ42" s="115">
        <f t="shared" si="7"/>
        <v>0</v>
      </c>
      <c r="AK42" s="116">
        <f t="shared" si="8"/>
        <v>0</v>
      </c>
      <c r="AL42" s="116">
        <f t="shared" si="9"/>
        <v>0</v>
      </c>
      <c r="AM42" s="116">
        <f t="shared" si="10"/>
        <v>0</v>
      </c>
      <c r="AN42" s="117">
        <f t="shared" si="11"/>
        <v>0</v>
      </c>
      <c r="AO42" s="39">
        <f t="shared" si="12"/>
        <v>0</v>
      </c>
      <c r="AP42" s="65">
        <f t="shared" si="13"/>
        <v>0</v>
      </c>
      <c r="AQ42" s="65">
        <f t="shared" si="14"/>
        <v>0</v>
      </c>
      <c r="AR42" s="65">
        <f t="shared" si="15"/>
        <v>0</v>
      </c>
      <c r="AS42" s="65">
        <f t="shared" si="16"/>
        <v>0</v>
      </c>
    </row>
    <row r="43" spans="2:49" x14ac:dyDescent="0.25">
      <c r="B43" s="15">
        <v>41</v>
      </c>
      <c r="C43" s="8"/>
      <c r="E43" s="67"/>
      <c r="F43" s="16"/>
      <c r="G43" s="8"/>
      <c r="H43" s="8"/>
      <c r="I43" s="8"/>
      <c r="J43" s="9"/>
      <c r="K43" s="9">
        <f t="shared" si="0"/>
        <v>0</v>
      </c>
      <c r="L43" s="35">
        <f t="shared" si="1"/>
        <v>0</v>
      </c>
      <c r="M43" s="2"/>
      <c r="O43" s="19"/>
      <c r="P43" s="19"/>
      <c r="Q43" s="19"/>
      <c r="R43" s="21"/>
      <c r="S43" s="46"/>
      <c r="T43" s="44"/>
      <c r="U43" s="77"/>
      <c r="V43" s="30"/>
      <c r="W43" s="24"/>
      <c r="X43" s="193"/>
      <c r="Y43" s="15"/>
      <c r="AA43">
        <v>7</v>
      </c>
      <c r="AB43" s="487"/>
      <c r="AC43" s="91">
        <v>5</v>
      </c>
      <c r="AD43" s="100" t="s">
        <v>95</v>
      </c>
      <c r="AE43" s="39">
        <f t="shared" si="2"/>
        <v>0</v>
      </c>
      <c r="AF43" s="65">
        <f t="shared" si="3"/>
        <v>0</v>
      </c>
      <c r="AG43" s="65">
        <f t="shared" si="4"/>
        <v>0</v>
      </c>
      <c r="AH43" s="65">
        <f t="shared" si="5"/>
        <v>0</v>
      </c>
      <c r="AI43" s="104">
        <f t="shared" si="6"/>
        <v>0</v>
      </c>
      <c r="AJ43" s="115">
        <f t="shared" si="7"/>
        <v>0</v>
      </c>
      <c r="AK43" s="116">
        <f t="shared" si="8"/>
        <v>0</v>
      </c>
      <c r="AL43" s="116">
        <f t="shared" si="9"/>
        <v>0</v>
      </c>
      <c r="AM43" s="116">
        <f t="shared" si="10"/>
        <v>0</v>
      </c>
      <c r="AN43" s="117">
        <f t="shared" si="11"/>
        <v>0</v>
      </c>
      <c r="AO43" s="39">
        <f t="shared" si="12"/>
        <v>0</v>
      </c>
      <c r="AP43" s="65">
        <f t="shared" si="13"/>
        <v>0</v>
      </c>
      <c r="AQ43" s="65">
        <f t="shared" si="14"/>
        <v>0</v>
      </c>
      <c r="AR43" s="65">
        <f t="shared" si="15"/>
        <v>0</v>
      </c>
      <c r="AS43" s="65">
        <f t="shared" si="16"/>
        <v>0</v>
      </c>
    </row>
    <row r="44" spans="2:49" ht="14.25" thickBot="1" x14ac:dyDescent="0.3">
      <c r="B44" s="15">
        <v>42</v>
      </c>
      <c r="C44" s="8"/>
      <c r="E44" s="67"/>
      <c r="F44" s="16"/>
      <c r="G44" s="8"/>
      <c r="H44" s="8"/>
      <c r="I44" s="8"/>
      <c r="J44" s="9"/>
      <c r="K44" s="9">
        <f t="shared" si="0"/>
        <v>0</v>
      </c>
      <c r="L44" s="35">
        <f t="shared" si="1"/>
        <v>0</v>
      </c>
      <c r="M44" s="2"/>
      <c r="O44" s="19"/>
      <c r="P44" s="19"/>
      <c r="Q44" s="19"/>
      <c r="R44" s="21"/>
      <c r="S44" s="46"/>
      <c r="T44" s="44"/>
      <c r="U44" s="77"/>
      <c r="V44" s="30"/>
      <c r="W44" s="24"/>
      <c r="X44" s="193"/>
      <c r="Y44" s="15"/>
      <c r="AA44">
        <v>7</v>
      </c>
      <c r="AB44" s="488"/>
      <c r="AC44" s="92" t="s">
        <v>3</v>
      </c>
      <c r="AD44" s="101"/>
      <c r="AE44" s="94">
        <f t="shared" ref="AE44:AS44" si="27">SUM(AE39:AE43)</f>
        <v>0</v>
      </c>
      <c r="AF44" s="94">
        <f t="shared" si="27"/>
        <v>0</v>
      </c>
      <c r="AG44" s="94">
        <f t="shared" si="27"/>
        <v>0</v>
      </c>
      <c r="AH44" s="94">
        <f t="shared" si="27"/>
        <v>0</v>
      </c>
      <c r="AI44" s="105">
        <f t="shared" si="27"/>
        <v>0</v>
      </c>
      <c r="AJ44" s="118">
        <f t="shared" si="27"/>
        <v>0</v>
      </c>
      <c r="AK44" s="119">
        <f t="shared" si="27"/>
        <v>0</v>
      </c>
      <c r="AL44" s="119">
        <f t="shared" si="27"/>
        <v>0</v>
      </c>
      <c r="AM44" s="119">
        <f t="shared" si="27"/>
        <v>0</v>
      </c>
      <c r="AN44" s="120">
        <f t="shared" si="27"/>
        <v>0</v>
      </c>
      <c r="AO44" s="94">
        <f t="shared" si="27"/>
        <v>0</v>
      </c>
      <c r="AP44" s="94">
        <f t="shared" si="27"/>
        <v>0</v>
      </c>
      <c r="AQ44" s="94">
        <f t="shared" si="27"/>
        <v>0</v>
      </c>
      <c r="AR44" s="94">
        <f t="shared" si="27"/>
        <v>0</v>
      </c>
      <c r="AS44" s="94">
        <f t="shared" si="27"/>
        <v>0</v>
      </c>
    </row>
    <row r="45" spans="2:49" x14ac:dyDescent="0.25">
      <c r="B45" s="15">
        <v>43</v>
      </c>
      <c r="C45" s="8"/>
      <c r="E45" s="67"/>
      <c r="F45" s="16"/>
      <c r="G45" s="8"/>
      <c r="H45" s="8"/>
      <c r="I45" s="8"/>
      <c r="J45" s="9"/>
      <c r="K45" s="9">
        <f t="shared" si="0"/>
        <v>0</v>
      </c>
      <c r="L45" s="35">
        <f t="shared" si="1"/>
        <v>0</v>
      </c>
      <c r="M45" s="2"/>
      <c r="O45" s="19"/>
      <c r="P45" s="19"/>
      <c r="Q45" s="19"/>
      <c r="R45" s="21"/>
      <c r="S45" s="46"/>
      <c r="T45" s="44"/>
      <c r="U45" s="77"/>
      <c r="V45" s="30"/>
      <c r="W45" s="24"/>
      <c r="X45" s="193"/>
      <c r="Y45" s="15"/>
      <c r="AA45">
        <v>8</v>
      </c>
      <c r="AB45" s="486">
        <v>8</v>
      </c>
      <c r="AC45" s="89">
        <v>1</v>
      </c>
      <c r="AD45" s="95" t="s">
        <v>96</v>
      </c>
      <c r="AE45" s="39">
        <f t="shared" si="2"/>
        <v>0</v>
      </c>
      <c r="AF45" s="65">
        <f t="shared" si="3"/>
        <v>0</v>
      </c>
      <c r="AG45" s="65">
        <f t="shared" si="4"/>
        <v>0</v>
      </c>
      <c r="AH45" s="65">
        <f t="shared" si="5"/>
        <v>0</v>
      </c>
      <c r="AI45" s="104">
        <f t="shared" si="6"/>
        <v>0</v>
      </c>
      <c r="AJ45" s="115">
        <f t="shared" si="7"/>
        <v>0</v>
      </c>
      <c r="AK45" s="116">
        <f t="shared" si="8"/>
        <v>0</v>
      </c>
      <c r="AL45" s="116">
        <f t="shared" si="9"/>
        <v>0</v>
      </c>
      <c r="AM45" s="116">
        <f t="shared" si="10"/>
        <v>0</v>
      </c>
      <c r="AN45" s="117">
        <f t="shared" si="11"/>
        <v>0</v>
      </c>
      <c r="AO45" s="39">
        <f t="shared" si="12"/>
        <v>0</v>
      </c>
      <c r="AP45" s="65">
        <f t="shared" si="13"/>
        <v>0</v>
      </c>
      <c r="AQ45" s="65">
        <f t="shared" si="14"/>
        <v>0</v>
      </c>
      <c r="AR45" s="65">
        <f t="shared" si="15"/>
        <v>0</v>
      </c>
      <c r="AS45" s="65">
        <f t="shared" si="16"/>
        <v>0</v>
      </c>
    </row>
    <row r="46" spans="2:49" x14ac:dyDescent="0.25">
      <c r="B46" s="15">
        <v>44</v>
      </c>
      <c r="C46" s="8"/>
      <c r="E46" s="67"/>
      <c r="F46" s="16"/>
      <c r="G46" s="8"/>
      <c r="H46" s="8"/>
      <c r="I46" s="8"/>
      <c r="J46" s="9"/>
      <c r="K46" s="9">
        <f t="shared" si="0"/>
        <v>0</v>
      </c>
      <c r="L46" s="35">
        <f t="shared" si="1"/>
        <v>0</v>
      </c>
      <c r="M46" s="2"/>
      <c r="O46" s="19"/>
      <c r="P46" s="19"/>
      <c r="Q46" s="19"/>
      <c r="R46" s="21"/>
      <c r="S46" s="46"/>
      <c r="T46" s="44"/>
      <c r="U46" s="77"/>
      <c r="V46" s="24"/>
      <c r="W46" s="24"/>
      <c r="X46" s="193"/>
      <c r="Y46" s="15"/>
      <c r="AA46">
        <v>8</v>
      </c>
      <c r="AB46" s="487"/>
      <c r="AC46" s="90">
        <v>2</v>
      </c>
      <c r="AD46" s="97" t="s">
        <v>97</v>
      </c>
      <c r="AE46" s="39">
        <f t="shared" si="2"/>
        <v>0</v>
      </c>
      <c r="AF46" s="65">
        <f t="shared" si="3"/>
        <v>0</v>
      </c>
      <c r="AG46" s="65">
        <f t="shared" si="4"/>
        <v>0</v>
      </c>
      <c r="AH46" s="65">
        <f t="shared" si="5"/>
        <v>0</v>
      </c>
      <c r="AI46" s="104">
        <f t="shared" si="6"/>
        <v>0</v>
      </c>
      <c r="AJ46" s="115">
        <f t="shared" si="7"/>
        <v>0</v>
      </c>
      <c r="AK46" s="116">
        <f t="shared" si="8"/>
        <v>0</v>
      </c>
      <c r="AL46" s="116">
        <f t="shared" si="9"/>
        <v>0</v>
      </c>
      <c r="AM46" s="116">
        <f t="shared" si="10"/>
        <v>0</v>
      </c>
      <c r="AN46" s="117">
        <f t="shared" si="11"/>
        <v>0</v>
      </c>
      <c r="AO46" s="39">
        <f t="shared" si="12"/>
        <v>0</v>
      </c>
      <c r="AP46" s="65">
        <f t="shared" si="13"/>
        <v>0</v>
      </c>
      <c r="AQ46" s="65">
        <f t="shared" si="14"/>
        <v>0</v>
      </c>
      <c r="AR46" s="65">
        <f t="shared" si="15"/>
        <v>0</v>
      </c>
      <c r="AS46" s="65">
        <f t="shared" si="16"/>
        <v>0</v>
      </c>
    </row>
    <row r="47" spans="2:49" x14ac:dyDescent="0.25">
      <c r="B47" s="15">
        <v>45</v>
      </c>
      <c r="C47" s="8"/>
      <c r="E47" s="67"/>
      <c r="F47" s="16"/>
      <c r="G47" s="8"/>
      <c r="H47" s="8"/>
      <c r="I47" s="8"/>
      <c r="J47" s="9"/>
      <c r="K47" s="9">
        <f t="shared" si="0"/>
        <v>0</v>
      </c>
      <c r="L47" s="35">
        <f t="shared" si="1"/>
        <v>0</v>
      </c>
      <c r="M47" s="2"/>
      <c r="O47" s="19"/>
      <c r="P47" s="19"/>
      <c r="Q47" s="19"/>
      <c r="R47" s="21"/>
      <c r="S47" s="46"/>
      <c r="T47" s="44"/>
      <c r="U47" s="77"/>
      <c r="V47" s="24"/>
      <c r="W47" s="24"/>
      <c r="X47" s="193"/>
      <c r="Y47" s="15"/>
      <c r="AA47">
        <v>8</v>
      </c>
      <c r="AB47" s="487"/>
      <c r="AC47" s="90">
        <v>3</v>
      </c>
      <c r="AD47" s="97" t="s">
        <v>98</v>
      </c>
      <c r="AE47" s="39">
        <f t="shared" si="2"/>
        <v>0</v>
      </c>
      <c r="AF47" s="65">
        <f t="shared" si="3"/>
        <v>0</v>
      </c>
      <c r="AG47" s="65">
        <f t="shared" si="4"/>
        <v>0</v>
      </c>
      <c r="AH47" s="65">
        <f t="shared" si="5"/>
        <v>0</v>
      </c>
      <c r="AI47" s="104">
        <f t="shared" si="6"/>
        <v>0</v>
      </c>
      <c r="AJ47" s="115">
        <f t="shared" si="7"/>
        <v>0</v>
      </c>
      <c r="AK47" s="116">
        <f t="shared" si="8"/>
        <v>0</v>
      </c>
      <c r="AL47" s="116">
        <f t="shared" si="9"/>
        <v>0</v>
      </c>
      <c r="AM47" s="116">
        <f t="shared" si="10"/>
        <v>0</v>
      </c>
      <c r="AN47" s="117">
        <f t="shared" si="11"/>
        <v>0</v>
      </c>
      <c r="AO47" s="39">
        <f t="shared" si="12"/>
        <v>0</v>
      </c>
      <c r="AP47" s="65">
        <f t="shared" si="13"/>
        <v>0</v>
      </c>
      <c r="AQ47" s="65">
        <f t="shared" si="14"/>
        <v>0</v>
      </c>
      <c r="AR47" s="65">
        <f t="shared" si="15"/>
        <v>0</v>
      </c>
      <c r="AS47" s="65">
        <f t="shared" si="16"/>
        <v>0</v>
      </c>
    </row>
    <row r="48" spans="2:49" x14ac:dyDescent="0.25">
      <c r="B48" s="15">
        <v>46</v>
      </c>
      <c r="C48" s="8"/>
      <c r="E48" s="67"/>
      <c r="F48" s="16"/>
      <c r="G48" s="8"/>
      <c r="H48" s="8"/>
      <c r="I48" s="8"/>
      <c r="J48" s="9"/>
      <c r="K48" s="9">
        <f t="shared" si="0"/>
        <v>0</v>
      </c>
      <c r="L48" s="35">
        <f t="shared" si="1"/>
        <v>0</v>
      </c>
      <c r="M48" s="2"/>
      <c r="O48" s="19"/>
      <c r="P48" s="19"/>
      <c r="Q48" s="19"/>
      <c r="R48" s="21"/>
      <c r="S48" s="46"/>
      <c r="T48" s="44"/>
      <c r="U48" s="77"/>
      <c r="V48" s="24"/>
      <c r="W48" s="24"/>
      <c r="X48" s="193"/>
      <c r="Y48" s="15"/>
      <c r="AA48">
        <v>8</v>
      </c>
      <c r="AB48" s="487"/>
      <c r="AC48" s="90">
        <v>4</v>
      </c>
      <c r="AD48" s="97" t="s">
        <v>99</v>
      </c>
      <c r="AE48" s="39">
        <f t="shared" si="2"/>
        <v>0</v>
      </c>
      <c r="AF48" s="65">
        <f t="shared" si="3"/>
        <v>0</v>
      </c>
      <c r="AG48" s="65">
        <f t="shared" si="4"/>
        <v>0</v>
      </c>
      <c r="AH48" s="65">
        <f t="shared" si="5"/>
        <v>0</v>
      </c>
      <c r="AI48" s="104">
        <f t="shared" si="6"/>
        <v>0</v>
      </c>
      <c r="AJ48" s="115">
        <f t="shared" si="7"/>
        <v>0</v>
      </c>
      <c r="AK48" s="116">
        <f t="shared" si="8"/>
        <v>0</v>
      </c>
      <c r="AL48" s="116">
        <f t="shared" si="9"/>
        <v>0</v>
      </c>
      <c r="AM48" s="116">
        <f t="shared" si="10"/>
        <v>0</v>
      </c>
      <c r="AN48" s="117">
        <f t="shared" si="11"/>
        <v>0</v>
      </c>
      <c r="AO48" s="39">
        <f t="shared" si="12"/>
        <v>0</v>
      </c>
      <c r="AP48" s="65">
        <f t="shared" si="13"/>
        <v>0</v>
      </c>
      <c r="AQ48" s="65">
        <f t="shared" si="14"/>
        <v>0</v>
      </c>
      <c r="AR48" s="65">
        <f t="shared" si="15"/>
        <v>0</v>
      </c>
      <c r="AS48" s="65">
        <f t="shared" si="16"/>
        <v>0</v>
      </c>
    </row>
    <row r="49" spans="2:45" x14ac:dyDescent="0.25">
      <c r="B49" s="15">
        <v>47</v>
      </c>
      <c r="C49" s="8"/>
      <c r="E49" s="67"/>
      <c r="F49" s="16"/>
      <c r="G49" s="8"/>
      <c r="H49" s="8"/>
      <c r="I49" s="8"/>
      <c r="K49" s="9">
        <f t="shared" si="0"/>
        <v>0</v>
      </c>
      <c r="L49" s="35">
        <f t="shared" si="1"/>
        <v>0</v>
      </c>
      <c r="M49" s="2"/>
      <c r="O49" s="19"/>
      <c r="P49" s="19"/>
      <c r="Q49" s="19"/>
      <c r="R49" s="21"/>
      <c r="S49" s="46"/>
      <c r="T49" s="44"/>
      <c r="U49" s="77"/>
      <c r="V49" s="30"/>
      <c r="W49" s="24"/>
      <c r="X49" s="193"/>
      <c r="Y49" s="15"/>
      <c r="AA49">
        <v>8</v>
      </c>
      <c r="AB49" s="487"/>
      <c r="AC49" s="91">
        <v>5</v>
      </c>
      <c r="AD49" s="100"/>
      <c r="AE49" s="39">
        <f t="shared" si="2"/>
        <v>0</v>
      </c>
      <c r="AF49" s="65">
        <f t="shared" si="3"/>
        <v>0</v>
      </c>
      <c r="AG49" s="65">
        <f t="shared" si="4"/>
        <v>0</v>
      </c>
      <c r="AH49" s="65">
        <f t="shared" si="5"/>
        <v>0</v>
      </c>
      <c r="AI49" s="104">
        <f t="shared" si="6"/>
        <v>0</v>
      </c>
      <c r="AJ49" s="115">
        <f t="shared" si="7"/>
        <v>0</v>
      </c>
      <c r="AK49" s="116">
        <f t="shared" si="8"/>
        <v>0</v>
      </c>
      <c r="AL49" s="116">
        <f t="shared" si="9"/>
        <v>0</v>
      </c>
      <c r="AM49" s="116">
        <f t="shared" si="10"/>
        <v>0</v>
      </c>
      <c r="AN49" s="117">
        <f t="shared" si="11"/>
        <v>0</v>
      </c>
      <c r="AO49" s="39">
        <f t="shared" si="12"/>
        <v>0</v>
      </c>
      <c r="AP49" s="65">
        <f t="shared" si="13"/>
        <v>0</v>
      </c>
      <c r="AQ49" s="65">
        <f t="shared" si="14"/>
        <v>0</v>
      </c>
      <c r="AR49" s="65">
        <f t="shared" si="15"/>
        <v>0</v>
      </c>
      <c r="AS49" s="65">
        <f t="shared" si="16"/>
        <v>0</v>
      </c>
    </row>
    <row r="50" spans="2:45" ht="14.25" thickBot="1" x14ac:dyDescent="0.3">
      <c r="B50" s="15">
        <v>48</v>
      </c>
      <c r="C50" s="8"/>
      <c r="E50" s="67"/>
      <c r="F50" s="16"/>
      <c r="G50" s="8"/>
      <c r="H50" s="8"/>
      <c r="I50" s="8"/>
      <c r="J50" s="9"/>
      <c r="K50" s="9">
        <f t="shared" si="0"/>
        <v>0</v>
      </c>
      <c r="L50" s="35">
        <f t="shared" si="1"/>
        <v>0</v>
      </c>
      <c r="M50" s="2"/>
      <c r="O50" s="19"/>
      <c r="P50" s="19"/>
      <c r="Q50" s="19"/>
      <c r="R50" s="21"/>
      <c r="S50" s="46"/>
      <c r="T50" s="44"/>
      <c r="U50" s="77"/>
      <c r="V50" s="30"/>
      <c r="W50" s="24"/>
      <c r="X50" s="193"/>
      <c r="Y50" s="15"/>
      <c r="AA50">
        <v>8</v>
      </c>
      <c r="AB50" s="488"/>
      <c r="AC50" s="92" t="s">
        <v>3</v>
      </c>
      <c r="AD50" s="101"/>
      <c r="AE50" s="94">
        <f t="shared" ref="AE50:AS50" si="28">SUM(AE45:AE49)</f>
        <v>0</v>
      </c>
      <c r="AF50" s="94">
        <f t="shared" si="28"/>
        <v>0</v>
      </c>
      <c r="AG50" s="94">
        <f t="shared" si="28"/>
        <v>0</v>
      </c>
      <c r="AH50" s="94">
        <f t="shared" si="28"/>
        <v>0</v>
      </c>
      <c r="AI50" s="105">
        <f t="shared" si="28"/>
        <v>0</v>
      </c>
      <c r="AJ50" s="118">
        <f t="shared" si="28"/>
        <v>0</v>
      </c>
      <c r="AK50" s="119">
        <f t="shared" si="28"/>
        <v>0</v>
      </c>
      <c r="AL50" s="119">
        <f t="shared" si="28"/>
        <v>0</v>
      </c>
      <c r="AM50" s="119">
        <f t="shared" si="28"/>
        <v>0</v>
      </c>
      <c r="AN50" s="120">
        <f t="shared" si="28"/>
        <v>0</v>
      </c>
      <c r="AO50" s="94">
        <f t="shared" si="28"/>
        <v>0</v>
      </c>
      <c r="AP50" s="94">
        <f t="shared" si="28"/>
        <v>0</v>
      </c>
      <c r="AQ50" s="94">
        <f t="shared" si="28"/>
        <v>0</v>
      </c>
      <c r="AR50" s="94">
        <f t="shared" si="28"/>
        <v>0</v>
      </c>
      <c r="AS50" s="94">
        <f t="shared" si="28"/>
        <v>0</v>
      </c>
    </row>
    <row r="51" spans="2:45" x14ac:dyDescent="0.25">
      <c r="B51" s="15">
        <v>49</v>
      </c>
      <c r="C51" s="8"/>
      <c r="E51" s="67"/>
      <c r="F51" s="16"/>
      <c r="G51" s="8"/>
      <c r="H51" s="8"/>
      <c r="I51" s="8"/>
      <c r="J51" s="9"/>
      <c r="K51" s="9">
        <f t="shared" si="0"/>
        <v>0</v>
      </c>
      <c r="L51" s="35">
        <f t="shared" si="1"/>
        <v>0</v>
      </c>
      <c r="M51" s="2"/>
      <c r="O51" s="19"/>
      <c r="P51" s="19"/>
      <c r="Q51" s="19"/>
      <c r="R51" s="21"/>
      <c r="S51" s="46"/>
      <c r="T51" s="44"/>
      <c r="U51" s="77"/>
      <c r="V51" s="30"/>
      <c r="W51" s="24"/>
      <c r="X51" s="193"/>
      <c r="Y51" s="15"/>
      <c r="AA51">
        <v>9</v>
      </c>
      <c r="AB51" s="486">
        <v>9</v>
      </c>
      <c r="AC51" s="89">
        <v>1</v>
      </c>
      <c r="AD51" s="95" t="s">
        <v>100</v>
      </c>
      <c r="AE51" s="39">
        <f t="shared" si="2"/>
        <v>0</v>
      </c>
      <c r="AF51" s="65">
        <f t="shared" si="3"/>
        <v>0</v>
      </c>
      <c r="AG51" s="65">
        <f t="shared" si="4"/>
        <v>0</v>
      </c>
      <c r="AH51" s="65">
        <f t="shared" si="5"/>
        <v>0</v>
      </c>
      <c r="AI51" s="104">
        <f t="shared" si="6"/>
        <v>0</v>
      </c>
      <c r="AJ51" s="115">
        <f t="shared" si="7"/>
        <v>0</v>
      </c>
      <c r="AK51" s="116">
        <f t="shared" si="8"/>
        <v>0</v>
      </c>
      <c r="AL51" s="116">
        <f t="shared" si="9"/>
        <v>0</v>
      </c>
      <c r="AM51" s="116">
        <f t="shared" si="10"/>
        <v>0</v>
      </c>
      <c r="AN51" s="117">
        <f t="shared" si="11"/>
        <v>0</v>
      </c>
      <c r="AO51" s="39">
        <f t="shared" si="12"/>
        <v>0</v>
      </c>
      <c r="AP51" s="65">
        <f t="shared" si="13"/>
        <v>0</v>
      </c>
      <c r="AQ51" s="65">
        <f t="shared" si="14"/>
        <v>0</v>
      </c>
      <c r="AR51" s="65">
        <f t="shared" si="15"/>
        <v>0</v>
      </c>
      <c r="AS51" s="65">
        <f t="shared" si="16"/>
        <v>0</v>
      </c>
    </row>
    <row r="52" spans="2:45" x14ac:dyDescent="0.25">
      <c r="B52" s="15">
        <v>50</v>
      </c>
      <c r="C52" s="8"/>
      <c r="E52" s="67"/>
      <c r="F52" s="16"/>
      <c r="G52" s="8"/>
      <c r="H52" s="8"/>
      <c r="I52" s="8"/>
      <c r="J52" s="9"/>
      <c r="K52" s="9">
        <f t="shared" si="0"/>
        <v>0</v>
      </c>
      <c r="L52" s="35">
        <f t="shared" si="1"/>
        <v>0</v>
      </c>
      <c r="M52" s="2"/>
      <c r="O52" s="19"/>
      <c r="P52" s="19"/>
      <c r="Q52" s="19"/>
      <c r="R52" s="21"/>
      <c r="S52" s="46"/>
      <c r="T52" s="44"/>
      <c r="U52" s="77"/>
      <c r="V52" s="30"/>
      <c r="W52" s="24"/>
      <c r="X52" s="193"/>
      <c r="Y52" s="15"/>
      <c r="AA52">
        <v>9</v>
      </c>
      <c r="AB52" s="487"/>
      <c r="AC52" s="90">
        <v>2</v>
      </c>
      <c r="AD52" s="97" t="s">
        <v>101</v>
      </c>
      <c r="AE52" s="39">
        <f t="shared" si="2"/>
        <v>0</v>
      </c>
      <c r="AF52" s="65">
        <f t="shared" si="3"/>
        <v>0</v>
      </c>
      <c r="AG52" s="65">
        <f t="shared" si="4"/>
        <v>0</v>
      </c>
      <c r="AH52" s="65">
        <f t="shared" si="5"/>
        <v>0</v>
      </c>
      <c r="AI52" s="104">
        <f t="shared" si="6"/>
        <v>0</v>
      </c>
      <c r="AJ52" s="115">
        <f t="shared" si="7"/>
        <v>0</v>
      </c>
      <c r="AK52" s="116">
        <f t="shared" si="8"/>
        <v>0</v>
      </c>
      <c r="AL52" s="116">
        <f t="shared" si="9"/>
        <v>0</v>
      </c>
      <c r="AM52" s="116">
        <f t="shared" si="10"/>
        <v>0</v>
      </c>
      <c r="AN52" s="117">
        <f t="shared" si="11"/>
        <v>0</v>
      </c>
      <c r="AO52" s="39">
        <f t="shared" si="12"/>
        <v>0</v>
      </c>
      <c r="AP52" s="65">
        <f t="shared" si="13"/>
        <v>0</v>
      </c>
      <c r="AQ52" s="65">
        <f t="shared" si="14"/>
        <v>0</v>
      </c>
      <c r="AR52" s="65">
        <f t="shared" si="15"/>
        <v>0</v>
      </c>
      <c r="AS52" s="65">
        <f t="shared" si="16"/>
        <v>0</v>
      </c>
    </row>
    <row r="53" spans="2:45" x14ac:dyDescent="0.25">
      <c r="B53" s="15">
        <v>51</v>
      </c>
      <c r="C53" s="8"/>
      <c r="E53" s="67"/>
      <c r="F53" s="16"/>
      <c r="G53" s="8"/>
      <c r="H53" s="8"/>
      <c r="I53" s="8"/>
      <c r="J53" s="9"/>
      <c r="K53" s="9">
        <f t="shared" si="0"/>
        <v>0</v>
      </c>
      <c r="L53" s="35">
        <f t="shared" si="1"/>
        <v>0</v>
      </c>
      <c r="M53" s="2"/>
      <c r="O53" s="19"/>
      <c r="P53" s="19"/>
      <c r="Q53" s="19"/>
      <c r="R53" s="21"/>
      <c r="S53" s="46"/>
      <c r="T53" s="44"/>
      <c r="U53" s="77"/>
      <c r="V53" s="30"/>
      <c r="W53" s="24"/>
      <c r="X53" s="193"/>
      <c r="Y53" s="15"/>
      <c r="AA53">
        <v>9</v>
      </c>
      <c r="AB53" s="487"/>
      <c r="AC53" s="90">
        <v>3</v>
      </c>
      <c r="AD53" s="97" t="s">
        <v>102</v>
      </c>
      <c r="AE53" s="39">
        <f t="shared" si="2"/>
        <v>595.33500000000004</v>
      </c>
      <c r="AF53" s="65">
        <f t="shared" si="3"/>
        <v>0</v>
      </c>
      <c r="AG53" s="65">
        <f t="shared" si="4"/>
        <v>0</v>
      </c>
      <c r="AH53" s="65">
        <f t="shared" si="5"/>
        <v>595.33500000000004</v>
      </c>
      <c r="AI53" s="104">
        <f t="shared" si="6"/>
        <v>0</v>
      </c>
      <c r="AJ53" s="115">
        <f t="shared" si="7"/>
        <v>1</v>
      </c>
      <c r="AK53" s="116">
        <f t="shared" si="8"/>
        <v>0</v>
      </c>
      <c r="AL53" s="116">
        <f t="shared" si="9"/>
        <v>0</v>
      </c>
      <c r="AM53" s="116">
        <f t="shared" si="10"/>
        <v>1</v>
      </c>
      <c r="AN53" s="117">
        <f t="shared" si="11"/>
        <v>0</v>
      </c>
      <c r="AO53" s="39">
        <f t="shared" si="12"/>
        <v>6.54</v>
      </c>
      <c r="AP53" s="65">
        <f t="shared" si="13"/>
        <v>0</v>
      </c>
      <c r="AQ53" s="65">
        <f t="shared" si="14"/>
        <v>0</v>
      </c>
      <c r="AR53" s="65">
        <f t="shared" si="15"/>
        <v>6.54</v>
      </c>
      <c r="AS53" s="65">
        <f t="shared" si="16"/>
        <v>0</v>
      </c>
    </row>
    <row r="54" spans="2:45" x14ac:dyDescent="0.25">
      <c r="B54" s="15">
        <v>52</v>
      </c>
      <c r="C54" s="8"/>
      <c r="E54" s="67"/>
      <c r="F54" s="16"/>
      <c r="G54" s="8"/>
      <c r="H54" s="8"/>
      <c r="I54" s="8"/>
      <c r="J54" s="9"/>
      <c r="K54" s="9">
        <f t="shared" si="0"/>
        <v>0</v>
      </c>
      <c r="L54" s="35">
        <f t="shared" si="1"/>
        <v>0</v>
      </c>
      <c r="M54" s="2"/>
      <c r="O54" s="19"/>
      <c r="P54" s="19"/>
      <c r="Q54" s="19"/>
      <c r="R54" s="21"/>
      <c r="S54" s="46"/>
      <c r="T54" s="44"/>
      <c r="U54" s="77"/>
      <c r="V54" s="30"/>
      <c r="W54" s="24"/>
      <c r="X54" s="193"/>
      <c r="Y54" s="15"/>
      <c r="AA54">
        <v>9</v>
      </c>
      <c r="AB54" s="487"/>
      <c r="AC54" s="90">
        <v>4</v>
      </c>
      <c r="AD54" s="97" t="s">
        <v>103</v>
      </c>
      <c r="AE54" s="39">
        <f t="shared" si="2"/>
        <v>0</v>
      </c>
      <c r="AF54" s="65">
        <f t="shared" si="3"/>
        <v>0</v>
      </c>
      <c r="AG54" s="65">
        <f t="shared" si="4"/>
        <v>0</v>
      </c>
      <c r="AH54" s="65">
        <f t="shared" si="5"/>
        <v>0</v>
      </c>
      <c r="AI54" s="104">
        <f t="shared" si="6"/>
        <v>0</v>
      </c>
      <c r="AJ54" s="115">
        <f t="shared" si="7"/>
        <v>0</v>
      </c>
      <c r="AK54" s="116">
        <f t="shared" si="8"/>
        <v>0</v>
      </c>
      <c r="AL54" s="116">
        <f t="shared" si="9"/>
        <v>0</v>
      </c>
      <c r="AM54" s="116">
        <f t="shared" si="10"/>
        <v>0</v>
      </c>
      <c r="AN54" s="117">
        <f t="shared" si="11"/>
        <v>0</v>
      </c>
      <c r="AO54" s="39">
        <f t="shared" si="12"/>
        <v>0</v>
      </c>
      <c r="AP54" s="65">
        <f t="shared" si="13"/>
        <v>0</v>
      </c>
      <c r="AQ54" s="65">
        <f t="shared" si="14"/>
        <v>0</v>
      </c>
      <c r="AR54" s="65">
        <f t="shared" si="15"/>
        <v>0</v>
      </c>
      <c r="AS54" s="65">
        <f t="shared" si="16"/>
        <v>0</v>
      </c>
    </row>
    <row r="55" spans="2:45" x14ac:dyDescent="0.25">
      <c r="B55" s="15">
        <v>53</v>
      </c>
      <c r="C55" s="8"/>
      <c r="E55" s="67"/>
      <c r="F55" s="16"/>
      <c r="G55" s="8"/>
      <c r="H55" s="8"/>
      <c r="I55" s="8"/>
      <c r="J55" s="9"/>
      <c r="K55" s="9">
        <f t="shared" si="0"/>
        <v>0</v>
      </c>
      <c r="L55" s="35">
        <f t="shared" si="1"/>
        <v>0</v>
      </c>
      <c r="M55" s="2"/>
      <c r="O55" s="19"/>
      <c r="P55" s="19"/>
      <c r="Q55" s="19"/>
      <c r="R55" s="21"/>
      <c r="S55" s="46"/>
      <c r="T55" s="44"/>
      <c r="U55" s="77"/>
      <c r="V55" s="24"/>
      <c r="W55" s="24"/>
      <c r="X55" s="193"/>
      <c r="Y55" s="15"/>
      <c r="AA55">
        <v>9</v>
      </c>
      <c r="AB55" s="487"/>
      <c r="AC55" s="91">
        <v>5</v>
      </c>
      <c r="AD55" s="100"/>
      <c r="AE55" s="39">
        <f t="shared" si="2"/>
        <v>2149.14</v>
      </c>
      <c r="AF55" s="65">
        <f t="shared" si="3"/>
        <v>0</v>
      </c>
      <c r="AG55" s="65">
        <f t="shared" si="4"/>
        <v>0</v>
      </c>
      <c r="AH55" s="65">
        <f t="shared" si="5"/>
        <v>2149.14</v>
      </c>
      <c r="AI55" s="104">
        <f t="shared" si="6"/>
        <v>0</v>
      </c>
      <c r="AJ55" s="115">
        <f t="shared" si="7"/>
        <v>1</v>
      </c>
      <c r="AK55" s="116">
        <f t="shared" si="8"/>
        <v>0</v>
      </c>
      <c r="AL55" s="116">
        <f t="shared" si="9"/>
        <v>0</v>
      </c>
      <c r="AM55" s="116">
        <f t="shared" si="10"/>
        <v>1</v>
      </c>
      <c r="AN55" s="117">
        <f t="shared" si="11"/>
        <v>0</v>
      </c>
      <c r="AO55" s="39">
        <f t="shared" si="12"/>
        <v>30.7</v>
      </c>
      <c r="AP55" s="65">
        <f t="shared" si="13"/>
        <v>0</v>
      </c>
      <c r="AQ55" s="65">
        <f t="shared" si="14"/>
        <v>0</v>
      </c>
      <c r="AR55" s="65">
        <f t="shared" si="15"/>
        <v>30.7</v>
      </c>
      <c r="AS55" s="65">
        <f t="shared" si="16"/>
        <v>0</v>
      </c>
    </row>
    <row r="56" spans="2:45" ht="14.25" thickBot="1" x14ac:dyDescent="0.3">
      <c r="B56" s="15">
        <v>54</v>
      </c>
      <c r="C56" s="8"/>
      <c r="E56" s="67"/>
      <c r="F56" s="16"/>
      <c r="G56" s="8"/>
      <c r="H56" s="8"/>
      <c r="I56" s="8"/>
      <c r="J56" s="9"/>
      <c r="K56" s="9">
        <f t="shared" si="0"/>
        <v>0</v>
      </c>
      <c r="L56" s="35">
        <f t="shared" si="1"/>
        <v>0</v>
      </c>
      <c r="O56" s="19"/>
      <c r="P56" s="19"/>
      <c r="Q56" s="19"/>
      <c r="R56" s="21"/>
      <c r="S56" s="46"/>
      <c r="T56" s="44"/>
      <c r="U56" s="76"/>
      <c r="V56" s="24"/>
      <c r="W56" s="24"/>
      <c r="X56" s="193"/>
      <c r="Y56" s="15"/>
      <c r="AA56">
        <v>9</v>
      </c>
      <c r="AB56" s="488"/>
      <c r="AC56" s="92" t="s">
        <v>3</v>
      </c>
      <c r="AD56" s="101"/>
      <c r="AE56" s="94">
        <f t="shared" ref="AE56:AS56" si="29">SUM(AE51:AE55)</f>
        <v>2744.4749999999999</v>
      </c>
      <c r="AF56" s="94">
        <f t="shared" si="29"/>
        <v>0</v>
      </c>
      <c r="AG56" s="94">
        <f t="shared" si="29"/>
        <v>0</v>
      </c>
      <c r="AH56" s="94">
        <f t="shared" si="29"/>
        <v>2744.4749999999999</v>
      </c>
      <c r="AI56" s="105">
        <f t="shared" si="29"/>
        <v>0</v>
      </c>
      <c r="AJ56" s="118">
        <f t="shared" si="29"/>
        <v>2</v>
      </c>
      <c r="AK56" s="119">
        <f t="shared" si="29"/>
        <v>0</v>
      </c>
      <c r="AL56" s="119">
        <f t="shared" si="29"/>
        <v>0</v>
      </c>
      <c r="AM56" s="119">
        <f t="shared" si="29"/>
        <v>2</v>
      </c>
      <c r="AN56" s="120">
        <f t="shared" si="29"/>
        <v>0</v>
      </c>
      <c r="AO56" s="94">
        <f t="shared" si="29"/>
        <v>37.24</v>
      </c>
      <c r="AP56" s="94">
        <f t="shared" si="29"/>
        <v>0</v>
      </c>
      <c r="AQ56" s="94">
        <f t="shared" si="29"/>
        <v>0</v>
      </c>
      <c r="AR56" s="94">
        <f t="shared" si="29"/>
        <v>37.24</v>
      </c>
      <c r="AS56" s="94">
        <f t="shared" si="29"/>
        <v>0</v>
      </c>
    </row>
    <row r="57" spans="2:45" x14ac:dyDescent="0.25">
      <c r="B57" s="15">
        <v>55</v>
      </c>
      <c r="C57" s="8"/>
      <c r="E57" s="67"/>
      <c r="F57" s="16"/>
      <c r="G57" s="8"/>
      <c r="H57" s="8"/>
      <c r="I57" s="8"/>
      <c r="J57" s="9"/>
      <c r="K57" s="9">
        <f t="shared" si="0"/>
        <v>0</v>
      </c>
      <c r="L57" s="35">
        <f t="shared" si="1"/>
        <v>0</v>
      </c>
      <c r="M57" s="2"/>
      <c r="O57" s="19"/>
      <c r="P57" s="19"/>
      <c r="Q57" s="19"/>
      <c r="R57" s="21"/>
      <c r="S57" s="46"/>
      <c r="T57" s="44"/>
      <c r="U57" s="77"/>
      <c r="V57" s="30"/>
      <c r="W57" s="24"/>
      <c r="X57" s="193"/>
      <c r="Y57" s="15"/>
      <c r="AA57">
        <v>10</v>
      </c>
      <c r="AB57" s="486">
        <v>10</v>
      </c>
      <c r="AC57" s="89">
        <v>1</v>
      </c>
      <c r="AD57" s="95" t="s">
        <v>104</v>
      </c>
      <c r="AE57" s="39">
        <f t="shared" si="2"/>
        <v>0</v>
      </c>
      <c r="AF57" s="65">
        <f t="shared" si="3"/>
        <v>0</v>
      </c>
      <c r="AG57" s="65">
        <f t="shared" si="4"/>
        <v>0</v>
      </c>
      <c r="AH57" s="65">
        <f t="shared" si="5"/>
        <v>0</v>
      </c>
      <c r="AI57" s="104">
        <f t="shared" si="6"/>
        <v>0</v>
      </c>
      <c r="AJ57" s="115">
        <f t="shared" si="7"/>
        <v>0</v>
      </c>
      <c r="AK57" s="116">
        <f t="shared" si="8"/>
        <v>0</v>
      </c>
      <c r="AL57" s="116">
        <f t="shared" si="9"/>
        <v>0</v>
      </c>
      <c r="AM57" s="116">
        <f t="shared" si="10"/>
        <v>0</v>
      </c>
      <c r="AN57" s="117">
        <f t="shared" si="11"/>
        <v>0</v>
      </c>
      <c r="AO57" s="39">
        <f t="shared" si="12"/>
        <v>0</v>
      </c>
      <c r="AP57" s="65">
        <f t="shared" si="13"/>
        <v>0</v>
      </c>
      <c r="AQ57" s="65">
        <f t="shared" si="14"/>
        <v>0</v>
      </c>
      <c r="AR57" s="65">
        <f t="shared" si="15"/>
        <v>0</v>
      </c>
      <c r="AS57" s="65">
        <f t="shared" si="16"/>
        <v>0</v>
      </c>
    </row>
    <row r="58" spans="2:45" x14ac:dyDescent="0.25">
      <c r="B58" s="15">
        <v>56</v>
      </c>
      <c r="C58" s="8"/>
      <c r="E58" s="67"/>
      <c r="F58" s="16"/>
      <c r="G58" s="8"/>
      <c r="H58" s="8"/>
      <c r="I58" s="8"/>
      <c r="J58" s="9"/>
      <c r="K58" s="9">
        <f t="shared" si="0"/>
        <v>0</v>
      </c>
      <c r="L58" s="35">
        <f t="shared" si="1"/>
        <v>0</v>
      </c>
      <c r="M58" s="2"/>
      <c r="O58" s="19"/>
      <c r="P58" s="19"/>
      <c r="Q58" s="19"/>
      <c r="R58" s="21"/>
      <c r="S58" s="46"/>
      <c r="T58" s="44"/>
      <c r="U58" s="77"/>
      <c r="V58" s="30"/>
      <c r="W58" s="24"/>
      <c r="X58" s="193"/>
      <c r="Y58" s="15"/>
      <c r="AA58">
        <v>10</v>
      </c>
      <c r="AB58" s="487"/>
      <c r="AC58" s="90">
        <v>2</v>
      </c>
      <c r="AD58" s="96" t="s">
        <v>54</v>
      </c>
      <c r="AE58" s="39">
        <f t="shared" si="2"/>
        <v>0</v>
      </c>
      <c r="AF58" s="65">
        <f t="shared" si="3"/>
        <v>0</v>
      </c>
      <c r="AG58" s="65">
        <f t="shared" si="4"/>
        <v>0</v>
      </c>
      <c r="AH58" s="65">
        <f t="shared" si="5"/>
        <v>0</v>
      </c>
      <c r="AI58" s="104">
        <f t="shared" si="6"/>
        <v>0</v>
      </c>
      <c r="AJ58" s="115">
        <f t="shared" si="7"/>
        <v>0</v>
      </c>
      <c r="AK58" s="116">
        <f t="shared" si="8"/>
        <v>0</v>
      </c>
      <c r="AL58" s="116">
        <f t="shared" si="9"/>
        <v>0</v>
      </c>
      <c r="AM58" s="116">
        <f t="shared" si="10"/>
        <v>0</v>
      </c>
      <c r="AN58" s="117">
        <f t="shared" si="11"/>
        <v>0</v>
      </c>
      <c r="AO58" s="39">
        <f t="shared" si="12"/>
        <v>0</v>
      </c>
      <c r="AP58" s="65">
        <f t="shared" si="13"/>
        <v>0</v>
      </c>
      <c r="AQ58" s="65">
        <f t="shared" si="14"/>
        <v>0</v>
      </c>
      <c r="AR58" s="65">
        <f t="shared" si="15"/>
        <v>0</v>
      </c>
      <c r="AS58" s="65">
        <f t="shared" si="16"/>
        <v>0</v>
      </c>
    </row>
    <row r="59" spans="2:45" x14ac:dyDescent="0.25">
      <c r="B59" s="15">
        <v>57</v>
      </c>
      <c r="C59" s="8"/>
      <c r="E59" s="67"/>
      <c r="F59" s="16"/>
      <c r="G59" s="8"/>
      <c r="H59" s="8"/>
      <c r="I59" s="8"/>
      <c r="J59" s="9"/>
      <c r="K59" s="9">
        <f t="shared" si="0"/>
        <v>0</v>
      </c>
      <c r="L59" s="35">
        <f t="shared" si="1"/>
        <v>0</v>
      </c>
      <c r="M59" s="2"/>
      <c r="O59" s="19"/>
      <c r="P59" s="19"/>
      <c r="Q59" s="19"/>
      <c r="R59" s="21"/>
      <c r="S59" s="46"/>
      <c r="T59" s="44"/>
      <c r="U59" s="77"/>
      <c r="V59" s="30"/>
      <c r="W59" s="24"/>
      <c r="X59" s="193"/>
      <c r="Y59" s="15"/>
      <c r="AA59">
        <v>10</v>
      </c>
      <c r="AB59" s="487"/>
      <c r="AC59" s="90">
        <v>3</v>
      </c>
      <c r="AD59" s="97" t="s">
        <v>55</v>
      </c>
      <c r="AE59" s="39">
        <f t="shared" si="2"/>
        <v>0</v>
      </c>
      <c r="AF59" s="65">
        <f t="shared" si="3"/>
        <v>0</v>
      </c>
      <c r="AG59" s="65">
        <f t="shared" si="4"/>
        <v>0</v>
      </c>
      <c r="AH59" s="65">
        <f t="shared" si="5"/>
        <v>0</v>
      </c>
      <c r="AI59" s="104">
        <f t="shared" si="6"/>
        <v>0</v>
      </c>
      <c r="AJ59" s="115">
        <f t="shared" si="7"/>
        <v>0</v>
      </c>
      <c r="AK59" s="116">
        <f t="shared" si="8"/>
        <v>0</v>
      </c>
      <c r="AL59" s="116">
        <f t="shared" si="9"/>
        <v>0</v>
      </c>
      <c r="AM59" s="116">
        <f t="shared" si="10"/>
        <v>0</v>
      </c>
      <c r="AN59" s="117">
        <f t="shared" si="11"/>
        <v>0</v>
      </c>
      <c r="AO59" s="39">
        <f t="shared" si="12"/>
        <v>0</v>
      </c>
      <c r="AP59" s="65">
        <f t="shared" si="13"/>
        <v>0</v>
      </c>
      <c r="AQ59" s="65">
        <f t="shared" si="14"/>
        <v>0</v>
      </c>
      <c r="AR59" s="65">
        <f t="shared" si="15"/>
        <v>0</v>
      </c>
      <c r="AS59" s="65">
        <f t="shared" si="16"/>
        <v>0</v>
      </c>
    </row>
    <row r="60" spans="2:45" x14ac:dyDescent="0.25">
      <c r="B60" s="15">
        <v>58</v>
      </c>
      <c r="C60" s="8"/>
      <c r="E60" s="67"/>
      <c r="F60" s="16"/>
      <c r="G60" s="8"/>
      <c r="H60" s="8"/>
      <c r="I60" s="8"/>
      <c r="J60" s="9"/>
      <c r="K60" s="9">
        <f t="shared" si="0"/>
        <v>0</v>
      </c>
      <c r="L60" s="35">
        <f t="shared" si="1"/>
        <v>0</v>
      </c>
      <c r="M60" s="2"/>
      <c r="O60" s="19"/>
      <c r="P60" s="19"/>
      <c r="Q60" s="19"/>
      <c r="R60" s="21"/>
      <c r="S60" s="46"/>
      <c r="T60" s="44"/>
      <c r="U60" s="77"/>
      <c r="V60" s="30"/>
      <c r="W60" s="24"/>
      <c r="X60" s="193"/>
      <c r="Y60" s="15"/>
      <c r="AA60">
        <v>10</v>
      </c>
      <c r="AB60" s="487"/>
      <c r="AC60" s="90">
        <v>4</v>
      </c>
      <c r="AD60" s="97" t="s">
        <v>56</v>
      </c>
      <c r="AE60" s="39">
        <f t="shared" si="2"/>
        <v>0</v>
      </c>
      <c r="AF60" s="65">
        <f t="shared" si="3"/>
        <v>0</v>
      </c>
      <c r="AG60" s="65">
        <f t="shared" si="4"/>
        <v>0</v>
      </c>
      <c r="AH60" s="65">
        <f t="shared" si="5"/>
        <v>0</v>
      </c>
      <c r="AI60" s="104">
        <f t="shared" si="6"/>
        <v>0</v>
      </c>
      <c r="AJ60" s="115">
        <f t="shared" si="7"/>
        <v>0</v>
      </c>
      <c r="AK60" s="116">
        <f t="shared" si="8"/>
        <v>0</v>
      </c>
      <c r="AL60" s="116">
        <f t="shared" si="9"/>
        <v>0</v>
      </c>
      <c r="AM60" s="116">
        <f t="shared" si="10"/>
        <v>0</v>
      </c>
      <c r="AN60" s="117">
        <f t="shared" si="11"/>
        <v>0</v>
      </c>
      <c r="AO60" s="39">
        <f t="shared" si="12"/>
        <v>0</v>
      </c>
      <c r="AP60" s="65">
        <f t="shared" si="13"/>
        <v>0</v>
      </c>
      <c r="AQ60" s="65">
        <f t="shared" si="14"/>
        <v>0</v>
      </c>
      <c r="AR60" s="65">
        <f t="shared" si="15"/>
        <v>0</v>
      </c>
      <c r="AS60" s="65">
        <f t="shared" si="16"/>
        <v>0</v>
      </c>
    </row>
    <row r="61" spans="2:45" x14ac:dyDescent="0.25">
      <c r="B61" s="15">
        <v>59</v>
      </c>
      <c r="C61" s="8"/>
      <c r="E61" s="67"/>
      <c r="F61" s="16"/>
      <c r="G61" s="8"/>
      <c r="H61" s="8"/>
      <c r="I61" s="8"/>
      <c r="J61" s="9"/>
      <c r="K61" s="9">
        <f t="shared" si="0"/>
        <v>0</v>
      </c>
      <c r="L61" s="35">
        <f t="shared" si="1"/>
        <v>0</v>
      </c>
      <c r="M61" s="2"/>
      <c r="O61" s="19"/>
      <c r="P61" s="19"/>
      <c r="Q61" s="19"/>
      <c r="R61" s="21"/>
      <c r="S61" s="46"/>
      <c r="T61" s="44"/>
      <c r="U61" s="77"/>
      <c r="V61" s="30"/>
      <c r="W61" s="24"/>
      <c r="X61" s="193"/>
      <c r="Y61" s="15"/>
      <c r="AA61">
        <v>10</v>
      </c>
      <c r="AB61" s="487"/>
      <c r="AC61" s="91">
        <v>5</v>
      </c>
      <c r="AD61" s="51" t="s">
        <v>57</v>
      </c>
      <c r="AE61" s="39">
        <f t="shared" si="2"/>
        <v>0</v>
      </c>
      <c r="AF61" s="65">
        <f t="shared" si="3"/>
        <v>0</v>
      </c>
      <c r="AG61" s="65">
        <f t="shared" si="4"/>
        <v>0</v>
      </c>
      <c r="AH61" s="65">
        <f t="shared" si="5"/>
        <v>0</v>
      </c>
      <c r="AI61" s="104">
        <f t="shared" si="6"/>
        <v>0</v>
      </c>
      <c r="AJ61" s="115">
        <f t="shared" si="7"/>
        <v>0</v>
      </c>
      <c r="AK61" s="116">
        <f t="shared" si="8"/>
        <v>0</v>
      </c>
      <c r="AL61" s="116">
        <f t="shared" si="9"/>
        <v>0</v>
      </c>
      <c r="AM61" s="116">
        <f t="shared" si="10"/>
        <v>0</v>
      </c>
      <c r="AN61" s="117">
        <f t="shared" si="11"/>
        <v>0</v>
      </c>
      <c r="AO61" s="39">
        <f t="shared" si="12"/>
        <v>0</v>
      </c>
      <c r="AP61" s="65">
        <f t="shared" si="13"/>
        <v>0</v>
      </c>
      <c r="AQ61" s="65">
        <f t="shared" si="14"/>
        <v>0</v>
      </c>
      <c r="AR61" s="65">
        <f t="shared" si="15"/>
        <v>0</v>
      </c>
      <c r="AS61" s="65">
        <f t="shared" si="16"/>
        <v>0</v>
      </c>
    </row>
    <row r="62" spans="2:45" ht="14.25" thickBot="1" x14ac:dyDescent="0.3">
      <c r="B62" s="15">
        <v>60</v>
      </c>
      <c r="C62" s="8"/>
      <c r="E62" s="67"/>
      <c r="F62" s="16"/>
      <c r="G62" s="8"/>
      <c r="H62" s="8"/>
      <c r="I62" s="8"/>
      <c r="J62" s="9"/>
      <c r="K62" s="9">
        <f t="shared" si="0"/>
        <v>0</v>
      </c>
      <c r="L62" s="35">
        <f t="shared" si="1"/>
        <v>0</v>
      </c>
      <c r="M62" s="2"/>
      <c r="O62" s="19"/>
      <c r="P62" s="19"/>
      <c r="Q62" s="19"/>
      <c r="R62" s="21"/>
      <c r="S62" s="46"/>
      <c r="T62" s="44"/>
      <c r="U62" s="77"/>
      <c r="V62" s="30"/>
      <c r="W62" s="24"/>
      <c r="X62" s="193"/>
      <c r="Y62" s="15"/>
      <c r="AA62">
        <v>10</v>
      </c>
      <c r="AB62" s="488"/>
      <c r="AC62" s="92" t="s">
        <v>3</v>
      </c>
      <c r="AD62" s="101"/>
      <c r="AE62" s="94">
        <f t="shared" ref="AE62:AS62" si="30">SUM(AE57:AE61)</f>
        <v>0</v>
      </c>
      <c r="AF62" s="94">
        <f t="shared" si="30"/>
        <v>0</v>
      </c>
      <c r="AG62" s="94">
        <f t="shared" si="30"/>
        <v>0</v>
      </c>
      <c r="AH62" s="94">
        <f t="shared" si="30"/>
        <v>0</v>
      </c>
      <c r="AI62" s="105">
        <f t="shared" si="30"/>
        <v>0</v>
      </c>
      <c r="AJ62" s="118">
        <f t="shared" si="30"/>
        <v>0</v>
      </c>
      <c r="AK62" s="119">
        <f t="shared" si="30"/>
        <v>0</v>
      </c>
      <c r="AL62" s="119">
        <f t="shared" si="30"/>
        <v>0</v>
      </c>
      <c r="AM62" s="119">
        <f t="shared" si="30"/>
        <v>0</v>
      </c>
      <c r="AN62" s="120">
        <f t="shared" si="30"/>
        <v>0</v>
      </c>
      <c r="AO62" s="94">
        <f t="shared" si="30"/>
        <v>0</v>
      </c>
      <c r="AP62" s="94">
        <f t="shared" si="30"/>
        <v>0</v>
      </c>
      <c r="AQ62" s="94">
        <f t="shared" si="30"/>
        <v>0</v>
      </c>
      <c r="AR62" s="94">
        <f t="shared" si="30"/>
        <v>0</v>
      </c>
      <c r="AS62" s="94">
        <f t="shared" si="30"/>
        <v>0</v>
      </c>
    </row>
    <row r="63" spans="2:45" x14ac:dyDescent="0.25">
      <c r="B63" s="15">
        <v>61</v>
      </c>
      <c r="C63" s="8"/>
      <c r="E63" s="67"/>
      <c r="F63" s="16"/>
      <c r="G63" s="8"/>
      <c r="H63" s="8"/>
      <c r="I63" s="8"/>
      <c r="J63" s="9"/>
      <c r="K63" s="9">
        <f t="shared" si="0"/>
        <v>0</v>
      </c>
      <c r="L63" s="35">
        <f t="shared" si="1"/>
        <v>0</v>
      </c>
      <c r="M63" s="2"/>
      <c r="O63" s="19"/>
      <c r="P63" s="19"/>
      <c r="Q63" s="19"/>
      <c r="R63" s="21"/>
      <c r="S63" s="46"/>
      <c r="T63" s="44"/>
      <c r="U63" s="77"/>
      <c r="V63" s="30"/>
      <c r="W63" s="24"/>
      <c r="X63" s="193"/>
      <c r="Y63" s="15"/>
      <c r="AA63">
        <v>11</v>
      </c>
      <c r="AB63" s="486">
        <v>11</v>
      </c>
      <c r="AC63" s="89">
        <v>1</v>
      </c>
      <c r="AD63" s="95" t="s">
        <v>105</v>
      </c>
      <c r="AE63" s="39">
        <f t="shared" si="2"/>
        <v>0</v>
      </c>
      <c r="AF63" s="65">
        <f t="shared" si="3"/>
        <v>0</v>
      </c>
      <c r="AG63" s="65">
        <f t="shared" si="4"/>
        <v>0</v>
      </c>
      <c r="AH63" s="65">
        <f t="shared" si="5"/>
        <v>0</v>
      </c>
      <c r="AI63" s="104">
        <f t="shared" si="6"/>
        <v>0</v>
      </c>
      <c r="AJ63" s="115">
        <f t="shared" si="7"/>
        <v>0</v>
      </c>
      <c r="AK63" s="116">
        <f t="shared" si="8"/>
        <v>0</v>
      </c>
      <c r="AL63" s="116">
        <f t="shared" si="9"/>
        <v>0</v>
      </c>
      <c r="AM63" s="116">
        <f t="shared" si="10"/>
        <v>0</v>
      </c>
      <c r="AN63" s="117">
        <f t="shared" si="11"/>
        <v>0</v>
      </c>
      <c r="AO63" s="39">
        <f t="shared" si="12"/>
        <v>0</v>
      </c>
      <c r="AP63" s="65">
        <f t="shared" si="13"/>
        <v>0</v>
      </c>
      <c r="AQ63" s="65">
        <f t="shared" si="14"/>
        <v>0</v>
      </c>
      <c r="AR63" s="65">
        <f t="shared" si="15"/>
        <v>0</v>
      </c>
      <c r="AS63" s="65">
        <f t="shared" si="16"/>
        <v>0</v>
      </c>
    </row>
    <row r="64" spans="2:45" x14ac:dyDescent="0.25">
      <c r="B64" s="15">
        <v>62</v>
      </c>
      <c r="C64" s="8"/>
      <c r="E64" s="67"/>
      <c r="F64" s="16"/>
      <c r="G64" s="8"/>
      <c r="H64" s="8"/>
      <c r="I64" s="8"/>
      <c r="J64" s="9"/>
      <c r="K64" s="9">
        <f t="shared" si="0"/>
        <v>0</v>
      </c>
      <c r="L64" s="35">
        <f t="shared" si="1"/>
        <v>0</v>
      </c>
      <c r="M64" s="2"/>
      <c r="O64" s="19"/>
      <c r="P64" s="19"/>
      <c r="Q64" s="19"/>
      <c r="R64" s="21"/>
      <c r="S64" s="46"/>
      <c r="T64" s="44"/>
      <c r="U64" s="77"/>
      <c r="V64" s="30"/>
      <c r="W64" s="24"/>
      <c r="X64" s="193"/>
      <c r="Y64" s="15"/>
      <c r="AA64">
        <v>11</v>
      </c>
      <c r="AB64" s="487"/>
      <c r="AC64" s="90">
        <v>2</v>
      </c>
      <c r="AD64" s="97" t="s">
        <v>58</v>
      </c>
      <c r="AE64" s="39">
        <f t="shared" si="2"/>
        <v>0</v>
      </c>
      <c r="AF64" s="65">
        <f t="shared" si="3"/>
        <v>0</v>
      </c>
      <c r="AG64" s="65">
        <f t="shared" si="4"/>
        <v>0</v>
      </c>
      <c r="AH64" s="65">
        <f t="shared" si="5"/>
        <v>0</v>
      </c>
      <c r="AI64" s="104">
        <f t="shared" si="6"/>
        <v>0</v>
      </c>
      <c r="AJ64" s="115">
        <f t="shared" si="7"/>
        <v>0</v>
      </c>
      <c r="AK64" s="116">
        <f t="shared" si="8"/>
        <v>0</v>
      </c>
      <c r="AL64" s="116">
        <f t="shared" si="9"/>
        <v>0</v>
      </c>
      <c r="AM64" s="116">
        <f t="shared" si="10"/>
        <v>0</v>
      </c>
      <c r="AN64" s="117">
        <f t="shared" si="11"/>
        <v>0</v>
      </c>
      <c r="AO64" s="39">
        <f t="shared" si="12"/>
        <v>0</v>
      </c>
      <c r="AP64" s="65">
        <f t="shared" si="13"/>
        <v>0</v>
      </c>
      <c r="AQ64" s="65">
        <f t="shared" si="14"/>
        <v>0</v>
      </c>
      <c r="AR64" s="65">
        <f t="shared" si="15"/>
        <v>0</v>
      </c>
      <c r="AS64" s="65">
        <f t="shared" si="16"/>
        <v>0</v>
      </c>
    </row>
    <row r="65" spans="2:45" x14ac:dyDescent="0.25">
      <c r="B65" s="15">
        <v>63</v>
      </c>
      <c r="C65" s="8"/>
      <c r="E65" s="67"/>
      <c r="F65" s="16"/>
      <c r="G65" s="8"/>
      <c r="H65" s="8"/>
      <c r="I65" s="8"/>
      <c r="J65" s="9"/>
      <c r="K65" s="9">
        <f t="shared" si="0"/>
        <v>0</v>
      </c>
      <c r="L65" s="35">
        <f t="shared" si="1"/>
        <v>0</v>
      </c>
      <c r="M65" s="2"/>
      <c r="O65" s="19"/>
      <c r="P65" s="19"/>
      <c r="Q65" s="19"/>
      <c r="R65" s="21"/>
      <c r="S65" s="46"/>
      <c r="T65" s="44"/>
      <c r="U65" s="77"/>
      <c r="V65" s="30"/>
      <c r="W65" s="24"/>
      <c r="X65" s="193"/>
      <c r="Y65" s="15"/>
      <c r="AA65">
        <v>11</v>
      </c>
      <c r="AB65" s="487"/>
      <c r="AC65" s="90">
        <v>3</v>
      </c>
      <c r="AD65" s="97" t="s">
        <v>59</v>
      </c>
      <c r="AE65" s="39">
        <f t="shared" si="2"/>
        <v>0</v>
      </c>
      <c r="AF65" s="65">
        <f t="shared" si="3"/>
        <v>0</v>
      </c>
      <c r="AG65" s="65">
        <f t="shared" si="4"/>
        <v>0</v>
      </c>
      <c r="AH65" s="65">
        <f t="shared" si="5"/>
        <v>0</v>
      </c>
      <c r="AI65" s="104">
        <f t="shared" si="6"/>
        <v>0</v>
      </c>
      <c r="AJ65" s="115">
        <f t="shared" si="7"/>
        <v>0</v>
      </c>
      <c r="AK65" s="116">
        <f t="shared" si="8"/>
        <v>0</v>
      </c>
      <c r="AL65" s="116">
        <f t="shared" si="9"/>
        <v>0</v>
      </c>
      <c r="AM65" s="116">
        <f t="shared" si="10"/>
        <v>0</v>
      </c>
      <c r="AN65" s="117">
        <f t="shared" si="11"/>
        <v>0</v>
      </c>
      <c r="AO65" s="39">
        <f t="shared" si="12"/>
        <v>0</v>
      </c>
      <c r="AP65" s="65">
        <f t="shared" si="13"/>
        <v>0</v>
      </c>
      <c r="AQ65" s="65">
        <f t="shared" si="14"/>
        <v>0</v>
      </c>
      <c r="AR65" s="65">
        <f t="shared" si="15"/>
        <v>0</v>
      </c>
      <c r="AS65" s="65">
        <f t="shared" si="16"/>
        <v>0</v>
      </c>
    </row>
    <row r="66" spans="2:45" x14ac:dyDescent="0.25">
      <c r="B66" s="15">
        <v>64</v>
      </c>
      <c r="C66" s="8"/>
      <c r="E66" s="67"/>
      <c r="F66" s="16"/>
      <c r="G66" s="8"/>
      <c r="H66" s="8"/>
      <c r="I66" s="8"/>
      <c r="J66" s="9"/>
      <c r="K66" s="9">
        <f t="shared" si="0"/>
        <v>0</v>
      </c>
      <c r="L66" s="35">
        <f t="shared" si="1"/>
        <v>0</v>
      </c>
      <c r="M66" s="2"/>
      <c r="O66" s="19"/>
      <c r="P66" s="19"/>
      <c r="Q66" s="19"/>
      <c r="R66" s="21"/>
      <c r="S66" s="46"/>
      <c r="T66" s="44"/>
      <c r="U66" s="77"/>
      <c r="V66" s="30"/>
      <c r="W66" s="24"/>
      <c r="X66" s="193"/>
      <c r="Y66" s="15"/>
      <c r="AA66">
        <v>11</v>
      </c>
      <c r="AB66" s="487"/>
      <c r="AC66" s="90">
        <v>4</v>
      </c>
      <c r="AD66" s="97" t="s">
        <v>60</v>
      </c>
      <c r="AE66" s="39">
        <f t="shared" si="2"/>
        <v>0</v>
      </c>
      <c r="AF66" s="65">
        <f t="shared" si="3"/>
        <v>0</v>
      </c>
      <c r="AG66" s="65">
        <f t="shared" si="4"/>
        <v>0</v>
      </c>
      <c r="AH66" s="65">
        <f t="shared" si="5"/>
        <v>0</v>
      </c>
      <c r="AI66" s="104">
        <f t="shared" si="6"/>
        <v>0</v>
      </c>
      <c r="AJ66" s="115">
        <f t="shared" si="7"/>
        <v>0</v>
      </c>
      <c r="AK66" s="116">
        <f t="shared" si="8"/>
        <v>0</v>
      </c>
      <c r="AL66" s="116">
        <f t="shared" si="9"/>
        <v>0</v>
      </c>
      <c r="AM66" s="116">
        <f t="shared" si="10"/>
        <v>0</v>
      </c>
      <c r="AN66" s="117">
        <f t="shared" si="11"/>
        <v>0</v>
      </c>
      <c r="AO66" s="39">
        <f t="shared" si="12"/>
        <v>0</v>
      </c>
      <c r="AP66" s="65">
        <f t="shared" si="13"/>
        <v>0</v>
      </c>
      <c r="AQ66" s="65">
        <f t="shared" si="14"/>
        <v>0</v>
      </c>
      <c r="AR66" s="65">
        <f t="shared" si="15"/>
        <v>0</v>
      </c>
      <c r="AS66" s="65">
        <f t="shared" si="16"/>
        <v>0</v>
      </c>
    </row>
    <row r="67" spans="2:45" x14ac:dyDescent="0.25">
      <c r="B67" s="15">
        <v>65</v>
      </c>
      <c r="C67" s="8"/>
      <c r="E67" s="67"/>
      <c r="F67" s="16"/>
      <c r="G67" s="8"/>
      <c r="H67" s="8"/>
      <c r="I67" s="8"/>
      <c r="J67" s="9"/>
      <c r="K67" s="9">
        <f t="shared" ref="K67:K130" si="31">J67*1.1</f>
        <v>0</v>
      </c>
      <c r="L67" s="35">
        <f t="shared" ref="L67:L130" si="32">J67*0.00000001</f>
        <v>0</v>
      </c>
      <c r="M67" s="2"/>
      <c r="O67" s="19"/>
      <c r="P67" s="19"/>
      <c r="Q67" s="19"/>
      <c r="R67" s="21"/>
      <c r="S67" s="46"/>
      <c r="T67" s="44"/>
      <c r="U67" s="77"/>
      <c r="V67" s="30"/>
      <c r="W67" s="24"/>
      <c r="X67" s="193"/>
      <c r="Y67" s="15"/>
      <c r="AA67">
        <v>11</v>
      </c>
      <c r="AB67" s="487"/>
      <c r="AC67" s="91">
        <v>5</v>
      </c>
      <c r="AD67" s="100"/>
      <c r="AE67" s="39">
        <f t="shared" si="2"/>
        <v>0</v>
      </c>
      <c r="AF67" s="65">
        <f t="shared" si="3"/>
        <v>0</v>
      </c>
      <c r="AG67" s="65">
        <f t="shared" si="4"/>
        <v>0</v>
      </c>
      <c r="AH67" s="65">
        <f t="shared" si="5"/>
        <v>0</v>
      </c>
      <c r="AI67" s="104">
        <f t="shared" si="6"/>
        <v>0</v>
      </c>
      <c r="AJ67" s="115">
        <f t="shared" si="7"/>
        <v>0</v>
      </c>
      <c r="AK67" s="116">
        <f t="shared" si="8"/>
        <v>0</v>
      </c>
      <c r="AL67" s="116">
        <f t="shared" si="9"/>
        <v>0</v>
      </c>
      <c r="AM67" s="116">
        <f t="shared" si="10"/>
        <v>0</v>
      </c>
      <c r="AN67" s="117">
        <f t="shared" si="11"/>
        <v>0</v>
      </c>
      <c r="AO67" s="39">
        <f t="shared" si="12"/>
        <v>0</v>
      </c>
      <c r="AP67" s="65">
        <f t="shared" si="13"/>
        <v>0</v>
      </c>
      <c r="AQ67" s="65">
        <f t="shared" si="14"/>
        <v>0</v>
      </c>
      <c r="AR67" s="65">
        <f t="shared" si="15"/>
        <v>0</v>
      </c>
      <c r="AS67" s="65">
        <f t="shared" si="16"/>
        <v>0</v>
      </c>
    </row>
    <row r="68" spans="2:45" ht="14.25" thickBot="1" x14ac:dyDescent="0.3">
      <c r="B68" s="15">
        <v>66</v>
      </c>
      <c r="C68" s="8"/>
      <c r="E68" s="67"/>
      <c r="F68" s="16"/>
      <c r="G68" s="8"/>
      <c r="H68" s="8"/>
      <c r="I68" s="8"/>
      <c r="J68" s="9"/>
      <c r="K68" s="9">
        <f t="shared" si="31"/>
        <v>0</v>
      </c>
      <c r="L68" s="35">
        <f t="shared" si="32"/>
        <v>0</v>
      </c>
      <c r="M68" s="2"/>
      <c r="O68" s="19"/>
      <c r="P68" s="19"/>
      <c r="Q68" s="19"/>
      <c r="R68" s="21"/>
      <c r="S68" s="46"/>
      <c r="T68" s="44"/>
      <c r="U68" s="77"/>
      <c r="V68" s="30"/>
      <c r="W68" s="24"/>
      <c r="X68" s="193"/>
      <c r="Y68" s="15"/>
      <c r="AA68">
        <v>11</v>
      </c>
      <c r="AB68" s="488"/>
      <c r="AC68" s="92" t="s">
        <v>3</v>
      </c>
      <c r="AD68" s="101"/>
      <c r="AE68" s="94">
        <f t="shared" ref="AE68:AS68" si="33">SUM(AE63:AE67)</f>
        <v>0</v>
      </c>
      <c r="AF68" s="94">
        <f t="shared" si="33"/>
        <v>0</v>
      </c>
      <c r="AG68" s="94">
        <f t="shared" si="33"/>
        <v>0</v>
      </c>
      <c r="AH68" s="94">
        <f t="shared" si="33"/>
        <v>0</v>
      </c>
      <c r="AI68" s="105">
        <f t="shared" si="33"/>
        <v>0</v>
      </c>
      <c r="AJ68" s="118">
        <f t="shared" si="33"/>
        <v>0</v>
      </c>
      <c r="AK68" s="119">
        <f t="shared" si="33"/>
        <v>0</v>
      </c>
      <c r="AL68" s="119">
        <f t="shared" si="33"/>
        <v>0</v>
      </c>
      <c r="AM68" s="119">
        <f t="shared" si="33"/>
        <v>0</v>
      </c>
      <c r="AN68" s="120">
        <f t="shared" si="33"/>
        <v>0</v>
      </c>
      <c r="AO68" s="94">
        <f t="shared" si="33"/>
        <v>0</v>
      </c>
      <c r="AP68" s="94">
        <f t="shared" si="33"/>
        <v>0</v>
      </c>
      <c r="AQ68" s="94">
        <f t="shared" si="33"/>
        <v>0</v>
      </c>
      <c r="AR68" s="94">
        <f t="shared" si="33"/>
        <v>0</v>
      </c>
      <c r="AS68" s="94">
        <f t="shared" si="33"/>
        <v>0</v>
      </c>
    </row>
    <row r="69" spans="2:45" x14ac:dyDescent="0.25">
      <c r="B69" s="15">
        <v>67</v>
      </c>
      <c r="C69" s="8"/>
      <c r="E69" s="67"/>
      <c r="F69" s="16"/>
      <c r="G69" s="8"/>
      <c r="H69" s="8"/>
      <c r="I69" s="8"/>
      <c r="J69" s="9"/>
      <c r="K69" s="9">
        <f t="shared" si="31"/>
        <v>0</v>
      </c>
      <c r="L69" s="35">
        <f t="shared" si="32"/>
        <v>0</v>
      </c>
      <c r="M69" s="2"/>
      <c r="O69" s="19"/>
      <c r="P69" s="19"/>
      <c r="Q69" s="19"/>
      <c r="R69" s="21"/>
      <c r="S69" s="46"/>
      <c r="T69" s="44"/>
      <c r="U69" s="77"/>
      <c r="V69" s="30"/>
      <c r="W69" s="24"/>
      <c r="X69" s="193"/>
      <c r="Y69" s="15"/>
      <c r="AA69">
        <v>12</v>
      </c>
      <c r="AB69" s="493">
        <v>12</v>
      </c>
      <c r="AC69" s="93">
        <v>1</v>
      </c>
      <c r="AD69" s="102" t="s">
        <v>106</v>
      </c>
      <c r="AE69" s="39">
        <f>SUM(AF69:AI69)</f>
        <v>0</v>
      </c>
      <c r="AF69" s="65">
        <f>SUMIFS($I:$I,$C:$C, $AF$2,$G:$G,$AA69,$H:$H,$AC69)</f>
        <v>0</v>
      </c>
      <c r="AG69" s="65">
        <f>SUMIFS($I:$I,$C:$C, $AG$2,$G:$G,$AA69,$H:$H,$AC69)</f>
        <v>0</v>
      </c>
      <c r="AH69" s="65">
        <f>SUMIFS($I:$I,$C:$C, $AH$2,$G:$G,$AA69,$H:$H,$AC69)</f>
        <v>0</v>
      </c>
      <c r="AI69" s="104">
        <f>SUMIFS($I:$I,$C:$C, $AI$2,$G:$G,$AA69,$H:$H,$AC69)</f>
        <v>0</v>
      </c>
      <c r="AJ69" s="115">
        <f>SUM(AK69:AN69)</f>
        <v>0</v>
      </c>
      <c r="AK69" s="116">
        <f>COUNTIFS($C:$C, $AK$2,$G:$G,$AA69,$H:$H,$AC69)</f>
        <v>0</v>
      </c>
      <c r="AL69" s="116">
        <f>COUNTIFS($C:$C, $AL$2,$G:$G,$AA69,$H:$H,$AC69)</f>
        <v>0</v>
      </c>
      <c r="AM69" s="116">
        <f>COUNTIFS($C:$C, $AM$2,$G:$G,$AA69,$H:$H,$AC69)</f>
        <v>0</v>
      </c>
      <c r="AN69" s="117">
        <f>COUNTIFS($C:$C, $AN$2,$G:$G,$AA69,$H:$H,$AC69)</f>
        <v>0</v>
      </c>
      <c r="AO69" s="39">
        <f>SUM(AP69:AS69)</f>
        <v>0</v>
      </c>
      <c r="AP69" s="65">
        <f>SUMIFS($L:$L,$C:$C, $AP$2,$G:$G,$AA69,$H:$H,$AC69)</f>
        <v>0</v>
      </c>
      <c r="AQ69" s="65">
        <f>SUMIFS($L:$L,$C:$C, $AQ$2,$G:$G,$AA69,$H:$H,$AC69)</f>
        <v>0</v>
      </c>
      <c r="AR69" s="65">
        <f>SUMIFS($L:$L,$C:$C, $AR$2,$G:$G,$AA69,$H:$H,$AC69)</f>
        <v>0</v>
      </c>
      <c r="AS69" s="65">
        <f>SUMIFS($L:$L,$C:$C, $AS$2,$G:$G,$AA69,$H:$H,$AC69)</f>
        <v>0</v>
      </c>
    </row>
    <row r="70" spans="2:45" x14ac:dyDescent="0.25">
      <c r="B70" s="15">
        <v>68</v>
      </c>
      <c r="C70" s="8"/>
      <c r="E70" s="67"/>
      <c r="F70" s="16"/>
      <c r="G70" s="8"/>
      <c r="H70" s="8"/>
      <c r="I70" s="8"/>
      <c r="J70" s="9"/>
      <c r="K70" s="9">
        <f t="shared" si="31"/>
        <v>0</v>
      </c>
      <c r="L70" s="35">
        <f t="shared" si="32"/>
        <v>0</v>
      </c>
      <c r="M70" s="2"/>
      <c r="O70" s="19"/>
      <c r="P70" s="19"/>
      <c r="Q70" s="19"/>
      <c r="R70" s="21"/>
      <c r="S70" s="46"/>
      <c r="T70" s="44"/>
      <c r="U70" s="77"/>
      <c r="V70" s="30"/>
      <c r="W70" s="24"/>
      <c r="X70" s="193"/>
      <c r="Y70" s="15"/>
      <c r="AA70">
        <v>12</v>
      </c>
      <c r="AB70" s="487"/>
      <c r="AC70" s="90">
        <v>2</v>
      </c>
      <c r="AD70" s="97" t="s">
        <v>101</v>
      </c>
      <c r="AE70" s="39">
        <f>SUM(AF70:AI70)</f>
        <v>0</v>
      </c>
      <c r="AF70" s="65">
        <f>SUMIFS($I:$I,$C:$C, $AF$2,$G:$G,$AA70,$H:$H,$AC70)</f>
        <v>0</v>
      </c>
      <c r="AG70" s="65">
        <f>SUMIFS($I:$I,$C:$C, $AG$2,$G:$G,$AA70,$H:$H,$AC70)</f>
        <v>0</v>
      </c>
      <c r="AH70" s="65">
        <f>SUMIFS($I:$I,$C:$C, $AH$2,$G:$G,$AA70,$H:$H,$AC70)</f>
        <v>0</v>
      </c>
      <c r="AI70" s="104">
        <f>SUMIFS($I:$I,$C:$C, $AI$2,$G:$G,$AA70,$H:$H,$AC70)</f>
        <v>0</v>
      </c>
      <c r="AJ70" s="115">
        <f>SUM(AK70:AN70)</f>
        <v>0</v>
      </c>
      <c r="AK70" s="116">
        <f>COUNTIFS($C:$C, $AK$2,$G:$G,$AA70,$H:$H,$AC70)</f>
        <v>0</v>
      </c>
      <c r="AL70" s="116">
        <f>COUNTIFS($C:$C, $AL$2,$G:$G,$AA70,$H:$H,$AC70)</f>
        <v>0</v>
      </c>
      <c r="AM70" s="116">
        <f>COUNTIFS($C:$C, $AM$2,$G:$G,$AA70,$H:$H,$AC70)</f>
        <v>0</v>
      </c>
      <c r="AN70" s="117">
        <f>COUNTIFS($C:$C, $AN$2,$G:$G,$AA70,$H:$H,$AC70)</f>
        <v>0</v>
      </c>
      <c r="AO70" s="39">
        <f>SUM(AP70:AS70)</f>
        <v>0</v>
      </c>
      <c r="AP70" s="65">
        <f>SUMIFS($L:$L,$C:$C, $AP$2,$G:$G,$AA70,$H:$H,$AC70)</f>
        <v>0</v>
      </c>
      <c r="AQ70" s="65">
        <f>SUMIFS($L:$L,$C:$C, $AQ$2,$G:$G,$AA70,$H:$H,$AC70)</f>
        <v>0</v>
      </c>
      <c r="AR70" s="65">
        <f>SUMIFS($L:$L,$C:$C, $AR$2,$G:$G,$AA70,$H:$H,$AC70)</f>
        <v>0</v>
      </c>
      <c r="AS70" s="65">
        <f>SUMIFS($L:$L,$C:$C, $AS$2,$G:$G,$AA70,$H:$H,$AC70)</f>
        <v>0</v>
      </c>
    </row>
    <row r="71" spans="2:45" x14ac:dyDescent="0.25">
      <c r="B71" s="15">
        <v>69</v>
      </c>
      <c r="C71" s="8"/>
      <c r="E71" s="67"/>
      <c r="F71" s="16"/>
      <c r="G71" s="8"/>
      <c r="H71" s="8"/>
      <c r="I71" s="8"/>
      <c r="J71" s="9"/>
      <c r="K71" s="9">
        <f t="shared" si="31"/>
        <v>0</v>
      </c>
      <c r="L71" s="35">
        <f t="shared" si="32"/>
        <v>0</v>
      </c>
      <c r="M71" s="2"/>
      <c r="O71" s="19"/>
      <c r="P71" s="19"/>
      <c r="Q71" s="19"/>
      <c r="R71" s="21"/>
      <c r="S71" s="46"/>
      <c r="T71" s="44"/>
      <c r="U71" s="77"/>
      <c r="V71" s="30"/>
      <c r="W71" s="24"/>
      <c r="X71" s="193"/>
      <c r="Y71" s="15"/>
      <c r="AA71">
        <v>12</v>
      </c>
      <c r="AB71" s="487"/>
      <c r="AC71" s="90">
        <v>3</v>
      </c>
      <c r="AD71" s="97" t="s">
        <v>102</v>
      </c>
      <c r="AE71" s="39">
        <f>SUM(AF71:AI71)</f>
        <v>0</v>
      </c>
      <c r="AF71" s="65">
        <f>SUMIFS($I:$I,$C:$C, $AF$2,$G:$G,$AA71,$H:$H,$AC71)</f>
        <v>0</v>
      </c>
      <c r="AG71" s="65">
        <f>SUMIFS($I:$I,$C:$C, $AG$2,$G:$G,$AA71,$H:$H,$AC71)</f>
        <v>0</v>
      </c>
      <c r="AH71" s="65">
        <f>SUMIFS($I:$I,$C:$C, $AH$2,$G:$G,$AA71,$H:$H,$AC71)</f>
        <v>0</v>
      </c>
      <c r="AI71" s="104">
        <f>SUMIFS($I:$I,$C:$C, $AI$2,$G:$G,$AA71,$H:$H,$AC71)</f>
        <v>0</v>
      </c>
      <c r="AJ71" s="115">
        <f>SUM(AK71:AN71)</f>
        <v>0</v>
      </c>
      <c r="AK71" s="116">
        <f>COUNTIFS($C:$C, $AK$2,$G:$G,$AA71,$H:$H,$AC71)</f>
        <v>0</v>
      </c>
      <c r="AL71" s="116">
        <f>COUNTIFS($C:$C, $AL$2,$G:$G,$AA71,$H:$H,$AC71)</f>
        <v>0</v>
      </c>
      <c r="AM71" s="116">
        <f>COUNTIFS($C:$C, $AM$2,$G:$G,$AA71,$H:$H,$AC71)</f>
        <v>0</v>
      </c>
      <c r="AN71" s="117">
        <f>COUNTIFS($C:$C, $AN$2,$G:$G,$AA71,$H:$H,$AC71)</f>
        <v>0</v>
      </c>
      <c r="AO71" s="39">
        <f>SUM(AP71:AS71)</f>
        <v>0</v>
      </c>
      <c r="AP71" s="65">
        <f>SUMIFS($L:$L,$C:$C, $AP$2,$G:$G,$AA71,$H:$H,$AC71)</f>
        <v>0</v>
      </c>
      <c r="AQ71" s="65">
        <f>SUMIFS($L:$L,$C:$C, $AQ$2,$G:$G,$AA71,$H:$H,$AC71)</f>
        <v>0</v>
      </c>
      <c r="AR71" s="65">
        <f>SUMIFS($L:$L,$C:$C, $AR$2,$G:$G,$AA71,$H:$H,$AC71)</f>
        <v>0</v>
      </c>
      <c r="AS71" s="65">
        <f>SUMIFS($L:$L,$C:$C, $AS$2,$G:$G,$AA71,$H:$H,$AC71)</f>
        <v>0</v>
      </c>
    </row>
    <row r="72" spans="2:45" x14ac:dyDescent="0.25">
      <c r="B72" s="15">
        <v>70</v>
      </c>
      <c r="C72" s="8"/>
      <c r="E72" s="67"/>
      <c r="F72" s="16"/>
      <c r="G72" s="8"/>
      <c r="H72" s="8"/>
      <c r="I72" s="8"/>
      <c r="J72" s="9"/>
      <c r="K72" s="9">
        <f t="shared" si="31"/>
        <v>0</v>
      </c>
      <c r="L72" s="35">
        <f t="shared" si="32"/>
        <v>0</v>
      </c>
      <c r="M72" s="2"/>
      <c r="O72" s="19"/>
      <c r="P72" s="19"/>
      <c r="Q72" s="19"/>
      <c r="R72" s="21"/>
      <c r="S72" s="46"/>
      <c r="T72" s="44"/>
      <c r="U72" s="77"/>
      <c r="V72" s="30"/>
      <c r="W72" s="24"/>
      <c r="X72" s="193"/>
      <c r="Y72" s="15"/>
      <c r="AA72">
        <v>12</v>
      </c>
      <c r="AB72" s="487"/>
      <c r="AC72" s="90">
        <v>4</v>
      </c>
      <c r="AD72" s="97" t="s">
        <v>103</v>
      </c>
      <c r="AE72" s="39">
        <f>SUM(AF72:AI72)</f>
        <v>0</v>
      </c>
      <c r="AF72" s="65">
        <f>SUMIFS($I:$I,$C:$C, $AF$2,$G:$G,$AA72,$H:$H,$AC72)</f>
        <v>0</v>
      </c>
      <c r="AG72" s="65">
        <f>SUMIFS($I:$I,$C:$C, $AG$2,$G:$G,$AA72,$H:$H,$AC72)</f>
        <v>0</v>
      </c>
      <c r="AH72" s="65">
        <f>SUMIFS($I:$I,$C:$C, $AH$2,$G:$G,$AA72,$H:$H,$AC72)</f>
        <v>0</v>
      </c>
      <c r="AI72" s="104">
        <f>SUMIFS($I:$I,$C:$C, $AI$2,$G:$G,$AA72,$H:$H,$AC72)</f>
        <v>0</v>
      </c>
      <c r="AJ72" s="115">
        <f>SUM(AK72:AN72)</f>
        <v>0</v>
      </c>
      <c r="AK72" s="116">
        <f>COUNTIFS($C:$C, $AK$2,$G:$G,$AA72,$H:$H,$AC72)</f>
        <v>0</v>
      </c>
      <c r="AL72" s="116">
        <f>COUNTIFS($C:$C, $AL$2,$G:$G,$AA72,$H:$H,$AC72)</f>
        <v>0</v>
      </c>
      <c r="AM72" s="116">
        <f>COUNTIFS($C:$C, $AM$2,$G:$G,$AA72,$H:$H,$AC72)</f>
        <v>0</v>
      </c>
      <c r="AN72" s="117">
        <f>COUNTIFS($C:$C, $AN$2,$G:$G,$AA72,$H:$H,$AC72)</f>
        <v>0</v>
      </c>
      <c r="AO72" s="39">
        <f>SUM(AP72:AS72)</f>
        <v>0</v>
      </c>
      <c r="AP72" s="65">
        <f>SUMIFS($L:$L,$C:$C, $AP$2,$G:$G,$AA72,$H:$H,$AC72)</f>
        <v>0</v>
      </c>
      <c r="AQ72" s="65">
        <f>SUMIFS($L:$L,$C:$C, $AQ$2,$G:$G,$AA72,$H:$H,$AC72)</f>
        <v>0</v>
      </c>
      <c r="AR72" s="65">
        <f>SUMIFS($L:$L,$C:$C, $AR$2,$G:$G,$AA72,$H:$H,$AC72)</f>
        <v>0</v>
      </c>
      <c r="AS72" s="65">
        <f>SUMIFS($L:$L,$C:$C, $AS$2,$G:$G,$AA72,$H:$H,$AC72)</f>
        <v>0</v>
      </c>
    </row>
    <row r="73" spans="2:45" x14ac:dyDescent="0.25">
      <c r="B73" s="15">
        <v>71</v>
      </c>
      <c r="C73" s="8"/>
      <c r="E73" s="67"/>
      <c r="F73" s="16"/>
      <c r="G73" s="8"/>
      <c r="H73" s="8"/>
      <c r="I73" s="8"/>
      <c r="J73" s="9"/>
      <c r="K73" s="9">
        <f t="shared" si="31"/>
        <v>0</v>
      </c>
      <c r="L73" s="35">
        <f t="shared" si="32"/>
        <v>0</v>
      </c>
      <c r="M73" s="2"/>
      <c r="O73" s="19"/>
      <c r="P73" s="19"/>
      <c r="Q73" s="19"/>
      <c r="R73" s="21"/>
      <c r="S73" s="46"/>
      <c r="T73" s="44"/>
      <c r="U73" s="77"/>
      <c r="V73" s="24"/>
      <c r="W73" s="24"/>
      <c r="X73" s="193"/>
      <c r="Y73" s="15"/>
      <c r="AA73">
        <v>12</v>
      </c>
      <c r="AB73" s="487"/>
      <c r="AC73" s="91">
        <v>5</v>
      </c>
      <c r="AD73" s="100" t="s">
        <v>107</v>
      </c>
      <c r="AE73" s="39">
        <f>SUM(AF73:AI73)</f>
        <v>0</v>
      </c>
      <c r="AF73" s="65">
        <f>SUMIFS($I:$I,$C:$C, $AF$2,$G:$G,$AA73,$H:$H,$AC73)</f>
        <v>0</v>
      </c>
      <c r="AG73" s="65">
        <f>SUMIFS($I:$I,$C:$C, $AG$2,$G:$G,$AA73,$H:$H,$AC73)</f>
        <v>0</v>
      </c>
      <c r="AH73" s="65">
        <f>SUMIFS($I:$I,$C:$C, $AH$2,$G:$G,$AA73,$H:$H,$AC73)</f>
        <v>0</v>
      </c>
      <c r="AI73" s="104">
        <f>SUMIFS($I:$I,$C:$C, $AI$2,$G:$G,$AA73,$H:$H,$AC73)</f>
        <v>0</v>
      </c>
      <c r="AJ73" s="115">
        <f>SUM(AK73:AN73)</f>
        <v>0</v>
      </c>
      <c r="AK73" s="116">
        <f>COUNTIFS($C:$C, $AK$2,$G:$G,$AA73,$H:$H,$AC73)</f>
        <v>0</v>
      </c>
      <c r="AL73" s="116">
        <f>COUNTIFS($C:$C, $AL$2,$G:$G,$AA73,$H:$H,$AC73)</f>
        <v>0</v>
      </c>
      <c r="AM73" s="116">
        <f>COUNTIFS($C:$C, $AM$2,$G:$G,$AA73,$H:$H,$AC73)</f>
        <v>0</v>
      </c>
      <c r="AN73" s="117">
        <f>COUNTIFS($C:$C, $AN$2,$G:$G,$AA73,$H:$H,$AC73)</f>
        <v>0</v>
      </c>
      <c r="AO73" s="39">
        <f>SUM(AP73:AS73)</f>
        <v>0</v>
      </c>
      <c r="AP73" s="65">
        <f>SUMIFS($L:$L,$C:$C, $AP$2,$G:$G,$AA73,$H:$H,$AC73)</f>
        <v>0</v>
      </c>
      <c r="AQ73" s="65">
        <f>SUMIFS($L:$L,$C:$C, $AQ$2,$G:$G,$AA73,$H:$H,$AC73)</f>
        <v>0</v>
      </c>
      <c r="AR73" s="65">
        <f>SUMIFS($L:$L,$C:$C, $AR$2,$G:$G,$AA73,$H:$H,$AC73)</f>
        <v>0</v>
      </c>
      <c r="AS73" s="65">
        <f>SUMIFS($L:$L,$C:$C, $AS$2,$G:$G,$AA73,$H:$H,$AC73)</f>
        <v>0</v>
      </c>
    </row>
    <row r="74" spans="2:45" ht="14.25" thickBot="1" x14ac:dyDescent="0.3">
      <c r="B74" s="15">
        <v>72</v>
      </c>
      <c r="C74" s="8"/>
      <c r="E74" s="67"/>
      <c r="F74" s="16"/>
      <c r="G74" s="8"/>
      <c r="H74" s="8"/>
      <c r="I74" s="8"/>
      <c r="J74" s="9"/>
      <c r="K74" s="9">
        <f t="shared" si="31"/>
        <v>0</v>
      </c>
      <c r="L74" s="35">
        <f t="shared" si="32"/>
        <v>0</v>
      </c>
      <c r="M74" s="2"/>
      <c r="O74" s="19"/>
      <c r="P74" s="19"/>
      <c r="Q74" s="19"/>
      <c r="R74" s="21"/>
      <c r="S74" s="46"/>
      <c r="T74" s="44"/>
      <c r="U74" s="77"/>
      <c r="V74" s="24"/>
      <c r="W74" s="24"/>
      <c r="X74" s="193"/>
      <c r="Y74" s="15"/>
      <c r="AA74">
        <v>12</v>
      </c>
      <c r="AB74" s="488"/>
      <c r="AC74" s="92" t="s">
        <v>3</v>
      </c>
      <c r="AD74" s="101"/>
      <c r="AE74" s="94">
        <f>SUM(AE69:AE73)</f>
        <v>0</v>
      </c>
      <c r="AF74" s="94">
        <f t="shared" ref="AF74:AS74" si="34">SUM(AF69:AF73)</f>
        <v>0</v>
      </c>
      <c r="AG74" s="94">
        <f t="shared" si="34"/>
        <v>0</v>
      </c>
      <c r="AH74" s="94">
        <f t="shared" si="34"/>
        <v>0</v>
      </c>
      <c r="AI74" s="105">
        <f t="shared" si="34"/>
        <v>0</v>
      </c>
      <c r="AJ74" s="118">
        <f t="shared" si="34"/>
        <v>0</v>
      </c>
      <c r="AK74" s="119">
        <f t="shared" si="34"/>
        <v>0</v>
      </c>
      <c r="AL74" s="119">
        <f t="shared" si="34"/>
        <v>0</v>
      </c>
      <c r="AM74" s="119">
        <f t="shared" si="34"/>
        <v>0</v>
      </c>
      <c r="AN74" s="120">
        <f t="shared" si="34"/>
        <v>0</v>
      </c>
      <c r="AO74" s="94">
        <f t="shared" si="34"/>
        <v>0</v>
      </c>
      <c r="AP74" s="94">
        <f t="shared" si="34"/>
        <v>0</v>
      </c>
      <c r="AQ74" s="94">
        <f t="shared" si="34"/>
        <v>0</v>
      </c>
      <c r="AR74" s="94">
        <f t="shared" si="34"/>
        <v>0</v>
      </c>
      <c r="AS74" s="94">
        <f t="shared" si="34"/>
        <v>0</v>
      </c>
    </row>
    <row r="75" spans="2:45" ht="17.25" thickBot="1" x14ac:dyDescent="0.3">
      <c r="B75" s="15">
        <v>73</v>
      </c>
      <c r="C75" s="8"/>
      <c r="E75" s="67"/>
      <c r="F75" s="16"/>
      <c r="G75" s="8"/>
      <c r="H75" s="8"/>
      <c r="I75" s="8"/>
      <c r="J75" s="9"/>
      <c r="K75" s="9">
        <f t="shared" si="31"/>
        <v>0</v>
      </c>
      <c r="L75" s="35">
        <f t="shared" si="32"/>
        <v>0</v>
      </c>
      <c r="M75" s="2"/>
      <c r="O75" s="19"/>
      <c r="P75" s="19"/>
      <c r="Q75" s="19"/>
      <c r="R75" s="21"/>
      <c r="S75" s="46"/>
      <c r="T75" s="44"/>
      <c r="U75" s="77"/>
      <c r="V75" s="24"/>
      <c r="W75" s="24"/>
      <c r="X75" s="193"/>
      <c r="Y75" s="15"/>
      <c r="AB75" s="489" t="s">
        <v>31</v>
      </c>
      <c r="AC75" s="490"/>
      <c r="AD75" s="103"/>
      <c r="AE75" s="85">
        <f>SUM(AE8,AE14,AE20,AE26,AE32,AE38,AE44,AE50,AE56,AE62,AE68,AE74)</f>
        <v>3093.915</v>
      </c>
      <c r="AF75" s="85"/>
      <c r="AG75" s="85"/>
      <c r="AH75" s="86"/>
      <c r="AI75" s="86"/>
      <c r="AJ75" s="121"/>
      <c r="AK75" s="122"/>
      <c r="AL75" s="122"/>
      <c r="AM75" s="122"/>
      <c r="AN75" s="123"/>
      <c r="AO75" s="87"/>
      <c r="AP75" s="87"/>
      <c r="AQ75" s="87"/>
      <c r="AR75" s="87"/>
      <c r="AS75" s="88"/>
    </row>
    <row r="76" spans="2:45" x14ac:dyDescent="0.25">
      <c r="B76" s="15">
        <v>74</v>
      </c>
      <c r="C76" s="8"/>
      <c r="E76" s="67"/>
      <c r="F76" s="16"/>
      <c r="G76" s="8"/>
      <c r="H76" s="8"/>
      <c r="I76" s="8"/>
      <c r="J76" s="9"/>
      <c r="K76" s="9">
        <f t="shared" si="31"/>
        <v>0</v>
      </c>
      <c r="L76" s="35">
        <f t="shared" si="32"/>
        <v>0</v>
      </c>
      <c r="M76" s="2"/>
      <c r="O76" s="19"/>
      <c r="P76" s="19"/>
      <c r="Q76" s="19"/>
      <c r="R76" s="21"/>
      <c r="S76" s="46"/>
      <c r="T76" s="44"/>
      <c r="U76" s="77"/>
      <c r="V76" s="30"/>
      <c r="W76" s="24"/>
      <c r="X76" s="193"/>
      <c r="Y76" s="15"/>
    </row>
    <row r="77" spans="2:45" x14ac:dyDescent="0.25">
      <c r="B77" s="15">
        <v>75</v>
      </c>
      <c r="C77" s="8"/>
      <c r="E77" s="67"/>
      <c r="F77" s="16"/>
      <c r="G77" s="8"/>
      <c r="H77" s="8"/>
      <c r="I77" s="8"/>
      <c r="J77" s="9"/>
      <c r="K77" s="9">
        <f t="shared" si="31"/>
        <v>0</v>
      </c>
      <c r="L77" s="35">
        <f t="shared" si="32"/>
        <v>0</v>
      </c>
      <c r="M77" s="2"/>
      <c r="O77" s="19"/>
      <c r="P77" s="19"/>
      <c r="Q77" s="19"/>
      <c r="R77" s="21"/>
      <c r="S77" s="46"/>
      <c r="T77" s="44"/>
      <c r="U77" s="77"/>
      <c r="V77" s="24"/>
      <c r="W77" s="24"/>
      <c r="X77" s="193"/>
      <c r="Y77" s="15"/>
    </row>
    <row r="78" spans="2:45" x14ac:dyDescent="0.25">
      <c r="B78" s="15">
        <v>76</v>
      </c>
      <c r="C78" s="8"/>
      <c r="E78" s="67"/>
      <c r="F78" s="16"/>
      <c r="G78" s="8"/>
      <c r="H78" s="8"/>
      <c r="I78" s="8"/>
      <c r="J78" s="9"/>
      <c r="K78" s="9">
        <f t="shared" si="31"/>
        <v>0</v>
      </c>
      <c r="L78" s="35">
        <f t="shared" si="32"/>
        <v>0</v>
      </c>
      <c r="M78" s="2"/>
      <c r="O78" s="19"/>
      <c r="P78" s="19"/>
      <c r="Q78" s="19"/>
      <c r="R78" s="21"/>
      <c r="S78" s="46"/>
      <c r="T78" s="44"/>
      <c r="U78" s="77"/>
      <c r="V78" s="24"/>
      <c r="W78" s="24"/>
      <c r="X78" s="193"/>
      <c r="Y78" s="15"/>
    </row>
    <row r="79" spans="2:45" x14ac:dyDescent="0.25">
      <c r="B79" s="15">
        <v>77</v>
      </c>
      <c r="C79" s="8"/>
      <c r="E79" s="67"/>
      <c r="F79" s="16"/>
      <c r="G79" s="8"/>
      <c r="H79" s="8"/>
      <c r="I79" s="8"/>
      <c r="J79" s="9"/>
      <c r="K79" s="9">
        <f t="shared" si="31"/>
        <v>0</v>
      </c>
      <c r="L79" s="35">
        <f t="shared" si="32"/>
        <v>0</v>
      </c>
      <c r="M79" s="2"/>
      <c r="O79" s="19"/>
      <c r="P79" s="19"/>
      <c r="Q79" s="19"/>
      <c r="R79" s="21"/>
      <c r="S79" s="46"/>
      <c r="T79" s="44"/>
      <c r="U79" s="77"/>
      <c r="V79" s="24"/>
      <c r="W79" s="24"/>
      <c r="X79" s="193"/>
      <c r="Y79" s="15"/>
    </row>
    <row r="80" spans="2:45" x14ac:dyDescent="0.25">
      <c r="B80" s="15">
        <v>78</v>
      </c>
      <c r="C80" s="8"/>
      <c r="E80" s="67"/>
      <c r="F80" s="16"/>
      <c r="G80" s="8"/>
      <c r="H80" s="8"/>
      <c r="I80" s="8"/>
      <c r="J80" s="9"/>
      <c r="K80" s="9">
        <f t="shared" si="31"/>
        <v>0</v>
      </c>
      <c r="L80" s="35">
        <f t="shared" si="32"/>
        <v>0</v>
      </c>
      <c r="M80" s="2"/>
      <c r="O80" s="19"/>
      <c r="P80" s="19"/>
      <c r="Q80" s="19"/>
      <c r="R80" s="21"/>
      <c r="S80" s="46"/>
      <c r="T80" s="44"/>
      <c r="U80" s="77"/>
      <c r="V80" s="24"/>
      <c r="W80" s="24"/>
      <c r="X80" s="193"/>
      <c r="Y80" s="15"/>
    </row>
    <row r="81" spans="2:25" x14ac:dyDescent="0.25">
      <c r="B81" s="15">
        <v>79</v>
      </c>
      <c r="C81" s="8"/>
      <c r="E81" s="67"/>
      <c r="F81" s="16"/>
      <c r="G81" s="8"/>
      <c r="H81" s="8"/>
      <c r="I81" s="8"/>
      <c r="J81" s="9"/>
      <c r="K81" s="9">
        <f t="shared" si="31"/>
        <v>0</v>
      </c>
      <c r="L81" s="35">
        <f t="shared" si="32"/>
        <v>0</v>
      </c>
      <c r="M81" s="2"/>
      <c r="O81" s="19"/>
      <c r="P81" s="19"/>
      <c r="Q81" s="19"/>
      <c r="R81" s="21"/>
      <c r="S81" s="46"/>
      <c r="T81" s="44"/>
      <c r="U81" s="77"/>
      <c r="V81" s="24"/>
      <c r="W81" s="24"/>
      <c r="X81" s="193"/>
      <c r="Y81" s="15"/>
    </row>
    <row r="82" spans="2:25" x14ac:dyDescent="0.25">
      <c r="B82" s="15">
        <v>80</v>
      </c>
      <c r="C82" s="8"/>
      <c r="E82" s="67"/>
      <c r="F82" s="16"/>
      <c r="G82" s="8"/>
      <c r="H82" s="8"/>
      <c r="I82" s="8"/>
      <c r="J82" s="9"/>
      <c r="K82" s="9">
        <f t="shared" si="31"/>
        <v>0</v>
      </c>
      <c r="L82" s="35">
        <f t="shared" si="32"/>
        <v>0</v>
      </c>
      <c r="M82" s="2"/>
      <c r="O82" s="19"/>
      <c r="P82" s="19"/>
      <c r="Q82" s="19"/>
      <c r="R82" s="21"/>
      <c r="S82" s="46"/>
      <c r="T82" s="44"/>
      <c r="U82" s="77"/>
      <c r="V82" s="30"/>
      <c r="W82" s="24"/>
      <c r="X82" s="193"/>
      <c r="Y82" s="15"/>
    </row>
    <row r="83" spans="2:25" x14ac:dyDescent="0.25">
      <c r="B83" s="15">
        <v>81</v>
      </c>
      <c r="C83" s="8"/>
      <c r="E83" s="67"/>
      <c r="F83" s="16"/>
      <c r="G83" s="8"/>
      <c r="H83" s="8"/>
      <c r="I83" s="8"/>
      <c r="J83" s="9"/>
      <c r="K83" s="9">
        <f t="shared" si="31"/>
        <v>0</v>
      </c>
      <c r="L83" s="35">
        <f t="shared" si="32"/>
        <v>0</v>
      </c>
      <c r="M83" s="2"/>
      <c r="O83" s="19"/>
      <c r="P83" s="19"/>
      <c r="Q83" s="19"/>
      <c r="R83" s="21"/>
      <c r="S83" s="46"/>
      <c r="T83" s="44"/>
      <c r="U83" s="77"/>
      <c r="V83" s="24"/>
      <c r="W83" s="24"/>
      <c r="X83" s="193"/>
      <c r="Y83" s="15"/>
    </row>
    <row r="84" spans="2:25" x14ac:dyDescent="0.25">
      <c r="B84" s="15">
        <v>82</v>
      </c>
      <c r="C84" s="8"/>
      <c r="E84" s="67"/>
      <c r="F84" s="16"/>
      <c r="G84" s="8"/>
      <c r="H84" s="8"/>
      <c r="I84" s="8"/>
      <c r="J84" s="9"/>
      <c r="K84" s="9">
        <f t="shared" si="31"/>
        <v>0</v>
      </c>
      <c r="L84" s="35">
        <f t="shared" si="32"/>
        <v>0</v>
      </c>
      <c r="M84" s="2"/>
      <c r="O84" s="19"/>
      <c r="P84" s="19"/>
      <c r="Q84" s="19"/>
      <c r="R84" s="21"/>
      <c r="S84" s="46"/>
      <c r="T84" s="44"/>
      <c r="U84" s="77"/>
      <c r="V84" s="24"/>
      <c r="W84" s="24"/>
      <c r="X84" s="193"/>
      <c r="Y84" s="15"/>
    </row>
    <row r="85" spans="2:25" x14ac:dyDescent="0.25">
      <c r="B85" s="15">
        <v>83</v>
      </c>
      <c r="C85" s="8"/>
      <c r="E85" s="67"/>
      <c r="F85" s="16"/>
      <c r="G85" s="8"/>
      <c r="H85" s="8"/>
      <c r="I85" s="8"/>
      <c r="J85" s="9"/>
      <c r="K85" s="9">
        <f t="shared" si="31"/>
        <v>0</v>
      </c>
      <c r="L85" s="35">
        <f t="shared" si="32"/>
        <v>0</v>
      </c>
      <c r="M85" s="2"/>
      <c r="O85" s="19"/>
      <c r="P85" s="19"/>
      <c r="Q85" s="19"/>
      <c r="R85" s="21"/>
      <c r="S85" s="46"/>
      <c r="T85" s="44"/>
      <c r="U85" s="77"/>
      <c r="V85" s="24"/>
      <c r="W85" s="24"/>
      <c r="X85" s="193"/>
      <c r="Y85" s="15"/>
    </row>
    <row r="86" spans="2:25" x14ac:dyDescent="0.25">
      <c r="B86" s="15">
        <v>84</v>
      </c>
      <c r="C86" s="8"/>
      <c r="E86" s="67"/>
      <c r="F86" s="16"/>
      <c r="G86" s="8"/>
      <c r="H86" s="8"/>
      <c r="I86" s="8"/>
      <c r="J86" s="9"/>
      <c r="K86" s="9">
        <f t="shared" si="31"/>
        <v>0</v>
      </c>
      <c r="L86" s="35">
        <f t="shared" si="32"/>
        <v>0</v>
      </c>
      <c r="M86" s="2"/>
      <c r="O86" s="19"/>
      <c r="P86" s="19"/>
      <c r="Q86" s="19"/>
      <c r="R86" s="21"/>
      <c r="S86" s="46"/>
      <c r="T86" s="44"/>
      <c r="U86" s="77"/>
      <c r="V86" s="24"/>
      <c r="W86" s="24"/>
      <c r="X86" s="193"/>
      <c r="Y86" s="15"/>
    </row>
    <row r="87" spans="2:25" x14ac:dyDescent="0.25">
      <c r="B87" s="15">
        <v>85</v>
      </c>
      <c r="C87" s="8"/>
      <c r="E87" s="67"/>
      <c r="F87" s="16"/>
      <c r="G87" s="8"/>
      <c r="H87" s="8"/>
      <c r="I87" s="8"/>
      <c r="J87" s="9"/>
      <c r="K87" s="9">
        <f t="shared" si="31"/>
        <v>0</v>
      </c>
      <c r="L87" s="35">
        <f t="shared" si="32"/>
        <v>0</v>
      </c>
      <c r="M87" s="2"/>
      <c r="O87" s="19"/>
      <c r="P87" s="19"/>
      <c r="Q87" s="19"/>
      <c r="R87" s="21"/>
      <c r="S87" s="46"/>
      <c r="T87" s="44"/>
      <c r="U87" s="77"/>
      <c r="V87" s="24"/>
      <c r="W87" s="24"/>
      <c r="X87" s="193"/>
      <c r="Y87" s="15"/>
    </row>
    <row r="88" spans="2:25" x14ac:dyDescent="0.25">
      <c r="B88" s="15">
        <v>86</v>
      </c>
      <c r="C88" s="8"/>
      <c r="E88" s="67"/>
      <c r="F88" s="16"/>
      <c r="G88" s="8"/>
      <c r="H88" s="8"/>
      <c r="I88" s="8"/>
      <c r="J88" s="9"/>
      <c r="K88" s="9">
        <f t="shared" si="31"/>
        <v>0</v>
      </c>
      <c r="L88" s="35">
        <f t="shared" si="32"/>
        <v>0</v>
      </c>
      <c r="M88" s="2"/>
      <c r="O88" s="19"/>
      <c r="P88" s="19"/>
      <c r="Q88" s="19"/>
      <c r="R88" s="21"/>
      <c r="S88" s="46"/>
      <c r="T88" s="44"/>
      <c r="U88" s="77"/>
      <c r="V88" s="30"/>
      <c r="W88" s="24"/>
      <c r="X88" s="193"/>
      <c r="Y88" s="15"/>
    </row>
    <row r="89" spans="2:25" x14ac:dyDescent="0.25">
      <c r="B89" s="15">
        <v>87</v>
      </c>
      <c r="C89" s="8"/>
      <c r="E89" s="67"/>
      <c r="F89" s="16"/>
      <c r="G89" s="8"/>
      <c r="H89" s="8"/>
      <c r="I89" s="8"/>
      <c r="J89" s="9"/>
      <c r="K89" s="9">
        <f t="shared" si="31"/>
        <v>0</v>
      </c>
      <c r="L89" s="35">
        <f t="shared" si="32"/>
        <v>0</v>
      </c>
      <c r="M89" s="2"/>
      <c r="O89" s="19"/>
      <c r="P89" s="19"/>
      <c r="Q89" s="19"/>
      <c r="R89" s="21"/>
      <c r="S89" s="46"/>
      <c r="T89" s="44"/>
      <c r="U89" s="77"/>
      <c r="V89" s="30"/>
      <c r="W89" s="24"/>
      <c r="X89" s="193"/>
      <c r="Y89" s="15"/>
    </row>
    <row r="90" spans="2:25" x14ac:dyDescent="0.25">
      <c r="B90" s="15">
        <v>88</v>
      </c>
      <c r="C90" s="8"/>
      <c r="E90" s="67"/>
      <c r="F90" s="16"/>
      <c r="G90" s="8"/>
      <c r="H90" s="8"/>
      <c r="I90" s="8"/>
      <c r="J90" s="9"/>
      <c r="K90" s="9">
        <f t="shared" si="31"/>
        <v>0</v>
      </c>
      <c r="L90" s="35">
        <f t="shared" si="32"/>
        <v>0</v>
      </c>
      <c r="M90" s="2"/>
      <c r="O90" s="19"/>
      <c r="P90" s="19"/>
      <c r="Q90" s="19"/>
      <c r="R90" s="21"/>
      <c r="S90" s="46"/>
      <c r="T90" s="44"/>
      <c r="U90" s="77"/>
      <c r="V90" s="24"/>
      <c r="W90" s="24"/>
      <c r="X90" s="193"/>
      <c r="Y90" s="15"/>
    </row>
    <row r="91" spans="2:25" x14ac:dyDescent="0.25">
      <c r="B91" s="15">
        <v>89</v>
      </c>
      <c r="C91" s="8"/>
      <c r="E91" s="67"/>
      <c r="F91" s="16"/>
      <c r="G91" s="8"/>
      <c r="H91" s="8"/>
      <c r="I91" s="8"/>
      <c r="J91" s="9"/>
      <c r="K91" s="9">
        <f t="shared" si="31"/>
        <v>0</v>
      </c>
      <c r="L91" s="35">
        <f t="shared" si="32"/>
        <v>0</v>
      </c>
      <c r="M91" s="2"/>
      <c r="O91" s="19"/>
      <c r="P91" s="19"/>
      <c r="Q91" s="19"/>
      <c r="R91" s="21"/>
      <c r="S91" s="46"/>
      <c r="T91" s="44"/>
      <c r="U91" s="77"/>
      <c r="V91" s="24"/>
      <c r="W91" s="24"/>
      <c r="X91" s="193"/>
      <c r="Y91" s="15"/>
    </row>
    <row r="92" spans="2:25" x14ac:dyDescent="0.25">
      <c r="B92" s="15">
        <v>90</v>
      </c>
      <c r="C92" s="8"/>
      <c r="E92" s="67"/>
      <c r="F92" s="16"/>
      <c r="G92" s="8"/>
      <c r="H92" s="8"/>
      <c r="I92" s="8"/>
      <c r="J92" s="9"/>
      <c r="K92" s="9">
        <f t="shared" si="31"/>
        <v>0</v>
      </c>
      <c r="L92" s="35">
        <f t="shared" si="32"/>
        <v>0</v>
      </c>
      <c r="M92" s="2"/>
      <c r="O92" s="19"/>
      <c r="P92" s="19"/>
      <c r="Q92" s="19"/>
      <c r="R92" s="21"/>
      <c r="S92" s="46"/>
      <c r="T92" s="44"/>
      <c r="U92" s="77"/>
      <c r="V92" s="24"/>
      <c r="W92" s="24"/>
      <c r="X92" s="193"/>
      <c r="Y92" s="15"/>
    </row>
    <row r="93" spans="2:25" x14ac:dyDescent="0.25">
      <c r="B93" s="15">
        <v>91</v>
      </c>
      <c r="C93" s="8"/>
      <c r="E93" s="67"/>
      <c r="F93" s="16"/>
      <c r="G93" s="8"/>
      <c r="H93" s="8"/>
      <c r="I93" s="8"/>
      <c r="J93" s="9"/>
      <c r="K93" s="9">
        <f t="shared" si="31"/>
        <v>0</v>
      </c>
      <c r="L93" s="35">
        <f t="shared" si="32"/>
        <v>0</v>
      </c>
      <c r="M93" s="2"/>
      <c r="O93" s="19"/>
      <c r="P93" s="19"/>
      <c r="Q93" s="19"/>
      <c r="R93" s="21"/>
      <c r="S93" s="46"/>
      <c r="T93" s="44"/>
      <c r="U93" s="77"/>
      <c r="V93" s="24"/>
      <c r="W93" s="24"/>
      <c r="X93" s="193"/>
      <c r="Y93" s="15"/>
    </row>
    <row r="94" spans="2:25" x14ac:dyDescent="0.25">
      <c r="B94" s="15">
        <v>92</v>
      </c>
      <c r="C94" s="8"/>
      <c r="E94" s="67"/>
      <c r="F94" s="16"/>
      <c r="G94" s="8"/>
      <c r="H94" s="8"/>
      <c r="I94" s="8"/>
      <c r="J94" s="9"/>
      <c r="K94" s="9">
        <f t="shared" si="31"/>
        <v>0</v>
      </c>
      <c r="L94" s="35">
        <f t="shared" si="32"/>
        <v>0</v>
      </c>
      <c r="M94" s="2"/>
      <c r="O94" s="19"/>
      <c r="P94" s="19"/>
      <c r="Q94" s="19"/>
      <c r="R94" s="21"/>
      <c r="S94" s="46"/>
      <c r="T94" s="44"/>
      <c r="U94" s="77"/>
      <c r="V94" s="24"/>
      <c r="W94" s="24"/>
      <c r="X94" s="193"/>
      <c r="Y94" s="15"/>
    </row>
    <row r="95" spans="2:25" x14ac:dyDescent="0.25">
      <c r="B95" s="15">
        <v>93</v>
      </c>
      <c r="C95" s="8"/>
      <c r="E95" s="67"/>
      <c r="F95" s="16"/>
      <c r="G95" s="8"/>
      <c r="H95" s="8"/>
      <c r="I95" s="8"/>
      <c r="J95" s="9"/>
      <c r="K95" s="9">
        <f t="shared" si="31"/>
        <v>0</v>
      </c>
      <c r="L95" s="35">
        <f t="shared" si="32"/>
        <v>0</v>
      </c>
      <c r="M95" s="2"/>
      <c r="O95" s="19"/>
      <c r="P95" s="19"/>
      <c r="Q95" s="19"/>
      <c r="R95" s="46"/>
      <c r="S95" s="46"/>
      <c r="T95" s="44"/>
      <c r="U95" s="77"/>
      <c r="V95" s="30"/>
      <c r="W95" s="24"/>
      <c r="X95" s="193"/>
      <c r="Y95" s="15"/>
    </row>
    <row r="96" spans="2:25" x14ac:dyDescent="0.25">
      <c r="B96" s="15">
        <v>94</v>
      </c>
      <c r="C96" s="8"/>
      <c r="E96" s="67"/>
      <c r="F96" s="16"/>
      <c r="G96" s="8"/>
      <c r="H96" s="8"/>
      <c r="I96" s="8"/>
      <c r="J96" s="9"/>
      <c r="K96" s="9">
        <f t="shared" si="31"/>
        <v>0</v>
      </c>
      <c r="L96" s="35">
        <f t="shared" si="32"/>
        <v>0</v>
      </c>
      <c r="M96" s="2"/>
      <c r="O96" s="19"/>
      <c r="P96" s="19"/>
      <c r="Q96" s="19"/>
      <c r="R96" s="254"/>
      <c r="S96" s="46"/>
      <c r="T96" s="44"/>
      <c r="U96" s="77"/>
      <c r="V96" s="30"/>
      <c r="W96" s="24"/>
      <c r="X96" s="193"/>
      <c r="Y96" s="15"/>
    </row>
    <row r="97" spans="2:25" x14ac:dyDescent="0.25">
      <c r="B97" s="15">
        <v>95</v>
      </c>
      <c r="C97" s="8"/>
      <c r="E97" s="67"/>
      <c r="F97" s="16"/>
      <c r="G97" s="8"/>
      <c r="H97" s="8"/>
      <c r="I97" s="8"/>
      <c r="J97" s="9"/>
      <c r="K97" s="9">
        <f t="shared" si="31"/>
        <v>0</v>
      </c>
      <c r="L97" s="35">
        <f t="shared" si="32"/>
        <v>0</v>
      </c>
      <c r="M97" s="2"/>
      <c r="O97" s="19"/>
      <c r="P97" s="19"/>
      <c r="Q97" s="19"/>
      <c r="R97" s="21"/>
      <c r="S97" s="46"/>
      <c r="T97" s="44"/>
      <c r="U97" s="77"/>
      <c r="V97" s="30"/>
      <c r="W97" s="24"/>
      <c r="X97" s="193"/>
      <c r="Y97" s="15"/>
    </row>
    <row r="98" spans="2:25" x14ac:dyDescent="0.25">
      <c r="B98" s="15">
        <v>96</v>
      </c>
      <c r="C98" s="8"/>
      <c r="E98" s="67"/>
      <c r="F98" s="16"/>
      <c r="G98" s="8"/>
      <c r="H98" s="8"/>
      <c r="I98" s="8"/>
      <c r="J98" s="9"/>
      <c r="K98" s="9">
        <f t="shared" si="31"/>
        <v>0</v>
      </c>
      <c r="L98" s="35">
        <f t="shared" si="32"/>
        <v>0</v>
      </c>
      <c r="M98" s="2"/>
      <c r="O98" s="19"/>
      <c r="P98" s="19"/>
      <c r="Q98" s="19"/>
      <c r="R98" s="21"/>
      <c r="S98" s="46"/>
      <c r="T98" s="44"/>
      <c r="U98" s="77"/>
      <c r="V98" s="24"/>
      <c r="W98" s="24"/>
      <c r="X98" s="193"/>
      <c r="Y98" s="15"/>
    </row>
    <row r="99" spans="2:25" x14ac:dyDescent="0.25">
      <c r="B99" s="15">
        <v>97</v>
      </c>
      <c r="C99" s="8"/>
      <c r="E99" s="67"/>
      <c r="F99" s="16"/>
      <c r="G99" s="8"/>
      <c r="H99" s="8"/>
      <c r="I99" s="8"/>
      <c r="J99" s="9"/>
      <c r="K99" s="9">
        <f t="shared" si="31"/>
        <v>0</v>
      </c>
      <c r="L99" s="35">
        <f t="shared" si="32"/>
        <v>0</v>
      </c>
      <c r="M99" s="2"/>
      <c r="O99" s="19"/>
      <c r="P99" s="19"/>
      <c r="Q99" s="19"/>
      <c r="R99" s="21"/>
      <c r="S99" s="46"/>
      <c r="T99" s="44"/>
      <c r="U99" s="77"/>
      <c r="V99" s="24"/>
      <c r="W99" s="24"/>
      <c r="X99" s="193"/>
      <c r="Y99" s="15"/>
    </row>
    <row r="100" spans="2:25" x14ac:dyDescent="0.25">
      <c r="B100" s="15">
        <v>98</v>
      </c>
      <c r="C100" s="8"/>
      <c r="E100" s="67"/>
      <c r="F100" s="16"/>
      <c r="G100" s="8"/>
      <c r="H100" s="8"/>
      <c r="I100" s="8"/>
      <c r="J100" s="9"/>
      <c r="K100" s="9">
        <f t="shared" si="31"/>
        <v>0</v>
      </c>
      <c r="L100" s="35">
        <f t="shared" si="32"/>
        <v>0</v>
      </c>
      <c r="M100" s="2"/>
      <c r="O100" s="19"/>
      <c r="P100" s="19"/>
      <c r="Q100" s="19"/>
      <c r="R100" s="21"/>
      <c r="S100" s="46"/>
      <c r="T100" s="44"/>
      <c r="U100" s="77"/>
      <c r="V100" s="24"/>
      <c r="W100" s="24"/>
      <c r="X100" s="193"/>
      <c r="Y100" s="15"/>
    </row>
    <row r="101" spans="2:25" x14ac:dyDescent="0.25">
      <c r="B101" s="15">
        <v>99</v>
      </c>
      <c r="C101" s="8"/>
      <c r="E101" s="67"/>
      <c r="F101" s="16"/>
      <c r="G101" s="8"/>
      <c r="H101" s="8"/>
      <c r="I101" s="8"/>
      <c r="J101" s="9"/>
      <c r="K101" s="9">
        <f t="shared" si="31"/>
        <v>0</v>
      </c>
      <c r="L101" s="35">
        <f t="shared" si="32"/>
        <v>0</v>
      </c>
      <c r="M101" s="2"/>
      <c r="O101" s="19"/>
      <c r="P101" s="19"/>
      <c r="Q101" s="19"/>
      <c r="R101" s="21"/>
      <c r="S101" s="46"/>
      <c r="T101" s="44"/>
      <c r="U101" s="77"/>
      <c r="V101" s="24"/>
      <c r="W101" s="24"/>
      <c r="X101" s="193"/>
      <c r="Y101" s="15"/>
    </row>
    <row r="102" spans="2:25" x14ac:dyDescent="0.25">
      <c r="B102" s="15">
        <v>100</v>
      </c>
      <c r="C102" s="8"/>
      <c r="E102" s="67"/>
      <c r="F102" s="16"/>
      <c r="G102" s="8"/>
      <c r="H102" s="8"/>
      <c r="I102" s="8"/>
      <c r="J102" s="9"/>
      <c r="K102" s="9">
        <f t="shared" si="31"/>
        <v>0</v>
      </c>
      <c r="L102" s="35">
        <f t="shared" si="32"/>
        <v>0</v>
      </c>
      <c r="M102" s="2"/>
      <c r="O102" s="19"/>
      <c r="P102" s="19"/>
      <c r="Q102" s="19"/>
      <c r="R102" s="21"/>
      <c r="S102" s="46"/>
      <c r="T102" s="44"/>
      <c r="U102" s="77"/>
      <c r="V102" s="24"/>
      <c r="W102" s="24"/>
      <c r="X102" s="193"/>
      <c r="Y102" s="15"/>
    </row>
    <row r="103" spans="2:25" x14ac:dyDescent="0.25">
      <c r="B103" s="15">
        <v>101</v>
      </c>
      <c r="C103" s="8"/>
      <c r="E103" s="67"/>
      <c r="F103" s="16"/>
      <c r="G103" s="8"/>
      <c r="H103" s="8"/>
      <c r="I103" s="8"/>
      <c r="J103" s="9"/>
      <c r="K103" s="9">
        <f t="shared" si="31"/>
        <v>0</v>
      </c>
      <c r="L103" s="35">
        <f t="shared" si="32"/>
        <v>0</v>
      </c>
      <c r="M103" s="2"/>
      <c r="O103" s="19"/>
      <c r="P103" s="19"/>
      <c r="Q103" s="19"/>
      <c r="R103" s="21"/>
      <c r="S103" s="46"/>
      <c r="T103" s="44"/>
      <c r="U103" s="77"/>
      <c r="V103" s="30"/>
      <c r="W103" s="24"/>
      <c r="X103" s="193"/>
      <c r="Y103" s="15"/>
    </row>
    <row r="104" spans="2:25" x14ac:dyDescent="0.25">
      <c r="B104" s="15">
        <v>102</v>
      </c>
      <c r="C104" s="8"/>
      <c r="E104" s="67"/>
      <c r="F104" s="16"/>
      <c r="G104" s="8"/>
      <c r="H104" s="8"/>
      <c r="I104" s="8"/>
      <c r="J104" s="9"/>
      <c r="K104" s="9">
        <f t="shared" si="31"/>
        <v>0</v>
      </c>
      <c r="L104" s="35">
        <f t="shared" si="32"/>
        <v>0</v>
      </c>
      <c r="M104" s="2"/>
      <c r="O104" s="19"/>
      <c r="P104" s="19"/>
      <c r="Q104" s="19"/>
      <c r="R104" s="21"/>
      <c r="S104" s="46"/>
      <c r="T104" s="44"/>
      <c r="U104" s="77"/>
      <c r="V104" s="24"/>
      <c r="W104" s="24"/>
      <c r="X104" s="193"/>
      <c r="Y104" s="15"/>
    </row>
    <row r="105" spans="2:25" x14ac:dyDescent="0.25">
      <c r="B105" s="15">
        <v>103</v>
      </c>
      <c r="C105" s="8"/>
      <c r="E105" s="67"/>
      <c r="F105" s="16"/>
      <c r="G105" s="8"/>
      <c r="H105" s="8"/>
      <c r="I105" s="8"/>
      <c r="J105" s="9"/>
      <c r="K105" s="9">
        <f t="shared" si="31"/>
        <v>0</v>
      </c>
      <c r="L105" s="35">
        <f t="shared" si="32"/>
        <v>0</v>
      </c>
      <c r="M105" s="2"/>
      <c r="O105" s="19"/>
      <c r="P105" s="19"/>
      <c r="Q105" s="19"/>
      <c r="R105" s="21"/>
      <c r="S105" s="46"/>
      <c r="T105" s="44"/>
      <c r="U105" s="77"/>
      <c r="V105" s="24"/>
      <c r="W105" s="24"/>
      <c r="X105" s="193"/>
      <c r="Y105" s="15"/>
    </row>
    <row r="106" spans="2:25" x14ac:dyDescent="0.25">
      <c r="B106" s="15">
        <v>104</v>
      </c>
      <c r="C106" s="8"/>
      <c r="E106" s="67"/>
      <c r="F106" s="255"/>
      <c r="G106" s="8"/>
      <c r="H106" s="8"/>
      <c r="I106" s="8"/>
      <c r="J106" s="9"/>
      <c r="K106" s="9">
        <f t="shared" si="31"/>
        <v>0</v>
      </c>
      <c r="L106" s="35">
        <f t="shared" si="32"/>
        <v>0</v>
      </c>
      <c r="M106" s="2"/>
      <c r="O106" s="19"/>
      <c r="P106" s="19"/>
      <c r="Q106" s="19"/>
      <c r="R106" s="21"/>
      <c r="S106" s="46"/>
      <c r="T106" s="44"/>
      <c r="U106" s="77"/>
      <c r="V106" s="24"/>
      <c r="W106" s="24"/>
      <c r="X106" s="193"/>
      <c r="Y106" s="15"/>
    </row>
    <row r="107" spans="2:25" x14ac:dyDescent="0.25">
      <c r="B107" s="15">
        <v>105</v>
      </c>
      <c r="C107" s="8"/>
      <c r="E107" s="67"/>
      <c r="F107" s="16"/>
      <c r="G107" s="8"/>
      <c r="H107" s="8"/>
      <c r="I107" s="8"/>
      <c r="J107" s="9"/>
      <c r="K107" s="9">
        <f t="shared" si="31"/>
        <v>0</v>
      </c>
      <c r="L107" s="35">
        <f t="shared" si="32"/>
        <v>0</v>
      </c>
      <c r="M107" s="2"/>
      <c r="O107" s="19"/>
      <c r="P107" s="19"/>
      <c r="Q107" s="19"/>
      <c r="R107" s="21"/>
      <c r="S107" s="46"/>
      <c r="T107" s="44"/>
      <c r="U107" s="77"/>
      <c r="V107" s="24"/>
      <c r="W107" s="24"/>
      <c r="X107" s="193"/>
      <c r="Y107" s="15"/>
    </row>
    <row r="108" spans="2:25" x14ac:dyDescent="0.25">
      <c r="B108" s="15">
        <v>106</v>
      </c>
      <c r="C108" s="8"/>
      <c r="E108" s="67"/>
      <c r="F108" s="16"/>
      <c r="G108" s="8"/>
      <c r="H108" s="8"/>
      <c r="I108" s="8"/>
      <c r="J108" s="9"/>
      <c r="K108" s="9">
        <f t="shared" si="31"/>
        <v>0</v>
      </c>
      <c r="L108" s="35">
        <f t="shared" si="32"/>
        <v>0</v>
      </c>
      <c r="M108" s="2"/>
      <c r="O108" s="19"/>
      <c r="P108" s="19"/>
      <c r="Q108" s="19"/>
      <c r="R108" s="21"/>
      <c r="S108" s="46"/>
      <c r="T108" s="44"/>
      <c r="U108" s="77"/>
      <c r="V108" s="24"/>
      <c r="W108" s="24"/>
      <c r="X108" s="193"/>
      <c r="Y108" s="15"/>
    </row>
    <row r="109" spans="2:25" x14ac:dyDescent="0.25">
      <c r="B109" s="15">
        <v>107</v>
      </c>
      <c r="C109" s="8"/>
      <c r="E109" s="67"/>
      <c r="F109" s="16"/>
      <c r="G109" s="8"/>
      <c r="H109" s="8"/>
      <c r="I109" s="8"/>
      <c r="J109" s="9"/>
      <c r="K109" s="9">
        <f t="shared" si="31"/>
        <v>0</v>
      </c>
      <c r="L109" s="35">
        <f t="shared" si="32"/>
        <v>0</v>
      </c>
      <c r="M109" s="2"/>
      <c r="O109" s="19"/>
      <c r="P109" s="19"/>
      <c r="Q109" s="19"/>
      <c r="R109" s="21"/>
      <c r="S109" s="46"/>
      <c r="T109" s="44"/>
      <c r="U109" s="77"/>
      <c r="V109" s="30"/>
      <c r="W109" s="24"/>
      <c r="X109" s="193"/>
      <c r="Y109" s="15"/>
    </row>
    <row r="110" spans="2:25" x14ac:dyDescent="0.25">
      <c r="B110" s="15">
        <v>108</v>
      </c>
      <c r="C110" s="8"/>
      <c r="E110" s="67"/>
      <c r="F110" s="16"/>
      <c r="G110" s="8"/>
      <c r="H110" s="8"/>
      <c r="I110" s="8"/>
      <c r="J110" s="9"/>
      <c r="K110" s="9">
        <f t="shared" si="31"/>
        <v>0</v>
      </c>
      <c r="L110" s="35">
        <f t="shared" si="32"/>
        <v>0</v>
      </c>
      <c r="M110" s="2"/>
      <c r="O110" s="19"/>
      <c r="P110" s="19"/>
      <c r="Q110" s="19"/>
      <c r="R110" s="21"/>
      <c r="S110" s="46"/>
      <c r="T110" s="44"/>
      <c r="U110" s="77"/>
      <c r="V110" s="30"/>
      <c r="W110" s="24"/>
      <c r="X110" s="193"/>
      <c r="Y110" s="15"/>
    </row>
    <row r="111" spans="2:25" x14ac:dyDescent="0.25">
      <c r="B111" s="15">
        <v>109</v>
      </c>
      <c r="C111" s="8"/>
      <c r="E111" s="67"/>
      <c r="F111" s="16"/>
      <c r="G111" s="8"/>
      <c r="H111" s="8"/>
      <c r="I111" s="8"/>
      <c r="J111" s="9"/>
      <c r="K111" s="9">
        <f t="shared" si="31"/>
        <v>0</v>
      </c>
      <c r="L111" s="35">
        <f t="shared" si="32"/>
        <v>0</v>
      </c>
      <c r="M111" s="2"/>
      <c r="O111" s="19"/>
      <c r="P111" s="19"/>
      <c r="Q111" s="19"/>
      <c r="R111" s="21"/>
      <c r="S111" s="46"/>
      <c r="T111" s="44"/>
      <c r="U111" s="77"/>
      <c r="V111" s="30"/>
      <c r="W111" s="24"/>
      <c r="X111" s="193"/>
      <c r="Y111" s="15"/>
    </row>
    <row r="112" spans="2:25" x14ac:dyDescent="0.25">
      <c r="B112" s="15">
        <v>110</v>
      </c>
      <c r="C112" s="8"/>
      <c r="E112" s="67"/>
      <c r="F112" s="16"/>
      <c r="G112" s="8"/>
      <c r="H112" s="8"/>
      <c r="I112" s="8"/>
      <c r="J112" s="9"/>
      <c r="K112" s="9">
        <f t="shared" si="31"/>
        <v>0</v>
      </c>
      <c r="L112" s="35">
        <f t="shared" si="32"/>
        <v>0</v>
      </c>
      <c r="M112" s="2"/>
      <c r="O112" s="19"/>
      <c r="P112" s="19"/>
      <c r="Q112" s="19"/>
      <c r="R112" s="21"/>
      <c r="S112" s="46"/>
      <c r="T112" s="44"/>
      <c r="U112" s="77"/>
      <c r="V112" s="24"/>
      <c r="W112" s="24"/>
      <c r="X112" s="193"/>
      <c r="Y112" s="15"/>
    </row>
    <row r="113" spans="2:25" x14ac:dyDescent="0.25">
      <c r="B113" s="15">
        <v>111</v>
      </c>
      <c r="C113" s="8"/>
      <c r="E113" s="67"/>
      <c r="F113" s="16"/>
      <c r="G113" s="8"/>
      <c r="H113" s="8"/>
      <c r="I113" s="8"/>
      <c r="J113" s="9"/>
      <c r="K113" s="9">
        <f t="shared" si="31"/>
        <v>0</v>
      </c>
      <c r="L113" s="35">
        <f t="shared" si="32"/>
        <v>0</v>
      </c>
      <c r="M113" s="2"/>
      <c r="O113" s="19"/>
      <c r="P113" s="19"/>
      <c r="Q113" s="19"/>
      <c r="R113" s="21"/>
      <c r="S113" s="46"/>
      <c r="T113" s="44"/>
      <c r="U113" s="77"/>
      <c r="V113" s="24"/>
      <c r="W113" s="24"/>
      <c r="X113" s="193"/>
      <c r="Y113" s="15"/>
    </row>
    <row r="114" spans="2:25" x14ac:dyDescent="0.25">
      <c r="B114" s="15">
        <v>112</v>
      </c>
      <c r="C114" s="8"/>
      <c r="E114" s="67"/>
      <c r="F114" s="16"/>
      <c r="G114" s="8"/>
      <c r="H114" s="8"/>
      <c r="I114" s="8"/>
      <c r="J114" s="9"/>
      <c r="K114" s="9">
        <f t="shared" si="31"/>
        <v>0</v>
      </c>
      <c r="L114" s="35">
        <f t="shared" si="32"/>
        <v>0</v>
      </c>
      <c r="M114" s="2"/>
      <c r="O114" s="19"/>
      <c r="P114" s="19"/>
      <c r="Q114" s="19"/>
      <c r="R114" s="21"/>
      <c r="S114" s="46"/>
      <c r="T114" s="44"/>
      <c r="U114" s="77"/>
      <c r="V114" s="24"/>
      <c r="W114" s="24"/>
      <c r="X114" s="193"/>
      <c r="Y114" s="15"/>
    </row>
    <row r="115" spans="2:25" x14ac:dyDescent="0.25">
      <c r="B115" s="15">
        <v>113</v>
      </c>
      <c r="C115" s="8"/>
      <c r="E115" s="67"/>
      <c r="F115" s="16"/>
      <c r="G115" s="8"/>
      <c r="H115" s="8"/>
      <c r="I115" s="8"/>
      <c r="J115" s="9"/>
      <c r="K115" s="9">
        <f t="shared" si="31"/>
        <v>0</v>
      </c>
      <c r="L115" s="35">
        <f t="shared" si="32"/>
        <v>0</v>
      </c>
      <c r="M115" s="2"/>
      <c r="O115" s="19"/>
      <c r="P115" s="19"/>
      <c r="Q115" s="19"/>
      <c r="R115" s="21"/>
      <c r="S115" s="46"/>
      <c r="T115" s="44"/>
      <c r="U115" s="77"/>
      <c r="V115" s="24"/>
      <c r="W115" s="24"/>
      <c r="X115" s="193"/>
      <c r="Y115" s="15"/>
    </row>
    <row r="116" spans="2:25" x14ac:dyDescent="0.25">
      <c r="B116" s="15">
        <v>114</v>
      </c>
      <c r="C116" s="8"/>
      <c r="E116" s="67"/>
      <c r="F116" s="16"/>
      <c r="G116" s="8"/>
      <c r="H116" s="8"/>
      <c r="I116" s="8"/>
      <c r="J116" s="9"/>
      <c r="K116" s="9">
        <f t="shared" si="31"/>
        <v>0</v>
      </c>
      <c r="L116" s="35">
        <f t="shared" si="32"/>
        <v>0</v>
      </c>
      <c r="M116" s="2"/>
      <c r="O116" s="19"/>
      <c r="P116" s="19"/>
      <c r="Q116" s="19"/>
      <c r="R116" s="21"/>
      <c r="S116" s="46"/>
      <c r="T116" s="44"/>
      <c r="U116" s="77"/>
      <c r="V116" s="30"/>
      <c r="W116" s="24"/>
      <c r="X116" s="193"/>
      <c r="Y116" s="15"/>
    </row>
    <row r="117" spans="2:25" x14ac:dyDescent="0.25">
      <c r="B117" s="15">
        <v>115</v>
      </c>
      <c r="C117" s="8"/>
      <c r="E117" s="67"/>
      <c r="F117" s="16"/>
      <c r="G117" s="8"/>
      <c r="H117" s="8"/>
      <c r="I117" s="8"/>
      <c r="J117" s="9"/>
      <c r="K117" s="9">
        <f t="shared" si="31"/>
        <v>0</v>
      </c>
      <c r="L117" s="35">
        <f t="shared" si="32"/>
        <v>0</v>
      </c>
      <c r="M117" s="2"/>
      <c r="O117" s="19"/>
      <c r="P117" s="19"/>
      <c r="Q117" s="19"/>
      <c r="R117" s="21"/>
      <c r="S117" s="46"/>
      <c r="T117" s="44"/>
      <c r="U117" s="77"/>
      <c r="V117" s="30"/>
      <c r="W117" s="24"/>
      <c r="X117" s="193"/>
      <c r="Y117" s="15"/>
    </row>
    <row r="118" spans="2:25" x14ac:dyDescent="0.25">
      <c r="B118" s="15">
        <v>116</v>
      </c>
      <c r="C118" s="8"/>
      <c r="E118" s="67"/>
      <c r="F118" s="16"/>
      <c r="G118" s="8"/>
      <c r="H118" s="8"/>
      <c r="I118" s="8"/>
      <c r="J118" s="9"/>
      <c r="K118" s="9">
        <f t="shared" si="31"/>
        <v>0</v>
      </c>
      <c r="L118" s="35">
        <f t="shared" si="32"/>
        <v>0</v>
      </c>
      <c r="M118" s="2"/>
      <c r="O118" s="19"/>
      <c r="P118" s="19"/>
      <c r="Q118" s="19"/>
      <c r="R118" s="21"/>
      <c r="S118" s="46"/>
      <c r="T118" s="44"/>
      <c r="U118" s="77"/>
      <c r="V118" s="30"/>
      <c r="W118" s="24"/>
      <c r="X118" s="193"/>
      <c r="Y118" s="15"/>
    </row>
    <row r="119" spans="2:25" x14ac:dyDescent="0.25">
      <c r="B119" s="15">
        <v>117</v>
      </c>
      <c r="C119" s="8"/>
      <c r="E119" s="67"/>
      <c r="F119" s="16"/>
      <c r="G119" s="8"/>
      <c r="H119" s="8"/>
      <c r="I119" s="8"/>
      <c r="J119" s="9"/>
      <c r="K119" s="9">
        <f t="shared" si="31"/>
        <v>0</v>
      </c>
      <c r="L119" s="35">
        <f t="shared" si="32"/>
        <v>0</v>
      </c>
      <c r="M119" s="2"/>
      <c r="O119" s="19"/>
      <c r="P119" s="19"/>
      <c r="Q119" s="19"/>
      <c r="R119" s="21"/>
      <c r="S119" s="46"/>
      <c r="T119" s="44"/>
      <c r="U119" s="77"/>
      <c r="V119" s="30"/>
      <c r="W119" s="24"/>
      <c r="X119" s="193"/>
      <c r="Y119" s="15"/>
    </row>
    <row r="120" spans="2:25" x14ac:dyDescent="0.25">
      <c r="B120" s="15">
        <v>118</v>
      </c>
      <c r="C120" s="8"/>
      <c r="E120" s="67"/>
      <c r="G120" s="8"/>
      <c r="H120" s="8"/>
      <c r="I120" s="8"/>
      <c r="J120" s="9"/>
      <c r="K120" s="9">
        <f t="shared" si="31"/>
        <v>0</v>
      </c>
      <c r="L120" s="35">
        <f t="shared" si="32"/>
        <v>0</v>
      </c>
      <c r="M120" s="2"/>
      <c r="O120" s="19"/>
      <c r="P120" s="19"/>
      <c r="Q120" s="19"/>
      <c r="R120" s="21"/>
      <c r="S120" s="46"/>
      <c r="T120" s="44"/>
      <c r="U120" s="77"/>
      <c r="V120" s="24"/>
      <c r="W120" s="24"/>
      <c r="X120" s="193"/>
      <c r="Y120" s="15"/>
    </row>
    <row r="121" spans="2:25" x14ac:dyDescent="0.25">
      <c r="B121" s="15">
        <v>119</v>
      </c>
      <c r="C121" s="8"/>
      <c r="E121" s="67"/>
      <c r="G121" s="8"/>
      <c r="H121" s="8"/>
      <c r="I121" s="8"/>
      <c r="J121" s="9"/>
      <c r="K121" s="9">
        <f t="shared" si="31"/>
        <v>0</v>
      </c>
      <c r="L121" s="35">
        <f t="shared" si="32"/>
        <v>0</v>
      </c>
      <c r="M121" s="2"/>
      <c r="O121" s="19"/>
      <c r="P121" s="19"/>
      <c r="Q121" s="19"/>
      <c r="R121" s="21"/>
      <c r="S121" s="46"/>
      <c r="T121" s="44"/>
      <c r="U121" s="77"/>
      <c r="V121" s="24"/>
      <c r="W121" s="24"/>
      <c r="X121" s="193"/>
      <c r="Y121" s="15"/>
    </row>
    <row r="122" spans="2:25" x14ac:dyDescent="0.25">
      <c r="B122" s="15">
        <v>120</v>
      </c>
      <c r="C122" s="8"/>
      <c r="E122" s="67"/>
      <c r="F122" s="16"/>
      <c r="G122" s="8"/>
      <c r="H122" s="8"/>
      <c r="I122" s="8"/>
      <c r="J122" s="9"/>
      <c r="K122" s="9">
        <f t="shared" si="31"/>
        <v>0</v>
      </c>
      <c r="L122" s="35">
        <f t="shared" si="32"/>
        <v>0</v>
      </c>
      <c r="M122" s="2"/>
      <c r="O122" s="19"/>
      <c r="P122" s="19"/>
      <c r="Q122" s="19"/>
      <c r="R122" s="21"/>
      <c r="S122" s="46"/>
      <c r="T122" s="44"/>
      <c r="U122" s="77"/>
      <c r="V122" s="24"/>
      <c r="W122" s="24"/>
      <c r="X122" s="193"/>
      <c r="Y122" s="15"/>
    </row>
    <row r="123" spans="2:25" x14ac:dyDescent="0.25">
      <c r="B123" s="15">
        <v>121</v>
      </c>
      <c r="C123" s="8"/>
      <c r="E123" s="67"/>
      <c r="F123" s="16"/>
      <c r="G123" s="8"/>
      <c r="H123" s="8"/>
      <c r="I123" s="8"/>
      <c r="J123" s="9"/>
      <c r="K123" s="9">
        <f t="shared" si="31"/>
        <v>0</v>
      </c>
      <c r="L123" s="35">
        <f t="shared" si="32"/>
        <v>0</v>
      </c>
      <c r="M123" s="2"/>
      <c r="O123" s="19"/>
      <c r="P123" s="19"/>
      <c r="Q123" s="19"/>
      <c r="R123" s="21"/>
      <c r="S123" s="46"/>
      <c r="T123" s="44"/>
      <c r="U123" s="77"/>
      <c r="V123" s="24"/>
      <c r="W123" s="24"/>
      <c r="X123" s="193"/>
      <c r="Y123" s="15"/>
    </row>
    <row r="124" spans="2:25" x14ac:dyDescent="0.25">
      <c r="B124" s="15">
        <v>122</v>
      </c>
      <c r="C124" s="8"/>
      <c r="E124" s="67"/>
      <c r="F124" s="16"/>
      <c r="G124" s="8"/>
      <c r="H124" s="8"/>
      <c r="I124" s="8"/>
      <c r="J124" s="9"/>
      <c r="K124" s="9">
        <f t="shared" si="31"/>
        <v>0</v>
      </c>
      <c r="L124" s="35">
        <f t="shared" si="32"/>
        <v>0</v>
      </c>
      <c r="M124" s="2"/>
      <c r="O124" s="19"/>
      <c r="P124" s="19"/>
      <c r="Q124" s="19"/>
      <c r="R124" s="21"/>
      <c r="S124" s="46"/>
      <c r="T124" s="44"/>
      <c r="U124" s="77"/>
      <c r="V124" s="24"/>
      <c r="W124" s="24"/>
      <c r="X124" s="193"/>
      <c r="Y124" s="15"/>
    </row>
    <row r="125" spans="2:25" x14ac:dyDescent="0.25">
      <c r="B125" s="15">
        <v>123</v>
      </c>
      <c r="C125" s="8"/>
      <c r="E125" s="67"/>
      <c r="F125" s="16"/>
      <c r="G125" s="8"/>
      <c r="H125" s="8"/>
      <c r="I125" s="8"/>
      <c r="J125" s="9"/>
      <c r="K125" s="9">
        <f t="shared" si="31"/>
        <v>0</v>
      </c>
      <c r="L125" s="35">
        <f t="shared" si="32"/>
        <v>0</v>
      </c>
      <c r="M125" s="2"/>
      <c r="O125" s="19"/>
      <c r="P125" s="19"/>
      <c r="Q125" s="19"/>
      <c r="R125" s="21"/>
      <c r="S125" s="46"/>
      <c r="T125" s="44"/>
      <c r="U125" s="77"/>
      <c r="V125" s="30"/>
      <c r="W125" s="24"/>
      <c r="X125" s="193"/>
      <c r="Y125" s="15"/>
    </row>
    <row r="126" spans="2:25" x14ac:dyDescent="0.25">
      <c r="B126" s="15">
        <v>124</v>
      </c>
      <c r="C126" s="8"/>
      <c r="E126" s="67"/>
      <c r="F126" s="16"/>
      <c r="G126" s="8"/>
      <c r="H126" s="8"/>
      <c r="I126" s="8"/>
      <c r="J126" s="9"/>
      <c r="K126" s="9">
        <f t="shared" si="31"/>
        <v>0</v>
      </c>
      <c r="L126" s="35">
        <f t="shared" si="32"/>
        <v>0</v>
      </c>
      <c r="M126" s="2"/>
      <c r="O126" s="19"/>
      <c r="P126" s="19"/>
      <c r="Q126" s="19"/>
      <c r="R126" s="21"/>
      <c r="S126" s="46"/>
      <c r="T126" s="44"/>
      <c r="U126" s="77"/>
      <c r="V126" s="30"/>
      <c r="W126" s="24"/>
      <c r="X126" s="193"/>
      <c r="Y126" s="15"/>
    </row>
    <row r="127" spans="2:25" x14ac:dyDescent="0.25">
      <c r="B127" s="15">
        <v>125</v>
      </c>
      <c r="C127" s="8"/>
      <c r="E127" s="67"/>
      <c r="F127" s="16"/>
      <c r="G127" s="8"/>
      <c r="H127" s="8"/>
      <c r="I127" s="8"/>
      <c r="J127" s="9"/>
      <c r="K127" s="9">
        <f t="shared" si="31"/>
        <v>0</v>
      </c>
      <c r="L127" s="35">
        <f t="shared" si="32"/>
        <v>0</v>
      </c>
      <c r="M127" s="2"/>
      <c r="O127" s="19"/>
      <c r="P127" s="19"/>
      <c r="Q127" s="19"/>
      <c r="R127" s="21"/>
      <c r="S127" s="46"/>
      <c r="T127" s="44"/>
      <c r="U127" s="77"/>
      <c r="V127" s="24"/>
      <c r="W127" s="24"/>
      <c r="X127" s="193"/>
      <c r="Y127" s="15"/>
    </row>
    <row r="128" spans="2:25" x14ac:dyDescent="0.25">
      <c r="B128" s="15">
        <v>126</v>
      </c>
      <c r="C128" s="8"/>
      <c r="E128" s="67"/>
      <c r="F128" s="16"/>
      <c r="G128" s="8"/>
      <c r="H128" s="8"/>
      <c r="I128" s="8"/>
      <c r="J128" s="9"/>
      <c r="K128" s="9">
        <f t="shared" si="31"/>
        <v>0</v>
      </c>
      <c r="L128" s="35">
        <f t="shared" si="32"/>
        <v>0</v>
      </c>
      <c r="M128" s="2"/>
      <c r="O128" s="19"/>
      <c r="P128" s="19"/>
      <c r="Q128" s="19"/>
      <c r="R128" s="21"/>
      <c r="S128" s="46"/>
      <c r="T128" s="44"/>
      <c r="U128" s="77"/>
      <c r="V128" s="24"/>
      <c r="W128" s="24"/>
      <c r="X128" s="193"/>
      <c r="Y128" s="15"/>
    </row>
    <row r="129" spans="2:25" x14ac:dyDescent="0.25">
      <c r="B129" s="15">
        <v>127</v>
      </c>
      <c r="C129" s="8"/>
      <c r="E129" s="67"/>
      <c r="F129" s="16"/>
      <c r="G129" s="8"/>
      <c r="H129" s="8"/>
      <c r="I129" s="8"/>
      <c r="J129" s="9"/>
      <c r="K129" s="9">
        <f t="shared" si="31"/>
        <v>0</v>
      </c>
      <c r="L129" s="35">
        <f t="shared" si="32"/>
        <v>0</v>
      </c>
      <c r="M129" s="2"/>
      <c r="O129" s="19"/>
      <c r="P129" s="19"/>
      <c r="Q129" s="19"/>
      <c r="R129" s="21"/>
      <c r="S129" s="46"/>
      <c r="T129" s="44"/>
      <c r="U129" s="77"/>
      <c r="V129" s="24"/>
      <c r="W129" s="24"/>
      <c r="X129" s="193"/>
      <c r="Y129" s="15"/>
    </row>
    <row r="130" spans="2:25" x14ac:dyDescent="0.25">
      <c r="B130" s="15">
        <v>128</v>
      </c>
      <c r="C130" s="8"/>
      <c r="E130" s="67"/>
      <c r="F130" s="16"/>
      <c r="G130" s="8"/>
      <c r="H130" s="8"/>
      <c r="I130" s="8"/>
      <c r="J130" s="9"/>
      <c r="K130" s="9">
        <f t="shared" si="31"/>
        <v>0</v>
      </c>
      <c r="L130" s="35">
        <f t="shared" si="32"/>
        <v>0</v>
      </c>
      <c r="M130" s="2"/>
      <c r="O130" s="19"/>
      <c r="P130" s="19"/>
      <c r="Q130" s="19"/>
      <c r="R130" s="21"/>
      <c r="S130" s="46"/>
      <c r="T130" s="44"/>
      <c r="U130" s="77"/>
      <c r="V130" s="24"/>
      <c r="W130" s="24"/>
      <c r="X130" s="193"/>
      <c r="Y130" s="15"/>
    </row>
    <row r="131" spans="2:25" x14ac:dyDescent="0.25">
      <c r="B131" s="15">
        <v>129</v>
      </c>
      <c r="C131" s="8"/>
      <c r="E131" s="67"/>
      <c r="F131" s="16"/>
      <c r="G131" s="8"/>
      <c r="H131" s="8"/>
      <c r="I131" s="8"/>
      <c r="J131" s="9"/>
      <c r="K131" s="9">
        <f t="shared" ref="K131:K194" si="35">J131*1.1</f>
        <v>0</v>
      </c>
      <c r="L131" s="35">
        <f t="shared" ref="L131:L194" si="36">J131*0.00000001</f>
        <v>0</v>
      </c>
      <c r="M131" s="2"/>
      <c r="O131" s="19"/>
      <c r="P131" s="19"/>
      <c r="Q131" s="19"/>
      <c r="R131" s="21"/>
      <c r="S131" s="46"/>
      <c r="T131" s="44"/>
      <c r="U131" s="77"/>
      <c r="V131" s="24"/>
      <c r="W131" s="24"/>
      <c r="X131" s="193"/>
      <c r="Y131" s="15"/>
    </row>
    <row r="132" spans="2:25" x14ac:dyDescent="0.25">
      <c r="B132" s="15">
        <v>130</v>
      </c>
      <c r="C132" s="8"/>
      <c r="E132" s="67"/>
      <c r="F132" s="16"/>
      <c r="G132" s="8"/>
      <c r="H132" s="8"/>
      <c r="I132" s="8"/>
      <c r="J132" s="9"/>
      <c r="K132" s="9">
        <f t="shared" si="35"/>
        <v>0</v>
      </c>
      <c r="L132" s="35">
        <f t="shared" si="36"/>
        <v>0</v>
      </c>
      <c r="M132" s="2"/>
      <c r="O132" s="19"/>
      <c r="P132" s="19"/>
      <c r="Q132" s="19"/>
      <c r="R132" s="21"/>
      <c r="S132" s="46"/>
      <c r="T132" s="44"/>
      <c r="U132" s="77"/>
      <c r="V132" s="24"/>
      <c r="W132" s="24"/>
      <c r="X132" s="193"/>
      <c r="Y132" s="15"/>
    </row>
    <row r="133" spans="2:25" x14ac:dyDescent="0.25">
      <c r="B133" s="15">
        <v>131</v>
      </c>
      <c r="C133" s="8"/>
      <c r="E133" s="67"/>
      <c r="F133" s="16"/>
      <c r="G133" s="8"/>
      <c r="H133" s="8"/>
      <c r="I133" s="8"/>
      <c r="J133" s="9"/>
      <c r="K133" s="9">
        <f t="shared" si="35"/>
        <v>0</v>
      </c>
      <c r="L133" s="35">
        <f t="shared" si="36"/>
        <v>0</v>
      </c>
      <c r="M133" s="2"/>
      <c r="O133" s="19"/>
      <c r="P133" s="19"/>
      <c r="Q133" s="19"/>
      <c r="R133" s="21"/>
      <c r="S133" s="46"/>
      <c r="T133" s="44"/>
      <c r="U133" s="77"/>
      <c r="V133" s="24"/>
      <c r="W133" s="24"/>
      <c r="X133" s="193"/>
      <c r="Y133" s="15"/>
    </row>
    <row r="134" spans="2:25" x14ac:dyDescent="0.25">
      <c r="B134" s="15">
        <v>132</v>
      </c>
      <c r="C134" s="8"/>
      <c r="E134" s="67"/>
      <c r="F134" s="16"/>
      <c r="G134" s="8"/>
      <c r="H134" s="8"/>
      <c r="I134" s="8"/>
      <c r="J134" s="9"/>
      <c r="K134" s="9">
        <f t="shared" si="35"/>
        <v>0</v>
      </c>
      <c r="L134" s="35">
        <f t="shared" si="36"/>
        <v>0</v>
      </c>
      <c r="M134" s="2"/>
      <c r="O134" s="19"/>
      <c r="P134" s="19"/>
      <c r="Q134" s="19"/>
      <c r="R134" s="21"/>
      <c r="S134" s="46"/>
      <c r="T134" s="44"/>
      <c r="U134" s="77"/>
      <c r="V134" s="24"/>
      <c r="W134" s="24"/>
      <c r="X134" s="193"/>
      <c r="Y134" s="15"/>
    </row>
    <row r="135" spans="2:25" x14ac:dyDescent="0.25">
      <c r="B135" s="15">
        <v>132</v>
      </c>
      <c r="C135" s="8"/>
      <c r="E135" s="67"/>
      <c r="F135" s="16"/>
      <c r="G135" s="8"/>
      <c r="H135" s="8"/>
      <c r="I135" s="8"/>
      <c r="J135" s="9"/>
      <c r="K135" s="9">
        <f t="shared" si="35"/>
        <v>0</v>
      </c>
      <c r="L135" s="35">
        <f t="shared" si="36"/>
        <v>0</v>
      </c>
      <c r="M135" s="2"/>
      <c r="O135" s="19"/>
      <c r="P135" s="19"/>
      <c r="Q135" s="19"/>
      <c r="R135" s="21"/>
      <c r="S135" s="46"/>
      <c r="T135" s="44"/>
      <c r="U135" s="77"/>
      <c r="V135" s="24"/>
      <c r="W135" s="24"/>
      <c r="X135" s="193"/>
      <c r="Y135" s="15"/>
    </row>
    <row r="136" spans="2:25" x14ac:dyDescent="0.25">
      <c r="B136" s="15">
        <v>133</v>
      </c>
      <c r="C136" s="8"/>
      <c r="E136" s="67"/>
      <c r="F136" s="16"/>
      <c r="G136" s="8"/>
      <c r="H136" s="8"/>
      <c r="I136" s="8"/>
      <c r="J136" s="9"/>
      <c r="K136" s="9">
        <f t="shared" si="35"/>
        <v>0</v>
      </c>
      <c r="L136" s="35">
        <f t="shared" si="36"/>
        <v>0</v>
      </c>
      <c r="M136" s="2"/>
      <c r="O136" s="19"/>
      <c r="P136" s="19"/>
      <c r="Q136" s="19"/>
      <c r="R136" s="21"/>
      <c r="S136" s="46"/>
      <c r="T136" s="44"/>
      <c r="U136" s="77"/>
      <c r="V136" s="24"/>
      <c r="W136" s="24"/>
      <c r="X136" s="193"/>
      <c r="Y136" s="15"/>
    </row>
    <row r="137" spans="2:25" x14ac:dyDescent="0.25">
      <c r="B137" s="15">
        <v>134</v>
      </c>
      <c r="C137" s="8"/>
      <c r="E137" s="67"/>
      <c r="F137" s="16"/>
      <c r="G137" s="8"/>
      <c r="H137" s="8"/>
      <c r="I137" s="8"/>
      <c r="K137" s="9">
        <f t="shared" si="35"/>
        <v>0</v>
      </c>
      <c r="L137" s="35">
        <f t="shared" si="36"/>
        <v>0</v>
      </c>
      <c r="M137" s="2"/>
      <c r="O137" s="19"/>
      <c r="P137" s="19"/>
      <c r="Q137" s="19"/>
      <c r="S137" s="46"/>
      <c r="T137" s="44"/>
      <c r="U137" s="77"/>
      <c r="V137" s="24"/>
      <c r="W137" s="24"/>
      <c r="X137" s="193"/>
      <c r="Y137" s="15"/>
    </row>
    <row r="138" spans="2:25" x14ac:dyDescent="0.25">
      <c r="B138" s="15">
        <v>135</v>
      </c>
      <c r="C138" s="8"/>
      <c r="E138" s="67"/>
      <c r="F138" s="16"/>
      <c r="G138" s="8"/>
      <c r="H138" s="8"/>
      <c r="I138" s="8"/>
      <c r="K138" s="9">
        <f t="shared" si="35"/>
        <v>0</v>
      </c>
      <c r="L138" s="35">
        <f t="shared" si="36"/>
        <v>0</v>
      </c>
      <c r="M138" s="2"/>
      <c r="O138" s="19"/>
      <c r="P138" s="19"/>
      <c r="Q138" s="19"/>
      <c r="S138" s="46"/>
      <c r="T138" s="44"/>
      <c r="U138" s="77"/>
      <c r="V138" s="24"/>
      <c r="W138" s="24"/>
      <c r="X138" s="193"/>
      <c r="Y138" s="15"/>
    </row>
    <row r="139" spans="2:25" x14ac:dyDescent="0.25">
      <c r="B139" s="15">
        <v>136</v>
      </c>
      <c r="C139" s="8"/>
      <c r="E139" s="67"/>
      <c r="F139" s="16"/>
      <c r="G139" s="8"/>
      <c r="H139" s="8"/>
      <c r="I139" s="8"/>
      <c r="K139" s="9">
        <f t="shared" si="35"/>
        <v>0</v>
      </c>
      <c r="L139" s="35">
        <f t="shared" si="36"/>
        <v>0</v>
      </c>
      <c r="M139" s="2"/>
      <c r="O139" s="19"/>
      <c r="P139" s="19"/>
      <c r="Q139" s="19"/>
      <c r="S139" s="46"/>
      <c r="T139" s="44"/>
      <c r="U139" s="77"/>
      <c r="V139" s="24"/>
      <c r="W139" s="24"/>
      <c r="X139" s="193"/>
      <c r="Y139" s="15"/>
    </row>
    <row r="140" spans="2:25" x14ac:dyDescent="0.25">
      <c r="B140" s="15">
        <v>138</v>
      </c>
      <c r="C140" s="8"/>
      <c r="E140" s="67"/>
      <c r="F140" s="16"/>
      <c r="G140" s="8"/>
      <c r="H140" s="8"/>
      <c r="I140" s="8"/>
      <c r="J140" s="9"/>
      <c r="K140" s="9">
        <f t="shared" si="35"/>
        <v>0</v>
      </c>
      <c r="L140" s="35">
        <f t="shared" si="36"/>
        <v>0</v>
      </c>
      <c r="M140" s="2"/>
      <c r="O140" s="19"/>
      <c r="P140" s="19"/>
      <c r="Q140" s="19"/>
      <c r="R140" s="21"/>
      <c r="S140" s="46"/>
      <c r="T140" s="44"/>
      <c r="U140" s="77"/>
      <c r="V140" s="24"/>
      <c r="W140" s="24"/>
      <c r="X140" s="193"/>
      <c r="Y140" s="15"/>
    </row>
    <row r="141" spans="2:25" x14ac:dyDescent="0.25">
      <c r="B141" s="15">
        <v>139</v>
      </c>
      <c r="C141" s="8"/>
      <c r="E141" s="67"/>
      <c r="F141" s="16"/>
      <c r="G141" s="8"/>
      <c r="H141" s="8"/>
      <c r="I141" s="8"/>
      <c r="J141" s="9"/>
      <c r="K141" s="9">
        <f t="shared" si="35"/>
        <v>0</v>
      </c>
      <c r="L141" s="35">
        <f t="shared" si="36"/>
        <v>0</v>
      </c>
      <c r="M141" s="2"/>
      <c r="O141" s="19"/>
      <c r="P141" s="19"/>
      <c r="Q141" s="19"/>
      <c r="R141" s="21"/>
      <c r="S141" s="46"/>
      <c r="T141" s="44"/>
      <c r="U141" s="77"/>
      <c r="V141" s="30"/>
      <c r="W141" s="24"/>
      <c r="X141" s="193"/>
      <c r="Y141" s="15"/>
    </row>
    <row r="142" spans="2:25" x14ac:dyDescent="0.25">
      <c r="B142" s="15">
        <v>140</v>
      </c>
      <c r="C142" s="8"/>
      <c r="E142" s="67"/>
      <c r="F142" s="16"/>
      <c r="G142" s="8"/>
      <c r="H142" s="8"/>
      <c r="I142" s="8"/>
      <c r="J142" s="9"/>
      <c r="K142" s="9">
        <f t="shared" si="35"/>
        <v>0</v>
      </c>
      <c r="L142" s="35">
        <f t="shared" si="36"/>
        <v>0</v>
      </c>
      <c r="M142" s="2"/>
      <c r="O142" s="19"/>
      <c r="P142" s="19"/>
      <c r="Q142" s="19"/>
      <c r="R142" s="21"/>
      <c r="S142" s="46"/>
      <c r="T142" s="44"/>
      <c r="U142" s="77"/>
      <c r="V142" s="30"/>
      <c r="W142" s="24"/>
      <c r="X142" s="193"/>
      <c r="Y142" s="15"/>
    </row>
    <row r="143" spans="2:25" x14ac:dyDescent="0.25">
      <c r="B143" s="15">
        <v>141</v>
      </c>
      <c r="C143" s="8"/>
      <c r="E143" s="67"/>
      <c r="F143" s="16"/>
      <c r="G143" s="8"/>
      <c r="H143" s="8"/>
      <c r="I143" s="8"/>
      <c r="J143" s="9"/>
      <c r="K143" s="9">
        <f t="shared" si="35"/>
        <v>0</v>
      </c>
      <c r="L143" s="35">
        <f t="shared" si="36"/>
        <v>0</v>
      </c>
      <c r="M143" s="2"/>
      <c r="O143" s="19"/>
      <c r="P143" s="19"/>
      <c r="Q143" s="19"/>
      <c r="R143" s="21"/>
      <c r="S143" s="46"/>
      <c r="T143" s="44"/>
      <c r="U143" s="77"/>
      <c r="V143" s="24"/>
      <c r="W143" s="24"/>
      <c r="X143" s="193"/>
      <c r="Y143" s="15"/>
    </row>
    <row r="144" spans="2:25" x14ac:dyDescent="0.25">
      <c r="B144" s="15">
        <v>142</v>
      </c>
      <c r="C144" s="8"/>
      <c r="E144" s="67"/>
      <c r="F144" s="16"/>
      <c r="G144" s="8"/>
      <c r="H144" s="8"/>
      <c r="I144" s="8"/>
      <c r="J144" s="9"/>
      <c r="K144" s="9">
        <f t="shared" si="35"/>
        <v>0</v>
      </c>
      <c r="L144" s="35">
        <f t="shared" si="36"/>
        <v>0</v>
      </c>
      <c r="M144" s="2"/>
      <c r="O144" s="19"/>
      <c r="P144" s="19"/>
      <c r="Q144" s="19"/>
      <c r="R144" s="21"/>
      <c r="S144" s="46"/>
      <c r="T144" s="44"/>
      <c r="U144" s="77"/>
      <c r="V144" s="24"/>
      <c r="W144" s="24"/>
      <c r="X144" s="193"/>
      <c r="Y144" s="15"/>
    </row>
    <row r="145" spans="2:25" x14ac:dyDescent="0.25">
      <c r="B145" s="15">
        <v>143</v>
      </c>
      <c r="C145" s="8"/>
      <c r="E145" s="67"/>
      <c r="F145" s="16"/>
      <c r="G145" s="8"/>
      <c r="H145" s="8"/>
      <c r="I145" s="8"/>
      <c r="J145" s="9"/>
      <c r="K145" s="9">
        <f t="shared" si="35"/>
        <v>0</v>
      </c>
      <c r="L145" s="35">
        <f t="shared" si="36"/>
        <v>0</v>
      </c>
      <c r="M145" s="2"/>
      <c r="O145" s="19"/>
      <c r="P145" s="19"/>
      <c r="Q145" s="19"/>
      <c r="R145" s="21"/>
      <c r="S145" s="46"/>
      <c r="T145" s="44"/>
      <c r="U145" s="77"/>
      <c r="V145" s="24"/>
      <c r="W145" s="24"/>
      <c r="X145" s="193"/>
      <c r="Y145" s="15"/>
    </row>
    <row r="146" spans="2:25" x14ac:dyDescent="0.25">
      <c r="B146" s="15">
        <v>144</v>
      </c>
      <c r="C146" s="8"/>
      <c r="E146" s="67"/>
      <c r="F146" s="16"/>
      <c r="G146" s="8"/>
      <c r="H146" s="8"/>
      <c r="I146" s="8"/>
      <c r="J146" s="9"/>
      <c r="K146" s="9">
        <f t="shared" si="35"/>
        <v>0</v>
      </c>
      <c r="L146" s="35">
        <f t="shared" si="36"/>
        <v>0</v>
      </c>
      <c r="M146" s="2"/>
      <c r="O146" s="19"/>
      <c r="P146" s="19"/>
      <c r="Q146" s="19"/>
      <c r="R146" s="21"/>
      <c r="S146" s="46"/>
      <c r="T146" s="44"/>
      <c r="U146" s="77"/>
      <c r="V146" s="24"/>
      <c r="W146" s="24"/>
      <c r="X146" s="193"/>
      <c r="Y146" s="15"/>
    </row>
    <row r="147" spans="2:25" x14ac:dyDescent="0.25">
      <c r="B147" s="15">
        <v>145</v>
      </c>
      <c r="C147" s="8"/>
      <c r="E147" s="67"/>
      <c r="F147" s="16"/>
      <c r="G147" s="8"/>
      <c r="H147" s="8"/>
      <c r="I147" s="8"/>
      <c r="J147" s="9"/>
      <c r="K147" s="9">
        <f t="shared" si="35"/>
        <v>0</v>
      </c>
      <c r="L147" s="35">
        <f t="shared" si="36"/>
        <v>0</v>
      </c>
      <c r="M147" s="2"/>
      <c r="O147" s="19"/>
      <c r="P147" s="19"/>
      <c r="Q147" s="19"/>
      <c r="R147" s="21"/>
      <c r="S147" s="46"/>
      <c r="T147" s="44"/>
      <c r="U147" s="77"/>
      <c r="V147" s="24"/>
      <c r="W147" s="24"/>
      <c r="X147" s="193"/>
      <c r="Y147" s="15"/>
    </row>
    <row r="148" spans="2:25" x14ac:dyDescent="0.25">
      <c r="B148" s="15">
        <v>146</v>
      </c>
      <c r="C148" s="8"/>
      <c r="E148" s="67"/>
      <c r="F148" s="16"/>
      <c r="G148" s="8"/>
      <c r="H148" s="8"/>
      <c r="I148" s="8"/>
      <c r="J148" s="9"/>
      <c r="K148" s="9">
        <f t="shared" si="35"/>
        <v>0</v>
      </c>
      <c r="L148" s="35">
        <f t="shared" si="36"/>
        <v>0</v>
      </c>
      <c r="M148" s="2"/>
      <c r="O148" s="19"/>
      <c r="P148" s="19"/>
      <c r="Q148" s="19"/>
      <c r="R148" s="21"/>
      <c r="S148" s="46"/>
      <c r="T148" s="44"/>
      <c r="U148" s="77"/>
      <c r="V148" s="30"/>
      <c r="W148" s="24"/>
      <c r="X148" s="193"/>
      <c r="Y148" s="15"/>
    </row>
    <row r="149" spans="2:25" x14ac:dyDescent="0.25">
      <c r="B149" s="15">
        <v>147</v>
      </c>
      <c r="C149" s="8"/>
      <c r="E149" s="67"/>
      <c r="F149" s="16"/>
      <c r="G149" s="8"/>
      <c r="H149" s="8"/>
      <c r="I149" s="8"/>
      <c r="K149" s="9">
        <f t="shared" si="35"/>
        <v>0</v>
      </c>
      <c r="L149" s="35">
        <f t="shared" si="36"/>
        <v>0</v>
      </c>
      <c r="O149" s="19"/>
      <c r="P149" s="19"/>
      <c r="Q149" s="19"/>
      <c r="S149" s="46"/>
      <c r="T149" s="44"/>
      <c r="U149" s="77"/>
      <c r="V149" s="79"/>
      <c r="W149" s="24"/>
      <c r="X149" s="193"/>
      <c r="Y149" s="15"/>
    </row>
    <row r="150" spans="2:25" x14ac:dyDescent="0.25">
      <c r="B150" s="15">
        <v>148</v>
      </c>
      <c r="C150" s="8"/>
      <c r="E150" s="67"/>
      <c r="F150" s="16"/>
      <c r="G150" s="8"/>
      <c r="H150" s="8"/>
      <c r="I150" s="8"/>
      <c r="J150" s="9"/>
      <c r="K150" s="9">
        <f t="shared" si="35"/>
        <v>0</v>
      </c>
      <c r="L150" s="35">
        <f t="shared" si="36"/>
        <v>0</v>
      </c>
      <c r="M150" s="2"/>
      <c r="O150" s="19"/>
      <c r="P150" s="19"/>
      <c r="Q150" s="19"/>
      <c r="R150" s="21"/>
      <c r="S150" s="46"/>
      <c r="T150" s="44"/>
      <c r="U150" s="77"/>
      <c r="V150" s="79"/>
      <c r="W150" s="24"/>
      <c r="X150" s="193"/>
      <c r="Y150" s="15"/>
    </row>
    <row r="151" spans="2:25" x14ac:dyDescent="0.25">
      <c r="B151" s="15">
        <v>149</v>
      </c>
      <c r="C151" s="8"/>
      <c r="E151" s="67"/>
      <c r="F151" s="16"/>
      <c r="G151" s="8"/>
      <c r="H151" s="8"/>
      <c r="I151" s="8"/>
      <c r="J151" s="9"/>
      <c r="K151" s="9">
        <f t="shared" si="35"/>
        <v>0</v>
      </c>
      <c r="L151" s="35">
        <f t="shared" si="36"/>
        <v>0</v>
      </c>
      <c r="M151" s="2"/>
      <c r="O151" s="19"/>
      <c r="P151" s="19"/>
      <c r="Q151" s="19"/>
      <c r="R151" s="21"/>
      <c r="S151" s="46"/>
      <c r="T151" s="44"/>
      <c r="U151" s="77"/>
      <c r="V151" s="24"/>
      <c r="W151" s="24"/>
      <c r="X151" s="193"/>
      <c r="Y151" s="15"/>
    </row>
    <row r="152" spans="2:25" x14ac:dyDescent="0.25">
      <c r="B152" s="15">
        <v>150</v>
      </c>
      <c r="C152" s="8"/>
      <c r="E152" s="67"/>
      <c r="F152" s="16"/>
      <c r="G152" s="8"/>
      <c r="H152" s="8"/>
      <c r="I152" s="8"/>
      <c r="J152" s="9"/>
      <c r="K152" s="9">
        <f t="shared" si="35"/>
        <v>0</v>
      </c>
      <c r="L152" s="35">
        <f t="shared" si="36"/>
        <v>0</v>
      </c>
      <c r="M152" s="2"/>
      <c r="O152" s="19"/>
      <c r="P152" s="19"/>
      <c r="Q152" s="19"/>
      <c r="R152" s="21"/>
      <c r="S152" s="46"/>
      <c r="T152" s="44"/>
      <c r="U152" s="77"/>
      <c r="V152" s="24"/>
      <c r="W152" s="24"/>
      <c r="X152" s="193"/>
      <c r="Y152" s="15"/>
    </row>
    <row r="153" spans="2:25" x14ac:dyDescent="0.25">
      <c r="B153" s="15">
        <v>151</v>
      </c>
      <c r="C153" s="8"/>
      <c r="E153" s="67"/>
      <c r="F153" s="16"/>
      <c r="G153" s="8"/>
      <c r="H153" s="8"/>
      <c r="I153" s="8"/>
      <c r="J153" s="9"/>
      <c r="K153" s="9">
        <f t="shared" si="35"/>
        <v>0</v>
      </c>
      <c r="L153" s="35">
        <f t="shared" si="36"/>
        <v>0</v>
      </c>
      <c r="M153" s="2"/>
      <c r="O153" s="19"/>
      <c r="P153" s="19"/>
      <c r="Q153" s="19"/>
      <c r="R153" s="21"/>
      <c r="S153" s="46"/>
      <c r="T153" s="44"/>
      <c r="U153" s="77"/>
      <c r="V153" s="24"/>
      <c r="W153" s="24"/>
      <c r="X153" s="193"/>
      <c r="Y153" s="15"/>
    </row>
    <row r="154" spans="2:25" x14ac:dyDescent="0.25">
      <c r="B154" s="15">
        <v>152</v>
      </c>
      <c r="C154" s="8"/>
      <c r="E154" s="67"/>
      <c r="F154" s="16"/>
      <c r="G154" s="8"/>
      <c r="H154" s="8"/>
      <c r="I154" s="8"/>
      <c r="J154" s="9"/>
      <c r="K154" s="9">
        <f t="shared" si="35"/>
        <v>0</v>
      </c>
      <c r="L154" s="35">
        <f t="shared" si="36"/>
        <v>0</v>
      </c>
      <c r="M154" s="2"/>
      <c r="O154" s="19"/>
      <c r="P154" s="19"/>
      <c r="Q154" s="19"/>
      <c r="R154" s="21"/>
      <c r="S154" s="46"/>
      <c r="T154" s="44"/>
      <c r="U154" s="77"/>
      <c r="V154" s="24"/>
      <c r="W154" s="24"/>
      <c r="X154" s="193"/>
      <c r="Y154" s="15"/>
    </row>
    <row r="155" spans="2:25" x14ac:dyDescent="0.25">
      <c r="B155" s="15">
        <v>153</v>
      </c>
      <c r="C155" s="8"/>
      <c r="E155" s="67"/>
      <c r="F155" s="16"/>
      <c r="G155" s="8"/>
      <c r="H155" s="8"/>
      <c r="I155" s="8"/>
      <c r="J155" s="9"/>
      <c r="K155" s="9">
        <f t="shared" si="35"/>
        <v>0</v>
      </c>
      <c r="L155" s="35">
        <f t="shared" si="36"/>
        <v>0</v>
      </c>
      <c r="M155" s="2"/>
      <c r="O155" s="19"/>
      <c r="P155" s="19"/>
      <c r="Q155" s="19"/>
      <c r="R155" s="21"/>
      <c r="S155" s="46"/>
      <c r="T155" s="44"/>
      <c r="U155" s="77"/>
      <c r="V155" s="30"/>
      <c r="W155" s="24"/>
      <c r="X155" s="193"/>
      <c r="Y155" s="15"/>
    </row>
    <row r="156" spans="2:25" x14ac:dyDescent="0.25">
      <c r="B156" s="15">
        <v>154</v>
      </c>
      <c r="C156" s="8"/>
      <c r="E156" s="67"/>
      <c r="F156" s="16"/>
      <c r="G156" s="8"/>
      <c r="H156" s="8"/>
      <c r="I156" s="8"/>
      <c r="J156" s="9"/>
      <c r="K156" s="9">
        <f t="shared" si="35"/>
        <v>0</v>
      </c>
      <c r="L156" s="35">
        <f t="shared" si="36"/>
        <v>0</v>
      </c>
      <c r="M156" s="2"/>
      <c r="O156" s="19"/>
      <c r="P156" s="19"/>
      <c r="Q156" s="19"/>
      <c r="R156" s="21"/>
      <c r="S156" s="46"/>
      <c r="T156" s="44"/>
      <c r="U156" s="77"/>
      <c r="V156" s="24"/>
      <c r="W156" s="24"/>
      <c r="X156" s="193"/>
      <c r="Y156" s="15"/>
    </row>
    <row r="157" spans="2:25" x14ac:dyDescent="0.25">
      <c r="B157" s="15">
        <v>155</v>
      </c>
      <c r="C157" s="8"/>
      <c r="E157" s="67"/>
      <c r="F157" s="16"/>
      <c r="G157" s="8"/>
      <c r="H157" s="8"/>
      <c r="I157" s="8"/>
      <c r="J157" s="9"/>
      <c r="K157" s="9">
        <f t="shared" si="35"/>
        <v>0</v>
      </c>
      <c r="L157" s="35">
        <f t="shared" si="36"/>
        <v>0</v>
      </c>
      <c r="M157" s="2"/>
      <c r="O157" s="19"/>
      <c r="P157" s="19"/>
      <c r="Q157" s="19"/>
      <c r="R157" s="21"/>
      <c r="S157" s="46"/>
      <c r="T157" s="44"/>
      <c r="U157" s="77"/>
      <c r="V157" s="24"/>
      <c r="W157" s="24"/>
      <c r="X157" s="193"/>
      <c r="Y157" s="15"/>
    </row>
    <row r="158" spans="2:25" x14ac:dyDescent="0.25">
      <c r="B158" s="15">
        <v>156</v>
      </c>
      <c r="C158" s="8"/>
      <c r="E158" s="67"/>
      <c r="F158" s="16"/>
      <c r="G158" s="8"/>
      <c r="H158" s="8"/>
      <c r="I158" s="8"/>
      <c r="J158" s="9"/>
      <c r="K158" s="9">
        <f t="shared" si="35"/>
        <v>0</v>
      </c>
      <c r="L158" s="35">
        <f t="shared" si="36"/>
        <v>0</v>
      </c>
      <c r="M158" s="2"/>
      <c r="O158" s="19"/>
      <c r="P158" s="19"/>
      <c r="Q158" s="19"/>
      <c r="R158" s="21"/>
      <c r="S158" s="46"/>
      <c r="T158" s="44"/>
      <c r="U158" s="77"/>
      <c r="V158" s="24"/>
      <c r="W158" s="24"/>
      <c r="X158" s="193"/>
      <c r="Y158" s="15"/>
    </row>
    <row r="159" spans="2:25" x14ac:dyDescent="0.25">
      <c r="B159" s="15">
        <v>157</v>
      </c>
      <c r="C159" s="8"/>
      <c r="E159" s="67"/>
      <c r="F159" s="16"/>
      <c r="G159" s="8"/>
      <c r="H159" s="8"/>
      <c r="I159" s="8"/>
      <c r="J159" s="9"/>
      <c r="K159" s="9">
        <f t="shared" si="35"/>
        <v>0</v>
      </c>
      <c r="L159" s="35">
        <f t="shared" si="36"/>
        <v>0</v>
      </c>
      <c r="M159" s="2"/>
      <c r="O159" s="19"/>
      <c r="P159" s="19"/>
      <c r="Q159" s="19"/>
      <c r="R159" s="21"/>
      <c r="S159" s="46"/>
      <c r="T159" s="44"/>
      <c r="U159" s="77"/>
      <c r="V159" s="24"/>
      <c r="W159" s="24"/>
      <c r="X159" s="193"/>
      <c r="Y159" s="15"/>
    </row>
    <row r="160" spans="2:25" x14ac:dyDescent="0.25">
      <c r="B160" s="15">
        <v>158</v>
      </c>
      <c r="C160" s="8"/>
      <c r="E160" s="67"/>
      <c r="F160" s="16"/>
      <c r="G160" s="8"/>
      <c r="H160" s="8"/>
      <c r="I160" s="8"/>
      <c r="J160" s="9"/>
      <c r="K160" s="9">
        <f t="shared" si="35"/>
        <v>0</v>
      </c>
      <c r="L160" s="35">
        <f t="shared" si="36"/>
        <v>0</v>
      </c>
      <c r="M160" s="2"/>
      <c r="O160" s="19"/>
      <c r="P160" s="19"/>
      <c r="Q160" s="19"/>
      <c r="R160" s="21"/>
      <c r="S160" s="46"/>
      <c r="T160" s="44"/>
      <c r="U160" s="77"/>
      <c r="V160" s="24"/>
      <c r="W160" s="24"/>
      <c r="X160" s="193"/>
      <c r="Y160" s="15"/>
    </row>
    <row r="161" spans="2:25" x14ac:dyDescent="0.25">
      <c r="B161" s="15">
        <v>159</v>
      </c>
      <c r="C161" s="8"/>
      <c r="E161" s="67"/>
      <c r="F161" s="16"/>
      <c r="G161" s="8"/>
      <c r="H161" s="8"/>
      <c r="I161" s="8"/>
      <c r="J161" s="9"/>
      <c r="K161" s="9">
        <f t="shared" si="35"/>
        <v>0</v>
      </c>
      <c r="L161" s="35">
        <f t="shared" si="36"/>
        <v>0</v>
      </c>
      <c r="M161" s="2"/>
      <c r="O161" s="19"/>
      <c r="P161" s="19"/>
      <c r="Q161" s="19"/>
      <c r="R161" s="21"/>
      <c r="S161" s="46"/>
      <c r="T161" s="44"/>
      <c r="U161" s="77"/>
      <c r="V161" s="30"/>
      <c r="W161" s="24"/>
      <c r="X161" s="193"/>
      <c r="Y161" s="15"/>
    </row>
    <row r="162" spans="2:25" x14ac:dyDescent="0.25">
      <c r="B162" s="15">
        <v>160</v>
      </c>
      <c r="C162" s="8"/>
      <c r="E162" s="67"/>
      <c r="F162" s="16"/>
      <c r="G162" s="8"/>
      <c r="H162" s="8"/>
      <c r="I162" s="8"/>
      <c r="J162" s="9"/>
      <c r="K162" s="9">
        <f t="shared" si="35"/>
        <v>0</v>
      </c>
      <c r="L162" s="35">
        <f t="shared" si="36"/>
        <v>0</v>
      </c>
      <c r="M162" s="2"/>
      <c r="O162" s="19"/>
      <c r="P162" s="19"/>
      <c r="Q162" s="19"/>
      <c r="R162" s="21"/>
      <c r="S162" s="46"/>
      <c r="T162" s="44"/>
      <c r="U162" s="77"/>
      <c r="V162" s="30"/>
      <c r="W162" s="24"/>
      <c r="X162" s="193"/>
      <c r="Y162" s="15"/>
    </row>
    <row r="163" spans="2:25" x14ac:dyDescent="0.25">
      <c r="B163" s="15">
        <v>161</v>
      </c>
      <c r="C163" s="8"/>
      <c r="E163" s="67"/>
      <c r="F163" s="16"/>
      <c r="G163" s="8"/>
      <c r="H163" s="8"/>
      <c r="I163" s="8"/>
      <c r="J163" s="9"/>
      <c r="K163" s="9">
        <f t="shared" si="35"/>
        <v>0</v>
      </c>
      <c r="L163" s="35">
        <f t="shared" si="36"/>
        <v>0</v>
      </c>
      <c r="M163" s="2"/>
      <c r="O163" s="19"/>
      <c r="P163" s="19"/>
      <c r="Q163" s="19"/>
      <c r="R163" s="21"/>
      <c r="S163" s="46"/>
      <c r="T163" s="44"/>
      <c r="U163" s="77"/>
      <c r="V163" s="30"/>
      <c r="W163" s="24"/>
      <c r="X163" s="193"/>
      <c r="Y163" s="15"/>
    </row>
    <row r="164" spans="2:25" x14ac:dyDescent="0.25">
      <c r="B164" s="15">
        <v>162</v>
      </c>
      <c r="C164" s="8"/>
      <c r="E164" s="67"/>
      <c r="F164" s="16"/>
      <c r="G164" s="8"/>
      <c r="H164" s="8"/>
      <c r="I164" s="8"/>
      <c r="J164" s="9"/>
      <c r="K164" s="9">
        <f t="shared" si="35"/>
        <v>0</v>
      </c>
      <c r="L164" s="35">
        <f t="shared" si="36"/>
        <v>0</v>
      </c>
      <c r="M164" s="2"/>
      <c r="O164" s="19"/>
      <c r="P164" s="19"/>
      <c r="Q164" s="19"/>
      <c r="R164" s="21"/>
      <c r="S164" s="46"/>
      <c r="T164" s="44"/>
      <c r="U164" s="77"/>
      <c r="V164" s="30"/>
      <c r="W164" s="24"/>
      <c r="X164" s="193"/>
      <c r="Y164" s="15"/>
    </row>
    <row r="165" spans="2:25" x14ac:dyDescent="0.25">
      <c r="B165" s="15">
        <v>163</v>
      </c>
      <c r="C165" s="8"/>
      <c r="E165" s="67"/>
      <c r="F165" s="16"/>
      <c r="G165" s="8"/>
      <c r="H165" s="8"/>
      <c r="I165" s="8"/>
      <c r="J165" s="9"/>
      <c r="K165" s="9">
        <f t="shared" si="35"/>
        <v>0</v>
      </c>
      <c r="L165" s="35">
        <f t="shared" si="36"/>
        <v>0</v>
      </c>
      <c r="M165" s="2"/>
      <c r="O165" s="19"/>
      <c r="P165" s="19"/>
      <c r="Q165" s="19"/>
      <c r="R165" s="21"/>
      <c r="S165" s="46"/>
      <c r="T165" s="44"/>
      <c r="U165" s="77"/>
      <c r="V165" s="24"/>
      <c r="W165" s="24"/>
      <c r="X165" s="193"/>
      <c r="Y165" s="15"/>
    </row>
    <row r="166" spans="2:25" x14ac:dyDescent="0.25">
      <c r="B166" s="15">
        <v>164</v>
      </c>
      <c r="C166" s="8"/>
      <c r="E166" s="67"/>
      <c r="F166" s="16"/>
      <c r="G166" s="8"/>
      <c r="H166" s="8"/>
      <c r="I166" s="8"/>
      <c r="J166" s="9"/>
      <c r="K166" s="9">
        <f t="shared" si="35"/>
        <v>0</v>
      </c>
      <c r="L166" s="35">
        <f t="shared" si="36"/>
        <v>0</v>
      </c>
      <c r="M166" s="2"/>
      <c r="O166" s="19"/>
      <c r="P166" s="19"/>
      <c r="Q166" s="19"/>
      <c r="R166" s="21"/>
      <c r="S166" s="46"/>
      <c r="T166" s="44"/>
      <c r="U166" s="77"/>
      <c r="V166" s="24"/>
      <c r="W166" s="24"/>
      <c r="X166" s="193"/>
      <c r="Y166" s="15"/>
    </row>
    <row r="167" spans="2:25" x14ac:dyDescent="0.25">
      <c r="B167" s="15">
        <v>165</v>
      </c>
      <c r="C167" s="8"/>
      <c r="E167" s="67"/>
      <c r="F167" s="16"/>
      <c r="G167" s="8"/>
      <c r="H167" s="8"/>
      <c r="I167" s="8"/>
      <c r="J167" s="9"/>
      <c r="K167" s="9">
        <f t="shared" si="35"/>
        <v>0</v>
      </c>
      <c r="L167" s="35">
        <f t="shared" si="36"/>
        <v>0</v>
      </c>
      <c r="M167" s="2"/>
      <c r="O167" s="19"/>
      <c r="P167" s="19"/>
      <c r="Q167" s="19"/>
      <c r="R167" s="21"/>
      <c r="S167" s="46"/>
      <c r="T167" s="44"/>
      <c r="U167" s="77"/>
      <c r="V167" s="24"/>
      <c r="W167" s="24"/>
      <c r="X167" s="193"/>
      <c r="Y167" s="15"/>
    </row>
    <row r="168" spans="2:25" x14ac:dyDescent="0.25">
      <c r="B168" s="15">
        <v>166</v>
      </c>
      <c r="C168" s="8"/>
      <c r="E168" s="67"/>
      <c r="F168" s="16"/>
      <c r="G168" s="8"/>
      <c r="H168" s="8"/>
      <c r="I168" s="8"/>
      <c r="J168" s="9"/>
      <c r="K168" s="9">
        <f t="shared" si="35"/>
        <v>0</v>
      </c>
      <c r="L168" s="35">
        <f t="shared" si="36"/>
        <v>0</v>
      </c>
      <c r="M168" s="2"/>
      <c r="O168" s="19"/>
      <c r="P168" s="19"/>
      <c r="Q168" s="19"/>
      <c r="R168" s="21"/>
      <c r="S168" s="46"/>
      <c r="T168" s="44"/>
      <c r="U168" s="77"/>
      <c r="V168" s="24"/>
      <c r="W168" s="24"/>
      <c r="X168" s="193"/>
      <c r="Y168" s="15"/>
    </row>
    <row r="169" spans="2:25" x14ac:dyDescent="0.25">
      <c r="B169" s="15">
        <v>167</v>
      </c>
      <c r="C169" s="8"/>
      <c r="E169" s="67"/>
      <c r="F169" s="16"/>
      <c r="G169" s="8"/>
      <c r="H169" s="8"/>
      <c r="I169" s="8"/>
      <c r="J169" s="9"/>
      <c r="K169" s="9">
        <f t="shared" si="35"/>
        <v>0</v>
      </c>
      <c r="L169" s="35">
        <f t="shared" si="36"/>
        <v>0</v>
      </c>
      <c r="M169" s="2"/>
      <c r="O169" s="19"/>
      <c r="P169" s="19"/>
      <c r="Q169" s="19"/>
      <c r="R169" s="21"/>
      <c r="S169" s="46"/>
      <c r="T169" s="44"/>
      <c r="U169" s="77"/>
      <c r="V169" s="30"/>
      <c r="W169" s="24"/>
      <c r="X169" s="193"/>
      <c r="Y169" s="15"/>
    </row>
    <row r="170" spans="2:25" x14ac:dyDescent="0.25">
      <c r="B170" s="15">
        <v>168</v>
      </c>
      <c r="C170" s="8"/>
      <c r="E170" s="67"/>
      <c r="F170" s="16"/>
      <c r="G170" s="8"/>
      <c r="H170" s="8"/>
      <c r="I170" s="8"/>
      <c r="J170" s="9"/>
      <c r="K170" s="9">
        <f t="shared" si="35"/>
        <v>0</v>
      </c>
      <c r="L170" s="35">
        <f t="shared" si="36"/>
        <v>0</v>
      </c>
      <c r="M170" s="2"/>
      <c r="O170" s="19"/>
      <c r="P170" s="19"/>
      <c r="Q170" s="19"/>
      <c r="R170" s="21"/>
      <c r="S170" s="46"/>
      <c r="T170" s="44"/>
      <c r="U170" s="77"/>
      <c r="V170" s="30"/>
      <c r="W170" s="24"/>
      <c r="X170" s="193"/>
      <c r="Y170" s="15"/>
    </row>
    <row r="171" spans="2:25" x14ac:dyDescent="0.25">
      <c r="B171" s="15">
        <v>169</v>
      </c>
      <c r="C171" s="8"/>
      <c r="E171" s="67"/>
      <c r="F171" s="16"/>
      <c r="G171" s="8"/>
      <c r="H171" s="8"/>
      <c r="I171" s="8"/>
      <c r="J171" s="9"/>
      <c r="K171" s="9">
        <f t="shared" si="35"/>
        <v>0</v>
      </c>
      <c r="L171" s="35">
        <f t="shared" si="36"/>
        <v>0</v>
      </c>
      <c r="M171" s="2"/>
      <c r="O171" s="19"/>
      <c r="P171" s="19"/>
      <c r="Q171" s="19"/>
      <c r="R171" s="21"/>
      <c r="S171" s="46"/>
      <c r="T171" s="44"/>
      <c r="U171" s="77"/>
      <c r="V171" s="24"/>
      <c r="W171" s="24"/>
      <c r="X171" s="193"/>
      <c r="Y171" s="15"/>
    </row>
    <row r="172" spans="2:25" x14ac:dyDescent="0.25">
      <c r="B172" s="15">
        <v>170</v>
      </c>
      <c r="C172" s="8"/>
      <c r="E172" s="67"/>
      <c r="F172" s="16"/>
      <c r="G172" s="8"/>
      <c r="H172" s="8"/>
      <c r="I172" s="8"/>
      <c r="J172" s="9"/>
      <c r="K172" s="9">
        <f t="shared" si="35"/>
        <v>0</v>
      </c>
      <c r="L172" s="35">
        <f t="shared" si="36"/>
        <v>0</v>
      </c>
      <c r="M172" s="2"/>
      <c r="O172" s="19"/>
      <c r="P172" s="19"/>
      <c r="Q172" s="19"/>
      <c r="R172" s="21"/>
      <c r="S172" s="46"/>
      <c r="T172" s="44"/>
      <c r="U172" s="77"/>
      <c r="V172" s="24"/>
      <c r="W172" s="24"/>
      <c r="X172" s="193"/>
      <c r="Y172" s="15"/>
    </row>
    <row r="173" spans="2:25" x14ac:dyDescent="0.25">
      <c r="B173" s="15">
        <v>171</v>
      </c>
      <c r="C173" s="8"/>
      <c r="E173" s="67"/>
      <c r="F173" s="16"/>
      <c r="G173" s="8"/>
      <c r="H173" s="8"/>
      <c r="I173" s="8"/>
      <c r="J173" s="9"/>
      <c r="K173" s="9">
        <f t="shared" si="35"/>
        <v>0</v>
      </c>
      <c r="L173" s="35">
        <f t="shared" si="36"/>
        <v>0</v>
      </c>
      <c r="M173" s="2"/>
      <c r="O173" s="19"/>
      <c r="P173" s="19"/>
      <c r="Q173" s="19"/>
      <c r="R173" s="21"/>
      <c r="S173" s="46"/>
      <c r="T173" s="44"/>
      <c r="U173" s="77"/>
      <c r="V173" s="24"/>
      <c r="W173" s="24"/>
      <c r="X173" s="193"/>
      <c r="Y173" s="15"/>
    </row>
    <row r="174" spans="2:25" x14ac:dyDescent="0.25">
      <c r="B174" s="15">
        <v>172</v>
      </c>
      <c r="C174" s="8"/>
      <c r="E174" s="67"/>
      <c r="F174" s="16"/>
      <c r="G174" s="8"/>
      <c r="H174" s="8"/>
      <c r="I174" s="8"/>
      <c r="J174" s="9"/>
      <c r="K174" s="9">
        <f t="shared" si="35"/>
        <v>0</v>
      </c>
      <c r="L174" s="35">
        <f t="shared" si="36"/>
        <v>0</v>
      </c>
      <c r="M174" s="2"/>
      <c r="O174" s="19"/>
      <c r="P174" s="19"/>
      <c r="Q174" s="19"/>
      <c r="R174" s="21"/>
      <c r="S174" s="46"/>
      <c r="T174" s="44"/>
      <c r="U174" s="77"/>
      <c r="V174" s="24"/>
      <c r="W174" s="24"/>
      <c r="X174" s="193"/>
      <c r="Y174" s="15"/>
    </row>
    <row r="175" spans="2:25" x14ac:dyDescent="0.25">
      <c r="B175" s="15">
        <v>173</v>
      </c>
      <c r="C175" s="8"/>
      <c r="E175" s="67"/>
      <c r="F175" s="16"/>
      <c r="G175" s="8"/>
      <c r="H175" s="8"/>
      <c r="I175" s="8"/>
      <c r="J175" s="9"/>
      <c r="K175" s="9">
        <f t="shared" si="35"/>
        <v>0</v>
      </c>
      <c r="L175" s="35">
        <f t="shared" si="36"/>
        <v>0</v>
      </c>
      <c r="M175" s="2"/>
      <c r="O175" s="19"/>
      <c r="P175" s="19"/>
      <c r="Q175" s="19"/>
      <c r="R175" s="21"/>
      <c r="S175" s="46"/>
      <c r="T175" s="44"/>
      <c r="U175" s="77"/>
      <c r="V175" s="24"/>
      <c r="W175" s="24"/>
      <c r="X175" s="193"/>
      <c r="Y175" s="15"/>
    </row>
    <row r="176" spans="2:25" x14ac:dyDescent="0.25">
      <c r="B176" s="15">
        <v>174</v>
      </c>
      <c r="C176" s="8"/>
      <c r="E176" s="67"/>
      <c r="F176" s="16"/>
      <c r="G176" s="8"/>
      <c r="H176" s="8"/>
      <c r="I176" s="8"/>
      <c r="J176" s="9"/>
      <c r="K176" s="9">
        <f t="shared" si="35"/>
        <v>0</v>
      </c>
      <c r="L176" s="35">
        <f t="shared" si="36"/>
        <v>0</v>
      </c>
      <c r="M176" s="2"/>
      <c r="O176" s="19"/>
      <c r="P176" s="19"/>
      <c r="Q176" s="19"/>
      <c r="R176" s="21"/>
      <c r="S176" s="46"/>
      <c r="T176" s="44"/>
      <c r="U176" s="77"/>
      <c r="V176" s="30"/>
      <c r="W176" s="24"/>
      <c r="X176" s="193"/>
      <c r="Y176" s="15"/>
    </row>
    <row r="177" spans="2:25" x14ac:dyDescent="0.25">
      <c r="B177" s="15">
        <v>175</v>
      </c>
      <c r="C177" s="8"/>
      <c r="E177" s="67"/>
      <c r="F177" s="16"/>
      <c r="G177" s="8"/>
      <c r="H177" s="8"/>
      <c r="I177" s="8"/>
      <c r="J177" s="9"/>
      <c r="K177" s="9">
        <f t="shared" si="35"/>
        <v>0</v>
      </c>
      <c r="L177" s="35">
        <f t="shared" si="36"/>
        <v>0</v>
      </c>
      <c r="M177" s="2"/>
      <c r="O177" s="19"/>
      <c r="P177" s="19"/>
      <c r="Q177" s="19"/>
      <c r="R177" s="21"/>
      <c r="S177" s="46"/>
      <c r="T177" s="44"/>
      <c r="U177" s="77"/>
      <c r="V177" s="30"/>
      <c r="W177" s="24"/>
      <c r="X177" s="193"/>
      <c r="Y177" s="15"/>
    </row>
    <row r="178" spans="2:25" x14ac:dyDescent="0.25">
      <c r="B178" s="15">
        <v>176</v>
      </c>
      <c r="C178" s="8"/>
      <c r="E178" s="67"/>
      <c r="F178" s="16"/>
      <c r="G178" s="8"/>
      <c r="H178" s="8"/>
      <c r="I178" s="8"/>
      <c r="J178" s="9"/>
      <c r="K178" s="9">
        <f t="shared" si="35"/>
        <v>0</v>
      </c>
      <c r="L178" s="35">
        <f t="shared" si="36"/>
        <v>0</v>
      </c>
      <c r="M178" s="2"/>
      <c r="O178" s="19"/>
      <c r="P178" s="19"/>
      <c r="Q178" s="19"/>
      <c r="R178" s="21"/>
      <c r="S178" s="46"/>
      <c r="T178" s="44"/>
      <c r="U178" s="77"/>
      <c r="V178" s="24"/>
      <c r="W178" s="24"/>
      <c r="X178" s="193"/>
      <c r="Y178" s="15"/>
    </row>
    <row r="179" spans="2:25" x14ac:dyDescent="0.25">
      <c r="B179" s="15">
        <v>177</v>
      </c>
      <c r="C179" s="8"/>
      <c r="E179" s="67"/>
      <c r="F179" s="16"/>
      <c r="G179" s="8"/>
      <c r="H179" s="8"/>
      <c r="I179" s="8"/>
      <c r="J179" s="9"/>
      <c r="K179" s="9">
        <f t="shared" si="35"/>
        <v>0</v>
      </c>
      <c r="L179" s="35">
        <f t="shared" si="36"/>
        <v>0</v>
      </c>
      <c r="M179" s="2"/>
      <c r="O179" s="19"/>
      <c r="P179" s="19"/>
      <c r="Q179" s="19"/>
      <c r="R179" s="21"/>
      <c r="S179" s="46"/>
      <c r="T179" s="44"/>
      <c r="U179" s="77"/>
      <c r="V179" s="24"/>
      <c r="W179" s="24"/>
      <c r="X179" s="193"/>
      <c r="Y179" s="15"/>
    </row>
    <row r="180" spans="2:25" x14ac:dyDescent="0.25">
      <c r="B180" s="15">
        <v>178</v>
      </c>
      <c r="C180" s="8"/>
      <c r="E180" s="67"/>
      <c r="F180" s="16"/>
      <c r="G180" s="8"/>
      <c r="H180" s="8"/>
      <c r="I180" s="8"/>
      <c r="J180" s="9"/>
      <c r="K180" s="9">
        <f t="shared" si="35"/>
        <v>0</v>
      </c>
      <c r="L180" s="35">
        <f t="shared" si="36"/>
        <v>0</v>
      </c>
      <c r="M180" s="2"/>
      <c r="O180" s="19"/>
      <c r="P180" s="19"/>
      <c r="Q180" s="19"/>
      <c r="R180" s="21"/>
      <c r="S180" s="46"/>
      <c r="T180" s="44"/>
      <c r="U180" s="77"/>
      <c r="V180" s="24"/>
      <c r="W180" s="24"/>
      <c r="X180" s="193"/>
      <c r="Y180" s="15"/>
    </row>
    <row r="181" spans="2:25" x14ac:dyDescent="0.25">
      <c r="B181" s="15">
        <v>179</v>
      </c>
      <c r="C181" s="8"/>
      <c r="E181" s="67"/>
      <c r="F181" s="16"/>
      <c r="G181" s="8"/>
      <c r="H181" s="8"/>
      <c r="I181" s="8"/>
      <c r="J181" s="9"/>
      <c r="K181" s="9">
        <f t="shared" si="35"/>
        <v>0</v>
      </c>
      <c r="L181" s="35">
        <f t="shared" si="36"/>
        <v>0</v>
      </c>
      <c r="M181" s="2"/>
      <c r="O181" s="19"/>
      <c r="P181" s="19"/>
      <c r="Q181" s="19"/>
      <c r="R181" s="21"/>
      <c r="S181" s="46"/>
      <c r="T181" s="44"/>
      <c r="U181" s="77"/>
      <c r="V181" s="24"/>
      <c r="W181" s="24"/>
      <c r="X181" s="193"/>
      <c r="Y181" s="15"/>
    </row>
    <row r="182" spans="2:25" x14ac:dyDescent="0.25">
      <c r="B182" s="15">
        <v>180</v>
      </c>
      <c r="C182" s="8"/>
      <c r="E182" s="67"/>
      <c r="F182" s="16"/>
      <c r="G182" s="8"/>
      <c r="H182" s="8"/>
      <c r="I182" s="8"/>
      <c r="J182" s="9"/>
      <c r="K182" s="9">
        <f t="shared" si="35"/>
        <v>0</v>
      </c>
      <c r="L182" s="35">
        <f t="shared" si="36"/>
        <v>0</v>
      </c>
      <c r="M182" s="2"/>
      <c r="O182" s="19"/>
      <c r="P182" s="19"/>
      <c r="Q182" s="19"/>
      <c r="R182" s="21"/>
      <c r="S182" s="46"/>
      <c r="T182" s="44"/>
      <c r="U182" s="77"/>
      <c r="V182" s="24"/>
      <c r="W182" s="24"/>
      <c r="X182" s="193"/>
      <c r="Y182" s="15"/>
    </row>
    <row r="183" spans="2:25" x14ac:dyDescent="0.25">
      <c r="B183" s="15">
        <v>181</v>
      </c>
      <c r="C183" s="8"/>
      <c r="E183" s="67"/>
      <c r="F183" s="16"/>
      <c r="G183" s="8"/>
      <c r="H183" s="8"/>
      <c r="I183" s="8"/>
      <c r="J183" s="9"/>
      <c r="K183" s="9">
        <f t="shared" si="35"/>
        <v>0</v>
      </c>
      <c r="L183" s="35">
        <f t="shared" si="36"/>
        <v>0</v>
      </c>
      <c r="M183" s="2"/>
      <c r="O183" s="19"/>
      <c r="P183" s="19"/>
      <c r="Q183" s="19"/>
      <c r="R183" s="21"/>
      <c r="S183" s="46"/>
      <c r="T183" s="44"/>
      <c r="U183" s="77"/>
      <c r="V183" s="30"/>
      <c r="W183" s="24"/>
      <c r="X183" s="193"/>
      <c r="Y183" s="15"/>
    </row>
    <row r="184" spans="2:25" x14ac:dyDescent="0.25">
      <c r="B184" s="15">
        <v>182</v>
      </c>
      <c r="C184" s="8"/>
      <c r="E184" s="67"/>
      <c r="F184" s="16"/>
      <c r="G184" s="8"/>
      <c r="H184" s="8"/>
      <c r="I184" s="8"/>
      <c r="J184" s="9"/>
      <c r="K184" s="9">
        <f t="shared" si="35"/>
        <v>0</v>
      </c>
      <c r="L184" s="35">
        <f t="shared" si="36"/>
        <v>0</v>
      </c>
      <c r="M184" s="2"/>
      <c r="O184" s="19"/>
      <c r="P184" s="19"/>
      <c r="Q184" s="19"/>
      <c r="R184" s="21"/>
      <c r="S184" s="46"/>
      <c r="T184" s="44"/>
      <c r="U184" s="77"/>
      <c r="V184" s="30"/>
      <c r="W184" s="24"/>
      <c r="X184" s="193"/>
      <c r="Y184" s="15"/>
    </row>
    <row r="185" spans="2:25" x14ac:dyDescent="0.25">
      <c r="B185" s="15">
        <v>183</v>
      </c>
      <c r="C185" s="8"/>
      <c r="E185" s="67"/>
      <c r="F185" s="16"/>
      <c r="G185" s="8"/>
      <c r="H185" s="8"/>
      <c r="I185" s="8"/>
      <c r="J185" s="9"/>
      <c r="K185" s="9">
        <f t="shared" si="35"/>
        <v>0</v>
      </c>
      <c r="L185" s="35">
        <f t="shared" si="36"/>
        <v>0</v>
      </c>
      <c r="M185" s="2"/>
      <c r="O185" s="19"/>
      <c r="P185" s="19"/>
      <c r="Q185" s="19"/>
      <c r="R185" s="21"/>
      <c r="S185" s="46"/>
      <c r="T185" s="44"/>
      <c r="U185" s="77"/>
      <c r="V185" s="30"/>
      <c r="W185" s="24"/>
      <c r="X185" s="193"/>
      <c r="Y185" s="15"/>
    </row>
    <row r="186" spans="2:25" x14ac:dyDescent="0.25">
      <c r="B186" s="15">
        <v>184</v>
      </c>
      <c r="C186" s="8"/>
      <c r="E186" s="67"/>
      <c r="F186" s="16"/>
      <c r="G186" s="8"/>
      <c r="H186" s="8"/>
      <c r="I186" s="8"/>
      <c r="J186" s="9"/>
      <c r="K186" s="9">
        <f t="shared" si="35"/>
        <v>0</v>
      </c>
      <c r="L186" s="35">
        <f t="shared" si="36"/>
        <v>0</v>
      </c>
      <c r="M186" s="2"/>
      <c r="O186" s="19"/>
      <c r="P186" s="19"/>
      <c r="Q186" s="19"/>
      <c r="R186" s="21"/>
      <c r="S186" s="46"/>
      <c r="T186" s="44"/>
      <c r="U186" s="77"/>
      <c r="V186" s="30"/>
      <c r="W186" s="24"/>
      <c r="X186" s="193"/>
      <c r="Y186" s="15"/>
    </row>
    <row r="187" spans="2:25" x14ac:dyDescent="0.25">
      <c r="B187" s="15">
        <v>185</v>
      </c>
      <c r="C187" s="8"/>
      <c r="E187" s="67"/>
      <c r="F187" s="16"/>
      <c r="G187" s="8"/>
      <c r="H187" s="8"/>
      <c r="I187" s="8"/>
      <c r="J187" s="9"/>
      <c r="K187" s="9">
        <f t="shared" si="35"/>
        <v>0</v>
      </c>
      <c r="L187" s="35">
        <f t="shared" si="36"/>
        <v>0</v>
      </c>
      <c r="M187" s="2"/>
      <c r="O187" s="19"/>
      <c r="P187" s="19"/>
      <c r="Q187" s="19"/>
      <c r="R187" s="21"/>
      <c r="S187" s="46"/>
      <c r="T187" s="44"/>
      <c r="U187" s="77"/>
      <c r="V187" s="24"/>
      <c r="W187" s="24"/>
      <c r="X187" s="193"/>
      <c r="Y187" s="15"/>
    </row>
    <row r="188" spans="2:25" x14ac:dyDescent="0.25">
      <c r="B188" s="15">
        <v>186</v>
      </c>
      <c r="C188" s="8"/>
      <c r="E188" s="67"/>
      <c r="F188" s="16"/>
      <c r="G188" s="8"/>
      <c r="H188" s="8"/>
      <c r="I188" s="8"/>
      <c r="J188" s="9"/>
      <c r="K188" s="9">
        <f t="shared" si="35"/>
        <v>0</v>
      </c>
      <c r="L188" s="35">
        <f t="shared" si="36"/>
        <v>0</v>
      </c>
      <c r="M188" s="2"/>
      <c r="O188" s="19"/>
      <c r="P188" s="19"/>
      <c r="Q188" s="19"/>
      <c r="R188" s="21"/>
      <c r="S188" s="46"/>
      <c r="T188" s="44"/>
      <c r="U188" s="77"/>
      <c r="V188" s="24"/>
      <c r="W188" s="24"/>
      <c r="X188" s="193"/>
      <c r="Y188" s="15"/>
    </row>
    <row r="189" spans="2:25" x14ac:dyDescent="0.25">
      <c r="B189" s="15">
        <v>187</v>
      </c>
      <c r="C189" s="8"/>
      <c r="E189" s="67"/>
      <c r="F189" s="16"/>
      <c r="G189" s="8"/>
      <c r="H189" s="8"/>
      <c r="I189" s="8"/>
      <c r="J189" s="9"/>
      <c r="K189" s="9">
        <f t="shared" si="35"/>
        <v>0</v>
      </c>
      <c r="L189" s="35">
        <f t="shared" si="36"/>
        <v>0</v>
      </c>
      <c r="M189" s="2"/>
      <c r="O189" s="19"/>
      <c r="P189" s="19"/>
      <c r="Q189" s="19"/>
      <c r="R189" s="21"/>
      <c r="S189" s="46"/>
      <c r="T189" s="44"/>
      <c r="U189" s="77"/>
      <c r="V189" s="24"/>
      <c r="W189" s="24"/>
      <c r="X189" s="193"/>
      <c r="Y189" s="15"/>
    </row>
    <row r="190" spans="2:25" x14ac:dyDescent="0.25">
      <c r="B190" s="15">
        <v>188</v>
      </c>
      <c r="C190" s="8"/>
      <c r="E190" s="67"/>
      <c r="F190" s="16"/>
      <c r="G190" s="8"/>
      <c r="H190" s="8"/>
      <c r="I190" s="8"/>
      <c r="J190" s="9"/>
      <c r="K190" s="9">
        <f t="shared" si="35"/>
        <v>0</v>
      </c>
      <c r="L190" s="35">
        <f t="shared" si="36"/>
        <v>0</v>
      </c>
      <c r="M190" s="2"/>
      <c r="O190" s="19"/>
      <c r="P190" s="19"/>
      <c r="Q190" s="19"/>
      <c r="R190" s="279"/>
      <c r="S190" s="46"/>
      <c r="T190" s="44"/>
      <c r="U190" s="77"/>
      <c r="V190" s="24"/>
      <c r="W190" s="24"/>
      <c r="X190" s="193"/>
      <c r="Y190" s="15"/>
    </row>
    <row r="191" spans="2:25" x14ac:dyDescent="0.25">
      <c r="B191" s="15">
        <v>189</v>
      </c>
      <c r="C191" s="8"/>
      <c r="E191" s="67"/>
      <c r="F191" s="16"/>
      <c r="G191" s="8"/>
      <c r="H191" s="8"/>
      <c r="I191" s="8"/>
      <c r="J191" s="9"/>
      <c r="K191" s="9">
        <f t="shared" si="35"/>
        <v>0</v>
      </c>
      <c r="L191" s="35">
        <f t="shared" si="36"/>
        <v>0</v>
      </c>
      <c r="M191" s="2"/>
      <c r="O191" s="19"/>
      <c r="P191" s="19"/>
      <c r="Q191" s="19"/>
      <c r="R191" s="21"/>
      <c r="S191" s="46"/>
      <c r="T191" s="44"/>
      <c r="U191" s="77"/>
      <c r="V191" s="24"/>
      <c r="W191" s="24"/>
      <c r="X191" s="193"/>
      <c r="Y191" s="15"/>
    </row>
    <row r="192" spans="2:25" x14ac:dyDescent="0.25">
      <c r="B192" s="15">
        <v>190</v>
      </c>
      <c r="C192" s="8"/>
      <c r="E192" s="67"/>
      <c r="F192" s="16"/>
      <c r="G192" s="8"/>
      <c r="H192" s="8"/>
      <c r="I192" s="8"/>
      <c r="J192" s="9"/>
      <c r="K192" s="9">
        <f t="shared" si="35"/>
        <v>0</v>
      </c>
      <c r="L192" s="35">
        <f t="shared" si="36"/>
        <v>0</v>
      </c>
      <c r="M192" s="2"/>
      <c r="O192" s="19"/>
      <c r="P192" s="19"/>
      <c r="Q192" s="19"/>
      <c r="R192" s="21"/>
      <c r="S192" s="46"/>
      <c r="T192" s="44"/>
      <c r="U192" s="77"/>
      <c r="V192" s="30"/>
      <c r="W192" s="24"/>
      <c r="X192" s="193"/>
      <c r="Y192" s="15"/>
    </row>
    <row r="193" spans="2:25" x14ac:dyDescent="0.25">
      <c r="B193" s="15">
        <v>191</v>
      </c>
      <c r="C193" s="8"/>
      <c r="E193" s="67"/>
      <c r="F193" s="16"/>
      <c r="G193" s="8"/>
      <c r="H193" s="8"/>
      <c r="I193" s="8"/>
      <c r="J193" s="9"/>
      <c r="K193" s="9">
        <f t="shared" si="35"/>
        <v>0</v>
      </c>
      <c r="L193" s="35">
        <f t="shared" si="36"/>
        <v>0</v>
      </c>
      <c r="M193" s="2"/>
      <c r="O193" s="19"/>
      <c r="P193" s="19"/>
      <c r="Q193" s="19"/>
      <c r="R193" s="21"/>
      <c r="S193" s="46"/>
      <c r="T193" s="44"/>
      <c r="U193" s="77"/>
      <c r="V193" s="30"/>
      <c r="W193" s="24"/>
      <c r="X193" s="193"/>
      <c r="Y193" s="15"/>
    </row>
    <row r="194" spans="2:25" x14ac:dyDescent="0.25">
      <c r="B194" s="15">
        <v>192</v>
      </c>
      <c r="C194" s="8"/>
      <c r="E194" s="67"/>
      <c r="F194" s="16"/>
      <c r="G194" s="8"/>
      <c r="H194" s="8"/>
      <c r="I194" s="8"/>
      <c r="J194" s="9"/>
      <c r="K194" s="9">
        <f t="shared" si="35"/>
        <v>0</v>
      </c>
      <c r="L194" s="35">
        <f t="shared" si="36"/>
        <v>0</v>
      </c>
      <c r="M194" s="2"/>
      <c r="O194" s="19"/>
      <c r="P194" s="19"/>
      <c r="Q194" s="19"/>
      <c r="R194" s="21"/>
      <c r="S194" s="46"/>
      <c r="T194" s="44"/>
      <c r="U194" s="77"/>
      <c r="V194" s="24"/>
      <c r="W194" s="24"/>
      <c r="X194" s="193"/>
      <c r="Y194" s="15"/>
    </row>
    <row r="195" spans="2:25" x14ac:dyDescent="0.25">
      <c r="B195" s="15">
        <v>193</v>
      </c>
      <c r="C195" s="8"/>
      <c r="E195" s="67"/>
      <c r="F195" s="16"/>
      <c r="G195" s="8"/>
      <c r="H195" s="8"/>
      <c r="I195" s="8"/>
      <c r="J195" s="9"/>
      <c r="K195" s="9">
        <f t="shared" ref="K195:K258" si="37">J195*1.1</f>
        <v>0</v>
      </c>
      <c r="L195" s="35">
        <f t="shared" ref="L195:L258" si="38">J195*0.00000001</f>
        <v>0</v>
      </c>
      <c r="M195" s="2"/>
      <c r="O195" s="19"/>
      <c r="P195" s="19"/>
      <c r="Q195" s="19"/>
      <c r="R195" s="21"/>
      <c r="S195" s="46"/>
      <c r="T195" s="44"/>
      <c r="U195" s="77"/>
      <c r="V195" s="24"/>
      <c r="W195" s="24"/>
      <c r="X195" s="193"/>
      <c r="Y195" s="15"/>
    </row>
    <row r="196" spans="2:25" x14ac:dyDescent="0.25">
      <c r="B196" s="15">
        <v>194</v>
      </c>
      <c r="C196" s="8"/>
      <c r="E196" s="67"/>
      <c r="F196" s="16"/>
      <c r="G196" s="8"/>
      <c r="H196" s="8"/>
      <c r="I196" s="8"/>
      <c r="J196" s="9"/>
      <c r="K196" s="9">
        <f t="shared" si="37"/>
        <v>0</v>
      </c>
      <c r="L196" s="35">
        <f t="shared" si="38"/>
        <v>0</v>
      </c>
      <c r="M196" s="2"/>
      <c r="O196" s="19"/>
      <c r="P196" s="19"/>
      <c r="Q196" s="19"/>
      <c r="R196" s="21"/>
      <c r="S196" s="46"/>
      <c r="T196" s="44"/>
      <c r="U196" s="77"/>
      <c r="V196" s="24"/>
      <c r="W196" s="24"/>
      <c r="X196" s="193"/>
      <c r="Y196" s="15"/>
    </row>
    <row r="197" spans="2:25" x14ac:dyDescent="0.25">
      <c r="B197" s="15">
        <v>195</v>
      </c>
      <c r="C197" s="8"/>
      <c r="E197" s="67"/>
      <c r="F197" s="16"/>
      <c r="G197" s="8"/>
      <c r="H197" s="8"/>
      <c r="I197" s="8"/>
      <c r="J197" s="9"/>
      <c r="K197" s="9">
        <f t="shared" si="37"/>
        <v>0</v>
      </c>
      <c r="L197" s="35">
        <f t="shared" si="38"/>
        <v>0</v>
      </c>
      <c r="M197" s="2"/>
      <c r="O197" s="19"/>
      <c r="P197" s="19"/>
      <c r="Q197" s="19"/>
      <c r="R197" s="21"/>
      <c r="S197" s="46"/>
      <c r="T197" s="44"/>
      <c r="U197" s="77"/>
      <c r="V197" s="24"/>
      <c r="W197" s="24"/>
      <c r="X197" s="193"/>
      <c r="Y197" s="15"/>
    </row>
    <row r="198" spans="2:25" x14ac:dyDescent="0.25">
      <c r="B198" s="15">
        <v>196</v>
      </c>
      <c r="C198" s="8"/>
      <c r="E198" s="67"/>
      <c r="F198" s="16"/>
      <c r="G198" s="8"/>
      <c r="H198" s="8"/>
      <c r="I198" s="8"/>
      <c r="J198" s="9"/>
      <c r="K198" s="9">
        <f t="shared" si="37"/>
        <v>0</v>
      </c>
      <c r="L198" s="35">
        <f t="shared" si="38"/>
        <v>0</v>
      </c>
      <c r="M198" s="2"/>
      <c r="O198" s="19"/>
      <c r="P198" s="19"/>
      <c r="Q198" s="19"/>
      <c r="R198" s="21"/>
      <c r="S198" s="46"/>
      <c r="T198" s="44"/>
      <c r="U198" s="77"/>
      <c r="V198" s="24"/>
      <c r="W198" s="24"/>
      <c r="X198" s="193"/>
      <c r="Y198" s="15"/>
    </row>
    <row r="199" spans="2:25" x14ac:dyDescent="0.25">
      <c r="B199" s="15">
        <v>197</v>
      </c>
      <c r="C199" s="8"/>
      <c r="E199" s="67"/>
      <c r="F199" s="16"/>
      <c r="G199" s="8"/>
      <c r="H199" s="8"/>
      <c r="I199" s="8"/>
      <c r="J199" s="9"/>
      <c r="K199" s="9">
        <f t="shared" si="37"/>
        <v>0</v>
      </c>
      <c r="L199" s="35">
        <f t="shared" si="38"/>
        <v>0</v>
      </c>
      <c r="M199" s="2"/>
      <c r="O199" s="19"/>
      <c r="P199" s="19"/>
      <c r="Q199" s="19"/>
      <c r="R199" s="21"/>
      <c r="S199" s="46"/>
      <c r="T199" s="44"/>
      <c r="U199" s="77"/>
      <c r="V199" s="24"/>
      <c r="W199" s="24"/>
      <c r="X199" s="193"/>
      <c r="Y199" s="15"/>
    </row>
    <row r="200" spans="2:25" x14ac:dyDescent="0.25">
      <c r="B200" s="15">
        <v>198</v>
      </c>
      <c r="C200" s="8"/>
      <c r="E200" s="67"/>
      <c r="F200" s="16"/>
      <c r="G200" s="8"/>
      <c r="H200" s="8"/>
      <c r="I200" s="8"/>
      <c r="J200" s="9"/>
      <c r="K200" s="9">
        <f t="shared" si="37"/>
        <v>0</v>
      </c>
      <c r="L200" s="35">
        <f t="shared" si="38"/>
        <v>0</v>
      </c>
      <c r="M200" s="2"/>
      <c r="O200" s="19"/>
      <c r="P200" s="19"/>
      <c r="Q200" s="19"/>
      <c r="R200" s="21"/>
      <c r="S200" s="46"/>
      <c r="T200" s="44"/>
      <c r="U200" s="77"/>
      <c r="V200" s="30"/>
      <c r="W200" s="24"/>
      <c r="X200" s="193"/>
      <c r="Y200" s="15"/>
    </row>
    <row r="201" spans="2:25" x14ac:dyDescent="0.25">
      <c r="B201" s="15">
        <v>199</v>
      </c>
      <c r="C201" s="8"/>
      <c r="E201" s="67"/>
      <c r="F201" s="16"/>
      <c r="G201" s="8"/>
      <c r="H201" s="8"/>
      <c r="I201" s="8"/>
      <c r="J201" s="9"/>
      <c r="K201" s="9">
        <f t="shared" si="37"/>
        <v>0</v>
      </c>
      <c r="L201" s="35">
        <f t="shared" si="38"/>
        <v>0</v>
      </c>
      <c r="M201" s="2"/>
      <c r="O201" s="19"/>
      <c r="P201" s="19"/>
      <c r="Q201" s="19"/>
      <c r="R201" s="21"/>
      <c r="S201" s="46"/>
      <c r="T201" s="44"/>
      <c r="U201" s="77"/>
      <c r="V201" s="30"/>
      <c r="W201" s="24"/>
      <c r="X201" s="193"/>
      <c r="Y201" s="15"/>
    </row>
    <row r="202" spans="2:25" x14ac:dyDescent="0.25">
      <c r="B202" s="15">
        <v>200</v>
      </c>
      <c r="C202" s="8"/>
      <c r="E202" s="67"/>
      <c r="F202" s="16"/>
      <c r="G202" s="8"/>
      <c r="H202" s="8"/>
      <c r="I202" s="8"/>
      <c r="J202" s="9"/>
      <c r="K202" s="9">
        <f t="shared" si="37"/>
        <v>0</v>
      </c>
      <c r="L202" s="35">
        <f t="shared" si="38"/>
        <v>0</v>
      </c>
      <c r="M202" s="2"/>
      <c r="O202" s="19"/>
      <c r="P202" s="19"/>
      <c r="Q202" s="19"/>
      <c r="R202" s="21"/>
      <c r="S202" s="46"/>
      <c r="T202" s="44"/>
      <c r="U202" s="77"/>
      <c r="V202" s="30"/>
      <c r="W202" s="24"/>
      <c r="X202" s="193"/>
      <c r="Y202" s="15"/>
    </row>
    <row r="203" spans="2:25" x14ac:dyDescent="0.25">
      <c r="B203" s="15">
        <v>201</v>
      </c>
      <c r="C203" s="8"/>
      <c r="E203" s="67"/>
      <c r="F203" s="16"/>
      <c r="G203" s="8"/>
      <c r="H203" s="8"/>
      <c r="I203" s="8"/>
      <c r="J203" s="9"/>
      <c r="K203" s="9">
        <f t="shared" si="37"/>
        <v>0</v>
      </c>
      <c r="L203" s="35">
        <f t="shared" si="38"/>
        <v>0</v>
      </c>
      <c r="M203" s="2"/>
      <c r="O203" s="19"/>
      <c r="P203" s="19"/>
      <c r="Q203" s="19"/>
      <c r="R203" s="21"/>
      <c r="S203" s="46"/>
      <c r="T203" s="44"/>
      <c r="U203" s="77"/>
      <c r="V203" s="24"/>
      <c r="W203" s="24"/>
      <c r="X203" s="193"/>
      <c r="Y203" s="15"/>
    </row>
    <row r="204" spans="2:25" x14ac:dyDescent="0.25">
      <c r="B204" s="15">
        <v>202</v>
      </c>
      <c r="C204" s="8"/>
      <c r="E204" s="67"/>
      <c r="F204" s="16"/>
      <c r="G204" s="8"/>
      <c r="H204" s="8"/>
      <c r="I204" s="8"/>
      <c r="J204" s="9"/>
      <c r="K204" s="9">
        <f t="shared" si="37"/>
        <v>0</v>
      </c>
      <c r="L204" s="35">
        <f t="shared" si="38"/>
        <v>0</v>
      </c>
      <c r="M204" s="2"/>
      <c r="O204" s="19"/>
      <c r="P204" s="19"/>
      <c r="Q204" s="19"/>
      <c r="R204" s="21"/>
      <c r="S204" s="46"/>
      <c r="T204" s="44"/>
      <c r="U204" s="77"/>
      <c r="V204" s="24"/>
      <c r="W204" s="24"/>
      <c r="X204" s="193"/>
      <c r="Y204" s="15"/>
    </row>
    <row r="205" spans="2:25" x14ac:dyDescent="0.25">
      <c r="B205" s="15">
        <v>203</v>
      </c>
      <c r="C205" s="8"/>
      <c r="E205" s="67"/>
      <c r="F205" s="16"/>
      <c r="G205" s="8"/>
      <c r="H205" s="8"/>
      <c r="I205" s="8"/>
      <c r="J205" s="9"/>
      <c r="K205" s="9">
        <f t="shared" si="37"/>
        <v>0</v>
      </c>
      <c r="L205" s="35">
        <f t="shared" si="38"/>
        <v>0</v>
      </c>
      <c r="M205" s="2"/>
      <c r="O205" s="19"/>
      <c r="P205" s="19"/>
      <c r="Q205" s="19"/>
      <c r="R205" s="21"/>
      <c r="S205" s="46"/>
      <c r="T205" s="44"/>
      <c r="U205" s="77"/>
      <c r="V205" s="24"/>
      <c r="W205" s="24"/>
      <c r="X205" s="193"/>
      <c r="Y205" s="15"/>
    </row>
    <row r="206" spans="2:25" x14ac:dyDescent="0.25">
      <c r="B206" s="15">
        <v>204</v>
      </c>
      <c r="C206" s="8"/>
      <c r="E206" s="67"/>
      <c r="F206" s="16"/>
      <c r="G206" s="8"/>
      <c r="H206" s="8"/>
      <c r="I206" s="8"/>
      <c r="J206" s="9"/>
      <c r="K206" s="9">
        <f t="shared" si="37"/>
        <v>0</v>
      </c>
      <c r="L206" s="35">
        <f t="shared" si="38"/>
        <v>0</v>
      </c>
      <c r="M206" s="2"/>
      <c r="O206" s="19"/>
      <c r="P206" s="19"/>
      <c r="Q206" s="19"/>
      <c r="R206" s="21"/>
      <c r="S206" s="46"/>
      <c r="T206" s="44"/>
      <c r="U206" s="77"/>
      <c r="V206" s="24"/>
      <c r="W206" s="24"/>
      <c r="X206" s="193"/>
      <c r="Y206" s="15"/>
    </row>
    <row r="207" spans="2:25" x14ac:dyDescent="0.25">
      <c r="B207" s="15">
        <v>205</v>
      </c>
      <c r="C207" s="8"/>
      <c r="E207" s="67"/>
      <c r="F207" s="16"/>
      <c r="G207" s="8"/>
      <c r="H207" s="8"/>
      <c r="I207" s="8"/>
      <c r="J207" s="9"/>
      <c r="K207" s="9">
        <f t="shared" si="37"/>
        <v>0</v>
      </c>
      <c r="L207" s="35">
        <f t="shared" si="38"/>
        <v>0</v>
      </c>
      <c r="M207" s="2"/>
      <c r="O207" s="19"/>
      <c r="P207" s="19"/>
      <c r="Q207" s="19"/>
      <c r="R207" s="21"/>
      <c r="S207" s="46"/>
      <c r="T207" s="44"/>
      <c r="U207" s="77"/>
      <c r="V207" s="24"/>
      <c r="W207" s="24"/>
      <c r="X207" s="193"/>
      <c r="Y207" s="15"/>
    </row>
    <row r="208" spans="2:25" x14ac:dyDescent="0.25">
      <c r="B208" s="15">
        <v>206</v>
      </c>
      <c r="C208" s="8"/>
      <c r="E208" s="67"/>
      <c r="F208" s="16"/>
      <c r="G208" s="8"/>
      <c r="H208" s="8"/>
      <c r="I208" s="8"/>
      <c r="J208" s="9"/>
      <c r="K208" s="9">
        <f t="shared" si="37"/>
        <v>0</v>
      </c>
      <c r="L208" s="35">
        <f t="shared" si="38"/>
        <v>0</v>
      </c>
      <c r="M208" s="2"/>
      <c r="O208" s="19"/>
      <c r="P208" s="19"/>
      <c r="Q208" s="19"/>
      <c r="R208" s="21"/>
      <c r="S208" s="46"/>
      <c r="T208" s="44"/>
      <c r="U208" s="77"/>
      <c r="V208" s="30"/>
      <c r="W208" s="24"/>
      <c r="X208" s="193"/>
      <c r="Y208" s="15"/>
    </row>
    <row r="209" spans="2:25" x14ac:dyDescent="0.25">
      <c r="B209" s="15">
        <v>207</v>
      </c>
      <c r="C209" s="8"/>
      <c r="E209" s="67"/>
      <c r="F209" s="16"/>
      <c r="G209" s="8"/>
      <c r="H209" s="8"/>
      <c r="I209" s="8"/>
      <c r="J209" s="9"/>
      <c r="K209" s="9">
        <f t="shared" si="37"/>
        <v>0</v>
      </c>
      <c r="L209" s="35">
        <f t="shared" si="38"/>
        <v>0</v>
      </c>
      <c r="M209" s="2"/>
      <c r="O209" s="19"/>
      <c r="P209" s="19"/>
      <c r="Q209" s="19"/>
      <c r="R209" s="21"/>
      <c r="S209" s="46"/>
      <c r="T209" s="44"/>
      <c r="U209" s="77"/>
      <c r="V209" s="30"/>
      <c r="W209" s="24"/>
      <c r="X209" s="193"/>
      <c r="Y209" s="15"/>
    </row>
    <row r="210" spans="2:25" x14ac:dyDescent="0.25">
      <c r="B210" s="15">
        <v>208</v>
      </c>
      <c r="C210" s="8"/>
      <c r="E210" s="67"/>
      <c r="F210" s="16"/>
      <c r="G210" s="8"/>
      <c r="H210" s="8"/>
      <c r="I210" s="8"/>
      <c r="J210" s="9"/>
      <c r="K210" s="9">
        <f t="shared" si="37"/>
        <v>0</v>
      </c>
      <c r="L210" s="35">
        <f t="shared" si="38"/>
        <v>0</v>
      </c>
      <c r="M210" s="2"/>
      <c r="O210" s="19"/>
      <c r="P210" s="19"/>
      <c r="Q210" s="19"/>
      <c r="R210" s="21"/>
      <c r="S210" s="46"/>
      <c r="T210" s="44"/>
      <c r="U210" s="77"/>
      <c r="V210" s="24"/>
      <c r="W210" s="24"/>
      <c r="X210" s="193"/>
      <c r="Y210" s="15"/>
    </row>
    <row r="211" spans="2:25" x14ac:dyDescent="0.25">
      <c r="B211" s="15">
        <v>209</v>
      </c>
      <c r="C211" s="8"/>
      <c r="E211" s="67"/>
      <c r="F211" s="16"/>
      <c r="G211" s="8"/>
      <c r="H211" s="8"/>
      <c r="I211" s="8"/>
      <c r="J211" s="9"/>
      <c r="K211" s="9">
        <f t="shared" si="37"/>
        <v>0</v>
      </c>
      <c r="L211" s="35">
        <f t="shared" si="38"/>
        <v>0</v>
      </c>
      <c r="M211" s="2"/>
      <c r="O211" s="19"/>
      <c r="P211" s="19"/>
      <c r="Q211" s="19"/>
      <c r="R211" s="21"/>
      <c r="S211" s="46"/>
      <c r="T211" s="44"/>
      <c r="U211" s="77"/>
      <c r="V211" s="24"/>
      <c r="W211" s="24"/>
      <c r="X211" s="193"/>
      <c r="Y211" s="15"/>
    </row>
    <row r="212" spans="2:25" x14ac:dyDescent="0.25">
      <c r="B212" s="15">
        <v>210</v>
      </c>
      <c r="C212" s="8"/>
      <c r="E212" s="67"/>
      <c r="F212" s="16"/>
      <c r="G212" s="8"/>
      <c r="H212" s="8"/>
      <c r="I212" s="8"/>
      <c r="J212" s="9"/>
      <c r="K212" s="9">
        <f t="shared" si="37"/>
        <v>0</v>
      </c>
      <c r="L212" s="35">
        <f t="shared" si="38"/>
        <v>0</v>
      </c>
      <c r="M212" s="2"/>
      <c r="O212" s="19"/>
      <c r="P212" s="19"/>
      <c r="Q212" s="19"/>
      <c r="R212" s="21"/>
      <c r="S212" s="46"/>
      <c r="T212" s="44"/>
      <c r="U212" s="77"/>
      <c r="V212" s="24"/>
      <c r="W212" s="24"/>
      <c r="X212" s="193"/>
      <c r="Y212" s="15"/>
    </row>
    <row r="213" spans="2:25" x14ac:dyDescent="0.25">
      <c r="B213" s="15">
        <v>211</v>
      </c>
      <c r="C213" s="8"/>
      <c r="E213" s="67"/>
      <c r="F213" s="16"/>
      <c r="G213" s="8"/>
      <c r="H213" s="8"/>
      <c r="I213" s="8"/>
      <c r="J213" s="9"/>
      <c r="K213" s="9">
        <f t="shared" si="37"/>
        <v>0</v>
      </c>
      <c r="L213" s="35">
        <f t="shared" si="38"/>
        <v>0</v>
      </c>
      <c r="M213" s="2"/>
      <c r="O213" s="19"/>
      <c r="P213" s="19"/>
      <c r="Q213" s="19"/>
      <c r="R213" s="21"/>
      <c r="S213" s="46"/>
      <c r="T213" s="44"/>
      <c r="U213" s="77"/>
      <c r="V213" s="24"/>
      <c r="W213" s="24"/>
      <c r="X213" s="193"/>
      <c r="Y213" s="15"/>
    </row>
    <row r="214" spans="2:25" x14ac:dyDescent="0.25">
      <c r="B214" s="15">
        <v>212</v>
      </c>
      <c r="C214" s="8"/>
      <c r="E214" s="67"/>
      <c r="F214" s="16"/>
      <c r="G214" s="8"/>
      <c r="H214" s="8"/>
      <c r="I214" s="8"/>
      <c r="J214" s="9"/>
      <c r="K214" s="9">
        <f t="shared" si="37"/>
        <v>0</v>
      </c>
      <c r="L214" s="35">
        <f t="shared" si="38"/>
        <v>0</v>
      </c>
      <c r="M214" s="2"/>
      <c r="O214" s="19"/>
      <c r="P214" s="19"/>
      <c r="Q214" s="19"/>
      <c r="R214" s="21"/>
      <c r="S214" s="46"/>
      <c r="T214" s="44"/>
      <c r="U214" s="77"/>
      <c r="V214" s="24"/>
      <c r="W214" s="24"/>
      <c r="X214" s="193"/>
      <c r="Y214" s="15"/>
    </row>
    <row r="215" spans="2:25" x14ac:dyDescent="0.25">
      <c r="B215" s="15">
        <v>213</v>
      </c>
      <c r="C215" s="8"/>
      <c r="E215" s="67"/>
      <c r="F215" s="16"/>
      <c r="G215" s="8"/>
      <c r="H215" s="8"/>
      <c r="I215" s="8"/>
      <c r="J215" s="9"/>
      <c r="K215" s="9">
        <f t="shared" si="37"/>
        <v>0</v>
      </c>
      <c r="L215" s="35">
        <f t="shared" si="38"/>
        <v>0</v>
      </c>
      <c r="M215" s="2"/>
      <c r="O215" s="19"/>
      <c r="P215" s="19"/>
      <c r="Q215" s="19"/>
      <c r="R215" s="21"/>
      <c r="S215" s="46"/>
      <c r="T215" s="44"/>
      <c r="U215" s="77"/>
      <c r="V215" s="30"/>
      <c r="W215" s="24"/>
      <c r="X215" s="193"/>
      <c r="Y215" s="15"/>
    </row>
    <row r="216" spans="2:25" x14ac:dyDescent="0.25">
      <c r="B216" s="15">
        <v>214</v>
      </c>
      <c r="C216" s="8"/>
      <c r="E216" s="67"/>
      <c r="F216" s="16"/>
      <c r="G216" s="8"/>
      <c r="H216" s="8"/>
      <c r="I216" s="8"/>
      <c r="J216" s="9"/>
      <c r="K216" s="9">
        <f t="shared" si="37"/>
        <v>0</v>
      </c>
      <c r="L216" s="35">
        <f t="shared" si="38"/>
        <v>0</v>
      </c>
      <c r="M216" s="2"/>
      <c r="O216" s="19"/>
      <c r="P216" s="19"/>
      <c r="Q216" s="19"/>
      <c r="R216" s="21"/>
      <c r="S216" s="46"/>
      <c r="T216" s="44"/>
      <c r="U216" s="77"/>
      <c r="V216" s="30"/>
      <c r="W216" s="24"/>
      <c r="X216" s="193"/>
      <c r="Y216" s="15"/>
    </row>
    <row r="217" spans="2:25" x14ac:dyDescent="0.25">
      <c r="B217" s="15">
        <v>215</v>
      </c>
      <c r="C217" s="8"/>
      <c r="E217" s="67"/>
      <c r="F217" s="16"/>
      <c r="G217" s="8"/>
      <c r="H217" s="8"/>
      <c r="I217" s="8"/>
      <c r="J217" s="9"/>
      <c r="K217" s="9">
        <f t="shared" si="37"/>
        <v>0</v>
      </c>
      <c r="L217" s="35">
        <f t="shared" si="38"/>
        <v>0</v>
      </c>
      <c r="M217" s="2"/>
      <c r="O217" s="19"/>
      <c r="P217" s="19"/>
      <c r="Q217" s="19"/>
      <c r="R217" s="21"/>
      <c r="S217" s="46"/>
      <c r="T217" s="44"/>
      <c r="U217" s="77"/>
      <c r="V217" s="30"/>
      <c r="W217" s="24"/>
      <c r="X217" s="193"/>
      <c r="Y217" s="15"/>
    </row>
    <row r="218" spans="2:25" x14ac:dyDescent="0.25">
      <c r="B218" s="15">
        <v>216</v>
      </c>
      <c r="C218" s="8"/>
      <c r="E218" s="67"/>
      <c r="F218" s="16"/>
      <c r="G218" s="8"/>
      <c r="H218" s="8"/>
      <c r="I218" s="8"/>
      <c r="J218" s="9"/>
      <c r="K218" s="9">
        <f t="shared" si="37"/>
        <v>0</v>
      </c>
      <c r="L218" s="35">
        <f t="shared" si="38"/>
        <v>0</v>
      </c>
      <c r="M218" s="2"/>
      <c r="O218" s="19"/>
      <c r="P218" s="19"/>
      <c r="Q218" s="19"/>
      <c r="R218" s="21"/>
      <c r="S218" s="46"/>
      <c r="T218" s="44"/>
      <c r="U218" s="77"/>
      <c r="V218" s="30"/>
      <c r="W218" s="24"/>
      <c r="X218" s="193"/>
      <c r="Y218" s="15"/>
    </row>
    <row r="219" spans="2:25" x14ac:dyDescent="0.25">
      <c r="B219" s="15">
        <v>217</v>
      </c>
      <c r="C219" s="8"/>
      <c r="E219" s="67"/>
      <c r="F219" s="16"/>
      <c r="G219" s="8"/>
      <c r="H219" s="8"/>
      <c r="I219" s="8"/>
      <c r="J219" s="9"/>
      <c r="K219" s="9">
        <f t="shared" si="37"/>
        <v>0</v>
      </c>
      <c r="L219" s="35">
        <f t="shared" si="38"/>
        <v>0</v>
      </c>
      <c r="M219" s="2"/>
      <c r="O219" s="19"/>
      <c r="P219" s="19"/>
      <c r="Q219" s="19"/>
      <c r="R219" s="21"/>
      <c r="S219" s="46"/>
      <c r="T219" s="44"/>
      <c r="U219" s="77"/>
      <c r="V219" s="30"/>
      <c r="W219" s="24"/>
      <c r="X219" s="193"/>
      <c r="Y219" s="15"/>
    </row>
    <row r="220" spans="2:25" x14ac:dyDescent="0.25">
      <c r="B220" s="15">
        <v>218</v>
      </c>
      <c r="C220" s="8"/>
      <c r="E220" s="67"/>
      <c r="F220" s="16"/>
      <c r="G220" s="8"/>
      <c r="H220" s="8"/>
      <c r="I220" s="8"/>
      <c r="J220" s="9"/>
      <c r="K220" s="9">
        <f t="shared" si="37"/>
        <v>0</v>
      </c>
      <c r="L220" s="35">
        <f t="shared" si="38"/>
        <v>0</v>
      </c>
      <c r="M220" s="2"/>
      <c r="O220" s="19"/>
      <c r="P220" s="19"/>
      <c r="Q220" s="19"/>
      <c r="R220" s="21"/>
      <c r="S220" s="46"/>
      <c r="T220" s="44"/>
      <c r="U220" s="77"/>
      <c r="V220" s="30"/>
      <c r="W220" s="24"/>
      <c r="X220" s="193"/>
      <c r="Y220" s="15"/>
    </row>
    <row r="221" spans="2:25" x14ac:dyDescent="0.25">
      <c r="B221" s="15">
        <v>219</v>
      </c>
      <c r="C221" s="8"/>
      <c r="E221" s="67"/>
      <c r="F221" s="16"/>
      <c r="G221" s="8"/>
      <c r="H221" s="8"/>
      <c r="I221" s="8"/>
      <c r="J221" s="9"/>
      <c r="K221" s="9">
        <f t="shared" si="37"/>
        <v>0</v>
      </c>
      <c r="L221" s="35">
        <f t="shared" si="38"/>
        <v>0</v>
      </c>
      <c r="M221" s="2"/>
      <c r="O221" s="19"/>
      <c r="P221" s="19"/>
      <c r="Q221" s="19"/>
      <c r="R221" s="21"/>
      <c r="S221" s="46"/>
      <c r="T221" s="44"/>
      <c r="U221" s="77"/>
      <c r="V221" s="24"/>
      <c r="W221" s="24"/>
      <c r="X221" s="193"/>
      <c r="Y221" s="15"/>
    </row>
    <row r="222" spans="2:25" x14ac:dyDescent="0.25">
      <c r="B222" s="15">
        <v>220</v>
      </c>
      <c r="C222" s="8"/>
      <c r="E222" s="67"/>
      <c r="F222" s="16"/>
      <c r="G222" s="8"/>
      <c r="H222" s="8"/>
      <c r="I222" s="8"/>
      <c r="J222" s="9"/>
      <c r="K222" s="9">
        <f t="shared" si="37"/>
        <v>0</v>
      </c>
      <c r="L222" s="35">
        <f t="shared" si="38"/>
        <v>0</v>
      </c>
      <c r="M222" s="2"/>
      <c r="O222" s="19"/>
      <c r="P222" s="19"/>
      <c r="Q222" s="19"/>
      <c r="R222" s="21"/>
      <c r="S222" s="46"/>
      <c r="T222" s="44"/>
      <c r="U222" s="77"/>
      <c r="V222" s="24"/>
      <c r="W222" s="24"/>
      <c r="X222" s="193"/>
      <c r="Y222" s="15"/>
    </row>
    <row r="223" spans="2:25" x14ac:dyDescent="0.25">
      <c r="B223" s="15">
        <v>221</v>
      </c>
      <c r="C223" s="8"/>
      <c r="E223" s="67"/>
      <c r="F223" s="16"/>
      <c r="G223" s="8"/>
      <c r="H223" s="8"/>
      <c r="I223" s="8"/>
      <c r="J223" s="9"/>
      <c r="K223" s="9">
        <f t="shared" si="37"/>
        <v>0</v>
      </c>
      <c r="L223" s="35">
        <f t="shared" si="38"/>
        <v>0</v>
      </c>
      <c r="M223" s="2"/>
      <c r="O223" s="19"/>
      <c r="P223" s="19"/>
      <c r="Q223" s="19"/>
      <c r="R223" s="21"/>
      <c r="S223" s="46"/>
      <c r="T223" s="44"/>
      <c r="U223" s="77"/>
      <c r="V223" s="24"/>
      <c r="W223" s="24"/>
      <c r="X223" s="193"/>
      <c r="Y223" s="15"/>
    </row>
    <row r="224" spans="2:25" x14ac:dyDescent="0.25">
      <c r="B224" s="15">
        <v>222</v>
      </c>
      <c r="C224" s="8"/>
      <c r="E224" s="67"/>
      <c r="F224" s="16"/>
      <c r="G224" s="8"/>
      <c r="H224" s="8"/>
      <c r="I224" s="8"/>
      <c r="J224" s="9"/>
      <c r="K224" s="9">
        <f t="shared" si="37"/>
        <v>0</v>
      </c>
      <c r="L224" s="35">
        <f t="shared" si="38"/>
        <v>0</v>
      </c>
      <c r="M224" s="2"/>
      <c r="O224" s="19"/>
      <c r="P224" s="19"/>
      <c r="Q224" s="19"/>
      <c r="R224" s="21"/>
      <c r="S224" s="46"/>
      <c r="T224" s="44"/>
      <c r="U224" s="77"/>
      <c r="V224" s="30"/>
      <c r="W224" s="24"/>
      <c r="X224" s="193"/>
      <c r="Y224" s="15"/>
    </row>
    <row r="225" spans="2:25" x14ac:dyDescent="0.25">
      <c r="B225" s="15">
        <v>223</v>
      </c>
      <c r="C225" s="8"/>
      <c r="E225" s="67"/>
      <c r="F225" s="16"/>
      <c r="G225" s="8"/>
      <c r="H225" s="8"/>
      <c r="I225" s="8"/>
      <c r="J225" s="9"/>
      <c r="K225" s="9">
        <f t="shared" si="37"/>
        <v>0</v>
      </c>
      <c r="L225" s="35">
        <f t="shared" si="38"/>
        <v>0</v>
      </c>
      <c r="M225" s="2"/>
      <c r="O225" s="19"/>
      <c r="P225" s="19"/>
      <c r="Q225" s="19"/>
      <c r="R225" s="21"/>
      <c r="S225" s="46"/>
      <c r="T225" s="44"/>
      <c r="U225" s="77"/>
      <c r="V225" s="30"/>
      <c r="W225" s="24"/>
      <c r="X225" s="193"/>
      <c r="Y225" s="15"/>
    </row>
    <row r="226" spans="2:25" x14ac:dyDescent="0.25">
      <c r="B226" s="15">
        <v>224</v>
      </c>
      <c r="C226" s="8"/>
      <c r="E226" s="67"/>
      <c r="F226" s="16"/>
      <c r="G226" s="8"/>
      <c r="H226" s="8"/>
      <c r="I226" s="8"/>
      <c r="J226" s="9"/>
      <c r="K226" s="9">
        <f t="shared" si="37"/>
        <v>0</v>
      </c>
      <c r="L226" s="35">
        <f t="shared" si="38"/>
        <v>0</v>
      </c>
      <c r="M226" s="2"/>
      <c r="O226" s="19"/>
      <c r="P226" s="19"/>
      <c r="Q226" s="19"/>
      <c r="R226" s="21"/>
      <c r="S226" s="46"/>
      <c r="T226" s="44"/>
      <c r="U226" s="77"/>
      <c r="V226" s="24"/>
      <c r="W226" s="24"/>
      <c r="X226" s="193"/>
      <c r="Y226" s="15"/>
    </row>
    <row r="227" spans="2:25" x14ac:dyDescent="0.25">
      <c r="B227" s="15">
        <v>225</v>
      </c>
      <c r="C227" s="8"/>
      <c r="E227" s="67"/>
      <c r="F227" s="16"/>
      <c r="G227" s="8"/>
      <c r="H227" s="8"/>
      <c r="I227" s="8"/>
      <c r="J227" s="9"/>
      <c r="K227" s="9">
        <f t="shared" si="37"/>
        <v>0</v>
      </c>
      <c r="L227" s="35">
        <f t="shared" si="38"/>
        <v>0</v>
      </c>
      <c r="M227" s="2"/>
      <c r="O227" s="19"/>
      <c r="P227" s="19"/>
      <c r="Q227" s="19"/>
      <c r="R227" s="21"/>
      <c r="S227" s="46"/>
      <c r="T227" s="44"/>
      <c r="U227" s="77"/>
      <c r="V227" s="24"/>
      <c r="W227" s="24"/>
      <c r="X227" s="193"/>
      <c r="Y227" s="15"/>
    </row>
    <row r="228" spans="2:25" x14ac:dyDescent="0.25">
      <c r="B228" s="15">
        <v>226</v>
      </c>
      <c r="C228" s="8"/>
      <c r="E228" s="67"/>
      <c r="F228" s="16"/>
      <c r="G228" s="8"/>
      <c r="H228" s="8"/>
      <c r="I228" s="8"/>
      <c r="J228" s="9"/>
      <c r="K228" s="9">
        <f t="shared" si="37"/>
        <v>0</v>
      </c>
      <c r="L228" s="35">
        <f t="shared" si="38"/>
        <v>0</v>
      </c>
      <c r="M228" s="2"/>
      <c r="O228" s="19"/>
      <c r="P228" s="19"/>
      <c r="Q228" s="19"/>
      <c r="R228" s="21"/>
      <c r="S228" s="46"/>
      <c r="T228" s="44"/>
      <c r="U228" s="77"/>
      <c r="V228" s="24"/>
      <c r="W228" s="24"/>
      <c r="X228" s="193"/>
      <c r="Y228" s="15"/>
    </row>
    <row r="229" spans="2:25" x14ac:dyDescent="0.25">
      <c r="B229" s="15">
        <v>227</v>
      </c>
      <c r="C229" s="8"/>
      <c r="E229" s="67"/>
      <c r="F229" s="16"/>
      <c r="G229" s="8"/>
      <c r="H229" s="8"/>
      <c r="I229" s="8"/>
      <c r="J229" s="9"/>
      <c r="K229" s="9">
        <f t="shared" si="37"/>
        <v>0</v>
      </c>
      <c r="L229" s="35">
        <f t="shared" si="38"/>
        <v>0</v>
      </c>
      <c r="M229" s="2"/>
      <c r="O229" s="19"/>
      <c r="P229" s="19"/>
      <c r="Q229" s="19"/>
      <c r="R229" s="21"/>
      <c r="S229" s="46"/>
      <c r="T229" s="44"/>
      <c r="U229" s="77"/>
      <c r="V229" s="24"/>
      <c r="W229" s="24"/>
      <c r="X229" s="193"/>
      <c r="Y229" s="15"/>
    </row>
    <row r="230" spans="2:25" x14ac:dyDescent="0.25">
      <c r="B230" s="15">
        <v>228</v>
      </c>
      <c r="C230" s="8"/>
      <c r="E230" s="67"/>
      <c r="F230" s="16"/>
      <c r="G230" s="8"/>
      <c r="H230" s="8"/>
      <c r="I230" s="8"/>
      <c r="J230" s="9"/>
      <c r="K230" s="9">
        <f t="shared" si="37"/>
        <v>0</v>
      </c>
      <c r="L230" s="35">
        <f t="shared" si="38"/>
        <v>0</v>
      </c>
      <c r="M230" s="2"/>
      <c r="O230" s="19"/>
      <c r="P230" s="19"/>
      <c r="Q230" s="19"/>
      <c r="R230" s="21"/>
      <c r="S230" s="46"/>
      <c r="T230" s="44"/>
      <c r="U230" s="77"/>
      <c r="V230" s="30"/>
      <c r="W230" s="24"/>
      <c r="X230" s="193"/>
      <c r="Y230" s="15"/>
    </row>
    <row r="231" spans="2:25" x14ac:dyDescent="0.25">
      <c r="B231" s="15">
        <v>229</v>
      </c>
      <c r="C231" s="8"/>
      <c r="E231" s="67"/>
      <c r="F231" s="16"/>
      <c r="G231" s="8"/>
      <c r="H231" s="8"/>
      <c r="I231" s="8"/>
      <c r="J231" s="9"/>
      <c r="K231" s="9">
        <f t="shared" si="37"/>
        <v>0</v>
      </c>
      <c r="L231" s="35">
        <f t="shared" si="38"/>
        <v>0</v>
      </c>
      <c r="M231" s="2"/>
      <c r="O231" s="19"/>
      <c r="P231" s="19"/>
      <c r="Q231" s="19"/>
      <c r="R231" s="21"/>
      <c r="S231" s="46"/>
      <c r="T231" s="44"/>
      <c r="U231" s="77"/>
      <c r="V231" s="30"/>
      <c r="W231" s="24"/>
      <c r="X231" s="193"/>
      <c r="Y231" s="15"/>
    </row>
    <row r="232" spans="2:25" x14ac:dyDescent="0.25">
      <c r="B232" s="15">
        <v>230</v>
      </c>
      <c r="C232" s="8"/>
      <c r="E232" s="67"/>
      <c r="F232" s="16"/>
      <c r="G232" s="8"/>
      <c r="H232" s="8"/>
      <c r="I232" s="8"/>
      <c r="J232" s="9"/>
      <c r="K232" s="9">
        <f t="shared" si="37"/>
        <v>0</v>
      </c>
      <c r="L232" s="35">
        <f t="shared" si="38"/>
        <v>0</v>
      </c>
      <c r="M232" s="2"/>
      <c r="O232" s="19"/>
      <c r="P232" s="19"/>
      <c r="Q232" s="19"/>
      <c r="R232" s="21"/>
      <c r="S232" s="46"/>
      <c r="T232" s="44"/>
      <c r="U232" s="77"/>
      <c r="V232" s="24"/>
      <c r="W232" s="24"/>
      <c r="X232" s="193"/>
      <c r="Y232" s="15"/>
    </row>
    <row r="233" spans="2:25" x14ac:dyDescent="0.25">
      <c r="B233" s="15">
        <v>231</v>
      </c>
      <c r="C233" s="8"/>
      <c r="E233" s="67"/>
      <c r="F233" s="16"/>
      <c r="G233" s="8"/>
      <c r="H233" s="8"/>
      <c r="I233" s="8"/>
      <c r="J233" s="9"/>
      <c r="K233" s="9">
        <f t="shared" si="37"/>
        <v>0</v>
      </c>
      <c r="L233" s="35">
        <f t="shared" si="38"/>
        <v>0</v>
      </c>
      <c r="M233" s="2"/>
      <c r="O233" s="19"/>
      <c r="P233" s="19"/>
      <c r="Q233" s="19"/>
      <c r="R233" s="21"/>
      <c r="S233" s="46"/>
      <c r="T233" s="44"/>
      <c r="U233" s="77"/>
      <c r="V233" s="24"/>
      <c r="W233" s="24"/>
      <c r="X233" s="193"/>
      <c r="Y233" s="15"/>
    </row>
    <row r="234" spans="2:25" x14ac:dyDescent="0.25">
      <c r="B234" s="15">
        <v>232</v>
      </c>
      <c r="C234" s="8"/>
      <c r="E234" s="67"/>
      <c r="F234" s="16"/>
      <c r="G234" s="8"/>
      <c r="H234" s="8"/>
      <c r="I234" s="8"/>
      <c r="J234" s="9"/>
      <c r="K234" s="9">
        <f t="shared" si="37"/>
        <v>0</v>
      </c>
      <c r="L234" s="35">
        <f t="shared" si="38"/>
        <v>0</v>
      </c>
      <c r="M234" s="2"/>
      <c r="O234" s="19"/>
      <c r="P234" s="19"/>
      <c r="Q234" s="19"/>
      <c r="R234" s="21"/>
      <c r="S234" s="46"/>
      <c r="T234" s="44"/>
      <c r="U234" s="77"/>
      <c r="V234" s="24"/>
      <c r="W234" s="24"/>
      <c r="X234" s="193"/>
      <c r="Y234" s="15"/>
    </row>
    <row r="235" spans="2:25" x14ac:dyDescent="0.25">
      <c r="B235" s="15">
        <v>233</v>
      </c>
      <c r="C235" s="8"/>
      <c r="E235" s="67"/>
      <c r="F235" s="16"/>
      <c r="G235" s="8"/>
      <c r="H235" s="8"/>
      <c r="I235" s="8"/>
      <c r="J235" s="9"/>
      <c r="K235" s="9">
        <f t="shared" si="37"/>
        <v>0</v>
      </c>
      <c r="L235" s="35">
        <f t="shared" si="38"/>
        <v>0</v>
      </c>
      <c r="M235" s="2"/>
      <c r="O235" s="19"/>
      <c r="P235" s="19"/>
      <c r="Q235" s="19"/>
      <c r="R235" s="21"/>
      <c r="S235" s="46"/>
      <c r="T235" s="44"/>
      <c r="U235" s="77"/>
      <c r="V235" s="24"/>
      <c r="W235" s="24"/>
      <c r="X235" s="193"/>
      <c r="Y235" s="15"/>
    </row>
    <row r="236" spans="2:25" x14ac:dyDescent="0.25">
      <c r="B236" s="15">
        <v>234</v>
      </c>
      <c r="C236" s="8"/>
      <c r="E236" s="67"/>
      <c r="F236" s="16"/>
      <c r="G236" s="8"/>
      <c r="H236" s="8"/>
      <c r="I236" s="8"/>
      <c r="J236" s="9"/>
      <c r="K236" s="9">
        <f t="shared" si="37"/>
        <v>0</v>
      </c>
      <c r="L236" s="35">
        <f t="shared" si="38"/>
        <v>0</v>
      </c>
      <c r="M236" s="2"/>
      <c r="O236" s="19"/>
      <c r="P236" s="19"/>
      <c r="Q236" s="19"/>
      <c r="R236" s="21"/>
      <c r="S236" s="46"/>
      <c r="T236" s="44"/>
      <c r="U236" s="77"/>
      <c r="V236" s="24"/>
      <c r="W236" s="24"/>
      <c r="X236" s="193"/>
      <c r="Y236" s="15"/>
    </row>
    <row r="237" spans="2:25" x14ac:dyDescent="0.25">
      <c r="B237" s="15">
        <v>235</v>
      </c>
      <c r="C237" s="8"/>
      <c r="E237" s="67"/>
      <c r="F237" s="16"/>
      <c r="G237" s="8"/>
      <c r="H237" s="8"/>
      <c r="I237" s="8"/>
      <c r="J237" s="9"/>
      <c r="K237" s="9">
        <f t="shared" si="37"/>
        <v>0</v>
      </c>
      <c r="L237" s="35">
        <f t="shared" si="38"/>
        <v>0</v>
      </c>
      <c r="M237" s="2"/>
      <c r="O237" s="19"/>
      <c r="P237" s="19"/>
      <c r="Q237" s="19"/>
      <c r="R237" s="21"/>
      <c r="S237" s="46"/>
      <c r="T237" s="44"/>
      <c r="U237" s="77"/>
      <c r="V237" s="24"/>
      <c r="W237" s="24"/>
      <c r="X237" s="193"/>
      <c r="Y237" s="15"/>
    </row>
    <row r="238" spans="2:25" x14ac:dyDescent="0.25">
      <c r="B238" s="15">
        <v>236</v>
      </c>
      <c r="C238" s="8"/>
      <c r="E238" s="67"/>
      <c r="F238" s="16"/>
      <c r="G238" s="8"/>
      <c r="H238" s="8"/>
      <c r="I238" s="8"/>
      <c r="J238" s="9"/>
      <c r="K238" s="9">
        <f t="shared" si="37"/>
        <v>0</v>
      </c>
      <c r="L238" s="35">
        <f t="shared" si="38"/>
        <v>0</v>
      </c>
      <c r="M238" s="2"/>
      <c r="O238" s="19"/>
      <c r="P238" s="19"/>
      <c r="Q238" s="19"/>
      <c r="R238" s="21"/>
      <c r="S238" s="46"/>
      <c r="T238" s="44"/>
      <c r="U238" s="77"/>
      <c r="V238" s="30"/>
      <c r="W238" s="24"/>
      <c r="X238" s="193"/>
      <c r="Y238" s="15"/>
    </row>
    <row r="239" spans="2:25" x14ac:dyDescent="0.25">
      <c r="B239" s="15">
        <v>235</v>
      </c>
      <c r="C239" s="8"/>
      <c r="E239" s="67"/>
      <c r="F239" s="16"/>
      <c r="G239" s="8"/>
      <c r="H239" s="8"/>
      <c r="I239" s="8"/>
      <c r="J239" s="9"/>
      <c r="K239" s="9">
        <f t="shared" si="37"/>
        <v>0</v>
      </c>
      <c r="L239" s="35">
        <f t="shared" si="38"/>
        <v>0</v>
      </c>
      <c r="M239" s="2"/>
      <c r="O239" s="19"/>
      <c r="P239" s="19"/>
      <c r="Q239" s="19"/>
      <c r="R239" s="21"/>
      <c r="S239" s="46"/>
      <c r="T239" s="44"/>
      <c r="U239" s="77"/>
      <c r="V239" s="24"/>
      <c r="W239" s="24"/>
      <c r="X239" s="193"/>
      <c r="Y239" s="15"/>
    </row>
    <row r="240" spans="2:25" x14ac:dyDescent="0.25">
      <c r="B240" s="15">
        <v>238</v>
      </c>
      <c r="C240" s="8"/>
      <c r="E240" s="67"/>
      <c r="F240" s="16"/>
      <c r="G240" s="8"/>
      <c r="H240" s="8"/>
      <c r="I240" s="8"/>
      <c r="J240" s="9"/>
      <c r="K240" s="9">
        <f t="shared" si="37"/>
        <v>0</v>
      </c>
      <c r="L240" s="35">
        <f t="shared" si="38"/>
        <v>0</v>
      </c>
      <c r="M240" s="2"/>
      <c r="O240" s="19"/>
      <c r="P240" s="19"/>
      <c r="Q240" s="19"/>
      <c r="R240" s="21"/>
      <c r="S240" s="46"/>
      <c r="T240" s="44"/>
      <c r="U240" s="77"/>
      <c r="V240" s="24"/>
      <c r="W240" s="24"/>
      <c r="X240" s="193"/>
      <c r="Y240" s="15"/>
    </row>
    <row r="241" spans="2:25" x14ac:dyDescent="0.25">
      <c r="B241" s="15">
        <v>239</v>
      </c>
      <c r="C241" s="8"/>
      <c r="E241" s="67"/>
      <c r="F241" s="16"/>
      <c r="G241" s="8"/>
      <c r="H241" s="8"/>
      <c r="I241" s="8"/>
      <c r="J241" s="9"/>
      <c r="K241" s="9">
        <f t="shared" si="37"/>
        <v>0</v>
      </c>
      <c r="L241" s="35">
        <f t="shared" si="38"/>
        <v>0</v>
      </c>
      <c r="M241" s="2"/>
      <c r="O241" s="19"/>
      <c r="P241" s="19"/>
      <c r="Q241" s="19"/>
      <c r="R241" s="21"/>
      <c r="S241" s="46"/>
      <c r="T241" s="44"/>
      <c r="U241" s="77"/>
      <c r="V241" s="24"/>
      <c r="W241" s="24"/>
      <c r="X241" s="193"/>
      <c r="Y241" s="15"/>
    </row>
    <row r="242" spans="2:25" x14ac:dyDescent="0.25">
      <c r="B242" s="15">
        <v>240</v>
      </c>
      <c r="C242" s="8"/>
      <c r="E242" s="67"/>
      <c r="F242" s="16"/>
      <c r="G242" s="8"/>
      <c r="H242" s="8"/>
      <c r="I242" s="8"/>
      <c r="J242" s="9"/>
      <c r="K242" s="9">
        <f t="shared" si="37"/>
        <v>0</v>
      </c>
      <c r="L242" s="35">
        <f t="shared" si="38"/>
        <v>0</v>
      </c>
      <c r="M242" s="2"/>
      <c r="O242" s="19"/>
      <c r="P242" s="19"/>
      <c r="Q242" s="19"/>
      <c r="R242" s="21"/>
      <c r="S242" s="46"/>
      <c r="T242" s="44"/>
      <c r="U242" s="77"/>
      <c r="V242" s="24"/>
      <c r="W242" s="24"/>
      <c r="X242" s="193"/>
      <c r="Y242" s="15"/>
    </row>
    <row r="243" spans="2:25" x14ac:dyDescent="0.25">
      <c r="B243" s="15">
        <v>241</v>
      </c>
      <c r="C243" s="8"/>
      <c r="E243" s="67"/>
      <c r="F243" s="16"/>
      <c r="G243" s="8"/>
      <c r="H243" s="8"/>
      <c r="I243" s="8"/>
      <c r="J243" s="9"/>
      <c r="K243" s="9">
        <f t="shared" si="37"/>
        <v>0</v>
      </c>
      <c r="L243" s="35">
        <f t="shared" si="38"/>
        <v>0</v>
      </c>
      <c r="M243" s="2"/>
      <c r="O243" s="19"/>
      <c r="P243" s="19"/>
      <c r="Q243" s="19"/>
      <c r="R243" s="21"/>
      <c r="S243" s="46"/>
      <c r="T243" s="44"/>
      <c r="U243" s="77"/>
      <c r="V243" s="24"/>
      <c r="W243" s="24"/>
      <c r="X243" s="193"/>
      <c r="Y243" s="15"/>
    </row>
    <row r="244" spans="2:25" x14ac:dyDescent="0.25">
      <c r="B244" s="15">
        <v>242</v>
      </c>
      <c r="C244" s="8"/>
      <c r="E244" s="67"/>
      <c r="F244" s="16"/>
      <c r="G244" s="8"/>
      <c r="H244" s="8"/>
      <c r="I244" s="8"/>
      <c r="J244" s="9"/>
      <c r="K244" s="9">
        <f t="shared" si="37"/>
        <v>0</v>
      </c>
      <c r="L244" s="35">
        <f t="shared" si="38"/>
        <v>0</v>
      </c>
      <c r="M244" s="2"/>
      <c r="O244" s="19"/>
      <c r="P244" s="19"/>
      <c r="Q244" s="19"/>
      <c r="R244" s="21"/>
      <c r="S244" s="46"/>
      <c r="T244" s="44"/>
      <c r="U244" s="77"/>
      <c r="V244" s="30"/>
      <c r="W244" s="24"/>
      <c r="X244" s="193"/>
      <c r="Y244" s="15"/>
    </row>
    <row r="245" spans="2:25" x14ac:dyDescent="0.25">
      <c r="B245" s="15">
        <v>243</v>
      </c>
      <c r="C245" s="8"/>
      <c r="E245" s="67"/>
      <c r="F245" s="16"/>
      <c r="G245" s="8"/>
      <c r="H245" s="8"/>
      <c r="I245" s="8"/>
      <c r="J245" s="9"/>
      <c r="K245" s="9">
        <f t="shared" si="37"/>
        <v>0</v>
      </c>
      <c r="L245" s="35">
        <f t="shared" si="38"/>
        <v>0</v>
      </c>
      <c r="M245" s="2"/>
      <c r="O245" s="19"/>
      <c r="P245" s="19"/>
      <c r="Q245" s="19"/>
      <c r="R245" s="21"/>
      <c r="S245" s="46"/>
      <c r="T245" s="44"/>
      <c r="U245" s="77"/>
      <c r="V245" s="30"/>
      <c r="W245" s="24"/>
      <c r="X245" s="193"/>
      <c r="Y245" s="15"/>
    </row>
    <row r="246" spans="2:25" x14ac:dyDescent="0.25">
      <c r="B246" s="15">
        <v>244</v>
      </c>
      <c r="C246" s="8"/>
      <c r="E246" s="67"/>
      <c r="F246" s="16"/>
      <c r="G246" s="8"/>
      <c r="H246" s="8"/>
      <c r="I246" s="8"/>
      <c r="J246" s="9"/>
      <c r="K246" s="9">
        <f t="shared" si="37"/>
        <v>0</v>
      </c>
      <c r="L246" s="35">
        <f t="shared" si="38"/>
        <v>0</v>
      </c>
      <c r="M246" s="2"/>
      <c r="O246" s="19"/>
      <c r="P246" s="19"/>
      <c r="Q246" s="19"/>
      <c r="R246" s="21"/>
      <c r="S246" s="46"/>
      <c r="T246" s="44"/>
      <c r="U246" s="77"/>
      <c r="V246" s="30"/>
      <c r="W246" s="24"/>
      <c r="X246" s="193"/>
      <c r="Y246" s="15"/>
    </row>
    <row r="247" spans="2:25" x14ac:dyDescent="0.25">
      <c r="B247" s="15">
        <v>245</v>
      </c>
      <c r="C247" s="8"/>
      <c r="E247" s="67"/>
      <c r="F247" s="16"/>
      <c r="G247" s="8"/>
      <c r="H247" s="8"/>
      <c r="I247" s="8"/>
      <c r="J247" s="9"/>
      <c r="K247" s="9">
        <f t="shared" si="37"/>
        <v>0</v>
      </c>
      <c r="L247" s="35">
        <f t="shared" si="38"/>
        <v>0</v>
      </c>
      <c r="M247" s="2"/>
      <c r="O247" s="19"/>
      <c r="P247" s="19"/>
      <c r="Q247" s="19"/>
      <c r="R247" s="21"/>
      <c r="S247" s="46"/>
      <c r="T247" s="44"/>
      <c r="U247" s="77"/>
      <c r="V247" s="30"/>
      <c r="W247" s="24"/>
      <c r="X247" s="193"/>
      <c r="Y247" s="15"/>
    </row>
    <row r="248" spans="2:25" x14ac:dyDescent="0.25">
      <c r="B248" s="15">
        <v>246</v>
      </c>
      <c r="C248" s="8"/>
      <c r="E248" s="67"/>
      <c r="F248" s="16"/>
      <c r="G248" s="8"/>
      <c r="H248" s="8"/>
      <c r="I248" s="8"/>
      <c r="J248" s="9"/>
      <c r="K248" s="9">
        <f t="shared" si="37"/>
        <v>0</v>
      </c>
      <c r="L248" s="35">
        <f t="shared" si="38"/>
        <v>0</v>
      </c>
      <c r="M248" s="2"/>
      <c r="O248" s="19"/>
      <c r="P248" s="19"/>
      <c r="Q248" s="19"/>
      <c r="R248" s="21"/>
      <c r="S248" s="46"/>
      <c r="T248" s="44"/>
      <c r="U248" s="77"/>
      <c r="V248" s="24"/>
      <c r="W248" s="24"/>
      <c r="X248" s="193"/>
      <c r="Y248" s="15"/>
    </row>
    <row r="249" spans="2:25" x14ac:dyDescent="0.25">
      <c r="B249" s="15">
        <v>247</v>
      </c>
      <c r="C249" s="8"/>
      <c r="E249" s="67"/>
      <c r="F249" s="16"/>
      <c r="G249" s="8"/>
      <c r="H249" s="8"/>
      <c r="I249" s="8"/>
      <c r="J249" s="9"/>
      <c r="K249" s="9">
        <f t="shared" si="37"/>
        <v>0</v>
      </c>
      <c r="L249" s="35">
        <f t="shared" si="38"/>
        <v>0</v>
      </c>
      <c r="M249" s="2"/>
      <c r="O249" s="19"/>
      <c r="P249" s="19"/>
      <c r="Q249" s="19"/>
      <c r="R249" s="21"/>
      <c r="S249" s="46"/>
      <c r="T249" s="44"/>
      <c r="U249" s="77"/>
      <c r="V249" s="24"/>
      <c r="W249" s="24"/>
      <c r="X249" s="193"/>
      <c r="Y249" s="15"/>
    </row>
    <row r="250" spans="2:25" x14ac:dyDescent="0.25">
      <c r="B250" s="15">
        <v>246</v>
      </c>
      <c r="C250" s="8"/>
      <c r="E250" s="67"/>
      <c r="F250" s="16"/>
      <c r="G250" s="8"/>
      <c r="H250" s="8"/>
      <c r="I250" s="8"/>
      <c r="J250" s="9"/>
      <c r="K250" s="9">
        <f t="shared" si="37"/>
        <v>0</v>
      </c>
      <c r="L250" s="35">
        <f t="shared" si="38"/>
        <v>0</v>
      </c>
      <c r="M250" s="2"/>
      <c r="O250" s="19"/>
      <c r="P250" s="19"/>
      <c r="Q250" s="19"/>
      <c r="R250" s="21"/>
      <c r="S250" s="46"/>
      <c r="T250" s="44"/>
      <c r="U250" s="77"/>
      <c r="V250" s="24"/>
      <c r="W250" s="24"/>
      <c r="X250" s="193"/>
      <c r="Y250" s="15"/>
    </row>
    <row r="251" spans="2:25" x14ac:dyDescent="0.25">
      <c r="B251" s="15">
        <v>249</v>
      </c>
      <c r="C251" s="8"/>
      <c r="E251" s="67"/>
      <c r="F251" s="16"/>
      <c r="G251" s="8"/>
      <c r="H251" s="8"/>
      <c r="I251" s="8"/>
      <c r="J251" s="9"/>
      <c r="K251" s="9">
        <f t="shared" si="37"/>
        <v>0</v>
      </c>
      <c r="L251" s="35">
        <f t="shared" si="38"/>
        <v>0</v>
      </c>
      <c r="M251" s="2"/>
      <c r="O251" s="19"/>
      <c r="P251" s="19"/>
      <c r="Q251" s="19"/>
      <c r="R251" s="21"/>
      <c r="S251" s="46"/>
      <c r="T251" s="44"/>
      <c r="U251" s="77"/>
      <c r="V251" s="24"/>
      <c r="W251" s="24"/>
      <c r="X251" s="193"/>
      <c r="Y251" s="15"/>
    </row>
    <row r="252" spans="2:25" x14ac:dyDescent="0.25">
      <c r="B252" s="15">
        <v>250</v>
      </c>
      <c r="C252" s="8"/>
      <c r="E252" s="67"/>
      <c r="F252" s="16"/>
      <c r="G252" s="8"/>
      <c r="H252" s="8"/>
      <c r="I252" s="8"/>
      <c r="J252" s="9"/>
      <c r="K252" s="9">
        <f t="shared" si="37"/>
        <v>0</v>
      </c>
      <c r="L252" s="35">
        <f t="shared" si="38"/>
        <v>0</v>
      </c>
      <c r="M252" s="2"/>
      <c r="O252" s="19"/>
      <c r="P252" s="19"/>
      <c r="Q252" s="19"/>
      <c r="R252" s="21"/>
      <c r="S252" s="46"/>
      <c r="T252" s="44"/>
      <c r="U252" s="77"/>
      <c r="V252" s="30"/>
      <c r="W252" s="24"/>
      <c r="X252" s="193"/>
      <c r="Y252" s="15"/>
    </row>
    <row r="253" spans="2:25" x14ac:dyDescent="0.25">
      <c r="B253" s="15">
        <v>251</v>
      </c>
      <c r="C253" s="8"/>
      <c r="E253" s="67"/>
      <c r="F253" s="16"/>
      <c r="G253" s="8"/>
      <c r="H253" s="8"/>
      <c r="I253" s="8"/>
      <c r="J253" s="9"/>
      <c r="K253" s="9">
        <f t="shared" si="37"/>
        <v>0</v>
      </c>
      <c r="L253" s="35">
        <f t="shared" si="38"/>
        <v>0</v>
      </c>
      <c r="M253" s="2"/>
      <c r="O253" s="19"/>
      <c r="P253" s="19"/>
      <c r="Q253" s="19"/>
      <c r="R253" s="21"/>
      <c r="S253" s="46"/>
      <c r="T253" s="44"/>
      <c r="U253" s="77"/>
      <c r="V253" s="30"/>
      <c r="W253" s="24"/>
      <c r="X253" s="193"/>
      <c r="Y253" s="15"/>
    </row>
    <row r="254" spans="2:25" x14ac:dyDescent="0.25">
      <c r="B254" s="15">
        <v>252</v>
      </c>
      <c r="C254" s="8"/>
      <c r="E254" s="67"/>
      <c r="F254" s="16"/>
      <c r="G254" s="8"/>
      <c r="H254" s="8"/>
      <c r="I254" s="8"/>
      <c r="J254" s="9"/>
      <c r="K254" s="9">
        <f t="shared" si="37"/>
        <v>0</v>
      </c>
      <c r="L254" s="35">
        <f t="shared" si="38"/>
        <v>0</v>
      </c>
      <c r="M254" s="2"/>
      <c r="O254" s="19"/>
      <c r="P254" s="19"/>
      <c r="Q254" s="19"/>
      <c r="R254" s="21"/>
      <c r="S254" s="46"/>
      <c r="T254" s="44"/>
      <c r="U254" s="77"/>
      <c r="V254" s="24"/>
      <c r="W254" s="24"/>
      <c r="X254" s="193"/>
      <c r="Y254" s="15"/>
    </row>
    <row r="255" spans="2:25" x14ac:dyDescent="0.25">
      <c r="B255" s="15">
        <v>253</v>
      </c>
      <c r="C255" s="8"/>
      <c r="E255" s="67"/>
      <c r="F255" s="16"/>
      <c r="G255" s="8"/>
      <c r="H255" s="8"/>
      <c r="I255" s="8"/>
      <c r="J255" s="9"/>
      <c r="K255" s="9">
        <f t="shared" si="37"/>
        <v>0</v>
      </c>
      <c r="L255" s="35">
        <f t="shared" si="38"/>
        <v>0</v>
      </c>
      <c r="M255" s="2"/>
      <c r="O255" s="19"/>
      <c r="P255" s="19"/>
      <c r="Q255" s="19"/>
      <c r="R255" s="21"/>
      <c r="S255" s="46"/>
      <c r="T255" s="44"/>
      <c r="U255" s="77"/>
      <c r="V255" s="30"/>
      <c r="W255" s="24"/>
      <c r="X255" s="193"/>
      <c r="Y255" s="15"/>
    </row>
    <row r="256" spans="2:25" x14ac:dyDescent="0.25">
      <c r="B256" s="15">
        <v>254</v>
      </c>
      <c r="C256" s="8"/>
      <c r="E256" s="67"/>
      <c r="F256" s="16"/>
      <c r="G256" s="8"/>
      <c r="H256" s="8"/>
      <c r="I256" s="8"/>
      <c r="J256" s="9"/>
      <c r="K256" s="9">
        <f t="shared" si="37"/>
        <v>0</v>
      </c>
      <c r="L256" s="35">
        <f t="shared" si="38"/>
        <v>0</v>
      </c>
      <c r="M256" s="2"/>
      <c r="O256" s="19"/>
      <c r="P256" s="19"/>
      <c r="Q256" s="19"/>
      <c r="R256" s="21"/>
      <c r="S256" s="46"/>
      <c r="T256" s="44"/>
      <c r="U256" s="77"/>
      <c r="V256" s="24"/>
      <c r="W256" s="24"/>
      <c r="X256" s="193"/>
      <c r="Y256" s="15"/>
    </row>
    <row r="257" spans="2:25" x14ac:dyDescent="0.25">
      <c r="B257" s="15">
        <v>255</v>
      </c>
      <c r="C257" s="8"/>
      <c r="E257" s="67"/>
      <c r="F257" s="16"/>
      <c r="G257" s="8"/>
      <c r="H257" s="8"/>
      <c r="I257" s="8"/>
      <c r="J257" s="9"/>
      <c r="K257" s="9">
        <f t="shared" si="37"/>
        <v>0</v>
      </c>
      <c r="L257" s="35">
        <f t="shared" si="38"/>
        <v>0</v>
      </c>
      <c r="M257" s="2"/>
      <c r="O257" s="19"/>
      <c r="P257" s="19"/>
      <c r="Q257" s="19"/>
      <c r="R257" s="21"/>
      <c r="S257" s="46"/>
      <c r="T257" s="44"/>
      <c r="U257" s="77"/>
      <c r="V257" s="24"/>
      <c r="W257" s="24"/>
      <c r="X257" s="193"/>
      <c r="Y257" s="15"/>
    </row>
    <row r="258" spans="2:25" x14ac:dyDescent="0.25">
      <c r="B258" s="15">
        <v>256</v>
      </c>
      <c r="C258" s="8"/>
      <c r="E258" s="67"/>
      <c r="F258" s="16"/>
      <c r="G258" s="8"/>
      <c r="H258" s="8"/>
      <c r="I258" s="8"/>
      <c r="J258" s="9"/>
      <c r="K258" s="9">
        <f t="shared" si="37"/>
        <v>0</v>
      </c>
      <c r="L258" s="35">
        <f t="shared" si="38"/>
        <v>0</v>
      </c>
      <c r="M258" s="2"/>
      <c r="O258" s="19"/>
      <c r="P258" s="19"/>
      <c r="Q258" s="19"/>
      <c r="R258" s="21"/>
      <c r="S258" s="46"/>
      <c r="T258" s="44"/>
      <c r="U258" s="77"/>
      <c r="V258" s="24"/>
      <c r="W258" s="24"/>
      <c r="X258" s="193"/>
      <c r="Y258" s="15"/>
    </row>
    <row r="259" spans="2:25" x14ac:dyDescent="0.25">
      <c r="B259" s="15">
        <v>257</v>
      </c>
      <c r="C259" s="8"/>
      <c r="E259" s="67"/>
      <c r="F259" s="16"/>
      <c r="G259" s="8"/>
      <c r="H259" s="8"/>
      <c r="I259" s="8"/>
      <c r="J259" s="9"/>
      <c r="K259" s="9">
        <f t="shared" ref="K259:K322" si="39">J259*1.1</f>
        <v>0</v>
      </c>
      <c r="L259" s="35">
        <f t="shared" ref="L259:L322" si="40">J259*0.00000001</f>
        <v>0</v>
      </c>
      <c r="M259" s="2"/>
      <c r="O259" s="19"/>
      <c r="P259" s="19"/>
      <c r="Q259" s="19"/>
      <c r="R259" s="21"/>
      <c r="S259" s="46"/>
      <c r="T259" s="44"/>
      <c r="U259" s="77"/>
      <c r="V259" s="30"/>
      <c r="W259" s="24"/>
      <c r="X259" s="193"/>
      <c r="Y259" s="15"/>
    </row>
    <row r="260" spans="2:25" x14ac:dyDescent="0.25">
      <c r="B260" s="15">
        <v>258</v>
      </c>
      <c r="C260" s="8"/>
      <c r="E260" s="67"/>
      <c r="F260" s="16"/>
      <c r="G260" s="8"/>
      <c r="H260" s="8"/>
      <c r="I260" s="8"/>
      <c r="J260" s="9"/>
      <c r="K260" s="9">
        <f t="shared" si="39"/>
        <v>0</v>
      </c>
      <c r="L260" s="35">
        <f t="shared" si="40"/>
        <v>0</v>
      </c>
      <c r="M260" s="2"/>
      <c r="O260" s="19"/>
      <c r="P260" s="19"/>
      <c r="Q260" s="19"/>
      <c r="R260" s="21"/>
      <c r="S260" s="46"/>
      <c r="T260" s="44"/>
      <c r="U260" s="77"/>
      <c r="V260" s="30"/>
      <c r="W260" s="24"/>
      <c r="X260" s="193"/>
      <c r="Y260" s="15"/>
    </row>
    <row r="261" spans="2:25" x14ac:dyDescent="0.25">
      <c r="B261" s="15">
        <v>259</v>
      </c>
      <c r="C261" s="8"/>
      <c r="E261" s="67"/>
      <c r="F261" s="16"/>
      <c r="G261" s="8"/>
      <c r="H261" s="8"/>
      <c r="I261" s="8"/>
      <c r="J261" s="9"/>
      <c r="K261" s="9">
        <f t="shared" si="39"/>
        <v>0</v>
      </c>
      <c r="L261" s="35">
        <f t="shared" si="40"/>
        <v>0</v>
      </c>
      <c r="M261" s="2"/>
      <c r="O261" s="19"/>
      <c r="P261" s="19"/>
      <c r="Q261" s="19"/>
      <c r="R261" s="21"/>
      <c r="S261" s="46"/>
      <c r="T261" s="44"/>
      <c r="U261" s="77"/>
      <c r="V261" s="24"/>
      <c r="W261" s="24"/>
      <c r="X261" s="193"/>
      <c r="Y261" s="15"/>
    </row>
    <row r="262" spans="2:25" x14ac:dyDescent="0.25">
      <c r="B262" s="15">
        <v>260</v>
      </c>
      <c r="C262" s="8"/>
      <c r="E262" s="67"/>
      <c r="F262" s="16"/>
      <c r="G262" s="8"/>
      <c r="H262" s="8"/>
      <c r="I262" s="8"/>
      <c r="J262" s="9"/>
      <c r="K262" s="9">
        <f t="shared" si="39"/>
        <v>0</v>
      </c>
      <c r="L262" s="35">
        <f t="shared" si="40"/>
        <v>0</v>
      </c>
      <c r="M262" s="2"/>
      <c r="O262" s="19"/>
      <c r="P262" s="19"/>
      <c r="Q262" s="19"/>
      <c r="R262" s="21"/>
      <c r="S262" s="46"/>
      <c r="T262" s="44"/>
      <c r="U262" s="77"/>
      <c r="V262" s="24"/>
      <c r="W262" s="24"/>
      <c r="X262" s="193"/>
      <c r="Y262" s="15"/>
    </row>
    <row r="263" spans="2:25" x14ac:dyDescent="0.25">
      <c r="B263" s="15">
        <v>261</v>
      </c>
      <c r="C263" s="8"/>
      <c r="E263" s="67"/>
      <c r="F263" s="16"/>
      <c r="G263" s="8"/>
      <c r="H263" s="8"/>
      <c r="I263" s="8"/>
      <c r="J263" s="9"/>
      <c r="K263" s="9">
        <f t="shared" si="39"/>
        <v>0</v>
      </c>
      <c r="L263" s="35">
        <f t="shared" si="40"/>
        <v>0</v>
      </c>
      <c r="M263" s="2"/>
      <c r="O263" s="19"/>
      <c r="P263" s="19"/>
      <c r="Q263" s="19"/>
      <c r="R263" s="21"/>
      <c r="S263" s="46"/>
      <c r="T263" s="44"/>
      <c r="U263" s="77"/>
      <c r="V263" s="24"/>
      <c r="W263" s="24"/>
      <c r="X263" s="193"/>
      <c r="Y263" s="15"/>
    </row>
    <row r="264" spans="2:25" x14ac:dyDescent="0.25">
      <c r="B264" s="15">
        <v>262</v>
      </c>
      <c r="C264" s="8"/>
      <c r="E264" s="67"/>
      <c r="F264" s="16"/>
      <c r="G264" s="8"/>
      <c r="H264" s="8"/>
      <c r="I264" s="8"/>
      <c r="J264" s="9"/>
      <c r="K264" s="9">
        <f t="shared" si="39"/>
        <v>0</v>
      </c>
      <c r="L264" s="35">
        <f t="shared" si="40"/>
        <v>0</v>
      </c>
      <c r="M264" s="2"/>
      <c r="O264" s="19"/>
      <c r="P264" s="19"/>
      <c r="Q264" s="19"/>
      <c r="R264" s="21"/>
      <c r="S264" s="46"/>
      <c r="T264" s="44"/>
      <c r="U264" s="77"/>
      <c r="V264" s="24"/>
      <c r="W264" s="24"/>
      <c r="X264" s="193"/>
      <c r="Y264" s="15"/>
    </row>
    <row r="265" spans="2:25" x14ac:dyDescent="0.25">
      <c r="B265" s="15">
        <v>263</v>
      </c>
      <c r="C265" s="8"/>
      <c r="E265" s="67"/>
      <c r="F265" s="16"/>
      <c r="G265" s="8"/>
      <c r="H265" s="8"/>
      <c r="I265" s="8"/>
      <c r="J265" s="9"/>
      <c r="K265" s="9">
        <f t="shared" si="39"/>
        <v>0</v>
      </c>
      <c r="L265" s="35">
        <f t="shared" si="40"/>
        <v>0</v>
      </c>
      <c r="M265" s="2"/>
      <c r="O265" s="19"/>
      <c r="P265" s="19"/>
      <c r="Q265" s="19"/>
      <c r="R265" s="21"/>
      <c r="S265" s="46"/>
      <c r="T265" s="44"/>
      <c r="U265" s="77"/>
      <c r="V265" s="24"/>
      <c r="W265" s="24"/>
      <c r="X265" s="193"/>
      <c r="Y265" s="15"/>
    </row>
    <row r="266" spans="2:25" x14ac:dyDescent="0.25">
      <c r="B266" s="15">
        <v>264</v>
      </c>
      <c r="C266" s="8"/>
      <c r="E266" s="67"/>
      <c r="F266" s="16"/>
      <c r="G266" s="8"/>
      <c r="H266" s="8"/>
      <c r="I266" s="8"/>
      <c r="J266" s="9"/>
      <c r="K266" s="9">
        <f t="shared" si="39"/>
        <v>0</v>
      </c>
      <c r="L266" s="35">
        <f t="shared" si="40"/>
        <v>0</v>
      </c>
      <c r="M266" s="2"/>
      <c r="O266" s="19"/>
      <c r="P266" s="19"/>
      <c r="Q266" s="19"/>
      <c r="R266" s="21"/>
      <c r="S266" s="46"/>
      <c r="T266" s="44"/>
      <c r="U266" s="77"/>
      <c r="V266" s="30"/>
      <c r="W266" s="24"/>
      <c r="X266" s="193"/>
      <c r="Y266" s="15"/>
    </row>
    <row r="267" spans="2:25" x14ac:dyDescent="0.25">
      <c r="B267" s="15">
        <v>265</v>
      </c>
      <c r="C267" s="8"/>
      <c r="E267" s="67"/>
      <c r="F267" s="16"/>
      <c r="G267" s="8"/>
      <c r="H267" s="8"/>
      <c r="I267" s="8"/>
      <c r="J267" s="9"/>
      <c r="K267" s="9">
        <f t="shared" si="39"/>
        <v>0</v>
      </c>
      <c r="L267" s="35">
        <f t="shared" si="40"/>
        <v>0</v>
      </c>
      <c r="M267" s="2"/>
      <c r="O267" s="19"/>
      <c r="P267" s="19"/>
      <c r="Q267" s="19"/>
      <c r="R267" s="21"/>
      <c r="S267" s="46"/>
      <c r="T267" s="44"/>
      <c r="U267" s="77"/>
      <c r="V267" s="30"/>
      <c r="W267" s="24"/>
      <c r="X267" s="193"/>
      <c r="Y267" s="15"/>
    </row>
    <row r="268" spans="2:25" x14ac:dyDescent="0.25">
      <c r="B268" s="15">
        <v>266</v>
      </c>
      <c r="C268" s="8"/>
      <c r="E268" s="67"/>
      <c r="F268" s="16"/>
      <c r="G268" s="8"/>
      <c r="H268" s="8"/>
      <c r="I268" s="8"/>
      <c r="J268" s="9"/>
      <c r="K268" s="9">
        <f t="shared" si="39"/>
        <v>0</v>
      </c>
      <c r="L268" s="35">
        <f t="shared" si="40"/>
        <v>0</v>
      </c>
      <c r="M268" s="2"/>
      <c r="O268" s="19"/>
      <c r="P268" s="19"/>
      <c r="Q268" s="19"/>
      <c r="R268" s="21"/>
      <c r="S268" s="46"/>
      <c r="T268" s="44"/>
      <c r="U268" s="77"/>
      <c r="V268" s="30"/>
      <c r="W268" s="24"/>
      <c r="X268" s="193"/>
      <c r="Y268" s="15"/>
    </row>
    <row r="269" spans="2:25" x14ac:dyDescent="0.25">
      <c r="B269" s="15">
        <v>267</v>
      </c>
      <c r="C269" s="8"/>
      <c r="E269" s="67"/>
      <c r="F269" s="16"/>
      <c r="G269" s="8"/>
      <c r="H269" s="8"/>
      <c r="I269" s="8"/>
      <c r="J269" s="9"/>
      <c r="K269" s="9">
        <f t="shared" si="39"/>
        <v>0</v>
      </c>
      <c r="L269" s="35">
        <f t="shared" si="40"/>
        <v>0</v>
      </c>
      <c r="M269" s="2"/>
      <c r="O269" s="19"/>
      <c r="P269" s="19"/>
      <c r="Q269" s="19"/>
      <c r="R269" s="21"/>
      <c r="S269" s="46"/>
      <c r="T269" s="44"/>
      <c r="U269" s="77"/>
      <c r="V269" s="30"/>
      <c r="W269" s="24"/>
      <c r="X269" s="193"/>
      <c r="Y269" s="15"/>
    </row>
    <row r="270" spans="2:25" x14ac:dyDescent="0.25">
      <c r="B270" s="15">
        <v>268</v>
      </c>
      <c r="C270" s="8"/>
      <c r="E270" s="67"/>
      <c r="F270" s="16"/>
      <c r="G270" s="8"/>
      <c r="H270" s="8"/>
      <c r="I270" s="8"/>
      <c r="J270" s="9"/>
      <c r="K270" s="9">
        <f t="shared" si="39"/>
        <v>0</v>
      </c>
      <c r="L270" s="35">
        <f t="shared" si="40"/>
        <v>0</v>
      </c>
      <c r="M270" s="2"/>
      <c r="O270" s="19"/>
      <c r="P270" s="19"/>
      <c r="Q270" s="19"/>
      <c r="R270" s="21"/>
      <c r="S270" s="46"/>
      <c r="T270" s="44"/>
      <c r="U270" s="77"/>
      <c r="V270" s="24"/>
      <c r="W270" s="24"/>
      <c r="X270" s="193"/>
      <c r="Y270" s="15"/>
    </row>
    <row r="271" spans="2:25" x14ac:dyDescent="0.25">
      <c r="B271" s="15">
        <v>269</v>
      </c>
      <c r="C271" s="8"/>
      <c r="E271" s="67"/>
      <c r="F271" s="16"/>
      <c r="G271" s="8"/>
      <c r="H271" s="8"/>
      <c r="I271" s="8"/>
      <c r="J271" s="9"/>
      <c r="K271" s="9">
        <f t="shared" si="39"/>
        <v>0</v>
      </c>
      <c r="L271" s="35">
        <f t="shared" si="40"/>
        <v>0</v>
      </c>
      <c r="M271" s="2"/>
      <c r="O271" s="19"/>
      <c r="P271" s="19"/>
      <c r="Q271" s="19"/>
      <c r="R271" s="21"/>
      <c r="S271" s="46"/>
      <c r="T271" s="44"/>
      <c r="U271" s="77"/>
      <c r="V271" s="24"/>
      <c r="W271" s="24"/>
      <c r="X271" s="193"/>
      <c r="Y271" s="15"/>
    </row>
    <row r="272" spans="2:25" x14ac:dyDescent="0.25">
      <c r="B272" s="15">
        <v>270</v>
      </c>
      <c r="C272" s="8"/>
      <c r="E272" s="67"/>
      <c r="F272" s="16"/>
      <c r="G272" s="8"/>
      <c r="H272" s="8"/>
      <c r="I272" s="8"/>
      <c r="J272" s="9"/>
      <c r="K272" s="9">
        <f t="shared" si="39"/>
        <v>0</v>
      </c>
      <c r="L272" s="35">
        <f t="shared" si="40"/>
        <v>0</v>
      </c>
      <c r="M272" s="2"/>
      <c r="O272" s="19"/>
      <c r="P272" s="19"/>
      <c r="Q272" s="19"/>
      <c r="R272" s="21"/>
      <c r="S272" s="46"/>
      <c r="T272" s="44"/>
      <c r="U272" s="77"/>
      <c r="V272" s="24"/>
      <c r="W272" s="24"/>
      <c r="X272" s="193"/>
      <c r="Y272" s="15"/>
    </row>
    <row r="273" spans="2:25" x14ac:dyDescent="0.25">
      <c r="B273" s="15">
        <v>271</v>
      </c>
      <c r="C273" s="8"/>
      <c r="E273" s="67"/>
      <c r="F273" s="16"/>
      <c r="G273" s="8"/>
      <c r="H273" s="8"/>
      <c r="I273" s="8"/>
      <c r="J273" s="9"/>
      <c r="K273" s="9">
        <f t="shared" si="39"/>
        <v>0</v>
      </c>
      <c r="L273" s="35">
        <f t="shared" si="40"/>
        <v>0</v>
      </c>
      <c r="M273" s="2"/>
      <c r="O273" s="19"/>
      <c r="P273" s="19"/>
      <c r="Q273" s="19"/>
      <c r="R273" s="21"/>
      <c r="S273" s="46"/>
      <c r="T273" s="44"/>
      <c r="U273" s="77"/>
      <c r="V273" s="24"/>
      <c r="W273" s="24"/>
      <c r="X273" s="193"/>
      <c r="Y273" s="15"/>
    </row>
    <row r="274" spans="2:25" x14ac:dyDescent="0.25">
      <c r="B274" s="15">
        <v>272</v>
      </c>
      <c r="C274" s="8"/>
      <c r="E274" s="67"/>
      <c r="F274" s="16"/>
      <c r="G274" s="8"/>
      <c r="H274" s="8"/>
      <c r="I274" s="8"/>
      <c r="J274" s="9"/>
      <c r="K274" s="9">
        <f t="shared" si="39"/>
        <v>0</v>
      </c>
      <c r="L274" s="35">
        <f t="shared" si="40"/>
        <v>0</v>
      </c>
      <c r="M274" s="2"/>
      <c r="O274" s="19"/>
      <c r="P274" s="19"/>
      <c r="Q274" s="19"/>
      <c r="R274" s="21"/>
      <c r="S274" s="46"/>
      <c r="T274" s="44"/>
      <c r="U274" s="77"/>
      <c r="V274" s="24"/>
      <c r="W274" s="24"/>
      <c r="X274" s="193"/>
      <c r="Y274" s="15"/>
    </row>
    <row r="275" spans="2:25" x14ac:dyDescent="0.25">
      <c r="B275" s="15">
        <v>273</v>
      </c>
      <c r="C275" s="8"/>
      <c r="E275" s="67"/>
      <c r="F275" s="16"/>
      <c r="G275" s="8"/>
      <c r="H275" s="8"/>
      <c r="I275" s="8"/>
      <c r="J275" s="9"/>
      <c r="K275" s="9">
        <f t="shared" si="39"/>
        <v>0</v>
      </c>
      <c r="L275" s="35">
        <f t="shared" si="40"/>
        <v>0</v>
      </c>
      <c r="M275" s="2"/>
      <c r="O275" s="19"/>
      <c r="P275" s="19"/>
      <c r="Q275" s="19"/>
      <c r="R275" s="21"/>
      <c r="S275" s="46"/>
      <c r="T275" s="44"/>
      <c r="U275" s="77"/>
      <c r="V275" s="30"/>
      <c r="W275" s="24"/>
      <c r="X275" s="193"/>
      <c r="Y275" s="15"/>
    </row>
    <row r="276" spans="2:25" x14ac:dyDescent="0.25">
      <c r="B276" s="15">
        <v>274</v>
      </c>
      <c r="C276" s="8"/>
      <c r="E276" s="67"/>
      <c r="F276" s="16"/>
      <c r="G276" s="8"/>
      <c r="H276" s="8"/>
      <c r="I276" s="8"/>
      <c r="J276" s="9"/>
      <c r="K276" s="9">
        <f t="shared" si="39"/>
        <v>0</v>
      </c>
      <c r="L276" s="35">
        <f t="shared" si="40"/>
        <v>0</v>
      </c>
      <c r="M276" s="2"/>
      <c r="O276" s="19"/>
      <c r="P276" s="19"/>
      <c r="Q276" s="19"/>
      <c r="R276" s="21"/>
      <c r="S276" s="46"/>
      <c r="T276" s="44"/>
      <c r="U276" s="77"/>
      <c r="V276" s="30"/>
      <c r="W276" s="24"/>
      <c r="X276" s="193"/>
      <c r="Y276" s="15"/>
    </row>
    <row r="277" spans="2:25" x14ac:dyDescent="0.25">
      <c r="B277" s="15">
        <v>275</v>
      </c>
      <c r="C277" s="8"/>
      <c r="E277" s="67"/>
      <c r="F277" s="16"/>
      <c r="G277" s="8"/>
      <c r="H277" s="8"/>
      <c r="I277" s="8"/>
      <c r="J277" s="9"/>
      <c r="K277" s="9">
        <f t="shared" si="39"/>
        <v>0</v>
      </c>
      <c r="L277" s="35">
        <f t="shared" si="40"/>
        <v>0</v>
      </c>
      <c r="M277" s="2"/>
      <c r="O277" s="19"/>
      <c r="P277" s="19"/>
      <c r="Q277" s="19"/>
      <c r="R277" s="21"/>
      <c r="S277" s="46"/>
      <c r="T277" s="44"/>
      <c r="U277" s="77"/>
      <c r="V277" s="24"/>
      <c r="W277" s="24"/>
      <c r="X277" s="193"/>
      <c r="Y277" s="15"/>
    </row>
    <row r="278" spans="2:25" x14ac:dyDescent="0.25">
      <c r="B278" s="15">
        <v>276</v>
      </c>
      <c r="C278" s="8"/>
      <c r="E278" s="67"/>
      <c r="F278" s="16"/>
      <c r="G278" s="8"/>
      <c r="H278" s="8"/>
      <c r="I278" s="8"/>
      <c r="J278" s="9"/>
      <c r="K278" s="9">
        <f t="shared" si="39"/>
        <v>0</v>
      </c>
      <c r="L278" s="35">
        <f t="shared" si="40"/>
        <v>0</v>
      </c>
      <c r="M278" s="2"/>
      <c r="O278" s="19"/>
      <c r="P278" s="19"/>
      <c r="Q278" s="19"/>
      <c r="R278" s="21"/>
      <c r="S278" s="46"/>
      <c r="T278" s="44"/>
      <c r="U278" s="77"/>
      <c r="V278" s="24"/>
      <c r="W278" s="24"/>
      <c r="X278" s="193"/>
      <c r="Y278" s="15"/>
    </row>
    <row r="279" spans="2:25" x14ac:dyDescent="0.25">
      <c r="B279" s="15">
        <v>277</v>
      </c>
      <c r="C279" s="8"/>
      <c r="E279" s="67"/>
      <c r="F279" s="16"/>
      <c r="G279" s="8"/>
      <c r="H279" s="8"/>
      <c r="I279" s="8"/>
      <c r="J279" s="9"/>
      <c r="K279" s="9">
        <f t="shared" si="39"/>
        <v>0</v>
      </c>
      <c r="L279" s="35">
        <f t="shared" si="40"/>
        <v>0</v>
      </c>
      <c r="M279" s="2"/>
      <c r="O279" s="19"/>
      <c r="P279" s="19"/>
      <c r="Q279" s="19"/>
      <c r="R279" s="21"/>
      <c r="S279" s="46"/>
      <c r="T279" s="44"/>
      <c r="U279" s="77"/>
      <c r="V279" s="24"/>
      <c r="W279" s="24"/>
      <c r="X279" s="193"/>
      <c r="Y279" s="15"/>
    </row>
    <row r="280" spans="2:25" x14ac:dyDescent="0.25">
      <c r="B280" s="15">
        <v>278</v>
      </c>
      <c r="C280" s="8"/>
      <c r="E280" s="67"/>
      <c r="F280" s="16"/>
      <c r="G280" s="8"/>
      <c r="H280" s="8"/>
      <c r="I280" s="8"/>
      <c r="J280" s="9"/>
      <c r="K280" s="9">
        <f t="shared" si="39"/>
        <v>0</v>
      </c>
      <c r="L280" s="35">
        <f t="shared" si="40"/>
        <v>0</v>
      </c>
      <c r="M280" s="2"/>
      <c r="O280" s="19"/>
      <c r="P280" s="19"/>
      <c r="Q280" s="19"/>
      <c r="R280" s="21"/>
      <c r="S280" s="46"/>
      <c r="T280" s="44"/>
      <c r="U280" s="77"/>
      <c r="V280" s="24"/>
      <c r="W280" s="24"/>
      <c r="X280" s="193"/>
      <c r="Y280" s="15"/>
    </row>
    <row r="281" spans="2:25" x14ac:dyDescent="0.25">
      <c r="B281" s="15">
        <v>279</v>
      </c>
      <c r="C281" s="8"/>
      <c r="E281" s="67"/>
      <c r="F281" s="16"/>
      <c r="G281" s="8"/>
      <c r="H281" s="8"/>
      <c r="I281" s="8"/>
      <c r="J281" s="9"/>
      <c r="K281" s="9">
        <f t="shared" si="39"/>
        <v>0</v>
      </c>
      <c r="L281" s="35">
        <f t="shared" si="40"/>
        <v>0</v>
      </c>
      <c r="M281" s="2"/>
      <c r="O281" s="19"/>
      <c r="P281" s="19"/>
      <c r="Q281" s="19"/>
      <c r="R281" s="21"/>
      <c r="S281" s="46"/>
      <c r="T281" s="44"/>
      <c r="U281" s="77"/>
      <c r="V281" s="24"/>
      <c r="W281" s="24"/>
      <c r="X281" s="193"/>
      <c r="Y281" s="15"/>
    </row>
    <row r="282" spans="2:25" x14ac:dyDescent="0.25">
      <c r="B282" s="15">
        <v>280</v>
      </c>
      <c r="C282" s="8"/>
      <c r="E282" s="67"/>
      <c r="F282" s="16"/>
      <c r="G282" s="8"/>
      <c r="H282" s="8"/>
      <c r="I282" s="8"/>
      <c r="J282" s="9"/>
      <c r="K282" s="9">
        <f t="shared" si="39"/>
        <v>0</v>
      </c>
      <c r="L282" s="35">
        <f t="shared" si="40"/>
        <v>0</v>
      </c>
      <c r="M282" s="2"/>
      <c r="O282" s="19"/>
      <c r="P282" s="19"/>
      <c r="Q282" s="19"/>
      <c r="R282" s="21"/>
      <c r="S282" s="46"/>
      <c r="T282" s="44"/>
      <c r="U282" s="77"/>
      <c r="V282" s="30"/>
      <c r="W282" s="24"/>
      <c r="X282" s="193"/>
      <c r="Y282" s="15"/>
    </row>
    <row r="283" spans="2:25" x14ac:dyDescent="0.25">
      <c r="B283" s="15">
        <v>281</v>
      </c>
      <c r="C283" s="8"/>
      <c r="E283" s="67"/>
      <c r="F283" s="16"/>
      <c r="G283" s="8"/>
      <c r="H283" s="8"/>
      <c r="I283" s="8"/>
      <c r="J283" s="9"/>
      <c r="K283" s="9">
        <f t="shared" si="39"/>
        <v>0</v>
      </c>
      <c r="L283" s="35">
        <f t="shared" si="40"/>
        <v>0</v>
      </c>
      <c r="M283" s="2"/>
      <c r="O283" s="19"/>
      <c r="P283" s="19"/>
      <c r="Q283" s="19"/>
      <c r="R283" s="21"/>
      <c r="S283" s="46"/>
      <c r="T283" s="44"/>
      <c r="U283" s="77"/>
      <c r="V283" s="30"/>
      <c r="W283" s="24"/>
      <c r="X283" s="193"/>
      <c r="Y283" s="15"/>
    </row>
    <row r="284" spans="2:25" x14ac:dyDescent="0.25">
      <c r="B284" s="15">
        <v>282</v>
      </c>
      <c r="C284" s="8"/>
      <c r="E284" s="67"/>
      <c r="F284" s="16"/>
      <c r="G284" s="8"/>
      <c r="H284" s="8"/>
      <c r="I284" s="8"/>
      <c r="J284" s="9"/>
      <c r="K284" s="9">
        <f t="shared" si="39"/>
        <v>0</v>
      </c>
      <c r="L284" s="35">
        <f t="shared" si="40"/>
        <v>0</v>
      </c>
      <c r="M284" s="2"/>
      <c r="O284" s="19"/>
      <c r="P284" s="19"/>
      <c r="Q284" s="19"/>
      <c r="R284" s="21"/>
      <c r="S284" s="46"/>
      <c r="T284" s="44"/>
      <c r="U284" s="77"/>
      <c r="V284" s="30"/>
      <c r="W284" s="24"/>
      <c r="X284" s="193"/>
      <c r="Y284" s="15"/>
    </row>
    <row r="285" spans="2:25" x14ac:dyDescent="0.25">
      <c r="B285" s="15">
        <v>283</v>
      </c>
      <c r="C285" s="8"/>
      <c r="E285" s="67"/>
      <c r="K285" s="9">
        <f t="shared" si="39"/>
        <v>0</v>
      </c>
      <c r="L285" s="35">
        <f t="shared" si="40"/>
        <v>0</v>
      </c>
      <c r="S285" s="5"/>
      <c r="T285" s="44"/>
      <c r="U285" s="77"/>
      <c r="V285" s="79"/>
      <c r="W285" s="24"/>
      <c r="X285" s="193"/>
      <c r="Y285" s="15"/>
    </row>
    <row r="286" spans="2:25" x14ac:dyDescent="0.25">
      <c r="B286" s="15">
        <v>284</v>
      </c>
      <c r="C286" s="8"/>
      <c r="K286" s="9">
        <f t="shared" si="39"/>
        <v>0</v>
      </c>
      <c r="L286" s="35">
        <f t="shared" si="40"/>
        <v>0</v>
      </c>
      <c r="T286" s="44"/>
      <c r="U286" s="77"/>
      <c r="V286" s="79"/>
      <c r="W286" s="24"/>
      <c r="X286" s="193"/>
      <c r="Y286" s="15"/>
    </row>
    <row r="287" spans="2:25" x14ac:dyDescent="0.25">
      <c r="B287" s="15">
        <v>285</v>
      </c>
      <c r="C287" s="8"/>
      <c r="K287" s="9">
        <f t="shared" si="39"/>
        <v>0</v>
      </c>
      <c r="L287" s="35">
        <f t="shared" si="40"/>
        <v>0</v>
      </c>
      <c r="T287" s="44"/>
      <c r="U287" s="77"/>
      <c r="V287" s="79"/>
      <c r="W287" s="24"/>
      <c r="X287" s="193"/>
      <c r="Y287" s="15"/>
    </row>
    <row r="288" spans="2:25" x14ac:dyDescent="0.25">
      <c r="B288" s="15">
        <v>286</v>
      </c>
      <c r="C288" s="8"/>
      <c r="K288" s="9">
        <f t="shared" si="39"/>
        <v>0</v>
      </c>
      <c r="L288" s="35">
        <f t="shared" si="40"/>
        <v>0</v>
      </c>
      <c r="T288" s="44"/>
      <c r="U288" s="77"/>
      <c r="V288" s="79"/>
      <c r="W288" s="24"/>
      <c r="X288" s="193"/>
      <c r="Y288" s="15"/>
    </row>
    <row r="289" spans="2:25" x14ac:dyDescent="0.25">
      <c r="B289" s="15">
        <v>287</v>
      </c>
      <c r="C289" s="8"/>
      <c r="K289" s="9">
        <f t="shared" si="39"/>
        <v>0</v>
      </c>
      <c r="L289" s="35">
        <f t="shared" si="40"/>
        <v>0</v>
      </c>
      <c r="T289" s="44"/>
      <c r="U289" s="77"/>
      <c r="V289" s="79"/>
      <c r="W289" s="24"/>
      <c r="X289" s="193"/>
      <c r="Y289" s="15"/>
    </row>
    <row r="290" spans="2:25" x14ac:dyDescent="0.25">
      <c r="B290" s="15">
        <v>288</v>
      </c>
      <c r="C290" s="8"/>
      <c r="K290" s="9">
        <f t="shared" si="39"/>
        <v>0</v>
      </c>
      <c r="L290" s="35">
        <f t="shared" si="40"/>
        <v>0</v>
      </c>
      <c r="T290" s="44"/>
      <c r="U290" s="77"/>
      <c r="V290" s="79"/>
      <c r="W290" s="24"/>
      <c r="X290" s="193"/>
      <c r="Y290" s="15"/>
    </row>
    <row r="291" spans="2:25" x14ac:dyDescent="0.25">
      <c r="B291" s="15">
        <v>289</v>
      </c>
      <c r="C291" s="8"/>
      <c r="K291" s="9">
        <f t="shared" si="39"/>
        <v>0</v>
      </c>
      <c r="L291" s="35">
        <f t="shared" si="40"/>
        <v>0</v>
      </c>
      <c r="T291" s="44"/>
      <c r="U291" s="77"/>
      <c r="V291" s="79"/>
      <c r="W291" s="24"/>
      <c r="X291" s="193"/>
      <c r="Y291" s="15"/>
    </row>
    <row r="292" spans="2:25" x14ac:dyDescent="0.25">
      <c r="B292" s="15">
        <v>290</v>
      </c>
      <c r="C292" s="8"/>
      <c r="K292" s="9">
        <f t="shared" si="39"/>
        <v>0</v>
      </c>
      <c r="L292" s="35">
        <f t="shared" si="40"/>
        <v>0</v>
      </c>
      <c r="T292" s="44"/>
      <c r="U292" s="77"/>
      <c r="V292" s="79"/>
      <c r="W292" s="24"/>
      <c r="X292" s="193"/>
      <c r="Y292" s="15"/>
    </row>
    <row r="293" spans="2:25" x14ac:dyDescent="0.25">
      <c r="B293" s="15">
        <v>291</v>
      </c>
      <c r="C293" s="8"/>
      <c r="K293" s="9">
        <f t="shared" si="39"/>
        <v>0</v>
      </c>
      <c r="L293" s="35">
        <f t="shared" si="40"/>
        <v>0</v>
      </c>
      <c r="T293" s="44"/>
      <c r="U293" s="77"/>
      <c r="V293" s="79"/>
      <c r="W293" s="24"/>
      <c r="X293" s="193"/>
      <c r="Y293" s="15"/>
    </row>
    <row r="294" spans="2:25" x14ac:dyDescent="0.25">
      <c r="B294" s="15">
        <v>292</v>
      </c>
      <c r="C294" s="8"/>
      <c r="K294" s="9">
        <f t="shared" si="39"/>
        <v>0</v>
      </c>
      <c r="L294" s="35">
        <f t="shared" si="40"/>
        <v>0</v>
      </c>
      <c r="T294" s="44"/>
      <c r="U294" s="77"/>
      <c r="V294" s="79"/>
      <c r="W294" s="24"/>
      <c r="X294" s="193"/>
      <c r="Y294" s="15"/>
    </row>
    <row r="295" spans="2:25" x14ac:dyDescent="0.25">
      <c r="B295" s="15">
        <v>293</v>
      </c>
      <c r="C295" s="8"/>
      <c r="K295" s="9">
        <f t="shared" si="39"/>
        <v>0</v>
      </c>
      <c r="L295" s="35">
        <f t="shared" si="40"/>
        <v>0</v>
      </c>
      <c r="T295" s="44"/>
      <c r="U295" s="77"/>
      <c r="V295" s="79"/>
      <c r="W295" s="24"/>
      <c r="X295" s="193"/>
      <c r="Y295" s="15"/>
    </row>
    <row r="296" spans="2:25" x14ac:dyDescent="0.25">
      <c r="B296" s="15">
        <v>294</v>
      </c>
      <c r="C296" s="8"/>
      <c r="K296" s="9">
        <f t="shared" si="39"/>
        <v>0</v>
      </c>
      <c r="L296" s="35">
        <f t="shared" si="40"/>
        <v>0</v>
      </c>
      <c r="T296" s="44"/>
      <c r="U296" s="77"/>
      <c r="V296" s="79"/>
      <c r="W296" s="24"/>
      <c r="X296" s="193"/>
      <c r="Y296" s="15"/>
    </row>
    <row r="297" spans="2:25" x14ac:dyDescent="0.25">
      <c r="B297" s="15">
        <v>295</v>
      </c>
      <c r="C297" s="8"/>
      <c r="K297" s="9">
        <f t="shared" si="39"/>
        <v>0</v>
      </c>
      <c r="L297" s="35">
        <f t="shared" si="40"/>
        <v>0</v>
      </c>
      <c r="T297" s="44"/>
      <c r="U297" s="77"/>
      <c r="V297" s="79"/>
      <c r="W297" s="24"/>
      <c r="X297" s="193"/>
      <c r="Y297" s="15"/>
    </row>
    <row r="298" spans="2:25" x14ac:dyDescent="0.25">
      <c r="B298" s="15">
        <v>296</v>
      </c>
      <c r="C298" s="8"/>
      <c r="K298" s="9">
        <f t="shared" si="39"/>
        <v>0</v>
      </c>
      <c r="L298" s="35">
        <f t="shared" si="40"/>
        <v>0</v>
      </c>
      <c r="T298" s="44"/>
      <c r="U298" s="77"/>
      <c r="V298" s="79"/>
      <c r="W298" s="24"/>
      <c r="X298" s="193"/>
      <c r="Y298" s="15"/>
    </row>
    <row r="299" spans="2:25" x14ac:dyDescent="0.25">
      <c r="B299" s="15">
        <v>297</v>
      </c>
      <c r="C299" s="8"/>
      <c r="K299" s="9">
        <f t="shared" si="39"/>
        <v>0</v>
      </c>
      <c r="L299" s="35">
        <f t="shared" si="40"/>
        <v>0</v>
      </c>
      <c r="T299" s="44"/>
      <c r="U299" s="77"/>
      <c r="V299" s="79"/>
      <c r="W299" s="24"/>
      <c r="X299" s="193"/>
      <c r="Y299" s="15"/>
    </row>
    <row r="300" spans="2:25" x14ac:dyDescent="0.25">
      <c r="B300" s="15">
        <v>298</v>
      </c>
      <c r="C300" s="8"/>
      <c r="K300" s="9">
        <f t="shared" si="39"/>
        <v>0</v>
      </c>
      <c r="L300" s="35">
        <f t="shared" si="40"/>
        <v>0</v>
      </c>
      <c r="T300" s="44"/>
      <c r="U300" s="77"/>
      <c r="V300" s="79"/>
      <c r="W300" s="24"/>
      <c r="X300" s="193"/>
      <c r="Y300" s="15"/>
    </row>
    <row r="301" spans="2:25" x14ac:dyDescent="0.25">
      <c r="B301" s="15">
        <v>298</v>
      </c>
      <c r="C301" s="8"/>
      <c r="K301" s="9">
        <f t="shared" si="39"/>
        <v>0</v>
      </c>
      <c r="L301" s="35">
        <f t="shared" si="40"/>
        <v>0</v>
      </c>
      <c r="T301" s="44"/>
      <c r="U301" s="77"/>
      <c r="V301" s="79"/>
      <c r="W301" s="24"/>
      <c r="X301" s="193"/>
      <c r="Y301" s="15"/>
    </row>
    <row r="302" spans="2:25" x14ac:dyDescent="0.25">
      <c r="B302" s="15">
        <v>298</v>
      </c>
      <c r="G302" s="8"/>
      <c r="H302" s="8"/>
      <c r="K302" s="9">
        <f t="shared" si="39"/>
        <v>0</v>
      </c>
      <c r="L302" s="35">
        <f t="shared" si="40"/>
        <v>0</v>
      </c>
      <c r="W302" s="24"/>
    </row>
    <row r="303" spans="2:25" x14ac:dyDescent="0.25">
      <c r="B303" s="15">
        <v>298</v>
      </c>
      <c r="C303" s="8"/>
      <c r="K303" s="9">
        <f t="shared" si="39"/>
        <v>0</v>
      </c>
      <c r="L303" s="35">
        <f t="shared" si="40"/>
        <v>0</v>
      </c>
      <c r="W303" s="24"/>
    </row>
    <row r="304" spans="2:25" x14ac:dyDescent="0.25">
      <c r="B304" s="15">
        <v>298</v>
      </c>
      <c r="C304" s="8"/>
      <c r="K304" s="9">
        <f t="shared" si="39"/>
        <v>0</v>
      </c>
      <c r="L304" s="35">
        <f t="shared" si="40"/>
        <v>0</v>
      </c>
      <c r="W304" s="24"/>
    </row>
    <row r="305" spans="2:25" x14ac:dyDescent="0.25">
      <c r="B305" s="15">
        <v>298</v>
      </c>
      <c r="C305" s="8"/>
      <c r="E305" s="67"/>
      <c r="F305" s="16"/>
      <c r="G305" s="8"/>
      <c r="H305" s="8"/>
      <c r="I305" s="8"/>
      <c r="J305" s="9"/>
      <c r="K305" s="9">
        <f t="shared" si="39"/>
        <v>0</v>
      </c>
      <c r="L305" s="35">
        <f t="shared" si="40"/>
        <v>0</v>
      </c>
      <c r="M305" s="2"/>
      <c r="O305" s="19"/>
      <c r="P305" s="19"/>
      <c r="Q305" s="19"/>
      <c r="R305" s="21"/>
      <c r="S305" s="46"/>
      <c r="T305" s="44"/>
      <c r="U305" s="77"/>
      <c r="V305" s="24"/>
      <c r="W305" s="24"/>
      <c r="X305" s="193"/>
      <c r="Y305" s="15"/>
    </row>
    <row r="306" spans="2:25" x14ac:dyDescent="0.25">
      <c r="B306" s="15">
        <v>298</v>
      </c>
      <c r="C306" s="8"/>
      <c r="E306" s="67"/>
      <c r="F306" s="16"/>
      <c r="G306" s="8"/>
      <c r="H306" s="8"/>
      <c r="I306" s="8"/>
      <c r="J306" s="9"/>
      <c r="K306" s="9">
        <f t="shared" si="39"/>
        <v>0</v>
      </c>
      <c r="L306" s="35">
        <f t="shared" si="40"/>
        <v>0</v>
      </c>
      <c r="M306" s="2"/>
      <c r="O306" s="19"/>
      <c r="P306" s="19"/>
      <c r="Q306" s="19"/>
      <c r="R306" s="21"/>
      <c r="S306" s="46"/>
      <c r="T306" s="44"/>
      <c r="U306" s="77"/>
      <c r="V306" s="24"/>
      <c r="W306" s="24"/>
      <c r="X306" s="193"/>
      <c r="Y306" s="15"/>
    </row>
    <row r="307" spans="2:25" x14ac:dyDescent="0.25">
      <c r="B307" s="15">
        <v>298</v>
      </c>
      <c r="C307" s="8"/>
      <c r="E307" s="67"/>
      <c r="F307" s="16"/>
      <c r="G307" s="8"/>
      <c r="H307" s="8"/>
      <c r="I307" s="8"/>
      <c r="J307" s="9"/>
      <c r="K307" s="9">
        <f t="shared" si="39"/>
        <v>0</v>
      </c>
      <c r="L307" s="35">
        <f t="shared" si="40"/>
        <v>0</v>
      </c>
      <c r="M307" s="2"/>
      <c r="O307" s="19"/>
      <c r="P307" s="19"/>
      <c r="Q307" s="19"/>
      <c r="R307" s="21"/>
      <c r="S307" s="46"/>
      <c r="T307" s="44"/>
      <c r="U307" s="77"/>
      <c r="V307" s="24"/>
      <c r="W307" s="24"/>
      <c r="X307" s="193"/>
      <c r="Y307" s="15"/>
    </row>
    <row r="308" spans="2:25" x14ac:dyDescent="0.25">
      <c r="B308" s="15">
        <v>298</v>
      </c>
      <c r="C308" s="8"/>
      <c r="E308" s="67"/>
      <c r="F308" s="16"/>
      <c r="G308" s="8"/>
      <c r="H308" s="8"/>
      <c r="I308" s="8"/>
      <c r="J308" s="9"/>
      <c r="K308" s="9">
        <f t="shared" si="39"/>
        <v>0</v>
      </c>
      <c r="L308" s="35">
        <f t="shared" si="40"/>
        <v>0</v>
      </c>
      <c r="M308" s="2"/>
      <c r="O308" s="19"/>
      <c r="P308" s="19"/>
      <c r="Q308" s="19"/>
      <c r="R308" s="21"/>
      <c r="S308" s="46"/>
      <c r="T308" s="44"/>
      <c r="U308" s="77"/>
      <c r="V308" s="24"/>
      <c r="W308" s="24"/>
      <c r="X308" s="193"/>
      <c r="Y308" s="15"/>
    </row>
    <row r="309" spans="2:25" x14ac:dyDescent="0.25">
      <c r="B309" s="15">
        <v>298</v>
      </c>
      <c r="C309" s="8"/>
      <c r="E309" s="67"/>
      <c r="F309" s="16"/>
      <c r="G309" s="8"/>
      <c r="H309" s="8"/>
      <c r="I309" s="8"/>
      <c r="J309" s="9"/>
      <c r="K309" s="9">
        <f t="shared" si="39"/>
        <v>0</v>
      </c>
      <c r="L309" s="35">
        <f t="shared" si="40"/>
        <v>0</v>
      </c>
      <c r="M309" s="2"/>
      <c r="O309" s="19"/>
      <c r="P309" s="19"/>
      <c r="Q309" s="19"/>
      <c r="R309" s="21"/>
      <c r="S309" s="46"/>
      <c r="T309" s="44"/>
      <c r="U309" s="77"/>
      <c r="V309" s="24"/>
      <c r="W309" s="24"/>
      <c r="X309" s="193"/>
      <c r="Y309" s="15"/>
    </row>
    <row r="310" spans="2:25" x14ac:dyDescent="0.25">
      <c r="B310" s="15">
        <v>235</v>
      </c>
      <c r="C310" s="8"/>
      <c r="E310" s="67"/>
      <c r="F310" s="16"/>
      <c r="G310" s="8"/>
      <c r="H310" s="8"/>
      <c r="I310" s="8"/>
      <c r="J310" s="9"/>
      <c r="K310" s="9">
        <f t="shared" si="39"/>
        <v>0</v>
      </c>
      <c r="L310" s="35">
        <f t="shared" si="40"/>
        <v>0</v>
      </c>
      <c r="M310" s="2"/>
      <c r="O310" s="19"/>
      <c r="P310" s="19"/>
      <c r="Q310" s="19"/>
      <c r="R310" s="21"/>
      <c r="S310" s="46"/>
      <c r="T310" s="44"/>
      <c r="U310" s="77"/>
      <c r="V310" s="24"/>
      <c r="W310" s="24"/>
      <c r="X310" s="193"/>
      <c r="Y310" s="15"/>
    </row>
    <row r="311" spans="2:25" x14ac:dyDescent="0.25">
      <c r="B311" s="15">
        <v>235</v>
      </c>
      <c r="C311" s="8"/>
      <c r="E311" s="67"/>
      <c r="F311" s="16"/>
      <c r="G311" s="8"/>
      <c r="H311" s="8"/>
      <c r="I311" s="8"/>
      <c r="J311" s="9"/>
      <c r="K311" s="9">
        <f t="shared" si="39"/>
        <v>0</v>
      </c>
      <c r="L311" s="35">
        <f t="shared" si="40"/>
        <v>0</v>
      </c>
      <c r="M311" s="2"/>
      <c r="O311" s="19"/>
      <c r="P311" s="19"/>
      <c r="Q311" s="19"/>
      <c r="R311" s="21"/>
      <c r="S311" s="46"/>
      <c r="T311" s="44"/>
      <c r="U311" s="77"/>
      <c r="V311" s="24"/>
      <c r="W311" s="24"/>
      <c r="X311" s="193"/>
      <c r="Y311" s="15"/>
    </row>
    <row r="312" spans="2:25" x14ac:dyDescent="0.25">
      <c r="B312" s="15">
        <v>235</v>
      </c>
      <c r="C312" s="8"/>
      <c r="E312" s="67"/>
      <c r="F312" s="16"/>
      <c r="G312" s="8"/>
      <c r="H312" s="8"/>
      <c r="I312" s="8"/>
      <c r="J312" s="9"/>
      <c r="K312" s="9">
        <f t="shared" si="39"/>
        <v>0</v>
      </c>
      <c r="L312" s="35">
        <f t="shared" si="40"/>
        <v>0</v>
      </c>
      <c r="M312" s="2"/>
      <c r="O312" s="19"/>
      <c r="P312" s="19"/>
      <c r="Q312" s="19"/>
      <c r="R312" s="21"/>
      <c r="S312" s="46"/>
      <c r="T312" s="44"/>
      <c r="U312" s="77"/>
      <c r="V312" s="24"/>
      <c r="W312" s="24"/>
      <c r="X312" s="193"/>
      <c r="Y312" s="15"/>
    </row>
    <row r="313" spans="2:25" x14ac:dyDescent="0.25">
      <c r="B313" s="15">
        <v>235</v>
      </c>
      <c r="C313" s="8"/>
      <c r="E313" s="67"/>
      <c r="F313" s="16"/>
      <c r="G313" s="8"/>
      <c r="H313" s="8"/>
      <c r="I313" s="8"/>
      <c r="J313" s="9"/>
      <c r="K313" s="9">
        <f t="shared" si="39"/>
        <v>0</v>
      </c>
      <c r="L313" s="35">
        <f t="shared" si="40"/>
        <v>0</v>
      </c>
      <c r="M313" s="2"/>
      <c r="O313" s="19"/>
      <c r="P313" s="19"/>
      <c r="Q313" s="19"/>
      <c r="R313" s="21"/>
      <c r="S313" s="46"/>
      <c r="T313" s="44"/>
      <c r="U313" s="77"/>
      <c r="V313" s="24"/>
      <c r="W313" s="24"/>
      <c r="X313" s="193"/>
      <c r="Y313" s="15"/>
    </row>
    <row r="314" spans="2:25" x14ac:dyDescent="0.25">
      <c r="B314" s="15">
        <v>235</v>
      </c>
      <c r="C314" s="8"/>
      <c r="E314" s="67"/>
      <c r="F314" s="16"/>
      <c r="G314" s="8"/>
      <c r="H314" s="8"/>
      <c r="I314" s="8"/>
      <c r="J314" s="9"/>
      <c r="K314" s="9">
        <f t="shared" si="39"/>
        <v>0</v>
      </c>
      <c r="L314" s="35">
        <f t="shared" si="40"/>
        <v>0</v>
      </c>
      <c r="M314" s="2"/>
      <c r="O314" s="19"/>
      <c r="P314" s="19"/>
      <c r="Q314" s="19"/>
      <c r="R314" s="21"/>
      <c r="S314" s="46"/>
      <c r="T314" s="44"/>
      <c r="U314" s="77"/>
      <c r="V314" s="24"/>
      <c r="W314" s="24"/>
      <c r="X314" s="193"/>
      <c r="Y314" s="15"/>
    </row>
    <row r="315" spans="2:25" x14ac:dyDescent="0.25">
      <c r="B315" s="15">
        <v>235</v>
      </c>
      <c r="C315" s="8"/>
      <c r="E315" s="67"/>
      <c r="F315" s="16"/>
      <c r="G315" s="8"/>
      <c r="H315" s="8"/>
      <c r="I315" s="8"/>
      <c r="J315" s="9"/>
      <c r="K315" s="9">
        <f t="shared" si="39"/>
        <v>0</v>
      </c>
      <c r="L315" s="35">
        <f t="shared" si="40"/>
        <v>0</v>
      </c>
      <c r="M315" s="2"/>
      <c r="O315" s="19"/>
      <c r="P315" s="19"/>
      <c r="Q315" s="19"/>
      <c r="R315" s="21"/>
      <c r="S315" s="46"/>
      <c r="T315" s="44"/>
      <c r="U315" s="77"/>
      <c r="V315" s="24"/>
      <c r="W315" s="24"/>
      <c r="X315" s="193"/>
      <c r="Y315" s="15"/>
    </row>
    <row r="316" spans="2:25" x14ac:dyDescent="0.25">
      <c r="B316" s="15">
        <v>235</v>
      </c>
      <c r="C316" s="8"/>
      <c r="E316" s="67"/>
      <c r="F316" s="16"/>
      <c r="G316" s="8"/>
      <c r="H316" s="8"/>
      <c r="I316" s="8"/>
      <c r="J316" s="9"/>
      <c r="K316" s="9">
        <f t="shared" si="39"/>
        <v>0</v>
      </c>
      <c r="L316" s="35">
        <f t="shared" si="40"/>
        <v>0</v>
      </c>
      <c r="M316" s="2"/>
      <c r="O316" s="19"/>
      <c r="P316" s="19"/>
      <c r="Q316" s="19"/>
      <c r="R316" s="21"/>
      <c r="S316" s="46"/>
      <c r="T316" s="44"/>
      <c r="U316" s="77"/>
      <c r="V316" s="24"/>
      <c r="W316" s="24"/>
      <c r="X316" s="193"/>
      <c r="Y316" s="15"/>
    </row>
    <row r="317" spans="2:25" x14ac:dyDescent="0.25">
      <c r="B317" s="15">
        <v>235</v>
      </c>
      <c r="C317" s="8"/>
      <c r="E317" s="67"/>
      <c r="F317" s="16"/>
      <c r="G317" s="8"/>
      <c r="H317" s="8"/>
      <c r="I317" s="8"/>
      <c r="J317" s="9"/>
      <c r="K317" s="9">
        <f t="shared" si="39"/>
        <v>0</v>
      </c>
      <c r="L317" s="35">
        <f t="shared" si="40"/>
        <v>0</v>
      </c>
      <c r="M317" s="2"/>
      <c r="O317" s="19"/>
      <c r="P317" s="19"/>
      <c r="Q317" s="19"/>
      <c r="R317" s="21"/>
      <c r="S317" s="46"/>
      <c r="T317" s="44"/>
      <c r="U317" s="77"/>
      <c r="V317" s="24"/>
      <c r="W317" s="24"/>
      <c r="X317" s="193"/>
      <c r="Y317" s="15"/>
    </row>
    <row r="318" spans="2:25" x14ac:dyDescent="0.25">
      <c r="B318" s="15">
        <v>235</v>
      </c>
      <c r="C318" s="8"/>
      <c r="E318" s="67"/>
      <c r="F318" s="16"/>
      <c r="G318" s="8"/>
      <c r="H318" s="8"/>
      <c r="I318" s="8"/>
      <c r="J318" s="9"/>
      <c r="K318" s="9">
        <f t="shared" si="39"/>
        <v>0</v>
      </c>
      <c r="L318" s="35">
        <f t="shared" si="40"/>
        <v>0</v>
      </c>
      <c r="M318" s="2"/>
      <c r="O318" s="19"/>
      <c r="P318" s="19"/>
      <c r="Q318" s="19"/>
      <c r="R318" s="21"/>
      <c r="S318" s="46"/>
      <c r="T318" s="44"/>
      <c r="U318" s="77"/>
      <c r="V318" s="24"/>
      <c r="W318" s="24"/>
      <c r="X318" s="193"/>
      <c r="Y318" s="15"/>
    </row>
    <row r="319" spans="2:25" x14ac:dyDescent="0.25">
      <c r="B319" s="15">
        <v>235</v>
      </c>
      <c r="C319" s="8"/>
      <c r="E319" s="67"/>
      <c r="F319" s="16"/>
      <c r="G319" s="8"/>
      <c r="H319" s="8"/>
      <c r="I319" s="8"/>
      <c r="J319" s="9"/>
      <c r="K319" s="9">
        <f t="shared" si="39"/>
        <v>0</v>
      </c>
      <c r="L319" s="35">
        <f t="shared" si="40"/>
        <v>0</v>
      </c>
      <c r="M319" s="2"/>
      <c r="O319" s="19"/>
      <c r="P319" s="19"/>
      <c r="Q319" s="19"/>
      <c r="R319" s="21"/>
      <c r="S319" s="46"/>
      <c r="T319" s="44"/>
      <c r="U319" s="77"/>
      <c r="V319" s="24"/>
      <c r="W319" s="24"/>
      <c r="X319" s="193"/>
      <c r="Y319" s="15"/>
    </row>
    <row r="320" spans="2:25" x14ac:dyDescent="0.25">
      <c r="B320" s="15">
        <v>235</v>
      </c>
      <c r="C320" s="8"/>
      <c r="E320" s="67"/>
      <c r="F320" s="16"/>
      <c r="G320" s="8"/>
      <c r="H320" s="8"/>
      <c r="I320" s="8"/>
      <c r="J320" s="9"/>
      <c r="K320" s="9">
        <f t="shared" si="39"/>
        <v>0</v>
      </c>
      <c r="L320" s="35">
        <f t="shared" si="40"/>
        <v>0</v>
      </c>
      <c r="M320" s="2"/>
      <c r="O320" s="19"/>
      <c r="P320" s="19"/>
      <c r="Q320" s="19"/>
      <c r="R320" s="21"/>
      <c r="S320" s="46"/>
      <c r="T320" s="44"/>
      <c r="U320" s="77"/>
      <c r="V320" s="24"/>
      <c r="W320" s="24"/>
      <c r="X320" s="193"/>
      <c r="Y320" s="15"/>
    </row>
    <row r="321" spans="2:25" x14ac:dyDescent="0.25">
      <c r="B321" s="15">
        <v>235</v>
      </c>
      <c r="C321" s="8"/>
      <c r="E321" s="67"/>
      <c r="F321" s="16"/>
      <c r="G321" s="8"/>
      <c r="H321" s="8"/>
      <c r="I321" s="8"/>
      <c r="J321" s="9"/>
      <c r="K321" s="9">
        <f t="shared" si="39"/>
        <v>0</v>
      </c>
      <c r="L321" s="35">
        <f t="shared" si="40"/>
        <v>0</v>
      </c>
      <c r="M321" s="2"/>
      <c r="O321" s="19"/>
      <c r="P321" s="19"/>
      <c r="Q321" s="19"/>
      <c r="R321" s="21"/>
      <c r="S321" s="46"/>
      <c r="T321" s="44"/>
      <c r="U321" s="77"/>
      <c r="V321" s="24"/>
      <c r="W321" s="24"/>
      <c r="X321" s="193"/>
      <c r="Y321" s="15"/>
    </row>
    <row r="322" spans="2:25" x14ac:dyDescent="0.25">
      <c r="B322" s="15">
        <v>235</v>
      </c>
      <c r="C322" s="8"/>
      <c r="E322" s="67"/>
      <c r="F322" s="16"/>
      <c r="G322" s="8"/>
      <c r="H322" s="8"/>
      <c r="I322" s="8"/>
      <c r="J322" s="9"/>
      <c r="K322" s="9">
        <f t="shared" si="39"/>
        <v>0</v>
      </c>
      <c r="L322" s="35">
        <f t="shared" si="40"/>
        <v>0</v>
      </c>
      <c r="M322" s="2"/>
      <c r="O322" s="19"/>
      <c r="P322" s="19"/>
      <c r="Q322" s="19"/>
      <c r="R322" s="21"/>
      <c r="S322" s="46"/>
      <c r="T322" s="44"/>
      <c r="U322" s="77"/>
      <c r="V322" s="24"/>
      <c r="W322" s="24"/>
      <c r="X322" s="193"/>
      <c r="Y322" s="15"/>
    </row>
    <row r="323" spans="2:25" x14ac:dyDescent="0.25">
      <c r="B323" s="15">
        <v>235</v>
      </c>
      <c r="C323" s="8"/>
      <c r="E323" s="67"/>
      <c r="F323" s="16"/>
      <c r="G323" s="8"/>
      <c r="H323" s="8"/>
      <c r="I323" s="8"/>
      <c r="J323" s="9"/>
      <c r="K323" s="9">
        <f t="shared" ref="K323:K354" si="41">J323*1.1</f>
        <v>0</v>
      </c>
      <c r="L323" s="35">
        <f t="shared" ref="L323:L354" si="42">J323*0.00000001</f>
        <v>0</v>
      </c>
      <c r="M323" s="2"/>
      <c r="O323" s="19"/>
      <c r="P323" s="19"/>
      <c r="Q323" s="19"/>
      <c r="R323" s="21"/>
      <c r="S323" s="46"/>
      <c r="T323" s="44"/>
      <c r="U323" s="77"/>
      <c r="V323" s="24"/>
      <c r="W323" s="24"/>
      <c r="X323" s="193"/>
      <c r="Y323" s="15"/>
    </row>
    <row r="324" spans="2:25" x14ac:dyDescent="0.25">
      <c r="B324" s="15">
        <v>235</v>
      </c>
      <c r="C324" s="8"/>
      <c r="E324" s="67"/>
      <c r="F324" s="16"/>
      <c r="G324" s="8"/>
      <c r="H324" s="8"/>
      <c r="I324" s="8"/>
      <c r="J324" s="9"/>
      <c r="K324" s="9">
        <f t="shared" si="41"/>
        <v>0</v>
      </c>
      <c r="L324" s="35">
        <f t="shared" si="42"/>
        <v>0</v>
      </c>
      <c r="M324" s="2"/>
      <c r="O324" s="19"/>
      <c r="P324" s="19"/>
      <c r="Q324" s="19"/>
      <c r="R324" s="21"/>
      <c r="S324" s="46"/>
      <c r="T324" s="44"/>
      <c r="U324" s="77"/>
      <c r="V324" s="24"/>
      <c r="W324" s="24"/>
      <c r="X324" s="193"/>
      <c r="Y324" s="15"/>
    </row>
    <row r="325" spans="2:25" x14ac:dyDescent="0.25">
      <c r="B325" s="15">
        <v>235</v>
      </c>
      <c r="C325" s="8"/>
      <c r="E325" s="67"/>
      <c r="F325" s="16"/>
      <c r="G325" s="8"/>
      <c r="H325" s="8"/>
      <c r="I325" s="8"/>
      <c r="J325" s="9"/>
      <c r="K325" s="9">
        <f t="shared" si="41"/>
        <v>0</v>
      </c>
      <c r="L325" s="35">
        <f t="shared" si="42"/>
        <v>0</v>
      </c>
      <c r="M325" s="2"/>
      <c r="O325" s="19"/>
      <c r="P325" s="19"/>
      <c r="Q325" s="19"/>
      <c r="R325" s="21"/>
      <c r="S325" s="46"/>
      <c r="T325" s="44"/>
      <c r="U325" s="77"/>
      <c r="V325" s="24"/>
      <c r="W325" s="24"/>
      <c r="X325" s="193"/>
      <c r="Y325" s="15"/>
    </row>
    <row r="326" spans="2:25" x14ac:dyDescent="0.25">
      <c r="B326" s="15">
        <v>235</v>
      </c>
      <c r="C326" s="8"/>
      <c r="E326" s="67"/>
      <c r="F326" s="16"/>
      <c r="G326" s="8"/>
      <c r="H326" s="8"/>
      <c r="I326" s="8"/>
      <c r="J326" s="9"/>
      <c r="K326" s="9">
        <f t="shared" si="41"/>
        <v>0</v>
      </c>
      <c r="L326" s="35">
        <f t="shared" si="42"/>
        <v>0</v>
      </c>
      <c r="M326" s="2"/>
      <c r="O326" s="19"/>
      <c r="P326" s="19"/>
      <c r="Q326" s="19"/>
      <c r="R326" s="21"/>
      <c r="S326" s="46"/>
      <c r="T326" s="44"/>
      <c r="U326" s="77"/>
      <c r="V326" s="24"/>
      <c r="W326" s="24"/>
      <c r="X326" s="193"/>
      <c r="Y326" s="15"/>
    </row>
    <row r="327" spans="2:25" x14ac:dyDescent="0.25">
      <c r="B327" s="15">
        <v>235</v>
      </c>
      <c r="C327" s="8"/>
      <c r="E327" s="67"/>
      <c r="F327" s="16"/>
      <c r="G327" s="8"/>
      <c r="H327" s="8"/>
      <c r="I327" s="8"/>
      <c r="J327" s="9"/>
      <c r="K327" s="9">
        <f t="shared" si="41"/>
        <v>0</v>
      </c>
      <c r="L327" s="35">
        <f t="shared" si="42"/>
        <v>0</v>
      </c>
      <c r="M327" s="2"/>
      <c r="O327" s="19"/>
      <c r="P327" s="19"/>
      <c r="Q327" s="19"/>
      <c r="R327" s="21"/>
      <c r="S327" s="46"/>
      <c r="T327" s="44"/>
      <c r="U327" s="77"/>
      <c r="V327" s="24"/>
      <c r="W327" s="24"/>
      <c r="X327" s="193"/>
      <c r="Y327" s="15"/>
    </row>
    <row r="328" spans="2:25" x14ac:dyDescent="0.25">
      <c r="B328" s="15">
        <v>235</v>
      </c>
      <c r="C328" s="8"/>
      <c r="E328" s="67"/>
      <c r="F328" s="16"/>
      <c r="G328" s="8"/>
      <c r="H328" s="8"/>
      <c r="I328" s="8"/>
      <c r="J328" s="9"/>
      <c r="K328" s="9">
        <f t="shared" si="41"/>
        <v>0</v>
      </c>
      <c r="L328" s="35">
        <f t="shared" si="42"/>
        <v>0</v>
      </c>
      <c r="M328" s="2"/>
      <c r="O328" s="19"/>
      <c r="P328" s="19"/>
      <c r="Q328" s="19"/>
      <c r="R328" s="21"/>
      <c r="S328" s="46"/>
      <c r="T328" s="44"/>
      <c r="U328" s="77"/>
      <c r="V328" s="24"/>
      <c r="W328" s="24"/>
      <c r="X328" s="193"/>
      <c r="Y328" s="15"/>
    </row>
    <row r="329" spans="2:25" x14ac:dyDescent="0.25">
      <c r="B329" s="15">
        <v>235</v>
      </c>
      <c r="K329" s="9">
        <f t="shared" si="41"/>
        <v>0</v>
      </c>
      <c r="L329" s="35">
        <f t="shared" si="42"/>
        <v>0</v>
      </c>
      <c r="T329" s="44"/>
      <c r="U329" s="77"/>
      <c r="V329" s="24"/>
      <c r="W329" s="24"/>
      <c r="X329" s="193"/>
      <c r="Y329" s="15"/>
    </row>
    <row r="330" spans="2:25" x14ac:dyDescent="0.25">
      <c r="B330" s="15">
        <v>235</v>
      </c>
      <c r="K330" s="9">
        <f t="shared" si="41"/>
        <v>0</v>
      </c>
      <c r="L330" s="35">
        <f t="shared" si="42"/>
        <v>0</v>
      </c>
      <c r="T330" s="44"/>
      <c r="U330" s="77"/>
      <c r="V330" s="24"/>
      <c r="W330" s="24"/>
      <c r="X330" s="193"/>
      <c r="Y330" s="15"/>
    </row>
    <row r="331" spans="2:25" x14ac:dyDescent="0.25">
      <c r="B331" s="15">
        <v>235</v>
      </c>
      <c r="K331" s="9">
        <f t="shared" si="41"/>
        <v>0</v>
      </c>
      <c r="L331" s="35">
        <f t="shared" si="42"/>
        <v>0</v>
      </c>
      <c r="T331" s="44"/>
      <c r="U331" s="77"/>
      <c r="V331" s="24"/>
      <c r="W331" s="24"/>
      <c r="X331" s="193"/>
      <c r="Y331" s="15"/>
    </row>
    <row r="332" spans="2:25" x14ac:dyDescent="0.25">
      <c r="B332" s="15">
        <v>235</v>
      </c>
      <c r="K332" s="9">
        <f t="shared" si="41"/>
        <v>0</v>
      </c>
      <c r="L332" s="35">
        <f t="shared" si="42"/>
        <v>0</v>
      </c>
      <c r="T332" s="44"/>
      <c r="U332" s="77"/>
      <c r="V332" s="24"/>
      <c r="W332" s="24"/>
      <c r="X332" s="193"/>
      <c r="Y332" s="15"/>
    </row>
    <row r="333" spans="2:25" x14ac:dyDescent="0.25">
      <c r="B333" s="15">
        <v>235</v>
      </c>
      <c r="K333" s="9">
        <f t="shared" si="41"/>
        <v>0</v>
      </c>
      <c r="L333" s="35">
        <f t="shared" si="42"/>
        <v>0</v>
      </c>
      <c r="T333" s="44"/>
      <c r="U333" s="77"/>
      <c r="V333" s="24"/>
      <c r="W333" s="24"/>
      <c r="X333" s="193"/>
      <c r="Y333" s="15"/>
    </row>
    <row r="334" spans="2:25" x14ac:dyDescent="0.25">
      <c r="B334" s="15">
        <v>235</v>
      </c>
      <c r="K334" s="9">
        <f t="shared" si="41"/>
        <v>0</v>
      </c>
      <c r="L334" s="35">
        <f t="shared" si="42"/>
        <v>0</v>
      </c>
      <c r="T334" s="44"/>
      <c r="U334" s="77"/>
      <c r="V334" s="24"/>
      <c r="W334" s="24"/>
      <c r="X334" s="193"/>
      <c r="Y334" s="15"/>
    </row>
    <row r="335" spans="2:25" x14ac:dyDescent="0.25">
      <c r="B335" s="15">
        <v>235</v>
      </c>
      <c r="K335" s="9">
        <f t="shared" si="41"/>
        <v>0</v>
      </c>
      <c r="L335" s="35">
        <f t="shared" si="42"/>
        <v>0</v>
      </c>
      <c r="T335" s="44"/>
      <c r="U335" s="77"/>
      <c r="V335" s="24"/>
      <c r="W335" s="24"/>
      <c r="X335" s="193"/>
      <c r="Y335" s="15"/>
    </row>
    <row r="336" spans="2:25" x14ac:dyDescent="0.25">
      <c r="B336" t="s">
        <v>184</v>
      </c>
      <c r="K336" s="9">
        <f t="shared" si="41"/>
        <v>0</v>
      </c>
      <c r="L336" s="35">
        <f t="shared" si="42"/>
        <v>0</v>
      </c>
      <c r="T336" s="44"/>
      <c r="U336" s="77"/>
      <c r="V336" s="24"/>
      <c r="W336" s="24"/>
      <c r="X336" s="193"/>
      <c r="Y336" s="15"/>
    </row>
    <row r="337" spans="2:25" x14ac:dyDescent="0.25">
      <c r="B337" s="15">
        <v>247</v>
      </c>
      <c r="C337" s="8"/>
      <c r="E337" s="67"/>
      <c r="F337" s="16"/>
      <c r="G337" s="8"/>
      <c r="H337" s="8"/>
      <c r="I337" s="8"/>
      <c r="J337" s="9"/>
      <c r="K337" s="9">
        <f t="shared" si="41"/>
        <v>0</v>
      </c>
      <c r="L337" s="35">
        <f t="shared" si="42"/>
        <v>0</v>
      </c>
      <c r="M337" s="2"/>
      <c r="O337" s="19"/>
      <c r="P337" s="19"/>
      <c r="Q337" s="19"/>
      <c r="R337" s="21"/>
      <c r="S337" s="46"/>
      <c r="T337" s="44"/>
      <c r="U337" s="77"/>
      <c r="V337" s="24"/>
      <c r="W337" s="24"/>
      <c r="X337" s="193"/>
      <c r="Y337" s="15"/>
    </row>
    <row r="338" spans="2:25" x14ac:dyDescent="0.25">
      <c r="B338" s="15"/>
      <c r="C338" s="8"/>
      <c r="E338" s="67"/>
      <c r="F338" s="16"/>
      <c r="G338" s="8"/>
      <c r="H338" s="8"/>
      <c r="I338" s="8"/>
      <c r="J338" s="9"/>
      <c r="K338" s="9">
        <f t="shared" si="41"/>
        <v>0</v>
      </c>
      <c r="L338" s="35">
        <f t="shared" si="42"/>
        <v>0</v>
      </c>
      <c r="M338" s="2"/>
      <c r="O338" s="19"/>
      <c r="P338" s="19"/>
      <c r="Q338" s="19"/>
      <c r="R338" s="21"/>
      <c r="S338" s="46"/>
      <c r="T338" s="44"/>
      <c r="U338" s="77"/>
      <c r="V338" s="24"/>
      <c r="W338" s="24"/>
      <c r="X338" s="193"/>
      <c r="Y338" s="15"/>
    </row>
    <row r="339" spans="2:25" x14ac:dyDescent="0.25">
      <c r="B339" s="15"/>
      <c r="C339" s="8"/>
      <c r="E339" s="67"/>
      <c r="F339" s="16"/>
      <c r="G339" s="8"/>
      <c r="H339" s="8"/>
      <c r="I339" s="8"/>
      <c r="J339" s="9"/>
      <c r="K339" s="9">
        <f t="shared" si="41"/>
        <v>0</v>
      </c>
      <c r="L339" s="35">
        <f t="shared" si="42"/>
        <v>0</v>
      </c>
      <c r="M339" s="2"/>
      <c r="O339" s="19"/>
      <c r="P339" s="19"/>
      <c r="Q339" s="19"/>
      <c r="R339" s="21"/>
      <c r="S339" s="46"/>
      <c r="T339" s="44"/>
      <c r="U339" s="77"/>
      <c r="V339" s="24"/>
      <c r="W339" s="24"/>
      <c r="X339" s="193"/>
      <c r="Y339" s="15"/>
    </row>
    <row r="340" spans="2:25" x14ac:dyDescent="0.25">
      <c r="B340" s="15"/>
      <c r="C340" s="8"/>
      <c r="E340" s="67"/>
      <c r="F340" s="16"/>
      <c r="G340" s="8"/>
      <c r="H340" s="8"/>
      <c r="I340" s="8"/>
      <c r="J340" s="9"/>
      <c r="K340" s="9">
        <f t="shared" si="41"/>
        <v>0</v>
      </c>
      <c r="L340" s="35">
        <f t="shared" si="42"/>
        <v>0</v>
      </c>
      <c r="M340" s="2"/>
      <c r="O340" s="19"/>
      <c r="P340" s="19"/>
      <c r="Q340" s="19"/>
      <c r="R340" s="21"/>
      <c r="S340" s="46"/>
      <c r="T340" s="44"/>
      <c r="U340" s="77"/>
      <c r="V340" s="24"/>
      <c r="W340" s="24"/>
      <c r="X340" s="193"/>
      <c r="Y340" s="15"/>
    </row>
    <row r="341" spans="2:25" x14ac:dyDescent="0.25">
      <c r="B341" s="15"/>
      <c r="C341" s="8"/>
      <c r="E341" s="67"/>
      <c r="F341" s="16"/>
      <c r="G341" s="8"/>
      <c r="H341" s="8"/>
      <c r="I341" s="8"/>
      <c r="J341" s="9"/>
      <c r="K341" s="9">
        <f t="shared" si="41"/>
        <v>0</v>
      </c>
      <c r="L341" s="35">
        <f t="shared" si="42"/>
        <v>0</v>
      </c>
      <c r="M341" s="2"/>
      <c r="O341" s="19"/>
      <c r="P341" s="19"/>
      <c r="Q341" s="19"/>
      <c r="R341" s="21"/>
      <c r="S341" s="46"/>
      <c r="T341" s="44"/>
      <c r="U341" s="77"/>
      <c r="V341" s="24"/>
      <c r="W341" s="24"/>
      <c r="X341" s="193"/>
      <c r="Y341" s="15"/>
    </row>
    <row r="342" spans="2:25" x14ac:dyDescent="0.25">
      <c r="B342" s="15"/>
      <c r="C342" s="8"/>
      <c r="E342" s="67"/>
      <c r="F342" s="16"/>
      <c r="G342" s="8"/>
      <c r="H342" s="8"/>
      <c r="I342" s="8"/>
      <c r="J342" s="9"/>
      <c r="K342" s="9">
        <f t="shared" si="41"/>
        <v>0</v>
      </c>
      <c r="L342" s="35">
        <f t="shared" si="42"/>
        <v>0</v>
      </c>
      <c r="M342" s="2"/>
      <c r="O342" s="19"/>
      <c r="P342" s="19"/>
      <c r="Q342" s="19"/>
      <c r="R342" s="21"/>
      <c r="S342" s="46"/>
      <c r="T342" s="44"/>
      <c r="U342" s="77"/>
      <c r="V342" s="24"/>
      <c r="W342" s="24"/>
      <c r="X342" s="193"/>
      <c r="Y342" s="15"/>
    </row>
    <row r="343" spans="2:25" x14ac:dyDescent="0.25">
      <c r="B343" s="15"/>
      <c r="C343" s="8"/>
      <c r="E343" s="67"/>
      <c r="F343" s="16"/>
      <c r="G343" s="8"/>
      <c r="H343" s="8"/>
      <c r="I343" s="8"/>
      <c r="J343" s="9"/>
      <c r="K343" s="9">
        <f t="shared" si="41"/>
        <v>0</v>
      </c>
      <c r="L343" s="35">
        <f t="shared" si="42"/>
        <v>0</v>
      </c>
      <c r="M343" s="2"/>
      <c r="O343" s="19"/>
      <c r="P343" s="19"/>
      <c r="Q343" s="19"/>
      <c r="R343" s="21"/>
      <c r="S343" s="46"/>
      <c r="T343" s="44"/>
      <c r="U343" s="77"/>
      <c r="V343" s="24"/>
      <c r="W343" s="24"/>
      <c r="X343" s="193"/>
      <c r="Y343" s="15"/>
    </row>
    <row r="344" spans="2:25" x14ac:dyDescent="0.25">
      <c r="B344" s="15"/>
      <c r="C344" s="8"/>
      <c r="E344" s="67"/>
      <c r="F344" s="16"/>
      <c r="G344" s="8"/>
      <c r="H344" s="8"/>
      <c r="I344" s="8"/>
      <c r="J344" s="9"/>
      <c r="K344" s="9">
        <f t="shared" si="41"/>
        <v>0</v>
      </c>
      <c r="L344" s="35">
        <f t="shared" si="42"/>
        <v>0</v>
      </c>
      <c r="M344" s="2"/>
      <c r="O344" s="19"/>
      <c r="P344" s="19"/>
      <c r="Q344" s="19"/>
      <c r="R344" s="21"/>
      <c r="S344" s="46"/>
      <c r="T344" s="44"/>
      <c r="U344" s="77"/>
      <c r="V344" s="24"/>
      <c r="W344" s="24"/>
      <c r="X344" s="193"/>
      <c r="Y344" s="15"/>
    </row>
    <row r="345" spans="2:25" x14ac:dyDescent="0.25">
      <c r="B345" s="15"/>
      <c r="C345" s="8"/>
      <c r="E345" s="67"/>
      <c r="F345" s="16"/>
      <c r="G345" s="8"/>
      <c r="H345" s="8"/>
      <c r="I345" s="8"/>
      <c r="J345" s="9"/>
      <c r="K345" s="9">
        <f t="shared" si="41"/>
        <v>0</v>
      </c>
      <c r="L345" s="35">
        <f t="shared" si="42"/>
        <v>0</v>
      </c>
      <c r="M345" s="2"/>
      <c r="O345" s="19"/>
      <c r="P345" s="19"/>
      <c r="Q345" s="19"/>
      <c r="R345" s="21"/>
      <c r="S345" s="46"/>
      <c r="T345" s="44"/>
      <c r="U345" s="77"/>
      <c r="V345" s="24"/>
      <c r="W345" s="24"/>
      <c r="X345" s="193"/>
      <c r="Y345" s="15"/>
    </row>
    <row r="346" spans="2:25" x14ac:dyDescent="0.25">
      <c r="B346" s="15"/>
      <c r="C346" s="8"/>
      <c r="E346" s="67"/>
      <c r="F346" s="16"/>
      <c r="G346" s="8"/>
      <c r="H346" s="8"/>
      <c r="I346" s="8"/>
      <c r="J346" s="9"/>
      <c r="K346" s="9">
        <f t="shared" si="41"/>
        <v>0</v>
      </c>
      <c r="L346" s="35">
        <f t="shared" si="42"/>
        <v>0</v>
      </c>
      <c r="M346" s="2"/>
      <c r="O346" s="19"/>
      <c r="P346" s="19"/>
      <c r="Q346" s="19"/>
      <c r="R346" s="21"/>
      <c r="S346" s="46"/>
      <c r="T346" s="44"/>
      <c r="U346" s="77"/>
      <c r="V346" s="24"/>
      <c r="W346" s="24"/>
      <c r="X346" s="193"/>
      <c r="Y346" s="15"/>
    </row>
    <row r="347" spans="2:25" x14ac:dyDescent="0.25">
      <c r="B347" s="15"/>
      <c r="C347" s="8"/>
      <c r="E347" s="67"/>
      <c r="F347" s="16"/>
      <c r="G347" s="8"/>
      <c r="H347" s="8"/>
      <c r="I347" s="8"/>
      <c r="J347" s="9"/>
      <c r="K347" s="9">
        <f t="shared" si="41"/>
        <v>0</v>
      </c>
      <c r="L347" s="35">
        <f t="shared" si="42"/>
        <v>0</v>
      </c>
      <c r="M347" s="2"/>
      <c r="O347" s="19"/>
      <c r="P347" s="19"/>
      <c r="Q347" s="19"/>
      <c r="R347" s="21"/>
      <c r="S347" s="46"/>
      <c r="T347" s="44"/>
      <c r="U347" s="77"/>
      <c r="V347" s="24"/>
      <c r="W347" s="24"/>
      <c r="X347" s="193"/>
      <c r="Y347" s="15"/>
    </row>
    <row r="348" spans="2:25" x14ac:dyDescent="0.25">
      <c r="B348" s="15"/>
      <c r="C348" s="8"/>
      <c r="E348" s="67"/>
      <c r="F348" s="16"/>
      <c r="G348" s="8"/>
      <c r="H348" s="8"/>
      <c r="I348" s="8"/>
      <c r="J348" s="9"/>
      <c r="K348" s="9">
        <f t="shared" si="41"/>
        <v>0</v>
      </c>
      <c r="L348" s="35">
        <f t="shared" si="42"/>
        <v>0</v>
      </c>
      <c r="M348" s="2"/>
      <c r="O348" s="19"/>
      <c r="P348" s="19"/>
      <c r="Q348" s="19"/>
      <c r="R348" s="21"/>
      <c r="S348" s="46"/>
      <c r="T348" s="44"/>
      <c r="U348" s="77"/>
      <c r="V348" s="24"/>
      <c r="W348" s="24"/>
      <c r="X348" s="193"/>
      <c r="Y348" s="15"/>
    </row>
    <row r="349" spans="2:25" x14ac:dyDescent="0.25">
      <c r="B349" s="15"/>
      <c r="C349" s="8"/>
      <c r="E349" s="67"/>
      <c r="F349" s="16"/>
      <c r="G349" s="8"/>
      <c r="H349" s="8"/>
      <c r="I349" s="8"/>
      <c r="J349" s="9"/>
      <c r="K349" s="9">
        <f t="shared" si="41"/>
        <v>0</v>
      </c>
      <c r="L349" s="35">
        <f t="shared" si="42"/>
        <v>0</v>
      </c>
      <c r="M349" s="2"/>
      <c r="O349" s="19"/>
      <c r="P349" s="19"/>
      <c r="Q349" s="19"/>
      <c r="R349" s="21"/>
      <c r="S349" s="46"/>
      <c r="T349" s="44"/>
      <c r="U349" s="77"/>
      <c r="V349" s="24"/>
      <c r="W349" s="24"/>
      <c r="X349" s="193"/>
      <c r="Y349" s="15"/>
    </row>
    <row r="350" spans="2:25" x14ac:dyDescent="0.25">
      <c r="B350" s="15"/>
      <c r="C350" s="8"/>
      <c r="E350" s="67"/>
      <c r="F350" s="16"/>
      <c r="G350" s="8"/>
      <c r="H350" s="8"/>
      <c r="I350" s="8"/>
      <c r="J350" s="9"/>
      <c r="K350" s="9">
        <f t="shared" si="41"/>
        <v>0</v>
      </c>
      <c r="L350" s="35">
        <f t="shared" si="42"/>
        <v>0</v>
      </c>
      <c r="M350" s="2"/>
      <c r="O350" s="19"/>
      <c r="P350" s="19"/>
      <c r="Q350" s="19"/>
      <c r="R350" s="21"/>
      <c r="S350" s="46"/>
      <c r="T350" s="44"/>
      <c r="U350" s="77"/>
      <c r="V350" s="24"/>
      <c r="W350" s="24"/>
      <c r="X350" s="193"/>
      <c r="Y350" s="15"/>
    </row>
    <row r="351" spans="2:25" x14ac:dyDescent="0.25">
      <c r="B351" s="15"/>
      <c r="C351" s="8"/>
      <c r="E351" s="67"/>
      <c r="F351" s="16"/>
      <c r="G351" s="8"/>
      <c r="H351" s="8"/>
      <c r="I351" s="8"/>
      <c r="J351" s="9"/>
      <c r="K351" s="9">
        <f t="shared" si="41"/>
        <v>0</v>
      </c>
      <c r="L351" s="35">
        <f t="shared" si="42"/>
        <v>0</v>
      </c>
      <c r="M351" s="2"/>
      <c r="O351" s="19"/>
      <c r="P351" s="19"/>
      <c r="Q351" s="19"/>
      <c r="R351" s="21"/>
      <c r="S351" s="46"/>
      <c r="T351" s="44"/>
      <c r="U351" s="77"/>
      <c r="V351" s="24"/>
      <c r="W351" s="390"/>
      <c r="X351" s="193"/>
      <c r="Y351" s="15"/>
    </row>
    <row r="352" spans="2:25" x14ac:dyDescent="0.25">
      <c r="B352" s="15"/>
      <c r="C352" s="8"/>
      <c r="E352" s="67"/>
      <c r="F352" s="16"/>
      <c r="G352" s="8"/>
      <c r="H352" s="8"/>
      <c r="I352" s="8"/>
      <c r="J352" s="9"/>
      <c r="K352" s="9">
        <f t="shared" si="41"/>
        <v>0</v>
      </c>
      <c r="L352" s="35">
        <f t="shared" si="42"/>
        <v>0</v>
      </c>
      <c r="M352" s="2"/>
      <c r="O352" s="19"/>
      <c r="P352" s="19"/>
      <c r="Q352" s="19"/>
      <c r="R352" s="21"/>
      <c r="S352" s="46"/>
      <c r="T352" s="44"/>
      <c r="U352" s="77"/>
      <c r="V352" s="24"/>
      <c r="X352" s="193"/>
      <c r="Y352" s="15"/>
    </row>
    <row r="353" spans="2:25" x14ac:dyDescent="0.25">
      <c r="B353" s="15"/>
      <c r="C353" s="8"/>
      <c r="E353" s="67"/>
      <c r="F353" s="16"/>
      <c r="G353" s="8"/>
      <c r="H353" s="8"/>
      <c r="I353" s="8"/>
      <c r="J353" s="9"/>
      <c r="K353" s="9">
        <f t="shared" si="41"/>
        <v>0</v>
      </c>
      <c r="L353" s="35">
        <f t="shared" si="42"/>
        <v>0</v>
      </c>
      <c r="M353" s="2"/>
      <c r="O353" s="19"/>
      <c r="P353" s="19"/>
      <c r="Q353" s="19"/>
      <c r="R353" s="21"/>
      <c r="S353" s="46"/>
      <c r="T353" s="44"/>
      <c r="U353" s="77"/>
      <c r="V353" s="24"/>
      <c r="X353" s="193"/>
      <c r="Y353" s="15"/>
    </row>
    <row r="354" spans="2:25" x14ac:dyDescent="0.25">
      <c r="B354" s="15"/>
      <c r="C354" s="8"/>
      <c r="E354" s="67"/>
      <c r="F354" s="16"/>
      <c r="G354" s="8"/>
      <c r="H354" s="8"/>
      <c r="I354" s="8"/>
      <c r="J354" s="9"/>
      <c r="K354" s="9">
        <f t="shared" si="41"/>
        <v>0</v>
      </c>
      <c r="L354" s="35">
        <f t="shared" si="42"/>
        <v>0</v>
      </c>
      <c r="M354" s="2"/>
      <c r="O354" s="19"/>
      <c r="P354" s="19"/>
      <c r="Q354" s="19"/>
      <c r="R354" s="21"/>
      <c r="S354" s="46"/>
      <c r="T354" s="44"/>
      <c r="U354" s="77"/>
      <c r="V354" s="24"/>
      <c r="X354" s="193"/>
      <c r="Y354" s="15"/>
    </row>
  </sheetData>
  <mergeCells count="15">
    <mergeCell ref="AB69:AB74"/>
    <mergeCell ref="AB75:AC75"/>
    <mergeCell ref="AB33:AB38"/>
    <mergeCell ref="AB39:AB44"/>
    <mergeCell ref="AB45:AB50"/>
    <mergeCell ref="AB51:AB56"/>
    <mergeCell ref="AB57:AB62"/>
    <mergeCell ref="AB63:AB68"/>
    <mergeCell ref="AB21:AB26"/>
    <mergeCell ref="AB27:AB32"/>
    <mergeCell ref="AB1:AS1"/>
    <mergeCell ref="AB2:AC2"/>
    <mergeCell ref="AB3:AB8"/>
    <mergeCell ref="AB9:AB14"/>
    <mergeCell ref="AB15:AB20"/>
  </mergeCells>
  <phoneticPr fontId="7" type="noConversion"/>
  <conditionalFormatting sqref="U1:U1048576 X1:X1048576">
    <cfRule type="cellIs" dxfId="4" priority="1" operator="equal">
      <formula>"마케팅"</formula>
    </cfRule>
  </conditionalFormatting>
  <dataValidations count="10">
    <dataValidation type="list" allowBlank="1" showInputMessage="1" showErrorMessage="1" sqref="S3:S33 S36 S39:S185 S337:S354 S305:S328 S188:S284" xr:uid="{D31D9230-557E-4A7F-954C-ED0DF15BA497}">
      <formula1>"(주)그랜드썬기술단, (주)그랜드썬,지에스피,유지에스"</formula1>
    </dataValidation>
    <dataValidation type="list" allowBlank="1" showInputMessage="1" showErrorMessage="1" sqref="U3:U151 U156 U305:U354 U159:U301" xr:uid="{EC0FD57E-6AA9-443A-9397-911F62BADDB9}">
      <formula1>"소개,그 외"</formula1>
    </dataValidation>
    <dataValidation type="list" allowBlank="1" showInputMessage="1" showErrorMessage="1" sqref="D3:D64 D337:D354 D305:D328 D66:D301" xr:uid="{784CEDB0-450D-4C8F-95D0-4CC8C5C81FE3}">
      <formula1>"기존시설물(A),일반부지(B),수면(C)"</formula1>
    </dataValidation>
    <dataValidation type="list" allowBlank="1" showInputMessage="1" showErrorMessage="1" sqref="C303:C328 C337:C354 C3:C301" xr:uid="{70C4D933-2102-46B6-8D84-B207611973D8}">
      <formula1>"직영(가),외주(나),입찰(다),검토(라)"</formula1>
    </dataValidation>
    <dataValidation type="list" allowBlank="1" showInputMessage="1" showErrorMessage="1" sqref="X3:X125 X127:X152 X305:X354 X154:X301" xr:uid="{AE1A678D-8C1A-4A3C-BB77-93603A2868BA}">
      <formula1>"산단,공장,창고,축사,근생,자원순환,토지,업무시설"</formula1>
    </dataValidation>
    <dataValidation type="list" allowBlank="1" showInputMessage="1" showErrorMessage="1" sqref="Y305:Y354 Y3:Y301" xr:uid="{CEA8D43A-A0B6-405D-9F3E-E1602D21C977}">
      <formula1>"유지,보류,취소"</formula1>
    </dataValidation>
    <dataValidation type="list" allowBlank="1" showInputMessage="1" showErrorMessage="1" sqref="Q3:Q250 Q252:Q318" xr:uid="{340AA9C6-E802-4EC3-ACAF-572F549F9519}">
      <formula1>"경기,강원,충남,충북,서울,인천,대전,세종,경남,경북,전남,전북,부산,대구,울산,제주,광주"</formula1>
    </dataValidation>
    <dataValidation type="list" allowBlank="1" showInputMessage="1" showErrorMessage="1" sqref="X153" xr:uid="{9CE7520B-3D52-4C12-A5D9-255C00963260}">
      <formula1>"산단,공장,창고,축사,근생,자원순환,토지,업무시설, 자동차관련시설"</formula1>
    </dataValidation>
    <dataValidation type="list" allowBlank="1" showInputMessage="1" showErrorMessage="1" sqref="X126" xr:uid="{4365756C-5BEE-47DD-A3DF-D1D547C6C0EC}">
      <formula1>"산단,공장,창고,축사,근생,자원순환, 창고 및 판매시설,토지,업무시설"</formula1>
    </dataValidation>
    <dataValidation type="list" allowBlank="1" showInputMessage="1" showErrorMessage="1" sqref="S34:S35 S37:S38" xr:uid="{F61B4700-E088-4340-BDDF-61135E8C2069}">
      <formula1>"(주)그랜드썬기술단, (주)그랜드썬,지에스피,유지에스,지에스이"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16B3E4-1008-4E16-AA85-5415E489B9D9}">
          <x14:formula1>
            <xm:f>INDEX!$B$3:$B$6</xm:f>
          </x14:formula1>
          <xm:sqref>W3:W351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W354"/>
  <sheetViews>
    <sheetView zoomScaleNormal="100" workbookViewId="0">
      <pane ySplit="2" topLeftCell="A3" activePane="bottomLeft" state="frozen"/>
      <selection activeCell="W1" sqref="W1:W1048576"/>
      <selection pane="bottomLeft" activeCell="S3" sqref="S3"/>
    </sheetView>
  </sheetViews>
  <sheetFormatPr defaultRowHeight="13.5" x14ac:dyDescent="0.25"/>
  <cols>
    <col min="1" max="1" width="3.7109375" customWidth="1"/>
    <col min="2" max="3" width="10.7109375" customWidth="1"/>
    <col min="4" max="4" width="10.7109375" style="5" customWidth="1"/>
    <col min="5" max="5" width="10.7109375" style="70" customWidth="1"/>
    <col min="6" max="6" width="12.7109375" style="17" customWidth="1"/>
    <col min="7" max="8" width="10.7109375" customWidth="1"/>
    <col min="9" max="9" width="11.85546875" customWidth="1"/>
    <col min="10" max="11" width="15.7109375" style="4" customWidth="1"/>
    <col min="12" max="12" width="15.7109375" style="36" customWidth="1"/>
    <col min="13" max="13" width="15.7109375" style="4" customWidth="1"/>
    <col min="14" max="14" width="15.7109375" customWidth="1"/>
    <col min="15" max="15" width="21.42578125" customWidth="1"/>
    <col min="16" max="17" width="6" customWidth="1"/>
    <col min="18" max="18" width="38.42578125" style="20" customWidth="1"/>
    <col min="19" max="19" width="20.7109375" customWidth="1"/>
    <col min="20" max="20" width="13.42578125" customWidth="1"/>
    <col min="21" max="21" width="9.140625" style="32"/>
    <col min="22" max="22" width="47" style="5" customWidth="1"/>
    <col min="23" max="23" width="9.140625" style="5" customWidth="1"/>
    <col min="24" max="24" width="9.140625" style="32"/>
    <col min="30" max="30" width="11.140625" customWidth="1"/>
    <col min="31" max="35" width="11.7109375" customWidth="1"/>
    <col min="36" max="40" width="11.7109375" style="124" customWidth="1"/>
    <col min="41" max="45" width="11.7109375" customWidth="1"/>
  </cols>
  <sheetData>
    <row r="1" spans="2:49" ht="27" thickBot="1" x14ac:dyDescent="0.3">
      <c r="B1" s="31"/>
      <c r="C1" s="31"/>
      <c r="D1" s="253"/>
      <c r="E1" s="68"/>
      <c r="G1" s="6"/>
      <c r="H1" s="6"/>
      <c r="I1" s="22"/>
      <c r="J1" s="7"/>
      <c r="K1" s="7"/>
      <c r="L1" s="33"/>
      <c r="M1" s="7"/>
      <c r="N1" s="7"/>
      <c r="U1" s="42"/>
      <c r="X1" s="42"/>
      <c r="AB1" s="494" t="s">
        <v>3</v>
      </c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6"/>
    </row>
    <row r="2" spans="2:49" ht="43.5" customHeight="1" thickTop="1" thickBot="1" x14ac:dyDescent="0.3">
      <c r="B2" s="14" t="s">
        <v>0</v>
      </c>
      <c r="C2" s="66" t="s">
        <v>66</v>
      </c>
      <c r="D2" s="66" t="s">
        <v>67</v>
      </c>
      <c r="E2" s="69" t="s">
        <v>68</v>
      </c>
      <c r="F2" s="18" t="s">
        <v>1</v>
      </c>
      <c r="G2" s="10" t="s">
        <v>18</v>
      </c>
      <c r="H2" s="10" t="s">
        <v>17</v>
      </c>
      <c r="I2" s="11" t="s">
        <v>2</v>
      </c>
      <c r="J2" s="12" t="s">
        <v>16</v>
      </c>
      <c r="K2" s="12" t="s">
        <v>4</v>
      </c>
      <c r="L2" s="34" t="s">
        <v>44</v>
      </c>
      <c r="M2" s="37" t="s">
        <v>25</v>
      </c>
      <c r="N2" s="10" t="s">
        <v>22</v>
      </c>
      <c r="O2" s="10" t="s">
        <v>24</v>
      </c>
      <c r="P2" s="10" t="s">
        <v>42</v>
      </c>
      <c r="Q2" s="10" t="s">
        <v>206</v>
      </c>
      <c r="R2" s="10" t="s">
        <v>23</v>
      </c>
      <c r="S2" s="13" t="s">
        <v>5</v>
      </c>
      <c r="T2" s="23" t="s">
        <v>33</v>
      </c>
      <c r="U2" s="198" t="s">
        <v>48</v>
      </c>
      <c r="V2" s="14" t="s">
        <v>32</v>
      </c>
      <c r="W2" s="14" t="s">
        <v>1152</v>
      </c>
      <c r="X2" s="198" t="s">
        <v>149</v>
      </c>
      <c r="Y2" s="103" t="s">
        <v>161</v>
      </c>
      <c r="AB2" s="491" t="s">
        <v>108</v>
      </c>
      <c r="AC2" s="492"/>
      <c r="AD2" s="106" t="s">
        <v>1</v>
      </c>
      <c r="AE2" s="107" t="s">
        <v>109</v>
      </c>
      <c r="AF2" s="108" t="s">
        <v>78</v>
      </c>
      <c r="AG2" s="108" t="s">
        <v>77</v>
      </c>
      <c r="AH2" s="108" t="s">
        <v>79</v>
      </c>
      <c r="AI2" s="109" t="s">
        <v>80</v>
      </c>
      <c r="AJ2" s="112" t="s">
        <v>110</v>
      </c>
      <c r="AK2" s="113" t="s">
        <v>78</v>
      </c>
      <c r="AL2" s="113" t="s">
        <v>77</v>
      </c>
      <c r="AM2" s="113" t="s">
        <v>79</v>
      </c>
      <c r="AN2" s="114" t="s">
        <v>80</v>
      </c>
      <c r="AO2" s="110" t="s">
        <v>111</v>
      </c>
      <c r="AP2" s="111" t="s">
        <v>78</v>
      </c>
      <c r="AQ2" s="111" t="s">
        <v>77</v>
      </c>
      <c r="AR2" s="111" t="s">
        <v>79</v>
      </c>
      <c r="AS2" s="111" t="s">
        <v>80</v>
      </c>
      <c r="AU2" s="146"/>
      <c r="AV2" s="147" t="s">
        <v>116</v>
      </c>
      <c r="AW2" s="148"/>
    </row>
    <row r="3" spans="2:49" s="8" customFormat="1" ht="13.5" customHeight="1" x14ac:dyDescent="0.25">
      <c r="B3" s="15">
        <v>1</v>
      </c>
      <c r="D3" s="5"/>
      <c r="E3" s="67"/>
      <c r="F3" s="16"/>
      <c r="J3" s="9"/>
      <c r="K3" s="9"/>
      <c r="L3" s="35"/>
      <c r="M3" s="2"/>
      <c r="N3"/>
      <c r="O3" s="19"/>
      <c r="P3" s="19"/>
      <c r="Q3" s="19"/>
      <c r="R3" s="21"/>
      <c r="S3" s="46"/>
      <c r="T3" s="81"/>
      <c r="U3" s="80"/>
      <c r="V3" s="78"/>
      <c r="W3" s="78"/>
      <c r="X3" s="192"/>
      <c r="Y3" s="15"/>
      <c r="AA3">
        <v>1</v>
      </c>
      <c r="AB3" s="486">
        <v>1</v>
      </c>
      <c r="AC3" s="89">
        <v>1</v>
      </c>
      <c r="AD3" s="95" t="s">
        <v>81</v>
      </c>
      <c r="AE3" s="39">
        <f>SUM(AF3:AI3)</f>
        <v>0</v>
      </c>
      <c r="AF3" s="65">
        <f>SUMIFS($I:$I,$C:$C, $AF$2,$G:$G,$AA3,$H:$H,$AC3)</f>
        <v>0</v>
      </c>
      <c r="AG3" s="65">
        <f>SUMIFS($I:$I,$C:$C, $AG$2,$G:$G,$AA3,$H:$H,$AC3)</f>
        <v>0</v>
      </c>
      <c r="AH3" s="65">
        <f>SUMIFS($I:$I,$C:$C, $AH$2,$G:$G,$AA3,$H:$H,$AC3)</f>
        <v>0</v>
      </c>
      <c r="AI3" s="104">
        <f>SUMIFS($I:$I,$C:$C, $AI$2,$G:$G,$AA3,$H:$H,$AC3)</f>
        <v>0</v>
      </c>
      <c r="AJ3" s="115">
        <f>SUM(AK3:AN3)</f>
        <v>0</v>
      </c>
      <c r="AK3" s="116">
        <f>COUNTIFS($C:$C, $AK$2,$G:$G,$AA3,$H:$H,$AC3)</f>
        <v>0</v>
      </c>
      <c r="AL3" s="116">
        <f>COUNTIFS($C:$C, $AL$2,$G:$G,$AA3,$H:$H,$AC3)</f>
        <v>0</v>
      </c>
      <c r="AM3" s="116">
        <f>COUNTIFS($C:$C, $AM$2,$G:$G,$AA3,$H:$H,$AC3)</f>
        <v>0</v>
      </c>
      <c r="AN3" s="117">
        <f>COUNTIFS($C:$C, $AN$2,$G:$G,$AA3,$H:$H,$AC3)</f>
        <v>0</v>
      </c>
      <c r="AO3" s="39">
        <f>SUM(AP3:AS3)</f>
        <v>0</v>
      </c>
      <c r="AP3" s="65">
        <f>SUMIFS($L:$L,$C:$C, $AP$2,$G:$G,$AA3,$H:$H,$AC3)</f>
        <v>0</v>
      </c>
      <c r="AQ3" s="65">
        <f>SUMIFS($L:$L,$C:$C, $AQ$2,$G:$G,$AA3,$H:$H,$AC3)</f>
        <v>0</v>
      </c>
      <c r="AR3" s="65">
        <f>SUMIFS($L:$L,$C:$C, $AR$2,$G:$G,$AA3,$H:$H,$AC3)</f>
        <v>0</v>
      </c>
      <c r="AS3" s="65">
        <f>SUMIFS($L:$L,$C:$C, $AS$2,$G:$G,$AA3,$H:$H,$AC3)</f>
        <v>0</v>
      </c>
      <c r="AU3" s="149" t="s">
        <v>117</v>
      </c>
      <c r="AV3" s="150" t="s">
        <v>118</v>
      </c>
      <c r="AW3" s="151" t="s">
        <v>119</v>
      </c>
    </row>
    <row r="4" spans="2:49" s="8" customFormat="1" ht="13.5" customHeight="1" x14ac:dyDescent="0.25">
      <c r="B4" s="15">
        <v>2</v>
      </c>
      <c r="D4" s="5"/>
      <c r="E4" s="67"/>
      <c r="F4" s="16"/>
      <c r="J4" s="9"/>
      <c r="K4" s="9">
        <f t="shared" ref="K4:K66" si="0">J4*1.1</f>
        <v>0</v>
      </c>
      <c r="L4" s="35">
        <f t="shared" ref="L4:L66" si="1">J4*0.00000001</f>
        <v>0</v>
      </c>
      <c r="M4" s="2"/>
      <c r="N4"/>
      <c r="O4" s="19"/>
      <c r="P4" s="19"/>
      <c r="Q4" s="19"/>
      <c r="R4" s="21"/>
      <c r="S4" s="46"/>
      <c r="T4" s="44"/>
      <c r="U4" s="76"/>
      <c r="V4" s="24"/>
      <c r="W4" s="24"/>
      <c r="X4" s="193"/>
      <c r="Y4" s="15"/>
      <c r="AA4">
        <v>1</v>
      </c>
      <c r="AB4" s="487"/>
      <c r="AC4" s="90">
        <v>2</v>
      </c>
      <c r="AD4" s="96" t="s">
        <v>54</v>
      </c>
      <c r="AE4" s="39">
        <f t="shared" ref="AE4:AE67" si="2">SUM(AF4:AI4)</f>
        <v>0</v>
      </c>
      <c r="AF4" s="65">
        <f t="shared" ref="AF4:AF67" si="3">SUMIFS($I:$I,$C:$C, $AF$2,$G:$G,$AA4,$H:$H,$AC4)</f>
        <v>0</v>
      </c>
      <c r="AG4" s="65">
        <f t="shared" ref="AG4:AG67" si="4">SUMIFS($I:$I,$C:$C, $AG$2,$G:$G,$AA4,$H:$H,$AC4)</f>
        <v>0</v>
      </c>
      <c r="AH4" s="65">
        <f t="shared" ref="AH4:AH67" si="5">SUMIFS($I:$I,$C:$C, $AH$2,$G:$G,$AA4,$H:$H,$AC4)</f>
        <v>0</v>
      </c>
      <c r="AI4" s="104">
        <f t="shared" ref="AI4:AI67" si="6">SUMIFS($I:$I,$C:$C, $AI$2,$G:$G,$AA4,$H:$H,$AC4)</f>
        <v>0</v>
      </c>
      <c r="AJ4" s="115">
        <f t="shared" ref="AJ4:AJ67" si="7">SUM(AK4:AN4)</f>
        <v>0</v>
      </c>
      <c r="AK4" s="116">
        <f t="shared" ref="AK4:AK67" si="8">COUNTIFS($C:$C, $AK$2,$G:$G,$AA4,$H:$H,$AC4)</f>
        <v>0</v>
      </c>
      <c r="AL4" s="116">
        <f t="shared" ref="AL4:AL67" si="9">COUNTIFS($C:$C, $AL$2,$G:$G,$AA4,$H:$H,$AC4)</f>
        <v>0</v>
      </c>
      <c r="AM4" s="116">
        <f t="shared" ref="AM4:AM67" si="10">COUNTIFS($C:$C, $AM$2,$G:$G,$AA4,$H:$H,$AC4)</f>
        <v>0</v>
      </c>
      <c r="AN4" s="117">
        <f t="shared" ref="AN4:AN67" si="11">COUNTIFS($C:$C, $AN$2,$G:$G,$AA4,$H:$H,$AC4)</f>
        <v>0</v>
      </c>
      <c r="AO4" s="39">
        <f t="shared" ref="AO4:AO67" si="12">SUM(AP4:AS4)</f>
        <v>0</v>
      </c>
      <c r="AP4" s="65">
        <f t="shared" ref="AP4:AP67" si="13">SUMIFS($L:$L,$C:$C, $AP$2,$G:$G,$AA4,$H:$H,$AC4)</f>
        <v>0</v>
      </c>
      <c r="AQ4" s="65">
        <f t="shared" ref="AQ4:AQ67" si="14">SUMIFS($L:$L,$C:$C, $AQ$2,$G:$G,$AA4,$H:$H,$AC4)</f>
        <v>0</v>
      </c>
      <c r="AR4" s="65">
        <f t="shared" ref="AR4:AR67" si="15">SUMIFS($L:$L,$C:$C, $AR$2,$G:$G,$AA4,$H:$H,$AC4)</f>
        <v>0</v>
      </c>
      <c r="AS4" s="65">
        <f t="shared" ref="AS4:AS67" si="16">SUMIFS($L:$L,$C:$C, $AS$2,$G:$G,$AA4,$H:$H,$AC4)</f>
        <v>0</v>
      </c>
      <c r="AU4" s="152">
        <v>1</v>
      </c>
      <c r="AV4" s="153">
        <f>COUNTIFS($U:$U,$AV$3,$G:$G,$AU4)</f>
        <v>0</v>
      </c>
      <c r="AW4" s="154">
        <f>COUNTIFS($U:$U,$AW$3,$G:$G,$AU4)</f>
        <v>0</v>
      </c>
    </row>
    <row r="5" spans="2:49" s="8" customFormat="1" ht="13.5" customHeight="1" x14ac:dyDescent="0.25">
      <c r="B5" s="15">
        <v>3</v>
      </c>
      <c r="D5" s="5"/>
      <c r="E5" s="67"/>
      <c r="F5" s="16"/>
      <c r="J5" s="9"/>
      <c r="K5" s="9">
        <f t="shared" si="0"/>
        <v>0</v>
      </c>
      <c r="L5" s="35">
        <f t="shared" si="1"/>
        <v>0</v>
      </c>
      <c r="M5" s="2"/>
      <c r="N5"/>
      <c r="O5" s="19"/>
      <c r="P5" s="19"/>
      <c r="Q5" s="19"/>
      <c r="R5" s="21"/>
      <c r="S5" s="46"/>
      <c r="T5" s="44"/>
      <c r="U5" s="76"/>
      <c r="V5" s="24"/>
      <c r="W5" s="24"/>
      <c r="X5" s="193"/>
      <c r="Y5" s="15"/>
      <c r="AA5">
        <v>1</v>
      </c>
      <c r="AB5" s="487"/>
      <c r="AC5" s="90">
        <v>3</v>
      </c>
      <c r="AD5" s="97" t="s">
        <v>55</v>
      </c>
      <c r="AE5" s="39">
        <f t="shared" si="2"/>
        <v>0</v>
      </c>
      <c r="AF5" s="65">
        <f t="shared" si="3"/>
        <v>0</v>
      </c>
      <c r="AG5" s="65">
        <f t="shared" si="4"/>
        <v>0</v>
      </c>
      <c r="AH5" s="65">
        <f t="shared" si="5"/>
        <v>0</v>
      </c>
      <c r="AI5" s="104">
        <f t="shared" si="6"/>
        <v>0</v>
      </c>
      <c r="AJ5" s="115">
        <f t="shared" si="7"/>
        <v>0</v>
      </c>
      <c r="AK5" s="116">
        <f t="shared" si="8"/>
        <v>0</v>
      </c>
      <c r="AL5" s="116">
        <f t="shared" si="9"/>
        <v>0</v>
      </c>
      <c r="AM5" s="116">
        <f t="shared" si="10"/>
        <v>0</v>
      </c>
      <c r="AN5" s="117">
        <f t="shared" si="11"/>
        <v>0</v>
      </c>
      <c r="AO5" s="39">
        <f t="shared" si="12"/>
        <v>0</v>
      </c>
      <c r="AP5" s="65">
        <f t="shared" si="13"/>
        <v>0</v>
      </c>
      <c r="AQ5" s="65">
        <f t="shared" si="14"/>
        <v>0</v>
      </c>
      <c r="AR5" s="65">
        <f t="shared" si="15"/>
        <v>0</v>
      </c>
      <c r="AS5" s="65">
        <f t="shared" si="16"/>
        <v>0</v>
      </c>
      <c r="AU5" s="152">
        <v>2</v>
      </c>
      <c r="AV5" s="153">
        <f t="shared" ref="AV5:AV15" si="17">COUNTIFS($U:$U,$AV$3,$G:$G,$AU5)</f>
        <v>0</v>
      </c>
      <c r="AW5" s="154">
        <f t="shared" ref="AW5:AW15" si="18">COUNTIFS($U:$U,$AW$3,$G:$G,$AU5)</f>
        <v>0</v>
      </c>
    </row>
    <row r="6" spans="2:49" s="8" customFormat="1" ht="13.5" customHeight="1" x14ac:dyDescent="0.25">
      <c r="B6" s="15">
        <v>4</v>
      </c>
      <c r="D6" s="5"/>
      <c r="E6" s="67"/>
      <c r="F6" s="16"/>
      <c r="J6" s="9"/>
      <c r="K6" s="9">
        <f t="shared" si="0"/>
        <v>0</v>
      </c>
      <c r="L6" s="35">
        <f t="shared" si="1"/>
        <v>0</v>
      </c>
      <c r="M6" s="2"/>
      <c r="N6" s="2"/>
      <c r="O6" s="19"/>
      <c r="P6" s="19"/>
      <c r="Q6" s="19"/>
      <c r="R6" s="21"/>
      <c r="S6" s="46"/>
      <c r="T6" s="44"/>
      <c r="U6" s="76"/>
      <c r="V6" s="24"/>
      <c r="W6" s="24"/>
      <c r="X6" s="193"/>
      <c r="Y6" s="15"/>
      <c r="AA6">
        <v>1</v>
      </c>
      <c r="AB6" s="487"/>
      <c r="AC6" s="90">
        <v>4</v>
      </c>
      <c r="AD6" s="97" t="s">
        <v>56</v>
      </c>
      <c r="AE6" s="39">
        <f t="shared" si="2"/>
        <v>0</v>
      </c>
      <c r="AF6" s="65">
        <f t="shared" si="3"/>
        <v>0</v>
      </c>
      <c r="AG6" s="65">
        <f t="shared" si="4"/>
        <v>0</v>
      </c>
      <c r="AH6" s="65">
        <f t="shared" si="5"/>
        <v>0</v>
      </c>
      <c r="AI6" s="104">
        <f t="shared" si="6"/>
        <v>0</v>
      </c>
      <c r="AJ6" s="115">
        <f t="shared" si="7"/>
        <v>0</v>
      </c>
      <c r="AK6" s="116">
        <f t="shared" si="8"/>
        <v>0</v>
      </c>
      <c r="AL6" s="116">
        <f t="shared" si="9"/>
        <v>0</v>
      </c>
      <c r="AM6" s="116">
        <f t="shared" si="10"/>
        <v>0</v>
      </c>
      <c r="AN6" s="117">
        <f t="shared" si="11"/>
        <v>0</v>
      </c>
      <c r="AO6" s="39">
        <f t="shared" si="12"/>
        <v>0</v>
      </c>
      <c r="AP6" s="65">
        <f t="shared" si="13"/>
        <v>0</v>
      </c>
      <c r="AQ6" s="65">
        <f t="shared" si="14"/>
        <v>0</v>
      </c>
      <c r="AR6" s="65">
        <f t="shared" si="15"/>
        <v>0</v>
      </c>
      <c r="AS6" s="65">
        <f t="shared" si="16"/>
        <v>0</v>
      </c>
      <c r="AU6" s="152">
        <v>3</v>
      </c>
      <c r="AV6" s="153">
        <f t="shared" si="17"/>
        <v>0</v>
      </c>
      <c r="AW6" s="154">
        <f t="shared" si="18"/>
        <v>0</v>
      </c>
    </row>
    <row r="7" spans="2:49" s="8" customFormat="1" ht="13.5" customHeight="1" x14ac:dyDescent="0.25">
      <c r="B7" s="15">
        <v>5</v>
      </c>
      <c r="D7" s="5"/>
      <c r="E7" s="67"/>
      <c r="F7" s="16"/>
      <c r="J7" s="9"/>
      <c r="K7" s="9">
        <f t="shared" si="0"/>
        <v>0</v>
      </c>
      <c r="L7" s="35">
        <f t="shared" si="1"/>
        <v>0</v>
      </c>
      <c r="M7" s="2"/>
      <c r="N7"/>
      <c r="O7" s="19"/>
      <c r="P7" s="19"/>
      <c r="Q7" s="19"/>
      <c r="R7" s="21"/>
      <c r="S7" s="46"/>
      <c r="T7" s="44"/>
      <c r="U7" s="76"/>
      <c r="V7" s="24"/>
      <c r="W7" s="24"/>
      <c r="X7" s="193"/>
      <c r="Y7" s="15"/>
      <c r="AA7">
        <v>1</v>
      </c>
      <c r="AB7" s="487"/>
      <c r="AC7" s="91">
        <v>5</v>
      </c>
      <c r="AD7" s="97" t="s">
        <v>57</v>
      </c>
      <c r="AE7" s="39">
        <f t="shared" si="2"/>
        <v>0</v>
      </c>
      <c r="AF7" s="65">
        <f t="shared" si="3"/>
        <v>0</v>
      </c>
      <c r="AG7" s="65">
        <f t="shared" si="4"/>
        <v>0</v>
      </c>
      <c r="AH7" s="65">
        <f t="shared" si="5"/>
        <v>0</v>
      </c>
      <c r="AI7" s="104">
        <f t="shared" si="6"/>
        <v>0</v>
      </c>
      <c r="AJ7" s="115">
        <f t="shared" si="7"/>
        <v>0</v>
      </c>
      <c r="AK7" s="116">
        <f t="shared" si="8"/>
        <v>0</v>
      </c>
      <c r="AL7" s="116">
        <f t="shared" si="9"/>
        <v>0</v>
      </c>
      <c r="AM7" s="116">
        <f t="shared" si="10"/>
        <v>0</v>
      </c>
      <c r="AN7" s="117">
        <f t="shared" si="11"/>
        <v>0</v>
      </c>
      <c r="AO7" s="39">
        <f t="shared" si="12"/>
        <v>0</v>
      </c>
      <c r="AP7" s="65">
        <f t="shared" si="13"/>
        <v>0</v>
      </c>
      <c r="AQ7" s="65">
        <f t="shared" si="14"/>
        <v>0</v>
      </c>
      <c r="AR7" s="65">
        <f t="shared" si="15"/>
        <v>0</v>
      </c>
      <c r="AS7" s="65">
        <f t="shared" si="16"/>
        <v>0</v>
      </c>
      <c r="AU7" s="152">
        <v>4</v>
      </c>
      <c r="AV7" s="153">
        <f t="shared" si="17"/>
        <v>0</v>
      </c>
      <c r="AW7" s="154">
        <f t="shared" si="18"/>
        <v>0</v>
      </c>
    </row>
    <row r="8" spans="2:49" s="8" customFormat="1" ht="13.5" customHeight="1" thickBot="1" x14ac:dyDescent="0.3">
      <c r="B8" s="15">
        <v>6</v>
      </c>
      <c r="D8" s="5"/>
      <c r="E8" s="67"/>
      <c r="F8" s="16"/>
      <c r="J8" s="9"/>
      <c r="K8" s="9">
        <f t="shared" si="0"/>
        <v>0</v>
      </c>
      <c r="L8" s="35">
        <f t="shared" si="1"/>
        <v>0</v>
      </c>
      <c r="M8" s="2"/>
      <c r="N8"/>
      <c r="O8" s="19"/>
      <c r="P8" s="19"/>
      <c r="Q8" s="19"/>
      <c r="R8" s="21"/>
      <c r="S8" s="46"/>
      <c r="T8" s="44"/>
      <c r="U8" s="76"/>
      <c r="V8" s="24"/>
      <c r="W8" s="24"/>
      <c r="X8" s="193"/>
      <c r="Y8" s="15"/>
      <c r="AA8">
        <v>1</v>
      </c>
      <c r="AB8" s="488"/>
      <c r="AC8" s="92" t="s">
        <v>3</v>
      </c>
      <c r="AD8" s="98"/>
      <c r="AE8" s="94">
        <f t="shared" ref="AE8:AS8" si="19">SUM(AE3:AE7)</f>
        <v>0</v>
      </c>
      <c r="AF8" s="94">
        <f t="shared" si="19"/>
        <v>0</v>
      </c>
      <c r="AG8" s="94">
        <f t="shared" si="19"/>
        <v>0</v>
      </c>
      <c r="AH8" s="94">
        <f t="shared" si="19"/>
        <v>0</v>
      </c>
      <c r="AI8" s="105">
        <f t="shared" si="19"/>
        <v>0</v>
      </c>
      <c r="AJ8" s="118">
        <f t="shared" si="19"/>
        <v>0</v>
      </c>
      <c r="AK8" s="119">
        <f t="shared" si="19"/>
        <v>0</v>
      </c>
      <c r="AL8" s="119">
        <f t="shared" si="19"/>
        <v>0</v>
      </c>
      <c r="AM8" s="119">
        <f t="shared" si="19"/>
        <v>0</v>
      </c>
      <c r="AN8" s="120">
        <f t="shared" si="19"/>
        <v>0</v>
      </c>
      <c r="AO8" s="94">
        <f t="shared" si="19"/>
        <v>0</v>
      </c>
      <c r="AP8" s="94">
        <f t="shared" si="19"/>
        <v>0</v>
      </c>
      <c r="AQ8" s="94">
        <f t="shared" si="19"/>
        <v>0</v>
      </c>
      <c r="AR8" s="94">
        <f t="shared" si="19"/>
        <v>0</v>
      </c>
      <c r="AS8" s="94">
        <f t="shared" si="19"/>
        <v>0</v>
      </c>
      <c r="AU8" s="152">
        <v>5</v>
      </c>
      <c r="AV8" s="153">
        <f t="shared" si="17"/>
        <v>0</v>
      </c>
      <c r="AW8" s="154">
        <f t="shared" si="18"/>
        <v>0</v>
      </c>
    </row>
    <row r="9" spans="2:49" s="8" customFormat="1" ht="13.5" customHeight="1" x14ac:dyDescent="0.25">
      <c r="B9" s="15">
        <v>7</v>
      </c>
      <c r="D9" s="5"/>
      <c r="E9" s="67"/>
      <c r="F9" s="16"/>
      <c r="J9" s="9"/>
      <c r="K9" s="9">
        <f t="shared" si="0"/>
        <v>0</v>
      </c>
      <c r="L9" s="35">
        <f t="shared" si="1"/>
        <v>0</v>
      </c>
      <c r="M9" s="2"/>
      <c r="N9"/>
      <c r="O9" s="19"/>
      <c r="P9" s="19"/>
      <c r="Q9" s="19"/>
      <c r="R9" s="21"/>
      <c r="S9" s="46"/>
      <c r="T9" s="44"/>
      <c r="U9" s="76"/>
      <c r="V9" s="24"/>
      <c r="W9" s="24"/>
      <c r="X9" s="193"/>
      <c r="Y9" s="15"/>
      <c r="AA9">
        <v>2</v>
      </c>
      <c r="AB9" s="486">
        <v>2</v>
      </c>
      <c r="AC9" s="89">
        <v>1</v>
      </c>
      <c r="AD9" s="99" t="s">
        <v>82</v>
      </c>
      <c r="AE9" s="39">
        <f t="shared" si="2"/>
        <v>0</v>
      </c>
      <c r="AF9" s="65">
        <f t="shared" si="3"/>
        <v>0</v>
      </c>
      <c r="AG9" s="65">
        <f t="shared" si="4"/>
        <v>0</v>
      </c>
      <c r="AH9" s="65">
        <f t="shared" si="5"/>
        <v>0</v>
      </c>
      <c r="AI9" s="104">
        <f t="shared" si="6"/>
        <v>0</v>
      </c>
      <c r="AJ9" s="115">
        <f t="shared" si="7"/>
        <v>0</v>
      </c>
      <c r="AK9" s="116">
        <f t="shared" si="8"/>
        <v>0</v>
      </c>
      <c r="AL9" s="116">
        <f t="shared" si="9"/>
        <v>0</v>
      </c>
      <c r="AM9" s="116">
        <f t="shared" si="10"/>
        <v>0</v>
      </c>
      <c r="AN9" s="117">
        <f t="shared" si="11"/>
        <v>0</v>
      </c>
      <c r="AO9" s="39">
        <f t="shared" si="12"/>
        <v>0</v>
      </c>
      <c r="AP9" s="65">
        <f t="shared" si="13"/>
        <v>0</v>
      </c>
      <c r="AQ9" s="65">
        <f t="shared" si="14"/>
        <v>0</v>
      </c>
      <c r="AR9" s="65">
        <f t="shared" si="15"/>
        <v>0</v>
      </c>
      <c r="AS9" s="65">
        <f t="shared" si="16"/>
        <v>0</v>
      </c>
      <c r="AU9" s="152">
        <v>6</v>
      </c>
      <c r="AV9" s="153">
        <f t="shared" si="17"/>
        <v>0</v>
      </c>
      <c r="AW9" s="154">
        <f t="shared" si="18"/>
        <v>0</v>
      </c>
    </row>
    <row r="10" spans="2:49" s="8" customFormat="1" ht="13.5" customHeight="1" x14ac:dyDescent="0.25">
      <c r="B10" s="15">
        <v>8</v>
      </c>
      <c r="D10" s="5"/>
      <c r="E10" s="67"/>
      <c r="F10" s="16"/>
      <c r="J10" s="9"/>
      <c r="K10" s="9">
        <f t="shared" si="0"/>
        <v>0</v>
      </c>
      <c r="L10" s="35">
        <f t="shared" si="1"/>
        <v>0</v>
      </c>
      <c r="M10" s="2"/>
      <c r="N10" s="2"/>
      <c r="O10" s="19"/>
      <c r="P10" s="19"/>
      <c r="Q10" s="19"/>
      <c r="R10" s="21"/>
      <c r="S10" s="46"/>
      <c r="T10" s="82"/>
      <c r="U10" s="76"/>
      <c r="V10" s="24"/>
      <c r="W10" s="24"/>
      <c r="X10" s="193"/>
      <c r="Y10" s="15"/>
      <c r="AA10">
        <v>2</v>
      </c>
      <c r="AB10" s="487"/>
      <c r="AC10" s="90">
        <v>2</v>
      </c>
      <c r="AD10" s="97" t="s">
        <v>58</v>
      </c>
      <c r="AE10" s="39">
        <f t="shared" si="2"/>
        <v>0</v>
      </c>
      <c r="AF10" s="65">
        <f t="shared" si="3"/>
        <v>0</v>
      </c>
      <c r="AG10" s="65">
        <f t="shared" si="4"/>
        <v>0</v>
      </c>
      <c r="AH10" s="65">
        <f t="shared" si="5"/>
        <v>0</v>
      </c>
      <c r="AI10" s="104">
        <f t="shared" si="6"/>
        <v>0</v>
      </c>
      <c r="AJ10" s="115">
        <f t="shared" si="7"/>
        <v>0</v>
      </c>
      <c r="AK10" s="116">
        <f t="shared" si="8"/>
        <v>0</v>
      </c>
      <c r="AL10" s="116">
        <f t="shared" si="9"/>
        <v>0</v>
      </c>
      <c r="AM10" s="116">
        <f t="shared" si="10"/>
        <v>0</v>
      </c>
      <c r="AN10" s="117">
        <f t="shared" si="11"/>
        <v>0</v>
      </c>
      <c r="AO10" s="39">
        <f t="shared" si="12"/>
        <v>0</v>
      </c>
      <c r="AP10" s="65">
        <f t="shared" si="13"/>
        <v>0</v>
      </c>
      <c r="AQ10" s="65">
        <f t="shared" si="14"/>
        <v>0</v>
      </c>
      <c r="AR10" s="65">
        <f t="shared" si="15"/>
        <v>0</v>
      </c>
      <c r="AS10" s="65">
        <f t="shared" si="16"/>
        <v>0</v>
      </c>
      <c r="AU10" s="152">
        <v>7</v>
      </c>
      <c r="AV10" s="153">
        <f t="shared" si="17"/>
        <v>0</v>
      </c>
      <c r="AW10" s="154">
        <f t="shared" si="18"/>
        <v>0</v>
      </c>
    </row>
    <row r="11" spans="2:49" s="8" customFormat="1" ht="13.5" customHeight="1" x14ac:dyDescent="0.25">
      <c r="B11" s="15">
        <v>9</v>
      </c>
      <c r="D11" s="5"/>
      <c r="E11" s="67"/>
      <c r="F11" s="16"/>
      <c r="J11" s="9"/>
      <c r="K11" s="9">
        <f t="shared" si="0"/>
        <v>0</v>
      </c>
      <c r="L11" s="35">
        <f t="shared" si="1"/>
        <v>0</v>
      </c>
      <c r="M11" s="2"/>
      <c r="N11"/>
      <c r="O11" s="19"/>
      <c r="P11" s="19"/>
      <c r="Q11" s="19"/>
      <c r="R11" s="21"/>
      <c r="S11" s="46"/>
      <c r="T11" s="44"/>
      <c r="U11" s="76"/>
      <c r="V11" s="24"/>
      <c r="W11" s="24"/>
      <c r="X11" s="193"/>
      <c r="Y11" s="15"/>
      <c r="AA11">
        <v>2</v>
      </c>
      <c r="AB11" s="487"/>
      <c r="AC11" s="90">
        <v>3</v>
      </c>
      <c r="AD11" s="97" t="s">
        <v>59</v>
      </c>
      <c r="AE11" s="39">
        <f t="shared" si="2"/>
        <v>0</v>
      </c>
      <c r="AF11" s="65">
        <f t="shared" si="3"/>
        <v>0</v>
      </c>
      <c r="AG11" s="65">
        <f t="shared" si="4"/>
        <v>0</v>
      </c>
      <c r="AH11" s="65">
        <f t="shared" si="5"/>
        <v>0</v>
      </c>
      <c r="AI11" s="104">
        <f t="shared" si="6"/>
        <v>0</v>
      </c>
      <c r="AJ11" s="115">
        <f t="shared" si="7"/>
        <v>0</v>
      </c>
      <c r="AK11" s="116">
        <f t="shared" si="8"/>
        <v>0</v>
      </c>
      <c r="AL11" s="116">
        <f t="shared" si="9"/>
        <v>0</v>
      </c>
      <c r="AM11" s="116">
        <f t="shared" si="10"/>
        <v>0</v>
      </c>
      <c r="AN11" s="117">
        <f t="shared" si="11"/>
        <v>0</v>
      </c>
      <c r="AO11" s="39">
        <f t="shared" si="12"/>
        <v>0</v>
      </c>
      <c r="AP11" s="65">
        <f t="shared" si="13"/>
        <v>0</v>
      </c>
      <c r="AQ11" s="65">
        <f t="shared" si="14"/>
        <v>0</v>
      </c>
      <c r="AR11" s="65">
        <f t="shared" si="15"/>
        <v>0</v>
      </c>
      <c r="AS11" s="65">
        <f t="shared" si="16"/>
        <v>0</v>
      </c>
      <c r="AU11" s="152">
        <v>8</v>
      </c>
      <c r="AV11" s="153">
        <f t="shared" si="17"/>
        <v>0</v>
      </c>
      <c r="AW11" s="154">
        <f t="shared" si="18"/>
        <v>0</v>
      </c>
    </row>
    <row r="12" spans="2:49" s="8" customFormat="1" ht="13.5" customHeight="1" x14ac:dyDescent="0.25">
      <c r="B12" s="15">
        <v>10</v>
      </c>
      <c r="D12" s="5"/>
      <c r="E12" s="67"/>
      <c r="F12" s="16"/>
      <c r="J12" s="9"/>
      <c r="K12" s="9">
        <f t="shared" si="0"/>
        <v>0</v>
      </c>
      <c r="L12" s="35">
        <f t="shared" si="1"/>
        <v>0</v>
      </c>
      <c r="M12" s="2"/>
      <c r="N12"/>
      <c r="O12" s="19"/>
      <c r="P12" s="19"/>
      <c r="Q12" s="19"/>
      <c r="R12" s="21"/>
      <c r="S12" s="46"/>
      <c r="T12" s="44"/>
      <c r="U12" s="76"/>
      <c r="V12" s="24"/>
      <c r="W12" s="24"/>
      <c r="X12" s="193"/>
      <c r="Y12" s="15"/>
      <c r="AA12">
        <v>2</v>
      </c>
      <c r="AB12" s="487"/>
      <c r="AC12" s="90">
        <v>4</v>
      </c>
      <c r="AD12" s="97" t="s">
        <v>60</v>
      </c>
      <c r="AE12" s="39">
        <f t="shared" si="2"/>
        <v>0</v>
      </c>
      <c r="AF12" s="65">
        <f t="shared" si="3"/>
        <v>0</v>
      </c>
      <c r="AG12" s="65">
        <f t="shared" si="4"/>
        <v>0</v>
      </c>
      <c r="AH12" s="65">
        <f t="shared" si="5"/>
        <v>0</v>
      </c>
      <c r="AI12" s="104">
        <f t="shared" si="6"/>
        <v>0</v>
      </c>
      <c r="AJ12" s="115">
        <f t="shared" si="7"/>
        <v>0</v>
      </c>
      <c r="AK12" s="116">
        <f t="shared" si="8"/>
        <v>0</v>
      </c>
      <c r="AL12" s="116">
        <f t="shared" si="9"/>
        <v>0</v>
      </c>
      <c r="AM12" s="116">
        <f t="shared" si="10"/>
        <v>0</v>
      </c>
      <c r="AN12" s="117">
        <f t="shared" si="11"/>
        <v>0</v>
      </c>
      <c r="AO12" s="39">
        <f t="shared" si="12"/>
        <v>0</v>
      </c>
      <c r="AP12" s="65">
        <f t="shared" si="13"/>
        <v>0</v>
      </c>
      <c r="AQ12" s="65">
        <f t="shared" si="14"/>
        <v>0</v>
      </c>
      <c r="AR12" s="65">
        <f t="shared" si="15"/>
        <v>0</v>
      </c>
      <c r="AS12" s="65">
        <f t="shared" si="16"/>
        <v>0</v>
      </c>
      <c r="AU12" s="152">
        <v>9</v>
      </c>
      <c r="AV12" s="153">
        <f t="shared" si="17"/>
        <v>0</v>
      </c>
      <c r="AW12" s="154">
        <f t="shared" si="18"/>
        <v>0</v>
      </c>
    </row>
    <row r="13" spans="2:49" s="8" customFormat="1" ht="13.5" customHeight="1" x14ac:dyDescent="0.25">
      <c r="B13" s="15">
        <v>11</v>
      </c>
      <c r="D13" s="5"/>
      <c r="E13" s="67"/>
      <c r="F13" s="16"/>
      <c r="J13" s="9"/>
      <c r="K13" s="9">
        <f t="shared" si="0"/>
        <v>0</v>
      </c>
      <c r="L13" s="35">
        <f t="shared" si="1"/>
        <v>0</v>
      </c>
      <c r="M13" s="2"/>
      <c r="N13"/>
      <c r="O13" s="19"/>
      <c r="P13" s="19"/>
      <c r="Q13" s="19"/>
      <c r="R13" s="21"/>
      <c r="S13" s="46"/>
      <c r="T13" s="44"/>
      <c r="U13" s="76"/>
      <c r="V13" s="24"/>
      <c r="W13" s="24"/>
      <c r="X13" s="193"/>
      <c r="Y13" s="15"/>
      <c r="AA13">
        <v>2</v>
      </c>
      <c r="AB13" s="487"/>
      <c r="AC13" s="91">
        <v>5</v>
      </c>
      <c r="AD13" s="97"/>
      <c r="AE13" s="39">
        <f t="shared" si="2"/>
        <v>0</v>
      </c>
      <c r="AF13" s="65">
        <f t="shared" si="3"/>
        <v>0</v>
      </c>
      <c r="AG13" s="65">
        <f t="shared" si="4"/>
        <v>0</v>
      </c>
      <c r="AH13" s="65">
        <f t="shared" si="5"/>
        <v>0</v>
      </c>
      <c r="AI13" s="104">
        <f t="shared" si="6"/>
        <v>0</v>
      </c>
      <c r="AJ13" s="115">
        <f t="shared" si="7"/>
        <v>0</v>
      </c>
      <c r="AK13" s="116">
        <f t="shared" si="8"/>
        <v>0</v>
      </c>
      <c r="AL13" s="116">
        <f t="shared" si="9"/>
        <v>0</v>
      </c>
      <c r="AM13" s="116">
        <f t="shared" si="10"/>
        <v>0</v>
      </c>
      <c r="AN13" s="117">
        <f t="shared" si="11"/>
        <v>0</v>
      </c>
      <c r="AO13" s="39">
        <f t="shared" si="12"/>
        <v>0</v>
      </c>
      <c r="AP13" s="65">
        <f t="shared" si="13"/>
        <v>0</v>
      </c>
      <c r="AQ13" s="65">
        <f t="shared" si="14"/>
        <v>0</v>
      </c>
      <c r="AR13" s="65">
        <f t="shared" si="15"/>
        <v>0</v>
      </c>
      <c r="AS13" s="65">
        <f t="shared" si="16"/>
        <v>0</v>
      </c>
      <c r="AU13" s="152">
        <v>10</v>
      </c>
      <c r="AV13" s="153">
        <f t="shared" si="17"/>
        <v>0</v>
      </c>
      <c r="AW13" s="154">
        <f t="shared" si="18"/>
        <v>0</v>
      </c>
    </row>
    <row r="14" spans="2:49" s="8" customFormat="1" ht="13.5" customHeight="1" thickBot="1" x14ac:dyDescent="0.3">
      <c r="B14" s="15">
        <v>12</v>
      </c>
      <c r="D14" s="5"/>
      <c r="E14" s="67"/>
      <c r="F14" s="16"/>
      <c r="J14" s="9"/>
      <c r="K14" s="9">
        <f t="shared" si="0"/>
        <v>0</v>
      </c>
      <c r="L14" s="35">
        <f t="shared" si="1"/>
        <v>0</v>
      </c>
      <c r="M14" s="2"/>
      <c r="N14"/>
      <c r="O14" s="19"/>
      <c r="P14" s="19"/>
      <c r="Q14" s="19"/>
      <c r="R14" s="21"/>
      <c r="S14" s="46"/>
      <c r="T14" s="44"/>
      <c r="U14" s="76"/>
      <c r="V14" s="29"/>
      <c r="W14" s="24"/>
      <c r="X14" s="193"/>
      <c r="Y14" s="15"/>
      <c r="AA14">
        <v>2</v>
      </c>
      <c r="AB14" s="488"/>
      <c r="AC14" s="92" t="s">
        <v>3</v>
      </c>
      <c r="AD14" s="98"/>
      <c r="AE14" s="94">
        <f t="shared" ref="AE14:AS14" si="20">SUM(AE9:AE13)</f>
        <v>0</v>
      </c>
      <c r="AF14" s="94">
        <f t="shared" si="20"/>
        <v>0</v>
      </c>
      <c r="AG14" s="94">
        <f t="shared" si="20"/>
        <v>0</v>
      </c>
      <c r="AH14" s="94">
        <f t="shared" si="20"/>
        <v>0</v>
      </c>
      <c r="AI14" s="105">
        <f t="shared" si="20"/>
        <v>0</v>
      </c>
      <c r="AJ14" s="118">
        <f t="shared" si="20"/>
        <v>0</v>
      </c>
      <c r="AK14" s="119">
        <f t="shared" si="20"/>
        <v>0</v>
      </c>
      <c r="AL14" s="119">
        <f t="shared" si="20"/>
        <v>0</v>
      </c>
      <c r="AM14" s="119">
        <f t="shared" si="20"/>
        <v>0</v>
      </c>
      <c r="AN14" s="120">
        <f t="shared" si="20"/>
        <v>0</v>
      </c>
      <c r="AO14" s="94">
        <f t="shared" si="20"/>
        <v>0</v>
      </c>
      <c r="AP14" s="94">
        <f t="shared" si="20"/>
        <v>0</v>
      </c>
      <c r="AQ14" s="94">
        <f t="shared" si="20"/>
        <v>0</v>
      </c>
      <c r="AR14" s="94">
        <f t="shared" si="20"/>
        <v>0</v>
      </c>
      <c r="AS14" s="94">
        <f t="shared" si="20"/>
        <v>0</v>
      </c>
      <c r="AU14" s="152">
        <v>11</v>
      </c>
      <c r="AV14" s="153">
        <f t="shared" si="17"/>
        <v>0</v>
      </c>
      <c r="AW14" s="154">
        <f t="shared" si="18"/>
        <v>0</v>
      </c>
    </row>
    <row r="15" spans="2:49" s="8" customFormat="1" ht="13.5" customHeight="1" thickBot="1" x14ac:dyDescent="0.3">
      <c r="B15" s="15">
        <v>13</v>
      </c>
      <c r="D15" s="5"/>
      <c r="E15" s="67"/>
      <c r="F15" s="16"/>
      <c r="J15" s="9"/>
      <c r="K15" s="9">
        <f t="shared" si="0"/>
        <v>0</v>
      </c>
      <c r="L15" s="35">
        <f t="shared" si="1"/>
        <v>0</v>
      </c>
      <c r="M15" s="2"/>
      <c r="N15"/>
      <c r="O15" s="19"/>
      <c r="P15" s="19"/>
      <c r="Q15" s="19"/>
      <c r="R15" s="21"/>
      <c r="S15" s="46"/>
      <c r="T15" s="44"/>
      <c r="U15" s="76"/>
      <c r="V15" s="30"/>
      <c r="W15" s="24"/>
      <c r="X15" s="193"/>
      <c r="Y15" s="15"/>
      <c r="AA15">
        <v>3</v>
      </c>
      <c r="AB15" s="486">
        <v>3</v>
      </c>
      <c r="AC15" s="89">
        <v>1</v>
      </c>
      <c r="AD15" s="95" t="s">
        <v>83</v>
      </c>
      <c r="AE15" s="39">
        <f t="shared" si="2"/>
        <v>0</v>
      </c>
      <c r="AF15" s="65">
        <f t="shared" si="3"/>
        <v>0</v>
      </c>
      <c r="AG15" s="65">
        <f t="shared" si="4"/>
        <v>0</v>
      </c>
      <c r="AH15" s="65">
        <f t="shared" si="5"/>
        <v>0</v>
      </c>
      <c r="AI15" s="104">
        <f t="shared" si="6"/>
        <v>0</v>
      </c>
      <c r="AJ15" s="115">
        <f t="shared" si="7"/>
        <v>0</v>
      </c>
      <c r="AK15" s="116">
        <f t="shared" si="8"/>
        <v>0</v>
      </c>
      <c r="AL15" s="116">
        <f t="shared" si="9"/>
        <v>0</v>
      </c>
      <c r="AM15" s="116">
        <f t="shared" si="10"/>
        <v>0</v>
      </c>
      <c r="AN15" s="117">
        <f t="shared" si="11"/>
        <v>0</v>
      </c>
      <c r="AO15" s="39">
        <f t="shared" si="12"/>
        <v>0</v>
      </c>
      <c r="AP15" s="65">
        <f t="shared" si="13"/>
        <v>0</v>
      </c>
      <c r="AQ15" s="65">
        <f t="shared" si="14"/>
        <v>0</v>
      </c>
      <c r="AR15" s="65">
        <f t="shared" si="15"/>
        <v>0</v>
      </c>
      <c r="AS15" s="65">
        <f t="shared" si="16"/>
        <v>0</v>
      </c>
      <c r="AU15" s="155">
        <v>12</v>
      </c>
      <c r="AV15" s="153">
        <f t="shared" si="17"/>
        <v>0</v>
      </c>
      <c r="AW15" s="154">
        <f t="shared" si="18"/>
        <v>0</v>
      </c>
    </row>
    <row r="16" spans="2:49" s="8" customFormat="1" ht="13.5" customHeight="1" thickBot="1" x14ac:dyDescent="0.3">
      <c r="B16" s="15">
        <v>14</v>
      </c>
      <c r="D16" s="5"/>
      <c r="E16" s="67"/>
      <c r="F16" s="16"/>
      <c r="J16" s="9"/>
      <c r="K16" s="9">
        <f t="shared" si="0"/>
        <v>0</v>
      </c>
      <c r="L16" s="35">
        <f t="shared" si="1"/>
        <v>0</v>
      </c>
      <c r="M16" s="2"/>
      <c r="N16"/>
      <c r="O16" s="19"/>
      <c r="P16" s="19"/>
      <c r="Q16" s="19"/>
      <c r="R16" s="21"/>
      <c r="S16" s="46"/>
      <c r="T16" s="44"/>
      <c r="U16" s="76"/>
      <c r="V16" s="30"/>
      <c r="W16" s="24"/>
      <c r="X16" s="193"/>
      <c r="Y16" s="15"/>
      <c r="AA16">
        <v>3</v>
      </c>
      <c r="AB16" s="487"/>
      <c r="AC16" s="90">
        <v>2</v>
      </c>
      <c r="AD16" s="96" t="s">
        <v>58</v>
      </c>
      <c r="AE16" s="39">
        <f t="shared" si="2"/>
        <v>0</v>
      </c>
      <c r="AF16" s="65">
        <f t="shared" si="3"/>
        <v>0</v>
      </c>
      <c r="AG16" s="65">
        <f t="shared" si="4"/>
        <v>0</v>
      </c>
      <c r="AH16" s="65">
        <f t="shared" si="5"/>
        <v>0</v>
      </c>
      <c r="AI16" s="104">
        <f t="shared" si="6"/>
        <v>0</v>
      </c>
      <c r="AJ16" s="115">
        <f t="shared" si="7"/>
        <v>0</v>
      </c>
      <c r="AK16" s="116">
        <f t="shared" si="8"/>
        <v>0</v>
      </c>
      <c r="AL16" s="116">
        <f t="shared" si="9"/>
        <v>0</v>
      </c>
      <c r="AM16" s="116">
        <f t="shared" si="10"/>
        <v>0</v>
      </c>
      <c r="AN16" s="117">
        <f t="shared" si="11"/>
        <v>0</v>
      </c>
      <c r="AO16" s="39">
        <f t="shared" si="12"/>
        <v>0</v>
      </c>
      <c r="AP16" s="65">
        <f t="shared" si="13"/>
        <v>0</v>
      </c>
      <c r="AQ16" s="65">
        <f t="shared" si="14"/>
        <v>0</v>
      </c>
      <c r="AR16" s="65">
        <f t="shared" si="15"/>
        <v>0</v>
      </c>
      <c r="AS16" s="65">
        <f t="shared" si="16"/>
        <v>0</v>
      </c>
      <c r="AU16" s="156" t="s">
        <v>3</v>
      </c>
      <c r="AV16" s="157">
        <f>SUM(AV4:AV15)</f>
        <v>0</v>
      </c>
      <c r="AW16" s="157">
        <f>SUM(AW4:AW15)</f>
        <v>0</v>
      </c>
    </row>
    <row r="17" spans="2:49" s="8" customFormat="1" ht="13.5" customHeight="1" thickBot="1" x14ac:dyDescent="0.3">
      <c r="B17" s="15">
        <v>15</v>
      </c>
      <c r="D17" s="5"/>
      <c r="E17" s="67"/>
      <c r="F17" s="16"/>
      <c r="J17" s="9"/>
      <c r="K17" s="9">
        <f t="shared" si="0"/>
        <v>0</v>
      </c>
      <c r="L17" s="35">
        <f t="shared" si="1"/>
        <v>0</v>
      </c>
      <c r="M17" s="2"/>
      <c r="N17"/>
      <c r="O17" s="19"/>
      <c r="P17" s="19"/>
      <c r="Q17" s="19"/>
      <c r="R17" s="21"/>
      <c r="S17" s="46"/>
      <c r="T17" s="83"/>
      <c r="U17" s="76"/>
      <c r="V17" s="30"/>
      <c r="W17" s="24"/>
      <c r="X17" s="193"/>
      <c r="Y17" s="15"/>
      <c r="AA17">
        <v>3</v>
      </c>
      <c r="AB17" s="487"/>
      <c r="AC17" s="90">
        <v>3</v>
      </c>
      <c r="AD17" s="97" t="s">
        <v>59</v>
      </c>
      <c r="AE17" s="39">
        <f t="shared" si="2"/>
        <v>0</v>
      </c>
      <c r="AF17" s="65">
        <f t="shared" si="3"/>
        <v>0</v>
      </c>
      <c r="AG17" s="65">
        <f t="shared" si="4"/>
        <v>0</v>
      </c>
      <c r="AH17" s="65">
        <f t="shared" si="5"/>
        <v>0</v>
      </c>
      <c r="AI17" s="104">
        <f t="shared" si="6"/>
        <v>0</v>
      </c>
      <c r="AJ17" s="115">
        <f t="shared" si="7"/>
        <v>0</v>
      </c>
      <c r="AK17" s="116">
        <f t="shared" si="8"/>
        <v>0</v>
      </c>
      <c r="AL17" s="116">
        <f t="shared" si="9"/>
        <v>0</v>
      </c>
      <c r="AM17" s="116">
        <f t="shared" si="10"/>
        <v>0</v>
      </c>
      <c r="AN17" s="117">
        <f t="shared" si="11"/>
        <v>0</v>
      </c>
      <c r="AO17" s="39">
        <f t="shared" si="12"/>
        <v>0</v>
      </c>
      <c r="AP17" s="65">
        <f t="shared" si="13"/>
        <v>0</v>
      </c>
      <c r="AQ17" s="65">
        <f t="shared" si="14"/>
        <v>0</v>
      </c>
      <c r="AR17" s="65">
        <f t="shared" si="15"/>
        <v>0</v>
      </c>
      <c r="AS17" s="65">
        <f t="shared" si="16"/>
        <v>0</v>
      </c>
      <c r="AU17" s="156" t="s">
        <v>120</v>
      </c>
      <c r="AV17" s="158" t="e">
        <f>AV16/($AV$16+$AW$16)</f>
        <v>#DIV/0!</v>
      </c>
      <c r="AW17" s="159" t="e">
        <f>AW16/($AW$16+$AV$16)</f>
        <v>#DIV/0!</v>
      </c>
    </row>
    <row r="18" spans="2:49" s="8" customFormat="1" ht="13.5" customHeight="1" x14ac:dyDescent="0.25">
      <c r="B18" s="15">
        <v>16</v>
      </c>
      <c r="D18" s="5"/>
      <c r="E18" s="67"/>
      <c r="F18" s="16"/>
      <c r="J18" s="9"/>
      <c r="K18" s="9">
        <f t="shared" si="0"/>
        <v>0</v>
      </c>
      <c r="L18" s="35">
        <f t="shared" si="1"/>
        <v>0</v>
      </c>
      <c r="M18" s="2"/>
      <c r="N18"/>
      <c r="O18" s="19"/>
      <c r="P18" s="19"/>
      <c r="Q18" s="19"/>
      <c r="R18" s="21"/>
      <c r="S18" s="46"/>
      <c r="T18" s="44"/>
      <c r="U18" s="76"/>
      <c r="V18" s="24"/>
      <c r="W18" s="24"/>
      <c r="X18" s="193"/>
      <c r="Y18" s="15"/>
      <c r="AA18">
        <v>3</v>
      </c>
      <c r="AB18" s="487"/>
      <c r="AC18" s="90">
        <v>4</v>
      </c>
      <c r="AD18" s="97" t="s">
        <v>60</v>
      </c>
      <c r="AE18" s="39">
        <f t="shared" si="2"/>
        <v>0</v>
      </c>
      <c r="AF18" s="65">
        <f t="shared" si="3"/>
        <v>0</v>
      </c>
      <c r="AG18" s="65">
        <f t="shared" si="4"/>
        <v>0</v>
      </c>
      <c r="AH18" s="65">
        <f t="shared" si="5"/>
        <v>0</v>
      </c>
      <c r="AI18" s="104">
        <f t="shared" si="6"/>
        <v>0</v>
      </c>
      <c r="AJ18" s="115">
        <f t="shared" si="7"/>
        <v>0</v>
      </c>
      <c r="AK18" s="116">
        <f t="shared" si="8"/>
        <v>0</v>
      </c>
      <c r="AL18" s="116">
        <f t="shared" si="9"/>
        <v>0</v>
      </c>
      <c r="AM18" s="116">
        <f t="shared" si="10"/>
        <v>0</v>
      </c>
      <c r="AN18" s="117">
        <f t="shared" si="11"/>
        <v>0</v>
      </c>
      <c r="AO18" s="39">
        <f t="shared" si="12"/>
        <v>0</v>
      </c>
      <c r="AP18" s="65">
        <f t="shared" si="13"/>
        <v>0</v>
      </c>
      <c r="AQ18" s="65">
        <f t="shared" si="14"/>
        <v>0</v>
      </c>
      <c r="AR18" s="65">
        <f t="shared" si="15"/>
        <v>0</v>
      </c>
      <c r="AS18" s="65">
        <f t="shared" si="16"/>
        <v>0</v>
      </c>
    </row>
    <row r="19" spans="2:49" s="8" customFormat="1" ht="13.5" customHeight="1" x14ac:dyDescent="0.25">
      <c r="B19" s="15">
        <v>17</v>
      </c>
      <c r="D19" s="5"/>
      <c r="E19" s="67"/>
      <c r="F19" s="16"/>
      <c r="J19" s="9"/>
      <c r="K19" s="9">
        <f t="shared" si="0"/>
        <v>0</v>
      </c>
      <c r="L19" s="35">
        <f t="shared" si="1"/>
        <v>0</v>
      </c>
      <c r="M19" s="2"/>
      <c r="N19"/>
      <c r="O19" s="19"/>
      <c r="P19" s="19"/>
      <c r="Q19" s="19"/>
      <c r="R19" s="21"/>
      <c r="S19" s="46"/>
      <c r="T19" s="44"/>
      <c r="U19" s="76"/>
      <c r="V19" s="24"/>
      <c r="W19" s="24"/>
      <c r="X19" s="193"/>
      <c r="Y19" s="15"/>
      <c r="AA19">
        <v>3</v>
      </c>
      <c r="AB19" s="487"/>
      <c r="AC19" s="91">
        <v>5</v>
      </c>
      <c r="AD19" s="97"/>
      <c r="AE19" s="39">
        <f t="shared" si="2"/>
        <v>0</v>
      </c>
      <c r="AF19" s="65">
        <f t="shared" si="3"/>
        <v>0</v>
      </c>
      <c r="AG19" s="65">
        <f t="shared" si="4"/>
        <v>0</v>
      </c>
      <c r="AH19" s="65">
        <f t="shared" si="5"/>
        <v>0</v>
      </c>
      <c r="AI19" s="104">
        <f t="shared" si="6"/>
        <v>0</v>
      </c>
      <c r="AJ19" s="115">
        <f t="shared" si="7"/>
        <v>0</v>
      </c>
      <c r="AK19" s="116">
        <f t="shared" si="8"/>
        <v>0</v>
      </c>
      <c r="AL19" s="116">
        <f t="shared" si="9"/>
        <v>0</v>
      </c>
      <c r="AM19" s="116">
        <f t="shared" si="10"/>
        <v>0</v>
      </c>
      <c r="AN19" s="117">
        <f t="shared" si="11"/>
        <v>0</v>
      </c>
      <c r="AO19" s="39">
        <f t="shared" si="12"/>
        <v>0</v>
      </c>
      <c r="AP19" s="65">
        <f t="shared" si="13"/>
        <v>0</v>
      </c>
      <c r="AQ19" s="65">
        <f t="shared" si="14"/>
        <v>0</v>
      </c>
      <c r="AR19" s="65">
        <f t="shared" si="15"/>
        <v>0</v>
      </c>
      <c r="AS19" s="65">
        <f t="shared" si="16"/>
        <v>0</v>
      </c>
    </row>
    <row r="20" spans="2:49" s="8" customFormat="1" ht="13.5" customHeight="1" thickBot="1" x14ac:dyDescent="0.3">
      <c r="B20" s="15">
        <v>18</v>
      </c>
      <c r="D20" s="5"/>
      <c r="E20" s="67"/>
      <c r="F20" s="16"/>
      <c r="J20" s="9"/>
      <c r="K20" s="9">
        <f t="shared" si="0"/>
        <v>0</v>
      </c>
      <c r="L20" s="35">
        <f t="shared" si="1"/>
        <v>0</v>
      </c>
      <c r="M20" s="2"/>
      <c r="N20"/>
      <c r="O20" s="19"/>
      <c r="P20" s="19"/>
      <c r="Q20" s="19"/>
      <c r="R20" s="21"/>
      <c r="S20" s="46"/>
      <c r="T20" s="44"/>
      <c r="U20" s="76"/>
      <c r="V20" s="24"/>
      <c r="W20" s="24"/>
      <c r="X20" s="193"/>
      <c r="Y20" s="15"/>
      <c r="AA20">
        <v>3</v>
      </c>
      <c r="AB20" s="488"/>
      <c r="AC20" s="92" t="s">
        <v>3</v>
      </c>
      <c r="AD20" s="98"/>
      <c r="AE20" s="94">
        <f t="shared" ref="AE20:AS20" si="21">SUM(AE15:AE19)</f>
        <v>0</v>
      </c>
      <c r="AF20" s="94">
        <f t="shared" si="21"/>
        <v>0</v>
      </c>
      <c r="AG20" s="94">
        <f t="shared" si="21"/>
        <v>0</v>
      </c>
      <c r="AH20" s="94">
        <f t="shared" si="21"/>
        <v>0</v>
      </c>
      <c r="AI20" s="105">
        <f t="shared" si="21"/>
        <v>0</v>
      </c>
      <c r="AJ20" s="118">
        <f t="shared" si="21"/>
        <v>0</v>
      </c>
      <c r="AK20" s="119">
        <f t="shared" si="21"/>
        <v>0</v>
      </c>
      <c r="AL20" s="119">
        <f t="shared" si="21"/>
        <v>0</v>
      </c>
      <c r="AM20" s="119">
        <f t="shared" si="21"/>
        <v>0</v>
      </c>
      <c r="AN20" s="120">
        <f t="shared" si="21"/>
        <v>0</v>
      </c>
      <c r="AO20" s="94">
        <f t="shared" si="21"/>
        <v>0</v>
      </c>
      <c r="AP20" s="94">
        <f t="shared" si="21"/>
        <v>0</v>
      </c>
      <c r="AQ20" s="94">
        <f t="shared" si="21"/>
        <v>0</v>
      </c>
      <c r="AR20" s="94">
        <f t="shared" si="21"/>
        <v>0</v>
      </c>
      <c r="AS20" s="94">
        <f t="shared" si="21"/>
        <v>0</v>
      </c>
    </row>
    <row r="21" spans="2:49" s="8" customFormat="1" ht="13.5" customHeight="1" x14ac:dyDescent="0.25">
      <c r="B21" s="15">
        <v>19</v>
      </c>
      <c r="D21" s="5"/>
      <c r="E21" s="67"/>
      <c r="F21" s="16"/>
      <c r="J21" s="9"/>
      <c r="K21" s="9">
        <f t="shared" si="0"/>
        <v>0</v>
      </c>
      <c r="L21" s="35">
        <f t="shared" si="1"/>
        <v>0</v>
      </c>
      <c r="M21" s="2"/>
      <c r="N21"/>
      <c r="O21" s="19"/>
      <c r="P21" s="19"/>
      <c r="Q21" s="19"/>
      <c r="R21" s="21"/>
      <c r="S21" s="46"/>
      <c r="T21" s="44"/>
      <c r="U21" s="76"/>
      <c r="V21" s="24"/>
      <c r="W21" s="24"/>
      <c r="X21" s="193"/>
      <c r="Y21" s="15"/>
      <c r="AA21">
        <v>4</v>
      </c>
      <c r="AB21" s="486">
        <v>4</v>
      </c>
      <c r="AC21" s="89">
        <v>1</v>
      </c>
      <c r="AD21" s="95" t="s">
        <v>84</v>
      </c>
      <c r="AE21" s="39">
        <f t="shared" si="2"/>
        <v>0</v>
      </c>
      <c r="AF21" s="65">
        <f t="shared" si="3"/>
        <v>0</v>
      </c>
      <c r="AG21" s="65">
        <f t="shared" si="4"/>
        <v>0</v>
      </c>
      <c r="AH21" s="65">
        <f t="shared" si="5"/>
        <v>0</v>
      </c>
      <c r="AI21" s="104">
        <f t="shared" si="6"/>
        <v>0</v>
      </c>
      <c r="AJ21" s="115">
        <f t="shared" si="7"/>
        <v>0</v>
      </c>
      <c r="AK21" s="116">
        <f t="shared" si="8"/>
        <v>0</v>
      </c>
      <c r="AL21" s="116">
        <f t="shared" si="9"/>
        <v>0</v>
      </c>
      <c r="AM21" s="116">
        <f t="shared" si="10"/>
        <v>0</v>
      </c>
      <c r="AN21" s="117">
        <f t="shared" si="11"/>
        <v>0</v>
      </c>
      <c r="AO21" s="39">
        <f t="shared" si="12"/>
        <v>0</v>
      </c>
      <c r="AP21" s="65">
        <f t="shared" si="13"/>
        <v>0</v>
      </c>
      <c r="AQ21" s="65">
        <f t="shared" si="14"/>
        <v>0</v>
      </c>
      <c r="AR21" s="65">
        <f t="shared" si="15"/>
        <v>0</v>
      </c>
      <c r="AS21" s="65">
        <f t="shared" si="16"/>
        <v>0</v>
      </c>
    </row>
    <row r="22" spans="2:49" s="8" customFormat="1" ht="13.5" customHeight="1" x14ac:dyDescent="0.25">
      <c r="B22" s="15">
        <v>20</v>
      </c>
      <c r="D22" s="5"/>
      <c r="E22" s="67"/>
      <c r="F22" s="16"/>
      <c r="J22" s="9"/>
      <c r="K22" s="9">
        <f t="shared" si="0"/>
        <v>0</v>
      </c>
      <c r="L22" s="35">
        <f t="shared" si="1"/>
        <v>0</v>
      </c>
      <c r="M22" s="2"/>
      <c r="N22"/>
      <c r="O22" s="19"/>
      <c r="P22" s="19"/>
      <c r="Q22" s="19"/>
      <c r="R22" s="21"/>
      <c r="S22" s="46"/>
      <c r="T22" s="44"/>
      <c r="U22" s="76"/>
      <c r="V22" s="24"/>
      <c r="W22" s="24"/>
      <c r="X22" s="193"/>
      <c r="Y22" s="15"/>
      <c r="AA22">
        <v>4</v>
      </c>
      <c r="AB22" s="487"/>
      <c r="AC22" s="90">
        <v>2</v>
      </c>
      <c r="AD22" s="97" t="s">
        <v>61</v>
      </c>
      <c r="AE22" s="39">
        <f t="shared" si="2"/>
        <v>0</v>
      </c>
      <c r="AF22" s="65">
        <f t="shared" si="3"/>
        <v>0</v>
      </c>
      <c r="AG22" s="65">
        <f t="shared" si="4"/>
        <v>0</v>
      </c>
      <c r="AH22" s="65">
        <f t="shared" si="5"/>
        <v>0</v>
      </c>
      <c r="AI22" s="104">
        <f t="shared" si="6"/>
        <v>0</v>
      </c>
      <c r="AJ22" s="115">
        <f t="shared" si="7"/>
        <v>0</v>
      </c>
      <c r="AK22" s="116">
        <f t="shared" si="8"/>
        <v>0</v>
      </c>
      <c r="AL22" s="116">
        <f t="shared" si="9"/>
        <v>0</v>
      </c>
      <c r="AM22" s="116">
        <f t="shared" si="10"/>
        <v>0</v>
      </c>
      <c r="AN22" s="117">
        <f t="shared" si="11"/>
        <v>0</v>
      </c>
      <c r="AO22" s="39">
        <f t="shared" si="12"/>
        <v>0</v>
      </c>
      <c r="AP22" s="65">
        <f t="shared" si="13"/>
        <v>0</v>
      </c>
      <c r="AQ22" s="65">
        <f t="shared" si="14"/>
        <v>0</v>
      </c>
      <c r="AR22" s="65">
        <f t="shared" si="15"/>
        <v>0</v>
      </c>
      <c r="AS22" s="65">
        <f t="shared" si="16"/>
        <v>0</v>
      </c>
    </row>
    <row r="23" spans="2:49" s="8" customFormat="1" ht="13.5" customHeight="1" x14ac:dyDescent="0.25">
      <c r="B23" s="15">
        <v>21</v>
      </c>
      <c r="D23" s="5"/>
      <c r="E23" s="67"/>
      <c r="F23" s="16"/>
      <c r="J23" s="9"/>
      <c r="K23" s="9">
        <f t="shared" si="0"/>
        <v>0</v>
      </c>
      <c r="L23" s="35">
        <f t="shared" si="1"/>
        <v>0</v>
      </c>
      <c r="M23" s="2"/>
      <c r="N23" s="2"/>
      <c r="O23" s="19"/>
      <c r="P23" s="19"/>
      <c r="Q23" s="19"/>
      <c r="R23" s="21"/>
      <c r="S23" s="46"/>
      <c r="T23" s="44"/>
      <c r="U23" s="76"/>
      <c r="V23" s="24"/>
      <c r="W23" s="24"/>
      <c r="X23" s="193"/>
      <c r="Y23" s="15"/>
      <c r="AA23">
        <v>4</v>
      </c>
      <c r="AB23" s="487"/>
      <c r="AC23" s="90">
        <v>3</v>
      </c>
      <c r="AD23" s="97" t="s">
        <v>62</v>
      </c>
      <c r="AE23" s="39">
        <f t="shared" si="2"/>
        <v>0</v>
      </c>
      <c r="AF23" s="65">
        <f t="shared" si="3"/>
        <v>0</v>
      </c>
      <c r="AG23" s="65">
        <f t="shared" si="4"/>
        <v>0</v>
      </c>
      <c r="AH23" s="65">
        <f t="shared" si="5"/>
        <v>0</v>
      </c>
      <c r="AI23" s="104">
        <f t="shared" si="6"/>
        <v>0</v>
      </c>
      <c r="AJ23" s="115">
        <f t="shared" si="7"/>
        <v>0</v>
      </c>
      <c r="AK23" s="116">
        <f t="shared" si="8"/>
        <v>0</v>
      </c>
      <c r="AL23" s="116">
        <f t="shared" si="9"/>
        <v>0</v>
      </c>
      <c r="AM23" s="116">
        <f t="shared" si="10"/>
        <v>0</v>
      </c>
      <c r="AN23" s="117">
        <f t="shared" si="11"/>
        <v>0</v>
      </c>
      <c r="AO23" s="39">
        <f t="shared" si="12"/>
        <v>0</v>
      </c>
      <c r="AP23" s="65">
        <f t="shared" si="13"/>
        <v>0</v>
      </c>
      <c r="AQ23" s="65">
        <f t="shared" si="14"/>
        <v>0</v>
      </c>
      <c r="AR23" s="65">
        <f t="shared" si="15"/>
        <v>0</v>
      </c>
      <c r="AS23" s="65">
        <f t="shared" si="16"/>
        <v>0</v>
      </c>
    </row>
    <row r="24" spans="2:49" s="8" customFormat="1" ht="13.5" customHeight="1" x14ac:dyDescent="0.25">
      <c r="B24" s="15">
        <v>22</v>
      </c>
      <c r="D24" s="5"/>
      <c r="E24" s="67"/>
      <c r="F24" s="16"/>
      <c r="J24" s="9"/>
      <c r="K24" s="9">
        <f t="shared" si="0"/>
        <v>0</v>
      </c>
      <c r="L24" s="35">
        <f t="shared" si="1"/>
        <v>0</v>
      </c>
      <c r="M24" s="2"/>
      <c r="N24" s="2"/>
      <c r="O24" s="19"/>
      <c r="P24" s="19"/>
      <c r="Q24" s="19"/>
      <c r="R24" s="21"/>
      <c r="S24" s="46"/>
      <c r="T24" s="44"/>
      <c r="U24" s="76"/>
      <c r="V24" s="24"/>
      <c r="W24" s="24"/>
      <c r="X24" s="193"/>
      <c r="Y24" s="15"/>
      <c r="AA24">
        <v>4</v>
      </c>
      <c r="AB24" s="487"/>
      <c r="AC24" s="90">
        <v>4</v>
      </c>
      <c r="AD24" s="97" t="s">
        <v>63</v>
      </c>
      <c r="AE24" s="39">
        <f t="shared" si="2"/>
        <v>0</v>
      </c>
      <c r="AF24" s="65">
        <f t="shared" si="3"/>
        <v>0</v>
      </c>
      <c r="AG24" s="65">
        <f t="shared" si="4"/>
        <v>0</v>
      </c>
      <c r="AH24" s="65">
        <f t="shared" si="5"/>
        <v>0</v>
      </c>
      <c r="AI24" s="104">
        <f t="shared" si="6"/>
        <v>0</v>
      </c>
      <c r="AJ24" s="115">
        <f t="shared" si="7"/>
        <v>0</v>
      </c>
      <c r="AK24" s="116">
        <f t="shared" si="8"/>
        <v>0</v>
      </c>
      <c r="AL24" s="116">
        <f t="shared" si="9"/>
        <v>0</v>
      </c>
      <c r="AM24" s="116">
        <f t="shared" si="10"/>
        <v>0</v>
      </c>
      <c r="AN24" s="117">
        <f t="shared" si="11"/>
        <v>0</v>
      </c>
      <c r="AO24" s="39">
        <f t="shared" si="12"/>
        <v>0</v>
      </c>
      <c r="AP24" s="65">
        <f t="shared" si="13"/>
        <v>0</v>
      </c>
      <c r="AQ24" s="65">
        <f t="shared" si="14"/>
        <v>0</v>
      </c>
      <c r="AR24" s="65">
        <f t="shared" si="15"/>
        <v>0</v>
      </c>
      <c r="AS24" s="65">
        <f t="shared" si="16"/>
        <v>0</v>
      </c>
      <c r="AU24" s="194" t="s">
        <v>149</v>
      </c>
      <c r="AV24" s="194" t="s">
        <v>150</v>
      </c>
      <c r="AW24" s="194" t="s">
        <v>120</v>
      </c>
    </row>
    <row r="25" spans="2:49" s="8" customFormat="1" ht="13.5" customHeight="1" x14ac:dyDescent="0.25">
      <c r="B25" s="15">
        <v>23</v>
      </c>
      <c r="D25" s="5"/>
      <c r="E25" s="67"/>
      <c r="F25" s="16"/>
      <c r="J25" s="9"/>
      <c r="K25" s="9">
        <f t="shared" si="0"/>
        <v>0</v>
      </c>
      <c r="L25" s="35">
        <f t="shared" si="1"/>
        <v>0</v>
      </c>
      <c r="M25" s="2"/>
      <c r="N25"/>
      <c r="O25" s="19"/>
      <c r="P25" s="19"/>
      <c r="Q25" s="19"/>
      <c r="R25" s="21"/>
      <c r="S25" s="46"/>
      <c r="T25" s="44"/>
      <c r="U25" s="76"/>
      <c r="V25" s="24"/>
      <c r="W25" s="24"/>
      <c r="X25" s="193"/>
      <c r="Y25" s="15"/>
      <c r="AA25">
        <v>4</v>
      </c>
      <c r="AB25" s="487"/>
      <c r="AC25" s="91">
        <v>5</v>
      </c>
      <c r="AD25" s="97" t="s">
        <v>85</v>
      </c>
      <c r="AE25" s="39">
        <f t="shared" si="2"/>
        <v>0</v>
      </c>
      <c r="AF25" s="65">
        <f t="shared" si="3"/>
        <v>0</v>
      </c>
      <c r="AG25" s="65">
        <f t="shared" si="4"/>
        <v>0</v>
      </c>
      <c r="AH25" s="65">
        <f t="shared" si="5"/>
        <v>0</v>
      </c>
      <c r="AI25" s="104">
        <f t="shared" si="6"/>
        <v>0</v>
      </c>
      <c r="AJ25" s="115">
        <f t="shared" si="7"/>
        <v>0</v>
      </c>
      <c r="AK25" s="116">
        <f t="shared" si="8"/>
        <v>0</v>
      </c>
      <c r="AL25" s="116">
        <f t="shared" si="9"/>
        <v>0</v>
      </c>
      <c r="AM25" s="116">
        <f t="shared" si="10"/>
        <v>0</v>
      </c>
      <c r="AN25" s="117">
        <f t="shared" si="11"/>
        <v>0</v>
      </c>
      <c r="AO25" s="39">
        <f t="shared" si="12"/>
        <v>0</v>
      </c>
      <c r="AP25" s="65">
        <f t="shared" si="13"/>
        <v>0</v>
      </c>
      <c r="AQ25" s="65">
        <f t="shared" si="14"/>
        <v>0</v>
      </c>
      <c r="AR25" s="65">
        <f t="shared" si="15"/>
        <v>0</v>
      </c>
      <c r="AS25" s="65">
        <f t="shared" si="16"/>
        <v>0</v>
      </c>
      <c r="AU25" s="195" t="s">
        <v>160</v>
      </c>
      <c r="AV25" s="195">
        <f>COUNTIF($X:$X, AU25)</f>
        <v>0</v>
      </c>
      <c r="AW25" s="196" t="e">
        <f>AV25/$AV$33</f>
        <v>#DIV/0!</v>
      </c>
    </row>
    <row r="26" spans="2:49" s="8" customFormat="1" ht="13.5" customHeight="1" thickBot="1" x14ac:dyDescent="0.3">
      <c r="B26" s="15">
        <v>24</v>
      </c>
      <c r="D26" s="5"/>
      <c r="E26" s="67"/>
      <c r="F26" s="16"/>
      <c r="J26" s="9"/>
      <c r="K26" s="9">
        <f t="shared" si="0"/>
        <v>0</v>
      </c>
      <c r="L26" s="35">
        <f t="shared" si="1"/>
        <v>0</v>
      </c>
      <c r="M26" s="2"/>
      <c r="N26"/>
      <c r="O26" s="19"/>
      <c r="P26" s="19"/>
      <c r="Q26" s="19"/>
      <c r="R26" s="21"/>
      <c r="S26" s="46"/>
      <c r="T26" s="44"/>
      <c r="U26" s="76"/>
      <c r="V26" s="24"/>
      <c r="W26" s="24"/>
      <c r="X26" s="193"/>
      <c r="Y26" s="15"/>
      <c r="AA26">
        <v>4</v>
      </c>
      <c r="AB26" s="488"/>
      <c r="AC26" s="92" t="s">
        <v>3</v>
      </c>
      <c r="AD26" s="98"/>
      <c r="AE26" s="94">
        <f t="shared" ref="AE26:AS26" si="22">SUM(AE21:AE25)</f>
        <v>0</v>
      </c>
      <c r="AF26" s="94">
        <f t="shared" si="22"/>
        <v>0</v>
      </c>
      <c r="AG26" s="94">
        <f t="shared" si="22"/>
        <v>0</v>
      </c>
      <c r="AH26" s="94">
        <f t="shared" si="22"/>
        <v>0</v>
      </c>
      <c r="AI26" s="105">
        <f t="shared" si="22"/>
        <v>0</v>
      </c>
      <c r="AJ26" s="118">
        <f t="shared" si="22"/>
        <v>0</v>
      </c>
      <c r="AK26" s="119">
        <f t="shared" si="22"/>
        <v>0</v>
      </c>
      <c r="AL26" s="119">
        <f t="shared" si="22"/>
        <v>0</v>
      </c>
      <c r="AM26" s="119">
        <f t="shared" si="22"/>
        <v>0</v>
      </c>
      <c r="AN26" s="120">
        <f t="shared" si="22"/>
        <v>0</v>
      </c>
      <c r="AO26" s="94">
        <f t="shared" si="22"/>
        <v>0</v>
      </c>
      <c r="AP26" s="94">
        <f t="shared" si="22"/>
        <v>0</v>
      </c>
      <c r="AQ26" s="94">
        <f t="shared" si="22"/>
        <v>0</v>
      </c>
      <c r="AR26" s="94">
        <f t="shared" si="22"/>
        <v>0</v>
      </c>
      <c r="AS26" s="94">
        <f t="shared" si="22"/>
        <v>0</v>
      </c>
      <c r="AU26" s="195" t="s">
        <v>152</v>
      </c>
      <c r="AV26" s="195">
        <f t="shared" ref="AV26:AV32" si="23">COUNTIF($X:$X, AU26)</f>
        <v>0</v>
      </c>
      <c r="AW26" s="196" t="e">
        <f t="shared" ref="AW26:AW33" si="24">AV26/$AV$33</f>
        <v>#DIV/0!</v>
      </c>
    </row>
    <row r="27" spans="2:49" s="8" customFormat="1" ht="13.5" customHeight="1" x14ac:dyDescent="0.25">
      <c r="B27" s="15">
        <v>25</v>
      </c>
      <c r="D27" s="5"/>
      <c r="E27" s="67"/>
      <c r="F27" s="16"/>
      <c r="J27" s="9"/>
      <c r="K27" s="9">
        <f t="shared" si="0"/>
        <v>0</v>
      </c>
      <c r="L27" s="35">
        <f t="shared" si="1"/>
        <v>0</v>
      </c>
      <c r="M27" s="2"/>
      <c r="N27"/>
      <c r="O27" s="19"/>
      <c r="P27" s="19"/>
      <c r="Q27" s="19"/>
      <c r="R27" s="21"/>
      <c r="S27" s="46"/>
      <c r="T27" s="44"/>
      <c r="U27" s="76"/>
      <c r="V27" s="24"/>
      <c r="W27" s="24"/>
      <c r="X27" s="193"/>
      <c r="Y27" s="15"/>
      <c r="AA27">
        <v>5</v>
      </c>
      <c r="AB27" s="486">
        <v>5</v>
      </c>
      <c r="AC27" s="89">
        <v>1</v>
      </c>
      <c r="AD27" s="95" t="s">
        <v>86</v>
      </c>
      <c r="AE27" s="39">
        <f t="shared" si="2"/>
        <v>0</v>
      </c>
      <c r="AF27" s="65">
        <f t="shared" si="3"/>
        <v>0</v>
      </c>
      <c r="AG27" s="65">
        <f t="shared" si="4"/>
        <v>0</v>
      </c>
      <c r="AH27" s="65">
        <f t="shared" si="5"/>
        <v>0</v>
      </c>
      <c r="AI27" s="104">
        <f t="shared" si="6"/>
        <v>0</v>
      </c>
      <c r="AJ27" s="115">
        <f t="shared" si="7"/>
        <v>0</v>
      </c>
      <c r="AK27" s="116">
        <f t="shared" si="8"/>
        <v>0</v>
      </c>
      <c r="AL27" s="116">
        <f t="shared" si="9"/>
        <v>0</v>
      </c>
      <c r="AM27" s="116">
        <f t="shared" si="10"/>
        <v>0</v>
      </c>
      <c r="AN27" s="117">
        <f t="shared" si="11"/>
        <v>0</v>
      </c>
      <c r="AO27" s="39">
        <f t="shared" si="12"/>
        <v>0</v>
      </c>
      <c r="AP27" s="65">
        <f t="shared" si="13"/>
        <v>0</v>
      </c>
      <c r="AQ27" s="65">
        <f t="shared" si="14"/>
        <v>0</v>
      </c>
      <c r="AR27" s="65">
        <f t="shared" si="15"/>
        <v>0</v>
      </c>
      <c r="AS27" s="65">
        <f t="shared" si="16"/>
        <v>0</v>
      </c>
      <c r="AU27" s="195" t="s">
        <v>153</v>
      </c>
      <c r="AV27" s="195">
        <f t="shared" si="23"/>
        <v>0</v>
      </c>
      <c r="AW27" s="196" t="e">
        <f t="shared" si="24"/>
        <v>#DIV/0!</v>
      </c>
    </row>
    <row r="28" spans="2:49" s="8" customFormat="1" ht="13.5" customHeight="1" x14ac:dyDescent="0.25">
      <c r="B28" s="15">
        <v>26</v>
      </c>
      <c r="D28" s="5"/>
      <c r="E28" s="67"/>
      <c r="F28" s="16"/>
      <c r="J28" s="9"/>
      <c r="K28" s="9">
        <f t="shared" si="0"/>
        <v>0</v>
      </c>
      <c r="L28" s="35">
        <f t="shared" si="1"/>
        <v>0</v>
      </c>
      <c r="M28" s="2"/>
      <c r="N28"/>
      <c r="O28" s="19"/>
      <c r="P28" s="19"/>
      <c r="Q28" s="19"/>
      <c r="R28" s="21"/>
      <c r="S28" s="46"/>
      <c r="T28" s="44"/>
      <c r="U28" s="76"/>
      <c r="V28" s="24"/>
      <c r="W28" s="24"/>
      <c r="X28" s="193"/>
      <c r="Y28" s="15"/>
      <c r="AA28">
        <v>5</v>
      </c>
      <c r="AB28" s="487"/>
      <c r="AC28" s="90">
        <v>2</v>
      </c>
      <c r="AD28" s="97" t="s">
        <v>87</v>
      </c>
      <c r="AE28" s="39">
        <f t="shared" si="2"/>
        <v>0</v>
      </c>
      <c r="AF28" s="65">
        <f t="shared" si="3"/>
        <v>0</v>
      </c>
      <c r="AG28" s="65">
        <f t="shared" si="4"/>
        <v>0</v>
      </c>
      <c r="AH28" s="65">
        <f t="shared" si="5"/>
        <v>0</v>
      </c>
      <c r="AI28" s="104">
        <f t="shared" si="6"/>
        <v>0</v>
      </c>
      <c r="AJ28" s="115">
        <f t="shared" si="7"/>
        <v>0</v>
      </c>
      <c r="AK28" s="116">
        <f t="shared" si="8"/>
        <v>0</v>
      </c>
      <c r="AL28" s="116">
        <f t="shared" si="9"/>
        <v>0</v>
      </c>
      <c r="AM28" s="116">
        <f t="shared" si="10"/>
        <v>0</v>
      </c>
      <c r="AN28" s="117">
        <f t="shared" si="11"/>
        <v>0</v>
      </c>
      <c r="AO28" s="39">
        <f t="shared" si="12"/>
        <v>0</v>
      </c>
      <c r="AP28" s="65">
        <f t="shared" si="13"/>
        <v>0</v>
      </c>
      <c r="AQ28" s="65">
        <f t="shared" si="14"/>
        <v>0</v>
      </c>
      <c r="AR28" s="65">
        <f t="shared" si="15"/>
        <v>0</v>
      </c>
      <c r="AS28" s="65">
        <f t="shared" si="16"/>
        <v>0</v>
      </c>
      <c r="AU28" s="195" t="s">
        <v>154</v>
      </c>
      <c r="AV28" s="195">
        <f t="shared" si="23"/>
        <v>0</v>
      </c>
      <c r="AW28" s="196" t="e">
        <f t="shared" si="24"/>
        <v>#DIV/0!</v>
      </c>
    </row>
    <row r="29" spans="2:49" s="8" customFormat="1" ht="13.5" customHeight="1" x14ac:dyDescent="0.25">
      <c r="B29" s="15">
        <v>27</v>
      </c>
      <c r="D29" s="5"/>
      <c r="E29" s="67"/>
      <c r="F29" s="16"/>
      <c r="J29" s="9"/>
      <c r="K29" s="9">
        <f t="shared" si="0"/>
        <v>0</v>
      </c>
      <c r="L29" s="35">
        <f t="shared" si="1"/>
        <v>0</v>
      </c>
      <c r="M29" s="2"/>
      <c r="N29"/>
      <c r="O29" s="19"/>
      <c r="P29" s="19"/>
      <c r="Q29" s="19"/>
      <c r="R29" s="21"/>
      <c r="S29" s="46"/>
      <c r="T29" s="44"/>
      <c r="U29" s="76"/>
      <c r="V29" s="24"/>
      <c r="W29" s="24"/>
      <c r="X29" s="193"/>
      <c r="Y29" s="15"/>
      <c r="AA29">
        <v>5</v>
      </c>
      <c r="AB29" s="487"/>
      <c r="AC29" s="90">
        <v>3</v>
      </c>
      <c r="AD29" s="97" t="s">
        <v>88</v>
      </c>
      <c r="AE29" s="39">
        <f t="shared" si="2"/>
        <v>0</v>
      </c>
      <c r="AF29" s="65">
        <f t="shared" si="3"/>
        <v>0</v>
      </c>
      <c r="AG29" s="65">
        <f t="shared" si="4"/>
        <v>0</v>
      </c>
      <c r="AH29" s="65">
        <f t="shared" si="5"/>
        <v>0</v>
      </c>
      <c r="AI29" s="104">
        <f t="shared" si="6"/>
        <v>0</v>
      </c>
      <c r="AJ29" s="115">
        <f t="shared" si="7"/>
        <v>0</v>
      </c>
      <c r="AK29" s="116">
        <f t="shared" si="8"/>
        <v>0</v>
      </c>
      <c r="AL29" s="116">
        <f t="shared" si="9"/>
        <v>0</v>
      </c>
      <c r="AM29" s="116">
        <f t="shared" si="10"/>
        <v>0</v>
      </c>
      <c r="AN29" s="117">
        <f t="shared" si="11"/>
        <v>0</v>
      </c>
      <c r="AO29" s="39">
        <f t="shared" si="12"/>
        <v>0</v>
      </c>
      <c r="AP29" s="65">
        <f t="shared" si="13"/>
        <v>0</v>
      </c>
      <c r="AQ29" s="65">
        <f t="shared" si="14"/>
        <v>0</v>
      </c>
      <c r="AR29" s="65">
        <f t="shared" si="15"/>
        <v>0</v>
      </c>
      <c r="AS29" s="65">
        <f t="shared" si="16"/>
        <v>0</v>
      </c>
      <c r="AU29" s="195" t="s">
        <v>155</v>
      </c>
      <c r="AV29" s="195">
        <f t="shared" si="23"/>
        <v>0</v>
      </c>
      <c r="AW29" s="196" t="e">
        <f t="shared" si="24"/>
        <v>#DIV/0!</v>
      </c>
    </row>
    <row r="30" spans="2:49" s="8" customFormat="1" ht="13.5" customHeight="1" x14ac:dyDescent="0.25">
      <c r="B30" s="15">
        <v>28</v>
      </c>
      <c r="D30" s="5"/>
      <c r="E30" s="67"/>
      <c r="F30" s="16"/>
      <c r="J30" s="9"/>
      <c r="K30" s="9">
        <f t="shared" si="0"/>
        <v>0</v>
      </c>
      <c r="L30" s="35">
        <f t="shared" si="1"/>
        <v>0</v>
      </c>
      <c r="M30" s="2"/>
      <c r="N30"/>
      <c r="O30" s="19"/>
      <c r="P30" s="19"/>
      <c r="Q30" s="19"/>
      <c r="R30" s="21"/>
      <c r="S30" s="46"/>
      <c r="T30" s="44"/>
      <c r="U30" s="76"/>
      <c r="V30" s="24"/>
      <c r="W30" s="24"/>
      <c r="X30" s="193"/>
      <c r="Y30" s="15"/>
      <c r="AA30">
        <v>5</v>
      </c>
      <c r="AB30" s="487"/>
      <c r="AC30" s="90">
        <v>4</v>
      </c>
      <c r="AD30" s="97" t="s">
        <v>89</v>
      </c>
      <c r="AE30" s="39">
        <f t="shared" si="2"/>
        <v>0</v>
      </c>
      <c r="AF30" s="65">
        <f t="shared" si="3"/>
        <v>0</v>
      </c>
      <c r="AG30" s="65">
        <f t="shared" si="4"/>
        <v>0</v>
      </c>
      <c r="AH30" s="65">
        <f t="shared" si="5"/>
        <v>0</v>
      </c>
      <c r="AI30" s="104">
        <f t="shared" si="6"/>
        <v>0</v>
      </c>
      <c r="AJ30" s="115">
        <f t="shared" si="7"/>
        <v>0</v>
      </c>
      <c r="AK30" s="116">
        <f t="shared" si="8"/>
        <v>0</v>
      </c>
      <c r="AL30" s="116">
        <f t="shared" si="9"/>
        <v>0</v>
      </c>
      <c r="AM30" s="116">
        <f t="shared" si="10"/>
        <v>0</v>
      </c>
      <c r="AN30" s="117">
        <f t="shared" si="11"/>
        <v>0</v>
      </c>
      <c r="AO30" s="39">
        <f t="shared" si="12"/>
        <v>0</v>
      </c>
      <c r="AP30" s="65">
        <f t="shared" si="13"/>
        <v>0</v>
      </c>
      <c r="AQ30" s="65">
        <f t="shared" si="14"/>
        <v>0</v>
      </c>
      <c r="AR30" s="65">
        <f t="shared" si="15"/>
        <v>0</v>
      </c>
      <c r="AS30" s="65">
        <f t="shared" si="16"/>
        <v>0</v>
      </c>
      <c r="AU30" s="195" t="s">
        <v>156</v>
      </c>
      <c r="AV30" s="195">
        <f t="shared" si="23"/>
        <v>0</v>
      </c>
      <c r="AW30" s="196" t="e">
        <f t="shared" si="24"/>
        <v>#DIV/0!</v>
      </c>
    </row>
    <row r="31" spans="2:49" s="8" customFormat="1" ht="13.5" customHeight="1" x14ac:dyDescent="0.25">
      <c r="B31" s="15">
        <v>29</v>
      </c>
      <c r="D31" s="5"/>
      <c r="E31" s="67"/>
      <c r="F31" s="16"/>
      <c r="J31" s="9"/>
      <c r="K31" s="9">
        <f t="shared" si="0"/>
        <v>0</v>
      </c>
      <c r="L31" s="35">
        <f t="shared" si="1"/>
        <v>0</v>
      </c>
      <c r="M31" s="2"/>
      <c r="N31"/>
      <c r="O31" s="19"/>
      <c r="P31" s="19"/>
      <c r="Q31" s="19"/>
      <c r="R31" s="21"/>
      <c r="S31" s="46"/>
      <c r="T31" s="44"/>
      <c r="U31" s="76"/>
      <c r="V31" s="24"/>
      <c r="W31" s="24"/>
      <c r="X31" s="193"/>
      <c r="Y31" s="15"/>
      <c r="AA31">
        <v>5</v>
      </c>
      <c r="AB31" s="487"/>
      <c r="AC31" s="91">
        <v>5</v>
      </c>
      <c r="AD31" s="97"/>
      <c r="AE31" s="39">
        <f t="shared" si="2"/>
        <v>0</v>
      </c>
      <c r="AF31" s="65">
        <f t="shared" si="3"/>
        <v>0</v>
      </c>
      <c r="AG31" s="65">
        <f t="shared" si="4"/>
        <v>0</v>
      </c>
      <c r="AH31" s="65">
        <f t="shared" si="5"/>
        <v>0</v>
      </c>
      <c r="AI31" s="104">
        <f t="shared" si="6"/>
        <v>0</v>
      </c>
      <c r="AJ31" s="115">
        <f t="shared" si="7"/>
        <v>0</v>
      </c>
      <c r="AK31" s="116">
        <f t="shared" si="8"/>
        <v>0</v>
      </c>
      <c r="AL31" s="116">
        <f t="shared" si="9"/>
        <v>0</v>
      </c>
      <c r="AM31" s="116">
        <f t="shared" si="10"/>
        <v>0</v>
      </c>
      <c r="AN31" s="117">
        <f t="shared" si="11"/>
        <v>0</v>
      </c>
      <c r="AO31" s="39">
        <f t="shared" si="12"/>
        <v>0</v>
      </c>
      <c r="AP31" s="65">
        <f t="shared" si="13"/>
        <v>0</v>
      </c>
      <c r="AQ31" s="65">
        <f t="shared" si="14"/>
        <v>0</v>
      </c>
      <c r="AR31" s="65">
        <f t="shared" si="15"/>
        <v>0</v>
      </c>
      <c r="AS31" s="65">
        <f t="shared" si="16"/>
        <v>0</v>
      </c>
      <c r="AU31" s="195" t="s">
        <v>157</v>
      </c>
      <c r="AV31" s="195">
        <f t="shared" si="23"/>
        <v>0</v>
      </c>
      <c r="AW31" s="196" t="e">
        <f t="shared" si="24"/>
        <v>#DIV/0!</v>
      </c>
    </row>
    <row r="32" spans="2:49" s="8" customFormat="1" ht="13.5" customHeight="1" thickBot="1" x14ac:dyDescent="0.3">
      <c r="B32" s="15">
        <v>30</v>
      </c>
      <c r="D32" s="5"/>
      <c r="E32" s="67"/>
      <c r="F32" s="16"/>
      <c r="J32" s="9"/>
      <c r="K32" s="9">
        <f t="shared" si="0"/>
        <v>0</v>
      </c>
      <c r="L32" s="35">
        <f t="shared" si="1"/>
        <v>0</v>
      </c>
      <c r="M32" s="2"/>
      <c r="N32"/>
      <c r="O32" s="19"/>
      <c r="P32" s="19"/>
      <c r="Q32" s="19"/>
      <c r="R32" s="21"/>
      <c r="S32" s="46"/>
      <c r="T32" s="44"/>
      <c r="U32" s="76"/>
      <c r="V32" s="24"/>
      <c r="W32" s="24"/>
      <c r="X32" s="193"/>
      <c r="Y32" s="15"/>
      <c r="AA32">
        <v>5</v>
      </c>
      <c r="AB32" s="488"/>
      <c r="AC32" s="92" t="s">
        <v>3</v>
      </c>
      <c r="AD32" s="98"/>
      <c r="AE32" s="94">
        <f t="shared" ref="AE32:AS32" si="25">SUM(AE27:AE31)</f>
        <v>0</v>
      </c>
      <c r="AF32" s="94">
        <f t="shared" si="25"/>
        <v>0</v>
      </c>
      <c r="AG32" s="94">
        <f t="shared" si="25"/>
        <v>0</v>
      </c>
      <c r="AH32" s="94">
        <f t="shared" si="25"/>
        <v>0</v>
      </c>
      <c r="AI32" s="105">
        <f t="shared" si="25"/>
        <v>0</v>
      </c>
      <c r="AJ32" s="118">
        <f t="shared" si="25"/>
        <v>0</v>
      </c>
      <c r="AK32" s="119">
        <f t="shared" si="25"/>
        <v>0</v>
      </c>
      <c r="AL32" s="119">
        <f t="shared" si="25"/>
        <v>0</v>
      </c>
      <c r="AM32" s="119">
        <f t="shared" si="25"/>
        <v>0</v>
      </c>
      <c r="AN32" s="120">
        <f t="shared" si="25"/>
        <v>0</v>
      </c>
      <c r="AO32" s="94">
        <f t="shared" si="25"/>
        <v>0</v>
      </c>
      <c r="AP32" s="94">
        <f t="shared" si="25"/>
        <v>0</v>
      </c>
      <c r="AQ32" s="94">
        <f t="shared" si="25"/>
        <v>0</v>
      </c>
      <c r="AR32" s="94">
        <f t="shared" si="25"/>
        <v>0</v>
      </c>
      <c r="AS32" s="94">
        <f t="shared" si="25"/>
        <v>0</v>
      </c>
      <c r="AU32" s="195" t="s">
        <v>158</v>
      </c>
      <c r="AV32" s="195">
        <f t="shared" si="23"/>
        <v>0</v>
      </c>
      <c r="AW32" s="196" t="e">
        <f t="shared" si="24"/>
        <v>#DIV/0!</v>
      </c>
    </row>
    <row r="33" spans="2:49" s="8" customFormat="1" ht="13.5" customHeight="1" x14ac:dyDescent="0.25">
      <c r="B33" s="15">
        <v>31</v>
      </c>
      <c r="D33" s="5"/>
      <c r="E33" s="67"/>
      <c r="F33" s="16"/>
      <c r="J33" s="9"/>
      <c r="K33" s="9">
        <f t="shared" si="0"/>
        <v>0</v>
      </c>
      <c r="L33" s="35">
        <f t="shared" si="1"/>
        <v>0</v>
      </c>
      <c r="M33" s="2"/>
      <c r="N33"/>
      <c r="O33" s="19"/>
      <c r="P33" s="19"/>
      <c r="Q33" s="19"/>
      <c r="R33" s="21"/>
      <c r="S33" s="46"/>
      <c r="T33" s="44"/>
      <c r="U33" s="76"/>
      <c r="V33" s="24"/>
      <c r="W33" s="24"/>
      <c r="X33" s="193"/>
      <c r="Y33" s="15"/>
      <c r="AA33">
        <v>6</v>
      </c>
      <c r="AB33" s="486">
        <v>6</v>
      </c>
      <c r="AC33" s="89">
        <v>1</v>
      </c>
      <c r="AD33" s="95" t="s">
        <v>90</v>
      </c>
      <c r="AE33" s="39">
        <f t="shared" si="2"/>
        <v>0</v>
      </c>
      <c r="AF33" s="65">
        <f t="shared" si="3"/>
        <v>0</v>
      </c>
      <c r="AG33" s="65">
        <f t="shared" si="4"/>
        <v>0</v>
      </c>
      <c r="AH33" s="65">
        <f t="shared" si="5"/>
        <v>0</v>
      </c>
      <c r="AI33" s="104">
        <f t="shared" si="6"/>
        <v>0</v>
      </c>
      <c r="AJ33" s="115">
        <f t="shared" si="7"/>
        <v>0</v>
      </c>
      <c r="AK33" s="116">
        <f t="shared" si="8"/>
        <v>0</v>
      </c>
      <c r="AL33" s="116">
        <f t="shared" si="9"/>
        <v>0</v>
      </c>
      <c r="AM33" s="116">
        <f t="shared" si="10"/>
        <v>0</v>
      </c>
      <c r="AN33" s="117">
        <f t="shared" si="11"/>
        <v>0</v>
      </c>
      <c r="AO33" s="39">
        <f t="shared" si="12"/>
        <v>0</v>
      </c>
      <c r="AP33" s="65">
        <f t="shared" si="13"/>
        <v>0</v>
      </c>
      <c r="AQ33" s="65">
        <f t="shared" si="14"/>
        <v>0</v>
      </c>
      <c r="AR33" s="65">
        <f t="shared" si="15"/>
        <v>0</v>
      </c>
      <c r="AS33" s="65">
        <f t="shared" si="16"/>
        <v>0</v>
      </c>
      <c r="AU33" s="194" t="s">
        <v>159</v>
      </c>
      <c r="AV33" s="194">
        <f>SUM(AV25:AV32)</f>
        <v>0</v>
      </c>
      <c r="AW33" s="197" t="e">
        <f t="shared" si="24"/>
        <v>#DIV/0!</v>
      </c>
    </row>
    <row r="34" spans="2:49" s="8" customFormat="1" ht="13.5" customHeight="1" x14ac:dyDescent="0.25">
      <c r="B34" s="15">
        <v>32</v>
      </c>
      <c r="D34" s="5"/>
      <c r="E34" s="67"/>
      <c r="F34" s="16"/>
      <c r="J34" s="9"/>
      <c r="K34" s="9">
        <f t="shared" si="0"/>
        <v>0</v>
      </c>
      <c r="L34" s="35">
        <f t="shared" si="1"/>
        <v>0</v>
      </c>
      <c r="M34" s="2"/>
      <c r="N34"/>
      <c r="O34" s="19"/>
      <c r="P34" s="19"/>
      <c r="Q34" s="19"/>
      <c r="R34" s="21"/>
      <c r="S34" s="46"/>
      <c r="T34" s="44"/>
      <c r="U34" s="76"/>
      <c r="V34" s="24"/>
      <c r="W34" s="24"/>
      <c r="X34" s="193"/>
      <c r="Y34" s="15"/>
      <c r="AA34">
        <v>6</v>
      </c>
      <c r="AB34" s="487"/>
      <c r="AC34" s="90">
        <v>2</v>
      </c>
      <c r="AD34" s="97" t="s">
        <v>91</v>
      </c>
      <c r="AE34" s="39">
        <f t="shared" si="2"/>
        <v>0</v>
      </c>
      <c r="AF34" s="65">
        <f t="shared" si="3"/>
        <v>0</v>
      </c>
      <c r="AG34" s="65">
        <f t="shared" si="4"/>
        <v>0</v>
      </c>
      <c r="AH34" s="65">
        <f t="shared" si="5"/>
        <v>0</v>
      </c>
      <c r="AI34" s="104">
        <f t="shared" si="6"/>
        <v>0</v>
      </c>
      <c r="AJ34" s="115">
        <f t="shared" si="7"/>
        <v>0</v>
      </c>
      <c r="AK34" s="116">
        <f t="shared" si="8"/>
        <v>0</v>
      </c>
      <c r="AL34" s="116">
        <f t="shared" si="9"/>
        <v>0</v>
      </c>
      <c r="AM34" s="116">
        <f t="shared" si="10"/>
        <v>0</v>
      </c>
      <c r="AN34" s="117">
        <f t="shared" si="11"/>
        <v>0</v>
      </c>
      <c r="AO34" s="39">
        <f t="shared" si="12"/>
        <v>0</v>
      </c>
      <c r="AP34" s="65">
        <f t="shared" si="13"/>
        <v>0</v>
      </c>
      <c r="AQ34" s="65">
        <f t="shared" si="14"/>
        <v>0</v>
      </c>
      <c r="AR34" s="65">
        <f t="shared" si="15"/>
        <v>0</v>
      </c>
      <c r="AS34" s="65">
        <f t="shared" si="16"/>
        <v>0</v>
      </c>
    </row>
    <row r="35" spans="2:49" s="8" customFormat="1" ht="13.5" customHeight="1" x14ac:dyDescent="0.25">
      <c r="B35" s="15">
        <v>33</v>
      </c>
      <c r="D35" s="5"/>
      <c r="E35" s="67"/>
      <c r="F35" s="16"/>
      <c r="J35" s="9"/>
      <c r="K35" s="9">
        <f t="shared" si="0"/>
        <v>0</v>
      </c>
      <c r="L35" s="35">
        <f t="shared" si="1"/>
        <v>0</v>
      </c>
      <c r="M35" s="2"/>
      <c r="N35"/>
      <c r="O35" s="19"/>
      <c r="P35" s="19"/>
      <c r="Q35" s="19"/>
      <c r="R35" s="21"/>
      <c r="S35" s="46"/>
      <c r="T35" s="44"/>
      <c r="U35" s="76"/>
      <c r="V35" s="24"/>
      <c r="W35" s="24"/>
      <c r="X35" s="193"/>
      <c r="Y35" s="15"/>
      <c r="AA35">
        <v>6</v>
      </c>
      <c r="AB35" s="487"/>
      <c r="AC35" s="90">
        <v>3</v>
      </c>
      <c r="AD35" s="97" t="s">
        <v>92</v>
      </c>
      <c r="AE35" s="39">
        <f t="shared" si="2"/>
        <v>0</v>
      </c>
      <c r="AF35" s="65">
        <f t="shared" si="3"/>
        <v>0</v>
      </c>
      <c r="AG35" s="65">
        <f t="shared" si="4"/>
        <v>0</v>
      </c>
      <c r="AH35" s="65">
        <f t="shared" si="5"/>
        <v>0</v>
      </c>
      <c r="AI35" s="104">
        <f t="shared" si="6"/>
        <v>0</v>
      </c>
      <c r="AJ35" s="115">
        <f t="shared" si="7"/>
        <v>0</v>
      </c>
      <c r="AK35" s="116">
        <f t="shared" si="8"/>
        <v>0</v>
      </c>
      <c r="AL35" s="116">
        <f t="shared" si="9"/>
        <v>0</v>
      </c>
      <c r="AM35" s="116">
        <f t="shared" si="10"/>
        <v>0</v>
      </c>
      <c r="AN35" s="117">
        <f t="shared" si="11"/>
        <v>0</v>
      </c>
      <c r="AO35" s="39">
        <f t="shared" si="12"/>
        <v>0</v>
      </c>
      <c r="AP35" s="65">
        <f t="shared" si="13"/>
        <v>0</v>
      </c>
      <c r="AQ35" s="65">
        <f t="shared" si="14"/>
        <v>0</v>
      </c>
      <c r="AR35" s="65">
        <f t="shared" si="15"/>
        <v>0</v>
      </c>
      <c r="AS35" s="65">
        <f t="shared" si="16"/>
        <v>0</v>
      </c>
    </row>
    <row r="36" spans="2:49" s="8" customFormat="1" ht="13.5" customHeight="1" x14ac:dyDescent="0.25">
      <c r="B36" s="15">
        <v>34</v>
      </c>
      <c r="D36" s="5"/>
      <c r="E36" s="67"/>
      <c r="F36" s="16"/>
      <c r="J36" s="9"/>
      <c r="K36" s="9">
        <f t="shared" si="0"/>
        <v>0</v>
      </c>
      <c r="L36" s="35">
        <f t="shared" si="1"/>
        <v>0</v>
      </c>
      <c r="M36" s="2"/>
      <c r="N36"/>
      <c r="O36" s="19"/>
      <c r="P36" s="19"/>
      <c r="Q36" s="19"/>
      <c r="R36" s="21"/>
      <c r="S36" s="46"/>
      <c r="T36" s="44"/>
      <c r="U36" s="76"/>
      <c r="V36" s="24"/>
      <c r="W36" s="24"/>
      <c r="X36" s="193"/>
      <c r="Y36" s="15"/>
      <c r="AA36">
        <v>6</v>
      </c>
      <c r="AB36" s="487"/>
      <c r="AC36" s="90">
        <v>4</v>
      </c>
      <c r="AD36" s="97" t="s">
        <v>93</v>
      </c>
      <c r="AE36" s="39">
        <f t="shared" si="2"/>
        <v>0</v>
      </c>
      <c r="AF36" s="65">
        <f t="shared" si="3"/>
        <v>0</v>
      </c>
      <c r="AG36" s="65">
        <f t="shared" si="4"/>
        <v>0</v>
      </c>
      <c r="AH36" s="65">
        <f t="shared" si="5"/>
        <v>0</v>
      </c>
      <c r="AI36" s="104">
        <f t="shared" si="6"/>
        <v>0</v>
      </c>
      <c r="AJ36" s="115">
        <f t="shared" si="7"/>
        <v>0</v>
      </c>
      <c r="AK36" s="116">
        <f t="shared" si="8"/>
        <v>0</v>
      </c>
      <c r="AL36" s="116">
        <f t="shared" si="9"/>
        <v>0</v>
      </c>
      <c r="AM36" s="116">
        <f t="shared" si="10"/>
        <v>0</v>
      </c>
      <c r="AN36" s="117">
        <f t="shared" si="11"/>
        <v>0</v>
      </c>
      <c r="AO36" s="39">
        <f t="shared" si="12"/>
        <v>0</v>
      </c>
      <c r="AP36" s="65">
        <f t="shared" si="13"/>
        <v>0</v>
      </c>
      <c r="AQ36" s="65">
        <f t="shared" si="14"/>
        <v>0</v>
      </c>
      <c r="AR36" s="65">
        <f t="shared" si="15"/>
        <v>0</v>
      </c>
      <c r="AS36" s="65">
        <f t="shared" si="16"/>
        <v>0</v>
      </c>
    </row>
    <row r="37" spans="2:49" s="8" customFormat="1" ht="13.5" customHeight="1" x14ac:dyDescent="0.25">
      <c r="B37" s="15">
        <v>35</v>
      </c>
      <c r="D37" s="5"/>
      <c r="E37" s="67"/>
      <c r="F37" s="16"/>
      <c r="J37" s="9"/>
      <c r="K37" s="9">
        <f t="shared" si="0"/>
        <v>0</v>
      </c>
      <c r="L37" s="35">
        <f t="shared" si="1"/>
        <v>0</v>
      </c>
      <c r="M37" s="2"/>
      <c r="N37"/>
      <c r="O37" s="19"/>
      <c r="P37" s="19"/>
      <c r="Q37" s="19"/>
      <c r="R37" s="21"/>
      <c r="S37" s="46"/>
      <c r="T37" s="250"/>
      <c r="U37" s="76"/>
      <c r="V37" s="24"/>
      <c r="W37" s="24"/>
      <c r="X37" s="193"/>
      <c r="Y37" s="15"/>
      <c r="AA37">
        <v>6</v>
      </c>
      <c r="AB37" s="487"/>
      <c r="AC37" s="91">
        <v>5</v>
      </c>
      <c r="AD37" s="97"/>
      <c r="AE37" s="39">
        <f t="shared" si="2"/>
        <v>0</v>
      </c>
      <c r="AF37" s="65">
        <f t="shared" si="3"/>
        <v>0</v>
      </c>
      <c r="AG37" s="65">
        <f t="shared" si="4"/>
        <v>0</v>
      </c>
      <c r="AH37" s="65">
        <f t="shared" si="5"/>
        <v>0</v>
      </c>
      <c r="AI37" s="104">
        <f t="shared" si="6"/>
        <v>0</v>
      </c>
      <c r="AJ37" s="115">
        <f t="shared" si="7"/>
        <v>0</v>
      </c>
      <c r="AK37" s="116">
        <f t="shared" si="8"/>
        <v>0</v>
      </c>
      <c r="AL37" s="116">
        <f t="shared" si="9"/>
        <v>0</v>
      </c>
      <c r="AM37" s="116">
        <f t="shared" si="10"/>
        <v>0</v>
      </c>
      <c r="AN37" s="117">
        <f t="shared" si="11"/>
        <v>0</v>
      </c>
      <c r="AO37" s="39">
        <f t="shared" si="12"/>
        <v>0</v>
      </c>
      <c r="AP37" s="65">
        <f t="shared" si="13"/>
        <v>0</v>
      </c>
      <c r="AQ37" s="65">
        <f t="shared" si="14"/>
        <v>0</v>
      </c>
      <c r="AR37" s="65">
        <f t="shared" si="15"/>
        <v>0</v>
      </c>
      <c r="AS37" s="65">
        <f t="shared" si="16"/>
        <v>0</v>
      </c>
    </row>
    <row r="38" spans="2:49" s="8" customFormat="1" ht="13.5" customHeight="1" thickBot="1" x14ac:dyDescent="0.3">
      <c r="B38" s="15">
        <v>36</v>
      </c>
      <c r="D38" s="5"/>
      <c r="E38" s="67"/>
      <c r="F38" s="16"/>
      <c r="J38" s="9"/>
      <c r="K38" s="9">
        <f t="shared" si="0"/>
        <v>0</v>
      </c>
      <c r="L38" s="35">
        <f t="shared" si="1"/>
        <v>0</v>
      </c>
      <c r="M38" s="2"/>
      <c r="N38"/>
      <c r="O38" s="19"/>
      <c r="P38" s="19"/>
      <c r="Q38" s="19"/>
      <c r="R38" s="21"/>
      <c r="S38" s="46"/>
      <c r="T38" s="44"/>
      <c r="U38" s="76"/>
      <c r="V38" s="24"/>
      <c r="W38" s="24"/>
      <c r="X38" s="193"/>
      <c r="Y38" s="15"/>
      <c r="AA38">
        <v>6</v>
      </c>
      <c r="AB38" s="488"/>
      <c r="AC38" s="92" t="s">
        <v>3</v>
      </c>
      <c r="AD38" s="98"/>
      <c r="AE38" s="94">
        <f t="shared" ref="AE38:AS38" si="26">SUM(AE33:AE37)</f>
        <v>0</v>
      </c>
      <c r="AF38" s="94">
        <f t="shared" si="26"/>
        <v>0</v>
      </c>
      <c r="AG38" s="94">
        <f t="shared" si="26"/>
        <v>0</v>
      </c>
      <c r="AH38" s="94">
        <f t="shared" si="26"/>
        <v>0</v>
      </c>
      <c r="AI38" s="105">
        <f t="shared" si="26"/>
        <v>0</v>
      </c>
      <c r="AJ38" s="118">
        <f t="shared" si="26"/>
        <v>0</v>
      </c>
      <c r="AK38" s="119">
        <f t="shared" si="26"/>
        <v>0</v>
      </c>
      <c r="AL38" s="119">
        <f t="shared" si="26"/>
        <v>0</v>
      </c>
      <c r="AM38" s="119">
        <f t="shared" si="26"/>
        <v>0</v>
      </c>
      <c r="AN38" s="120">
        <f t="shared" si="26"/>
        <v>0</v>
      </c>
      <c r="AO38" s="94">
        <f t="shared" si="26"/>
        <v>0</v>
      </c>
      <c r="AP38" s="94">
        <f t="shared" si="26"/>
        <v>0</v>
      </c>
      <c r="AQ38" s="94">
        <f t="shared" si="26"/>
        <v>0</v>
      </c>
      <c r="AR38" s="94">
        <f t="shared" si="26"/>
        <v>0</v>
      </c>
      <c r="AS38" s="94">
        <f t="shared" si="26"/>
        <v>0</v>
      </c>
    </row>
    <row r="39" spans="2:49" s="8" customFormat="1" ht="13.5" customHeight="1" x14ac:dyDescent="0.25">
      <c r="B39" s="15">
        <v>37</v>
      </c>
      <c r="D39" s="5"/>
      <c r="E39" s="67"/>
      <c r="F39" s="16"/>
      <c r="J39" s="9"/>
      <c r="K39" s="9">
        <f t="shared" si="0"/>
        <v>0</v>
      </c>
      <c r="L39" s="35">
        <f t="shared" si="1"/>
        <v>0</v>
      </c>
      <c r="M39" s="2"/>
      <c r="N39"/>
      <c r="O39" s="19"/>
      <c r="P39" s="19"/>
      <c r="Q39" s="19"/>
      <c r="R39" s="21"/>
      <c r="S39" s="46"/>
      <c r="T39" s="44"/>
      <c r="U39" s="76"/>
      <c r="V39" s="24"/>
      <c r="W39" s="24"/>
      <c r="X39" s="193"/>
      <c r="Y39" s="15"/>
      <c r="AA39">
        <v>7</v>
      </c>
      <c r="AB39" s="486">
        <v>7</v>
      </c>
      <c r="AC39" s="89">
        <v>1</v>
      </c>
      <c r="AD39" s="95" t="s">
        <v>94</v>
      </c>
      <c r="AE39" s="39">
        <f t="shared" si="2"/>
        <v>0</v>
      </c>
      <c r="AF39" s="65">
        <f t="shared" si="3"/>
        <v>0</v>
      </c>
      <c r="AG39" s="65">
        <f t="shared" si="4"/>
        <v>0</v>
      </c>
      <c r="AH39" s="65">
        <f t="shared" si="5"/>
        <v>0</v>
      </c>
      <c r="AI39" s="104">
        <f t="shared" si="6"/>
        <v>0</v>
      </c>
      <c r="AJ39" s="115">
        <f t="shared" si="7"/>
        <v>0</v>
      </c>
      <c r="AK39" s="116">
        <f t="shared" si="8"/>
        <v>0</v>
      </c>
      <c r="AL39" s="116">
        <f t="shared" si="9"/>
        <v>0</v>
      </c>
      <c r="AM39" s="116">
        <f t="shared" si="10"/>
        <v>0</v>
      </c>
      <c r="AN39" s="117">
        <f t="shared" si="11"/>
        <v>0</v>
      </c>
      <c r="AO39" s="39">
        <f t="shared" si="12"/>
        <v>0</v>
      </c>
      <c r="AP39" s="65">
        <f t="shared" si="13"/>
        <v>0</v>
      </c>
      <c r="AQ39" s="65">
        <f t="shared" si="14"/>
        <v>0</v>
      </c>
      <c r="AR39" s="65">
        <f t="shared" si="15"/>
        <v>0</v>
      </c>
      <c r="AS39" s="65">
        <f t="shared" si="16"/>
        <v>0</v>
      </c>
    </row>
    <row r="40" spans="2:49" s="8" customFormat="1" ht="13.5" customHeight="1" x14ac:dyDescent="0.25">
      <c r="B40" s="15">
        <v>38</v>
      </c>
      <c r="D40" s="5"/>
      <c r="E40" s="67"/>
      <c r="F40" s="16"/>
      <c r="J40" s="9"/>
      <c r="K40" s="9">
        <f t="shared" si="0"/>
        <v>0</v>
      </c>
      <c r="L40" s="35">
        <f t="shared" si="1"/>
        <v>0</v>
      </c>
      <c r="M40" s="2"/>
      <c r="N40"/>
      <c r="O40" s="19"/>
      <c r="P40" s="19"/>
      <c r="Q40" s="19"/>
      <c r="R40" s="21"/>
      <c r="S40" s="46"/>
      <c r="T40" s="44"/>
      <c r="U40" s="76"/>
      <c r="V40" s="24"/>
      <c r="W40" s="24"/>
      <c r="X40" s="193"/>
      <c r="Y40" s="15"/>
      <c r="AA40">
        <v>7</v>
      </c>
      <c r="AB40" s="487"/>
      <c r="AC40" s="90">
        <v>2</v>
      </c>
      <c r="AD40" s="97" t="s">
        <v>61</v>
      </c>
      <c r="AE40" s="39">
        <f t="shared" si="2"/>
        <v>0</v>
      </c>
      <c r="AF40" s="65">
        <f t="shared" si="3"/>
        <v>0</v>
      </c>
      <c r="AG40" s="65">
        <f t="shared" si="4"/>
        <v>0</v>
      </c>
      <c r="AH40" s="65">
        <f t="shared" si="5"/>
        <v>0</v>
      </c>
      <c r="AI40" s="104">
        <f t="shared" si="6"/>
        <v>0</v>
      </c>
      <c r="AJ40" s="115">
        <f t="shared" si="7"/>
        <v>0</v>
      </c>
      <c r="AK40" s="116">
        <f t="shared" si="8"/>
        <v>0</v>
      </c>
      <c r="AL40" s="116">
        <f t="shared" si="9"/>
        <v>0</v>
      </c>
      <c r="AM40" s="116">
        <f t="shared" si="10"/>
        <v>0</v>
      </c>
      <c r="AN40" s="117">
        <f t="shared" si="11"/>
        <v>0</v>
      </c>
      <c r="AO40" s="39">
        <f t="shared" si="12"/>
        <v>0</v>
      </c>
      <c r="AP40" s="65">
        <f t="shared" si="13"/>
        <v>0</v>
      </c>
      <c r="AQ40" s="65">
        <f t="shared" si="14"/>
        <v>0</v>
      </c>
      <c r="AR40" s="65">
        <f t="shared" si="15"/>
        <v>0</v>
      </c>
      <c r="AS40" s="65">
        <f t="shared" si="16"/>
        <v>0</v>
      </c>
    </row>
    <row r="41" spans="2:49" s="8" customFormat="1" ht="13.5" customHeight="1" x14ac:dyDescent="0.25">
      <c r="B41" s="15">
        <v>39</v>
      </c>
      <c r="D41" s="5"/>
      <c r="E41" s="67"/>
      <c r="F41" s="16"/>
      <c r="J41" s="9"/>
      <c r="K41" s="9">
        <f t="shared" si="0"/>
        <v>0</v>
      </c>
      <c r="L41" s="35">
        <f t="shared" si="1"/>
        <v>0</v>
      </c>
      <c r="M41" s="2"/>
      <c r="N41"/>
      <c r="O41" s="19"/>
      <c r="P41" s="19"/>
      <c r="Q41" s="19"/>
      <c r="R41" s="21"/>
      <c r="S41" s="46"/>
      <c r="T41" s="44"/>
      <c r="U41" s="76"/>
      <c r="V41" s="24"/>
      <c r="W41" s="24"/>
      <c r="X41" s="193"/>
      <c r="Y41" s="15"/>
      <c r="AA41">
        <v>7</v>
      </c>
      <c r="AB41" s="487"/>
      <c r="AC41" s="90">
        <v>3</v>
      </c>
      <c r="AD41" s="97" t="s">
        <v>62</v>
      </c>
      <c r="AE41" s="39">
        <f t="shared" si="2"/>
        <v>0</v>
      </c>
      <c r="AF41" s="65">
        <f t="shared" si="3"/>
        <v>0</v>
      </c>
      <c r="AG41" s="65">
        <f t="shared" si="4"/>
        <v>0</v>
      </c>
      <c r="AH41" s="65">
        <f t="shared" si="5"/>
        <v>0</v>
      </c>
      <c r="AI41" s="104">
        <f t="shared" si="6"/>
        <v>0</v>
      </c>
      <c r="AJ41" s="115">
        <f t="shared" si="7"/>
        <v>0</v>
      </c>
      <c r="AK41" s="116">
        <f t="shared" si="8"/>
        <v>0</v>
      </c>
      <c r="AL41" s="116">
        <f t="shared" si="9"/>
        <v>0</v>
      </c>
      <c r="AM41" s="116">
        <f t="shared" si="10"/>
        <v>0</v>
      </c>
      <c r="AN41" s="117">
        <f t="shared" si="11"/>
        <v>0</v>
      </c>
      <c r="AO41" s="39">
        <f t="shared" si="12"/>
        <v>0</v>
      </c>
      <c r="AP41" s="65">
        <f t="shared" si="13"/>
        <v>0</v>
      </c>
      <c r="AQ41" s="65">
        <f t="shared" si="14"/>
        <v>0</v>
      </c>
      <c r="AR41" s="65">
        <f t="shared" si="15"/>
        <v>0</v>
      </c>
      <c r="AS41" s="65">
        <f t="shared" si="16"/>
        <v>0</v>
      </c>
    </row>
    <row r="42" spans="2:49" s="8" customFormat="1" ht="13.5" customHeight="1" x14ac:dyDescent="0.25">
      <c r="B42" s="15">
        <v>40</v>
      </c>
      <c r="D42" s="5"/>
      <c r="E42" s="67"/>
      <c r="F42" s="16"/>
      <c r="J42" s="9"/>
      <c r="K42" s="9">
        <f t="shared" si="0"/>
        <v>0</v>
      </c>
      <c r="L42" s="35">
        <f t="shared" si="1"/>
        <v>0</v>
      </c>
      <c r="M42" s="2"/>
      <c r="N42"/>
      <c r="O42" s="19"/>
      <c r="P42" s="19"/>
      <c r="Q42" s="19"/>
      <c r="R42" s="21"/>
      <c r="S42" s="46"/>
      <c r="T42" s="44"/>
      <c r="U42" s="76"/>
      <c r="V42" s="24"/>
      <c r="W42" s="24"/>
      <c r="X42" s="193"/>
      <c r="Y42" s="15"/>
      <c r="AA42">
        <v>7</v>
      </c>
      <c r="AB42" s="487"/>
      <c r="AC42" s="90">
        <v>4</v>
      </c>
      <c r="AD42" s="97" t="s">
        <v>63</v>
      </c>
      <c r="AE42" s="39">
        <f t="shared" si="2"/>
        <v>0</v>
      </c>
      <c r="AF42" s="65">
        <f t="shared" si="3"/>
        <v>0</v>
      </c>
      <c r="AG42" s="65">
        <f t="shared" si="4"/>
        <v>0</v>
      </c>
      <c r="AH42" s="65">
        <f t="shared" si="5"/>
        <v>0</v>
      </c>
      <c r="AI42" s="104">
        <f t="shared" si="6"/>
        <v>0</v>
      </c>
      <c r="AJ42" s="115">
        <f t="shared" si="7"/>
        <v>0</v>
      </c>
      <c r="AK42" s="116">
        <f t="shared" si="8"/>
        <v>0</v>
      </c>
      <c r="AL42" s="116">
        <f t="shared" si="9"/>
        <v>0</v>
      </c>
      <c r="AM42" s="116">
        <f t="shared" si="10"/>
        <v>0</v>
      </c>
      <c r="AN42" s="117">
        <f t="shared" si="11"/>
        <v>0</v>
      </c>
      <c r="AO42" s="39">
        <f t="shared" si="12"/>
        <v>0</v>
      </c>
      <c r="AP42" s="65">
        <f t="shared" si="13"/>
        <v>0</v>
      </c>
      <c r="AQ42" s="65">
        <f t="shared" si="14"/>
        <v>0</v>
      </c>
      <c r="AR42" s="65">
        <f t="shared" si="15"/>
        <v>0</v>
      </c>
      <c r="AS42" s="65">
        <f t="shared" si="16"/>
        <v>0</v>
      </c>
    </row>
    <row r="43" spans="2:49" x14ac:dyDescent="0.25">
      <c r="B43" s="15">
        <v>41</v>
      </c>
      <c r="C43" s="8"/>
      <c r="E43" s="67"/>
      <c r="F43" s="16"/>
      <c r="G43" s="8"/>
      <c r="H43" s="8"/>
      <c r="I43" s="8"/>
      <c r="J43" s="9"/>
      <c r="K43" s="9">
        <f t="shared" si="0"/>
        <v>0</v>
      </c>
      <c r="L43" s="35">
        <f t="shared" si="1"/>
        <v>0</v>
      </c>
      <c r="M43" s="2"/>
      <c r="O43" s="19"/>
      <c r="P43" s="19"/>
      <c r="Q43" s="19"/>
      <c r="R43" s="21"/>
      <c r="S43" s="46"/>
      <c r="T43" s="44"/>
      <c r="U43" s="77"/>
      <c r="V43" s="30"/>
      <c r="W43" s="24"/>
      <c r="X43" s="193"/>
      <c r="Y43" s="15"/>
      <c r="AA43">
        <v>7</v>
      </c>
      <c r="AB43" s="487"/>
      <c r="AC43" s="91">
        <v>5</v>
      </c>
      <c r="AD43" s="100" t="s">
        <v>95</v>
      </c>
      <c r="AE43" s="39">
        <f t="shared" si="2"/>
        <v>0</v>
      </c>
      <c r="AF43" s="65">
        <f t="shared" si="3"/>
        <v>0</v>
      </c>
      <c r="AG43" s="65">
        <f t="shared" si="4"/>
        <v>0</v>
      </c>
      <c r="AH43" s="65">
        <f t="shared" si="5"/>
        <v>0</v>
      </c>
      <c r="AI43" s="104">
        <f t="shared" si="6"/>
        <v>0</v>
      </c>
      <c r="AJ43" s="115">
        <f t="shared" si="7"/>
        <v>0</v>
      </c>
      <c r="AK43" s="116">
        <f t="shared" si="8"/>
        <v>0</v>
      </c>
      <c r="AL43" s="116">
        <f t="shared" si="9"/>
        <v>0</v>
      </c>
      <c r="AM43" s="116">
        <f t="shared" si="10"/>
        <v>0</v>
      </c>
      <c r="AN43" s="117">
        <f t="shared" si="11"/>
        <v>0</v>
      </c>
      <c r="AO43" s="39">
        <f t="shared" si="12"/>
        <v>0</v>
      </c>
      <c r="AP43" s="65">
        <f t="shared" si="13"/>
        <v>0</v>
      </c>
      <c r="AQ43" s="65">
        <f t="shared" si="14"/>
        <v>0</v>
      </c>
      <c r="AR43" s="65">
        <f t="shared" si="15"/>
        <v>0</v>
      </c>
      <c r="AS43" s="65">
        <f t="shared" si="16"/>
        <v>0</v>
      </c>
    </row>
    <row r="44" spans="2:49" ht="14.25" thickBot="1" x14ac:dyDescent="0.3">
      <c r="B44" s="15">
        <v>42</v>
      </c>
      <c r="C44" s="8"/>
      <c r="E44" s="67"/>
      <c r="F44" s="16"/>
      <c r="G44" s="8"/>
      <c r="H44" s="8"/>
      <c r="I44" s="8"/>
      <c r="J44" s="9"/>
      <c r="K44" s="9">
        <f t="shared" si="0"/>
        <v>0</v>
      </c>
      <c r="L44" s="35">
        <f t="shared" si="1"/>
        <v>0</v>
      </c>
      <c r="M44" s="2"/>
      <c r="O44" s="19"/>
      <c r="P44" s="19"/>
      <c r="Q44" s="19"/>
      <c r="R44" s="21"/>
      <c r="S44" s="46"/>
      <c r="T44" s="44"/>
      <c r="U44" s="77"/>
      <c r="V44" s="30"/>
      <c r="W44" s="24"/>
      <c r="X44" s="193"/>
      <c r="Y44" s="15"/>
      <c r="AA44">
        <v>7</v>
      </c>
      <c r="AB44" s="488"/>
      <c r="AC44" s="92" t="s">
        <v>3</v>
      </c>
      <c r="AD44" s="101"/>
      <c r="AE44" s="94">
        <f t="shared" ref="AE44:AS44" si="27">SUM(AE39:AE43)</f>
        <v>0</v>
      </c>
      <c r="AF44" s="94">
        <f t="shared" si="27"/>
        <v>0</v>
      </c>
      <c r="AG44" s="94">
        <f t="shared" si="27"/>
        <v>0</v>
      </c>
      <c r="AH44" s="94">
        <f t="shared" si="27"/>
        <v>0</v>
      </c>
      <c r="AI44" s="105">
        <f t="shared" si="27"/>
        <v>0</v>
      </c>
      <c r="AJ44" s="118">
        <f t="shared" si="27"/>
        <v>0</v>
      </c>
      <c r="AK44" s="119">
        <f t="shared" si="27"/>
        <v>0</v>
      </c>
      <c r="AL44" s="119">
        <f t="shared" si="27"/>
        <v>0</v>
      </c>
      <c r="AM44" s="119">
        <f t="shared" si="27"/>
        <v>0</v>
      </c>
      <c r="AN44" s="120">
        <f t="shared" si="27"/>
        <v>0</v>
      </c>
      <c r="AO44" s="94">
        <f t="shared" si="27"/>
        <v>0</v>
      </c>
      <c r="AP44" s="94">
        <f t="shared" si="27"/>
        <v>0</v>
      </c>
      <c r="AQ44" s="94">
        <f t="shared" si="27"/>
        <v>0</v>
      </c>
      <c r="AR44" s="94">
        <f t="shared" si="27"/>
        <v>0</v>
      </c>
      <c r="AS44" s="94">
        <f t="shared" si="27"/>
        <v>0</v>
      </c>
    </row>
    <row r="45" spans="2:49" x14ac:dyDescent="0.25">
      <c r="B45" s="15">
        <v>43</v>
      </c>
      <c r="C45" s="8"/>
      <c r="E45" s="67"/>
      <c r="F45" s="16"/>
      <c r="G45" s="8"/>
      <c r="H45" s="8"/>
      <c r="I45" s="8"/>
      <c r="J45" s="9"/>
      <c r="K45" s="9">
        <f t="shared" si="0"/>
        <v>0</v>
      </c>
      <c r="L45" s="35">
        <f t="shared" si="1"/>
        <v>0</v>
      </c>
      <c r="M45" s="2"/>
      <c r="O45" s="19"/>
      <c r="P45" s="19"/>
      <c r="Q45" s="19"/>
      <c r="R45" s="21"/>
      <c r="S45" s="46"/>
      <c r="T45" s="44"/>
      <c r="U45" s="77"/>
      <c r="V45" s="30"/>
      <c r="W45" s="24"/>
      <c r="X45" s="193"/>
      <c r="Y45" s="15"/>
      <c r="AA45">
        <v>8</v>
      </c>
      <c r="AB45" s="486">
        <v>8</v>
      </c>
      <c r="AC45" s="89">
        <v>1</v>
      </c>
      <c r="AD45" s="95" t="s">
        <v>96</v>
      </c>
      <c r="AE45" s="39">
        <f t="shared" si="2"/>
        <v>0</v>
      </c>
      <c r="AF45" s="65">
        <f t="shared" si="3"/>
        <v>0</v>
      </c>
      <c r="AG45" s="65">
        <f t="shared" si="4"/>
        <v>0</v>
      </c>
      <c r="AH45" s="65">
        <f t="shared" si="5"/>
        <v>0</v>
      </c>
      <c r="AI45" s="104">
        <f t="shared" si="6"/>
        <v>0</v>
      </c>
      <c r="AJ45" s="115">
        <f t="shared" si="7"/>
        <v>0</v>
      </c>
      <c r="AK45" s="116">
        <f t="shared" si="8"/>
        <v>0</v>
      </c>
      <c r="AL45" s="116">
        <f t="shared" si="9"/>
        <v>0</v>
      </c>
      <c r="AM45" s="116">
        <f t="shared" si="10"/>
        <v>0</v>
      </c>
      <c r="AN45" s="117">
        <f t="shared" si="11"/>
        <v>0</v>
      </c>
      <c r="AO45" s="39">
        <f t="shared" si="12"/>
        <v>0</v>
      </c>
      <c r="AP45" s="65">
        <f t="shared" si="13"/>
        <v>0</v>
      </c>
      <c r="AQ45" s="65">
        <f t="shared" si="14"/>
        <v>0</v>
      </c>
      <c r="AR45" s="65">
        <f t="shared" si="15"/>
        <v>0</v>
      </c>
      <c r="AS45" s="65">
        <f t="shared" si="16"/>
        <v>0</v>
      </c>
    </row>
    <row r="46" spans="2:49" x14ac:dyDescent="0.25">
      <c r="B46" s="15">
        <v>44</v>
      </c>
      <c r="C46" s="8"/>
      <c r="E46" s="67"/>
      <c r="F46" s="16"/>
      <c r="G46" s="8"/>
      <c r="H46" s="8"/>
      <c r="I46" s="8"/>
      <c r="J46" s="9"/>
      <c r="K46" s="9">
        <f t="shared" si="0"/>
        <v>0</v>
      </c>
      <c r="L46" s="35">
        <f t="shared" si="1"/>
        <v>0</v>
      </c>
      <c r="M46" s="2"/>
      <c r="O46" s="19"/>
      <c r="P46" s="19"/>
      <c r="Q46" s="19"/>
      <c r="R46" s="21"/>
      <c r="S46" s="46"/>
      <c r="T46" s="44"/>
      <c r="U46" s="77"/>
      <c r="V46" s="24"/>
      <c r="W46" s="24"/>
      <c r="X46" s="193"/>
      <c r="Y46" s="15"/>
      <c r="AA46">
        <v>8</v>
      </c>
      <c r="AB46" s="487"/>
      <c r="AC46" s="90">
        <v>2</v>
      </c>
      <c r="AD46" s="97" t="s">
        <v>97</v>
      </c>
      <c r="AE46" s="39">
        <f t="shared" si="2"/>
        <v>0</v>
      </c>
      <c r="AF46" s="65">
        <f t="shared" si="3"/>
        <v>0</v>
      </c>
      <c r="AG46" s="65">
        <f t="shared" si="4"/>
        <v>0</v>
      </c>
      <c r="AH46" s="65">
        <f t="shared" si="5"/>
        <v>0</v>
      </c>
      <c r="AI46" s="104">
        <f t="shared" si="6"/>
        <v>0</v>
      </c>
      <c r="AJ46" s="115">
        <f t="shared" si="7"/>
        <v>0</v>
      </c>
      <c r="AK46" s="116">
        <f t="shared" si="8"/>
        <v>0</v>
      </c>
      <c r="AL46" s="116">
        <f t="shared" si="9"/>
        <v>0</v>
      </c>
      <c r="AM46" s="116">
        <f t="shared" si="10"/>
        <v>0</v>
      </c>
      <c r="AN46" s="117">
        <f t="shared" si="11"/>
        <v>0</v>
      </c>
      <c r="AO46" s="39">
        <f t="shared" si="12"/>
        <v>0</v>
      </c>
      <c r="AP46" s="65">
        <f t="shared" si="13"/>
        <v>0</v>
      </c>
      <c r="AQ46" s="65">
        <f t="shared" si="14"/>
        <v>0</v>
      </c>
      <c r="AR46" s="65">
        <f t="shared" si="15"/>
        <v>0</v>
      </c>
      <c r="AS46" s="65">
        <f t="shared" si="16"/>
        <v>0</v>
      </c>
    </row>
    <row r="47" spans="2:49" x14ac:dyDescent="0.25">
      <c r="B47" s="15">
        <v>45</v>
      </c>
      <c r="C47" s="8"/>
      <c r="E47" s="67"/>
      <c r="F47" s="16"/>
      <c r="G47" s="8"/>
      <c r="H47" s="8"/>
      <c r="I47" s="8"/>
      <c r="J47" s="9"/>
      <c r="K47" s="9">
        <f t="shared" si="0"/>
        <v>0</v>
      </c>
      <c r="L47" s="35">
        <f t="shared" si="1"/>
        <v>0</v>
      </c>
      <c r="M47" s="2"/>
      <c r="O47" s="19"/>
      <c r="P47" s="19"/>
      <c r="Q47" s="19"/>
      <c r="R47" s="21"/>
      <c r="S47" s="46"/>
      <c r="T47" s="44"/>
      <c r="U47" s="77"/>
      <c r="V47" s="24"/>
      <c r="W47" s="24"/>
      <c r="X47" s="193"/>
      <c r="Y47" s="15"/>
      <c r="AA47">
        <v>8</v>
      </c>
      <c r="AB47" s="487"/>
      <c r="AC47" s="90">
        <v>3</v>
      </c>
      <c r="AD47" s="97" t="s">
        <v>98</v>
      </c>
      <c r="AE47" s="39">
        <f t="shared" si="2"/>
        <v>0</v>
      </c>
      <c r="AF47" s="65">
        <f t="shared" si="3"/>
        <v>0</v>
      </c>
      <c r="AG47" s="65">
        <f t="shared" si="4"/>
        <v>0</v>
      </c>
      <c r="AH47" s="65">
        <f t="shared" si="5"/>
        <v>0</v>
      </c>
      <c r="AI47" s="104">
        <f t="shared" si="6"/>
        <v>0</v>
      </c>
      <c r="AJ47" s="115">
        <f t="shared" si="7"/>
        <v>0</v>
      </c>
      <c r="AK47" s="116">
        <f t="shared" si="8"/>
        <v>0</v>
      </c>
      <c r="AL47" s="116">
        <f t="shared" si="9"/>
        <v>0</v>
      </c>
      <c r="AM47" s="116">
        <f t="shared" si="10"/>
        <v>0</v>
      </c>
      <c r="AN47" s="117">
        <f t="shared" si="11"/>
        <v>0</v>
      </c>
      <c r="AO47" s="39">
        <f t="shared" si="12"/>
        <v>0</v>
      </c>
      <c r="AP47" s="65">
        <f t="shared" si="13"/>
        <v>0</v>
      </c>
      <c r="AQ47" s="65">
        <f t="shared" si="14"/>
        <v>0</v>
      </c>
      <c r="AR47" s="65">
        <f t="shared" si="15"/>
        <v>0</v>
      </c>
      <c r="AS47" s="65">
        <f t="shared" si="16"/>
        <v>0</v>
      </c>
    </row>
    <row r="48" spans="2:49" x14ac:dyDescent="0.25">
      <c r="B48" s="15">
        <v>46</v>
      </c>
      <c r="C48" s="8"/>
      <c r="E48" s="67"/>
      <c r="F48" s="16"/>
      <c r="G48" s="8"/>
      <c r="H48" s="8"/>
      <c r="I48" s="8"/>
      <c r="J48" s="9"/>
      <c r="K48" s="9">
        <f t="shared" si="0"/>
        <v>0</v>
      </c>
      <c r="L48" s="35">
        <f t="shared" si="1"/>
        <v>0</v>
      </c>
      <c r="M48" s="2"/>
      <c r="O48" s="19"/>
      <c r="P48" s="19"/>
      <c r="Q48" s="19"/>
      <c r="R48" s="21"/>
      <c r="S48" s="46"/>
      <c r="T48" s="44"/>
      <c r="U48" s="77"/>
      <c r="V48" s="24"/>
      <c r="W48" s="24"/>
      <c r="X48" s="193"/>
      <c r="Y48" s="15"/>
      <c r="AA48">
        <v>8</v>
      </c>
      <c r="AB48" s="487"/>
      <c r="AC48" s="90">
        <v>4</v>
      </c>
      <c r="AD48" s="97" t="s">
        <v>99</v>
      </c>
      <c r="AE48" s="39">
        <f t="shared" si="2"/>
        <v>0</v>
      </c>
      <c r="AF48" s="65">
        <f t="shared" si="3"/>
        <v>0</v>
      </c>
      <c r="AG48" s="65">
        <f t="shared" si="4"/>
        <v>0</v>
      </c>
      <c r="AH48" s="65">
        <f t="shared" si="5"/>
        <v>0</v>
      </c>
      <c r="AI48" s="104">
        <f t="shared" si="6"/>
        <v>0</v>
      </c>
      <c r="AJ48" s="115">
        <f t="shared" si="7"/>
        <v>0</v>
      </c>
      <c r="AK48" s="116">
        <f t="shared" si="8"/>
        <v>0</v>
      </c>
      <c r="AL48" s="116">
        <f t="shared" si="9"/>
        <v>0</v>
      </c>
      <c r="AM48" s="116">
        <f t="shared" si="10"/>
        <v>0</v>
      </c>
      <c r="AN48" s="117">
        <f t="shared" si="11"/>
        <v>0</v>
      </c>
      <c r="AO48" s="39">
        <f t="shared" si="12"/>
        <v>0</v>
      </c>
      <c r="AP48" s="65">
        <f t="shared" si="13"/>
        <v>0</v>
      </c>
      <c r="AQ48" s="65">
        <f t="shared" si="14"/>
        <v>0</v>
      </c>
      <c r="AR48" s="65">
        <f t="shared" si="15"/>
        <v>0</v>
      </c>
      <c r="AS48" s="65">
        <f t="shared" si="16"/>
        <v>0</v>
      </c>
    </row>
    <row r="49" spans="2:45" x14ac:dyDescent="0.25">
      <c r="B49" s="15">
        <v>47</v>
      </c>
      <c r="C49" s="8"/>
      <c r="E49" s="67"/>
      <c r="F49" s="16"/>
      <c r="G49" s="8"/>
      <c r="H49" s="8"/>
      <c r="I49" s="8"/>
      <c r="K49" s="9">
        <f t="shared" si="0"/>
        <v>0</v>
      </c>
      <c r="L49" s="35">
        <f t="shared" si="1"/>
        <v>0</v>
      </c>
      <c r="M49" s="2"/>
      <c r="O49" s="19"/>
      <c r="P49" s="19"/>
      <c r="Q49" s="19"/>
      <c r="R49" s="21"/>
      <c r="S49" s="46"/>
      <c r="T49" s="44"/>
      <c r="U49" s="77"/>
      <c r="V49" s="30"/>
      <c r="W49" s="24"/>
      <c r="X49" s="193"/>
      <c r="Y49" s="15"/>
      <c r="AA49">
        <v>8</v>
      </c>
      <c r="AB49" s="487"/>
      <c r="AC49" s="91">
        <v>5</v>
      </c>
      <c r="AD49" s="100"/>
      <c r="AE49" s="39">
        <f t="shared" si="2"/>
        <v>0</v>
      </c>
      <c r="AF49" s="65">
        <f t="shared" si="3"/>
        <v>0</v>
      </c>
      <c r="AG49" s="65">
        <f t="shared" si="4"/>
        <v>0</v>
      </c>
      <c r="AH49" s="65">
        <f t="shared" si="5"/>
        <v>0</v>
      </c>
      <c r="AI49" s="104">
        <f t="shared" si="6"/>
        <v>0</v>
      </c>
      <c r="AJ49" s="115">
        <f t="shared" si="7"/>
        <v>0</v>
      </c>
      <c r="AK49" s="116">
        <f t="shared" si="8"/>
        <v>0</v>
      </c>
      <c r="AL49" s="116">
        <f t="shared" si="9"/>
        <v>0</v>
      </c>
      <c r="AM49" s="116">
        <f t="shared" si="10"/>
        <v>0</v>
      </c>
      <c r="AN49" s="117">
        <f t="shared" si="11"/>
        <v>0</v>
      </c>
      <c r="AO49" s="39">
        <f t="shared" si="12"/>
        <v>0</v>
      </c>
      <c r="AP49" s="65">
        <f t="shared" si="13"/>
        <v>0</v>
      </c>
      <c r="AQ49" s="65">
        <f t="shared" si="14"/>
        <v>0</v>
      </c>
      <c r="AR49" s="65">
        <f t="shared" si="15"/>
        <v>0</v>
      </c>
      <c r="AS49" s="65">
        <f t="shared" si="16"/>
        <v>0</v>
      </c>
    </row>
    <row r="50" spans="2:45" ht="14.25" thickBot="1" x14ac:dyDescent="0.3">
      <c r="B50" s="15">
        <v>48</v>
      </c>
      <c r="C50" s="8"/>
      <c r="E50" s="67"/>
      <c r="F50" s="16"/>
      <c r="G50" s="8"/>
      <c r="H50" s="8"/>
      <c r="I50" s="8"/>
      <c r="J50" s="9"/>
      <c r="K50" s="9">
        <f t="shared" si="0"/>
        <v>0</v>
      </c>
      <c r="L50" s="35">
        <f t="shared" si="1"/>
        <v>0</v>
      </c>
      <c r="M50" s="2"/>
      <c r="O50" s="19"/>
      <c r="P50" s="19"/>
      <c r="Q50" s="19"/>
      <c r="R50" s="21"/>
      <c r="S50" s="46"/>
      <c r="T50" s="44"/>
      <c r="U50" s="77"/>
      <c r="V50" s="30"/>
      <c r="W50" s="24"/>
      <c r="X50" s="193"/>
      <c r="Y50" s="15"/>
      <c r="AA50">
        <v>8</v>
      </c>
      <c r="AB50" s="488"/>
      <c r="AC50" s="92" t="s">
        <v>3</v>
      </c>
      <c r="AD50" s="101"/>
      <c r="AE50" s="94">
        <f t="shared" ref="AE50:AS50" si="28">SUM(AE45:AE49)</f>
        <v>0</v>
      </c>
      <c r="AF50" s="94">
        <f t="shared" si="28"/>
        <v>0</v>
      </c>
      <c r="AG50" s="94">
        <f t="shared" si="28"/>
        <v>0</v>
      </c>
      <c r="AH50" s="94">
        <f t="shared" si="28"/>
        <v>0</v>
      </c>
      <c r="AI50" s="105">
        <f t="shared" si="28"/>
        <v>0</v>
      </c>
      <c r="AJ50" s="118">
        <f t="shared" si="28"/>
        <v>0</v>
      </c>
      <c r="AK50" s="119">
        <f t="shared" si="28"/>
        <v>0</v>
      </c>
      <c r="AL50" s="119">
        <f t="shared" si="28"/>
        <v>0</v>
      </c>
      <c r="AM50" s="119">
        <f t="shared" si="28"/>
        <v>0</v>
      </c>
      <c r="AN50" s="120">
        <f t="shared" si="28"/>
        <v>0</v>
      </c>
      <c r="AO50" s="94">
        <f t="shared" si="28"/>
        <v>0</v>
      </c>
      <c r="AP50" s="94">
        <f t="shared" si="28"/>
        <v>0</v>
      </c>
      <c r="AQ50" s="94">
        <f t="shared" si="28"/>
        <v>0</v>
      </c>
      <c r="AR50" s="94">
        <f t="shared" si="28"/>
        <v>0</v>
      </c>
      <c r="AS50" s="94">
        <f t="shared" si="28"/>
        <v>0</v>
      </c>
    </row>
    <row r="51" spans="2:45" x14ac:dyDescent="0.25">
      <c r="B51" s="15">
        <v>49</v>
      </c>
      <c r="C51" s="8"/>
      <c r="E51" s="67"/>
      <c r="F51" s="16"/>
      <c r="G51" s="8"/>
      <c r="H51" s="8"/>
      <c r="I51" s="8"/>
      <c r="J51" s="9"/>
      <c r="K51" s="9">
        <f t="shared" si="0"/>
        <v>0</v>
      </c>
      <c r="L51" s="35">
        <f t="shared" si="1"/>
        <v>0</v>
      </c>
      <c r="M51" s="2"/>
      <c r="O51" s="19"/>
      <c r="P51" s="19"/>
      <c r="Q51" s="19"/>
      <c r="R51" s="21"/>
      <c r="S51" s="46"/>
      <c r="T51" s="44"/>
      <c r="U51" s="77"/>
      <c r="V51" s="30"/>
      <c r="W51" s="24"/>
      <c r="X51" s="193"/>
      <c r="Y51" s="15"/>
      <c r="AA51">
        <v>9</v>
      </c>
      <c r="AB51" s="486">
        <v>9</v>
      </c>
      <c r="AC51" s="89">
        <v>1</v>
      </c>
      <c r="AD51" s="95" t="s">
        <v>100</v>
      </c>
      <c r="AE51" s="39">
        <f t="shared" si="2"/>
        <v>0</v>
      </c>
      <c r="AF51" s="65">
        <f t="shared" si="3"/>
        <v>0</v>
      </c>
      <c r="AG51" s="65">
        <f t="shared" si="4"/>
        <v>0</v>
      </c>
      <c r="AH51" s="65">
        <f t="shared" si="5"/>
        <v>0</v>
      </c>
      <c r="AI51" s="104">
        <f t="shared" si="6"/>
        <v>0</v>
      </c>
      <c r="AJ51" s="115">
        <f t="shared" si="7"/>
        <v>0</v>
      </c>
      <c r="AK51" s="116">
        <f t="shared" si="8"/>
        <v>0</v>
      </c>
      <c r="AL51" s="116">
        <f t="shared" si="9"/>
        <v>0</v>
      </c>
      <c r="AM51" s="116">
        <f t="shared" si="10"/>
        <v>0</v>
      </c>
      <c r="AN51" s="117">
        <f t="shared" si="11"/>
        <v>0</v>
      </c>
      <c r="AO51" s="39">
        <f t="shared" si="12"/>
        <v>0</v>
      </c>
      <c r="AP51" s="65">
        <f t="shared" si="13"/>
        <v>0</v>
      </c>
      <c r="AQ51" s="65">
        <f t="shared" si="14"/>
        <v>0</v>
      </c>
      <c r="AR51" s="65">
        <f t="shared" si="15"/>
        <v>0</v>
      </c>
      <c r="AS51" s="65">
        <f t="shared" si="16"/>
        <v>0</v>
      </c>
    </row>
    <row r="52" spans="2:45" x14ac:dyDescent="0.25">
      <c r="B52" s="15">
        <v>50</v>
      </c>
      <c r="C52" s="8"/>
      <c r="E52" s="67"/>
      <c r="F52" s="16"/>
      <c r="G52" s="8"/>
      <c r="H52" s="8"/>
      <c r="I52" s="8"/>
      <c r="J52" s="9"/>
      <c r="K52" s="9">
        <f t="shared" si="0"/>
        <v>0</v>
      </c>
      <c r="L52" s="35">
        <f t="shared" si="1"/>
        <v>0</v>
      </c>
      <c r="M52" s="2"/>
      <c r="O52" s="19"/>
      <c r="P52" s="19"/>
      <c r="Q52" s="19"/>
      <c r="R52" s="21"/>
      <c r="S52" s="46"/>
      <c r="T52" s="44"/>
      <c r="U52" s="77"/>
      <c r="V52" s="30"/>
      <c r="W52" s="24"/>
      <c r="X52" s="193"/>
      <c r="Y52" s="15"/>
      <c r="AA52">
        <v>9</v>
      </c>
      <c r="AB52" s="487"/>
      <c r="AC52" s="90">
        <v>2</v>
      </c>
      <c r="AD52" s="97" t="s">
        <v>101</v>
      </c>
      <c r="AE52" s="39">
        <f t="shared" si="2"/>
        <v>0</v>
      </c>
      <c r="AF52" s="65">
        <f t="shared" si="3"/>
        <v>0</v>
      </c>
      <c r="AG52" s="65">
        <f t="shared" si="4"/>
        <v>0</v>
      </c>
      <c r="AH52" s="65">
        <f t="shared" si="5"/>
        <v>0</v>
      </c>
      <c r="AI52" s="104">
        <f t="shared" si="6"/>
        <v>0</v>
      </c>
      <c r="AJ52" s="115">
        <f t="shared" si="7"/>
        <v>0</v>
      </c>
      <c r="AK52" s="116">
        <f t="shared" si="8"/>
        <v>0</v>
      </c>
      <c r="AL52" s="116">
        <f t="shared" si="9"/>
        <v>0</v>
      </c>
      <c r="AM52" s="116">
        <f t="shared" si="10"/>
        <v>0</v>
      </c>
      <c r="AN52" s="117">
        <f t="shared" si="11"/>
        <v>0</v>
      </c>
      <c r="AO52" s="39">
        <f t="shared" si="12"/>
        <v>0</v>
      </c>
      <c r="AP52" s="65">
        <f t="shared" si="13"/>
        <v>0</v>
      </c>
      <c r="AQ52" s="65">
        <f t="shared" si="14"/>
        <v>0</v>
      </c>
      <c r="AR52" s="65">
        <f t="shared" si="15"/>
        <v>0</v>
      </c>
      <c r="AS52" s="65">
        <f t="shared" si="16"/>
        <v>0</v>
      </c>
    </row>
    <row r="53" spans="2:45" x14ac:dyDescent="0.25">
      <c r="B53" s="15">
        <v>51</v>
      </c>
      <c r="C53" s="8"/>
      <c r="E53" s="67"/>
      <c r="F53" s="16"/>
      <c r="G53" s="8"/>
      <c r="H53" s="8"/>
      <c r="I53" s="8"/>
      <c r="J53" s="9"/>
      <c r="K53" s="9">
        <f t="shared" si="0"/>
        <v>0</v>
      </c>
      <c r="L53" s="35">
        <f t="shared" si="1"/>
        <v>0</v>
      </c>
      <c r="M53" s="2"/>
      <c r="O53" s="19"/>
      <c r="P53" s="19"/>
      <c r="Q53" s="19"/>
      <c r="R53" s="21"/>
      <c r="S53" s="46"/>
      <c r="T53" s="44"/>
      <c r="U53" s="77"/>
      <c r="V53" s="30"/>
      <c r="W53" s="24"/>
      <c r="X53" s="193"/>
      <c r="Y53" s="15"/>
      <c r="AA53">
        <v>9</v>
      </c>
      <c r="AB53" s="487"/>
      <c r="AC53" s="90">
        <v>3</v>
      </c>
      <c r="AD53" s="97" t="s">
        <v>102</v>
      </c>
      <c r="AE53" s="39">
        <f t="shared" si="2"/>
        <v>0</v>
      </c>
      <c r="AF53" s="65">
        <f t="shared" si="3"/>
        <v>0</v>
      </c>
      <c r="AG53" s="65">
        <f t="shared" si="4"/>
        <v>0</v>
      </c>
      <c r="AH53" s="65">
        <f t="shared" si="5"/>
        <v>0</v>
      </c>
      <c r="AI53" s="104">
        <f t="shared" si="6"/>
        <v>0</v>
      </c>
      <c r="AJ53" s="115">
        <f t="shared" si="7"/>
        <v>0</v>
      </c>
      <c r="AK53" s="116">
        <f t="shared" si="8"/>
        <v>0</v>
      </c>
      <c r="AL53" s="116">
        <f t="shared" si="9"/>
        <v>0</v>
      </c>
      <c r="AM53" s="116">
        <f t="shared" si="10"/>
        <v>0</v>
      </c>
      <c r="AN53" s="117">
        <f t="shared" si="11"/>
        <v>0</v>
      </c>
      <c r="AO53" s="39">
        <f t="shared" si="12"/>
        <v>0</v>
      </c>
      <c r="AP53" s="65">
        <f t="shared" si="13"/>
        <v>0</v>
      </c>
      <c r="AQ53" s="65">
        <f t="shared" si="14"/>
        <v>0</v>
      </c>
      <c r="AR53" s="65">
        <f t="shared" si="15"/>
        <v>0</v>
      </c>
      <c r="AS53" s="65">
        <f t="shared" si="16"/>
        <v>0</v>
      </c>
    </row>
    <row r="54" spans="2:45" x14ac:dyDescent="0.25">
      <c r="B54" s="15">
        <v>52</v>
      </c>
      <c r="C54" s="8"/>
      <c r="E54" s="67"/>
      <c r="F54" s="16"/>
      <c r="G54" s="8"/>
      <c r="H54" s="8"/>
      <c r="I54" s="8"/>
      <c r="J54" s="9"/>
      <c r="K54" s="9">
        <f t="shared" si="0"/>
        <v>0</v>
      </c>
      <c r="L54" s="35">
        <f t="shared" si="1"/>
        <v>0</v>
      </c>
      <c r="M54" s="2"/>
      <c r="O54" s="19"/>
      <c r="P54" s="19"/>
      <c r="Q54" s="19"/>
      <c r="R54" s="21"/>
      <c r="S54" s="46"/>
      <c r="T54" s="44"/>
      <c r="U54" s="77"/>
      <c r="V54" s="30"/>
      <c r="W54" s="24"/>
      <c r="X54" s="193"/>
      <c r="Y54" s="15"/>
      <c r="AA54">
        <v>9</v>
      </c>
      <c r="AB54" s="487"/>
      <c r="AC54" s="90">
        <v>4</v>
      </c>
      <c r="AD54" s="97" t="s">
        <v>103</v>
      </c>
      <c r="AE54" s="39">
        <f t="shared" si="2"/>
        <v>0</v>
      </c>
      <c r="AF54" s="65">
        <f t="shared" si="3"/>
        <v>0</v>
      </c>
      <c r="AG54" s="65">
        <f t="shared" si="4"/>
        <v>0</v>
      </c>
      <c r="AH54" s="65">
        <f t="shared" si="5"/>
        <v>0</v>
      </c>
      <c r="AI54" s="104">
        <f t="shared" si="6"/>
        <v>0</v>
      </c>
      <c r="AJ54" s="115">
        <f t="shared" si="7"/>
        <v>0</v>
      </c>
      <c r="AK54" s="116">
        <f t="shared" si="8"/>
        <v>0</v>
      </c>
      <c r="AL54" s="116">
        <f t="shared" si="9"/>
        <v>0</v>
      </c>
      <c r="AM54" s="116">
        <f t="shared" si="10"/>
        <v>0</v>
      </c>
      <c r="AN54" s="117">
        <f t="shared" si="11"/>
        <v>0</v>
      </c>
      <c r="AO54" s="39">
        <f t="shared" si="12"/>
        <v>0</v>
      </c>
      <c r="AP54" s="65">
        <f t="shared" si="13"/>
        <v>0</v>
      </c>
      <c r="AQ54" s="65">
        <f t="shared" si="14"/>
        <v>0</v>
      </c>
      <c r="AR54" s="65">
        <f t="shared" si="15"/>
        <v>0</v>
      </c>
      <c r="AS54" s="65">
        <f t="shared" si="16"/>
        <v>0</v>
      </c>
    </row>
    <row r="55" spans="2:45" x14ac:dyDescent="0.25">
      <c r="B55" s="15">
        <v>53</v>
      </c>
      <c r="C55" s="8"/>
      <c r="E55" s="67"/>
      <c r="F55" s="16"/>
      <c r="G55" s="8"/>
      <c r="H55" s="8"/>
      <c r="I55" s="8"/>
      <c r="J55" s="9"/>
      <c r="K55" s="9">
        <f t="shared" si="0"/>
        <v>0</v>
      </c>
      <c r="L55" s="35">
        <f t="shared" si="1"/>
        <v>0</v>
      </c>
      <c r="M55" s="2"/>
      <c r="O55" s="19"/>
      <c r="P55" s="19"/>
      <c r="Q55" s="19"/>
      <c r="R55" s="21"/>
      <c r="S55" s="46"/>
      <c r="T55" s="44"/>
      <c r="U55" s="77"/>
      <c r="V55" s="24"/>
      <c r="W55" s="24"/>
      <c r="X55" s="193"/>
      <c r="Y55" s="15"/>
      <c r="AA55">
        <v>9</v>
      </c>
      <c r="AB55" s="487"/>
      <c r="AC55" s="91">
        <v>5</v>
      </c>
      <c r="AD55" s="100"/>
      <c r="AE55" s="39">
        <f t="shared" si="2"/>
        <v>0</v>
      </c>
      <c r="AF55" s="65">
        <f t="shared" si="3"/>
        <v>0</v>
      </c>
      <c r="AG55" s="65">
        <f t="shared" si="4"/>
        <v>0</v>
      </c>
      <c r="AH55" s="65">
        <f t="shared" si="5"/>
        <v>0</v>
      </c>
      <c r="AI55" s="104">
        <f t="shared" si="6"/>
        <v>0</v>
      </c>
      <c r="AJ55" s="115">
        <f t="shared" si="7"/>
        <v>0</v>
      </c>
      <c r="AK55" s="116">
        <f t="shared" si="8"/>
        <v>0</v>
      </c>
      <c r="AL55" s="116">
        <f t="shared" si="9"/>
        <v>0</v>
      </c>
      <c r="AM55" s="116">
        <f t="shared" si="10"/>
        <v>0</v>
      </c>
      <c r="AN55" s="117">
        <f t="shared" si="11"/>
        <v>0</v>
      </c>
      <c r="AO55" s="39">
        <f t="shared" si="12"/>
        <v>0</v>
      </c>
      <c r="AP55" s="65">
        <f t="shared" si="13"/>
        <v>0</v>
      </c>
      <c r="AQ55" s="65">
        <f t="shared" si="14"/>
        <v>0</v>
      </c>
      <c r="AR55" s="65">
        <f t="shared" si="15"/>
        <v>0</v>
      </c>
      <c r="AS55" s="65">
        <f t="shared" si="16"/>
        <v>0</v>
      </c>
    </row>
    <row r="56" spans="2:45" ht="14.25" thickBot="1" x14ac:dyDescent="0.3">
      <c r="B56" s="15">
        <v>54</v>
      </c>
      <c r="C56" s="8"/>
      <c r="E56" s="67"/>
      <c r="F56" s="16"/>
      <c r="G56" s="8"/>
      <c r="H56" s="8"/>
      <c r="I56" s="8"/>
      <c r="J56" s="9"/>
      <c r="K56" s="9">
        <f t="shared" si="0"/>
        <v>0</v>
      </c>
      <c r="L56" s="35">
        <f t="shared" si="1"/>
        <v>0</v>
      </c>
      <c r="O56" s="19"/>
      <c r="P56" s="19"/>
      <c r="Q56" s="19"/>
      <c r="R56" s="21"/>
      <c r="S56" s="46"/>
      <c r="T56" s="44"/>
      <c r="U56" s="76"/>
      <c r="V56" s="24"/>
      <c r="W56" s="24"/>
      <c r="X56" s="193"/>
      <c r="Y56" s="15"/>
      <c r="AA56">
        <v>9</v>
      </c>
      <c r="AB56" s="488"/>
      <c r="AC56" s="92" t="s">
        <v>3</v>
      </c>
      <c r="AD56" s="101"/>
      <c r="AE56" s="94">
        <f t="shared" ref="AE56:AS56" si="29">SUM(AE51:AE55)</f>
        <v>0</v>
      </c>
      <c r="AF56" s="94">
        <f t="shared" si="29"/>
        <v>0</v>
      </c>
      <c r="AG56" s="94">
        <f t="shared" si="29"/>
        <v>0</v>
      </c>
      <c r="AH56" s="94">
        <f t="shared" si="29"/>
        <v>0</v>
      </c>
      <c r="AI56" s="105">
        <f t="shared" si="29"/>
        <v>0</v>
      </c>
      <c r="AJ56" s="118">
        <f t="shared" si="29"/>
        <v>0</v>
      </c>
      <c r="AK56" s="119">
        <f t="shared" si="29"/>
        <v>0</v>
      </c>
      <c r="AL56" s="119">
        <f t="shared" si="29"/>
        <v>0</v>
      </c>
      <c r="AM56" s="119">
        <f t="shared" si="29"/>
        <v>0</v>
      </c>
      <c r="AN56" s="120">
        <f t="shared" si="29"/>
        <v>0</v>
      </c>
      <c r="AO56" s="94">
        <f t="shared" si="29"/>
        <v>0</v>
      </c>
      <c r="AP56" s="94">
        <f t="shared" si="29"/>
        <v>0</v>
      </c>
      <c r="AQ56" s="94">
        <f t="shared" si="29"/>
        <v>0</v>
      </c>
      <c r="AR56" s="94">
        <f t="shared" si="29"/>
        <v>0</v>
      </c>
      <c r="AS56" s="94">
        <f t="shared" si="29"/>
        <v>0</v>
      </c>
    </row>
    <row r="57" spans="2:45" x14ac:dyDescent="0.25">
      <c r="B57" s="15">
        <v>55</v>
      </c>
      <c r="C57" s="8"/>
      <c r="E57" s="67"/>
      <c r="F57" s="16"/>
      <c r="G57" s="8"/>
      <c r="H57" s="8"/>
      <c r="I57" s="8"/>
      <c r="J57" s="9"/>
      <c r="K57" s="9">
        <f t="shared" si="0"/>
        <v>0</v>
      </c>
      <c r="L57" s="35">
        <f t="shared" si="1"/>
        <v>0</v>
      </c>
      <c r="M57" s="2"/>
      <c r="O57" s="19"/>
      <c r="P57" s="19"/>
      <c r="Q57" s="19"/>
      <c r="R57" s="21"/>
      <c r="S57" s="46"/>
      <c r="T57" s="44"/>
      <c r="U57" s="77"/>
      <c r="V57" s="30"/>
      <c r="W57" s="24"/>
      <c r="X57" s="193"/>
      <c r="Y57" s="15"/>
      <c r="AA57">
        <v>10</v>
      </c>
      <c r="AB57" s="486">
        <v>10</v>
      </c>
      <c r="AC57" s="89">
        <v>1</v>
      </c>
      <c r="AD57" s="95" t="s">
        <v>104</v>
      </c>
      <c r="AE57" s="39">
        <f t="shared" si="2"/>
        <v>0</v>
      </c>
      <c r="AF57" s="65">
        <f t="shared" si="3"/>
        <v>0</v>
      </c>
      <c r="AG57" s="65">
        <f t="shared" si="4"/>
        <v>0</v>
      </c>
      <c r="AH57" s="65">
        <f t="shared" si="5"/>
        <v>0</v>
      </c>
      <c r="AI57" s="104">
        <f t="shared" si="6"/>
        <v>0</v>
      </c>
      <c r="AJ57" s="115">
        <f t="shared" si="7"/>
        <v>0</v>
      </c>
      <c r="AK57" s="116">
        <f t="shared" si="8"/>
        <v>0</v>
      </c>
      <c r="AL57" s="116">
        <f t="shared" si="9"/>
        <v>0</v>
      </c>
      <c r="AM57" s="116">
        <f t="shared" si="10"/>
        <v>0</v>
      </c>
      <c r="AN57" s="117">
        <f t="shared" si="11"/>
        <v>0</v>
      </c>
      <c r="AO57" s="39">
        <f t="shared" si="12"/>
        <v>0</v>
      </c>
      <c r="AP57" s="65">
        <f t="shared" si="13"/>
        <v>0</v>
      </c>
      <c r="AQ57" s="65">
        <f t="shared" si="14"/>
        <v>0</v>
      </c>
      <c r="AR57" s="65">
        <f t="shared" si="15"/>
        <v>0</v>
      </c>
      <c r="AS57" s="65">
        <f t="shared" si="16"/>
        <v>0</v>
      </c>
    </row>
    <row r="58" spans="2:45" x14ac:dyDescent="0.25">
      <c r="B58" s="15">
        <v>56</v>
      </c>
      <c r="C58" s="8"/>
      <c r="E58" s="67"/>
      <c r="F58" s="16"/>
      <c r="G58" s="8"/>
      <c r="H58" s="8"/>
      <c r="I58" s="8"/>
      <c r="J58" s="9"/>
      <c r="K58" s="9">
        <f t="shared" si="0"/>
        <v>0</v>
      </c>
      <c r="L58" s="35">
        <f t="shared" si="1"/>
        <v>0</v>
      </c>
      <c r="M58" s="2"/>
      <c r="O58" s="19"/>
      <c r="P58" s="19"/>
      <c r="Q58" s="19"/>
      <c r="R58" s="21"/>
      <c r="S58" s="46"/>
      <c r="T58" s="44"/>
      <c r="U58" s="77"/>
      <c r="V58" s="30"/>
      <c r="W58" s="24"/>
      <c r="X58" s="193"/>
      <c r="Y58" s="15"/>
      <c r="AA58">
        <v>10</v>
      </c>
      <c r="AB58" s="487"/>
      <c r="AC58" s="90">
        <v>2</v>
      </c>
      <c r="AD58" s="96" t="s">
        <v>54</v>
      </c>
      <c r="AE58" s="39">
        <f t="shared" si="2"/>
        <v>0</v>
      </c>
      <c r="AF58" s="65">
        <f t="shared" si="3"/>
        <v>0</v>
      </c>
      <c r="AG58" s="65">
        <f t="shared" si="4"/>
        <v>0</v>
      </c>
      <c r="AH58" s="65">
        <f t="shared" si="5"/>
        <v>0</v>
      </c>
      <c r="AI58" s="104">
        <f t="shared" si="6"/>
        <v>0</v>
      </c>
      <c r="AJ58" s="115">
        <f t="shared" si="7"/>
        <v>0</v>
      </c>
      <c r="AK58" s="116">
        <f t="shared" si="8"/>
        <v>0</v>
      </c>
      <c r="AL58" s="116">
        <f t="shared" si="9"/>
        <v>0</v>
      </c>
      <c r="AM58" s="116">
        <f t="shared" si="10"/>
        <v>0</v>
      </c>
      <c r="AN58" s="117">
        <f t="shared" si="11"/>
        <v>0</v>
      </c>
      <c r="AO58" s="39">
        <f t="shared" si="12"/>
        <v>0</v>
      </c>
      <c r="AP58" s="65">
        <f t="shared" si="13"/>
        <v>0</v>
      </c>
      <c r="AQ58" s="65">
        <f t="shared" si="14"/>
        <v>0</v>
      </c>
      <c r="AR58" s="65">
        <f t="shared" si="15"/>
        <v>0</v>
      </c>
      <c r="AS58" s="65">
        <f t="shared" si="16"/>
        <v>0</v>
      </c>
    </row>
    <row r="59" spans="2:45" x14ac:dyDescent="0.25">
      <c r="B59" s="15">
        <v>57</v>
      </c>
      <c r="C59" s="8"/>
      <c r="E59" s="67"/>
      <c r="F59" s="16"/>
      <c r="G59" s="8"/>
      <c r="H59" s="8"/>
      <c r="I59" s="8"/>
      <c r="J59" s="9"/>
      <c r="K59" s="9">
        <f t="shared" si="0"/>
        <v>0</v>
      </c>
      <c r="L59" s="35">
        <f t="shared" si="1"/>
        <v>0</v>
      </c>
      <c r="M59" s="2"/>
      <c r="O59" s="19"/>
      <c r="P59" s="19"/>
      <c r="Q59" s="19"/>
      <c r="R59" s="21"/>
      <c r="S59" s="46"/>
      <c r="T59" s="44"/>
      <c r="U59" s="77"/>
      <c r="V59" s="30"/>
      <c r="W59" s="24"/>
      <c r="X59" s="193"/>
      <c r="Y59" s="15"/>
      <c r="AA59">
        <v>10</v>
      </c>
      <c r="AB59" s="487"/>
      <c r="AC59" s="90">
        <v>3</v>
      </c>
      <c r="AD59" s="97" t="s">
        <v>55</v>
      </c>
      <c r="AE59" s="39">
        <f t="shared" si="2"/>
        <v>0</v>
      </c>
      <c r="AF59" s="65">
        <f t="shared" si="3"/>
        <v>0</v>
      </c>
      <c r="AG59" s="65">
        <f t="shared" si="4"/>
        <v>0</v>
      </c>
      <c r="AH59" s="65">
        <f t="shared" si="5"/>
        <v>0</v>
      </c>
      <c r="AI59" s="104">
        <f t="shared" si="6"/>
        <v>0</v>
      </c>
      <c r="AJ59" s="115">
        <f t="shared" si="7"/>
        <v>0</v>
      </c>
      <c r="AK59" s="116">
        <f t="shared" si="8"/>
        <v>0</v>
      </c>
      <c r="AL59" s="116">
        <f t="shared" si="9"/>
        <v>0</v>
      </c>
      <c r="AM59" s="116">
        <f t="shared" si="10"/>
        <v>0</v>
      </c>
      <c r="AN59" s="117">
        <f t="shared" si="11"/>
        <v>0</v>
      </c>
      <c r="AO59" s="39">
        <f t="shared" si="12"/>
        <v>0</v>
      </c>
      <c r="AP59" s="65">
        <f t="shared" si="13"/>
        <v>0</v>
      </c>
      <c r="AQ59" s="65">
        <f t="shared" si="14"/>
        <v>0</v>
      </c>
      <c r="AR59" s="65">
        <f t="shared" si="15"/>
        <v>0</v>
      </c>
      <c r="AS59" s="65">
        <f t="shared" si="16"/>
        <v>0</v>
      </c>
    </row>
    <row r="60" spans="2:45" x14ac:dyDescent="0.25">
      <c r="B60" s="15">
        <v>58</v>
      </c>
      <c r="C60" s="8"/>
      <c r="E60" s="67"/>
      <c r="F60" s="16"/>
      <c r="G60" s="8"/>
      <c r="H60" s="8"/>
      <c r="I60" s="8"/>
      <c r="J60" s="9"/>
      <c r="K60" s="9">
        <f t="shared" si="0"/>
        <v>0</v>
      </c>
      <c r="L60" s="35">
        <f t="shared" si="1"/>
        <v>0</v>
      </c>
      <c r="M60" s="2"/>
      <c r="O60" s="19"/>
      <c r="P60" s="19"/>
      <c r="Q60" s="19"/>
      <c r="R60" s="21"/>
      <c r="S60" s="46"/>
      <c r="T60" s="44"/>
      <c r="U60" s="77"/>
      <c r="V60" s="30"/>
      <c r="W60" s="24"/>
      <c r="X60" s="193"/>
      <c r="Y60" s="15"/>
      <c r="AA60">
        <v>10</v>
      </c>
      <c r="AB60" s="487"/>
      <c r="AC60" s="90">
        <v>4</v>
      </c>
      <c r="AD60" s="97" t="s">
        <v>56</v>
      </c>
      <c r="AE60" s="39">
        <f t="shared" si="2"/>
        <v>0</v>
      </c>
      <c r="AF60" s="65">
        <f t="shared" si="3"/>
        <v>0</v>
      </c>
      <c r="AG60" s="65">
        <f t="shared" si="4"/>
        <v>0</v>
      </c>
      <c r="AH60" s="65">
        <f t="shared" si="5"/>
        <v>0</v>
      </c>
      <c r="AI60" s="104">
        <f t="shared" si="6"/>
        <v>0</v>
      </c>
      <c r="AJ60" s="115">
        <f t="shared" si="7"/>
        <v>0</v>
      </c>
      <c r="AK60" s="116">
        <f t="shared" si="8"/>
        <v>0</v>
      </c>
      <c r="AL60" s="116">
        <f t="shared" si="9"/>
        <v>0</v>
      </c>
      <c r="AM60" s="116">
        <f t="shared" si="10"/>
        <v>0</v>
      </c>
      <c r="AN60" s="117">
        <f t="shared" si="11"/>
        <v>0</v>
      </c>
      <c r="AO60" s="39">
        <f t="shared" si="12"/>
        <v>0</v>
      </c>
      <c r="AP60" s="65">
        <f t="shared" si="13"/>
        <v>0</v>
      </c>
      <c r="AQ60" s="65">
        <f t="shared" si="14"/>
        <v>0</v>
      </c>
      <c r="AR60" s="65">
        <f t="shared" si="15"/>
        <v>0</v>
      </c>
      <c r="AS60" s="65">
        <f t="shared" si="16"/>
        <v>0</v>
      </c>
    </row>
    <row r="61" spans="2:45" x14ac:dyDescent="0.25">
      <c r="B61" s="15">
        <v>59</v>
      </c>
      <c r="C61" s="8"/>
      <c r="E61" s="67"/>
      <c r="F61" s="16"/>
      <c r="G61" s="8"/>
      <c r="H61" s="8"/>
      <c r="I61" s="8"/>
      <c r="J61" s="9"/>
      <c r="K61" s="9">
        <f t="shared" si="0"/>
        <v>0</v>
      </c>
      <c r="L61" s="35">
        <f t="shared" si="1"/>
        <v>0</v>
      </c>
      <c r="M61" s="2"/>
      <c r="O61" s="19"/>
      <c r="P61" s="19"/>
      <c r="Q61" s="19"/>
      <c r="R61" s="21"/>
      <c r="S61" s="46"/>
      <c r="T61" s="44"/>
      <c r="U61" s="77"/>
      <c r="V61" s="30"/>
      <c r="W61" s="24"/>
      <c r="X61" s="193"/>
      <c r="Y61" s="15"/>
      <c r="AA61">
        <v>10</v>
      </c>
      <c r="AB61" s="487"/>
      <c r="AC61" s="91">
        <v>5</v>
      </c>
      <c r="AD61" s="51" t="s">
        <v>57</v>
      </c>
      <c r="AE61" s="39">
        <f t="shared" si="2"/>
        <v>0</v>
      </c>
      <c r="AF61" s="65">
        <f t="shared" si="3"/>
        <v>0</v>
      </c>
      <c r="AG61" s="65">
        <f t="shared" si="4"/>
        <v>0</v>
      </c>
      <c r="AH61" s="65">
        <f t="shared" si="5"/>
        <v>0</v>
      </c>
      <c r="AI61" s="104">
        <f t="shared" si="6"/>
        <v>0</v>
      </c>
      <c r="AJ61" s="115">
        <f t="shared" si="7"/>
        <v>0</v>
      </c>
      <c r="AK61" s="116">
        <f t="shared" si="8"/>
        <v>0</v>
      </c>
      <c r="AL61" s="116">
        <f t="shared" si="9"/>
        <v>0</v>
      </c>
      <c r="AM61" s="116">
        <f t="shared" si="10"/>
        <v>0</v>
      </c>
      <c r="AN61" s="117">
        <f t="shared" si="11"/>
        <v>0</v>
      </c>
      <c r="AO61" s="39">
        <f t="shared" si="12"/>
        <v>0</v>
      </c>
      <c r="AP61" s="65">
        <f t="shared" si="13"/>
        <v>0</v>
      </c>
      <c r="AQ61" s="65">
        <f t="shared" si="14"/>
        <v>0</v>
      </c>
      <c r="AR61" s="65">
        <f t="shared" si="15"/>
        <v>0</v>
      </c>
      <c r="AS61" s="65">
        <f t="shared" si="16"/>
        <v>0</v>
      </c>
    </row>
    <row r="62" spans="2:45" ht="14.25" thickBot="1" x14ac:dyDescent="0.3">
      <c r="B62" s="15">
        <v>60</v>
      </c>
      <c r="C62" s="8"/>
      <c r="E62" s="67"/>
      <c r="F62" s="16"/>
      <c r="G62" s="8"/>
      <c r="H62" s="8"/>
      <c r="I62" s="8"/>
      <c r="J62" s="9"/>
      <c r="K62" s="9">
        <f t="shared" si="0"/>
        <v>0</v>
      </c>
      <c r="L62" s="35">
        <f t="shared" si="1"/>
        <v>0</v>
      </c>
      <c r="M62" s="2"/>
      <c r="O62" s="19"/>
      <c r="P62" s="19"/>
      <c r="Q62" s="19"/>
      <c r="R62" s="21"/>
      <c r="S62" s="46"/>
      <c r="T62" s="44"/>
      <c r="U62" s="77"/>
      <c r="V62" s="30"/>
      <c r="W62" s="24"/>
      <c r="X62" s="193"/>
      <c r="Y62" s="15"/>
      <c r="AA62">
        <v>10</v>
      </c>
      <c r="AB62" s="488"/>
      <c r="AC62" s="92" t="s">
        <v>3</v>
      </c>
      <c r="AD62" s="101"/>
      <c r="AE62" s="94">
        <f t="shared" ref="AE62:AS62" si="30">SUM(AE57:AE61)</f>
        <v>0</v>
      </c>
      <c r="AF62" s="94">
        <f t="shared" si="30"/>
        <v>0</v>
      </c>
      <c r="AG62" s="94">
        <f t="shared" si="30"/>
        <v>0</v>
      </c>
      <c r="AH62" s="94">
        <f t="shared" si="30"/>
        <v>0</v>
      </c>
      <c r="AI62" s="105">
        <f t="shared" si="30"/>
        <v>0</v>
      </c>
      <c r="AJ62" s="118">
        <f t="shared" si="30"/>
        <v>0</v>
      </c>
      <c r="AK62" s="119">
        <f t="shared" si="30"/>
        <v>0</v>
      </c>
      <c r="AL62" s="119">
        <f t="shared" si="30"/>
        <v>0</v>
      </c>
      <c r="AM62" s="119">
        <f t="shared" si="30"/>
        <v>0</v>
      </c>
      <c r="AN62" s="120">
        <f t="shared" si="30"/>
        <v>0</v>
      </c>
      <c r="AO62" s="94">
        <f t="shared" si="30"/>
        <v>0</v>
      </c>
      <c r="AP62" s="94">
        <f t="shared" si="30"/>
        <v>0</v>
      </c>
      <c r="AQ62" s="94">
        <f t="shared" si="30"/>
        <v>0</v>
      </c>
      <c r="AR62" s="94">
        <f t="shared" si="30"/>
        <v>0</v>
      </c>
      <c r="AS62" s="94">
        <f t="shared" si="30"/>
        <v>0</v>
      </c>
    </row>
    <row r="63" spans="2:45" x14ac:dyDescent="0.25">
      <c r="B63" s="15">
        <v>61</v>
      </c>
      <c r="C63" s="8"/>
      <c r="E63" s="67"/>
      <c r="F63" s="16"/>
      <c r="G63" s="8"/>
      <c r="H63" s="8"/>
      <c r="I63" s="8"/>
      <c r="J63" s="9"/>
      <c r="K63" s="9">
        <f t="shared" si="0"/>
        <v>0</v>
      </c>
      <c r="L63" s="35">
        <f t="shared" si="1"/>
        <v>0</v>
      </c>
      <c r="M63" s="2"/>
      <c r="O63" s="19"/>
      <c r="P63" s="19"/>
      <c r="Q63" s="19"/>
      <c r="R63" s="21"/>
      <c r="S63" s="46"/>
      <c r="T63" s="44"/>
      <c r="U63" s="77"/>
      <c r="V63" s="30"/>
      <c r="W63" s="24"/>
      <c r="X63" s="193"/>
      <c r="Y63" s="15"/>
      <c r="AA63">
        <v>11</v>
      </c>
      <c r="AB63" s="486">
        <v>11</v>
      </c>
      <c r="AC63" s="89">
        <v>1</v>
      </c>
      <c r="AD63" s="95" t="s">
        <v>105</v>
      </c>
      <c r="AE63" s="39">
        <f t="shared" si="2"/>
        <v>0</v>
      </c>
      <c r="AF63" s="65">
        <f t="shared" si="3"/>
        <v>0</v>
      </c>
      <c r="AG63" s="65">
        <f t="shared" si="4"/>
        <v>0</v>
      </c>
      <c r="AH63" s="65">
        <f t="shared" si="5"/>
        <v>0</v>
      </c>
      <c r="AI63" s="104">
        <f t="shared" si="6"/>
        <v>0</v>
      </c>
      <c r="AJ63" s="115">
        <f t="shared" si="7"/>
        <v>0</v>
      </c>
      <c r="AK63" s="116">
        <f t="shared" si="8"/>
        <v>0</v>
      </c>
      <c r="AL63" s="116">
        <f t="shared" si="9"/>
        <v>0</v>
      </c>
      <c r="AM63" s="116">
        <f t="shared" si="10"/>
        <v>0</v>
      </c>
      <c r="AN63" s="117">
        <f t="shared" si="11"/>
        <v>0</v>
      </c>
      <c r="AO63" s="39">
        <f t="shared" si="12"/>
        <v>0</v>
      </c>
      <c r="AP63" s="65">
        <f t="shared" si="13"/>
        <v>0</v>
      </c>
      <c r="AQ63" s="65">
        <f t="shared" si="14"/>
        <v>0</v>
      </c>
      <c r="AR63" s="65">
        <f t="shared" si="15"/>
        <v>0</v>
      </c>
      <c r="AS63" s="65">
        <f t="shared" si="16"/>
        <v>0</v>
      </c>
    </row>
    <row r="64" spans="2:45" x14ac:dyDescent="0.25">
      <c r="B64" s="15">
        <v>62</v>
      </c>
      <c r="C64" s="8"/>
      <c r="E64" s="67"/>
      <c r="F64" s="16"/>
      <c r="G64" s="8"/>
      <c r="H64" s="8"/>
      <c r="I64" s="8"/>
      <c r="J64" s="9"/>
      <c r="K64" s="9">
        <f t="shared" si="0"/>
        <v>0</v>
      </c>
      <c r="L64" s="35">
        <f t="shared" si="1"/>
        <v>0</v>
      </c>
      <c r="M64" s="2"/>
      <c r="O64" s="19"/>
      <c r="P64" s="19"/>
      <c r="Q64" s="19"/>
      <c r="R64" s="21"/>
      <c r="S64" s="46"/>
      <c r="T64" s="44"/>
      <c r="U64" s="77"/>
      <c r="V64" s="30"/>
      <c r="W64" s="24"/>
      <c r="X64" s="193"/>
      <c r="Y64" s="15"/>
      <c r="AA64">
        <v>11</v>
      </c>
      <c r="AB64" s="487"/>
      <c r="AC64" s="90">
        <v>2</v>
      </c>
      <c r="AD64" s="97" t="s">
        <v>58</v>
      </c>
      <c r="AE64" s="39">
        <f t="shared" si="2"/>
        <v>0</v>
      </c>
      <c r="AF64" s="65">
        <f t="shared" si="3"/>
        <v>0</v>
      </c>
      <c r="AG64" s="65">
        <f t="shared" si="4"/>
        <v>0</v>
      </c>
      <c r="AH64" s="65">
        <f t="shared" si="5"/>
        <v>0</v>
      </c>
      <c r="AI64" s="104">
        <f t="shared" si="6"/>
        <v>0</v>
      </c>
      <c r="AJ64" s="115">
        <f t="shared" si="7"/>
        <v>0</v>
      </c>
      <c r="AK64" s="116">
        <f t="shared" si="8"/>
        <v>0</v>
      </c>
      <c r="AL64" s="116">
        <f t="shared" si="9"/>
        <v>0</v>
      </c>
      <c r="AM64" s="116">
        <f t="shared" si="10"/>
        <v>0</v>
      </c>
      <c r="AN64" s="117">
        <f t="shared" si="11"/>
        <v>0</v>
      </c>
      <c r="AO64" s="39">
        <f t="shared" si="12"/>
        <v>0</v>
      </c>
      <c r="AP64" s="65">
        <f t="shared" si="13"/>
        <v>0</v>
      </c>
      <c r="AQ64" s="65">
        <f t="shared" si="14"/>
        <v>0</v>
      </c>
      <c r="AR64" s="65">
        <f t="shared" si="15"/>
        <v>0</v>
      </c>
      <c r="AS64" s="65">
        <f t="shared" si="16"/>
        <v>0</v>
      </c>
    </row>
    <row r="65" spans="2:45" x14ac:dyDescent="0.25">
      <c r="B65" s="15">
        <v>63</v>
      </c>
      <c r="C65" s="8"/>
      <c r="E65" s="67"/>
      <c r="F65" s="16"/>
      <c r="G65" s="8"/>
      <c r="H65" s="8"/>
      <c r="I65" s="8"/>
      <c r="J65" s="9"/>
      <c r="K65" s="9">
        <f t="shared" si="0"/>
        <v>0</v>
      </c>
      <c r="L65" s="35">
        <f t="shared" si="1"/>
        <v>0</v>
      </c>
      <c r="M65" s="2"/>
      <c r="O65" s="19"/>
      <c r="P65" s="19"/>
      <c r="Q65" s="19"/>
      <c r="R65" s="21"/>
      <c r="S65" s="46"/>
      <c r="T65" s="44"/>
      <c r="U65" s="77"/>
      <c r="V65" s="30"/>
      <c r="W65" s="24"/>
      <c r="X65" s="193"/>
      <c r="Y65" s="15"/>
      <c r="AA65">
        <v>11</v>
      </c>
      <c r="AB65" s="487"/>
      <c r="AC65" s="90">
        <v>3</v>
      </c>
      <c r="AD65" s="97" t="s">
        <v>59</v>
      </c>
      <c r="AE65" s="39">
        <f t="shared" si="2"/>
        <v>0</v>
      </c>
      <c r="AF65" s="65">
        <f t="shared" si="3"/>
        <v>0</v>
      </c>
      <c r="AG65" s="65">
        <f t="shared" si="4"/>
        <v>0</v>
      </c>
      <c r="AH65" s="65">
        <f t="shared" si="5"/>
        <v>0</v>
      </c>
      <c r="AI65" s="104">
        <f t="shared" si="6"/>
        <v>0</v>
      </c>
      <c r="AJ65" s="115">
        <f t="shared" si="7"/>
        <v>0</v>
      </c>
      <c r="AK65" s="116">
        <f t="shared" si="8"/>
        <v>0</v>
      </c>
      <c r="AL65" s="116">
        <f t="shared" si="9"/>
        <v>0</v>
      </c>
      <c r="AM65" s="116">
        <f t="shared" si="10"/>
        <v>0</v>
      </c>
      <c r="AN65" s="117">
        <f t="shared" si="11"/>
        <v>0</v>
      </c>
      <c r="AO65" s="39">
        <f t="shared" si="12"/>
        <v>0</v>
      </c>
      <c r="AP65" s="65">
        <f t="shared" si="13"/>
        <v>0</v>
      </c>
      <c r="AQ65" s="65">
        <f t="shared" si="14"/>
        <v>0</v>
      </c>
      <c r="AR65" s="65">
        <f t="shared" si="15"/>
        <v>0</v>
      </c>
      <c r="AS65" s="65">
        <f t="shared" si="16"/>
        <v>0</v>
      </c>
    </row>
    <row r="66" spans="2:45" x14ac:dyDescent="0.25">
      <c r="B66" s="15">
        <v>64</v>
      </c>
      <c r="C66" s="8"/>
      <c r="E66" s="67"/>
      <c r="F66" s="16"/>
      <c r="G66" s="8"/>
      <c r="H66" s="8"/>
      <c r="I66" s="8"/>
      <c r="J66" s="9"/>
      <c r="K66" s="9">
        <f t="shared" si="0"/>
        <v>0</v>
      </c>
      <c r="L66" s="35">
        <f t="shared" si="1"/>
        <v>0</v>
      </c>
      <c r="M66" s="2"/>
      <c r="O66" s="19"/>
      <c r="P66" s="19"/>
      <c r="Q66" s="19"/>
      <c r="R66" s="21"/>
      <c r="S66" s="46"/>
      <c r="T66" s="44"/>
      <c r="U66" s="77"/>
      <c r="V66" s="30"/>
      <c r="W66" s="24"/>
      <c r="X66" s="193"/>
      <c r="Y66" s="15"/>
      <c r="AA66">
        <v>11</v>
      </c>
      <c r="AB66" s="487"/>
      <c r="AC66" s="90">
        <v>4</v>
      </c>
      <c r="AD66" s="97" t="s">
        <v>60</v>
      </c>
      <c r="AE66" s="39">
        <f t="shared" si="2"/>
        <v>0</v>
      </c>
      <c r="AF66" s="65">
        <f t="shared" si="3"/>
        <v>0</v>
      </c>
      <c r="AG66" s="65">
        <f t="shared" si="4"/>
        <v>0</v>
      </c>
      <c r="AH66" s="65">
        <f t="shared" si="5"/>
        <v>0</v>
      </c>
      <c r="AI66" s="104">
        <f t="shared" si="6"/>
        <v>0</v>
      </c>
      <c r="AJ66" s="115">
        <f t="shared" si="7"/>
        <v>0</v>
      </c>
      <c r="AK66" s="116">
        <f t="shared" si="8"/>
        <v>0</v>
      </c>
      <c r="AL66" s="116">
        <f t="shared" si="9"/>
        <v>0</v>
      </c>
      <c r="AM66" s="116">
        <f t="shared" si="10"/>
        <v>0</v>
      </c>
      <c r="AN66" s="117">
        <f t="shared" si="11"/>
        <v>0</v>
      </c>
      <c r="AO66" s="39">
        <f t="shared" si="12"/>
        <v>0</v>
      </c>
      <c r="AP66" s="65">
        <f t="shared" si="13"/>
        <v>0</v>
      </c>
      <c r="AQ66" s="65">
        <f t="shared" si="14"/>
        <v>0</v>
      </c>
      <c r="AR66" s="65">
        <f t="shared" si="15"/>
        <v>0</v>
      </c>
      <c r="AS66" s="65">
        <f t="shared" si="16"/>
        <v>0</v>
      </c>
    </row>
    <row r="67" spans="2:45" x14ac:dyDescent="0.25">
      <c r="B67" s="15">
        <v>65</v>
      </c>
      <c r="C67" s="8"/>
      <c r="E67" s="67"/>
      <c r="F67" s="16"/>
      <c r="G67" s="8"/>
      <c r="H67" s="8"/>
      <c r="I67" s="8"/>
      <c r="J67" s="9"/>
      <c r="K67" s="9">
        <f t="shared" ref="K67:K130" si="31">J67*1.1</f>
        <v>0</v>
      </c>
      <c r="L67" s="35">
        <f t="shared" ref="L67:L130" si="32">J67*0.00000001</f>
        <v>0</v>
      </c>
      <c r="M67" s="2"/>
      <c r="O67" s="19"/>
      <c r="P67" s="19"/>
      <c r="Q67" s="19"/>
      <c r="R67" s="21"/>
      <c r="S67" s="46"/>
      <c r="T67" s="44"/>
      <c r="U67" s="77"/>
      <c r="V67" s="30"/>
      <c r="W67" s="24"/>
      <c r="X67" s="193"/>
      <c r="Y67" s="15"/>
      <c r="AA67">
        <v>11</v>
      </c>
      <c r="AB67" s="487"/>
      <c r="AC67" s="91">
        <v>5</v>
      </c>
      <c r="AD67" s="100"/>
      <c r="AE67" s="39">
        <f t="shared" si="2"/>
        <v>0</v>
      </c>
      <c r="AF67" s="65">
        <f t="shared" si="3"/>
        <v>0</v>
      </c>
      <c r="AG67" s="65">
        <f t="shared" si="4"/>
        <v>0</v>
      </c>
      <c r="AH67" s="65">
        <f t="shared" si="5"/>
        <v>0</v>
      </c>
      <c r="AI67" s="104">
        <f t="shared" si="6"/>
        <v>0</v>
      </c>
      <c r="AJ67" s="115">
        <f t="shared" si="7"/>
        <v>0</v>
      </c>
      <c r="AK67" s="116">
        <f t="shared" si="8"/>
        <v>0</v>
      </c>
      <c r="AL67" s="116">
        <f t="shared" si="9"/>
        <v>0</v>
      </c>
      <c r="AM67" s="116">
        <f t="shared" si="10"/>
        <v>0</v>
      </c>
      <c r="AN67" s="117">
        <f t="shared" si="11"/>
        <v>0</v>
      </c>
      <c r="AO67" s="39">
        <f t="shared" si="12"/>
        <v>0</v>
      </c>
      <c r="AP67" s="65">
        <f t="shared" si="13"/>
        <v>0</v>
      </c>
      <c r="AQ67" s="65">
        <f t="shared" si="14"/>
        <v>0</v>
      </c>
      <c r="AR67" s="65">
        <f t="shared" si="15"/>
        <v>0</v>
      </c>
      <c r="AS67" s="65">
        <f t="shared" si="16"/>
        <v>0</v>
      </c>
    </row>
    <row r="68" spans="2:45" ht="14.25" thickBot="1" x14ac:dyDescent="0.3">
      <c r="B68" s="15">
        <v>66</v>
      </c>
      <c r="C68" s="8"/>
      <c r="E68" s="67"/>
      <c r="F68" s="16"/>
      <c r="G68" s="8"/>
      <c r="H68" s="8"/>
      <c r="I68" s="8"/>
      <c r="J68" s="9"/>
      <c r="K68" s="9">
        <f t="shared" si="31"/>
        <v>0</v>
      </c>
      <c r="L68" s="35">
        <f t="shared" si="32"/>
        <v>0</v>
      </c>
      <c r="M68" s="2"/>
      <c r="O68" s="19"/>
      <c r="P68" s="19"/>
      <c r="Q68" s="19"/>
      <c r="R68" s="21"/>
      <c r="S68" s="46"/>
      <c r="T68" s="44"/>
      <c r="U68" s="77"/>
      <c r="V68" s="30"/>
      <c r="W68" s="24"/>
      <c r="X68" s="193"/>
      <c r="Y68" s="15"/>
      <c r="AA68">
        <v>11</v>
      </c>
      <c r="AB68" s="488"/>
      <c r="AC68" s="92" t="s">
        <v>3</v>
      </c>
      <c r="AD68" s="101"/>
      <c r="AE68" s="94">
        <f t="shared" ref="AE68:AS68" si="33">SUM(AE63:AE67)</f>
        <v>0</v>
      </c>
      <c r="AF68" s="94">
        <f t="shared" si="33"/>
        <v>0</v>
      </c>
      <c r="AG68" s="94">
        <f t="shared" si="33"/>
        <v>0</v>
      </c>
      <c r="AH68" s="94">
        <f t="shared" si="33"/>
        <v>0</v>
      </c>
      <c r="AI68" s="105">
        <f t="shared" si="33"/>
        <v>0</v>
      </c>
      <c r="AJ68" s="118">
        <f t="shared" si="33"/>
        <v>0</v>
      </c>
      <c r="AK68" s="119">
        <f t="shared" si="33"/>
        <v>0</v>
      </c>
      <c r="AL68" s="119">
        <f t="shared" si="33"/>
        <v>0</v>
      </c>
      <c r="AM68" s="119">
        <f t="shared" si="33"/>
        <v>0</v>
      </c>
      <c r="AN68" s="120">
        <f t="shared" si="33"/>
        <v>0</v>
      </c>
      <c r="AO68" s="94">
        <f t="shared" si="33"/>
        <v>0</v>
      </c>
      <c r="AP68" s="94">
        <f t="shared" si="33"/>
        <v>0</v>
      </c>
      <c r="AQ68" s="94">
        <f t="shared" si="33"/>
        <v>0</v>
      </c>
      <c r="AR68" s="94">
        <f t="shared" si="33"/>
        <v>0</v>
      </c>
      <c r="AS68" s="94">
        <f t="shared" si="33"/>
        <v>0</v>
      </c>
    </row>
    <row r="69" spans="2:45" x14ac:dyDescent="0.25">
      <c r="B69" s="15">
        <v>67</v>
      </c>
      <c r="C69" s="8"/>
      <c r="E69" s="67"/>
      <c r="F69" s="16"/>
      <c r="G69" s="8"/>
      <c r="H69" s="8"/>
      <c r="I69" s="8"/>
      <c r="J69" s="9"/>
      <c r="K69" s="9">
        <f t="shared" si="31"/>
        <v>0</v>
      </c>
      <c r="L69" s="35">
        <f t="shared" si="32"/>
        <v>0</v>
      </c>
      <c r="M69" s="2"/>
      <c r="O69" s="19"/>
      <c r="P69" s="19"/>
      <c r="Q69" s="19"/>
      <c r="R69" s="21"/>
      <c r="S69" s="46"/>
      <c r="T69" s="44"/>
      <c r="U69" s="77"/>
      <c r="V69" s="30"/>
      <c r="W69" s="24"/>
      <c r="X69" s="193"/>
      <c r="Y69" s="15"/>
      <c r="AA69">
        <v>12</v>
      </c>
      <c r="AB69" s="493">
        <v>12</v>
      </c>
      <c r="AC69" s="93">
        <v>1</v>
      </c>
      <c r="AD69" s="102" t="s">
        <v>106</v>
      </c>
      <c r="AE69" s="39">
        <f>SUM(AF69:AI69)</f>
        <v>0</v>
      </c>
      <c r="AF69" s="65">
        <f>SUMIFS($I:$I,$C:$C, $AF$2,$G:$G,$AA69,$H:$H,$AC69)</f>
        <v>0</v>
      </c>
      <c r="AG69" s="65">
        <f>SUMIFS($I:$I,$C:$C, $AG$2,$G:$G,$AA69,$H:$H,$AC69)</f>
        <v>0</v>
      </c>
      <c r="AH69" s="65">
        <f>SUMIFS($I:$I,$C:$C, $AH$2,$G:$G,$AA69,$H:$H,$AC69)</f>
        <v>0</v>
      </c>
      <c r="AI69" s="104">
        <f>SUMIFS($I:$I,$C:$C, $AI$2,$G:$G,$AA69,$H:$H,$AC69)</f>
        <v>0</v>
      </c>
      <c r="AJ69" s="115">
        <f>SUM(AK69:AN69)</f>
        <v>0</v>
      </c>
      <c r="AK69" s="116">
        <f>COUNTIFS($C:$C, $AK$2,$G:$G,$AA69,$H:$H,$AC69)</f>
        <v>0</v>
      </c>
      <c r="AL69" s="116">
        <f>COUNTIFS($C:$C, $AL$2,$G:$G,$AA69,$H:$H,$AC69)</f>
        <v>0</v>
      </c>
      <c r="AM69" s="116">
        <f>COUNTIFS($C:$C, $AM$2,$G:$G,$AA69,$H:$H,$AC69)</f>
        <v>0</v>
      </c>
      <c r="AN69" s="117">
        <f>COUNTIFS($C:$C, $AN$2,$G:$G,$AA69,$H:$H,$AC69)</f>
        <v>0</v>
      </c>
      <c r="AO69" s="39">
        <f>SUM(AP69:AS69)</f>
        <v>0</v>
      </c>
      <c r="AP69" s="65">
        <f>SUMIFS($L:$L,$C:$C, $AP$2,$G:$G,$AA69,$H:$H,$AC69)</f>
        <v>0</v>
      </c>
      <c r="AQ69" s="65">
        <f>SUMIFS($L:$L,$C:$C, $AQ$2,$G:$G,$AA69,$H:$H,$AC69)</f>
        <v>0</v>
      </c>
      <c r="AR69" s="65">
        <f>SUMIFS($L:$L,$C:$C, $AR$2,$G:$G,$AA69,$H:$H,$AC69)</f>
        <v>0</v>
      </c>
      <c r="AS69" s="65">
        <f>SUMIFS($L:$L,$C:$C, $AS$2,$G:$G,$AA69,$H:$H,$AC69)</f>
        <v>0</v>
      </c>
    </row>
    <row r="70" spans="2:45" x14ac:dyDescent="0.25">
      <c r="B70" s="15">
        <v>68</v>
      </c>
      <c r="C70" s="8"/>
      <c r="E70" s="67"/>
      <c r="F70" s="16"/>
      <c r="G70" s="8"/>
      <c r="H70" s="8"/>
      <c r="I70" s="8"/>
      <c r="J70" s="9"/>
      <c r="K70" s="9">
        <f t="shared" si="31"/>
        <v>0</v>
      </c>
      <c r="L70" s="35">
        <f t="shared" si="32"/>
        <v>0</v>
      </c>
      <c r="M70" s="2"/>
      <c r="O70" s="19"/>
      <c r="P70" s="19"/>
      <c r="Q70" s="19"/>
      <c r="R70" s="21"/>
      <c r="S70" s="46"/>
      <c r="T70" s="44"/>
      <c r="U70" s="77"/>
      <c r="V70" s="30"/>
      <c r="W70" s="24"/>
      <c r="X70" s="193"/>
      <c r="Y70" s="15"/>
      <c r="AA70">
        <v>12</v>
      </c>
      <c r="AB70" s="487"/>
      <c r="AC70" s="90">
        <v>2</v>
      </c>
      <c r="AD70" s="97" t="s">
        <v>101</v>
      </c>
      <c r="AE70" s="39">
        <f>SUM(AF70:AI70)</f>
        <v>0</v>
      </c>
      <c r="AF70" s="65">
        <f>SUMIFS($I:$I,$C:$C, $AF$2,$G:$G,$AA70,$H:$H,$AC70)</f>
        <v>0</v>
      </c>
      <c r="AG70" s="65">
        <f>SUMIFS($I:$I,$C:$C, $AG$2,$G:$G,$AA70,$H:$H,$AC70)</f>
        <v>0</v>
      </c>
      <c r="AH70" s="65">
        <f>SUMIFS($I:$I,$C:$C, $AH$2,$G:$G,$AA70,$H:$H,$AC70)</f>
        <v>0</v>
      </c>
      <c r="AI70" s="104">
        <f>SUMIFS($I:$I,$C:$C, $AI$2,$G:$G,$AA70,$H:$H,$AC70)</f>
        <v>0</v>
      </c>
      <c r="AJ70" s="115">
        <f>SUM(AK70:AN70)</f>
        <v>0</v>
      </c>
      <c r="AK70" s="116">
        <f>COUNTIFS($C:$C, $AK$2,$G:$G,$AA70,$H:$H,$AC70)</f>
        <v>0</v>
      </c>
      <c r="AL70" s="116">
        <f>COUNTIFS($C:$C, $AL$2,$G:$G,$AA70,$H:$H,$AC70)</f>
        <v>0</v>
      </c>
      <c r="AM70" s="116">
        <f>COUNTIFS($C:$C, $AM$2,$G:$G,$AA70,$H:$H,$AC70)</f>
        <v>0</v>
      </c>
      <c r="AN70" s="117">
        <f>COUNTIFS($C:$C, $AN$2,$G:$G,$AA70,$H:$H,$AC70)</f>
        <v>0</v>
      </c>
      <c r="AO70" s="39">
        <f>SUM(AP70:AS70)</f>
        <v>0</v>
      </c>
      <c r="AP70" s="65">
        <f>SUMIFS($L:$L,$C:$C, $AP$2,$G:$G,$AA70,$H:$H,$AC70)</f>
        <v>0</v>
      </c>
      <c r="AQ70" s="65">
        <f>SUMIFS($L:$L,$C:$C, $AQ$2,$G:$G,$AA70,$H:$H,$AC70)</f>
        <v>0</v>
      </c>
      <c r="AR70" s="65">
        <f>SUMIFS($L:$L,$C:$C, $AR$2,$G:$G,$AA70,$H:$H,$AC70)</f>
        <v>0</v>
      </c>
      <c r="AS70" s="65">
        <f>SUMIFS($L:$L,$C:$C, $AS$2,$G:$G,$AA70,$H:$H,$AC70)</f>
        <v>0</v>
      </c>
    </row>
    <row r="71" spans="2:45" x14ac:dyDescent="0.25">
      <c r="B71" s="15">
        <v>69</v>
      </c>
      <c r="C71" s="8"/>
      <c r="E71" s="67"/>
      <c r="F71" s="16"/>
      <c r="G71" s="8"/>
      <c r="H71" s="8"/>
      <c r="I71" s="8"/>
      <c r="J71" s="9"/>
      <c r="K71" s="9">
        <f t="shared" si="31"/>
        <v>0</v>
      </c>
      <c r="L71" s="35">
        <f t="shared" si="32"/>
        <v>0</v>
      </c>
      <c r="M71" s="2"/>
      <c r="O71" s="19"/>
      <c r="P71" s="19"/>
      <c r="Q71" s="19"/>
      <c r="R71" s="21"/>
      <c r="S71" s="46"/>
      <c r="T71" s="44"/>
      <c r="U71" s="77"/>
      <c r="V71" s="30"/>
      <c r="W71" s="24"/>
      <c r="X71" s="193"/>
      <c r="Y71" s="15"/>
      <c r="AA71">
        <v>12</v>
      </c>
      <c r="AB71" s="487"/>
      <c r="AC71" s="90">
        <v>3</v>
      </c>
      <c r="AD71" s="97" t="s">
        <v>102</v>
      </c>
      <c r="AE71" s="39">
        <f>SUM(AF71:AI71)</f>
        <v>0</v>
      </c>
      <c r="AF71" s="65">
        <f>SUMIFS($I:$I,$C:$C, $AF$2,$G:$G,$AA71,$H:$H,$AC71)</f>
        <v>0</v>
      </c>
      <c r="AG71" s="65">
        <f>SUMIFS($I:$I,$C:$C, $AG$2,$G:$G,$AA71,$H:$H,$AC71)</f>
        <v>0</v>
      </c>
      <c r="AH71" s="65">
        <f>SUMIFS($I:$I,$C:$C, $AH$2,$G:$G,$AA71,$H:$H,$AC71)</f>
        <v>0</v>
      </c>
      <c r="AI71" s="104">
        <f>SUMIFS($I:$I,$C:$C, $AI$2,$G:$G,$AA71,$H:$H,$AC71)</f>
        <v>0</v>
      </c>
      <c r="AJ71" s="115">
        <f>SUM(AK71:AN71)</f>
        <v>0</v>
      </c>
      <c r="AK71" s="116">
        <f>COUNTIFS($C:$C, $AK$2,$G:$G,$AA71,$H:$H,$AC71)</f>
        <v>0</v>
      </c>
      <c r="AL71" s="116">
        <f>COUNTIFS($C:$C, $AL$2,$G:$G,$AA71,$H:$H,$AC71)</f>
        <v>0</v>
      </c>
      <c r="AM71" s="116">
        <f>COUNTIFS($C:$C, $AM$2,$G:$G,$AA71,$H:$H,$AC71)</f>
        <v>0</v>
      </c>
      <c r="AN71" s="117">
        <f>COUNTIFS($C:$C, $AN$2,$G:$G,$AA71,$H:$H,$AC71)</f>
        <v>0</v>
      </c>
      <c r="AO71" s="39">
        <f>SUM(AP71:AS71)</f>
        <v>0</v>
      </c>
      <c r="AP71" s="65">
        <f>SUMIFS($L:$L,$C:$C, $AP$2,$G:$G,$AA71,$H:$H,$AC71)</f>
        <v>0</v>
      </c>
      <c r="AQ71" s="65">
        <f>SUMIFS($L:$L,$C:$C, $AQ$2,$G:$G,$AA71,$H:$H,$AC71)</f>
        <v>0</v>
      </c>
      <c r="AR71" s="65">
        <f>SUMIFS($L:$L,$C:$C, $AR$2,$G:$G,$AA71,$H:$H,$AC71)</f>
        <v>0</v>
      </c>
      <c r="AS71" s="65">
        <f>SUMIFS($L:$L,$C:$C, $AS$2,$G:$G,$AA71,$H:$H,$AC71)</f>
        <v>0</v>
      </c>
    </row>
    <row r="72" spans="2:45" x14ac:dyDescent="0.25">
      <c r="B72" s="15">
        <v>70</v>
      </c>
      <c r="C72" s="8"/>
      <c r="E72" s="67"/>
      <c r="F72" s="16"/>
      <c r="G72" s="8"/>
      <c r="H72" s="8"/>
      <c r="I72" s="8"/>
      <c r="J72" s="9"/>
      <c r="K72" s="9">
        <f t="shared" si="31"/>
        <v>0</v>
      </c>
      <c r="L72" s="35">
        <f t="shared" si="32"/>
        <v>0</v>
      </c>
      <c r="M72" s="2"/>
      <c r="O72" s="19"/>
      <c r="P72" s="19"/>
      <c r="Q72" s="19"/>
      <c r="R72" s="21"/>
      <c r="S72" s="46"/>
      <c r="T72" s="44"/>
      <c r="U72" s="77"/>
      <c r="V72" s="30"/>
      <c r="W72" s="24"/>
      <c r="X72" s="193"/>
      <c r="Y72" s="15"/>
      <c r="AA72">
        <v>12</v>
      </c>
      <c r="AB72" s="487"/>
      <c r="AC72" s="90">
        <v>4</v>
      </c>
      <c r="AD72" s="97" t="s">
        <v>103</v>
      </c>
      <c r="AE72" s="39">
        <f>SUM(AF72:AI72)</f>
        <v>0</v>
      </c>
      <c r="AF72" s="65">
        <f>SUMIFS($I:$I,$C:$C, $AF$2,$G:$G,$AA72,$H:$H,$AC72)</f>
        <v>0</v>
      </c>
      <c r="AG72" s="65">
        <f>SUMIFS($I:$I,$C:$C, $AG$2,$G:$G,$AA72,$H:$H,$AC72)</f>
        <v>0</v>
      </c>
      <c r="AH72" s="65">
        <f>SUMIFS($I:$I,$C:$C, $AH$2,$G:$G,$AA72,$H:$H,$AC72)</f>
        <v>0</v>
      </c>
      <c r="AI72" s="104">
        <f>SUMIFS($I:$I,$C:$C, $AI$2,$G:$G,$AA72,$H:$H,$AC72)</f>
        <v>0</v>
      </c>
      <c r="AJ72" s="115">
        <f>SUM(AK72:AN72)</f>
        <v>0</v>
      </c>
      <c r="AK72" s="116">
        <f>COUNTIFS($C:$C, $AK$2,$G:$G,$AA72,$H:$H,$AC72)</f>
        <v>0</v>
      </c>
      <c r="AL72" s="116">
        <f>COUNTIFS($C:$C, $AL$2,$G:$G,$AA72,$H:$H,$AC72)</f>
        <v>0</v>
      </c>
      <c r="AM72" s="116">
        <f>COUNTIFS($C:$C, $AM$2,$G:$G,$AA72,$H:$H,$AC72)</f>
        <v>0</v>
      </c>
      <c r="AN72" s="117">
        <f>COUNTIFS($C:$C, $AN$2,$G:$G,$AA72,$H:$H,$AC72)</f>
        <v>0</v>
      </c>
      <c r="AO72" s="39">
        <f>SUM(AP72:AS72)</f>
        <v>0</v>
      </c>
      <c r="AP72" s="65">
        <f>SUMIFS($L:$L,$C:$C, $AP$2,$G:$G,$AA72,$H:$H,$AC72)</f>
        <v>0</v>
      </c>
      <c r="AQ72" s="65">
        <f>SUMIFS($L:$L,$C:$C, $AQ$2,$G:$G,$AA72,$H:$H,$AC72)</f>
        <v>0</v>
      </c>
      <c r="AR72" s="65">
        <f>SUMIFS($L:$L,$C:$C, $AR$2,$G:$G,$AA72,$H:$H,$AC72)</f>
        <v>0</v>
      </c>
      <c r="AS72" s="65">
        <f>SUMIFS($L:$L,$C:$C, $AS$2,$G:$G,$AA72,$H:$H,$AC72)</f>
        <v>0</v>
      </c>
    </row>
    <row r="73" spans="2:45" x14ac:dyDescent="0.25">
      <c r="B73" s="15">
        <v>71</v>
      </c>
      <c r="C73" s="8"/>
      <c r="E73" s="67"/>
      <c r="F73" s="16"/>
      <c r="G73" s="8"/>
      <c r="H73" s="8"/>
      <c r="I73" s="8"/>
      <c r="J73" s="9"/>
      <c r="K73" s="9">
        <f t="shared" si="31"/>
        <v>0</v>
      </c>
      <c r="L73" s="35">
        <f t="shared" si="32"/>
        <v>0</v>
      </c>
      <c r="M73" s="2"/>
      <c r="O73" s="19"/>
      <c r="P73" s="19"/>
      <c r="Q73" s="19"/>
      <c r="R73" s="21"/>
      <c r="S73" s="46"/>
      <c r="T73" s="44"/>
      <c r="U73" s="77"/>
      <c r="V73" s="24"/>
      <c r="W73" s="24"/>
      <c r="X73" s="193"/>
      <c r="Y73" s="15"/>
      <c r="AA73">
        <v>12</v>
      </c>
      <c r="AB73" s="487"/>
      <c r="AC73" s="91">
        <v>5</v>
      </c>
      <c r="AD73" s="100" t="s">
        <v>107</v>
      </c>
      <c r="AE73" s="39">
        <f>SUM(AF73:AI73)</f>
        <v>0</v>
      </c>
      <c r="AF73" s="65">
        <f>SUMIFS($I:$I,$C:$C, $AF$2,$G:$G,$AA73,$H:$H,$AC73)</f>
        <v>0</v>
      </c>
      <c r="AG73" s="65">
        <f>SUMIFS($I:$I,$C:$C, $AG$2,$G:$G,$AA73,$H:$H,$AC73)</f>
        <v>0</v>
      </c>
      <c r="AH73" s="65">
        <f>SUMIFS($I:$I,$C:$C, $AH$2,$G:$G,$AA73,$H:$H,$AC73)</f>
        <v>0</v>
      </c>
      <c r="AI73" s="104">
        <f>SUMIFS($I:$I,$C:$C, $AI$2,$G:$G,$AA73,$H:$H,$AC73)</f>
        <v>0</v>
      </c>
      <c r="AJ73" s="115">
        <f>SUM(AK73:AN73)</f>
        <v>0</v>
      </c>
      <c r="AK73" s="116">
        <f>COUNTIFS($C:$C, $AK$2,$G:$G,$AA73,$H:$H,$AC73)</f>
        <v>0</v>
      </c>
      <c r="AL73" s="116">
        <f>COUNTIFS($C:$C, $AL$2,$G:$G,$AA73,$H:$H,$AC73)</f>
        <v>0</v>
      </c>
      <c r="AM73" s="116">
        <f>COUNTIFS($C:$C, $AM$2,$G:$G,$AA73,$H:$H,$AC73)</f>
        <v>0</v>
      </c>
      <c r="AN73" s="117">
        <f>COUNTIFS($C:$C, $AN$2,$G:$G,$AA73,$H:$H,$AC73)</f>
        <v>0</v>
      </c>
      <c r="AO73" s="39">
        <f>SUM(AP73:AS73)</f>
        <v>0</v>
      </c>
      <c r="AP73" s="65">
        <f>SUMIFS($L:$L,$C:$C, $AP$2,$G:$G,$AA73,$H:$H,$AC73)</f>
        <v>0</v>
      </c>
      <c r="AQ73" s="65">
        <f>SUMIFS($L:$L,$C:$C, $AQ$2,$G:$G,$AA73,$H:$H,$AC73)</f>
        <v>0</v>
      </c>
      <c r="AR73" s="65">
        <f>SUMIFS($L:$L,$C:$C, $AR$2,$G:$G,$AA73,$H:$H,$AC73)</f>
        <v>0</v>
      </c>
      <c r="AS73" s="65">
        <f>SUMIFS($L:$L,$C:$C, $AS$2,$G:$G,$AA73,$H:$H,$AC73)</f>
        <v>0</v>
      </c>
    </row>
    <row r="74" spans="2:45" ht="14.25" thickBot="1" x14ac:dyDescent="0.3">
      <c r="B74" s="15">
        <v>72</v>
      </c>
      <c r="C74" s="8"/>
      <c r="E74" s="67"/>
      <c r="F74" s="16"/>
      <c r="G74" s="8"/>
      <c r="H74" s="8"/>
      <c r="I74" s="8"/>
      <c r="J74" s="9"/>
      <c r="K74" s="9">
        <f t="shared" si="31"/>
        <v>0</v>
      </c>
      <c r="L74" s="35">
        <f t="shared" si="32"/>
        <v>0</v>
      </c>
      <c r="M74" s="2"/>
      <c r="O74" s="19"/>
      <c r="P74" s="19"/>
      <c r="Q74" s="19"/>
      <c r="R74" s="21"/>
      <c r="S74" s="46"/>
      <c r="T74" s="44"/>
      <c r="U74" s="77"/>
      <c r="V74" s="24"/>
      <c r="W74" s="24"/>
      <c r="X74" s="193"/>
      <c r="Y74" s="15"/>
      <c r="AA74">
        <v>12</v>
      </c>
      <c r="AB74" s="488"/>
      <c r="AC74" s="92" t="s">
        <v>3</v>
      </c>
      <c r="AD74" s="101"/>
      <c r="AE74" s="94">
        <f>SUM(AE69:AE73)</f>
        <v>0</v>
      </c>
      <c r="AF74" s="94">
        <f t="shared" ref="AF74:AS74" si="34">SUM(AF69:AF73)</f>
        <v>0</v>
      </c>
      <c r="AG74" s="94">
        <f t="shared" si="34"/>
        <v>0</v>
      </c>
      <c r="AH74" s="94">
        <f t="shared" si="34"/>
        <v>0</v>
      </c>
      <c r="AI74" s="105">
        <f t="shared" si="34"/>
        <v>0</v>
      </c>
      <c r="AJ74" s="118">
        <f t="shared" si="34"/>
        <v>0</v>
      </c>
      <c r="AK74" s="119">
        <f t="shared" si="34"/>
        <v>0</v>
      </c>
      <c r="AL74" s="119">
        <f t="shared" si="34"/>
        <v>0</v>
      </c>
      <c r="AM74" s="119">
        <f t="shared" si="34"/>
        <v>0</v>
      </c>
      <c r="AN74" s="120">
        <f t="shared" si="34"/>
        <v>0</v>
      </c>
      <c r="AO74" s="94">
        <f t="shared" si="34"/>
        <v>0</v>
      </c>
      <c r="AP74" s="94">
        <f t="shared" si="34"/>
        <v>0</v>
      </c>
      <c r="AQ74" s="94">
        <f t="shared" si="34"/>
        <v>0</v>
      </c>
      <c r="AR74" s="94">
        <f t="shared" si="34"/>
        <v>0</v>
      </c>
      <c r="AS74" s="94">
        <f t="shared" si="34"/>
        <v>0</v>
      </c>
    </row>
    <row r="75" spans="2:45" ht="17.25" thickBot="1" x14ac:dyDescent="0.3">
      <c r="B75" s="15">
        <v>73</v>
      </c>
      <c r="C75" s="8"/>
      <c r="E75" s="67"/>
      <c r="F75" s="16"/>
      <c r="G75" s="8"/>
      <c r="H75" s="8"/>
      <c r="I75" s="8"/>
      <c r="J75" s="9"/>
      <c r="K75" s="9">
        <f t="shared" si="31"/>
        <v>0</v>
      </c>
      <c r="L75" s="35">
        <f t="shared" si="32"/>
        <v>0</v>
      </c>
      <c r="M75" s="2"/>
      <c r="O75" s="19"/>
      <c r="P75" s="19"/>
      <c r="Q75" s="19"/>
      <c r="R75" s="21"/>
      <c r="S75" s="46"/>
      <c r="T75" s="44"/>
      <c r="U75" s="77"/>
      <c r="V75" s="24"/>
      <c r="W75" s="24"/>
      <c r="X75" s="193"/>
      <c r="Y75" s="15"/>
      <c r="AB75" s="489" t="s">
        <v>31</v>
      </c>
      <c r="AC75" s="490"/>
      <c r="AD75" s="103"/>
      <c r="AE75" s="85">
        <f>SUM(AE8,AE14,AE20,AE26,AE32,AE38,AE44,AE50,AE56,AE62,AE68,AE74)</f>
        <v>0</v>
      </c>
      <c r="AF75" s="85"/>
      <c r="AG75" s="85"/>
      <c r="AH75" s="86"/>
      <c r="AI75" s="86"/>
      <c r="AJ75" s="121"/>
      <c r="AK75" s="122"/>
      <c r="AL75" s="122"/>
      <c r="AM75" s="122"/>
      <c r="AN75" s="123"/>
      <c r="AO75" s="87"/>
      <c r="AP75" s="87"/>
      <c r="AQ75" s="87"/>
      <c r="AR75" s="87"/>
      <c r="AS75" s="88"/>
    </row>
    <row r="76" spans="2:45" x14ac:dyDescent="0.25">
      <c r="B76" s="15">
        <v>74</v>
      </c>
      <c r="C76" s="8"/>
      <c r="E76" s="67"/>
      <c r="F76" s="16"/>
      <c r="G76" s="8"/>
      <c r="H76" s="8"/>
      <c r="I76" s="8"/>
      <c r="J76" s="9"/>
      <c r="K76" s="9">
        <f t="shared" si="31"/>
        <v>0</v>
      </c>
      <c r="L76" s="35">
        <f t="shared" si="32"/>
        <v>0</v>
      </c>
      <c r="M76" s="2"/>
      <c r="O76" s="19"/>
      <c r="P76" s="19"/>
      <c r="Q76" s="19"/>
      <c r="R76" s="21"/>
      <c r="S76" s="46"/>
      <c r="T76" s="44"/>
      <c r="U76" s="77"/>
      <c r="V76" s="30"/>
      <c r="W76" s="24"/>
      <c r="X76" s="193"/>
      <c r="Y76" s="15"/>
    </row>
    <row r="77" spans="2:45" x14ac:dyDescent="0.25">
      <c r="B77" s="15">
        <v>75</v>
      </c>
      <c r="C77" s="8"/>
      <c r="E77" s="67"/>
      <c r="F77" s="16"/>
      <c r="G77" s="8"/>
      <c r="H77" s="8"/>
      <c r="I77" s="8"/>
      <c r="J77" s="9"/>
      <c r="K77" s="9">
        <f t="shared" si="31"/>
        <v>0</v>
      </c>
      <c r="L77" s="35">
        <f t="shared" si="32"/>
        <v>0</v>
      </c>
      <c r="M77" s="2"/>
      <c r="O77" s="19"/>
      <c r="P77" s="19"/>
      <c r="Q77" s="19"/>
      <c r="R77" s="21"/>
      <c r="S77" s="46"/>
      <c r="T77" s="44"/>
      <c r="U77" s="77"/>
      <c r="V77" s="24"/>
      <c r="W77" s="24"/>
      <c r="X77" s="193"/>
      <c r="Y77" s="15"/>
    </row>
    <row r="78" spans="2:45" x14ac:dyDescent="0.25">
      <c r="B78" s="15">
        <v>76</v>
      </c>
      <c r="C78" s="8"/>
      <c r="E78" s="67"/>
      <c r="F78" s="16"/>
      <c r="G78" s="8"/>
      <c r="H78" s="8"/>
      <c r="I78" s="8"/>
      <c r="J78" s="9"/>
      <c r="K78" s="9">
        <f t="shared" si="31"/>
        <v>0</v>
      </c>
      <c r="L78" s="35">
        <f t="shared" si="32"/>
        <v>0</v>
      </c>
      <c r="M78" s="2"/>
      <c r="O78" s="19"/>
      <c r="P78" s="19"/>
      <c r="Q78" s="19"/>
      <c r="R78" s="21"/>
      <c r="S78" s="46"/>
      <c r="T78" s="44"/>
      <c r="U78" s="77"/>
      <c r="V78" s="24"/>
      <c r="W78" s="24"/>
      <c r="X78" s="193"/>
      <c r="Y78" s="15"/>
    </row>
    <row r="79" spans="2:45" x14ac:dyDescent="0.25">
      <c r="B79" s="15">
        <v>77</v>
      </c>
      <c r="C79" s="8"/>
      <c r="E79" s="67"/>
      <c r="F79" s="16"/>
      <c r="G79" s="8"/>
      <c r="H79" s="8"/>
      <c r="I79" s="8"/>
      <c r="J79" s="9"/>
      <c r="K79" s="9">
        <f t="shared" si="31"/>
        <v>0</v>
      </c>
      <c r="L79" s="35">
        <f t="shared" si="32"/>
        <v>0</v>
      </c>
      <c r="M79" s="2"/>
      <c r="O79" s="19"/>
      <c r="P79" s="19"/>
      <c r="Q79" s="19"/>
      <c r="R79" s="21"/>
      <c r="S79" s="46"/>
      <c r="T79" s="44"/>
      <c r="U79" s="77"/>
      <c r="V79" s="24"/>
      <c r="W79" s="24"/>
      <c r="X79" s="193"/>
      <c r="Y79" s="15"/>
    </row>
    <row r="80" spans="2:45" x14ac:dyDescent="0.25">
      <c r="B80" s="15">
        <v>78</v>
      </c>
      <c r="C80" s="8"/>
      <c r="E80" s="67"/>
      <c r="F80" s="16"/>
      <c r="G80" s="8"/>
      <c r="H80" s="8"/>
      <c r="I80" s="8"/>
      <c r="J80" s="9"/>
      <c r="K80" s="9">
        <f t="shared" si="31"/>
        <v>0</v>
      </c>
      <c r="L80" s="35">
        <f t="shared" si="32"/>
        <v>0</v>
      </c>
      <c r="M80" s="2"/>
      <c r="O80" s="19"/>
      <c r="P80" s="19"/>
      <c r="Q80" s="19"/>
      <c r="R80" s="21"/>
      <c r="S80" s="46"/>
      <c r="T80" s="44"/>
      <c r="U80" s="77"/>
      <c r="V80" s="24"/>
      <c r="W80" s="24"/>
      <c r="X80" s="193"/>
      <c r="Y80" s="15"/>
    </row>
    <row r="81" spans="2:25" x14ac:dyDescent="0.25">
      <c r="B81" s="15">
        <v>79</v>
      </c>
      <c r="C81" s="8"/>
      <c r="E81" s="67"/>
      <c r="F81" s="16"/>
      <c r="G81" s="8"/>
      <c r="H81" s="8"/>
      <c r="I81" s="8"/>
      <c r="J81" s="9"/>
      <c r="K81" s="9">
        <f t="shared" si="31"/>
        <v>0</v>
      </c>
      <c r="L81" s="35">
        <f t="shared" si="32"/>
        <v>0</v>
      </c>
      <c r="M81" s="2"/>
      <c r="O81" s="19"/>
      <c r="P81" s="19"/>
      <c r="Q81" s="19"/>
      <c r="R81" s="21"/>
      <c r="S81" s="46"/>
      <c r="T81" s="44"/>
      <c r="U81" s="77"/>
      <c r="V81" s="24"/>
      <c r="W81" s="24"/>
      <c r="X81" s="193"/>
      <c r="Y81" s="15"/>
    </row>
    <row r="82" spans="2:25" x14ac:dyDescent="0.25">
      <c r="B82" s="15">
        <v>80</v>
      </c>
      <c r="C82" s="8"/>
      <c r="E82" s="67"/>
      <c r="F82" s="16"/>
      <c r="G82" s="8"/>
      <c r="H82" s="8"/>
      <c r="I82" s="8"/>
      <c r="J82" s="9"/>
      <c r="K82" s="9">
        <f t="shared" si="31"/>
        <v>0</v>
      </c>
      <c r="L82" s="35">
        <f t="shared" si="32"/>
        <v>0</v>
      </c>
      <c r="M82" s="2"/>
      <c r="O82" s="19"/>
      <c r="P82" s="19"/>
      <c r="Q82" s="19"/>
      <c r="R82" s="21"/>
      <c r="S82" s="46"/>
      <c r="T82" s="44"/>
      <c r="U82" s="77"/>
      <c r="V82" s="30"/>
      <c r="W82" s="24"/>
      <c r="X82" s="193"/>
      <c r="Y82" s="15"/>
    </row>
    <row r="83" spans="2:25" x14ac:dyDescent="0.25">
      <c r="B83" s="15">
        <v>81</v>
      </c>
      <c r="C83" s="8"/>
      <c r="E83" s="67"/>
      <c r="F83" s="16"/>
      <c r="G83" s="8"/>
      <c r="H83" s="8"/>
      <c r="I83" s="8"/>
      <c r="J83" s="9"/>
      <c r="K83" s="9">
        <f t="shared" si="31"/>
        <v>0</v>
      </c>
      <c r="L83" s="35">
        <f t="shared" si="32"/>
        <v>0</v>
      </c>
      <c r="M83" s="2"/>
      <c r="O83" s="19"/>
      <c r="P83" s="19"/>
      <c r="Q83" s="19"/>
      <c r="R83" s="21"/>
      <c r="S83" s="46"/>
      <c r="T83" s="44"/>
      <c r="U83" s="77"/>
      <c r="V83" s="24"/>
      <c r="W83" s="24"/>
      <c r="X83" s="193"/>
      <c r="Y83" s="15"/>
    </row>
    <row r="84" spans="2:25" x14ac:dyDescent="0.25">
      <c r="B84" s="15">
        <v>82</v>
      </c>
      <c r="C84" s="8"/>
      <c r="E84" s="67"/>
      <c r="F84" s="16"/>
      <c r="G84" s="8"/>
      <c r="H84" s="8"/>
      <c r="I84" s="8"/>
      <c r="J84" s="9"/>
      <c r="K84" s="9">
        <f t="shared" si="31"/>
        <v>0</v>
      </c>
      <c r="L84" s="35">
        <f t="shared" si="32"/>
        <v>0</v>
      </c>
      <c r="M84" s="2"/>
      <c r="O84" s="19"/>
      <c r="P84" s="19"/>
      <c r="Q84" s="19"/>
      <c r="R84" s="21"/>
      <c r="S84" s="46"/>
      <c r="T84" s="44"/>
      <c r="U84" s="77"/>
      <c r="V84" s="24"/>
      <c r="W84" s="24"/>
      <c r="X84" s="193"/>
      <c r="Y84" s="15"/>
    </row>
    <row r="85" spans="2:25" x14ac:dyDescent="0.25">
      <c r="B85" s="15">
        <v>83</v>
      </c>
      <c r="C85" s="8"/>
      <c r="E85" s="67"/>
      <c r="F85" s="16"/>
      <c r="G85" s="8"/>
      <c r="H85" s="8"/>
      <c r="I85" s="8"/>
      <c r="J85" s="9"/>
      <c r="K85" s="9">
        <f t="shared" si="31"/>
        <v>0</v>
      </c>
      <c r="L85" s="35">
        <f t="shared" si="32"/>
        <v>0</v>
      </c>
      <c r="M85" s="2"/>
      <c r="O85" s="19"/>
      <c r="P85" s="19"/>
      <c r="Q85" s="19"/>
      <c r="R85" s="21"/>
      <c r="S85" s="46"/>
      <c r="T85" s="44"/>
      <c r="U85" s="77"/>
      <c r="V85" s="24"/>
      <c r="W85" s="24"/>
      <c r="X85" s="193"/>
      <c r="Y85" s="15"/>
    </row>
    <row r="86" spans="2:25" x14ac:dyDescent="0.25">
      <c r="B86" s="15">
        <v>84</v>
      </c>
      <c r="C86" s="8"/>
      <c r="E86" s="67"/>
      <c r="F86" s="16"/>
      <c r="G86" s="8"/>
      <c r="H86" s="8"/>
      <c r="I86" s="8"/>
      <c r="J86" s="9"/>
      <c r="K86" s="9">
        <f t="shared" si="31"/>
        <v>0</v>
      </c>
      <c r="L86" s="35">
        <f t="shared" si="32"/>
        <v>0</v>
      </c>
      <c r="M86" s="2"/>
      <c r="O86" s="19"/>
      <c r="P86" s="19"/>
      <c r="Q86" s="19"/>
      <c r="R86" s="21"/>
      <c r="S86" s="46"/>
      <c r="T86" s="44"/>
      <c r="U86" s="77"/>
      <c r="V86" s="24"/>
      <c r="W86" s="24"/>
      <c r="X86" s="193"/>
      <c r="Y86" s="15"/>
    </row>
    <row r="87" spans="2:25" x14ac:dyDescent="0.25">
      <c r="B87" s="15">
        <v>85</v>
      </c>
      <c r="C87" s="8"/>
      <c r="E87" s="67"/>
      <c r="F87" s="16"/>
      <c r="G87" s="8"/>
      <c r="H87" s="8"/>
      <c r="I87" s="8"/>
      <c r="J87" s="9"/>
      <c r="K87" s="9">
        <f t="shared" si="31"/>
        <v>0</v>
      </c>
      <c r="L87" s="35">
        <f t="shared" si="32"/>
        <v>0</v>
      </c>
      <c r="M87" s="2"/>
      <c r="O87" s="19"/>
      <c r="P87" s="19"/>
      <c r="Q87" s="19"/>
      <c r="R87" s="21"/>
      <c r="S87" s="46"/>
      <c r="T87" s="44"/>
      <c r="U87" s="77"/>
      <c r="V87" s="24"/>
      <c r="W87" s="24"/>
      <c r="X87" s="193"/>
      <c r="Y87" s="15"/>
    </row>
    <row r="88" spans="2:25" x14ac:dyDescent="0.25">
      <c r="B88" s="15">
        <v>86</v>
      </c>
      <c r="C88" s="8"/>
      <c r="E88" s="67"/>
      <c r="F88" s="16"/>
      <c r="G88" s="8"/>
      <c r="H88" s="8"/>
      <c r="I88" s="8"/>
      <c r="J88" s="9"/>
      <c r="K88" s="9">
        <f t="shared" si="31"/>
        <v>0</v>
      </c>
      <c r="L88" s="35">
        <f t="shared" si="32"/>
        <v>0</v>
      </c>
      <c r="M88" s="2"/>
      <c r="O88" s="19"/>
      <c r="P88" s="19"/>
      <c r="Q88" s="19"/>
      <c r="R88" s="21"/>
      <c r="S88" s="46"/>
      <c r="T88" s="44"/>
      <c r="U88" s="77"/>
      <c r="V88" s="30"/>
      <c r="W88" s="24"/>
      <c r="X88" s="193"/>
      <c r="Y88" s="15"/>
    </row>
    <row r="89" spans="2:25" x14ac:dyDescent="0.25">
      <c r="B89" s="15">
        <v>87</v>
      </c>
      <c r="C89" s="8"/>
      <c r="E89" s="67"/>
      <c r="F89" s="16"/>
      <c r="G89" s="8"/>
      <c r="H89" s="8"/>
      <c r="I89" s="8"/>
      <c r="J89" s="9"/>
      <c r="K89" s="9">
        <f t="shared" si="31"/>
        <v>0</v>
      </c>
      <c r="L89" s="35">
        <f t="shared" si="32"/>
        <v>0</v>
      </c>
      <c r="M89" s="2"/>
      <c r="O89" s="19"/>
      <c r="P89" s="19"/>
      <c r="Q89" s="19"/>
      <c r="R89" s="21"/>
      <c r="S89" s="46"/>
      <c r="T89" s="44"/>
      <c r="U89" s="77"/>
      <c r="V89" s="30"/>
      <c r="W89" s="24"/>
      <c r="X89" s="193"/>
      <c r="Y89" s="15"/>
    </row>
    <row r="90" spans="2:25" x14ac:dyDescent="0.25">
      <c r="B90" s="15">
        <v>88</v>
      </c>
      <c r="C90" s="8"/>
      <c r="E90" s="67"/>
      <c r="F90" s="16"/>
      <c r="G90" s="8"/>
      <c r="H90" s="8"/>
      <c r="I90" s="8"/>
      <c r="J90" s="9"/>
      <c r="K90" s="9">
        <f t="shared" si="31"/>
        <v>0</v>
      </c>
      <c r="L90" s="35">
        <f t="shared" si="32"/>
        <v>0</v>
      </c>
      <c r="M90" s="2"/>
      <c r="O90" s="19"/>
      <c r="P90" s="19"/>
      <c r="Q90" s="19"/>
      <c r="R90" s="21"/>
      <c r="S90" s="46"/>
      <c r="T90" s="44"/>
      <c r="U90" s="77"/>
      <c r="V90" s="24"/>
      <c r="W90" s="24"/>
      <c r="X90" s="193"/>
      <c r="Y90" s="15"/>
    </row>
    <row r="91" spans="2:25" x14ac:dyDescent="0.25">
      <c r="B91" s="15">
        <v>89</v>
      </c>
      <c r="C91" s="8"/>
      <c r="E91" s="67"/>
      <c r="F91" s="16"/>
      <c r="G91" s="8"/>
      <c r="H91" s="8"/>
      <c r="I91" s="8"/>
      <c r="J91" s="9"/>
      <c r="K91" s="9">
        <f t="shared" si="31"/>
        <v>0</v>
      </c>
      <c r="L91" s="35">
        <f t="shared" si="32"/>
        <v>0</v>
      </c>
      <c r="M91" s="2"/>
      <c r="O91" s="19"/>
      <c r="P91" s="19"/>
      <c r="Q91" s="19"/>
      <c r="R91" s="21"/>
      <c r="S91" s="46"/>
      <c r="T91" s="44"/>
      <c r="U91" s="77"/>
      <c r="V91" s="24"/>
      <c r="W91" s="24"/>
      <c r="X91" s="193"/>
      <c r="Y91" s="15"/>
    </row>
    <row r="92" spans="2:25" x14ac:dyDescent="0.25">
      <c r="B92" s="15">
        <v>90</v>
      </c>
      <c r="C92" s="8"/>
      <c r="E92" s="67"/>
      <c r="F92" s="16"/>
      <c r="G92" s="8"/>
      <c r="H92" s="8"/>
      <c r="I92" s="8"/>
      <c r="J92" s="9"/>
      <c r="K92" s="9">
        <f t="shared" si="31"/>
        <v>0</v>
      </c>
      <c r="L92" s="35">
        <f t="shared" si="32"/>
        <v>0</v>
      </c>
      <c r="M92" s="2"/>
      <c r="O92" s="19"/>
      <c r="P92" s="19"/>
      <c r="Q92" s="19"/>
      <c r="R92" s="21"/>
      <c r="S92" s="46"/>
      <c r="T92" s="44"/>
      <c r="U92" s="77"/>
      <c r="V92" s="24"/>
      <c r="W92" s="24"/>
      <c r="X92" s="193"/>
      <c r="Y92" s="15"/>
    </row>
    <row r="93" spans="2:25" x14ac:dyDescent="0.25">
      <c r="B93" s="15">
        <v>91</v>
      </c>
      <c r="C93" s="8"/>
      <c r="E93" s="67"/>
      <c r="F93" s="16"/>
      <c r="G93" s="8"/>
      <c r="H93" s="8"/>
      <c r="I93" s="8"/>
      <c r="J93" s="9"/>
      <c r="K93" s="9">
        <f t="shared" si="31"/>
        <v>0</v>
      </c>
      <c r="L93" s="35">
        <f t="shared" si="32"/>
        <v>0</v>
      </c>
      <c r="M93" s="2"/>
      <c r="O93" s="19"/>
      <c r="P93" s="19"/>
      <c r="Q93" s="19"/>
      <c r="R93" s="21"/>
      <c r="S93" s="46"/>
      <c r="T93" s="44"/>
      <c r="U93" s="77"/>
      <c r="V93" s="24"/>
      <c r="W93" s="24"/>
      <c r="X93" s="193"/>
      <c r="Y93" s="15"/>
    </row>
    <row r="94" spans="2:25" x14ac:dyDescent="0.25">
      <c r="B94" s="15">
        <v>92</v>
      </c>
      <c r="C94" s="8"/>
      <c r="E94" s="67"/>
      <c r="F94" s="16"/>
      <c r="G94" s="8"/>
      <c r="H94" s="8"/>
      <c r="I94" s="8"/>
      <c r="J94" s="9"/>
      <c r="K94" s="9">
        <f t="shared" si="31"/>
        <v>0</v>
      </c>
      <c r="L94" s="35">
        <f t="shared" si="32"/>
        <v>0</v>
      </c>
      <c r="M94" s="2"/>
      <c r="O94" s="19"/>
      <c r="P94" s="19"/>
      <c r="Q94" s="19"/>
      <c r="R94" s="21"/>
      <c r="S94" s="46"/>
      <c r="T94" s="44"/>
      <c r="U94" s="77"/>
      <c r="V94" s="24"/>
      <c r="W94" s="24"/>
      <c r="X94" s="193"/>
      <c r="Y94" s="15"/>
    </row>
    <row r="95" spans="2:25" x14ac:dyDescent="0.25">
      <c r="B95" s="15">
        <v>93</v>
      </c>
      <c r="C95" s="8"/>
      <c r="E95" s="67"/>
      <c r="F95" s="16"/>
      <c r="G95" s="8"/>
      <c r="H95" s="8"/>
      <c r="I95" s="8"/>
      <c r="J95" s="9"/>
      <c r="K95" s="9">
        <f t="shared" si="31"/>
        <v>0</v>
      </c>
      <c r="L95" s="35">
        <f t="shared" si="32"/>
        <v>0</v>
      </c>
      <c r="M95" s="2"/>
      <c r="O95" s="19"/>
      <c r="P95" s="19"/>
      <c r="Q95" s="19"/>
      <c r="R95" s="46"/>
      <c r="S95" s="46"/>
      <c r="T95" s="44"/>
      <c r="U95" s="77"/>
      <c r="V95" s="30"/>
      <c r="W95" s="24"/>
      <c r="X95" s="193"/>
      <c r="Y95" s="15"/>
    </row>
    <row r="96" spans="2:25" x14ac:dyDescent="0.25">
      <c r="B96" s="15">
        <v>94</v>
      </c>
      <c r="C96" s="8"/>
      <c r="E96" s="67"/>
      <c r="F96" s="16"/>
      <c r="G96" s="8"/>
      <c r="H96" s="8"/>
      <c r="I96" s="8"/>
      <c r="J96" s="9"/>
      <c r="K96" s="9">
        <f t="shared" si="31"/>
        <v>0</v>
      </c>
      <c r="L96" s="35">
        <f t="shared" si="32"/>
        <v>0</v>
      </c>
      <c r="M96" s="2"/>
      <c r="O96" s="19"/>
      <c r="P96" s="19"/>
      <c r="Q96" s="19"/>
      <c r="R96" s="254"/>
      <c r="S96" s="46"/>
      <c r="T96" s="44"/>
      <c r="U96" s="77"/>
      <c r="V96" s="30"/>
      <c r="W96" s="24"/>
      <c r="X96" s="193"/>
      <c r="Y96" s="15"/>
    </row>
    <row r="97" spans="2:25" x14ac:dyDescent="0.25">
      <c r="B97" s="15">
        <v>95</v>
      </c>
      <c r="C97" s="8"/>
      <c r="E97" s="67"/>
      <c r="F97" s="16"/>
      <c r="G97" s="8"/>
      <c r="H97" s="8"/>
      <c r="I97" s="8"/>
      <c r="J97" s="9"/>
      <c r="K97" s="9">
        <f t="shared" si="31"/>
        <v>0</v>
      </c>
      <c r="L97" s="35">
        <f t="shared" si="32"/>
        <v>0</v>
      </c>
      <c r="M97" s="2"/>
      <c r="O97" s="19"/>
      <c r="P97" s="19"/>
      <c r="Q97" s="19"/>
      <c r="R97" s="21"/>
      <c r="S97" s="46"/>
      <c r="T97" s="44"/>
      <c r="U97" s="77"/>
      <c r="V97" s="30"/>
      <c r="W97" s="24"/>
      <c r="X97" s="193"/>
      <c r="Y97" s="15"/>
    </row>
    <row r="98" spans="2:25" x14ac:dyDescent="0.25">
      <c r="B98" s="15">
        <v>96</v>
      </c>
      <c r="C98" s="8"/>
      <c r="E98" s="67"/>
      <c r="F98" s="16"/>
      <c r="G98" s="8"/>
      <c r="H98" s="8"/>
      <c r="I98" s="8"/>
      <c r="J98" s="9"/>
      <c r="K98" s="9">
        <f t="shared" si="31"/>
        <v>0</v>
      </c>
      <c r="L98" s="35">
        <f t="shared" si="32"/>
        <v>0</v>
      </c>
      <c r="M98" s="2"/>
      <c r="O98" s="19"/>
      <c r="P98" s="19"/>
      <c r="Q98" s="19"/>
      <c r="R98" s="21"/>
      <c r="S98" s="46"/>
      <c r="T98" s="44"/>
      <c r="U98" s="77"/>
      <c r="V98" s="24"/>
      <c r="W98" s="24"/>
      <c r="X98" s="193"/>
      <c r="Y98" s="15"/>
    </row>
    <row r="99" spans="2:25" x14ac:dyDescent="0.25">
      <c r="B99" s="15">
        <v>97</v>
      </c>
      <c r="C99" s="8"/>
      <c r="E99" s="67"/>
      <c r="F99" s="16"/>
      <c r="G99" s="8"/>
      <c r="H99" s="8"/>
      <c r="I99" s="8"/>
      <c r="J99" s="9"/>
      <c r="K99" s="9">
        <f t="shared" si="31"/>
        <v>0</v>
      </c>
      <c r="L99" s="35">
        <f t="shared" si="32"/>
        <v>0</v>
      </c>
      <c r="M99" s="2"/>
      <c r="O99" s="19"/>
      <c r="P99" s="19"/>
      <c r="Q99" s="19"/>
      <c r="R99" s="21"/>
      <c r="S99" s="46"/>
      <c r="T99" s="44"/>
      <c r="U99" s="77"/>
      <c r="V99" s="24"/>
      <c r="W99" s="24"/>
      <c r="X99" s="193"/>
      <c r="Y99" s="15"/>
    </row>
    <row r="100" spans="2:25" x14ac:dyDescent="0.25">
      <c r="B100" s="15">
        <v>98</v>
      </c>
      <c r="C100" s="8"/>
      <c r="E100" s="67"/>
      <c r="F100" s="16"/>
      <c r="G100" s="8"/>
      <c r="H100" s="8"/>
      <c r="I100" s="8"/>
      <c r="J100" s="9"/>
      <c r="K100" s="9">
        <f t="shared" si="31"/>
        <v>0</v>
      </c>
      <c r="L100" s="35">
        <f t="shared" si="32"/>
        <v>0</v>
      </c>
      <c r="M100" s="2"/>
      <c r="O100" s="19"/>
      <c r="P100" s="19"/>
      <c r="Q100" s="19"/>
      <c r="R100" s="21"/>
      <c r="S100" s="46"/>
      <c r="T100" s="44"/>
      <c r="U100" s="77"/>
      <c r="V100" s="24"/>
      <c r="W100" s="24"/>
      <c r="X100" s="193"/>
      <c r="Y100" s="15"/>
    </row>
    <row r="101" spans="2:25" x14ac:dyDescent="0.25">
      <c r="B101" s="15">
        <v>99</v>
      </c>
      <c r="C101" s="8"/>
      <c r="E101" s="67"/>
      <c r="F101" s="16"/>
      <c r="G101" s="8"/>
      <c r="H101" s="8"/>
      <c r="I101" s="8"/>
      <c r="J101" s="9"/>
      <c r="K101" s="9">
        <f t="shared" si="31"/>
        <v>0</v>
      </c>
      <c r="L101" s="35">
        <f t="shared" si="32"/>
        <v>0</v>
      </c>
      <c r="M101" s="2"/>
      <c r="O101" s="19"/>
      <c r="P101" s="19"/>
      <c r="Q101" s="19"/>
      <c r="R101" s="21"/>
      <c r="S101" s="46"/>
      <c r="T101" s="44"/>
      <c r="U101" s="77"/>
      <c r="V101" s="24"/>
      <c r="W101" s="24"/>
      <c r="X101" s="193"/>
      <c r="Y101" s="15"/>
    </row>
    <row r="102" spans="2:25" x14ac:dyDescent="0.25">
      <c r="B102" s="15">
        <v>100</v>
      </c>
      <c r="C102" s="8"/>
      <c r="E102" s="67"/>
      <c r="F102" s="16"/>
      <c r="G102" s="8"/>
      <c r="H102" s="8"/>
      <c r="I102" s="8"/>
      <c r="J102" s="9"/>
      <c r="K102" s="9">
        <f t="shared" si="31"/>
        <v>0</v>
      </c>
      <c r="L102" s="35">
        <f t="shared" si="32"/>
        <v>0</v>
      </c>
      <c r="M102" s="2"/>
      <c r="O102" s="19"/>
      <c r="P102" s="19"/>
      <c r="Q102" s="19"/>
      <c r="R102" s="21"/>
      <c r="S102" s="46"/>
      <c r="T102" s="44"/>
      <c r="U102" s="77"/>
      <c r="V102" s="24"/>
      <c r="W102" s="24"/>
      <c r="X102" s="193"/>
      <c r="Y102" s="15"/>
    </row>
    <row r="103" spans="2:25" x14ac:dyDescent="0.25">
      <c r="B103" s="15">
        <v>101</v>
      </c>
      <c r="C103" s="8"/>
      <c r="E103" s="67"/>
      <c r="F103" s="16"/>
      <c r="G103" s="8"/>
      <c r="H103" s="8"/>
      <c r="I103" s="8"/>
      <c r="J103" s="9"/>
      <c r="K103" s="9">
        <f t="shared" si="31"/>
        <v>0</v>
      </c>
      <c r="L103" s="35">
        <f t="shared" si="32"/>
        <v>0</v>
      </c>
      <c r="M103" s="2"/>
      <c r="O103" s="19"/>
      <c r="P103" s="19"/>
      <c r="Q103" s="19"/>
      <c r="R103" s="21"/>
      <c r="S103" s="46"/>
      <c r="T103" s="44"/>
      <c r="U103" s="77"/>
      <c r="V103" s="30"/>
      <c r="W103" s="24"/>
      <c r="X103" s="193"/>
      <c r="Y103" s="15"/>
    </row>
    <row r="104" spans="2:25" x14ac:dyDescent="0.25">
      <c r="B104" s="15">
        <v>102</v>
      </c>
      <c r="C104" s="8"/>
      <c r="E104" s="67"/>
      <c r="F104" s="16"/>
      <c r="G104" s="8"/>
      <c r="H104" s="8"/>
      <c r="I104" s="8"/>
      <c r="J104" s="9"/>
      <c r="K104" s="9">
        <f t="shared" si="31"/>
        <v>0</v>
      </c>
      <c r="L104" s="35">
        <f t="shared" si="32"/>
        <v>0</v>
      </c>
      <c r="M104" s="2"/>
      <c r="O104" s="19"/>
      <c r="P104" s="19"/>
      <c r="Q104" s="19"/>
      <c r="R104" s="21"/>
      <c r="S104" s="46"/>
      <c r="T104" s="44"/>
      <c r="U104" s="77"/>
      <c r="V104" s="24"/>
      <c r="W104" s="24"/>
      <c r="X104" s="193"/>
      <c r="Y104" s="15"/>
    </row>
    <row r="105" spans="2:25" x14ac:dyDescent="0.25">
      <c r="B105" s="15">
        <v>103</v>
      </c>
      <c r="C105" s="8"/>
      <c r="E105" s="67"/>
      <c r="F105" s="16"/>
      <c r="G105" s="8"/>
      <c r="H105" s="8"/>
      <c r="I105" s="8"/>
      <c r="J105" s="9"/>
      <c r="K105" s="9">
        <f t="shared" si="31"/>
        <v>0</v>
      </c>
      <c r="L105" s="35">
        <f t="shared" si="32"/>
        <v>0</v>
      </c>
      <c r="M105" s="2"/>
      <c r="O105" s="19"/>
      <c r="P105" s="19"/>
      <c r="Q105" s="19"/>
      <c r="R105" s="21"/>
      <c r="S105" s="46"/>
      <c r="T105" s="44"/>
      <c r="U105" s="77"/>
      <c r="V105" s="24"/>
      <c r="W105" s="24"/>
      <c r="X105" s="193"/>
      <c r="Y105" s="15"/>
    </row>
    <row r="106" spans="2:25" x14ac:dyDescent="0.25">
      <c r="B106" s="15">
        <v>104</v>
      </c>
      <c r="C106" s="8"/>
      <c r="E106" s="67"/>
      <c r="F106" s="255"/>
      <c r="G106" s="8"/>
      <c r="H106" s="8"/>
      <c r="I106" s="8"/>
      <c r="J106" s="9"/>
      <c r="K106" s="9">
        <f t="shared" si="31"/>
        <v>0</v>
      </c>
      <c r="L106" s="35">
        <f t="shared" si="32"/>
        <v>0</v>
      </c>
      <c r="M106" s="2"/>
      <c r="O106" s="19"/>
      <c r="P106" s="19"/>
      <c r="Q106" s="19"/>
      <c r="R106" s="21"/>
      <c r="S106" s="46"/>
      <c r="T106" s="44"/>
      <c r="U106" s="77"/>
      <c r="V106" s="24"/>
      <c r="W106" s="24"/>
      <c r="X106" s="193"/>
      <c r="Y106" s="15"/>
    </row>
    <row r="107" spans="2:25" x14ac:dyDescent="0.25">
      <c r="B107" s="15">
        <v>105</v>
      </c>
      <c r="C107" s="8"/>
      <c r="E107" s="67"/>
      <c r="F107" s="16"/>
      <c r="G107" s="8"/>
      <c r="H107" s="8"/>
      <c r="I107" s="8"/>
      <c r="J107" s="9"/>
      <c r="K107" s="9">
        <f t="shared" si="31"/>
        <v>0</v>
      </c>
      <c r="L107" s="35">
        <f t="shared" si="32"/>
        <v>0</v>
      </c>
      <c r="M107" s="2"/>
      <c r="O107" s="19"/>
      <c r="P107" s="19"/>
      <c r="Q107" s="19"/>
      <c r="R107" s="21"/>
      <c r="S107" s="46"/>
      <c r="T107" s="44"/>
      <c r="U107" s="77"/>
      <c r="V107" s="24"/>
      <c r="W107" s="24"/>
      <c r="X107" s="193"/>
      <c r="Y107" s="15"/>
    </row>
    <row r="108" spans="2:25" x14ac:dyDescent="0.25">
      <c r="B108" s="15">
        <v>106</v>
      </c>
      <c r="C108" s="8"/>
      <c r="E108" s="67"/>
      <c r="F108" s="16"/>
      <c r="G108" s="8"/>
      <c r="H108" s="8"/>
      <c r="I108" s="8"/>
      <c r="J108" s="9"/>
      <c r="K108" s="9">
        <f t="shared" si="31"/>
        <v>0</v>
      </c>
      <c r="L108" s="35">
        <f t="shared" si="32"/>
        <v>0</v>
      </c>
      <c r="M108" s="2"/>
      <c r="O108" s="19"/>
      <c r="P108" s="19"/>
      <c r="Q108" s="19"/>
      <c r="R108" s="21"/>
      <c r="S108" s="46"/>
      <c r="T108" s="44"/>
      <c r="U108" s="77"/>
      <c r="V108" s="24"/>
      <c r="W108" s="24"/>
      <c r="X108" s="193"/>
      <c r="Y108" s="15"/>
    </row>
    <row r="109" spans="2:25" x14ac:dyDescent="0.25">
      <c r="B109" s="15">
        <v>107</v>
      </c>
      <c r="C109" s="8"/>
      <c r="E109" s="67"/>
      <c r="F109" s="16"/>
      <c r="G109" s="8"/>
      <c r="H109" s="8"/>
      <c r="I109" s="8"/>
      <c r="J109" s="9"/>
      <c r="K109" s="9">
        <f t="shared" si="31"/>
        <v>0</v>
      </c>
      <c r="L109" s="35">
        <f t="shared" si="32"/>
        <v>0</v>
      </c>
      <c r="M109" s="2"/>
      <c r="O109" s="19"/>
      <c r="P109" s="19"/>
      <c r="Q109" s="19"/>
      <c r="R109" s="21"/>
      <c r="S109" s="46"/>
      <c r="T109" s="44"/>
      <c r="U109" s="77"/>
      <c r="V109" s="30"/>
      <c r="W109" s="24"/>
      <c r="X109" s="193"/>
      <c r="Y109" s="15"/>
    </row>
    <row r="110" spans="2:25" x14ac:dyDescent="0.25">
      <c r="B110" s="15">
        <v>108</v>
      </c>
      <c r="C110" s="8"/>
      <c r="E110" s="67"/>
      <c r="F110" s="16"/>
      <c r="G110" s="8"/>
      <c r="H110" s="8"/>
      <c r="I110" s="8"/>
      <c r="J110" s="9"/>
      <c r="K110" s="9">
        <f t="shared" si="31"/>
        <v>0</v>
      </c>
      <c r="L110" s="35">
        <f t="shared" si="32"/>
        <v>0</v>
      </c>
      <c r="M110" s="2"/>
      <c r="O110" s="19"/>
      <c r="P110" s="19"/>
      <c r="Q110" s="19"/>
      <c r="R110" s="21"/>
      <c r="S110" s="46"/>
      <c r="T110" s="44"/>
      <c r="U110" s="77"/>
      <c r="V110" s="30"/>
      <c r="W110" s="24"/>
      <c r="X110" s="193"/>
      <c r="Y110" s="15"/>
    </row>
    <row r="111" spans="2:25" x14ac:dyDescent="0.25">
      <c r="B111" s="15">
        <v>109</v>
      </c>
      <c r="C111" s="8"/>
      <c r="E111" s="67"/>
      <c r="F111" s="16"/>
      <c r="G111" s="8"/>
      <c r="H111" s="8"/>
      <c r="I111" s="8"/>
      <c r="J111" s="9"/>
      <c r="K111" s="9">
        <f t="shared" si="31"/>
        <v>0</v>
      </c>
      <c r="L111" s="35">
        <f t="shared" si="32"/>
        <v>0</v>
      </c>
      <c r="M111" s="2"/>
      <c r="O111" s="19"/>
      <c r="P111" s="19"/>
      <c r="Q111" s="19"/>
      <c r="R111" s="21"/>
      <c r="S111" s="46"/>
      <c r="T111" s="44"/>
      <c r="U111" s="77"/>
      <c r="V111" s="30"/>
      <c r="W111" s="24"/>
      <c r="X111" s="193"/>
      <c r="Y111" s="15"/>
    </row>
    <row r="112" spans="2:25" x14ac:dyDescent="0.25">
      <c r="B112" s="15">
        <v>110</v>
      </c>
      <c r="C112" s="8"/>
      <c r="E112" s="67"/>
      <c r="F112" s="16"/>
      <c r="G112" s="8"/>
      <c r="H112" s="8"/>
      <c r="I112" s="8"/>
      <c r="J112" s="9"/>
      <c r="K112" s="9">
        <f t="shared" si="31"/>
        <v>0</v>
      </c>
      <c r="L112" s="35">
        <f t="shared" si="32"/>
        <v>0</v>
      </c>
      <c r="M112" s="2"/>
      <c r="O112" s="19"/>
      <c r="P112" s="19"/>
      <c r="Q112" s="19"/>
      <c r="R112" s="21"/>
      <c r="S112" s="46"/>
      <c r="T112" s="44"/>
      <c r="U112" s="77"/>
      <c r="V112" s="24"/>
      <c r="W112" s="24"/>
      <c r="X112" s="193"/>
      <c r="Y112" s="15"/>
    </row>
    <row r="113" spans="2:25" x14ac:dyDescent="0.25">
      <c r="B113" s="15">
        <v>111</v>
      </c>
      <c r="C113" s="8"/>
      <c r="E113" s="67"/>
      <c r="F113" s="16"/>
      <c r="G113" s="8"/>
      <c r="H113" s="8"/>
      <c r="I113" s="8"/>
      <c r="J113" s="9"/>
      <c r="K113" s="9">
        <f t="shared" si="31"/>
        <v>0</v>
      </c>
      <c r="L113" s="35">
        <f t="shared" si="32"/>
        <v>0</v>
      </c>
      <c r="M113" s="2"/>
      <c r="O113" s="19"/>
      <c r="P113" s="19"/>
      <c r="Q113" s="19"/>
      <c r="R113" s="21"/>
      <c r="S113" s="46"/>
      <c r="T113" s="44"/>
      <c r="U113" s="77"/>
      <c r="V113" s="24"/>
      <c r="W113" s="24"/>
      <c r="X113" s="193"/>
      <c r="Y113" s="15"/>
    </row>
    <row r="114" spans="2:25" x14ac:dyDescent="0.25">
      <c r="B114" s="15">
        <v>112</v>
      </c>
      <c r="C114" s="8"/>
      <c r="E114" s="67"/>
      <c r="F114" s="16"/>
      <c r="G114" s="8"/>
      <c r="H114" s="8"/>
      <c r="I114" s="8"/>
      <c r="J114" s="9"/>
      <c r="K114" s="9">
        <f t="shared" si="31"/>
        <v>0</v>
      </c>
      <c r="L114" s="35">
        <f t="shared" si="32"/>
        <v>0</v>
      </c>
      <c r="M114" s="2"/>
      <c r="O114" s="19"/>
      <c r="P114" s="19"/>
      <c r="Q114" s="19"/>
      <c r="R114" s="21"/>
      <c r="S114" s="46"/>
      <c r="T114" s="44"/>
      <c r="U114" s="77"/>
      <c r="V114" s="24"/>
      <c r="W114" s="24"/>
      <c r="X114" s="193"/>
      <c r="Y114" s="15"/>
    </row>
    <row r="115" spans="2:25" x14ac:dyDescent="0.25">
      <c r="B115" s="15">
        <v>113</v>
      </c>
      <c r="C115" s="8"/>
      <c r="E115" s="67"/>
      <c r="F115" s="16"/>
      <c r="G115" s="8"/>
      <c r="H115" s="8"/>
      <c r="I115" s="8"/>
      <c r="J115" s="9"/>
      <c r="K115" s="9">
        <f t="shared" si="31"/>
        <v>0</v>
      </c>
      <c r="L115" s="35">
        <f t="shared" si="32"/>
        <v>0</v>
      </c>
      <c r="M115" s="2"/>
      <c r="O115" s="19"/>
      <c r="P115" s="19"/>
      <c r="Q115" s="19"/>
      <c r="R115" s="21"/>
      <c r="S115" s="46"/>
      <c r="T115" s="44"/>
      <c r="U115" s="77"/>
      <c r="V115" s="24"/>
      <c r="W115" s="24"/>
      <c r="X115" s="193"/>
      <c r="Y115" s="15"/>
    </row>
    <row r="116" spans="2:25" x14ac:dyDescent="0.25">
      <c r="B116" s="15">
        <v>114</v>
      </c>
      <c r="C116" s="8"/>
      <c r="E116" s="67"/>
      <c r="F116" s="16"/>
      <c r="G116" s="8"/>
      <c r="H116" s="8"/>
      <c r="I116" s="8"/>
      <c r="J116" s="9"/>
      <c r="K116" s="9">
        <f t="shared" si="31"/>
        <v>0</v>
      </c>
      <c r="L116" s="35">
        <f t="shared" si="32"/>
        <v>0</v>
      </c>
      <c r="M116" s="2"/>
      <c r="O116" s="19"/>
      <c r="P116" s="19"/>
      <c r="Q116" s="19"/>
      <c r="R116" s="21"/>
      <c r="S116" s="46"/>
      <c r="T116" s="44"/>
      <c r="U116" s="77"/>
      <c r="V116" s="30"/>
      <c r="W116" s="24"/>
      <c r="X116" s="193"/>
      <c r="Y116" s="15"/>
    </row>
    <row r="117" spans="2:25" x14ac:dyDescent="0.25">
      <c r="B117" s="15">
        <v>115</v>
      </c>
      <c r="C117" s="8"/>
      <c r="E117" s="67"/>
      <c r="F117" s="16"/>
      <c r="G117" s="8"/>
      <c r="H117" s="8"/>
      <c r="I117" s="8"/>
      <c r="J117" s="9"/>
      <c r="K117" s="9">
        <f t="shared" si="31"/>
        <v>0</v>
      </c>
      <c r="L117" s="35">
        <f t="shared" si="32"/>
        <v>0</v>
      </c>
      <c r="M117" s="2"/>
      <c r="O117" s="19"/>
      <c r="P117" s="19"/>
      <c r="Q117" s="19"/>
      <c r="R117" s="21"/>
      <c r="S117" s="46"/>
      <c r="T117" s="44"/>
      <c r="U117" s="77"/>
      <c r="V117" s="30"/>
      <c r="W117" s="24"/>
      <c r="X117" s="193"/>
      <c r="Y117" s="15"/>
    </row>
    <row r="118" spans="2:25" x14ac:dyDescent="0.25">
      <c r="B118" s="15">
        <v>116</v>
      </c>
      <c r="C118" s="8"/>
      <c r="E118" s="67"/>
      <c r="F118" s="16"/>
      <c r="G118" s="8"/>
      <c r="H118" s="8"/>
      <c r="I118" s="8"/>
      <c r="J118" s="9"/>
      <c r="K118" s="9">
        <f t="shared" si="31"/>
        <v>0</v>
      </c>
      <c r="L118" s="35">
        <f t="shared" si="32"/>
        <v>0</v>
      </c>
      <c r="M118" s="2"/>
      <c r="O118" s="19"/>
      <c r="P118" s="19"/>
      <c r="Q118" s="19"/>
      <c r="R118" s="21"/>
      <c r="S118" s="46"/>
      <c r="T118" s="44"/>
      <c r="U118" s="77"/>
      <c r="V118" s="30"/>
      <c r="W118" s="24"/>
      <c r="X118" s="193"/>
      <c r="Y118" s="15"/>
    </row>
    <row r="119" spans="2:25" x14ac:dyDescent="0.25">
      <c r="B119" s="15">
        <v>117</v>
      </c>
      <c r="C119" s="8"/>
      <c r="E119" s="67"/>
      <c r="F119" s="16"/>
      <c r="G119" s="8"/>
      <c r="H119" s="8"/>
      <c r="I119" s="8"/>
      <c r="J119" s="9"/>
      <c r="K119" s="9">
        <f t="shared" si="31"/>
        <v>0</v>
      </c>
      <c r="L119" s="35">
        <f t="shared" si="32"/>
        <v>0</v>
      </c>
      <c r="M119" s="2"/>
      <c r="O119" s="19"/>
      <c r="P119" s="19"/>
      <c r="Q119" s="19"/>
      <c r="R119" s="21"/>
      <c r="S119" s="46"/>
      <c r="T119" s="44"/>
      <c r="U119" s="77"/>
      <c r="V119" s="30"/>
      <c r="W119" s="24"/>
      <c r="X119" s="193"/>
      <c r="Y119" s="15"/>
    </row>
    <row r="120" spans="2:25" x14ac:dyDescent="0.25">
      <c r="B120" s="15">
        <v>118</v>
      </c>
      <c r="C120" s="8"/>
      <c r="E120" s="67"/>
      <c r="G120" s="8"/>
      <c r="H120" s="8"/>
      <c r="I120" s="8"/>
      <c r="J120" s="9"/>
      <c r="K120" s="9">
        <f t="shared" si="31"/>
        <v>0</v>
      </c>
      <c r="L120" s="35">
        <f t="shared" si="32"/>
        <v>0</v>
      </c>
      <c r="M120" s="2"/>
      <c r="O120" s="19"/>
      <c r="P120" s="19"/>
      <c r="Q120" s="19"/>
      <c r="R120" s="21"/>
      <c r="S120" s="46"/>
      <c r="T120" s="44"/>
      <c r="U120" s="77"/>
      <c r="V120" s="24"/>
      <c r="W120" s="24"/>
      <c r="X120" s="193"/>
      <c r="Y120" s="15"/>
    </row>
    <row r="121" spans="2:25" x14ac:dyDescent="0.25">
      <c r="B121" s="15">
        <v>119</v>
      </c>
      <c r="C121" s="8"/>
      <c r="E121" s="67"/>
      <c r="G121" s="8"/>
      <c r="H121" s="8"/>
      <c r="I121" s="8"/>
      <c r="J121" s="9"/>
      <c r="K121" s="9">
        <f t="shared" si="31"/>
        <v>0</v>
      </c>
      <c r="L121" s="35">
        <f t="shared" si="32"/>
        <v>0</v>
      </c>
      <c r="M121" s="2"/>
      <c r="O121" s="19"/>
      <c r="P121" s="19"/>
      <c r="Q121" s="19"/>
      <c r="R121" s="21"/>
      <c r="S121" s="46"/>
      <c r="T121" s="44"/>
      <c r="U121" s="77"/>
      <c r="V121" s="24"/>
      <c r="W121" s="24"/>
      <c r="X121" s="193"/>
      <c r="Y121" s="15"/>
    </row>
    <row r="122" spans="2:25" x14ac:dyDescent="0.25">
      <c r="B122" s="15">
        <v>120</v>
      </c>
      <c r="C122" s="8"/>
      <c r="E122" s="67"/>
      <c r="F122" s="16"/>
      <c r="G122" s="8"/>
      <c r="H122" s="8"/>
      <c r="I122" s="8"/>
      <c r="J122" s="9"/>
      <c r="K122" s="9">
        <f t="shared" si="31"/>
        <v>0</v>
      </c>
      <c r="L122" s="35">
        <f t="shared" si="32"/>
        <v>0</v>
      </c>
      <c r="M122" s="2"/>
      <c r="O122" s="19"/>
      <c r="P122" s="19"/>
      <c r="Q122" s="19"/>
      <c r="R122" s="21"/>
      <c r="S122" s="46"/>
      <c r="T122" s="44"/>
      <c r="U122" s="77"/>
      <c r="V122" s="24"/>
      <c r="W122" s="24"/>
      <c r="X122" s="193"/>
      <c r="Y122" s="15"/>
    </row>
    <row r="123" spans="2:25" x14ac:dyDescent="0.25">
      <c r="B123" s="15">
        <v>121</v>
      </c>
      <c r="C123" s="8"/>
      <c r="E123" s="67"/>
      <c r="F123" s="16"/>
      <c r="G123" s="8"/>
      <c r="H123" s="8"/>
      <c r="I123" s="8"/>
      <c r="J123" s="9"/>
      <c r="K123" s="9">
        <f t="shared" si="31"/>
        <v>0</v>
      </c>
      <c r="L123" s="35">
        <f t="shared" si="32"/>
        <v>0</v>
      </c>
      <c r="M123" s="2"/>
      <c r="O123" s="19"/>
      <c r="P123" s="19"/>
      <c r="Q123" s="19"/>
      <c r="R123" s="21"/>
      <c r="S123" s="46"/>
      <c r="T123" s="44"/>
      <c r="U123" s="77"/>
      <c r="V123" s="24"/>
      <c r="W123" s="24"/>
      <c r="X123" s="193"/>
      <c r="Y123" s="15"/>
    </row>
    <row r="124" spans="2:25" x14ac:dyDescent="0.25">
      <c r="B124" s="15">
        <v>122</v>
      </c>
      <c r="C124" s="8"/>
      <c r="E124" s="67"/>
      <c r="F124" s="16"/>
      <c r="G124" s="8"/>
      <c r="H124" s="8"/>
      <c r="I124" s="8"/>
      <c r="J124" s="9"/>
      <c r="K124" s="9">
        <f t="shared" si="31"/>
        <v>0</v>
      </c>
      <c r="L124" s="35">
        <f t="shared" si="32"/>
        <v>0</v>
      </c>
      <c r="M124" s="2"/>
      <c r="O124" s="19"/>
      <c r="P124" s="19"/>
      <c r="Q124" s="19"/>
      <c r="R124" s="21"/>
      <c r="S124" s="46"/>
      <c r="T124" s="44"/>
      <c r="U124" s="77"/>
      <c r="V124" s="24"/>
      <c r="W124" s="24"/>
      <c r="X124" s="193"/>
      <c r="Y124" s="15"/>
    </row>
    <row r="125" spans="2:25" x14ac:dyDescent="0.25">
      <c r="B125" s="15">
        <v>123</v>
      </c>
      <c r="C125" s="8"/>
      <c r="E125" s="67"/>
      <c r="F125" s="16"/>
      <c r="G125" s="8"/>
      <c r="H125" s="8"/>
      <c r="I125" s="8"/>
      <c r="J125" s="9"/>
      <c r="K125" s="9">
        <f t="shared" si="31"/>
        <v>0</v>
      </c>
      <c r="L125" s="35">
        <f t="shared" si="32"/>
        <v>0</v>
      </c>
      <c r="M125" s="2"/>
      <c r="O125" s="19"/>
      <c r="P125" s="19"/>
      <c r="Q125" s="19"/>
      <c r="R125" s="21"/>
      <c r="S125" s="46"/>
      <c r="T125" s="44"/>
      <c r="U125" s="77"/>
      <c r="V125" s="30"/>
      <c r="W125" s="24"/>
      <c r="X125" s="193"/>
      <c r="Y125" s="15"/>
    </row>
    <row r="126" spans="2:25" x14ac:dyDescent="0.25">
      <c r="B126" s="15">
        <v>124</v>
      </c>
      <c r="C126" s="8"/>
      <c r="E126" s="67"/>
      <c r="F126" s="16"/>
      <c r="G126" s="8"/>
      <c r="H126" s="8"/>
      <c r="I126" s="8"/>
      <c r="J126" s="9"/>
      <c r="K126" s="9">
        <f t="shared" si="31"/>
        <v>0</v>
      </c>
      <c r="L126" s="35">
        <f t="shared" si="32"/>
        <v>0</v>
      </c>
      <c r="M126" s="2"/>
      <c r="O126" s="19"/>
      <c r="P126" s="19"/>
      <c r="Q126" s="19"/>
      <c r="R126" s="21"/>
      <c r="S126" s="46"/>
      <c r="T126" s="44"/>
      <c r="U126" s="77"/>
      <c r="V126" s="30"/>
      <c r="W126" s="24"/>
      <c r="X126" s="193"/>
      <c r="Y126" s="15"/>
    </row>
    <row r="127" spans="2:25" x14ac:dyDescent="0.25">
      <c r="B127" s="15">
        <v>125</v>
      </c>
      <c r="C127" s="8"/>
      <c r="E127" s="67"/>
      <c r="F127" s="16"/>
      <c r="G127" s="8"/>
      <c r="H127" s="8"/>
      <c r="I127" s="8"/>
      <c r="J127" s="9"/>
      <c r="K127" s="9">
        <f t="shared" si="31"/>
        <v>0</v>
      </c>
      <c r="L127" s="35">
        <f t="shared" si="32"/>
        <v>0</v>
      </c>
      <c r="M127" s="2"/>
      <c r="O127" s="19"/>
      <c r="P127" s="19"/>
      <c r="Q127" s="19"/>
      <c r="R127" s="21"/>
      <c r="S127" s="46"/>
      <c r="T127" s="44"/>
      <c r="U127" s="77"/>
      <c r="V127" s="24"/>
      <c r="W127" s="24"/>
      <c r="X127" s="193"/>
      <c r="Y127" s="15"/>
    </row>
    <row r="128" spans="2:25" x14ac:dyDescent="0.25">
      <c r="B128" s="15">
        <v>126</v>
      </c>
      <c r="C128" s="8"/>
      <c r="E128" s="67"/>
      <c r="F128" s="16"/>
      <c r="G128" s="8"/>
      <c r="H128" s="8"/>
      <c r="I128" s="8"/>
      <c r="J128" s="9"/>
      <c r="K128" s="9">
        <f t="shared" si="31"/>
        <v>0</v>
      </c>
      <c r="L128" s="35">
        <f t="shared" si="32"/>
        <v>0</v>
      </c>
      <c r="M128" s="2"/>
      <c r="O128" s="19"/>
      <c r="P128" s="19"/>
      <c r="Q128" s="19"/>
      <c r="R128" s="21"/>
      <c r="S128" s="46"/>
      <c r="T128" s="44"/>
      <c r="U128" s="77"/>
      <c r="V128" s="24"/>
      <c r="W128" s="24"/>
      <c r="X128" s="193"/>
      <c r="Y128" s="15"/>
    </row>
    <row r="129" spans="2:25" x14ac:dyDescent="0.25">
      <c r="B129" s="15">
        <v>127</v>
      </c>
      <c r="C129" s="8"/>
      <c r="E129" s="67"/>
      <c r="F129" s="16"/>
      <c r="G129" s="8"/>
      <c r="H129" s="8"/>
      <c r="I129" s="8"/>
      <c r="J129" s="9"/>
      <c r="K129" s="9">
        <f t="shared" si="31"/>
        <v>0</v>
      </c>
      <c r="L129" s="35">
        <f t="shared" si="32"/>
        <v>0</v>
      </c>
      <c r="M129" s="2"/>
      <c r="O129" s="19"/>
      <c r="P129" s="19"/>
      <c r="Q129" s="19"/>
      <c r="R129" s="21"/>
      <c r="S129" s="46"/>
      <c r="T129" s="44"/>
      <c r="U129" s="77"/>
      <c r="V129" s="24"/>
      <c r="W129" s="24"/>
      <c r="X129" s="193"/>
      <c r="Y129" s="15"/>
    </row>
    <row r="130" spans="2:25" x14ac:dyDescent="0.25">
      <c r="B130" s="15">
        <v>128</v>
      </c>
      <c r="C130" s="8"/>
      <c r="E130" s="67"/>
      <c r="F130" s="16"/>
      <c r="G130" s="8"/>
      <c r="H130" s="8"/>
      <c r="I130" s="8"/>
      <c r="J130" s="9"/>
      <c r="K130" s="9">
        <f t="shared" si="31"/>
        <v>0</v>
      </c>
      <c r="L130" s="35">
        <f t="shared" si="32"/>
        <v>0</v>
      </c>
      <c r="M130" s="2"/>
      <c r="O130" s="19"/>
      <c r="P130" s="19"/>
      <c r="Q130" s="19"/>
      <c r="R130" s="21"/>
      <c r="S130" s="46"/>
      <c r="T130" s="44"/>
      <c r="U130" s="77"/>
      <c r="V130" s="24"/>
      <c r="W130" s="24"/>
      <c r="X130" s="193"/>
      <c r="Y130" s="15"/>
    </row>
    <row r="131" spans="2:25" x14ac:dyDescent="0.25">
      <c r="B131" s="15">
        <v>129</v>
      </c>
      <c r="C131" s="8"/>
      <c r="E131" s="67"/>
      <c r="F131" s="16"/>
      <c r="G131" s="8"/>
      <c r="H131" s="8"/>
      <c r="I131" s="8"/>
      <c r="J131" s="9"/>
      <c r="K131" s="9">
        <f t="shared" ref="K131:K194" si="35">J131*1.1</f>
        <v>0</v>
      </c>
      <c r="L131" s="35">
        <f t="shared" ref="L131:L194" si="36">J131*0.00000001</f>
        <v>0</v>
      </c>
      <c r="M131" s="2"/>
      <c r="O131" s="19"/>
      <c r="P131" s="19"/>
      <c r="Q131" s="19"/>
      <c r="R131" s="21"/>
      <c r="S131" s="46"/>
      <c r="T131" s="44"/>
      <c r="U131" s="77"/>
      <c r="V131" s="24"/>
      <c r="W131" s="24"/>
      <c r="X131" s="193"/>
      <c r="Y131" s="15"/>
    </row>
    <row r="132" spans="2:25" x14ac:dyDescent="0.25">
      <c r="B132" s="15">
        <v>130</v>
      </c>
      <c r="C132" s="8"/>
      <c r="E132" s="67"/>
      <c r="F132" s="16"/>
      <c r="G132" s="8"/>
      <c r="H132" s="8"/>
      <c r="I132" s="8"/>
      <c r="J132" s="9"/>
      <c r="K132" s="9">
        <f t="shared" si="35"/>
        <v>0</v>
      </c>
      <c r="L132" s="35">
        <f t="shared" si="36"/>
        <v>0</v>
      </c>
      <c r="M132" s="2"/>
      <c r="O132" s="19"/>
      <c r="P132" s="19"/>
      <c r="Q132" s="19"/>
      <c r="R132" s="21"/>
      <c r="S132" s="46"/>
      <c r="T132" s="44"/>
      <c r="U132" s="77"/>
      <c r="V132" s="24"/>
      <c r="W132" s="24"/>
      <c r="X132" s="193"/>
      <c r="Y132" s="15"/>
    </row>
    <row r="133" spans="2:25" x14ac:dyDescent="0.25">
      <c r="B133" s="15">
        <v>131</v>
      </c>
      <c r="C133" s="8"/>
      <c r="E133" s="67"/>
      <c r="F133" s="16"/>
      <c r="G133" s="8"/>
      <c r="H133" s="8"/>
      <c r="I133" s="8"/>
      <c r="J133" s="9"/>
      <c r="K133" s="9">
        <f t="shared" si="35"/>
        <v>0</v>
      </c>
      <c r="L133" s="35">
        <f t="shared" si="36"/>
        <v>0</v>
      </c>
      <c r="M133" s="2"/>
      <c r="O133" s="19"/>
      <c r="P133" s="19"/>
      <c r="Q133" s="19"/>
      <c r="R133" s="21"/>
      <c r="S133" s="46"/>
      <c r="T133" s="44"/>
      <c r="U133" s="77"/>
      <c r="V133" s="24"/>
      <c r="W133" s="24"/>
      <c r="X133" s="193"/>
      <c r="Y133" s="15"/>
    </row>
    <row r="134" spans="2:25" x14ac:dyDescent="0.25">
      <c r="B134" s="15">
        <v>132</v>
      </c>
      <c r="C134" s="8"/>
      <c r="E134" s="67"/>
      <c r="F134" s="16"/>
      <c r="G134" s="8"/>
      <c r="H134" s="8"/>
      <c r="I134" s="8"/>
      <c r="J134" s="9"/>
      <c r="K134" s="9">
        <f t="shared" si="35"/>
        <v>0</v>
      </c>
      <c r="L134" s="35">
        <f t="shared" si="36"/>
        <v>0</v>
      </c>
      <c r="M134" s="2"/>
      <c r="O134" s="19"/>
      <c r="P134" s="19"/>
      <c r="Q134" s="19"/>
      <c r="R134" s="21"/>
      <c r="S134" s="46"/>
      <c r="T134" s="44"/>
      <c r="U134" s="77"/>
      <c r="V134" s="24"/>
      <c r="W134" s="24"/>
      <c r="X134" s="193"/>
      <c r="Y134" s="15"/>
    </row>
    <row r="135" spans="2:25" x14ac:dyDescent="0.25">
      <c r="B135" s="15">
        <v>132</v>
      </c>
      <c r="C135" s="8"/>
      <c r="E135" s="67"/>
      <c r="F135" s="16"/>
      <c r="G135" s="8"/>
      <c r="H135" s="8"/>
      <c r="I135" s="8"/>
      <c r="J135" s="9"/>
      <c r="K135" s="9">
        <f t="shared" si="35"/>
        <v>0</v>
      </c>
      <c r="L135" s="35">
        <f t="shared" si="36"/>
        <v>0</v>
      </c>
      <c r="M135" s="2"/>
      <c r="O135" s="19"/>
      <c r="P135" s="19"/>
      <c r="Q135" s="19"/>
      <c r="R135" s="21"/>
      <c r="S135" s="46"/>
      <c r="T135" s="44"/>
      <c r="U135" s="77"/>
      <c r="V135" s="24"/>
      <c r="W135" s="24"/>
      <c r="X135" s="193"/>
      <c r="Y135" s="15"/>
    </row>
    <row r="136" spans="2:25" x14ac:dyDescent="0.25">
      <c r="B136" s="15">
        <v>133</v>
      </c>
      <c r="C136" s="8"/>
      <c r="E136" s="67"/>
      <c r="F136" s="16"/>
      <c r="G136" s="8"/>
      <c r="H136" s="8"/>
      <c r="I136" s="8"/>
      <c r="J136" s="9"/>
      <c r="K136" s="9">
        <f t="shared" si="35"/>
        <v>0</v>
      </c>
      <c r="L136" s="35">
        <f t="shared" si="36"/>
        <v>0</v>
      </c>
      <c r="M136" s="2"/>
      <c r="O136" s="19"/>
      <c r="P136" s="19"/>
      <c r="Q136" s="19"/>
      <c r="R136" s="21"/>
      <c r="S136" s="46"/>
      <c r="T136" s="44"/>
      <c r="U136" s="77"/>
      <c r="V136" s="24"/>
      <c r="W136" s="24"/>
      <c r="X136" s="193"/>
      <c r="Y136" s="15"/>
    </row>
    <row r="137" spans="2:25" x14ac:dyDescent="0.25">
      <c r="B137" s="15">
        <v>134</v>
      </c>
      <c r="C137" s="8"/>
      <c r="E137" s="67"/>
      <c r="F137" s="16"/>
      <c r="G137" s="8"/>
      <c r="H137" s="8"/>
      <c r="I137" s="8"/>
      <c r="K137" s="9">
        <f t="shared" si="35"/>
        <v>0</v>
      </c>
      <c r="L137" s="35">
        <f t="shared" si="36"/>
        <v>0</v>
      </c>
      <c r="M137" s="2"/>
      <c r="O137" s="19"/>
      <c r="P137" s="19"/>
      <c r="Q137" s="19"/>
      <c r="S137" s="46"/>
      <c r="T137" s="44"/>
      <c r="U137" s="77"/>
      <c r="V137" s="24"/>
      <c r="W137" s="24"/>
      <c r="X137" s="193"/>
      <c r="Y137" s="15"/>
    </row>
    <row r="138" spans="2:25" x14ac:dyDescent="0.25">
      <c r="B138" s="15">
        <v>135</v>
      </c>
      <c r="C138" s="8"/>
      <c r="E138" s="67"/>
      <c r="F138" s="16"/>
      <c r="G138" s="8"/>
      <c r="H138" s="8"/>
      <c r="I138" s="8"/>
      <c r="K138" s="9">
        <f t="shared" si="35"/>
        <v>0</v>
      </c>
      <c r="L138" s="35">
        <f t="shared" si="36"/>
        <v>0</v>
      </c>
      <c r="M138" s="2"/>
      <c r="O138" s="19"/>
      <c r="P138" s="19"/>
      <c r="Q138" s="19"/>
      <c r="S138" s="46"/>
      <c r="T138" s="44"/>
      <c r="U138" s="77"/>
      <c r="V138" s="24"/>
      <c r="W138" s="24"/>
      <c r="X138" s="193"/>
      <c r="Y138" s="15"/>
    </row>
    <row r="139" spans="2:25" x14ac:dyDescent="0.25">
      <c r="B139" s="15">
        <v>136</v>
      </c>
      <c r="C139" s="8"/>
      <c r="E139" s="67"/>
      <c r="F139" s="16"/>
      <c r="G139" s="8"/>
      <c r="H139" s="8"/>
      <c r="I139" s="8"/>
      <c r="K139" s="9">
        <f t="shared" si="35"/>
        <v>0</v>
      </c>
      <c r="L139" s="35">
        <f t="shared" si="36"/>
        <v>0</v>
      </c>
      <c r="M139" s="2"/>
      <c r="O139" s="19"/>
      <c r="P139" s="19"/>
      <c r="Q139" s="19"/>
      <c r="S139" s="46"/>
      <c r="T139" s="44"/>
      <c r="U139" s="77"/>
      <c r="V139" s="24"/>
      <c r="W139" s="24"/>
      <c r="X139" s="193"/>
      <c r="Y139" s="15"/>
    </row>
    <row r="140" spans="2:25" x14ac:dyDescent="0.25">
      <c r="B140" s="15">
        <v>138</v>
      </c>
      <c r="C140" s="8"/>
      <c r="E140" s="67"/>
      <c r="F140" s="16"/>
      <c r="G140" s="8"/>
      <c r="H140" s="8"/>
      <c r="I140" s="8"/>
      <c r="J140" s="9"/>
      <c r="K140" s="9">
        <f t="shared" si="35"/>
        <v>0</v>
      </c>
      <c r="L140" s="35">
        <f t="shared" si="36"/>
        <v>0</v>
      </c>
      <c r="M140" s="2"/>
      <c r="O140" s="19"/>
      <c r="P140" s="19"/>
      <c r="Q140" s="19"/>
      <c r="R140" s="21"/>
      <c r="S140" s="46"/>
      <c r="T140" s="44"/>
      <c r="U140" s="77"/>
      <c r="V140" s="24"/>
      <c r="W140" s="24"/>
      <c r="X140" s="193"/>
      <c r="Y140" s="15"/>
    </row>
    <row r="141" spans="2:25" x14ac:dyDescent="0.25">
      <c r="B141" s="15">
        <v>139</v>
      </c>
      <c r="C141" s="8"/>
      <c r="E141" s="67"/>
      <c r="F141" s="16"/>
      <c r="G141" s="8"/>
      <c r="H141" s="8"/>
      <c r="I141" s="8"/>
      <c r="J141" s="9"/>
      <c r="K141" s="9">
        <f t="shared" si="35"/>
        <v>0</v>
      </c>
      <c r="L141" s="35">
        <f t="shared" si="36"/>
        <v>0</v>
      </c>
      <c r="M141" s="2"/>
      <c r="O141" s="19"/>
      <c r="P141" s="19"/>
      <c r="Q141" s="19"/>
      <c r="R141" s="21"/>
      <c r="S141" s="46"/>
      <c r="T141" s="44"/>
      <c r="U141" s="77"/>
      <c r="V141" s="30"/>
      <c r="W141" s="24"/>
      <c r="X141" s="193"/>
      <c r="Y141" s="15"/>
    </row>
    <row r="142" spans="2:25" x14ac:dyDescent="0.25">
      <c r="B142" s="15">
        <v>140</v>
      </c>
      <c r="C142" s="8"/>
      <c r="E142" s="67"/>
      <c r="F142" s="16"/>
      <c r="G142" s="8"/>
      <c r="H142" s="8"/>
      <c r="I142" s="8"/>
      <c r="J142" s="9"/>
      <c r="K142" s="9">
        <f t="shared" si="35"/>
        <v>0</v>
      </c>
      <c r="L142" s="35">
        <f t="shared" si="36"/>
        <v>0</v>
      </c>
      <c r="M142" s="2"/>
      <c r="O142" s="19"/>
      <c r="P142" s="19"/>
      <c r="Q142" s="19"/>
      <c r="R142" s="21"/>
      <c r="S142" s="46"/>
      <c r="T142" s="44"/>
      <c r="U142" s="77"/>
      <c r="V142" s="30"/>
      <c r="W142" s="24"/>
      <c r="X142" s="193"/>
      <c r="Y142" s="15"/>
    </row>
    <row r="143" spans="2:25" x14ac:dyDescent="0.25">
      <c r="B143" s="15">
        <v>141</v>
      </c>
      <c r="C143" s="8"/>
      <c r="E143" s="67"/>
      <c r="F143" s="16"/>
      <c r="G143" s="8"/>
      <c r="H143" s="8"/>
      <c r="I143" s="8"/>
      <c r="J143" s="9"/>
      <c r="K143" s="9">
        <f t="shared" si="35"/>
        <v>0</v>
      </c>
      <c r="L143" s="35">
        <f t="shared" si="36"/>
        <v>0</v>
      </c>
      <c r="M143" s="2"/>
      <c r="O143" s="19"/>
      <c r="P143" s="19"/>
      <c r="Q143" s="19"/>
      <c r="R143" s="21"/>
      <c r="S143" s="46"/>
      <c r="T143" s="44"/>
      <c r="U143" s="77"/>
      <c r="V143" s="24"/>
      <c r="W143" s="24"/>
      <c r="X143" s="193"/>
      <c r="Y143" s="15"/>
    </row>
    <row r="144" spans="2:25" x14ac:dyDescent="0.25">
      <c r="B144" s="15">
        <v>142</v>
      </c>
      <c r="C144" s="8"/>
      <c r="E144" s="67"/>
      <c r="F144" s="16"/>
      <c r="G144" s="8"/>
      <c r="H144" s="8"/>
      <c r="I144" s="8"/>
      <c r="J144" s="9"/>
      <c r="K144" s="9">
        <f t="shared" si="35"/>
        <v>0</v>
      </c>
      <c r="L144" s="35">
        <f t="shared" si="36"/>
        <v>0</v>
      </c>
      <c r="M144" s="2"/>
      <c r="O144" s="19"/>
      <c r="P144" s="19"/>
      <c r="Q144" s="19"/>
      <c r="R144" s="21"/>
      <c r="S144" s="46"/>
      <c r="T144" s="44"/>
      <c r="U144" s="77"/>
      <c r="V144" s="24"/>
      <c r="W144" s="24"/>
      <c r="X144" s="193"/>
      <c r="Y144" s="15"/>
    </row>
    <row r="145" spans="2:25" x14ac:dyDescent="0.25">
      <c r="B145" s="15">
        <v>143</v>
      </c>
      <c r="C145" s="8"/>
      <c r="E145" s="67"/>
      <c r="F145" s="16"/>
      <c r="G145" s="8"/>
      <c r="H145" s="8"/>
      <c r="I145" s="8"/>
      <c r="J145" s="9"/>
      <c r="K145" s="9">
        <f t="shared" si="35"/>
        <v>0</v>
      </c>
      <c r="L145" s="35">
        <f t="shared" si="36"/>
        <v>0</v>
      </c>
      <c r="M145" s="2"/>
      <c r="O145" s="19"/>
      <c r="P145" s="19"/>
      <c r="Q145" s="19"/>
      <c r="R145" s="21"/>
      <c r="S145" s="46"/>
      <c r="T145" s="44"/>
      <c r="U145" s="77"/>
      <c r="V145" s="24"/>
      <c r="W145" s="24"/>
      <c r="X145" s="193"/>
      <c r="Y145" s="15"/>
    </row>
    <row r="146" spans="2:25" x14ac:dyDescent="0.25">
      <c r="B146" s="15">
        <v>144</v>
      </c>
      <c r="C146" s="8"/>
      <c r="E146" s="67"/>
      <c r="F146" s="16"/>
      <c r="G146" s="8"/>
      <c r="H146" s="8"/>
      <c r="I146" s="8"/>
      <c r="J146" s="9"/>
      <c r="K146" s="9">
        <f t="shared" si="35"/>
        <v>0</v>
      </c>
      <c r="L146" s="35">
        <f t="shared" si="36"/>
        <v>0</v>
      </c>
      <c r="M146" s="2"/>
      <c r="O146" s="19"/>
      <c r="P146" s="19"/>
      <c r="Q146" s="19"/>
      <c r="R146" s="21"/>
      <c r="S146" s="46"/>
      <c r="T146" s="44"/>
      <c r="U146" s="77"/>
      <c r="V146" s="24"/>
      <c r="W146" s="24"/>
      <c r="X146" s="193"/>
      <c r="Y146" s="15"/>
    </row>
    <row r="147" spans="2:25" x14ac:dyDescent="0.25">
      <c r="B147" s="15">
        <v>145</v>
      </c>
      <c r="C147" s="8"/>
      <c r="E147" s="67"/>
      <c r="F147" s="16"/>
      <c r="G147" s="8"/>
      <c r="H147" s="8"/>
      <c r="I147" s="8"/>
      <c r="J147" s="9"/>
      <c r="K147" s="9">
        <f t="shared" si="35"/>
        <v>0</v>
      </c>
      <c r="L147" s="35">
        <f t="shared" si="36"/>
        <v>0</v>
      </c>
      <c r="M147" s="2"/>
      <c r="O147" s="19"/>
      <c r="P147" s="19"/>
      <c r="Q147" s="19"/>
      <c r="R147" s="21"/>
      <c r="S147" s="46"/>
      <c r="T147" s="44"/>
      <c r="U147" s="77"/>
      <c r="V147" s="24"/>
      <c r="W147" s="24"/>
      <c r="X147" s="193"/>
      <c r="Y147" s="15"/>
    </row>
    <row r="148" spans="2:25" x14ac:dyDescent="0.25">
      <c r="B148" s="15">
        <v>146</v>
      </c>
      <c r="C148" s="8"/>
      <c r="E148" s="67"/>
      <c r="F148" s="16"/>
      <c r="G148" s="8"/>
      <c r="H148" s="8"/>
      <c r="I148" s="8"/>
      <c r="J148" s="9"/>
      <c r="K148" s="9">
        <f t="shared" si="35"/>
        <v>0</v>
      </c>
      <c r="L148" s="35">
        <f t="shared" si="36"/>
        <v>0</v>
      </c>
      <c r="M148" s="2"/>
      <c r="O148" s="19"/>
      <c r="P148" s="19"/>
      <c r="Q148" s="19"/>
      <c r="R148" s="21"/>
      <c r="S148" s="46"/>
      <c r="T148" s="44"/>
      <c r="U148" s="77"/>
      <c r="V148" s="30"/>
      <c r="W148" s="24"/>
      <c r="X148" s="193"/>
      <c r="Y148" s="15"/>
    </row>
    <row r="149" spans="2:25" x14ac:dyDescent="0.25">
      <c r="B149" s="15">
        <v>147</v>
      </c>
      <c r="C149" s="8"/>
      <c r="E149" s="67"/>
      <c r="F149" s="16"/>
      <c r="G149" s="8"/>
      <c r="H149" s="8"/>
      <c r="I149" s="8"/>
      <c r="K149" s="9">
        <f t="shared" si="35"/>
        <v>0</v>
      </c>
      <c r="L149" s="35">
        <f t="shared" si="36"/>
        <v>0</v>
      </c>
      <c r="O149" s="19"/>
      <c r="P149" s="19"/>
      <c r="Q149" s="19"/>
      <c r="S149" s="46"/>
      <c r="T149" s="44"/>
      <c r="U149" s="77"/>
      <c r="V149" s="79"/>
      <c r="W149" s="24"/>
      <c r="X149" s="193"/>
      <c r="Y149" s="15"/>
    </row>
    <row r="150" spans="2:25" x14ac:dyDescent="0.25">
      <c r="B150" s="15">
        <v>148</v>
      </c>
      <c r="C150" s="8"/>
      <c r="E150" s="67"/>
      <c r="F150" s="16"/>
      <c r="G150" s="8"/>
      <c r="H150" s="8"/>
      <c r="I150" s="8"/>
      <c r="J150" s="9"/>
      <c r="K150" s="9">
        <f t="shared" si="35"/>
        <v>0</v>
      </c>
      <c r="L150" s="35">
        <f t="shared" si="36"/>
        <v>0</v>
      </c>
      <c r="M150" s="2"/>
      <c r="O150" s="19"/>
      <c r="P150" s="19"/>
      <c r="Q150" s="19"/>
      <c r="R150" s="21"/>
      <c r="S150" s="46"/>
      <c r="T150" s="44"/>
      <c r="U150" s="77"/>
      <c r="V150" s="79"/>
      <c r="W150" s="24"/>
      <c r="X150" s="193"/>
      <c r="Y150" s="15"/>
    </row>
    <row r="151" spans="2:25" x14ac:dyDescent="0.25">
      <c r="B151" s="15">
        <v>149</v>
      </c>
      <c r="C151" s="8"/>
      <c r="E151" s="67"/>
      <c r="F151" s="16"/>
      <c r="G151" s="8"/>
      <c r="H151" s="8"/>
      <c r="I151" s="8"/>
      <c r="J151" s="9"/>
      <c r="K151" s="9">
        <f t="shared" si="35"/>
        <v>0</v>
      </c>
      <c r="L151" s="35">
        <f t="shared" si="36"/>
        <v>0</v>
      </c>
      <c r="M151" s="2"/>
      <c r="O151" s="19"/>
      <c r="P151" s="19"/>
      <c r="Q151" s="19"/>
      <c r="R151" s="21"/>
      <c r="S151" s="46"/>
      <c r="T151" s="44"/>
      <c r="U151" s="77"/>
      <c r="V151" s="24"/>
      <c r="W151" s="24"/>
      <c r="X151" s="193"/>
      <c r="Y151" s="15"/>
    </row>
    <row r="152" spans="2:25" x14ac:dyDescent="0.25">
      <c r="B152" s="15">
        <v>150</v>
      </c>
      <c r="C152" s="8"/>
      <c r="E152" s="67"/>
      <c r="F152" s="16"/>
      <c r="G152" s="8"/>
      <c r="H152" s="8"/>
      <c r="I152" s="8"/>
      <c r="J152" s="9"/>
      <c r="K152" s="9">
        <f t="shared" si="35"/>
        <v>0</v>
      </c>
      <c r="L152" s="35">
        <f t="shared" si="36"/>
        <v>0</v>
      </c>
      <c r="M152" s="2"/>
      <c r="O152" s="19"/>
      <c r="P152" s="19"/>
      <c r="Q152" s="19"/>
      <c r="R152" s="21"/>
      <c r="S152" s="46"/>
      <c r="T152" s="44"/>
      <c r="U152" s="77"/>
      <c r="V152" s="24"/>
      <c r="W152" s="24"/>
      <c r="X152" s="193"/>
      <c r="Y152" s="15"/>
    </row>
    <row r="153" spans="2:25" x14ac:dyDescent="0.25">
      <c r="B153" s="15">
        <v>151</v>
      </c>
      <c r="C153" s="8"/>
      <c r="E153" s="67"/>
      <c r="F153" s="16"/>
      <c r="G153" s="8"/>
      <c r="H153" s="8"/>
      <c r="I153" s="8"/>
      <c r="J153" s="9"/>
      <c r="K153" s="9">
        <f t="shared" si="35"/>
        <v>0</v>
      </c>
      <c r="L153" s="35">
        <f t="shared" si="36"/>
        <v>0</v>
      </c>
      <c r="M153" s="2"/>
      <c r="O153" s="19"/>
      <c r="P153" s="19"/>
      <c r="Q153" s="19"/>
      <c r="R153" s="21"/>
      <c r="S153" s="46"/>
      <c r="T153" s="44"/>
      <c r="U153" s="77"/>
      <c r="V153" s="24"/>
      <c r="W153" s="24"/>
      <c r="X153" s="193"/>
      <c r="Y153" s="15"/>
    </row>
    <row r="154" spans="2:25" x14ac:dyDescent="0.25">
      <c r="B154" s="15">
        <v>152</v>
      </c>
      <c r="C154" s="8"/>
      <c r="E154" s="67"/>
      <c r="F154" s="16"/>
      <c r="G154" s="8"/>
      <c r="H154" s="8"/>
      <c r="I154" s="8"/>
      <c r="J154" s="9"/>
      <c r="K154" s="9">
        <f t="shared" si="35"/>
        <v>0</v>
      </c>
      <c r="L154" s="35">
        <f t="shared" si="36"/>
        <v>0</v>
      </c>
      <c r="M154" s="2"/>
      <c r="O154" s="19"/>
      <c r="P154" s="19"/>
      <c r="Q154" s="19"/>
      <c r="R154" s="21"/>
      <c r="S154" s="46"/>
      <c r="T154" s="44"/>
      <c r="U154" s="77"/>
      <c r="V154" s="24"/>
      <c r="W154" s="24"/>
      <c r="X154" s="193"/>
      <c r="Y154" s="15"/>
    </row>
    <row r="155" spans="2:25" x14ac:dyDescent="0.25">
      <c r="B155" s="15">
        <v>153</v>
      </c>
      <c r="C155" s="8"/>
      <c r="E155" s="67"/>
      <c r="F155" s="16"/>
      <c r="G155" s="8"/>
      <c r="H155" s="8"/>
      <c r="I155" s="8"/>
      <c r="J155" s="9"/>
      <c r="K155" s="9">
        <f t="shared" si="35"/>
        <v>0</v>
      </c>
      <c r="L155" s="35">
        <f t="shared" si="36"/>
        <v>0</v>
      </c>
      <c r="M155" s="2"/>
      <c r="O155" s="19"/>
      <c r="P155" s="19"/>
      <c r="Q155" s="19"/>
      <c r="R155" s="21"/>
      <c r="S155" s="46"/>
      <c r="T155" s="44"/>
      <c r="U155" s="77"/>
      <c r="V155" s="30"/>
      <c r="W155" s="24"/>
      <c r="X155" s="193"/>
      <c r="Y155" s="15"/>
    </row>
    <row r="156" spans="2:25" x14ac:dyDescent="0.25">
      <c r="B156" s="15">
        <v>154</v>
      </c>
      <c r="C156" s="8"/>
      <c r="E156" s="67"/>
      <c r="F156" s="16"/>
      <c r="G156" s="8"/>
      <c r="H156" s="8"/>
      <c r="I156" s="8"/>
      <c r="J156" s="9"/>
      <c r="K156" s="9">
        <f t="shared" si="35"/>
        <v>0</v>
      </c>
      <c r="L156" s="35">
        <f t="shared" si="36"/>
        <v>0</v>
      </c>
      <c r="M156" s="2"/>
      <c r="O156" s="19"/>
      <c r="P156" s="19"/>
      <c r="Q156" s="19"/>
      <c r="R156" s="21"/>
      <c r="S156" s="46"/>
      <c r="T156" s="44"/>
      <c r="U156" s="77"/>
      <c r="V156" s="24"/>
      <c r="W156" s="24"/>
      <c r="X156" s="193"/>
      <c r="Y156" s="15"/>
    </row>
    <row r="157" spans="2:25" x14ac:dyDescent="0.25">
      <c r="B157" s="15">
        <v>155</v>
      </c>
      <c r="C157" s="8"/>
      <c r="E157" s="67"/>
      <c r="F157" s="16"/>
      <c r="G157" s="8"/>
      <c r="H157" s="8"/>
      <c r="I157" s="8"/>
      <c r="J157" s="9"/>
      <c r="K157" s="9">
        <f t="shared" si="35"/>
        <v>0</v>
      </c>
      <c r="L157" s="35">
        <f t="shared" si="36"/>
        <v>0</v>
      </c>
      <c r="M157" s="2"/>
      <c r="O157" s="19"/>
      <c r="P157" s="19"/>
      <c r="Q157" s="19"/>
      <c r="R157" s="21"/>
      <c r="S157" s="46"/>
      <c r="T157" s="44"/>
      <c r="U157" s="77"/>
      <c r="V157" s="24"/>
      <c r="W157" s="24"/>
      <c r="X157" s="193"/>
      <c r="Y157" s="15"/>
    </row>
    <row r="158" spans="2:25" x14ac:dyDescent="0.25">
      <c r="B158" s="15">
        <v>156</v>
      </c>
      <c r="C158" s="8"/>
      <c r="E158" s="67"/>
      <c r="F158" s="16"/>
      <c r="G158" s="8"/>
      <c r="H158" s="8"/>
      <c r="I158" s="8"/>
      <c r="J158" s="9"/>
      <c r="K158" s="9">
        <f t="shared" si="35"/>
        <v>0</v>
      </c>
      <c r="L158" s="35">
        <f t="shared" si="36"/>
        <v>0</v>
      </c>
      <c r="M158" s="2"/>
      <c r="O158" s="19"/>
      <c r="P158" s="19"/>
      <c r="Q158" s="19"/>
      <c r="R158" s="21"/>
      <c r="S158" s="46"/>
      <c r="T158" s="44"/>
      <c r="U158" s="77"/>
      <c r="V158" s="24"/>
      <c r="W158" s="24"/>
      <c r="X158" s="193"/>
      <c r="Y158" s="15"/>
    </row>
    <row r="159" spans="2:25" x14ac:dyDescent="0.25">
      <c r="B159" s="15">
        <v>157</v>
      </c>
      <c r="C159" s="8"/>
      <c r="E159" s="67"/>
      <c r="F159" s="16"/>
      <c r="G159" s="8"/>
      <c r="H159" s="8"/>
      <c r="I159" s="8"/>
      <c r="J159" s="9"/>
      <c r="K159" s="9">
        <f t="shared" si="35"/>
        <v>0</v>
      </c>
      <c r="L159" s="35">
        <f t="shared" si="36"/>
        <v>0</v>
      </c>
      <c r="M159" s="2"/>
      <c r="O159" s="19"/>
      <c r="P159" s="19"/>
      <c r="Q159" s="19"/>
      <c r="R159" s="21"/>
      <c r="S159" s="46"/>
      <c r="T159" s="44"/>
      <c r="U159" s="77"/>
      <c r="V159" s="24"/>
      <c r="W159" s="24"/>
      <c r="X159" s="193"/>
      <c r="Y159" s="15"/>
    </row>
    <row r="160" spans="2:25" x14ac:dyDescent="0.25">
      <c r="B160" s="15">
        <v>158</v>
      </c>
      <c r="C160" s="8"/>
      <c r="E160" s="67"/>
      <c r="F160" s="16"/>
      <c r="G160" s="8"/>
      <c r="H160" s="8"/>
      <c r="I160" s="8"/>
      <c r="J160" s="9"/>
      <c r="K160" s="9">
        <f t="shared" si="35"/>
        <v>0</v>
      </c>
      <c r="L160" s="35">
        <f t="shared" si="36"/>
        <v>0</v>
      </c>
      <c r="M160" s="2"/>
      <c r="O160" s="19"/>
      <c r="P160" s="19"/>
      <c r="Q160" s="19"/>
      <c r="R160" s="21"/>
      <c r="S160" s="46"/>
      <c r="T160" s="44"/>
      <c r="U160" s="77"/>
      <c r="V160" s="24"/>
      <c r="W160" s="24"/>
      <c r="X160" s="193"/>
      <c r="Y160" s="15"/>
    </row>
    <row r="161" spans="2:25" x14ac:dyDescent="0.25">
      <c r="B161" s="15">
        <v>159</v>
      </c>
      <c r="C161" s="8"/>
      <c r="E161" s="67"/>
      <c r="F161" s="16"/>
      <c r="G161" s="8"/>
      <c r="H161" s="8"/>
      <c r="I161" s="8"/>
      <c r="J161" s="9"/>
      <c r="K161" s="9">
        <f t="shared" si="35"/>
        <v>0</v>
      </c>
      <c r="L161" s="35">
        <f t="shared" si="36"/>
        <v>0</v>
      </c>
      <c r="M161" s="2"/>
      <c r="O161" s="19"/>
      <c r="P161" s="19"/>
      <c r="Q161" s="19"/>
      <c r="R161" s="21"/>
      <c r="S161" s="46"/>
      <c r="T161" s="44"/>
      <c r="U161" s="77"/>
      <c r="V161" s="30"/>
      <c r="W161" s="24"/>
      <c r="X161" s="193"/>
      <c r="Y161" s="15"/>
    </row>
    <row r="162" spans="2:25" x14ac:dyDescent="0.25">
      <c r="B162" s="15">
        <v>160</v>
      </c>
      <c r="C162" s="8"/>
      <c r="E162" s="67"/>
      <c r="F162" s="16"/>
      <c r="G162" s="8"/>
      <c r="H162" s="8"/>
      <c r="I162" s="8"/>
      <c r="J162" s="9"/>
      <c r="K162" s="9">
        <f t="shared" si="35"/>
        <v>0</v>
      </c>
      <c r="L162" s="35">
        <f t="shared" si="36"/>
        <v>0</v>
      </c>
      <c r="M162" s="2"/>
      <c r="O162" s="19"/>
      <c r="P162" s="19"/>
      <c r="Q162" s="19"/>
      <c r="R162" s="21"/>
      <c r="S162" s="46"/>
      <c r="T162" s="44"/>
      <c r="U162" s="77"/>
      <c r="V162" s="30"/>
      <c r="W162" s="24"/>
      <c r="X162" s="193"/>
      <c r="Y162" s="15"/>
    </row>
    <row r="163" spans="2:25" x14ac:dyDescent="0.25">
      <c r="B163" s="15">
        <v>161</v>
      </c>
      <c r="C163" s="8"/>
      <c r="E163" s="67"/>
      <c r="F163" s="16"/>
      <c r="G163" s="8"/>
      <c r="H163" s="8"/>
      <c r="I163" s="8"/>
      <c r="J163" s="9"/>
      <c r="K163" s="9">
        <f t="shared" si="35"/>
        <v>0</v>
      </c>
      <c r="L163" s="35">
        <f t="shared" si="36"/>
        <v>0</v>
      </c>
      <c r="M163" s="2"/>
      <c r="O163" s="19"/>
      <c r="P163" s="19"/>
      <c r="Q163" s="19"/>
      <c r="R163" s="21"/>
      <c r="S163" s="46"/>
      <c r="T163" s="44"/>
      <c r="U163" s="77"/>
      <c r="V163" s="30"/>
      <c r="W163" s="24"/>
      <c r="X163" s="193"/>
      <c r="Y163" s="15"/>
    </row>
    <row r="164" spans="2:25" x14ac:dyDescent="0.25">
      <c r="B164" s="15">
        <v>162</v>
      </c>
      <c r="C164" s="8"/>
      <c r="E164" s="67"/>
      <c r="F164" s="16"/>
      <c r="G164" s="8"/>
      <c r="H164" s="8"/>
      <c r="I164" s="8"/>
      <c r="J164" s="9"/>
      <c r="K164" s="9">
        <f t="shared" si="35"/>
        <v>0</v>
      </c>
      <c r="L164" s="35">
        <f t="shared" si="36"/>
        <v>0</v>
      </c>
      <c r="M164" s="2"/>
      <c r="O164" s="19"/>
      <c r="P164" s="19"/>
      <c r="Q164" s="19"/>
      <c r="R164" s="21"/>
      <c r="S164" s="46"/>
      <c r="T164" s="44"/>
      <c r="U164" s="77"/>
      <c r="V164" s="30"/>
      <c r="W164" s="24"/>
      <c r="X164" s="193"/>
      <c r="Y164" s="15"/>
    </row>
    <row r="165" spans="2:25" x14ac:dyDescent="0.25">
      <c r="B165" s="15">
        <v>163</v>
      </c>
      <c r="C165" s="8"/>
      <c r="E165" s="67"/>
      <c r="F165" s="16"/>
      <c r="G165" s="8"/>
      <c r="H165" s="8"/>
      <c r="I165" s="8"/>
      <c r="J165" s="9"/>
      <c r="K165" s="9">
        <f t="shared" si="35"/>
        <v>0</v>
      </c>
      <c r="L165" s="35">
        <f t="shared" si="36"/>
        <v>0</v>
      </c>
      <c r="M165" s="2"/>
      <c r="O165" s="19"/>
      <c r="P165" s="19"/>
      <c r="Q165" s="19"/>
      <c r="R165" s="21"/>
      <c r="S165" s="46"/>
      <c r="T165" s="44"/>
      <c r="U165" s="77"/>
      <c r="V165" s="24"/>
      <c r="W165" s="24"/>
      <c r="X165" s="193"/>
      <c r="Y165" s="15"/>
    </row>
    <row r="166" spans="2:25" x14ac:dyDescent="0.25">
      <c r="B166" s="15">
        <v>164</v>
      </c>
      <c r="C166" s="8"/>
      <c r="E166" s="67"/>
      <c r="F166" s="16"/>
      <c r="G166" s="8"/>
      <c r="H166" s="8"/>
      <c r="I166" s="8"/>
      <c r="J166" s="9"/>
      <c r="K166" s="9">
        <f t="shared" si="35"/>
        <v>0</v>
      </c>
      <c r="L166" s="35">
        <f t="shared" si="36"/>
        <v>0</v>
      </c>
      <c r="M166" s="2"/>
      <c r="O166" s="19"/>
      <c r="P166" s="19"/>
      <c r="Q166" s="19"/>
      <c r="R166" s="21"/>
      <c r="S166" s="46"/>
      <c r="T166" s="44"/>
      <c r="U166" s="77"/>
      <c r="V166" s="24"/>
      <c r="W166" s="24"/>
      <c r="X166" s="193"/>
      <c r="Y166" s="15"/>
    </row>
    <row r="167" spans="2:25" x14ac:dyDescent="0.25">
      <c r="B167" s="15">
        <v>165</v>
      </c>
      <c r="C167" s="8"/>
      <c r="E167" s="67"/>
      <c r="F167" s="16"/>
      <c r="G167" s="8"/>
      <c r="H167" s="8"/>
      <c r="I167" s="8"/>
      <c r="J167" s="9"/>
      <c r="K167" s="9">
        <f t="shared" si="35"/>
        <v>0</v>
      </c>
      <c r="L167" s="35">
        <f t="shared" si="36"/>
        <v>0</v>
      </c>
      <c r="M167" s="2"/>
      <c r="O167" s="19"/>
      <c r="P167" s="19"/>
      <c r="Q167" s="19"/>
      <c r="R167" s="21"/>
      <c r="S167" s="46"/>
      <c r="T167" s="44"/>
      <c r="U167" s="77"/>
      <c r="V167" s="24"/>
      <c r="W167" s="24"/>
      <c r="X167" s="193"/>
      <c r="Y167" s="15"/>
    </row>
    <row r="168" spans="2:25" x14ac:dyDescent="0.25">
      <c r="B168" s="15">
        <v>166</v>
      </c>
      <c r="C168" s="8"/>
      <c r="E168" s="67"/>
      <c r="F168" s="16"/>
      <c r="G168" s="8"/>
      <c r="H168" s="8"/>
      <c r="I168" s="8"/>
      <c r="J168" s="9"/>
      <c r="K168" s="9">
        <f t="shared" si="35"/>
        <v>0</v>
      </c>
      <c r="L168" s="35">
        <f t="shared" si="36"/>
        <v>0</v>
      </c>
      <c r="M168" s="2"/>
      <c r="O168" s="19"/>
      <c r="P168" s="19"/>
      <c r="Q168" s="19"/>
      <c r="R168" s="21"/>
      <c r="S168" s="46"/>
      <c r="T168" s="44"/>
      <c r="U168" s="77"/>
      <c r="V168" s="24"/>
      <c r="W168" s="24"/>
      <c r="X168" s="193"/>
      <c r="Y168" s="15"/>
    </row>
    <row r="169" spans="2:25" x14ac:dyDescent="0.25">
      <c r="B169" s="15">
        <v>167</v>
      </c>
      <c r="C169" s="8"/>
      <c r="E169" s="67"/>
      <c r="F169" s="16"/>
      <c r="G169" s="8"/>
      <c r="H169" s="8"/>
      <c r="I169" s="8"/>
      <c r="J169" s="9"/>
      <c r="K169" s="9">
        <f t="shared" si="35"/>
        <v>0</v>
      </c>
      <c r="L169" s="35">
        <f t="shared" si="36"/>
        <v>0</v>
      </c>
      <c r="M169" s="2"/>
      <c r="O169" s="19"/>
      <c r="P169" s="19"/>
      <c r="Q169" s="19"/>
      <c r="R169" s="21"/>
      <c r="S169" s="46"/>
      <c r="T169" s="44"/>
      <c r="U169" s="77"/>
      <c r="V169" s="30"/>
      <c r="W169" s="24"/>
      <c r="X169" s="193"/>
      <c r="Y169" s="15"/>
    </row>
    <row r="170" spans="2:25" x14ac:dyDescent="0.25">
      <c r="B170" s="15">
        <v>168</v>
      </c>
      <c r="C170" s="8"/>
      <c r="E170" s="67"/>
      <c r="F170" s="16"/>
      <c r="G170" s="8"/>
      <c r="H170" s="8"/>
      <c r="I170" s="8"/>
      <c r="J170" s="9"/>
      <c r="K170" s="9">
        <f t="shared" si="35"/>
        <v>0</v>
      </c>
      <c r="L170" s="35">
        <f t="shared" si="36"/>
        <v>0</v>
      </c>
      <c r="M170" s="2"/>
      <c r="O170" s="19"/>
      <c r="P170" s="19"/>
      <c r="Q170" s="19"/>
      <c r="R170" s="21"/>
      <c r="S170" s="46"/>
      <c r="T170" s="44"/>
      <c r="U170" s="77"/>
      <c r="V170" s="30"/>
      <c r="W170" s="24"/>
      <c r="X170" s="193"/>
      <c r="Y170" s="15"/>
    </row>
    <row r="171" spans="2:25" x14ac:dyDescent="0.25">
      <c r="B171" s="15">
        <v>169</v>
      </c>
      <c r="C171" s="8"/>
      <c r="E171" s="67"/>
      <c r="F171" s="16"/>
      <c r="G171" s="8"/>
      <c r="H171" s="8"/>
      <c r="I171" s="8"/>
      <c r="J171" s="9"/>
      <c r="K171" s="9">
        <f t="shared" si="35"/>
        <v>0</v>
      </c>
      <c r="L171" s="35">
        <f t="shared" si="36"/>
        <v>0</v>
      </c>
      <c r="M171" s="2"/>
      <c r="O171" s="19"/>
      <c r="P171" s="19"/>
      <c r="Q171" s="19"/>
      <c r="R171" s="21"/>
      <c r="S171" s="46"/>
      <c r="T171" s="44"/>
      <c r="U171" s="77"/>
      <c r="V171" s="24"/>
      <c r="W171" s="24"/>
      <c r="X171" s="193"/>
      <c r="Y171" s="15"/>
    </row>
    <row r="172" spans="2:25" x14ac:dyDescent="0.25">
      <c r="B172" s="15">
        <v>170</v>
      </c>
      <c r="C172" s="8"/>
      <c r="E172" s="67"/>
      <c r="F172" s="16"/>
      <c r="G172" s="8"/>
      <c r="H172" s="8"/>
      <c r="I172" s="8"/>
      <c r="J172" s="9"/>
      <c r="K172" s="9">
        <f t="shared" si="35"/>
        <v>0</v>
      </c>
      <c r="L172" s="35">
        <f t="shared" si="36"/>
        <v>0</v>
      </c>
      <c r="M172" s="2"/>
      <c r="O172" s="19"/>
      <c r="P172" s="19"/>
      <c r="Q172" s="19"/>
      <c r="R172" s="21"/>
      <c r="S172" s="46"/>
      <c r="T172" s="44"/>
      <c r="U172" s="77"/>
      <c r="V172" s="24"/>
      <c r="W172" s="24"/>
      <c r="X172" s="193"/>
      <c r="Y172" s="15"/>
    </row>
    <row r="173" spans="2:25" x14ac:dyDescent="0.25">
      <c r="B173" s="15">
        <v>171</v>
      </c>
      <c r="C173" s="8"/>
      <c r="E173" s="67"/>
      <c r="F173" s="16"/>
      <c r="G173" s="8"/>
      <c r="H173" s="8"/>
      <c r="I173" s="8"/>
      <c r="J173" s="9"/>
      <c r="K173" s="9">
        <f t="shared" si="35"/>
        <v>0</v>
      </c>
      <c r="L173" s="35">
        <f t="shared" si="36"/>
        <v>0</v>
      </c>
      <c r="M173" s="2"/>
      <c r="O173" s="19"/>
      <c r="P173" s="19"/>
      <c r="Q173" s="19"/>
      <c r="R173" s="21"/>
      <c r="S173" s="46"/>
      <c r="T173" s="44"/>
      <c r="U173" s="77"/>
      <c r="V173" s="24"/>
      <c r="W173" s="24"/>
      <c r="X173" s="193"/>
      <c r="Y173" s="15"/>
    </row>
    <row r="174" spans="2:25" x14ac:dyDescent="0.25">
      <c r="B174" s="15">
        <v>172</v>
      </c>
      <c r="C174" s="8"/>
      <c r="E174" s="67"/>
      <c r="F174" s="16"/>
      <c r="G174" s="8"/>
      <c r="H174" s="8"/>
      <c r="I174" s="8"/>
      <c r="J174" s="9"/>
      <c r="K174" s="9">
        <f t="shared" si="35"/>
        <v>0</v>
      </c>
      <c r="L174" s="35">
        <f t="shared" si="36"/>
        <v>0</v>
      </c>
      <c r="M174" s="2"/>
      <c r="O174" s="19"/>
      <c r="P174" s="19"/>
      <c r="Q174" s="19"/>
      <c r="R174" s="21"/>
      <c r="S174" s="46"/>
      <c r="T174" s="44"/>
      <c r="U174" s="77"/>
      <c r="V174" s="24"/>
      <c r="W174" s="24"/>
      <c r="X174" s="193"/>
      <c r="Y174" s="15"/>
    </row>
    <row r="175" spans="2:25" x14ac:dyDescent="0.25">
      <c r="B175" s="15">
        <v>173</v>
      </c>
      <c r="C175" s="8"/>
      <c r="E175" s="67"/>
      <c r="F175" s="16"/>
      <c r="G175" s="8"/>
      <c r="H175" s="8"/>
      <c r="I175" s="8"/>
      <c r="J175" s="9"/>
      <c r="K175" s="9">
        <f t="shared" si="35"/>
        <v>0</v>
      </c>
      <c r="L175" s="35">
        <f t="shared" si="36"/>
        <v>0</v>
      </c>
      <c r="M175" s="2"/>
      <c r="O175" s="19"/>
      <c r="P175" s="19"/>
      <c r="Q175" s="19"/>
      <c r="R175" s="21"/>
      <c r="S175" s="46"/>
      <c r="T175" s="44"/>
      <c r="U175" s="77"/>
      <c r="V175" s="24"/>
      <c r="W175" s="24"/>
      <c r="X175" s="193"/>
      <c r="Y175" s="15"/>
    </row>
    <row r="176" spans="2:25" x14ac:dyDescent="0.25">
      <c r="B176" s="15">
        <v>174</v>
      </c>
      <c r="C176" s="8"/>
      <c r="E176" s="67"/>
      <c r="F176" s="16"/>
      <c r="G176" s="8"/>
      <c r="H176" s="8"/>
      <c r="I176" s="8"/>
      <c r="J176" s="9"/>
      <c r="K176" s="9">
        <f t="shared" si="35"/>
        <v>0</v>
      </c>
      <c r="L176" s="35">
        <f t="shared" si="36"/>
        <v>0</v>
      </c>
      <c r="M176" s="2"/>
      <c r="O176" s="19"/>
      <c r="P176" s="19"/>
      <c r="Q176" s="19"/>
      <c r="R176" s="21"/>
      <c r="S176" s="46"/>
      <c r="T176" s="44"/>
      <c r="U176" s="77"/>
      <c r="V176" s="30"/>
      <c r="W176" s="24"/>
      <c r="X176" s="193"/>
      <c r="Y176" s="15"/>
    </row>
    <row r="177" spans="2:25" x14ac:dyDescent="0.25">
      <c r="B177" s="15">
        <v>175</v>
      </c>
      <c r="C177" s="8"/>
      <c r="E177" s="67"/>
      <c r="F177" s="16"/>
      <c r="G177" s="8"/>
      <c r="H177" s="8"/>
      <c r="I177" s="8"/>
      <c r="J177" s="9"/>
      <c r="K177" s="9">
        <f t="shared" si="35"/>
        <v>0</v>
      </c>
      <c r="L177" s="35">
        <f t="shared" si="36"/>
        <v>0</v>
      </c>
      <c r="M177" s="2"/>
      <c r="O177" s="19"/>
      <c r="P177" s="19"/>
      <c r="Q177" s="19"/>
      <c r="R177" s="21"/>
      <c r="S177" s="46"/>
      <c r="T177" s="44"/>
      <c r="U177" s="77"/>
      <c r="V177" s="30"/>
      <c r="W177" s="24"/>
      <c r="X177" s="193"/>
      <c r="Y177" s="15"/>
    </row>
    <row r="178" spans="2:25" x14ac:dyDescent="0.25">
      <c r="B178" s="15">
        <v>176</v>
      </c>
      <c r="C178" s="8"/>
      <c r="E178" s="67"/>
      <c r="F178" s="16"/>
      <c r="G178" s="8"/>
      <c r="H178" s="8"/>
      <c r="I178" s="8"/>
      <c r="J178" s="9"/>
      <c r="K178" s="9">
        <f t="shared" si="35"/>
        <v>0</v>
      </c>
      <c r="L178" s="35">
        <f t="shared" si="36"/>
        <v>0</v>
      </c>
      <c r="M178" s="2"/>
      <c r="O178" s="19"/>
      <c r="P178" s="19"/>
      <c r="Q178" s="19"/>
      <c r="R178" s="21"/>
      <c r="S178" s="46"/>
      <c r="T178" s="44"/>
      <c r="U178" s="77"/>
      <c r="V178" s="24"/>
      <c r="W178" s="24"/>
      <c r="X178" s="193"/>
      <c r="Y178" s="15"/>
    </row>
    <row r="179" spans="2:25" x14ac:dyDescent="0.25">
      <c r="B179" s="15">
        <v>177</v>
      </c>
      <c r="C179" s="8"/>
      <c r="E179" s="67"/>
      <c r="F179" s="16"/>
      <c r="G179" s="8"/>
      <c r="H179" s="8"/>
      <c r="I179" s="8"/>
      <c r="J179" s="9"/>
      <c r="K179" s="9">
        <f t="shared" si="35"/>
        <v>0</v>
      </c>
      <c r="L179" s="35">
        <f t="shared" si="36"/>
        <v>0</v>
      </c>
      <c r="M179" s="2"/>
      <c r="O179" s="19"/>
      <c r="P179" s="19"/>
      <c r="Q179" s="19"/>
      <c r="R179" s="21"/>
      <c r="S179" s="46"/>
      <c r="T179" s="44"/>
      <c r="U179" s="77"/>
      <c r="V179" s="24"/>
      <c r="W179" s="24"/>
      <c r="X179" s="193"/>
      <c r="Y179" s="15"/>
    </row>
    <row r="180" spans="2:25" x14ac:dyDescent="0.25">
      <c r="B180" s="15">
        <v>178</v>
      </c>
      <c r="C180" s="8"/>
      <c r="E180" s="67"/>
      <c r="F180" s="16"/>
      <c r="G180" s="8"/>
      <c r="H180" s="8"/>
      <c r="I180" s="8"/>
      <c r="J180" s="9"/>
      <c r="K180" s="9">
        <f t="shared" si="35"/>
        <v>0</v>
      </c>
      <c r="L180" s="35">
        <f t="shared" si="36"/>
        <v>0</v>
      </c>
      <c r="M180" s="2"/>
      <c r="O180" s="19"/>
      <c r="P180" s="19"/>
      <c r="Q180" s="19"/>
      <c r="R180" s="21"/>
      <c r="S180" s="46"/>
      <c r="T180" s="44"/>
      <c r="U180" s="77"/>
      <c r="V180" s="24"/>
      <c r="W180" s="24"/>
      <c r="X180" s="193"/>
      <c r="Y180" s="15"/>
    </row>
    <row r="181" spans="2:25" x14ac:dyDescent="0.25">
      <c r="B181" s="15">
        <v>179</v>
      </c>
      <c r="C181" s="8"/>
      <c r="E181" s="67"/>
      <c r="F181" s="16"/>
      <c r="G181" s="8"/>
      <c r="H181" s="8"/>
      <c r="I181" s="8"/>
      <c r="J181" s="9"/>
      <c r="K181" s="9">
        <f t="shared" si="35"/>
        <v>0</v>
      </c>
      <c r="L181" s="35">
        <f t="shared" si="36"/>
        <v>0</v>
      </c>
      <c r="M181" s="2"/>
      <c r="O181" s="19"/>
      <c r="P181" s="19"/>
      <c r="Q181" s="19"/>
      <c r="R181" s="21"/>
      <c r="S181" s="46"/>
      <c r="T181" s="44"/>
      <c r="U181" s="77"/>
      <c r="V181" s="24"/>
      <c r="W181" s="24"/>
      <c r="X181" s="193"/>
      <c r="Y181" s="15"/>
    </row>
    <row r="182" spans="2:25" x14ac:dyDescent="0.25">
      <c r="B182" s="15">
        <v>180</v>
      </c>
      <c r="C182" s="8"/>
      <c r="E182" s="67"/>
      <c r="F182" s="16"/>
      <c r="G182" s="8"/>
      <c r="H182" s="8"/>
      <c r="I182" s="8"/>
      <c r="J182" s="9"/>
      <c r="K182" s="9">
        <f t="shared" si="35"/>
        <v>0</v>
      </c>
      <c r="L182" s="35">
        <f t="shared" si="36"/>
        <v>0</v>
      </c>
      <c r="M182" s="2"/>
      <c r="O182" s="19"/>
      <c r="P182" s="19"/>
      <c r="Q182" s="19"/>
      <c r="R182" s="21"/>
      <c r="S182" s="46"/>
      <c r="T182" s="44"/>
      <c r="U182" s="77"/>
      <c r="V182" s="24"/>
      <c r="W182" s="24"/>
      <c r="X182" s="193"/>
      <c r="Y182" s="15"/>
    </row>
    <row r="183" spans="2:25" x14ac:dyDescent="0.25">
      <c r="B183" s="15">
        <v>181</v>
      </c>
      <c r="C183" s="8"/>
      <c r="E183" s="67"/>
      <c r="F183" s="16"/>
      <c r="G183" s="8"/>
      <c r="H183" s="8"/>
      <c r="I183" s="8"/>
      <c r="J183" s="9"/>
      <c r="K183" s="9">
        <f t="shared" si="35"/>
        <v>0</v>
      </c>
      <c r="L183" s="35">
        <f t="shared" si="36"/>
        <v>0</v>
      </c>
      <c r="M183" s="2"/>
      <c r="O183" s="19"/>
      <c r="P183" s="19"/>
      <c r="Q183" s="19"/>
      <c r="R183" s="21"/>
      <c r="S183" s="46"/>
      <c r="T183" s="44"/>
      <c r="U183" s="77"/>
      <c r="V183" s="30"/>
      <c r="W183" s="24"/>
      <c r="X183" s="193"/>
      <c r="Y183" s="15"/>
    </row>
    <row r="184" spans="2:25" x14ac:dyDescent="0.25">
      <c r="B184" s="15">
        <v>182</v>
      </c>
      <c r="C184" s="8"/>
      <c r="E184" s="67"/>
      <c r="F184" s="16"/>
      <c r="G184" s="8"/>
      <c r="H184" s="8"/>
      <c r="I184" s="8"/>
      <c r="J184" s="9"/>
      <c r="K184" s="9">
        <f t="shared" si="35"/>
        <v>0</v>
      </c>
      <c r="L184" s="35">
        <f t="shared" si="36"/>
        <v>0</v>
      </c>
      <c r="M184" s="2"/>
      <c r="O184" s="19"/>
      <c r="P184" s="19"/>
      <c r="Q184" s="19"/>
      <c r="R184" s="21"/>
      <c r="S184" s="46"/>
      <c r="T184" s="44"/>
      <c r="U184" s="77"/>
      <c r="V184" s="30"/>
      <c r="W184" s="24"/>
      <c r="X184" s="193"/>
      <c r="Y184" s="15"/>
    </row>
    <row r="185" spans="2:25" x14ac:dyDescent="0.25">
      <c r="B185" s="15">
        <v>183</v>
      </c>
      <c r="C185" s="8"/>
      <c r="E185" s="67"/>
      <c r="F185" s="16"/>
      <c r="G185" s="8"/>
      <c r="H185" s="8"/>
      <c r="I185" s="8"/>
      <c r="J185" s="9"/>
      <c r="K185" s="9">
        <f t="shared" si="35"/>
        <v>0</v>
      </c>
      <c r="L185" s="35">
        <f t="shared" si="36"/>
        <v>0</v>
      </c>
      <c r="M185" s="2"/>
      <c r="O185" s="19"/>
      <c r="P185" s="19"/>
      <c r="Q185" s="19"/>
      <c r="R185" s="21"/>
      <c r="S185" s="46"/>
      <c r="T185" s="44"/>
      <c r="U185" s="77"/>
      <c r="V185" s="30"/>
      <c r="W185" s="24"/>
      <c r="X185" s="193"/>
      <c r="Y185" s="15"/>
    </row>
    <row r="186" spans="2:25" x14ac:dyDescent="0.25">
      <c r="B186" s="15">
        <v>184</v>
      </c>
      <c r="C186" s="8"/>
      <c r="E186" s="67"/>
      <c r="F186" s="16"/>
      <c r="G186" s="8"/>
      <c r="H186" s="8"/>
      <c r="I186" s="8"/>
      <c r="J186" s="9"/>
      <c r="K186" s="9">
        <f t="shared" si="35"/>
        <v>0</v>
      </c>
      <c r="L186" s="35">
        <f t="shared" si="36"/>
        <v>0</v>
      </c>
      <c r="M186" s="2"/>
      <c r="O186" s="19"/>
      <c r="P186" s="19"/>
      <c r="Q186" s="19"/>
      <c r="R186" s="21"/>
      <c r="S186" s="46"/>
      <c r="T186" s="44"/>
      <c r="U186" s="77"/>
      <c r="V186" s="30"/>
      <c r="W186" s="24"/>
      <c r="X186" s="193"/>
      <c r="Y186" s="15"/>
    </row>
    <row r="187" spans="2:25" x14ac:dyDescent="0.25">
      <c r="B187" s="15">
        <v>185</v>
      </c>
      <c r="C187" s="8"/>
      <c r="E187" s="67"/>
      <c r="F187" s="16"/>
      <c r="G187" s="8"/>
      <c r="H187" s="8"/>
      <c r="I187" s="8"/>
      <c r="J187" s="9"/>
      <c r="K187" s="9">
        <f t="shared" si="35"/>
        <v>0</v>
      </c>
      <c r="L187" s="35">
        <f t="shared" si="36"/>
        <v>0</v>
      </c>
      <c r="M187" s="2"/>
      <c r="O187" s="19"/>
      <c r="P187" s="19"/>
      <c r="Q187" s="19"/>
      <c r="R187" s="21"/>
      <c r="S187" s="46"/>
      <c r="T187" s="44"/>
      <c r="U187" s="77"/>
      <c r="V187" s="24"/>
      <c r="W187" s="24"/>
      <c r="X187" s="193"/>
      <c r="Y187" s="15"/>
    </row>
    <row r="188" spans="2:25" x14ac:dyDescent="0.25">
      <c r="B188" s="15">
        <v>186</v>
      </c>
      <c r="C188" s="8"/>
      <c r="E188" s="67"/>
      <c r="F188" s="16"/>
      <c r="G188" s="8"/>
      <c r="H188" s="8"/>
      <c r="I188" s="8"/>
      <c r="J188" s="9"/>
      <c r="K188" s="9">
        <f t="shared" si="35"/>
        <v>0</v>
      </c>
      <c r="L188" s="35">
        <f t="shared" si="36"/>
        <v>0</v>
      </c>
      <c r="M188" s="2"/>
      <c r="O188" s="19"/>
      <c r="P188" s="19"/>
      <c r="Q188" s="19"/>
      <c r="R188" s="21"/>
      <c r="S188" s="46"/>
      <c r="T188" s="44"/>
      <c r="U188" s="77"/>
      <c r="V188" s="24"/>
      <c r="W188" s="24"/>
      <c r="X188" s="193"/>
      <c r="Y188" s="15"/>
    </row>
    <row r="189" spans="2:25" x14ac:dyDescent="0.25">
      <c r="B189" s="15">
        <v>187</v>
      </c>
      <c r="C189" s="8"/>
      <c r="E189" s="67"/>
      <c r="F189" s="16"/>
      <c r="G189" s="8"/>
      <c r="H189" s="8"/>
      <c r="I189" s="8"/>
      <c r="J189" s="9"/>
      <c r="K189" s="9">
        <f t="shared" si="35"/>
        <v>0</v>
      </c>
      <c r="L189" s="35">
        <f t="shared" si="36"/>
        <v>0</v>
      </c>
      <c r="M189" s="2"/>
      <c r="O189" s="19"/>
      <c r="P189" s="19"/>
      <c r="Q189" s="19"/>
      <c r="R189" s="21"/>
      <c r="S189" s="46"/>
      <c r="T189" s="44"/>
      <c r="U189" s="77"/>
      <c r="V189" s="24"/>
      <c r="W189" s="24"/>
      <c r="X189" s="193"/>
      <c r="Y189" s="15"/>
    </row>
    <row r="190" spans="2:25" x14ac:dyDescent="0.25">
      <c r="B190" s="15">
        <v>188</v>
      </c>
      <c r="C190" s="8"/>
      <c r="E190" s="67"/>
      <c r="F190" s="16"/>
      <c r="G190" s="8"/>
      <c r="H190" s="8"/>
      <c r="I190" s="8"/>
      <c r="J190" s="9"/>
      <c r="K190" s="9">
        <f t="shared" si="35"/>
        <v>0</v>
      </c>
      <c r="L190" s="35">
        <f t="shared" si="36"/>
        <v>0</v>
      </c>
      <c r="M190" s="2"/>
      <c r="O190" s="19"/>
      <c r="P190" s="19"/>
      <c r="Q190" s="19"/>
      <c r="R190" s="279"/>
      <c r="S190" s="46"/>
      <c r="T190" s="44"/>
      <c r="U190" s="77"/>
      <c r="V190" s="24"/>
      <c r="W190" s="24"/>
      <c r="X190" s="193"/>
      <c r="Y190" s="15"/>
    </row>
    <row r="191" spans="2:25" x14ac:dyDescent="0.25">
      <c r="B191" s="15">
        <v>189</v>
      </c>
      <c r="C191" s="8"/>
      <c r="E191" s="67"/>
      <c r="F191" s="16"/>
      <c r="G191" s="8"/>
      <c r="H191" s="8"/>
      <c r="I191" s="8"/>
      <c r="J191" s="9"/>
      <c r="K191" s="9">
        <f t="shared" si="35"/>
        <v>0</v>
      </c>
      <c r="L191" s="35">
        <f t="shared" si="36"/>
        <v>0</v>
      </c>
      <c r="M191" s="2"/>
      <c r="O191" s="19"/>
      <c r="P191" s="19"/>
      <c r="Q191" s="19"/>
      <c r="R191" s="21"/>
      <c r="S191" s="46"/>
      <c r="T191" s="44"/>
      <c r="U191" s="77"/>
      <c r="V191" s="24"/>
      <c r="W191" s="24"/>
      <c r="X191" s="193"/>
      <c r="Y191" s="15"/>
    </row>
    <row r="192" spans="2:25" x14ac:dyDescent="0.25">
      <c r="B192" s="15">
        <v>190</v>
      </c>
      <c r="C192" s="8"/>
      <c r="E192" s="67"/>
      <c r="F192" s="16"/>
      <c r="G192" s="8"/>
      <c r="H192" s="8"/>
      <c r="I192" s="8"/>
      <c r="J192" s="9"/>
      <c r="K192" s="9">
        <f t="shared" si="35"/>
        <v>0</v>
      </c>
      <c r="L192" s="35">
        <f t="shared" si="36"/>
        <v>0</v>
      </c>
      <c r="M192" s="2"/>
      <c r="O192" s="19"/>
      <c r="P192" s="19"/>
      <c r="Q192" s="19"/>
      <c r="R192" s="21"/>
      <c r="S192" s="46"/>
      <c r="T192" s="44"/>
      <c r="U192" s="77"/>
      <c r="V192" s="30"/>
      <c r="W192" s="24"/>
      <c r="X192" s="193"/>
      <c r="Y192" s="15"/>
    </row>
    <row r="193" spans="2:25" x14ac:dyDescent="0.25">
      <c r="B193" s="15">
        <v>191</v>
      </c>
      <c r="C193" s="8"/>
      <c r="E193" s="67"/>
      <c r="F193" s="16"/>
      <c r="G193" s="8"/>
      <c r="H193" s="8"/>
      <c r="I193" s="8"/>
      <c r="J193" s="9"/>
      <c r="K193" s="9">
        <f t="shared" si="35"/>
        <v>0</v>
      </c>
      <c r="L193" s="35">
        <f t="shared" si="36"/>
        <v>0</v>
      </c>
      <c r="M193" s="2"/>
      <c r="O193" s="19"/>
      <c r="P193" s="19"/>
      <c r="Q193" s="19"/>
      <c r="R193" s="21"/>
      <c r="S193" s="46"/>
      <c r="T193" s="44"/>
      <c r="U193" s="77"/>
      <c r="V193" s="30"/>
      <c r="W193" s="24"/>
      <c r="X193" s="193"/>
      <c r="Y193" s="15"/>
    </row>
    <row r="194" spans="2:25" x14ac:dyDescent="0.25">
      <c r="B194" s="15">
        <v>192</v>
      </c>
      <c r="C194" s="8"/>
      <c r="E194" s="67"/>
      <c r="F194" s="16"/>
      <c r="G194" s="8"/>
      <c r="H194" s="8"/>
      <c r="I194" s="8"/>
      <c r="J194" s="9"/>
      <c r="K194" s="9">
        <f t="shared" si="35"/>
        <v>0</v>
      </c>
      <c r="L194" s="35">
        <f t="shared" si="36"/>
        <v>0</v>
      </c>
      <c r="M194" s="2"/>
      <c r="O194" s="19"/>
      <c r="P194" s="19"/>
      <c r="Q194" s="19"/>
      <c r="R194" s="21"/>
      <c r="S194" s="46"/>
      <c r="T194" s="44"/>
      <c r="U194" s="77"/>
      <c r="V194" s="24"/>
      <c r="W194" s="24"/>
      <c r="X194" s="193"/>
      <c r="Y194" s="15"/>
    </row>
    <row r="195" spans="2:25" x14ac:dyDescent="0.25">
      <c r="B195" s="15">
        <v>193</v>
      </c>
      <c r="C195" s="8"/>
      <c r="E195" s="67"/>
      <c r="F195" s="16"/>
      <c r="G195" s="8"/>
      <c r="H195" s="8"/>
      <c r="I195" s="8"/>
      <c r="J195" s="9"/>
      <c r="K195" s="9">
        <f t="shared" ref="K195:K258" si="37">J195*1.1</f>
        <v>0</v>
      </c>
      <c r="L195" s="35">
        <f t="shared" ref="L195:L258" si="38">J195*0.00000001</f>
        <v>0</v>
      </c>
      <c r="M195" s="2"/>
      <c r="O195" s="19"/>
      <c r="P195" s="19"/>
      <c r="Q195" s="19"/>
      <c r="R195" s="21"/>
      <c r="S195" s="46"/>
      <c r="T195" s="44"/>
      <c r="U195" s="77"/>
      <c r="V195" s="24"/>
      <c r="W195" s="24"/>
      <c r="X195" s="193"/>
      <c r="Y195" s="15"/>
    </row>
    <row r="196" spans="2:25" x14ac:dyDescent="0.25">
      <c r="B196" s="15">
        <v>194</v>
      </c>
      <c r="C196" s="8"/>
      <c r="E196" s="67"/>
      <c r="F196" s="16"/>
      <c r="G196" s="8"/>
      <c r="H196" s="8"/>
      <c r="I196" s="8"/>
      <c r="J196" s="9"/>
      <c r="K196" s="9">
        <f t="shared" si="37"/>
        <v>0</v>
      </c>
      <c r="L196" s="35">
        <f t="shared" si="38"/>
        <v>0</v>
      </c>
      <c r="M196" s="2"/>
      <c r="O196" s="19"/>
      <c r="P196" s="19"/>
      <c r="Q196" s="19"/>
      <c r="R196" s="21"/>
      <c r="S196" s="46"/>
      <c r="T196" s="44"/>
      <c r="U196" s="77"/>
      <c r="V196" s="24"/>
      <c r="W196" s="24"/>
      <c r="X196" s="193"/>
      <c r="Y196" s="15"/>
    </row>
    <row r="197" spans="2:25" x14ac:dyDescent="0.25">
      <c r="B197" s="15">
        <v>195</v>
      </c>
      <c r="C197" s="8"/>
      <c r="E197" s="67"/>
      <c r="F197" s="16"/>
      <c r="G197" s="8"/>
      <c r="H197" s="8"/>
      <c r="I197" s="8"/>
      <c r="J197" s="9"/>
      <c r="K197" s="9">
        <f t="shared" si="37"/>
        <v>0</v>
      </c>
      <c r="L197" s="35">
        <f t="shared" si="38"/>
        <v>0</v>
      </c>
      <c r="M197" s="2"/>
      <c r="O197" s="19"/>
      <c r="P197" s="19"/>
      <c r="Q197" s="19"/>
      <c r="R197" s="21"/>
      <c r="S197" s="46"/>
      <c r="T197" s="44"/>
      <c r="U197" s="77"/>
      <c r="V197" s="24"/>
      <c r="W197" s="24"/>
      <c r="X197" s="193"/>
      <c r="Y197" s="15"/>
    </row>
    <row r="198" spans="2:25" x14ac:dyDescent="0.25">
      <c r="B198" s="15">
        <v>196</v>
      </c>
      <c r="C198" s="8"/>
      <c r="E198" s="67"/>
      <c r="F198" s="16"/>
      <c r="G198" s="8"/>
      <c r="H198" s="8"/>
      <c r="I198" s="8"/>
      <c r="J198" s="9"/>
      <c r="K198" s="9">
        <f t="shared" si="37"/>
        <v>0</v>
      </c>
      <c r="L198" s="35">
        <f t="shared" si="38"/>
        <v>0</v>
      </c>
      <c r="M198" s="2"/>
      <c r="O198" s="19"/>
      <c r="P198" s="19"/>
      <c r="Q198" s="19"/>
      <c r="R198" s="21"/>
      <c r="S198" s="46"/>
      <c r="T198" s="44"/>
      <c r="U198" s="77"/>
      <c r="V198" s="24"/>
      <c r="W198" s="24"/>
      <c r="X198" s="193"/>
      <c r="Y198" s="15"/>
    </row>
    <row r="199" spans="2:25" x14ac:dyDescent="0.25">
      <c r="B199" s="15">
        <v>197</v>
      </c>
      <c r="C199" s="8"/>
      <c r="E199" s="67"/>
      <c r="F199" s="16"/>
      <c r="G199" s="8"/>
      <c r="H199" s="8"/>
      <c r="I199" s="8"/>
      <c r="J199" s="9"/>
      <c r="K199" s="9">
        <f t="shared" si="37"/>
        <v>0</v>
      </c>
      <c r="L199" s="35">
        <f t="shared" si="38"/>
        <v>0</v>
      </c>
      <c r="M199" s="2"/>
      <c r="O199" s="19"/>
      <c r="P199" s="19"/>
      <c r="Q199" s="19"/>
      <c r="R199" s="21"/>
      <c r="S199" s="46"/>
      <c r="T199" s="44"/>
      <c r="U199" s="77"/>
      <c r="V199" s="24"/>
      <c r="W199" s="24"/>
      <c r="X199" s="193"/>
      <c r="Y199" s="15"/>
    </row>
    <row r="200" spans="2:25" x14ac:dyDescent="0.25">
      <c r="B200" s="15">
        <v>198</v>
      </c>
      <c r="C200" s="8"/>
      <c r="E200" s="67"/>
      <c r="F200" s="16"/>
      <c r="G200" s="8"/>
      <c r="H200" s="8"/>
      <c r="I200" s="8"/>
      <c r="J200" s="9"/>
      <c r="K200" s="9">
        <f t="shared" si="37"/>
        <v>0</v>
      </c>
      <c r="L200" s="35">
        <f t="shared" si="38"/>
        <v>0</v>
      </c>
      <c r="M200" s="2"/>
      <c r="O200" s="19"/>
      <c r="P200" s="19"/>
      <c r="Q200" s="19"/>
      <c r="R200" s="21"/>
      <c r="S200" s="46"/>
      <c r="T200" s="44"/>
      <c r="U200" s="77"/>
      <c r="V200" s="30"/>
      <c r="W200" s="24"/>
      <c r="X200" s="193"/>
      <c r="Y200" s="15"/>
    </row>
    <row r="201" spans="2:25" x14ac:dyDescent="0.25">
      <c r="B201" s="15">
        <v>199</v>
      </c>
      <c r="C201" s="8"/>
      <c r="E201" s="67"/>
      <c r="F201" s="16"/>
      <c r="G201" s="8"/>
      <c r="H201" s="8"/>
      <c r="I201" s="8"/>
      <c r="J201" s="9"/>
      <c r="K201" s="9">
        <f t="shared" si="37"/>
        <v>0</v>
      </c>
      <c r="L201" s="35">
        <f t="shared" si="38"/>
        <v>0</v>
      </c>
      <c r="M201" s="2"/>
      <c r="O201" s="19"/>
      <c r="P201" s="19"/>
      <c r="Q201" s="19"/>
      <c r="R201" s="21"/>
      <c r="S201" s="46"/>
      <c r="T201" s="44"/>
      <c r="U201" s="77"/>
      <c r="V201" s="30"/>
      <c r="W201" s="24"/>
      <c r="X201" s="193"/>
      <c r="Y201" s="15"/>
    </row>
    <row r="202" spans="2:25" x14ac:dyDescent="0.25">
      <c r="B202" s="15">
        <v>200</v>
      </c>
      <c r="C202" s="8"/>
      <c r="E202" s="67"/>
      <c r="F202" s="16"/>
      <c r="G202" s="8"/>
      <c r="H202" s="8"/>
      <c r="I202" s="8"/>
      <c r="J202" s="9"/>
      <c r="K202" s="9">
        <f t="shared" si="37"/>
        <v>0</v>
      </c>
      <c r="L202" s="35">
        <f t="shared" si="38"/>
        <v>0</v>
      </c>
      <c r="M202" s="2"/>
      <c r="O202" s="19"/>
      <c r="P202" s="19"/>
      <c r="Q202" s="19"/>
      <c r="R202" s="21"/>
      <c r="S202" s="46"/>
      <c r="T202" s="44"/>
      <c r="U202" s="77"/>
      <c r="V202" s="30"/>
      <c r="W202" s="24"/>
      <c r="X202" s="193"/>
      <c r="Y202" s="15"/>
    </row>
    <row r="203" spans="2:25" x14ac:dyDescent="0.25">
      <c r="B203" s="15">
        <v>201</v>
      </c>
      <c r="C203" s="8"/>
      <c r="E203" s="67"/>
      <c r="F203" s="16"/>
      <c r="G203" s="8"/>
      <c r="H203" s="8"/>
      <c r="I203" s="8"/>
      <c r="J203" s="9"/>
      <c r="K203" s="9">
        <f t="shared" si="37"/>
        <v>0</v>
      </c>
      <c r="L203" s="35">
        <f t="shared" si="38"/>
        <v>0</v>
      </c>
      <c r="M203" s="2"/>
      <c r="O203" s="19"/>
      <c r="P203" s="19"/>
      <c r="Q203" s="19"/>
      <c r="R203" s="21"/>
      <c r="S203" s="46"/>
      <c r="T203" s="44"/>
      <c r="U203" s="77"/>
      <c r="V203" s="24"/>
      <c r="W203" s="24"/>
      <c r="X203" s="193"/>
      <c r="Y203" s="15"/>
    </row>
    <row r="204" spans="2:25" x14ac:dyDescent="0.25">
      <c r="B204" s="15">
        <v>202</v>
      </c>
      <c r="C204" s="8"/>
      <c r="E204" s="67"/>
      <c r="F204" s="16"/>
      <c r="G204" s="8"/>
      <c r="H204" s="8"/>
      <c r="I204" s="8"/>
      <c r="J204" s="9"/>
      <c r="K204" s="9">
        <f t="shared" si="37"/>
        <v>0</v>
      </c>
      <c r="L204" s="35">
        <f t="shared" si="38"/>
        <v>0</v>
      </c>
      <c r="M204" s="2"/>
      <c r="O204" s="19"/>
      <c r="P204" s="19"/>
      <c r="Q204" s="19"/>
      <c r="R204" s="21"/>
      <c r="S204" s="46"/>
      <c r="T204" s="44"/>
      <c r="U204" s="77"/>
      <c r="V204" s="24"/>
      <c r="W204" s="24"/>
      <c r="X204" s="193"/>
      <c r="Y204" s="15"/>
    </row>
    <row r="205" spans="2:25" x14ac:dyDescent="0.25">
      <c r="B205" s="15">
        <v>203</v>
      </c>
      <c r="C205" s="8"/>
      <c r="E205" s="67"/>
      <c r="F205" s="16"/>
      <c r="G205" s="8"/>
      <c r="H205" s="8"/>
      <c r="I205" s="8"/>
      <c r="J205" s="9"/>
      <c r="K205" s="9">
        <f t="shared" si="37"/>
        <v>0</v>
      </c>
      <c r="L205" s="35">
        <f t="shared" si="38"/>
        <v>0</v>
      </c>
      <c r="M205" s="2"/>
      <c r="O205" s="19"/>
      <c r="P205" s="19"/>
      <c r="Q205" s="19"/>
      <c r="R205" s="21"/>
      <c r="S205" s="46"/>
      <c r="T205" s="44"/>
      <c r="U205" s="77"/>
      <c r="V205" s="24"/>
      <c r="W205" s="24"/>
      <c r="X205" s="193"/>
      <c r="Y205" s="15"/>
    </row>
    <row r="206" spans="2:25" x14ac:dyDescent="0.25">
      <c r="B206" s="15">
        <v>204</v>
      </c>
      <c r="C206" s="8"/>
      <c r="E206" s="67"/>
      <c r="F206" s="16"/>
      <c r="G206" s="8"/>
      <c r="H206" s="8"/>
      <c r="I206" s="8"/>
      <c r="J206" s="9"/>
      <c r="K206" s="9">
        <f t="shared" si="37"/>
        <v>0</v>
      </c>
      <c r="L206" s="35">
        <f t="shared" si="38"/>
        <v>0</v>
      </c>
      <c r="M206" s="2"/>
      <c r="O206" s="19"/>
      <c r="P206" s="19"/>
      <c r="Q206" s="19"/>
      <c r="R206" s="21"/>
      <c r="S206" s="46"/>
      <c r="T206" s="44"/>
      <c r="U206" s="77"/>
      <c r="V206" s="24"/>
      <c r="W206" s="24"/>
      <c r="X206" s="193"/>
      <c r="Y206" s="15"/>
    </row>
    <row r="207" spans="2:25" x14ac:dyDescent="0.25">
      <c r="B207" s="15">
        <v>205</v>
      </c>
      <c r="C207" s="8"/>
      <c r="E207" s="67"/>
      <c r="F207" s="16"/>
      <c r="G207" s="8"/>
      <c r="H207" s="8"/>
      <c r="I207" s="8"/>
      <c r="J207" s="9"/>
      <c r="K207" s="9">
        <f t="shared" si="37"/>
        <v>0</v>
      </c>
      <c r="L207" s="35">
        <f t="shared" si="38"/>
        <v>0</v>
      </c>
      <c r="M207" s="2"/>
      <c r="O207" s="19"/>
      <c r="P207" s="19"/>
      <c r="Q207" s="19"/>
      <c r="R207" s="21"/>
      <c r="S207" s="46"/>
      <c r="T207" s="44"/>
      <c r="U207" s="77"/>
      <c r="V207" s="24"/>
      <c r="W207" s="24"/>
      <c r="X207" s="193"/>
      <c r="Y207" s="15"/>
    </row>
    <row r="208" spans="2:25" x14ac:dyDescent="0.25">
      <c r="B208" s="15">
        <v>206</v>
      </c>
      <c r="C208" s="8"/>
      <c r="E208" s="67"/>
      <c r="F208" s="16"/>
      <c r="G208" s="8"/>
      <c r="H208" s="8"/>
      <c r="I208" s="8"/>
      <c r="J208" s="9"/>
      <c r="K208" s="9">
        <f t="shared" si="37"/>
        <v>0</v>
      </c>
      <c r="L208" s="35">
        <f t="shared" si="38"/>
        <v>0</v>
      </c>
      <c r="M208" s="2"/>
      <c r="O208" s="19"/>
      <c r="P208" s="19"/>
      <c r="Q208" s="19"/>
      <c r="R208" s="21"/>
      <c r="S208" s="46"/>
      <c r="T208" s="44"/>
      <c r="U208" s="77"/>
      <c r="V208" s="30"/>
      <c r="W208" s="24"/>
      <c r="X208" s="193"/>
      <c r="Y208" s="15"/>
    </row>
    <row r="209" spans="2:25" x14ac:dyDescent="0.25">
      <c r="B209" s="15">
        <v>207</v>
      </c>
      <c r="C209" s="8"/>
      <c r="E209" s="67"/>
      <c r="F209" s="16"/>
      <c r="G209" s="8"/>
      <c r="H209" s="8"/>
      <c r="I209" s="8"/>
      <c r="J209" s="9"/>
      <c r="K209" s="9">
        <f t="shared" si="37"/>
        <v>0</v>
      </c>
      <c r="L209" s="35">
        <f t="shared" si="38"/>
        <v>0</v>
      </c>
      <c r="M209" s="2"/>
      <c r="O209" s="19"/>
      <c r="P209" s="19"/>
      <c r="Q209" s="19"/>
      <c r="R209" s="21"/>
      <c r="S209" s="46"/>
      <c r="T209" s="44"/>
      <c r="U209" s="77"/>
      <c r="V209" s="30"/>
      <c r="W209" s="24"/>
      <c r="X209" s="193"/>
      <c r="Y209" s="15"/>
    </row>
    <row r="210" spans="2:25" x14ac:dyDescent="0.25">
      <c r="B210" s="15">
        <v>208</v>
      </c>
      <c r="C210" s="8"/>
      <c r="E210" s="67"/>
      <c r="F210" s="16"/>
      <c r="G210" s="8"/>
      <c r="H210" s="8"/>
      <c r="I210" s="8"/>
      <c r="J210" s="9"/>
      <c r="K210" s="9">
        <f t="shared" si="37"/>
        <v>0</v>
      </c>
      <c r="L210" s="35">
        <f t="shared" si="38"/>
        <v>0</v>
      </c>
      <c r="M210" s="2"/>
      <c r="O210" s="19"/>
      <c r="P210" s="19"/>
      <c r="Q210" s="19"/>
      <c r="R210" s="21"/>
      <c r="S210" s="46"/>
      <c r="T210" s="44"/>
      <c r="U210" s="77"/>
      <c r="V210" s="24"/>
      <c r="W210" s="24"/>
      <c r="X210" s="193"/>
      <c r="Y210" s="15"/>
    </row>
    <row r="211" spans="2:25" x14ac:dyDescent="0.25">
      <c r="B211" s="15">
        <v>209</v>
      </c>
      <c r="C211" s="8"/>
      <c r="E211" s="67"/>
      <c r="F211" s="16"/>
      <c r="G211" s="8"/>
      <c r="H211" s="8"/>
      <c r="I211" s="8"/>
      <c r="J211" s="9"/>
      <c r="K211" s="9">
        <f t="shared" si="37"/>
        <v>0</v>
      </c>
      <c r="L211" s="35">
        <f t="shared" si="38"/>
        <v>0</v>
      </c>
      <c r="M211" s="2"/>
      <c r="O211" s="19"/>
      <c r="P211" s="19"/>
      <c r="Q211" s="19"/>
      <c r="R211" s="21"/>
      <c r="S211" s="46"/>
      <c r="T211" s="44"/>
      <c r="U211" s="77"/>
      <c r="V211" s="24"/>
      <c r="W211" s="24"/>
      <c r="X211" s="193"/>
      <c r="Y211" s="15"/>
    </row>
    <row r="212" spans="2:25" x14ac:dyDescent="0.25">
      <c r="B212" s="15">
        <v>210</v>
      </c>
      <c r="C212" s="8"/>
      <c r="E212" s="67"/>
      <c r="F212" s="16"/>
      <c r="G212" s="8"/>
      <c r="H212" s="8"/>
      <c r="I212" s="8"/>
      <c r="J212" s="9"/>
      <c r="K212" s="9">
        <f t="shared" si="37"/>
        <v>0</v>
      </c>
      <c r="L212" s="35">
        <f t="shared" si="38"/>
        <v>0</v>
      </c>
      <c r="M212" s="2"/>
      <c r="O212" s="19"/>
      <c r="P212" s="19"/>
      <c r="Q212" s="19"/>
      <c r="R212" s="21"/>
      <c r="S212" s="46"/>
      <c r="T212" s="44"/>
      <c r="U212" s="77"/>
      <c r="V212" s="24"/>
      <c r="W212" s="24"/>
      <c r="X212" s="193"/>
      <c r="Y212" s="15"/>
    </row>
    <row r="213" spans="2:25" x14ac:dyDescent="0.25">
      <c r="B213" s="15">
        <v>211</v>
      </c>
      <c r="C213" s="8"/>
      <c r="E213" s="67"/>
      <c r="F213" s="16"/>
      <c r="G213" s="8"/>
      <c r="H213" s="8"/>
      <c r="I213" s="8"/>
      <c r="J213" s="9"/>
      <c r="K213" s="9">
        <f t="shared" si="37"/>
        <v>0</v>
      </c>
      <c r="L213" s="35">
        <f t="shared" si="38"/>
        <v>0</v>
      </c>
      <c r="M213" s="2"/>
      <c r="O213" s="19"/>
      <c r="P213" s="19"/>
      <c r="Q213" s="19"/>
      <c r="R213" s="21"/>
      <c r="S213" s="46"/>
      <c r="T213" s="44"/>
      <c r="U213" s="77"/>
      <c r="V213" s="24"/>
      <c r="W213" s="24"/>
      <c r="X213" s="193"/>
      <c r="Y213" s="15"/>
    </row>
    <row r="214" spans="2:25" x14ac:dyDescent="0.25">
      <c r="B214" s="15">
        <v>212</v>
      </c>
      <c r="C214" s="8"/>
      <c r="E214" s="67"/>
      <c r="F214" s="16"/>
      <c r="G214" s="8"/>
      <c r="H214" s="8"/>
      <c r="I214" s="8"/>
      <c r="J214" s="9"/>
      <c r="K214" s="9">
        <f t="shared" si="37"/>
        <v>0</v>
      </c>
      <c r="L214" s="35">
        <f t="shared" si="38"/>
        <v>0</v>
      </c>
      <c r="M214" s="2"/>
      <c r="O214" s="19"/>
      <c r="P214" s="19"/>
      <c r="Q214" s="19"/>
      <c r="R214" s="21"/>
      <c r="S214" s="46"/>
      <c r="T214" s="44"/>
      <c r="U214" s="77"/>
      <c r="V214" s="24"/>
      <c r="W214" s="24"/>
      <c r="X214" s="193"/>
      <c r="Y214" s="15"/>
    </row>
    <row r="215" spans="2:25" x14ac:dyDescent="0.25">
      <c r="B215" s="15">
        <v>213</v>
      </c>
      <c r="C215" s="8"/>
      <c r="E215" s="67"/>
      <c r="F215" s="16"/>
      <c r="G215" s="8"/>
      <c r="H215" s="8"/>
      <c r="I215" s="8"/>
      <c r="J215" s="9"/>
      <c r="K215" s="9">
        <f t="shared" si="37"/>
        <v>0</v>
      </c>
      <c r="L215" s="35">
        <f t="shared" si="38"/>
        <v>0</v>
      </c>
      <c r="M215" s="2"/>
      <c r="O215" s="19"/>
      <c r="P215" s="19"/>
      <c r="Q215" s="19"/>
      <c r="R215" s="21"/>
      <c r="S215" s="46"/>
      <c r="T215" s="44"/>
      <c r="U215" s="77"/>
      <c r="V215" s="30"/>
      <c r="W215" s="24"/>
      <c r="X215" s="193"/>
      <c r="Y215" s="15"/>
    </row>
    <row r="216" spans="2:25" x14ac:dyDescent="0.25">
      <c r="B216" s="15">
        <v>214</v>
      </c>
      <c r="C216" s="8"/>
      <c r="E216" s="67"/>
      <c r="F216" s="16"/>
      <c r="G216" s="8"/>
      <c r="H216" s="8"/>
      <c r="I216" s="8"/>
      <c r="J216" s="9"/>
      <c r="K216" s="9">
        <f t="shared" si="37"/>
        <v>0</v>
      </c>
      <c r="L216" s="35">
        <f t="shared" si="38"/>
        <v>0</v>
      </c>
      <c r="M216" s="2"/>
      <c r="O216" s="19"/>
      <c r="P216" s="19"/>
      <c r="Q216" s="19"/>
      <c r="R216" s="21"/>
      <c r="S216" s="46"/>
      <c r="T216" s="44"/>
      <c r="U216" s="77"/>
      <c r="V216" s="30"/>
      <c r="W216" s="24"/>
      <c r="X216" s="193"/>
      <c r="Y216" s="15"/>
    </row>
    <row r="217" spans="2:25" x14ac:dyDescent="0.25">
      <c r="B217" s="15">
        <v>215</v>
      </c>
      <c r="C217" s="8"/>
      <c r="E217" s="67"/>
      <c r="F217" s="16"/>
      <c r="G217" s="8"/>
      <c r="H217" s="8"/>
      <c r="I217" s="8"/>
      <c r="J217" s="9"/>
      <c r="K217" s="9">
        <f t="shared" si="37"/>
        <v>0</v>
      </c>
      <c r="L217" s="35">
        <f t="shared" si="38"/>
        <v>0</v>
      </c>
      <c r="M217" s="2"/>
      <c r="O217" s="19"/>
      <c r="P217" s="19"/>
      <c r="Q217" s="19"/>
      <c r="R217" s="21"/>
      <c r="S217" s="46"/>
      <c r="T217" s="44"/>
      <c r="U217" s="77"/>
      <c r="V217" s="30"/>
      <c r="W217" s="24"/>
      <c r="X217" s="193"/>
      <c r="Y217" s="15"/>
    </row>
    <row r="218" spans="2:25" x14ac:dyDescent="0.25">
      <c r="B218" s="15">
        <v>216</v>
      </c>
      <c r="C218" s="8"/>
      <c r="E218" s="67"/>
      <c r="F218" s="16"/>
      <c r="G218" s="8"/>
      <c r="H218" s="8"/>
      <c r="I218" s="8"/>
      <c r="J218" s="9"/>
      <c r="K218" s="9">
        <f t="shared" si="37"/>
        <v>0</v>
      </c>
      <c r="L218" s="35">
        <f t="shared" si="38"/>
        <v>0</v>
      </c>
      <c r="M218" s="2"/>
      <c r="O218" s="19"/>
      <c r="P218" s="19"/>
      <c r="Q218" s="19"/>
      <c r="R218" s="21"/>
      <c r="S218" s="46"/>
      <c r="T218" s="44"/>
      <c r="U218" s="77"/>
      <c r="V218" s="30"/>
      <c r="W218" s="24"/>
      <c r="X218" s="193"/>
      <c r="Y218" s="15"/>
    </row>
    <row r="219" spans="2:25" x14ac:dyDescent="0.25">
      <c r="B219" s="15">
        <v>217</v>
      </c>
      <c r="C219" s="8"/>
      <c r="E219" s="67"/>
      <c r="F219" s="16"/>
      <c r="G219" s="8"/>
      <c r="H219" s="8"/>
      <c r="I219" s="8"/>
      <c r="J219" s="9"/>
      <c r="K219" s="9">
        <f t="shared" si="37"/>
        <v>0</v>
      </c>
      <c r="L219" s="35">
        <f t="shared" si="38"/>
        <v>0</v>
      </c>
      <c r="M219" s="2"/>
      <c r="O219" s="19"/>
      <c r="P219" s="19"/>
      <c r="Q219" s="19"/>
      <c r="R219" s="21"/>
      <c r="S219" s="46"/>
      <c r="T219" s="44"/>
      <c r="U219" s="77"/>
      <c r="V219" s="30"/>
      <c r="W219" s="24"/>
      <c r="X219" s="193"/>
      <c r="Y219" s="15"/>
    </row>
    <row r="220" spans="2:25" x14ac:dyDescent="0.25">
      <c r="B220" s="15">
        <v>218</v>
      </c>
      <c r="C220" s="8"/>
      <c r="E220" s="67"/>
      <c r="F220" s="16"/>
      <c r="G220" s="8"/>
      <c r="H220" s="8"/>
      <c r="I220" s="8"/>
      <c r="J220" s="9"/>
      <c r="K220" s="9">
        <f t="shared" si="37"/>
        <v>0</v>
      </c>
      <c r="L220" s="35">
        <f t="shared" si="38"/>
        <v>0</v>
      </c>
      <c r="M220" s="2"/>
      <c r="O220" s="19"/>
      <c r="P220" s="19"/>
      <c r="Q220" s="19"/>
      <c r="R220" s="21"/>
      <c r="S220" s="46"/>
      <c r="T220" s="44"/>
      <c r="U220" s="77"/>
      <c r="V220" s="30"/>
      <c r="W220" s="24"/>
      <c r="X220" s="193"/>
      <c r="Y220" s="15"/>
    </row>
    <row r="221" spans="2:25" x14ac:dyDescent="0.25">
      <c r="B221" s="15">
        <v>219</v>
      </c>
      <c r="C221" s="8"/>
      <c r="E221" s="67"/>
      <c r="F221" s="16"/>
      <c r="G221" s="8"/>
      <c r="H221" s="8"/>
      <c r="I221" s="8"/>
      <c r="J221" s="9"/>
      <c r="K221" s="9">
        <f t="shared" si="37"/>
        <v>0</v>
      </c>
      <c r="L221" s="35">
        <f t="shared" si="38"/>
        <v>0</v>
      </c>
      <c r="M221" s="2"/>
      <c r="O221" s="19"/>
      <c r="P221" s="19"/>
      <c r="Q221" s="19"/>
      <c r="R221" s="21"/>
      <c r="S221" s="46"/>
      <c r="T221" s="44"/>
      <c r="U221" s="77"/>
      <c r="V221" s="24"/>
      <c r="W221" s="24"/>
      <c r="X221" s="193"/>
      <c r="Y221" s="15"/>
    </row>
    <row r="222" spans="2:25" x14ac:dyDescent="0.25">
      <c r="B222" s="15">
        <v>220</v>
      </c>
      <c r="C222" s="8"/>
      <c r="E222" s="67"/>
      <c r="F222" s="16"/>
      <c r="G222" s="8"/>
      <c r="H222" s="8"/>
      <c r="I222" s="8"/>
      <c r="J222" s="9"/>
      <c r="K222" s="9">
        <f t="shared" si="37"/>
        <v>0</v>
      </c>
      <c r="L222" s="35">
        <f t="shared" si="38"/>
        <v>0</v>
      </c>
      <c r="M222" s="2"/>
      <c r="O222" s="19"/>
      <c r="P222" s="19"/>
      <c r="Q222" s="19"/>
      <c r="R222" s="21"/>
      <c r="S222" s="46"/>
      <c r="T222" s="44"/>
      <c r="U222" s="77"/>
      <c r="V222" s="24"/>
      <c r="W222" s="24"/>
      <c r="X222" s="193"/>
      <c r="Y222" s="15"/>
    </row>
    <row r="223" spans="2:25" x14ac:dyDescent="0.25">
      <c r="B223" s="15">
        <v>221</v>
      </c>
      <c r="C223" s="8"/>
      <c r="E223" s="67"/>
      <c r="F223" s="16"/>
      <c r="G223" s="8"/>
      <c r="H223" s="8"/>
      <c r="I223" s="8"/>
      <c r="J223" s="9"/>
      <c r="K223" s="9">
        <f t="shared" si="37"/>
        <v>0</v>
      </c>
      <c r="L223" s="35">
        <f t="shared" si="38"/>
        <v>0</v>
      </c>
      <c r="M223" s="2"/>
      <c r="O223" s="19"/>
      <c r="P223" s="19"/>
      <c r="Q223" s="19"/>
      <c r="R223" s="21"/>
      <c r="S223" s="46"/>
      <c r="T223" s="44"/>
      <c r="U223" s="77"/>
      <c r="V223" s="24"/>
      <c r="W223" s="24"/>
      <c r="X223" s="193"/>
      <c r="Y223" s="15"/>
    </row>
    <row r="224" spans="2:25" x14ac:dyDescent="0.25">
      <c r="B224" s="15">
        <v>222</v>
      </c>
      <c r="C224" s="8"/>
      <c r="E224" s="67"/>
      <c r="F224" s="16"/>
      <c r="G224" s="8"/>
      <c r="H224" s="8"/>
      <c r="I224" s="8"/>
      <c r="J224" s="9"/>
      <c r="K224" s="9">
        <f t="shared" si="37"/>
        <v>0</v>
      </c>
      <c r="L224" s="35">
        <f t="shared" si="38"/>
        <v>0</v>
      </c>
      <c r="M224" s="2"/>
      <c r="O224" s="19"/>
      <c r="P224" s="19"/>
      <c r="Q224" s="19"/>
      <c r="R224" s="21"/>
      <c r="S224" s="46"/>
      <c r="T224" s="44"/>
      <c r="U224" s="77"/>
      <c r="V224" s="30"/>
      <c r="W224" s="24"/>
      <c r="X224" s="193"/>
      <c r="Y224" s="15"/>
    </row>
    <row r="225" spans="2:25" x14ac:dyDescent="0.25">
      <c r="B225" s="15">
        <v>223</v>
      </c>
      <c r="C225" s="8"/>
      <c r="E225" s="67"/>
      <c r="F225" s="16"/>
      <c r="G225" s="8"/>
      <c r="H225" s="8"/>
      <c r="I225" s="8"/>
      <c r="J225" s="9"/>
      <c r="K225" s="9">
        <f t="shared" si="37"/>
        <v>0</v>
      </c>
      <c r="L225" s="35">
        <f t="shared" si="38"/>
        <v>0</v>
      </c>
      <c r="M225" s="2"/>
      <c r="O225" s="19"/>
      <c r="P225" s="19"/>
      <c r="Q225" s="19"/>
      <c r="R225" s="21"/>
      <c r="S225" s="46"/>
      <c r="T225" s="44"/>
      <c r="U225" s="77"/>
      <c r="V225" s="30"/>
      <c r="W225" s="24"/>
      <c r="X225" s="193"/>
      <c r="Y225" s="15"/>
    </row>
    <row r="226" spans="2:25" x14ac:dyDescent="0.25">
      <c r="B226" s="15">
        <v>224</v>
      </c>
      <c r="C226" s="8"/>
      <c r="E226" s="67"/>
      <c r="F226" s="16"/>
      <c r="G226" s="8"/>
      <c r="H226" s="8"/>
      <c r="I226" s="8"/>
      <c r="J226" s="9"/>
      <c r="K226" s="9">
        <f t="shared" si="37"/>
        <v>0</v>
      </c>
      <c r="L226" s="35">
        <f t="shared" si="38"/>
        <v>0</v>
      </c>
      <c r="M226" s="2"/>
      <c r="O226" s="19"/>
      <c r="P226" s="19"/>
      <c r="Q226" s="19"/>
      <c r="R226" s="21"/>
      <c r="S226" s="46"/>
      <c r="T226" s="44"/>
      <c r="U226" s="77"/>
      <c r="V226" s="24"/>
      <c r="W226" s="24"/>
      <c r="X226" s="193"/>
      <c r="Y226" s="15"/>
    </row>
    <row r="227" spans="2:25" x14ac:dyDescent="0.25">
      <c r="B227" s="15">
        <v>225</v>
      </c>
      <c r="C227" s="8"/>
      <c r="E227" s="67"/>
      <c r="F227" s="16"/>
      <c r="G227" s="8"/>
      <c r="H227" s="8"/>
      <c r="I227" s="8"/>
      <c r="J227" s="9"/>
      <c r="K227" s="9">
        <f t="shared" si="37"/>
        <v>0</v>
      </c>
      <c r="L227" s="35">
        <f t="shared" si="38"/>
        <v>0</v>
      </c>
      <c r="M227" s="2"/>
      <c r="O227" s="19"/>
      <c r="P227" s="19"/>
      <c r="Q227" s="19"/>
      <c r="R227" s="21"/>
      <c r="S227" s="46"/>
      <c r="T227" s="44"/>
      <c r="U227" s="77"/>
      <c r="V227" s="24"/>
      <c r="W227" s="24"/>
      <c r="X227" s="193"/>
      <c r="Y227" s="15"/>
    </row>
    <row r="228" spans="2:25" x14ac:dyDescent="0.25">
      <c r="B228" s="15">
        <v>226</v>
      </c>
      <c r="C228" s="8"/>
      <c r="E228" s="67"/>
      <c r="F228" s="16"/>
      <c r="G228" s="8"/>
      <c r="H228" s="8"/>
      <c r="I228" s="8"/>
      <c r="J228" s="9"/>
      <c r="K228" s="9">
        <f t="shared" si="37"/>
        <v>0</v>
      </c>
      <c r="L228" s="35">
        <f t="shared" si="38"/>
        <v>0</v>
      </c>
      <c r="M228" s="2"/>
      <c r="O228" s="19"/>
      <c r="P228" s="19"/>
      <c r="Q228" s="19"/>
      <c r="R228" s="21"/>
      <c r="S228" s="46"/>
      <c r="T228" s="44"/>
      <c r="U228" s="77"/>
      <c r="V228" s="24"/>
      <c r="W228" s="24"/>
      <c r="X228" s="193"/>
      <c r="Y228" s="15"/>
    </row>
    <row r="229" spans="2:25" x14ac:dyDescent="0.25">
      <c r="B229" s="15">
        <v>227</v>
      </c>
      <c r="C229" s="8"/>
      <c r="E229" s="67"/>
      <c r="F229" s="16"/>
      <c r="G229" s="8"/>
      <c r="H229" s="8"/>
      <c r="I229" s="8"/>
      <c r="J229" s="9"/>
      <c r="K229" s="9">
        <f t="shared" si="37"/>
        <v>0</v>
      </c>
      <c r="L229" s="35">
        <f t="shared" si="38"/>
        <v>0</v>
      </c>
      <c r="M229" s="2"/>
      <c r="O229" s="19"/>
      <c r="P229" s="19"/>
      <c r="Q229" s="19"/>
      <c r="R229" s="21"/>
      <c r="S229" s="46"/>
      <c r="T229" s="44"/>
      <c r="U229" s="77"/>
      <c r="V229" s="24"/>
      <c r="W229" s="24"/>
      <c r="X229" s="193"/>
      <c r="Y229" s="15"/>
    </row>
    <row r="230" spans="2:25" x14ac:dyDescent="0.25">
      <c r="B230" s="15">
        <v>228</v>
      </c>
      <c r="C230" s="8"/>
      <c r="E230" s="67"/>
      <c r="F230" s="16"/>
      <c r="G230" s="8"/>
      <c r="H230" s="8"/>
      <c r="I230" s="8"/>
      <c r="J230" s="9"/>
      <c r="K230" s="9">
        <f t="shared" si="37"/>
        <v>0</v>
      </c>
      <c r="L230" s="35">
        <f t="shared" si="38"/>
        <v>0</v>
      </c>
      <c r="M230" s="2"/>
      <c r="O230" s="19"/>
      <c r="P230" s="19"/>
      <c r="Q230" s="19"/>
      <c r="R230" s="21"/>
      <c r="S230" s="46"/>
      <c r="T230" s="44"/>
      <c r="U230" s="77"/>
      <c r="V230" s="30"/>
      <c r="W230" s="24"/>
      <c r="X230" s="193"/>
      <c r="Y230" s="15"/>
    </row>
    <row r="231" spans="2:25" x14ac:dyDescent="0.25">
      <c r="B231" s="15">
        <v>229</v>
      </c>
      <c r="C231" s="8"/>
      <c r="E231" s="67"/>
      <c r="F231" s="16"/>
      <c r="G231" s="8"/>
      <c r="H231" s="8"/>
      <c r="I231" s="8"/>
      <c r="J231" s="9"/>
      <c r="K231" s="9">
        <f t="shared" si="37"/>
        <v>0</v>
      </c>
      <c r="L231" s="35">
        <f t="shared" si="38"/>
        <v>0</v>
      </c>
      <c r="M231" s="2"/>
      <c r="O231" s="19"/>
      <c r="P231" s="19"/>
      <c r="Q231" s="19"/>
      <c r="R231" s="21"/>
      <c r="S231" s="46"/>
      <c r="T231" s="44"/>
      <c r="U231" s="77"/>
      <c r="V231" s="30"/>
      <c r="W231" s="24"/>
      <c r="X231" s="193"/>
      <c r="Y231" s="15"/>
    </row>
    <row r="232" spans="2:25" x14ac:dyDescent="0.25">
      <c r="B232" s="15">
        <v>230</v>
      </c>
      <c r="C232" s="8"/>
      <c r="E232" s="67"/>
      <c r="F232" s="16"/>
      <c r="G232" s="8"/>
      <c r="H232" s="8"/>
      <c r="I232" s="8"/>
      <c r="J232" s="9"/>
      <c r="K232" s="9">
        <f t="shared" si="37"/>
        <v>0</v>
      </c>
      <c r="L232" s="35">
        <f t="shared" si="38"/>
        <v>0</v>
      </c>
      <c r="M232" s="2"/>
      <c r="O232" s="19"/>
      <c r="P232" s="19"/>
      <c r="Q232" s="19"/>
      <c r="R232" s="21"/>
      <c r="S232" s="46"/>
      <c r="T232" s="44"/>
      <c r="U232" s="77"/>
      <c r="V232" s="24"/>
      <c r="W232" s="24"/>
      <c r="X232" s="193"/>
      <c r="Y232" s="15"/>
    </row>
    <row r="233" spans="2:25" x14ac:dyDescent="0.25">
      <c r="B233" s="15">
        <v>231</v>
      </c>
      <c r="C233" s="8"/>
      <c r="E233" s="67"/>
      <c r="F233" s="16"/>
      <c r="G233" s="8"/>
      <c r="H233" s="8"/>
      <c r="I233" s="8"/>
      <c r="J233" s="9"/>
      <c r="K233" s="9">
        <f t="shared" si="37"/>
        <v>0</v>
      </c>
      <c r="L233" s="35">
        <f t="shared" si="38"/>
        <v>0</v>
      </c>
      <c r="M233" s="2"/>
      <c r="O233" s="19"/>
      <c r="P233" s="19"/>
      <c r="Q233" s="19"/>
      <c r="R233" s="21"/>
      <c r="S233" s="46"/>
      <c r="T233" s="44"/>
      <c r="U233" s="77"/>
      <c r="V233" s="24"/>
      <c r="W233" s="24"/>
      <c r="X233" s="193"/>
      <c r="Y233" s="15"/>
    </row>
    <row r="234" spans="2:25" x14ac:dyDescent="0.25">
      <c r="B234" s="15">
        <v>232</v>
      </c>
      <c r="C234" s="8"/>
      <c r="E234" s="67"/>
      <c r="F234" s="16"/>
      <c r="G234" s="8"/>
      <c r="H234" s="8"/>
      <c r="I234" s="8"/>
      <c r="J234" s="9"/>
      <c r="K234" s="9">
        <f t="shared" si="37"/>
        <v>0</v>
      </c>
      <c r="L234" s="35">
        <f t="shared" si="38"/>
        <v>0</v>
      </c>
      <c r="M234" s="2"/>
      <c r="O234" s="19"/>
      <c r="P234" s="19"/>
      <c r="Q234" s="19"/>
      <c r="R234" s="21"/>
      <c r="S234" s="46"/>
      <c r="T234" s="44"/>
      <c r="U234" s="77"/>
      <c r="V234" s="24"/>
      <c r="W234" s="24"/>
      <c r="X234" s="193"/>
      <c r="Y234" s="15"/>
    </row>
    <row r="235" spans="2:25" x14ac:dyDescent="0.25">
      <c r="B235" s="15">
        <v>233</v>
      </c>
      <c r="C235" s="8"/>
      <c r="E235" s="67"/>
      <c r="F235" s="16"/>
      <c r="G235" s="8"/>
      <c r="H235" s="8"/>
      <c r="I235" s="8"/>
      <c r="J235" s="9"/>
      <c r="K235" s="9">
        <f t="shared" si="37"/>
        <v>0</v>
      </c>
      <c r="L235" s="35">
        <f t="shared" si="38"/>
        <v>0</v>
      </c>
      <c r="M235" s="2"/>
      <c r="O235" s="19"/>
      <c r="P235" s="19"/>
      <c r="Q235" s="19"/>
      <c r="R235" s="21"/>
      <c r="S235" s="46"/>
      <c r="T235" s="44"/>
      <c r="U235" s="77"/>
      <c r="V235" s="24"/>
      <c r="W235" s="24"/>
      <c r="X235" s="193"/>
      <c r="Y235" s="15"/>
    </row>
    <row r="236" spans="2:25" x14ac:dyDescent="0.25">
      <c r="B236" s="15">
        <v>234</v>
      </c>
      <c r="C236" s="8"/>
      <c r="E236" s="67"/>
      <c r="F236" s="16"/>
      <c r="G236" s="8"/>
      <c r="H236" s="8"/>
      <c r="I236" s="8"/>
      <c r="J236" s="9"/>
      <c r="K236" s="9">
        <f t="shared" si="37"/>
        <v>0</v>
      </c>
      <c r="L236" s="35">
        <f t="shared" si="38"/>
        <v>0</v>
      </c>
      <c r="M236" s="2"/>
      <c r="O236" s="19"/>
      <c r="P236" s="19"/>
      <c r="Q236" s="19"/>
      <c r="R236" s="21"/>
      <c r="S236" s="46"/>
      <c r="T236" s="44"/>
      <c r="U236" s="77"/>
      <c r="V236" s="24"/>
      <c r="W236" s="24"/>
      <c r="X236" s="193"/>
      <c r="Y236" s="15"/>
    </row>
    <row r="237" spans="2:25" x14ac:dyDescent="0.25">
      <c r="B237" s="15">
        <v>235</v>
      </c>
      <c r="C237" s="8"/>
      <c r="E237" s="67"/>
      <c r="F237" s="16"/>
      <c r="G237" s="8"/>
      <c r="H237" s="8"/>
      <c r="I237" s="8"/>
      <c r="J237" s="9"/>
      <c r="K237" s="9">
        <f t="shared" si="37"/>
        <v>0</v>
      </c>
      <c r="L237" s="35">
        <f t="shared" si="38"/>
        <v>0</v>
      </c>
      <c r="M237" s="2"/>
      <c r="O237" s="19"/>
      <c r="P237" s="19"/>
      <c r="Q237" s="19"/>
      <c r="R237" s="21"/>
      <c r="S237" s="46"/>
      <c r="T237" s="44"/>
      <c r="U237" s="77"/>
      <c r="V237" s="24"/>
      <c r="W237" s="24"/>
      <c r="X237" s="193"/>
      <c r="Y237" s="15"/>
    </row>
    <row r="238" spans="2:25" x14ac:dyDescent="0.25">
      <c r="B238" s="15">
        <v>236</v>
      </c>
      <c r="C238" s="8"/>
      <c r="E238" s="67"/>
      <c r="F238" s="16"/>
      <c r="G238" s="8"/>
      <c r="H238" s="8"/>
      <c r="I238" s="8"/>
      <c r="J238" s="9"/>
      <c r="K238" s="9">
        <f t="shared" si="37"/>
        <v>0</v>
      </c>
      <c r="L238" s="35">
        <f t="shared" si="38"/>
        <v>0</v>
      </c>
      <c r="M238" s="2"/>
      <c r="O238" s="19"/>
      <c r="P238" s="19"/>
      <c r="Q238" s="19"/>
      <c r="R238" s="21"/>
      <c r="S238" s="46"/>
      <c r="T238" s="44"/>
      <c r="U238" s="77"/>
      <c r="V238" s="30"/>
      <c r="W238" s="24"/>
      <c r="X238" s="193"/>
      <c r="Y238" s="15"/>
    </row>
    <row r="239" spans="2:25" x14ac:dyDescent="0.25">
      <c r="B239" s="15">
        <v>235</v>
      </c>
      <c r="C239" s="8"/>
      <c r="E239" s="67"/>
      <c r="F239" s="16"/>
      <c r="G239" s="8"/>
      <c r="H239" s="8"/>
      <c r="I239" s="8"/>
      <c r="J239" s="9"/>
      <c r="K239" s="9">
        <f t="shared" si="37"/>
        <v>0</v>
      </c>
      <c r="L239" s="35">
        <f t="shared" si="38"/>
        <v>0</v>
      </c>
      <c r="M239" s="2"/>
      <c r="O239" s="19"/>
      <c r="P239" s="19"/>
      <c r="Q239" s="19"/>
      <c r="R239" s="21"/>
      <c r="S239" s="46"/>
      <c r="T239" s="44"/>
      <c r="U239" s="77"/>
      <c r="V239" s="24"/>
      <c r="W239" s="24"/>
      <c r="X239" s="193"/>
      <c r="Y239" s="15"/>
    </row>
    <row r="240" spans="2:25" x14ac:dyDescent="0.25">
      <c r="B240" s="15">
        <v>238</v>
      </c>
      <c r="C240" s="8"/>
      <c r="E240" s="67"/>
      <c r="F240" s="16"/>
      <c r="G240" s="8"/>
      <c r="H240" s="8"/>
      <c r="I240" s="8"/>
      <c r="J240" s="9"/>
      <c r="K240" s="9">
        <f t="shared" si="37"/>
        <v>0</v>
      </c>
      <c r="L240" s="35">
        <f t="shared" si="38"/>
        <v>0</v>
      </c>
      <c r="M240" s="2"/>
      <c r="O240" s="19"/>
      <c r="P240" s="19"/>
      <c r="Q240" s="19"/>
      <c r="R240" s="21"/>
      <c r="S240" s="46"/>
      <c r="T240" s="44"/>
      <c r="U240" s="77"/>
      <c r="V240" s="24"/>
      <c r="W240" s="24"/>
      <c r="X240" s="193"/>
      <c r="Y240" s="15"/>
    </row>
    <row r="241" spans="2:25" x14ac:dyDescent="0.25">
      <c r="B241" s="15">
        <v>239</v>
      </c>
      <c r="C241" s="8"/>
      <c r="E241" s="67"/>
      <c r="F241" s="16"/>
      <c r="G241" s="8"/>
      <c r="H241" s="8"/>
      <c r="I241" s="8"/>
      <c r="J241" s="9"/>
      <c r="K241" s="9">
        <f t="shared" si="37"/>
        <v>0</v>
      </c>
      <c r="L241" s="35">
        <f t="shared" si="38"/>
        <v>0</v>
      </c>
      <c r="M241" s="2"/>
      <c r="O241" s="19"/>
      <c r="P241" s="19"/>
      <c r="Q241" s="19"/>
      <c r="R241" s="21"/>
      <c r="S241" s="46"/>
      <c r="T241" s="44"/>
      <c r="U241" s="77"/>
      <c r="V241" s="24"/>
      <c r="W241" s="24"/>
      <c r="X241" s="193"/>
      <c r="Y241" s="15"/>
    </row>
    <row r="242" spans="2:25" x14ac:dyDescent="0.25">
      <c r="B242" s="15">
        <v>240</v>
      </c>
      <c r="C242" s="8"/>
      <c r="E242" s="67"/>
      <c r="F242" s="16"/>
      <c r="G242" s="8"/>
      <c r="H242" s="8"/>
      <c r="I242" s="8"/>
      <c r="J242" s="9"/>
      <c r="K242" s="9">
        <f t="shared" si="37"/>
        <v>0</v>
      </c>
      <c r="L242" s="35">
        <f t="shared" si="38"/>
        <v>0</v>
      </c>
      <c r="M242" s="2"/>
      <c r="O242" s="19"/>
      <c r="P242" s="19"/>
      <c r="Q242" s="19"/>
      <c r="R242" s="21"/>
      <c r="S242" s="46"/>
      <c r="T242" s="44"/>
      <c r="U242" s="77"/>
      <c r="V242" s="24"/>
      <c r="W242" s="24"/>
      <c r="X242" s="193"/>
      <c r="Y242" s="15"/>
    </row>
    <row r="243" spans="2:25" x14ac:dyDescent="0.25">
      <c r="B243" s="15">
        <v>241</v>
      </c>
      <c r="C243" s="8"/>
      <c r="E243" s="67"/>
      <c r="F243" s="16"/>
      <c r="G243" s="8"/>
      <c r="H243" s="8"/>
      <c r="I243" s="8"/>
      <c r="J243" s="9"/>
      <c r="K243" s="9">
        <f t="shared" si="37"/>
        <v>0</v>
      </c>
      <c r="L243" s="35">
        <f t="shared" si="38"/>
        <v>0</v>
      </c>
      <c r="M243" s="2"/>
      <c r="O243" s="19"/>
      <c r="P243" s="19"/>
      <c r="Q243" s="19"/>
      <c r="R243" s="21"/>
      <c r="S243" s="46"/>
      <c r="T243" s="44"/>
      <c r="U243" s="77"/>
      <c r="V243" s="24"/>
      <c r="W243" s="24"/>
      <c r="X243" s="193"/>
      <c r="Y243" s="15"/>
    </row>
    <row r="244" spans="2:25" x14ac:dyDescent="0.25">
      <c r="B244" s="15">
        <v>242</v>
      </c>
      <c r="C244" s="8"/>
      <c r="E244" s="67"/>
      <c r="F244" s="16"/>
      <c r="G244" s="8"/>
      <c r="H244" s="8"/>
      <c r="I244" s="8"/>
      <c r="J244" s="9"/>
      <c r="K244" s="9">
        <f t="shared" si="37"/>
        <v>0</v>
      </c>
      <c r="L244" s="35">
        <f t="shared" si="38"/>
        <v>0</v>
      </c>
      <c r="M244" s="2"/>
      <c r="O244" s="19"/>
      <c r="P244" s="19"/>
      <c r="Q244" s="19"/>
      <c r="R244" s="21"/>
      <c r="S244" s="46"/>
      <c r="T244" s="44"/>
      <c r="U244" s="77"/>
      <c r="V244" s="30"/>
      <c r="W244" s="24"/>
      <c r="X244" s="193"/>
      <c r="Y244" s="15"/>
    </row>
    <row r="245" spans="2:25" x14ac:dyDescent="0.25">
      <c r="B245" s="15">
        <v>243</v>
      </c>
      <c r="C245" s="8"/>
      <c r="E245" s="67"/>
      <c r="F245" s="16"/>
      <c r="G245" s="8"/>
      <c r="H245" s="8"/>
      <c r="I245" s="8"/>
      <c r="J245" s="9"/>
      <c r="K245" s="9">
        <f t="shared" si="37"/>
        <v>0</v>
      </c>
      <c r="L245" s="35">
        <f t="shared" si="38"/>
        <v>0</v>
      </c>
      <c r="M245" s="2"/>
      <c r="O245" s="19"/>
      <c r="P245" s="19"/>
      <c r="Q245" s="19"/>
      <c r="R245" s="21"/>
      <c r="S245" s="46"/>
      <c r="T245" s="44"/>
      <c r="U245" s="77"/>
      <c r="V245" s="30"/>
      <c r="W245" s="24"/>
      <c r="X245" s="193"/>
      <c r="Y245" s="15"/>
    </row>
    <row r="246" spans="2:25" x14ac:dyDescent="0.25">
      <c r="B246" s="15">
        <v>244</v>
      </c>
      <c r="C246" s="8"/>
      <c r="E246" s="67"/>
      <c r="F246" s="16"/>
      <c r="G246" s="8"/>
      <c r="H246" s="8"/>
      <c r="I246" s="8"/>
      <c r="J246" s="9"/>
      <c r="K246" s="9">
        <f t="shared" si="37"/>
        <v>0</v>
      </c>
      <c r="L246" s="35">
        <f t="shared" si="38"/>
        <v>0</v>
      </c>
      <c r="M246" s="2"/>
      <c r="O246" s="19"/>
      <c r="P246" s="19"/>
      <c r="Q246" s="19"/>
      <c r="R246" s="21"/>
      <c r="S246" s="46"/>
      <c r="T246" s="44"/>
      <c r="U246" s="77"/>
      <c r="V246" s="30"/>
      <c r="W246" s="24"/>
      <c r="X246" s="193"/>
      <c r="Y246" s="15"/>
    </row>
    <row r="247" spans="2:25" x14ac:dyDescent="0.25">
      <c r="B247" s="15">
        <v>245</v>
      </c>
      <c r="C247" s="8"/>
      <c r="E247" s="67"/>
      <c r="F247" s="16"/>
      <c r="G247" s="8"/>
      <c r="H247" s="8"/>
      <c r="I247" s="8"/>
      <c r="J247" s="9"/>
      <c r="K247" s="9">
        <f t="shared" si="37"/>
        <v>0</v>
      </c>
      <c r="L247" s="35">
        <f t="shared" si="38"/>
        <v>0</v>
      </c>
      <c r="M247" s="2"/>
      <c r="O247" s="19"/>
      <c r="P247" s="19"/>
      <c r="Q247" s="19"/>
      <c r="R247" s="21"/>
      <c r="S247" s="46"/>
      <c r="T247" s="44"/>
      <c r="U247" s="77"/>
      <c r="V247" s="30"/>
      <c r="W247" s="24"/>
      <c r="X247" s="193"/>
      <c r="Y247" s="15"/>
    </row>
    <row r="248" spans="2:25" x14ac:dyDescent="0.25">
      <c r="B248" s="15">
        <v>246</v>
      </c>
      <c r="C248" s="8"/>
      <c r="E248" s="67"/>
      <c r="F248" s="16"/>
      <c r="G248" s="8"/>
      <c r="H248" s="8"/>
      <c r="I248" s="8"/>
      <c r="J248" s="9"/>
      <c r="K248" s="9">
        <f t="shared" si="37"/>
        <v>0</v>
      </c>
      <c r="L248" s="35">
        <f t="shared" si="38"/>
        <v>0</v>
      </c>
      <c r="M248" s="2"/>
      <c r="O248" s="19"/>
      <c r="P248" s="19"/>
      <c r="Q248" s="19"/>
      <c r="R248" s="21"/>
      <c r="S248" s="46"/>
      <c r="T248" s="44"/>
      <c r="U248" s="77"/>
      <c r="V248" s="24"/>
      <c r="W248" s="24"/>
      <c r="X248" s="193"/>
      <c r="Y248" s="15"/>
    </row>
    <row r="249" spans="2:25" x14ac:dyDescent="0.25">
      <c r="B249" s="15">
        <v>247</v>
      </c>
      <c r="C249" s="8"/>
      <c r="E249" s="67"/>
      <c r="F249" s="16"/>
      <c r="G249" s="8"/>
      <c r="H249" s="8"/>
      <c r="I249" s="8"/>
      <c r="J249" s="9"/>
      <c r="K249" s="9">
        <f t="shared" si="37"/>
        <v>0</v>
      </c>
      <c r="L249" s="35">
        <f t="shared" si="38"/>
        <v>0</v>
      </c>
      <c r="M249" s="2"/>
      <c r="O249" s="19"/>
      <c r="P249" s="19"/>
      <c r="Q249" s="19"/>
      <c r="R249" s="21"/>
      <c r="S249" s="46"/>
      <c r="T249" s="44"/>
      <c r="U249" s="77"/>
      <c r="V249" s="24"/>
      <c r="W249" s="24"/>
      <c r="X249" s="193"/>
      <c r="Y249" s="15"/>
    </row>
    <row r="250" spans="2:25" x14ac:dyDescent="0.25">
      <c r="B250" s="15">
        <v>246</v>
      </c>
      <c r="C250" s="8"/>
      <c r="E250" s="67"/>
      <c r="F250" s="16"/>
      <c r="G250" s="8"/>
      <c r="H250" s="8"/>
      <c r="I250" s="8"/>
      <c r="J250" s="9"/>
      <c r="K250" s="9">
        <f t="shared" si="37"/>
        <v>0</v>
      </c>
      <c r="L250" s="35">
        <f t="shared" si="38"/>
        <v>0</v>
      </c>
      <c r="M250" s="2"/>
      <c r="O250" s="19"/>
      <c r="P250" s="19"/>
      <c r="Q250" s="19"/>
      <c r="R250" s="21"/>
      <c r="S250" s="46"/>
      <c r="T250" s="44"/>
      <c r="U250" s="77"/>
      <c r="V250" s="24"/>
      <c r="W250" s="24"/>
      <c r="X250" s="193"/>
      <c r="Y250" s="15"/>
    </row>
    <row r="251" spans="2:25" x14ac:dyDescent="0.25">
      <c r="B251" s="15">
        <v>249</v>
      </c>
      <c r="C251" s="8"/>
      <c r="E251" s="67"/>
      <c r="F251" s="16"/>
      <c r="G251" s="8"/>
      <c r="H251" s="8"/>
      <c r="I251" s="8"/>
      <c r="J251" s="9"/>
      <c r="K251" s="9">
        <f t="shared" si="37"/>
        <v>0</v>
      </c>
      <c r="L251" s="35">
        <f t="shared" si="38"/>
        <v>0</v>
      </c>
      <c r="M251" s="2"/>
      <c r="O251" s="19"/>
      <c r="P251" s="19"/>
      <c r="Q251" s="19"/>
      <c r="R251" s="21"/>
      <c r="S251" s="46"/>
      <c r="T251" s="44"/>
      <c r="U251" s="77"/>
      <c r="V251" s="24"/>
      <c r="W251" s="24"/>
      <c r="X251" s="193"/>
      <c r="Y251" s="15"/>
    </row>
    <row r="252" spans="2:25" x14ac:dyDescent="0.25">
      <c r="B252" s="15">
        <v>250</v>
      </c>
      <c r="C252" s="8"/>
      <c r="E252" s="67"/>
      <c r="F252" s="16"/>
      <c r="G252" s="8"/>
      <c r="H252" s="8"/>
      <c r="I252" s="8"/>
      <c r="J252" s="9"/>
      <c r="K252" s="9">
        <f t="shared" si="37"/>
        <v>0</v>
      </c>
      <c r="L252" s="35">
        <f t="shared" si="38"/>
        <v>0</v>
      </c>
      <c r="M252" s="2"/>
      <c r="O252" s="19"/>
      <c r="P252" s="19"/>
      <c r="Q252" s="19"/>
      <c r="R252" s="21"/>
      <c r="S252" s="46"/>
      <c r="T252" s="44"/>
      <c r="U252" s="77"/>
      <c r="V252" s="30"/>
      <c r="W252" s="24"/>
      <c r="X252" s="193"/>
      <c r="Y252" s="15"/>
    </row>
    <row r="253" spans="2:25" x14ac:dyDescent="0.25">
      <c r="B253" s="15">
        <v>251</v>
      </c>
      <c r="C253" s="8"/>
      <c r="E253" s="67"/>
      <c r="F253" s="16"/>
      <c r="G253" s="8"/>
      <c r="H253" s="8"/>
      <c r="I253" s="8"/>
      <c r="J253" s="9"/>
      <c r="K253" s="9">
        <f t="shared" si="37"/>
        <v>0</v>
      </c>
      <c r="L253" s="35">
        <f t="shared" si="38"/>
        <v>0</v>
      </c>
      <c r="M253" s="2"/>
      <c r="O253" s="19"/>
      <c r="P253" s="19"/>
      <c r="Q253" s="19"/>
      <c r="R253" s="21"/>
      <c r="S253" s="46"/>
      <c r="T253" s="44"/>
      <c r="U253" s="77"/>
      <c r="V253" s="30"/>
      <c r="W253" s="24"/>
      <c r="X253" s="193"/>
      <c r="Y253" s="15"/>
    </row>
    <row r="254" spans="2:25" x14ac:dyDescent="0.25">
      <c r="B254" s="15">
        <v>252</v>
      </c>
      <c r="C254" s="8"/>
      <c r="E254" s="67"/>
      <c r="F254" s="16"/>
      <c r="G254" s="8"/>
      <c r="H254" s="8"/>
      <c r="I254" s="8"/>
      <c r="J254" s="9"/>
      <c r="K254" s="9">
        <f t="shared" si="37"/>
        <v>0</v>
      </c>
      <c r="L254" s="35">
        <f t="shared" si="38"/>
        <v>0</v>
      </c>
      <c r="M254" s="2"/>
      <c r="O254" s="19"/>
      <c r="P254" s="19"/>
      <c r="Q254" s="19"/>
      <c r="R254" s="21"/>
      <c r="S254" s="46"/>
      <c r="T254" s="44"/>
      <c r="U254" s="77"/>
      <c r="V254" s="24"/>
      <c r="W254" s="24"/>
      <c r="X254" s="193"/>
      <c r="Y254" s="15"/>
    </row>
    <row r="255" spans="2:25" x14ac:dyDescent="0.25">
      <c r="B255" s="15">
        <v>253</v>
      </c>
      <c r="C255" s="8"/>
      <c r="E255" s="67"/>
      <c r="F255" s="16"/>
      <c r="G255" s="8"/>
      <c r="H255" s="8"/>
      <c r="I255" s="8"/>
      <c r="J255" s="9"/>
      <c r="K255" s="9">
        <f t="shared" si="37"/>
        <v>0</v>
      </c>
      <c r="L255" s="35">
        <f t="shared" si="38"/>
        <v>0</v>
      </c>
      <c r="M255" s="2"/>
      <c r="O255" s="19"/>
      <c r="P255" s="19"/>
      <c r="Q255" s="19"/>
      <c r="R255" s="21"/>
      <c r="S255" s="46"/>
      <c r="T255" s="44"/>
      <c r="U255" s="77"/>
      <c r="V255" s="30"/>
      <c r="W255" s="24"/>
      <c r="X255" s="193"/>
      <c r="Y255" s="15"/>
    </row>
    <row r="256" spans="2:25" x14ac:dyDescent="0.25">
      <c r="B256" s="15">
        <v>254</v>
      </c>
      <c r="C256" s="8"/>
      <c r="E256" s="67"/>
      <c r="F256" s="16"/>
      <c r="G256" s="8"/>
      <c r="H256" s="8"/>
      <c r="I256" s="8"/>
      <c r="J256" s="9"/>
      <c r="K256" s="9">
        <f t="shared" si="37"/>
        <v>0</v>
      </c>
      <c r="L256" s="35">
        <f t="shared" si="38"/>
        <v>0</v>
      </c>
      <c r="M256" s="2"/>
      <c r="O256" s="19"/>
      <c r="P256" s="19"/>
      <c r="Q256" s="19"/>
      <c r="R256" s="21"/>
      <c r="S256" s="46"/>
      <c r="T256" s="44"/>
      <c r="U256" s="77"/>
      <c r="V256" s="24"/>
      <c r="W256" s="24"/>
      <c r="X256" s="193"/>
      <c r="Y256" s="15"/>
    </row>
    <row r="257" spans="2:25" x14ac:dyDescent="0.25">
      <c r="B257" s="15">
        <v>255</v>
      </c>
      <c r="C257" s="8"/>
      <c r="E257" s="67"/>
      <c r="F257" s="16"/>
      <c r="G257" s="8"/>
      <c r="H257" s="8"/>
      <c r="I257" s="8"/>
      <c r="J257" s="9"/>
      <c r="K257" s="9">
        <f t="shared" si="37"/>
        <v>0</v>
      </c>
      <c r="L257" s="35">
        <f t="shared" si="38"/>
        <v>0</v>
      </c>
      <c r="M257" s="2"/>
      <c r="O257" s="19"/>
      <c r="P257" s="19"/>
      <c r="Q257" s="19"/>
      <c r="R257" s="21"/>
      <c r="S257" s="46"/>
      <c r="T257" s="44"/>
      <c r="U257" s="77"/>
      <c r="V257" s="24"/>
      <c r="W257" s="24"/>
      <c r="X257" s="193"/>
      <c r="Y257" s="15"/>
    </row>
    <row r="258" spans="2:25" x14ac:dyDescent="0.25">
      <c r="B258" s="15">
        <v>256</v>
      </c>
      <c r="C258" s="8"/>
      <c r="E258" s="67"/>
      <c r="F258" s="16"/>
      <c r="G258" s="8"/>
      <c r="H258" s="8"/>
      <c r="I258" s="8"/>
      <c r="J258" s="9"/>
      <c r="K258" s="9">
        <f t="shared" si="37"/>
        <v>0</v>
      </c>
      <c r="L258" s="35">
        <f t="shared" si="38"/>
        <v>0</v>
      </c>
      <c r="M258" s="2"/>
      <c r="O258" s="19"/>
      <c r="P258" s="19"/>
      <c r="Q258" s="19"/>
      <c r="R258" s="21"/>
      <c r="S258" s="46"/>
      <c r="T258" s="44"/>
      <c r="U258" s="77"/>
      <c r="V258" s="24"/>
      <c r="W258" s="24"/>
      <c r="X258" s="193"/>
      <c r="Y258" s="15"/>
    </row>
    <row r="259" spans="2:25" x14ac:dyDescent="0.25">
      <c r="B259" s="15">
        <v>257</v>
      </c>
      <c r="C259" s="8"/>
      <c r="E259" s="67"/>
      <c r="F259" s="16"/>
      <c r="G259" s="8"/>
      <c r="H259" s="8"/>
      <c r="I259" s="8"/>
      <c r="J259" s="9"/>
      <c r="K259" s="9">
        <f t="shared" ref="K259:K322" si="39">J259*1.1</f>
        <v>0</v>
      </c>
      <c r="L259" s="35">
        <f t="shared" ref="L259:L322" si="40">J259*0.00000001</f>
        <v>0</v>
      </c>
      <c r="M259" s="2"/>
      <c r="O259" s="19"/>
      <c r="P259" s="19"/>
      <c r="Q259" s="19"/>
      <c r="R259" s="21"/>
      <c r="S259" s="46"/>
      <c r="T259" s="44"/>
      <c r="U259" s="77"/>
      <c r="V259" s="30"/>
      <c r="W259" s="24"/>
      <c r="X259" s="193"/>
      <c r="Y259" s="15"/>
    </row>
    <row r="260" spans="2:25" x14ac:dyDescent="0.25">
      <c r="B260" s="15">
        <v>258</v>
      </c>
      <c r="C260" s="8"/>
      <c r="E260" s="67"/>
      <c r="F260" s="16"/>
      <c r="G260" s="8"/>
      <c r="H260" s="8"/>
      <c r="I260" s="8"/>
      <c r="J260" s="9"/>
      <c r="K260" s="9">
        <f t="shared" si="39"/>
        <v>0</v>
      </c>
      <c r="L260" s="35">
        <f t="shared" si="40"/>
        <v>0</v>
      </c>
      <c r="M260" s="2"/>
      <c r="O260" s="19"/>
      <c r="P260" s="19"/>
      <c r="Q260" s="19"/>
      <c r="R260" s="21"/>
      <c r="S260" s="46"/>
      <c r="T260" s="44"/>
      <c r="U260" s="77"/>
      <c r="V260" s="30"/>
      <c r="W260" s="24"/>
      <c r="X260" s="193"/>
      <c r="Y260" s="15"/>
    </row>
    <row r="261" spans="2:25" x14ac:dyDescent="0.25">
      <c r="B261" s="15">
        <v>259</v>
      </c>
      <c r="C261" s="8"/>
      <c r="E261" s="67"/>
      <c r="F261" s="16"/>
      <c r="G261" s="8"/>
      <c r="H261" s="8"/>
      <c r="I261" s="8"/>
      <c r="J261" s="9"/>
      <c r="K261" s="9">
        <f t="shared" si="39"/>
        <v>0</v>
      </c>
      <c r="L261" s="35">
        <f t="shared" si="40"/>
        <v>0</v>
      </c>
      <c r="M261" s="2"/>
      <c r="O261" s="19"/>
      <c r="P261" s="19"/>
      <c r="Q261" s="19"/>
      <c r="R261" s="21"/>
      <c r="S261" s="46"/>
      <c r="T261" s="44"/>
      <c r="U261" s="77"/>
      <c r="V261" s="24"/>
      <c r="W261" s="24"/>
      <c r="X261" s="193"/>
      <c r="Y261" s="15"/>
    </row>
    <row r="262" spans="2:25" x14ac:dyDescent="0.25">
      <c r="B262" s="15">
        <v>260</v>
      </c>
      <c r="C262" s="8"/>
      <c r="E262" s="67"/>
      <c r="F262" s="16"/>
      <c r="G262" s="8"/>
      <c r="H262" s="8"/>
      <c r="I262" s="8"/>
      <c r="J262" s="9"/>
      <c r="K262" s="9">
        <f t="shared" si="39"/>
        <v>0</v>
      </c>
      <c r="L262" s="35">
        <f t="shared" si="40"/>
        <v>0</v>
      </c>
      <c r="M262" s="2"/>
      <c r="O262" s="19"/>
      <c r="P262" s="19"/>
      <c r="Q262" s="19"/>
      <c r="R262" s="21"/>
      <c r="S262" s="46"/>
      <c r="T262" s="44"/>
      <c r="U262" s="77"/>
      <c r="V262" s="24"/>
      <c r="W262" s="24"/>
      <c r="X262" s="193"/>
      <c r="Y262" s="15"/>
    </row>
    <row r="263" spans="2:25" x14ac:dyDescent="0.25">
      <c r="B263" s="15">
        <v>261</v>
      </c>
      <c r="C263" s="8"/>
      <c r="E263" s="67"/>
      <c r="F263" s="16"/>
      <c r="G263" s="8"/>
      <c r="H263" s="8"/>
      <c r="I263" s="8"/>
      <c r="J263" s="9"/>
      <c r="K263" s="9">
        <f t="shared" si="39"/>
        <v>0</v>
      </c>
      <c r="L263" s="35">
        <f t="shared" si="40"/>
        <v>0</v>
      </c>
      <c r="M263" s="2"/>
      <c r="O263" s="19"/>
      <c r="P263" s="19"/>
      <c r="Q263" s="19"/>
      <c r="R263" s="21"/>
      <c r="S263" s="46"/>
      <c r="T263" s="44"/>
      <c r="U263" s="77"/>
      <c r="V263" s="24"/>
      <c r="W263" s="24"/>
      <c r="X263" s="193"/>
      <c r="Y263" s="15"/>
    </row>
    <row r="264" spans="2:25" x14ac:dyDescent="0.25">
      <c r="B264" s="15">
        <v>262</v>
      </c>
      <c r="C264" s="8"/>
      <c r="E264" s="67"/>
      <c r="F264" s="16"/>
      <c r="G264" s="8"/>
      <c r="H264" s="8"/>
      <c r="I264" s="8"/>
      <c r="J264" s="9"/>
      <c r="K264" s="9">
        <f t="shared" si="39"/>
        <v>0</v>
      </c>
      <c r="L264" s="35">
        <f t="shared" si="40"/>
        <v>0</v>
      </c>
      <c r="M264" s="2"/>
      <c r="O264" s="19"/>
      <c r="P264" s="19"/>
      <c r="Q264" s="19"/>
      <c r="R264" s="21"/>
      <c r="S264" s="46"/>
      <c r="T264" s="44"/>
      <c r="U264" s="77"/>
      <c r="V264" s="24"/>
      <c r="W264" s="24"/>
      <c r="X264" s="193"/>
      <c r="Y264" s="15"/>
    </row>
    <row r="265" spans="2:25" x14ac:dyDescent="0.25">
      <c r="B265" s="15">
        <v>263</v>
      </c>
      <c r="C265" s="8"/>
      <c r="E265" s="67"/>
      <c r="F265" s="16"/>
      <c r="G265" s="8"/>
      <c r="H265" s="8"/>
      <c r="I265" s="8"/>
      <c r="J265" s="9"/>
      <c r="K265" s="9">
        <f t="shared" si="39"/>
        <v>0</v>
      </c>
      <c r="L265" s="35">
        <f t="shared" si="40"/>
        <v>0</v>
      </c>
      <c r="M265" s="2"/>
      <c r="O265" s="19"/>
      <c r="P265" s="19"/>
      <c r="Q265" s="19"/>
      <c r="R265" s="21"/>
      <c r="S265" s="46"/>
      <c r="T265" s="44"/>
      <c r="U265" s="77"/>
      <c r="V265" s="24"/>
      <c r="W265" s="24"/>
      <c r="X265" s="193"/>
      <c r="Y265" s="15"/>
    </row>
    <row r="266" spans="2:25" x14ac:dyDescent="0.25">
      <c r="B266" s="15">
        <v>264</v>
      </c>
      <c r="C266" s="8"/>
      <c r="E266" s="67"/>
      <c r="F266" s="16"/>
      <c r="G266" s="8"/>
      <c r="H266" s="8"/>
      <c r="I266" s="8"/>
      <c r="J266" s="9"/>
      <c r="K266" s="9">
        <f t="shared" si="39"/>
        <v>0</v>
      </c>
      <c r="L266" s="35">
        <f t="shared" si="40"/>
        <v>0</v>
      </c>
      <c r="M266" s="2"/>
      <c r="O266" s="19"/>
      <c r="P266" s="19"/>
      <c r="Q266" s="19"/>
      <c r="R266" s="21"/>
      <c r="S266" s="46"/>
      <c r="T266" s="44"/>
      <c r="U266" s="77"/>
      <c r="V266" s="30"/>
      <c r="W266" s="24"/>
      <c r="X266" s="193"/>
      <c r="Y266" s="15"/>
    </row>
    <row r="267" spans="2:25" x14ac:dyDescent="0.25">
      <c r="B267" s="15">
        <v>265</v>
      </c>
      <c r="C267" s="8"/>
      <c r="E267" s="67"/>
      <c r="F267" s="16"/>
      <c r="G267" s="8"/>
      <c r="H267" s="8"/>
      <c r="I267" s="8"/>
      <c r="J267" s="9"/>
      <c r="K267" s="9">
        <f t="shared" si="39"/>
        <v>0</v>
      </c>
      <c r="L267" s="35">
        <f t="shared" si="40"/>
        <v>0</v>
      </c>
      <c r="M267" s="2"/>
      <c r="O267" s="19"/>
      <c r="P267" s="19"/>
      <c r="Q267" s="19"/>
      <c r="R267" s="21"/>
      <c r="S267" s="46"/>
      <c r="T267" s="44"/>
      <c r="U267" s="77"/>
      <c r="V267" s="30"/>
      <c r="W267" s="24"/>
      <c r="X267" s="193"/>
      <c r="Y267" s="15"/>
    </row>
    <row r="268" spans="2:25" x14ac:dyDescent="0.25">
      <c r="B268" s="15">
        <v>266</v>
      </c>
      <c r="C268" s="8"/>
      <c r="E268" s="67"/>
      <c r="F268" s="16"/>
      <c r="G268" s="8"/>
      <c r="H268" s="8"/>
      <c r="I268" s="8"/>
      <c r="J268" s="9"/>
      <c r="K268" s="9">
        <f t="shared" si="39"/>
        <v>0</v>
      </c>
      <c r="L268" s="35">
        <f t="shared" si="40"/>
        <v>0</v>
      </c>
      <c r="M268" s="2"/>
      <c r="O268" s="19"/>
      <c r="P268" s="19"/>
      <c r="Q268" s="19"/>
      <c r="R268" s="21"/>
      <c r="S268" s="46"/>
      <c r="T268" s="44"/>
      <c r="U268" s="77"/>
      <c r="V268" s="30"/>
      <c r="W268" s="24"/>
      <c r="X268" s="193"/>
      <c r="Y268" s="15"/>
    </row>
    <row r="269" spans="2:25" x14ac:dyDescent="0.25">
      <c r="B269" s="15">
        <v>267</v>
      </c>
      <c r="C269" s="8"/>
      <c r="E269" s="67"/>
      <c r="F269" s="16"/>
      <c r="G269" s="8"/>
      <c r="H269" s="8"/>
      <c r="I269" s="8"/>
      <c r="J269" s="9"/>
      <c r="K269" s="9">
        <f t="shared" si="39"/>
        <v>0</v>
      </c>
      <c r="L269" s="35">
        <f t="shared" si="40"/>
        <v>0</v>
      </c>
      <c r="M269" s="2"/>
      <c r="O269" s="19"/>
      <c r="P269" s="19"/>
      <c r="Q269" s="19"/>
      <c r="R269" s="21"/>
      <c r="S269" s="46"/>
      <c r="T269" s="44"/>
      <c r="U269" s="77"/>
      <c r="V269" s="30"/>
      <c r="W269" s="24"/>
      <c r="X269" s="193"/>
      <c r="Y269" s="15"/>
    </row>
    <row r="270" spans="2:25" x14ac:dyDescent="0.25">
      <c r="B270" s="15">
        <v>268</v>
      </c>
      <c r="C270" s="8"/>
      <c r="E270" s="67"/>
      <c r="F270" s="16"/>
      <c r="G270" s="8"/>
      <c r="H270" s="8"/>
      <c r="I270" s="8"/>
      <c r="J270" s="9"/>
      <c r="K270" s="9">
        <f t="shared" si="39"/>
        <v>0</v>
      </c>
      <c r="L270" s="35">
        <f t="shared" si="40"/>
        <v>0</v>
      </c>
      <c r="M270" s="2"/>
      <c r="O270" s="19"/>
      <c r="P270" s="19"/>
      <c r="Q270" s="19"/>
      <c r="R270" s="21"/>
      <c r="S270" s="46"/>
      <c r="T270" s="44"/>
      <c r="U270" s="77"/>
      <c r="V270" s="24"/>
      <c r="W270" s="24"/>
      <c r="X270" s="193"/>
      <c r="Y270" s="15"/>
    </row>
    <row r="271" spans="2:25" x14ac:dyDescent="0.25">
      <c r="B271" s="15">
        <v>269</v>
      </c>
      <c r="C271" s="8"/>
      <c r="E271" s="67"/>
      <c r="F271" s="16"/>
      <c r="G271" s="8"/>
      <c r="H271" s="8"/>
      <c r="I271" s="8"/>
      <c r="J271" s="9"/>
      <c r="K271" s="9">
        <f t="shared" si="39"/>
        <v>0</v>
      </c>
      <c r="L271" s="35">
        <f t="shared" si="40"/>
        <v>0</v>
      </c>
      <c r="M271" s="2"/>
      <c r="O271" s="19"/>
      <c r="P271" s="19"/>
      <c r="Q271" s="19"/>
      <c r="R271" s="21"/>
      <c r="S271" s="46"/>
      <c r="T271" s="44"/>
      <c r="U271" s="77"/>
      <c r="V271" s="24"/>
      <c r="W271" s="24"/>
      <c r="X271" s="193"/>
      <c r="Y271" s="15"/>
    </row>
    <row r="272" spans="2:25" x14ac:dyDescent="0.25">
      <c r="B272" s="15">
        <v>270</v>
      </c>
      <c r="C272" s="8"/>
      <c r="E272" s="67"/>
      <c r="F272" s="16"/>
      <c r="G272" s="8"/>
      <c r="H272" s="8"/>
      <c r="I272" s="8"/>
      <c r="J272" s="9"/>
      <c r="K272" s="9">
        <f t="shared" si="39"/>
        <v>0</v>
      </c>
      <c r="L272" s="35">
        <f t="shared" si="40"/>
        <v>0</v>
      </c>
      <c r="M272" s="2"/>
      <c r="O272" s="19"/>
      <c r="P272" s="19"/>
      <c r="Q272" s="19"/>
      <c r="R272" s="21"/>
      <c r="S272" s="46"/>
      <c r="T272" s="44"/>
      <c r="U272" s="77"/>
      <c r="V272" s="24"/>
      <c r="W272" s="24"/>
      <c r="X272" s="193"/>
      <c r="Y272" s="15"/>
    </row>
    <row r="273" spans="2:25" x14ac:dyDescent="0.25">
      <c r="B273" s="15">
        <v>271</v>
      </c>
      <c r="C273" s="8"/>
      <c r="E273" s="67"/>
      <c r="F273" s="16"/>
      <c r="G273" s="8"/>
      <c r="H273" s="8"/>
      <c r="I273" s="8"/>
      <c r="J273" s="9"/>
      <c r="K273" s="9">
        <f t="shared" si="39"/>
        <v>0</v>
      </c>
      <c r="L273" s="35">
        <f t="shared" si="40"/>
        <v>0</v>
      </c>
      <c r="M273" s="2"/>
      <c r="O273" s="19"/>
      <c r="P273" s="19"/>
      <c r="Q273" s="19"/>
      <c r="R273" s="21"/>
      <c r="S273" s="46"/>
      <c r="T273" s="44"/>
      <c r="U273" s="77"/>
      <c r="V273" s="24"/>
      <c r="W273" s="24"/>
      <c r="X273" s="193"/>
      <c r="Y273" s="15"/>
    </row>
    <row r="274" spans="2:25" x14ac:dyDescent="0.25">
      <c r="B274" s="15">
        <v>272</v>
      </c>
      <c r="C274" s="8"/>
      <c r="E274" s="67"/>
      <c r="F274" s="16"/>
      <c r="G274" s="8"/>
      <c r="H274" s="8"/>
      <c r="I274" s="8"/>
      <c r="J274" s="9"/>
      <c r="K274" s="9">
        <f t="shared" si="39"/>
        <v>0</v>
      </c>
      <c r="L274" s="35">
        <f t="shared" si="40"/>
        <v>0</v>
      </c>
      <c r="M274" s="2"/>
      <c r="O274" s="19"/>
      <c r="P274" s="19"/>
      <c r="Q274" s="19"/>
      <c r="R274" s="21"/>
      <c r="S274" s="46"/>
      <c r="T274" s="44"/>
      <c r="U274" s="77"/>
      <c r="V274" s="24"/>
      <c r="W274" s="24"/>
      <c r="X274" s="193"/>
      <c r="Y274" s="15"/>
    </row>
    <row r="275" spans="2:25" x14ac:dyDescent="0.25">
      <c r="B275" s="15">
        <v>273</v>
      </c>
      <c r="C275" s="8"/>
      <c r="E275" s="67"/>
      <c r="F275" s="16"/>
      <c r="G275" s="8"/>
      <c r="H275" s="8"/>
      <c r="I275" s="8"/>
      <c r="J275" s="9"/>
      <c r="K275" s="9">
        <f t="shared" si="39"/>
        <v>0</v>
      </c>
      <c r="L275" s="35">
        <f t="shared" si="40"/>
        <v>0</v>
      </c>
      <c r="M275" s="2"/>
      <c r="O275" s="19"/>
      <c r="P275" s="19"/>
      <c r="Q275" s="19"/>
      <c r="R275" s="21"/>
      <c r="S275" s="46"/>
      <c r="T275" s="44"/>
      <c r="U275" s="77"/>
      <c r="V275" s="30"/>
      <c r="W275" s="24"/>
      <c r="X275" s="193"/>
      <c r="Y275" s="15"/>
    </row>
    <row r="276" spans="2:25" x14ac:dyDescent="0.25">
      <c r="B276" s="15">
        <v>274</v>
      </c>
      <c r="C276" s="8"/>
      <c r="E276" s="67"/>
      <c r="F276" s="16"/>
      <c r="G276" s="8"/>
      <c r="H276" s="8"/>
      <c r="I276" s="8"/>
      <c r="J276" s="9"/>
      <c r="K276" s="9">
        <f t="shared" si="39"/>
        <v>0</v>
      </c>
      <c r="L276" s="35">
        <f t="shared" si="40"/>
        <v>0</v>
      </c>
      <c r="M276" s="2"/>
      <c r="O276" s="19"/>
      <c r="P276" s="19"/>
      <c r="Q276" s="19"/>
      <c r="R276" s="21"/>
      <c r="S276" s="46"/>
      <c r="T276" s="44"/>
      <c r="U276" s="77"/>
      <c r="V276" s="30"/>
      <c r="W276" s="24"/>
      <c r="X276" s="193"/>
      <c r="Y276" s="15"/>
    </row>
    <row r="277" spans="2:25" x14ac:dyDescent="0.25">
      <c r="B277" s="15">
        <v>275</v>
      </c>
      <c r="C277" s="8"/>
      <c r="E277" s="67"/>
      <c r="F277" s="16"/>
      <c r="G277" s="8"/>
      <c r="H277" s="8"/>
      <c r="I277" s="8"/>
      <c r="J277" s="9"/>
      <c r="K277" s="9">
        <f t="shared" si="39"/>
        <v>0</v>
      </c>
      <c r="L277" s="35">
        <f t="shared" si="40"/>
        <v>0</v>
      </c>
      <c r="M277" s="2"/>
      <c r="O277" s="19"/>
      <c r="P277" s="19"/>
      <c r="Q277" s="19"/>
      <c r="R277" s="21"/>
      <c r="S277" s="46"/>
      <c r="T277" s="44"/>
      <c r="U277" s="77"/>
      <c r="V277" s="24"/>
      <c r="W277" s="24"/>
      <c r="X277" s="193"/>
      <c r="Y277" s="15"/>
    </row>
    <row r="278" spans="2:25" x14ac:dyDescent="0.25">
      <c r="B278" s="15">
        <v>276</v>
      </c>
      <c r="C278" s="8"/>
      <c r="E278" s="67"/>
      <c r="F278" s="16"/>
      <c r="G278" s="8"/>
      <c r="H278" s="8"/>
      <c r="I278" s="8"/>
      <c r="J278" s="9"/>
      <c r="K278" s="9">
        <f t="shared" si="39"/>
        <v>0</v>
      </c>
      <c r="L278" s="35">
        <f t="shared" si="40"/>
        <v>0</v>
      </c>
      <c r="M278" s="2"/>
      <c r="O278" s="19"/>
      <c r="P278" s="19"/>
      <c r="Q278" s="19"/>
      <c r="R278" s="21"/>
      <c r="S278" s="46"/>
      <c r="T278" s="44"/>
      <c r="U278" s="77"/>
      <c r="V278" s="24"/>
      <c r="W278" s="24"/>
      <c r="X278" s="193"/>
      <c r="Y278" s="15"/>
    </row>
    <row r="279" spans="2:25" x14ac:dyDescent="0.25">
      <c r="B279" s="15">
        <v>277</v>
      </c>
      <c r="C279" s="8"/>
      <c r="E279" s="67"/>
      <c r="F279" s="16"/>
      <c r="G279" s="8"/>
      <c r="H279" s="8"/>
      <c r="I279" s="8"/>
      <c r="J279" s="9"/>
      <c r="K279" s="9">
        <f t="shared" si="39"/>
        <v>0</v>
      </c>
      <c r="L279" s="35">
        <f t="shared" si="40"/>
        <v>0</v>
      </c>
      <c r="M279" s="2"/>
      <c r="O279" s="19"/>
      <c r="P279" s="19"/>
      <c r="Q279" s="19"/>
      <c r="R279" s="21"/>
      <c r="S279" s="46"/>
      <c r="T279" s="44"/>
      <c r="U279" s="77"/>
      <c r="V279" s="24"/>
      <c r="W279" s="24"/>
      <c r="X279" s="193"/>
      <c r="Y279" s="15"/>
    </row>
    <row r="280" spans="2:25" x14ac:dyDescent="0.25">
      <c r="B280" s="15">
        <v>278</v>
      </c>
      <c r="C280" s="8"/>
      <c r="E280" s="67"/>
      <c r="F280" s="16"/>
      <c r="G280" s="8"/>
      <c r="H280" s="8"/>
      <c r="I280" s="8"/>
      <c r="J280" s="9"/>
      <c r="K280" s="9">
        <f t="shared" si="39"/>
        <v>0</v>
      </c>
      <c r="L280" s="35">
        <f t="shared" si="40"/>
        <v>0</v>
      </c>
      <c r="M280" s="2"/>
      <c r="O280" s="19"/>
      <c r="P280" s="19"/>
      <c r="Q280" s="19"/>
      <c r="R280" s="21"/>
      <c r="S280" s="46"/>
      <c r="T280" s="44"/>
      <c r="U280" s="77"/>
      <c r="V280" s="24"/>
      <c r="W280" s="24"/>
      <c r="X280" s="193"/>
      <c r="Y280" s="15"/>
    </row>
    <row r="281" spans="2:25" x14ac:dyDescent="0.25">
      <c r="B281" s="15">
        <v>279</v>
      </c>
      <c r="C281" s="8"/>
      <c r="E281" s="67"/>
      <c r="F281" s="16"/>
      <c r="G281" s="8"/>
      <c r="H281" s="8"/>
      <c r="I281" s="8"/>
      <c r="J281" s="9"/>
      <c r="K281" s="9">
        <f t="shared" si="39"/>
        <v>0</v>
      </c>
      <c r="L281" s="35">
        <f t="shared" si="40"/>
        <v>0</v>
      </c>
      <c r="M281" s="2"/>
      <c r="O281" s="19"/>
      <c r="P281" s="19"/>
      <c r="Q281" s="19"/>
      <c r="R281" s="21"/>
      <c r="S281" s="46"/>
      <c r="T281" s="44"/>
      <c r="U281" s="77"/>
      <c r="V281" s="24"/>
      <c r="W281" s="24"/>
      <c r="X281" s="193"/>
      <c r="Y281" s="15"/>
    </row>
    <row r="282" spans="2:25" x14ac:dyDescent="0.25">
      <c r="B282" s="15">
        <v>280</v>
      </c>
      <c r="C282" s="8"/>
      <c r="E282" s="67"/>
      <c r="F282" s="16"/>
      <c r="G282" s="8"/>
      <c r="H282" s="8"/>
      <c r="I282" s="8"/>
      <c r="J282" s="9"/>
      <c r="K282" s="9">
        <f t="shared" si="39"/>
        <v>0</v>
      </c>
      <c r="L282" s="35">
        <f t="shared" si="40"/>
        <v>0</v>
      </c>
      <c r="M282" s="2"/>
      <c r="O282" s="19"/>
      <c r="P282" s="19"/>
      <c r="Q282" s="19"/>
      <c r="R282" s="21"/>
      <c r="S282" s="46"/>
      <c r="T282" s="44"/>
      <c r="U282" s="77"/>
      <c r="V282" s="30"/>
      <c r="W282" s="24"/>
      <c r="X282" s="193"/>
      <c r="Y282" s="15"/>
    </row>
    <row r="283" spans="2:25" x14ac:dyDescent="0.25">
      <c r="B283" s="15">
        <v>281</v>
      </c>
      <c r="C283" s="8"/>
      <c r="E283" s="67"/>
      <c r="F283" s="16"/>
      <c r="G283" s="8"/>
      <c r="H283" s="8"/>
      <c r="I283" s="8"/>
      <c r="J283" s="9"/>
      <c r="K283" s="9">
        <f t="shared" si="39"/>
        <v>0</v>
      </c>
      <c r="L283" s="35">
        <f t="shared" si="40"/>
        <v>0</v>
      </c>
      <c r="M283" s="2"/>
      <c r="O283" s="19"/>
      <c r="P283" s="19"/>
      <c r="Q283" s="19"/>
      <c r="R283" s="21"/>
      <c r="S283" s="46"/>
      <c r="T283" s="44"/>
      <c r="U283" s="77"/>
      <c r="V283" s="30"/>
      <c r="W283" s="24"/>
      <c r="X283" s="193"/>
      <c r="Y283" s="15"/>
    </row>
    <row r="284" spans="2:25" x14ac:dyDescent="0.25">
      <c r="B284" s="15">
        <v>282</v>
      </c>
      <c r="C284" s="8"/>
      <c r="E284" s="67"/>
      <c r="F284" s="16"/>
      <c r="G284" s="8"/>
      <c r="H284" s="8"/>
      <c r="I284" s="8"/>
      <c r="J284" s="9"/>
      <c r="K284" s="9">
        <f t="shared" si="39"/>
        <v>0</v>
      </c>
      <c r="L284" s="35">
        <f t="shared" si="40"/>
        <v>0</v>
      </c>
      <c r="M284" s="2"/>
      <c r="O284" s="19"/>
      <c r="P284" s="19"/>
      <c r="Q284" s="19"/>
      <c r="R284" s="21"/>
      <c r="S284" s="46"/>
      <c r="T284" s="44"/>
      <c r="U284" s="77"/>
      <c r="V284" s="30"/>
      <c r="W284" s="24"/>
      <c r="X284" s="193"/>
      <c r="Y284" s="15"/>
    </row>
    <row r="285" spans="2:25" x14ac:dyDescent="0.25">
      <c r="B285" s="15">
        <v>283</v>
      </c>
      <c r="C285" s="8"/>
      <c r="E285" s="67"/>
      <c r="K285" s="9">
        <f t="shared" si="39"/>
        <v>0</v>
      </c>
      <c r="L285" s="35">
        <f t="shared" si="40"/>
        <v>0</v>
      </c>
      <c r="S285" s="5"/>
      <c r="T285" s="44"/>
      <c r="U285" s="77"/>
      <c r="V285" s="79"/>
      <c r="W285" s="24"/>
      <c r="X285" s="193"/>
      <c r="Y285" s="15"/>
    </row>
    <row r="286" spans="2:25" x14ac:dyDescent="0.25">
      <c r="B286" s="15">
        <v>284</v>
      </c>
      <c r="C286" s="8"/>
      <c r="K286" s="9">
        <f t="shared" si="39"/>
        <v>0</v>
      </c>
      <c r="L286" s="35">
        <f t="shared" si="40"/>
        <v>0</v>
      </c>
      <c r="T286" s="44"/>
      <c r="U286" s="77"/>
      <c r="V286" s="79"/>
      <c r="W286" s="24"/>
      <c r="X286" s="193"/>
      <c r="Y286" s="15"/>
    </row>
    <row r="287" spans="2:25" x14ac:dyDescent="0.25">
      <c r="B287" s="15">
        <v>285</v>
      </c>
      <c r="C287" s="8"/>
      <c r="K287" s="9">
        <f t="shared" si="39"/>
        <v>0</v>
      </c>
      <c r="L287" s="35">
        <f t="shared" si="40"/>
        <v>0</v>
      </c>
      <c r="T287" s="44"/>
      <c r="U287" s="77"/>
      <c r="V287" s="79"/>
      <c r="W287" s="24"/>
      <c r="X287" s="193"/>
      <c r="Y287" s="15"/>
    </row>
    <row r="288" spans="2:25" x14ac:dyDescent="0.25">
      <c r="B288" s="15">
        <v>286</v>
      </c>
      <c r="C288" s="8"/>
      <c r="K288" s="9">
        <f t="shared" si="39"/>
        <v>0</v>
      </c>
      <c r="L288" s="35">
        <f t="shared" si="40"/>
        <v>0</v>
      </c>
      <c r="T288" s="44"/>
      <c r="U288" s="77"/>
      <c r="V288" s="79"/>
      <c r="W288" s="24"/>
      <c r="X288" s="193"/>
      <c r="Y288" s="15"/>
    </row>
    <row r="289" spans="2:25" x14ac:dyDescent="0.25">
      <c r="B289" s="15">
        <v>287</v>
      </c>
      <c r="C289" s="8"/>
      <c r="K289" s="9">
        <f t="shared" si="39"/>
        <v>0</v>
      </c>
      <c r="L289" s="35">
        <f t="shared" si="40"/>
        <v>0</v>
      </c>
      <c r="T289" s="44"/>
      <c r="U289" s="77"/>
      <c r="V289" s="79"/>
      <c r="W289" s="24"/>
      <c r="X289" s="193"/>
      <c r="Y289" s="15"/>
    </row>
    <row r="290" spans="2:25" x14ac:dyDescent="0.25">
      <c r="B290" s="15">
        <v>288</v>
      </c>
      <c r="C290" s="8"/>
      <c r="K290" s="9">
        <f t="shared" si="39"/>
        <v>0</v>
      </c>
      <c r="L290" s="35">
        <f t="shared" si="40"/>
        <v>0</v>
      </c>
      <c r="T290" s="44"/>
      <c r="U290" s="77"/>
      <c r="V290" s="79"/>
      <c r="W290" s="24"/>
      <c r="X290" s="193"/>
      <c r="Y290" s="15"/>
    </row>
    <row r="291" spans="2:25" x14ac:dyDescent="0.25">
      <c r="B291" s="15">
        <v>289</v>
      </c>
      <c r="C291" s="8"/>
      <c r="K291" s="9">
        <f t="shared" si="39"/>
        <v>0</v>
      </c>
      <c r="L291" s="35">
        <f t="shared" si="40"/>
        <v>0</v>
      </c>
      <c r="T291" s="44"/>
      <c r="U291" s="77"/>
      <c r="V291" s="79"/>
      <c r="W291" s="24"/>
      <c r="X291" s="193"/>
      <c r="Y291" s="15"/>
    </row>
    <row r="292" spans="2:25" x14ac:dyDescent="0.25">
      <c r="B292" s="15">
        <v>290</v>
      </c>
      <c r="C292" s="8"/>
      <c r="K292" s="9">
        <f t="shared" si="39"/>
        <v>0</v>
      </c>
      <c r="L292" s="35">
        <f t="shared" si="40"/>
        <v>0</v>
      </c>
      <c r="T292" s="44"/>
      <c r="U292" s="77"/>
      <c r="V292" s="79"/>
      <c r="W292" s="24"/>
      <c r="X292" s="193"/>
      <c r="Y292" s="15"/>
    </row>
    <row r="293" spans="2:25" x14ac:dyDescent="0.25">
      <c r="B293" s="15">
        <v>291</v>
      </c>
      <c r="C293" s="8"/>
      <c r="K293" s="9">
        <f t="shared" si="39"/>
        <v>0</v>
      </c>
      <c r="L293" s="35">
        <f t="shared" si="40"/>
        <v>0</v>
      </c>
      <c r="T293" s="44"/>
      <c r="U293" s="77"/>
      <c r="V293" s="79"/>
      <c r="W293" s="24"/>
      <c r="X293" s="193"/>
      <c r="Y293" s="15"/>
    </row>
    <row r="294" spans="2:25" x14ac:dyDescent="0.25">
      <c r="B294" s="15">
        <v>292</v>
      </c>
      <c r="C294" s="8"/>
      <c r="K294" s="9">
        <f t="shared" si="39"/>
        <v>0</v>
      </c>
      <c r="L294" s="35">
        <f t="shared" si="40"/>
        <v>0</v>
      </c>
      <c r="T294" s="44"/>
      <c r="U294" s="77"/>
      <c r="V294" s="79"/>
      <c r="W294" s="24"/>
      <c r="X294" s="193"/>
      <c r="Y294" s="15"/>
    </row>
    <row r="295" spans="2:25" x14ac:dyDescent="0.25">
      <c r="B295" s="15">
        <v>293</v>
      </c>
      <c r="C295" s="8"/>
      <c r="K295" s="9">
        <f t="shared" si="39"/>
        <v>0</v>
      </c>
      <c r="L295" s="35">
        <f t="shared" si="40"/>
        <v>0</v>
      </c>
      <c r="T295" s="44"/>
      <c r="U295" s="77"/>
      <c r="V295" s="79"/>
      <c r="W295" s="24"/>
      <c r="X295" s="193"/>
      <c r="Y295" s="15"/>
    </row>
    <row r="296" spans="2:25" x14ac:dyDescent="0.25">
      <c r="B296" s="15">
        <v>294</v>
      </c>
      <c r="C296" s="8"/>
      <c r="K296" s="9">
        <f t="shared" si="39"/>
        <v>0</v>
      </c>
      <c r="L296" s="35">
        <f t="shared" si="40"/>
        <v>0</v>
      </c>
      <c r="T296" s="44"/>
      <c r="U296" s="77"/>
      <c r="V296" s="79"/>
      <c r="W296" s="24"/>
      <c r="X296" s="193"/>
      <c r="Y296" s="15"/>
    </row>
    <row r="297" spans="2:25" x14ac:dyDescent="0.25">
      <c r="B297" s="15">
        <v>295</v>
      </c>
      <c r="C297" s="8"/>
      <c r="K297" s="9">
        <f t="shared" si="39"/>
        <v>0</v>
      </c>
      <c r="L297" s="35">
        <f t="shared" si="40"/>
        <v>0</v>
      </c>
      <c r="T297" s="44"/>
      <c r="U297" s="77"/>
      <c r="V297" s="79"/>
      <c r="W297" s="24"/>
      <c r="X297" s="193"/>
      <c r="Y297" s="15"/>
    </row>
    <row r="298" spans="2:25" x14ac:dyDescent="0.25">
      <c r="B298" s="15">
        <v>296</v>
      </c>
      <c r="C298" s="8"/>
      <c r="K298" s="9">
        <f t="shared" si="39"/>
        <v>0</v>
      </c>
      <c r="L298" s="35">
        <f t="shared" si="40"/>
        <v>0</v>
      </c>
      <c r="T298" s="44"/>
      <c r="U298" s="77"/>
      <c r="V298" s="79"/>
      <c r="W298" s="24"/>
      <c r="X298" s="193"/>
      <c r="Y298" s="15"/>
    </row>
    <row r="299" spans="2:25" x14ac:dyDescent="0.25">
      <c r="B299" s="15">
        <v>297</v>
      </c>
      <c r="C299" s="8"/>
      <c r="K299" s="9">
        <f t="shared" si="39"/>
        <v>0</v>
      </c>
      <c r="L299" s="35">
        <f t="shared" si="40"/>
        <v>0</v>
      </c>
      <c r="T299" s="44"/>
      <c r="U299" s="77"/>
      <c r="V299" s="79"/>
      <c r="W299" s="24"/>
      <c r="X299" s="193"/>
      <c r="Y299" s="15"/>
    </row>
    <row r="300" spans="2:25" x14ac:dyDescent="0.25">
      <c r="B300" s="15">
        <v>298</v>
      </c>
      <c r="C300" s="8"/>
      <c r="K300" s="9">
        <f t="shared" si="39"/>
        <v>0</v>
      </c>
      <c r="L300" s="35">
        <f t="shared" si="40"/>
        <v>0</v>
      </c>
      <c r="T300" s="44"/>
      <c r="U300" s="77"/>
      <c r="V300" s="79"/>
      <c r="W300" s="24"/>
      <c r="X300" s="193"/>
      <c r="Y300" s="15"/>
    </row>
    <row r="301" spans="2:25" x14ac:dyDescent="0.25">
      <c r="B301" s="15">
        <v>298</v>
      </c>
      <c r="C301" s="8"/>
      <c r="K301" s="9">
        <f t="shared" si="39"/>
        <v>0</v>
      </c>
      <c r="L301" s="35">
        <f t="shared" si="40"/>
        <v>0</v>
      </c>
      <c r="T301" s="44"/>
      <c r="U301" s="77"/>
      <c r="V301" s="79"/>
      <c r="W301" s="24"/>
      <c r="X301" s="193"/>
      <c r="Y301" s="15"/>
    </row>
    <row r="302" spans="2:25" x14ac:dyDescent="0.25">
      <c r="B302" s="15">
        <v>298</v>
      </c>
      <c r="G302" s="8"/>
      <c r="H302" s="8"/>
      <c r="K302" s="9">
        <f t="shared" si="39"/>
        <v>0</v>
      </c>
      <c r="L302" s="35">
        <f t="shared" si="40"/>
        <v>0</v>
      </c>
      <c r="W302" s="24"/>
    </row>
    <row r="303" spans="2:25" x14ac:dyDescent="0.25">
      <c r="B303" s="15">
        <v>298</v>
      </c>
      <c r="C303" s="8"/>
      <c r="K303" s="9">
        <f t="shared" si="39"/>
        <v>0</v>
      </c>
      <c r="L303" s="35">
        <f t="shared" si="40"/>
        <v>0</v>
      </c>
      <c r="W303" s="24"/>
    </row>
    <row r="304" spans="2:25" x14ac:dyDescent="0.25">
      <c r="B304" s="15">
        <v>298</v>
      </c>
      <c r="C304" s="8"/>
      <c r="K304" s="9">
        <f t="shared" si="39"/>
        <v>0</v>
      </c>
      <c r="L304" s="35">
        <f t="shared" si="40"/>
        <v>0</v>
      </c>
      <c r="W304" s="24"/>
    </row>
    <row r="305" spans="2:25" x14ac:dyDescent="0.25">
      <c r="B305" s="15">
        <v>298</v>
      </c>
      <c r="C305" s="8"/>
      <c r="E305" s="67"/>
      <c r="F305" s="16"/>
      <c r="G305" s="8"/>
      <c r="H305" s="8"/>
      <c r="I305" s="8"/>
      <c r="J305" s="9"/>
      <c r="K305" s="9">
        <f t="shared" si="39"/>
        <v>0</v>
      </c>
      <c r="L305" s="35">
        <f t="shared" si="40"/>
        <v>0</v>
      </c>
      <c r="M305" s="2"/>
      <c r="O305" s="19"/>
      <c r="P305" s="19"/>
      <c r="Q305" s="19"/>
      <c r="R305" s="21"/>
      <c r="S305" s="46"/>
      <c r="T305" s="44"/>
      <c r="U305" s="77"/>
      <c r="V305" s="24"/>
      <c r="W305" s="24"/>
      <c r="X305" s="193"/>
      <c r="Y305" s="15"/>
    </row>
    <row r="306" spans="2:25" x14ac:dyDescent="0.25">
      <c r="B306" s="15">
        <v>298</v>
      </c>
      <c r="C306" s="8"/>
      <c r="E306" s="67"/>
      <c r="F306" s="16"/>
      <c r="G306" s="8"/>
      <c r="H306" s="8"/>
      <c r="I306" s="8"/>
      <c r="J306" s="9"/>
      <c r="K306" s="9">
        <f t="shared" si="39"/>
        <v>0</v>
      </c>
      <c r="L306" s="35">
        <f t="shared" si="40"/>
        <v>0</v>
      </c>
      <c r="M306" s="2"/>
      <c r="O306" s="19"/>
      <c r="P306" s="19"/>
      <c r="Q306" s="19"/>
      <c r="R306" s="21"/>
      <c r="S306" s="46"/>
      <c r="T306" s="44"/>
      <c r="U306" s="77"/>
      <c r="V306" s="24"/>
      <c r="W306" s="24"/>
      <c r="X306" s="193"/>
      <c r="Y306" s="15"/>
    </row>
    <row r="307" spans="2:25" x14ac:dyDescent="0.25">
      <c r="B307" s="15">
        <v>298</v>
      </c>
      <c r="C307" s="8"/>
      <c r="E307" s="67"/>
      <c r="F307" s="16"/>
      <c r="G307" s="8"/>
      <c r="H307" s="8"/>
      <c r="I307" s="8"/>
      <c r="J307" s="9"/>
      <c r="K307" s="9">
        <f t="shared" si="39"/>
        <v>0</v>
      </c>
      <c r="L307" s="35">
        <f t="shared" si="40"/>
        <v>0</v>
      </c>
      <c r="M307" s="2"/>
      <c r="O307" s="19"/>
      <c r="P307" s="19"/>
      <c r="Q307" s="19"/>
      <c r="R307" s="21"/>
      <c r="S307" s="46"/>
      <c r="T307" s="44"/>
      <c r="U307" s="77"/>
      <c r="V307" s="24"/>
      <c r="W307" s="24"/>
      <c r="X307" s="193"/>
      <c r="Y307" s="15"/>
    </row>
    <row r="308" spans="2:25" x14ac:dyDescent="0.25">
      <c r="B308" s="15">
        <v>298</v>
      </c>
      <c r="C308" s="8"/>
      <c r="E308" s="67"/>
      <c r="F308" s="16"/>
      <c r="G308" s="8"/>
      <c r="H308" s="8"/>
      <c r="I308" s="8"/>
      <c r="J308" s="9"/>
      <c r="K308" s="9">
        <f t="shared" si="39"/>
        <v>0</v>
      </c>
      <c r="L308" s="35">
        <f t="shared" si="40"/>
        <v>0</v>
      </c>
      <c r="M308" s="2"/>
      <c r="O308" s="19"/>
      <c r="P308" s="19"/>
      <c r="Q308" s="19"/>
      <c r="R308" s="21"/>
      <c r="S308" s="46"/>
      <c r="T308" s="44"/>
      <c r="U308" s="77"/>
      <c r="V308" s="24"/>
      <c r="W308" s="24"/>
      <c r="X308" s="193"/>
      <c r="Y308" s="15"/>
    </row>
    <row r="309" spans="2:25" x14ac:dyDescent="0.25">
      <c r="B309" s="15">
        <v>298</v>
      </c>
      <c r="C309" s="8"/>
      <c r="E309" s="67"/>
      <c r="F309" s="16"/>
      <c r="G309" s="8"/>
      <c r="H309" s="8"/>
      <c r="I309" s="8"/>
      <c r="J309" s="9"/>
      <c r="K309" s="9">
        <f t="shared" si="39"/>
        <v>0</v>
      </c>
      <c r="L309" s="35">
        <f t="shared" si="40"/>
        <v>0</v>
      </c>
      <c r="M309" s="2"/>
      <c r="O309" s="19"/>
      <c r="P309" s="19"/>
      <c r="Q309" s="19"/>
      <c r="R309" s="21"/>
      <c r="S309" s="46"/>
      <c r="T309" s="44"/>
      <c r="U309" s="77"/>
      <c r="V309" s="24"/>
      <c r="W309" s="24"/>
      <c r="X309" s="193"/>
      <c r="Y309" s="15"/>
    </row>
    <row r="310" spans="2:25" x14ac:dyDescent="0.25">
      <c r="B310" s="15">
        <v>235</v>
      </c>
      <c r="C310" s="8"/>
      <c r="E310" s="67"/>
      <c r="F310" s="16"/>
      <c r="G310" s="8"/>
      <c r="H310" s="8"/>
      <c r="I310" s="8"/>
      <c r="J310" s="9"/>
      <c r="K310" s="9">
        <f t="shared" si="39"/>
        <v>0</v>
      </c>
      <c r="L310" s="35">
        <f t="shared" si="40"/>
        <v>0</v>
      </c>
      <c r="M310" s="2"/>
      <c r="O310" s="19"/>
      <c r="P310" s="19"/>
      <c r="Q310" s="19"/>
      <c r="R310" s="21"/>
      <c r="S310" s="46"/>
      <c r="T310" s="44"/>
      <c r="U310" s="77"/>
      <c r="V310" s="24"/>
      <c r="W310" s="24"/>
      <c r="X310" s="193"/>
      <c r="Y310" s="15"/>
    </row>
    <row r="311" spans="2:25" x14ac:dyDescent="0.25">
      <c r="B311" s="15">
        <v>235</v>
      </c>
      <c r="C311" s="8"/>
      <c r="E311" s="67"/>
      <c r="F311" s="16"/>
      <c r="G311" s="8"/>
      <c r="H311" s="8"/>
      <c r="I311" s="8"/>
      <c r="J311" s="9"/>
      <c r="K311" s="9">
        <f t="shared" si="39"/>
        <v>0</v>
      </c>
      <c r="L311" s="35">
        <f t="shared" si="40"/>
        <v>0</v>
      </c>
      <c r="M311" s="2"/>
      <c r="O311" s="19"/>
      <c r="P311" s="19"/>
      <c r="Q311" s="19"/>
      <c r="R311" s="21"/>
      <c r="S311" s="46"/>
      <c r="T311" s="44"/>
      <c r="U311" s="77"/>
      <c r="V311" s="24"/>
      <c r="W311" s="24"/>
      <c r="X311" s="193"/>
      <c r="Y311" s="15"/>
    </row>
    <row r="312" spans="2:25" x14ac:dyDescent="0.25">
      <c r="B312" s="15">
        <v>235</v>
      </c>
      <c r="C312" s="8"/>
      <c r="E312" s="67"/>
      <c r="F312" s="16"/>
      <c r="G312" s="8"/>
      <c r="H312" s="8"/>
      <c r="I312" s="8"/>
      <c r="J312" s="9"/>
      <c r="K312" s="9">
        <f t="shared" si="39"/>
        <v>0</v>
      </c>
      <c r="L312" s="35">
        <f t="shared" si="40"/>
        <v>0</v>
      </c>
      <c r="M312" s="2"/>
      <c r="O312" s="19"/>
      <c r="P312" s="19"/>
      <c r="Q312" s="19"/>
      <c r="R312" s="21"/>
      <c r="S312" s="46"/>
      <c r="T312" s="44"/>
      <c r="U312" s="77"/>
      <c r="V312" s="24"/>
      <c r="W312" s="24"/>
      <c r="X312" s="193"/>
      <c r="Y312" s="15"/>
    </row>
    <row r="313" spans="2:25" x14ac:dyDescent="0.25">
      <c r="B313" s="15">
        <v>235</v>
      </c>
      <c r="C313" s="8"/>
      <c r="E313" s="67"/>
      <c r="F313" s="16"/>
      <c r="G313" s="8"/>
      <c r="H313" s="8"/>
      <c r="I313" s="8"/>
      <c r="J313" s="9"/>
      <c r="K313" s="9">
        <f t="shared" si="39"/>
        <v>0</v>
      </c>
      <c r="L313" s="35">
        <f t="shared" si="40"/>
        <v>0</v>
      </c>
      <c r="M313" s="2"/>
      <c r="O313" s="19"/>
      <c r="P313" s="19"/>
      <c r="Q313" s="19"/>
      <c r="R313" s="21"/>
      <c r="S313" s="46"/>
      <c r="T313" s="44"/>
      <c r="U313" s="77"/>
      <c r="V313" s="24"/>
      <c r="W313" s="24"/>
      <c r="X313" s="193"/>
      <c r="Y313" s="15"/>
    </row>
    <row r="314" spans="2:25" x14ac:dyDescent="0.25">
      <c r="B314" s="15">
        <v>235</v>
      </c>
      <c r="C314" s="8"/>
      <c r="E314" s="67"/>
      <c r="F314" s="16"/>
      <c r="G314" s="8"/>
      <c r="H314" s="8"/>
      <c r="I314" s="8"/>
      <c r="J314" s="9"/>
      <c r="K314" s="9">
        <f t="shared" si="39"/>
        <v>0</v>
      </c>
      <c r="L314" s="35">
        <f t="shared" si="40"/>
        <v>0</v>
      </c>
      <c r="M314" s="2"/>
      <c r="O314" s="19"/>
      <c r="P314" s="19"/>
      <c r="Q314" s="19"/>
      <c r="R314" s="21"/>
      <c r="S314" s="46"/>
      <c r="T314" s="44"/>
      <c r="U314" s="77"/>
      <c r="V314" s="24"/>
      <c r="W314" s="24"/>
      <c r="X314" s="193"/>
      <c r="Y314" s="15"/>
    </row>
    <row r="315" spans="2:25" x14ac:dyDescent="0.25">
      <c r="B315" s="15">
        <v>235</v>
      </c>
      <c r="C315" s="8"/>
      <c r="E315" s="67"/>
      <c r="F315" s="16"/>
      <c r="G315" s="8"/>
      <c r="H315" s="8"/>
      <c r="I315" s="8"/>
      <c r="J315" s="9"/>
      <c r="K315" s="9">
        <f t="shared" si="39"/>
        <v>0</v>
      </c>
      <c r="L315" s="35">
        <f t="shared" si="40"/>
        <v>0</v>
      </c>
      <c r="M315" s="2"/>
      <c r="O315" s="19"/>
      <c r="P315" s="19"/>
      <c r="Q315" s="19"/>
      <c r="R315" s="21"/>
      <c r="S315" s="46"/>
      <c r="T315" s="44"/>
      <c r="U315" s="77"/>
      <c r="V315" s="24"/>
      <c r="W315" s="24"/>
      <c r="X315" s="193"/>
      <c r="Y315" s="15"/>
    </row>
    <row r="316" spans="2:25" x14ac:dyDescent="0.25">
      <c r="B316" s="15">
        <v>235</v>
      </c>
      <c r="C316" s="8"/>
      <c r="E316" s="67"/>
      <c r="F316" s="16"/>
      <c r="G316" s="8"/>
      <c r="H316" s="8"/>
      <c r="I316" s="8"/>
      <c r="J316" s="9"/>
      <c r="K316" s="9">
        <f t="shared" si="39"/>
        <v>0</v>
      </c>
      <c r="L316" s="35">
        <f t="shared" si="40"/>
        <v>0</v>
      </c>
      <c r="M316" s="2"/>
      <c r="O316" s="19"/>
      <c r="P316" s="19"/>
      <c r="Q316" s="19"/>
      <c r="R316" s="21"/>
      <c r="S316" s="46"/>
      <c r="T316" s="44"/>
      <c r="U316" s="77"/>
      <c r="V316" s="24"/>
      <c r="W316" s="24"/>
      <c r="X316" s="193"/>
      <c r="Y316" s="15"/>
    </row>
    <row r="317" spans="2:25" x14ac:dyDescent="0.25">
      <c r="B317" s="15">
        <v>235</v>
      </c>
      <c r="C317" s="8"/>
      <c r="E317" s="67"/>
      <c r="F317" s="16"/>
      <c r="G317" s="8"/>
      <c r="H317" s="8"/>
      <c r="I317" s="8"/>
      <c r="J317" s="9"/>
      <c r="K317" s="9">
        <f t="shared" si="39"/>
        <v>0</v>
      </c>
      <c r="L317" s="35">
        <f t="shared" si="40"/>
        <v>0</v>
      </c>
      <c r="M317" s="2"/>
      <c r="O317" s="19"/>
      <c r="P317" s="19"/>
      <c r="Q317" s="19"/>
      <c r="R317" s="21"/>
      <c r="S317" s="46"/>
      <c r="T317" s="44"/>
      <c r="U317" s="77"/>
      <c r="V317" s="24"/>
      <c r="W317" s="24"/>
      <c r="X317" s="193"/>
      <c r="Y317" s="15"/>
    </row>
    <row r="318" spans="2:25" x14ac:dyDescent="0.25">
      <c r="B318" s="15">
        <v>235</v>
      </c>
      <c r="C318" s="8"/>
      <c r="E318" s="67"/>
      <c r="F318" s="16"/>
      <c r="G318" s="8"/>
      <c r="H318" s="8"/>
      <c r="I318" s="8"/>
      <c r="J318" s="9"/>
      <c r="K318" s="9">
        <f t="shared" si="39"/>
        <v>0</v>
      </c>
      <c r="L318" s="35">
        <f t="shared" si="40"/>
        <v>0</v>
      </c>
      <c r="M318" s="2"/>
      <c r="O318" s="19"/>
      <c r="P318" s="19"/>
      <c r="Q318" s="19"/>
      <c r="R318" s="21"/>
      <c r="S318" s="46"/>
      <c r="T318" s="44"/>
      <c r="U318" s="77"/>
      <c r="V318" s="24"/>
      <c r="W318" s="24"/>
      <c r="X318" s="193"/>
      <c r="Y318" s="15"/>
    </row>
    <row r="319" spans="2:25" x14ac:dyDescent="0.25">
      <c r="B319" s="15">
        <v>235</v>
      </c>
      <c r="C319" s="8"/>
      <c r="E319" s="67"/>
      <c r="F319" s="16"/>
      <c r="G319" s="8"/>
      <c r="H319" s="8"/>
      <c r="I319" s="8"/>
      <c r="J319" s="9"/>
      <c r="K319" s="9">
        <f t="shared" si="39"/>
        <v>0</v>
      </c>
      <c r="L319" s="35">
        <f t="shared" si="40"/>
        <v>0</v>
      </c>
      <c r="M319" s="2"/>
      <c r="O319" s="19"/>
      <c r="P319" s="19"/>
      <c r="Q319" s="19"/>
      <c r="R319" s="21"/>
      <c r="S319" s="46"/>
      <c r="T319" s="44"/>
      <c r="U319" s="77"/>
      <c r="V319" s="24"/>
      <c r="W319" s="24"/>
      <c r="X319" s="193"/>
      <c r="Y319" s="15"/>
    </row>
    <row r="320" spans="2:25" x14ac:dyDescent="0.25">
      <c r="B320" s="15">
        <v>235</v>
      </c>
      <c r="C320" s="8"/>
      <c r="E320" s="67"/>
      <c r="F320" s="16"/>
      <c r="G320" s="8"/>
      <c r="H320" s="8"/>
      <c r="I320" s="8"/>
      <c r="J320" s="9"/>
      <c r="K320" s="9">
        <f t="shared" si="39"/>
        <v>0</v>
      </c>
      <c r="L320" s="35">
        <f t="shared" si="40"/>
        <v>0</v>
      </c>
      <c r="M320" s="2"/>
      <c r="O320" s="19"/>
      <c r="P320" s="19"/>
      <c r="Q320" s="19"/>
      <c r="R320" s="21"/>
      <c r="S320" s="46"/>
      <c r="T320" s="44"/>
      <c r="U320" s="77"/>
      <c r="V320" s="24"/>
      <c r="W320" s="24"/>
      <c r="X320" s="193"/>
      <c r="Y320" s="15"/>
    </row>
    <row r="321" spans="2:25" x14ac:dyDescent="0.25">
      <c r="B321" s="15">
        <v>235</v>
      </c>
      <c r="C321" s="8"/>
      <c r="E321" s="67"/>
      <c r="F321" s="16"/>
      <c r="G321" s="8"/>
      <c r="H321" s="8"/>
      <c r="I321" s="8"/>
      <c r="J321" s="9"/>
      <c r="K321" s="9">
        <f t="shared" si="39"/>
        <v>0</v>
      </c>
      <c r="L321" s="35">
        <f t="shared" si="40"/>
        <v>0</v>
      </c>
      <c r="M321" s="2"/>
      <c r="O321" s="19"/>
      <c r="P321" s="19"/>
      <c r="Q321" s="19"/>
      <c r="R321" s="21"/>
      <c r="S321" s="46"/>
      <c r="T321" s="44"/>
      <c r="U321" s="77"/>
      <c r="V321" s="24"/>
      <c r="W321" s="24"/>
      <c r="X321" s="193"/>
      <c r="Y321" s="15"/>
    </row>
    <row r="322" spans="2:25" x14ac:dyDescent="0.25">
      <c r="B322" s="15">
        <v>235</v>
      </c>
      <c r="C322" s="8"/>
      <c r="E322" s="67"/>
      <c r="F322" s="16"/>
      <c r="G322" s="8"/>
      <c r="H322" s="8"/>
      <c r="I322" s="8"/>
      <c r="J322" s="9"/>
      <c r="K322" s="9">
        <f t="shared" si="39"/>
        <v>0</v>
      </c>
      <c r="L322" s="35">
        <f t="shared" si="40"/>
        <v>0</v>
      </c>
      <c r="M322" s="2"/>
      <c r="O322" s="19"/>
      <c r="P322" s="19"/>
      <c r="Q322" s="19"/>
      <c r="R322" s="21"/>
      <c r="S322" s="46"/>
      <c r="T322" s="44"/>
      <c r="U322" s="77"/>
      <c r="V322" s="24"/>
      <c r="W322" s="24"/>
      <c r="X322" s="193"/>
      <c r="Y322" s="15"/>
    </row>
    <row r="323" spans="2:25" x14ac:dyDescent="0.25">
      <c r="B323" s="15">
        <v>235</v>
      </c>
      <c r="C323" s="8"/>
      <c r="E323" s="67"/>
      <c r="F323" s="16"/>
      <c r="G323" s="8"/>
      <c r="H323" s="8"/>
      <c r="I323" s="8"/>
      <c r="J323" s="9"/>
      <c r="K323" s="9">
        <f t="shared" ref="K323:K354" si="41">J323*1.1</f>
        <v>0</v>
      </c>
      <c r="L323" s="35">
        <f t="shared" ref="L323:L354" si="42">J323*0.00000001</f>
        <v>0</v>
      </c>
      <c r="M323" s="2"/>
      <c r="O323" s="19"/>
      <c r="P323" s="19"/>
      <c r="Q323" s="19"/>
      <c r="R323" s="21"/>
      <c r="S323" s="46"/>
      <c r="T323" s="44"/>
      <c r="U323" s="77"/>
      <c r="V323" s="24"/>
      <c r="W323" s="24"/>
      <c r="X323" s="193"/>
      <c r="Y323" s="15"/>
    </row>
    <row r="324" spans="2:25" x14ac:dyDescent="0.25">
      <c r="B324" s="15">
        <v>235</v>
      </c>
      <c r="C324" s="8"/>
      <c r="E324" s="67"/>
      <c r="F324" s="16"/>
      <c r="G324" s="8"/>
      <c r="H324" s="8"/>
      <c r="I324" s="8"/>
      <c r="J324" s="9"/>
      <c r="K324" s="9">
        <f t="shared" si="41"/>
        <v>0</v>
      </c>
      <c r="L324" s="35">
        <f t="shared" si="42"/>
        <v>0</v>
      </c>
      <c r="M324" s="2"/>
      <c r="O324" s="19"/>
      <c r="P324" s="19"/>
      <c r="Q324" s="19"/>
      <c r="R324" s="21"/>
      <c r="S324" s="46"/>
      <c r="T324" s="44"/>
      <c r="U324" s="77"/>
      <c r="V324" s="24"/>
      <c r="W324" s="24"/>
      <c r="X324" s="193"/>
      <c r="Y324" s="15"/>
    </row>
    <row r="325" spans="2:25" x14ac:dyDescent="0.25">
      <c r="B325" s="15">
        <v>235</v>
      </c>
      <c r="C325" s="8"/>
      <c r="E325" s="67"/>
      <c r="F325" s="16"/>
      <c r="G325" s="8"/>
      <c r="H325" s="8"/>
      <c r="I325" s="8"/>
      <c r="J325" s="9"/>
      <c r="K325" s="9">
        <f t="shared" si="41"/>
        <v>0</v>
      </c>
      <c r="L325" s="35">
        <f t="shared" si="42"/>
        <v>0</v>
      </c>
      <c r="M325" s="2"/>
      <c r="O325" s="19"/>
      <c r="P325" s="19"/>
      <c r="Q325" s="19"/>
      <c r="R325" s="21"/>
      <c r="S325" s="46"/>
      <c r="T325" s="44"/>
      <c r="U325" s="77"/>
      <c r="V325" s="24"/>
      <c r="W325" s="24"/>
      <c r="X325" s="193"/>
      <c r="Y325" s="15"/>
    </row>
    <row r="326" spans="2:25" x14ac:dyDescent="0.25">
      <c r="B326" s="15">
        <v>235</v>
      </c>
      <c r="C326" s="8"/>
      <c r="E326" s="67"/>
      <c r="F326" s="16"/>
      <c r="G326" s="8"/>
      <c r="H326" s="8"/>
      <c r="I326" s="8"/>
      <c r="J326" s="9"/>
      <c r="K326" s="9">
        <f t="shared" si="41"/>
        <v>0</v>
      </c>
      <c r="L326" s="35">
        <f t="shared" si="42"/>
        <v>0</v>
      </c>
      <c r="M326" s="2"/>
      <c r="O326" s="19"/>
      <c r="P326" s="19"/>
      <c r="Q326" s="19"/>
      <c r="R326" s="21"/>
      <c r="S326" s="46"/>
      <c r="T326" s="44"/>
      <c r="U326" s="77"/>
      <c r="V326" s="24"/>
      <c r="W326" s="24"/>
      <c r="X326" s="193"/>
      <c r="Y326" s="15"/>
    </row>
    <row r="327" spans="2:25" x14ac:dyDescent="0.25">
      <c r="B327" s="15">
        <v>235</v>
      </c>
      <c r="C327" s="8"/>
      <c r="E327" s="67"/>
      <c r="F327" s="16"/>
      <c r="G327" s="8"/>
      <c r="H327" s="8"/>
      <c r="I327" s="8"/>
      <c r="J327" s="9"/>
      <c r="K327" s="9">
        <f t="shared" si="41"/>
        <v>0</v>
      </c>
      <c r="L327" s="35">
        <f t="shared" si="42"/>
        <v>0</v>
      </c>
      <c r="M327" s="2"/>
      <c r="O327" s="19"/>
      <c r="P327" s="19"/>
      <c r="Q327" s="19"/>
      <c r="R327" s="21"/>
      <c r="S327" s="46"/>
      <c r="T327" s="44"/>
      <c r="U327" s="77"/>
      <c r="V327" s="24"/>
      <c r="W327" s="24"/>
      <c r="X327" s="193"/>
      <c r="Y327" s="15"/>
    </row>
    <row r="328" spans="2:25" x14ac:dyDescent="0.25">
      <c r="B328" s="15">
        <v>235</v>
      </c>
      <c r="C328" s="8"/>
      <c r="E328" s="67"/>
      <c r="F328" s="16"/>
      <c r="G328" s="8"/>
      <c r="H328" s="8"/>
      <c r="I328" s="8"/>
      <c r="J328" s="9"/>
      <c r="K328" s="9">
        <f t="shared" si="41"/>
        <v>0</v>
      </c>
      <c r="L328" s="35">
        <f t="shared" si="42"/>
        <v>0</v>
      </c>
      <c r="M328" s="2"/>
      <c r="O328" s="19"/>
      <c r="P328" s="19"/>
      <c r="Q328" s="19"/>
      <c r="R328" s="21"/>
      <c r="S328" s="46"/>
      <c r="T328" s="44"/>
      <c r="U328" s="77"/>
      <c r="V328" s="24"/>
      <c r="W328" s="24"/>
      <c r="X328" s="193"/>
      <c r="Y328" s="15"/>
    </row>
    <row r="329" spans="2:25" x14ac:dyDescent="0.25">
      <c r="B329" s="15">
        <v>235</v>
      </c>
      <c r="K329" s="9">
        <f t="shared" si="41"/>
        <v>0</v>
      </c>
      <c r="L329" s="35">
        <f t="shared" si="42"/>
        <v>0</v>
      </c>
      <c r="T329" s="44"/>
      <c r="U329" s="77"/>
      <c r="V329" s="24"/>
      <c r="W329" s="24"/>
      <c r="X329" s="193"/>
      <c r="Y329" s="15"/>
    </row>
    <row r="330" spans="2:25" x14ac:dyDescent="0.25">
      <c r="B330" s="15">
        <v>235</v>
      </c>
      <c r="K330" s="9">
        <f t="shared" si="41"/>
        <v>0</v>
      </c>
      <c r="L330" s="35">
        <f t="shared" si="42"/>
        <v>0</v>
      </c>
      <c r="T330" s="44"/>
      <c r="U330" s="77"/>
      <c r="V330" s="24"/>
      <c r="W330" s="24"/>
      <c r="X330" s="193"/>
      <c r="Y330" s="15"/>
    </row>
    <row r="331" spans="2:25" x14ac:dyDescent="0.25">
      <c r="B331" s="15">
        <v>235</v>
      </c>
      <c r="K331" s="9">
        <f t="shared" si="41"/>
        <v>0</v>
      </c>
      <c r="L331" s="35">
        <f t="shared" si="42"/>
        <v>0</v>
      </c>
      <c r="T331" s="44"/>
      <c r="U331" s="77"/>
      <c r="V331" s="24"/>
      <c r="W331" s="24"/>
      <c r="X331" s="193"/>
      <c r="Y331" s="15"/>
    </row>
    <row r="332" spans="2:25" x14ac:dyDescent="0.25">
      <c r="B332" s="15">
        <v>235</v>
      </c>
      <c r="K332" s="9">
        <f t="shared" si="41"/>
        <v>0</v>
      </c>
      <c r="L332" s="35">
        <f t="shared" si="42"/>
        <v>0</v>
      </c>
      <c r="T332" s="44"/>
      <c r="U332" s="77"/>
      <c r="V332" s="24"/>
      <c r="W332" s="24"/>
      <c r="X332" s="193"/>
      <c r="Y332" s="15"/>
    </row>
    <row r="333" spans="2:25" x14ac:dyDescent="0.25">
      <c r="B333" s="15">
        <v>235</v>
      </c>
      <c r="K333" s="9">
        <f t="shared" si="41"/>
        <v>0</v>
      </c>
      <c r="L333" s="35">
        <f t="shared" si="42"/>
        <v>0</v>
      </c>
      <c r="T333" s="44"/>
      <c r="U333" s="77"/>
      <c r="V333" s="24"/>
      <c r="W333" s="24"/>
      <c r="X333" s="193"/>
      <c r="Y333" s="15"/>
    </row>
    <row r="334" spans="2:25" x14ac:dyDescent="0.25">
      <c r="B334" s="15">
        <v>235</v>
      </c>
      <c r="K334" s="9">
        <f t="shared" si="41"/>
        <v>0</v>
      </c>
      <c r="L334" s="35">
        <f t="shared" si="42"/>
        <v>0</v>
      </c>
      <c r="T334" s="44"/>
      <c r="U334" s="77"/>
      <c r="V334" s="24"/>
      <c r="W334" s="24"/>
      <c r="X334" s="193"/>
      <c r="Y334" s="15"/>
    </row>
    <row r="335" spans="2:25" x14ac:dyDescent="0.25">
      <c r="B335" s="15">
        <v>235</v>
      </c>
      <c r="K335" s="9">
        <f t="shared" si="41"/>
        <v>0</v>
      </c>
      <c r="L335" s="35">
        <f t="shared" si="42"/>
        <v>0</v>
      </c>
      <c r="T335" s="44"/>
      <c r="U335" s="77"/>
      <c r="V335" s="24"/>
      <c r="W335" s="24"/>
      <c r="X335" s="193"/>
      <c r="Y335" s="15"/>
    </row>
    <row r="336" spans="2:25" x14ac:dyDescent="0.25">
      <c r="B336" t="s">
        <v>184</v>
      </c>
      <c r="K336" s="9">
        <f t="shared" si="41"/>
        <v>0</v>
      </c>
      <c r="L336" s="35">
        <f t="shared" si="42"/>
        <v>0</v>
      </c>
      <c r="T336" s="44"/>
      <c r="U336" s="77"/>
      <c r="V336" s="24"/>
      <c r="W336" s="24"/>
      <c r="X336" s="193"/>
      <c r="Y336" s="15"/>
    </row>
    <row r="337" spans="2:25" x14ac:dyDescent="0.25">
      <c r="B337" s="15">
        <v>247</v>
      </c>
      <c r="C337" s="8"/>
      <c r="E337" s="67"/>
      <c r="F337" s="16"/>
      <c r="G337" s="8"/>
      <c r="H337" s="8"/>
      <c r="I337" s="8"/>
      <c r="J337" s="9"/>
      <c r="K337" s="9">
        <f t="shared" si="41"/>
        <v>0</v>
      </c>
      <c r="L337" s="35">
        <f t="shared" si="42"/>
        <v>0</v>
      </c>
      <c r="M337" s="2"/>
      <c r="O337" s="19"/>
      <c r="P337" s="19"/>
      <c r="Q337" s="19"/>
      <c r="R337" s="21"/>
      <c r="S337" s="46"/>
      <c r="T337" s="44"/>
      <c r="U337" s="77"/>
      <c r="V337" s="24"/>
      <c r="W337" s="24"/>
      <c r="X337" s="193"/>
      <c r="Y337" s="15"/>
    </row>
    <row r="338" spans="2:25" x14ac:dyDescent="0.25">
      <c r="B338" s="15"/>
      <c r="C338" s="8"/>
      <c r="E338" s="67"/>
      <c r="F338" s="16"/>
      <c r="G338" s="8"/>
      <c r="H338" s="8"/>
      <c r="I338" s="8"/>
      <c r="J338" s="9"/>
      <c r="K338" s="9">
        <f t="shared" si="41"/>
        <v>0</v>
      </c>
      <c r="L338" s="35">
        <f t="shared" si="42"/>
        <v>0</v>
      </c>
      <c r="M338" s="2"/>
      <c r="O338" s="19"/>
      <c r="P338" s="19"/>
      <c r="Q338" s="19"/>
      <c r="R338" s="21"/>
      <c r="S338" s="46"/>
      <c r="T338" s="44"/>
      <c r="U338" s="77"/>
      <c r="V338" s="24"/>
      <c r="W338" s="24"/>
      <c r="X338" s="193"/>
      <c r="Y338" s="15"/>
    </row>
    <row r="339" spans="2:25" x14ac:dyDescent="0.25">
      <c r="B339" s="15"/>
      <c r="C339" s="8"/>
      <c r="E339" s="67"/>
      <c r="F339" s="16"/>
      <c r="G339" s="8"/>
      <c r="H339" s="8"/>
      <c r="I339" s="8"/>
      <c r="J339" s="9"/>
      <c r="K339" s="9">
        <f t="shared" si="41"/>
        <v>0</v>
      </c>
      <c r="L339" s="35">
        <f t="shared" si="42"/>
        <v>0</v>
      </c>
      <c r="M339" s="2"/>
      <c r="O339" s="19"/>
      <c r="P339" s="19"/>
      <c r="Q339" s="19"/>
      <c r="R339" s="21"/>
      <c r="S339" s="46"/>
      <c r="T339" s="44"/>
      <c r="U339" s="77"/>
      <c r="V339" s="24"/>
      <c r="W339" s="24"/>
      <c r="X339" s="193"/>
      <c r="Y339" s="15"/>
    </row>
    <row r="340" spans="2:25" x14ac:dyDescent="0.25">
      <c r="B340" s="15"/>
      <c r="C340" s="8"/>
      <c r="E340" s="67"/>
      <c r="F340" s="16"/>
      <c r="G340" s="8"/>
      <c r="H340" s="8"/>
      <c r="I340" s="8"/>
      <c r="J340" s="9"/>
      <c r="K340" s="9">
        <f t="shared" si="41"/>
        <v>0</v>
      </c>
      <c r="L340" s="35">
        <f t="shared" si="42"/>
        <v>0</v>
      </c>
      <c r="M340" s="2"/>
      <c r="O340" s="19"/>
      <c r="P340" s="19"/>
      <c r="Q340" s="19"/>
      <c r="R340" s="21"/>
      <c r="S340" s="46"/>
      <c r="T340" s="44"/>
      <c r="U340" s="77"/>
      <c r="V340" s="24"/>
      <c r="W340" s="24"/>
      <c r="X340" s="193"/>
      <c r="Y340" s="15"/>
    </row>
    <row r="341" spans="2:25" x14ac:dyDescent="0.25">
      <c r="B341" s="15"/>
      <c r="C341" s="8"/>
      <c r="E341" s="67"/>
      <c r="F341" s="16"/>
      <c r="G341" s="8"/>
      <c r="H341" s="8"/>
      <c r="I341" s="8"/>
      <c r="J341" s="9"/>
      <c r="K341" s="9">
        <f t="shared" si="41"/>
        <v>0</v>
      </c>
      <c r="L341" s="35">
        <f t="shared" si="42"/>
        <v>0</v>
      </c>
      <c r="M341" s="2"/>
      <c r="O341" s="19"/>
      <c r="P341" s="19"/>
      <c r="Q341" s="19"/>
      <c r="R341" s="21"/>
      <c r="S341" s="46"/>
      <c r="T341" s="44"/>
      <c r="U341" s="77"/>
      <c r="V341" s="24"/>
      <c r="W341" s="24"/>
      <c r="X341" s="193"/>
      <c r="Y341" s="15"/>
    </row>
    <row r="342" spans="2:25" x14ac:dyDescent="0.25">
      <c r="B342" s="15"/>
      <c r="C342" s="8"/>
      <c r="E342" s="67"/>
      <c r="F342" s="16"/>
      <c r="G342" s="8"/>
      <c r="H342" s="8"/>
      <c r="I342" s="8"/>
      <c r="J342" s="9"/>
      <c r="K342" s="9">
        <f t="shared" si="41"/>
        <v>0</v>
      </c>
      <c r="L342" s="35">
        <f t="shared" si="42"/>
        <v>0</v>
      </c>
      <c r="M342" s="2"/>
      <c r="O342" s="19"/>
      <c r="P342" s="19"/>
      <c r="Q342" s="19"/>
      <c r="R342" s="21"/>
      <c r="S342" s="46"/>
      <c r="T342" s="44"/>
      <c r="U342" s="77"/>
      <c r="V342" s="24"/>
      <c r="W342" s="24"/>
      <c r="X342" s="193"/>
      <c r="Y342" s="15"/>
    </row>
    <row r="343" spans="2:25" x14ac:dyDescent="0.25">
      <c r="B343" s="15"/>
      <c r="C343" s="8"/>
      <c r="E343" s="67"/>
      <c r="F343" s="16"/>
      <c r="G343" s="8"/>
      <c r="H343" s="8"/>
      <c r="I343" s="8"/>
      <c r="J343" s="9"/>
      <c r="K343" s="9">
        <f t="shared" si="41"/>
        <v>0</v>
      </c>
      <c r="L343" s="35">
        <f t="shared" si="42"/>
        <v>0</v>
      </c>
      <c r="M343" s="2"/>
      <c r="O343" s="19"/>
      <c r="P343" s="19"/>
      <c r="Q343" s="19"/>
      <c r="R343" s="21"/>
      <c r="S343" s="46"/>
      <c r="T343" s="44"/>
      <c r="U343" s="77"/>
      <c r="V343" s="24"/>
      <c r="W343" s="24"/>
      <c r="X343" s="193"/>
      <c r="Y343" s="15"/>
    </row>
    <row r="344" spans="2:25" x14ac:dyDescent="0.25">
      <c r="B344" s="15"/>
      <c r="C344" s="8"/>
      <c r="E344" s="67"/>
      <c r="F344" s="16"/>
      <c r="G344" s="8"/>
      <c r="H344" s="8"/>
      <c r="I344" s="8"/>
      <c r="J344" s="9"/>
      <c r="K344" s="9">
        <f t="shared" si="41"/>
        <v>0</v>
      </c>
      <c r="L344" s="35">
        <f t="shared" si="42"/>
        <v>0</v>
      </c>
      <c r="M344" s="2"/>
      <c r="O344" s="19"/>
      <c r="P344" s="19"/>
      <c r="Q344" s="19"/>
      <c r="R344" s="21"/>
      <c r="S344" s="46"/>
      <c r="T344" s="44"/>
      <c r="U344" s="77"/>
      <c r="V344" s="24"/>
      <c r="W344" s="24"/>
      <c r="X344" s="193"/>
      <c r="Y344" s="15"/>
    </row>
    <row r="345" spans="2:25" x14ac:dyDescent="0.25">
      <c r="B345" s="15"/>
      <c r="C345" s="8"/>
      <c r="E345" s="67"/>
      <c r="F345" s="16"/>
      <c r="G345" s="8"/>
      <c r="H345" s="8"/>
      <c r="I345" s="8"/>
      <c r="J345" s="9"/>
      <c r="K345" s="9">
        <f t="shared" si="41"/>
        <v>0</v>
      </c>
      <c r="L345" s="35">
        <f t="shared" si="42"/>
        <v>0</v>
      </c>
      <c r="M345" s="2"/>
      <c r="O345" s="19"/>
      <c r="P345" s="19"/>
      <c r="Q345" s="19"/>
      <c r="R345" s="21"/>
      <c r="S345" s="46"/>
      <c r="T345" s="44"/>
      <c r="U345" s="77"/>
      <c r="V345" s="24"/>
      <c r="W345" s="24"/>
      <c r="X345" s="193"/>
      <c r="Y345" s="15"/>
    </row>
    <row r="346" spans="2:25" x14ac:dyDescent="0.25">
      <c r="B346" s="15"/>
      <c r="C346" s="8"/>
      <c r="E346" s="67"/>
      <c r="F346" s="16"/>
      <c r="G346" s="8"/>
      <c r="H346" s="8"/>
      <c r="I346" s="8"/>
      <c r="J346" s="9"/>
      <c r="K346" s="9">
        <f t="shared" si="41"/>
        <v>0</v>
      </c>
      <c r="L346" s="35">
        <f t="shared" si="42"/>
        <v>0</v>
      </c>
      <c r="M346" s="2"/>
      <c r="O346" s="19"/>
      <c r="P346" s="19"/>
      <c r="Q346" s="19"/>
      <c r="R346" s="21"/>
      <c r="S346" s="46"/>
      <c r="T346" s="44"/>
      <c r="U346" s="77"/>
      <c r="V346" s="24"/>
      <c r="W346" s="24"/>
      <c r="X346" s="193"/>
      <c r="Y346" s="15"/>
    </row>
    <row r="347" spans="2:25" x14ac:dyDescent="0.25">
      <c r="B347" s="15"/>
      <c r="C347" s="8"/>
      <c r="E347" s="67"/>
      <c r="F347" s="16"/>
      <c r="G347" s="8"/>
      <c r="H347" s="8"/>
      <c r="I347" s="8"/>
      <c r="J347" s="9"/>
      <c r="K347" s="9">
        <f t="shared" si="41"/>
        <v>0</v>
      </c>
      <c r="L347" s="35">
        <f t="shared" si="42"/>
        <v>0</v>
      </c>
      <c r="M347" s="2"/>
      <c r="O347" s="19"/>
      <c r="P347" s="19"/>
      <c r="Q347" s="19"/>
      <c r="R347" s="21"/>
      <c r="S347" s="46"/>
      <c r="T347" s="44"/>
      <c r="U347" s="77"/>
      <c r="V347" s="24"/>
      <c r="W347" s="24"/>
      <c r="X347" s="193"/>
      <c r="Y347" s="15"/>
    </row>
    <row r="348" spans="2:25" x14ac:dyDescent="0.25">
      <c r="B348" s="15"/>
      <c r="C348" s="8"/>
      <c r="E348" s="67"/>
      <c r="F348" s="16"/>
      <c r="G348" s="8"/>
      <c r="H348" s="8"/>
      <c r="I348" s="8"/>
      <c r="J348" s="9"/>
      <c r="K348" s="9">
        <f t="shared" si="41"/>
        <v>0</v>
      </c>
      <c r="L348" s="35">
        <f t="shared" si="42"/>
        <v>0</v>
      </c>
      <c r="M348" s="2"/>
      <c r="O348" s="19"/>
      <c r="P348" s="19"/>
      <c r="Q348" s="19"/>
      <c r="R348" s="21"/>
      <c r="S348" s="46"/>
      <c r="T348" s="44"/>
      <c r="U348" s="77"/>
      <c r="V348" s="24"/>
      <c r="W348" s="24"/>
      <c r="X348" s="193"/>
      <c r="Y348" s="15"/>
    </row>
    <row r="349" spans="2:25" x14ac:dyDescent="0.25">
      <c r="B349" s="15"/>
      <c r="C349" s="8"/>
      <c r="E349" s="67"/>
      <c r="F349" s="16"/>
      <c r="G349" s="8"/>
      <c r="H349" s="8"/>
      <c r="I349" s="8"/>
      <c r="J349" s="9"/>
      <c r="K349" s="9">
        <f t="shared" si="41"/>
        <v>0</v>
      </c>
      <c r="L349" s="35">
        <f t="shared" si="42"/>
        <v>0</v>
      </c>
      <c r="M349" s="2"/>
      <c r="O349" s="19"/>
      <c r="P349" s="19"/>
      <c r="Q349" s="19"/>
      <c r="R349" s="21"/>
      <c r="S349" s="46"/>
      <c r="T349" s="44"/>
      <c r="U349" s="77"/>
      <c r="V349" s="24"/>
      <c r="W349" s="24"/>
      <c r="X349" s="193"/>
      <c r="Y349" s="15"/>
    </row>
    <row r="350" spans="2:25" x14ac:dyDescent="0.25">
      <c r="B350" s="15"/>
      <c r="C350" s="8"/>
      <c r="E350" s="67"/>
      <c r="F350" s="16"/>
      <c r="G350" s="8"/>
      <c r="H350" s="8"/>
      <c r="I350" s="8"/>
      <c r="J350" s="9"/>
      <c r="K350" s="9">
        <f t="shared" si="41"/>
        <v>0</v>
      </c>
      <c r="L350" s="35">
        <f t="shared" si="42"/>
        <v>0</v>
      </c>
      <c r="M350" s="2"/>
      <c r="O350" s="19"/>
      <c r="P350" s="19"/>
      <c r="Q350" s="19"/>
      <c r="R350" s="21"/>
      <c r="S350" s="46"/>
      <c r="T350" s="44"/>
      <c r="U350" s="77"/>
      <c r="V350" s="24"/>
      <c r="W350" s="24"/>
      <c r="X350" s="193"/>
      <c r="Y350" s="15"/>
    </row>
    <row r="351" spans="2:25" x14ac:dyDescent="0.25">
      <c r="B351" s="15"/>
      <c r="C351" s="8"/>
      <c r="E351" s="67"/>
      <c r="F351" s="16"/>
      <c r="G351" s="8"/>
      <c r="H351" s="8"/>
      <c r="I351" s="8"/>
      <c r="J351" s="9"/>
      <c r="K351" s="9">
        <f t="shared" si="41"/>
        <v>0</v>
      </c>
      <c r="L351" s="35">
        <f t="shared" si="42"/>
        <v>0</v>
      </c>
      <c r="M351" s="2"/>
      <c r="O351" s="19"/>
      <c r="P351" s="19"/>
      <c r="Q351" s="19"/>
      <c r="R351" s="21"/>
      <c r="S351" s="46"/>
      <c r="T351" s="44"/>
      <c r="U351" s="77"/>
      <c r="V351" s="24"/>
      <c r="W351" s="390"/>
      <c r="X351" s="193"/>
      <c r="Y351" s="15"/>
    </row>
    <row r="352" spans="2:25" x14ac:dyDescent="0.25">
      <c r="B352" s="15"/>
      <c r="C352" s="8"/>
      <c r="E352" s="67"/>
      <c r="F352" s="16"/>
      <c r="G352" s="8"/>
      <c r="H352" s="8"/>
      <c r="I352" s="8"/>
      <c r="J352" s="9"/>
      <c r="K352" s="9">
        <f t="shared" si="41"/>
        <v>0</v>
      </c>
      <c r="L352" s="35">
        <f t="shared" si="42"/>
        <v>0</v>
      </c>
      <c r="M352" s="2"/>
      <c r="O352" s="19"/>
      <c r="P352" s="19"/>
      <c r="Q352" s="19"/>
      <c r="R352" s="21"/>
      <c r="S352" s="46"/>
      <c r="T352" s="44"/>
      <c r="U352" s="77"/>
      <c r="V352" s="24"/>
      <c r="X352" s="193"/>
      <c r="Y352" s="15"/>
    </row>
    <row r="353" spans="2:25" x14ac:dyDescent="0.25">
      <c r="B353" s="15"/>
      <c r="C353" s="8"/>
      <c r="E353" s="67"/>
      <c r="F353" s="16"/>
      <c r="G353" s="8"/>
      <c r="H353" s="8"/>
      <c r="I353" s="8"/>
      <c r="J353" s="9"/>
      <c r="K353" s="9">
        <f t="shared" si="41"/>
        <v>0</v>
      </c>
      <c r="L353" s="35">
        <f t="shared" si="42"/>
        <v>0</v>
      </c>
      <c r="M353" s="2"/>
      <c r="O353" s="19"/>
      <c r="P353" s="19"/>
      <c r="Q353" s="19"/>
      <c r="R353" s="21"/>
      <c r="S353" s="46"/>
      <c r="T353" s="44"/>
      <c r="U353" s="77"/>
      <c r="V353" s="24"/>
      <c r="X353" s="193"/>
      <c r="Y353" s="15"/>
    </row>
    <row r="354" spans="2:25" x14ac:dyDescent="0.25">
      <c r="B354" s="15"/>
      <c r="C354" s="8"/>
      <c r="E354" s="67"/>
      <c r="F354" s="16"/>
      <c r="G354" s="8"/>
      <c r="H354" s="8"/>
      <c r="I354" s="8"/>
      <c r="J354" s="9"/>
      <c r="K354" s="9">
        <f t="shared" si="41"/>
        <v>0</v>
      </c>
      <c r="L354" s="35">
        <f t="shared" si="42"/>
        <v>0</v>
      </c>
      <c r="M354" s="2"/>
      <c r="O354" s="19"/>
      <c r="P354" s="19"/>
      <c r="Q354" s="19"/>
      <c r="R354" s="21"/>
      <c r="S354" s="46"/>
      <c r="T354" s="44"/>
      <c r="U354" s="77"/>
      <c r="V354" s="24"/>
      <c r="X354" s="193"/>
      <c r="Y354" s="15"/>
    </row>
  </sheetData>
  <mergeCells count="15">
    <mergeCell ref="AB69:AB74"/>
    <mergeCell ref="AB75:AC75"/>
    <mergeCell ref="AB33:AB38"/>
    <mergeCell ref="AB39:AB44"/>
    <mergeCell ref="AB45:AB50"/>
    <mergeCell ref="AB51:AB56"/>
    <mergeCell ref="AB57:AB62"/>
    <mergeCell ref="AB63:AB68"/>
    <mergeCell ref="AB21:AB26"/>
    <mergeCell ref="AB27:AB32"/>
    <mergeCell ref="AB1:AS1"/>
    <mergeCell ref="AB2:AC2"/>
    <mergeCell ref="AB3:AB8"/>
    <mergeCell ref="AB9:AB14"/>
    <mergeCell ref="AB15:AB20"/>
  </mergeCells>
  <phoneticPr fontId="7" type="noConversion"/>
  <conditionalFormatting sqref="U1:U1048576 X1:X1048576">
    <cfRule type="cellIs" dxfId="3" priority="1" operator="equal">
      <formula>"마케팅"</formula>
    </cfRule>
  </conditionalFormatting>
  <dataValidations count="10">
    <dataValidation type="list" allowBlank="1" showInputMessage="1" showErrorMessage="1" sqref="S3:S33 S36 S39:S185 S337:S354 S305:S328 S188:S284" xr:uid="{D26376C1-DE0C-4055-BD4B-A4FEA170CA6A}">
      <formula1>"(주)그랜드썬기술단, (주)그랜드썬,지에스피,유지에스"</formula1>
    </dataValidation>
    <dataValidation type="list" allowBlank="1" showInputMessage="1" showErrorMessage="1" sqref="U3:U151 U156 U305:U354 U159:U301" xr:uid="{7D196B1E-B202-4C4A-8030-151DF8715D65}">
      <formula1>"소개,그 외"</formula1>
    </dataValidation>
    <dataValidation type="list" allowBlank="1" showInputMessage="1" showErrorMessage="1" sqref="D3:D64 D337:D354 D305:D328 D66:D301" xr:uid="{A9DEAFE0-F50F-485F-A74D-5EFF91D15A74}">
      <formula1>"기존시설물(A),일반부지(B),수면(C)"</formula1>
    </dataValidation>
    <dataValidation type="list" allowBlank="1" showInputMessage="1" showErrorMessage="1" sqref="C303:C328 C337:C354 C3:C301" xr:uid="{229BF9D1-A7FE-46BD-8443-912441B4E71D}">
      <formula1>"직영(가),외주(나),입찰(다),검토(라)"</formula1>
    </dataValidation>
    <dataValidation type="list" allowBlank="1" showInputMessage="1" showErrorMessage="1" sqref="X3:X125 X127:X152 X305:X354 X154:X301" xr:uid="{D546D304-81BB-4671-9087-D08A4129E9BE}">
      <formula1>"산단,공장,창고,축사,근생,자원순환,토지,업무시설"</formula1>
    </dataValidation>
    <dataValidation type="list" allowBlank="1" showInputMessage="1" showErrorMessage="1" sqref="Y305:Y354 Y3:Y301" xr:uid="{AB93CC69-5D73-41BC-AE83-13B8A50D85AB}">
      <formula1>"유지,보류,취소"</formula1>
    </dataValidation>
    <dataValidation type="list" allowBlank="1" showInputMessage="1" showErrorMessage="1" sqref="Q3:Q250 Q252:Q318" xr:uid="{5A0547F4-C732-43B6-ACFE-17C04DF2A909}">
      <formula1>"경기,강원,충남,충북,서울,인천,대전,세종,경남,경북,전남,전북,부산,대구,울산,제주,광주"</formula1>
    </dataValidation>
    <dataValidation type="list" allowBlank="1" showInputMessage="1" showErrorMessage="1" sqref="X153" xr:uid="{68DB2BC2-DE3B-4674-A865-328F50042602}">
      <formula1>"산단,공장,창고,축사,근생,자원순환,토지,업무시설, 자동차관련시설"</formula1>
    </dataValidation>
    <dataValidation type="list" allowBlank="1" showInputMessage="1" showErrorMessage="1" sqref="X126" xr:uid="{0F6C21FC-22B8-4C3B-8EA0-BB5CC4B6BC27}">
      <formula1>"산단,공장,창고,축사,근생,자원순환, 창고 및 판매시설,토지,업무시설"</formula1>
    </dataValidation>
    <dataValidation type="list" allowBlank="1" showInputMessage="1" showErrorMessage="1" sqref="S34:S35 S37:S38" xr:uid="{0D8865BF-4FED-4FAA-A467-E3B4DB5998CC}">
      <formula1>"(주)그랜드썬기술단, (주)그랜드썬,지에스피,유지에스,지에스이"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642F11-08F5-4936-B26C-BAC93FDDA9CE}">
          <x14:formula1>
            <xm:f>INDEX!$B$3:$B$6</xm:f>
          </x14:formula1>
          <xm:sqref>W3:W351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W354"/>
  <sheetViews>
    <sheetView zoomScale="70" zoomScaleNormal="70" workbookViewId="0">
      <pane ySplit="2" topLeftCell="A3" activePane="bottomLeft" state="frozen"/>
      <selection activeCell="W1" sqref="W1:W1048576"/>
      <selection pane="bottomLeft" activeCell="R23" sqref="R23"/>
    </sheetView>
  </sheetViews>
  <sheetFormatPr defaultRowHeight="13.5" x14ac:dyDescent="0.25"/>
  <cols>
    <col min="1" max="1" width="3.7109375" customWidth="1"/>
    <col min="2" max="3" width="10.7109375" customWidth="1"/>
    <col min="4" max="4" width="10.7109375" style="5" customWidth="1"/>
    <col min="5" max="5" width="10.7109375" style="384" customWidth="1"/>
    <col min="6" max="6" width="12.7109375" style="382" customWidth="1"/>
    <col min="7" max="8" width="10.7109375" customWidth="1"/>
    <col min="9" max="9" width="11.85546875" customWidth="1"/>
    <col min="10" max="11" width="15.7109375" style="4" customWidth="1"/>
    <col min="12" max="12" width="15.7109375" style="36" customWidth="1"/>
    <col min="13" max="13" width="15.7109375" style="4" customWidth="1"/>
    <col min="14" max="14" width="15.7109375" customWidth="1"/>
    <col min="15" max="15" width="21.42578125" customWidth="1"/>
    <col min="16" max="17" width="6" customWidth="1"/>
    <col min="18" max="18" width="38.42578125" style="20" customWidth="1"/>
    <col min="19" max="19" width="20.7109375" customWidth="1"/>
    <col min="20" max="20" width="13.42578125" customWidth="1"/>
    <col min="21" max="21" width="9.140625" style="32"/>
    <col min="22" max="22" width="47" style="5" customWidth="1"/>
    <col min="23" max="23" width="9.140625" style="5" customWidth="1"/>
    <col min="24" max="24" width="9.140625" style="32"/>
    <col min="30" max="30" width="11.140625" customWidth="1"/>
    <col min="31" max="35" width="11.7109375" customWidth="1"/>
    <col min="36" max="40" width="11.7109375" style="124" customWidth="1"/>
    <col min="41" max="45" width="11.7109375" customWidth="1"/>
  </cols>
  <sheetData>
    <row r="1" spans="2:49" ht="27" thickBot="1" x14ac:dyDescent="0.3">
      <c r="B1" s="31"/>
      <c r="C1" s="31"/>
      <c r="D1" s="253"/>
      <c r="E1" s="68"/>
      <c r="F1" s="17"/>
      <c r="G1" s="6"/>
      <c r="H1" s="6"/>
      <c r="I1" s="22"/>
      <c r="J1" s="7"/>
      <c r="K1" s="7"/>
      <c r="L1" s="33"/>
      <c r="M1" s="7"/>
      <c r="N1" s="7"/>
      <c r="U1" s="42"/>
      <c r="X1" s="42"/>
      <c r="AB1" s="494" t="s">
        <v>3</v>
      </c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6"/>
    </row>
    <row r="2" spans="2:49" ht="43.5" customHeight="1" thickTop="1" thickBot="1" x14ac:dyDescent="0.3">
      <c r="B2" s="14" t="s">
        <v>0</v>
      </c>
      <c r="C2" s="66" t="s">
        <v>66</v>
      </c>
      <c r="D2" s="66" t="s">
        <v>67</v>
      </c>
      <c r="E2" s="69" t="s">
        <v>68</v>
      </c>
      <c r="F2" s="18" t="s">
        <v>1</v>
      </c>
      <c r="G2" s="10" t="s">
        <v>18</v>
      </c>
      <c r="H2" s="10" t="s">
        <v>17</v>
      </c>
      <c r="I2" s="11" t="s">
        <v>2</v>
      </c>
      <c r="J2" s="12" t="s">
        <v>16</v>
      </c>
      <c r="K2" s="12" t="s">
        <v>4</v>
      </c>
      <c r="L2" s="34" t="s">
        <v>44</v>
      </c>
      <c r="M2" s="37" t="s">
        <v>25</v>
      </c>
      <c r="N2" s="10" t="s">
        <v>22</v>
      </c>
      <c r="O2" s="10" t="s">
        <v>24</v>
      </c>
      <c r="P2" s="10" t="s">
        <v>42</v>
      </c>
      <c r="Q2" s="10" t="s">
        <v>206</v>
      </c>
      <c r="R2" s="10" t="s">
        <v>23</v>
      </c>
      <c r="S2" s="13" t="s">
        <v>5</v>
      </c>
      <c r="T2" s="23" t="s">
        <v>33</v>
      </c>
      <c r="U2" s="198" t="s">
        <v>48</v>
      </c>
      <c r="V2" s="14" t="s">
        <v>32</v>
      </c>
      <c r="W2" s="14" t="s">
        <v>1152</v>
      </c>
      <c r="X2" s="198" t="s">
        <v>149</v>
      </c>
      <c r="Y2" s="103" t="s">
        <v>161</v>
      </c>
      <c r="AB2" s="491" t="s">
        <v>108</v>
      </c>
      <c r="AC2" s="492"/>
      <c r="AD2" s="106" t="s">
        <v>1</v>
      </c>
      <c r="AE2" s="107" t="s">
        <v>109</v>
      </c>
      <c r="AF2" s="108" t="s">
        <v>78</v>
      </c>
      <c r="AG2" s="108" t="s">
        <v>77</v>
      </c>
      <c r="AH2" s="108" t="s">
        <v>79</v>
      </c>
      <c r="AI2" s="109" t="s">
        <v>80</v>
      </c>
      <c r="AJ2" s="112" t="s">
        <v>110</v>
      </c>
      <c r="AK2" s="113" t="s">
        <v>78</v>
      </c>
      <c r="AL2" s="113" t="s">
        <v>77</v>
      </c>
      <c r="AM2" s="113" t="s">
        <v>79</v>
      </c>
      <c r="AN2" s="114" t="s">
        <v>80</v>
      </c>
      <c r="AO2" s="110" t="s">
        <v>111</v>
      </c>
      <c r="AP2" s="111" t="s">
        <v>78</v>
      </c>
      <c r="AQ2" s="111" t="s">
        <v>77</v>
      </c>
      <c r="AR2" s="111" t="s">
        <v>79</v>
      </c>
      <c r="AS2" s="111" t="s">
        <v>80</v>
      </c>
      <c r="AU2" s="146"/>
      <c r="AV2" s="147" t="s">
        <v>116</v>
      </c>
      <c r="AW2" s="148"/>
    </row>
    <row r="3" spans="2:49" s="8" customFormat="1" ht="13.5" customHeight="1" x14ac:dyDescent="0.25">
      <c r="B3" s="15">
        <v>1</v>
      </c>
      <c r="C3" s="8" t="s">
        <v>245</v>
      </c>
      <c r="D3" s="5" t="s">
        <v>246</v>
      </c>
      <c r="E3" s="383">
        <v>1</v>
      </c>
      <c r="F3" s="380">
        <v>46072</v>
      </c>
      <c r="G3" s="8">
        <v>2</v>
      </c>
      <c r="H3" s="8">
        <v>4</v>
      </c>
      <c r="I3" s="8">
        <v>29.024999999999999</v>
      </c>
      <c r="J3" s="9">
        <v>29000000</v>
      </c>
      <c r="K3" s="9">
        <f t="shared" ref="K3:K66" si="0">J3*1.1</f>
        <v>31900000.000000004</v>
      </c>
      <c r="L3" s="35">
        <f t="shared" ref="L3:L66" si="1">J3*0.00000001</f>
        <v>0.28999999999999998</v>
      </c>
      <c r="M3" s="2" t="s">
        <v>474</v>
      </c>
      <c r="N3" t="s">
        <v>474</v>
      </c>
      <c r="O3" s="19" t="s">
        <v>615</v>
      </c>
      <c r="P3" s="19">
        <v>1</v>
      </c>
      <c r="Q3" s="19" t="s">
        <v>200</v>
      </c>
      <c r="R3" s="21" t="s">
        <v>616</v>
      </c>
      <c r="S3" s="46" t="s">
        <v>617</v>
      </c>
      <c r="T3" s="81"/>
      <c r="U3" s="80" t="s">
        <v>252</v>
      </c>
      <c r="V3" s="78" t="s">
        <v>618</v>
      </c>
      <c r="W3" s="78"/>
      <c r="X3" s="192" t="s">
        <v>155</v>
      </c>
      <c r="Y3" s="15" t="s">
        <v>255</v>
      </c>
      <c r="AA3">
        <v>1</v>
      </c>
      <c r="AB3" s="486">
        <v>1</v>
      </c>
      <c r="AC3" s="89">
        <v>1</v>
      </c>
      <c r="AD3" s="95" t="s">
        <v>81</v>
      </c>
      <c r="AE3" s="39">
        <f>SUM(AF3:AI3)</f>
        <v>0</v>
      </c>
      <c r="AF3" s="65">
        <f>SUMIFS($I:$I,$C:$C, $AF$2,$G:$G,$AA3,$H:$H,$AC3)</f>
        <v>0</v>
      </c>
      <c r="AG3" s="65">
        <f>SUMIFS($I:$I,$C:$C, $AG$2,$G:$G,$AA3,$H:$H,$AC3)</f>
        <v>0</v>
      </c>
      <c r="AH3" s="65">
        <f>SUMIFS($I:$I,$C:$C, $AH$2,$G:$G,$AA3,$H:$H,$AC3)</f>
        <v>0</v>
      </c>
      <c r="AI3" s="104">
        <f>SUMIFS($I:$I,$C:$C, $AI$2,$G:$G,$AA3,$H:$H,$AC3)</f>
        <v>0</v>
      </c>
      <c r="AJ3" s="115">
        <f>SUM(AK3:AN3)</f>
        <v>0</v>
      </c>
      <c r="AK3" s="116">
        <f>COUNTIFS($C:$C, $AK$2,$G:$G,$AA3,$H:$H,$AC3)</f>
        <v>0</v>
      </c>
      <c r="AL3" s="116">
        <f>COUNTIFS($C:$C, $AL$2,$G:$G,$AA3,$H:$H,$AC3)</f>
        <v>0</v>
      </c>
      <c r="AM3" s="116">
        <f>COUNTIFS($C:$C, $AM$2,$G:$G,$AA3,$H:$H,$AC3)</f>
        <v>0</v>
      </c>
      <c r="AN3" s="117">
        <f>COUNTIFS($C:$C, $AN$2,$G:$G,$AA3,$H:$H,$AC3)</f>
        <v>0</v>
      </c>
      <c r="AO3" s="39">
        <f>SUM(AP3:AS3)</f>
        <v>0</v>
      </c>
      <c r="AP3" s="65">
        <f>SUMIFS($L:$L,$C:$C, $AP$2,$G:$G,$AA3,$H:$H,$AC3)</f>
        <v>0</v>
      </c>
      <c r="AQ3" s="65">
        <f>SUMIFS($L:$L,$C:$C, $AQ$2,$G:$G,$AA3,$H:$H,$AC3)</f>
        <v>0</v>
      </c>
      <c r="AR3" s="65">
        <f>SUMIFS($L:$L,$C:$C, $AR$2,$G:$G,$AA3,$H:$H,$AC3)</f>
        <v>0</v>
      </c>
      <c r="AS3" s="65">
        <f>SUMIFS($L:$L,$C:$C, $AS$2,$G:$G,$AA3,$H:$H,$AC3)</f>
        <v>0</v>
      </c>
      <c r="AU3" s="149" t="s">
        <v>117</v>
      </c>
      <c r="AV3" s="150" t="s">
        <v>118</v>
      </c>
      <c r="AW3" s="151" t="s">
        <v>119</v>
      </c>
    </row>
    <row r="4" spans="2:49" s="8" customFormat="1" ht="13.5" customHeight="1" x14ac:dyDescent="0.25">
      <c r="B4" s="15">
        <v>2</v>
      </c>
      <c r="C4" s="8" t="s">
        <v>245</v>
      </c>
      <c r="D4" s="5" t="s">
        <v>246</v>
      </c>
      <c r="E4" s="383">
        <v>2</v>
      </c>
      <c r="F4" s="380">
        <v>46240</v>
      </c>
      <c r="G4" s="8">
        <v>8</v>
      </c>
      <c r="H4" s="8">
        <v>1</v>
      </c>
      <c r="I4" s="8">
        <v>41.28</v>
      </c>
      <c r="J4" s="9">
        <v>33000000</v>
      </c>
      <c r="K4" s="9">
        <f t="shared" si="0"/>
        <v>36300000</v>
      </c>
      <c r="L4" s="35">
        <f t="shared" si="1"/>
        <v>0.33</v>
      </c>
      <c r="M4" s="2" t="s">
        <v>474</v>
      </c>
      <c r="N4" t="s">
        <v>474</v>
      </c>
      <c r="O4" s="19" t="s">
        <v>2040</v>
      </c>
      <c r="P4" s="19">
        <v>2</v>
      </c>
      <c r="Q4" s="19" t="s">
        <v>200</v>
      </c>
      <c r="R4" s="21" t="s">
        <v>2041</v>
      </c>
      <c r="S4" s="46" t="s">
        <v>2042</v>
      </c>
      <c r="T4" s="44"/>
      <c r="U4" s="76" t="s">
        <v>252</v>
      </c>
      <c r="V4" s="24" t="s">
        <v>618</v>
      </c>
      <c r="W4" s="24"/>
      <c r="X4" s="193" t="s">
        <v>408</v>
      </c>
      <c r="Y4" s="15" t="s">
        <v>168</v>
      </c>
      <c r="AA4">
        <v>1</v>
      </c>
      <c r="AB4" s="487"/>
      <c r="AC4" s="90">
        <v>2</v>
      </c>
      <c r="AD4" s="96" t="s">
        <v>54</v>
      </c>
      <c r="AE4" s="39">
        <f t="shared" ref="AE4:AE67" si="2">SUM(AF4:AI4)</f>
        <v>0</v>
      </c>
      <c r="AF4" s="65">
        <f t="shared" ref="AF4:AF67" si="3">SUMIFS($I:$I,$C:$C, $AF$2,$G:$G,$AA4,$H:$H,$AC4)</f>
        <v>0</v>
      </c>
      <c r="AG4" s="65">
        <f t="shared" ref="AG4:AG67" si="4">SUMIFS($I:$I,$C:$C, $AG$2,$G:$G,$AA4,$H:$H,$AC4)</f>
        <v>0</v>
      </c>
      <c r="AH4" s="65">
        <f t="shared" ref="AH4:AH67" si="5">SUMIFS($I:$I,$C:$C, $AH$2,$G:$G,$AA4,$H:$H,$AC4)</f>
        <v>0</v>
      </c>
      <c r="AI4" s="104">
        <f t="shared" ref="AI4:AI67" si="6">SUMIFS($I:$I,$C:$C, $AI$2,$G:$G,$AA4,$H:$H,$AC4)</f>
        <v>0</v>
      </c>
      <c r="AJ4" s="115">
        <f t="shared" ref="AJ4:AJ67" si="7">SUM(AK4:AN4)</f>
        <v>0</v>
      </c>
      <c r="AK4" s="116">
        <f t="shared" ref="AK4:AK67" si="8">COUNTIFS($C:$C, $AK$2,$G:$G,$AA4,$H:$H,$AC4)</f>
        <v>0</v>
      </c>
      <c r="AL4" s="116">
        <f t="shared" ref="AL4:AL67" si="9">COUNTIFS($C:$C, $AL$2,$G:$G,$AA4,$H:$H,$AC4)</f>
        <v>0</v>
      </c>
      <c r="AM4" s="116">
        <f t="shared" ref="AM4:AM67" si="10">COUNTIFS($C:$C, $AM$2,$G:$G,$AA4,$H:$H,$AC4)</f>
        <v>0</v>
      </c>
      <c r="AN4" s="117">
        <f t="shared" ref="AN4:AN67" si="11">COUNTIFS($C:$C, $AN$2,$G:$G,$AA4,$H:$H,$AC4)</f>
        <v>0</v>
      </c>
      <c r="AO4" s="39">
        <f t="shared" ref="AO4:AO67" si="12">SUM(AP4:AS4)</f>
        <v>0</v>
      </c>
      <c r="AP4" s="65">
        <f t="shared" ref="AP4:AP67" si="13">SUMIFS($L:$L,$C:$C, $AP$2,$G:$G,$AA4,$H:$H,$AC4)</f>
        <v>0</v>
      </c>
      <c r="AQ4" s="65">
        <f t="shared" ref="AQ4:AQ67" si="14">SUMIFS($L:$L,$C:$C, $AQ$2,$G:$G,$AA4,$H:$H,$AC4)</f>
        <v>0</v>
      </c>
      <c r="AR4" s="65">
        <f t="shared" ref="AR4:AR67" si="15">SUMIFS($L:$L,$C:$C, $AR$2,$G:$G,$AA4,$H:$H,$AC4)</f>
        <v>0</v>
      </c>
      <c r="AS4" s="65">
        <f t="shared" ref="AS4:AS67" si="16">SUMIFS($L:$L,$C:$C, $AS$2,$G:$G,$AA4,$H:$H,$AC4)</f>
        <v>0</v>
      </c>
      <c r="AU4" s="152">
        <v>1</v>
      </c>
      <c r="AV4" s="153">
        <f>COUNTIFS($U:$U,$AV$3,$G:$G,$AU4)</f>
        <v>0</v>
      </c>
      <c r="AW4" s="154">
        <f>COUNTIFS($U:$U,$AW$3,$G:$G,$AU4)</f>
        <v>0</v>
      </c>
    </row>
    <row r="5" spans="2:49" s="8" customFormat="1" ht="13.5" customHeight="1" x14ac:dyDescent="0.25">
      <c r="B5" s="15">
        <v>3</v>
      </c>
      <c r="D5" s="5"/>
      <c r="E5" s="383"/>
      <c r="F5" s="380"/>
      <c r="J5" s="9"/>
      <c r="K5" s="9">
        <f t="shared" si="0"/>
        <v>0</v>
      </c>
      <c r="L5" s="35">
        <f t="shared" si="1"/>
        <v>0</v>
      </c>
      <c r="M5" s="2"/>
      <c r="N5"/>
      <c r="O5" s="19"/>
      <c r="P5" s="19"/>
      <c r="Q5" s="19"/>
      <c r="R5" s="21"/>
      <c r="S5" s="46"/>
      <c r="T5" s="44"/>
      <c r="U5" s="76"/>
      <c r="V5" s="24"/>
      <c r="W5" s="24"/>
      <c r="X5" s="193"/>
      <c r="Y5" s="15"/>
      <c r="AA5">
        <v>1</v>
      </c>
      <c r="AB5" s="487"/>
      <c r="AC5" s="90">
        <v>3</v>
      </c>
      <c r="AD5" s="97" t="s">
        <v>55</v>
      </c>
      <c r="AE5" s="39">
        <f t="shared" si="2"/>
        <v>0</v>
      </c>
      <c r="AF5" s="65">
        <f t="shared" si="3"/>
        <v>0</v>
      </c>
      <c r="AG5" s="65">
        <f t="shared" si="4"/>
        <v>0</v>
      </c>
      <c r="AH5" s="65">
        <f t="shared" si="5"/>
        <v>0</v>
      </c>
      <c r="AI5" s="104">
        <f t="shared" si="6"/>
        <v>0</v>
      </c>
      <c r="AJ5" s="115">
        <f t="shared" si="7"/>
        <v>0</v>
      </c>
      <c r="AK5" s="116">
        <f t="shared" si="8"/>
        <v>0</v>
      </c>
      <c r="AL5" s="116">
        <f t="shared" si="9"/>
        <v>0</v>
      </c>
      <c r="AM5" s="116">
        <f t="shared" si="10"/>
        <v>0</v>
      </c>
      <c r="AN5" s="117">
        <f t="shared" si="11"/>
        <v>0</v>
      </c>
      <c r="AO5" s="39">
        <f t="shared" si="12"/>
        <v>0</v>
      </c>
      <c r="AP5" s="65">
        <f t="shared" si="13"/>
        <v>0</v>
      </c>
      <c r="AQ5" s="65">
        <f t="shared" si="14"/>
        <v>0</v>
      </c>
      <c r="AR5" s="65">
        <f t="shared" si="15"/>
        <v>0</v>
      </c>
      <c r="AS5" s="65">
        <f t="shared" si="16"/>
        <v>0</v>
      </c>
      <c r="AU5" s="152">
        <v>2</v>
      </c>
      <c r="AV5" s="153">
        <f t="shared" ref="AV5:AV15" si="17">COUNTIFS($U:$U,$AV$3,$G:$G,$AU5)</f>
        <v>1</v>
      </c>
      <c r="AW5" s="154">
        <f t="shared" ref="AW5:AW15" si="18">COUNTIFS($U:$U,$AW$3,$G:$G,$AU5)</f>
        <v>0</v>
      </c>
    </row>
    <row r="6" spans="2:49" s="8" customFormat="1" ht="13.5" customHeight="1" x14ac:dyDescent="0.25">
      <c r="B6" s="15">
        <v>4</v>
      </c>
      <c r="D6" s="5"/>
      <c r="E6" s="383"/>
      <c r="F6" s="380"/>
      <c r="J6" s="9"/>
      <c r="K6" s="9">
        <f t="shared" si="0"/>
        <v>0</v>
      </c>
      <c r="L6" s="35">
        <f t="shared" si="1"/>
        <v>0</v>
      </c>
      <c r="M6" s="2"/>
      <c r="N6" s="2"/>
      <c r="O6" s="19"/>
      <c r="P6" s="19"/>
      <c r="Q6" s="19"/>
      <c r="R6" s="21"/>
      <c r="S6" s="46"/>
      <c r="T6" s="44"/>
      <c r="U6" s="76"/>
      <c r="V6" s="24"/>
      <c r="W6" s="24"/>
      <c r="X6" s="193"/>
      <c r="Y6" s="15"/>
      <c r="AA6">
        <v>1</v>
      </c>
      <c r="AB6" s="487"/>
      <c r="AC6" s="90">
        <v>4</v>
      </c>
      <c r="AD6" s="97" t="s">
        <v>56</v>
      </c>
      <c r="AE6" s="39">
        <f t="shared" si="2"/>
        <v>0</v>
      </c>
      <c r="AF6" s="65">
        <f t="shared" si="3"/>
        <v>0</v>
      </c>
      <c r="AG6" s="65">
        <f t="shared" si="4"/>
        <v>0</v>
      </c>
      <c r="AH6" s="65">
        <f t="shared" si="5"/>
        <v>0</v>
      </c>
      <c r="AI6" s="104">
        <f t="shared" si="6"/>
        <v>0</v>
      </c>
      <c r="AJ6" s="115">
        <f t="shared" si="7"/>
        <v>0</v>
      </c>
      <c r="AK6" s="116">
        <f t="shared" si="8"/>
        <v>0</v>
      </c>
      <c r="AL6" s="116">
        <f t="shared" si="9"/>
        <v>0</v>
      </c>
      <c r="AM6" s="116">
        <f t="shared" si="10"/>
        <v>0</v>
      </c>
      <c r="AN6" s="117">
        <f t="shared" si="11"/>
        <v>0</v>
      </c>
      <c r="AO6" s="39">
        <f t="shared" si="12"/>
        <v>0</v>
      </c>
      <c r="AP6" s="65">
        <f t="shared" si="13"/>
        <v>0</v>
      </c>
      <c r="AQ6" s="65">
        <f t="shared" si="14"/>
        <v>0</v>
      </c>
      <c r="AR6" s="65">
        <f t="shared" si="15"/>
        <v>0</v>
      </c>
      <c r="AS6" s="65">
        <f t="shared" si="16"/>
        <v>0</v>
      </c>
      <c r="AU6" s="152">
        <v>3</v>
      </c>
      <c r="AV6" s="153">
        <f t="shared" si="17"/>
        <v>0</v>
      </c>
      <c r="AW6" s="154">
        <f t="shared" si="18"/>
        <v>0</v>
      </c>
    </row>
    <row r="7" spans="2:49" s="8" customFormat="1" ht="13.5" customHeight="1" x14ac:dyDescent="0.25">
      <c r="B7" s="15">
        <v>5</v>
      </c>
      <c r="D7" s="5"/>
      <c r="E7" s="383"/>
      <c r="F7" s="380"/>
      <c r="J7" s="9"/>
      <c r="K7" s="9">
        <f t="shared" si="0"/>
        <v>0</v>
      </c>
      <c r="L7" s="35">
        <f t="shared" si="1"/>
        <v>0</v>
      </c>
      <c r="M7" s="2"/>
      <c r="N7"/>
      <c r="O7" s="19"/>
      <c r="P7" s="19"/>
      <c r="Q7" s="19"/>
      <c r="R7" s="21"/>
      <c r="S7" s="46"/>
      <c r="T7" s="44"/>
      <c r="U7" s="76"/>
      <c r="V7" s="24"/>
      <c r="W7" s="24"/>
      <c r="X7" s="193"/>
      <c r="Y7" s="15"/>
      <c r="AA7">
        <v>1</v>
      </c>
      <c r="AB7" s="487"/>
      <c r="AC7" s="91">
        <v>5</v>
      </c>
      <c r="AD7" s="97" t="s">
        <v>57</v>
      </c>
      <c r="AE7" s="39">
        <f t="shared" si="2"/>
        <v>0</v>
      </c>
      <c r="AF7" s="65">
        <f t="shared" si="3"/>
        <v>0</v>
      </c>
      <c r="AG7" s="65">
        <f t="shared" si="4"/>
        <v>0</v>
      </c>
      <c r="AH7" s="65">
        <f t="shared" si="5"/>
        <v>0</v>
      </c>
      <c r="AI7" s="104">
        <f t="shared" si="6"/>
        <v>0</v>
      </c>
      <c r="AJ7" s="115">
        <f t="shared" si="7"/>
        <v>0</v>
      </c>
      <c r="AK7" s="116">
        <f t="shared" si="8"/>
        <v>0</v>
      </c>
      <c r="AL7" s="116">
        <f t="shared" si="9"/>
        <v>0</v>
      </c>
      <c r="AM7" s="116">
        <f t="shared" si="10"/>
        <v>0</v>
      </c>
      <c r="AN7" s="117">
        <f t="shared" si="11"/>
        <v>0</v>
      </c>
      <c r="AO7" s="39">
        <f t="shared" si="12"/>
        <v>0</v>
      </c>
      <c r="AP7" s="65">
        <f t="shared" si="13"/>
        <v>0</v>
      </c>
      <c r="AQ7" s="65">
        <f t="shared" si="14"/>
        <v>0</v>
      </c>
      <c r="AR7" s="65">
        <f t="shared" si="15"/>
        <v>0</v>
      </c>
      <c r="AS7" s="65">
        <f t="shared" si="16"/>
        <v>0</v>
      </c>
      <c r="AU7" s="152">
        <v>4</v>
      </c>
      <c r="AV7" s="153">
        <f t="shared" si="17"/>
        <v>0</v>
      </c>
      <c r="AW7" s="154">
        <f t="shared" si="18"/>
        <v>0</v>
      </c>
    </row>
    <row r="8" spans="2:49" s="8" customFormat="1" ht="13.5" customHeight="1" thickBot="1" x14ac:dyDescent="0.3">
      <c r="B8" s="15">
        <v>6</v>
      </c>
      <c r="D8" s="5"/>
      <c r="E8" s="383"/>
      <c r="F8" s="380"/>
      <c r="J8" s="9"/>
      <c r="K8" s="9">
        <f t="shared" si="0"/>
        <v>0</v>
      </c>
      <c r="L8" s="35">
        <f t="shared" si="1"/>
        <v>0</v>
      </c>
      <c r="M8" s="2"/>
      <c r="N8"/>
      <c r="O8" s="19"/>
      <c r="P8" s="19"/>
      <c r="Q8" s="19"/>
      <c r="R8" s="21"/>
      <c r="S8" s="46"/>
      <c r="T8" s="44"/>
      <c r="U8" s="76"/>
      <c r="V8" s="24"/>
      <c r="W8" s="24"/>
      <c r="X8" s="193"/>
      <c r="Y8" s="15"/>
      <c r="AA8">
        <v>1</v>
      </c>
      <c r="AB8" s="488"/>
      <c r="AC8" s="92" t="s">
        <v>3</v>
      </c>
      <c r="AD8" s="98"/>
      <c r="AE8" s="94">
        <f t="shared" ref="AE8:AS8" si="19">SUM(AE3:AE7)</f>
        <v>0</v>
      </c>
      <c r="AF8" s="94">
        <f t="shared" si="19"/>
        <v>0</v>
      </c>
      <c r="AG8" s="94">
        <f t="shared" si="19"/>
        <v>0</v>
      </c>
      <c r="AH8" s="94">
        <f t="shared" si="19"/>
        <v>0</v>
      </c>
      <c r="AI8" s="105">
        <f t="shared" si="19"/>
        <v>0</v>
      </c>
      <c r="AJ8" s="118">
        <f t="shared" si="19"/>
        <v>0</v>
      </c>
      <c r="AK8" s="119">
        <f t="shared" si="19"/>
        <v>0</v>
      </c>
      <c r="AL8" s="119">
        <f t="shared" si="19"/>
        <v>0</v>
      </c>
      <c r="AM8" s="119">
        <f t="shared" si="19"/>
        <v>0</v>
      </c>
      <c r="AN8" s="120">
        <f t="shared" si="19"/>
        <v>0</v>
      </c>
      <c r="AO8" s="94">
        <f t="shared" si="19"/>
        <v>0</v>
      </c>
      <c r="AP8" s="94">
        <f t="shared" si="19"/>
        <v>0</v>
      </c>
      <c r="AQ8" s="94">
        <f t="shared" si="19"/>
        <v>0</v>
      </c>
      <c r="AR8" s="94">
        <f t="shared" si="19"/>
        <v>0</v>
      </c>
      <c r="AS8" s="94">
        <f t="shared" si="19"/>
        <v>0</v>
      </c>
      <c r="AU8" s="152">
        <v>5</v>
      </c>
      <c r="AV8" s="153">
        <f t="shared" si="17"/>
        <v>0</v>
      </c>
      <c r="AW8" s="154">
        <f t="shared" si="18"/>
        <v>0</v>
      </c>
    </row>
    <row r="9" spans="2:49" s="8" customFormat="1" ht="13.5" customHeight="1" x14ac:dyDescent="0.25">
      <c r="B9" s="15">
        <v>7</v>
      </c>
      <c r="D9" s="5"/>
      <c r="E9" s="383"/>
      <c r="F9" s="380"/>
      <c r="J9" s="9"/>
      <c r="K9" s="9">
        <f t="shared" si="0"/>
        <v>0</v>
      </c>
      <c r="L9" s="35">
        <f t="shared" si="1"/>
        <v>0</v>
      </c>
      <c r="M9" s="2"/>
      <c r="N9"/>
      <c r="O9" s="19"/>
      <c r="P9" s="19"/>
      <c r="Q9" s="19"/>
      <c r="R9" s="21"/>
      <c r="S9" s="46"/>
      <c r="T9" s="44"/>
      <c r="U9" s="76"/>
      <c r="V9" s="24"/>
      <c r="W9" s="24"/>
      <c r="X9" s="193"/>
      <c r="Y9" s="15"/>
      <c r="AA9">
        <v>2</v>
      </c>
      <c r="AB9" s="486">
        <v>2</v>
      </c>
      <c r="AC9" s="89">
        <v>1</v>
      </c>
      <c r="AD9" s="99" t="s">
        <v>82</v>
      </c>
      <c r="AE9" s="39">
        <f t="shared" si="2"/>
        <v>0</v>
      </c>
      <c r="AF9" s="65">
        <f t="shared" si="3"/>
        <v>0</v>
      </c>
      <c r="AG9" s="65">
        <f t="shared" si="4"/>
        <v>0</v>
      </c>
      <c r="AH9" s="65">
        <f t="shared" si="5"/>
        <v>0</v>
      </c>
      <c r="AI9" s="104">
        <f t="shared" si="6"/>
        <v>0</v>
      </c>
      <c r="AJ9" s="115">
        <f t="shared" si="7"/>
        <v>0</v>
      </c>
      <c r="AK9" s="116">
        <f t="shared" si="8"/>
        <v>0</v>
      </c>
      <c r="AL9" s="116">
        <f t="shared" si="9"/>
        <v>0</v>
      </c>
      <c r="AM9" s="116">
        <f t="shared" si="10"/>
        <v>0</v>
      </c>
      <c r="AN9" s="117">
        <f t="shared" si="11"/>
        <v>0</v>
      </c>
      <c r="AO9" s="39">
        <f t="shared" si="12"/>
        <v>0</v>
      </c>
      <c r="AP9" s="65">
        <f t="shared" si="13"/>
        <v>0</v>
      </c>
      <c r="AQ9" s="65">
        <f t="shared" si="14"/>
        <v>0</v>
      </c>
      <c r="AR9" s="65">
        <f t="shared" si="15"/>
        <v>0</v>
      </c>
      <c r="AS9" s="65">
        <f t="shared" si="16"/>
        <v>0</v>
      </c>
      <c r="AU9" s="152">
        <v>6</v>
      </c>
      <c r="AV9" s="153">
        <f t="shared" si="17"/>
        <v>0</v>
      </c>
      <c r="AW9" s="154">
        <f t="shared" si="18"/>
        <v>0</v>
      </c>
    </row>
    <row r="10" spans="2:49" s="8" customFormat="1" ht="13.5" customHeight="1" x14ac:dyDescent="0.25">
      <c r="B10" s="15">
        <v>8</v>
      </c>
      <c r="D10" s="5"/>
      <c r="E10" s="383"/>
      <c r="F10" s="380"/>
      <c r="J10" s="9"/>
      <c r="K10" s="9">
        <f t="shared" si="0"/>
        <v>0</v>
      </c>
      <c r="L10" s="35">
        <f t="shared" si="1"/>
        <v>0</v>
      </c>
      <c r="M10" s="2"/>
      <c r="N10" s="2"/>
      <c r="O10" s="19"/>
      <c r="P10" s="19"/>
      <c r="Q10" s="19"/>
      <c r="R10" s="21"/>
      <c r="S10" s="46"/>
      <c r="T10" s="82"/>
      <c r="U10" s="76"/>
      <c r="V10" s="24"/>
      <c r="W10" s="24"/>
      <c r="X10" s="193"/>
      <c r="Y10" s="15"/>
      <c r="AA10">
        <v>2</v>
      </c>
      <c r="AB10" s="487"/>
      <c r="AC10" s="90">
        <v>2</v>
      </c>
      <c r="AD10" s="97" t="s">
        <v>58</v>
      </c>
      <c r="AE10" s="39">
        <f t="shared" si="2"/>
        <v>0</v>
      </c>
      <c r="AF10" s="65">
        <f t="shared" si="3"/>
        <v>0</v>
      </c>
      <c r="AG10" s="65">
        <f t="shared" si="4"/>
        <v>0</v>
      </c>
      <c r="AH10" s="65">
        <f t="shared" si="5"/>
        <v>0</v>
      </c>
      <c r="AI10" s="104">
        <f t="shared" si="6"/>
        <v>0</v>
      </c>
      <c r="AJ10" s="115">
        <f t="shared" si="7"/>
        <v>0</v>
      </c>
      <c r="AK10" s="116">
        <f t="shared" si="8"/>
        <v>0</v>
      </c>
      <c r="AL10" s="116">
        <f t="shared" si="9"/>
        <v>0</v>
      </c>
      <c r="AM10" s="116">
        <f t="shared" si="10"/>
        <v>0</v>
      </c>
      <c r="AN10" s="117">
        <f t="shared" si="11"/>
        <v>0</v>
      </c>
      <c r="AO10" s="39">
        <f t="shared" si="12"/>
        <v>0</v>
      </c>
      <c r="AP10" s="65">
        <f t="shared" si="13"/>
        <v>0</v>
      </c>
      <c r="AQ10" s="65">
        <f t="shared" si="14"/>
        <v>0</v>
      </c>
      <c r="AR10" s="65">
        <f t="shared" si="15"/>
        <v>0</v>
      </c>
      <c r="AS10" s="65">
        <f t="shared" si="16"/>
        <v>0</v>
      </c>
      <c r="AU10" s="152">
        <v>7</v>
      </c>
      <c r="AV10" s="153">
        <f t="shared" si="17"/>
        <v>0</v>
      </c>
      <c r="AW10" s="154">
        <f t="shared" si="18"/>
        <v>0</v>
      </c>
    </row>
    <row r="11" spans="2:49" s="8" customFormat="1" ht="13.5" customHeight="1" x14ac:dyDescent="0.25">
      <c r="B11" s="15">
        <v>9</v>
      </c>
      <c r="D11" s="5"/>
      <c r="E11" s="383"/>
      <c r="F11" s="380"/>
      <c r="J11" s="9"/>
      <c r="K11" s="9">
        <f t="shared" si="0"/>
        <v>0</v>
      </c>
      <c r="L11" s="35">
        <f t="shared" si="1"/>
        <v>0</v>
      </c>
      <c r="M11" s="2"/>
      <c r="N11"/>
      <c r="O11" s="19"/>
      <c r="P11" s="19"/>
      <c r="Q11" s="19"/>
      <c r="R11" s="21"/>
      <c r="S11" s="46"/>
      <c r="T11" s="44"/>
      <c r="U11" s="76"/>
      <c r="V11" s="24"/>
      <c r="W11" s="24"/>
      <c r="X11" s="193"/>
      <c r="Y11" s="15"/>
      <c r="AA11">
        <v>2</v>
      </c>
      <c r="AB11" s="487"/>
      <c r="AC11" s="90">
        <v>3</v>
      </c>
      <c r="AD11" s="97" t="s">
        <v>59</v>
      </c>
      <c r="AE11" s="39">
        <f t="shared" si="2"/>
        <v>0</v>
      </c>
      <c r="AF11" s="65">
        <f t="shared" si="3"/>
        <v>0</v>
      </c>
      <c r="AG11" s="65">
        <f t="shared" si="4"/>
        <v>0</v>
      </c>
      <c r="AH11" s="65">
        <f t="shared" si="5"/>
        <v>0</v>
      </c>
      <c r="AI11" s="104">
        <f t="shared" si="6"/>
        <v>0</v>
      </c>
      <c r="AJ11" s="115">
        <f t="shared" si="7"/>
        <v>0</v>
      </c>
      <c r="AK11" s="116">
        <f t="shared" si="8"/>
        <v>0</v>
      </c>
      <c r="AL11" s="116">
        <f t="shared" si="9"/>
        <v>0</v>
      </c>
      <c r="AM11" s="116">
        <f t="shared" si="10"/>
        <v>0</v>
      </c>
      <c r="AN11" s="117">
        <f t="shared" si="11"/>
        <v>0</v>
      </c>
      <c r="AO11" s="39">
        <f t="shared" si="12"/>
        <v>0</v>
      </c>
      <c r="AP11" s="65">
        <f t="shared" si="13"/>
        <v>0</v>
      </c>
      <c r="AQ11" s="65">
        <f t="shared" si="14"/>
        <v>0</v>
      </c>
      <c r="AR11" s="65">
        <f t="shared" si="15"/>
        <v>0</v>
      </c>
      <c r="AS11" s="65">
        <f t="shared" si="16"/>
        <v>0</v>
      </c>
      <c r="AU11" s="152">
        <v>8</v>
      </c>
      <c r="AV11" s="153">
        <f t="shared" si="17"/>
        <v>1</v>
      </c>
      <c r="AW11" s="154">
        <f t="shared" si="18"/>
        <v>0</v>
      </c>
    </row>
    <row r="12" spans="2:49" s="8" customFormat="1" ht="13.5" customHeight="1" x14ac:dyDescent="0.25">
      <c r="B12" s="15">
        <v>10</v>
      </c>
      <c r="D12" s="5"/>
      <c r="E12" s="383"/>
      <c r="F12" s="380"/>
      <c r="J12" s="9"/>
      <c r="K12" s="9">
        <f t="shared" si="0"/>
        <v>0</v>
      </c>
      <c r="L12" s="35">
        <f t="shared" si="1"/>
        <v>0</v>
      </c>
      <c r="M12" s="2"/>
      <c r="N12"/>
      <c r="O12" s="19"/>
      <c r="P12" s="19"/>
      <c r="Q12" s="19"/>
      <c r="R12" s="21"/>
      <c r="S12" s="46"/>
      <c r="T12" s="44"/>
      <c r="U12" s="76"/>
      <c r="V12" s="24"/>
      <c r="W12" s="24"/>
      <c r="X12" s="193"/>
      <c r="Y12" s="15"/>
      <c r="AA12">
        <v>2</v>
      </c>
      <c r="AB12" s="487"/>
      <c r="AC12" s="90">
        <v>4</v>
      </c>
      <c r="AD12" s="97" t="s">
        <v>60</v>
      </c>
      <c r="AE12" s="39">
        <f t="shared" si="2"/>
        <v>29.024999999999999</v>
      </c>
      <c r="AF12" s="65">
        <f t="shared" si="3"/>
        <v>0</v>
      </c>
      <c r="AG12" s="65">
        <f t="shared" si="4"/>
        <v>29.024999999999999</v>
      </c>
      <c r="AH12" s="65">
        <f t="shared" si="5"/>
        <v>0</v>
      </c>
      <c r="AI12" s="104">
        <f t="shared" si="6"/>
        <v>0</v>
      </c>
      <c r="AJ12" s="115">
        <f t="shared" si="7"/>
        <v>1</v>
      </c>
      <c r="AK12" s="116">
        <f t="shared" si="8"/>
        <v>0</v>
      </c>
      <c r="AL12" s="116">
        <f t="shared" si="9"/>
        <v>1</v>
      </c>
      <c r="AM12" s="116">
        <f t="shared" si="10"/>
        <v>0</v>
      </c>
      <c r="AN12" s="117">
        <f t="shared" si="11"/>
        <v>0</v>
      </c>
      <c r="AO12" s="39">
        <f t="shared" si="12"/>
        <v>0.28999999999999998</v>
      </c>
      <c r="AP12" s="65">
        <f t="shared" si="13"/>
        <v>0</v>
      </c>
      <c r="AQ12" s="65">
        <f t="shared" si="14"/>
        <v>0.28999999999999998</v>
      </c>
      <c r="AR12" s="65">
        <f t="shared" si="15"/>
        <v>0</v>
      </c>
      <c r="AS12" s="65">
        <f t="shared" si="16"/>
        <v>0</v>
      </c>
      <c r="AU12" s="152">
        <v>9</v>
      </c>
      <c r="AV12" s="153">
        <f t="shared" si="17"/>
        <v>0</v>
      </c>
      <c r="AW12" s="154">
        <f t="shared" si="18"/>
        <v>0</v>
      </c>
    </row>
    <row r="13" spans="2:49" s="8" customFormat="1" ht="13.5" customHeight="1" x14ac:dyDescent="0.25">
      <c r="B13" s="15">
        <v>11</v>
      </c>
      <c r="D13" s="5"/>
      <c r="E13" s="383"/>
      <c r="F13" s="380"/>
      <c r="J13" s="9"/>
      <c r="K13" s="9">
        <f t="shared" si="0"/>
        <v>0</v>
      </c>
      <c r="L13" s="35">
        <f t="shared" si="1"/>
        <v>0</v>
      </c>
      <c r="M13" s="2"/>
      <c r="N13"/>
      <c r="O13" s="19"/>
      <c r="P13" s="19"/>
      <c r="Q13" s="19"/>
      <c r="R13" s="21"/>
      <c r="S13" s="46"/>
      <c r="T13" s="44"/>
      <c r="U13" s="76"/>
      <c r="V13" s="24"/>
      <c r="W13" s="24"/>
      <c r="X13" s="193"/>
      <c r="Y13" s="15"/>
      <c r="AA13">
        <v>2</v>
      </c>
      <c r="AB13" s="487"/>
      <c r="AC13" s="91">
        <v>5</v>
      </c>
      <c r="AD13" s="97"/>
      <c r="AE13" s="39">
        <f t="shared" si="2"/>
        <v>0</v>
      </c>
      <c r="AF13" s="65">
        <f t="shared" si="3"/>
        <v>0</v>
      </c>
      <c r="AG13" s="65">
        <f t="shared" si="4"/>
        <v>0</v>
      </c>
      <c r="AH13" s="65">
        <f t="shared" si="5"/>
        <v>0</v>
      </c>
      <c r="AI13" s="104">
        <f t="shared" si="6"/>
        <v>0</v>
      </c>
      <c r="AJ13" s="115">
        <f t="shared" si="7"/>
        <v>0</v>
      </c>
      <c r="AK13" s="116">
        <f t="shared" si="8"/>
        <v>0</v>
      </c>
      <c r="AL13" s="116">
        <f t="shared" si="9"/>
        <v>0</v>
      </c>
      <c r="AM13" s="116">
        <f t="shared" si="10"/>
        <v>0</v>
      </c>
      <c r="AN13" s="117">
        <f t="shared" si="11"/>
        <v>0</v>
      </c>
      <c r="AO13" s="39">
        <f t="shared" si="12"/>
        <v>0</v>
      </c>
      <c r="AP13" s="65">
        <f t="shared" si="13"/>
        <v>0</v>
      </c>
      <c r="AQ13" s="65">
        <f t="shared" si="14"/>
        <v>0</v>
      </c>
      <c r="AR13" s="65">
        <f t="shared" si="15"/>
        <v>0</v>
      </c>
      <c r="AS13" s="65">
        <f t="shared" si="16"/>
        <v>0</v>
      </c>
      <c r="AU13" s="152">
        <v>10</v>
      </c>
      <c r="AV13" s="153">
        <f t="shared" si="17"/>
        <v>0</v>
      </c>
      <c r="AW13" s="154">
        <f t="shared" si="18"/>
        <v>0</v>
      </c>
    </row>
    <row r="14" spans="2:49" s="8" customFormat="1" ht="13.5" customHeight="1" thickBot="1" x14ac:dyDescent="0.3">
      <c r="B14" s="15">
        <v>12</v>
      </c>
      <c r="D14" s="5"/>
      <c r="E14" s="383"/>
      <c r="F14" s="380"/>
      <c r="J14" s="9"/>
      <c r="K14" s="9">
        <f t="shared" si="0"/>
        <v>0</v>
      </c>
      <c r="L14" s="35">
        <f t="shared" si="1"/>
        <v>0</v>
      </c>
      <c r="M14" s="2"/>
      <c r="N14"/>
      <c r="O14" s="19"/>
      <c r="P14" s="19"/>
      <c r="Q14" s="19"/>
      <c r="R14" s="21"/>
      <c r="S14" s="46"/>
      <c r="T14" s="44"/>
      <c r="U14" s="76"/>
      <c r="V14" s="29"/>
      <c r="W14" s="24"/>
      <c r="X14" s="193"/>
      <c r="Y14" s="15"/>
      <c r="AA14">
        <v>2</v>
      </c>
      <c r="AB14" s="488"/>
      <c r="AC14" s="92" t="s">
        <v>3</v>
      </c>
      <c r="AD14" s="98"/>
      <c r="AE14" s="94">
        <f t="shared" ref="AE14:AS14" si="20">SUM(AE9:AE13)</f>
        <v>29.024999999999999</v>
      </c>
      <c r="AF14" s="94">
        <f t="shared" si="20"/>
        <v>0</v>
      </c>
      <c r="AG14" s="94">
        <f t="shared" si="20"/>
        <v>29.024999999999999</v>
      </c>
      <c r="AH14" s="94">
        <f t="shared" si="20"/>
        <v>0</v>
      </c>
      <c r="AI14" s="105">
        <f t="shared" si="20"/>
        <v>0</v>
      </c>
      <c r="AJ14" s="118">
        <f t="shared" si="20"/>
        <v>1</v>
      </c>
      <c r="AK14" s="119">
        <f t="shared" si="20"/>
        <v>0</v>
      </c>
      <c r="AL14" s="119">
        <f t="shared" si="20"/>
        <v>1</v>
      </c>
      <c r="AM14" s="119">
        <f t="shared" si="20"/>
        <v>0</v>
      </c>
      <c r="AN14" s="120">
        <f t="shared" si="20"/>
        <v>0</v>
      </c>
      <c r="AO14" s="94">
        <f t="shared" si="20"/>
        <v>0.28999999999999998</v>
      </c>
      <c r="AP14" s="94">
        <f t="shared" si="20"/>
        <v>0</v>
      </c>
      <c r="AQ14" s="94">
        <f t="shared" si="20"/>
        <v>0.28999999999999998</v>
      </c>
      <c r="AR14" s="94">
        <f t="shared" si="20"/>
        <v>0</v>
      </c>
      <c r="AS14" s="94">
        <f t="shared" si="20"/>
        <v>0</v>
      </c>
      <c r="AU14" s="152">
        <v>11</v>
      </c>
      <c r="AV14" s="153">
        <f t="shared" si="17"/>
        <v>0</v>
      </c>
      <c r="AW14" s="154">
        <f t="shared" si="18"/>
        <v>0</v>
      </c>
    </row>
    <row r="15" spans="2:49" s="8" customFormat="1" ht="13.5" customHeight="1" thickBot="1" x14ac:dyDescent="0.3">
      <c r="B15" s="15">
        <v>13</v>
      </c>
      <c r="D15" s="5"/>
      <c r="E15" s="383"/>
      <c r="F15" s="380"/>
      <c r="J15" s="9"/>
      <c r="K15" s="9">
        <f t="shared" si="0"/>
        <v>0</v>
      </c>
      <c r="L15" s="35">
        <f t="shared" si="1"/>
        <v>0</v>
      </c>
      <c r="M15" s="2"/>
      <c r="N15"/>
      <c r="O15" s="19"/>
      <c r="P15" s="19"/>
      <c r="Q15" s="19"/>
      <c r="R15" s="21"/>
      <c r="S15" s="46"/>
      <c r="T15" s="44"/>
      <c r="U15" s="76"/>
      <c r="V15" s="30"/>
      <c r="W15" s="24"/>
      <c r="X15" s="193"/>
      <c r="Y15" s="15"/>
      <c r="AA15">
        <v>3</v>
      </c>
      <c r="AB15" s="486">
        <v>3</v>
      </c>
      <c r="AC15" s="89">
        <v>1</v>
      </c>
      <c r="AD15" s="95" t="s">
        <v>83</v>
      </c>
      <c r="AE15" s="39">
        <f t="shared" si="2"/>
        <v>0</v>
      </c>
      <c r="AF15" s="65">
        <f t="shared" si="3"/>
        <v>0</v>
      </c>
      <c r="AG15" s="65">
        <f t="shared" si="4"/>
        <v>0</v>
      </c>
      <c r="AH15" s="65">
        <f t="shared" si="5"/>
        <v>0</v>
      </c>
      <c r="AI15" s="104">
        <f t="shared" si="6"/>
        <v>0</v>
      </c>
      <c r="AJ15" s="115">
        <f t="shared" si="7"/>
        <v>0</v>
      </c>
      <c r="AK15" s="116">
        <f t="shared" si="8"/>
        <v>0</v>
      </c>
      <c r="AL15" s="116">
        <f t="shared" si="9"/>
        <v>0</v>
      </c>
      <c r="AM15" s="116">
        <f t="shared" si="10"/>
        <v>0</v>
      </c>
      <c r="AN15" s="117">
        <f t="shared" si="11"/>
        <v>0</v>
      </c>
      <c r="AO15" s="39">
        <f t="shared" si="12"/>
        <v>0</v>
      </c>
      <c r="AP15" s="65">
        <f t="shared" si="13"/>
        <v>0</v>
      </c>
      <c r="AQ15" s="65">
        <f t="shared" si="14"/>
        <v>0</v>
      </c>
      <c r="AR15" s="65">
        <f t="shared" si="15"/>
        <v>0</v>
      </c>
      <c r="AS15" s="65">
        <f t="shared" si="16"/>
        <v>0</v>
      </c>
      <c r="AU15" s="155">
        <v>12</v>
      </c>
      <c r="AV15" s="153">
        <f t="shared" si="17"/>
        <v>0</v>
      </c>
      <c r="AW15" s="154">
        <f t="shared" si="18"/>
        <v>0</v>
      </c>
    </row>
    <row r="16" spans="2:49" s="8" customFormat="1" ht="13.5" customHeight="1" thickBot="1" x14ac:dyDescent="0.3">
      <c r="B16" s="15">
        <v>14</v>
      </c>
      <c r="D16" s="5"/>
      <c r="E16" s="383"/>
      <c r="F16" s="380"/>
      <c r="J16" s="9"/>
      <c r="K16" s="9">
        <f t="shared" si="0"/>
        <v>0</v>
      </c>
      <c r="L16" s="35">
        <f t="shared" si="1"/>
        <v>0</v>
      </c>
      <c r="M16" s="2"/>
      <c r="N16"/>
      <c r="O16" s="19"/>
      <c r="P16" s="19"/>
      <c r="Q16" s="19"/>
      <c r="R16" s="21"/>
      <c r="S16" s="46"/>
      <c r="T16" s="44"/>
      <c r="U16" s="76"/>
      <c r="V16" s="30"/>
      <c r="W16" s="24"/>
      <c r="X16" s="193"/>
      <c r="Y16" s="15"/>
      <c r="AA16">
        <v>3</v>
      </c>
      <c r="AB16" s="487"/>
      <c r="AC16" s="90">
        <v>2</v>
      </c>
      <c r="AD16" s="96" t="s">
        <v>58</v>
      </c>
      <c r="AE16" s="39">
        <f t="shared" si="2"/>
        <v>0</v>
      </c>
      <c r="AF16" s="65">
        <f t="shared" si="3"/>
        <v>0</v>
      </c>
      <c r="AG16" s="65">
        <f t="shared" si="4"/>
        <v>0</v>
      </c>
      <c r="AH16" s="65">
        <f t="shared" si="5"/>
        <v>0</v>
      </c>
      <c r="AI16" s="104">
        <f t="shared" si="6"/>
        <v>0</v>
      </c>
      <c r="AJ16" s="115">
        <f t="shared" si="7"/>
        <v>0</v>
      </c>
      <c r="AK16" s="116">
        <f t="shared" si="8"/>
        <v>0</v>
      </c>
      <c r="AL16" s="116">
        <f t="shared" si="9"/>
        <v>0</v>
      </c>
      <c r="AM16" s="116">
        <f t="shared" si="10"/>
        <v>0</v>
      </c>
      <c r="AN16" s="117">
        <f t="shared" si="11"/>
        <v>0</v>
      </c>
      <c r="AO16" s="39">
        <f t="shared" si="12"/>
        <v>0</v>
      </c>
      <c r="AP16" s="65">
        <f t="shared" si="13"/>
        <v>0</v>
      </c>
      <c r="AQ16" s="65">
        <f t="shared" si="14"/>
        <v>0</v>
      </c>
      <c r="AR16" s="65">
        <f t="shared" si="15"/>
        <v>0</v>
      </c>
      <c r="AS16" s="65">
        <f t="shared" si="16"/>
        <v>0</v>
      </c>
      <c r="AU16" s="156" t="s">
        <v>3</v>
      </c>
      <c r="AV16" s="157">
        <f>SUM(AV4:AV15)</f>
        <v>2</v>
      </c>
      <c r="AW16" s="157">
        <f>SUM(AW4:AW15)</f>
        <v>0</v>
      </c>
    </row>
    <row r="17" spans="2:49" s="8" customFormat="1" ht="13.5" customHeight="1" thickBot="1" x14ac:dyDescent="0.3">
      <c r="B17" s="15">
        <v>15</v>
      </c>
      <c r="D17" s="5"/>
      <c r="E17" s="383"/>
      <c r="F17" s="380"/>
      <c r="J17" s="9"/>
      <c r="K17" s="9">
        <f t="shared" si="0"/>
        <v>0</v>
      </c>
      <c r="L17" s="35">
        <f t="shared" si="1"/>
        <v>0</v>
      </c>
      <c r="M17" s="2"/>
      <c r="N17"/>
      <c r="O17" s="19"/>
      <c r="P17" s="19"/>
      <c r="Q17" s="19"/>
      <c r="R17" s="21"/>
      <c r="S17" s="46"/>
      <c r="T17" s="83"/>
      <c r="U17" s="76"/>
      <c r="V17" s="30"/>
      <c r="W17" s="24"/>
      <c r="X17" s="193"/>
      <c r="Y17" s="15"/>
      <c r="AA17">
        <v>3</v>
      </c>
      <c r="AB17" s="487"/>
      <c r="AC17" s="90">
        <v>3</v>
      </c>
      <c r="AD17" s="97" t="s">
        <v>59</v>
      </c>
      <c r="AE17" s="39">
        <f t="shared" si="2"/>
        <v>0</v>
      </c>
      <c r="AF17" s="65">
        <f t="shared" si="3"/>
        <v>0</v>
      </c>
      <c r="AG17" s="65">
        <f t="shared" si="4"/>
        <v>0</v>
      </c>
      <c r="AH17" s="65">
        <f t="shared" si="5"/>
        <v>0</v>
      </c>
      <c r="AI17" s="104">
        <f t="shared" si="6"/>
        <v>0</v>
      </c>
      <c r="AJ17" s="115">
        <f t="shared" si="7"/>
        <v>0</v>
      </c>
      <c r="AK17" s="116">
        <f t="shared" si="8"/>
        <v>0</v>
      </c>
      <c r="AL17" s="116">
        <f t="shared" si="9"/>
        <v>0</v>
      </c>
      <c r="AM17" s="116">
        <f t="shared" si="10"/>
        <v>0</v>
      </c>
      <c r="AN17" s="117">
        <f t="shared" si="11"/>
        <v>0</v>
      </c>
      <c r="AO17" s="39">
        <f t="shared" si="12"/>
        <v>0</v>
      </c>
      <c r="AP17" s="65">
        <f t="shared" si="13"/>
        <v>0</v>
      </c>
      <c r="AQ17" s="65">
        <f t="shared" si="14"/>
        <v>0</v>
      </c>
      <c r="AR17" s="65">
        <f t="shared" si="15"/>
        <v>0</v>
      </c>
      <c r="AS17" s="65">
        <f t="shared" si="16"/>
        <v>0</v>
      </c>
      <c r="AU17" s="156" t="s">
        <v>120</v>
      </c>
      <c r="AV17" s="158">
        <f>AV16/($AV$16+$AW$16)</f>
        <v>1</v>
      </c>
      <c r="AW17" s="159">
        <f>AW16/($AW$16+$AV$16)</f>
        <v>0</v>
      </c>
    </row>
    <row r="18" spans="2:49" s="8" customFormat="1" ht="13.5" customHeight="1" x14ac:dyDescent="0.25">
      <c r="B18" s="15">
        <v>16</v>
      </c>
      <c r="D18" s="5"/>
      <c r="E18" s="383"/>
      <c r="F18" s="380"/>
      <c r="J18" s="9"/>
      <c r="K18" s="9">
        <f t="shared" si="0"/>
        <v>0</v>
      </c>
      <c r="L18" s="35">
        <f t="shared" si="1"/>
        <v>0</v>
      </c>
      <c r="M18" s="2"/>
      <c r="N18"/>
      <c r="O18" s="19"/>
      <c r="P18" s="19"/>
      <c r="Q18" s="19"/>
      <c r="R18" s="21"/>
      <c r="S18" s="46"/>
      <c r="T18" s="44"/>
      <c r="U18" s="76"/>
      <c r="V18" s="24"/>
      <c r="W18" s="24"/>
      <c r="X18" s="193"/>
      <c r="Y18" s="15"/>
      <c r="AA18">
        <v>3</v>
      </c>
      <c r="AB18" s="487"/>
      <c r="AC18" s="90">
        <v>4</v>
      </c>
      <c r="AD18" s="97" t="s">
        <v>60</v>
      </c>
      <c r="AE18" s="39">
        <f t="shared" si="2"/>
        <v>0</v>
      </c>
      <c r="AF18" s="65">
        <f t="shared" si="3"/>
        <v>0</v>
      </c>
      <c r="AG18" s="65">
        <f t="shared" si="4"/>
        <v>0</v>
      </c>
      <c r="AH18" s="65">
        <f t="shared" si="5"/>
        <v>0</v>
      </c>
      <c r="AI18" s="104">
        <f t="shared" si="6"/>
        <v>0</v>
      </c>
      <c r="AJ18" s="115">
        <f t="shared" si="7"/>
        <v>0</v>
      </c>
      <c r="AK18" s="116">
        <f t="shared" si="8"/>
        <v>0</v>
      </c>
      <c r="AL18" s="116">
        <f t="shared" si="9"/>
        <v>0</v>
      </c>
      <c r="AM18" s="116">
        <f t="shared" si="10"/>
        <v>0</v>
      </c>
      <c r="AN18" s="117">
        <f t="shared" si="11"/>
        <v>0</v>
      </c>
      <c r="AO18" s="39">
        <f t="shared" si="12"/>
        <v>0</v>
      </c>
      <c r="AP18" s="65">
        <f t="shared" si="13"/>
        <v>0</v>
      </c>
      <c r="AQ18" s="65">
        <f t="shared" si="14"/>
        <v>0</v>
      </c>
      <c r="AR18" s="65">
        <f t="shared" si="15"/>
        <v>0</v>
      </c>
      <c r="AS18" s="65">
        <f t="shared" si="16"/>
        <v>0</v>
      </c>
    </row>
    <row r="19" spans="2:49" s="8" customFormat="1" ht="13.5" customHeight="1" x14ac:dyDescent="0.25">
      <c r="B19" s="15">
        <v>17</v>
      </c>
      <c r="D19" s="5"/>
      <c r="E19" s="383"/>
      <c r="F19" s="380"/>
      <c r="J19" s="9"/>
      <c r="K19" s="9">
        <f t="shared" si="0"/>
        <v>0</v>
      </c>
      <c r="L19" s="35">
        <f t="shared" si="1"/>
        <v>0</v>
      </c>
      <c r="M19" s="2"/>
      <c r="N19"/>
      <c r="O19" s="19"/>
      <c r="P19" s="19"/>
      <c r="Q19" s="19"/>
      <c r="R19" s="21"/>
      <c r="S19" s="46"/>
      <c r="T19" s="44"/>
      <c r="U19" s="76"/>
      <c r="V19" s="24"/>
      <c r="W19" s="24"/>
      <c r="X19" s="193"/>
      <c r="Y19" s="15"/>
      <c r="AA19">
        <v>3</v>
      </c>
      <c r="AB19" s="487"/>
      <c r="AC19" s="91">
        <v>5</v>
      </c>
      <c r="AD19" s="97"/>
      <c r="AE19" s="39">
        <f t="shared" si="2"/>
        <v>0</v>
      </c>
      <c r="AF19" s="65">
        <f t="shared" si="3"/>
        <v>0</v>
      </c>
      <c r="AG19" s="65">
        <f t="shared" si="4"/>
        <v>0</v>
      </c>
      <c r="AH19" s="65">
        <f t="shared" si="5"/>
        <v>0</v>
      </c>
      <c r="AI19" s="104">
        <f t="shared" si="6"/>
        <v>0</v>
      </c>
      <c r="AJ19" s="115">
        <f t="shared" si="7"/>
        <v>0</v>
      </c>
      <c r="AK19" s="116">
        <f t="shared" si="8"/>
        <v>0</v>
      </c>
      <c r="AL19" s="116">
        <f t="shared" si="9"/>
        <v>0</v>
      </c>
      <c r="AM19" s="116">
        <f t="shared" si="10"/>
        <v>0</v>
      </c>
      <c r="AN19" s="117">
        <f t="shared" si="11"/>
        <v>0</v>
      </c>
      <c r="AO19" s="39">
        <f t="shared" si="12"/>
        <v>0</v>
      </c>
      <c r="AP19" s="65">
        <f t="shared" si="13"/>
        <v>0</v>
      </c>
      <c r="AQ19" s="65">
        <f t="shared" si="14"/>
        <v>0</v>
      </c>
      <c r="AR19" s="65">
        <f t="shared" si="15"/>
        <v>0</v>
      </c>
      <c r="AS19" s="65">
        <f t="shared" si="16"/>
        <v>0</v>
      </c>
    </row>
    <row r="20" spans="2:49" s="8" customFormat="1" ht="13.5" customHeight="1" thickBot="1" x14ac:dyDescent="0.3">
      <c r="B20" s="15">
        <v>18</v>
      </c>
      <c r="D20" s="5"/>
      <c r="E20" s="383"/>
      <c r="F20" s="380"/>
      <c r="J20" s="9"/>
      <c r="K20" s="9">
        <f t="shared" si="0"/>
        <v>0</v>
      </c>
      <c r="L20" s="35">
        <f t="shared" si="1"/>
        <v>0</v>
      </c>
      <c r="M20" s="2"/>
      <c r="N20"/>
      <c r="O20" s="19"/>
      <c r="P20" s="19"/>
      <c r="Q20" s="19"/>
      <c r="R20" s="21"/>
      <c r="S20" s="46"/>
      <c r="T20" s="44"/>
      <c r="U20" s="76"/>
      <c r="V20" s="24"/>
      <c r="W20" s="24"/>
      <c r="X20" s="193"/>
      <c r="Y20" s="15"/>
      <c r="AA20">
        <v>3</v>
      </c>
      <c r="AB20" s="488"/>
      <c r="AC20" s="92" t="s">
        <v>3</v>
      </c>
      <c r="AD20" s="98"/>
      <c r="AE20" s="94">
        <f t="shared" ref="AE20:AS20" si="21">SUM(AE15:AE19)</f>
        <v>0</v>
      </c>
      <c r="AF20" s="94">
        <f t="shared" si="21"/>
        <v>0</v>
      </c>
      <c r="AG20" s="94">
        <f t="shared" si="21"/>
        <v>0</v>
      </c>
      <c r="AH20" s="94">
        <f t="shared" si="21"/>
        <v>0</v>
      </c>
      <c r="AI20" s="105">
        <f t="shared" si="21"/>
        <v>0</v>
      </c>
      <c r="AJ20" s="118">
        <f t="shared" si="21"/>
        <v>0</v>
      </c>
      <c r="AK20" s="119">
        <f t="shared" si="21"/>
        <v>0</v>
      </c>
      <c r="AL20" s="119">
        <f t="shared" si="21"/>
        <v>0</v>
      </c>
      <c r="AM20" s="119">
        <f t="shared" si="21"/>
        <v>0</v>
      </c>
      <c r="AN20" s="120">
        <f t="shared" si="21"/>
        <v>0</v>
      </c>
      <c r="AO20" s="94">
        <f t="shared" si="21"/>
        <v>0</v>
      </c>
      <c r="AP20" s="94">
        <f t="shared" si="21"/>
        <v>0</v>
      </c>
      <c r="AQ20" s="94">
        <f t="shared" si="21"/>
        <v>0</v>
      </c>
      <c r="AR20" s="94">
        <f t="shared" si="21"/>
        <v>0</v>
      </c>
      <c r="AS20" s="94">
        <f t="shared" si="21"/>
        <v>0</v>
      </c>
    </row>
    <row r="21" spans="2:49" s="8" customFormat="1" ht="13.5" customHeight="1" x14ac:dyDescent="0.25">
      <c r="B21" s="15">
        <v>19</v>
      </c>
      <c r="D21" s="5"/>
      <c r="E21" s="383"/>
      <c r="F21" s="380"/>
      <c r="J21" s="9"/>
      <c r="K21" s="9">
        <f t="shared" si="0"/>
        <v>0</v>
      </c>
      <c r="L21" s="35">
        <f t="shared" si="1"/>
        <v>0</v>
      </c>
      <c r="M21" s="2"/>
      <c r="N21"/>
      <c r="O21" s="19"/>
      <c r="P21" s="19"/>
      <c r="Q21" s="19"/>
      <c r="R21" s="21"/>
      <c r="S21" s="46"/>
      <c r="T21" s="44"/>
      <c r="U21" s="76"/>
      <c r="V21" s="24"/>
      <c r="W21" s="24"/>
      <c r="X21" s="193"/>
      <c r="Y21" s="15"/>
      <c r="AA21">
        <v>4</v>
      </c>
      <c r="AB21" s="486">
        <v>4</v>
      </c>
      <c r="AC21" s="89">
        <v>1</v>
      </c>
      <c r="AD21" s="95" t="s">
        <v>84</v>
      </c>
      <c r="AE21" s="39">
        <f t="shared" si="2"/>
        <v>0</v>
      </c>
      <c r="AF21" s="65">
        <f t="shared" si="3"/>
        <v>0</v>
      </c>
      <c r="AG21" s="65">
        <f t="shared" si="4"/>
        <v>0</v>
      </c>
      <c r="AH21" s="65">
        <f t="shared" si="5"/>
        <v>0</v>
      </c>
      <c r="AI21" s="104">
        <f t="shared" si="6"/>
        <v>0</v>
      </c>
      <c r="AJ21" s="115">
        <f t="shared" si="7"/>
        <v>0</v>
      </c>
      <c r="AK21" s="116">
        <f t="shared" si="8"/>
        <v>0</v>
      </c>
      <c r="AL21" s="116">
        <f t="shared" si="9"/>
        <v>0</v>
      </c>
      <c r="AM21" s="116">
        <f t="shared" si="10"/>
        <v>0</v>
      </c>
      <c r="AN21" s="117">
        <f t="shared" si="11"/>
        <v>0</v>
      </c>
      <c r="AO21" s="39">
        <f t="shared" si="12"/>
        <v>0</v>
      </c>
      <c r="AP21" s="65">
        <f t="shared" si="13"/>
        <v>0</v>
      </c>
      <c r="AQ21" s="65">
        <f t="shared" si="14"/>
        <v>0</v>
      </c>
      <c r="AR21" s="65">
        <f t="shared" si="15"/>
        <v>0</v>
      </c>
      <c r="AS21" s="65">
        <f t="shared" si="16"/>
        <v>0</v>
      </c>
    </row>
    <row r="22" spans="2:49" s="8" customFormat="1" ht="13.5" customHeight="1" x14ac:dyDescent="0.25">
      <c r="B22" s="15">
        <v>20</v>
      </c>
      <c r="D22" s="5"/>
      <c r="E22" s="383"/>
      <c r="F22" s="380"/>
      <c r="J22" s="9"/>
      <c r="K22" s="9">
        <f t="shared" si="0"/>
        <v>0</v>
      </c>
      <c r="L22" s="35">
        <f t="shared" si="1"/>
        <v>0</v>
      </c>
      <c r="M22" s="2"/>
      <c r="N22"/>
      <c r="O22" s="19"/>
      <c r="P22" s="19"/>
      <c r="Q22" s="19"/>
      <c r="R22" s="21"/>
      <c r="S22" s="46"/>
      <c r="T22" s="44"/>
      <c r="U22" s="76"/>
      <c r="V22" s="24"/>
      <c r="W22" s="24"/>
      <c r="X22" s="193"/>
      <c r="Y22" s="15"/>
      <c r="AA22">
        <v>4</v>
      </c>
      <c r="AB22" s="487"/>
      <c r="AC22" s="90">
        <v>2</v>
      </c>
      <c r="AD22" s="97" t="s">
        <v>61</v>
      </c>
      <c r="AE22" s="39">
        <f t="shared" si="2"/>
        <v>0</v>
      </c>
      <c r="AF22" s="65">
        <f t="shared" si="3"/>
        <v>0</v>
      </c>
      <c r="AG22" s="65">
        <f t="shared" si="4"/>
        <v>0</v>
      </c>
      <c r="AH22" s="65">
        <f t="shared" si="5"/>
        <v>0</v>
      </c>
      <c r="AI22" s="104">
        <f t="shared" si="6"/>
        <v>0</v>
      </c>
      <c r="AJ22" s="115">
        <f t="shared" si="7"/>
        <v>0</v>
      </c>
      <c r="AK22" s="116">
        <f t="shared" si="8"/>
        <v>0</v>
      </c>
      <c r="AL22" s="116">
        <f t="shared" si="9"/>
        <v>0</v>
      </c>
      <c r="AM22" s="116">
        <f t="shared" si="10"/>
        <v>0</v>
      </c>
      <c r="AN22" s="117">
        <f t="shared" si="11"/>
        <v>0</v>
      </c>
      <c r="AO22" s="39">
        <f t="shared" si="12"/>
        <v>0</v>
      </c>
      <c r="AP22" s="65">
        <f t="shared" si="13"/>
        <v>0</v>
      </c>
      <c r="AQ22" s="65">
        <f t="shared" si="14"/>
        <v>0</v>
      </c>
      <c r="AR22" s="65">
        <f t="shared" si="15"/>
        <v>0</v>
      </c>
      <c r="AS22" s="65">
        <f t="shared" si="16"/>
        <v>0</v>
      </c>
    </row>
    <row r="23" spans="2:49" s="8" customFormat="1" ht="13.5" customHeight="1" x14ac:dyDescent="0.25">
      <c r="B23" s="15">
        <v>21</v>
      </c>
      <c r="D23" s="5"/>
      <c r="E23" s="383"/>
      <c r="F23" s="380"/>
      <c r="J23" s="9"/>
      <c r="K23" s="9">
        <f t="shared" si="0"/>
        <v>0</v>
      </c>
      <c r="L23" s="35">
        <f t="shared" si="1"/>
        <v>0</v>
      </c>
      <c r="M23" s="2"/>
      <c r="N23" s="2"/>
      <c r="O23" s="19"/>
      <c r="P23" s="19"/>
      <c r="Q23" s="19"/>
      <c r="R23" s="21"/>
      <c r="S23" s="46"/>
      <c r="T23" s="44"/>
      <c r="U23" s="76"/>
      <c r="V23" s="24"/>
      <c r="W23" s="24"/>
      <c r="X23" s="193"/>
      <c r="Y23" s="15"/>
      <c r="AA23">
        <v>4</v>
      </c>
      <c r="AB23" s="487"/>
      <c r="AC23" s="90">
        <v>3</v>
      </c>
      <c r="AD23" s="97" t="s">
        <v>62</v>
      </c>
      <c r="AE23" s="39">
        <f t="shared" si="2"/>
        <v>0</v>
      </c>
      <c r="AF23" s="65">
        <f t="shared" si="3"/>
        <v>0</v>
      </c>
      <c r="AG23" s="65">
        <f t="shared" si="4"/>
        <v>0</v>
      </c>
      <c r="AH23" s="65">
        <f t="shared" si="5"/>
        <v>0</v>
      </c>
      <c r="AI23" s="104">
        <f t="shared" si="6"/>
        <v>0</v>
      </c>
      <c r="AJ23" s="115">
        <f t="shared" si="7"/>
        <v>0</v>
      </c>
      <c r="AK23" s="116">
        <f t="shared" si="8"/>
        <v>0</v>
      </c>
      <c r="AL23" s="116">
        <f t="shared" si="9"/>
        <v>0</v>
      </c>
      <c r="AM23" s="116">
        <f t="shared" si="10"/>
        <v>0</v>
      </c>
      <c r="AN23" s="117">
        <f t="shared" si="11"/>
        <v>0</v>
      </c>
      <c r="AO23" s="39">
        <f t="shared" si="12"/>
        <v>0</v>
      </c>
      <c r="AP23" s="65">
        <f t="shared" si="13"/>
        <v>0</v>
      </c>
      <c r="AQ23" s="65">
        <f t="shared" si="14"/>
        <v>0</v>
      </c>
      <c r="AR23" s="65">
        <f t="shared" si="15"/>
        <v>0</v>
      </c>
      <c r="AS23" s="65">
        <f t="shared" si="16"/>
        <v>0</v>
      </c>
    </row>
    <row r="24" spans="2:49" s="8" customFormat="1" ht="13.5" customHeight="1" x14ac:dyDescent="0.25">
      <c r="B24" s="15">
        <v>22</v>
      </c>
      <c r="D24" s="5"/>
      <c r="E24" s="383"/>
      <c r="F24" s="380"/>
      <c r="J24" s="9"/>
      <c r="K24" s="9">
        <f t="shared" si="0"/>
        <v>0</v>
      </c>
      <c r="L24" s="35">
        <f t="shared" si="1"/>
        <v>0</v>
      </c>
      <c r="M24" s="2"/>
      <c r="N24" s="2"/>
      <c r="O24" s="19"/>
      <c r="P24" s="19"/>
      <c r="Q24" s="19"/>
      <c r="R24" s="21"/>
      <c r="S24" s="46"/>
      <c r="T24" s="44"/>
      <c r="U24" s="76"/>
      <c r="V24" s="24"/>
      <c r="W24" s="24"/>
      <c r="X24" s="193"/>
      <c r="Y24" s="15"/>
      <c r="AA24">
        <v>4</v>
      </c>
      <c r="AB24" s="487"/>
      <c r="AC24" s="90">
        <v>4</v>
      </c>
      <c r="AD24" s="97" t="s">
        <v>63</v>
      </c>
      <c r="AE24" s="39">
        <f t="shared" si="2"/>
        <v>0</v>
      </c>
      <c r="AF24" s="65">
        <f t="shared" si="3"/>
        <v>0</v>
      </c>
      <c r="AG24" s="65">
        <f t="shared" si="4"/>
        <v>0</v>
      </c>
      <c r="AH24" s="65">
        <f t="shared" si="5"/>
        <v>0</v>
      </c>
      <c r="AI24" s="104">
        <f t="shared" si="6"/>
        <v>0</v>
      </c>
      <c r="AJ24" s="115">
        <f t="shared" si="7"/>
        <v>0</v>
      </c>
      <c r="AK24" s="116">
        <f t="shared" si="8"/>
        <v>0</v>
      </c>
      <c r="AL24" s="116">
        <f t="shared" si="9"/>
        <v>0</v>
      </c>
      <c r="AM24" s="116">
        <f t="shared" si="10"/>
        <v>0</v>
      </c>
      <c r="AN24" s="117">
        <f t="shared" si="11"/>
        <v>0</v>
      </c>
      <c r="AO24" s="39">
        <f t="shared" si="12"/>
        <v>0</v>
      </c>
      <c r="AP24" s="65">
        <f t="shared" si="13"/>
        <v>0</v>
      </c>
      <c r="AQ24" s="65">
        <f t="shared" si="14"/>
        <v>0</v>
      </c>
      <c r="AR24" s="65">
        <f t="shared" si="15"/>
        <v>0</v>
      </c>
      <c r="AS24" s="65">
        <f t="shared" si="16"/>
        <v>0</v>
      </c>
      <c r="AU24" s="194" t="s">
        <v>149</v>
      </c>
      <c r="AV24" s="194" t="s">
        <v>150</v>
      </c>
      <c r="AW24" s="194" t="s">
        <v>120</v>
      </c>
    </row>
    <row r="25" spans="2:49" s="8" customFormat="1" ht="13.5" customHeight="1" x14ac:dyDescent="0.25">
      <c r="B25" s="15">
        <v>23</v>
      </c>
      <c r="D25" s="5"/>
      <c r="E25" s="383"/>
      <c r="F25" s="380"/>
      <c r="J25" s="9"/>
      <c r="K25" s="9">
        <f t="shared" si="0"/>
        <v>0</v>
      </c>
      <c r="L25" s="35">
        <f t="shared" si="1"/>
        <v>0</v>
      </c>
      <c r="M25" s="2"/>
      <c r="N25"/>
      <c r="O25" s="19"/>
      <c r="P25" s="19"/>
      <c r="Q25" s="19"/>
      <c r="R25" s="21"/>
      <c r="S25" s="46"/>
      <c r="T25" s="44"/>
      <c r="U25" s="76"/>
      <c r="V25" s="24"/>
      <c r="W25" s="24"/>
      <c r="X25" s="193"/>
      <c r="Y25" s="15"/>
      <c r="AA25">
        <v>4</v>
      </c>
      <c r="AB25" s="487"/>
      <c r="AC25" s="91">
        <v>5</v>
      </c>
      <c r="AD25" s="97" t="s">
        <v>85</v>
      </c>
      <c r="AE25" s="39">
        <f t="shared" si="2"/>
        <v>0</v>
      </c>
      <c r="AF25" s="65">
        <f t="shared" si="3"/>
        <v>0</v>
      </c>
      <c r="AG25" s="65">
        <f t="shared" si="4"/>
        <v>0</v>
      </c>
      <c r="AH25" s="65">
        <f t="shared" si="5"/>
        <v>0</v>
      </c>
      <c r="AI25" s="104">
        <f t="shared" si="6"/>
        <v>0</v>
      </c>
      <c r="AJ25" s="115">
        <f t="shared" si="7"/>
        <v>0</v>
      </c>
      <c r="AK25" s="116">
        <f t="shared" si="8"/>
        <v>0</v>
      </c>
      <c r="AL25" s="116">
        <f t="shared" si="9"/>
        <v>0</v>
      </c>
      <c r="AM25" s="116">
        <f t="shared" si="10"/>
        <v>0</v>
      </c>
      <c r="AN25" s="117">
        <f t="shared" si="11"/>
        <v>0</v>
      </c>
      <c r="AO25" s="39">
        <f t="shared" si="12"/>
        <v>0</v>
      </c>
      <c r="AP25" s="65">
        <f t="shared" si="13"/>
        <v>0</v>
      </c>
      <c r="AQ25" s="65">
        <f t="shared" si="14"/>
        <v>0</v>
      </c>
      <c r="AR25" s="65">
        <f t="shared" si="15"/>
        <v>0</v>
      </c>
      <c r="AS25" s="65">
        <f t="shared" si="16"/>
        <v>0</v>
      </c>
      <c r="AU25" s="195" t="s">
        <v>160</v>
      </c>
      <c r="AV25" s="195">
        <f>COUNTIF($X:$X, AU25)</f>
        <v>0</v>
      </c>
      <c r="AW25" s="196">
        <f>AV25/$AV$33</f>
        <v>0</v>
      </c>
    </row>
    <row r="26" spans="2:49" s="8" customFormat="1" ht="13.5" customHeight="1" thickBot="1" x14ac:dyDescent="0.3">
      <c r="B26" s="15">
        <v>24</v>
      </c>
      <c r="D26" s="5"/>
      <c r="E26" s="383"/>
      <c r="F26" s="380"/>
      <c r="J26" s="9"/>
      <c r="K26" s="9">
        <f t="shared" si="0"/>
        <v>0</v>
      </c>
      <c r="L26" s="35">
        <f t="shared" si="1"/>
        <v>0</v>
      </c>
      <c r="M26" s="2"/>
      <c r="N26"/>
      <c r="O26" s="19"/>
      <c r="P26" s="19"/>
      <c r="Q26" s="19"/>
      <c r="R26" s="21"/>
      <c r="S26" s="46"/>
      <c r="T26" s="44"/>
      <c r="U26" s="76"/>
      <c r="V26" s="24"/>
      <c r="W26" s="24"/>
      <c r="X26" s="193"/>
      <c r="Y26" s="15"/>
      <c r="AA26">
        <v>4</v>
      </c>
      <c r="AB26" s="488"/>
      <c r="AC26" s="92" t="s">
        <v>3</v>
      </c>
      <c r="AD26" s="98"/>
      <c r="AE26" s="94">
        <f t="shared" ref="AE26:AS26" si="22">SUM(AE21:AE25)</f>
        <v>0</v>
      </c>
      <c r="AF26" s="94">
        <f t="shared" si="22"/>
        <v>0</v>
      </c>
      <c r="AG26" s="94">
        <f t="shared" si="22"/>
        <v>0</v>
      </c>
      <c r="AH26" s="94">
        <f t="shared" si="22"/>
        <v>0</v>
      </c>
      <c r="AI26" s="105">
        <f t="shared" si="22"/>
        <v>0</v>
      </c>
      <c r="AJ26" s="118">
        <f t="shared" si="22"/>
        <v>0</v>
      </c>
      <c r="AK26" s="119">
        <f t="shared" si="22"/>
        <v>0</v>
      </c>
      <c r="AL26" s="119">
        <f t="shared" si="22"/>
        <v>0</v>
      </c>
      <c r="AM26" s="119">
        <f t="shared" si="22"/>
        <v>0</v>
      </c>
      <c r="AN26" s="120">
        <f t="shared" si="22"/>
        <v>0</v>
      </c>
      <c r="AO26" s="94">
        <f t="shared" si="22"/>
        <v>0</v>
      </c>
      <c r="AP26" s="94">
        <f t="shared" si="22"/>
        <v>0</v>
      </c>
      <c r="AQ26" s="94">
        <f t="shared" si="22"/>
        <v>0</v>
      </c>
      <c r="AR26" s="94">
        <f t="shared" si="22"/>
        <v>0</v>
      </c>
      <c r="AS26" s="94">
        <f t="shared" si="22"/>
        <v>0</v>
      </c>
      <c r="AU26" s="195" t="s">
        <v>152</v>
      </c>
      <c r="AV26" s="195">
        <f t="shared" ref="AV26:AV32" si="23">COUNTIF($X:$X, AU26)</f>
        <v>0</v>
      </c>
      <c r="AW26" s="196">
        <f t="shared" ref="AW26:AW33" si="24">AV26/$AV$33</f>
        <v>0</v>
      </c>
    </row>
    <row r="27" spans="2:49" s="8" customFormat="1" ht="13.5" customHeight="1" x14ac:dyDescent="0.25">
      <c r="B27" s="15">
        <v>25</v>
      </c>
      <c r="D27" s="5"/>
      <c r="E27" s="383"/>
      <c r="F27" s="380"/>
      <c r="J27" s="9"/>
      <c r="K27" s="9">
        <f t="shared" si="0"/>
        <v>0</v>
      </c>
      <c r="L27" s="35">
        <f t="shared" si="1"/>
        <v>0</v>
      </c>
      <c r="M27" s="2"/>
      <c r="N27"/>
      <c r="O27" s="19"/>
      <c r="P27" s="19"/>
      <c r="Q27" s="19"/>
      <c r="R27" s="21"/>
      <c r="S27" s="46"/>
      <c r="T27" s="44"/>
      <c r="U27" s="76"/>
      <c r="V27" s="24"/>
      <c r="W27" s="24"/>
      <c r="X27" s="193"/>
      <c r="Y27" s="15"/>
      <c r="AA27">
        <v>5</v>
      </c>
      <c r="AB27" s="486">
        <v>5</v>
      </c>
      <c r="AC27" s="89">
        <v>1</v>
      </c>
      <c r="AD27" s="95" t="s">
        <v>86</v>
      </c>
      <c r="AE27" s="39">
        <f t="shared" si="2"/>
        <v>0</v>
      </c>
      <c r="AF27" s="65">
        <f t="shared" si="3"/>
        <v>0</v>
      </c>
      <c r="AG27" s="65">
        <f t="shared" si="4"/>
        <v>0</v>
      </c>
      <c r="AH27" s="65">
        <f t="shared" si="5"/>
        <v>0</v>
      </c>
      <c r="AI27" s="104">
        <f t="shared" si="6"/>
        <v>0</v>
      </c>
      <c r="AJ27" s="115">
        <f t="shared" si="7"/>
        <v>0</v>
      </c>
      <c r="AK27" s="116">
        <f t="shared" si="8"/>
        <v>0</v>
      </c>
      <c r="AL27" s="116">
        <f t="shared" si="9"/>
        <v>0</v>
      </c>
      <c r="AM27" s="116">
        <f t="shared" si="10"/>
        <v>0</v>
      </c>
      <c r="AN27" s="117">
        <f t="shared" si="11"/>
        <v>0</v>
      </c>
      <c r="AO27" s="39">
        <f t="shared" si="12"/>
        <v>0</v>
      </c>
      <c r="AP27" s="65">
        <f t="shared" si="13"/>
        <v>0</v>
      </c>
      <c r="AQ27" s="65">
        <f t="shared" si="14"/>
        <v>0</v>
      </c>
      <c r="AR27" s="65">
        <f t="shared" si="15"/>
        <v>0</v>
      </c>
      <c r="AS27" s="65">
        <f t="shared" si="16"/>
        <v>0</v>
      </c>
      <c r="AU27" s="195" t="s">
        <v>153</v>
      </c>
      <c r="AV27" s="195">
        <f t="shared" si="23"/>
        <v>0</v>
      </c>
      <c r="AW27" s="196">
        <f t="shared" si="24"/>
        <v>0</v>
      </c>
    </row>
    <row r="28" spans="2:49" s="8" customFormat="1" ht="13.5" customHeight="1" x14ac:dyDescent="0.25">
      <c r="B28" s="15">
        <v>26</v>
      </c>
      <c r="D28" s="5"/>
      <c r="E28" s="383"/>
      <c r="F28" s="380"/>
      <c r="J28" s="9"/>
      <c r="K28" s="9">
        <f t="shared" si="0"/>
        <v>0</v>
      </c>
      <c r="L28" s="35">
        <f t="shared" si="1"/>
        <v>0</v>
      </c>
      <c r="M28" s="2"/>
      <c r="N28"/>
      <c r="O28" s="19"/>
      <c r="P28" s="19"/>
      <c r="Q28" s="19"/>
      <c r="R28" s="21"/>
      <c r="S28" s="46"/>
      <c r="T28" s="44"/>
      <c r="U28" s="76"/>
      <c r="V28" s="24"/>
      <c r="W28" s="24"/>
      <c r="X28" s="193"/>
      <c r="Y28" s="15"/>
      <c r="AA28">
        <v>5</v>
      </c>
      <c r="AB28" s="487"/>
      <c r="AC28" s="90">
        <v>2</v>
      </c>
      <c r="AD28" s="97" t="s">
        <v>87</v>
      </c>
      <c r="AE28" s="39">
        <f t="shared" si="2"/>
        <v>0</v>
      </c>
      <c r="AF28" s="65">
        <f t="shared" si="3"/>
        <v>0</v>
      </c>
      <c r="AG28" s="65">
        <f t="shared" si="4"/>
        <v>0</v>
      </c>
      <c r="AH28" s="65">
        <f t="shared" si="5"/>
        <v>0</v>
      </c>
      <c r="AI28" s="104">
        <f t="shared" si="6"/>
        <v>0</v>
      </c>
      <c r="AJ28" s="115">
        <f t="shared" si="7"/>
        <v>0</v>
      </c>
      <c r="AK28" s="116">
        <f t="shared" si="8"/>
        <v>0</v>
      </c>
      <c r="AL28" s="116">
        <f t="shared" si="9"/>
        <v>0</v>
      </c>
      <c r="AM28" s="116">
        <f t="shared" si="10"/>
        <v>0</v>
      </c>
      <c r="AN28" s="117">
        <f t="shared" si="11"/>
        <v>0</v>
      </c>
      <c r="AO28" s="39">
        <f t="shared" si="12"/>
        <v>0</v>
      </c>
      <c r="AP28" s="65">
        <f t="shared" si="13"/>
        <v>0</v>
      </c>
      <c r="AQ28" s="65">
        <f t="shared" si="14"/>
        <v>0</v>
      </c>
      <c r="AR28" s="65">
        <f t="shared" si="15"/>
        <v>0</v>
      </c>
      <c r="AS28" s="65">
        <f t="shared" si="16"/>
        <v>0</v>
      </c>
      <c r="AU28" s="195" t="s">
        <v>154</v>
      </c>
      <c r="AV28" s="195">
        <f t="shared" si="23"/>
        <v>0</v>
      </c>
      <c r="AW28" s="196">
        <f t="shared" si="24"/>
        <v>0</v>
      </c>
    </row>
    <row r="29" spans="2:49" s="8" customFormat="1" ht="13.5" customHeight="1" x14ac:dyDescent="0.25">
      <c r="B29" s="15">
        <v>27</v>
      </c>
      <c r="D29" s="5"/>
      <c r="E29" s="383"/>
      <c r="F29" s="380"/>
      <c r="J29" s="9"/>
      <c r="K29" s="9">
        <f t="shared" si="0"/>
        <v>0</v>
      </c>
      <c r="L29" s="35">
        <f t="shared" si="1"/>
        <v>0</v>
      </c>
      <c r="M29" s="2"/>
      <c r="N29"/>
      <c r="O29" s="19"/>
      <c r="P29" s="19"/>
      <c r="Q29" s="19"/>
      <c r="R29" s="21"/>
      <c r="S29" s="46"/>
      <c r="T29" s="44"/>
      <c r="U29" s="76"/>
      <c r="V29" s="24"/>
      <c r="W29" s="24"/>
      <c r="X29" s="193"/>
      <c r="Y29" s="15"/>
      <c r="AA29">
        <v>5</v>
      </c>
      <c r="AB29" s="487"/>
      <c r="AC29" s="90">
        <v>3</v>
      </c>
      <c r="AD29" s="97" t="s">
        <v>88</v>
      </c>
      <c r="AE29" s="39">
        <f t="shared" si="2"/>
        <v>0</v>
      </c>
      <c r="AF29" s="65">
        <f t="shared" si="3"/>
        <v>0</v>
      </c>
      <c r="AG29" s="65">
        <f t="shared" si="4"/>
        <v>0</v>
      </c>
      <c r="AH29" s="65">
        <f t="shared" si="5"/>
        <v>0</v>
      </c>
      <c r="AI29" s="104">
        <f t="shared" si="6"/>
        <v>0</v>
      </c>
      <c r="AJ29" s="115">
        <f t="shared" si="7"/>
        <v>0</v>
      </c>
      <c r="AK29" s="116">
        <f t="shared" si="8"/>
        <v>0</v>
      </c>
      <c r="AL29" s="116">
        <f t="shared" si="9"/>
        <v>0</v>
      </c>
      <c r="AM29" s="116">
        <f t="shared" si="10"/>
        <v>0</v>
      </c>
      <c r="AN29" s="117">
        <f t="shared" si="11"/>
        <v>0</v>
      </c>
      <c r="AO29" s="39">
        <f t="shared" si="12"/>
        <v>0</v>
      </c>
      <c r="AP29" s="65">
        <f t="shared" si="13"/>
        <v>0</v>
      </c>
      <c r="AQ29" s="65">
        <f t="shared" si="14"/>
        <v>0</v>
      </c>
      <c r="AR29" s="65">
        <f t="shared" si="15"/>
        <v>0</v>
      </c>
      <c r="AS29" s="65">
        <f t="shared" si="16"/>
        <v>0</v>
      </c>
      <c r="AU29" s="195" t="s">
        <v>155</v>
      </c>
      <c r="AV29" s="195">
        <f t="shared" si="23"/>
        <v>2</v>
      </c>
      <c r="AW29" s="196">
        <f t="shared" si="24"/>
        <v>1</v>
      </c>
    </row>
    <row r="30" spans="2:49" s="8" customFormat="1" ht="13.5" customHeight="1" x14ac:dyDescent="0.25">
      <c r="B30" s="15">
        <v>28</v>
      </c>
      <c r="D30" s="5"/>
      <c r="E30" s="383"/>
      <c r="F30" s="380"/>
      <c r="J30" s="9"/>
      <c r="K30" s="9">
        <f t="shared" si="0"/>
        <v>0</v>
      </c>
      <c r="L30" s="35">
        <f t="shared" si="1"/>
        <v>0</v>
      </c>
      <c r="M30" s="2"/>
      <c r="N30"/>
      <c r="O30" s="19"/>
      <c r="P30" s="19"/>
      <c r="Q30" s="19"/>
      <c r="R30" s="21"/>
      <c r="S30" s="46"/>
      <c r="T30" s="44"/>
      <c r="U30" s="76"/>
      <c r="V30" s="24"/>
      <c r="W30" s="24"/>
      <c r="X30" s="193"/>
      <c r="Y30" s="15"/>
      <c r="AA30">
        <v>5</v>
      </c>
      <c r="AB30" s="487"/>
      <c r="AC30" s="90">
        <v>4</v>
      </c>
      <c r="AD30" s="97" t="s">
        <v>89</v>
      </c>
      <c r="AE30" s="39">
        <f t="shared" si="2"/>
        <v>0</v>
      </c>
      <c r="AF30" s="65">
        <f t="shared" si="3"/>
        <v>0</v>
      </c>
      <c r="AG30" s="65">
        <f t="shared" si="4"/>
        <v>0</v>
      </c>
      <c r="AH30" s="65">
        <f t="shared" si="5"/>
        <v>0</v>
      </c>
      <c r="AI30" s="104">
        <f t="shared" si="6"/>
        <v>0</v>
      </c>
      <c r="AJ30" s="115">
        <f t="shared" si="7"/>
        <v>0</v>
      </c>
      <c r="AK30" s="116">
        <f t="shared" si="8"/>
        <v>0</v>
      </c>
      <c r="AL30" s="116">
        <f t="shared" si="9"/>
        <v>0</v>
      </c>
      <c r="AM30" s="116">
        <f t="shared" si="10"/>
        <v>0</v>
      </c>
      <c r="AN30" s="117">
        <f t="shared" si="11"/>
        <v>0</v>
      </c>
      <c r="AO30" s="39">
        <f t="shared" si="12"/>
        <v>0</v>
      </c>
      <c r="AP30" s="65">
        <f t="shared" si="13"/>
        <v>0</v>
      </c>
      <c r="AQ30" s="65">
        <f t="shared" si="14"/>
        <v>0</v>
      </c>
      <c r="AR30" s="65">
        <f t="shared" si="15"/>
        <v>0</v>
      </c>
      <c r="AS30" s="65">
        <f t="shared" si="16"/>
        <v>0</v>
      </c>
      <c r="AU30" s="195" t="s">
        <v>156</v>
      </c>
      <c r="AV30" s="195">
        <f t="shared" si="23"/>
        <v>0</v>
      </c>
      <c r="AW30" s="196">
        <f t="shared" si="24"/>
        <v>0</v>
      </c>
    </row>
    <row r="31" spans="2:49" s="8" customFormat="1" ht="13.5" customHeight="1" x14ac:dyDescent="0.25">
      <c r="B31" s="15">
        <v>29</v>
      </c>
      <c r="D31" s="5"/>
      <c r="E31" s="383"/>
      <c r="F31" s="380"/>
      <c r="J31" s="9"/>
      <c r="K31" s="9">
        <f t="shared" si="0"/>
        <v>0</v>
      </c>
      <c r="L31" s="35">
        <f t="shared" si="1"/>
        <v>0</v>
      </c>
      <c r="M31" s="2"/>
      <c r="N31"/>
      <c r="O31" s="19"/>
      <c r="P31" s="19"/>
      <c r="Q31" s="19"/>
      <c r="R31" s="21"/>
      <c r="S31" s="46"/>
      <c r="T31" s="44"/>
      <c r="U31" s="76"/>
      <c r="V31" s="24"/>
      <c r="W31" s="24"/>
      <c r="X31" s="193"/>
      <c r="Y31" s="15"/>
      <c r="AA31">
        <v>5</v>
      </c>
      <c r="AB31" s="487"/>
      <c r="AC31" s="91">
        <v>5</v>
      </c>
      <c r="AD31" s="97"/>
      <c r="AE31" s="39">
        <f t="shared" si="2"/>
        <v>0</v>
      </c>
      <c r="AF31" s="65">
        <f t="shared" si="3"/>
        <v>0</v>
      </c>
      <c r="AG31" s="65">
        <f t="shared" si="4"/>
        <v>0</v>
      </c>
      <c r="AH31" s="65">
        <f t="shared" si="5"/>
        <v>0</v>
      </c>
      <c r="AI31" s="104">
        <f t="shared" si="6"/>
        <v>0</v>
      </c>
      <c r="AJ31" s="115">
        <f t="shared" si="7"/>
        <v>0</v>
      </c>
      <c r="AK31" s="116">
        <f t="shared" si="8"/>
        <v>0</v>
      </c>
      <c r="AL31" s="116">
        <f t="shared" si="9"/>
        <v>0</v>
      </c>
      <c r="AM31" s="116">
        <f t="shared" si="10"/>
        <v>0</v>
      </c>
      <c r="AN31" s="117">
        <f t="shared" si="11"/>
        <v>0</v>
      </c>
      <c r="AO31" s="39">
        <f t="shared" si="12"/>
        <v>0</v>
      </c>
      <c r="AP31" s="65">
        <f t="shared" si="13"/>
        <v>0</v>
      </c>
      <c r="AQ31" s="65">
        <f t="shared" si="14"/>
        <v>0</v>
      </c>
      <c r="AR31" s="65">
        <f t="shared" si="15"/>
        <v>0</v>
      </c>
      <c r="AS31" s="65">
        <f t="shared" si="16"/>
        <v>0</v>
      </c>
      <c r="AU31" s="195" t="s">
        <v>157</v>
      </c>
      <c r="AV31" s="195">
        <f t="shared" si="23"/>
        <v>0</v>
      </c>
      <c r="AW31" s="196">
        <f t="shared" si="24"/>
        <v>0</v>
      </c>
    </row>
    <row r="32" spans="2:49" s="8" customFormat="1" ht="13.5" customHeight="1" thickBot="1" x14ac:dyDescent="0.3">
      <c r="B32" s="15">
        <v>30</v>
      </c>
      <c r="D32" s="5"/>
      <c r="E32" s="383"/>
      <c r="F32" s="380"/>
      <c r="J32" s="9"/>
      <c r="K32" s="9">
        <f t="shared" si="0"/>
        <v>0</v>
      </c>
      <c r="L32" s="35">
        <f t="shared" si="1"/>
        <v>0</v>
      </c>
      <c r="M32" s="2"/>
      <c r="N32"/>
      <c r="O32" s="19"/>
      <c r="P32" s="19"/>
      <c r="Q32" s="19"/>
      <c r="R32" s="21"/>
      <c r="S32" s="46"/>
      <c r="T32" s="44"/>
      <c r="U32" s="76"/>
      <c r="V32" s="24"/>
      <c r="W32" s="24"/>
      <c r="X32" s="193"/>
      <c r="Y32" s="15"/>
      <c r="AA32">
        <v>5</v>
      </c>
      <c r="AB32" s="488"/>
      <c r="AC32" s="92" t="s">
        <v>3</v>
      </c>
      <c r="AD32" s="98"/>
      <c r="AE32" s="94">
        <f t="shared" ref="AE32:AS32" si="25">SUM(AE27:AE31)</f>
        <v>0</v>
      </c>
      <c r="AF32" s="94">
        <f t="shared" si="25"/>
        <v>0</v>
      </c>
      <c r="AG32" s="94">
        <f t="shared" si="25"/>
        <v>0</v>
      </c>
      <c r="AH32" s="94">
        <f t="shared" si="25"/>
        <v>0</v>
      </c>
      <c r="AI32" s="105">
        <f t="shared" si="25"/>
        <v>0</v>
      </c>
      <c r="AJ32" s="118">
        <f t="shared" si="25"/>
        <v>0</v>
      </c>
      <c r="AK32" s="119">
        <f t="shared" si="25"/>
        <v>0</v>
      </c>
      <c r="AL32" s="119">
        <f t="shared" si="25"/>
        <v>0</v>
      </c>
      <c r="AM32" s="119">
        <f t="shared" si="25"/>
        <v>0</v>
      </c>
      <c r="AN32" s="120">
        <f t="shared" si="25"/>
        <v>0</v>
      </c>
      <c r="AO32" s="94">
        <f t="shared" si="25"/>
        <v>0</v>
      </c>
      <c r="AP32" s="94">
        <f t="shared" si="25"/>
        <v>0</v>
      </c>
      <c r="AQ32" s="94">
        <f t="shared" si="25"/>
        <v>0</v>
      </c>
      <c r="AR32" s="94">
        <f t="shared" si="25"/>
        <v>0</v>
      </c>
      <c r="AS32" s="94">
        <f t="shared" si="25"/>
        <v>0</v>
      </c>
      <c r="AU32" s="195" t="s">
        <v>158</v>
      </c>
      <c r="AV32" s="195">
        <f t="shared" si="23"/>
        <v>0</v>
      </c>
      <c r="AW32" s="196">
        <f t="shared" si="24"/>
        <v>0</v>
      </c>
    </row>
    <row r="33" spans="2:49" s="8" customFormat="1" ht="13.5" customHeight="1" x14ac:dyDescent="0.25">
      <c r="B33" s="15">
        <v>31</v>
      </c>
      <c r="D33" s="5"/>
      <c r="E33" s="383"/>
      <c r="F33" s="380"/>
      <c r="J33" s="9"/>
      <c r="K33" s="9">
        <f t="shared" si="0"/>
        <v>0</v>
      </c>
      <c r="L33" s="35">
        <f t="shared" si="1"/>
        <v>0</v>
      </c>
      <c r="M33" s="2"/>
      <c r="N33"/>
      <c r="O33" s="19"/>
      <c r="P33" s="19"/>
      <c r="Q33" s="19"/>
      <c r="R33" s="21"/>
      <c r="S33" s="46"/>
      <c r="T33" s="44"/>
      <c r="U33" s="76"/>
      <c r="V33" s="24"/>
      <c r="W33" s="24"/>
      <c r="X33" s="193"/>
      <c r="Y33" s="15"/>
      <c r="AA33">
        <v>6</v>
      </c>
      <c r="AB33" s="486">
        <v>6</v>
      </c>
      <c r="AC33" s="89">
        <v>1</v>
      </c>
      <c r="AD33" s="95" t="s">
        <v>90</v>
      </c>
      <c r="AE33" s="39">
        <f t="shared" si="2"/>
        <v>0</v>
      </c>
      <c r="AF33" s="65">
        <f t="shared" si="3"/>
        <v>0</v>
      </c>
      <c r="AG33" s="65">
        <f t="shared" si="4"/>
        <v>0</v>
      </c>
      <c r="AH33" s="65">
        <f t="shared" si="5"/>
        <v>0</v>
      </c>
      <c r="AI33" s="104">
        <f t="shared" si="6"/>
        <v>0</v>
      </c>
      <c r="AJ33" s="115">
        <f t="shared" si="7"/>
        <v>0</v>
      </c>
      <c r="AK33" s="116">
        <f t="shared" si="8"/>
        <v>0</v>
      </c>
      <c r="AL33" s="116">
        <f t="shared" si="9"/>
        <v>0</v>
      </c>
      <c r="AM33" s="116">
        <f t="shared" si="10"/>
        <v>0</v>
      </c>
      <c r="AN33" s="117">
        <f t="shared" si="11"/>
        <v>0</v>
      </c>
      <c r="AO33" s="39">
        <f t="shared" si="12"/>
        <v>0</v>
      </c>
      <c r="AP33" s="65">
        <f t="shared" si="13"/>
        <v>0</v>
      </c>
      <c r="AQ33" s="65">
        <f t="shared" si="14"/>
        <v>0</v>
      </c>
      <c r="AR33" s="65">
        <f t="shared" si="15"/>
        <v>0</v>
      </c>
      <c r="AS33" s="65">
        <f t="shared" si="16"/>
        <v>0</v>
      </c>
      <c r="AU33" s="194" t="s">
        <v>159</v>
      </c>
      <c r="AV33" s="194">
        <f>SUM(AV25:AV32)</f>
        <v>2</v>
      </c>
      <c r="AW33" s="197">
        <f t="shared" si="24"/>
        <v>1</v>
      </c>
    </row>
    <row r="34" spans="2:49" s="8" customFormat="1" ht="13.5" customHeight="1" x14ac:dyDescent="0.25">
      <c r="B34" s="15">
        <v>32</v>
      </c>
      <c r="D34" s="5"/>
      <c r="E34" s="383"/>
      <c r="F34" s="380"/>
      <c r="J34" s="9"/>
      <c r="K34" s="9">
        <f t="shared" si="0"/>
        <v>0</v>
      </c>
      <c r="L34" s="35">
        <f t="shared" si="1"/>
        <v>0</v>
      </c>
      <c r="M34" s="2"/>
      <c r="N34"/>
      <c r="O34" s="19"/>
      <c r="P34" s="19"/>
      <c r="Q34" s="19"/>
      <c r="R34" s="21"/>
      <c r="S34" s="46"/>
      <c r="T34" s="44"/>
      <c r="U34" s="76"/>
      <c r="V34" s="24"/>
      <c r="W34" s="24"/>
      <c r="X34" s="193"/>
      <c r="Y34" s="15"/>
      <c r="AA34">
        <v>6</v>
      </c>
      <c r="AB34" s="487"/>
      <c r="AC34" s="90">
        <v>2</v>
      </c>
      <c r="AD34" s="97" t="s">
        <v>91</v>
      </c>
      <c r="AE34" s="39">
        <f t="shared" si="2"/>
        <v>0</v>
      </c>
      <c r="AF34" s="65">
        <f t="shared" si="3"/>
        <v>0</v>
      </c>
      <c r="AG34" s="65">
        <f t="shared" si="4"/>
        <v>0</v>
      </c>
      <c r="AH34" s="65">
        <f t="shared" si="5"/>
        <v>0</v>
      </c>
      <c r="AI34" s="104">
        <f t="shared" si="6"/>
        <v>0</v>
      </c>
      <c r="AJ34" s="115">
        <f t="shared" si="7"/>
        <v>0</v>
      </c>
      <c r="AK34" s="116">
        <f t="shared" si="8"/>
        <v>0</v>
      </c>
      <c r="AL34" s="116">
        <f t="shared" si="9"/>
        <v>0</v>
      </c>
      <c r="AM34" s="116">
        <f t="shared" si="10"/>
        <v>0</v>
      </c>
      <c r="AN34" s="117">
        <f t="shared" si="11"/>
        <v>0</v>
      </c>
      <c r="AO34" s="39">
        <f t="shared" si="12"/>
        <v>0</v>
      </c>
      <c r="AP34" s="65">
        <f t="shared" si="13"/>
        <v>0</v>
      </c>
      <c r="AQ34" s="65">
        <f t="shared" si="14"/>
        <v>0</v>
      </c>
      <c r="AR34" s="65">
        <f t="shared" si="15"/>
        <v>0</v>
      </c>
      <c r="AS34" s="65">
        <f t="shared" si="16"/>
        <v>0</v>
      </c>
    </row>
    <row r="35" spans="2:49" s="8" customFormat="1" ht="13.5" customHeight="1" x14ac:dyDescent="0.25">
      <c r="B35" s="15">
        <v>33</v>
      </c>
      <c r="D35" s="5"/>
      <c r="E35" s="383"/>
      <c r="F35" s="380"/>
      <c r="J35" s="9"/>
      <c r="K35" s="9">
        <f t="shared" si="0"/>
        <v>0</v>
      </c>
      <c r="L35" s="35">
        <f t="shared" si="1"/>
        <v>0</v>
      </c>
      <c r="M35" s="2"/>
      <c r="N35"/>
      <c r="O35" s="19"/>
      <c r="P35" s="19"/>
      <c r="Q35" s="19"/>
      <c r="R35" s="21"/>
      <c r="S35" s="46"/>
      <c r="T35" s="44"/>
      <c r="U35" s="76"/>
      <c r="V35" s="24"/>
      <c r="W35" s="24"/>
      <c r="X35" s="193"/>
      <c r="Y35" s="15"/>
      <c r="AA35">
        <v>6</v>
      </c>
      <c r="AB35" s="487"/>
      <c r="AC35" s="90">
        <v>3</v>
      </c>
      <c r="AD35" s="97" t="s">
        <v>92</v>
      </c>
      <c r="AE35" s="39">
        <f t="shared" si="2"/>
        <v>0</v>
      </c>
      <c r="AF35" s="65">
        <f t="shared" si="3"/>
        <v>0</v>
      </c>
      <c r="AG35" s="65">
        <f t="shared" si="4"/>
        <v>0</v>
      </c>
      <c r="AH35" s="65">
        <f t="shared" si="5"/>
        <v>0</v>
      </c>
      <c r="AI35" s="104">
        <f t="shared" si="6"/>
        <v>0</v>
      </c>
      <c r="AJ35" s="115">
        <f t="shared" si="7"/>
        <v>0</v>
      </c>
      <c r="AK35" s="116">
        <f t="shared" si="8"/>
        <v>0</v>
      </c>
      <c r="AL35" s="116">
        <f t="shared" si="9"/>
        <v>0</v>
      </c>
      <c r="AM35" s="116">
        <f t="shared" si="10"/>
        <v>0</v>
      </c>
      <c r="AN35" s="117">
        <f t="shared" si="11"/>
        <v>0</v>
      </c>
      <c r="AO35" s="39">
        <f t="shared" si="12"/>
        <v>0</v>
      </c>
      <c r="AP35" s="65">
        <f t="shared" si="13"/>
        <v>0</v>
      </c>
      <c r="AQ35" s="65">
        <f t="shared" si="14"/>
        <v>0</v>
      </c>
      <c r="AR35" s="65">
        <f t="shared" si="15"/>
        <v>0</v>
      </c>
      <c r="AS35" s="65">
        <f t="shared" si="16"/>
        <v>0</v>
      </c>
    </row>
    <row r="36" spans="2:49" s="8" customFormat="1" ht="13.5" customHeight="1" x14ac:dyDescent="0.25">
      <c r="B36" s="15">
        <v>34</v>
      </c>
      <c r="D36" s="5"/>
      <c r="E36" s="383"/>
      <c r="F36" s="380"/>
      <c r="J36" s="9"/>
      <c r="K36" s="9">
        <f t="shared" si="0"/>
        <v>0</v>
      </c>
      <c r="L36" s="35">
        <f t="shared" si="1"/>
        <v>0</v>
      </c>
      <c r="M36" s="2"/>
      <c r="N36"/>
      <c r="O36" s="19"/>
      <c r="P36" s="19"/>
      <c r="Q36" s="19"/>
      <c r="R36" s="21"/>
      <c r="S36" s="46"/>
      <c r="T36" s="44"/>
      <c r="U36" s="76"/>
      <c r="V36" s="24"/>
      <c r="W36" s="24"/>
      <c r="X36" s="193"/>
      <c r="Y36" s="15"/>
      <c r="AA36">
        <v>6</v>
      </c>
      <c r="AB36" s="487"/>
      <c r="AC36" s="90">
        <v>4</v>
      </c>
      <c r="AD36" s="97" t="s">
        <v>93</v>
      </c>
      <c r="AE36" s="39">
        <f t="shared" si="2"/>
        <v>0</v>
      </c>
      <c r="AF36" s="65">
        <f t="shared" si="3"/>
        <v>0</v>
      </c>
      <c r="AG36" s="65">
        <f t="shared" si="4"/>
        <v>0</v>
      </c>
      <c r="AH36" s="65">
        <f t="shared" si="5"/>
        <v>0</v>
      </c>
      <c r="AI36" s="104">
        <f t="shared" si="6"/>
        <v>0</v>
      </c>
      <c r="AJ36" s="115">
        <f t="shared" si="7"/>
        <v>0</v>
      </c>
      <c r="AK36" s="116">
        <f t="shared" si="8"/>
        <v>0</v>
      </c>
      <c r="AL36" s="116">
        <f t="shared" si="9"/>
        <v>0</v>
      </c>
      <c r="AM36" s="116">
        <f t="shared" si="10"/>
        <v>0</v>
      </c>
      <c r="AN36" s="117">
        <f t="shared" si="11"/>
        <v>0</v>
      </c>
      <c r="AO36" s="39">
        <f t="shared" si="12"/>
        <v>0</v>
      </c>
      <c r="AP36" s="65">
        <f t="shared" si="13"/>
        <v>0</v>
      </c>
      <c r="AQ36" s="65">
        <f t="shared" si="14"/>
        <v>0</v>
      </c>
      <c r="AR36" s="65">
        <f t="shared" si="15"/>
        <v>0</v>
      </c>
      <c r="AS36" s="65">
        <f t="shared" si="16"/>
        <v>0</v>
      </c>
    </row>
    <row r="37" spans="2:49" s="8" customFormat="1" ht="13.5" customHeight="1" x14ac:dyDescent="0.25">
      <c r="B37" s="15">
        <v>35</v>
      </c>
      <c r="D37" s="5"/>
      <c r="E37" s="383"/>
      <c r="F37" s="380"/>
      <c r="J37" s="9"/>
      <c r="K37" s="9">
        <f t="shared" si="0"/>
        <v>0</v>
      </c>
      <c r="L37" s="35">
        <f t="shared" si="1"/>
        <v>0</v>
      </c>
      <c r="M37" s="2"/>
      <c r="N37"/>
      <c r="O37" s="19"/>
      <c r="P37" s="19"/>
      <c r="Q37" s="19"/>
      <c r="R37" s="21"/>
      <c r="S37" s="46"/>
      <c r="T37" s="250"/>
      <c r="U37" s="76"/>
      <c r="V37" s="24"/>
      <c r="W37" s="24"/>
      <c r="X37" s="193"/>
      <c r="Y37" s="15"/>
      <c r="AA37">
        <v>6</v>
      </c>
      <c r="AB37" s="487"/>
      <c r="AC37" s="91">
        <v>5</v>
      </c>
      <c r="AD37" s="97"/>
      <c r="AE37" s="39">
        <f t="shared" si="2"/>
        <v>0</v>
      </c>
      <c r="AF37" s="65">
        <f t="shared" si="3"/>
        <v>0</v>
      </c>
      <c r="AG37" s="65">
        <f t="shared" si="4"/>
        <v>0</v>
      </c>
      <c r="AH37" s="65">
        <f t="shared" si="5"/>
        <v>0</v>
      </c>
      <c r="AI37" s="104">
        <f t="shared" si="6"/>
        <v>0</v>
      </c>
      <c r="AJ37" s="115">
        <f t="shared" si="7"/>
        <v>0</v>
      </c>
      <c r="AK37" s="116">
        <f t="shared" si="8"/>
        <v>0</v>
      </c>
      <c r="AL37" s="116">
        <f t="shared" si="9"/>
        <v>0</v>
      </c>
      <c r="AM37" s="116">
        <f t="shared" si="10"/>
        <v>0</v>
      </c>
      <c r="AN37" s="117">
        <f t="shared" si="11"/>
        <v>0</v>
      </c>
      <c r="AO37" s="39">
        <f t="shared" si="12"/>
        <v>0</v>
      </c>
      <c r="AP37" s="65">
        <f t="shared" si="13"/>
        <v>0</v>
      </c>
      <c r="AQ37" s="65">
        <f t="shared" si="14"/>
        <v>0</v>
      </c>
      <c r="AR37" s="65">
        <f t="shared" si="15"/>
        <v>0</v>
      </c>
      <c r="AS37" s="65">
        <f t="shared" si="16"/>
        <v>0</v>
      </c>
    </row>
    <row r="38" spans="2:49" s="8" customFormat="1" ht="13.5" customHeight="1" thickBot="1" x14ac:dyDescent="0.3">
      <c r="B38" s="15">
        <v>36</v>
      </c>
      <c r="D38" s="5"/>
      <c r="E38" s="383"/>
      <c r="F38" s="380"/>
      <c r="J38" s="9"/>
      <c r="K38" s="9">
        <f t="shared" si="0"/>
        <v>0</v>
      </c>
      <c r="L38" s="35">
        <f t="shared" si="1"/>
        <v>0</v>
      </c>
      <c r="M38" s="2"/>
      <c r="N38"/>
      <c r="O38" s="19"/>
      <c r="P38" s="19"/>
      <c r="Q38" s="19"/>
      <c r="R38" s="21"/>
      <c r="S38" s="46"/>
      <c r="T38" s="44"/>
      <c r="U38" s="76"/>
      <c r="V38" s="24"/>
      <c r="W38" s="24"/>
      <c r="X38" s="193"/>
      <c r="Y38" s="15"/>
      <c r="AA38">
        <v>6</v>
      </c>
      <c r="AB38" s="488"/>
      <c r="AC38" s="92" t="s">
        <v>3</v>
      </c>
      <c r="AD38" s="98"/>
      <c r="AE38" s="94">
        <f t="shared" ref="AE38:AS38" si="26">SUM(AE33:AE37)</f>
        <v>0</v>
      </c>
      <c r="AF38" s="94">
        <f t="shared" si="26"/>
        <v>0</v>
      </c>
      <c r="AG38" s="94">
        <f t="shared" si="26"/>
        <v>0</v>
      </c>
      <c r="AH38" s="94">
        <f t="shared" si="26"/>
        <v>0</v>
      </c>
      <c r="AI38" s="105">
        <f t="shared" si="26"/>
        <v>0</v>
      </c>
      <c r="AJ38" s="118">
        <f t="shared" si="26"/>
        <v>0</v>
      </c>
      <c r="AK38" s="119">
        <f t="shared" si="26"/>
        <v>0</v>
      </c>
      <c r="AL38" s="119">
        <f t="shared" si="26"/>
        <v>0</v>
      </c>
      <c r="AM38" s="119">
        <f t="shared" si="26"/>
        <v>0</v>
      </c>
      <c r="AN38" s="120">
        <f t="shared" si="26"/>
        <v>0</v>
      </c>
      <c r="AO38" s="94">
        <f t="shared" si="26"/>
        <v>0</v>
      </c>
      <c r="AP38" s="94">
        <f t="shared" si="26"/>
        <v>0</v>
      </c>
      <c r="AQ38" s="94">
        <f t="shared" si="26"/>
        <v>0</v>
      </c>
      <c r="AR38" s="94">
        <f t="shared" si="26"/>
        <v>0</v>
      </c>
      <c r="AS38" s="94">
        <f t="shared" si="26"/>
        <v>0</v>
      </c>
    </row>
    <row r="39" spans="2:49" s="8" customFormat="1" ht="13.5" customHeight="1" x14ac:dyDescent="0.25">
      <c r="B39" s="15">
        <v>37</v>
      </c>
      <c r="D39" s="5"/>
      <c r="E39" s="383"/>
      <c r="F39" s="380"/>
      <c r="J39" s="9"/>
      <c r="K39" s="9">
        <f t="shared" si="0"/>
        <v>0</v>
      </c>
      <c r="L39" s="35">
        <f t="shared" si="1"/>
        <v>0</v>
      </c>
      <c r="M39" s="2"/>
      <c r="N39"/>
      <c r="O39" s="19"/>
      <c r="P39" s="19"/>
      <c r="Q39" s="19"/>
      <c r="R39" s="21"/>
      <c r="S39" s="46"/>
      <c r="T39" s="44"/>
      <c r="U39" s="76"/>
      <c r="V39" s="24"/>
      <c r="W39" s="24"/>
      <c r="X39" s="193"/>
      <c r="Y39" s="15"/>
      <c r="AA39">
        <v>7</v>
      </c>
      <c r="AB39" s="486">
        <v>7</v>
      </c>
      <c r="AC39" s="89">
        <v>1</v>
      </c>
      <c r="AD39" s="95" t="s">
        <v>94</v>
      </c>
      <c r="AE39" s="39">
        <f t="shared" si="2"/>
        <v>0</v>
      </c>
      <c r="AF39" s="65">
        <f t="shared" si="3"/>
        <v>0</v>
      </c>
      <c r="AG39" s="65">
        <f t="shared" si="4"/>
        <v>0</v>
      </c>
      <c r="AH39" s="65">
        <f t="shared" si="5"/>
        <v>0</v>
      </c>
      <c r="AI39" s="104">
        <f t="shared" si="6"/>
        <v>0</v>
      </c>
      <c r="AJ39" s="115">
        <f t="shared" si="7"/>
        <v>0</v>
      </c>
      <c r="AK39" s="116">
        <f t="shared" si="8"/>
        <v>0</v>
      </c>
      <c r="AL39" s="116">
        <f t="shared" si="9"/>
        <v>0</v>
      </c>
      <c r="AM39" s="116">
        <f t="shared" si="10"/>
        <v>0</v>
      </c>
      <c r="AN39" s="117">
        <f t="shared" si="11"/>
        <v>0</v>
      </c>
      <c r="AO39" s="39">
        <f t="shared" si="12"/>
        <v>0</v>
      </c>
      <c r="AP39" s="65">
        <f t="shared" si="13"/>
        <v>0</v>
      </c>
      <c r="AQ39" s="65">
        <f t="shared" si="14"/>
        <v>0</v>
      </c>
      <c r="AR39" s="65">
        <f t="shared" si="15"/>
        <v>0</v>
      </c>
      <c r="AS39" s="65">
        <f t="shared" si="16"/>
        <v>0</v>
      </c>
    </row>
    <row r="40" spans="2:49" s="8" customFormat="1" ht="13.5" customHeight="1" x14ac:dyDescent="0.25">
      <c r="B40" s="15">
        <v>38</v>
      </c>
      <c r="D40" s="5"/>
      <c r="E40" s="383"/>
      <c r="F40" s="380"/>
      <c r="J40" s="9"/>
      <c r="K40" s="9">
        <f t="shared" si="0"/>
        <v>0</v>
      </c>
      <c r="L40" s="35">
        <f t="shared" si="1"/>
        <v>0</v>
      </c>
      <c r="M40" s="2"/>
      <c r="N40"/>
      <c r="O40" s="19"/>
      <c r="P40" s="19"/>
      <c r="Q40" s="19"/>
      <c r="R40" s="21"/>
      <c r="S40" s="46"/>
      <c r="T40" s="44"/>
      <c r="U40" s="76"/>
      <c r="V40" s="24"/>
      <c r="W40" s="24"/>
      <c r="X40" s="193"/>
      <c r="Y40" s="15"/>
      <c r="AA40">
        <v>7</v>
      </c>
      <c r="AB40" s="487"/>
      <c r="AC40" s="90">
        <v>2</v>
      </c>
      <c r="AD40" s="97" t="s">
        <v>61</v>
      </c>
      <c r="AE40" s="39">
        <f t="shared" si="2"/>
        <v>0</v>
      </c>
      <c r="AF40" s="65">
        <f t="shared" si="3"/>
        <v>0</v>
      </c>
      <c r="AG40" s="65">
        <f t="shared" si="4"/>
        <v>0</v>
      </c>
      <c r="AH40" s="65">
        <f t="shared" si="5"/>
        <v>0</v>
      </c>
      <c r="AI40" s="104">
        <f t="shared" si="6"/>
        <v>0</v>
      </c>
      <c r="AJ40" s="115">
        <f t="shared" si="7"/>
        <v>0</v>
      </c>
      <c r="AK40" s="116">
        <f t="shared" si="8"/>
        <v>0</v>
      </c>
      <c r="AL40" s="116">
        <f t="shared" si="9"/>
        <v>0</v>
      </c>
      <c r="AM40" s="116">
        <f t="shared" si="10"/>
        <v>0</v>
      </c>
      <c r="AN40" s="117">
        <f t="shared" si="11"/>
        <v>0</v>
      </c>
      <c r="AO40" s="39">
        <f t="shared" si="12"/>
        <v>0</v>
      </c>
      <c r="AP40" s="65">
        <f t="shared" si="13"/>
        <v>0</v>
      </c>
      <c r="AQ40" s="65">
        <f t="shared" si="14"/>
        <v>0</v>
      </c>
      <c r="AR40" s="65">
        <f t="shared" si="15"/>
        <v>0</v>
      </c>
      <c r="AS40" s="65">
        <f t="shared" si="16"/>
        <v>0</v>
      </c>
    </row>
    <row r="41" spans="2:49" s="8" customFormat="1" ht="13.5" customHeight="1" x14ac:dyDescent="0.25">
      <c r="B41" s="15">
        <v>39</v>
      </c>
      <c r="D41" s="5"/>
      <c r="E41" s="383"/>
      <c r="F41" s="380"/>
      <c r="J41" s="9"/>
      <c r="K41" s="9">
        <f t="shared" si="0"/>
        <v>0</v>
      </c>
      <c r="L41" s="35">
        <f t="shared" si="1"/>
        <v>0</v>
      </c>
      <c r="M41" s="2"/>
      <c r="N41"/>
      <c r="O41" s="19"/>
      <c r="P41" s="19"/>
      <c r="Q41" s="19"/>
      <c r="R41" s="21"/>
      <c r="S41" s="46"/>
      <c r="T41" s="44"/>
      <c r="U41" s="76"/>
      <c r="V41" s="24"/>
      <c r="W41" s="24"/>
      <c r="X41" s="193"/>
      <c r="Y41" s="15"/>
      <c r="AA41">
        <v>7</v>
      </c>
      <c r="AB41" s="487"/>
      <c r="AC41" s="90">
        <v>3</v>
      </c>
      <c r="AD41" s="97" t="s">
        <v>62</v>
      </c>
      <c r="AE41" s="39">
        <f t="shared" si="2"/>
        <v>0</v>
      </c>
      <c r="AF41" s="65">
        <f t="shared" si="3"/>
        <v>0</v>
      </c>
      <c r="AG41" s="65">
        <f t="shared" si="4"/>
        <v>0</v>
      </c>
      <c r="AH41" s="65">
        <f t="shared" si="5"/>
        <v>0</v>
      </c>
      <c r="AI41" s="104">
        <f t="shared" si="6"/>
        <v>0</v>
      </c>
      <c r="AJ41" s="115">
        <f t="shared" si="7"/>
        <v>0</v>
      </c>
      <c r="AK41" s="116">
        <f t="shared" si="8"/>
        <v>0</v>
      </c>
      <c r="AL41" s="116">
        <f t="shared" si="9"/>
        <v>0</v>
      </c>
      <c r="AM41" s="116">
        <f t="shared" si="10"/>
        <v>0</v>
      </c>
      <c r="AN41" s="117">
        <f t="shared" si="11"/>
        <v>0</v>
      </c>
      <c r="AO41" s="39">
        <f t="shared" si="12"/>
        <v>0</v>
      </c>
      <c r="AP41" s="65">
        <f t="shared" si="13"/>
        <v>0</v>
      </c>
      <c r="AQ41" s="65">
        <f t="shared" si="14"/>
        <v>0</v>
      </c>
      <c r="AR41" s="65">
        <f t="shared" si="15"/>
        <v>0</v>
      </c>
      <c r="AS41" s="65">
        <f t="shared" si="16"/>
        <v>0</v>
      </c>
    </row>
    <row r="42" spans="2:49" s="8" customFormat="1" ht="13.5" customHeight="1" x14ac:dyDescent="0.25">
      <c r="B42" s="15">
        <v>40</v>
      </c>
      <c r="D42" s="5"/>
      <c r="E42" s="383"/>
      <c r="F42" s="380"/>
      <c r="J42" s="9"/>
      <c r="K42" s="9">
        <f t="shared" si="0"/>
        <v>0</v>
      </c>
      <c r="L42" s="35">
        <f t="shared" si="1"/>
        <v>0</v>
      </c>
      <c r="M42" s="2"/>
      <c r="N42"/>
      <c r="O42" s="19"/>
      <c r="P42" s="19"/>
      <c r="Q42" s="19"/>
      <c r="R42" s="21"/>
      <c r="S42" s="46"/>
      <c r="T42" s="44"/>
      <c r="U42" s="76"/>
      <c r="V42" s="24"/>
      <c r="W42" s="24"/>
      <c r="X42" s="193"/>
      <c r="Y42" s="15"/>
      <c r="AA42">
        <v>7</v>
      </c>
      <c r="AB42" s="487"/>
      <c r="AC42" s="90">
        <v>4</v>
      </c>
      <c r="AD42" s="97" t="s">
        <v>63</v>
      </c>
      <c r="AE42" s="39">
        <f t="shared" si="2"/>
        <v>0</v>
      </c>
      <c r="AF42" s="65">
        <f t="shared" si="3"/>
        <v>0</v>
      </c>
      <c r="AG42" s="65">
        <f t="shared" si="4"/>
        <v>0</v>
      </c>
      <c r="AH42" s="65">
        <f t="shared" si="5"/>
        <v>0</v>
      </c>
      <c r="AI42" s="104">
        <f t="shared" si="6"/>
        <v>0</v>
      </c>
      <c r="AJ42" s="115">
        <f t="shared" si="7"/>
        <v>0</v>
      </c>
      <c r="AK42" s="116">
        <f t="shared" si="8"/>
        <v>0</v>
      </c>
      <c r="AL42" s="116">
        <f t="shared" si="9"/>
        <v>0</v>
      </c>
      <c r="AM42" s="116">
        <f t="shared" si="10"/>
        <v>0</v>
      </c>
      <c r="AN42" s="117">
        <f t="shared" si="11"/>
        <v>0</v>
      </c>
      <c r="AO42" s="39">
        <f t="shared" si="12"/>
        <v>0</v>
      </c>
      <c r="AP42" s="65">
        <f t="shared" si="13"/>
        <v>0</v>
      </c>
      <c r="AQ42" s="65">
        <f t="shared" si="14"/>
        <v>0</v>
      </c>
      <c r="AR42" s="65">
        <f t="shared" si="15"/>
        <v>0</v>
      </c>
      <c r="AS42" s="65">
        <f t="shared" si="16"/>
        <v>0</v>
      </c>
    </row>
    <row r="43" spans="2:49" x14ac:dyDescent="0.25">
      <c r="B43" s="15">
        <v>41</v>
      </c>
      <c r="C43" s="8"/>
      <c r="E43" s="383"/>
      <c r="F43" s="380"/>
      <c r="G43" s="8"/>
      <c r="H43" s="8"/>
      <c r="I43" s="8"/>
      <c r="J43" s="9"/>
      <c r="K43" s="9">
        <f t="shared" si="0"/>
        <v>0</v>
      </c>
      <c r="L43" s="35">
        <f t="shared" si="1"/>
        <v>0</v>
      </c>
      <c r="M43" s="2"/>
      <c r="O43" s="19"/>
      <c r="P43" s="19"/>
      <c r="Q43" s="19"/>
      <c r="R43" s="21"/>
      <c r="S43" s="46"/>
      <c r="T43" s="44"/>
      <c r="U43" s="77"/>
      <c r="V43" s="30"/>
      <c r="W43" s="24"/>
      <c r="X43" s="193"/>
      <c r="Y43" s="15"/>
      <c r="AA43">
        <v>7</v>
      </c>
      <c r="AB43" s="487"/>
      <c r="AC43" s="91">
        <v>5</v>
      </c>
      <c r="AD43" s="100" t="s">
        <v>95</v>
      </c>
      <c r="AE43" s="39">
        <f t="shared" si="2"/>
        <v>0</v>
      </c>
      <c r="AF43" s="65">
        <f t="shared" si="3"/>
        <v>0</v>
      </c>
      <c r="AG43" s="65">
        <f t="shared" si="4"/>
        <v>0</v>
      </c>
      <c r="AH43" s="65">
        <f t="shared" si="5"/>
        <v>0</v>
      </c>
      <c r="AI43" s="104">
        <f t="shared" si="6"/>
        <v>0</v>
      </c>
      <c r="AJ43" s="115">
        <f t="shared" si="7"/>
        <v>0</v>
      </c>
      <c r="AK43" s="116">
        <f t="shared" si="8"/>
        <v>0</v>
      </c>
      <c r="AL43" s="116">
        <f t="shared" si="9"/>
        <v>0</v>
      </c>
      <c r="AM43" s="116">
        <f t="shared" si="10"/>
        <v>0</v>
      </c>
      <c r="AN43" s="117">
        <f t="shared" si="11"/>
        <v>0</v>
      </c>
      <c r="AO43" s="39">
        <f t="shared" si="12"/>
        <v>0</v>
      </c>
      <c r="AP43" s="65">
        <f t="shared" si="13"/>
        <v>0</v>
      </c>
      <c r="AQ43" s="65">
        <f t="shared" si="14"/>
        <v>0</v>
      </c>
      <c r="AR43" s="65">
        <f t="shared" si="15"/>
        <v>0</v>
      </c>
      <c r="AS43" s="65">
        <f t="shared" si="16"/>
        <v>0</v>
      </c>
    </row>
    <row r="44" spans="2:49" ht="14.25" thickBot="1" x14ac:dyDescent="0.3">
      <c r="B44" s="15">
        <v>42</v>
      </c>
      <c r="C44" s="8"/>
      <c r="E44" s="383"/>
      <c r="F44" s="380"/>
      <c r="G44" s="8"/>
      <c r="H44" s="8"/>
      <c r="I44" s="8"/>
      <c r="J44" s="9"/>
      <c r="K44" s="9">
        <f t="shared" si="0"/>
        <v>0</v>
      </c>
      <c r="L44" s="35">
        <f t="shared" si="1"/>
        <v>0</v>
      </c>
      <c r="M44" s="2"/>
      <c r="O44" s="19"/>
      <c r="P44" s="19"/>
      <c r="Q44" s="19"/>
      <c r="R44" s="21"/>
      <c r="S44" s="46"/>
      <c r="T44" s="44"/>
      <c r="U44" s="77"/>
      <c r="V44" s="30"/>
      <c r="W44" s="24"/>
      <c r="X44" s="193"/>
      <c r="Y44" s="15"/>
      <c r="AA44">
        <v>7</v>
      </c>
      <c r="AB44" s="488"/>
      <c r="AC44" s="92" t="s">
        <v>3</v>
      </c>
      <c r="AD44" s="101"/>
      <c r="AE44" s="94">
        <f t="shared" ref="AE44:AS44" si="27">SUM(AE39:AE43)</f>
        <v>0</v>
      </c>
      <c r="AF44" s="94">
        <f t="shared" si="27"/>
        <v>0</v>
      </c>
      <c r="AG44" s="94">
        <f t="shared" si="27"/>
        <v>0</v>
      </c>
      <c r="AH44" s="94">
        <f t="shared" si="27"/>
        <v>0</v>
      </c>
      <c r="AI44" s="105">
        <f t="shared" si="27"/>
        <v>0</v>
      </c>
      <c r="AJ44" s="118">
        <f t="shared" si="27"/>
        <v>0</v>
      </c>
      <c r="AK44" s="119">
        <f t="shared" si="27"/>
        <v>0</v>
      </c>
      <c r="AL44" s="119">
        <f t="shared" si="27"/>
        <v>0</v>
      </c>
      <c r="AM44" s="119">
        <f t="shared" si="27"/>
        <v>0</v>
      </c>
      <c r="AN44" s="120">
        <f t="shared" si="27"/>
        <v>0</v>
      </c>
      <c r="AO44" s="94">
        <f t="shared" si="27"/>
        <v>0</v>
      </c>
      <c r="AP44" s="94">
        <f t="shared" si="27"/>
        <v>0</v>
      </c>
      <c r="AQ44" s="94">
        <f t="shared" si="27"/>
        <v>0</v>
      </c>
      <c r="AR44" s="94">
        <f t="shared" si="27"/>
        <v>0</v>
      </c>
      <c r="AS44" s="94">
        <f t="shared" si="27"/>
        <v>0</v>
      </c>
    </row>
    <row r="45" spans="2:49" x14ac:dyDescent="0.25">
      <c r="B45" s="15">
        <v>43</v>
      </c>
      <c r="C45" s="8"/>
      <c r="E45" s="383"/>
      <c r="F45" s="380"/>
      <c r="G45" s="8"/>
      <c r="H45" s="8"/>
      <c r="I45" s="8"/>
      <c r="J45" s="9"/>
      <c r="K45" s="9">
        <f t="shared" si="0"/>
        <v>0</v>
      </c>
      <c r="L45" s="35">
        <f t="shared" si="1"/>
        <v>0</v>
      </c>
      <c r="M45" s="2"/>
      <c r="O45" s="19"/>
      <c r="P45" s="19"/>
      <c r="Q45" s="19"/>
      <c r="R45" s="21"/>
      <c r="S45" s="46"/>
      <c r="T45" s="44"/>
      <c r="U45" s="77"/>
      <c r="V45" s="30"/>
      <c r="W45" s="24"/>
      <c r="X45" s="193"/>
      <c r="Y45" s="15"/>
      <c r="AA45">
        <v>8</v>
      </c>
      <c r="AB45" s="486">
        <v>8</v>
      </c>
      <c r="AC45" s="89">
        <v>1</v>
      </c>
      <c r="AD45" s="95" t="s">
        <v>96</v>
      </c>
      <c r="AE45" s="39">
        <f t="shared" si="2"/>
        <v>41.28</v>
      </c>
      <c r="AF45" s="65">
        <f t="shared" si="3"/>
        <v>0</v>
      </c>
      <c r="AG45" s="65">
        <f t="shared" si="4"/>
        <v>41.28</v>
      </c>
      <c r="AH45" s="65">
        <f t="shared" si="5"/>
        <v>0</v>
      </c>
      <c r="AI45" s="104">
        <f t="shared" si="6"/>
        <v>0</v>
      </c>
      <c r="AJ45" s="115">
        <f t="shared" si="7"/>
        <v>1</v>
      </c>
      <c r="AK45" s="116">
        <f t="shared" si="8"/>
        <v>0</v>
      </c>
      <c r="AL45" s="116">
        <f t="shared" si="9"/>
        <v>1</v>
      </c>
      <c r="AM45" s="116">
        <f t="shared" si="10"/>
        <v>0</v>
      </c>
      <c r="AN45" s="117">
        <f t="shared" si="11"/>
        <v>0</v>
      </c>
      <c r="AO45" s="39">
        <f t="shared" si="12"/>
        <v>0.33</v>
      </c>
      <c r="AP45" s="65">
        <f t="shared" si="13"/>
        <v>0</v>
      </c>
      <c r="AQ45" s="65">
        <f t="shared" si="14"/>
        <v>0.33</v>
      </c>
      <c r="AR45" s="65">
        <f t="shared" si="15"/>
        <v>0</v>
      </c>
      <c r="AS45" s="65">
        <f t="shared" si="16"/>
        <v>0</v>
      </c>
    </row>
    <row r="46" spans="2:49" x14ac:dyDescent="0.25">
      <c r="B46" s="15">
        <v>44</v>
      </c>
      <c r="C46" s="8"/>
      <c r="E46" s="383"/>
      <c r="F46" s="380"/>
      <c r="G46" s="8"/>
      <c r="H46" s="8"/>
      <c r="I46" s="8"/>
      <c r="J46" s="9"/>
      <c r="K46" s="9">
        <f t="shared" si="0"/>
        <v>0</v>
      </c>
      <c r="L46" s="35">
        <f t="shared" si="1"/>
        <v>0</v>
      </c>
      <c r="M46" s="2"/>
      <c r="O46" s="19"/>
      <c r="P46" s="19"/>
      <c r="Q46" s="19"/>
      <c r="R46" s="21"/>
      <c r="S46" s="46"/>
      <c r="T46" s="44"/>
      <c r="U46" s="77"/>
      <c r="V46" s="24"/>
      <c r="W46" s="24"/>
      <c r="X46" s="193"/>
      <c r="Y46" s="15"/>
      <c r="AA46">
        <v>8</v>
      </c>
      <c r="AB46" s="487"/>
      <c r="AC46" s="90">
        <v>2</v>
      </c>
      <c r="AD46" s="97" t="s">
        <v>97</v>
      </c>
      <c r="AE46" s="39">
        <f t="shared" si="2"/>
        <v>0</v>
      </c>
      <c r="AF46" s="65">
        <f t="shared" si="3"/>
        <v>0</v>
      </c>
      <c r="AG46" s="65">
        <f t="shared" si="4"/>
        <v>0</v>
      </c>
      <c r="AH46" s="65">
        <f t="shared" si="5"/>
        <v>0</v>
      </c>
      <c r="AI46" s="104">
        <f t="shared" si="6"/>
        <v>0</v>
      </c>
      <c r="AJ46" s="115">
        <f t="shared" si="7"/>
        <v>0</v>
      </c>
      <c r="AK46" s="116">
        <f t="shared" si="8"/>
        <v>0</v>
      </c>
      <c r="AL46" s="116">
        <f t="shared" si="9"/>
        <v>0</v>
      </c>
      <c r="AM46" s="116">
        <f t="shared" si="10"/>
        <v>0</v>
      </c>
      <c r="AN46" s="117">
        <f t="shared" si="11"/>
        <v>0</v>
      </c>
      <c r="AO46" s="39">
        <f t="shared" si="12"/>
        <v>0</v>
      </c>
      <c r="AP46" s="65">
        <f t="shared" si="13"/>
        <v>0</v>
      </c>
      <c r="AQ46" s="65">
        <f t="shared" si="14"/>
        <v>0</v>
      </c>
      <c r="AR46" s="65">
        <f t="shared" si="15"/>
        <v>0</v>
      </c>
      <c r="AS46" s="65">
        <f t="shared" si="16"/>
        <v>0</v>
      </c>
    </row>
    <row r="47" spans="2:49" x14ac:dyDescent="0.25">
      <c r="B47" s="15">
        <v>45</v>
      </c>
      <c r="C47" s="8"/>
      <c r="E47" s="383"/>
      <c r="F47" s="380"/>
      <c r="G47" s="8"/>
      <c r="H47" s="8"/>
      <c r="I47" s="8"/>
      <c r="J47" s="9"/>
      <c r="K47" s="9">
        <f t="shared" si="0"/>
        <v>0</v>
      </c>
      <c r="L47" s="35">
        <f t="shared" si="1"/>
        <v>0</v>
      </c>
      <c r="M47" s="2"/>
      <c r="O47" s="19"/>
      <c r="P47" s="19"/>
      <c r="Q47" s="19"/>
      <c r="R47" s="21"/>
      <c r="S47" s="46"/>
      <c r="T47" s="44"/>
      <c r="U47" s="77"/>
      <c r="V47" s="24"/>
      <c r="W47" s="24"/>
      <c r="X47" s="193"/>
      <c r="Y47" s="15"/>
      <c r="AA47">
        <v>8</v>
      </c>
      <c r="AB47" s="487"/>
      <c r="AC47" s="90">
        <v>3</v>
      </c>
      <c r="AD47" s="97" t="s">
        <v>98</v>
      </c>
      <c r="AE47" s="39">
        <f t="shared" si="2"/>
        <v>0</v>
      </c>
      <c r="AF47" s="65">
        <f t="shared" si="3"/>
        <v>0</v>
      </c>
      <c r="AG47" s="65">
        <f t="shared" si="4"/>
        <v>0</v>
      </c>
      <c r="AH47" s="65">
        <f t="shared" si="5"/>
        <v>0</v>
      </c>
      <c r="AI47" s="104">
        <f t="shared" si="6"/>
        <v>0</v>
      </c>
      <c r="AJ47" s="115">
        <f t="shared" si="7"/>
        <v>0</v>
      </c>
      <c r="AK47" s="116">
        <f t="shared" si="8"/>
        <v>0</v>
      </c>
      <c r="AL47" s="116">
        <f t="shared" si="9"/>
        <v>0</v>
      </c>
      <c r="AM47" s="116">
        <f t="shared" si="10"/>
        <v>0</v>
      </c>
      <c r="AN47" s="117">
        <f t="shared" si="11"/>
        <v>0</v>
      </c>
      <c r="AO47" s="39">
        <f t="shared" si="12"/>
        <v>0</v>
      </c>
      <c r="AP47" s="65">
        <f t="shared" si="13"/>
        <v>0</v>
      </c>
      <c r="AQ47" s="65">
        <f t="shared" si="14"/>
        <v>0</v>
      </c>
      <c r="AR47" s="65">
        <f t="shared" si="15"/>
        <v>0</v>
      </c>
      <c r="AS47" s="65">
        <f t="shared" si="16"/>
        <v>0</v>
      </c>
    </row>
    <row r="48" spans="2:49" x14ac:dyDescent="0.25">
      <c r="B48" s="15">
        <v>46</v>
      </c>
      <c r="C48" s="8"/>
      <c r="E48" s="383"/>
      <c r="F48" s="380"/>
      <c r="G48" s="8"/>
      <c r="H48" s="8"/>
      <c r="I48" s="8"/>
      <c r="J48" s="9"/>
      <c r="K48" s="9">
        <f t="shared" si="0"/>
        <v>0</v>
      </c>
      <c r="L48" s="35">
        <f t="shared" si="1"/>
        <v>0</v>
      </c>
      <c r="M48" s="2"/>
      <c r="O48" s="19"/>
      <c r="P48" s="19"/>
      <c r="Q48" s="19"/>
      <c r="R48" s="21"/>
      <c r="S48" s="46"/>
      <c r="T48" s="44"/>
      <c r="U48" s="77"/>
      <c r="V48" s="24"/>
      <c r="W48" s="24"/>
      <c r="X48" s="193"/>
      <c r="Y48" s="15"/>
      <c r="AA48">
        <v>8</v>
      </c>
      <c r="AB48" s="487"/>
      <c r="AC48" s="90">
        <v>4</v>
      </c>
      <c r="AD48" s="97" t="s">
        <v>99</v>
      </c>
      <c r="AE48" s="39">
        <f t="shared" si="2"/>
        <v>0</v>
      </c>
      <c r="AF48" s="65">
        <f t="shared" si="3"/>
        <v>0</v>
      </c>
      <c r="AG48" s="65">
        <f t="shared" si="4"/>
        <v>0</v>
      </c>
      <c r="AH48" s="65">
        <f t="shared" si="5"/>
        <v>0</v>
      </c>
      <c r="AI48" s="104">
        <f t="shared" si="6"/>
        <v>0</v>
      </c>
      <c r="AJ48" s="115">
        <f t="shared" si="7"/>
        <v>0</v>
      </c>
      <c r="AK48" s="116">
        <f t="shared" si="8"/>
        <v>0</v>
      </c>
      <c r="AL48" s="116">
        <f t="shared" si="9"/>
        <v>0</v>
      </c>
      <c r="AM48" s="116">
        <f t="shared" si="10"/>
        <v>0</v>
      </c>
      <c r="AN48" s="117">
        <f t="shared" si="11"/>
        <v>0</v>
      </c>
      <c r="AO48" s="39">
        <f t="shared" si="12"/>
        <v>0</v>
      </c>
      <c r="AP48" s="65">
        <f t="shared" si="13"/>
        <v>0</v>
      </c>
      <c r="AQ48" s="65">
        <f t="shared" si="14"/>
        <v>0</v>
      </c>
      <c r="AR48" s="65">
        <f t="shared" si="15"/>
        <v>0</v>
      </c>
      <c r="AS48" s="65">
        <f t="shared" si="16"/>
        <v>0</v>
      </c>
    </row>
    <row r="49" spans="2:45" x14ac:dyDescent="0.25">
      <c r="B49" s="15">
        <v>47</v>
      </c>
      <c r="C49" s="8"/>
      <c r="E49" s="383"/>
      <c r="F49" s="380"/>
      <c r="G49" s="8"/>
      <c r="H49" s="8"/>
      <c r="I49" s="8"/>
      <c r="K49" s="9">
        <f t="shared" si="0"/>
        <v>0</v>
      </c>
      <c r="L49" s="35">
        <f t="shared" si="1"/>
        <v>0</v>
      </c>
      <c r="M49" s="2"/>
      <c r="O49" s="19"/>
      <c r="P49" s="19"/>
      <c r="Q49" s="19"/>
      <c r="R49" s="21"/>
      <c r="S49" s="46"/>
      <c r="T49" s="44"/>
      <c r="U49" s="77"/>
      <c r="V49" s="30"/>
      <c r="W49" s="24"/>
      <c r="X49" s="193"/>
      <c r="Y49" s="15"/>
      <c r="AA49">
        <v>8</v>
      </c>
      <c r="AB49" s="487"/>
      <c r="AC49" s="91">
        <v>5</v>
      </c>
      <c r="AD49" s="100"/>
      <c r="AE49" s="39">
        <f t="shared" si="2"/>
        <v>0</v>
      </c>
      <c r="AF49" s="65">
        <f t="shared" si="3"/>
        <v>0</v>
      </c>
      <c r="AG49" s="65">
        <f t="shared" si="4"/>
        <v>0</v>
      </c>
      <c r="AH49" s="65">
        <f t="shared" si="5"/>
        <v>0</v>
      </c>
      <c r="AI49" s="104">
        <f t="shared" si="6"/>
        <v>0</v>
      </c>
      <c r="AJ49" s="115">
        <f t="shared" si="7"/>
        <v>0</v>
      </c>
      <c r="AK49" s="116">
        <f t="shared" si="8"/>
        <v>0</v>
      </c>
      <c r="AL49" s="116">
        <f t="shared" si="9"/>
        <v>0</v>
      </c>
      <c r="AM49" s="116">
        <f t="shared" si="10"/>
        <v>0</v>
      </c>
      <c r="AN49" s="117">
        <f t="shared" si="11"/>
        <v>0</v>
      </c>
      <c r="AO49" s="39">
        <f t="shared" si="12"/>
        <v>0</v>
      </c>
      <c r="AP49" s="65">
        <f t="shared" si="13"/>
        <v>0</v>
      </c>
      <c r="AQ49" s="65">
        <f t="shared" si="14"/>
        <v>0</v>
      </c>
      <c r="AR49" s="65">
        <f t="shared" si="15"/>
        <v>0</v>
      </c>
      <c r="AS49" s="65">
        <f t="shared" si="16"/>
        <v>0</v>
      </c>
    </row>
    <row r="50" spans="2:45" ht="14.25" thickBot="1" x14ac:dyDescent="0.3">
      <c r="B50" s="15">
        <v>48</v>
      </c>
      <c r="C50" s="8"/>
      <c r="E50" s="383"/>
      <c r="F50" s="380"/>
      <c r="G50" s="8"/>
      <c r="H50" s="8"/>
      <c r="I50" s="8"/>
      <c r="J50" s="9"/>
      <c r="K50" s="9">
        <f t="shared" si="0"/>
        <v>0</v>
      </c>
      <c r="L50" s="35">
        <f t="shared" si="1"/>
        <v>0</v>
      </c>
      <c r="M50" s="2"/>
      <c r="O50" s="19"/>
      <c r="P50" s="19"/>
      <c r="Q50" s="19"/>
      <c r="R50" s="21"/>
      <c r="S50" s="46"/>
      <c r="T50" s="44"/>
      <c r="U50" s="77"/>
      <c r="V50" s="30"/>
      <c r="W50" s="24"/>
      <c r="X50" s="193"/>
      <c r="Y50" s="15"/>
      <c r="AA50">
        <v>8</v>
      </c>
      <c r="AB50" s="488"/>
      <c r="AC50" s="92" t="s">
        <v>3</v>
      </c>
      <c r="AD50" s="101"/>
      <c r="AE50" s="94">
        <f t="shared" ref="AE50:AS50" si="28">SUM(AE45:AE49)</f>
        <v>41.28</v>
      </c>
      <c r="AF50" s="94">
        <f t="shared" si="28"/>
        <v>0</v>
      </c>
      <c r="AG50" s="94">
        <f t="shared" si="28"/>
        <v>41.28</v>
      </c>
      <c r="AH50" s="94">
        <f t="shared" si="28"/>
        <v>0</v>
      </c>
      <c r="AI50" s="105">
        <f t="shared" si="28"/>
        <v>0</v>
      </c>
      <c r="AJ50" s="118">
        <f t="shared" si="28"/>
        <v>1</v>
      </c>
      <c r="AK50" s="119">
        <f t="shared" si="28"/>
        <v>0</v>
      </c>
      <c r="AL50" s="119">
        <f t="shared" si="28"/>
        <v>1</v>
      </c>
      <c r="AM50" s="119">
        <f t="shared" si="28"/>
        <v>0</v>
      </c>
      <c r="AN50" s="120">
        <f t="shared" si="28"/>
        <v>0</v>
      </c>
      <c r="AO50" s="94">
        <f t="shared" si="28"/>
        <v>0.33</v>
      </c>
      <c r="AP50" s="94">
        <f t="shared" si="28"/>
        <v>0</v>
      </c>
      <c r="AQ50" s="94">
        <f t="shared" si="28"/>
        <v>0.33</v>
      </c>
      <c r="AR50" s="94">
        <f t="shared" si="28"/>
        <v>0</v>
      </c>
      <c r="AS50" s="94">
        <f t="shared" si="28"/>
        <v>0</v>
      </c>
    </row>
    <row r="51" spans="2:45" x14ac:dyDescent="0.25">
      <c r="B51" s="15">
        <v>49</v>
      </c>
      <c r="C51" s="8"/>
      <c r="E51" s="383"/>
      <c r="F51" s="380"/>
      <c r="G51" s="8"/>
      <c r="H51" s="8"/>
      <c r="I51" s="8"/>
      <c r="J51" s="9"/>
      <c r="K51" s="9">
        <f t="shared" si="0"/>
        <v>0</v>
      </c>
      <c r="L51" s="35">
        <f t="shared" si="1"/>
        <v>0</v>
      </c>
      <c r="M51" s="2"/>
      <c r="O51" s="19"/>
      <c r="P51" s="19"/>
      <c r="Q51" s="19"/>
      <c r="R51" s="21"/>
      <c r="S51" s="46"/>
      <c r="T51" s="44"/>
      <c r="U51" s="77"/>
      <c r="V51" s="30"/>
      <c r="W51" s="24"/>
      <c r="X51" s="193"/>
      <c r="Y51" s="15"/>
      <c r="AA51">
        <v>9</v>
      </c>
      <c r="AB51" s="486">
        <v>9</v>
      </c>
      <c r="AC51" s="89">
        <v>1</v>
      </c>
      <c r="AD51" s="95" t="s">
        <v>100</v>
      </c>
      <c r="AE51" s="39">
        <f t="shared" si="2"/>
        <v>0</v>
      </c>
      <c r="AF51" s="65">
        <f t="shared" si="3"/>
        <v>0</v>
      </c>
      <c r="AG51" s="65">
        <f t="shared" si="4"/>
        <v>0</v>
      </c>
      <c r="AH51" s="65">
        <f t="shared" si="5"/>
        <v>0</v>
      </c>
      <c r="AI51" s="104">
        <f t="shared" si="6"/>
        <v>0</v>
      </c>
      <c r="AJ51" s="115">
        <f t="shared" si="7"/>
        <v>0</v>
      </c>
      <c r="AK51" s="116">
        <f t="shared" si="8"/>
        <v>0</v>
      </c>
      <c r="AL51" s="116">
        <f t="shared" si="9"/>
        <v>0</v>
      </c>
      <c r="AM51" s="116">
        <f t="shared" si="10"/>
        <v>0</v>
      </c>
      <c r="AN51" s="117">
        <f t="shared" si="11"/>
        <v>0</v>
      </c>
      <c r="AO51" s="39">
        <f t="shared" si="12"/>
        <v>0</v>
      </c>
      <c r="AP51" s="65">
        <f t="shared" si="13"/>
        <v>0</v>
      </c>
      <c r="AQ51" s="65">
        <f t="shared" si="14"/>
        <v>0</v>
      </c>
      <c r="AR51" s="65">
        <f t="shared" si="15"/>
        <v>0</v>
      </c>
      <c r="AS51" s="65">
        <f t="shared" si="16"/>
        <v>0</v>
      </c>
    </row>
    <row r="52" spans="2:45" x14ac:dyDescent="0.25">
      <c r="B52" s="15">
        <v>50</v>
      </c>
      <c r="C52" s="8"/>
      <c r="E52" s="383"/>
      <c r="F52" s="380"/>
      <c r="G52" s="8"/>
      <c r="H52" s="8"/>
      <c r="I52" s="8"/>
      <c r="J52" s="9"/>
      <c r="K52" s="9">
        <f t="shared" si="0"/>
        <v>0</v>
      </c>
      <c r="L52" s="35">
        <f t="shared" si="1"/>
        <v>0</v>
      </c>
      <c r="M52" s="2"/>
      <c r="O52" s="19"/>
      <c r="P52" s="19"/>
      <c r="Q52" s="19"/>
      <c r="R52" s="21"/>
      <c r="S52" s="46"/>
      <c r="T52" s="44"/>
      <c r="U52" s="77"/>
      <c r="V52" s="30"/>
      <c r="W52" s="24"/>
      <c r="X52" s="193"/>
      <c r="Y52" s="15"/>
      <c r="AA52">
        <v>9</v>
      </c>
      <c r="AB52" s="487"/>
      <c r="AC52" s="90">
        <v>2</v>
      </c>
      <c r="AD52" s="97" t="s">
        <v>101</v>
      </c>
      <c r="AE52" s="39">
        <f t="shared" si="2"/>
        <v>0</v>
      </c>
      <c r="AF52" s="65">
        <f t="shared" si="3"/>
        <v>0</v>
      </c>
      <c r="AG52" s="65">
        <f t="shared" si="4"/>
        <v>0</v>
      </c>
      <c r="AH52" s="65">
        <f t="shared" si="5"/>
        <v>0</v>
      </c>
      <c r="AI52" s="104">
        <f t="shared" si="6"/>
        <v>0</v>
      </c>
      <c r="AJ52" s="115">
        <f t="shared" si="7"/>
        <v>0</v>
      </c>
      <c r="AK52" s="116">
        <f t="shared" si="8"/>
        <v>0</v>
      </c>
      <c r="AL52" s="116">
        <f t="shared" si="9"/>
        <v>0</v>
      </c>
      <c r="AM52" s="116">
        <f t="shared" si="10"/>
        <v>0</v>
      </c>
      <c r="AN52" s="117">
        <f t="shared" si="11"/>
        <v>0</v>
      </c>
      <c r="AO52" s="39">
        <f t="shared" si="12"/>
        <v>0</v>
      </c>
      <c r="AP52" s="65">
        <f t="shared" si="13"/>
        <v>0</v>
      </c>
      <c r="AQ52" s="65">
        <f t="shared" si="14"/>
        <v>0</v>
      </c>
      <c r="AR52" s="65">
        <f t="shared" si="15"/>
        <v>0</v>
      </c>
      <c r="AS52" s="65">
        <f t="shared" si="16"/>
        <v>0</v>
      </c>
    </row>
    <row r="53" spans="2:45" x14ac:dyDescent="0.25">
      <c r="B53" s="15">
        <v>51</v>
      </c>
      <c r="C53" s="8"/>
      <c r="E53" s="383"/>
      <c r="F53" s="380"/>
      <c r="G53" s="8"/>
      <c r="H53" s="8"/>
      <c r="I53" s="8"/>
      <c r="J53" s="9"/>
      <c r="K53" s="9">
        <f t="shared" si="0"/>
        <v>0</v>
      </c>
      <c r="L53" s="35">
        <f t="shared" si="1"/>
        <v>0</v>
      </c>
      <c r="M53" s="2"/>
      <c r="O53" s="19"/>
      <c r="P53" s="19"/>
      <c r="Q53" s="19"/>
      <c r="R53" s="21"/>
      <c r="S53" s="46"/>
      <c r="T53" s="44"/>
      <c r="U53" s="77"/>
      <c r="V53" s="30"/>
      <c r="W53" s="24"/>
      <c r="X53" s="193"/>
      <c r="Y53" s="15"/>
      <c r="AA53">
        <v>9</v>
      </c>
      <c r="AB53" s="487"/>
      <c r="AC53" s="90">
        <v>3</v>
      </c>
      <c r="AD53" s="97" t="s">
        <v>102</v>
      </c>
      <c r="AE53" s="39">
        <f t="shared" si="2"/>
        <v>0</v>
      </c>
      <c r="AF53" s="65">
        <f t="shared" si="3"/>
        <v>0</v>
      </c>
      <c r="AG53" s="65">
        <f t="shared" si="4"/>
        <v>0</v>
      </c>
      <c r="AH53" s="65">
        <f t="shared" si="5"/>
        <v>0</v>
      </c>
      <c r="AI53" s="104">
        <f t="shared" si="6"/>
        <v>0</v>
      </c>
      <c r="AJ53" s="115">
        <f t="shared" si="7"/>
        <v>0</v>
      </c>
      <c r="AK53" s="116">
        <f t="shared" si="8"/>
        <v>0</v>
      </c>
      <c r="AL53" s="116">
        <f t="shared" si="9"/>
        <v>0</v>
      </c>
      <c r="AM53" s="116">
        <f t="shared" si="10"/>
        <v>0</v>
      </c>
      <c r="AN53" s="117">
        <f t="shared" si="11"/>
        <v>0</v>
      </c>
      <c r="AO53" s="39">
        <f t="shared" si="12"/>
        <v>0</v>
      </c>
      <c r="AP53" s="65">
        <f t="shared" si="13"/>
        <v>0</v>
      </c>
      <c r="AQ53" s="65">
        <f t="shared" si="14"/>
        <v>0</v>
      </c>
      <c r="AR53" s="65">
        <f t="shared" si="15"/>
        <v>0</v>
      </c>
      <c r="AS53" s="65">
        <f t="shared" si="16"/>
        <v>0</v>
      </c>
    </row>
    <row r="54" spans="2:45" x14ac:dyDescent="0.25">
      <c r="B54" s="15">
        <v>52</v>
      </c>
      <c r="C54" s="8"/>
      <c r="E54" s="383"/>
      <c r="F54" s="380"/>
      <c r="G54" s="8"/>
      <c r="H54" s="8"/>
      <c r="I54" s="8"/>
      <c r="J54" s="9"/>
      <c r="K54" s="9">
        <f t="shared" si="0"/>
        <v>0</v>
      </c>
      <c r="L54" s="35">
        <f t="shared" si="1"/>
        <v>0</v>
      </c>
      <c r="M54" s="2"/>
      <c r="O54" s="19"/>
      <c r="P54" s="19"/>
      <c r="Q54" s="19"/>
      <c r="R54" s="21"/>
      <c r="S54" s="46"/>
      <c r="T54" s="44"/>
      <c r="U54" s="77"/>
      <c r="V54" s="30"/>
      <c r="W54" s="24"/>
      <c r="X54" s="193"/>
      <c r="Y54" s="15"/>
      <c r="AA54">
        <v>9</v>
      </c>
      <c r="AB54" s="487"/>
      <c r="AC54" s="90">
        <v>4</v>
      </c>
      <c r="AD54" s="97" t="s">
        <v>103</v>
      </c>
      <c r="AE54" s="39">
        <f t="shared" si="2"/>
        <v>0</v>
      </c>
      <c r="AF54" s="65">
        <f t="shared" si="3"/>
        <v>0</v>
      </c>
      <c r="AG54" s="65">
        <f t="shared" si="4"/>
        <v>0</v>
      </c>
      <c r="AH54" s="65">
        <f t="shared" si="5"/>
        <v>0</v>
      </c>
      <c r="AI54" s="104">
        <f t="shared" si="6"/>
        <v>0</v>
      </c>
      <c r="AJ54" s="115">
        <f t="shared" si="7"/>
        <v>0</v>
      </c>
      <c r="AK54" s="116">
        <f t="shared" si="8"/>
        <v>0</v>
      </c>
      <c r="AL54" s="116">
        <f t="shared" si="9"/>
        <v>0</v>
      </c>
      <c r="AM54" s="116">
        <f t="shared" si="10"/>
        <v>0</v>
      </c>
      <c r="AN54" s="117">
        <f t="shared" si="11"/>
        <v>0</v>
      </c>
      <c r="AO54" s="39">
        <f t="shared" si="12"/>
        <v>0</v>
      </c>
      <c r="AP54" s="65">
        <f t="shared" si="13"/>
        <v>0</v>
      </c>
      <c r="AQ54" s="65">
        <f t="shared" si="14"/>
        <v>0</v>
      </c>
      <c r="AR54" s="65">
        <f t="shared" si="15"/>
        <v>0</v>
      </c>
      <c r="AS54" s="65">
        <f t="shared" si="16"/>
        <v>0</v>
      </c>
    </row>
    <row r="55" spans="2:45" x14ac:dyDescent="0.25">
      <c r="B55" s="15">
        <v>53</v>
      </c>
      <c r="C55" s="8"/>
      <c r="E55" s="383"/>
      <c r="F55" s="380"/>
      <c r="G55" s="8"/>
      <c r="H55" s="8"/>
      <c r="I55" s="8"/>
      <c r="J55" s="9"/>
      <c r="K55" s="9">
        <f t="shared" si="0"/>
        <v>0</v>
      </c>
      <c r="L55" s="35">
        <f t="shared" si="1"/>
        <v>0</v>
      </c>
      <c r="M55" s="2"/>
      <c r="O55" s="19"/>
      <c r="P55" s="19"/>
      <c r="Q55" s="19"/>
      <c r="R55" s="21"/>
      <c r="S55" s="46"/>
      <c r="T55" s="44"/>
      <c r="U55" s="77"/>
      <c r="V55" s="24"/>
      <c r="W55" s="24"/>
      <c r="X55" s="193"/>
      <c r="Y55" s="15"/>
      <c r="AA55">
        <v>9</v>
      </c>
      <c r="AB55" s="487"/>
      <c r="AC55" s="91">
        <v>5</v>
      </c>
      <c r="AD55" s="100"/>
      <c r="AE55" s="39">
        <f t="shared" si="2"/>
        <v>0</v>
      </c>
      <c r="AF55" s="65">
        <f t="shared" si="3"/>
        <v>0</v>
      </c>
      <c r="AG55" s="65">
        <f t="shared" si="4"/>
        <v>0</v>
      </c>
      <c r="AH55" s="65">
        <f t="shared" si="5"/>
        <v>0</v>
      </c>
      <c r="AI55" s="104">
        <f t="shared" si="6"/>
        <v>0</v>
      </c>
      <c r="AJ55" s="115">
        <f t="shared" si="7"/>
        <v>0</v>
      </c>
      <c r="AK55" s="116">
        <f t="shared" si="8"/>
        <v>0</v>
      </c>
      <c r="AL55" s="116">
        <f t="shared" si="9"/>
        <v>0</v>
      </c>
      <c r="AM55" s="116">
        <f t="shared" si="10"/>
        <v>0</v>
      </c>
      <c r="AN55" s="117">
        <f t="shared" si="11"/>
        <v>0</v>
      </c>
      <c r="AO55" s="39">
        <f t="shared" si="12"/>
        <v>0</v>
      </c>
      <c r="AP55" s="65">
        <f t="shared" si="13"/>
        <v>0</v>
      </c>
      <c r="AQ55" s="65">
        <f t="shared" si="14"/>
        <v>0</v>
      </c>
      <c r="AR55" s="65">
        <f t="shared" si="15"/>
        <v>0</v>
      </c>
      <c r="AS55" s="65">
        <f t="shared" si="16"/>
        <v>0</v>
      </c>
    </row>
    <row r="56" spans="2:45" ht="14.25" thickBot="1" x14ac:dyDescent="0.3">
      <c r="B56" s="15">
        <v>54</v>
      </c>
      <c r="C56" s="8"/>
      <c r="E56" s="383"/>
      <c r="F56" s="380"/>
      <c r="G56" s="8"/>
      <c r="H56" s="8"/>
      <c r="I56" s="8"/>
      <c r="J56" s="9"/>
      <c r="K56" s="9">
        <f t="shared" si="0"/>
        <v>0</v>
      </c>
      <c r="L56" s="35">
        <f t="shared" si="1"/>
        <v>0</v>
      </c>
      <c r="O56" s="19"/>
      <c r="P56" s="19"/>
      <c r="Q56" s="19"/>
      <c r="R56" s="21"/>
      <c r="S56" s="46"/>
      <c r="T56" s="44"/>
      <c r="U56" s="76"/>
      <c r="V56" s="24"/>
      <c r="W56" s="24"/>
      <c r="X56" s="193"/>
      <c r="Y56" s="15"/>
      <c r="AA56">
        <v>9</v>
      </c>
      <c r="AB56" s="488"/>
      <c r="AC56" s="92" t="s">
        <v>3</v>
      </c>
      <c r="AD56" s="101"/>
      <c r="AE56" s="94">
        <f t="shared" ref="AE56:AS56" si="29">SUM(AE51:AE55)</f>
        <v>0</v>
      </c>
      <c r="AF56" s="94">
        <f t="shared" si="29"/>
        <v>0</v>
      </c>
      <c r="AG56" s="94">
        <f t="shared" si="29"/>
        <v>0</v>
      </c>
      <c r="AH56" s="94">
        <f t="shared" si="29"/>
        <v>0</v>
      </c>
      <c r="AI56" s="105">
        <f t="shared" si="29"/>
        <v>0</v>
      </c>
      <c r="AJ56" s="118">
        <f t="shared" si="29"/>
        <v>0</v>
      </c>
      <c r="AK56" s="119">
        <f t="shared" si="29"/>
        <v>0</v>
      </c>
      <c r="AL56" s="119">
        <f t="shared" si="29"/>
        <v>0</v>
      </c>
      <c r="AM56" s="119">
        <f t="shared" si="29"/>
        <v>0</v>
      </c>
      <c r="AN56" s="120">
        <f t="shared" si="29"/>
        <v>0</v>
      </c>
      <c r="AO56" s="94">
        <f t="shared" si="29"/>
        <v>0</v>
      </c>
      <c r="AP56" s="94">
        <f t="shared" si="29"/>
        <v>0</v>
      </c>
      <c r="AQ56" s="94">
        <f t="shared" si="29"/>
        <v>0</v>
      </c>
      <c r="AR56" s="94">
        <f t="shared" si="29"/>
        <v>0</v>
      </c>
      <c r="AS56" s="94">
        <f t="shared" si="29"/>
        <v>0</v>
      </c>
    </row>
    <row r="57" spans="2:45" x14ac:dyDescent="0.25">
      <c r="B57" s="15">
        <v>55</v>
      </c>
      <c r="C57" s="8"/>
      <c r="E57" s="383"/>
      <c r="F57" s="380"/>
      <c r="G57" s="8"/>
      <c r="H57" s="8"/>
      <c r="I57" s="8"/>
      <c r="J57" s="9"/>
      <c r="K57" s="9">
        <f t="shared" si="0"/>
        <v>0</v>
      </c>
      <c r="L57" s="35">
        <f t="shared" si="1"/>
        <v>0</v>
      </c>
      <c r="M57" s="2"/>
      <c r="O57" s="19"/>
      <c r="P57" s="19"/>
      <c r="Q57" s="19"/>
      <c r="R57" s="21"/>
      <c r="S57" s="46"/>
      <c r="T57" s="44"/>
      <c r="U57" s="77"/>
      <c r="V57" s="30"/>
      <c r="W57" s="24"/>
      <c r="X57" s="193"/>
      <c r="Y57" s="15"/>
      <c r="AA57">
        <v>10</v>
      </c>
      <c r="AB57" s="486">
        <v>10</v>
      </c>
      <c r="AC57" s="89">
        <v>1</v>
      </c>
      <c r="AD57" s="95" t="s">
        <v>104</v>
      </c>
      <c r="AE57" s="39">
        <f t="shared" si="2"/>
        <v>0</v>
      </c>
      <c r="AF57" s="65">
        <f t="shared" si="3"/>
        <v>0</v>
      </c>
      <c r="AG57" s="65">
        <f t="shared" si="4"/>
        <v>0</v>
      </c>
      <c r="AH57" s="65">
        <f t="shared" si="5"/>
        <v>0</v>
      </c>
      <c r="AI57" s="104">
        <f t="shared" si="6"/>
        <v>0</v>
      </c>
      <c r="AJ57" s="115">
        <f t="shared" si="7"/>
        <v>0</v>
      </c>
      <c r="AK57" s="116">
        <f t="shared" si="8"/>
        <v>0</v>
      </c>
      <c r="AL57" s="116">
        <f t="shared" si="9"/>
        <v>0</v>
      </c>
      <c r="AM57" s="116">
        <f t="shared" si="10"/>
        <v>0</v>
      </c>
      <c r="AN57" s="117">
        <f t="shared" si="11"/>
        <v>0</v>
      </c>
      <c r="AO57" s="39">
        <f t="shared" si="12"/>
        <v>0</v>
      </c>
      <c r="AP57" s="65">
        <f t="shared" si="13"/>
        <v>0</v>
      </c>
      <c r="AQ57" s="65">
        <f t="shared" si="14"/>
        <v>0</v>
      </c>
      <c r="AR57" s="65">
        <f t="shared" si="15"/>
        <v>0</v>
      </c>
      <c r="AS57" s="65">
        <f t="shared" si="16"/>
        <v>0</v>
      </c>
    </row>
    <row r="58" spans="2:45" x14ac:dyDescent="0.25">
      <c r="B58" s="15">
        <v>56</v>
      </c>
      <c r="C58" s="8"/>
      <c r="E58" s="383"/>
      <c r="F58" s="380"/>
      <c r="G58" s="8"/>
      <c r="H58" s="8"/>
      <c r="I58" s="8"/>
      <c r="J58" s="9"/>
      <c r="K58" s="9">
        <f t="shared" si="0"/>
        <v>0</v>
      </c>
      <c r="L58" s="35">
        <f t="shared" si="1"/>
        <v>0</v>
      </c>
      <c r="M58" s="2"/>
      <c r="O58" s="19"/>
      <c r="P58" s="19"/>
      <c r="Q58" s="19"/>
      <c r="R58" s="21"/>
      <c r="S58" s="46"/>
      <c r="T58" s="44"/>
      <c r="U58" s="77"/>
      <c r="V58" s="30"/>
      <c r="W58" s="24"/>
      <c r="X58" s="193"/>
      <c r="Y58" s="15"/>
      <c r="AA58">
        <v>10</v>
      </c>
      <c r="AB58" s="487"/>
      <c r="AC58" s="90">
        <v>2</v>
      </c>
      <c r="AD58" s="96" t="s">
        <v>54</v>
      </c>
      <c r="AE58" s="39">
        <f t="shared" si="2"/>
        <v>0</v>
      </c>
      <c r="AF58" s="65">
        <f t="shared" si="3"/>
        <v>0</v>
      </c>
      <c r="AG58" s="65">
        <f t="shared" si="4"/>
        <v>0</v>
      </c>
      <c r="AH58" s="65">
        <f t="shared" si="5"/>
        <v>0</v>
      </c>
      <c r="AI58" s="104">
        <f t="shared" si="6"/>
        <v>0</v>
      </c>
      <c r="AJ58" s="115">
        <f t="shared" si="7"/>
        <v>0</v>
      </c>
      <c r="AK58" s="116">
        <f t="shared" si="8"/>
        <v>0</v>
      </c>
      <c r="AL58" s="116">
        <f t="shared" si="9"/>
        <v>0</v>
      </c>
      <c r="AM58" s="116">
        <f t="shared" si="10"/>
        <v>0</v>
      </c>
      <c r="AN58" s="117">
        <f t="shared" si="11"/>
        <v>0</v>
      </c>
      <c r="AO58" s="39">
        <f t="shared" si="12"/>
        <v>0</v>
      </c>
      <c r="AP58" s="65">
        <f t="shared" si="13"/>
        <v>0</v>
      </c>
      <c r="AQ58" s="65">
        <f t="shared" si="14"/>
        <v>0</v>
      </c>
      <c r="AR58" s="65">
        <f t="shared" si="15"/>
        <v>0</v>
      </c>
      <c r="AS58" s="65">
        <f t="shared" si="16"/>
        <v>0</v>
      </c>
    </row>
    <row r="59" spans="2:45" x14ac:dyDescent="0.25">
      <c r="B59" s="15">
        <v>57</v>
      </c>
      <c r="C59" s="8"/>
      <c r="E59" s="383"/>
      <c r="F59" s="380"/>
      <c r="G59" s="8"/>
      <c r="H59" s="8"/>
      <c r="I59" s="8"/>
      <c r="J59" s="9"/>
      <c r="K59" s="9">
        <f t="shared" si="0"/>
        <v>0</v>
      </c>
      <c r="L59" s="35">
        <f t="shared" si="1"/>
        <v>0</v>
      </c>
      <c r="M59" s="2"/>
      <c r="O59" s="19"/>
      <c r="P59" s="19"/>
      <c r="Q59" s="19"/>
      <c r="R59" s="21"/>
      <c r="S59" s="46"/>
      <c r="T59" s="44"/>
      <c r="U59" s="77"/>
      <c r="V59" s="30"/>
      <c r="W59" s="24"/>
      <c r="X59" s="193"/>
      <c r="Y59" s="15"/>
      <c r="AA59">
        <v>10</v>
      </c>
      <c r="AB59" s="487"/>
      <c r="AC59" s="90">
        <v>3</v>
      </c>
      <c r="AD59" s="97" t="s">
        <v>55</v>
      </c>
      <c r="AE59" s="39">
        <f t="shared" si="2"/>
        <v>0</v>
      </c>
      <c r="AF59" s="65">
        <f t="shared" si="3"/>
        <v>0</v>
      </c>
      <c r="AG59" s="65">
        <f t="shared" si="4"/>
        <v>0</v>
      </c>
      <c r="AH59" s="65">
        <f t="shared" si="5"/>
        <v>0</v>
      </c>
      <c r="AI59" s="104">
        <f t="shared" si="6"/>
        <v>0</v>
      </c>
      <c r="AJ59" s="115">
        <f t="shared" si="7"/>
        <v>0</v>
      </c>
      <c r="AK59" s="116">
        <f t="shared" si="8"/>
        <v>0</v>
      </c>
      <c r="AL59" s="116">
        <f t="shared" si="9"/>
        <v>0</v>
      </c>
      <c r="AM59" s="116">
        <f t="shared" si="10"/>
        <v>0</v>
      </c>
      <c r="AN59" s="117">
        <f t="shared" si="11"/>
        <v>0</v>
      </c>
      <c r="AO59" s="39">
        <f t="shared" si="12"/>
        <v>0</v>
      </c>
      <c r="AP59" s="65">
        <f t="shared" si="13"/>
        <v>0</v>
      </c>
      <c r="AQ59" s="65">
        <f t="shared" si="14"/>
        <v>0</v>
      </c>
      <c r="AR59" s="65">
        <f t="shared" si="15"/>
        <v>0</v>
      </c>
      <c r="AS59" s="65">
        <f t="shared" si="16"/>
        <v>0</v>
      </c>
    </row>
    <row r="60" spans="2:45" x14ac:dyDescent="0.25">
      <c r="B60" s="15">
        <v>58</v>
      </c>
      <c r="C60" s="8"/>
      <c r="E60" s="383"/>
      <c r="F60" s="380"/>
      <c r="G60" s="8"/>
      <c r="H60" s="8"/>
      <c r="I60" s="8"/>
      <c r="J60" s="9"/>
      <c r="K60" s="9">
        <f t="shared" si="0"/>
        <v>0</v>
      </c>
      <c r="L60" s="35">
        <f t="shared" si="1"/>
        <v>0</v>
      </c>
      <c r="M60" s="2"/>
      <c r="O60" s="19"/>
      <c r="P60" s="19"/>
      <c r="Q60" s="19"/>
      <c r="R60" s="21"/>
      <c r="S60" s="46"/>
      <c r="T60" s="44"/>
      <c r="U60" s="77"/>
      <c r="V60" s="30"/>
      <c r="W60" s="24"/>
      <c r="X60" s="193"/>
      <c r="Y60" s="15"/>
      <c r="AA60">
        <v>10</v>
      </c>
      <c r="AB60" s="487"/>
      <c r="AC60" s="90">
        <v>4</v>
      </c>
      <c r="AD60" s="97" t="s">
        <v>56</v>
      </c>
      <c r="AE60" s="39">
        <f t="shared" si="2"/>
        <v>0</v>
      </c>
      <c r="AF60" s="65">
        <f t="shared" si="3"/>
        <v>0</v>
      </c>
      <c r="AG60" s="65">
        <f t="shared" si="4"/>
        <v>0</v>
      </c>
      <c r="AH60" s="65">
        <f t="shared" si="5"/>
        <v>0</v>
      </c>
      <c r="AI60" s="104">
        <f t="shared" si="6"/>
        <v>0</v>
      </c>
      <c r="AJ60" s="115">
        <f t="shared" si="7"/>
        <v>0</v>
      </c>
      <c r="AK60" s="116">
        <f t="shared" si="8"/>
        <v>0</v>
      </c>
      <c r="AL60" s="116">
        <f t="shared" si="9"/>
        <v>0</v>
      </c>
      <c r="AM60" s="116">
        <f t="shared" si="10"/>
        <v>0</v>
      </c>
      <c r="AN60" s="117">
        <f t="shared" si="11"/>
        <v>0</v>
      </c>
      <c r="AO60" s="39">
        <f t="shared" si="12"/>
        <v>0</v>
      </c>
      <c r="AP60" s="65">
        <f t="shared" si="13"/>
        <v>0</v>
      </c>
      <c r="AQ60" s="65">
        <f t="shared" si="14"/>
        <v>0</v>
      </c>
      <c r="AR60" s="65">
        <f t="shared" si="15"/>
        <v>0</v>
      </c>
      <c r="AS60" s="65">
        <f t="shared" si="16"/>
        <v>0</v>
      </c>
    </row>
    <row r="61" spans="2:45" x14ac:dyDescent="0.25">
      <c r="B61" s="15">
        <v>59</v>
      </c>
      <c r="C61" s="8"/>
      <c r="E61" s="383"/>
      <c r="F61" s="380"/>
      <c r="G61" s="8"/>
      <c r="H61" s="8"/>
      <c r="I61" s="8"/>
      <c r="J61" s="9"/>
      <c r="K61" s="9">
        <f t="shared" si="0"/>
        <v>0</v>
      </c>
      <c r="L61" s="35">
        <f t="shared" si="1"/>
        <v>0</v>
      </c>
      <c r="M61" s="2"/>
      <c r="O61" s="19"/>
      <c r="P61" s="19"/>
      <c r="Q61" s="19"/>
      <c r="R61" s="21"/>
      <c r="S61" s="46"/>
      <c r="T61" s="44"/>
      <c r="U61" s="77"/>
      <c r="V61" s="30"/>
      <c r="W61" s="24"/>
      <c r="X61" s="193"/>
      <c r="Y61" s="15"/>
      <c r="AA61">
        <v>10</v>
      </c>
      <c r="AB61" s="487"/>
      <c r="AC61" s="91">
        <v>5</v>
      </c>
      <c r="AD61" s="51" t="s">
        <v>57</v>
      </c>
      <c r="AE61" s="39">
        <f t="shared" si="2"/>
        <v>0</v>
      </c>
      <c r="AF61" s="65">
        <f t="shared" si="3"/>
        <v>0</v>
      </c>
      <c r="AG61" s="65">
        <f t="shared" si="4"/>
        <v>0</v>
      </c>
      <c r="AH61" s="65">
        <f t="shared" si="5"/>
        <v>0</v>
      </c>
      <c r="AI61" s="104">
        <f t="shared" si="6"/>
        <v>0</v>
      </c>
      <c r="AJ61" s="115">
        <f t="shared" si="7"/>
        <v>0</v>
      </c>
      <c r="AK61" s="116">
        <f t="shared" si="8"/>
        <v>0</v>
      </c>
      <c r="AL61" s="116">
        <f t="shared" si="9"/>
        <v>0</v>
      </c>
      <c r="AM61" s="116">
        <f t="shared" si="10"/>
        <v>0</v>
      </c>
      <c r="AN61" s="117">
        <f t="shared" si="11"/>
        <v>0</v>
      </c>
      <c r="AO61" s="39">
        <f t="shared" si="12"/>
        <v>0</v>
      </c>
      <c r="AP61" s="65">
        <f t="shared" si="13"/>
        <v>0</v>
      </c>
      <c r="AQ61" s="65">
        <f t="shared" si="14"/>
        <v>0</v>
      </c>
      <c r="AR61" s="65">
        <f t="shared" si="15"/>
        <v>0</v>
      </c>
      <c r="AS61" s="65">
        <f t="shared" si="16"/>
        <v>0</v>
      </c>
    </row>
    <row r="62" spans="2:45" ht="14.25" thickBot="1" x14ac:dyDescent="0.3">
      <c r="B62" s="15">
        <v>60</v>
      </c>
      <c r="C62" s="8"/>
      <c r="E62" s="383"/>
      <c r="F62" s="380"/>
      <c r="G62" s="8"/>
      <c r="H62" s="8"/>
      <c r="I62" s="8"/>
      <c r="J62" s="9"/>
      <c r="K62" s="9">
        <f t="shared" si="0"/>
        <v>0</v>
      </c>
      <c r="L62" s="35">
        <f t="shared" si="1"/>
        <v>0</v>
      </c>
      <c r="M62" s="2"/>
      <c r="O62" s="19"/>
      <c r="P62" s="19"/>
      <c r="Q62" s="19"/>
      <c r="R62" s="21"/>
      <c r="S62" s="46"/>
      <c r="T62" s="44"/>
      <c r="U62" s="77"/>
      <c r="V62" s="30"/>
      <c r="W62" s="24"/>
      <c r="X62" s="193"/>
      <c r="Y62" s="15"/>
      <c r="AA62">
        <v>10</v>
      </c>
      <c r="AB62" s="488"/>
      <c r="AC62" s="92" t="s">
        <v>3</v>
      </c>
      <c r="AD62" s="101"/>
      <c r="AE62" s="94">
        <f t="shared" ref="AE62:AS62" si="30">SUM(AE57:AE61)</f>
        <v>0</v>
      </c>
      <c r="AF62" s="94">
        <f t="shared" si="30"/>
        <v>0</v>
      </c>
      <c r="AG62" s="94">
        <f t="shared" si="30"/>
        <v>0</v>
      </c>
      <c r="AH62" s="94">
        <f t="shared" si="30"/>
        <v>0</v>
      </c>
      <c r="AI62" s="105">
        <f t="shared" si="30"/>
        <v>0</v>
      </c>
      <c r="AJ62" s="118">
        <f t="shared" si="30"/>
        <v>0</v>
      </c>
      <c r="AK62" s="119">
        <f t="shared" si="30"/>
        <v>0</v>
      </c>
      <c r="AL62" s="119">
        <f t="shared" si="30"/>
        <v>0</v>
      </c>
      <c r="AM62" s="119">
        <f t="shared" si="30"/>
        <v>0</v>
      </c>
      <c r="AN62" s="120">
        <f t="shared" si="30"/>
        <v>0</v>
      </c>
      <c r="AO62" s="94">
        <f t="shared" si="30"/>
        <v>0</v>
      </c>
      <c r="AP62" s="94">
        <f t="shared" si="30"/>
        <v>0</v>
      </c>
      <c r="AQ62" s="94">
        <f t="shared" si="30"/>
        <v>0</v>
      </c>
      <c r="AR62" s="94">
        <f t="shared" si="30"/>
        <v>0</v>
      </c>
      <c r="AS62" s="94">
        <f t="shared" si="30"/>
        <v>0</v>
      </c>
    </row>
    <row r="63" spans="2:45" x14ac:dyDescent="0.25">
      <c r="B63" s="15">
        <v>61</v>
      </c>
      <c r="C63" s="8"/>
      <c r="E63" s="383"/>
      <c r="F63" s="380"/>
      <c r="G63" s="8"/>
      <c r="H63" s="8"/>
      <c r="I63" s="8"/>
      <c r="J63" s="9"/>
      <c r="K63" s="9">
        <f t="shared" si="0"/>
        <v>0</v>
      </c>
      <c r="L63" s="35">
        <f t="shared" si="1"/>
        <v>0</v>
      </c>
      <c r="M63" s="2"/>
      <c r="O63" s="19"/>
      <c r="P63" s="19"/>
      <c r="Q63" s="19"/>
      <c r="R63" s="21"/>
      <c r="S63" s="46"/>
      <c r="T63" s="44"/>
      <c r="U63" s="77"/>
      <c r="V63" s="30"/>
      <c r="W63" s="24"/>
      <c r="X63" s="193"/>
      <c r="Y63" s="15"/>
      <c r="AA63">
        <v>11</v>
      </c>
      <c r="AB63" s="486">
        <v>11</v>
      </c>
      <c r="AC63" s="89">
        <v>1</v>
      </c>
      <c r="AD63" s="95" t="s">
        <v>105</v>
      </c>
      <c r="AE63" s="39">
        <f t="shared" si="2"/>
        <v>0</v>
      </c>
      <c r="AF63" s="65">
        <f t="shared" si="3"/>
        <v>0</v>
      </c>
      <c r="AG63" s="65">
        <f t="shared" si="4"/>
        <v>0</v>
      </c>
      <c r="AH63" s="65">
        <f t="shared" si="5"/>
        <v>0</v>
      </c>
      <c r="AI63" s="104">
        <f t="shared" si="6"/>
        <v>0</v>
      </c>
      <c r="AJ63" s="115">
        <f t="shared" si="7"/>
        <v>0</v>
      </c>
      <c r="AK63" s="116">
        <f t="shared" si="8"/>
        <v>0</v>
      </c>
      <c r="AL63" s="116">
        <f t="shared" si="9"/>
        <v>0</v>
      </c>
      <c r="AM63" s="116">
        <f t="shared" si="10"/>
        <v>0</v>
      </c>
      <c r="AN63" s="117">
        <f t="shared" si="11"/>
        <v>0</v>
      </c>
      <c r="AO63" s="39">
        <f t="shared" si="12"/>
        <v>0</v>
      </c>
      <c r="AP63" s="65">
        <f t="shared" si="13"/>
        <v>0</v>
      </c>
      <c r="AQ63" s="65">
        <f t="shared" si="14"/>
        <v>0</v>
      </c>
      <c r="AR63" s="65">
        <f t="shared" si="15"/>
        <v>0</v>
      </c>
      <c r="AS63" s="65">
        <f t="shared" si="16"/>
        <v>0</v>
      </c>
    </row>
    <row r="64" spans="2:45" x14ac:dyDescent="0.25">
      <c r="B64" s="15">
        <v>62</v>
      </c>
      <c r="C64" s="8"/>
      <c r="E64" s="383"/>
      <c r="F64" s="380"/>
      <c r="G64" s="8"/>
      <c r="H64" s="8"/>
      <c r="I64" s="8"/>
      <c r="J64" s="9"/>
      <c r="K64" s="9">
        <f t="shared" si="0"/>
        <v>0</v>
      </c>
      <c r="L64" s="35">
        <f t="shared" si="1"/>
        <v>0</v>
      </c>
      <c r="M64" s="2"/>
      <c r="O64" s="19"/>
      <c r="P64" s="19"/>
      <c r="Q64" s="19"/>
      <c r="R64" s="21"/>
      <c r="S64" s="46"/>
      <c r="T64" s="44"/>
      <c r="U64" s="77"/>
      <c r="V64" s="30"/>
      <c r="W64" s="24"/>
      <c r="X64" s="193"/>
      <c r="Y64" s="15"/>
      <c r="AA64">
        <v>11</v>
      </c>
      <c r="AB64" s="487"/>
      <c r="AC64" s="90">
        <v>2</v>
      </c>
      <c r="AD64" s="97" t="s">
        <v>58</v>
      </c>
      <c r="AE64" s="39">
        <f t="shared" si="2"/>
        <v>0</v>
      </c>
      <c r="AF64" s="65">
        <f t="shared" si="3"/>
        <v>0</v>
      </c>
      <c r="AG64" s="65">
        <f t="shared" si="4"/>
        <v>0</v>
      </c>
      <c r="AH64" s="65">
        <f t="shared" si="5"/>
        <v>0</v>
      </c>
      <c r="AI64" s="104">
        <f t="shared" si="6"/>
        <v>0</v>
      </c>
      <c r="AJ64" s="115">
        <f t="shared" si="7"/>
        <v>0</v>
      </c>
      <c r="AK64" s="116">
        <f t="shared" si="8"/>
        <v>0</v>
      </c>
      <c r="AL64" s="116">
        <f t="shared" si="9"/>
        <v>0</v>
      </c>
      <c r="AM64" s="116">
        <f t="shared" si="10"/>
        <v>0</v>
      </c>
      <c r="AN64" s="117">
        <f t="shared" si="11"/>
        <v>0</v>
      </c>
      <c r="AO64" s="39">
        <f t="shared" si="12"/>
        <v>0</v>
      </c>
      <c r="AP64" s="65">
        <f t="shared" si="13"/>
        <v>0</v>
      </c>
      <c r="AQ64" s="65">
        <f t="shared" si="14"/>
        <v>0</v>
      </c>
      <c r="AR64" s="65">
        <f t="shared" si="15"/>
        <v>0</v>
      </c>
      <c r="AS64" s="65">
        <f t="shared" si="16"/>
        <v>0</v>
      </c>
    </row>
    <row r="65" spans="2:45" x14ac:dyDescent="0.25">
      <c r="B65" s="15">
        <v>63</v>
      </c>
      <c r="C65" s="8"/>
      <c r="E65" s="383"/>
      <c r="F65" s="380"/>
      <c r="G65" s="8"/>
      <c r="H65" s="8"/>
      <c r="I65" s="8"/>
      <c r="J65" s="9"/>
      <c r="K65" s="9">
        <f t="shared" si="0"/>
        <v>0</v>
      </c>
      <c r="L65" s="35">
        <f t="shared" si="1"/>
        <v>0</v>
      </c>
      <c r="M65" s="2"/>
      <c r="O65" s="19"/>
      <c r="P65" s="19"/>
      <c r="Q65" s="19"/>
      <c r="R65" s="21"/>
      <c r="S65" s="46"/>
      <c r="T65" s="44"/>
      <c r="U65" s="77"/>
      <c r="V65" s="30"/>
      <c r="W65" s="24"/>
      <c r="X65" s="193"/>
      <c r="Y65" s="15"/>
      <c r="AA65">
        <v>11</v>
      </c>
      <c r="AB65" s="487"/>
      <c r="AC65" s="90">
        <v>3</v>
      </c>
      <c r="AD65" s="97" t="s">
        <v>59</v>
      </c>
      <c r="AE65" s="39">
        <f t="shared" si="2"/>
        <v>0</v>
      </c>
      <c r="AF65" s="65">
        <f t="shared" si="3"/>
        <v>0</v>
      </c>
      <c r="AG65" s="65">
        <f t="shared" si="4"/>
        <v>0</v>
      </c>
      <c r="AH65" s="65">
        <f t="shared" si="5"/>
        <v>0</v>
      </c>
      <c r="AI65" s="104">
        <f t="shared" si="6"/>
        <v>0</v>
      </c>
      <c r="AJ65" s="115">
        <f t="shared" si="7"/>
        <v>0</v>
      </c>
      <c r="AK65" s="116">
        <f t="shared" si="8"/>
        <v>0</v>
      </c>
      <c r="AL65" s="116">
        <f t="shared" si="9"/>
        <v>0</v>
      </c>
      <c r="AM65" s="116">
        <f t="shared" si="10"/>
        <v>0</v>
      </c>
      <c r="AN65" s="117">
        <f t="shared" si="11"/>
        <v>0</v>
      </c>
      <c r="AO65" s="39">
        <f t="shared" si="12"/>
        <v>0</v>
      </c>
      <c r="AP65" s="65">
        <f t="shared" si="13"/>
        <v>0</v>
      </c>
      <c r="AQ65" s="65">
        <f t="shared" si="14"/>
        <v>0</v>
      </c>
      <c r="AR65" s="65">
        <f t="shared" si="15"/>
        <v>0</v>
      </c>
      <c r="AS65" s="65">
        <f t="shared" si="16"/>
        <v>0</v>
      </c>
    </row>
    <row r="66" spans="2:45" x14ac:dyDescent="0.25">
      <c r="B66" s="15">
        <v>64</v>
      </c>
      <c r="C66" s="8"/>
      <c r="E66" s="383"/>
      <c r="F66" s="380"/>
      <c r="G66" s="8"/>
      <c r="H66" s="8"/>
      <c r="I66" s="8"/>
      <c r="J66" s="9"/>
      <c r="K66" s="9">
        <f t="shared" si="0"/>
        <v>0</v>
      </c>
      <c r="L66" s="35">
        <f t="shared" si="1"/>
        <v>0</v>
      </c>
      <c r="M66" s="2"/>
      <c r="O66" s="19"/>
      <c r="P66" s="19"/>
      <c r="Q66" s="19"/>
      <c r="R66" s="21"/>
      <c r="S66" s="46"/>
      <c r="T66" s="44"/>
      <c r="U66" s="77"/>
      <c r="V66" s="30"/>
      <c r="W66" s="24"/>
      <c r="X66" s="193"/>
      <c r="Y66" s="15"/>
      <c r="AA66">
        <v>11</v>
      </c>
      <c r="AB66" s="487"/>
      <c r="AC66" s="90">
        <v>4</v>
      </c>
      <c r="AD66" s="97" t="s">
        <v>60</v>
      </c>
      <c r="AE66" s="39">
        <f t="shared" si="2"/>
        <v>0</v>
      </c>
      <c r="AF66" s="65">
        <f t="shared" si="3"/>
        <v>0</v>
      </c>
      <c r="AG66" s="65">
        <f t="shared" si="4"/>
        <v>0</v>
      </c>
      <c r="AH66" s="65">
        <f t="shared" si="5"/>
        <v>0</v>
      </c>
      <c r="AI66" s="104">
        <f t="shared" si="6"/>
        <v>0</v>
      </c>
      <c r="AJ66" s="115">
        <f t="shared" si="7"/>
        <v>0</v>
      </c>
      <c r="AK66" s="116">
        <f t="shared" si="8"/>
        <v>0</v>
      </c>
      <c r="AL66" s="116">
        <f t="shared" si="9"/>
        <v>0</v>
      </c>
      <c r="AM66" s="116">
        <f t="shared" si="10"/>
        <v>0</v>
      </c>
      <c r="AN66" s="117">
        <f t="shared" si="11"/>
        <v>0</v>
      </c>
      <c r="AO66" s="39">
        <f t="shared" si="12"/>
        <v>0</v>
      </c>
      <c r="AP66" s="65">
        <f t="shared" si="13"/>
        <v>0</v>
      </c>
      <c r="AQ66" s="65">
        <f t="shared" si="14"/>
        <v>0</v>
      </c>
      <c r="AR66" s="65">
        <f t="shared" si="15"/>
        <v>0</v>
      </c>
      <c r="AS66" s="65">
        <f t="shared" si="16"/>
        <v>0</v>
      </c>
    </row>
    <row r="67" spans="2:45" x14ac:dyDescent="0.25">
      <c r="B67" s="15">
        <v>65</v>
      </c>
      <c r="C67" s="8"/>
      <c r="E67" s="383"/>
      <c r="F67" s="380"/>
      <c r="G67" s="8"/>
      <c r="H67" s="8"/>
      <c r="I67" s="8"/>
      <c r="J67" s="9"/>
      <c r="K67" s="9">
        <f t="shared" ref="K67:K130" si="31">J67*1.1</f>
        <v>0</v>
      </c>
      <c r="L67" s="35">
        <f t="shared" ref="L67:L130" si="32">J67*0.00000001</f>
        <v>0</v>
      </c>
      <c r="M67" s="2"/>
      <c r="O67" s="19"/>
      <c r="P67" s="19"/>
      <c r="Q67" s="19"/>
      <c r="R67" s="21"/>
      <c r="S67" s="46"/>
      <c r="T67" s="44"/>
      <c r="U67" s="77"/>
      <c r="V67" s="30"/>
      <c r="W67" s="24"/>
      <c r="X67" s="193"/>
      <c r="Y67" s="15"/>
      <c r="AA67">
        <v>11</v>
      </c>
      <c r="AB67" s="487"/>
      <c r="AC67" s="91">
        <v>5</v>
      </c>
      <c r="AD67" s="100"/>
      <c r="AE67" s="39">
        <f t="shared" si="2"/>
        <v>0</v>
      </c>
      <c r="AF67" s="65">
        <f t="shared" si="3"/>
        <v>0</v>
      </c>
      <c r="AG67" s="65">
        <f t="shared" si="4"/>
        <v>0</v>
      </c>
      <c r="AH67" s="65">
        <f t="shared" si="5"/>
        <v>0</v>
      </c>
      <c r="AI67" s="104">
        <f t="shared" si="6"/>
        <v>0</v>
      </c>
      <c r="AJ67" s="115">
        <f t="shared" si="7"/>
        <v>0</v>
      </c>
      <c r="AK67" s="116">
        <f t="shared" si="8"/>
        <v>0</v>
      </c>
      <c r="AL67" s="116">
        <f t="shared" si="9"/>
        <v>0</v>
      </c>
      <c r="AM67" s="116">
        <f t="shared" si="10"/>
        <v>0</v>
      </c>
      <c r="AN67" s="117">
        <f t="shared" si="11"/>
        <v>0</v>
      </c>
      <c r="AO67" s="39">
        <f t="shared" si="12"/>
        <v>0</v>
      </c>
      <c r="AP67" s="65">
        <f t="shared" si="13"/>
        <v>0</v>
      </c>
      <c r="AQ67" s="65">
        <f t="shared" si="14"/>
        <v>0</v>
      </c>
      <c r="AR67" s="65">
        <f t="shared" si="15"/>
        <v>0</v>
      </c>
      <c r="AS67" s="65">
        <f t="shared" si="16"/>
        <v>0</v>
      </c>
    </row>
    <row r="68" spans="2:45" ht="14.25" thickBot="1" x14ac:dyDescent="0.3">
      <c r="B68" s="15">
        <v>66</v>
      </c>
      <c r="C68" s="8"/>
      <c r="E68" s="383"/>
      <c r="F68" s="380"/>
      <c r="G68" s="8"/>
      <c r="H68" s="8"/>
      <c r="I68" s="8"/>
      <c r="J68" s="9"/>
      <c r="K68" s="9">
        <f t="shared" si="31"/>
        <v>0</v>
      </c>
      <c r="L68" s="35">
        <f t="shared" si="32"/>
        <v>0</v>
      </c>
      <c r="M68" s="2"/>
      <c r="O68" s="19"/>
      <c r="P68" s="19"/>
      <c r="Q68" s="19"/>
      <c r="R68" s="21"/>
      <c r="S68" s="46"/>
      <c r="T68" s="44"/>
      <c r="U68" s="77"/>
      <c r="V68" s="30"/>
      <c r="W68" s="24"/>
      <c r="X68" s="193"/>
      <c r="Y68" s="15"/>
      <c r="AA68">
        <v>11</v>
      </c>
      <c r="AB68" s="488"/>
      <c r="AC68" s="92" t="s">
        <v>3</v>
      </c>
      <c r="AD68" s="101"/>
      <c r="AE68" s="94">
        <f t="shared" ref="AE68:AS68" si="33">SUM(AE63:AE67)</f>
        <v>0</v>
      </c>
      <c r="AF68" s="94">
        <f t="shared" si="33"/>
        <v>0</v>
      </c>
      <c r="AG68" s="94">
        <f t="shared" si="33"/>
        <v>0</v>
      </c>
      <c r="AH68" s="94">
        <f t="shared" si="33"/>
        <v>0</v>
      </c>
      <c r="AI68" s="105">
        <f t="shared" si="33"/>
        <v>0</v>
      </c>
      <c r="AJ68" s="118">
        <f t="shared" si="33"/>
        <v>0</v>
      </c>
      <c r="AK68" s="119">
        <f t="shared" si="33"/>
        <v>0</v>
      </c>
      <c r="AL68" s="119">
        <f t="shared" si="33"/>
        <v>0</v>
      </c>
      <c r="AM68" s="119">
        <f t="shared" si="33"/>
        <v>0</v>
      </c>
      <c r="AN68" s="120">
        <f t="shared" si="33"/>
        <v>0</v>
      </c>
      <c r="AO68" s="94">
        <f t="shared" si="33"/>
        <v>0</v>
      </c>
      <c r="AP68" s="94">
        <f t="shared" si="33"/>
        <v>0</v>
      </c>
      <c r="AQ68" s="94">
        <f t="shared" si="33"/>
        <v>0</v>
      </c>
      <c r="AR68" s="94">
        <f t="shared" si="33"/>
        <v>0</v>
      </c>
      <c r="AS68" s="94">
        <f t="shared" si="33"/>
        <v>0</v>
      </c>
    </row>
    <row r="69" spans="2:45" x14ac:dyDescent="0.25">
      <c r="B69" s="15">
        <v>67</v>
      </c>
      <c r="C69" s="8"/>
      <c r="E69" s="383"/>
      <c r="F69" s="380"/>
      <c r="G69" s="8"/>
      <c r="H69" s="8"/>
      <c r="I69" s="8"/>
      <c r="J69" s="9"/>
      <c r="K69" s="9">
        <f t="shared" si="31"/>
        <v>0</v>
      </c>
      <c r="L69" s="35">
        <f t="shared" si="32"/>
        <v>0</v>
      </c>
      <c r="M69" s="2"/>
      <c r="O69" s="19"/>
      <c r="P69" s="19"/>
      <c r="Q69" s="19"/>
      <c r="R69" s="21"/>
      <c r="S69" s="46"/>
      <c r="T69" s="44"/>
      <c r="U69" s="77"/>
      <c r="V69" s="30"/>
      <c r="W69" s="24"/>
      <c r="X69" s="193"/>
      <c r="Y69" s="15"/>
      <c r="AA69">
        <v>12</v>
      </c>
      <c r="AB69" s="493">
        <v>12</v>
      </c>
      <c r="AC69" s="93">
        <v>1</v>
      </c>
      <c r="AD69" s="102" t="s">
        <v>106</v>
      </c>
      <c r="AE69" s="39">
        <f>SUM(AF69:AI69)</f>
        <v>0</v>
      </c>
      <c r="AF69" s="65">
        <f>SUMIFS($I:$I,$C:$C, $AF$2,$G:$G,$AA69,$H:$H,$AC69)</f>
        <v>0</v>
      </c>
      <c r="AG69" s="65">
        <f>SUMIFS($I:$I,$C:$C, $AG$2,$G:$G,$AA69,$H:$H,$AC69)</f>
        <v>0</v>
      </c>
      <c r="AH69" s="65">
        <f>SUMIFS($I:$I,$C:$C, $AH$2,$G:$G,$AA69,$H:$H,$AC69)</f>
        <v>0</v>
      </c>
      <c r="AI69" s="104">
        <f>SUMIFS($I:$I,$C:$C, $AI$2,$G:$G,$AA69,$H:$H,$AC69)</f>
        <v>0</v>
      </c>
      <c r="AJ69" s="115">
        <f>SUM(AK69:AN69)</f>
        <v>0</v>
      </c>
      <c r="AK69" s="116">
        <f>COUNTIFS($C:$C, $AK$2,$G:$G,$AA69,$H:$H,$AC69)</f>
        <v>0</v>
      </c>
      <c r="AL69" s="116">
        <f>COUNTIFS($C:$C, $AL$2,$G:$G,$AA69,$H:$H,$AC69)</f>
        <v>0</v>
      </c>
      <c r="AM69" s="116">
        <f>COUNTIFS($C:$C, $AM$2,$G:$G,$AA69,$H:$H,$AC69)</f>
        <v>0</v>
      </c>
      <c r="AN69" s="117">
        <f>COUNTIFS($C:$C, $AN$2,$G:$G,$AA69,$H:$H,$AC69)</f>
        <v>0</v>
      </c>
      <c r="AO69" s="39">
        <f>SUM(AP69:AS69)</f>
        <v>0</v>
      </c>
      <c r="AP69" s="65">
        <f>SUMIFS($L:$L,$C:$C, $AP$2,$G:$G,$AA69,$H:$H,$AC69)</f>
        <v>0</v>
      </c>
      <c r="AQ69" s="65">
        <f>SUMIFS($L:$L,$C:$C, $AQ$2,$G:$G,$AA69,$H:$H,$AC69)</f>
        <v>0</v>
      </c>
      <c r="AR69" s="65">
        <f>SUMIFS($L:$L,$C:$C, $AR$2,$G:$G,$AA69,$H:$H,$AC69)</f>
        <v>0</v>
      </c>
      <c r="AS69" s="65">
        <f>SUMIFS($L:$L,$C:$C, $AS$2,$G:$G,$AA69,$H:$H,$AC69)</f>
        <v>0</v>
      </c>
    </row>
    <row r="70" spans="2:45" x14ac:dyDescent="0.25">
      <c r="B70" s="15">
        <v>68</v>
      </c>
      <c r="C70" s="8"/>
      <c r="E70" s="383"/>
      <c r="F70" s="380"/>
      <c r="G70" s="8"/>
      <c r="H70" s="8"/>
      <c r="I70" s="8"/>
      <c r="J70" s="9"/>
      <c r="K70" s="9">
        <f t="shared" si="31"/>
        <v>0</v>
      </c>
      <c r="L70" s="35">
        <f t="shared" si="32"/>
        <v>0</v>
      </c>
      <c r="M70" s="2"/>
      <c r="O70" s="19"/>
      <c r="P70" s="19"/>
      <c r="Q70" s="19"/>
      <c r="R70" s="21"/>
      <c r="S70" s="46"/>
      <c r="T70" s="44"/>
      <c r="U70" s="77"/>
      <c r="V70" s="30"/>
      <c r="W70" s="24"/>
      <c r="X70" s="193"/>
      <c r="Y70" s="15"/>
      <c r="AA70">
        <v>12</v>
      </c>
      <c r="AB70" s="487"/>
      <c r="AC70" s="90">
        <v>2</v>
      </c>
      <c r="AD70" s="97" t="s">
        <v>101</v>
      </c>
      <c r="AE70" s="39">
        <f>SUM(AF70:AI70)</f>
        <v>0</v>
      </c>
      <c r="AF70" s="65">
        <f>SUMIFS($I:$I,$C:$C, $AF$2,$G:$G,$AA70,$H:$H,$AC70)</f>
        <v>0</v>
      </c>
      <c r="AG70" s="65">
        <f>SUMIFS($I:$I,$C:$C, $AG$2,$G:$G,$AA70,$H:$H,$AC70)</f>
        <v>0</v>
      </c>
      <c r="AH70" s="65">
        <f>SUMIFS($I:$I,$C:$C, $AH$2,$G:$G,$AA70,$H:$H,$AC70)</f>
        <v>0</v>
      </c>
      <c r="AI70" s="104">
        <f>SUMIFS($I:$I,$C:$C, $AI$2,$G:$G,$AA70,$H:$H,$AC70)</f>
        <v>0</v>
      </c>
      <c r="AJ70" s="115">
        <f>SUM(AK70:AN70)</f>
        <v>0</v>
      </c>
      <c r="AK70" s="116">
        <f>COUNTIFS($C:$C, $AK$2,$G:$G,$AA70,$H:$H,$AC70)</f>
        <v>0</v>
      </c>
      <c r="AL70" s="116">
        <f>COUNTIFS($C:$C, $AL$2,$G:$G,$AA70,$H:$H,$AC70)</f>
        <v>0</v>
      </c>
      <c r="AM70" s="116">
        <f>COUNTIFS($C:$C, $AM$2,$G:$G,$AA70,$H:$H,$AC70)</f>
        <v>0</v>
      </c>
      <c r="AN70" s="117">
        <f>COUNTIFS($C:$C, $AN$2,$G:$G,$AA70,$H:$H,$AC70)</f>
        <v>0</v>
      </c>
      <c r="AO70" s="39">
        <f>SUM(AP70:AS70)</f>
        <v>0</v>
      </c>
      <c r="AP70" s="65">
        <f>SUMIFS($L:$L,$C:$C, $AP$2,$G:$G,$AA70,$H:$H,$AC70)</f>
        <v>0</v>
      </c>
      <c r="AQ70" s="65">
        <f>SUMIFS($L:$L,$C:$C, $AQ$2,$G:$G,$AA70,$H:$H,$AC70)</f>
        <v>0</v>
      </c>
      <c r="AR70" s="65">
        <f>SUMIFS($L:$L,$C:$C, $AR$2,$G:$G,$AA70,$H:$H,$AC70)</f>
        <v>0</v>
      </c>
      <c r="AS70" s="65">
        <f>SUMIFS($L:$L,$C:$C, $AS$2,$G:$G,$AA70,$H:$H,$AC70)</f>
        <v>0</v>
      </c>
    </row>
    <row r="71" spans="2:45" x14ac:dyDescent="0.25">
      <c r="B71" s="15">
        <v>69</v>
      </c>
      <c r="C71" s="8"/>
      <c r="E71" s="383"/>
      <c r="F71" s="380"/>
      <c r="G71" s="8"/>
      <c r="H71" s="8"/>
      <c r="I71" s="8"/>
      <c r="J71" s="9"/>
      <c r="K71" s="9">
        <f t="shared" si="31"/>
        <v>0</v>
      </c>
      <c r="L71" s="35">
        <f t="shared" si="32"/>
        <v>0</v>
      </c>
      <c r="M71" s="2"/>
      <c r="O71" s="19"/>
      <c r="P71" s="19"/>
      <c r="Q71" s="19"/>
      <c r="R71" s="21"/>
      <c r="S71" s="46"/>
      <c r="T71" s="44"/>
      <c r="U71" s="77"/>
      <c r="V71" s="30"/>
      <c r="W71" s="24"/>
      <c r="X71" s="193"/>
      <c r="Y71" s="15"/>
      <c r="AA71">
        <v>12</v>
      </c>
      <c r="AB71" s="487"/>
      <c r="AC71" s="90">
        <v>3</v>
      </c>
      <c r="AD71" s="97" t="s">
        <v>102</v>
      </c>
      <c r="AE71" s="39">
        <f>SUM(AF71:AI71)</f>
        <v>0</v>
      </c>
      <c r="AF71" s="65">
        <f>SUMIFS($I:$I,$C:$C, $AF$2,$G:$G,$AA71,$H:$H,$AC71)</f>
        <v>0</v>
      </c>
      <c r="AG71" s="65">
        <f>SUMIFS($I:$I,$C:$C, $AG$2,$G:$G,$AA71,$H:$H,$AC71)</f>
        <v>0</v>
      </c>
      <c r="AH71" s="65">
        <f>SUMIFS($I:$I,$C:$C, $AH$2,$G:$G,$AA71,$H:$H,$AC71)</f>
        <v>0</v>
      </c>
      <c r="AI71" s="104">
        <f>SUMIFS($I:$I,$C:$C, $AI$2,$G:$G,$AA71,$H:$H,$AC71)</f>
        <v>0</v>
      </c>
      <c r="AJ71" s="115">
        <f>SUM(AK71:AN71)</f>
        <v>0</v>
      </c>
      <c r="AK71" s="116">
        <f>COUNTIFS($C:$C, $AK$2,$G:$G,$AA71,$H:$H,$AC71)</f>
        <v>0</v>
      </c>
      <c r="AL71" s="116">
        <f>COUNTIFS($C:$C, $AL$2,$G:$G,$AA71,$H:$H,$AC71)</f>
        <v>0</v>
      </c>
      <c r="AM71" s="116">
        <f>COUNTIFS($C:$C, $AM$2,$G:$G,$AA71,$H:$H,$AC71)</f>
        <v>0</v>
      </c>
      <c r="AN71" s="117">
        <f>COUNTIFS($C:$C, $AN$2,$G:$G,$AA71,$H:$H,$AC71)</f>
        <v>0</v>
      </c>
      <c r="AO71" s="39">
        <f>SUM(AP71:AS71)</f>
        <v>0</v>
      </c>
      <c r="AP71" s="65">
        <f>SUMIFS($L:$L,$C:$C, $AP$2,$G:$G,$AA71,$H:$H,$AC71)</f>
        <v>0</v>
      </c>
      <c r="AQ71" s="65">
        <f>SUMIFS($L:$L,$C:$C, $AQ$2,$G:$G,$AA71,$H:$H,$AC71)</f>
        <v>0</v>
      </c>
      <c r="AR71" s="65">
        <f>SUMIFS($L:$L,$C:$C, $AR$2,$G:$G,$AA71,$H:$H,$AC71)</f>
        <v>0</v>
      </c>
      <c r="AS71" s="65">
        <f>SUMIFS($L:$L,$C:$C, $AS$2,$G:$G,$AA71,$H:$H,$AC71)</f>
        <v>0</v>
      </c>
    </row>
    <row r="72" spans="2:45" x14ac:dyDescent="0.25">
      <c r="B72" s="15">
        <v>70</v>
      </c>
      <c r="C72" s="8"/>
      <c r="E72" s="383"/>
      <c r="F72" s="380"/>
      <c r="G72" s="8"/>
      <c r="H72" s="8"/>
      <c r="I72" s="8"/>
      <c r="J72" s="9"/>
      <c r="K72" s="9">
        <f t="shared" si="31"/>
        <v>0</v>
      </c>
      <c r="L72" s="35">
        <f t="shared" si="32"/>
        <v>0</v>
      </c>
      <c r="M72" s="2"/>
      <c r="O72" s="19"/>
      <c r="P72" s="19"/>
      <c r="Q72" s="19"/>
      <c r="R72" s="21"/>
      <c r="S72" s="46"/>
      <c r="T72" s="44"/>
      <c r="U72" s="77"/>
      <c r="V72" s="30"/>
      <c r="W72" s="24"/>
      <c r="X72" s="193"/>
      <c r="Y72" s="15"/>
      <c r="AA72">
        <v>12</v>
      </c>
      <c r="AB72" s="487"/>
      <c r="AC72" s="90">
        <v>4</v>
      </c>
      <c r="AD72" s="97" t="s">
        <v>103</v>
      </c>
      <c r="AE72" s="39">
        <f>SUM(AF72:AI72)</f>
        <v>0</v>
      </c>
      <c r="AF72" s="65">
        <f>SUMIFS($I:$I,$C:$C, $AF$2,$G:$G,$AA72,$H:$H,$AC72)</f>
        <v>0</v>
      </c>
      <c r="AG72" s="65">
        <f>SUMIFS($I:$I,$C:$C, $AG$2,$G:$G,$AA72,$H:$H,$AC72)</f>
        <v>0</v>
      </c>
      <c r="AH72" s="65">
        <f>SUMIFS($I:$I,$C:$C, $AH$2,$G:$G,$AA72,$H:$H,$AC72)</f>
        <v>0</v>
      </c>
      <c r="AI72" s="104">
        <f>SUMIFS($I:$I,$C:$C, $AI$2,$G:$G,$AA72,$H:$H,$AC72)</f>
        <v>0</v>
      </c>
      <c r="AJ72" s="115">
        <f>SUM(AK72:AN72)</f>
        <v>0</v>
      </c>
      <c r="AK72" s="116">
        <f>COUNTIFS($C:$C, $AK$2,$G:$G,$AA72,$H:$H,$AC72)</f>
        <v>0</v>
      </c>
      <c r="AL72" s="116">
        <f>COUNTIFS($C:$C, $AL$2,$G:$G,$AA72,$H:$H,$AC72)</f>
        <v>0</v>
      </c>
      <c r="AM72" s="116">
        <f>COUNTIFS($C:$C, $AM$2,$G:$G,$AA72,$H:$H,$AC72)</f>
        <v>0</v>
      </c>
      <c r="AN72" s="117">
        <f>COUNTIFS($C:$C, $AN$2,$G:$G,$AA72,$H:$H,$AC72)</f>
        <v>0</v>
      </c>
      <c r="AO72" s="39">
        <f>SUM(AP72:AS72)</f>
        <v>0</v>
      </c>
      <c r="AP72" s="65">
        <f>SUMIFS($L:$L,$C:$C, $AP$2,$G:$G,$AA72,$H:$H,$AC72)</f>
        <v>0</v>
      </c>
      <c r="AQ72" s="65">
        <f>SUMIFS($L:$L,$C:$C, $AQ$2,$G:$G,$AA72,$H:$H,$AC72)</f>
        <v>0</v>
      </c>
      <c r="AR72" s="65">
        <f>SUMIFS($L:$L,$C:$C, $AR$2,$G:$G,$AA72,$H:$H,$AC72)</f>
        <v>0</v>
      </c>
      <c r="AS72" s="65">
        <f>SUMIFS($L:$L,$C:$C, $AS$2,$G:$G,$AA72,$H:$H,$AC72)</f>
        <v>0</v>
      </c>
    </row>
    <row r="73" spans="2:45" x14ac:dyDescent="0.25">
      <c r="B73" s="15">
        <v>71</v>
      </c>
      <c r="C73" s="8"/>
      <c r="E73" s="383"/>
      <c r="F73" s="380"/>
      <c r="G73" s="8"/>
      <c r="H73" s="8"/>
      <c r="I73" s="8"/>
      <c r="J73" s="9"/>
      <c r="K73" s="9">
        <f t="shared" si="31"/>
        <v>0</v>
      </c>
      <c r="L73" s="35">
        <f t="shared" si="32"/>
        <v>0</v>
      </c>
      <c r="M73" s="2"/>
      <c r="O73" s="19"/>
      <c r="P73" s="19"/>
      <c r="Q73" s="19"/>
      <c r="R73" s="21"/>
      <c r="S73" s="46"/>
      <c r="T73" s="44"/>
      <c r="U73" s="77"/>
      <c r="V73" s="24"/>
      <c r="W73" s="24"/>
      <c r="X73" s="193"/>
      <c r="Y73" s="15"/>
      <c r="AA73">
        <v>12</v>
      </c>
      <c r="AB73" s="487"/>
      <c r="AC73" s="91">
        <v>5</v>
      </c>
      <c r="AD73" s="100" t="s">
        <v>107</v>
      </c>
      <c r="AE73" s="39">
        <f>SUM(AF73:AI73)</f>
        <v>0</v>
      </c>
      <c r="AF73" s="65">
        <f>SUMIFS($I:$I,$C:$C, $AF$2,$G:$G,$AA73,$H:$H,$AC73)</f>
        <v>0</v>
      </c>
      <c r="AG73" s="65">
        <f>SUMIFS($I:$I,$C:$C, $AG$2,$G:$G,$AA73,$H:$H,$AC73)</f>
        <v>0</v>
      </c>
      <c r="AH73" s="65">
        <f>SUMIFS($I:$I,$C:$C, $AH$2,$G:$G,$AA73,$H:$H,$AC73)</f>
        <v>0</v>
      </c>
      <c r="AI73" s="104">
        <f>SUMIFS($I:$I,$C:$C, $AI$2,$G:$G,$AA73,$H:$H,$AC73)</f>
        <v>0</v>
      </c>
      <c r="AJ73" s="115">
        <f>SUM(AK73:AN73)</f>
        <v>0</v>
      </c>
      <c r="AK73" s="116">
        <f>COUNTIFS($C:$C, $AK$2,$G:$G,$AA73,$H:$H,$AC73)</f>
        <v>0</v>
      </c>
      <c r="AL73" s="116">
        <f>COUNTIFS($C:$C, $AL$2,$G:$G,$AA73,$H:$H,$AC73)</f>
        <v>0</v>
      </c>
      <c r="AM73" s="116">
        <f>COUNTIFS($C:$C, $AM$2,$G:$G,$AA73,$H:$H,$AC73)</f>
        <v>0</v>
      </c>
      <c r="AN73" s="117">
        <f>COUNTIFS($C:$C, $AN$2,$G:$G,$AA73,$H:$H,$AC73)</f>
        <v>0</v>
      </c>
      <c r="AO73" s="39">
        <f>SUM(AP73:AS73)</f>
        <v>0</v>
      </c>
      <c r="AP73" s="65">
        <f>SUMIFS($L:$L,$C:$C, $AP$2,$G:$G,$AA73,$H:$H,$AC73)</f>
        <v>0</v>
      </c>
      <c r="AQ73" s="65">
        <f>SUMIFS($L:$L,$C:$C, $AQ$2,$G:$G,$AA73,$H:$H,$AC73)</f>
        <v>0</v>
      </c>
      <c r="AR73" s="65">
        <f>SUMIFS($L:$L,$C:$C, $AR$2,$G:$G,$AA73,$H:$H,$AC73)</f>
        <v>0</v>
      </c>
      <c r="AS73" s="65">
        <f>SUMIFS($L:$L,$C:$C, $AS$2,$G:$G,$AA73,$H:$H,$AC73)</f>
        <v>0</v>
      </c>
    </row>
    <row r="74" spans="2:45" ht="14.25" thickBot="1" x14ac:dyDescent="0.3">
      <c r="B74" s="15">
        <v>72</v>
      </c>
      <c r="C74" s="8"/>
      <c r="E74" s="383"/>
      <c r="F74" s="380"/>
      <c r="G74" s="8"/>
      <c r="H74" s="8"/>
      <c r="I74" s="8"/>
      <c r="J74" s="9"/>
      <c r="K74" s="9">
        <f t="shared" si="31"/>
        <v>0</v>
      </c>
      <c r="L74" s="35">
        <f t="shared" si="32"/>
        <v>0</v>
      </c>
      <c r="M74" s="2"/>
      <c r="O74" s="19"/>
      <c r="P74" s="19"/>
      <c r="Q74" s="19"/>
      <c r="R74" s="21"/>
      <c r="S74" s="46"/>
      <c r="T74" s="44"/>
      <c r="U74" s="77"/>
      <c r="V74" s="24"/>
      <c r="W74" s="24"/>
      <c r="X74" s="193"/>
      <c r="Y74" s="15"/>
      <c r="AA74">
        <v>12</v>
      </c>
      <c r="AB74" s="488"/>
      <c r="AC74" s="92" t="s">
        <v>3</v>
      </c>
      <c r="AD74" s="101"/>
      <c r="AE74" s="94">
        <f>SUM(AE69:AE73)</f>
        <v>0</v>
      </c>
      <c r="AF74" s="94">
        <f t="shared" ref="AF74:AS74" si="34">SUM(AF69:AF73)</f>
        <v>0</v>
      </c>
      <c r="AG74" s="94">
        <f t="shared" si="34"/>
        <v>0</v>
      </c>
      <c r="AH74" s="94">
        <f t="shared" si="34"/>
        <v>0</v>
      </c>
      <c r="AI74" s="105">
        <f t="shared" si="34"/>
        <v>0</v>
      </c>
      <c r="AJ74" s="118">
        <f t="shared" si="34"/>
        <v>0</v>
      </c>
      <c r="AK74" s="119">
        <f t="shared" si="34"/>
        <v>0</v>
      </c>
      <c r="AL74" s="119">
        <f t="shared" si="34"/>
        <v>0</v>
      </c>
      <c r="AM74" s="119">
        <f t="shared" si="34"/>
        <v>0</v>
      </c>
      <c r="AN74" s="120">
        <f t="shared" si="34"/>
        <v>0</v>
      </c>
      <c r="AO74" s="94">
        <f t="shared" si="34"/>
        <v>0</v>
      </c>
      <c r="AP74" s="94">
        <f t="shared" si="34"/>
        <v>0</v>
      </c>
      <c r="AQ74" s="94">
        <f t="shared" si="34"/>
        <v>0</v>
      </c>
      <c r="AR74" s="94">
        <f t="shared" si="34"/>
        <v>0</v>
      </c>
      <c r="AS74" s="94">
        <f t="shared" si="34"/>
        <v>0</v>
      </c>
    </row>
    <row r="75" spans="2:45" ht="17.25" thickBot="1" x14ac:dyDescent="0.3">
      <c r="B75" s="15">
        <v>73</v>
      </c>
      <c r="C75" s="8"/>
      <c r="E75" s="383"/>
      <c r="F75" s="380"/>
      <c r="G75" s="8"/>
      <c r="H75" s="8"/>
      <c r="I75" s="8"/>
      <c r="J75" s="9"/>
      <c r="K75" s="9">
        <f t="shared" si="31"/>
        <v>0</v>
      </c>
      <c r="L75" s="35">
        <f t="shared" si="32"/>
        <v>0</v>
      </c>
      <c r="M75" s="2"/>
      <c r="O75" s="19"/>
      <c r="P75" s="19"/>
      <c r="Q75" s="19"/>
      <c r="R75" s="21"/>
      <c r="S75" s="46"/>
      <c r="T75" s="44"/>
      <c r="U75" s="77"/>
      <c r="V75" s="24"/>
      <c r="W75" s="24"/>
      <c r="X75" s="193"/>
      <c r="Y75" s="15"/>
      <c r="AB75" s="489" t="s">
        <v>31</v>
      </c>
      <c r="AC75" s="490"/>
      <c r="AD75" s="103"/>
      <c r="AE75" s="85">
        <f>SUM(AE8,AE14,AE20,AE26,AE32,AE38,AE44,AE50,AE56,AE62,AE68,AE74)</f>
        <v>70.305000000000007</v>
      </c>
      <c r="AF75" s="85"/>
      <c r="AG75" s="85"/>
      <c r="AH75" s="86"/>
      <c r="AI75" s="86"/>
      <c r="AJ75" s="121"/>
      <c r="AK75" s="122"/>
      <c r="AL75" s="122"/>
      <c r="AM75" s="122"/>
      <c r="AN75" s="123"/>
      <c r="AO75" s="87"/>
      <c r="AP75" s="87"/>
      <c r="AQ75" s="87"/>
      <c r="AR75" s="87"/>
      <c r="AS75" s="88"/>
    </row>
    <row r="76" spans="2:45" x14ac:dyDescent="0.25">
      <c r="B76" s="15">
        <v>74</v>
      </c>
      <c r="C76" s="8"/>
      <c r="E76" s="383"/>
      <c r="F76" s="380"/>
      <c r="G76" s="8"/>
      <c r="H76" s="8"/>
      <c r="I76" s="8"/>
      <c r="J76" s="9"/>
      <c r="K76" s="9">
        <f t="shared" si="31"/>
        <v>0</v>
      </c>
      <c r="L76" s="35">
        <f t="shared" si="32"/>
        <v>0</v>
      </c>
      <c r="M76" s="2"/>
      <c r="O76" s="19"/>
      <c r="P76" s="19"/>
      <c r="Q76" s="19"/>
      <c r="R76" s="21"/>
      <c r="S76" s="46"/>
      <c r="T76" s="44"/>
      <c r="U76" s="77"/>
      <c r="V76" s="30"/>
      <c r="W76" s="24"/>
      <c r="X76" s="193"/>
      <c r="Y76" s="15"/>
    </row>
    <row r="77" spans="2:45" x14ac:dyDescent="0.25">
      <c r="B77" s="15">
        <v>75</v>
      </c>
      <c r="C77" s="8"/>
      <c r="E77" s="383"/>
      <c r="F77" s="380"/>
      <c r="G77" s="8"/>
      <c r="H77" s="8"/>
      <c r="I77" s="8"/>
      <c r="J77" s="9"/>
      <c r="K77" s="9">
        <f t="shared" si="31"/>
        <v>0</v>
      </c>
      <c r="L77" s="35">
        <f t="shared" si="32"/>
        <v>0</v>
      </c>
      <c r="M77" s="2"/>
      <c r="O77" s="19"/>
      <c r="P77" s="19"/>
      <c r="Q77" s="19"/>
      <c r="R77" s="21"/>
      <c r="S77" s="46"/>
      <c r="T77" s="44"/>
      <c r="U77" s="77"/>
      <c r="V77" s="24"/>
      <c r="W77" s="24"/>
      <c r="X77" s="193"/>
      <c r="Y77" s="15"/>
    </row>
    <row r="78" spans="2:45" x14ac:dyDescent="0.25">
      <c r="B78" s="15">
        <v>76</v>
      </c>
      <c r="C78" s="8"/>
      <c r="E78" s="383"/>
      <c r="F78" s="380"/>
      <c r="G78" s="8"/>
      <c r="H78" s="8"/>
      <c r="I78" s="8"/>
      <c r="J78" s="9"/>
      <c r="K78" s="9">
        <f t="shared" si="31"/>
        <v>0</v>
      </c>
      <c r="L78" s="35">
        <f t="shared" si="32"/>
        <v>0</v>
      </c>
      <c r="M78" s="2"/>
      <c r="O78" s="19"/>
      <c r="P78" s="19"/>
      <c r="Q78" s="19"/>
      <c r="R78" s="21"/>
      <c r="S78" s="46"/>
      <c r="T78" s="44"/>
      <c r="U78" s="77"/>
      <c r="V78" s="24"/>
      <c r="W78" s="24"/>
      <c r="X78" s="193"/>
      <c r="Y78" s="15"/>
    </row>
    <row r="79" spans="2:45" x14ac:dyDescent="0.25">
      <c r="B79" s="15">
        <v>77</v>
      </c>
      <c r="C79" s="8"/>
      <c r="E79" s="383"/>
      <c r="F79" s="380"/>
      <c r="G79" s="8"/>
      <c r="H79" s="8"/>
      <c r="I79" s="8"/>
      <c r="J79" s="9"/>
      <c r="K79" s="9">
        <f t="shared" si="31"/>
        <v>0</v>
      </c>
      <c r="L79" s="35">
        <f t="shared" si="32"/>
        <v>0</v>
      </c>
      <c r="M79" s="2"/>
      <c r="O79" s="19"/>
      <c r="P79" s="19"/>
      <c r="Q79" s="19"/>
      <c r="R79" s="21"/>
      <c r="S79" s="46"/>
      <c r="T79" s="44"/>
      <c r="U79" s="77"/>
      <c r="V79" s="24"/>
      <c r="W79" s="24"/>
      <c r="X79" s="193"/>
      <c r="Y79" s="15"/>
    </row>
    <row r="80" spans="2:45" x14ac:dyDescent="0.25">
      <c r="B80" s="15">
        <v>78</v>
      </c>
      <c r="C80" s="8"/>
      <c r="E80" s="383"/>
      <c r="F80" s="380"/>
      <c r="G80" s="8"/>
      <c r="H80" s="8"/>
      <c r="I80" s="8"/>
      <c r="J80" s="9"/>
      <c r="K80" s="9">
        <f t="shared" si="31"/>
        <v>0</v>
      </c>
      <c r="L80" s="35">
        <f t="shared" si="32"/>
        <v>0</v>
      </c>
      <c r="M80" s="2"/>
      <c r="O80" s="19"/>
      <c r="P80" s="19"/>
      <c r="Q80" s="19"/>
      <c r="R80" s="21"/>
      <c r="S80" s="46"/>
      <c r="T80" s="44"/>
      <c r="U80" s="77"/>
      <c r="V80" s="24"/>
      <c r="W80" s="24"/>
      <c r="X80" s="193"/>
      <c r="Y80" s="15"/>
    </row>
    <row r="81" spans="2:25" x14ac:dyDescent="0.25">
      <c r="B81" s="15">
        <v>79</v>
      </c>
      <c r="C81" s="8"/>
      <c r="E81" s="383"/>
      <c r="F81" s="380"/>
      <c r="G81" s="8"/>
      <c r="H81" s="8"/>
      <c r="I81" s="8"/>
      <c r="J81" s="9"/>
      <c r="K81" s="9">
        <f t="shared" si="31"/>
        <v>0</v>
      </c>
      <c r="L81" s="35">
        <f t="shared" si="32"/>
        <v>0</v>
      </c>
      <c r="M81" s="2"/>
      <c r="O81" s="19"/>
      <c r="P81" s="19"/>
      <c r="Q81" s="19"/>
      <c r="R81" s="21"/>
      <c r="S81" s="46"/>
      <c r="T81" s="44"/>
      <c r="U81" s="77"/>
      <c r="V81" s="24"/>
      <c r="W81" s="24"/>
      <c r="X81" s="193"/>
      <c r="Y81" s="15"/>
    </row>
    <row r="82" spans="2:25" x14ac:dyDescent="0.25">
      <c r="B82" s="15">
        <v>80</v>
      </c>
      <c r="C82" s="8"/>
      <c r="E82" s="383"/>
      <c r="F82" s="380"/>
      <c r="G82" s="8"/>
      <c r="H82" s="8"/>
      <c r="I82" s="8"/>
      <c r="J82" s="9"/>
      <c r="K82" s="9">
        <f t="shared" si="31"/>
        <v>0</v>
      </c>
      <c r="L82" s="35">
        <f t="shared" si="32"/>
        <v>0</v>
      </c>
      <c r="M82" s="2"/>
      <c r="O82" s="19"/>
      <c r="P82" s="19"/>
      <c r="Q82" s="19"/>
      <c r="R82" s="21"/>
      <c r="S82" s="46"/>
      <c r="T82" s="44"/>
      <c r="U82" s="77"/>
      <c r="V82" s="30"/>
      <c r="W82" s="24"/>
      <c r="X82" s="193"/>
      <c r="Y82" s="15"/>
    </row>
    <row r="83" spans="2:25" x14ac:dyDescent="0.25">
      <c r="B83" s="15">
        <v>81</v>
      </c>
      <c r="C83" s="8"/>
      <c r="E83" s="383"/>
      <c r="F83" s="380"/>
      <c r="G83" s="8"/>
      <c r="H83" s="8"/>
      <c r="I83" s="8"/>
      <c r="J83" s="9"/>
      <c r="K83" s="9">
        <f t="shared" si="31"/>
        <v>0</v>
      </c>
      <c r="L83" s="35">
        <f t="shared" si="32"/>
        <v>0</v>
      </c>
      <c r="M83" s="2"/>
      <c r="O83" s="19"/>
      <c r="P83" s="19"/>
      <c r="Q83" s="19"/>
      <c r="R83" s="21"/>
      <c r="S83" s="46"/>
      <c r="T83" s="44"/>
      <c r="U83" s="77"/>
      <c r="V83" s="24"/>
      <c r="W83" s="24"/>
      <c r="X83" s="193"/>
      <c r="Y83" s="15"/>
    </row>
    <row r="84" spans="2:25" x14ac:dyDescent="0.25">
      <c r="B84" s="15">
        <v>82</v>
      </c>
      <c r="C84" s="8"/>
      <c r="E84" s="383"/>
      <c r="F84" s="380"/>
      <c r="G84" s="8"/>
      <c r="H84" s="8"/>
      <c r="I84" s="8"/>
      <c r="J84" s="9"/>
      <c r="K84" s="9">
        <f t="shared" si="31"/>
        <v>0</v>
      </c>
      <c r="L84" s="35">
        <f t="shared" si="32"/>
        <v>0</v>
      </c>
      <c r="M84" s="2"/>
      <c r="O84" s="19"/>
      <c r="P84" s="19"/>
      <c r="Q84" s="19"/>
      <c r="R84" s="21"/>
      <c r="S84" s="46"/>
      <c r="T84" s="44"/>
      <c r="U84" s="77"/>
      <c r="V84" s="24"/>
      <c r="W84" s="24"/>
      <c r="X84" s="193"/>
      <c r="Y84" s="15"/>
    </row>
    <row r="85" spans="2:25" x14ac:dyDescent="0.25">
      <c r="B85" s="15">
        <v>83</v>
      </c>
      <c r="C85" s="8"/>
      <c r="E85" s="383"/>
      <c r="F85" s="380"/>
      <c r="G85" s="8"/>
      <c r="H85" s="8"/>
      <c r="I85" s="8"/>
      <c r="J85" s="9"/>
      <c r="K85" s="9">
        <f t="shared" si="31"/>
        <v>0</v>
      </c>
      <c r="L85" s="35">
        <f t="shared" si="32"/>
        <v>0</v>
      </c>
      <c r="M85" s="2"/>
      <c r="O85" s="19"/>
      <c r="P85" s="19"/>
      <c r="Q85" s="19"/>
      <c r="R85" s="21"/>
      <c r="S85" s="46"/>
      <c r="T85" s="44"/>
      <c r="U85" s="77"/>
      <c r="V85" s="24"/>
      <c r="W85" s="24"/>
      <c r="X85" s="193"/>
      <c r="Y85" s="15"/>
    </row>
    <row r="86" spans="2:25" x14ac:dyDescent="0.25">
      <c r="B86" s="15">
        <v>84</v>
      </c>
      <c r="C86" s="8"/>
      <c r="E86" s="383"/>
      <c r="F86" s="380"/>
      <c r="G86" s="8"/>
      <c r="H86" s="8"/>
      <c r="I86" s="8"/>
      <c r="J86" s="9"/>
      <c r="K86" s="9">
        <f t="shared" si="31"/>
        <v>0</v>
      </c>
      <c r="L86" s="35">
        <f t="shared" si="32"/>
        <v>0</v>
      </c>
      <c r="M86" s="2"/>
      <c r="O86" s="19"/>
      <c r="P86" s="19"/>
      <c r="Q86" s="19"/>
      <c r="R86" s="21"/>
      <c r="S86" s="46"/>
      <c r="T86" s="44"/>
      <c r="U86" s="77"/>
      <c r="V86" s="24"/>
      <c r="W86" s="24"/>
      <c r="X86" s="193"/>
      <c r="Y86" s="15"/>
    </row>
    <row r="87" spans="2:25" x14ac:dyDescent="0.25">
      <c r="B87" s="15">
        <v>85</v>
      </c>
      <c r="C87" s="8"/>
      <c r="E87" s="383"/>
      <c r="F87" s="380"/>
      <c r="G87" s="8"/>
      <c r="H87" s="8"/>
      <c r="I87" s="8"/>
      <c r="J87" s="9"/>
      <c r="K87" s="9">
        <f t="shared" si="31"/>
        <v>0</v>
      </c>
      <c r="L87" s="35">
        <f t="shared" si="32"/>
        <v>0</v>
      </c>
      <c r="M87" s="2"/>
      <c r="O87" s="19"/>
      <c r="P87" s="19"/>
      <c r="Q87" s="19"/>
      <c r="R87" s="21"/>
      <c r="S87" s="46"/>
      <c r="T87" s="44"/>
      <c r="U87" s="77"/>
      <c r="V87" s="24"/>
      <c r="W87" s="24"/>
      <c r="X87" s="193"/>
      <c r="Y87" s="15"/>
    </row>
    <row r="88" spans="2:25" x14ac:dyDescent="0.25">
      <c r="B88" s="15">
        <v>86</v>
      </c>
      <c r="C88" s="8"/>
      <c r="E88" s="383"/>
      <c r="F88" s="380"/>
      <c r="G88" s="8"/>
      <c r="H88" s="8"/>
      <c r="I88" s="8"/>
      <c r="J88" s="9"/>
      <c r="K88" s="9">
        <f t="shared" si="31"/>
        <v>0</v>
      </c>
      <c r="L88" s="35">
        <f t="shared" si="32"/>
        <v>0</v>
      </c>
      <c r="M88" s="2"/>
      <c r="O88" s="19"/>
      <c r="P88" s="19"/>
      <c r="Q88" s="19"/>
      <c r="R88" s="21"/>
      <c r="S88" s="46"/>
      <c r="T88" s="44"/>
      <c r="U88" s="77"/>
      <c r="V88" s="30"/>
      <c r="W88" s="24"/>
      <c r="X88" s="193"/>
      <c r="Y88" s="15"/>
    </row>
    <row r="89" spans="2:25" x14ac:dyDescent="0.25">
      <c r="B89" s="15">
        <v>87</v>
      </c>
      <c r="C89" s="8"/>
      <c r="E89" s="383"/>
      <c r="F89" s="380"/>
      <c r="G89" s="8"/>
      <c r="H89" s="8"/>
      <c r="I89" s="8"/>
      <c r="J89" s="9"/>
      <c r="K89" s="9">
        <f t="shared" si="31"/>
        <v>0</v>
      </c>
      <c r="L89" s="35">
        <f t="shared" si="32"/>
        <v>0</v>
      </c>
      <c r="M89" s="2"/>
      <c r="O89" s="19"/>
      <c r="P89" s="19"/>
      <c r="Q89" s="19"/>
      <c r="R89" s="21"/>
      <c r="S89" s="46"/>
      <c r="T89" s="44"/>
      <c r="U89" s="77"/>
      <c r="V89" s="30"/>
      <c r="W89" s="24"/>
      <c r="X89" s="193"/>
      <c r="Y89" s="15"/>
    </row>
    <row r="90" spans="2:25" x14ac:dyDescent="0.25">
      <c r="B90" s="15">
        <v>88</v>
      </c>
      <c r="C90" s="8"/>
      <c r="E90" s="383"/>
      <c r="F90" s="380"/>
      <c r="G90" s="8"/>
      <c r="H90" s="8"/>
      <c r="I90" s="8"/>
      <c r="J90" s="9"/>
      <c r="K90" s="9">
        <f t="shared" si="31"/>
        <v>0</v>
      </c>
      <c r="L90" s="35">
        <f t="shared" si="32"/>
        <v>0</v>
      </c>
      <c r="M90" s="2"/>
      <c r="O90" s="19"/>
      <c r="P90" s="19"/>
      <c r="Q90" s="19"/>
      <c r="R90" s="21"/>
      <c r="S90" s="46"/>
      <c r="T90" s="44"/>
      <c r="U90" s="77"/>
      <c r="V90" s="24"/>
      <c r="W90" s="24"/>
      <c r="X90" s="193"/>
      <c r="Y90" s="15"/>
    </row>
    <row r="91" spans="2:25" x14ac:dyDescent="0.25">
      <c r="B91" s="15">
        <v>89</v>
      </c>
      <c r="C91" s="8"/>
      <c r="E91" s="383"/>
      <c r="F91" s="380"/>
      <c r="G91" s="8"/>
      <c r="H91" s="8"/>
      <c r="I91" s="8"/>
      <c r="J91" s="9"/>
      <c r="K91" s="9">
        <f t="shared" si="31"/>
        <v>0</v>
      </c>
      <c r="L91" s="35">
        <f t="shared" si="32"/>
        <v>0</v>
      </c>
      <c r="M91" s="2"/>
      <c r="O91" s="19"/>
      <c r="P91" s="19"/>
      <c r="Q91" s="19"/>
      <c r="R91" s="21"/>
      <c r="S91" s="46"/>
      <c r="T91" s="44"/>
      <c r="U91" s="77"/>
      <c r="V91" s="24"/>
      <c r="W91" s="24"/>
      <c r="X91" s="193"/>
      <c r="Y91" s="15"/>
    </row>
    <row r="92" spans="2:25" x14ac:dyDescent="0.25">
      <c r="B92" s="15">
        <v>90</v>
      </c>
      <c r="C92" s="8"/>
      <c r="E92" s="383"/>
      <c r="F92" s="380"/>
      <c r="G92" s="8"/>
      <c r="H92" s="8"/>
      <c r="I92" s="8"/>
      <c r="J92" s="9"/>
      <c r="K92" s="9">
        <f t="shared" si="31"/>
        <v>0</v>
      </c>
      <c r="L92" s="35">
        <f t="shared" si="32"/>
        <v>0</v>
      </c>
      <c r="M92" s="2"/>
      <c r="O92" s="19"/>
      <c r="P92" s="19"/>
      <c r="Q92" s="19"/>
      <c r="R92" s="21"/>
      <c r="S92" s="46"/>
      <c r="T92" s="44"/>
      <c r="U92" s="77"/>
      <c r="V92" s="24"/>
      <c r="W92" s="24"/>
      <c r="X92" s="193"/>
      <c r="Y92" s="15"/>
    </row>
    <row r="93" spans="2:25" x14ac:dyDescent="0.25">
      <c r="B93" s="15">
        <v>91</v>
      </c>
      <c r="C93" s="8"/>
      <c r="E93" s="383"/>
      <c r="F93" s="380"/>
      <c r="G93" s="8"/>
      <c r="H93" s="8"/>
      <c r="I93" s="8"/>
      <c r="J93" s="9"/>
      <c r="K93" s="9">
        <f t="shared" si="31"/>
        <v>0</v>
      </c>
      <c r="L93" s="35">
        <f t="shared" si="32"/>
        <v>0</v>
      </c>
      <c r="M93" s="2"/>
      <c r="O93" s="19"/>
      <c r="P93" s="19"/>
      <c r="Q93" s="19"/>
      <c r="R93" s="21"/>
      <c r="S93" s="46"/>
      <c r="T93" s="44"/>
      <c r="U93" s="77"/>
      <c r="V93" s="24"/>
      <c r="W93" s="24"/>
      <c r="X93" s="193"/>
      <c r="Y93" s="15"/>
    </row>
    <row r="94" spans="2:25" x14ac:dyDescent="0.25">
      <c r="B94" s="15">
        <v>92</v>
      </c>
      <c r="C94" s="8"/>
      <c r="E94" s="383"/>
      <c r="F94" s="380"/>
      <c r="G94" s="8"/>
      <c r="H94" s="8"/>
      <c r="I94" s="8"/>
      <c r="J94" s="9"/>
      <c r="K94" s="9">
        <f t="shared" si="31"/>
        <v>0</v>
      </c>
      <c r="L94" s="35">
        <f t="shared" si="32"/>
        <v>0</v>
      </c>
      <c r="M94" s="2"/>
      <c r="O94" s="19"/>
      <c r="P94" s="19"/>
      <c r="Q94" s="19"/>
      <c r="R94" s="21"/>
      <c r="S94" s="46"/>
      <c r="T94" s="44"/>
      <c r="U94" s="77"/>
      <c r="V94" s="24"/>
      <c r="W94" s="24"/>
      <c r="X94" s="193"/>
      <c r="Y94" s="15"/>
    </row>
    <row r="95" spans="2:25" x14ac:dyDescent="0.25">
      <c r="B95" s="15">
        <v>93</v>
      </c>
      <c r="C95" s="8"/>
      <c r="E95" s="383"/>
      <c r="F95" s="380"/>
      <c r="G95" s="8"/>
      <c r="H95" s="8"/>
      <c r="I95" s="8"/>
      <c r="J95" s="9"/>
      <c r="K95" s="9">
        <f t="shared" si="31"/>
        <v>0</v>
      </c>
      <c r="L95" s="35">
        <f t="shared" si="32"/>
        <v>0</v>
      </c>
      <c r="M95" s="2"/>
      <c r="O95" s="19"/>
      <c r="P95" s="19"/>
      <c r="Q95" s="19"/>
      <c r="R95" s="46"/>
      <c r="S95" s="46"/>
      <c r="T95" s="44"/>
      <c r="U95" s="77"/>
      <c r="V95" s="30"/>
      <c r="W95" s="24"/>
      <c r="X95" s="193"/>
      <c r="Y95" s="15"/>
    </row>
    <row r="96" spans="2:25" x14ac:dyDescent="0.25">
      <c r="B96" s="15">
        <v>94</v>
      </c>
      <c r="C96" s="8"/>
      <c r="E96" s="383"/>
      <c r="F96" s="380"/>
      <c r="G96" s="8"/>
      <c r="H96" s="8"/>
      <c r="I96" s="8"/>
      <c r="J96" s="9"/>
      <c r="K96" s="9">
        <f t="shared" si="31"/>
        <v>0</v>
      </c>
      <c r="L96" s="35">
        <f t="shared" si="32"/>
        <v>0</v>
      </c>
      <c r="M96" s="2"/>
      <c r="O96" s="19"/>
      <c r="P96" s="19"/>
      <c r="Q96" s="19"/>
      <c r="R96" s="254"/>
      <c r="S96" s="46"/>
      <c r="T96" s="44"/>
      <c r="U96" s="77"/>
      <c r="V96" s="30"/>
      <c r="W96" s="24"/>
      <c r="X96" s="193"/>
      <c r="Y96" s="15"/>
    </row>
    <row r="97" spans="2:25" x14ac:dyDescent="0.25">
      <c r="B97" s="15">
        <v>95</v>
      </c>
      <c r="C97" s="8"/>
      <c r="E97" s="383"/>
      <c r="F97" s="380"/>
      <c r="G97" s="8"/>
      <c r="H97" s="8"/>
      <c r="I97" s="8"/>
      <c r="J97" s="9"/>
      <c r="K97" s="9">
        <f t="shared" si="31"/>
        <v>0</v>
      </c>
      <c r="L97" s="35">
        <f t="shared" si="32"/>
        <v>0</v>
      </c>
      <c r="M97" s="2"/>
      <c r="O97" s="19"/>
      <c r="P97" s="19"/>
      <c r="Q97" s="19"/>
      <c r="R97" s="21"/>
      <c r="S97" s="46"/>
      <c r="T97" s="44"/>
      <c r="U97" s="77"/>
      <c r="V97" s="30"/>
      <c r="W97" s="24"/>
      <c r="X97" s="193"/>
      <c r="Y97" s="15"/>
    </row>
    <row r="98" spans="2:25" x14ac:dyDescent="0.25">
      <c r="B98" s="15">
        <v>96</v>
      </c>
      <c r="C98" s="8"/>
      <c r="E98" s="383"/>
      <c r="F98" s="380"/>
      <c r="G98" s="8"/>
      <c r="H98" s="8"/>
      <c r="I98" s="8"/>
      <c r="J98" s="9"/>
      <c r="K98" s="9">
        <f t="shared" si="31"/>
        <v>0</v>
      </c>
      <c r="L98" s="35">
        <f t="shared" si="32"/>
        <v>0</v>
      </c>
      <c r="M98" s="2"/>
      <c r="O98" s="19"/>
      <c r="P98" s="19"/>
      <c r="Q98" s="19"/>
      <c r="R98" s="21"/>
      <c r="S98" s="46"/>
      <c r="T98" s="44"/>
      <c r="U98" s="77"/>
      <c r="V98" s="24"/>
      <c r="W98" s="24"/>
      <c r="X98" s="193"/>
      <c r="Y98" s="15"/>
    </row>
    <row r="99" spans="2:25" x14ac:dyDescent="0.25">
      <c r="B99" s="15">
        <v>97</v>
      </c>
      <c r="C99" s="8"/>
      <c r="E99" s="383"/>
      <c r="F99" s="380"/>
      <c r="G99" s="8"/>
      <c r="H99" s="8"/>
      <c r="I99" s="8"/>
      <c r="J99" s="9"/>
      <c r="K99" s="9">
        <f t="shared" si="31"/>
        <v>0</v>
      </c>
      <c r="L99" s="35">
        <f t="shared" si="32"/>
        <v>0</v>
      </c>
      <c r="M99" s="2"/>
      <c r="O99" s="19"/>
      <c r="P99" s="19"/>
      <c r="Q99" s="19"/>
      <c r="R99" s="21"/>
      <c r="S99" s="46"/>
      <c r="T99" s="44"/>
      <c r="U99" s="77"/>
      <c r="V99" s="24"/>
      <c r="W99" s="24"/>
      <c r="X99" s="193"/>
      <c r="Y99" s="15"/>
    </row>
    <row r="100" spans="2:25" x14ac:dyDescent="0.25">
      <c r="B100" s="15">
        <v>98</v>
      </c>
      <c r="C100" s="8"/>
      <c r="E100" s="383"/>
      <c r="F100" s="380"/>
      <c r="G100" s="8"/>
      <c r="H100" s="8"/>
      <c r="I100" s="8"/>
      <c r="J100" s="9"/>
      <c r="K100" s="9">
        <f t="shared" si="31"/>
        <v>0</v>
      </c>
      <c r="L100" s="35">
        <f t="shared" si="32"/>
        <v>0</v>
      </c>
      <c r="M100" s="2"/>
      <c r="O100" s="19"/>
      <c r="P100" s="19"/>
      <c r="Q100" s="19"/>
      <c r="R100" s="21"/>
      <c r="S100" s="46"/>
      <c r="T100" s="44"/>
      <c r="U100" s="77"/>
      <c r="V100" s="24"/>
      <c r="W100" s="24"/>
      <c r="X100" s="193"/>
      <c r="Y100" s="15"/>
    </row>
    <row r="101" spans="2:25" x14ac:dyDescent="0.25">
      <c r="B101" s="15">
        <v>99</v>
      </c>
      <c r="C101" s="8"/>
      <c r="E101" s="383"/>
      <c r="F101" s="380"/>
      <c r="G101" s="8"/>
      <c r="H101" s="8"/>
      <c r="I101" s="8"/>
      <c r="J101" s="9"/>
      <c r="K101" s="9">
        <f t="shared" si="31"/>
        <v>0</v>
      </c>
      <c r="L101" s="35">
        <f t="shared" si="32"/>
        <v>0</v>
      </c>
      <c r="M101" s="2"/>
      <c r="O101" s="19"/>
      <c r="P101" s="19"/>
      <c r="Q101" s="19"/>
      <c r="R101" s="21"/>
      <c r="S101" s="46"/>
      <c r="T101" s="44"/>
      <c r="U101" s="77"/>
      <c r="V101" s="24"/>
      <c r="W101" s="24"/>
      <c r="X101" s="193"/>
      <c r="Y101" s="15"/>
    </row>
    <row r="102" spans="2:25" x14ac:dyDescent="0.25">
      <c r="B102" s="15">
        <v>100</v>
      </c>
      <c r="C102" s="8"/>
      <c r="E102" s="383"/>
      <c r="F102" s="380"/>
      <c r="G102" s="8"/>
      <c r="H102" s="8"/>
      <c r="I102" s="8"/>
      <c r="J102" s="9"/>
      <c r="K102" s="9">
        <f t="shared" si="31"/>
        <v>0</v>
      </c>
      <c r="L102" s="35">
        <f t="shared" si="32"/>
        <v>0</v>
      </c>
      <c r="M102" s="2"/>
      <c r="O102" s="19"/>
      <c r="P102" s="19"/>
      <c r="Q102" s="19"/>
      <c r="R102" s="21"/>
      <c r="S102" s="46"/>
      <c r="T102" s="44"/>
      <c r="U102" s="77"/>
      <c r="V102" s="24"/>
      <c r="W102" s="24"/>
      <c r="X102" s="193"/>
      <c r="Y102" s="15"/>
    </row>
    <row r="103" spans="2:25" x14ac:dyDescent="0.25">
      <c r="B103" s="15">
        <v>101</v>
      </c>
      <c r="C103" s="8"/>
      <c r="E103" s="383"/>
      <c r="F103" s="380"/>
      <c r="G103" s="8"/>
      <c r="H103" s="8"/>
      <c r="I103" s="8"/>
      <c r="J103" s="9"/>
      <c r="K103" s="9">
        <f t="shared" si="31"/>
        <v>0</v>
      </c>
      <c r="L103" s="35">
        <f t="shared" si="32"/>
        <v>0</v>
      </c>
      <c r="M103" s="2"/>
      <c r="O103" s="19"/>
      <c r="P103" s="19"/>
      <c r="Q103" s="19"/>
      <c r="R103" s="21"/>
      <c r="S103" s="46"/>
      <c r="T103" s="44"/>
      <c r="U103" s="77"/>
      <c r="V103" s="30"/>
      <c r="W103" s="24"/>
      <c r="X103" s="193"/>
      <c r="Y103" s="15"/>
    </row>
    <row r="104" spans="2:25" x14ac:dyDescent="0.25">
      <c r="B104" s="15">
        <v>102</v>
      </c>
      <c r="C104" s="8"/>
      <c r="E104" s="383"/>
      <c r="F104" s="380"/>
      <c r="G104" s="8"/>
      <c r="H104" s="8"/>
      <c r="I104" s="8"/>
      <c r="J104" s="9"/>
      <c r="K104" s="9">
        <f t="shared" si="31"/>
        <v>0</v>
      </c>
      <c r="L104" s="35">
        <f t="shared" si="32"/>
        <v>0</v>
      </c>
      <c r="M104" s="2"/>
      <c r="O104" s="19"/>
      <c r="P104" s="19"/>
      <c r="Q104" s="19"/>
      <c r="R104" s="21"/>
      <c r="S104" s="46"/>
      <c r="T104" s="44"/>
      <c r="U104" s="77"/>
      <c r="V104" s="24"/>
      <c r="W104" s="24"/>
      <c r="X104" s="193"/>
      <c r="Y104" s="15"/>
    </row>
    <row r="105" spans="2:25" x14ac:dyDescent="0.25">
      <c r="B105" s="15">
        <v>103</v>
      </c>
      <c r="C105" s="8"/>
      <c r="E105" s="383"/>
      <c r="F105" s="380"/>
      <c r="G105" s="8"/>
      <c r="H105" s="8"/>
      <c r="I105" s="8"/>
      <c r="J105" s="9"/>
      <c r="K105" s="9">
        <f t="shared" si="31"/>
        <v>0</v>
      </c>
      <c r="L105" s="35">
        <f t="shared" si="32"/>
        <v>0</v>
      </c>
      <c r="M105" s="2"/>
      <c r="O105" s="19"/>
      <c r="P105" s="19"/>
      <c r="Q105" s="19"/>
      <c r="R105" s="21"/>
      <c r="S105" s="46"/>
      <c r="T105" s="44"/>
      <c r="U105" s="77"/>
      <c r="V105" s="24"/>
      <c r="W105" s="24"/>
      <c r="X105" s="193"/>
      <c r="Y105" s="15"/>
    </row>
    <row r="106" spans="2:25" x14ac:dyDescent="0.25">
      <c r="B106" s="15">
        <v>104</v>
      </c>
      <c r="C106" s="8"/>
      <c r="E106" s="383"/>
      <c r="F106" s="381"/>
      <c r="G106" s="8"/>
      <c r="H106" s="8"/>
      <c r="I106" s="8"/>
      <c r="J106" s="9"/>
      <c r="K106" s="9">
        <f t="shared" si="31"/>
        <v>0</v>
      </c>
      <c r="L106" s="35">
        <f t="shared" si="32"/>
        <v>0</v>
      </c>
      <c r="M106" s="2"/>
      <c r="O106" s="19"/>
      <c r="P106" s="19"/>
      <c r="Q106" s="19"/>
      <c r="R106" s="21"/>
      <c r="S106" s="46"/>
      <c r="T106" s="44"/>
      <c r="U106" s="77"/>
      <c r="V106" s="24"/>
      <c r="W106" s="24"/>
      <c r="X106" s="193"/>
      <c r="Y106" s="15"/>
    </row>
    <row r="107" spans="2:25" x14ac:dyDescent="0.25">
      <c r="B107" s="15">
        <v>105</v>
      </c>
      <c r="C107" s="8"/>
      <c r="E107" s="383"/>
      <c r="F107" s="380"/>
      <c r="G107" s="8"/>
      <c r="H107" s="8"/>
      <c r="I107" s="8"/>
      <c r="J107" s="9"/>
      <c r="K107" s="9">
        <f t="shared" si="31"/>
        <v>0</v>
      </c>
      <c r="L107" s="35">
        <f t="shared" si="32"/>
        <v>0</v>
      </c>
      <c r="M107" s="2"/>
      <c r="O107" s="19"/>
      <c r="P107" s="19"/>
      <c r="Q107" s="19"/>
      <c r="R107" s="21"/>
      <c r="S107" s="46"/>
      <c r="T107" s="44"/>
      <c r="U107" s="77"/>
      <c r="V107" s="24"/>
      <c r="W107" s="24"/>
      <c r="X107" s="193"/>
      <c r="Y107" s="15"/>
    </row>
    <row r="108" spans="2:25" x14ac:dyDescent="0.25">
      <c r="B108" s="15">
        <v>106</v>
      </c>
      <c r="C108" s="8"/>
      <c r="E108" s="383"/>
      <c r="F108" s="380"/>
      <c r="G108" s="8"/>
      <c r="H108" s="8"/>
      <c r="I108" s="8"/>
      <c r="J108" s="9"/>
      <c r="K108" s="9">
        <f t="shared" si="31"/>
        <v>0</v>
      </c>
      <c r="L108" s="35">
        <f t="shared" si="32"/>
        <v>0</v>
      </c>
      <c r="M108" s="2"/>
      <c r="O108" s="19"/>
      <c r="P108" s="19"/>
      <c r="Q108" s="19"/>
      <c r="R108" s="21"/>
      <c r="S108" s="46"/>
      <c r="T108" s="44"/>
      <c r="U108" s="77"/>
      <c r="V108" s="24"/>
      <c r="W108" s="24"/>
      <c r="X108" s="193"/>
      <c r="Y108" s="15"/>
    </row>
    <row r="109" spans="2:25" x14ac:dyDescent="0.25">
      <c r="B109" s="15">
        <v>107</v>
      </c>
      <c r="C109" s="8"/>
      <c r="E109" s="383"/>
      <c r="F109" s="380"/>
      <c r="G109" s="8"/>
      <c r="H109" s="8"/>
      <c r="I109" s="8"/>
      <c r="J109" s="9"/>
      <c r="K109" s="9">
        <f t="shared" si="31"/>
        <v>0</v>
      </c>
      <c r="L109" s="35">
        <f t="shared" si="32"/>
        <v>0</v>
      </c>
      <c r="M109" s="2"/>
      <c r="O109" s="19"/>
      <c r="P109" s="19"/>
      <c r="Q109" s="19"/>
      <c r="R109" s="21"/>
      <c r="S109" s="46"/>
      <c r="T109" s="44"/>
      <c r="U109" s="77"/>
      <c r="V109" s="30"/>
      <c r="W109" s="24"/>
      <c r="X109" s="193"/>
      <c r="Y109" s="15"/>
    </row>
    <row r="110" spans="2:25" x14ac:dyDescent="0.25">
      <c r="B110" s="15">
        <v>108</v>
      </c>
      <c r="C110" s="8"/>
      <c r="E110" s="383"/>
      <c r="F110" s="380"/>
      <c r="G110" s="8"/>
      <c r="H110" s="8"/>
      <c r="I110" s="8"/>
      <c r="J110" s="9"/>
      <c r="K110" s="9">
        <f t="shared" si="31"/>
        <v>0</v>
      </c>
      <c r="L110" s="35">
        <f t="shared" si="32"/>
        <v>0</v>
      </c>
      <c r="M110" s="2"/>
      <c r="O110" s="19"/>
      <c r="P110" s="19"/>
      <c r="Q110" s="19"/>
      <c r="R110" s="21"/>
      <c r="S110" s="46"/>
      <c r="T110" s="44"/>
      <c r="U110" s="77"/>
      <c r="V110" s="30"/>
      <c r="W110" s="24"/>
      <c r="X110" s="193"/>
      <c r="Y110" s="15"/>
    </row>
    <row r="111" spans="2:25" x14ac:dyDescent="0.25">
      <c r="B111" s="15">
        <v>109</v>
      </c>
      <c r="C111" s="8"/>
      <c r="E111" s="383"/>
      <c r="F111" s="380"/>
      <c r="G111" s="8"/>
      <c r="H111" s="8"/>
      <c r="I111" s="8"/>
      <c r="J111" s="9"/>
      <c r="K111" s="9">
        <f t="shared" si="31"/>
        <v>0</v>
      </c>
      <c r="L111" s="35">
        <f t="shared" si="32"/>
        <v>0</v>
      </c>
      <c r="M111" s="2"/>
      <c r="O111" s="19"/>
      <c r="P111" s="19"/>
      <c r="Q111" s="19"/>
      <c r="R111" s="21"/>
      <c r="S111" s="46"/>
      <c r="T111" s="44"/>
      <c r="U111" s="77"/>
      <c r="V111" s="30"/>
      <c r="W111" s="24"/>
      <c r="X111" s="193"/>
      <c r="Y111" s="15"/>
    </row>
    <row r="112" spans="2:25" x14ac:dyDescent="0.25">
      <c r="B112" s="15">
        <v>110</v>
      </c>
      <c r="C112" s="8"/>
      <c r="E112" s="383"/>
      <c r="F112" s="380"/>
      <c r="G112" s="8"/>
      <c r="H112" s="8"/>
      <c r="I112" s="8"/>
      <c r="J112" s="9"/>
      <c r="K112" s="9">
        <f t="shared" si="31"/>
        <v>0</v>
      </c>
      <c r="L112" s="35">
        <f t="shared" si="32"/>
        <v>0</v>
      </c>
      <c r="M112" s="2"/>
      <c r="O112" s="19"/>
      <c r="P112" s="19"/>
      <c r="Q112" s="19"/>
      <c r="R112" s="21"/>
      <c r="S112" s="46"/>
      <c r="T112" s="44"/>
      <c r="U112" s="77"/>
      <c r="V112" s="24"/>
      <c r="W112" s="24"/>
      <c r="X112" s="193"/>
      <c r="Y112" s="15"/>
    </row>
    <row r="113" spans="2:25" x14ac:dyDescent="0.25">
      <c r="B113" s="15">
        <v>111</v>
      </c>
      <c r="C113" s="8"/>
      <c r="E113" s="383"/>
      <c r="F113" s="380"/>
      <c r="G113" s="8"/>
      <c r="H113" s="8"/>
      <c r="I113" s="8"/>
      <c r="J113" s="9"/>
      <c r="K113" s="9">
        <f t="shared" si="31"/>
        <v>0</v>
      </c>
      <c r="L113" s="35">
        <f t="shared" si="32"/>
        <v>0</v>
      </c>
      <c r="M113" s="2"/>
      <c r="O113" s="19"/>
      <c r="P113" s="19"/>
      <c r="Q113" s="19"/>
      <c r="R113" s="21"/>
      <c r="S113" s="46"/>
      <c r="T113" s="44"/>
      <c r="U113" s="77"/>
      <c r="V113" s="24"/>
      <c r="W113" s="24"/>
      <c r="X113" s="193"/>
      <c r="Y113" s="15"/>
    </row>
    <row r="114" spans="2:25" x14ac:dyDescent="0.25">
      <c r="B114" s="15">
        <v>112</v>
      </c>
      <c r="C114" s="8"/>
      <c r="E114" s="383"/>
      <c r="F114" s="380"/>
      <c r="G114" s="8"/>
      <c r="H114" s="8"/>
      <c r="I114" s="8"/>
      <c r="J114" s="9"/>
      <c r="K114" s="9">
        <f t="shared" si="31"/>
        <v>0</v>
      </c>
      <c r="L114" s="35">
        <f t="shared" si="32"/>
        <v>0</v>
      </c>
      <c r="M114" s="2"/>
      <c r="O114" s="19"/>
      <c r="P114" s="19"/>
      <c r="Q114" s="19"/>
      <c r="R114" s="21"/>
      <c r="S114" s="46"/>
      <c r="T114" s="44"/>
      <c r="U114" s="77"/>
      <c r="V114" s="24"/>
      <c r="W114" s="24"/>
      <c r="X114" s="193"/>
      <c r="Y114" s="15"/>
    </row>
    <row r="115" spans="2:25" x14ac:dyDescent="0.25">
      <c r="B115" s="15">
        <v>113</v>
      </c>
      <c r="C115" s="8"/>
      <c r="E115" s="383"/>
      <c r="F115" s="380"/>
      <c r="G115" s="8"/>
      <c r="H115" s="8"/>
      <c r="I115" s="8"/>
      <c r="J115" s="9"/>
      <c r="K115" s="9">
        <f t="shared" si="31"/>
        <v>0</v>
      </c>
      <c r="L115" s="35">
        <f t="shared" si="32"/>
        <v>0</v>
      </c>
      <c r="M115" s="2"/>
      <c r="O115" s="19"/>
      <c r="P115" s="19"/>
      <c r="Q115" s="19"/>
      <c r="R115" s="21"/>
      <c r="S115" s="46"/>
      <c r="T115" s="44"/>
      <c r="U115" s="77"/>
      <c r="V115" s="24"/>
      <c r="W115" s="24"/>
      <c r="X115" s="193"/>
      <c r="Y115" s="15"/>
    </row>
    <row r="116" spans="2:25" x14ac:dyDescent="0.25">
      <c r="B116" s="15">
        <v>114</v>
      </c>
      <c r="C116" s="8"/>
      <c r="E116" s="383"/>
      <c r="F116" s="380"/>
      <c r="G116" s="8"/>
      <c r="H116" s="8"/>
      <c r="I116" s="8"/>
      <c r="J116" s="9"/>
      <c r="K116" s="9">
        <f t="shared" si="31"/>
        <v>0</v>
      </c>
      <c r="L116" s="35">
        <f t="shared" si="32"/>
        <v>0</v>
      </c>
      <c r="M116" s="2"/>
      <c r="O116" s="19"/>
      <c r="P116" s="19"/>
      <c r="Q116" s="19"/>
      <c r="R116" s="21"/>
      <c r="S116" s="46"/>
      <c r="T116" s="44"/>
      <c r="U116" s="77"/>
      <c r="V116" s="30"/>
      <c r="W116" s="24"/>
      <c r="X116" s="193"/>
      <c r="Y116" s="15"/>
    </row>
    <row r="117" spans="2:25" x14ac:dyDescent="0.25">
      <c r="B117" s="15">
        <v>115</v>
      </c>
      <c r="C117" s="8"/>
      <c r="E117" s="383"/>
      <c r="F117" s="380"/>
      <c r="G117" s="8"/>
      <c r="H117" s="8"/>
      <c r="I117" s="8"/>
      <c r="J117" s="9"/>
      <c r="K117" s="9">
        <f t="shared" si="31"/>
        <v>0</v>
      </c>
      <c r="L117" s="35">
        <f t="shared" si="32"/>
        <v>0</v>
      </c>
      <c r="M117" s="2"/>
      <c r="O117" s="19"/>
      <c r="P117" s="19"/>
      <c r="Q117" s="19"/>
      <c r="R117" s="21"/>
      <c r="S117" s="46"/>
      <c r="T117" s="44"/>
      <c r="U117" s="77"/>
      <c r="V117" s="30"/>
      <c r="W117" s="24"/>
      <c r="X117" s="193"/>
      <c r="Y117" s="15"/>
    </row>
    <row r="118" spans="2:25" x14ac:dyDescent="0.25">
      <c r="B118" s="15">
        <v>116</v>
      </c>
      <c r="C118" s="8"/>
      <c r="E118" s="383"/>
      <c r="F118" s="380"/>
      <c r="G118" s="8"/>
      <c r="H118" s="8"/>
      <c r="I118" s="8"/>
      <c r="J118" s="9"/>
      <c r="K118" s="9">
        <f t="shared" si="31"/>
        <v>0</v>
      </c>
      <c r="L118" s="35">
        <f t="shared" si="32"/>
        <v>0</v>
      </c>
      <c r="M118" s="2"/>
      <c r="O118" s="19"/>
      <c r="P118" s="19"/>
      <c r="Q118" s="19"/>
      <c r="R118" s="21"/>
      <c r="S118" s="46"/>
      <c r="T118" s="44"/>
      <c r="U118" s="77"/>
      <c r="V118" s="30"/>
      <c r="W118" s="24"/>
      <c r="X118" s="193"/>
      <c r="Y118" s="15"/>
    </row>
    <row r="119" spans="2:25" x14ac:dyDescent="0.25">
      <c r="B119" s="15">
        <v>117</v>
      </c>
      <c r="C119" s="8"/>
      <c r="E119" s="383"/>
      <c r="F119" s="380"/>
      <c r="G119" s="8"/>
      <c r="H119" s="8"/>
      <c r="I119" s="8"/>
      <c r="J119" s="9"/>
      <c r="K119" s="9">
        <f t="shared" si="31"/>
        <v>0</v>
      </c>
      <c r="L119" s="35">
        <f t="shared" si="32"/>
        <v>0</v>
      </c>
      <c r="M119" s="2"/>
      <c r="O119" s="19"/>
      <c r="P119" s="19"/>
      <c r="Q119" s="19"/>
      <c r="R119" s="21"/>
      <c r="S119" s="46"/>
      <c r="T119" s="44"/>
      <c r="U119" s="77"/>
      <c r="V119" s="30"/>
      <c r="W119" s="24"/>
      <c r="X119" s="193"/>
      <c r="Y119" s="15"/>
    </row>
    <row r="120" spans="2:25" x14ac:dyDescent="0.25">
      <c r="B120" s="15">
        <v>118</v>
      </c>
      <c r="C120" s="8"/>
      <c r="E120" s="383"/>
      <c r="G120" s="8"/>
      <c r="H120" s="8"/>
      <c r="I120" s="8"/>
      <c r="J120" s="9"/>
      <c r="K120" s="9">
        <f t="shared" si="31"/>
        <v>0</v>
      </c>
      <c r="L120" s="35">
        <f t="shared" si="32"/>
        <v>0</v>
      </c>
      <c r="M120" s="2"/>
      <c r="O120" s="19"/>
      <c r="P120" s="19"/>
      <c r="Q120" s="19"/>
      <c r="R120" s="21"/>
      <c r="S120" s="46"/>
      <c r="T120" s="44"/>
      <c r="U120" s="77"/>
      <c r="V120" s="24"/>
      <c r="W120" s="24"/>
      <c r="X120" s="193"/>
      <c r="Y120" s="15"/>
    </row>
    <row r="121" spans="2:25" x14ac:dyDescent="0.25">
      <c r="B121" s="15">
        <v>119</v>
      </c>
      <c r="C121" s="8"/>
      <c r="E121" s="383"/>
      <c r="G121" s="8"/>
      <c r="H121" s="8"/>
      <c r="I121" s="8"/>
      <c r="J121" s="9"/>
      <c r="K121" s="9">
        <f t="shared" si="31"/>
        <v>0</v>
      </c>
      <c r="L121" s="35">
        <f t="shared" si="32"/>
        <v>0</v>
      </c>
      <c r="M121" s="2"/>
      <c r="O121" s="19"/>
      <c r="P121" s="19"/>
      <c r="Q121" s="19"/>
      <c r="R121" s="21"/>
      <c r="S121" s="46"/>
      <c r="T121" s="44"/>
      <c r="U121" s="77"/>
      <c r="V121" s="24"/>
      <c r="W121" s="24"/>
      <c r="X121" s="193"/>
      <c r="Y121" s="15"/>
    </row>
    <row r="122" spans="2:25" x14ac:dyDescent="0.25">
      <c r="B122" s="15">
        <v>120</v>
      </c>
      <c r="C122" s="8"/>
      <c r="E122" s="383"/>
      <c r="F122" s="380"/>
      <c r="G122" s="8"/>
      <c r="H122" s="8"/>
      <c r="I122" s="8"/>
      <c r="J122" s="9"/>
      <c r="K122" s="9">
        <f t="shared" si="31"/>
        <v>0</v>
      </c>
      <c r="L122" s="35">
        <f t="shared" si="32"/>
        <v>0</v>
      </c>
      <c r="M122" s="2"/>
      <c r="O122" s="19"/>
      <c r="P122" s="19"/>
      <c r="Q122" s="19"/>
      <c r="R122" s="21"/>
      <c r="S122" s="46"/>
      <c r="T122" s="44"/>
      <c r="U122" s="77"/>
      <c r="V122" s="24"/>
      <c r="W122" s="24"/>
      <c r="X122" s="193"/>
      <c r="Y122" s="15"/>
    </row>
    <row r="123" spans="2:25" x14ac:dyDescent="0.25">
      <c r="B123" s="15">
        <v>121</v>
      </c>
      <c r="C123" s="8"/>
      <c r="E123" s="383"/>
      <c r="F123" s="380"/>
      <c r="G123" s="8"/>
      <c r="H123" s="8"/>
      <c r="I123" s="8"/>
      <c r="J123" s="9"/>
      <c r="K123" s="9">
        <f t="shared" si="31"/>
        <v>0</v>
      </c>
      <c r="L123" s="35">
        <f t="shared" si="32"/>
        <v>0</v>
      </c>
      <c r="M123" s="2"/>
      <c r="O123" s="19"/>
      <c r="P123" s="19"/>
      <c r="Q123" s="19"/>
      <c r="R123" s="21"/>
      <c r="S123" s="46"/>
      <c r="T123" s="44"/>
      <c r="U123" s="77"/>
      <c r="V123" s="24"/>
      <c r="W123" s="24"/>
      <c r="X123" s="193"/>
      <c r="Y123" s="15"/>
    </row>
    <row r="124" spans="2:25" x14ac:dyDescent="0.25">
      <c r="B124" s="15">
        <v>122</v>
      </c>
      <c r="C124" s="8"/>
      <c r="E124" s="383"/>
      <c r="F124" s="380"/>
      <c r="G124" s="8"/>
      <c r="H124" s="8"/>
      <c r="I124" s="8"/>
      <c r="J124" s="9"/>
      <c r="K124" s="9">
        <f t="shared" si="31"/>
        <v>0</v>
      </c>
      <c r="L124" s="35">
        <f t="shared" si="32"/>
        <v>0</v>
      </c>
      <c r="M124" s="2"/>
      <c r="O124" s="19"/>
      <c r="P124" s="19"/>
      <c r="Q124" s="19"/>
      <c r="R124" s="21"/>
      <c r="S124" s="46"/>
      <c r="T124" s="44"/>
      <c r="U124" s="77"/>
      <c r="V124" s="24"/>
      <c r="W124" s="24"/>
      <c r="X124" s="193"/>
      <c r="Y124" s="15"/>
    </row>
    <row r="125" spans="2:25" x14ac:dyDescent="0.25">
      <c r="B125" s="15">
        <v>123</v>
      </c>
      <c r="C125" s="8"/>
      <c r="E125" s="383"/>
      <c r="F125" s="380"/>
      <c r="G125" s="8"/>
      <c r="H125" s="8"/>
      <c r="I125" s="8"/>
      <c r="J125" s="9"/>
      <c r="K125" s="9">
        <f t="shared" si="31"/>
        <v>0</v>
      </c>
      <c r="L125" s="35">
        <f t="shared" si="32"/>
        <v>0</v>
      </c>
      <c r="M125" s="2"/>
      <c r="O125" s="19"/>
      <c r="P125" s="19"/>
      <c r="Q125" s="19"/>
      <c r="R125" s="21"/>
      <c r="S125" s="46"/>
      <c r="T125" s="44"/>
      <c r="U125" s="77"/>
      <c r="V125" s="30"/>
      <c r="W125" s="24"/>
      <c r="X125" s="193"/>
      <c r="Y125" s="15"/>
    </row>
    <row r="126" spans="2:25" x14ac:dyDescent="0.25">
      <c r="B126" s="15">
        <v>124</v>
      </c>
      <c r="C126" s="8"/>
      <c r="E126" s="383"/>
      <c r="F126" s="380"/>
      <c r="G126" s="8"/>
      <c r="H126" s="8"/>
      <c r="I126" s="8"/>
      <c r="J126" s="9"/>
      <c r="K126" s="9">
        <f t="shared" si="31"/>
        <v>0</v>
      </c>
      <c r="L126" s="35">
        <f t="shared" si="32"/>
        <v>0</v>
      </c>
      <c r="M126" s="2"/>
      <c r="O126" s="19"/>
      <c r="P126" s="19"/>
      <c r="Q126" s="19"/>
      <c r="R126" s="21"/>
      <c r="S126" s="46"/>
      <c r="T126" s="44"/>
      <c r="U126" s="77"/>
      <c r="V126" s="30"/>
      <c r="W126" s="24"/>
      <c r="X126" s="193"/>
      <c r="Y126" s="15"/>
    </row>
    <row r="127" spans="2:25" x14ac:dyDescent="0.25">
      <c r="B127" s="15">
        <v>125</v>
      </c>
      <c r="C127" s="8"/>
      <c r="E127" s="383"/>
      <c r="F127" s="380"/>
      <c r="G127" s="8"/>
      <c r="H127" s="8"/>
      <c r="I127" s="8"/>
      <c r="J127" s="9"/>
      <c r="K127" s="9">
        <f t="shared" si="31"/>
        <v>0</v>
      </c>
      <c r="L127" s="35">
        <f t="shared" si="32"/>
        <v>0</v>
      </c>
      <c r="M127" s="2"/>
      <c r="O127" s="19"/>
      <c r="P127" s="19"/>
      <c r="Q127" s="19"/>
      <c r="R127" s="21"/>
      <c r="S127" s="46"/>
      <c r="T127" s="44"/>
      <c r="U127" s="77"/>
      <c r="V127" s="24"/>
      <c r="W127" s="24"/>
      <c r="X127" s="193"/>
      <c r="Y127" s="15"/>
    </row>
    <row r="128" spans="2:25" x14ac:dyDescent="0.25">
      <c r="B128" s="15">
        <v>126</v>
      </c>
      <c r="C128" s="8"/>
      <c r="E128" s="383"/>
      <c r="F128" s="380"/>
      <c r="G128" s="8"/>
      <c r="H128" s="8"/>
      <c r="I128" s="8"/>
      <c r="J128" s="9"/>
      <c r="K128" s="9">
        <f t="shared" si="31"/>
        <v>0</v>
      </c>
      <c r="L128" s="35">
        <f t="shared" si="32"/>
        <v>0</v>
      </c>
      <c r="M128" s="2"/>
      <c r="O128" s="19"/>
      <c r="P128" s="19"/>
      <c r="Q128" s="19"/>
      <c r="R128" s="21"/>
      <c r="S128" s="46"/>
      <c r="T128" s="44"/>
      <c r="U128" s="77"/>
      <c r="V128" s="24"/>
      <c r="W128" s="24"/>
      <c r="X128" s="193"/>
      <c r="Y128" s="15"/>
    </row>
    <row r="129" spans="2:25" x14ac:dyDescent="0.25">
      <c r="B129" s="15">
        <v>127</v>
      </c>
      <c r="C129" s="8"/>
      <c r="E129" s="383"/>
      <c r="F129" s="380"/>
      <c r="G129" s="8"/>
      <c r="H129" s="8"/>
      <c r="I129" s="8"/>
      <c r="J129" s="9"/>
      <c r="K129" s="9">
        <f t="shared" si="31"/>
        <v>0</v>
      </c>
      <c r="L129" s="35">
        <f t="shared" si="32"/>
        <v>0</v>
      </c>
      <c r="M129" s="2"/>
      <c r="O129" s="19"/>
      <c r="P129" s="19"/>
      <c r="Q129" s="19"/>
      <c r="R129" s="21"/>
      <c r="S129" s="46"/>
      <c r="T129" s="44"/>
      <c r="U129" s="77"/>
      <c r="V129" s="24"/>
      <c r="W129" s="24"/>
      <c r="X129" s="193"/>
      <c r="Y129" s="15"/>
    </row>
    <row r="130" spans="2:25" x14ac:dyDescent="0.25">
      <c r="B130" s="15">
        <v>128</v>
      </c>
      <c r="C130" s="8"/>
      <c r="E130" s="383"/>
      <c r="F130" s="380"/>
      <c r="G130" s="8"/>
      <c r="H130" s="8"/>
      <c r="I130" s="8"/>
      <c r="J130" s="9"/>
      <c r="K130" s="9">
        <f t="shared" si="31"/>
        <v>0</v>
      </c>
      <c r="L130" s="35">
        <f t="shared" si="32"/>
        <v>0</v>
      </c>
      <c r="M130" s="2"/>
      <c r="O130" s="19"/>
      <c r="P130" s="19"/>
      <c r="Q130" s="19"/>
      <c r="R130" s="21"/>
      <c r="S130" s="46"/>
      <c r="T130" s="44"/>
      <c r="U130" s="77"/>
      <c r="V130" s="24"/>
      <c r="W130" s="24"/>
      <c r="X130" s="193"/>
      <c r="Y130" s="15"/>
    </row>
    <row r="131" spans="2:25" x14ac:dyDescent="0.25">
      <c r="B131" s="15">
        <v>129</v>
      </c>
      <c r="C131" s="8"/>
      <c r="E131" s="383"/>
      <c r="F131" s="380"/>
      <c r="G131" s="8"/>
      <c r="H131" s="8"/>
      <c r="I131" s="8"/>
      <c r="J131" s="9"/>
      <c r="K131" s="9">
        <f t="shared" ref="K131:K194" si="35">J131*1.1</f>
        <v>0</v>
      </c>
      <c r="L131" s="35">
        <f t="shared" ref="L131:L194" si="36">J131*0.00000001</f>
        <v>0</v>
      </c>
      <c r="M131" s="2"/>
      <c r="O131" s="19"/>
      <c r="P131" s="19"/>
      <c r="Q131" s="19"/>
      <c r="R131" s="21"/>
      <c r="S131" s="46"/>
      <c r="T131" s="44"/>
      <c r="U131" s="77"/>
      <c r="V131" s="24"/>
      <c r="W131" s="24"/>
      <c r="X131" s="193"/>
      <c r="Y131" s="15"/>
    </row>
    <row r="132" spans="2:25" x14ac:dyDescent="0.25">
      <c r="B132" s="15">
        <v>130</v>
      </c>
      <c r="C132" s="8"/>
      <c r="E132" s="383"/>
      <c r="F132" s="380"/>
      <c r="G132" s="8"/>
      <c r="H132" s="8"/>
      <c r="I132" s="8"/>
      <c r="J132" s="9"/>
      <c r="K132" s="9">
        <f t="shared" si="35"/>
        <v>0</v>
      </c>
      <c r="L132" s="35">
        <f t="shared" si="36"/>
        <v>0</v>
      </c>
      <c r="M132" s="2"/>
      <c r="O132" s="19"/>
      <c r="P132" s="19"/>
      <c r="Q132" s="19"/>
      <c r="R132" s="21"/>
      <c r="S132" s="46"/>
      <c r="T132" s="44"/>
      <c r="U132" s="77"/>
      <c r="V132" s="24"/>
      <c r="W132" s="24"/>
      <c r="X132" s="193"/>
      <c r="Y132" s="15"/>
    </row>
    <row r="133" spans="2:25" x14ac:dyDescent="0.25">
      <c r="B133" s="15">
        <v>131</v>
      </c>
      <c r="C133" s="8"/>
      <c r="E133" s="383"/>
      <c r="F133" s="380"/>
      <c r="G133" s="8"/>
      <c r="H133" s="8"/>
      <c r="I133" s="8"/>
      <c r="J133" s="9"/>
      <c r="K133" s="9">
        <f t="shared" si="35"/>
        <v>0</v>
      </c>
      <c r="L133" s="35">
        <f t="shared" si="36"/>
        <v>0</v>
      </c>
      <c r="M133" s="2"/>
      <c r="O133" s="19"/>
      <c r="P133" s="19"/>
      <c r="Q133" s="19"/>
      <c r="R133" s="21"/>
      <c r="S133" s="46"/>
      <c r="T133" s="44"/>
      <c r="U133" s="77"/>
      <c r="V133" s="24"/>
      <c r="W133" s="24"/>
      <c r="X133" s="193"/>
      <c r="Y133" s="15"/>
    </row>
    <row r="134" spans="2:25" x14ac:dyDescent="0.25">
      <c r="B134" s="15">
        <v>132</v>
      </c>
      <c r="C134" s="8"/>
      <c r="E134" s="383"/>
      <c r="F134" s="380"/>
      <c r="G134" s="8"/>
      <c r="H134" s="8"/>
      <c r="I134" s="8"/>
      <c r="J134" s="9"/>
      <c r="K134" s="9">
        <f t="shared" si="35"/>
        <v>0</v>
      </c>
      <c r="L134" s="35">
        <f t="shared" si="36"/>
        <v>0</v>
      </c>
      <c r="M134" s="2"/>
      <c r="O134" s="19"/>
      <c r="P134" s="19"/>
      <c r="Q134" s="19"/>
      <c r="R134" s="21"/>
      <c r="S134" s="46"/>
      <c r="T134" s="44"/>
      <c r="U134" s="77"/>
      <c r="V134" s="24"/>
      <c r="W134" s="24"/>
      <c r="X134" s="193"/>
      <c r="Y134" s="15"/>
    </row>
    <row r="135" spans="2:25" x14ac:dyDescent="0.25">
      <c r="B135" s="15">
        <v>132</v>
      </c>
      <c r="C135" s="8"/>
      <c r="E135" s="383"/>
      <c r="F135" s="380"/>
      <c r="G135" s="8"/>
      <c r="H135" s="8"/>
      <c r="I135" s="8"/>
      <c r="J135" s="9"/>
      <c r="K135" s="9">
        <f t="shared" si="35"/>
        <v>0</v>
      </c>
      <c r="L135" s="35">
        <f t="shared" si="36"/>
        <v>0</v>
      </c>
      <c r="M135" s="2"/>
      <c r="O135" s="19"/>
      <c r="P135" s="19"/>
      <c r="Q135" s="19"/>
      <c r="R135" s="21"/>
      <c r="S135" s="46"/>
      <c r="T135" s="44"/>
      <c r="U135" s="77"/>
      <c r="V135" s="24"/>
      <c r="W135" s="24"/>
      <c r="X135" s="193"/>
      <c r="Y135" s="15"/>
    </row>
    <row r="136" spans="2:25" x14ac:dyDescent="0.25">
      <c r="B136" s="15">
        <v>133</v>
      </c>
      <c r="C136" s="8"/>
      <c r="E136" s="383"/>
      <c r="F136" s="380"/>
      <c r="G136" s="8"/>
      <c r="H136" s="8"/>
      <c r="I136" s="8"/>
      <c r="J136" s="9"/>
      <c r="K136" s="9">
        <f t="shared" si="35"/>
        <v>0</v>
      </c>
      <c r="L136" s="35">
        <f t="shared" si="36"/>
        <v>0</v>
      </c>
      <c r="M136" s="2"/>
      <c r="O136" s="19"/>
      <c r="P136" s="19"/>
      <c r="Q136" s="19"/>
      <c r="R136" s="21"/>
      <c r="S136" s="46"/>
      <c r="T136" s="44"/>
      <c r="U136" s="77"/>
      <c r="V136" s="24"/>
      <c r="W136" s="24"/>
      <c r="X136" s="193"/>
      <c r="Y136" s="15"/>
    </row>
    <row r="137" spans="2:25" x14ac:dyDescent="0.25">
      <c r="B137" s="15">
        <v>134</v>
      </c>
      <c r="C137" s="8"/>
      <c r="E137" s="383"/>
      <c r="F137" s="380"/>
      <c r="G137" s="8"/>
      <c r="H137" s="8"/>
      <c r="I137" s="8"/>
      <c r="K137" s="9">
        <f t="shared" si="35"/>
        <v>0</v>
      </c>
      <c r="L137" s="35">
        <f t="shared" si="36"/>
        <v>0</v>
      </c>
      <c r="M137" s="2"/>
      <c r="O137" s="19"/>
      <c r="P137" s="19"/>
      <c r="Q137" s="19"/>
      <c r="S137" s="46"/>
      <c r="T137" s="44"/>
      <c r="U137" s="77"/>
      <c r="V137" s="24"/>
      <c r="W137" s="24"/>
      <c r="X137" s="193"/>
      <c r="Y137" s="15"/>
    </row>
    <row r="138" spans="2:25" x14ac:dyDescent="0.25">
      <c r="B138" s="15">
        <v>135</v>
      </c>
      <c r="C138" s="8"/>
      <c r="E138" s="383"/>
      <c r="F138" s="380"/>
      <c r="G138" s="8"/>
      <c r="H138" s="8"/>
      <c r="I138" s="8"/>
      <c r="K138" s="9">
        <f t="shared" si="35"/>
        <v>0</v>
      </c>
      <c r="L138" s="35">
        <f t="shared" si="36"/>
        <v>0</v>
      </c>
      <c r="M138" s="2"/>
      <c r="O138" s="19"/>
      <c r="P138" s="19"/>
      <c r="Q138" s="19"/>
      <c r="S138" s="46"/>
      <c r="T138" s="44"/>
      <c r="U138" s="77"/>
      <c r="V138" s="24"/>
      <c r="W138" s="24"/>
      <c r="X138" s="193"/>
      <c r="Y138" s="15"/>
    </row>
    <row r="139" spans="2:25" x14ac:dyDescent="0.25">
      <c r="B139" s="15">
        <v>136</v>
      </c>
      <c r="C139" s="8"/>
      <c r="E139" s="383"/>
      <c r="F139" s="380"/>
      <c r="G139" s="8"/>
      <c r="H139" s="8"/>
      <c r="I139" s="8"/>
      <c r="K139" s="9">
        <f t="shared" si="35"/>
        <v>0</v>
      </c>
      <c r="L139" s="35">
        <f t="shared" si="36"/>
        <v>0</v>
      </c>
      <c r="M139" s="2"/>
      <c r="O139" s="19"/>
      <c r="P139" s="19"/>
      <c r="Q139" s="19"/>
      <c r="S139" s="46"/>
      <c r="T139" s="44"/>
      <c r="U139" s="77"/>
      <c r="V139" s="24"/>
      <c r="W139" s="24"/>
      <c r="X139" s="193"/>
      <c r="Y139" s="15"/>
    </row>
    <row r="140" spans="2:25" x14ac:dyDescent="0.25">
      <c r="B140" s="15">
        <v>138</v>
      </c>
      <c r="C140" s="8"/>
      <c r="E140" s="383"/>
      <c r="F140" s="380"/>
      <c r="G140" s="8"/>
      <c r="H140" s="8"/>
      <c r="I140" s="8"/>
      <c r="J140" s="9"/>
      <c r="K140" s="9">
        <f t="shared" si="35"/>
        <v>0</v>
      </c>
      <c r="L140" s="35">
        <f t="shared" si="36"/>
        <v>0</v>
      </c>
      <c r="M140" s="2"/>
      <c r="O140" s="19"/>
      <c r="P140" s="19"/>
      <c r="Q140" s="19"/>
      <c r="R140" s="21"/>
      <c r="S140" s="46"/>
      <c r="T140" s="44"/>
      <c r="U140" s="77"/>
      <c r="V140" s="24"/>
      <c r="W140" s="24"/>
      <c r="X140" s="193"/>
      <c r="Y140" s="15"/>
    </row>
    <row r="141" spans="2:25" x14ac:dyDescent="0.25">
      <c r="B141" s="15">
        <v>139</v>
      </c>
      <c r="C141" s="8"/>
      <c r="E141" s="383"/>
      <c r="F141" s="380"/>
      <c r="G141" s="8"/>
      <c r="H141" s="8"/>
      <c r="I141" s="8"/>
      <c r="J141" s="9"/>
      <c r="K141" s="9">
        <f t="shared" si="35"/>
        <v>0</v>
      </c>
      <c r="L141" s="35">
        <f t="shared" si="36"/>
        <v>0</v>
      </c>
      <c r="M141" s="2"/>
      <c r="O141" s="19"/>
      <c r="P141" s="19"/>
      <c r="Q141" s="19"/>
      <c r="R141" s="21"/>
      <c r="S141" s="46"/>
      <c r="T141" s="44"/>
      <c r="U141" s="77"/>
      <c r="V141" s="30"/>
      <c r="W141" s="24"/>
      <c r="X141" s="193"/>
      <c r="Y141" s="15"/>
    </row>
    <row r="142" spans="2:25" x14ac:dyDescent="0.25">
      <c r="B142" s="15">
        <v>140</v>
      </c>
      <c r="C142" s="8"/>
      <c r="E142" s="383"/>
      <c r="F142" s="380"/>
      <c r="G142" s="8"/>
      <c r="H142" s="8"/>
      <c r="I142" s="8"/>
      <c r="J142" s="9"/>
      <c r="K142" s="9">
        <f t="shared" si="35"/>
        <v>0</v>
      </c>
      <c r="L142" s="35">
        <f t="shared" si="36"/>
        <v>0</v>
      </c>
      <c r="M142" s="2"/>
      <c r="O142" s="19"/>
      <c r="P142" s="19"/>
      <c r="Q142" s="19"/>
      <c r="R142" s="21"/>
      <c r="S142" s="46"/>
      <c r="T142" s="44"/>
      <c r="U142" s="77"/>
      <c r="V142" s="30"/>
      <c r="W142" s="24"/>
      <c r="X142" s="193"/>
      <c r="Y142" s="15"/>
    </row>
    <row r="143" spans="2:25" x14ac:dyDescent="0.25">
      <c r="B143" s="15">
        <v>141</v>
      </c>
      <c r="C143" s="8"/>
      <c r="E143" s="383"/>
      <c r="F143" s="380"/>
      <c r="G143" s="8"/>
      <c r="H143" s="8"/>
      <c r="I143" s="8"/>
      <c r="J143" s="9"/>
      <c r="K143" s="9">
        <f t="shared" si="35"/>
        <v>0</v>
      </c>
      <c r="L143" s="35">
        <f t="shared" si="36"/>
        <v>0</v>
      </c>
      <c r="M143" s="2"/>
      <c r="O143" s="19"/>
      <c r="P143" s="19"/>
      <c r="Q143" s="19"/>
      <c r="R143" s="21"/>
      <c r="S143" s="46"/>
      <c r="T143" s="44"/>
      <c r="U143" s="77"/>
      <c r="V143" s="24"/>
      <c r="W143" s="24"/>
      <c r="X143" s="193"/>
      <c r="Y143" s="15"/>
    </row>
    <row r="144" spans="2:25" x14ac:dyDescent="0.25">
      <c r="B144" s="15">
        <v>142</v>
      </c>
      <c r="C144" s="8"/>
      <c r="E144" s="383"/>
      <c r="F144" s="380"/>
      <c r="G144" s="8"/>
      <c r="H144" s="8"/>
      <c r="I144" s="8"/>
      <c r="J144" s="9"/>
      <c r="K144" s="9">
        <f t="shared" si="35"/>
        <v>0</v>
      </c>
      <c r="L144" s="35">
        <f t="shared" si="36"/>
        <v>0</v>
      </c>
      <c r="M144" s="2"/>
      <c r="O144" s="19"/>
      <c r="P144" s="19"/>
      <c r="Q144" s="19"/>
      <c r="R144" s="21"/>
      <c r="S144" s="46"/>
      <c r="T144" s="44"/>
      <c r="U144" s="77"/>
      <c r="V144" s="24"/>
      <c r="W144" s="24"/>
      <c r="X144" s="193"/>
      <c r="Y144" s="15"/>
    </row>
    <row r="145" spans="2:25" x14ac:dyDescent="0.25">
      <c r="B145" s="15">
        <v>143</v>
      </c>
      <c r="C145" s="8"/>
      <c r="E145" s="383"/>
      <c r="F145" s="380"/>
      <c r="G145" s="8"/>
      <c r="H145" s="8"/>
      <c r="I145" s="8"/>
      <c r="J145" s="9"/>
      <c r="K145" s="9">
        <f t="shared" si="35"/>
        <v>0</v>
      </c>
      <c r="L145" s="35">
        <f t="shared" si="36"/>
        <v>0</v>
      </c>
      <c r="M145" s="2"/>
      <c r="O145" s="19"/>
      <c r="P145" s="19"/>
      <c r="Q145" s="19"/>
      <c r="R145" s="21"/>
      <c r="S145" s="46"/>
      <c r="T145" s="44"/>
      <c r="U145" s="77"/>
      <c r="V145" s="24"/>
      <c r="W145" s="24"/>
      <c r="X145" s="193"/>
      <c r="Y145" s="15"/>
    </row>
    <row r="146" spans="2:25" x14ac:dyDescent="0.25">
      <c r="B146" s="15">
        <v>144</v>
      </c>
      <c r="C146" s="8"/>
      <c r="E146" s="383"/>
      <c r="F146" s="380"/>
      <c r="G146" s="8"/>
      <c r="H146" s="8"/>
      <c r="I146" s="8"/>
      <c r="J146" s="9"/>
      <c r="K146" s="9">
        <f t="shared" si="35"/>
        <v>0</v>
      </c>
      <c r="L146" s="35">
        <f t="shared" si="36"/>
        <v>0</v>
      </c>
      <c r="M146" s="2"/>
      <c r="O146" s="19"/>
      <c r="P146" s="19"/>
      <c r="Q146" s="19"/>
      <c r="R146" s="21"/>
      <c r="S146" s="46"/>
      <c r="T146" s="44"/>
      <c r="U146" s="77"/>
      <c r="V146" s="24"/>
      <c r="W146" s="24"/>
      <c r="X146" s="193"/>
      <c r="Y146" s="15"/>
    </row>
    <row r="147" spans="2:25" x14ac:dyDescent="0.25">
      <c r="B147" s="15">
        <v>145</v>
      </c>
      <c r="C147" s="8"/>
      <c r="E147" s="383"/>
      <c r="F147" s="380"/>
      <c r="G147" s="8"/>
      <c r="H147" s="8"/>
      <c r="I147" s="8"/>
      <c r="J147" s="9"/>
      <c r="K147" s="9">
        <f t="shared" si="35"/>
        <v>0</v>
      </c>
      <c r="L147" s="35">
        <f t="shared" si="36"/>
        <v>0</v>
      </c>
      <c r="M147" s="2"/>
      <c r="O147" s="19"/>
      <c r="P147" s="19"/>
      <c r="Q147" s="19"/>
      <c r="R147" s="21"/>
      <c r="S147" s="46"/>
      <c r="T147" s="44"/>
      <c r="U147" s="77"/>
      <c r="V147" s="24"/>
      <c r="W147" s="24"/>
      <c r="X147" s="193"/>
      <c r="Y147" s="15"/>
    </row>
    <row r="148" spans="2:25" x14ac:dyDescent="0.25">
      <c r="B148" s="15">
        <v>146</v>
      </c>
      <c r="C148" s="8"/>
      <c r="E148" s="383"/>
      <c r="F148" s="380"/>
      <c r="G148" s="8"/>
      <c r="H148" s="8"/>
      <c r="I148" s="8"/>
      <c r="J148" s="9"/>
      <c r="K148" s="9">
        <f t="shared" si="35"/>
        <v>0</v>
      </c>
      <c r="L148" s="35">
        <f t="shared" si="36"/>
        <v>0</v>
      </c>
      <c r="M148" s="2"/>
      <c r="O148" s="19"/>
      <c r="P148" s="19"/>
      <c r="Q148" s="19"/>
      <c r="R148" s="21"/>
      <c r="S148" s="46"/>
      <c r="T148" s="44"/>
      <c r="U148" s="77"/>
      <c r="V148" s="30"/>
      <c r="W148" s="24"/>
      <c r="X148" s="193"/>
      <c r="Y148" s="15"/>
    </row>
    <row r="149" spans="2:25" x14ac:dyDescent="0.25">
      <c r="B149" s="15">
        <v>147</v>
      </c>
      <c r="C149" s="8"/>
      <c r="E149" s="383"/>
      <c r="F149" s="380"/>
      <c r="G149" s="8"/>
      <c r="H149" s="8"/>
      <c r="I149" s="8"/>
      <c r="K149" s="9">
        <f t="shared" si="35"/>
        <v>0</v>
      </c>
      <c r="L149" s="35">
        <f t="shared" si="36"/>
        <v>0</v>
      </c>
      <c r="O149" s="19"/>
      <c r="P149" s="19"/>
      <c r="Q149" s="19"/>
      <c r="S149" s="46"/>
      <c r="T149" s="44"/>
      <c r="U149" s="77"/>
      <c r="V149" s="79"/>
      <c r="W149" s="24"/>
      <c r="X149" s="193"/>
      <c r="Y149" s="15"/>
    </row>
    <row r="150" spans="2:25" x14ac:dyDescent="0.25">
      <c r="B150" s="15">
        <v>148</v>
      </c>
      <c r="C150" s="8"/>
      <c r="E150" s="383"/>
      <c r="F150" s="380"/>
      <c r="G150" s="8"/>
      <c r="H150" s="8"/>
      <c r="I150" s="8"/>
      <c r="J150" s="9"/>
      <c r="K150" s="9">
        <f t="shared" si="35"/>
        <v>0</v>
      </c>
      <c r="L150" s="35">
        <f t="shared" si="36"/>
        <v>0</v>
      </c>
      <c r="M150" s="2"/>
      <c r="O150" s="19"/>
      <c r="P150" s="19"/>
      <c r="Q150" s="19"/>
      <c r="R150" s="21"/>
      <c r="S150" s="46"/>
      <c r="T150" s="44"/>
      <c r="U150" s="77"/>
      <c r="V150" s="79"/>
      <c r="W150" s="24"/>
      <c r="X150" s="193"/>
      <c r="Y150" s="15"/>
    </row>
    <row r="151" spans="2:25" x14ac:dyDescent="0.25">
      <c r="B151" s="15">
        <v>149</v>
      </c>
      <c r="C151" s="8"/>
      <c r="E151" s="383"/>
      <c r="F151" s="380"/>
      <c r="G151" s="8"/>
      <c r="H151" s="8"/>
      <c r="I151" s="8"/>
      <c r="J151" s="9"/>
      <c r="K151" s="9">
        <f t="shared" si="35"/>
        <v>0</v>
      </c>
      <c r="L151" s="35">
        <f t="shared" si="36"/>
        <v>0</v>
      </c>
      <c r="M151" s="2"/>
      <c r="O151" s="19"/>
      <c r="P151" s="19"/>
      <c r="Q151" s="19"/>
      <c r="R151" s="21"/>
      <c r="S151" s="46"/>
      <c r="T151" s="44"/>
      <c r="U151" s="77"/>
      <c r="V151" s="24"/>
      <c r="W151" s="24"/>
      <c r="X151" s="193"/>
      <c r="Y151" s="15"/>
    </row>
    <row r="152" spans="2:25" x14ac:dyDescent="0.25">
      <c r="B152" s="15">
        <v>150</v>
      </c>
      <c r="C152" s="8"/>
      <c r="E152" s="383"/>
      <c r="F152" s="380"/>
      <c r="G152" s="8"/>
      <c r="H152" s="8"/>
      <c r="I152" s="8"/>
      <c r="J152" s="9"/>
      <c r="K152" s="9">
        <f t="shared" si="35"/>
        <v>0</v>
      </c>
      <c r="L152" s="35">
        <f t="shared" si="36"/>
        <v>0</v>
      </c>
      <c r="M152" s="2"/>
      <c r="O152" s="19"/>
      <c r="P152" s="19"/>
      <c r="Q152" s="19"/>
      <c r="R152" s="21"/>
      <c r="S152" s="46"/>
      <c r="T152" s="44"/>
      <c r="U152" s="77"/>
      <c r="V152" s="24"/>
      <c r="W152" s="24"/>
      <c r="X152" s="193"/>
      <c r="Y152" s="15"/>
    </row>
    <row r="153" spans="2:25" x14ac:dyDescent="0.25">
      <c r="B153" s="15">
        <v>151</v>
      </c>
      <c r="C153" s="8"/>
      <c r="E153" s="383"/>
      <c r="F153" s="380"/>
      <c r="G153" s="8"/>
      <c r="H153" s="8"/>
      <c r="I153" s="8"/>
      <c r="J153" s="9"/>
      <c r="K153" s="9">
        <f t="shared" si="35"/>
        <v>0</v>
      </c>
      <c r="L153" s="35">
        <f t="shared" si="36"/>
        <v>0</v>
      </c>
      <c r="M153" s="2"/>
      <c r="O153" s="19"/>
      <c r="P153" s="19"/>
      <c r="Q153" s="19"/>
      <c r="R153" s="21"/>
      <c r="S153" s="46"/>
      <c r="T153" s="44"/>
      <c r="U153" s="77"/>
      <c r="V153" s="24"/>
      <c r="W153" s="24"/>
      <c r="X153" s="193"/>
      <c r="Y153" s="15"/>
    </row>
    <row r="154" spans="2:25" x14ac:dyDescent="0.25">
      <c r="B154" s="15">
        <v>152</v>
      </c>
      <c r="C154" s="8"/>
      <c r="E154" s="383"/>
      <c r="F154" s="380"/>
      <c r="G154" s="8"/>
      <c r="H154" s="8"/>
      <c r="I154" s="8"/>
      <c r="J154" s="9"/>
      <c r="K154" s="9">
        <f t="shared" si="35"/>
        <v>0</v>
      </c>
      <c r="L154" s="35">
        <f t="shared" si="36"/>
        <v>0</v>
      </c>
      <c r="M154" s="2"/>
      <c r="O154" s="19"/>
      <c r="P154" s="19"/>
      <c r="Q154" s="19"/>
      <c r="R154" s="21"/>
      <c r="S154" s="46"/>
      <c r="T154" s="44"/>
      <c r="U154" s="77"/>
      <c r="V154" s="24"/>
      <c r="W154" s="24"/>
      <c r="X154" s="193"/>
      <c r="Y154" s="15"/>
    </row>
    <row r="155" spans="2:25" x14ac:dyDescent="0.25">
      <c r="B155" s="15">
        <v>153</v>
      </c>
      <c r="C155" s="8"/>
      <c r="E155" s="383"/>
      <c r="F155" s="380"/>
      <c r="G155" s="8"/>
      <c r="H155" s="8"/>
      <c r="I155" s="8"/>
      <c r="J155" s="9"/>
      <c r="K155" s="9">
        <f t="shared" si="35"/>
        <v>0</v>
      </c>
      <c r="L155" s="35">
        <f t="shared" si="36"/>
        <v>0</v>
      </c>
      <c r="M155" s="2"/>
      <c r="O155" s="19"/>
      <c r="P155" s="19"/>
      <c r="Q155" s="19"/>
      <c r="R155" s="21"/>
      <c r="S155" s="46"/>
      <c r="T155" s="44"/>
      <c r="U155" s="77"/>
      <c r="V155" s="30"/>
      <c r="W155" s="24"/>
      <c r="X155" s="193"/>
      <c r="Y155" s="15"/>
    </row>
    <row r="156" spans="2:25" x14ac:dyDescent="0.25">
      <c r="B156" s="15">
        <v>154</v>
      </c>
      <c r="C156" s="8"/>
      <c r="E156" s="383"/>
      <c r="F156" s="380"/>
      <c r="G156" s="8"/>
      <c r="H156" s="8"/>
      <c r="I156" s="8"/>
      <c r="J156" s="9"/>
      <c r="K156" s="9">
        <f t="shared" si="35"/>
        <v>0</v>
      </c>
      <c r="L156" s="35">
        <f t="shared" si="36"/>
        <v>0</v>
      </c>
      <c r="M156" s="2"/>
      <c r="O156" s="19"/>
      <c r="P156" s="19"/>
      <c r="Q156" s="19"/>
      <c r="R156" s="21"/>
      <c r="S156" s="46"/>
      <c r="T156" s="44"/>
      <c r="U156" s="77"/>
      <c r="V156" s="24"/>
      <c r="W156" s="24"/>
      <c r="X156" s="193"/>
      <c r="Y156" s="15"/>
    </row>
    <row r="157" spans="2:25" x14ac:dyDescent="0.25">
      <c r="B157" s="15">
        <v>155</v>
      </c>
      <c r="C157" s="8"/>
      <c r="E157" s="383"/>
      <c r="F157" s="380"/>
      <c r="G157" s="8"/>
      <c r="H157" s="8"/>
      <c r="I157" s="8"/>
      <c r="J157" s="9"/>
      <c r="K157" s="9">
        <f t="shared" si="35"/>
        <v>0</v>
      </c>
      <c r="L157" s="35">
        <f t="shared" si="36"/>
        <v>0</v>
      </c>
      <c r="M157" s="2"/>
      <c r="O157" s="19"/>
      <c r="P157" s="19"/>
      <c r="Q157" s="19"/>
      <c r="R157" s="21"/>
      <c r="S157" s="46"/>
      <c r="T157" s="44"/>
      <c r="U157" s="77"/>
      <c r="V157" s="24"/>
      <c r="W157" s="24"/>
      <c r="X157" s="193"/>
      <c r="Y157" s="15"/>
    </row>
    <row r="158" spans="2:25" x14ac:dyDescent="0.25">
      <c r="B158" s="15">
        <v>156</v>
      </c>
      <c r="C158" s="8"/>
      <c r="E158" s="383"/>
      <c r="F158" s="380"/>
      <c r="G158" s="8"/>
      <c r="H158" s="8"/>
      <c r="I158" s="8"/>
      <c r="J158" s="9"/>
      <c r="K158" s="9">
        <f t="shared" si="35"/>
        <v>0</v>
      </c>
      <c r="L158" s="35">
        <f t="shared" si="36"/>
        <v>0</v>
      </c>
      <c r="M158" s="2"/>
      <c r="O158" s="19"/>
      <c r="P158" s="19"/>
      <c r="Q158" s="19"/>
      <c r="R158" s="21"/>
      <c r="S158" s="46"/>
      <c r="T158" s="44"/>
      <c r="U158" s="77"/>
      <c r="V158" s="24"/>
      <c r="W158" s="24"/>
      <c r="X158" s="193"/>
      <c r="Y158" s="15"/>
    </row>
    <row r="159" spans="2:25" x14ac:dyDescent="0.25">
      <c r="B159" s="15">
        <v>157</v>
      </c>
      <c r="C159" s="8"/>
      <c r="E159" s="383"/>
      <c r="F159" s="380"/>
      <c r="G159" s="8"/>
      <c r="H159" s="8"/>
      <c r="I159" s="8"/>
      <c r="J159" s="9"/>
      <c r="K159" s="9">
        <f t="shared" si="35"/>
        <v>0</v>
      </c>
      <c r="L159" s="35">
        <f t="shared" si="36"/>
        <v>0</v>
      </c>
      <c r="M159" s="2"/>
      <c r="O159" s="19"/>
      <c r="P159" s="19"/>
      <c r="Q159" s="19"/>
      <c r="R159" s="21"/>
      <c r="S159" s="46"/>
      <c r="T159" s="44"/>
      <c r="U159" s="77"/>
      <c r="V159" s="24"/>
      <c r="W159" s="24"/>
      <c r="X159" s="193"/>
      <c r="Y159" s="15"/>
    </row>
    <row r="160" spans="2:25" x14ac:dyDescent="0.25">
      <c r="B160" s="15">
        <v>158</v>
      </c>
      <c r="C160" s="8"/>
      <c r="E160" s="383"/>
      <c r="F160" s="380"/>
      <c r="G160" s="8"/>
      <c r="H160" s="8"/>
      <c r="I160" s="8"/>
      <c r="J160" s="9"/>
      <c r="K160" s="9">
        <f t="shared" si="35"/>
        <v>0</v>
      </c>
      <c r="L160" s="35">
        <f t="shared" si="36"/>
        <v>0</v>
      </c>
      <c r="M160" s="2"/>
      <c r="O160" s="19"/>
      <c r="P160" s="19"/>
      <c r="Q160" s="19"/>
      <c r="R160" s="21"/>
      <c r="S160" s="46"/>
      <c r="T160" s="44"/>
      <c r="U160" s="77"/>
      <c r="V160" s="24"/>
      <c r="W160" s="24"/>
      <c r="X160" s="193"/>
      <c r="Y160" s="15"/>
    </row>
    <row r="161" spans="2:25" x14ac:dyDescent="0.25">
      <c r="B161" s="15">
        <v>159</v>
      </c>
      <c r="C161" s="8"/>
      <c r="E161" s="383"/>
      <c r="F161" s="380"/>
      <c r="G161" s="8"/>
      <c r="H161" s="8"/>
      <c r="I161" s="8"/>
      <c r="J161" s="9"/>
      <c r="K161" s="9">
        <f t="shared" si="35"/>
        <v>0</v>
      </c>
      <c r="L161" s="35">
        <f t="shared" si="36"/>
        <v>0</v>
      </c>
      <c r="M161" s="2"/>
      <c r="O161" s="19"/>
      <c r="P161" s="19"/>
      <c r="Q161" s="19"/>
      <c r="R161" s="21"/>
      <c r="S161" s="46"/>
      <c r="T161" s="44"/>
      <c r="U161" s="77"/>
      <c r="V161" s="30"/>
      <c r="W161" s="24"/>
      <c r="X161" s="193"/>
      <c r="Y161" s="15"/>
    </row>
    <row r="162" spans="2:25" x14ac:dyDescent="0.25">
      <c r="B162" s="15">
        <v>160</v>
      </c>
      <c r="C162" s="8"/>
      <c r="E162" s="383"/>
      <c r="F162" s="380"/>
      <c r="G162" s="8"/>
      <c r="H162" s="8"/>
      <c r="I162" s="8"/>
      <c r="J162" s="9"/>
      <c r="K162" s="9">
        <f t="shared" si="35"/>
        <v>0</v>
      </c>
      <c r="L162" s="35">
        <f t="shared" si="36"/>
        <v>0</v>
      </c>
      <c r="M162" s="2"/>
      <c r="O162" s="19"/>
      <c r="P162" s="19"/>
      <c r="Q162" s="19"/>
      <c r="R162" s="21"/>
      <c r="S162" s="46"/>
      <c r="T162" s="44"/>
      <c r="U162" s="77"/>
      <c r="V162" s="30"/>
      <c r="W162" s="24"/>
      <c r="X162" s="193"/>
      <c r="Y162" s="15"/>
    </row>
    <row r="163" spans="2:25" x14ac:dyDescent="0.25">
      <c r="B163" s="15">
        <v>161</v>
      </c>
      <c r="C163" s="8"/>
      <c r="E163" s="383"/>
      <c r="F163" s="380"/>
      <c r="G163" s="8"/>
      <c r="H163" s="8"/>
      <c r="I163" s="8"/>
      <c r="J163" s="9"/>
      <c r="K163" s="9">
        <f t="shared" si="35"/>
        <v>0</v>
      </c>
      <c r="L163" s="35">
        <f t="shared" si="36"/>
        <v>0</v>
      </c>
      <c r="M163" s="2"/>
      <c r="O163" s="19"/>
      <c r="P163" s="19"/>
      <c r="Q163" s="19"/>
      <c r="R163" s="21"/>
      <c r="S163" s="46"/>
      <c r="T163" s="44"/>
      <c r="U163" s="77"/>
      <c r="V163" s="30"/>
      <c r="W163" s="24"/>
      <c r="X163" s="193"/>
      <c r="Y163" s="15"/>
    </row>
    <row r="164" spans="2:25" x14ac:dyDescent="0.25">
      <c r="B164" s="15">
        <v>162</v>
      </c>
      <c r="C164" s="8"/>
      <c r="E164" s="383"/>
      <c r="F164" s="380"/>
      <c r="G164" s="8"/>
      <c r="H164" s="8"/>
      <c r="I164" s="8"/>
      <c r="J164" s="9"/>
      <c r="K164" s="9">
        <f t="shared" si="35"/>
        <v>0</v>
      </c>
      <c r="L164" s="35">
        <f t="shared" si="36"/>
        <v>0</v>
      </c>
      <c r="M164" s="2"/>
      <c r="O164" s="19"/>
      <c r="P164" s="19"/>
      <c r="Q164" s="19"/>
      <c r="R164" s="21"/>
      <c r="S164" s="46"/>
      <c r="T164" s="44"/>
      <c r="U164" s="77"/>
      <c r="V164" s="30"/>
      <c r="W164" s="24"/>
      <c r="X164" s="193"/>
      <c r="Y164" s="15"/>
    </row>
    <row r="165" spans="2:25" x14ac:dyDescent="0.25">
      <c r="B165" s="15">
        <v>163</v>
      </c>
      <c r="C165" s="8"/>
      <c r="E165" s="383"/>
      <c r="F165" s="380"/>
      <c r="G165" s="8"/>
      <c r="H165" s="8"/>
      <c r="I165" s="8"/>
      <c r="J165" s="9"/>
      <c r="K165" s="9">
        <f t="shared" si="35"/>
        <v>0</v>
      </c>
      <c r="L165" s="35">
        <f t="shared" si="36"/>
        <v>0</v>
      </c>
      <c r="M165" s="2"/>
      <c r="O165" s="19"/>
      <c r="P165" s="19"/>
      <c r="Q165" s="19"/>
      <c r="R165" s="21"/>
      <c r="S165" s="46"/>
      <c r="T165" s="44"/>
      <c r="U165" s="77"/>
      <c r="V165" s="24"/>
      <c r="W165" s="24"/>
      <c r="X165" s="193"/>
      <c r="Y165" s="15"/>
    </row>
    <row r="166" spans="2:25" x14ac:dyDescent="0.25">
      <c r="B166" s="15">
        <v>164</v>
      </c>
      <c r="C166" s="8"/>
      <c r="E166" s="383"/>
      <c r="F166" s="380"/>
      <c r="G166" s="8"/>
      <c r="H166" s="8"/>
      <c r="I166" s="8"/>
      <c r="J166" s="9"/>
      <c r="K166" s="9">
        <f t="shared" si="35"/>
        <v>0</v>
      </c>
      <c r="L166" s="35">
        <f t="shared" si="36"/>
        <v>0</v>
      </c>
      <c r="M166" s="2"/>
      <c r="O166" s="19"/>
      <c r="P166" s="19"/>
      <c r="Q166" s="19"/>
      <c r="R166" s="21"/>
      <c r="S166" s="46"/>
      <c r="T166" s="44"/>
      <c r="U166" s="77"/>
      <c r="V166" s="24"/>
      <c r="W166" s="24"/>
      <c r="X166" s="193"/>
      <c r="Y166" s="15"/>
    </row>
    <row r="167" spans="2:25" x14ac:dyDescent="0.25">
      <c r="B167" s="15">
        <v>165</v>
      </c>
      <c r="C167" s="8"/>
      <c r="E167" s="383"/>
      <c r="F167" s="380"/>
      <c r="G167" s="8"/>
      <c r="H167" s="8"/>
      <c r="I167" s="8"/>
      <c r="J167" s="9"/>
      <c r="K167" s="9">
        <f t="shared" si="35"/>
        <v>0</v>
      </c>
      <c r="L167" s="35">
        <f t="shared" si="36"/>
        <v>0</v>
      </c>
      <c r="M167" s="2"/>
      <c r="O167" s="19"/>
      <c r="P167" s="19"/>
      <c r="Q167" s="19"/>
      <c r="R167" s="21"/>
      <c r="S167" s="46"/>
      <c r="T167" s="44"/>
      <c r="U167" s="77"/>
      <c r="V167" s="24"/>
      <c r="W167" s="24"/>
      <c r="X167" s="193"/>
      <c r="Y167" s="15"/>
    </row>
    <row r="168" spans="2:25" x14ac:dyDescent="0.25">
      <c r="B168" s="15">
        <v>166</v>
      </c>
      <c r="C168" s="8"/>
      <c r="E168" s="383"/>
      <c r="F168" s="380"/>
      <c r="G168" s="8"/>
      <c r="H168" s="8"/>
      <c r="I168" s="8"/>
      <c r="J168" s="9"/>
      <c r="K168" s="9">
        <f t="shared" si="35"/>
        <v>0</v>
      </c>
      <c r="L168" s="35">
        <f t="shared" si="36"/>
        <v>0</v>
      </c>
      <c r="M168" s="2"/>
      <c r="O168" s="19"/>
      <c r="P168" s="19"/>
      <c r="Q168" s="19"/>
      <c r="R168" s="21"/>
      <c r="S168" s="46"/>
      <c r="T168" s="44"/>
      <c r="U168" s="77"/>
      <c r="V168" s="24"/>
      <c r="W168" s="24"/>
      <c r="X168" s="193"/>
      <c r="Y168" s="15"/>
    </row>
    <row r="169" spans="2:25" x14ac:dyDescent="0.25">
      <c r="B169" s="15">
        <v>167</v>
      </c>
      <c r="C169" s="8"/>
      <c r="E169" s="383"/>
      <c r="F169" s="380"/>
      <c r="G169" s="8"/>
      <c r="H169" s="8"/>
      <c r="I169" s="8"/>
      <c r="J169" s="9"/>
      <c r="K169" s="9">
        <f t="shared" si="35"/>
        <v>0</v>
      </c>
      <c r="L169" s="35">
        <f t="shared" si="36"/>
        <v>0</v>
      </c>
      <c r="M169" s="2"/>
      <c r="O169" s="19"/>
      <c r="P169" s="19"/>
      <c r="Q169" s="19"/>
      <c r="R169" s="21"/>
      <c r="S169" s="46"/>
      <c r="T169" s="44"/>
      <c r="U169" s="77"/>
      <c r="V169" s="30"/>
      <c r="W169" s="24"/>
      <c r="X169" s="193"/>
      <c r="Y169" s="15"/>
    </row>
    <row r="170" spans="2:25" x14ac:dyDescent="0.25">
      <c r="B170" s="15">
        <v>168</v>
      </c>
      <c r="C170" s="8"/>
      <c r="E170" s="383"/>
      <c r="F170" s="380"/>
      <c r="G170" s="8"/>
      <c r="H170" s="8"/>
      <c r="I170" s="8"/>
      <c r="J170" s="9"/>
      <c r="K170" s="9">
        <f t="shared" si="35"/>
        <v>0</v>
      </c>
      <c r="L170" s="35">
        <f t="shared" si="36"/>
        <v>0</v>
      </c>
      <c r="M170" s="2"/>
      <c r="O170" s="19"/>
      <c r="P170" s="19"/>
      <c r="Q170" s="19"/>
      <c r="R170" s="21"/>
      <c r="S170" s="46"/>
      <c r="T170" s="44"/>
      <c r="U170" s="77"/>
      <c r="V170" s="30"/>
      <c r="W170" s="24"/>
      <c r="X170" s="193"/>
      <c r="Y170" s="15"/>
    </row>
    <row r="171" spans="2:25" x14ac:dyDescent="0.25">
      <c r="B171" s="15">
        <v>169</v>
      </c>
      <c r="C171" s="8"/>
      <c r="E171" s="383"/>
      <c r="F171" s="380"/>
      <c r="G171" s="8"/>
      <c r="H171" s="8"/>
      <c r="I171" s="8"/>
      <c r="J171" s="9"/>
      <c r="K171" s="9">
        <f t="shared" si="35"/>
        <v>0</v>
      </c>
      <c r="L171" s="35">
        <f t="shared" si="36"/>
        <v>0</v>
      </c>
      <c r="M171" s="2"/>
      <c r="O171" s="19"/>
      <c r="P171" s="19"/>
      <c r="Q171" s="19"/>
      <c r="R171" s="21"/>
      <c r="S171" s="46"/>
      <c r="T171" s="44"/>
      <c r="U171" s="77"/>
      <c r="V171" s="24"/>
      <c r="W171" s="24"/>
      <c r="X171" s="193"/>
      <c r="Y171" s="15"/>
    </row>
    <row r="172" spans="2:25" x14ac:dyDescent="0.25">
      <c r="B172" s="15">
        <v>170</v>
      </c>
      <c r="C172" s="8"/>
      <c r="E172" s="383"/>
      <c r="F172" s="380"/>
      <c r="G172" s="8"/>
      <c r="H172" s="8"/>
      <c r="I172" s="8"/>
      <c r="J172" s="9"/>
      <c r="K172" s="9">
        <f t="shared" si="35"/>
        <v>0</v>
      </c>
      <c r="L172" s="35">
        <f t="shared" si="36"/>
        <v>0</v>
      </c>
      <c r="M172" s="2"/>
      <c r="O172" s="19"/>
      <c r="P172" s="19"/>
      <c r="Q172" s="19"/>
      <c r="R172" s="21"/>
      <c r="S172" s="46"/>
      <c r="T172" s="44"/>
      <c r="U172" s="77"/>
      <c r="V172" s="24"/>
      <c r="W172" s="24"/>
      <c r="X172" s="193"/>
      <c r="Y172" s="15"/>
    </row>
    <row r="173" spans="2:25" x14ac:dyDescent="0.25">
      <c r="B173" s="15">
        <v>171</v>
      </c>
      <c r="C173" s="8"/>
      <c r="E173" s="383"/>
      <c r="F173" s="380"/>
      <c r="G173" s="8"/>
      <c r="H173" s="8"/>
      <c r="I173" s="8"/>
      <c r="J173" s="9"/>
      <c r="K173" s="9">
        <f t="shared" si="35"/>
        <v>0</v>
      </c>
      <c r="L173" s="35">
        <f t="shared" si="36"/>
        <v>0</v>
      </c>
      <c r="M173" s="2"/>
      <c r="O173" s="19"/>
      <c r="P173" s="19"/>
      <c r="Q173" s="19"/>
      <c r="R173" s="21"/>
      <c r="S173" s="46"/>
      <c r="T173" s="44"/>
      <c r="U173" s="77"/>
      <c r="V173" s="24"/>
      <c r="W173" s="24"/>
      <c r="X173" s="193"/>
      <c r="Y173" s="15"/>
    </row>
    <row r="174" spans="2:25" x14ac:dyDescent="0.25">
      <c r="B174" s="15">
        <v>172</v>
      </c>
      <c r="C174" s="8"/>
      <c r="E174" s="383"/>
      <c r="F174" s="380"/>
      <c r="G174" s="8"/>
      <c r="H174" s="8"/>
      <c r="I174" s="8"/>
      <c r="J174" s="9"/>
      <c r="K174" s="9">
        <f t="shared" si="35"/>
        <v>0</v>
      </c>
      <c r="L174" s="35">
        <f t="shared" si="36"/>
        <v>0</v>
      </c>
      <c r="M174" s="2"/>
      <c r="O174" s="19"/>
      <c r="P174" s="19"/>
      <c r="Q174" s="19"/>
      <c r="R174" s="21"/>
      <c r="S174" s="46"/>
      <c r="T174" s="44"/>
      <c r="U174" s="77"/>
      <c r="V174" s="24"/>
      <c r="W174" s="24"/>
      <c r="X174" s="193"/>
      <c r="Y174" s="15"/>
    </row>
    <row r="175" spans="2:25" x14ac:dyDescent="0.25">
      <c r="B175" s="15">
        <v>173</v>
      </c>
      <c r="C175" s="8"/>
      <c r="E175" s="383"/>
      <c r="F175" s="380"/>
      <c r="G175" s="8"/>
      <c r="H175" s="8"/>
      <c r="I175" s="8"/>
      <c r="J175" s="9"/>
      <c r="K175" s="9">
        <f t="shared" si="35"/>
        <v>0</v>
      </c>
      <c r="L175" s="35">
        <f t="shared" si="36"/>
        <v>0</v>
      </c>
      <c r="M175" s="2"/>
      <c r="O175" s="19"/>
      <c r="P175" s="19"/>
      <c r="Q175" s="19"/>
      <c r="R175" s="21"/>
      <c r="S175" s="46"/>
      <c r="T175" s="44"/>
      <c r="U175" s="77"/>
      <c r="V175" s="24"/>
      <c r="W175" s="24"/>
      <c r="X175" s="193"/>
      <c r="Y175" s="15"/>
    </row>
    <row r="176" spans="2:25" x14ac:dyDescent="0.25">
      <c r="B176" s="15">
        <v>174</v>
      </c>
      <c r="C176" s="8"/>
      <c r="E176" s="383"/>
      <c r="F176" s="380"/>
      <c r="G176" s="8"/>
      <c r="H176" s="8"/>
      <c r="I176" s="8"/>
      <c r="J176" s="9"/>
      <c r="K176" s="9">
        <f t="shared" si="35"/>
        <v>0</v>
      </c>
      <c r="L176" s="35">
        <f t="shared" si="36"/>
        <v>0</v>
      </c>
      <c r="M176" s="2"/>
      <c r="O176" s="19"/>
      <c r="P176" s="19"/>
      <c r="Q176" s="19"/>
      <c r="R176" s="21"/>
      <c r="S176" s="46"/>
      <c r="T176" s="44"/>
      <c r="U176" s="77"/>
      <c r="V176" s="30"/>
      <c r="W176" s="24"/>
      <c r="X176" s="193"/>
      <c r="Y176" s="15"/>
    </row>
    <row r="177" spans="2:25" x14ac:dyDescent="0.25">
      <c r="B177" s="15">
        <v>175</v>
      </c>
      <c r="C177" s="8"/>
      <c r="E177" s="383"/>
      <c r="F177" s="380"/>
      <c r="G177" s="8"/>
      <c r="H177" s="8"/>
      <c r="I177" s="8"/>
      <c r="J177" s="9"/>
      <c r="K177" s="9">
        <f t="shared" si="35"/>
        <v>0</v>
      </c>
      <c r="L177" s="35">
        <f t="shared" si="36"/>
        <v>0</v>
      </c>
      <c r="M177" s="2"/>
      <c r="O177" s="19"/>
      <c r="P177" s="19"/>
      <c r="Q177" s="19"/>
      <c r="R177" s="21"/>
      <c r="S177" s="46"/>
      <c r="T177" s="44"/>
      <c r="U177" s="77"/>
      <c r="V177" s="30"/>
      <c r="W177" s="24"/>
      <c r="X177" s="193"/>
      <c r="Y177" s="15"/>
    </row>
    <row r="178" spans="2:25" x14ac:dyDescent="0.25">
      <c r="B178" s="15">
        <v>176</v>
      </c>
      <c r="C178" s="8"/>
      <c r="E178" s="383"/>
      <c r="F178" s="380"/>
      <c r="G178" s="8"/>
      <c r="H178" s="8"/>
      <c r="I178" s="8"/>
      <c r="J178" s="9"/>
      <c r="K178" s="9">
        <f t="shared" si="35"/>
        <v>0</v>
      </c>
      <c r="L178" s="35">
        <f t="shared" si="36"/>
        <v>0</v>
      </c>
      <c r="M178" s="2"/>
      <c r="O178" s="19"/>
      <c r="P178" s="19"/>
      <c r="Q178" s="19"/>
      <c r="R178" s="21"/>
      <c r="S178" s="46"/>
      <c r="T178" s="44"/>
      <c r="U178" s="77"/>
      <c r="V178" s="24"/>
      <c r="W178" s="24"/>
      <c r="X178" s="193"/>
      <c r="Y178" s="15"/>
    </row>
    <row r="179" spans="2:25" x14ac:dyDescent="0.25">
      <c r="B179" s="15">
        <v>177</v>
      </c>
      <c r="C179" s="8"/>
      <c r="E179" s="383"/>
      <c r="F179" s="380"/>
      <c r="G179" s="8"/>
      <c r="H179" s="8"/>
      <c r="I179" s="8"/>
      <c r="J179" s="9"/>
      <c r="K179" s="9">
        <f t="shared" si="35"/>
        <v>0</v>
      </c>
      <c r="L179" s="35">
        <f t="shared" si="36"/>
        <v>0</v>
      </c>
      <c r="M179" s="2"/>
      <c r="O179" s="19"/>
      <c r="P179" s="19"/>
      <c r="Q179" s="19"/>
      <c r="R179" s="21"/>
      <c r="S179" s="46"/>
      <c r="T179" s="44"/>
      <c r="U179" s="77"/>
      <c r="V179" s="24"/>
      <c r="W179" s="24"/>
      <c r="X179" s="193"/>
      <c r="Y179" s="15"/>
    </row>
    <row r="180" spans="2:25" x14ac:dyDescent="0.25">
      <c r="B180" s="15">
        <v>178</v>
      </c>
      <c r="C180" s="8"/>
      <c r="E180" s="383"/>
      <c r="F180" s="380"/>
      <c r="G180" s="8"/>
      <c r="H180" s="8"/>
      <c r="I180" s="8"/>
      <c r="J180" s="9"/>
      <c r="K180" s="9">
        <f t="shared" si="35"/>
        <v>0</v>
      </c>
      <c r="L180" s="35">
        <f t="shared" si="36"/>
        <v>0</v>
      </c>
      <c r="M180" s="2"/>
      <c r="O180" s="19"/>
      <c r="P180" s="19"/>
      <c r="Q180" s="19"/>
      <c r="R180" s="21"/>
      <c r="S180" s="46"/>
      <c r="T180" s="44"/>
      <c r="U180" s="77"/>
      <c r="V180" s="24"/>
      <c r="W180" s="24"/>
      <c r="X180" s="193"/>
      <c r="Y180" s="15"/>
    </row>
    <row r="181" spans="2:25" x14ac:dyDescent="0.25">
      <c r="B181" s="15">
        <v>179</v>
      </c>
      <c r="C181" s="8"/>
      <c r="E181" s="383"/>
      <c r="F181" s="380"/>
      <c r="G181" s="8"/>
      <c r="H181" s="8"/>
      <c r="I181" s="8"/>
      <c r="J181" s="9"/>
      <c r="K181" s="9">
        <f t="shared" si="35"/>
        <v>0</v>
      </c>
      <c r="L181" s="35">
        <f t="shared" si="36"/>
        <v>0</v>
      </c>
      <c r="M181" s="2"/>
      <c r="O181" s="19"/>
      <c r="P181" s="19"/>
      <c r="Q181" s="19"/>
      <c r="R181" s="21"/>
      <c r="S181" s="46"/>
      <c r="T181" s="44"/>
      <c r="U181" s="77"/>
      <c r="V181" s="24"/>
      <c r="W181" s="24"/>
      <c r="X181" s="193"/>
      <c r="Y181" s="15"/>
    </row>
    <row r="182" spans="2:25" x14ac:dyDescent="0.25">
      <c r="B182" s="15">
        <v>180</v>
      </c>
      <c r="C182" s="8"/>
      <c r="E182" s="383"/>
      <c r="F182" s="380"/>
      <c r="G182" s="8"/>
      <c r="H182" s="8"/>
      <c r="I182" s="8"/>
      <c r="J182" s="9"/>
      <c r="K182" s="9">
        <f t="shared" si="35"/>
        <v>0</v>
      </c>
      <c r="L182" s="35">
        <f t="shared" si="36"/>
        <v>0</v>
      </c>
      <c r="M182" s="2"/>
      <c r="O182" s="19"/>
      <c r="P182" s="19"/>
      <c r="Q182" s="19"/>
      <c r="R182" s="21"/>
      <c r="S182" s="46"/>
      <c r="T182" s="44"/>
      <c r="U182" s="77"/>
      <c r="V182" s="24"/>
      <c r="W182" s="24"/>
      <c r="X182" s="193"/>
      <c r="Y182" s="15"/>
    </row>
    <row r="183" spans="2:25" x14ac:dyDescent="0.25">
      <c r="B183" s="15">
        <v>181</v>
      </c>
      <c r="C183" s="8"/>
      <c r="E183" s="383"/>
      <c r="F183" s="380"/>
      <c r="G183" s="8"/>
      <c r="H183" s="8"/>
      <c r="I183" s="8"/>
      <c r="J183" s="9"/>
      <c r="K183" s="9">
        <f t="shared" si="35"/>
        <v>0</v>
      </c>
      <c r="L183" s="35">
        <f t="shared" si="36"/>
        <v>0</v>
      </c>
      <c r="M183" s="2"/>
      <c r="O183" s="19"/>
      <c r="P183" s="19"/>
      <c r="Q183" s="19"/>
      <c r="R183" s="21"/>
      <c r="S183" s="46"/>
      <c r="T183" s="44"/>
      <c r="U183" s="77"/>
      <c r="V183" s="30"/>
      <c r="W183" s="24"/>
      <c r="X183" s="193"/>
      <c r="Y183" s="15"/>
    </row>
    <row r="184" spans="2:25" x14ac:dyDescent="0.25">
      <c r="B184" s="15">
        <v>182</v>
      </c>
      <c r="C184" s="8"/>
      <c r="E184" s="383"/>
      <c r="F184" s="380"/>
      <c r="G184" s="8"/>
      <c r="H184" s="8"/>
      <c r="I184" s="8"/>
      <c r="J184" s="9"/>
      <c r="K184" s="9">
        <f t="shared" si="35"/>
        <v>0</v>
      </c>
      <c r="L184" s="35">
        <f t="shared" si="36"/>
        <v>0</v>
      </c>
      <c r="M184" s="2"/>
      <c r="O184" s="19"/>
      <c r="P184" s="19"/>
      <c r="Q184" s="19"/>
      <c r="R184" s="21"/>
      <c r="S184" s="46"/>
      <c r="T184" s="44"/>
      <c r="U184" s="77"/>
      <c r="V184" s="30"/>
      <c r="W184" s="24"/>
      <c r="X184" s="193"/>
      <c r="Y184" s="15"/>
    </row>
    <row r="185" spans="2:25" x14ac:dyDescent="0.25">
      <c r="B185" s="15">
        <v>183</v>
      </c>
      <c r="C185" s="8"/>
      <c r="E185" s="383"/>
      <c r="F185" s="380"/>
      <c r="G185" s="8"/>
      <c r="H185" s="8"/>
      <c r="I185" s="8"/>
      <c r="J185" s="9"/>
      <c r="K185" s="9">
        <f t="shared" si="35"/>
        <v>0</v>
      </c>
      <c r="L185" s="35">
        <f t="shared" si="36"/>
        <v>0</v>
      </c>
      <c r="M185" s="2"/>
      <c r="O185" s="19"/>
      <c r="P185" s="19"/>
      <c r="Q185" s="19"/>
      <c r="R185" s="21"/>
      <c r="S185" s="46"/>
      <c r="T185" s="44"/>
      <c r="U185" s="77"/>
      <c r="V185" s="30"/>
      <c r="W185" s="24"/>
      <c r="X185" s="193"/>
      <c r="Y185" s="15"/>
    </row>
    <row r="186" spans="2:25" x14ac:dyDescent="0.25">
      <c r="B186" s="15">
        <v>184</v>
      </c>
      <c r="C186" s="8"/>
      <c r="E186" s="383"/>
      <c r="F186" s="380"/>
      <c r="G186" s="8"/>
      <c r="H186" s="8"/>
      <c r="I186" s="8"/>
      <c r="J186" s="9"/>
      <c r="K186" s="9">
        <f t="shared" si="35"/>
        <v>0</v>
      </c>
      <c r="L186" s="35">
        <f t="shared" si="36"/>
        <v>0</v>
      </c>
      <c r="M186" s="2"/>
      <c r="O186" s="19"/>
      <c r="P186" s="19"/>
      <c r="Q186" s="19"/>
      <c r="R186" s="21"/>
      <c r="S186" s="46"/>
      <c r="T186" s="44"/>
      <c r="U186" s="77"/>
      <c r="V186" s="30"/>
      <c r="W186" s="24"/>
      <c r="X186" s="193"/>
      <c r="Y186" s="15"/>
    </row>
    <row r="187" spans="2:25" x14ac:dyDescent="0.25">
      <c r="B187" s="15">
        <v>185</v>
      </c>
      <c r="C187" s="8"/>
      <c r="E187" s="383"/>
      <c r="F187" s="380"/>
      <c r="G187" s="8"/>
      <c r="H187" s="8"/>
      <c r="I187" s="8"/>
      <c r="J187" s="9"/>
      <c r="K187" s="9">
        <f t="shared" si="35"/>
        <v>0</v>
      </c>
      <c r="L187" s="35">
        <f t="shared" si="36"/>
        <v>0</v>
      </c>
      <c r="M187" s="2"/>
      <c r="O187" s="19"/>
      <c r="P187" s="19"/>
      <c r="Q187" s="19"/>
      <c r="R187" s="21"/>
      <c r="S187" s="46"/>
      <c r="T187" s="44"/>
      <c r="U187" s="77"/>
      <c r="V187" s="24"/>
      <c r="W187" s="24"/>
      <c r="X187" s="193"/>
      <c r="Y187" s="15"/>
    </row>
    <row r="188" spans="2:25" x14ac:dyDescent="0.25">
      <c r="B188" s="15">
        <v>186</v>
      </c>
      <c r="C188" s="8"/>
      <c r="E188" s="383"/>
      <c r="F188" s="380"/>
      <c r="G188" s="8"/>
      <c r="H188" s="8"/>
      <c r="I188" s="8"/>
      <c r="J188" s="9"/>
      <c r="K188" s="9">
        <f t="shared" si="35"/>
        <v>0</v>
      </c>
      <c r="L188" s="35">
        <f t="shared" si="36"/>
        <v>0</v>
      </c>
      <c r="M188" s="2"/>
      <c r="O188" s="19"/>
      <c r="P188" s="19"/>
      <c r="Q188" s="19"/>
      <c r="R188" s="21"/>
      <c r="S188" s="46"/>
      <c r="T188" s="44"/>
      <c r="U188" s="77"/>
      <c r="V188" s="24"/>
      <c r="W188" s="24"/>
      <c r="X188" s="193"/>
      <c r="Y188" s="15"/>
    </row>
    <row r="189" spans="2:25" x14ac:dyDescent="0.25">
      <c r="B189" s="15">
        <v>187</v>
      </c>
      <c r="C189" s="8"/>
      <c r="E189" s="383"/>
      <c r="F189" s="380"/>
      <c r="G189" s="8"/>
      <c r="H189" s="8"/>
      <c r="I189" s="8"/>
      <c r="J189" s="9"/>
      <c r="K189" s="9">
        <f t="shared" si="35"/>
        <v>0</v>
      </c>
      <c r="L189" s="35">
        <f t="shared" si="36"/>
        <v>0</v>
      </c>
      <c r="M189" s="2"/>
      <c r="O189" s="19"/>
      <c r="P189" s="19"/>
      <c r="Q189" s="19"/>
      <c r="R189" s="21"/>
      <c r="S189" s="46"/>
      <c r="T189" s="44"/>
      <c r="U189" s="77"/>
      <c r="V189" s="24"/>
      <c r="W189" s="24"/>
      <c r="X189" s="193"/>
      <c r="Y189" s="15"/>
    </row>
    <row r="190" spans="2:25" x14ac:dyDescent="0.25">
      <c r="B190" s="15">
        <v>188</v>
      </c>
      <c r="C190" s="8"/>
      <c r="E190" s="383"/>
      <c r="F190" s="380"/>
      <c r="G190" s="8"/>
      <c r="H190" s="8"/>
      <c r="I190" s="8"/>
      <c r="J190" s="9"/>
      <c r="K190" s="9">
        <f t="shared" si="35"/>
        <v>0</v>
      </c>
      <c r="L190" s="35">
        <f t="shared" si="36"/>
        <v>0</v>
      </c>
      <c r="M190" s="2"/>
      <c r="O190" s="19"/>
      <c r="P190" s="19"/>
      <c r="Q190" s="19"/>
      <c r="R190" s="279"/>
      <c r="S190" s="46"/>
      <c r="T190" s="44"/>
      <c r="U190" s="77"/>
      <c r="V190" s="24"/>
      <c r="W190" s="24"/>
      <c r="X190" s="193"/>
      <c r="Y190" s="15"/>
    </row>
    <row r="191" spans="2:25" x14ac:dyDescent="0.25">
      <c r="B191" s="15">
        <v>189</v>
      </c>
      <c r="C191" s="8"/>
      <c r="E191" s="383"/>
      <c r="F191" s="380"/>
      <c r="G191" s="8"/>
      <c r="H191" s="8"/>
      <c r="I191" s="8"/>
      <c r="J191" s="9"/>
      <c r="K191" s="9">
        <f t="shared" si="35"/>
        <v>0</v>
      </c>
      <c r="L191" s="35">
        <f t="shared" si="36"/>
        <v>0</v>
      </c>
      <c r="M191" s="2"/>
      <c r="O191" s="19"/>
      <c r="P191" s="19"/>
      <c r="Q191" s="19"/>
      <c r="R191" s="21"/>
      <c r="S191" s="46"/>
      <c r="T191" s="44"/>
      <c r="U191" s="77"/>
      <c r="V191" s="24"/>
      <c r="W191" s="24"/>
      <c r="X191" s="193"/>
      <c r="Y191" s="15"/>
    </row>
    <row r="192" spans="2:25" x14ac:dyDescent="0.25">
      <c r="B192" s="15">
        <v>190</v>
      </c>
      <c r="C192" s="8"/>
      <c r="E192" s="383"/>
      <c r="F192" s="380"/>
      <c r="G192" s="8"/>
      <c r="H192" s="8"/>
      <c r="I192" s="8"/>
      <c r="J192" s="9"/>
      <c r="K192" s="9">
        <f t="shared" si="35"/>
        <v>0</v>
      </c>
      <c r="L192" s="35">
        <f t="shared" si="36"/>
        <v>0</v>
      </c>
      <c r="M192" s="2"/>
      <c r="O192" s="19"/>
      <c r="P192" s="19"/>
      <c r="Q192" s="19"/>
      <c r="R192" s="21"/>
      <c r="S192" s="46"/>
      <c r="T192" s="44"/>
      <c r="U192" s="77"/>
      <c r="V192" s="30"/>
      <c r="W192" s="24"/>
      <c r="X192" s="193"/>
      <c r="Y192" s="15"/>
    </row>
    <row r="193" spans="2:25" x14ac:dyDescent="0.25">
      <c r="B193" s="15">
        <v>191</v>
      </c>
      <c r="C193" s="8"/>
      <c r="E193" s="383"/>
      <c r="F193" s="380"/>
      <c r="G193" s="8"/>
      <c r="H193" s="8"/>
      <c r="I193" s="8"/>
      <c r="J193" s="9"/>
      <c r="K193" s="9">
        <f t="shared" si="35"/>
        <v>0</v>
      </c>
      <c r="L193" s="35">
        <f t="shared" si="36"/>
        <v>0</v>
      </c>
      <c r="M193" s="2"/>
      <c r="O193" s="19"/>
      <c r="P193" s="19"/>
      <c r="Q193" s="19"/>
      <c r="R193" s="21"/>
      <c r="S193" s="46"/>
      <c r="T193" s="44"/>
      <c r="U193" s="77"/>
      <c r="V193" s="30"/>
      <c r="W193" s="24"/>
      <c r="X193" s="193"/>
      <c r="Y193" s="15"/>
    </row>
    <row r="194" spans="2:25" x14ac:dyDescent="0.25">
      <c r="B194" s="15">
        <v>192</v>
      </c>
      <c r="C194" s="8"/>
      <c r="E194" s="383"/>
      <c r="F194" s="380"/>
      <c r="G194" s="8"/>
      <c r="H194" s="8"/>
      <c r="I194" s="8"/>
      <c r="J194" s="9"/>
      <c r="K194" s="9">
        <f t="shared" si="35"/>
        <v>0</v>
      </c>
      <c r="L194" s="35">
        <f t="shared" si="36"/>
        <v>0</v>
      </c>
      <c r="M194" s="2"/>
      <c r="O194" s="19"/>
      <c r="P194" s="19"/>
      <c r="Q194" s="19"/>
      <c r="R194" s="21"/>
      <c r="S194" s="46"/>
      <c r="T194" s="44"/>
      <c r="U194" s="77"/>
      <c r="V194" s="24"/>
      <c r="W194" s="24"/>
      <c r="X194" s="193"/>
      <c r="Y194" s="15"/>
    </row>
    <row r="195" spans="2:25" x14ac:dyDescent="0.25">
      <c r="B195" s="15">
        <v>193</v>
      </c>
      <c r="C195" s="8"/>
      <c r="E195" s="383"/>
      <c r="F195" s="380"/>
      <c r="G195" s="8"/>
      <c r="H195" s="8"/>
      <c r="I195" s="8"/>
      <c r="J195" s="9"/>
      <c r="K195" s="9">
        <f t="shared" ref="K195:K258" si="37">J195*1.1</f>
        <v>0</v>
      </c>
      <c r="L195" s="35">
        <f t="shared" ref="L195:L258" si="38">J195*0.00000001</f>
        <v>0</v>
      </c>
      <c r="M195" s="2"/>
      <c r="O195" s="19"/>
      <c r="P195" s="19"/>
      <c r="Q195" s="19"/>
      <c r="R195" s="21"/>
      <c r="S195" s="46"/>
      <c r="T195" s="44"/>
      <c r="U195" s="77"/>
      <c r="V195" s="24"/>
      <c r="W195" s="24"/>
      <c r="X195" s="193"/>
      <c r="Y195" s="15"/>
    </row>
    <row r="196" spans="2:25" x14ac:dyDescent="0.25">
      <c r="B196" s="15">
        <v>194</v>
      </c>
      <c r="C196" s="8"/>
      <c r="E196" s="383"/>
      <c r="F196" s="380"/>
      <c r="G196" s="8"/>
      <c r="H196" s="8"/>
      <c r="I196" s="8"/>
      <c r="J196" s="9"/>
      <c r="K196" s="9">
        <f t="shared" si="37"/>
        <v>0</v>
      </c>
      <c r="L196" s="35">
        <f t="shared" si="38"/>
        <v>0</v>
      </c>
      <c r="M196" s="2"/>
      <c r="O196" s="19"/>
      <c r="P196" s="19"/>
      <c r="Q196" s="19"/>
      <c r="R196" s="21"/>
      <c r="S196" s="46"/>
      <c r="T196" s="44"/>
      <c r="U196" s="77"/>
      <c r="V196" s="24"/>
      <c r="W196" s="24"/>
      <c r="X196" s="193"/>
      <c r="Y196" s="15"/>
    </row>
    <row r="197" spans="2:25" x14ac:dyDescent="0.25">
      <c r="B197" s="15">
        <v>195</v>
      </c>
      <c r="C197" s="8"/>
      <c r="E197" s="383"/>
      <c r="F197" s="380"/>
      <c r="G197" s="8"/>
      <c r="H197" s="8"/>
      <c r="I197" s="8"/>
      <c r="J197" s="9"/>
      <c r="K197" s="9">
        <f t="shared" si="37"/>
        <v>0</v>
      </c>
      <c r="L197" s="35">
        <f t="shared" si="38"/>
        <v>0</v>
      </c>
      <c r="M197" s="2"/>
      <c r="O197" s="19"/>
      <c r="P197" s="19"/>
      <c r="Q197" s="19"/>
      <c r="R197" s="21"/>
      <c r="S197" s="46"/>
      <c r="T197" s="44"/>
      <c r="U197" s="77"/>
      <c r="V197" s="24"/>
      <c r="W197" s="24"/>
      <c r="X197" s="193"/>
      <c r="Y197" s="15"/>
    </row>
    <row r="198" spans="2:25" x14ac:dyDescent="0.25">
      <c r="B198" s="15">
        <v>196</v>
      </c>
      <c r="C198" s="8"/>
      <c r="E198" s="383"/>
      <c r="F198" s="380"/>
      <c r="G198" s="8"/>
      <c r="H198" s="8"/>
      <c r="I198" s="8"/>
      <c r="J198" s="9"/>
      <c r="K198" s="9">
        <f t="shared" si="37"/>
        <v>0</v>
      </c>
      <c r="L198" s="35">
        <f t="shared" si="38"/>
        <v>0</v>
      </c>
      <c r="M198" s="2"/>
      <c r="O198" s="19"/>
      <c r="P198" s="19"/>
      <c r="Q198" s="19"/>
      <c r="R198" s="21"/>
      <c r="S198" s="46"/>
      <c r="T198" s="44"/>
      <c r="U198" s="77"/>
      <c r="V198" s="24"/>
      <c r="W198" s="24"/>
      <c r="X198" s="193"/>
      <c r="Y198" s="15"/>
    </row>
    <row r="199" spans="2:25" x14ac:dyDescent="0.25">
      <c r="B199" s="15">
        <v>197</v>
      </c>
      <c r="C199" s="8"/>
      <c r="E199" s="383"/>
      <c r="F199" s="380"/>
      <c r="G199" s="8"/>
      <c r="H199" s="8"/>
      <c r="I199" s="8"/>
      <c r="J199" s="9"/>
      <c r="K199" s="9">
        <f t="shared" si="37"/>
        <v>0</v>
      </c>
      <c r="L199" s="35">
        <f t="shared" si="38"/>
        <v>0</v>
      </c>
      <c r="M199" s="2"/>
      <c r="O199" s="19"/>
      <c r="P199" s="19"/>
      <c r="Q199" s="19"/>
      <c r="R199" s="21"/>
      <c r="S199" s="46"/>
      <c r="T199" s="44"/>
      <c r="U199" s="77"/>
      <c r="V199" s="24"/>
      <c r="W199" s="24"/>
      <c r="X199" s="193"/>
      <c r="Y199" s="15"/>
    </row>
    <row r="200" spans="2:25" x14ac:dyDescent="0.25">
      <c r="B200" s="15">
        <v>198</v>
      </c>
      <c r="C200" s="8"/>
      <c r="E200" s="383"/>
      <c r="F200" s="380"/>
      <c r="G200" s="8"/>
      <c r="H200" s="8"/>
      <c r="I200" s="8"/>
      <c r="J200" s="9"/>
      <c r="K200" s="9">
        <f t="shared" si="37"/>
        <v>0</v>
      </c>
      <c r="L200" s="35">
        <f t="shared" si="38"/>
        <v>0</v>
      </c>
      <c r="M200" s="2"/>
      <c r="O200" s="19"/>
      <c r="P200" s="19"/>
      <c r="Q200" s="19"/>
      <c r="R200" s="21"/>
      <c r="S200" s="46"/>
      <c r="T200" s="44"/>
      <c r="U200" s="77"/>
      <c r="V200" s="30"/>
      <c r="W200" s="24"/>
      <c r="X200" s="193"/>
      <c r="Y200" s="15"/>
    </row>
    <row r="201" spans="2:25" x14ac:dyDescent="0.25">
      <c r="B201" s="15">
        <v>199</v>
      </c>
      <c r="C201" s="8"/>
      <c r="E201" s="383"/>
      <c r="F201" s="380"/>
      <c r="G201" s="8"/>
      <c r="H201" s="8"/>
      <c r="I201" s="8"/>
      <c r="J201" s="9"/>
      <c r="K201" s="9">
        <f t="shared" si="37"/>
        <v>0</v>
      </c>
      <c r="L201" s="35">
        <f t="shared" si="38"/>
        <v>0</v>
      </c>
      <c r="M201" s="2"/>
      <c r="O201" s="19"/>
      <c r="P201" s="19"/>
      <c r="Q201" s="19"/>
      <c r="R201" s="21"/>
      <c r="S201" s="46"/>
      <c r="T201" s="44"/>
      <c r="U201" s="77"/>
      <c r="V201" s="30"/>
      <c r="W201" s="24"/>
      <c r="X201" s="193"/>
      <c r="Y201" s="15"/>
    </row>
    <row r="202" spans="2:25" x14ac:dyDescent="0.25">
      <c r="B202" s="15">
        <v>200</v>
      </c>
      <c r="C202" s="8"/>
      <c r="E202" s="383"/>
      <c r="F202" s="380"/>
      <c r="G202" s="8"/>
      <c r="H202" s="8"/>
      <c r="I202" s="8"/>
      <c r="J202" s="9"/>
      <c r="K202" s="9">
        <f t="shared" si="37"/>
        <v>0</v>
      </c>
      <c r="L202" s="35">
        <f t="shared" si="38"/>
        <v>0</v>
      </c>
      <c r="M202" s="2"/>
      <c r="O202" s="19"/>
      <c r="P202" s="19"/>
      <c r="Q202" s="19"/>
      <c r="R202" s="21"/>
      <c r="S202" s="46"/>
      <c r="T202" s="44"/>
      <c r="U202" s="77"/>
      <c r="V202" s="30"/>
      <c r="W202" s="24"/>
      <c r="X202" s="193"/>
      <c r="Y202" s="15"/>
    </row>
    <row r="203" spans="2:25" x14ac:dyDescent="0.25">
      <c r="B203" s="15">
        <v>201</v>
      </c>
      <c r="C203" s="8"/>
      <c r="E203" s="383"/>
      <c r="F203" s="380"/>
      <c r="G203" s="8"/>
      <c r="H203" s="8"/>
      <c r="I203" s="8"/>
      <c r="J203" s="9"/>
      <c r="K203" s="9">
        <f t="shared" si="37"/>
        <v>0</v>
      </c>
      <c r="L203" s="35">
        <f t="shared" si="38"/>
        <v>0</v>
      </c>
      <c r="M203" s="2"/>
      <c r="O203" s="19"/>
      <c r="P203" s="19"/>
      <c r="Q203" s="19"/>
      <c r="R203" s="21"/>
      <c r="S203" s="46"/>
      <c r="T203" s="44"/>
      <c r="U203" s="77"/>
      <c r="V203" s="24"/>
      <c r="W203" s="24"/>
      <c r="X203" s="193"/>
      <c r="Y203" s="15"/>
    </row>
    <row r="204" spans="2:25" x14ac:dyDescent="0.25">
      <c r="B204" s="15">
        <v>202</v>
      </c>
      <c r="C204" s="8"/>
      <c r="E204" s="383"/>
      <c r="F204" s="380"/>
      <c r="G204" s="8"/>
      <c r="H204" s="8"/>
      <c r="I204" s="8"/>
      <c r="J204" s="9"/>
      <c r="K204" s="9">
        <f t="shared" si="37"/>
        <v>0</v>
      </c>
      <c r="L204" s="35">
        <f t="shared" si="38"/>
        <v>0</v>
      </c>
      <c r="M204" s="2"/>
      <c r="O204" s="19"/>
      <c r="P204" s="19"/>
      <c r="Q204" s="19"/>
      <c r="R204" s="21"/>
      <c r="S204" s="46"/>
      <c r="T204" s="44"/>
      <c r="U204" s="77"/>
      <c r="V204" s="24"/>
      <c r="W204" s="24"/>
      <c r="X204" s="193"/>
      <c r="Y204" s="15"/>
    </row>
    <row r="205" spans="2:25" x14ac:dyDescent="0.25">
      <c r="B205" s="15">
        <v>203</v>
      </c>
      <c r="C205" s="8"/>
      <c r="E205" s="383"/>
      <c r="F205" s="380"/>
      <c r="G205" s="8"/>
      <c r="H205" s="8"/>
      <c r="I205" s="8"/>
      <c r="J205" s="9"/>
      <c r="K205" s="9">
        <f t="shared" si="37"/>
        <v>0</v>
      </c>
      <c r="L205" s="35">
        <f t="shared" si="38"/>
        <v>0</v>
      </c>
      <c r="M205" s="2"/>
      <c r="O205" s="19"/>
      <c r="P205" s="19"/>
      <c r="Q205" s="19"/>
      <c r="R205" s="21"/>
      <c r="S205" s="46"/>
      <c r="T205" s="44"/>
      <c r="U205" s="77"/>
      <c r="V205" s="24"/>
      <c r="W205" s="24"/>
      <c r="X205" s="193"/>
      <c r="Y205" s="15"/>
    </row>
    <row r="206" spans="2:25" x14ac:dyDescent="0.25">
      <c r="B206" s="15">
        <v>204</v>
      </c>
      <c r="C206" s="8"/>
      <c r="E206" s="383"/>
      <c r="F206" s="380"/>
      <c r="G206" s="8"/>
      <c r="H206" s="8"/>
      <c r="I206" s="8"/>
      <c r="J206" s="9"/>
      <c r="K206" s="9">
        <f t="shared" si="37"/>
        <v>0</v>
      </c>
      <c r="L206" s="35">
        <f t="shared" si="38"/>
        <v>0</v>
      </c>
      <c r="M206" s="2"/>
      <c r="O206" s="19"/>
      <c r="P206" s="19"/>
      <c r="Q206" s="19"/>
      <c r="R206" s="21"/>
      <c r="S206" s="46"/>
      <c r="T206" s="44"/>
      <c r="U206" s="77"/>
      <c r="V206" s="24"/>
      <c r="W206" s="24"/>
      <c r="X206" s="193"/>
      <c r="Y206" s="15"/>
    </row>
    <row r="207" spans="2:25" x14ac:dyDescent="0.25">
      <c r="B207" s="15">
        <v>205</v>
      </c>
      <c r="C207" s="8"/>
      <c r="E207" s="383"/>
      <c r="F207" s="380"/>
      <c r="G207" s="8"/>
      <c r="H207" s="8"/>
      <c r="I207" s="8"/>
      <c r="J207" s="9"/>
      <c r="K207" s="9">
        <f t="shared" si="37"/>
        <v>0</v>
      </c>
      <c r="L207" s="35">
        <f t="shared" si="38"/>
        <v>0</v>
      </c>
      <c r="M207" s="2"/>
      <c r="O207" s="19"/>
      <c r="P207" s="19"/>
      <c r="Q207" s="19"/>
      <c r="R207" s="21"/>
      <c r="S207" s="46"/>
      <c r="T207" s="44"/>
      <c r="U207" s="77"/>
      <c r="V207" s="24"/>
      <c r="W207" s="24"/>
      <c r="X207" s="193"/>
      <c r="Y207" s="15"/>
    </row>
    <row r="208" spans="2:25" x14ac:dyDescent="0.25">
      <c r="B208" s="15">
        <v>206</v>
      </c>
      <c r="C208" s="8"/>
      <c r="E208" s="383"/>
      <c r="F208" s="380"/>
      <c r="G208" s="8"/>
      <c r="H208" s="8"/>
      <c r="I208" s="8"/>
      <c r="J208" s="9"/>
      <c r="K208" s="9">
        <f t="shared" si="37"/>
        <v>0</v>
      </c>
      <c r="L208" s="35">
        <f t="shared" si="38"/>
        <v>0</v>
      </c>
      <c r="M208" s="2"/>
      <c r="O208" s="19"/>
      <c r="P208" s="19"/>
      <c r="Q208" s="19"/>
      <c r="R208" s="21"/>
      <c r="S208" s="46"/>
      <c r="T208" s="44"/>
      <c r="U208" s="77"/>
      <c r="V208" s="30"/>
      <c r="W208" s="24"/>
      <c r="X208" s="193"/>
      <c r="Y208" s="15"/>
    </row>
    <row r="209" spans="2:25" x14ac:dyDescent="0.25">
      <c r="B209" s="15">
        <v>207</v>
      </c>
      <c r="C209" s="8"/>
      <c r="E209" s="383"/>
      <c r="F209" s="380"/>
      <c r="G209" s="8"/>
      <c r="H209" s="8"/>
      <c r="I209" s="8"/>
      <c r="J209" s="9"/>
      <c r="K209" s="9">
        <f t="shared" si="37"/>
        <v>0</v>
      </c>
      <c r="L209" s="35">
        <f t="shared" si="38"/>
        <v>0</v>
      </c>
      <c r="M209" s="2"/>
      <c r="O209" s="19"/>
      <c r="P209" s="19"/>
      <c r="Q209" s="19"/>
      <c r="R209" s="21"/>
      <c r="S209" s="46"/>
      <c r="T209" s="44"/>
      <c r="U209" s="77"/>
      <c r="V209" s="30"/>
      <c r="W209" s="24"/>
      <c r="X209" s="193"/>
      <c r="Y209" s="15"/>
    </row>
    <row r="210" spans="2:25" x14ac:dyDescent="0.25">
      <c r="B210" s="15">
        <v>208</v>
      </c>
      <c r="C210" s="8"/>
      <c r="E210" s="383"/>
      <c r="F210" s="380"/>
      <c r="G210" s="8"/>
      <c r="H210" s="8"/>
      <c r="I210" s="8"/>
      <c r="J210" s="9"/>
      <c r="K210" s="9">
        <f t="shared" si="37"/>
        <v>0</v>
      </c>
      <c r="L210" s="35">
        <f t="shared" si="38"/>
        <v>0</v>
      </c>
      <c r="M210" s="2"/>
      <c r="O210" s="19"/>
      <c r="P210" s="19"/>
      <c r="Q210" s="19"/>
      <c r="R210" s="21"/>
      <c r="S210" s="46"/>
      <c r="T210" s="44"/>
      <c r="U210" s="77"/>
      <c r="V210" s="24"/>
      <c r="W210" s="24"/>
      <c r="X210" s="193"/>
      <c r="Y210" s="15"/>
    </row>
    <row r="211" spans="2:25" x14ac:dyDescent="0.25">
      <c r="B211" s="15">
        <v>209</v>
      </c>
      <c r="C211" s="8"/>
      <c r="E211" s="383"/>
      <c r="F211" s="380"/>
      <c r="G211" s="8"/>
      <c r="H211" s="8"/>
      <c r="I211" s="8"/>
      <c r="J211" s="9"/>
      <c r="K211" s="9">
        <f t="shared" si="37"/>
        <v>0</v>
      </c>
      <c r="L211" s="35">
        <f t="shared" si="38"/>
        <v>0</v>
      </c>
      <c r="M211" s="2"/>
      <c r="O211" s="19"/>
      <c r="P211" s="19"/>
      <c r="Q211" s="19"/>
      <c r="R211" s="21"/>
      <c r="S211" s="46"/>
      <c r="T211" s="44"/>
      <c r="U211" s="77"/>
      <c r="V211" s="24"/>
      <c r="W211" s="24"/>
      <c r="X211" s="193"/>
      <c r="Y211" s="15"/>
    </row>
    <row r="212" spans="2:25" x14ac:dyDescent="0.25">
      <c r="B212" s="15">
        <v>210</v>
      </c>
      <c r="C212" s="8"/>
      <c r="E212" s="383"/>
      <c r="F212" s="380"/>
      <c r="G212" s="8"/>
      <c r="H212" s="8"/>
      <c r="I212" s="8"/>
      <c r="J212" s="9"/>
      <c r="K212" s="9">
        <f t="shared" si="37"/>
        <v>0</v>
      </c>
      <c r="L212" s="35">
        <f t="shared" si="38"/>
        <v>0</v>
      </c>
      <c r="M212" s="2"/>
      <c r="O212" s="19"/>
      <c r="P212" s="19"/>
      <c r="Q212" s="19"/>
      <c r="R212" s="21"/>
      <c r="S212" s="46"/>
      <c r="T212" s="44"/>
      <c r="U212" s="77"/>
      <c r="V212" s="24"/>
      <c r="W212" s="24"/>
      <c r="X212" s="193"/>
      <c r="Y212" s="15"/>
    </row>
    <row r="213" spans="2:25" x14ac:dyDescent="0.25">
      <c r="B213" s="15">
        <v>211</v>
      </c>
      <c r="C213" s="8"/>
      <c r="E213" s="383"/>
      <c r="F213" s="380"/>
      <c r="G213" s="8"/>
      <c r="H213" s="8"/>
      <c r="I213" s="8"/>
      <c r="J213" s="9"/>
      <c r="K213" s="9">
        <f t="shared" si="37"/>
        <v>0</v>
      </c>
      <c r="L213" s="35">
        <f t="shared" si="38"/>
        <v>0</v>
      </c>
      <c r="M213" s="2"/>
      <c r="O213" s="19"/>
      <c r="P213" s="19"/>
      <c r="Q213" s="19"/>
      <c r="R213" s="21"/>
      <c r="S213" s="46"/>
      <c r="T213" s="44"/>
      <c r="U213" s="77"/>
      <c r="V213" s="24"/>
      <c r="W213" s="24"/>
      <c r="X213" s="193"/>
      <c r="Y213" s="15"/>
    </row>
    <row r="214" spans="2:25" x14ac:dyDescent="0.25">
      <c r="B214" s="15">
        <v>212</v>
      </c>
      <c r="C214" s="8"/>
      <c r="E214" s="383"/>
      <c r="F214" s="380"/>
      <c r="G214" s="8"/>
      <c r="H214" s="8"/>
      <c r="I214" s="8"/>
      <c r="J214" s="9"/>
      <c r="K214" s="9">
        <f t="shared" si="37"/>
        <v>0</v>
      </c>
      <c r="L214" s="35">
        <f t="shared" si="38"/>
        <v>0</v>
      </c>
      <c r="M214" s="2"/>
      <c r="O214" s="19"/>
      <c r="P214" s="19"/>
      <c r="Q214" s="19"/>
      <c r="R214" s="21"/>
      <c r="S214" s="46"/>
      <c r="T214" s="44"/>
      <c r="U214" s="77"/>
      <c r="V214" s="24"/>
      <c r="W214" s="24"/>
      <c r="X214" s="193"/>
      <c r="Y214" s="15"/>
    </row>
    <row r="215" spans="2:25" x14ac:dyDescent="0.25">
      <c r="B215" s="15">
        <v>213</v>
      </c>
      <c r="C215" s="8"/>
      <c r="E215" s="383"/>
      <c r="F215" s="380"/>
      <c r="G215" s="8"/>
      <c r="H215" s="8"/>
      <c r="I215" s="8"/>
      <c r="J215" s="9"/>
      <c r="K215" s="9">
        <f t="shared" si="37"/>
        <v>0</v>
      </c>
      <c r="L215" s="35">
        <f t="shared" si="38"/>
        <v>0</v>
      </c>
      <c r="M215" s="2"/>
      <c r="O215" s="19"/>
      <c r="P215" s="19"/>
      <c r="Q215" s="19"/>
      <c r="R215" s="21"/>
      <c r="S215" s="46"/>
      <c r="T215" s="44"/>
      <c r="U215" s="77"/>
      <c r="V215" s="30"/>
      <c r="W215" s="24"/>
      <c r="X215" s="193"/>
      <c r="Y215" s="15"/>
    </row>
    <row r="216" spans="2:25" x14ac:dyDescent="0.25">
      <c r="B216" s="15">
        <v>214</v>
      </c>
      <c r="C216" s="8"/>
      <c r="E216" s="383"/>
      <c r="F216" s="380"/>
      <c r="G216" s="8"/>
      <c r="H216" s="8"/>
      <c r="I216" s="8"/>
      <c r="J216" s="9"/>
      <c r="K216" s="9">
        <f t="shared" si="37"/>
        <v>0</v>
      </c>
      <c r="L216" s="35">
        <f t="shared" si="38"/>
        <v>0</v>
      </c>
      <c r="M216" s="2"/>
      <c r="O216" s="19"/>
      <c r="P216" s="19"/>
      <c r="Q216" s="19"/>
      <c r="R216" s="21"/>
      <c r="S216" s="46"/>
      <c r="T216" s="44"/>
      <c r="U216" s="77"/>
      <c r="V216" s="30"/>
      <c r="W216" s="24"/>
      <c r="X216" s="193"/>
      <c r="Y216" s="15"/>
    </row>
    <row r="217" spans="2:25" x14ac:dyDescent="0.25">
      <c r="B217" s="15">
        <v>215</v>
      </c>
      <c r="C217" s="8"/>
      <c r="E217" s="383"/>
      <c r="F217" s="380"/>
      <c r="G217" s="8"/>
      <c r="H217" s="8"/>
      <c r="I217" s="8"/>
      <c r="J217" s="9"/>
      <c r="K217" s="9">
        <f t="shared" si="37"/>
        <v>0</v>
      </c>
      <c r="L217" s="35">
        <f t="shared" si="38"/>
        <v>0</v>
      </c>
      <c r="M217" s="2"/>
      <c r="O217" s="19"/>
      <c r="P217" s="19"/>
      <c r="Q217" s="19"/>
      <c r="R217" s="21"/>
      <c r="S217" s="46"/>
      <c r="T217" s="44"/>
      <c r="U217" s="77"/>
      <c r="V217" s="30"/>
      <c r="W217" s="24"/>
      <c r="X217" s="193"/>
      <c r="Y217" s="15"/>
    </row>
    <row r="218" spans="2:25" x14ac:dyDescent="0.25">
      <c r="B218" s="15">
        <v>216</v>
      </c>
      <c r="C218" s="8"/>
      <c r="E218" s="383"/>
      <c r="F218" s="380"/>
      <c r="G218" s="8"/>
      <c r="H218" s="8"/>
      <c r="I218" s="8"/>
      <c r="J218" s="9"/>
      <c r="K218" s="9">
        <f t="shared" si="37"/>
        <v>0</v>
      </c>
      <c r="L218" s="35">
        <f t="shared" si="38"/>
        <v>0</v>
      </c>
      <c r="M218" s="2"/>
      <c r="O218" s="19"/>
      <c r="P218" s="19"/>
      <c r="Q218" s="19"/>
      <c r="R218" s="21"/>
      <c r="S218" s="46"/>
      <c r="T218" s="44"/>
      <c r="U218" s="77"/>
      <c r="V218" s="30"/>
      <c r="W218" s="24"/>
      <c r="X218" s="193"/>
      <c r="Y218" s="15"/>
    </row>
    <row r="219" spans="2:25" x14ac:dyDescent="0.25">
      <c r="B219" s="15">
        <v>217</v>
      </c>
      <c r="C219" s="8"/>
      <c r="E219" s="383"/>
      <c r="F219" s="380"/>
      <c r="G219" s="8"/>
      <c r="H219" s="8"/>
      <c r="I219" s="8"/>
      <c r="J219" s="9"/>
      <c r="K219" s="9">
        <f t="shared" si="37"/>
        <v>0</v>
      </c>
      <c r="L219" s="35">
        <f t="shared" si="38"/>
        <v>0</v>
      </c>
      <c r="M219" s="2"/>
      <c r="O219" s="19"/>
      <c r="P219" s="19"/>
      <c r="Q219" s="19"/>
      <c r="R219" s="21"/>
      <c r="S219" s="46"/>
      <c r="T219" s="44"/>
      <c r="U219" s="77"/>
      <c r="V219" s="30"/>
      <c r="W219" s="24"/>
      <c r="X219" s="193"/>
      <c r="Y219" s="15"/>
    </row>
    <row r="220" spans="2:25" x14ac:dyDescent="0.25">
      <c r="B220" s="15">
        <v>218</v>
      </c>
      <c r="C220" s="8"/>
      <c r="E220" s="383"/>
      <c r="F220" s="380"/>
      <c r="G220" s="8"/>
      <c r="H220" s="8"/>
      <c r="I220" s="8"/>
      <c r="J220" s="9"/>
      <c r="K220" s="9">
        <f t="shared" si="37"/>
        <v>0</v>
      </c>
      <c r="L220" s="35">
        <f t="shared" si="38"/>
        <v>0</v>
      </c>
      <c r="M220" s="2"/>
      <c r="O220" s="19"/>
      <c r="P220" s="19"/>
      <c r="Q220" s="19"/>
      <c r="R220" s="21"/>
      <c r="S220" s="46"/>
      <c r="T220" s="44"/>
      <c r="U220" s="77"/>
      <c r="V220" s="30"/>
      <c r="W220" s="24"/>
      <c r="X220" s="193"/>
      <c r="Y220" s="15"/>
    </row>
    <row r="221" spans="2:25" x14ac:dyDescent="0.25">
      <c r="B221" s="15">
        <v>219</v>
      </c>
      <c r="C221" s="8"/>
      <c r="E221" s="383"/>
      <c r="F221" s="380"/>
      <c r="G221" s="8"/>
      <c r="H221" s="8"/>
      <c r="I221" s="8"/>
      <c r="J221" s="9"/>
      <c r="K221" s="9">
        <f t="shared" si="37"/>
        <v>0</v>
      </c>
      <c r="L221" s="35">
        <f t="shared" si="38"/>
        <v>0</v>
      </c>
      <c r="M221" s="2"/>
      <c r="O221" s="19"/>
      <c r="P221" s="19"/>
      <c r="Q221" s="19"/>
      <c r="R221" s="21"/>
      <c r="S221" s="46"/>
      <c r="T221" s="44"/>
      <c r="U221" s="77"/>
      <c r="V221" s="24"/>
      <c r="W221" s="24"/>
      <c r="X221" s="193"/>
      <c r="Y221" s="15"/>
    </row>
    <row r="222" spans="2:25" x14ac:dyDescent="0.25">
      <c r="B222" s="15">
        <v>220</v>
      </c>
      <c r="C222" s="8"/>
      <c r="E222" s="383"/>
      <c r="F222" s="380"/>
      <c r="G222" s="8"/>
      <c r="H222" s="8"/>
      <c r="I222" s="8"/>
      <c r="J222" s="9"/>
      <c r="K222" s="9">
        <f t="shared" si="37"/>
        <v>0</v>
      </c>
      <c r="L222" s="35">
        <f t="shared" si="38"/>
        <v>0</v>
      </c>
      <c r="M222" s="2"/>
      <c r="O222" s="19"/>
      <c r="P222" s="19"/>
      <c r="Q222" s="19"/>
      <c r="R222" s="21"/>
      <c r="S222" s="46"/>
      <c r="T222" s="44"/>
      <c r="U222" s="77"/>
      <c r="V222" s="24"/>
      <c r="W222" s="24"/>
      <c r="X222" s="193"/>
      <c r="Y222" s="15"/>
    </row>
    <row r="223" spans="2:25" x14ac:dyDescent="0.25">
      <c r="B223" s="15">
        <v>221</v>
      </c>
      <c r="C223" s="8"/>
      <c r="E223" s="383"/>
      <c r="F223" s="380"/>
      <c r="G223" s="8"/>
      <c r="H223" s="8"/>
      <c r="I223" s="8"/>
      <c r="J223" s="9"/>
      <c r="K223" s="9">
        <f t="shared" si="37"/>
        <v>0</v>
      </c>
      <c r="L223" s="35">
        <f t="shared" si="38"/>
        <v>0</v>
      </c>
      <c r="M223" s="2"/>
      <c r="O223" s="19"/>
      <c r="P223" s="19"/>
      <c r="Q223" s="19"/>
      <c r="R223" s="21"/>
      <c r="S223" s="46"/>
      <c r="T223" s="44"/>
      <c r="U223" s="77"/>
      <c r="V223" s="24"/>
      <c r="W223" s="24"/>
      <c r="X223" s="193"/>
      <c r="Y223" s="15"/>
    </row>
    <row r="224" spans="2:25" x14ac:dyDescent="0.25">
      <c r="B224" s="15">
        <v>222</v>
      </c>
      <c r="C224" s="8"/>
      <c r="E224" s="383"/>
      <c r="F224" s="380"/>
      <c r="G224" s="8"/>
      <c r="H224" s="8"/>
      <c r="I224" s="8"/>
      <c r="J224" s="9"/>
      <c r="K224" s="9">
        <f t="shared" si="37"/>
        <v>0</v>
      </c>
      <c r="L224" s="35">
        <f t="shared" si="38"/>
        <v>0</v>
      </c>
      <c r="M224" s="2"/>
      <c r="O224" s="19"/>
      <c r="P224" s="19"/>
      <c r="Q224" s="19"/>
      <c r="R224" s="21"/>
      <c r="S224" s="46"/>
      <c r="T224" s="44"/>
      <c r="U224" s="77"/>
      <c r="V224" s="30"/>
      <c r="W224" s="24"/>
      <c r="X224" s="193"/>
      <c r="Y224" s="15"/>
    </row>
    <row r="225" spans="2:25" x14ac:dyDescent="0.25">
      <c r="B225" s="15">
        <v>223</v>
      </c>
      <c r="C225" s="8"/>
      <c r="E225" s="383"/>
      <c r="F225" s="380"/>
      <c r="G225" s="8"/>
      <c r="H225" s="8"/>
      <c r="I225" s="8"/>
      <c r="J225" s="9"/>
      <c r="K225" s="9">
        <f t="shared" si="37"/>
        <v>0</v>
      </c>
      <c r="L225" s="35">
        <f t="shared" si="38"/>
        <v>0</v>
      </c>
      <c r="M225" s="2"/>
      <c r="O225" s="19"/>
      <c r="P225" s="19"/>
      <c r="Q225" s="19"/>
      <c r="R225" s="21"/>
      <c r="S225" s="46"/>
      <c r="T225" s="44"/>
      <c r="U225" s="77"/>
      <c r="V225" s="30"/>
      <c r="W225" s="24"/>
      <c r="X225" s="193"/>
      <c r="Y225" s="15"/>
    </row>
    <row r="226" spans="2:25" x14ac:dyDescent="0.25">
      <c r="B226" s="15">
        <v>224</v>
      </c>
      <c r="C226" s="8"/>
      <c r="E226" s="383"/>
      <c r="F226" s="380"/>
      <c r="G226" s="8"/>
      <c r="H226" s="8"/>
      <c r="I226" s="8"/>
      <c r="J226" s="9"/>
      <c r="K226" s="9">
        <f t="shared" si="37"/>
        <v>0</v>
      </c>
      <c r="L226" s="35">
        <f t="shared" si="38"/>
        <v>0</v>
      </c>
      <c r="M226" s="2"/>
      <c r="O226" s="19"/>
      <c r="P226" s="19"/>
      <c r="Q226" s="19"/>
      <c r="R226" s="21"/>
      <c r="S226" s="46"/>
      <c r="T226" s="44"/>
      <c r="U226" s="77"/>
      <c r="V226" s="24"/>
      <c r="W226" s="24"/>
      <c r="X226" s="193"/>
      <c r="Y226" s="15"/>
    </row>
    <row r="227" spans="2:25" x14ac:dyDescent="0.25">
      <c r="B227" s="15">
        <v>225</v>
      </c>
      <c r="C227" s="8"/>
      <c r="E227" s="383"/>
      <c r="F227" s="380"/>
      <c r="G227" s="8"/>
      <c r="H227" s="8"/>
      <c r="I227" s="8"/>
      <c r="J227" s="9"/>
      <c r="K227" s="9">
        <f t="shared" si="37"/>
        <v>0</v>
      </c>
      <c r="L227" s="35">
        <f t="shared" si="38"/>
        <v>0</v>
      </c>
      <c r="M227" s="2"/>
      <c r="O227" s="19"/>
      <c r="P227" s="19"/>
      <c r="Q227" s="19"/>
      <c r="R227" s="21"/>
      <c r="S227" s="46"/>
      <c r="T227" s="44"/>
      <c r="U227" s="77"/>
      <c r="V227" s="24"/>
      <c r="W227" s="24"/>
      <c r="X227" s="193"/>
      <c r="Y227" s="15"/>
    </row>
    <row r="228" spans="2:25" x14ac:dyDescent="0.25">
      <c r="B228" s="15">
        <v>226</v>
      </c>
      <c r="C228" s="8"/>
      <c r="E228" s="383"/>
      <c r="F228" s="380"/>
      <c r="G228" s="8"/>
      <c r="H228" s="8"/>
      <c r="I228" s="8"/>
      <c r="J228" s="9"/>
      <c r="K228" s="9">
        <f t="shared" si="37"/>
        <v>0</v>
      </c>
      <c r="L228" s="35">
        <f t="shared" si="38"/>
        <v>0</v>
      </c>
      <c r="M228" s="2"/>
      <c r="O228" s="19"/>
      <c r="P228" s="19"/>
      <c r="Q228" s="19"/>
      <c r="R228" s="21"/>
      <c r="S228" s="46"/>
      <c r="T228" s="44"/>
      <c r="U228" s="77"/>
      <c r="V228" s="24"/>
      <c r="W228" s="24"/>
      <c r="X228" s="193"/>
      <c r="Y228" s="15"/>
    </row>
    <row r="229" spans="2:25" x14ac:dyDescent="0.25">
      <c r="B229" s="15">
        <v>227</v>
      </c>
      <c r="C229" s="8"/>
      <c r="E229" s="383"/>
      <c r="F229" s="380"/>
      <c r="G229" s="8"/>
      <c r="H229" s="8"/>
      <c r="I229" s="8"/>
      <c r="J229" s="9"/>
      <c r="K229" s="9">
        <f t="shared" si="37"/>
        <v>0</v>
      </c>
      <c r="L229" s="35">
        <f t="shared" si="38"/>
        <v>0</v>
      </c>
      <c r="M229" s="2"/>
      <c r="O229" s="19"/>
      <c r="P229" s="19"/>
      <c r="Q229" s="19"/>
      <c r="R229" s="21"/>
      <c r="S229" s="46"/>
      <c r="T229" s="44"/>
      <c r="U229" s="77"/>
      <c r="V229" s="24"/>
      <c r="W229" s="24"/>
      <c r="X229" s="193"/>
      <c r="Y229" s="15"/>
    </row>
    <row r="230" spans="2:25" x14ac:dyDescent="0.25">
      <c r="B230" s="15">
        <v>228</v>
      </c>
      <c r="C230" s="8"/>
      <c r="E230" s="383"/>
      <c r="F230" s="380"/>
      <c r="G230" s="8"/>
      <c r="H230" s="8"/>
      <c r="I230" s="8"/>
      <c r="J230" s="9"/>
      <c r="K230" s="9">
        <f t="shared" si="37"/>
        <v>0</v>
      </c>
      <c r="L230" s="35">
        <f t="shared" si="38"/>
        <v>0</v>
      </c>
      <c r="M230" s="2"/>
      <c r="O230" s="19"/>
      <c r="P230" s="19"/>
      <c r="Q230" s="19"/>
      <c r="R230" s="21"/>
      <c r="S230" s="46"/>
      <c r="T230" s="44"/>
      <c r="U230" s="77"/>
      <c r="V230" s="30"/>
      <c r="W230" s="24"/>
      <c r="X230" s="193"/>
      <c r="Y230" s="15"/>
    </row>
    <row r="231" spans="2:25" x14ac:dyDescent="0.25">
      <c r="B231" s="15">
        <v>229</v>
      </c>
      <c r="C231" s="8"/>
      <c r="E231" s="383"/>
      <c r="F231" s="380"/>
      <c r="G231" s="8"/>
      <c r="H231" s="8"/>
      <c r="I231" s="8"/>
      <c r="J231" s="9"/>
      <c r="K231" s="9">
        <f t="shared" si="37"/>
        <v>0</v>
      </c>
      <c r="L231" s="35">
        <f t="shared" si="38"/>
        <v>0</v>
      </c>
      <c r="M231" s="2"/>
      <c r="O231" s="19"/>
      <c r="P231" s="19"/>
      <c r="Q231" s="19"/>
      <c r="R231" s="21"/>
      <c r="S231" s="46"/>
      <c r="T231" s="44"/>
      <c r="U231" s="77"/>
      <c r="V231" s="30"/>
      <c r="W231" s="24"/>
      <c r="X231" s="193"/>
      <c r="Y231" s="15"/>
    </row>
    <row r="232" spans="2:25" x14ac:dyDescent="0.25">
      <c r="B232" s="15">
        <v>230</v>
      </c>
      <c r="C232" s="8"/>
      <c r="E232" s="383"/>
      <c r="F232" s="380"/>
      <c r="G232" s="8"/>
      <c r="H232" s="8"/>
      <c r="I232" s="8"/>
      <c r="J232" s="9"/>
      <c r="K232" s="9">
        <f t="shared" si="37"/>
        <v>0</v>
      </c>
      <c r="L232" s="35">
        <f t="shared" si="38"/>
        <v>0</v>
      </c>
      <c r="M232" s="2"/>
      <c r="O232" s="19"/>
      <c r="P232" s="19"/>
      <c r="Q232" s="19"/>
      <c r="R232" s="21"/>
      <c r="S232" s="46"/>
      <c r="T232" s="44"/>
      <c r="U232" s="77"/>
      <c r="V232" s="24"/>
      <c r="W232" s="24"/>
      <c r="X232" s="193"/>
      <c r="Y232" s="15"/>
    </row>
    <row r="233" spans="2:25" x14ac:dyDescent="0.25">
      <c r="B233" s="15">
        <v>231</v>
      </c>
      <c r="C233" s="8"/>
      <c r="E233" s="383"/>
      <c r="F233" s="380"/>
      <c r="G233" s="8"/>
      <c r="H233" s="8"/>
      <c r="I233" s="8"/>
      <c r="J233" s="9"/>
      <c r="K233" s="9">
        <f t="shared" si="37"/>
        <v>0</v>
      </c>
      <c r="L233" s="35">
        <f t="shared" si="38"/>
        <v>0</v>
      </c>
      <c r="M233" s="2"/>
      <c r="O233" s="19"/>
      <c r="P233" s="19"/>
      <c r="Q233" s="19"/>
      <c r="R233" s="21"/>
      <c r="S233" s="46"/>
      <c r="T233" s="44"/>
      <c r="U233" s="77"/>
      <c r="V233" s="24"/>
      <c r="W233" s="24"/>
      <c r="X233" s="193"/>
      <c r="Y233" s="15"/>
    </row>
    <row r="234" spans="2:25" x14ac:dyDescent="0.25">
      <c r="B234" s="15">
        <v>232</v>
      </c>
      <c r="C234" s="8"/>
      <c r="E234" s="383"/>
      <c r="F234" s="380"/>
      <c r="G234" s="8"/>
      <c r="H234" s="8"/>
      <c r="I234" s="8"/>
      <c r="J234" s="9"/>
      <c r="K234" s="9">
        <f t="shared" si="37"/>
        <v>0</v>
      </c>
      <c r="L234" s="35">
        <f t="shared" si="38"/>
        <v>0</v>
      </c>
      <c r="M234" s="2"/>
      <c r="O234" s="19"/>
      <c r="P234" s="19"/>
      <c r="Q234" s="19"/>
      <c r="R234" s="21"/>
      <c r="S234" s="46"/>
      <c r="T234" s="44"/>
      <c r="U234" s="77"/>
      <c r="V234" s="24"/>
      <c r="W234" s="24"/>
      <c r="X234" s="193"/>
      <c r="Y234" s="15"/>
    </row>
    <row r="235" spans="2:25" x14ac:dyDescent="0.25">
      <c r="B235" s="15">
        <v>233</v>
      </c>
      <c r="C235" s="8"/>
      <c r="E235" s="383"/>
      <c r="F235" s="380"/>
      <c r="G235" s="8"/>
      <c r="H235" s="8"/>
      <c r="I235" s="8"/>
      <c r="J235" s="9"/>
      <c r="K235" s="9">
        <f t="shared" si="37"/>
        <v>0</v>
      </c>
      <c r="L235" s="35">
        <f t="shared" si="38"/>
        <v>0</v>
      </c>
      <c r="M235" s="2"/>
      <c r="O235" s="19"/>
      <c r="P235" s="19"/>
      <c r="Q235" s="19"/>
      <c r="R235" s="21"/>
      <c r="S235" s="46"/>
      <c r="T235" s="44"/>
      <c r="U235" s="77"/>
      <c r="V235" s="24"/>
      <c r="W235" s="24"/>
      <c r="X235" s="193"/>
      <c r="Y235" s="15"/>
    </row>
    <row r="236" spans="2:25" x14ac:dyDescent="0.25">
      <c r="B236" s="15">
        <v>234</v>
      </c>
      <c r="C236" s="8"/>
      <c r="E236" s="383"/>
      <c r="F236" s="380"/>
      <c r="G236" s="8"/>
      <c r="H236" s="8"/>
      <c r="I236" s="8"/>
      <c r="J236" s="9"/>
      <c r="K236" s="9">
        <f t="shared" si="37"/>
        <v>0</v>
      </c>
      <c r="L236" s="35">
        <f t="shared" si="38"/>
        <v>0</v>
      </c>
      <c r="M236" s="2"/>
      <c r="O236" s="19"/>
      <c r="P236" s="19"/>
      <c r="Q236" s="19"/>
      <c r="R236" s="21"/>
      <c r="S236" s="46"/>
      <c r="T236" s="44"/>
      <c r="U236" s="77"/>
      <c r="V236" s="24"/>
      <c r="W236" s="24"/>
      <c r="X236" s="193"/>
      <c r="Y236" s="15"/>
    </row>
    <row r="237" spans="2:25" x14ac:dyDescent="0.25">
      <c r="B237" s="15">
        <v>235</v>
      </c>
      <c r="C237" s="8"/>
      <c r="E237" s="383"/>
      <c r="F237" s="380"/>
      <c r="G237" s="8"/>
      <c r="H237" s="8"/>
      <c r="I237" s="8"/>
      <c r="J237" s="9"/>
      <c r="K237" s="9">
        <f t="shared" si="37"/>
        <v>0</v>
      </c>
      <c r="L237" s="35">
        <f t="shared" si="38"/>
        <v>0</v>
      </c>
      <c r="M237" s="2"/>
      <c r="O237" s="19"/>
      <c r="P237" s="19"/>
      <c r="Q237" s="19"/>
      <c r="R237" s="21"/>
      <c r="S237" s="46"/>
      <c r="T237" s="44"/>
      <c r="U237" s="77"/>
      <c r="V237" s="24"/>
      <c r="W237" s="24"/>
      <c r="X237" s="193"/>
      <c r="Y237" s="15"/>
    </row>
    <row r="238" spans="2:25" x14ac:dyDescent="0.25">
      <c r="B238" s="15">
        <v>236</v>
      </c>
      <c r="C238" s="8"/>
      <c r="E238" s="383"/>
      <c r="F238" s="380"/>
      <c r="G238" s="8"/>
      <c r="H238" s="8"/>
      <c r="I238" s="8"/>
      <c r="J238" s="9"/>
      <c r="K238" s="9">
        <f t="shared" si="37"/>
        <v>0</v>
      </c>
      <c r="L238" s="35">
        <f t="shared" si="38"/>
        <v>0</v>
      </c>
      <c r="M238" s="2"/>
      <c r="O238" s="19"/>
      <c r="P238" s="19"/>
      <c r="Q238" s="19"/>
      <c r="R238" s="21"/>
      <c r="S238" s="46"/>
      <c r="T238" s="44"/>
      <c r="U238" s="77"/>
      <c r="V238" s="30"/>
      <c r="W238" s="24"/>
      <c r="X238" s="193"/>
      <c r="Y238" s="15"/>
    </row>
    <row r="239" spans="2:25" x14ac:dyDescent="0.25">
      <c r="B239" s="15">
        <v>235</v>
      </c>
      <c r="C239" s="8"/>
      <c r="E239" s="383"/>
      <c r="F239" s="380"/>
      <c r="G239" s="8"/>
      <c r="H239" s="8"/>
      <c r="I239" s="8"/>
      <c r="J239" s="9"/>
      <c r="K239" s="9">
        <f t="shared" si="37"/>
        <v>0</v>
      </c>
      <c r="L239" s="35">
        <f t="shared" si="38"/>
        <v>0</v>
      </c>
      <c r="M239" s="2"/>
      <c r="O239" s="19"/>
      <c r="P239" s="19"/>
      <c r="Q239" s="19"/>
      <c r="R239" s="21"/>
      <c r="S239" s="46"/>
      <c r="T239" s="44"/>
      <c r="U239" s="77"/>
      <c r="V239" s="24"/>
      <c r="W239" s="24"/>
      <c r="X239" s="193"/>
      <c r="Y239" s="15"/>
    </row>
    <row r="240" spans="2:25" x14ac:dyDescent="0.25">
      <c r="B240" s="15">
        <v>238</v>
      </c>
      <c r="C240" s="8"/>
      <c r="E240" s="383"/>
      <c r="F240" s="380"/>
      <c r="G240" s="8"/>
      <c r="H240" s="8"/>
      <c r="I240" s="8"/>
      <c r="J240" s="9"/>
      <c r="K240" s="9">
        <f t="shared" si="37"/>
        <v>0</v>
      </c>
      <c r="L240" s="35">
        <f t="shared" si="38"/>
        <v>0</v>
      </c>
      <c r="M240" s="2"/>
      <c r="O240" s="19"/>
      <c r="P240" s="19"/>
      <c r="Q240" s="19"/>
      <c r="R240" s="21"/>
      <c r="S240" s="46"/>
      <c r="T240" s="44"/>
      <c r="U240" s="77"/>
      <c r="V240" s="24"/>
      <c r="W240" s="24"/>
      <c r="X240" s="193"/>
      <c r="Y240" s="15"/>
    </row>
    <row r="241" spans="2:25" x14ac:dyDescent="0.25">
      <c r="B241" s="15">
        <v>239</v>
      </c>
      <c r="C241" s="8"/>
      <c r="E241" s="383"/>
      <c r="F241" s="380"/>
      <c r="G241" s="8"/>
      <c r="H241" s="8"/>
      <c r="I241" s="8"/>
      <c r="J241" s="9"/>
      <c r="K241" s="9">
        <f t="shared" si="37"/>
        <v>0</v>
      </c>
      <c r="L241" s="35">
        <f t="shared" si="38"/>
        <v>0</v>
      </c>
      <c r="M241" s="2"/>
      <c r="O241" s="19"/>
      <c r="P241" s="19"/>
      <c r="Q241" s="19"/>
      <c r="R241" s="21"/>
      <c r="S241" s="46"/>
      <c r="T241" s="44"/>
      <c r="U241" s="77"/>
      <c r="V241" s="24"/>
      <c r="W241" s="24"/>
      <c r="X241" s="193"/>
      <c r="Y241" s="15"/>
    </row>
    <row r="242" spans="2:25" x14ac:dyDescent="0.25">
      <c r="B242" s="15">
        <v>240</v>
      </c>
      <c r="C242" s="8"/>
      <c r="E242" s="383"/>
      <c r="F242" s="380"/>
      <c r="G242" s="8"/>
      <c r="H242" s="8"/>
      <c r="I242" s="8"/>
      <c r="J242" s="9"/>
      <c r="K242" s="9">
        <f t="shared" si="37"/>
        <v>0</v>
      </c>
      <c r="L242" s="35">
        <f t="shared" si="38"/>
        <v>0</v>
      </c>
      <c r="M242" s="2"/>
      <c r="O242" s="19"/>
      <c r="P242" s="19"/>
      <c r="Q242" s="19"/>
      <c r="R242" s="21"/>
      <c r="S242" s="46"/>
      <c r="T242" s="44"/>
      <c r="U242" s="77"/>
      <c r="V242" s="24"/>
      <c r="W242" s="24"/>
      <c r="X242" s="193"/>
      <c r="Y242" s="15"/>
    </row>
    <row r="243" spans="2:25" x14ac:dyDescent="0.25">
      <c r="B243" s="15">
        <v>241</v>
      </c>
      <c r="C243" s="8"/>
      <c r="E243" s="383"/>
      <c r="F243" s="380"/>
      <c r="G243" s="8"/>
      <c r="H243" s="8"/>
      <c r="I243" s="8"/>
      <c r="J243" s="9"/>
      <c r="K243" s="9">
        <f t="shared" si="37"/>
        <v>0</v>
      </c>
      <c r="L243" s="35">
        <f t="shared" si="38"/>
        <v>0</v>
      </c>
      <c r="M243" s="2"/>
      <c r="O243" s="19"/>
      <c r="P243" s="19"/>
      <c r="Q243" s="19"/>
      <c r="R243" s="21"/>
      <c r="S243" s="46"/>
      <c r="T243" s="44"/>
      <c r="U243" s="77"/>
      <c r="V243" s="24"/>
      <c r="W243" s="24"/>
      <c r="X243" s="193"/>
      <c r="Y243" s="15"/>
    </row>
    <row r="244" spans="2:25" x14ac:dyDescent="0.25">
      <c r="B244" s="15">
        <v>242</v>
      </c>
      <c r="C244" s="8"/>
      <c r="E244" s="383"/>
      <c r="F244" s="380"/>
      <c r="G244" s="8"/>
      <c r="H244" s="8"/>
      <c r="I244" s="8"/>
      <c r="J244" s="9"/>
      <c r="K244" s="9">
        <f t="shared" si="37"/>
        <v>0</v>
      </c>
      <c r="L244" s="35">
        <f t="shared" si="38"/>
        <v>0</v>
      </c>
      <c r="M244" s="2"/>
      <c r="O244" s="19"/>
      <c r="P244" s="19"/>
      <c r="Q244" s="19"/>
      <c r="R244" s="21"/>
      <c r="S244" s="46"/>
      <c r="T244" s="44"/>
      <c r="U244" s="77"/>
      <c r="V244" s="30"/>
      <c r="W244" s="24"/>
      <c r="X244" s="193"/>
      <c r="Y244" s="15"/>
    </row>
    <row r="245" spans="2:25" x14ac:dyDescent="0.25">
      <c r="B245" s="15">
        <v>243</v>
      </c>
      <c r="C245" s="8"/>
      <c r="E245" s="383"/>
      <c r="F245" s="380"/>
      <c r="G245" s="8"/>
      <c r="H245" s="8"/>
      <c r="I245" s="8"/>
      <c r="J245" s="9"/>
      <c r="K245" s="9">
        <f t="shared" si="37"/>
        <v>0</v>
      </c>
      <c r="L245" s="35">
        <f t="shared" si="38"/>
        <v>0</v>
      </c>
      <c r="M245" s="2"/>
      <c r="O245" s="19"/>
      <c r="P245" s="19"/>
      <c r="Q245" s="19"/>
      <c r="R245" s="21"/>
      <c r="S245" s="46"/>
      <c r="T245" s="44"/>
      <c r="U245" s="77"/>
      <c r="V245" s="30"/>
      <c r="W245" s="24"/>
      <c r="X245" s="193"/>
      <c r="Y245" s="15"/>
    </row>
    <row r="246" spans="2:25" x14ac:dyDescent="0.25">
      <c r="B246" s="15">
        <v>244</v>
      </c>
      <c r="C246" s="8"/>
      <c r="E246" s="383"/>
      <c r="F246" s="380"/>
      <c r="G246" s="8"/>
      <c r="H246" s="8"/>
      <c r="I246" s="8"/>
      <c r="J246" s="9"/>
      <c r="K246" s="9">
        <f t="shared" si="37"/>
        <v>0</v>
      </c>
      <c r="L246" s="35">
        <f t="shared" si="38"/>
        <v>0</v>
      </c>
      <c r="M246" s="2"/>
      <c r="O246" s="19"/>
      <c r="P246" s="19"/>
      <c r="Q246" s="19"/>
      <c r="R246" s="21"/>
      <c r="S246" s="46"/>
      <c r="T246" s="44"/>
      <c r="U246" s="77"/>
      <c r="V246" s="30"/>
      <c r="W246" s="24"/>
      <c r="X246" s="193"/>
      <c r="Y246" s="15"/>
    </row>
    <row r="247" spans="2:25" x14ac:dyDescent="0.25">
      <c r="B247" s="15">
        <v>245</v>
      </c>
      <c r="C247" s="8"/>
      <c r="E247" s="383"/>
      <c r="F247" s="380"/>
      <c r="G247" s="8"/>
      <c r="H247" s="8"/>
      <c r="I247" s="8"/>
      <c r="J247" s="9"/>
      <c r="K247" s="9">
        <f t="shared" si="37"/>
        <v>0</v>
      </c>
      <c r="L247" s="35">
        <f t="shared" si="38"/>
        <v>0</v>
      </c>
      <c r="M247" s="2"/>
      <c r="O247" s="19"/>
      <c r="P247" s="19"/>
      <c r="Q247" s="19"/>
      <c r="R247" s="21"/>
      <c r="S247" s="46"/>
      <c r="T247" s="44"/>
      <c r="U247" s="77"/>
      <c r="V247" s="30"/>
      <c r="W247" s="24"/>
      <c r="X247" s="193"/>
      <c r="Y247" s="15"/>
    </row>
    <row r="248" spans="2:25" x14ac:dyDescent="0.25">
      <c r="B248" s="15">
        <v>246</v>
      </c>
      <c r="C248" s="8"/>
      <c r="E248" s="383"/>
      <c r="F248" s="380"/>
      <c r="G248" s="8"/>
      <c r="H248" s="8"/>
      <c r="I248" s="8"/>
      <c r="J248" s="9"/>
      <c r="K248" s="9">
        <f t="shared" si="37"/>
        <v>0</v>
      </c>
      <c r="L248" s="35">
        <f t="shared" si="38"/>
        <v>0</v>
      </c>
      <c r="M248" s="2"/>
      <c r="O248" s="19"/>
      <c r="P248" s="19"/>
      <c r="Q248" s="19"/>
      <c r="R248" s="21"/>
      <c r="S248" s="46"/>
      <c r="T248" s="44"/>
      <c r="U248" s="77"/>
      <c r="V248" s="24"/>
      <c r="W248" s="24"/>
      <c r="X248" s="193"/>
      <c r="Y248" s="15"/>
    </row>
    <row r="249" spans="2:25" x14ac:dyDescent="0.25">
      <c r="B249" s="15">
        <v>247</v>
      </c>
      <c r="C249" s="8"/>
      <c r="E249" s="383"/>
      <c r="F249" s="380"/>
      <c r="G249" s="8"/>
      <c r="H249" s="8"/>
      <c r="I249" s="8"/>
      <c r="J249" s="9"/>
      <c r="K249" s="9">
        <f t="shared" si="37"/>
        <v>0</v>
      </c>
      <c r="L249" s="35">
        <f t="shared" si="38"/>
        <v>0</v>
      </c>
      <c r="M249" s="2"/>
      <c r="O249" s="19"/>
      <c r="P249" s="19"/>
      <c r="Q249" s="19"/>
      <c r="R249" s="21"/>
      <c r="S249" s="46"/>
      <c r="T249" s="44"/>
      <c r="U249" s="77"/>
      <c r="V249" s="24"/>
      <c r="W249" s="24"/>
      <c r="X249" s="193"/>
      <c r="Y249" s="15"/>
    </row>
    <row r="250" spans="2:25" x14ac:dyDescent="0.25">
      <c r="B250" s="15">
        <v>246</v>
      </c>
      <c r="C250" s="8"/>
      <c r="E250" s="383"/>
      <c r="F250" s="380"/>
      <c r="G250" s="8"/>
      <c r="H250" s="8"/>
      <c r="I250" s="8"/>
      <c r="J250" s="9"/>
      <c r="K250" s="9">
        <f t="shared" si="37"/>
        <v>0</v>
      </c>
      <c r="L250" s="35">
        <f t="shared" si="38"/>
        <v>0</v>
      </c>
      <c r="M250" s="2"/>
      <c r="O250" s="19"/>
      <c r="P250" s="19"/>
      <c r="Q250" s="19"/>
      <c r="R250" s="21"/>
      <c r="S250" s="46"/>
      <c r="T250" s="44"/>
      <c r="U250" s="77"/>
      <c r="V250" s="24"/>
      <c r="W250" s="24"/>
      <c r="X250" s="193"/>
      <c r="Y250" s="15"/>
    </row>
    <row r="251" spans="2:25" x14ac:dyDescent="0.25">
      <c r="B251" s="15">
        <v>249</v>
      </c>
      <c r="C251" s="8"/>
      <c r="E251" s="383"/>
      <c r="F251" s="380"/>
      <c r="G251" s="8"/>
      <c r="H251" s="8"/>
      <c r="I251" s="8"/>
      <c r="J251" s="9"/>
      <c r="K251" s="9">
        <f t="shared" si="37"/>
        <v>0</v>
      </c>
      <c r="L251" s="35">
        <f t="shared" si="38"/>
        <v>0</v>
      </c>
      <c r="M251" s="2"/>
      <c r="O251" s="19"/>
      <c r="P251" s="19"/>
      <c r="Q251" s="19"/>
      <c r="R251" s="21"/>
      <c r="S251" s="46"/>
      <c r="T251" s="44"/>
      <c r="U251" s="77"/>
      <c r="V251" s="24"/>
      <c r="W251" s="24"/>
      <c r="X251" s="193"/>
      <c r="Y251" s="15"/>
    </row>
    <row r="252" spans="2:25" x14ac:dyDescent="0.25">
      <c r="B252" s="15">
        <v>250</v>
      </c>
      <c r="C252" s="8"/>
      <c r="E252" s="383"/>
      <c r="F252" s="380"/>
      <c r="G252" s="8"/>
      <c r="H252" s="8"/>
      <c r="I252" s="8"/>
      <c r="J252" s="9"/>
      <c r="K252" s="9">
        <f t="shared" si="37"/>
        <v>0</v>
      </c>
      <c r="L252" s="35">
        <f t="shared" si="38"/>
        <v>0</v>
      </c>
      <c r="M252" s="2"/>
      <c r="O252" s="19"/>
      <c r="P252" s="19"/>
      <c r="Q252" s="19"/>
      <c r="R252" s="21"/>
      <c r="S252" s="46"/>
      <c r="T252" s="44"/>
      <c r="U252" s="77"/>
      <c r="V252" s="30"/>
      <c r="W252" s="24"/>
      <c r="X252" s="193"/>
      <c r="Y252" s="15"/>
    </row>
    <row r="253" spans="2:25" x14ac:dyDescent="0.25">
      <c r="B253" s="15">
        <v>251</v>
      </c>
      <c r="C253" s="8"/>
      <c r="E253" s="383"/>
      <c r="F253" s="380"/>
      <c r="G253" s="8"/>
      <c r="H253" s="8"/>
      <c r="I253" s="8"/>
      <c r="J253" s="9"/>
      <c r="K253" s="9">
        <f t="shared" si="37"/>
        <v>0</v>
      </c>
      <c r="L253" s="35">
        <f t="shared" si="38"/>
        <v>0</v>
      </c>
      <c r="M253" s="2"/>
      <c r="O253" s="19"/>
      <c r="P253" s="19"/>
      <c r="Q253" s="19"/>
      <c r="R253" s="21"/>
      <c r="S253" s="46"/>
      <c r="T253" s="44"/>
      <c r="U253" s="77"/>
      <c r="V253" s="30"/>
      <c r="W253" s="24"/>
      <c r="X253" s="193"/>
      <c r="Y253" s="15"/>
    </row>
    <row r="254" spans="2:25" x14ac:dyDescent="0.25">
      <c r="B254" s="15">
        <v>252</v>
      </c>
      <c r="C254" s="8"/>
      <c r="E254" s="383"/>
      <c r="F254" s="380"/>
      <c r="G254" s="8"/>
      <c r="H254" s="8"/>
      <c r="I254" s="8"/>
      <c r="J254" s="9"/>
      <c r="K254" s="9">
        <f t="shared" si="37"/>
        <v>0</v>
      </c>
      <c r="L254" s="35">
        <f t="shared" si="38"/>
        <v>0</v>
      </c>
      <c r="M254" s="2"/>
      <c r="O254" s="19"/>
      <c r="P254" s="19"/>
      <c r="Q254" s="19"/>
      <c r="R254" s="21"/>
      <c r="S254" s="46"/>
      <c r="T254" s="44"/>
      <c r="U254" s="77"/>
      <c r="V254" s="24"/>
      <c r="W254" s="24"/>
      <c r="X254" s="193"/>
      <c r="Y254" s="15"/>
    </row>
    <row r="255" spans="2:25" x14ac:dyDescent="0.25">
      <c r="B255" s="15">
        <v>253</v>
      </c>
      <c r="C255" s="8"/>
      <c r="E255" s="383"/>
      <c r="F255" s="380"/>
      <c r="G255" s="8"/>
      <c r="H255" s="8"/>
      <c r="I255" s="8"/>
      <c r="J255" s="9"/>
      <c r="K255" s="9">
        <f t="shared" si="37"/>
        <v>0</v>
      </c>
      <c r="L255" s="35">
        <f t="shared" si="38"/>
        <v>0</v>
      </c>
      <c r="M255" s="2"/>
      <c r="O255" s="19"/>
      <c r="P255" s="19"/>
      <c r="Q255" s="19"/>
      <c r="R255" s="21"/>
      <c r="S255" s="46"/>
      <c r="T255" s="44"/>
      <c r="U255" s="77"/>
      <c r="V255" s="30"/>
      <c r="W255" s="24"/>
      <c r="X255" s="193"/>
      <c r="Y255" s="15"/>
    </row>
    <row r="256" spans="2:25" x14ac:dyDescent="0.25">
      <c r="B256" s="15">
        <v>254</v>
      </c>
      <c r="C256" s="8"/>
      <c r="E256" s="383"/>
      <c r="F256" s="380"/>
      <c r="G256" s="8"/>
      <c r="H256" s="8"/>
      <c r="I256" s="8"/>
      <c r="J256" s="9"/>
      <c r="K256" s="9">
        <f t="shared" si="37"/>
        <v>0</v>
      </c>
      <c r="L256" s="35">
        <f t="shared" si="38"/>
        <v>0</v>
      </c>
      <c r="M256" s="2"/>
      <c r="O256" s="19"/>
      <c r="P256" s="19"/>
      <c r="Q256" s="19"/>
      <c r="R256" s="21"/>
      <c r="S256" s="46"/>
      <c r="T256" s="44"/>
      <c r="U256" s="77"/>
      <c r="V256" s="24"/>
      <c r="W256" s="24"/>
      <c r="X256" s="193"/>
      <c r="Y256" s="15"/>
    </row>
    <row r="257" spans="2:25" x14ac:dyDescent="0.25">
      <c r="B257" s="15">
        <v>255</v>
      </c>
      <c r="C257" s="8"/>
      <c r="E257" s="383"/>
      <c r="F257" s="380"/>
      <c r="G257" s="8"/>
      <c r="H257" s="8"/>
      <c r="I257" s="8"/>
      <c r="J257" s="9"/>
      <c r="K257" s="9">
        <f t="shared" si="37"/>
        <v>0</v>
      </c>
      <c r="L257" s="35">
        <f t="shared" si="38"/>
        <v>0</v>
      </c>
      <c r="M257" s="2"/>
      <c r="O257" s="19"/>
      <c r="P257" s="19"/>
      <c r="Q257" s="19"/>
      <c r="R257" s="21"/>
      <c r="S257" s="46"/>
      <c r="T257" s="44"/>
      <c r="U257" s="77"/>
      <c r="V257" s="24"/>
      <c r="W257" s="24"/>
      <c r="X257" s="193"/>
      <c r="Y257" s="15"/>
    </row>
    <row r="258" spans="2:25" x14ac:dyDescent="0.25">
      <c r="B258" s="15">
        <v>256</v>
      </c>
      <c r="C258" s="8"/>
      <c r="E258" s="383"/>
      <c r="F258" s="380"/>
      <c r="G258" s="8"/>
      <c r="H258" s="8"/>
      <c r="I258" s="8"/>
      <c r="J258" s="9"/>
      <c r="K258" s="9">
        <f t="shared" si="37"/>
        <v>0</v>
      </c>
      <c r="L258" s="35">
        <f t="shared" si="38"/>
        <v>0</v>
      </c>
      <c r="M258" s="2"/>
      <c r="O258" s="19"/>
      <c r="P258" s="19"/>
      <c r="Q258" s="19"/>
      <c r="R258" s="21"/>
      <c r="S258" s="46"/>
      <c r="T258" s="44"/>
      <c r="U258" s="77"/>
      <c r="V258" s="24"/>
      <c r="W258" s="24"/>
      <c r="X258" s="193"/>
      <c r="Y258" s="15"/>
    </row>
    <row r="259" spans="2:25" x14ac:dyDescent="0.25">
      <c r="B259" s="15">
        <v>257</v>
      </c>
      <c r="C259" s="8"/>
      <c r="E259" s="383"/>
      <c r="F259" s="380"/>
      <c r="G259" s="8"/>
      <c r="H259" s="8"/>
      <c r="I259" s="8"/>
      <c r="J259" s="9"/>
      <c r="K259" s="9">
        <f t="shared" ref="K259:K322" si="39">J259*1.1</f>
        <v>0</v>
      </c>
      <c r="L259" s="35">
        <f t="shared" ref="L259:L322" si="40">J259*0.00000001</f>
        <v>0</v>
      </c>
      <c r="M259" s="2"/>
      <c r="O259" s="19"/>
      <c r="P259" s="19"/>
      <c r="Q259" s="19"/>
      <c r="R259" s="21"/>
      <c r="S259" s="46"/>
      <c r="T259" s="44"/>
      <c r="U259" s="77"/>
      <c r="V259" s="30"/>
      <c r="W259" s="24"/>
      <c r="X259" s="193"/>
      <c r="Y259" s="15"/>
    </row>
    <row r="260" spans="2:25" x14ac:dyDescent="0.25">
      <c r="B260" s="15">
        <v>258</v>
      </c>
      <c r="C260" s="8"/>
      <c r="E260" s="383"/>
      <c r="F260" s="380"/>
      <c r="G260" s="8"/>
      <c r="H260" s="8"/>
      <c r="I260" s="8"/>
      <c r="J260" s="9"/>
      <c r="K260" s="9">
        <f t="shared" si="39"/>
        <v>0</v>
      </c>
      <c r="L260" s="35">
        <f t="shared" si="40"/>
        <v>0</v>
      </c>
      <c r="M260" s="2"/>
      <c r="O260" s="19"/>
      <c r="P260" s="19"/>
      <c r="Q260" s="19"/>
      <c r="R260" s="21"/>
      <c r="S260" s="46"/>
      <c r="T260" s="44"/>
      <c r="U260" s="77"/>
      <c r="V260" s="30"/>
      <c r="W260" s="24"/>
      <c r="X260" s="193"/>
      <c r="Y260" s="15"/>
    </row>
    <row r="261" spans="2:25" x14ac:dyDescent="0.25">
      <c r="B261" s="15">
        <v>259</v>
      </c>
      <c r="C261" s="8"/>
      <c r="E261" s="383"/>
      <c r="F261" s="380"/>
      <c r="G261" s="8"/>
      <c r="H261" s="8"/>
      <c r="I261" s="8"/>
      <c r="J261" s="9"/>
      <c r="K261" s="9">
        <f t="shared" si="39"/>
        <v>0</v>
      </c>
      <c r="L261" s="35">
        <f t="shared" si="40"/>
        <v>0</v>
      </c>
      <c r="M261" s="2"/>
      <c r="O261" s="19"/>
      <c r="P261" s="19"/>
      <c r="Q261" s="19"/>
      <c r="R261" s="21"/>
      <c r="S261" s="46"/>
      <c r="T261" s="44"/>
      <c r="U261" s="77"/>
      <c r="V261" s="24"/>
      <c r="W261" s="24"/>
      <c r="X261" s="193"/>
      <c r="Y261" s="15"/>
    </row>
    <row r="262" spans="2:25" x14ac:dyDescent="0.25">
      <c r="B262" s="15">
        <v>260</v>
      </c>
      <c r="C262" s="8"/>
      <c r="E262" s="383"/>
      <c r="F262" s="380"/>
      <c r="G262" s="8"/>
      <c r="H262" s="8"/>
      <c r="I262" s="8"/>
      <c r="J262" s="9"/>
      <c r="K262" s="9">
        <f t="shared" si="39"/>
        <v>0</v>
      </c>
      <c r="L262" s="35">
        <f t="shared" si="40"/>
        <v>0</v>
      </c>
      <c r="M262" s="2"/>
      <c r="O262" s="19"/>
      <c r="P262" s="19"/>
      <c r="Q262" s="19"/>
      <c r="R262" s="21"/>
      <c r="S262" s="46"/>
      <c r="T262" s="44"/>
      <c r="U262" s="77"/>
      <c r="V262" s="24"/>
      <c r="W262" s="24"/>
      <c r="X262" s="193"/>
      <c r="Y262" s="15"/>
    </row>
    <row r="263" spans="2:25" x14ac:dyDescent="0.25">
      <c r="B263" s="15">
        <v>261</v>
      </c>
      <c r="C263" s="8"/>
      <c r="E263" s="383"/>
      <c r="F263" s="380"/>
      <c r="G263" s="8"/>
      <c r="H263" s="8"/>
      <c r="I263" s="8"/>
      <c r="J263" s="9"/>
      <c r="K263" s="9">
        <f t="shared" si="39"/>
        <v>0</v>
      </c>
      <c r="L263" s="35">
        <f t="shared" si="40"/>
        <v>0</v>
      </c>
      <c r="M263" s="2"/>
      <c r="O263" s="19"/>
      <c r="P263" s="19"/>
      <c r="Q263" s="19"/>
      <c r="R263" s="21"/>
      <c r="S263" s="46"/>
      <c r="T263" s="44"/>
      <c r="U263" s="77"/>
      <c r="V263" s="24"/>
      <c r="W263" s="24"/>
      <c r="X263" s="193"/>
      <c r="Y263" s="15"/>
    </row>
    <row r="264" spans="2:25" x14ac:dyDescent="0.25">
      <c r="B264" s="15">
        <v>262</v>
      </c>
      <c r="C264" s="8"/>
      <c r="E264" s="383"/>
      <c r="F264" s="380"/>
      <c r="G264" s="8"/>
      <c r="H264" s="8"/>
      <c r="I264" s="8"/>
      <c r="J264" s="9"/>
      <c r="K264" s="9">
        <f t="shared" si="39"/>
        <v>0</v>
      </c>
      <c r="L264" s="35">
        <f t="shared" si="40"/>
        <v>0</v>
      </c>
      <c r="M264" s="2"/>
      <c r="O264" s="19"/>
      <c r="P264" s="19"/>
      <c r="Q264" s="19"/>
      <c r="R264" s="21"/>
      <c r="S264" s="46"/>
      <c r="T264" s="44"/>
      <c r="U264" s="77"/>
      <c r="V264" s="24"/>
      <c r="W264" s="24"/>
      <c r="X264" s="193"/>
      <c r="Y264" s="15"/>
    </row>
    <row r="265" spans="2:25" x14ac:dyDescent="0.25">
      <c r="B265" s="15">
        <v>263</v>
      </c>
      <c r="C265" s="8"/>
      <c r="E265" s="383"/>
      <c r="F265" s="380"/>
      <c r="G265" s="8"/>
      <c r="H265" s="8"/>
      <c r="I265" s="8"/>
      <c r="J265" s="9"/>
      <c r="K265" s="9">
        <f t="shared" si="39"/>
        <v>0</v>
      </c>
      <c r="L265" s="35">
        <f t="shared" si="40"/>
        <v>0</v>
      </c>
      <c r="M265" s="2"/>
      <c r="O265" s="19"/>
      <c r="P265" s="19"/>
      <c r="Q265" s="19"/>
      <c r="R265" s="21"/>
      <c r="S265" s="46"/>
      <c r="T265" s="44"/>
      <c r="U265" s="77"/>
      <c r="V265" s="24"/>
      <c r="W265" s="24"/>
      <c r="X265" s="193"/>
      <c r="Y265" s="15"/>
    </row>
    <row r="266" spans="2:25" x14ac:dyDescent="0.25">
      <c r="B266" s="15">
        <v>264</v>
      </c>
      <c r="C266" s="8"/>
      <c r="E266" s="383"/>
      <c r="F266" s="380"/>
      <c r="G266" s="8"/>
      <c r="H266" s="8"/>
      <c r="I266" s="8"/>
      <c r="J266" s="9"/>
      <c r="K266" s="9">
        <f t="shared" si="39"/>
        <v>0</v>
      </c>
      <c r="L266" s="35">
        <f t="shared" si="40"/>
        <v>0</v>
      </c>
      <c r="M266" s="2"/>
      <c r="O266" s="19"/>
      <c r="P266" s="19"/>
      <c r="Q266" s="19"/>
      <c r="R266" s="21"/>
      <c r="S266" s="46"/>
      <c r="T266" s="44"/>
      <c r="U266" s="77"/>
      <c r="V266" s="30"/>
      <c r="W266" s="24"/>
      <c r="X266" s="193"/>
      <c r="Y266" s="15"/>
    </row>
    <row r="267" spans="2:25" x14ac:dyDescent="0.25">
      <c r="B267" s="15">
        <v>265</v>
      </c>
      <c r="C267" s="8"/>
      <c r="E267" s="383"/>
      <c r="F267" s="380"/>
      <c r="G267" s="8"/>
      <c r="H267" s="8"/>
      <c r="I267" s="8"/>
      <c r="J267" s="9"/>
      <c r="K267" s="9">
        <f t="shared" si="39"/>
        <v>0</v>
      </c>
      <c r="L267" s="35">
        <f t="shared" si="40"/>
        <v>0</v>
      </c>
      <c r="M267" s="2"/>
      <c r="O267" s="19"/>
      <c r="P267" s="19"/>
      <c r="Q267" s="19"/>
      <c r="R267" s="21"/>
      <c r="S267" s="46"/>
      <c r="T267" s="44"/>
      <c r="U267" s="77"/>
      <c r="V267" s="30"/>
      <c r="W267" s="24"/>
      <c r="X267" s="193"/>
      <c r="Y267" s="15"/>
    </row>
    <row r="268" spans="2:25" x14ac:dyDescent="0.25">
      <c r="B268" s="15">
        <v>266</v>
      </c>
      <c r="C268" s="8"/>
      <c r="E268" s="383"/>
      <c r="F268" s="380"/>
      <c r="G268" s="8"/>
      <c r="H268" s="8"/>
      <c r="I268" s="8"/>
      <c r="J268" s="9"/>
      <c r="K268" s="9">
        <f t="shared" si="39"/>
        <v>0</v>
      </c>
      <c r="L268" s="35">
        <f t="shared" si="40"/>
        <v>0</v>
      </c>
      <c r="M268" s="2"/>
      <c r="O268" s="19"/>
      <c r="P268" s="19"/>
      <c r="Q268" s="19"/>
      <c r="R268" s="21"/>
      <c r="S268" s="46"/>
      <c r="T268" s="44"/>
      <c r="U268" s="77"/>
      <c r="V268" s="30"/>
      <c r="W268" s="24"/>
      <c r="X268" s="193"/>
      <c r="Y268" s="15"/>
    </row>
    <row r="269" spans="2:25" x14ac:dyDescent="0.25">
      <c r="B269" s="15">
        <v>267</v>
      </c>
      <c r="C269" s="8"/>
      <c r="E269" s="383"/>
      <c r="F269" s="380"/>
      <c r="G269" s="8"/>
      <c r="H269" s="8"/>
      <c r="I269" s="8"/>
      <c r="J269" s="9"/>
      <c r="K269" s="9">
        <f t="shared" si="39"/>
        <v>0</v>
      </c>
      <c r="L269" s="35">
        <f t="shared" si="40"/>
        <v>0</v>
      </c>
      <c r="M269" s="2"/>
      <c r="O269" s="19"/>
      <c r="P269" s="19"/>
      <c r="Q269" s="19"/>
      <c r="R269" s="21"/>
      <c r="S269" s="46"/>
      <c r="T269" s="44"/>
      <c r="U269" s="77"/>
      <c r="V269" s="30"/>
      <c r="W269" s="24"/>
      <c r="X269" s="193"/>
      <c r="Y269" s="15"/>
    </row>
    <row r="270" spans="2:25" x14ac:dyDescent="0.25">
      <c r="B270" s="15">
        <v>268</v>
      </c>
      <c r="C270" s="8"/>
      <c r="E270" s="383"/>
      <c r="F270" s="380"/>
      <c r="G270" s="8"/>
      <c r="H270" s="8"/>
      <c r="I270" s="8"/>
      <c r="J270" s="9"/>
      <c r="K270" s="9">
        <f t="shared" si="39"/>
        <v>0</v>
      </c>
      <c r="L270" s="35">
        <f t="shared" si="40"/>
        <v>0</v>
      </c>
      <c r="M270" s="2"/>
      <c r="O270" s="19"/>
      <c r="P270" s="19"/>
      <c r="Q270" s="19"/>
      <c r="R270" s="21"/>
      <c r="S270" s="46"/>
      <c r="T270" s="44"/>
      <c r="U270" s="77"/>
      <c r="V270" s="24"/>
      <c r="W270" s="24"/>
      <c r="X270" s="193"/>
      <c r="Y270" s="15"/>
    </row>
    <row r="271" spans="2:25" x14ac:dyDescent="0.25">
      <c r="B271" s="15">
        <v>269</v>
      </c>
      <c r="C271" s="8"/>
      <c r="E271" s="383"/>
      <c r="F271" s="380"/>
      <c r="G271" s="8"/>
      <c r="H271" s="8"/>
      <c r="I271" s="8"/>
      <c r="J271" s="9"/>
      <c r="K271" s="9">
        <f t="shared" si="39"/>
        <v>0</v>
      </c>
      <c r="L271" s="35">
        <f t="shared" si="40"/>
        <v>0</v>
      </c>
      <c r="M271" s="2"/>
      <c r="O271" s="19"/>
      <c r="P271" s="19"/>
      <c r="Q271" s="19"/>
      <c r="R271" s="21"/>
      <c r="S271" s="46"/>
      <c r="T271" s="44"/>
      <c r="U271" s="77"/>
      <c r="V271" s="24"/>
      <c r="W271" s="24"/>
      <c r="X271" s="193"/>
      <c r="Y271" s="15"/>
    </row>
    <row r="272" spans="2:25" x14ac:dyDescent="0.25">
      <c r="B272" s="15">
        <v>270</v>
      </c>
      <c r="C272" s="8"/>
      <c r="E272" s="383"/>
      <c r="F272" s="380"/>
      <c r="G272" s="8"/>
      <c r="H272" s="8"/>
      <c r="I272" s="8"/>
      <c r="J272" s="9"/>
      <c r="K272" s="9">
        <f t="shared" si="39"/>
        <v>0</v>
      </c>
      <c r="L272" s="35">
        <f t="shared" si="40"/>
        <v>0</v>
      </c>
      <c r="M272" s="2"/>
      <c r="O272" s="19"/>
      <c r="P272" s="19"/>
      <c r="Q272" s="19"/>
      <c r="R272" s="21"/>
      <c r="S272" s="46"/>
      <c r="T272" s="44"/>
      <c r="U272" s="77"/>
      <c r="V272" s="24"/>
      <c r="W272" s="24"/>
      <c r="X272" s="193"/>
      <c r="Y272" s="15"/>
    </row>
    <row r="273" spans="2:25" x14ac:dyDescent="0.25">
      <c r="B273" s="15">
        <v>271</v>
      </c>
      <c r="C273" s="8"/>
      <c r="E273" s="383"/>
      <c r="F273" s="380"/>
      <c r="G273" s="8"/>
      <c r="H273" s="8"/>
      <c r="I273" s="8"/>
      <c r="J273" s="9"/>
      <c r="K273" s="9">
        <f t="shared" si="39"/>
        <v>0</v>
      </c>
      <c r="L273" s="35">
        <f t="shared" si="40"/>
        <v>0</v>
      </c>
      <c r="M273" s="2"/>
      <c r="O273" s="19"/>
      <c r="P273" s="19"/>
      <c r="Q273" s="19"/>
      <c r="R273" s="21"/>
      <c r="S273" s="46"/>
      <c r="T273" s="44"/>
      <c r="U273" s="77"/>
      <c r="V273" s="24"/>
      <c r="W273" s="24"/>
      <c r="X273" s="193"/>
      <c r="Y273" s="15"/>
    </row>
    <row r="274" spans="2:25" x14ac:dyDescent="0.25">
      <c r="B274" s="15">
        <v>272</v>
      </c>
      <c r="C274" s="8"/>
      <c r="E274" s="383"/>
      <c r="F274" s="380"/>
      <c r="G274" s="8"/>
      <c r="H274" s="8"/>
      <c r="I274" s="8"/>
      <c r="J274" s="9"/>
      <c r="K274" s="9">
        <f t="shared" si="39"/>
        <v>0</v>
      </c>
      <c r="L274" s="35">
        <f t="shared" si="40"/>
        <v>0</v>
      </c>
      <c r="M274" s="2"/>
      <c r="O274" s="19"/>
      <c r="P274" s="19"/>
      <c r="Q274" s="19"/>
      <c r="R274" s="21"/>
      <c r="S274" s="46"/>
      <c r="T274" s="44"/>
      <c r="U274" s="77"/>
      <c r="V274" s="24"/>
      <c r="W274" s="24"/>
      <c r="X274" s="193"/>
      <c r="Y274" s="15"/>
    </row>
    <row r="275" spans="2:25" x14ac:dyDescent="0.25">
      <c r="B275" s="15">
        <v>273</v>
      </c>
      <c r="C275" s="8"/>
      <c r="E275" s="383"/>
      <c r="F275" s="380"/>
      <c r="G275" s="8"/>
      <c r="H275" s="8"/>
      <c r="I275" s="8"/>
      <c r="J275" s="9"/>
      <c r="K275" s="9">
        <f t="shared" si="39"/>
        <v>0</v>
      </c>
      <c r="L275" s="35">
        <f t="shared" si="40"/>
        <v>0</v>
      </c>
      <c r="M275" s="2"/>
      <c r="O275" s="19"/>
      <c r="P275" s="19"/>
      <c r="Q275" s="19"/>
      <c r="R275" s="21"/>
      <c r="S275" s="46"/>
      <c r="T275" s="44"/>
      <c r="U275" s="77"/>
      <c r="V275" s="30"/>
      <c r="W275" s="24"/>
      <c r="X275" s="193"/>
      <c r="Y275" s="15"/>
    </row>
    <row r="276" spans="2:25" x14ac:dyDescent="0.25">
      <c r="B276" s="15">
        <v>274</v>
      </c>
      <c r="C276" s="8"/>
      <c r="E276" s="383"/>
      <c r="F276" s="380"/>
      <c r="G276" s="8"/>
      <c r="H276" s="8"/>
      <c r="I276" s="8"/>
      <c r="J276" s="9"/>
      <c r="K276" s="9">
        <f t="shared" si="39"/>
        <v>0</v>
      </c>
      <c r="L276" s="35">
        <f t="shared" si="40"/>
        <v>0</v>
      </c>
      <c r="M276" s="2"/>
      <c r="O276" s="19"/>
      <c r="P276" s="19"/>
      <c r="Q276" s="19"/>
      <c r="R276" s="21"/>
      <c r="S276" s="46"/>
      <c r="T276" s="44"/>
      <c r="U276" s="77"/>
      <c r="V276" s="30"/>
      <c r="W276" s="24"/>
      <c r="X276" s="193"/>
      <c r="Y276" s="15"/>
    </row>
    <row r="277" spans="2:25" x14ac:dyDescent="0.25">
      <c r="B277" s="15">
        <v>275</v>
      </c>
      <c r="C277" s="8"/>
      <c r="E277" s="383"/>
      <c r="F277" s="380"/>
      <c r="G277" s="8"/>
      <c r="H277" s="8"/>
      <c r="I277" s="8"/>
      <c r="J277" s="9"/>
      <c r="K277" s="9">
        <f t="shared" si="39"/>
        <v>0</v>
      </c>
      <c r="L277" s="35">
        <f t="shared" si="40"/>
        <v>0</v>
      </c>
      <c r="M277" s="2"/>
      <c r="O277" s="19"/>
      <c r="P277" s="19"/>
      <c r="Q277" s="19"/>
      <c r="R277" s="21"/>
      <c r="S277" s="46"/>
      <c r="T277" s="44"/>
      <c r="U277" s="77"/>
      <c r="V277" s="24"/>
      <c r="W277" s="24"/>
      <c r="X277" s="193"/>
      <c r="Y277" s="15"/>
    </row>
    <row r="278" spans="2:25" x14ac:dyDescent="0.25">
      <c r="B278" s="15">
        <v>276</v>
      </c>
      <c r="C278" s="8"/>
      <c r="E278" s="383"/>
      <c r="F278" s="380"/>
      <c r="G278" s="8"/>
      <c r="H278" s="8"/>
      <c r="I278" s="8"/>
      <c r="J278" s="9"/>
      <c r="K278" s="9">
        <f t="shared" si="39"/>
        <v>0</v>
      </c>
      <c r="L278" s="35">
        <f t="shared" si="40"/>
        <v>0</v>
      </c>
      <c r="M278" s="2"/>
      <c r="O278" s="19"/>
      <c r="P278" s="19"/>
      <c r="Q278" s="19"/>
      <c r="R278" s="21"/>
      <c r="S278" s="46"/>
      <c r="T278" s="44"/>
      <c r="U278" s="77"/>
      <c r="V278" s="24"/>
      <c r="W278" s="24"/>
      <c r="X278" s="193"/>
      <c r="Y278" s="15"/>
    </row>
    <row r="279" spans="2:25" x14ac:dyDescent="0.25">
      <c r="B279" s="15">
        <v>277</v>
      </c>
      <c r="C279" s="8"/>
      <c r="E279" s="383"/>
      <c r="F279" s="380"/>
      <c r="G279" s="8"/>
      <c r="H279" s="8"/>
      <c r="I279" s="8"/>
      <c r="J279" s="9"/>
      <c r="K279" s="9">
        <f t="shared" si="39"/>
        <v>0</v>
      </c>
      <c r="L279" s="35">
        <f t="shared" si="40"/>
        <v>0</v>
      </c>
      <c r="M279" s="2"/>
      <c r="O279" s="19"/>
      <c r="P279" s="19"/>
      <c r="Q279" s="19"/>
      <c r="R279" s="21"/>
      <c r="S279" s="46"/>
      <c r="T279" s="44"/>
      <c r="U279" s="77"/>
      <c r="V279" s="24"/>
      <c r="W279" s="24"/>
      <c r="X279" s="193"/>
      <c r="Y279" s="15"/>
    </row>
    <row r="280" spans="2:25" x14ac:dyDescent="0.25">
      <c r="B280" s="15">
        <v>278</v>
      </c>
      <c r="C280" s="8"/>
      <c r="E280" s="383"/>
      <c r="F280" s="380"/>
      <c r="G280" s="8"/>
      <c r="H280" s="8"/>
      <c r="I280" s="8"/>
      <c r="J280" s="9"/>
      <c r="K280" s="9">
        <f t="shared" si="39"/>
        <v>0</v>
      </c>
      <c r="L280" s="35">
        <f t="shared" si="40"/>
        <v>0</v>
      </c>
      <c r="M280" s="2"/>
      <c r="O280" s="19"/>
      <c r="P280" s="19"/>
      <c r="Q280" s="19"/>
      <c r="R280" s="21"/>
      <c r="S280" s="46"/>
      <c r="T280" s="44"/>
      <c r="U280" s="77"/>
      <c r="V280" s="24"/>
      <c r="W280" s="24"/>
      <c r="X280" s="193"/>
      <c r="Y280" s="15"/>
    </row>
    <row r="281" spans="2:25" x14ac:dyDescent="0.25">
      <c r="B281" s="15">
        <v>279</v>
      </c>
      <c r="C281" s="8"/>
      <c r="E281" s="383"/>
      <c r="F281" s="380"/>
      <c r="G281" s="8"/>
      <c r="H281" s="8"/>
      <c r="I281" s="8"/>
      <c r="J281" s="9"/>
      <c r="K281" s="9">
        <f t="shared" si="39"/>
        <v>0</v>
      </c>
      <c r="L281" s="35">
        <f t="shared" si="40"/>
        <v>0</v>
      </c>
      <c r="M281" s="2"/>
      <c r="O281" s="19"/>
      <c r="P281" s="19"/>
      <c r="Q281" s="19"/>
      <c r="R281" s="21"/>
      <c r="S281" s="46"/>
      <c r="T281" s="44"/>
      <c r="U281" s="77"/>
      <c r="V281" s="24"/>
      <c r="W281" s="24"/>
      <c r="X281" s="193"/>
      <c r="Y281" s="15"/>
    </row>
    <row r="282" spans="2:25" x14ac:dyDescent="0.25">
      <c r="B282" s="15">
        <v>280</v>
      </c>
      <c r="C282" s="8"/>
      <c r="E282" s="383"/>
      <c r="F282" s="380"/>
      <c r="G282" s="8"/>
      <c r="H282" s="8"/>
      <c r="I282" s="8"/>
      <c r="J282" s="9"/>
      <c r="K282" s="9">
        <f t="shared" si="39"/>
        <v>0</v>
      </c>
      <c r="L282" s="35">
        <f t="shared" si="40"/>
        <v>0</v>
      </c>
      <c r="M282" s="2"/>
      <c r="O282" s="19"/>
      <c r="P282" s="19"/>
      <c r="Q282" s="19"/>
      <c r="R282" s="21"/>
      <c r="S282" s="46"/>
      <c r="T282" s="44"/>
      <c r="U282" s="77"/>
      <c r="V282" s="30"/>
      <c r="W282" s="24"/>
      <c r="X282" s="193"/>
      <c r="Y282" s="15"/>
    </row>
    <row r="283" spans="2:25" x14ac:dyDescent="0.25">
      <c r="B283" s="15">
        <v>281</v>
      </c>
      <c r="C283" s="8"/>
      <c r="E283" s="383"/>
      <c r="F283" s="380"/>
      <c r="G283" s="8"/>
      <c r="H283" s="8"/>
      <c r="I283" s="8"/>
      <c r="J283" s="9"/>
      <c r="K283" s="9">
        <f t="shared" si="39"/>
        <v>0</v>
      </c>
      <c r="L283" s="35">
        <f t="shared" si="40"/>
        <v>0</v>
      </c>
      <c r="M283" s="2"/>
      <c r="O283" s="19"/>
      <c r="P283" s="19"/>
      <c r="Q283" s="19"/>
      <c r="R283" s="21"/>
      <c r="S283" s="46"/>
      <c r="T283" s="44"/>
      <c r="U283" s="77"/>
      <c r="V283" s="30"/>
      <c r="W283" s="24"/>
      <c r="X283" s="193"/>
      <c r="Y283" s="15"/>
    </row>
    <row r="284" spans="2:25" x14ac:dyDescent="0.25">
      <c r="B284" s="15">
        <v>282</v>
      </c>
      <c r="C284" s="8"/>
      <c r="E284" s="383"/>
      <c r="F284" s="380"/>
      <c r="G284" s="8"/>
      <c r="H284" s="8"/>
      <c r="I284" s="8"/>
      <c r="J284" s="9"/>
      <c r="K284" s="9">
        <f t="shared" si="39"/>
        <v>0</v>
      </c>
      <c r="L284" s="35">
        <f t="shared" si="40"/>
        <v>0</v>
      </c>
      <c r="M284" s="2"/>
      <c r="O284" s="19"/>
      <c r="P284" s="19"/>
      <c r="Q284" s="19"/>
      <c r="R284" s="21"/>
      <c r="S284" s="46"/>
      <c r="T284" s="44"/>
      <c r="U284" s="77"/>
      <c r="V284" s="30"/>
      <c r="W284" s="24"/>
      <c r="X284" s="193"/>
      <c r="Y284" s="15"/>
    </row>
    <row r="285" spans="2:25" x14ac:dyDescent="0.25">
      <c r="B285" s="15">
        <v>283</v>
      </c>
      <c r="C285" s="8"/>
      <c r="E285" s="383"/>
      <c r="K285" s="9">
        <f t="shared" si="39"/>
        <v>0</v>
      </c>
      <c r="L285" s="35">
        <f t="shared" si="40"/>
        <v>0</v>
      </c>
      <c r="S285" s="5"/>
      <c r="T285" s="44"/>
      <c r="U285" s="77"/>
      <c r="V285" s="79"/>
      <c r="W285" s="24"/>
      <c r="X285" s="193"/>
      <c r="Y285" s="15"/>
    </row>
    <row r="286" spans="2:25" x14ac:dyDescent="0.25">
      <c r="B286" s="15">
        <v>284</v>
      </c>
      <c r="C286" s="8"/>
      <c r="K286" s="9">
        <f t="shared" si="39"/>
        <v>0</v>
      </c>
      <c r="L286" s="35">
        <f t="shared" si="40"/>
        <v>0</v>
      </c>
      <c r="T286" s="44"/>
      <c r="U286" s="77"/>
      <c r="V286" s="79"/>
      <c r="W286" s="24"/>
      <c r="X286" s="193"/>
      <c r="Y286" s="15"/>
    </row>
    <row r="287" spans="2:25" x14ac:dyDescent="0.25">
      <c r="B287" s="15">
        <v>285</v>
      </c>
      <c r="C287" s="8"/>
      <c r="K287" s="9">
        <f t="shared" si="39"/>
        <v>0</v>
      </c>
      <c r="L287" s="35">
        <f t="shared" si="40"/>
        <v>0</v>
      </c>
      <c r="T287" s="44"/>
      <c r="U287" s="77"/>
      <c r="V287" s="79"/>
      <c r="W287" s="24"/>
      <c r="X287" s="193"/>
      <c r="Y287" s="15"/>
    </row>
    <row r="288" spans="2:25" x14ac:dyDescent="0.25">
      <c r="B288" s="15">
        <v>286</v>
      </c>
      <c r="C288" s="8"/>
      <c r="K288" s="9">
        <f t="shared" si="39"/>
        <v>0</v>
      </c>
      <c r="L288" s="35">
        <f t="shared" si="40"/>
        <v>0</v>
      </c>
      <c r="T288" s="44"/>
      <c r="U288" s="77"/>
      <c r="V288" s="79"/>
      <c r="W288" s="24"/>
      <c r="X288" s="193"/>
      <c r="Y288" s="15"/>
    </row>
    <row r="289" spans="2:25" x14ac:dyDescent="0.25">
      <c r="B289" s="15">
        <v>287</v>
      </c>
      <c r="C289" s="8"/>
      <c r="K289" s="9">
        <f t="shared" si="39"/>
        <v>0</v>
      </c>
      <c r="L289" s="35">
        <f t="shared" si="40"/>
        <v>0</v>
      </c>
      <c r="T289" s="44"/>
      <c r="U289" s="77"/>
      <c r="V289" s="79"/>
      <c r="W289" s="24"/>
      <c r="X289" s="193"/>
      <c r="Y289" s="15"/>
    </row>
    <row r="290" spans="2:25" x14ac:dyDescent="0.25">
      <c r="B290" s="15">
        <v>288</v>
      </c>
      <c r="C290" s="8"/>
      <c r="K290" s="9">
        <f t="shared" si="39"/>
        <v>0</v>
      </c>
      <c r="L290" s="35">
        <f t="shared" si="40"/>
        <v>0</v>
      </c>
      <c r="T290" s="44"/>
      <c r="U290" s="77"/>
      <c r="V290" s="79"/>
      <c r="W290" s="24"/>
      <c r="X290" s="193"/>
      <c r="Y290" s="15"/>
    </row>
    <row r="291" spans="2:25" x14ac:dyDescent="0.25">
      <c r="B291" s="15">
        <v>289</v>
      </c>
      <c r="C291" s="8"/>
      <c r="K291" s="9">
        <f t="shared" si="39"/>
        <v>0</v>
      </c>
      <c r="L291" s="35">
        <f t="shared" si="40"/>
        <v>0</v>
      </c>
      <c r="T291" s="44"/>
      <c r="U291" s="77"/>
      <c r="V291" s="79"/>
      <c r="W291" s="24"/>
      <c r="X291" s="193"/>
      <c r="Y291" s="15"/>
    </row>
    <row r="292" spans="2:25" x14ac:dyDescent="0.25">
      <c r="B292" s="15">
        <v>290</v>
      </c>
      <c r="C292" s="8"/>
      <c r="K292" s="9">
        <f t="shared" si="39"/>
        <v>0</v>
      </c>
      <c r="L292" s="35">
        <f t="shared" si="40"/>
        <v>0</v>
      </c>
      <c r="T292" s="44"/>
      <c r="U292" s="77"/>
      <c r="V292" s="79"/>
      <c r="W292" s="24"/>
      <c r="X292" s="193"/>
      <c r="Y292" s="15"/>
    </row>
    <row r="293" spans="2:25" x14ac:dyDescent="0.25">
      <c r="B293" s="15">
        <v>291</v>
      </c>
      <c r="C293" s="8"/>
      <c r="K293" s="9">
        <f t="shared" si="39"/>
        <v>0</v>
      </c>
      <c r="L293" s="35">
        <f t="shared" si="40"/>
        <v>0</v>
      </c>
      <c r="T293" s="44"/>
      <c r="U293" s="77"/>
      <c r="V293" s="79"/>
      <c r="W293" s="24"/>
      <c r="X293" s="193"/>
      <c r="Y293" s="15"/>
    </row>
    <row r="294" spans="2:25" x14ac:dyDescent="0.25">
      <c r="B294" s="15">
        <v>292</v>
      </c>
      <c r="C294" s="8"/>
      <c r="K294" s="9">
        <f t="shared" si="39"/>
        <v>0</v>
      </c>
      <c r="L294" s="35">
        <f t="shared" si="40"/>
        <v>0</v>
      </c>
      <c r="T294" s="44"/>
      <c r="U294" s="77"/>
      <c r="V294" s="79"/>
      <c r="W294" s="24"/>
      <c r="X294" s="193"/>
      <c r="Y294" s="15"/>
    </row>
    <row r="295" spans="2:25" x14ac:dyDescent="0.25">
      <c r="B295" s="15">
        <v>293</v>
      </c>
      <c r="C295" s="8"/>
      <c r="K295" s="9">
        <f t="shared" si="39"/>
        <v>0</v>
      </c>
      <c r="L295" s="35">
        <f t="shared" si="40"/>
        <v>0</v>
      </c>
      <c r="T295" s="44"/>
      <c r="U295" s="77"/>
      <c r="V295" s="79"/>
      <c r="W295" s="24"/>
      <c r="X295" s="193"/>
      <c r="Y295" s="15"/>
    </row>
    <row r="296" spans="2:25" x14ac:dyDescent="0.25">
      <c r="B296" s="15">
        <v>294</v>
      </c>
      <c r="C296" s="8"/>
      <c r="K296" s="9">
        <f t="shared" si="39"/>
        <v>0</v>
      </c>
      <c r="L296" s="35">
        <f t="shared" si="40"/>
        <v>0</v>
      </c>
      <c r="T296" s="44"/>
      <c r="U296" s="77"/>
      <c r="V296" s="79"/>
      <c r="W296" s="24"/>
      <c r="X296" s="193"/>
      <c r="Y296" s="15"/>
    </row>
    <row r="297" spans="2:25" x14ac:dyDescent="0.25">
      <c r="B297" s="15">
        <v>295</v>
      </c>
      <c r="C297" s="8"/>
      <c r="K297" s="9">
        <f t="shared" si="39"/>
        <v>0</v>
      </c>
      <c r="L297" s="35">
        <f t="shared" si="40"/>
        <v>0</v>
      </c>
      <c r="T297" s="44"/>
      <c r="U297" s="77"/>
      <c r="V297" s="79"/>
      <c r="W297" s="24"/>
      <c r="X297" s="193"/>
      <c r="Y297" s="15"/>
    </row>
    <row r="298" spans="2:25" x14ac:dyDescent="0.25">
      <c r="B298" s="15">
        <v>296</v>
      </c>
      <c r="C298" s="8"/>
      <c r="K298" s="9">
        <f t="shared" si="39"/>
        <v>0</v>
      </c>
      <c r="L298" s="35">
        <f t="shared" si="40"/>
        <v>0</v>
      </c>
      <c r="T298" s="44"/>
      <c r="U298" s="77"/>
      <c r="V298" s="79"/>
      <c r="W298" s="24"/>
      <c r="X298" s="193"/>
      <c r="Y298" s="15"/>
    </row>
    <row r="299" spans="2:25" x14ac:dyDescent="0.25">
      <c r="B299" s="15">
        <v>297</v>
      </c>
      <c r="C299" s="8"/>
      <c r="K299" s="9">
        <f t="shared" si="39"/>
        <v>0</v>
      </c>
      <c r="L299" s="35">
        <f t="shared" si="40"/>
        <v>0</v>
      </c>
      <c r="T299" s="44"/>
      <c r="U299" s="77"/>
      <c r="V299" s="79"/>
      <c r="W299" s="24"/>
      <c r="X299" s="193"/>
      <c r="Y299" s="15"/>
    </row>
    <row r="300" spans="2:25" x14ac:dyDescent="0.25">
      <c r="B300" s="15">
        <v>298</v>
      </c>
      <c r="C300" s="8"/>
      <c r="K300" s="9">
        <f t="shared" si="39"/>
        <v>0</v>
      </c>
      <c r="L300" s="35">
        <f t="shared" si="40"/>
        <v>0</v>
      </c>
      <c r="T300" s="44"/>
      <c r="U300" s="77"/>
      <c r="V300" s="79"/>
      <c r="W300" s="24"/>
      <c r="X300" s="193"/>
      <c r="Y300" s="15"/>
    </row>
    <row r="301" spans="2:25" x14ac:dyDescent="0.25">
      <c r="B301" s="15">
        <v>298</v>
      </c>
      <c r="C301" s="8"/>
      <c r="K301" s="9">
        <f t="shared" si="39"/>
        <v>0</v>
      </c>
      <c r="L301" s="35">
        <f t="shared" si="40"/>
        <v>0</v>
      </c>
      <c r="T301" s="44"/>
      <c r="U301" s="77"/>
      <c r="V301" s="79"/>
      <c r="W301" s="24"/>
      <c r="X301" s="193"/>
      <c r="Y301" s="15"/>
    </row>
    <row r="302" spans="2:25" x14ac:dyDescent="0.25">
      <c r="B302" s="15">
        <v>298</v>
      </c>
      <c r="G302" s="8"/>
      <c r="H302" s="8"/>
      <c r="K302" s="9">
        <f t="shared" si="39"/>
        <v>0</v>
      </c>
      <c r="L302" s="35">
        <f t="shared" si="40"/>
        <v>0</v>
      </c>
      <c r="W302" s="24"/>
    </row>
    <row r="303" spans="2:25" x14ac:dyDescent="0.25">
      <c r="B303" s="15">
        <v>298</v>
      </c>
      <c r="C303" s="8"/>
      <c r="K303" s="9">
        <f t="shared" si="39"/>
        <v>0</v>
      </c>
      <c r="L303" s="35">
        <f t="shared" si="40"/>
        <v>0</v>
      </c>
      <c r="W303" s="24"/>
    </row>
    <row r="304" spans="2:25" x14ac:dyDescent="0.25">
      <c r="B304" s="15">
        <v>298</v>
      </c>
      <c r="C304" s="8"/>
      <c r="K304" s="9">
        <f t="shared" si="39"/>
        <v>0</v>
      </c>
      <c r="L304" s="35">
        <f t="shared" si="40"/>
        <v>0</v>
      </c>
      <c r="W304" s="24"/>
    </row>
    <row r="305" spans="2:25" x14ac:dyDescent="0.25">
      <c r="B305" s="15">
        <v>298</v>
      </c>
      <c r="C305" s="8"/>
      <c r="E305" s="383"/>
      <c r="F305" s="380"/>
      <c r="G305" s="8"/>
      <c r="H305" s="8"/>
      <c r="I305" s="8"/>
      <c r="J305" s="9"/>
      <c r="K305" s="9">
        <f t="shared" si="39"/>
        <v>0</v>
      </c>
      <c r="L305" s="35">
        <f t="shared" si="40"/>
        <v>0</v>
      </c>
      <c r="M305" s="2"/>
      <c r="O305" s="19"/>
      <c r="P305" s="19"/>
      <c r="Q305" s="19"/>
      <c r="R305" s="21"/>
      <c r="S305" s="46"/>
      <c r="T305" s="44"/>
      <c r="U305" s="77"/>
      <c r="V305" s="24"/>
      <c r="W305" s="24"/>
      <c r="X305" s="193"/>
      <c r="Y305" s="15"/>
    </row>
    <row r="306" spans="2:25" x14ac:dyDescent="0.25">
      <c r="B306" s="15">
        <v>298</v>
      </c>
      <c r="C306" s="8"/>
      <c r="E306" s="383"/>
      <c r="F306" s="380"/>
      <c r="G306" s="8"/>
      <c r="H306" s="8"/>
      <c r="I306" s="8"/>
      <c r="J306" s="9"/>
      <c r="K306" s="9">
        <f t="shared" si="39"/>
        <v>0</v>
      </c>
      <c r="L306" s="35">
        <f t="shared" si="40"/>
        <v>0</v>
      </c>
      <c r="M306" s="2"/>
      <c r="O306" s="19"/>
      <c r="P306" s="19"/>
      <c r="Q306" s="19"/>
      <c r="R306" s="21"/>
      <c r="S306" s="46"/>
      <c r="T306" s="44"/>
      <c r="U306" s="77"/>
      <c r="V306" s="24"/>
      <c r="W306" s="24"/>
      <c r="X306" s="193"/>
      <c r="Y306" s="15"/>
    </row>
    <row r="307" spans="2:25" x14ac:dyDescent="0.25">
      <c r="B307" s="15">
        <v>298</v>
      </c>
      <c r="C307" s="8"/>
      <c r="E307" s="383"/>
      <c r="F307" s="380"/>
      <c r="G307" s="8"/>
      <c r="H307" s="8"/>
      <c r="I307" s="8"/>
      <c r="J307" s="9"/>
      <c r="K307" s="9">
        <f t="shared" si="39"/>
        <v>0</v>
      </c>
      <c r="L307" s="35">
        <f t="shared" si="40"/>
        <v>0</v>
      </c>
      <c r="M307" s="2"/>
      <c r="O307" s="19"/>
      <c r="P307" s="19"/>
      <c r="Q307" s="19"/>
      <c r="R307" s="21"/>
      <c r="S307" s="46"/>
      <c r="T307" s="44"/>
      <c r="U307" s="77"/>
      <c r="V307" s="24"/>
      <c r="W307" s="24"/>
      <c r="X307" s="193"/>
      <c r="Y307" s="15"/>
    </row>
    <row r="308" spans="2:25" x14ac:dyDescent="0.25">
      <c r="B308" s="15">
        <v>298</v>
      </c>
      <c r="C308" s="8"/>
      <c r="E308" s="383"/>
      <c r="F308" s="380"/>
      <c r="G308" s="8"/>
      <c r="H308" s="8"/>
      <c r="I308" s="8"/>
      <c r="J308" s="9"/>
      <c r="K308" s="9">
        <f t="shared" si="39"/>
        <v>0</v>
      </c>
      <c r="L308" s="35">
        <f t="shared" si="40"/>
        <v>0</v>
      </c>
      <c r="M308" s="2"/>
      <c r="O308" s="19"/>
      <c r="P308" s="19"/>
      <c r="Q308" s="19"/>
      <c r="R308" s="21"/>
      <c r="S308" s="46"/>
      <c r="T308" s="44"/>
      <c r="U308" s="77"/>
      <c r="V308" s="24"/>
      <c r="W308" s="24"/>
      <c r="X308" s="193"/>
      <c r="Y308" s="15"/>
    </row>
    <row r="309" spans="2:25" x14ac:dyDescent="0.25">
      <c r="B309" s="15">
        <v>298</v>
      </c>
      <c r="C309" s="8"/>
      <c r="E309" s="383"/>
      <c r="F309" s="380"/>
      <c r="G309" s="8"/>
      <c r="H309" s="8"/>
      <c r="I309" s="8"/>
      <c r="J309" s="9"/>
      <c r="K309" s="9">
        <f t="shared" si="39"/>
        <v>0</v>
      </c>
      <c r="L309" s="35">
        <f t="shared" si="40"/>
        <v>0</v>
      </c>
      <c r="M309" s="2"/>
      <c r="O309" s="19"/>
      <c r="P309" s="19"/>
      <c r="Q309" s="19"/>
      <c r="R309" s="21"/>
      <c r="S309" s="46"/>
      <c r="T309" s="44"/>
      <c r="U309" s="77"/>
      <c r="V309" s="24"/>
      <c r="W309" s="24"/>
      <c r="X309" s="193"/>
      <c r="Y309" s="15"/>
    </row>
    <row r="310" spans="2:25" x14ac:dyDescent="0.25">
      <c r="B310" s="15">
        <v>235</v>
      </c>
      <c r="C310" s="8"/>
      <c r="E310" s="383"/>
      <c r="F310" s="380"/>
      <c r="G310" s="8"/>
      <c r="H310" s="8"/>
      <c r="I310" s="8"/>
      <c r="J310" s="9"/>
      <c r="K310" s="9">
        <f t="shared" si="39"/>
        <v>0</v>
      </c>
      <c r="L310" s="35">
        <f t="shared" si="40"/>
        <v>0</v>
      </c>
      <c r="M310" s="2"/>
      <c r="O310" s="19"/>
      <c r="P310" s="19"/>
      <c r="Q310" s="19"/>
      <c r="R310" s="21"/>
      <c r="S310" s="46"/>
      <c r="T310" s="44"/>
      <c r="U310" s="77"/>
      <c r="V310" s="24"/>
      <c r="W310" s="24"/>
      <c r="X310" s="193"/>
      <c r="Y310" s="15"/>
    </row>
    <row r="311" spans="2:25" x14ac:dyDescent="0.25">
      <c r="B311" s="15">
        <v>235</v>
      </c>
      <c r="C311" s="8"/>
      <c r="E311" s="383"/>
      <c r="F311" s="380"/>
      <c r="G311" s="8"/>
      <c r="H311" s="8"/>
      <c r="I311" s="8"/>
      <c r="J311" s="9"/>
      <c r="K311" s="9">
        <f t="shared" si="39"/>
        <v>0</v>
      </c>
      <c r="L311" s="35">
        <f t="shared" si="40"/>
        <v>0</v>
      </c>
      <c r="M311" s="2"/>
      <c r="O311" s="19"/>
      <c r="P311" s="19"/>
      <c r="Q311" s="19"/>
      <c r="R311" s="21"/>
      <c r="S311" s="46"/>
      <c r="T311" s="44"/>
      <c r="U311" s="77"/>
      <c r="V311" s="24"/>
      <c r="W311" s="24"/>
      <c r="X311" s="193"/>
      <c r="Y311" s="15"/>
    </row>
    <row r="312" spans="2:25" x14ac:dyDescent="0.25">
      <c r="B312" s="15">
        <v>235</v>
      </c>
      <c r="C312" s="8"/>
      <c r="E312" s="383"/>
      <c r="F312" s="380"/>
      <c r="G312" s="8"/>
      <c r="H312" s="8"/>
      <c r="I312" s="8"/>
      <c r="J312" s="9"/>
      <c r="K312" s="9">
        <f t="shared" si="39"/>
        <v>0</v>
      </c>
      <c r="L312" s="35">
        <f t="shared" si="40"/>
        <v>0</v>
      </c>
      <c r="M312" s="2"/>
      <c r="O312" s="19"/>
      <c r="P312" s="19"/>
      <c r="Q312" s="19"/>
      <c r="R312" s="21"/>
      <c r="S312" s="46"/>
      <c r="T312" s="44"/>
      <c r="U312" s="77"/>
      <c r="V312" s="24"/>
      <c r="W312" s="24"/>
      <c r="X312" s="193"/>
      <c r="Y312" s="15"/>
    </row>
    <row r="313" spans="2:25" x14ac:dyDescent="0.25">
      <c r="B313" s="15">
        <v>235</v>
      </c>
      <c r="C313" s="8"/>
      <c r="E313" s="383"/>
      <c r="F313" s="380"/>
      <c r="G313" s="8"/>
      <c r="H313" s="8"/>
      <c r="I313" s="8"/>
      <c r="J313" s="9"/>
      <c r="K313" s="9">
        <f t="shared" si="39"/>
        <v>0</v>
      </c>
      <c r="L313" s="35">
        <f t="shared" si="40"/>
        <v>0</v>
      </c>
      <c r="M313" s="2"/>
      <c r="O313" s="19"/>
      <c r="P313" s="19"/>
      <c r="Q313" s="19"/>
      <c r="R313" s="21"/>
      <c r="S313" s="46"/>
      <c r="T313" s="44"/>
      <c r="U313" s="77"/>
      <c r="V313" s="24"/>
      <c r="W313" s="24"/>
      <c r="X313" s="193"/>
      <c r="Y313" s="15"/>
    </row>
    <row r="314" spans="2:25" x14ac:dyDescent="0.25">
      <c r="B314" s="15">
        <v>235</v>
      </c>
      <c r="C314" s="8"/>
      <c r="E314" s="383"/>
      <c r="F314" s="380"/>
      <c r="G314" s="8"/>
      <c r="H314" s="8"/>
      <c r="I314" s="8"/>
      <c r="J314" s="9"/>
      <c r="K314" s="9">
        <f t="shared" si="39"/>
        <v>0</v>
      </c>
      <c r="L314" s="35">
        <f t="shared" si="40"/>
        <v>0</v>
      </c>
      <c r="M314" s="2"/>
      <c r="O314" s="19"/>
      <c r="P314" s="19"/>
      <c r="Q314" s="19"/>
      <c r="R314" s="21"/>
      <c r="S314" s="46"/>
      <c r="T314" s="44"/>
      <c r="U314" s="77"/>
      <c r="V314" s="24"/>
      <c r="W314" s="24"/>
      <c r="X314" s="193"/>
      <c r="Y314" s="15"/>
    </row>
    <row r="315" spans="2:25" x14ac:dyDescent="0.25">
      <c r="B315" s="15">
        <v>235</v>
      </c>
      <c r="C315" s="8"/>
      <c r="E315" s="383"/>
      <c r="F315" s="380"/>
      <c r="G315" s="8"/>
      <c r="H315" s="8"/>
      <c r="I315" s="8"/>
      <c r="J315" s="9"/>
      <c r="K315" s="9">
        <f t="shared" si="39"/>
        <v>0</v>
      </c>
      <c r="L315" s="35">
        <f t="shared" si="40"/>
        <v>0</v>
      </c>
      <c r="M315" s="2"/>
      <c r="O315" s="19"/>
      <c r="P315" s="19"/>
      <c r="Q315" s="19"/>
      <c r="R315" s="21"/>
      <c r="S315" s="46"/>
      <c r="T315" s="44"/>
      <c r="U315" s="77"/>
      <c r="V315" s="24"/>
      <c r="W315" s="24"/>
      <c r="X315" s="193"/>
      <c r="Y315" s="15"/>
    </row>
    <row r="316" spans="2:25" x14ac:dyDescent="0.25">
      <c r="B316" s="15">
        <v>235</v>
      </c>
      <c r="C316" s="8"/>
      <c r="E316" s="383"/>
      <c r="F316" s="380"/>
      <c r="G316" s="8"/>
      <c r="H316" s="8"/>
      <c r="I316" s="8"/>
      <c r="J316" s="9"/>
      <c r="K316" s="9">
        <f t="shared" si="39"/>
        <v>0</v>
      </c>
      <c r="L316" s="35">
        <f t="shared" si="40"/>
        <v>0</v>
      </c>
      <c r="M316" s="2"/>
      <c r="O316" s="19"/>
      <c r="P316" s="19"/>
      <c r="Q316" s="19"/>
      <c r="R316" s="21"/>
      <c r="S316" s="46"/>
      <c r="T316" s="44"/>
      <c r="U316" s="77"/>
      <c r="V316" s="24"/>
      <c r="W316" s="24"/>
      <c r="X316" s="193"/>
      <c r="Y316" s="15"/>
    </row>
    <row r="317" spans="2:25" x14ac:dyDescent="0.25">
      <c r="B317" s="15">
        <v>235</v>
      </c>
      <c r="C317" s="8"/>
      <c r="E317" s="383"/>
      <c r="F317" s="380"/>
      <c r="G317" s="8"/>
      <c r="H317" s="8"/>
      <c r="I317" s="8"/>
      <c r="J317" s="9"/>
      <c r="K317" s="9">
        <f t="shared" si="39"/>
        <v>0</v>
      </c>
      <c r="L317" s="35">
        <f t="shared" si="40"/>
        <v>0</v>
      </c>
      <c r="M317" s="2"/>
      <c r="O317" s="19"/>
      <c r="P317" s="19"/>
      <c r="Q317" s="19"/>
      <c r="R317" s="21"/>
      <c r="S317" s="46"/>
      <c r="T317" s="44"/>
      <c r="U317" s="77"/>
      <c r="V317" s="24"/>
      <c r="W317" s="24"/>
      <c r="X317" s="193"/>
      <c r="Y317" s="15"/>
    </row>
    <row r="318" spans="2:25" x14ac:dyDescent="0.25">
      <c r="B318" s="15">
        <v>235</v>
      </c>
      <c r="C318" s="8"/>
      <c r="E318" s="383"/>
      <c r="F318" s="380"/>
      <c r="G318" s="8"/>
      <c r="H318" s="8"/>
      <c r="I318" s="8"/>
      <c r="J318" s="9"/>
      <c r="K318" s="9">
        <f t="shared" si="39"/>
        <v>0</v>
      </c>
      <c r="L318" s="35">
        <f t="shared" si="40"/>
        <v>0</v>
      </c>
      <c r="M318" s="2"/>
      <c r="O318" s="19"/>
      <c r="P318" s="19"/>
      <c r="Q318" s="19"/>
      <c r="R318" s="21"/>
      <c r="S318" s="46"/>
      <c r="T318" s="44"/>
      <c r="U318" s="77"/>
      <c r="V318" s="24"/>
      <c r="W318" s="24"/>
      <c r="X318" s="193"/>
      <c r="Y318" s="15"/>
    </row>
    <row r="319" spans="2:25" x14ac:dyDescent="0.25">
      <c r="B319" s="15">
        <v>235</v>
      </c>
      <c r="C319" s="8"/>
      <c r="E319" s="383"/>
      <c r="F319" s="380"/>
      <c r="G319" s="8"/>
      <c r="H319" s="8"/>
      <c r="I319" s="8"/>
      <c r="J319" s="9"/>
      <c r="K319" s="9">
        <f t="shared" si="39"/>
        <v>0</v>
      </c>
      <c r="L319" s="35">
        <f t="shared" si="40"/>
        <v>0</v>
      </c>
      <c r="M319" s="2"/>
      <c r="O319" s="19"/>
      <c r="P319" s="19"/>
      <c r="Q319" s="19"/>
      <c r="R319" s="21"/>
      <c r="S319" s="46"/>
      <c r="T319" s="44"/>
      <c r="U319" s="77"/>
      <c r="V319" s="24"/>
      <c r="W319" s="24"/>
      <c r="X319" s="193"/>
      <c r="Y319" s="15"/>
    </row>
    <row r="320" spans="2:25" x14ac:dyDescent="0.25">
      <c r="B320" s="15">
        <v>235</v>
      </c>
      <c r="C320" s="8"/>
      <c r="E320" s="383"/>
      <c r="F320" s="380"/>
      <c r="G320" s="8"/>
      <c r="H320" s="8"/>
      <c r="I320" s="8"/>
      <c r="J320" s="9"/>
      <c r="K320" s="9">
        <f t="shared" si="39"/>
        <v>0</v>
      </c>
      <c r="L320" s="35">
        <f t="shared" si="40"/>
        <v>0</v>
      </c>
      <c r="M320" s="2"/>
      <c r="O320" s="19"/>
      <c r="P320" s="19"/>
      <c r="Q320" s="19"/>
      <c r="R320" s="21"/>
      <c r="S320" s="46"/>
      <c r="T320" s="44"/>
      <c r="U320" s="77"/>
      <c r="V320" s="24"/>
      <c r="W320" s="24"/>
      <c r="X320" s="193"/>
      <c r="Y320" s="15"/>
    </row>
    <row r="321" spans="2:25" x14ac:dyDescent="0.25">
      <c r="B321" s="15">
        <v>235</v>
      </c>
      <c r="C321" s="8"/>
      <c r="E321" s="383"/>
      <c r="F321" s="380"/>
      <c r="G321" s="8"/>
      <c r="H321" s="8"/>
      <c r="I321" s="8"/>
      <c r="J321" s="9"/>
      <c r="K321" s="9">
        <f t="shared" si="39"/>
        <v>0</v>
      </c>
      <c r="L321" s="35">
        <f t="shared" si="40"/>
        <v>0</v>
      </c>
      <c r="M321" s="2"/>
      <c r="O321" s="19"/>
      <c r="P321" s="19"/>
      <c r="Q321" s="19"/>
      <c r="R321" s="21"/>
      <c r="S321" s="46"/>
      <c r="T321" s="44"/>
      <c r="U321" s="77"/>
      <c r="V321" s="24"/>
      <c r="W321" s="24"/>
      <c r="X321" s="193"/>
      <c r="Y321" s="15"/>
    </row>
    <row r="322" spans="2:25" x14ac:dyDescent="0.25">
      <c r="B322" s="15">
        <v>235</v>
      </c>
      <c r="C322" s="8"/>
      <c r="E322" s="383"/>
      <c r="F322" s="380"/>
      <c r="G322" s="8"/>
      <c r="H322" s="8"/>
      <c r="I322" s="8"/>
      <c r="J322" s="9"/>
      <c r="K322" s="9">
        <f t="shared" si="39"/>
        <v>0</v>
      </c>
      <c r="L322" s="35">
        <f t="shared" si="40"/>
        <v>0</v>
      </c>
      <c r="M322" s="2"/>
      <c r="O322" s="19"/>
      <c r="P322" s="19"/>
      <c r="Q322" s="19"/>
      <c r="R322" s="21"/>
      <c r="S322" s="46"/>
      <c r="T322" s="44"/>
      <c r="U322" s="77"/>
      <c r="V322" s="24"/>
      <c r="W322" s="24"/>
      <c r="X322" s="193"/>
      <c r="Y322" s="15"/>
    </row>
    <row r="323" spans="2:25" x14ac:dyDescent="0.25">
      <c r="B323" s="15">
        <v>235</v>
      </c>
      <c r="C323" s="8"/>
      <c r="E323" s="383"/>
      <c r="F323" s="380"/>
      <c r="G323" s="8"/>
      <c r="H323" s="8"/>
      <c r="I323" s="8"/>
      <c r="J323" s="9"/>
      <c r="K323" s="9">
        <f t="shared" ref="K323:K354" si="41">J323*1.1</f>
        <v>0</v>
      </c>
      <c r="L323" s="35">
        <f t="shared" ref="L323:L354" si="42">J323*0.00000001</f>
        <v>0</v>
      </c>
      <c r="M323" s="2"/>
      <c r="O323" s="19"/>
      <c r="P323" s="19"/>
      <c r="Q323" s="19"/>
      <c r="R323" s="21"/>
      <c r="S323" s="46"/>
      <c r="T323" s="44"/>
      <c r="U323" s="77"/>
      <c r="V323" s="24"/>
      <c r="W323" s="24"/>
      <c r="X323" s="193"/>
      <c r="Y323" s="15"/>
    </row>
    <row r="324" spans="2:25" x14ac:dyDescent="0.25">
      <c r="B324" s="15">
        <v>235</v>
      </c>
      <c r="C324" s="8"/>
      <c r="E324" s="383"/>
      <c r="F324" s="380"/>
      <c r="G324" s="8"/>
      <c r="H324" s="8"/>
      <c r="I324" s="8"/>
      <c r="J324" s="9"/>
      <c r="K324" s="9">
        <f t="shared" si="41"/>
        <v>0</v>
      </c>
      <c r="L324" s="35">
        <f t="shared" si="42"/>
        <v>0</v>
      </c>
      <c r="M324" s="2"/>
      <c r="O324" s="19"/>
      <c r="P324" s="19"/>
      <c r="Q324" s="19"/>
      <c r="R324" s="21"/>
      <c r="S324" s="46"/>
      <c r="T324" s="44"/>
      <c r="U324" s="77"/>
      <c r="V324" s="24"/>
      <c r="W324" s="24"/>
      <c r="X324" s="193"/>
      <c r="Y324" s="15"/>
    </row>
    <row r="325" spans="2:25" x14ac:dyDescent="0.25">
      <c r="B325" s="15">
        <v>235</v>
      </c>
      <c r="C325" s="8"/>
      <c r="E325" s="383"/>
      <c r="F325" s="380"/>
      <c r="G325" s="8"/>
      <c r="H325" s="8"/>
      <c r="I325" s="8"/>
      <c r="J325" s="9"/>
      <c r="K325" s="9">
        <f t="shared" si="41"/>
        <v>0</v>
      </c>
      <c r="L325" s="35">
        <f t="shared" si="42"/>
        <v>0</v>
      </c>
      <c r="M325" s="2"/>
      <c r="O325" s="19"/>
      <c r="P325" s="19"/>
      <c r="Q325" s="19"/>
      <c r="R325" s="21"/>
      <c r="S325" s="46"/>
      <c r="T325" s="44"/>
      <c r="U325" s="77"/>
      <c r="V325" s="24"/>
      <c r="W325" s="24"/>
      <c r="X325" s="193"/>
      <c r="Y325" s="15"/>
    </row>
    <row r="326" spans="2:25" x14ac:dyDescent="0.25">
      <c r="B326" s="15">
        <v>235</v>
      </c>
      <c r="C326" s="8"/>
      <c r="E326" s="383"/>
      <c r="F326" s="380"/>
      <c r="G326" s="8"/>
      <c r="H326" s="8"/>
      <c r="I326" s="8"/>
      <c r="J326" s="9"/>
      <c r="K326" s="9">
        <f t="shared" si="41"/>
        <v>0</v>
      </c>
      <c r="L326" s="35">
        <f t="shared" si="42"/>
        <v>0</v>
      </c>
      <c r="M326" s="2"/>
      <c r="O326" s="19"/>
      <c r="P326" s="19"/>
      <c r="Q326" s="19"/>
      <c r="R326" s="21"/>
      <c r="S326" s="46"/>
      <c r="T326" s="44"/>
      <c r="U326" s="77"/>
      <c r="V326" s="24"/>
      <c r="W326" s="24"/>
      <c r="X326" s="193"/>
      <c r="Y326" s="15"/>
    </row>
    <row r="327" spans="2:25" x14ac:dyDescent="0.25">
      <c r="B327" s="15">
        <v>235</v>
      </c>
      <c r="C327" s="8"/>
      <c r="E327" s="383"/>
      <c r="F327" s="380"/>
      <c r="G327" s="8"/>
      <c r="H327" s="8"/>
      <c r="I327" s="8"/>
      <c r="J327" s="9"/>
      <c r="K327" s="9">
        <f t="shared" si="41"/>
        <v>0</v>
      </c>
      <c r="L327" s="35">
        <f t="shared" si="42"/>
        <v>0</v>
      </c>
      <c r="M327" s="2"/>
      <c r="O327" s="19"/>
      <c r="P327" s="19"/>
      <c r="Q327" s="19"/>
      <c r="R327" s="21"/>
      <c r="S327" s="46"/>
      <c r="T327" s="44"/>
      <c r="U327" s="77"/>
      <c r="V327" s="24"/>
      <c r="W327" s="24"/>
      <c r="X327" s="193"/>
      <c r="Y327" s="15"/>
    </row>
    <row r="328" spans="2:25" x14ac:dyDescent="0.25">
      <c r="B328" s="15">
        <v>235</v>
      </c>
      <c r="C328" s="8"/>
      <c r="E328" s="383"/>
      <c r="F328" s="380"/>
      <c r="G328" s="8"/>
      <c r="H328" s="8"/>
      <c r="I328" s="8"/>
      <c r="J328" s="9"/>
      <c r="K328" s="9">
        <f t="shared" si="41"/>
        <v>0</v>
      </c>
      <c r="L328" s="35">
        <f t="shared" si="42"/>
        <v>0</v>
      </c>
      <c r="M328" s="2"/>
      <c r="O328" s="19"/>
      <c r="P328" s="19"/>
      <c r="Q328" s="19"/>
      <c r="R328" s="21"/>
      <c r="S328" s="46"/>
      <c r="T328" s="44"/>
      <c r="U328" s="77"/>
      <c r="V328" s="24"/>
      <c r="W328" s="24"/>
      <c r="X328" s="193"/>
      <c r="Y328" s="15"/>
    </row>
    <row r="329" spans="2:25" x14ac:dyDescent="0.25">
      <c r="B329" s="15">
        <v>235</v>
      </c>
      <c r="K329" s="9">
        <f t="shared" si="41"/>
        <v>0</v>
      </c>
      <c r="L329" s="35">
        <f t="shared" si="42"/>
        <v>0</v>
      </c>
      <c r="T329" s="44"/>
      <c r="U329" s="77"/>
      <c r="V329" s="24"/>
      <c r="W329" s="24"/>
      <c r="X329" s="193"/>
      <c r="Y329" s="15"/>
    </row>
    <row r="330" spans="2:25" x14ac:dyDescent="0.25">
      <c r="B330" s="15">
        <v>235</v>
      </c>
      <c r="K330" s="9">
        <f t="shared" si="41"/>
        <v>0</v>
      </c>
      <c r="L330" s="35">
        <f t="shared" si="42"/>
        <v>0</v>
      </c>
      <c r="T330" s="44"/>
      <c r="U330" s="77"/>
      <c r="V330" s="24"/>
      <c r="W330" s="24"/>
      <c r="X330" s="193"/>
      <c r="Y330" s="15"/>
    </row>
    <row r="331" spans="2:25" x14ac:dyDescent="0.25">
      <c r="B331" s="15">
        <v>235</v>
      </c>
      <c r="K331" s="9">
        <f t="shared" si="41"/>
        <v>0</v>
      </c>
      <c r="L331" s="35">
        <f t="shared" si="42"/>
        <v>0</v>
      </c>
      <c r="T331" s="44"/>
      <c r="U331" s="77"/>
      <c r="V331" s="24"/>
      <c r="W331" s="24"/>
      <c r="X331" s="193"/>
      <c r="Y331" s="15"/>
    </row>
    <row r="332" spans="2:25" x14ac:dyDescent="0.25">
      <c r="B332" s="15">
        <v>235</v>
      </c>
      <c r="K332" s="9">
        <f t="shared" si="41"/>
        <v>0</v>
      </c>
      <c r="L332" s="35">
        <f t="shared" si="42"/>
        <v>0</v>
      </c>
      <c r="T332" s="44"/>
      <c r="U332" s="77"/>
      <c r="V332" s="24"/>
      <c r="W332" s="24"/>
      <c r="X332" s="193"/>
      <c r="Y332" s="15"/>
    </row>
    <row r="333" spans="2:25" x14ac:dyDescent="0.25">
      <c r="B333" s="15">
        <v>235</v>
      </c>
      <c r="K333" s="9">
        <f t="shared" si="41"/>
        <v>0</v>
      </c>
      <c r="L333" s="35">
        <f t="shared" si="42"/>
        <v>0</v>
      </c>
      <c r="T333" s="44"/>
      <c r="U333" s="77"/>
      <c r="V333" s="24"/>
      <c r="W333" s="24"/>
      <c r="X333" s="193"/>
      <c r="Y333" s="15"/>
    </row>
    <row r="334" spans="2:25" x14ac:dyDescent="0.25">
      <c r="B334" s="15">
        <v>235</v>
      </c>
      <c r="K334" s="9">
        <f t="shared" si="41"/>
        <v>0</v>
      </c>
      <c r="L334" s="35">
        <f t="shared" si="42"/>
        <v>0</v>
      </c>
      <c r="T334" s="44"/>
      <c r="U334" s="77"/>
      <c r="V334" s="24"/>
      <c r="W334" s="24"/>
      <c r="X334" s="193"/>
      <c r="Y334" s="15"/>
    </row>
    <row r="335" spans="2:25" x14ac:dyDescent="0.25">
      <c r="B335" s="15">
        <v>235</v>
      </c>
      <c r="K335" s="9">
        <f t="shared" si="41"/>
        <v>0</v>
      </c>
      <c r="L335" s="35">
        <f t="shared" si="42"/>
        <v>0</v>
      </c>
      <c r="T335" s="44"/>
      <c r="U335" s="77"/>
      <c r="V335" s="24"/>
      <c r="W335" s="24"/>
      <c r="X335" s="193"/>
      <c r="Y335" s="15"/>
    </row>
    <row r="336" spans="2:25" x14ac:dyDescent="0.25">
      <c r="B336" t="s">
        <v>184</v>
      </c>
      <c r="K336" s="9">
        <f t="shared" si="41"/>
        <v>0</v>
      </c>
      <c r="L336" s="35">
        <f t="shared" si="42"/>
        <v>0</v>
      </c>
      <c r="T336" s="44"/>
      <c r="U336" s="77"/>
      <c r="V336" s="24"/>
      <c r="W336" s="24"/>
      <c r="X336" s="193"/>
      <c r="Y336" s="15"/>
    </row>
    <row r="337" spans="2:25" x14ac:dyDescent="0.25">
      <c r="B337" s="15">
        <v>247</v>
      </c>
      <c r="C337" s="8"/>
      <c r="E337" s="383"/>
      <c r="F337" s="380"/>
      <c r="G337" s="8"/>
      <c r="H337" s="8"/>
      <c r="I337" s="8"/>
      <c r="J337" s="9"/>
      <c r="K337" s="9">
        <f t="shared" si="41"/>
        <v>0</v>
      </c>
      <c r="L337" s="35">
        <f t="shared" si="42"/>
        <v>0</v>
      </c>
      <c r="M337" s="2"/>
      <c r="O337" s="19"/>
      <c r="P337" s="19"/>
      <c r="Q337" s="19"/>
      <c r="R337" s="21"/>
      <c r="S337" s="46"/>
      <c r="T337" s="44"/>
      <c r="U337" s="77"/>
      <c r="V337" s="24"/>
      <c r="W337" s="24"/>
      <c r="X337" s="193"/>
      <c r="Y337" s="15"/>
    </row>
    <row r="338" spans="2:25" x14ac:dyDescent="0.25">
      <c r="B338" s="15"/>
      <c r="C338" s="8"/>
      <c r="E338" s="383"/>
      <c r="F338" s="380"/>
      <c r="G338" s="8"/>
      <c r="H338" s="8"/>
      <c r="I338" s="8"/>
      <c r="J338" s="9"/>
      <c r="K338" s="9">
        <f t="shared" si="41"/>
        <v>0</v>
      </c>
      <c r="L338" s="35">
        <f t="shared" si="42"/>
        <v>0</v>
      </c>
      <c r="M338" s="2"/>
      <c r="O338" s="19"/>
      <c r="P338" s="19"/>
      <c r="Q338" s="19"/>
      <c r="R338" s="21"/>
      <c r="S338" s="46"/>
      <c r="T338" s="44"/>
      <c r="U338" s="77"/>
      <c r="V338" s="24"/>
      <c r="W338" s="24"/>
      <c r="X338" s="193"/>
      <c r="Y338" s="15"/>
    </row>
    <row r="339" spans="2:25" x14ac:dyDescent="0.25">
      <c r="B339" s="15"/>
      <c r="C339" s="8"/>
      <c r="E339" s="383"/>
      <c r="F339" s="380"/>
      <c r="G339" s="8"/>
      <c r="H339" s="8"/>
      <c r="I339" s="8"/>
      <c r="J339" s="9"/>
      <c r="K339" s="9">
        <f t="shared" si="41"/>
        <v>0</v>
      </c>
      <c r="L339" s="35">
        <f t="shared" si="42"/>
        <v>0</v>
      </c>
      <c r="M339" s="2"/>
      <c r="O339" s="19"/>
      <c r="P339" s="19"/>
      <c r="Q339" s="19"/>
      <c r="R339" s="21"/>
      <c r="S339" s="46"/>
      <c r="T339" s="44"/>
      <c r="U339" s="77"/>
      <c r="V339" s="24"/>
      <c r="W339" s="24"/>
      <c r="X339" s="193"/>
      <c r="Y339" s="15"/>
    </row>
    <row r="340" spans="2:25" x14ac:dyDescent="0.25">
      <c r="B340" s="15"/>
      <c r="C340" s="8"/>
      <c r="E340" s="383"/>
      <c r="F340" s="380"/>
      <c r="G340" s="8"/>
      <c r="H340" s="8"/>
      <c r="I340" s="8"/>
      <c r="J340" s="9"/>
      <c r="K340" s="9">
        <f t="shared" si="41"/>
        <v>0</v>
      </c>
      <c r="L340" s="35">
        <f t="shared" si="42"/>
        <v>0</v>
      </c>
      <c r="M340" s="2"/>
      <c r="O340" s="19"/>
      <c r="P340" s="19"/>
      <c r="Q340" s="19"/>
      <c r="R340" s="21"/>
      <c r="S340" s="46"/>
      <c r="T340" s="44"/>
      <c r="U340" s="77"/>
      <c r="V340" s="24"/>
      <c r="W340" s="24"/>
      <c r="X340" s="193"/>
      <c r="Y340" s="15"/>
    </row>
    <row r="341" spans="2:25" x14ac:dyDescent="0.25">
      <c r="B341" s="15"/>
      <c r="C341" s="8"/>
      <c r="E341" s="383"/>
      <c r="F341" s="380"/>
      <c r="G341" s="8"/>
      <c r="H341" s="8"/>
      <c r="I341" s="8"/>
      <c r="J341" s="9"/>
      <c r="K341" s="9">
        <f t="shared" si="41"/>
        <v>0</v>
      </c>
      <c r="L341" s="35">
        <f t="shared" si="42"/>
        <v>0</v>
      </c>
      <c r="M341" s="2"/>
      <c r="O341" s="19"/>
      <c r="P341" s="19"/>
      <c r="Q341" s="19"/>
      <c r="R341" s="21"/>
      <c r="S341" s="46"/>
      <c r="T341" s="44"/>
      <c r="U341" s="77"/>
      <c r="V341" s="24"/>
      <c r="W341" s="24"/>
      <c r="X341" s="193"/>
      <c r="Y341" s="15"/>
    </row>
    <row r="342" spans="2:25" x14ac:dyDescent="0.25">
      <c r="B342" s="15"/>
      <c r="C342" s="8"/>
      <c r="E342" s="383"/>
      <c r="F342" s="380"/>
      <c r="G342" s="8"/>
      <c r="H342" s="8"/>
      <c r="I342" s="8"/>
      <c r="J342" s="9"/>
      <c r="K342" s="9">
        <f t="shared" si="41"/>
        <v>0</v>
      </c>
      <c r="L342" s="35">
        <f t="shared" si="42"/>
        <v>0</v>
      </c>
      <c r="M342" s="2"/>
      <c r="O342" s="19"/>
      <c r="P342" s="19"/>
      <c r="Q342" s="19"/>
      <c r="R342" s="21"/>
      <c r="S342" s="46"/>
      <c r="T342" s="44"/>
      <c r="U342" s="77"/>
      <c r="V342" s="24"/>
      <c r="W342" s="24"/>
      <c r="X342" s="193"/>
      <c r="Y342" s="15"/>
    </row>
    <row r="343" spans="2:25" x14ac:dyDescent="0.25">
      <c r="B343" s="15"/>
      <c r="C343" s="8"/>
      <c r="E343" s="383"/>
      <c r="F343" s="380"/>
      <c r="G343" s="8"/>
      <c r="H343" s="8"/>
      <c r="I343" s="8"/>
      <c r="J343" s="9"/>
      <c r="K343" s="9">
        <f t="shared" si="41"/>
        <v>0</v>
      </c>
      <c r="L343" s="35">
        <f t="shared" si="42"/>
        <v>0</v>
      </c>
      <c r="M343" s="2"/>
      <c r="O343" s="19"/>
      <c r="P343" s="19"/>
      <c r="Q343" s="19"/>
      <c r="R343" s="21"/>
      <c r="S343" s="46"/>
      <c r="T343" s="44"/>
      <c r="U343" s="77"/>
      <c r="V343" s="24"/>
      <c r="W343" s="24"/>
      <c r="X343" s="193"/>
      <c r="Y343" s="15"/>
    </row>
    <row r="344" spans="2:25" x14ac:dyDescent="0.25">
      <c r="B344" s="15"/>
      <c r="C344" s="8"/>
      <c r="E344" s="383"/>
      <c r="F344" s="380"/>
      <c r="G344" s="8"/>
      <c r="H344" s="8"/>
      <c r="I344" s="8"/>
      <c r="J344" s="9"/>
      <c r="K344" s="9">
        <f t="shared" si="41"/>
        <v>0</v>
      </c>
      <c r="L344" s="35">
        <f t="shared" si="42"/>
        <v>0</v>
      </c>
      <c r="M344" s="2"/>
      <c r="O344" s="19"/>
      <c r="P344" s="19"/>
      <c r="Q344" s="19"/>
      <c r="R344" s="21"/>
      <c r="S344" s="46"/>
      <c r="T344" s="44"/>
      <c r="U344" s="77"/>
      <c r="V344" s="24"/>
      <c r="W344" s="24"/>
      <c r="X344" s="193"/>
      <c r="Y344" s="15"/>
    </row>
    <row r="345" spans="2:25" x14ac:dyDescent="0.25">
      <c r="B345" s="15"/>
      <c r="C345" s="8"/>
      <c r="E345" s="383"/>
      <c r="F345" s="380"/>
      <c r="G345" s="8"/>
      <c r="H345" s="8"/>
      <c r="I345" s="8"/>
      <c r="J345" s="9"/>
      <c r="K345" s="9">
        <f t="shared" si="41"/>
        <v>0</v>
      </c>
      <c r="L345" s="35">
        <f t="shared" si="42"/>
        <v>0</v>
      </c>
      <c r="M345" s="2"/>
      <c r="O345" s="19"/>
      <c r="P345" s="19"/>
      <c r="Q345" s="19"/>
      <c r="R345" s="21"/>
      <c r="S345" s="46"/>
      <c r="T345" s="44"/>
      <c r="U345" s="77"/>
      <c r="V345" s="24"/>
      <c r="W345" s="24"/>
      <c r="X345" s="193"/>
      <c r="Y345" s="15"/>
    </row>
    <row r="346" spans="2:25" x14ac:dyDescent="0.25">
      <c r="B346" s="15"/>
      <c r="C346" s="8"/>
      <c r="E346" s="383"/>
      <c r="F346" s="380"/>
      <c r="G346" s="8"/>
      <c r="H346" s="8"/>
      <c r="I346" s="8"/>
      <c r="J346" s="9"/>
      <c r="K346" s="9">
        <f t="shared" si="41"/>
        <v>0</v>
      </c>
      <c r="L346" s="35">
        <f t="shared" si="42"/>
        <v>0</v>
      </c>
      <c r="M346" s="2"/>
      <c r="O346" s="19"/>
      <c r="P346" s="19"/>
      <c r="Q346" s="19"/>
      <c r="R346" s="21"/>
      <c r="S346" s="46"/>
      <c r="T346" s="44"/>
      <c r="U346" s="77"/>
      <c r="V346" s="24"/>
      <c r="W346" s="24"/>
      <c r="X346" s="193"/>
      <c r="Y346" s="15"/>
    </row>
    <row r="347" spans="2:25" x14ac:dyDescent="0.25">
      <c r="B347" s="15"/>
      <c r="C347" s="8"/>
      <c r="E347" s="383"/>
      <c r="F347" s="380"/>
      <c r="G347" s="8"/>
      <c r="H347" s="8"/>
      <c r="I347" s="8"/>
      <c r="J347" s="9"/>
      <c r="K347" s="9">
        <f t="shared" si="41"/>
        <v>0</v>
      </c>
      <c r="L347" s="35">
        <f t="shared" si="42"/>
        <v>0</v>
      </c>
      <c r="M347" s="2"/>
      <c r="O347" s="19"/>
      <c r="P347" s="19"/>
      <c r="Q347" s="19"/>
      <c r="R347" s="21"/>
      <c r="S347" s="46"/>
      <c r="T347" s="44"/>
      <c r="U347" s="77"/>
      <c r="V347" s="24"/>
      <c r="W347" s="24"/>
      <c r="X347" s="193"/>
      <c r="Y347" s="15"/>
    </row>
    <row r="348" spans="2:25" x14ac:dyDescent="0.25">
      <c r="B348" s="15"/>
      <c r="C348" s="8"/>
      <c r="E348" s="383"/>
      <c r="F348" s="380"/>
      <c r="G348" s="8"/>
      <c r="H348" s="8"/>
      <c r="I348" s="8"/>
      <c r="J348" s="9"/>
      <c r="K348" s="9">
        <f t="shared" si="41"/>
        <v>0</v>
      </c>
      <c r="L348" s="35">
        <f t="shared" si="42"/>
        <v>0</v>
      </c>
      <c r="M348" s="2"/>
      <c r="O348" s="19"/>
      <c r="P348" s="19"/>
      <c r="Q348" s="19"/>
      <c r="R348" s="21"/>
      <c r="S348" s="46"/>
      <c r="T348" s="44"/>
      <c r="U348" s="77"/>
      <c r="V348" s="24"/>
      <c r="W348" s="24"/>
      <c r="X348" s="193"/>
      <c r="Y348" s="15"/>
    </row>
    <row r="349" spans="2:25" x14ac:dyDescent="0.25">
      <c r="B349" s="15"/>
      <c r="C349" s="8"/>
      <c r="E349" s="383"/>
      <c r="F349" s="380"/>
      <c r="G349" s="8"/>
      <c r="H349" s="8"/>
      <c r="I349" s="8"/>
      <c r="J349" s="9"/>
      <c r="K349" s="9">
        <f t="shared" si="41"/>
        <v>0</v>
      </c>
      <c r="L349" s="35">
        <f t="shared" si="42"/>
        <v>0</v>
      </c>
      <c r="M349" s="2"/>
      <c r="O349" s="19"/>
      <c r="P349" s="19"/>
      <c r="Q349" s="19"/>
      <c r="R349" s="21"/>
      <c r="S349" s="46"/>
      <c r="T349" s="44"/>
      <c r="U349" s="77"/>
      <c r="V349" s="24"/>
      <c r="W349" s="24"/>
      <c r="X349" s="193"/>
      <c r="Y349" s="15"/>
    </row>
    <row r="350" spans="2:25" x14ac:dyDescent="0.25">
      <c r="B350" s="15"/>
      <c r="C350" s="8"/>
      <c r="E350" s="383"/>
      <c r="F350" s="380"/>
      <c r="G350" s="8"/>
      <c r="H350" s="8"/>
      <c r="I350" s="8"/>
      <c r="J350" s="9"/>
      <c r="K350" s="9">
        <f t="shared" si="41"/>
        <v>0</v>
      </c>
      <c r="L350" s="35">
        <f t="shared" si="42"/>
        <v>0</v>
      </c>
      <c r="M350" s="2"/>
      <c r="O350" s="19"/>
      <c r="P350" s="19"/>
      <c r="Q350" s="19"/>
      <c r="R350" s="21"/>
      <c r="S350" s="46"/>
      <c r="T350" s="44"/>
      <c r="U350" s="77"/>
      <c r="V350" s="24"/>
      <c r="W350" s="24"/>
      <c r="X350" s="193"/>
      <c r="Y350" s="15"/>
    </row>
    <row r="351" spans="2:25" x14ac:dyDescent="0.25">
      <c r="B351" s="15"/>
      <c r="C351" s="8"/>
      <c r="E351" s="383"/>
      <c r="F351" s="380"/>
      <c r="G351" s="8"/>
      <c r="H351" s="8"/>
      <c r="I351" s="8"/>
      <c r="J351" s="9"/>
      <c r="K351" s="9">
        <f t="shared" si="41"/>
        <v>0</v>
      </c>
      <c r="L351" s="35">
        <f t="shared" si="42"/>
        <v>0</v>
      </c>
      <c r="M351" s="2"/>
      <c r="O351" s="19"/>
      <c r="P351" s="19"/>
      <c r="Q351" s="19"/>
      <c r="R351" s="21"/>
      <c r="S351" s="46"/>
      <c r="T351" s="44"/>
      <c r="U351" s="77"/>
      <c r="V351" s="24"/>
      <c r="W351" s="390"/>
      <c r="X351" s="193"/>
      <c r="Y351" s="15"/>
    </row>
    <row r="352" spans="2:25" x14ac:dyDescent="0.25">
      <c r="B352" s="15"/>
      <c r="C352" s="8"/>
      <c r="E352" s="383"/>
      <c r="F352" s="380"/>
      <c r="G352" s="8"/>
      <c r="H352" s="8"/>
      <c r="I352" s="8"/>
      <c r="J352" s="9"/>
      <c r="K352" s="9">
        <f t="shared" si="41"/>
        <v>0</v>
      </c>
      <c r="L352" s="35">
        <f t="shared" si="42"/>
        <v>0</v>
      </c>
      <c r="M352" s="2"/>
      <c r="O352" s="19"/>
      <c r="P352" s="19"/>
      <c r="Q352" s="19"/>
      <c r="R352" s="21"/>
      <c r="S352" s="46"/>
      <c r="T352" s="44"/>
      <c r="U352" s="77"/>
      <c r="V352" s="24"/>
      <c r="X352" s="193"/>
      <c r="Y352" s="15"/>
    </row>
    <row r="353" spans="2:25" x14ac:dyDescent="0.25">
      <c r="B353" s="15"/>
      <c r="C353" s="8"/>
      <c r="E353" s="383"/>
      <c r="F353" s="380"/>
      <c r="G353" s="8"/>
      <c r="H353" s="8"/>
      <c r="I353" s="8"/>
      <c r="J353" s="9"/>
      <c r="K353" s="9">
        <f t="shared" si="41"/>
        <v>0</v>
      </c>
      <c r="L353" s="35">
        <f t="shared" si="42"/>
        <v>0</v>
      </c>
      <c r="M353" s="2"/>
      <c r="O353" s="19"/>
      <c r="P353" s="19"/>
      <c r="Q353" s="19"/>
      <c r="R353" s="21"/>
      <c r="S353" s="46"/>
      <c r="T353" s="44"/>
      <c r="U353" s="77"/>
      <c r="V353" s="24"/>
      <c r="X353" s="193"/>
      <c r="Y353" s="15"/>
    </row>
    <row r="354" spans="2:25" x14ac:dyDescent="0.25">
      <c r="B354" s="15"/>
      <c r="C354" s="8"/>
      <c r="E354" s="383"/>
      <c r="F354" s="380"/>
      <c r="G354" s="8"/>
      <c r="H354" s="8"/>
      <c r="I354" s="8"/>
      <c r="J354" s="9"/>
      <c r="K354" s="9">
        <f t="shared" si="41"/>
        <v>0</v>
      </c>
      <c r="L354" s="35">
        <f t="shared" si="42"/>
        <v>0</v>
      </c>
      <c r="M354" s="2"/>
      <c r="O354" s="19"/>
      <c r="P354" s="19"/>
      <c r="Q354" s="19"/>
      <c r="R354" s="21"/>
      <c r="S354" s="46"/>
      <c r="T354" s="44"/>
      <c r="U354" s="77"/>
      <c r="V354" s="24"/>
      <c r="X354" s="193"/>
      <c r="Y354" s="15"/>
    </row>
  </sheetData>
  <mergeCells count="15">
    <mergeCell ref="AB69:AB74"/>
    <mergeCell ref="AB75:AC75"/>
    <mergeCell ref="AB33:AB38"/>
    <mergeCell ref="AB39:AB44"/>
    <mergeCell ref="AB45:AB50"/>
    <mergeCell ref="AB51:AB56"/>
    <mergeCell ref="AB57:AB62"/>
    <mergeCell ref="AB63:AB68"/>
    <mergeCell ref="AB21:AB26"/>
    <mergeCell ref="AB27:AB32"/>
    <mergeCell ref="AB1:AS1"/>
    <mergeCell ref="AB2:AC2"/>
    <mergeCell ref="AB3:AB8"/>
    <mergeCell ref="AB9:AB14"/>
    <mergeCell ref="AB15:AB20"/>
  </mergeCells>
  <phoneticPr fontId="7" type="noConversion"/>
  <conditionalFormatting sqref="U1:U1048576 X1:X1048576">
    <cfRule type="cellIs" dxfId="2" priority="1" operator="equal">
      <formula>"마케팅"</formula>
    </cfRule>
  </conditionalFormatting>
  <dataValidations count="11">
    <dataValidation type="list" allowBlank="1" showInputMessage="1" showErrorMessage="1" sqref="S188:S284 S36 S39:S185 S337:S354 S305:S328 S4:S33" xr:uid="{8A853DDE-910B-4633-BC00-CCB98C70E54A}">
      <formula1>"(주)그랜드썬기술단, (주)그랜드썬,지에스피,유지에스"</formula1>
    </dataValidation>
    <dataValidation type="list" allowBlank="1" showInputMessage="1" showErrorMessage="1" sqref="U3:U151 U156 U305:U354 U159:U301" xr:uid="{FF336BB2-7EFD-4F4F-8C0D-4338C86052D9}">
      <formula1>"소개,그 외"</formula1>
    </dataValidation>
    <dataValidation type="list" allowBlank="1" showInputMessage="1" showErrorMessage="1" sqref="D66:D301 D337:D354 D305:D328 D3:D64" xr:uid="{53B80AB0-3541-4374-A6DF-D0FD542842FD}">
      <formula1>"기존시설물(A),일반부지(B),수면(C)"</formula1>
    </dataValidation>
    <dataValidation type="list" allowBlank="1" showInputMessage="1" showErrorMessage="1" sqref="C303:C328 C337:C354 C3:C301" xr:uid="{722B7FD5-008B-4A87-BE3A-F53A4B06BF40}">
      <formula1>"직영(가),외주(나),입찰(다),검토(라)"</formula1>
    </dataValidation>
    <dataValidation type="list" allowBlank="1" showInputMessage="1" showErrorMessage="1" sqref="X3:X125 X127:X152 X305:X354 X154:X301" xr:uid="{BA7629B5-8073-4E49-B82B-AD709B7BADAF}">
      <formula1>"산단,공장,창고,축사,근생,자원순환,토지,업무시설"</formula1>
    </dataValidation>
    <dataValidation type="list" allowBlank="1" showInputMessage="1" showErrorMessage="1" sqref="Y305:Y354 Y3:Y301" xr:uid="{81B01354-916F-43D2-B0EE-68BA51CE5F2F}">
      <formula1>"유지,보류,취소"</formula1>
    </dataValidation>
    <dataValidation type="list" allowBlank="1" showInputMessage="1" showErrorMessage="1" sqref="Q3:Q250 Q252:Q318" xr:uid="{14DF7CAF-1132-401E-B65A-E0BF358917DA}">
      <formula1>"경기,강원,충남,충북,서울,인천,대전,세종,경남,경북,전남,전북,부산,대구,울산,제주,광주"</formula1>
    </dataValidation>
    <dataValidation type="list" allowBlank="1" showInputMessage="1" showErrorMessage="1" sqref="X153" xr:uid="{51FE8B67-0036-4B98-A830-63459F8D331D}">
      <formula1>"산단,공장,창고,축사,근생,자원순환,토지,업무시설, 자동차관련시설"</formula1>
    </dataValidation>
    <dataValidation type="list" allowBlank="1" showInputMessage="1" showErrorMessage="1" sqref="X126" xr:uid="{27267314-B4A1-4ECF-B965-ABD4A8D02525}">
      <formula1>"산단,공장,창고,축사,근생,자원순환, 창고 및 판매시설,토지,업무시설"</formula1>
    </dataValidation>
    <dataValidation type="list" allowBlank="1" showInputMessage="1" showErrorMessage="1" sqref="S34:S35 S37:S38" xr:uid="{ABDE55EE-33D4-4951-83F0-1374F28208EF}">
      <formula1>"(주)그랜드썬기술단, (주)그랜드썬,지에스피,유지에스,지에스이"</formula1>
    </dataValidation>
    <dataValidation type="list" allowBlank="1" showInputMessage="1" showErrorMessage="1" sqref="S3" xr:uid="{85150757-99A8-423C-A4CA-51389B3DA1FC}">
      <formula1>"(주)그랜드썬기술단,(주)그랜드썬기술단SE, (주)그랜드썬,지에스피,유지에스"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E90365-8384-45E6-8643-6DD4A149C1ED}">
          <x14:formula1>
            <xm:f>INDEX!$B$3:$B$6</xm:f>
          </x14:formula1>
          <xm:sqref>W3:W351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AW354"/>
  <sheetViews>
    <sheetView zoomScale="70" zoomScaleNormal="70" workbookViewId="0">
      <pane ySplit="2" topLeftCell="A3" activePane="bottomLeft" state="frozen"/>
      <selection activeCell="W1" sqref="W1:W1048576"/>
      <selection pane="bottomLeft"/>
    </sheetView>
  </sheetViews>
  <sheetFormatPr defaultRowHeight="13.5" x14ac:dyDescent="0.25"/>
  <cols>
    <col min="1" max="1" width="3.7109375" customWidth="1"/>
    <col min="2" max="3" width="10.7109375" customWidth="1"/>
    <col min="4" max="4" width="10.7109375" style="5" customWidth="1"/>
    <col min="5" max="5" width="10.7109375" style="70" customWidth="1"/>
    <col min="6" max="6" width="12.7109375" style="17" customWidth="1"/>
    <col min="7" max="8" width="10.7109375" customWidth="1"/>
    <col min="9" max="9" width="11.85546875" customWidth="1"/>
    <col min="10" max="11" width="15.7109375" style="4" customWidth="1"/>
    <col min="12" max="12" width="15.7109375" style="36" customWidth="1"/>
    <col min="13" max="13" width="15.7109375" style="4" customWidth="1"/>
    <col min="14" max="14" width="15.7109375" customWidth="1"/>
    <col min="15" max="15" width="21.42578125" customWidth="1"/>
    <col min="16" max="17" width="6" customWidth="1"/>
    <col min="18" max="18" width="38.42578125" style="20" customWidth="1"/>
    <col min="19" max="19" width="20.7109375" customWidth="1"/>
    <col min="20" max="20" width="13.42578125" customWidth="1"/>
    <col min="21" max="21" width="9.140625" style="32"/>
    <col min="22" max="22" width="47" style="5" customWidth="1"/>
    <col min="23" max="23" width="9.140625" style="5" customWidth="1"/>
    <col min="24" max="24" width="9.140625" style="32"/>
    <col min="30" max="30" width="11.140625" customWidth="1"/>
    <col min="31" max="35" width="11.7109375" customWidth="1"/>
    <col min="36" max="40" width="11.7109375" style="124" customWidth="1"/>
    <col min="41" max="45" width="11.7109375" customWidth="1"/>
  </cols>
  <sheetData>
    <row r="1" spans="2:49" ht="27" thickBot="1" x14ac:dyDescent="0.3">
      <c r="B1" s="31"/>
      <c r="C1" s="31"/>
      <c r="D1" s="253"/>
      <c r="E1" s="68"/>
      <c r="G1" s="6"/>
      <c r="H1" s="6"/>
      <c r="I1" s="22"/>
      <c r="J1" s="7"/>
      <c r="K1" s="7"/>
      <c r="L1" s="33"/>
      <c r="M1" s="7"/>
      <c r="N1" s="7"/>
      <c r="U1" s="42"/>
      <c r="X1" s="42"/>
      <c r="AB1" s="494" t="s">
        <v>3</v>
      </c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6"/>
    </row>
    <row r="2" spans="2:49" ht="43.5" customHeight="1" thickTop="1" thickBot="1" x14ac:dyDescent="0.3">
      <c r="B2" s="14" t="s">
        <v>0</v>
      </c>
      <c r="C2" s="66" t="s">
        <v>66</v>
      </c>
      <c r="D2" s="66" t="s">
        <v>67</v>
      </c>
      <c r="E2" s="69" t="s">
        <v>68</v>
      </c>
      <c r="F2" s="18" t="s">
        <v>1</v>
      </c>
      <c r="G2" s="10" t="s">
        <v>18</v>
      </c>
      <c r="H2" s="10" t="s">
        <v>17</v>
      </c>
      <c r="I2" s="11" t="s">
        <v>2</v>
      </c>
      <c r="J2" s="12" t="s">
        <v>16</v>
      </c>
      <c r="K2" s="12" t="s">
        <v>4</v>
      </c>
      <c r="L2" s="34" t="s">
        <v>44</v>
      </c>
      <c r="M2" s="37" t="s">
        <v>25</v>
      </c>
      <c r="N2" s="10" t="s">
        <v>22</v>
      </c>
      <c r="O2" s="10" t="s">
        <v>24</v>
      </c>
      <c r="P2" s="10" t="s">
        <v>42</v>
      </c>
      <c r="Q2" s="10" t="s">
        <v>206</v>
      </c>
      <c r="R2" s="10" t="s">
        <v>23</v>
      </c>
      <c r="S2" s="13" t="s">
        <v>5</v>
      </c>
      <c r="T2" s="23" t="s">
        <v>33</v>
      </c>
      <c r="U2" s="198" t="s">
        <v>48</v>
      </c>
      <c r="V2" s="14" t="s">
        <v>32</v>
      </c>
      <c r="W2" s="14" t="s">
        <v>1152</v>
      </c>
      <c r="X2" s="198" t="s">
        <v>149</v>
      </c>
      <c r="Y2" s="103" t="s">
        <v>161</v>
      </c>
      <c r="AB2" s="491" t="s">
        <v>108</v>
      </c>
      <c r="AC2" s="492"/>
      <c r="AD2" s="106" t="s">
        <v>1</v>
      </c>
      <c r="AE2" s="107" t="s">
        <v>109</v>
      </c>
      <c r="AF2" s="108" t="s">
        <v>78</v>
      </c>
      <c r="AG2" s="108" t="s">
        <v>77</v>
      </c>
      <c r="AH2" s="108" t="s">
        <v>79</v>
      </c>
      <c r="AI2" s="109" t="s">
        <v>80</v>
      </c>
      <c r="AJ2" s="112" t="s">
        <v>110</v>
      </c>
      <c r="AK2" s="113" t="s">
        <v>78</v>
      </c>
      <c r="AL2" s="113" t="s">
        <v>77</v>
      </c>
      <c r="AM2" s="113" t="s">
        <v>79</v>
      </c>
      <c r="AN2" s="114" t="s">
        <v>80</v>
      </c>
      <c r="AO2" s="110" t="s">
        <v>111</v>
      </c>
      <c r="AP2" s="111" t="s">
        <v>78</v>
      </c>
      <c r="AQ2" s="111" t="s">
        <v>77</v>
      </c>
      <c r="AR2" s="111" t="s">
        <v>79</v>
      </c>
      <c r="AS2" s="111" t="s">
        <v>80</v>
      </c>
      <c r="AU2" s="146"/>
      <c r="AV2" s="147" t="s">
        <v>116</v>
      </c>
      <c r="AW2" s="148"/>
    </row>
    <row r="3" spans="2:49" s="8" customFormat="1" ht="13.5" customHeight="1" x14ac:dyDescent="0.25">
      <c r="B3" s="15">
        <v>1</v>
      </c>
      <c r="D3" s="5"/>
      <c r="E3" s="67"/>
      <c r="F3" s="16"/>
      <c r="J3" s="9"/>
      <c r="K3" s="9">
        <f t="shared" ref="K3:K66" si="0">J3*1.1</f>
        <v>0</v>
      </c>
      <c r="L3" s="35">
        <f t="shared" ref="L3:L66" si="1">J3*0.00000001</f>
        <v>0</v>
      </c>
      <c r="M3" s="2"/>
      <c r="N3"/>
      <c r="O3" s="19"/>
      <c r="P3" s="19"/>
      <c r="Q3" s="19"/>
      <c r="R3" s="21"/>
      <c r="S3" s="46"/>
      <c r="T3" s="81"/>
      <c r="U3" s="80"/>
      <c r="V3" s="78"/>
      <c r="W3" s="78"/>
      <c r="X3" s="192"/>
      <c r="Y3" s="15"/>
      <c r="AA3">
        <v>1</v>
      </c>
      <c r="AB3" s="486">
        <v>1</v>
      </c>
      <c r="AC3" s="89">
        <v>1</v>
      </c>
      <c r="AD3" s="95" t="s">
        <v>81</v>
      </c>
      <c r="AE3" s="39">
        <f>SUM(AF3:AI3)</f>
        <v>0</v>
      </c>
      <c r="AF3" s="65">
        <f>SUMIFS($I:$I,$C:$C, $AF$2,$G:$G,$AA3,$H:$H,$AC3)</f>
        <v>0</v>
      </c>
      <c r="AG3" s="65">
        <f>SUMIFS($I:$I,$C:$C, $AG$2,$G:$G,$AA3,$H:$H,$AC3)</f>
        <v>0</v>
      </c>
      <c r="AH3" s="65">
        <f>SUMIFS($I:$I,$C:$C, $AH$2,$G:$G,$AA3,$H:$H,$AC3)</f>
        <v>0</v>
      </c>
      <c r="AI3" s="104">
        <f>SUMIFS($I:$I,$C:$C, $AI$2,$G:$G,$AA3,$H:$H,$AC3)</f>
        <v>0</v>
      </c>
      <c r="AJ3" s="115">
        <f>SUM(AK3:AN3)</f>
        <v>0</v>
      </c>
      <c r="AK3" s="116">
        <f>COUNTIFS($C:$C, $AK$2,$G:$G,$AA3,$H:$H,$AC3)</f>
        <v>0</v>
      </c>
      <c r="AL3" s="116">
        <f>COUNTIFS($C:$C, $AL$2,$G:$G,$AA3,$H:$H,$AC3)</f>
        <v>0</v>
      </c>
      <c r="AM3" s="116">
        <f>COUNTIFS($C:$C, $AM$2,$G:$G,$AA3,$H:$H,$AC3)</f>
        <v>0</v>
      </c>
      <c r="AN3" s="117">
        <f>COUNTIFS($C:$C, $AN$2,$G:$G,$AA3,$H:$H,$AC3)</f>
        <v>0</v>
      </c>
      <c r="AO3" s="39">
        <f>SUM(AP3:AS3)</f>
        <v>0</v>
      </c>
      <c r="AP3" s="65">
        <f>SUMIFS($L:$L,$C:$C, $AP$2,$G:$G,$AA3,$H:$H,$AC3)</f>
        <v>0</v>
      </c>
      <c r="AQ3" s="65">
        <f>SUMIFS($L:$L,$C:$C, $AQ$2,$G:$G,$AA3,$H:$H,$AC3)</f>
        <v>0</v>
      </c>
      <c r="AR3" s="65">
        <f>SUMIFS($L:$L,$C:$C, $AR$2,$G:$G,$AA3,$H:$H,$AC3)</f>
        <v>0</v>
      </c>
      <c r="AS3" s="65">
        <f>SUMIFS($L:$L,$C:$C, $AS$2,$G:$G,$AA3,$H:$H,$AC3)</f>
        <v>0</v>
      </c>
      <c r="AU3" s="149" t="s">
        <v>117</v>
      </c>
      <c r="AV3" s="150" t="s">
        <v>118</v>
      </c>
      <c r="AW3" s="151" t="s">
        <v>119</v>
      </c>
    </row>
    <row r="4" spans="2:49" s="8" customFormat="1" ht="13.5" customHeight="1" x14ac:dyDescent="0.25">
      <c r="B4" s="15">
        <v>2</v>
      </c>
      <c r="D4" s="5"/>
      <c r="E4" s="67"/>
      <c r="F4" s="16"/>
      <c r="J4" s="9"/>
      <c r="K4" s="9">
        <f t="shared" si="0"/>
        <v>0</v>
      </c>
      <c r="L4" s="35">
        <f t="shared" si="1"/>
        <v>0</v>
      </c>
      <c r="M4" s="2"/>
      <c r="N4"/>
      <c r="O4" s="19"/>
      <c r="P4" s="19"/>
      <c r="Q4" s="19"/>
      <c r="R4" s="21"/>
      <c r="S4" s="46"/>
      <c r="T4" s="44"/>
      <c r="U4" s="76"/>
      <c r="V4" s="24"/>
      <c r="W4" s="24"/>
      <c r="X4" s="193"/>
      <c r="Y4" s="15"/>
      <c r="AA4">
        <v>1</v>
      </c>
      <c r="AB4" s="487"/>
      <c r="AC4" s="90">
        <v>2</v>
      </c>
      <c r="AD4" s="96" t="s">
        <v>54</v>
      </c>
      <c r="AE4" s="39">
        <f t="shared" ref="AE4:AE67" si="2">SUM(AF4:AI4)</f>
        <v>0</v>
      </c>
      <c r="AF4" s="65">
        <f t="shared" ref="AF4:AF67" si="3">SUMIFS($I:$I,$C:$C, $AF$2,$G:$G,$AA4,$H:$H,$AC4)</f>
        <v>0</v>
      </c>
      <c r="AG4" s="65">
        <f t="shared" ref="AG4:AG67" si="4">SUMIFS($I:$I,$C:$C, $AG$2,$G:$G,$AA4,$H:$H,$AC4)</f>
        <v>0</v>
      </c>
      <c r="AH4" s="65">
        <f t="shared" ref="AH4:AH67" si="5">SUMIFS($I:$I,$C:$C, $AH$2,$G:$G,$AA4,$H:$H,$AC4)</f>
        <v>0</v>
      </c>
      <c r="AI4" s="104">
        <f t="shared" ref="AI4:AI67" si="6">SUMIFS($I:$I,$C:$C, $AI$2,$G:$G,$AA4,$H:$H,$AC4)</f>
        <v>0</v>
      </c>
      <c r="AJ4" s="115">
        <f t="shared" ref="AJ4:AJ67" si="7">SUM(AK4:AN4)</f>
        <v>0</v>
      </c>
      <c r="AK4" s="116">
        <f t="shared" ref="AK4:AK67" si="8">COUNTIFS($C:$C, $AK$2,$G:$G,$AA4,$H:$H,$AC4)</f>
        <v>0</v>
      </c>
      <c r="AL4" s="116">
        <f t="shared" ref="AL4:AL67" si="9">COUNTIFS($C:$C, $AL$2,$G:$G,$AA4,$H:$H,$AC4)</f>
        <v>0</v>
      </c>
      <c r="AM4" s="116">
        <f t="shared" ref="AM4:AM67" si="10">COUNTIFS($C:$C, $AM$2,$G:$G,$AA4,$H:$H,$AC4)</f>
        <v>0</v>
      </c>
      <c r="AN4" s="117">
        <f t="shared" ref="AN4:AN67" si="11">COUNTIFS($C:$C, $AN$2,$G:$G,$AA4,$H:$H,$AC4)</f>
        <v>0</v>
      </c>
      <c r="AO4" s="39">
        <f t="shared" ref="AO4:AO67" si="12">SUM(AP4:AS4)</f>
        <v>0</v>
      </c>
      <c r="AP4" s="65">
        <f t="shared" ref="AP4:AP67" si="13">SUMIFS($L:$L,$C:$C, $AP$2,$G:$G,$AA4,$H:$H,$AC4)</f>
        <v>0</v>
      </c>
      <c r="AQ4" s="65">
        <f t="shared" ref="AQ4:AQ67" si="14">SUMIFS($L:$L,$C:$C, $AQ$2,$G:$G,$AA4,$H:$H,$AC4)</f>
        <v>0</v>
      </c>
      <c r="AR4" s="65">
        <f t="shared" ref="AR4:AR67" si="15">SUMIFS($L:$L,$C:$C, $AR$2,$G:$G,$AA4,$H:$H,$AC4)</f>
        <v>0</v>
      </c>
      <c r="AS4" s="65">
        <f t="shared" ref="AS4:AS67" si="16">SUMIFS($L:$L,$C:$C, $AS$2,$G:$G,$AA4,$H:$H,$AC4)</f>
        <v>0</v>
      </c>
      <c r="AU4" s="152">
        <v>1</v>
      </c>
      <c r="AV4" s="153">
        <f>COUNTIFS($U:$U,$AV$3,$G:$G,$AU4)</f>
        <v>0</v>
      </c>
      <c r="AW4" s="154">
        <f>COUNTIFS($U:$U,$AW$3,$G:$G,$AU4)</f>
        <v>0</v>
      </c>
    </row>
    <row r="5" spans="2:49" s="8" customFormat="1" ht="13.5" customHeight="1" x14ac:dyDescent="0.25">
      <c r="B5" s="15">
        <v>3</v>
      </c>
      <c r="D5" s="5"/>
      <c r="E5" s="67"/>
      <c r="F5" s="16"/>
      <c r="J5" s="9"/>
      <c r="K5" s="9">
        <f t="shared" si="0"/>
        <v>0</v>
      </c>
      <c r="L5" s="35">
        <f t="shared" si="1"/>
        <v>0</v>
      </c>
      <c r="M5" s="2"/>
      <c r="N5"/>
      <c r="O5" s="19"/>
      <c r="P5" s="19"/>
      <c r="Q5" s="19"/>
      <c r="R5" s="21"/>
      <c r="S5" s="46"/>
      <c r="T5" s="44"/>
      <c r="U5" s="76"/>
      <c r="V5" s="24"/>
      <c r="W5" s="24"/>
      <c r="X5" s="193"/>
      <c r="Y5" s="15"/>
      <c r="AA5">
        <v>1</v>
      </c>
      <c r="AB5" s="487"/>
      <c r="AC5" s="90">
        <v>3</v>
      </c>
      <c r="AD5" s="97" t="s">
        <v>55</v>
      </c>
      <c r="AE5" s="39">
        <f t="shared" si="2"/>
        <v>0</v>
      </c>
      <c r="AF5" s="65">
        <f t="shared" si="3"/>
        <v>0</v>
      </c>
      <c r="AG5" s="65">
        <f t="shared" si="4"/>
        <v>0</v>
      </c>
      <c r="AH5" s="65">
        <f t="shared" si="5"/>
        <v>0</v>
      </c>
      <c r="AI5" s="104">
        <f t="shared" si="6"/>
        <v>0</v>
      </c>
      <c r="AJ5" s="115">
        <f t="shared" si="7"/>
        <v>0</v>
      </c>
      <c r="AK5" s="116">
        <f t="shared" si="8"/>
        <v>0</v>
      </c>
      <c r="AL5" s="116">
        <f t="shared" si="9"/>
        <v>0</v>
      </c>
      <c r="AM5" s="116">
        <f t="shared" si="10"/>
        <v>0</v>
      </c>
      <c r="AN5" s="117">
        <f t="shared" si="11"/>
        <v>0</v>
      </c>
      <c r="AO5" s="39">
        <f t="shared" si="12"/>
        <v>0</v>
      </c>
      <c r="AP5" s="65">
        <f t="shared" si="13"/>
        <v>0</v>
      </c>
      <c r="AQ5" s="65">
        <f t="shared" si="14"/>
        <v>0</v>
      </c>
      <c r="AR5" s="65">
        <f t="shared" si="15"/>
        <v>0</v>
      </c>
      <c r="AS5" s="65">
        <f t="shared" si="16"/>
        <v>0</v>
      </c>
      <c r="AU5" s="152">
        <v>2</v>
      </c>
      <c r="AV5" s="153">
        <f t="shared" ref="AV5:AV15" si="17">COUNTIFS($U:$U,$AV$3,$G:$G,$AU5)</f>
        <v>0</v>
      </c>
      <c r="AW5" s="154">
        <f t="shared" ref="AW5:AW15" si="18">COUNTIFS($U:$U,$AW$3,$G:$G,$AU5)</f>
        <v>0</v>
      </c>
    </row>
    <row r="6" spans="2:49" s="8" customFormat="1" ht="13.5" customHeight="1" x14ac:dyDescent="0.25">
      <c r="B6" s="15">
        <v>4</v>
      </c>
      <c r="D6" s="5"/>
      <c r="E6" s="67"/>
      <c r="F6" s="16"/>
      <c r="J6" s="9"/>
      <c r="K6" s="9">
        <f t="shared" si="0"/>
        <v>0</v>
      </c>
      <c r="L6" s="35">
        <f t="shared" si="1"/>
        <v>0</v>
      </c>
      <c r="M6" s="2"/>
      <c r="N6" s="2"/>
      <c r="O6" s="19"/>
      <c r="P6" s="19"/>
      <c r="Q6" s="19"/>
      <c r="R6" s="21"/>
      <c r="S6" s="46"/>
      <c r="T6" s="44"/>
      <c r="U6" s="76"/>
      <c r="V6" s="24"/>
      <c r="W6" s="24"/>
      <c r="X6" s="193"/>
      <c r="Y6" s="15"/>
      <c r="AA6">
        <v>1</v>
      </c>
      <c r="AB6" s="487"/>
      <c r="AC6" s="90">
        <v>4</v>
      </c>
      <c r="AD6" s="97" t="s">
        <v>56</v>
      </c>
      <c r="AE6" s="39">
        <f t="shared" si="2"/>
        <v>0</v>
      </c>
      <c r="AF6" s="65">
        <f t="shared" si="3"/>
        <v>0</v>
      </c>
      <c r="AG6" s="65">
        <f t="shared" si="4"/>
        <v>0</v>
      </c>
      <c r="AH6" s="65">
        <f t="shared" si="5"/>
        <v>0</v>
      </c>
      <c r="AI6" s="104">
        <f t="shared" si="6"/>
        <v>0</v>
      </c>
      <c r="AJ6" s="115">
        <f t="shared" si="7"/>
        <v>0</v>
      </c>
      <c r="AK6" s="116">
        <f t="shared" si="8"/>
        <v>0</v>
      </c>
      <c r="AL6" s="116">
        <f t="shared" si="9"/>
        <v>0</v>
      </c>
      <c r="AM6" s="116">
        <f t="shared" si="10"/>
        <v>0</v>
      </c>
      <c r="AN6" s="117">
        <f t="shared" si="11"/>
        <v>0</v>
      </c>
      <c r="AO6" s="39">
        <f t="shared" si="12"/>
        <v>0</v>
      </c>
      <c r="AP6" s="65">
        <f t="shared" si="13"/>
        <v>0</v>
      </c>
      <c r="AQ6" s="65">
        <f t="shared" si="14"/>
        <v>0</v>
      </c>
      <c r="AR6" s="65">
        <f t="shared" si="15"/>
        <v>0</v>
      </c>
      <c r="AS6" s="65">
        <f t="shared" si="16"/>
        <v>0</v>
      </c>
      <c r="AU6" s="152">
        <v>3</v>
      </c>
      <c r="AV6" s="153">
        <f t="shared" si="17"/>
        <v>0</v>
      </c>
      <c r="AW6" s="154">
        <f t="shared" si="18"/>
        <v>0</v>
      </c>
    </row>
    <row r="7" spans="2:49" s="8" customFormat="1" ht="13.5" customHeight="1" x14ac:dyDescent="0.25">
      <c r="B7" s="15">
        <v>5</v>
      </c>
      <c r="D7" s="5"/>
      <c r="E7" s="67"/>
      <c r="F7" s="16"/>
      <c r="J7" s="9"/>
      <c r="K7" s="9">
        <f t="shared" si="0"/>
        <v>0</v>
      </c>
      <c r="L7" s="35">
        <f t="shared" si="1"/>
        <v>0</v>
      </c>
      <c r="M7" s="2"/>
      <c r="N7"/>
      <c r="O7" s="19"/>
      <c r="P7" s="19"/>
      <c r="Q7" s="19"/>
      <c r="R7" s="21"/>
      <c r="S7" s="46"/>
      <c r="T7" s="44"/>
      <c r="U7" s="76"/>
      <c r="V7" s="24"/>
      <c r="W7" s="24"/>
      <c r="X7" s="193"/>
      <c r="Y7" s="15"/>
      <c r="AA7">
        <v>1</v>
      </c>
      <c r="AB7" s="487"/>
      <c r="AC7" s="91">
        <v>5</v>
      </c>
      <c r="AD7" s="97" t="s">
        <v>57</v>
      </c>
      <c r="AE7" s="39">
        <f t="shared" si="2"/>
        <v>0</v>
      </c>
      <c r="AF7" s="65">
        <f t="shared" si="3"/>
        <v>0</v>
      </c>
      <c r="AG7" s="65">
        <f t="shared" si="4"/>
        <v>0</v>
      </c>
      <c r="AH7" s="65">
        <f t="shared" si="5"/>
        <v>0</v>
      </c>
      <c r="AI7" s="104">
        <f t="shared" si="6"/>
        <v>0</v>
      </c>
      <c r="AJ7" s="115">
        <f t="shared" si="7"/>
        <v>0</v>
      </c>
      <c r="AK7" s="116">
        <f t="shared" si="8"/>
        <v>0</v>
      </c>
      <c r="AL7" s="116">
        <f t="shared" si="9"/>
        <v>0</v>
      </c>
      <c r="AM7" s="116">
        <f t="shared" si="10"/>
        <v>0</v>
      </c>
      <c r="AN7" s="117">
        <f t="shared" si="11"/>
        <v>0</v>
      </c>
      <c r="AO7" s="39">
        <f t="shared" si="12"/>
        <v>0</v>
      </c>
      <c r="AP7" s="65">
        <f t="shared" si="13"/>
        <v>0</v>
      </c>
      <c r="AQ7" s="65">
        <f t="shared" si="14"/>
        <v>0</v>
      </c>
      <c r="AR7" s="65">
        <f t="shared" si="15"/>
        <v>0</v>
      </c>
      <c r="AS7" s="65">
        <f t="shared" si="16"/>
        <v>0</v>
      </c>
      <c r="AU7" s="152">
        <v>4</v>
      </c>
      <c r="AV7" s="153">
        <f t="shared" si="17"/>
        <v>0</v>
      </c>
      <c r="AW7" s="154">
        <f t="shared" si="18"/>
        <v>0</v>
      </c>
    </row>
    <row r="8" spans="2:49" s="8" customFormat="1" ht="13.5" customHeight="1" thickBot="1" x14ac:dyDescent="0.3">
      <c r="B8" s="15">
        <v>6</v>
      </c>
      <c r="D8" s="5"/>
      <c r="E8" s="67"/>
      <c r="F8" s="16"/>
      <c r="J8" s="9"/>
      <c r="K8" s="9">
        <f t="shared" si="0"/>
        <v>0</v>
      </c>
      <c r="L8" s="35">
        <f t="shared" si="1"/>
        <v>0</v>
      </c>
      <c r="M8" s="2"/>
      <c r="N8"/>
      <c r="O8" s="19"/>
      <c r="P8" s="19"/>
      <c r="Q8" s="19"/>
      <c r="R8" s="21"/>
      <c r="S8" s="46"/>
      <c r="T8" s="44"/>
      <c r="U8" s="76"/>
      <c r="V8" s="24"/>
      <c r="W8" s="24"/>
      <c r="X8" s="193"/>
      <c r="Y8" s="15"/>
      <c r="AA8">
        <v>1</v>
      </c>
      <c r="AB8" s="488"/>
      <c r="AC8" s="92" t="s">
        <v>3</v>
      </c>
      <c r="AD8" s="98"/>
      <c r="AE8" s="94">
        <f t="shared" ref="AE8:AS8" si="19">SUM(AE3:AE7)</f>
        <v>0</v>
      </c>
      <c r="AF8" s="94">
        <f t="shared" si="19"/>
        <v>0</v>
      </c>
      <c r="AG8" s="94">
        <f t="shared" si="19"/>
        <v>0</v>
      </c>
      <c r="AH8" s="94">
        <f t="shared" si="19"/>
        <v>0</v>
      </c>
      <c r="AI8" s="105">
        <f t="shared" si="19"/>
        <v>0</v>
      </c>
      <c r="AJ8" s="118">
        <f t="shared" si="19"/>
        <v>0</v>
      </c>
      <c r="AK8" s="119">
        <f t="shared" si="19"/>
        <v>0</v>
      </c>
      <c r="AL8" s="119">
        <f t="shared" si="19"/>
        <v>0</v>
      </c>
      <c r="AM8" s="119">
        <f t="shared" si="19"/>
        <v>0</v>
      </c>
      <c r="AN8" s="120">
        <f t="shared" si="19"/>
        <v>0</v>
      </c>
      <c r="AO8" s="94">
        <f t="shared" si="19"/>
        <v>0</v>
      </c>
      <c r="AP8" s="94">
        <f t="shared" si="19"/>
        <v>0</v>
      </c>
      <c r="AQ8" s="94">
        <f t="shared" si="19"/>
        <v>0</v>
      </c>
      <c r="AR8" s="94">
        <f t="shared" si="19"/>
        <v>0</v>
      </c>
      <c r="AS8" s="94">
        <f t="shared" si="19"/>
        <v>0</v>
      </c>
      <c r="AU8" s="152">
        <v>5</v>
      </c>
      <c r="AV8" s="153">
        <f t="shared" si="17"/>
        <v>0</v>
      </c>
      <c r="AW8" s="154">
        <f t="shared" si="18"/>
        <v>0</v>
      </c>
    </row>
    <row r="9" spans="2:49" s="8" customFormat="1" ht="13.5" customHeight="1" x14ac:dyDescent="0.25">
      <c r="B9" s="15">
        <v>7</v>
      </c>
      <c r="D9" s="5"/>
      <c r="E9" s="67"/>
      <c r="F9" s="16"/>
      <c r="J9" s="9"/>
      <c r="K9" s="9">
        <f t="shared" si="0"/>
        <v>0</v>
      </c>
      <c r="L9" s="35">
        <f t="shared" si="1"/>
        <v>0</v>
      </c>
      <c r="M9" s="2"/>
      <c r="N9"/>
      <c r="O9" s="19"/>
      <c r="P9" s="19"/>
      <c r="Q9" s="19"/>
      <c r="R9" s="21"/>
      <c r="S9" s="46"/>
      <c r="T9" s="44"/>
      <c r="U9" s="76"/>
      <c r="V9" s="24"/>
      <c r="W9" s="24"/>
      <c r="X9" s="193"/>
      <c r="Y9" s="15"/>
      <c r="AA9">
        <v>2</v>
      </c>
      <c r="AB9" s="486">
        <v>2</v>
      </c>
      <c r="AC9" s="89">
        <v>1</v>
      </c>
      <c r="AD9" s="99" t="s">
        <v>82</v>
      </c>
      <c r="AE9" s="39">
        <f t="shared" si="2"/>
        <v>0</v>
      </c>
      <c r="AF9" s="65">
        <f t="shared" si="3"/>
        <v>0</v>
      </c>
      <c r="AG9" s="65">
        <f t="shared" si="4"/>
        <v>0</v>
      </c>
      <c r="AH9" s="65">
        <f t="shared" si="5"/>
        <v>0</v>
      </c>
      <c r="AI9" s="104">
        <f t="shared" si="6"/>
        <v>0</v>
      </c>
      <c r="AJ9" s="115">
        <f t="shared" si="7"/>
        <v>0</v>
      </c>
      <c r="AK9" s="116">
        <f t="shared" si="8"/>
        <v>0</v>
      </c>
      <c r="AL9" s="116">
        <f t="shared" si="9"/>
        <v>0</v>
      </c>
      <c r="AM9" s="116">
        <f t="shared" si="10"/>
        <v>0</v>
      </c>
      <c r="AN9" s="117">
        <f t="shared" si="11"/>
        <v>0</v>
      </c>
      <c r="AO9" s="39">
        <f t="shared" si="12"/>
        <v>0</v>
      </c>
      <c r="AP9" s="65">
        <f t="shared" si="13"/>
        <v>0</v>
      </c>
      <c r="AQ9" s="65">
        <f t="shared" si="14"/>
        <v>0</v>
      </c>
      <c r="AR9" s="65">
        <f t="shared" si="15"/>
        <v>0</v>
      </c>
      <c r="AS9" s="65">
        <f t="shared" si="16"/>
        <v>0</v>
      </c>
      <c r="AU9" s="152">
        <v>6</v>
      </c>
      <c r="AV9" s="153">
        <f t="shared" si="17"/>
        <v>0</v>
      </c>
      <c r="AW9" s="154">
        <f t="shared" si="18"/>
        <v>0</v>
      </c>
    </row>
    <row r="10" spans="2:49" s="8" customFormat="1" ht="13.5" customHeight="1" x14ac:dyDescent="0.25">
      <c r="B10" s="15">
        <v>8</v>
      </c>
      <c r="D10" s="5"/>
      <c r="E10" s="67"/>
      <c r="F10" s="16"/>
      <c r="J10" s="9"/>
      <c r="K10" s="9">
        <f t="shared" si="0"/>
        <v>0</v>
      </c>
      <c r="L10" s="35">
        <f t="shared" si="1"/>
        <v>0</v>
      </c>
      <c r="M10" s="2"/>
      <c r="N10" s="2"/>
      <c r="O10" s="19"/>
      <c r="P10" s="19"/>
      <c r="Q10" s="19"/>
      <c r="R10" s="21"/>
      <c r="S10" s="46"/>
      <c r="T10" s="82"/>
      <c r="U10" s="76"/>
      <c r="V10" s="24"/>
      <c r="W10" s="24"/>
      <c r="X10" s="193"/>
      <c r="Y10" s="15"/>
      <c r="AA10">
        <v>2</v>
      </c>
      <c r="AB10" s="487"/>
      <c r="AC10" s="90">
        <v>2</v>
      </c>
      <c r="AD10" s="97" t="s">
        <v>58</v>
      </c>
      <c r="AE10" s="39">
        <f t="shared" si="2"/>
        <v>0</v>
      </c>
      <c r="AF10" s="65">
        <f t="shared" si="3"/>
        <v>0</v>
      </c>
      <c r="AG10" s="65">
        <f t="shared" si="4"/>
        <v>0</v>
      </c>
      <c r="AH10" s="65">
        <f t="shared" si="5"/>
        <v>0</v>
      </c>
      <c r="AI10" s="104">
        <f t="shared" si="6"/>
        <v>0</v>
      </c>
      <c r="AJ10" s="115">
        <f t="shared" si="7"/>
        <v>0</v>
      </c>
      <c r="AK10" s="116">
        <f t="shared" si="8"/>
        <v>0</v>
      </c>
      <c r="AL10" s="116">
        <f t="shared" si="9"/>
        <v>0</v>
      </c>
      <c r="AM10" s="116">
        <f t="shared" si="10"/>
        <v>0</v>
      </c>
      <c r="AN10" s="117">
        <f t="shared" si="11"/>
        <v>0</v>
      </c>
      <c r="AO10" s="39">
        <f t="shared" si="12"/>
        <v>0</v>
      </c>
      <c r="AP10" s="65">
        <f t="shared" si="13"/>
        <v>0</v>
      </c>
      <c r="AQ10" s="65">
        <f t="shared" si="14"/>
        <v>0</v>
      </c>
      <c r="AR10" s="65">
        <f t="shared" si="15"/>
        <v>0</v>
      </c>
      <c r="AS10" s="65">
        <f t="shared" si="16"/>
        <v>0</v>
      </c>
      <c r="AU10" s="152">
        <v>7</v>
      </c>
      <c r="AV10" s="153">
        <f t="shared" si="17"/>
        <v>0</v>
      </c>
      <c r="AW10" s="154">
        <f t="shared" si="18"/>
        <v>0</v>
      </c>
    </row>
    <row r="11" spans="2:49" s="8" customFormat="1" ht="13.5" customHeight="1" x14ac:dyDescent="0.25">
      <c r="B11" s="15">
        <v>9</v>
      </c>
      <c r="D11" s="5"/>
      <c r="E11" s="67"/>
      <c r="F11" s="16"/>
      <c r="J11" s="9"/>
      <c r="K11" s="9">
        <f t="shared" si="0"/>
        <v>0</v>
      </c>
      <c r="L11" s="35">
        <f t="shared" si="1"/>
        <v>0</v>
      </c>
      <c r="M11" s="2"/>
      <c r="N11"/>
      <c r="O11" s="19"/>
      <c r="P11" s="19"/>
      <c r="Q11" s="19"/>
      <c r="R11" s="21"/>
      <c r="S11" s="46"/>
      <c r="T11" s="44"/>
      <c r="U11" s="76"/>
      <c r="V11" s="24"/>
      <c r="W11" s="24"/>
      <c r="X11" s="193"/>
      <c r="Y11" s="15"/>
      <c r="AA11">
        <v>2</v>
      </c>
      <c r="AB11" s="487"/>
      <c r="AC11" s="90">
        <v>3</v>
      </c>
      <c r="AD11" s="97" t="s">
        <v>59</v>
      </c>
      <c r="AE11" s="39">
        <f t="shared" si="2"/>
        <v>0</v>
      </c>
      <c r="AF11" s="65">
        <f t="shared" si="3"/>
        <v>0</v>
      </c>
      <c r="AG11" s="65">
        <f t="shared" si="4"/>
        <v>0</v>
      </c>
      <c r="AH11" s="65">
        <f t="shared" si="5"/>
        <v>0</v>
      </c>
      <c r="AI11" s="104">
        <f t="shared" si="6"/>
        <v>0</v>
      </c>
      <c r="AJ11" s="115">
        <f t="shared" si="7"/>
        <v>0</v>
      </c>
      <c r="AK11" s="116">
        <f t="shared" si="8"/>
        <v>0</v>
      </c>
      <c r="AL11" s="116">
        <f t="shared" si="9"/>
        <v>0</v>
      </c>
      <c r="AM11" s="116">
        <f t="shared" si="10"/>
        <v>0</v>
      </c>
      <c r="AN11" s="117">
        <f t="shared" si="11"/>
        <v>0</v>
      </c>
      <c r="AO11" s="39">
        <f t="shared" si="12"/>
        <v>0</v>
      </c>
      <c r="AP11" s="65">
        <f t="shared" si="13"/>
        <v>0</v>
      </c>
      <c r="AQ11" s="65">
        <f t="shared" si="14"/>
        <v>0</v>
      </c>
      <c r="AR11" s="65">
        <f t="shared" si="15"/>
        <v>0</v>
      </c>
      <c r="AS11" s="65">
        <f t="shared" si="16"/>
        <v>0</v>
      </c>
      <c r="AU11" s="152">
        <v>8</v>
      </c>
      <c r="AV11" s="153">
        <f t="shared" si="17"/>
        <v>0</v>
      </c>
      <c r="AW11" s="154">
        <f t="shared" si="18"/>
        <v>0</v>
      </c>
    </row>
    <row r="12" spans="2:49" s="8" customFormat="1" ht="13.5" customHeight="1" x14ac:dyDescent="0.25">
      <c r="B12" s="15">
        <v>10</v>
      </c>
      <c r="D12" s="5"/>
      <c r="E12" s="67"/>
      <c r="F12" s="16"/>
      <c r="J12" s="9"/>
      <c r="K12" s="9">
        <f t="shared" si="0"/>
        <v>0</v>
      </c>
      <c r="L12" s="35">
        <f t="shared" si="1"/>
        <v>0</v>
      </c>
      <c r="M12" s="2"/>
      <c r="N12"/>
      <c r="O12" s="19"/>
      <c r="P12" s="19"/>
      <c r="Q12" s="19"/>
      <c r="R12" s="21"/>
      <c r="S12" s="46"/>
      <c r="T12" s="44"/>
      <c r="U12" s="76"/>
      <c r="V12" s="24"/>
      <c r="W12" s="24"/>
      <c r="X12" s="193"/>
      <c r="Y12" s="15"/>
      <c r="AA12">
        <v>2</v>
      </c>
      <c r="AB12" s="487"/>
      <c r="AC12" s="90">
        <v>4</v>
      </c>
      <c r="AD12" s="97" t="s">
        <v>60</v>
      </c>
      <c r="AE12" s="39">
        <f t="shared" si="2"/>
        <v>0</v>
      </c>
      <c r="AF12" s="65">
        <f t="shared" si="3"/>
        <v>0</v>
      </c>
      <c r="AG12" s="65">
        <f t="shared" si="4"/>
        <v>0</v>
      </c>
      <c r="AH12" s="65">
        <f t="shared" si="5"/>
        <v>0</v>
      </c>
      <c r="AI12" s="104">
        <f t="shared" si="6"/>
        <v>0</v>
      </c>
      <c r="AJ12" s="115">
        <f t="shared" si="7"/>
        <v>0</v>
      </c>
      <c r="AK12" s="116">
        <f t="shared" si="8"/>
        <v>0</v>
      </c>
      <c r="AL12" s="116">
        <f t="shared" si="9"/>
        <v>0</v>
      </c>
      <c r="AM12" s="116">
        <f t="shared" si="10"/>
        <v>0</v>
      </c>
      <c r="AN12" s="117">
        <f t="shared" si="11"/>
        <v>0</v>
      </c>
      <c r="AO12" s="39">
        <f t="shared" si="12"/>
        <v>0</v>
      </c>
      <c r="AP12" s="65">
        <f t="shared" si="13"/>
        <v>0</v>
      </c>
      <c r="AQ12" s="65">
        <f t="shared" si="14"/>
        <v>0</v>
      </c>
      <c r="AR12" s="65">
        <f t="shared" si="15"/>
        <v>0</v>
      </c>
      <c r="AS12" s="65">
        <f t="shared" si="16"/>
        <v>0</v>
      </c>
      <c r="AU12" s="152">
        <v>9</v>
      </c>
      <c r="AV12" s="153">
        <f t="shared" si="17"/>
        <v>0</v>
      </c>
      <c r="AW12" s="154">
        <f t="shared" si="18"/>
        <v>0</v>
      </c>
    </row>
    <row r="13" spans="2:49" s="8" customFormat="1" ht="13.5" customHeight="1" x14ac:dyDescent="0.25">
      <c r="B13" s="15">
        <v>11</v>
      </c>
      <c r="D13" s="5"/>
      <c r="E13" s="67"/>
      <c r="F13" s="16"/>
      <c r="J13" s="9"/>
      <c r="K13" s="9">
        <f t="shared" si="0"/>
        <v>0</v>
      </c>
      <c r="L13" s="35">
        <f t="shared" si="1"/>
        <v>0</v>
      </c>
      <c r="M13" s="2"/>
      <c r="N13"/>
      <c r="O13" s="19"/>
      <c r="P13" s="19"/>
      <c r="Q13" s="19"/>
      <c r="R13" s="21"/>
      <c r="S13" s="46"/>
      <c r="T13" s="44"/>
      <c r="U13" s="76"/>
      <c r="V13" s="24"/>
      <c r="W13" s="24"/>
      <c r="X13" s="193"/>
      <c r="Y13" s="15"/>
      <c r="AA13">
        <v>2</v>
      </c>
      <c r="AB13" s="487"/>
      <c r="AC13" s="91">
        <v>5</v>
      </c>
      <c r="AD13" s="97"/>
      <c r="AE13" s="39">
        <f t="shared" si="2"/>
        <v>0</v>
      </c>
      <c r="AF13" s="65">
        <f t="shared" si="3"/>
        <v>0</v>
      </c>
      <c r="AG13" s="65">
        <f t="shared" si="4"/>
        <v>0</v>
      </c>
      <c r="AH13" s="65">
        <f t="shared" si="5"/>
        <v>0</v>
      </c>
      <c r="AI13" s="104">
        <f t="shared" si="6"/>
        <v>0</v>
      </c>
      <c r="AJ13" s="115">
        <f t="shared" si="7"/>
        <v>0</v>
      </c>
      <c r="AK13" s="116">
        <f t="shared" si="8"/>
        <v>0</v>
      </c>
      <c r="AL13" s="116">
        <f t="shared" si="9"/>
        <v>0</v>
      </c>
      <c r="AM13" s="116">
        <f t="shared" si="10"/>
        <v>0</v>
      </c>
      <c r="AN13" s="117">
        <f t="shared" si="11"/>
        <v>0</v>
      </c>
      <c r="AO13" s="39">
        <f t="shared" si="12"/>
        <v>0</v>
      </c>
      <c r="AP13" s="65">
        <f t="shared" si="13"/>
        <v>0</v>
      </c>
      <c r="AQ13" s="65">
        <f t="shared" si="14"/>
        <v>0</v>
      </c>
      <c r="AR13" s="65">
        <f t="shared" si="15"/>
        <v>0</v>
      </c>
      <c r="AS13" s="65">
        <f t="shared" si="16"/>
        <v>0</v>
      </c>
      <c r="AU13" s="152">
        <v>10</v>
      </c>
      <c r="AV13" s="153">
        <f t="shared" si="17"/>
        <v>0</v>
      </c>
      <c r="AW13" s="154">
        <f t="shared" si="18"/>
        <v>0</v>
      </c>
    </row>
    <row r="14" spans="2:49" s="8" customFormat="1" ht="13.5" customHeight="1" thickBot="1" x14ac:dyDescent="0.3">
      <c r="B14" s="15">
        <v>12</v>
      </c>
      <c r="D14" s="5"/>
      <c r="E14" s="67"/>
      <c r="F14" s="16"/>
      <c r="J14" s="9"/>
      <c r="K14" s="9">
        <f t="shared" si="0"/>
        <v>0</v>
      </c>
      <c r="L14" s="35">
        <f t="shared" si="1"/>
        <v>0</v>
      </c>
      <c r="M14" s="2"/>
      <c r="N14"/>
      <c r="O14" s="19"/>
      <c r="P14" s="19"/>
      <c r="Q14" s="19"/>
      <c r="R14" s="21"/>
      <c r="S14" s="46"/>
      <c r="T14" s="44"/>
      <c r="U14" s="76"/>
      <c r="V14" s="29"/>
      <c r="W14" s="24"/>
      <c r="X14" s="193"/>
      <c r="Y14" s="15"/>
      <c r="AA14">
        <v>2</v>
      </c>
      <c r="AB14" s="488"/>
      <c r="AC14" s="92" t="s">
        <v>3</v>
      </c>
      <c r="AD14" s="98"/>
      <c r="AE14" s="94">
        <f t="shared" ref="AE14:AS14" si="20">SUM(AE9:AE13)</f>
        <v>0</v>
      </c>
      <c r="AF14" s="94">
        <f t="shared" si="20"/>
        <v>0</v>
      </c>
      <c r="AG14" s="94">
        <f t="shared" si="20"/>
        <v>0</v>
      </c>
      <c r="AH14" s="94">
        <f t="shared" si="20"/>
        <v>0</v>
      </c>
      <c r="AI14" s="105">
        <f t="shared" si="20"/>
        <v>0</v>
      </c>
      <c r="AJ14" s="118">
        <f t="shared" si="20"/>
        <v>0</v>
      </c>
      <c r="AK14" s="119">
        <f t="shared" si="20"/>
        <v>0</v>
      </c>
      <c r="AL14" s="119">
        <f t="shared" si="20"/>
        <v>0</v>
      </c>
      <c r="AM14" s="119">
        <f t="shared" si="20"/>
        <v>0</v>
      </c>
      <c r="AN14" s="120">
        <f t="shared" si="20"/>
        <v>0</v>
      </c>
      <c r="AO14" s="94">
        <f t="shared" si="20"/>
        <v>0</v>
      </c>
      <c r="AP14" s="94">
        <f t="shared" si="20"/>
        <v>0</v>
      </c>
      <c r="AQ14" s="94">
        <f t="shared" si="20"/>
        <v>0</v>
      </c>
      <c r="AR14" s="94">
        <f t="shared" si="20"/>
        <v>0</v>
      </c>
      <c r="AS14" s="94">
        <f t="shared" si="20"/>
        <v>0</v>
      </c>
      <c r="AU14" s="152">
        <v>11</v>
      </c>
      <c r="AV14" s="153">
        <f t="shared" si="17"/>
        <v>0</v>
      </c>
      <c r="AW14" s="154">
        <f t="shared" si="18"/>
        <v>0</v>
      </c>
    </row>
    <row r="15" spans="2:49" s="8" customFormat="1" ht="13.5" customHeight="1" thickBot="1" x14ac:dyDescent="0.3">
      <c r="B15" s="15">
        <v>13</v>
      </c>
      <c r="D15" s="5"/>
      <c r="E15" s="67"/>
      <c r="F15" s="16"/>
      <c r="J15" s="9"/>
      <c r="K15" s="9">
        <f t="shared" si="0"/>
        <v>0</v>
      </c>
      <c r="L15" s="35">
        <f t="shared" si="1"/>
        <v>0</v>
      </c>
      <c r="M15" s="2"/>
      <c r="N15"/>
      <c r="O15" s="19"/>
      <c r="P15" s="19"/>
      <c r="Q15" s="19"/>
      <c r="R15" s="21"/>
      <c r="S15" s="46"/>
      <c r="T15" s="44"/>
      <c r="U15" s="76"/>
      <c r="V15" s="30"/>
      <c r="W15" s="24"/>
      <c r="X15" s="193"/>
      <c r="Y15" s="15"/>
      <c r="AA15">
        <v>3</v>
      </c>
      <c r="AB15" s="486">
        <v>3</v>
      </c>
      <c r="AC15" s="89">
        <v>1</v>
      </c>
      <c r="AD15" s="95" t="s">
        <v>83</v>
      </c>
      <c r="AE15" s="39">
        <f t="shared" si="2"/>
        <v>0</v>
      </c>
      <c r="AF15" s="65">
        <f t="shared" si="3"/>
        <v>0</v>
      </c>
      <c r="AG15" s="65">
        <f t="shared" si="4"/>
        <v>0</v>
      </c>
      <c r="AH15" s="65">
        <f t="shared" si="5"/>
        <v>0</v>
      </c>
      <c r="AI15" s="104">
        <f t="shared" si="6"/>
        <v>0</v>
      </c>
      <c r="AJ15" s="115">
        <f t="shared" si="7"/>
        <v>0</v>
      </c>
      <c r="AK15" s="116">
        <f t="shared" si="8"/>
        <v>0</v>
      </c>
      <c r="AL15" s="116">
        <f t="shared" si="9"/>
        <v>0</v>
      </c>
      <c r="AM15" s="116">
        <f t="shared" si="10"/>
        <v>0</v>
      </c>
      <c r="AN15" s="117">
        <f t="shared" si="11"/>
        <v>0</v>
      </c>
      <c r="AO15" s="39">
        <f t="shared" si="12"/>
        <v>0</v>
      </c>
      <c r="AP15" s="65">
        <f t="shared" si="13"/>
        <v>0</v>
      </c>
      <c r="AQ15" s="65">
        <f t="shared" si="14"/>
        <v>0</v>
      </c>
      <c r="AR15" s="65">
        <f t="shared" si="15"/>
        <v>0</v>
      </c>
      <c r="AS15" s="65">
        <f t="shared" si="16"/>
        <v>0</v>
      </c>
      <c r="AU15" s="155">
        <v>12</v>
      </c>
      <c r="AV15" s="153">
        <f t="shared" si="17"/>
        <v>0</v>
      </c>
      <c r="AW15" s="154">
        <f t="shared" si="18"/>
        <v>0</v>
      </c>
    </row>
    <row r="16" spans="2:49" s="8" customFormat="1" ht="13.5" customHeight="1" thickBot="1" x14ac:dyDescent="0.3">
      <c r="B16" s="15">
        <v>14</v>
      </c>
      <c r="D16" s="5"/>
      <c r="E16" s="67"/>
      <c r="F16" s="16"/>
      <c r="J16" s="9"/>
      <c r="K16" s="9">
        <f t="shared" si="0"/>
        <v>0</v>
      </c>
      <c r="L16" s="35">
        <f t="shared" si="1"/>
        <v>0</v>
      </c>
      <c r="M16" s="2"/>
      <c r="N16"/>
      <c r="O16" s="19"/>
      <c r="P16" s="19"/>
      <c r="Q16" s="19"/>
      <c r="R16" s="21"/>
      <c r="S16" s="46"/>
      <c r="T16" s="44"/>
      <c r="U16" s="76"/>
      <c r="V16" s="30"/>
      <c r="W16" s="24"/>
      <c r="X16" s="193"/>
      <c r="Y16" s="15"/>
      <c r="AA16">
        <v>3</v>
      </c>
      <c r="AB16" s="487"/>
      <c r="AC16" s="90">
        <v>2</v>
      </c>
      <c r="AD16" s="96" t="s">
        <v>58</v>
      </c>
      <c r="AE16" s="39">
        <f t="shared" si="2"/>
        <v>0</v>
      </c>
      <c r="AF16" s="65">
        <f t="shared" si="3"/>
        <v>0</v>
      </c>
      <c r="AG16" s="65">
        <f t="shared" si="4"/>
        <v>0</v>
      </c>
      <c r="AH16" s="65">
        <f t="shared" si="5"/>
        <v>0</v>
      </c>
      <c r="AI16" s="104">
        <f t="shared" si="6"/>
        <v>0</v>
      </c>
      <c r="AJ16" s="115">
        <f t="shared" si="7"/>
        <v>0</v>
      </c>
      <c r="AK16" s="116">
        <f t="shared" si="8"/>
        <v>0</v>
      </c>
      <c r="AL16" s="116">
        <f t="shared" si="9"/>
        <v>0</v>
      </c>
      <c r="AM16" s="116">
        <f t="shared" si="10"/>
        <v>0</v>
      </c>
      <c r="AN16" s="117">
        <f t="shared" si="11"/>
        <v>0</v>
      </c>
      <c r="AO16" s="39">
        <f t="shared" si="12"/>
        <v>0</v>
      </c>
      <c r="AP16" s="65">
        <f t="shared" si="13"/>
        <v>0</v>
      </c>
      <c r="AQ16" s="65">
        <f t="shared" si="14"/>
        <v>0</v>
      </c>
      <c r="AR16" s="65">
        <f t="shared" si="15"/>
        <v>0</v>
      </c>
      <c r="AS16" s="65">
        <f t="shared" si="16"/>
        <v>0</v>
      </c>
      <c r="AU16" s="156" t="s">
        <v>3</v>
      </c>
      <c r="AV16" s="157">
        <f>SUM(AV4:AV15)</f>
        <v>0</v>
      </c>
      <c r="AW16" s="157">
        <f>SUM(AW4:AW15)</f>
        <v>0</v>
      </c>
    </row>
    <row r="17" spans="2:49" s="8" customFormat="1" ht="13.5" customHeight="1" thickBot="1" x14ac:dyDescent="0.3">
      <c r="B17" s="15">
        <v>15</v>
      </c>
      <c r="D17" s="5"/>
      <c r="E17" s="67"/>
      <c r="F17" s="16"/>
      <c r="J17" s="9"/>
      <c r="K17" s="9">
        <f t="shared" si="0"/>
        <v>0</v>
      </c>
      <c r="L17" s="35">
        <f t="shared" si="1"/>
        <v>0</v>
      </c>
      <c r="M17" s="2"/>
      <c r="N17"/>
      <c r="O17" s="19"/>
      <c r="P17" s="19"/>
      <c r="Q17" s="19"/>
      <c r="R17" s="21"/>
      <c r="S17" s="46"/>
      <c r="T17" s="83"/>
      <c r="U17" s="76"/>
      <c r="V17" s="30"/>
      <c r="W17" s="24"/>
      <c r="X17" s="193"/>
      <c r="Y17" s="15"/>
      <c r="AA17">
        <v>3</v>
      </c>
      <c r="AB17" s="487"/>
      <c r="AC17" s="90">
        <v>3</v>
      </c>
      <c r="AD17" s="97" t="s">
        <v>59</v>
      </c>
      <c r="AE17" s="39">
        <f t="shared" si="2"/>
        <v>0</v>
      </c>
      <c r="AF17" s="65">
        <f t="shared" si="3"/>
        <v>0</v>
      </c>
      <c r="AG17" s="65">
        <f t="shared" si="4"/>
        <v>0</v>
      </c>
      <c r="AH17" s="65">
        <f t="shared" si="5"/>
        <v>0</v>
      </c>
      <c r="AI17" s="104">
        <f t="shared" si="6"/>
        <v>0</v>
      </c>
      <c r="AJ17" s="115">
        <f t="shared" si="7"/>
        <v>0</v>
      </c>
      <c r="AK17" s="116">
        <f t="shared" si="8"/>
        <v>0</v>
      </c>
      <c r="AL17" s="116">
        <f t="shared" si="9"/>
        <v>0</v>
      </c>
      <c r="AM17" s="116">
        <f t="shared" si="10"/>
        <v>0</v>
      </c>
      <c r="AN17" s="117">
        <f t="shared" si="11"/>
        <v>0</v>
      </c>
      <c r="AO17" s="39">
        <f t="shared" si="12"/>
        <v>0</v>
      </c>
      <c r="AP17" s="65">
        <f t="shared" si="13"/>
        <v>0</v>
      </c>
      <c r="AQ17" s="65">
        <f t="shared" si="14"/>
        <v>0</v>
      </c>
      <c r="AR17" s="65">
        <f t="shared" si="15"/>
        <v>0</v>
      </c>
      <c r="AS17" s="65">
        <f t="shared" si="16"/>
        <v>0</v>
      </c>
      <c r="AU17" s="156" t="s">
        <v>120</v>
      </c>
      <c r="AV17" s="158" t="e">
        <f>AV16/($AV$16+$AW$16)</f>
        <v>#DIV/0!</v>
      </c>
      <c r="AW17" s="159" t="e">
        <f>AW16/($AW$16+$AV$16)</f>
        <v>#DIV/0!</v>
      </c>
    </row>
    <row r="18" spans="2:49" s="8" customFormat="1" ht="13.5" customHeight="1" x14ac:dyDescent="0.25">
      <c r="B18" s="15">
        <v>16</v>
      </c>
      <c r="D18" s="5"/>
      <c r="E18" s="67"/>
      <c r="F18" s="16"/>
      <c r="J18" s="9"/>
      <c r="K18" s="9">
        <f t="shared" si="0"/>
        <v>0</v>
      </c>
      <c r="L18" s="35">
        <f t="shared" si="1"/>
        <v>0</v>
      </c>
      <c r="M18" s="2"/>
      <c r="N18"/>
      <c r="O18" s="19"/>
      <c r="P18" s="19"/>
      <c r="Q18" s="19"/>
      <c r="R18" s="21"/>
      <c r="S18" s="46"/>
      <c r="T18" s="44"/>
      <c r="U18" s="76"/>
      <c r="V18" s="24"/>
      <c r="W18" s="24"/>
      <c r="X18" s="193"/>
      <c r="Y18" s="15"/>
      <c r="AA18">
        <v>3</v>
      </c>
      <c r="AB18" s="487"/>
      <c r="AC18" s="90">
        <v>4</v>
      </c>
      <c r="AD18" s="97" t="s">
        <v>60</v>
      </c>
      <c r="AE18" s="39">
        <f t="shared" si="2"/>
        <v>0</v>
      </c>
      <c r="AF18" s="65">
        <f t="shared" si="3"/>
        <v>0</v>
      </c>
      <c r="AG18" s="65">
        <f t="shared" si="4"/>
        <v>0</v>
      </c>
      <c r="AH18" s="65">
        <f t="shared" si="5"/>
        <v>0</v>
      </c>
      <c r="AI18" s="104">
        <f t="shared" si="6"/>
        <v>0</v>
      </c>
      <c r="AJ18" s="115">
        <f t="shared" si="7"/>
        <v>0</v>
      </c>
      <c r="AK18" s="116">
        <f t="shared" si="8"/>
        <v>0</v>
      </c>
      <c r="AL18" s="116">
        <f t="shared" si="9"/>
        <v>0</v>
      </c>
      <c r="AM18" s="116">
        <f t="shared" si="10"/>
        <v>0</v>
      </c>
      <c r="AN18" s="117">
        <f t="shared" si="11"/>
        <v>0</v>
      </c>
      <c r="AO18" s="39">
        <f t="shared" si="12"/>
        <v>0</v>
      </c>
      <c r="AP18" s="65">
        <f t="shared" si="13"/>
        <v>0</v>
      </c>
      <c r="AQ18" s="65">
        <f t="shared" si="14"/>
        <v>0</v>
      </c>
      <c r="AR18" s="65">
        <f t="shared" si="15"/>
        <v>0</v>
      </c>
      <c r="AS18" s="65">
        <f t="shared" si="16"/>
        <v>0</v>
      </c>
    </row>
    <row r="19" spans="2:49" s="8" customFormat="1" ht="13.5" customHeight="1" x14ac:dyDescent="0.25">
      <c r="B19" s="15">
        <v>17</v>
      </c>
      <c r="D19" s="5"/>
      <c r="E19" s="67"/>
      <c r="F19" s="16"/>
      <c r="J19" s="9"/>
      <c r="K19" s="9">
        <f t="shared" si="0"/>
        <v>0</v>
      </c>
      <c r="L19" s="35">
        <f t="shared" si="1"/>
        <v>0</v>
      </c>
      <c r="M19" s="2"/>
      <c r="N19"/>
      <c r="O19" s="19"/>
      <c r="P19" s="19"/>
      <c r="Q19" s="19"/>
      <c r="R19" s="21"/>
      <c r="S19" s="46"/>
      <c r="T19" s="44"/>
      <c r="U19" s="76"/>
      <c r="V19" s="24"/>
      <c r="W19" s="24"/>
      <c r="X19" s="193"/>
      <c r="Y19" s="15"/>
      <c r="AA19">
        <v>3</v>
      </c>
      <c r="AB19" s="487"/>
      <c r="AC19" s="91">
        <v>5</v>
      </c>
      <c r="AD19" s="97"/>
      <c r="AE19" s="39">
        <f t="shared" si="2"/>
        <v>0</v>
      </c>
      <c r="AF19" s="65">
        <f t="shared" si="3"/>
        <v>0</v>
      </c>
      <c r="AG19" s="65">
        <f t="shared" si="4"/>
        <v>0</v>
      </c>
      <c r="AH19" s="65">
        <f t="shared" si="5"/>
        <v>0</v>
      </c>
      <c r="AI19" s="104">
        <f t="shared" si="6"/>
        <v>0</v>
      </c>
      <c r="AJ19" s="115">
        <f t="shared" si="7"/>
        <v>0</v>
      </c>
      <c r="AK19" s="116">
        <f t="shared" si="8"/>
        <v>0</v>
      </c>
      <c r="AL19" s="116">
        <f t="shared" si="9"/>
        <v>0</v>
      </c>
      <c r="AM19" s="116">
        <f t="shared" si="10"/>
        <v>0</v>
      </c>
      <c r="AN19" s="117">
        <f t="shared" si="11"/>
        <v>0</v>
      </c>
      <c r="AO19" s="39">
        <f t="shared" si="12"/>
        <v>0</v>
      </c>
      <c r="AP19" s="65">
        <f t="shared" si="13"/>
        <v>0</v>
      </c>
      <c r="AQ19" s="65">
        <f t="shared" si="14"/>
        <v>0</v>
      </c>
      <c r="AR19" s="65">
        <f t="shared" si="15"/>
        <v>0</v>
      </c>
      <c r="AS19" s="65">
        <f t="shared" si="16"/>
        <v>0</v>
      </c>
    </row>
    <row r="20" spans="2:49" s="8" customFormat="1" ht="13.5" customHeight="1" thickBot="1" x14ac:dyDescent="0.3">
      <c r="B20" s="15">
        <v>18</v>
      </c>
      <c r="D20" s="5"/>
      <c r="E20" s="67"/>
      <c r="F20" s="16"/>
      <c r="J20" s="9"/>
      <c r="K20" s="9">
        <f t="shared" si="0"/>
        <v>0</v>
      </c>
      <c r="L20" s="35">
        <f t="shared" si="1"/>
        <v>0</v>
      </c>
      <c r="M20" s="2"/>
      <c r="N20"/>
      <c r="O20" s="19"/>
      <c r="P20" s="19"/>
      <c r="Q20" s="19"/>
      <c r="R20" s="21"/>
      <c r="S20" s="46"/>
      <c r="T20" s="44"/>
      <c r="U20" s="76"/>
      <c r="V20" s="24"/>
      <c r="W20" s="24"/>
      <c r="X20" s="193"/>
      <c r="Y20" s="15"/>
      <c r="AA20">
        <v>3</v>
      </c>
      <c r="AB20" s="488"/>
      <c r="AC20" s="92" t="s">
        <v>3</v>
      </c>
      <c r="AD20" s="98"/>
      <c r="AE20" s="94">
        <f t="shared" ref="AE20:AS20" si="21">SUM(AE15:AE19)</f>
        <v>0</v>
      </c>
      <c r="AF20" s="94">
        <f t="shared" si="21"/>
        <v>0</v>
      </c>
      <c r="AG20" s="94">
        <f t="shared" si="21"/>
        <v>0</v>
      </c>
      <c r="AH20" s="94">
        <f t="shared" si="21"/>
        <v>0</v>
      </c>
      <c r="AI20" s="105">
        <f t="shared" si="21"/>
        <v>0</v>
      </c>
      <c r="AJ20" s="118">
        <f t="shared" si="21"/>
        <v>0</v>
      </c>
      <c r="AK20" s="119">
        <f t="shared" si="21"/>
        <v>0</v>
      </c>
      <c r="AL20" s="119">
        <f t="shared" si="21"/>
        <v>0</v>
      </c>
      <c r="AM20" s="119">
        <f t="shared" si="21"/>
        <v>0</v>
      </c>
      <c r="AN20" s="120">
        <f t="shared" si="21"/>
        <v>0</v>
      </c>
      <c r="AO20" s="94">
        <f t="shared" si="21"/>
        <v>0</v>
      </c>
      <c r="AP20" s="94">
        <f t="shared" si="21"/>
        <v>0</v>
      </c>
      <c r="AQ20" s="94">
        <f t="shared" si="21"/>
        <v>0</v>
      </c>
      <c r="AR20" s="94">
        <f t="shared" si="21"/>
        <v>0</v>
      </c>
      <c r="AS20" s="94">
        <f t="shared" si="21"/>
        <v>0</v>
      </c>
    </row>
    <row r="21" spans="2:49" s="8" customFormat="1" ht="13.5" customHeight="1" x14ac:dyDescent="0.25">
      <c r="B21" s="15">
        <v>19</v>
      </c>
      <c r="D21" s="5"/>
      <c r="E21" s="67"/>
      <c r="F21" s="16"/>
      <c r="J21" s="9"/>
      <c r="K21" s="9">
        <f t="shared" si="0"/>
        <v>0</v>
      </c>
      <c r="L21" s="35">
        <f t="shared" si="1"/>
        <v>0</v>
      </c>
      <c r="M21" s="2"/>
      <c r="N21"/>
      <c r="O21" s="19"/>
      <c r="P21" s="19"/>
      <c r="Q21" s="19"/>
      <c r="R21" s="21"/>
      <c r="S21" s="46"/>
      <c r="T21" s="44"/>
      <c r="U21" s="76"/>
      <c r="V21" s="24"/>
      <c r="W21" s="24"/>
      <c r="X21" s="193"/>
      <c r="Y21" s="15"/>
      <c r="AA21">
        <v>4</v>
      </c>
      <c r="AB21" s="486">
        <v>4</v>
      </c>
      <c r="AC21" s="89">
        <v>1</v>
      </c>
      <c r="AD21" s="95" t="s">
        <v>84</v>
      </c>
      <c r="AE21" s="39">
        <f t="shared" si="2"/>
        <v>0</v>
      </c>
      <c r="AF21" s="65">
        <f t="shared" si="3"/>
        <v>0</v>
      </c>
      <c r="AG21" s="65">
        <f t="shared" si="4"/>
        <v>0</v>
      </c>
      <c r="AH21" s="65">
        <f t="shared" si="5"/>
        <v>0</v>
      </c>
      <c r="AI21" s="104">
        <f t="shared" si="6"/>
        <v>0</v>
      </c>
      <c r="AJ21" s="115">
        <f t="shared" si="7"/>
        <v>0</v>
      </c>
      <c r="AK21" s="116">
        <f t="shared" si="8"/>
        <v>0</v>
      </c>
      <c r="AL21" s="116">
        <f t="shared" si="9"/>
        <v>0</v>
      </c>
      <c r="AM21" s="116">
        <f t="shared" si="10"/>
        <v>0</v>
      </c>
      <c r="AN21" s="117">
        <f t="shared" si="11"/>
        <v>0</v>
      </c>
      <c r="AO21" s="39">
        <f t="shared" si="12"/>
        <v>0</v>
      </c>
      <c r="AP21" s="65">
        <f t="shared" si="13"/>
        <v>0</v>
      </c>
      <c r="AQ21" s="65">
        <f t="shared" si="14"/>
        <v>0</v>
      </c>
      <c r="AR21" s="65">
        <f t="shared" si="15"/>
        <v>0</v>
      </c>
      <c r="AS21" s="65">
        <f t="shared" si="16"/>
        <v>0</v>
      </c>
    </row>
    <row r="22" spans="2:49" s="8" customFormat="1" ht="13.5" customHeight="1" x14ac:dyDescent="0.25">
      <c r="B22" s="15">
        <v>20</v>
      </c>
      <c r="D22" s="5"/>
      <c r="E22" s="67"/>
      <c r="F22" s="16"/>
      <c r="J22" s="9"/>
      <c r="K22" s="9">
        <f t="shared" si="0"/>
        <v>0</v>
      </c>
      <c r="L22" s="35">
        <f t="shared" si="1"/>
        <v>0</v>
      </c>
      <c r="M22" s="2"/>
      <c r="N22"/>
      <c r="O22" s="19"/>
      <c r="P22" s="19"/>
      <c r="Q22" s="19"/>
      <c r="R22" s="21"/>
      <c r="S22" s="46"/>
      <c r="T22" s="44"/>
      <c r="U22" s="76"/>
      <c r="V22" s="24"/>
      <c r="W22" s="24"/>
      <c r="X22" s="193"/>
      <c r="Y22" s="15"/>
      <c r="AA22">
        <v>4</v>
      </c>
      <c r="AB22" s="487"/>
      <c r="AC22" s="90">
        <v>2</v>
      </c>
      <c r="AD22" s="97" t="s">
        <v>61</v>
      </c>
      <c r="AE22" s="39">
        <f t="shared" si="2"/>
        <v>0</v>
      </c>
      <c r="AF22" s="65">
        <f t="shared" si="3"/>
        <v>0</v>
      </c>
      <c r="AG22" s="65">
        <f t="shared" si="4"/>
        <v>0</v>
      </c>
      <c r="AH22" s="65">
        <f t="shared" si="5"/>
        <v>0</v>
      </c>
      <c r="AI22" s="104">
        <f t="shared" si="6"/>
        <v>0</v>
      </c>
      <c r="AJ22" s="115">
        <f t="shared" si="7"/>
        <v>0</v>
      </c>
      <c r="AK22" s="116">
        <f t="shared" si="8"/>
        <v>0</v>
      </c>
      <c r="AL22" s="116">
        <f t="shared" si="9"/>
        <v>0</v>
      </c>
      <c r="AM22" s="116">
        <f t="shared" si="10"/>
        <v>0</v>
      </c>
      <c r="AN22" s="117">
        <f t="shared" si="11"/>
        <v>0</v>
      </c>
      <c r="AO22" s="39">
        <f t="shared" si="12"/>
        <v>0</v>
      </c>
      <c r="AP22" s="65">
        <f t="shared" si="13"/>
        <v>0</v>
      </c>
      <c r="AQ22" s="65">
        <f t="shared" si="14"/>
        <v>0</v>
      </c>
      <c r="AR22" s="65">
        <f t="shared" si="15"/>
        <v>0</v>
      </c>
      <c r="AS22" s="65">
        <f t="shared" si="16"/>
        <v>0</v>
      </c>
    </row>
    <row r="23" spans="2:49" s="8" customFormat="1" ht="13.5" customHeight="1" x14ac:dyDescent="0.25">
      <c r="B23" s="15">
        <v>21</v>
      </c>
      <c r="D23" s="5"/>
      <c r="E23" s="67"/>
      <c r="F23" s="16"/>
      <c r="J23" s="9"/>
      <c r="K23" s="9">
        <f t="shared" si="0"/>
        <v>0</v>
      </c>
      <c r="L23" s="35">
        <f t="shared" si="1"/>
        <v>0</v>
      </c>
      <c r="M23" s="2"/>
      <c r="N23" s="2"/>
      <c r="O23" s="19"/>
      <c r="P23" s="19"/>
      <c r="Q23" s="19"/>
      <c r="R23" s="21"/>
      <c r="S23" s="46"/>
      <c r="T23" s="44"/>
      <c r="U23" s="76"/>
      <c r="V23" s="24"/>
      <c r="W23" s="24"/>
      <c r="X23" s="193"/>
      <c r="Y23" s="15"/>
      <c r="AA23">
        <v>4</v>
      </c>
      <c r="AB23" s="487"/>
      <c r="AC23" s="90">
        <v>3</v>
      </c>
      <c r="AD23" s="97" t="s">
        <v>62</v>
      </c>
      <c r="AE23" s="39">
        <f t="shared" si="2"/>
        <v>0</v>
      </c>
      <c r="AF23" s="65">
        <f t="shared" si="3"/>
        <v>0</v>
      </c>
      <c r="AG23" s="65">
        <f t="shared" si="4"/>
        <v>0</v>
      </c>
      <c r="AH23" s="65">
        <f t="shared" si="5"/>
        <v>0</v>
      </c>
      <c r="AI23" s="104">
        <f t="shared" si="6"/>
        <v>0</v>
      </c>
      <c r="AJ23" s="115">
        <f t="shared" si="7"/>
        <v>0</v>
      </c>
      <c r="AK23" s="116">
        <f t="shared" si="8"/>
        <v>0</v>
      </c>
      <c r="AL23" s="116">
        <f t="shared" si="9"/>
        <v>0</v>
      </c>
      <c r="AM23" s="116">
        <f t="shared" si="10"/>
        <v>0</v>
      </c>
      <c r="AN23" s="117">
        <f t="shared" si="11"/>
        <v>0</v>
      </c>
      <c r="AO23" s="39">
        <f t="shared" si="12"/>
        <v>0</v>
      </c>
      <c r="AP23" s="65">
        <f t="shared" si="13"/>
        <v>0</v>
      </c>
      <c r="AQ23" s="65">
        <f t="shared" si="14"/>
        <v>0</v>
      </c>
      <c r="AR23" s="65">
        <f t="shared" si="15"/>
        <v>0</v>
      </c>
      <c r="AS23" s="65">
        <f t="shared" si="16"/>
        <v>0</v>
      </c>
    </row>
    <row r="24" spans="2:49" s="8" customFormat="1" ht="13.5" customHeight="1" x14ac:dyDescent="0.25">
      <c r="B24" s="15">
        <v>22</v>
      </c>
      <c r="D24" s="5"/>
      <c r="E24" s="67"/>
      <c r="F24" s="16"/>
      <c r="J24" s="9"/>
      <c r="K24" s="9">
        <f t="shared" si="0"/>
        <v>0</v>
      </c>
      <c r="L24" s="35">
        <f t="shared" si="1"/>
        <v>0</v>
      </c>
      <c r="M24" s="2"/>
      <c r="N24" s="2"/>
      <c r="O24" s="19"/>
      <c r="P24" s="19"/>
      <c r="Q24" s="19"/>
      <c r="R24" s="21"/>
      <c r="S24" s="46"/>
      <c r="T24" s="44"/>
      <c r="U24" s="76"/>
      <c r="V24" s="24"/>
      <c r="W24" s="24"/>
      <c r="X24" s="193"/>
      <c r="Y24" s="15"/>
      <c r="AA24">
        <v>4</v>
      </c>
      <c r="AB24" s="487"/>
      <c r="AC24" s="90">
        <v>4</v>
      </c>
      <c r="AD24" s="97" t="s">
        <v>63</v>
      </c>
      <c r="AE24" s="39">
        <f t="shared" si="2"/>
        <v>0</v>
      </c>
      <c r="AF24" s="65">
        <f t="shared" si="3"/>
        <v>0</v>
      </c>
      <c r="AG24" s="65">
        <f t="shared" si="4"/>
        <v>0</v>
      </c>
      <c r="AH24" s="65">
        <f t="shared" si="5"/>
        <v>0</v>
      </c>
      <c r="AI24" s="104">
        <f t="shared" si="6"/>
        <v>0</v>
      </c>
      <c r="AJ24" s="115">
        <f t="shared" si="7"/>
        <v>0</v>
      </c>
      <c r="AK24" s="116">
        <f t="shared" si="8"/>
        <v>0</v>
      </c>
      <c r="AL24" s="116">
        <f t="shared" si="9"/>
        <v>0</v>
      </c>
      <c r="AM24" s="116">
        <f t="shared" si="10"/>
        <v>0</v>
      </c>
      <c r="AN24" s="117">
        <f t="shared" si="11"/>
        <v>0</v>
      </c>
      <c r="AO24" s="39">
        <f t="shared" si="12"/>
        <v>0</v>
      </c>
      <c r="AP24" s="65">
        <f t="shared" si="13"/>
        <v>0</v>
      </c>
      <c r="AQ24" s="65">
        <f t="shared" si="14"/>
        <v>0</v>
      </c>
      <c r="AR24" s="65">
        <f t="shared" si="15"/>
        <v>0</v>
      </c>
      <c r="AS24" s="65">
        <f t="shared" si="16"/>
        <v>0</v>
      </c>
      <c r="AU24" s="194" t="s">
        <v>149</v>
      </c>
      <c r="AV24" s="194" t="s">
        <v>150</v>
      </c>
      <c r="AW24" s="194" t="s">
        <v>120</v>
      </c>
    </row>
    <row r="25" spans="2:49" s="8" customFormat="1" ht="13.5" customHeight="1" x14ac:dyDescent="0.25">
      <c r="B25" s="15">
        <v>23</v>
      </c>
      <c r="D25" s="5"/>
      <c r="E25" s="67"/>
      <c r="F25" s="16"/>
      <c r="J25" s="9"/>
      <c r="K25" s="9">
        <f t="shared" si="0"/>
        <v>0</v>
      </c>
      <c r="L25" s="35">
        <f t="shared" si="1"/>
        <v>0</v>
      </c>
      <c r="M25" s="2"/>
      <c r="N25"/>
      <c r="O25" s="19"/>
      <c r="P25" s="19"/>
      <c r="Q25" s="19"/>
      <c r="R25" s="21"/>
      <c r="S25" s="46"/>
      <c r="T25" s="44"/>
      <c r="U25" s="76"/>
      <c r="V25" s="24"/>
      <c r="W25" s="24"/>
      <c r="X25" s="193"/>
      <c r="Y25" s="15"/>
      <c r="AA25">
        <v>4</v>
      </c>
      <c r="AB25" s="487"/>
      <c r="AC25" s="91">
        <v>5</v>
      </c>
      <c r="AD25" s="97" t="s">
        <v>85</v>
      </c>
      <c r="AE25" s="39">
        <f t="shared" si="2"/>
        <v>0</v>
      </c>
      <c r="AF25" s="65">
        <f t="shared" si="3"/>
        <v>0</v>
      </c>
      <c r="AG25" s="65">
        <f t="shared" si="4"/>
        <v>0</v>
      </c>
      <c r="AH25" s="65">
        <f t="shared" si="5"/>
        <v>0</v>
      </c>
      <c r="AI25" s="104">
        <f t="shared" si="6"/>
        <v>0</v>
      </c>
      <c r="AJ25" s="115">
        <f t="shared" si="7"/>
        <v>0</v>
      </c>
      <c r="AK25" s="116">
        <f t="shared" si="8"/>
        <v>0</v>
      </c>
      <c r="AL25" s="116">
        <f t="shared" si="9"/>
        <v>0</v>
      </c>
      <c r="AM25" s="116">
        <f t="shared" si="10"/>
        <v>0</v>
      </c>
      <c r="AN25" s="117">
        <f t="shared" si="11"/>
        <v>0</v>
      </c>
      <c r="AO25" s="39">
        <f t="shared" si="12"/>
        <v>0</v>
      </c>
      <c r="AP25" s="65">
        <f t="shared" si="13"/>
        <v>0</v>
      </c>
      <c r="AQ25" s="65">
        <f t="shared" si="14"/>
        <v>0</v>
      </c>
      <c r="AR25" s="65">
        <f t="shared" si="15"/>
        <v>0</v>
      </c>
      <c r="AS25" s="65">
        <f t="shared" si="16"/>
        <v>0</v>
      </c>
      <c r="AU25" s="195" t="s">
        <v>160</v>
      </c>
      <c r="AV25" s="195">
        <f>COUNTIF($X:$X, AU25)</f>
        <v>0</v>
      </c>
      <c r="AW25" s="196" t="e">
        <f>AV25/$AV$33</f>
        <v>#DIV/0!</v>
      </c>
    </row>
    <row r="26" spans="2:49" s="8" customFormat="1" ht="13.5" customHeight="1" thickBot="1" x14ac:dyDescent="0.3">
      <c r="B26" s="15">
        <v>24</v>
      </c>
      <c r="D26" s="5"/>
      <c r="E26" s="67"/>
      <c r="F26" s="16"/>
      <c r="J26" s="9"/>
      <c r="K26" s="9">
        <f t="shared" si="0"/>
        <v>0</v>
      </c>
      <c r="L26" s="35">
        <f t="shared" si="1"/>
        <v>0</v>
      </c>
      <c r="M26" s="2"/>
      <c r="N26"/>
      <c r="O26" s="19"/>
      <c r="P26" s="19"/>
      <c r="Q26" s="19"/>
      <c r="R26" s="21"/>
      <c r="S26" s="46"/>
      <c r="T26" s="44"/>
      <c r="U26" s="76"/>
      <c r="V26" s="24"/>
      <c r="W26" s="24"/>
      <c r="X26" s="193"/>
      <c r="Y26" s="15"/>
      <c r="AA26">
        <v>4</v>
      </c>
      <c r="AB26" s="488"/>
      <c r="AC26" s="92" t="s">
        <v>3</v>
      </c>
      <c r="AD26" s="98"/>
      <c r="AE26" s="94">
        <f t="shared" ref="AE26:AS26" si="22">SUM(AE21:AE25)</f>
        <v>0</v>
      </c>
      <c r="AF26" s="94">
        <f t="shared" si="22"/>
        <v>0</v>
      </c>
      <c r="AG26" s="94">
        <f t="shared" si="22"/>
        <v>0</v>
      </c>
      <c r="AH26" s="94">
        <f t="shared" si="22"/>
        <v>0</v>
      </c>
      <c r="AI26" s="105">
        <f t="shared" si="22"/>
        <v>0</v>
      </c>
      <c r="AJ26" s="118">
        <f t="shared" si="22"/>
        <v>0</v>
      </c>
      <c r="AK26" s="119">
        <f t="shared" si="22"/>
        <v>0</v>
      </c>
      <c r="AL26" s="119">
        <f t="shared" si="22"/>
        <v>0</v>
      </c>
      <c r="AM26" s="119">
        <f t="shared" si="22"/>
        <v>0</v>
      </c>
      <c r="AN26" s="120">
        <f t="shared" si="22"/>
        <v>0</v>
      </c>
      <c r="AO26" s="94">
        <f t="shared" si="22"/>
        <v>0</v>
      </c>
      <c r="AP26" s="94">
        <f t="shared" si="22"/>
        <v>0</v>
      </c>
      <c r="AQ26" s="94">
        <f t="shared" si="22"/>
        <v>0</v>
      </c>
      <c r="AR26" s="94">
        <f t="shared" si="22"/>
        <v>0</v>
      </c>
      <c r="AS26" s="94">
        <f t="shared" si="22"/>
        <v>0</v>
      </c>
      <c r="AU26" s="195" t="s">
        <v>152</v>
      </c>
      <c r="AV26" s="195">
        <f t="shared" ref="AV26:AV32" si="23">COUNTIF($X:$X, AU26)</f>
        <v>0</v>
      </c>
      <c r="AW26" s="196" t="e">
        <f t="shared" ref="AW26:AW33" si="24">AV26/$AV$33</f>
        <v>#DIV/0!</v>
      </c>
    </row>
    <row r="27" spans="2:49" s="8" customFormat="1" ht="13.5" customHeight="1" x14ac:dyDescent="0.25">
      <c r="B27" s="15">
        <v>25</v>
      </c>
      <c r="D27" s="5"/>
      <c r="E27" s="67"/>
      <c r="F27" s="16"/>
      <c r="J27" s="9"/>
      <c r="K27" s="9">
        <f t="shared" si="0"/>
        <v>0</v>
      </c>
      <c r="L27" s="35">
        <f t="shared" si="1"/>
        <v>0</v>
      </c>
      <c r="M27" s="2"/>
      <c r="N27"/>
      <c r="O27" s="19"/>
      <c r="P27" s="19"/>
      <c r="Q27" s="19"/>
      <c r="R27" s="21"/>
      <c r="S27" s="46"/>
      <c r="T27" s="44"/>
      <c r="U27" s="76"/>
      <c r="V27" s="24"/>
      <c r="W27" s="24"/>
      <c r="X27" s="193"/>
      <c r="Y27" s="15"/>
      <c r="AA27">
        <v>5</v>
      </c>
      <c r="AB27" s="486">
        <v>5</v>
      </c>
      <c r="AC27" s="89">
        <v>1</v>
      </c>
      <c r="AD27" s="95" t="s">
        <v>86</v>
      </c>
      <c r="AE27" s="39">
        <f t="shared" si="2"/>
        <v>0</v>
      </c>
      <c r="AF27" s="65">
        <f t="shared" si="3"/>
        <v>0</v>
      </c>
      <c r="AG27" s="65">
        <f t="shared" si="4"/>
        <v>0</v>
      </c>
      <c r="AH27" s="65">
        <f t="shared" si="5"/>
        <v>0</v>
      </c>
      <c r="AI27" s="104">
        <f t="shared" si="6"/>
        <v>0</v>
      </c>
      <c r="AJ27" s="115">
        <f t="shared" si="7"/>
        <v>0</v>
      </c>
      <c r="AK27" s="116">
        <f t="shared" si="8"/>
        <v>0</v>
      </c>
      <c r="AL27" s="116">
        <f t="shared" si="9"/>
        <v>0</v>
      </c>
      <c r="AM27" s="116">
        <f t="shared" si="10"/>
        <v>0</v>
      </c>
      <c r="AN27" s="117">
        <f t="shared" si="11"/>
        <v>0</v>
      </c>
      <c r="AO27" s="39">
        <f t="shared" si="12"/>
        <v>0</v>
      </c>
      <c r="AP27" s="65">
        <f t="shared" si="13"/>
        <v>0</v>
      </c>
      <c r="AQ27" s="65">
        <f t="shared" si="14"/>
        <v>0</v>
      </c>
      <c r="AR27" s="65">
        <f t="shared" si="15"/>
        <v>0</v>
      </c>
      <c r="AS27" s="65">
        <f t="shared" si="16"/>
        <v>0</v>
      </c>
      <c r="AU27" s="195" t="s">
        <v>153</v>
      </c>
      <c r="AV27" s="195">
        <f t="shared" si="23"/>
        <v>0</v>
      </c>
      <c r="AW27" s="196" t="e">
        <f t="shared" si="24"/>
        <v>#DIV/0!</v>
      </c>
    </row>
    <row r="28" spans="2:49" s="8" customFormat="1" ht="13.5" customHeight="1" x14ac:dyDescent="0.25">
      <c r="B28" s="15">
        <v>26</v>
      </c>
      <c r="D28" s="5"/>
      <c r="E28" s="67"/>
      <c r="F28" s="16"/>
      <c r="J28" s="9"/>
      <c r="K28" s="9">
        <f t="shared" si="0"/>
        <v>0</v>
      </c>
      <c r="L28" s="35">
        <f t="shared" si="1"/>
        <v>0</v>
      </c>
      <c r="M28" s="2"/>
      <c r="N28"/>
      <c r="O28" s="19"/>
      <c r="P28" s="19"/>
      <c r="Q28" s="19"/>
      <c r="R28" s="21"/>
      <c r="S28" s="46"/>
      <c r="T28" s="44"/>
      <c r="U28" s="76"/>
      <c r="V28" s="24"/>
      <c r="W28" s="24"/>
      <c r="X28" s="193"/>
      <c r="Y28" s="15"/>
      <c r="AA28">
        <v>5</v>
      </c>
      <c r="AB28" s="487"/>
      <c r="AC28" s="90">
        <v>2</v>
      </c>
      <c r="AD28" s="97" t="s">
        <v>87</v>
      </c>
      <c r="AE28" s="39">
        <f t="shared" si="2"/>
        <v>0</v>
      </c>
      <c r="AF28" s="65">
        <f t="shared" si="3"/>
        <v>0</v>
      </c>
      <c r="AG28" s="65">
        <f t="shared" si="4"/>
        <v>0</v>
      </c>
      <c r="AH28" s="65">
        <f t="shared" si="5"/>
        <v>0</v>
      </c>
      <c r="AI28" s="104">
        <f t="shared" si="6"/>
        <v>0</v>
      </c>
      <c r="AJ28" s="115">
        <f t="shared" si="7"/>
        <v>0</v>
      </c>
      <c r="AK28" s="116">
        <f t="shared" si="8"/>
        <v>0</v>
      </c>
      <c r="AL28" s="116">
        <f t="shared" si="9"/>
        <v>0</v>
      </c>
      <c r="AM28" s="116">
        <f t="shared" si="10"/>
        <v>0</v>
      </c>
      <c r="AN28" s="117">
        <f t="shared" si="11"/>
        <v>0</v>
      </c>
      <c r="AO28" s="39">
        <f t="shared" si="12"/>
        <v>0</v>
      </c>
      <c r="AP28" s="65">
        <f t="shared" si="13"/>
        <v>0</v>
      </c>
      <c r="AQ28" s="65">
        <f t="shared" si="14"/>
        <v>0</v>
      </c>
      <c r="AR28" s="65">
        <f t="shared" si="15"/>
        <v>0</v>
      </c>
      <c r="AS28" s="65">
        <f t="shared" si="16"/>
        <v>0</v>
      </c>
      <c r="AU28" s="195" t="s">
        <v>154</v>
      </c>
      <c r="AV28" s="195">
        <f t="shared" si="23"/>
        <v>0</v>
      </c>
      <c r="AW28" s="196" t="e">
        <f t="shared" si="24"/>
        <v>#DIV/0!</v>
      </c>
    </row>
    <row r="29" spans="2:49" s="8" customFormat="1" ht="13.5" customHeight="1" x14ac:dyDescent="0.25">
      <c r="B29" s="15">
        <v>27</v>
      </c>
      <c r="D29" s="5"/>
      <c r="E29" s="67"/>
      <c r="F29" s="16"/>
      <c r="J29" s="9"/>
      <c r="K29" s="9">
        <f t="shared" si="0"/>
        <v>0</v>
      </c>
      <c r="L29" s="35">
        <f t="shared" si="1"/>
        <v>0</v>
      </c>
      <c r="M29" s="2"/>
      <c r="N29"/>
      <c r="O29" s="19"/>
      <c r="P29" s="19"/>
      <c r="Q29" s="19"/>
      <c r="R29" s="21"/>
      <c r="S29" s="46"/>
      <c r="T29" s="44"/>
      <c r="U29" s="76"/>
      <c r="V29" s="24"/>
      <c r="W29" s="24"/>
      <c r="X29" s="193"/>
      <c r="Y29" s="15"/>
      <c r="AA29">
        <v>5</v>
      </c>
      <c r="AB29" s="487"/>
      <c r="AC29" s="90">
        <v>3</v>
      </c>
      <c r="AD29" s="97" t="s">
        <v>88</v>
      </c>
      <c r="AE29" s="39">
        <f t="shared" si="2"/>
        <v>0</v>
      </c>
      <c r="AF29" s="65">
        <f t="shared" si="3"/>
        <v>0</v>
      </c>
      <c r="AG29" s="65">
        <f t="shared" si="4"/>
        <v>0</v>
      </c>
      <c r="AH29" s="65">
        <f t="shared" si="5"/>
        <v>0</v>
      </c>
      <c r="AI29" s="104">
        <f t="shared" si="6"/>
        <v>0</v>
      </c>
      <c r="AJ29" s="115">
        <f t="shared" si="7"/>
        <v>0</v>
      </c>
      <c r="AK29" s="116">
        <f t="shared" si="8"/>
        <v>0</v>
      </c>
      <c r="AL29" s="116">
        <f t="shared" si="9"/>
        <v>0</v>
      </c>
      <c r="AM29" s="116">
        <f t="shared" si="10"/>
        <v>0</v>
      </c>
      <c r="AN29" s="117">
        <f t="shared" si="11"/>
        <v>0</v>
      </c>
      <c r="AO29" s="39">
        <f t="shared" si="12"/>
        <v>0</v>
      </c>
      <c r="AP29" s="65">
        <f t="shared" si="13"/>
        <v>0</v>
      </c>
      <c r="AQ29" s="65">
        <f t="shared" si="14"/>
        <v>0</v>
      </c>
      <c r="AR29" s="65">
        <f t="shared" si="15"/>
        <v>0</v>
      </c>
      <c r="AS29" s="65">
        <f t="shared" si="16"/>
        <v>0</v>
      </c>
      <c r="AU29" s="195" t="s">
        <v>155</v>
      </c>
      <c r="AV29" s="195">
        <f t="shared" si="23"/>
        <v>0</v>
      </c>
      <c r="AW29" s="196" t="e">
        <f t="shared" si="24"/>
        <v>#DIV/0!</v>
      </c>
    </row>
    <row r="30" spans="2:49" s="8" customFormat="1" ht="13.5" customHeight="1" x14ac:dyDescent="0.25">
      <c r="B30" s="15">
        <v>28</v>
      </c>
      <c r="D30" s="5"/>
      <c r="E30" s="67"/>
      <c r="F30" s="16"/>
      <c r="J30" s="9"/>
      <c r="K30" s="9">
        <f t="shared" si="0"/>
        <v>0</v>
      </c>
      <c r="L30" s="35">
        <f t="shared" si="1"/>
        <v>0</v>
      </c>
      <c r="M30" s="2"/>
      <c r="N30"/>
      <c r="O30" s="19"/>
      <c r="P30" s="19"/>
      <c r="Q30" s="19"/>
      <c r="R30" s="21"/>
      <c r="S30" s="46"/>
      <c r="T30" s="44"/>
      <c r="U30" s="76"/>
      <c r="V30" s="24"/>
      <c r="W30" s="24"/>
      <c r="X30" s="193"/>
      <c r="Y30" s="15"/>
      <c r="AA30">
        <v>5</v>
      </c>
      <c r="AB30" s="487"/>
      <c r="AC30" s="90">
        <v>4</v>
      </c>
      <c r="AD30" s="97" t="s">
        <v>89</v>
      </c>
      <c r="AE30" s="39">
        <f t="shared" si="2"/>
        <v>0</v>
      </c>
      <c r="AF30" s="65">
        <f t="shared" si="3"/>
        <v>0</v>
      </c>
      <c r="AG30" s="65">
        <f t="shared" si="4"/>
        <v>0</v>
      </c>
      <c r="AH30" s="65">
        <f t="shared" si="5"/>
        <v>0</v>
      </c>
      <c r="AI30" s="104">
        <f t="shared" si="6"/>
        <v>0</v>
      </c>
      <c r="AJ30" s="115">
        <f t="shared" si="7"/>
        <v>0</v>
      </c>
      <c r="AK30" s="116">
        <f t="shared" si="8"/>
        <v>0</v>
      </c>
      <c r="AL30" s="116">
        <f t="shared" si="9"/>
        <v>0</v>
      </c>
      <c r="AM30" s="116">
        <f t="shared" si="10"/>
        <v>0</v>
      </c>
      <c r="AN30" s="117">
        <f t="shared" si="11"/>
        <v>0</v>
      </c>
      <c r="AO30" s="39">
        <f t="shared" si="12"/>
        <v>0</v>
      </c>
      <c r="AP30" s="65">
        <f t="shared" si="13"/>
        <v>0</v>
      </c>
      <c r="AQ30" s="65">
        <f t="shared" si="14"/>
        <v>0</v>
      </c>
      <c r="AR30" s="65">
        <f t="shared" si="15"/>
        <v>0</v>
      </c>
      <c r="AS30" s="65">
        <f t="shared" si="16"/>
        <v>0</v>
      </c>
      <c r="AU30" s="195" t="s">
        <v>156</v>
      </c>
      <c r="AV30" s="195">
        <f t="shared" si="23"/>
        <v>0</v>
      </c>
      <c r="AW30" s="196" t="e">
        <f t="shared" si="24"/>
        <v>#DIV/0!</v>
      </c>
    </row>
    <row r="31" spans="2:49" s="8" customFormat="1" ht="13.5" customHeight="1" x14ac:dyDescent="0.25">
      <c r="B31" s="15">
        <v>29</v>
      </c>
      <c r="D31" s="5"/>
      <c r="E31" s="67"/>
      <c r="F31" s="16"/>
      <c r="J31" s="9"/>
      <c r="K31" s="9">
        <f t="shared" si="0"/>
        <v>0</v>
      </c>
      <c r="L31" s="35">
        <f t="shared" si="1"/>
        <v>0</v>
      </c>
      <c r="M31" s="2"/>
      <c r="N31"/>
      <c r="O31" s="19"/>
      <c r="P31" s="19"/>
      <c r="Q31" s="19"/>
      <c r="R31" s="21"/>
      <c r="S31" s="46"/>
      <c r="T31" s="44"/>
      <c r="U31" s="76"/>
      <c r="V31" s="24"/>
      <c r="W31" s="24"/>
      <c r="X31" s="193"/>
      <c r="Y31" s="15"/>
      <c r="AA31">
        <v>5</v>
      </c>
      <c r="AB31" s="487"/>
      <c r="AC31" s="91">
        <v>5</v>
      </c>
      <c r="AD31" s="97"/>
      <c r="AE31" s="39">
        <f t="shared" si="2"/>
        <v>0</v>
      </c>
      <c r="AF31" s="65">
        <f t="shared" si="3"/>
        <v>0</v>
      </c>
      <c r="AG31" s="65">
        <f t="shared" si="4"/>
        <v>0</v>
      </c>
      <c r="AH31" s="65">
        <f t="shared" si="5"/>
        <v>0</v>
      </c>
      <c r="AI31" s="104">
        <f t="shared" si="6"/>
        <v>0</v>
      </c>
      <c r="AJ31" s="115">
        <f t="shared" si="7"/>
        <v>0</v>
      </c>
      <c r="AK31" s="116">
        <f t="shared" si="8"/>
        <v>0</v>
      </c>
      <c r="AL31" s="116">
        <f t="shared" si="9"/>
        <v>0</v>
      </c>
      <c r="AM31" s="116">
        <f t="shared" si="10"/>
        <v>0</v>
      </c>
      <c r="AN31" s="117">
        <f t="shared" si="11"/>
        <v>0</v>
      </c>
      <c r="AO31" s="39">
        <f t="shared" si="12"/>
        <v>0</v>
      </c>
      <c r="AP31" s="65">
        <f t="shared" si="13"/>
        <v>0</v>
      </c>
      <c r="AQ31" s="65">
        <f t="shared" si="14"/>
        <v>0</v>
      </c>
      <c r="AR31" s="65">
        <f t="shared" si="15"/>
        <v>0</v>
      </c>
      <c r="AS31" s="65">
        <f t="shared" si="16"/>
        <v>0</v>
      </c>
      <c r="AU31" s="195" t="s">
        <v>157</v>
      </c>
      <c r="AV31" s="195">
        <f t="shared" si="23"/>
        <v>0</v>
      </c>
      <c r="AW31" s="196" t="e">
        <f t="shared" si="24"/>
        <v>#DIV/0!</v>
      </c>
    </row>
    <row r="32" spans="2:49" s="8" customFormat="1" ht="13.5" customHeight="1" thickBot="1" x14ac:dyDescent="0.3">
      <c r="B32" s="15">
        <v>30</v>
      </c>
      <c r="D32" s="5"/>
      <c r="E32" s="67"/>
      <c r="F32" s="16"/>
      <c r="J32" s="9"/>
      <c r="K32" s="9">
        <f t="shared" si="0"/>
        <v>0</v>
      </c>
      <c r="L32" s="35">
        <f t="shared" si="1"/>
        <v>0</v>
      </c>
      <c r="M32" s="2"/>
      <c r="N32"/>
      <c r="O32" s="19"/>
      <c r="P32" s="19"/>
      <c r="Q32" s="19"/>
      <c r="R32" s="21"/>
      <c r="S32" s="46"/>
      <c r="T32" s="44"/>
      <c r="U32" s="76"/>
      <c r="V32" s="24"/>
      <c r="W32" s="24"/>
      <c r="X32" s="193"/>
      <c r="Y32" s="15"/>
      <c r="AA32">
        <v>5</v>
      </c>
      <c r="AB32" s="488"/>
      <c r="AC32" s="92" t="s">
        <v>3</v>
      </c>
      <c r="AD32" s="98"/>
      <c r="AE32" s="94">
        <f t="shared" ref="AE32:AS32" si="25">SUM(AE27:AE31)</f>
        <v>0</v>
      </c>
      <c r="AF32" s="94">
        <f t="shared" si="25"/>
        <v>0</v>
      </c>
      <c r="AG32" s="94">
        <f t="shared" si="25"/>
        <v>0</v>
      </c>
      <c r="AH32" s="94">
        <f t="shared" si="25"/>
        <v>0</v>
      </c>
      <c r="AI32" s="105">
        <f t="shared" si="25"/>
        <v>0</v>
      </c>
      <c r="AJ32" s="118">
        <f t="shared" si="25"/>
        <v>0</v>
      </c>
      <c r="AK32" s="119">
        <f t="shared" si="25"/>
        <v>0</v>
      </c>
      <c r="AL32" s="119">
        <f t="shared" si="25"/>
        <v>0</v>
      </c>
      <c r="AM32" s="119">
        <f t="shared" si="25"/>
        <v>0</v>
      </c>
      <c r="AN32" s="120">
        <f t="shared" si="25"/>
        <v>0</v>
      </c>
      <c r="AO32" s="94">
        <f t="shared" si="25"/>
        <v>0</v>
      </c>
      <c r="AP32" s="94">
        <f t="shared" si="25"/>
        <v>0</v>
      </c>
      <c r="AQ32" s="94">
        <f t="shared" si="25"/>
        <v>0</v>
      </c>
      <c r="AR32" s="94">
        <f t="shared" si="25"/>
        <v>0</v>
      </c>
      <c r="AS32" s="94">
        <f t="shared" si="25"/>
        <v>0</v>
      </c>
      <c r="AU32" s="195" t="s">
        <v>158</v>
      </c>
      <c r="AV32" s="195">
        <f t="shared" si="23"/>
        <v>0</v>
      </c>
      <c r="AW32" s="196" t="e">
        <f t="shared" si="24"/>
        <v>#DIV/0!</v>
      </c>
    </row>
    <row r="33" spans="2:49" s="8" customFormat="1" ht="13.5" customHeight="1" x14ac:dyDescent="0.25">
      <c r="B33" s="15">
        <v>31</v>
      </c>
      <c r="D33" s="5"/>
      <c r="E33" s="67"/>
      <c r="F33" s="16"/>
      <c r="J33" s="9"/>
      <c r="K33" s="9">
        <f t="shared" si="0"/>
        <v>0</v>
      </c>
      <c r="L33" s="35">
        <f t="shared" si="1"/>
        <v>0</v>
      </c>
      <c r="M33" s="2"/>
      <c r="N33"/>
      <c r="O33" s="19"/>
      <c r="P33" s="19"/>
      <c r="Q33" s="19"/>
      <c r="R33" s="21"/>
      <c r="S33" s="46"/>
      <c r="T33" s="44"/>
      <c r="U33" s="76"/>
      <c r="V33" s="24"/>
      <c r="W33" s="24"/>
      <c r="X33" s="193"/>
      <c r="Y33" s="15"/>
      <c r="AA33">
        <v>6</v>
      </c>
      <c r="AB33" s="486">
        <v>6</v>
      </c>
      <c r="AC33" s="89">
        <v>1</v>
      </c>
      <c r="AD33" s="95" t="s">
        <v>90</v>
      </c>
      <c r="AE33" s="39">
        <f t="shared" si="2"/>
        <v>0</v>
      </c>
      <c r="AF33" s="65">
        <f t="shared" si="3"/>
        <v>0</v>
      </c>
      <c r="AG33" s="65">
        <f t="shared" si="4"/>
        <v>0</v>
      </c>
      <c r="AH33" s="65">
        <f t="shared" si="5"/>
        <v>0</v>
      </c>
      <c r="AI33" s="104">
        <f t="shared" si="6"/>
        <v>0</v>
      </c>
      <c r="AJ33" s="115">
        <f t="shared" si="7"/>
        <v>0</v>
      </c>
      <c r="AK33" s="116">
        <f t="shared" si="8"/>
        <v>0</v>
      </c>
      <c r="AL33" s="116">
        <f t="shared" si="9"/>
        <v>0</v>
      </c>
      <c r="AM33" s="116">
        <f t="shared" si="10"/>
        <v>0</v>
      </c>
      <c r="AN33" s="117">
        <f t="shared" si="11"/>
        <v>0</v>
      </c>
      <c r="AO33" s="39">
        <f t="shared" si="12"/>
        <v>0</v>
      </c>
      <c r="AP33" s="65">
        <f t="shared" si="13"/>
        <v>0</v>
      </c>
      <c r="AQ33" s="65">
        <f t="shared" si="14"/>
        <v>0</v>
      </c>
      <c r="AR33" s="65">
        <f t="shared" si="15"/>
        <v>0</v>
      </c>
      <c r="AS33" s="65">
        <f t="shared" si="16"/>
        <v>0</v>
      </c>
      <c r="AU33" s="194" t="s">
        <v>159</v>
      </c>
      <c r="AV33" s="194">
        <f>SUM(AV25:AV32)</f>
        <v>0</v>
      </c>
      <c r="AW33" s="197" t="e">
        <f t="shared" si="24"/>
        <v>#DIV/0!</v>
      </c>
    </row>
    <row r="34" spans="2:49" s="8" customFormat="1" ht="13.5" customHeight="1" x14ac:dyDescent="0.25">
      <c r="B34" s="15">
        <v>32</v>
      </c>
      <c r="D34" s="5"/>
      <c r="E34" s="67"/>
      <c r="F34" s="16"/>
      <c r="J34" s="9"/>
      <c r="K34" s="9">
        <f t="shared" si="0"/>
        <v>0</v>
      </c>
      <c r="L34" s="35">
        <f t="shared" si="1"/>
        <v>0</v>
      </c>
      <c r="M34" s="2"/>
      <c r="N34"/>
      <c r="O34" s="19"/>
      <c r="P34" s="19"/>
      <c r="Q34" s="19"/>
      <c r="R34" s="21"/>
      <c r="S34" s="46"/>
      <c r="T34" s="44"/>
      <c r="U34" s="76"/>
      <c r="V34" s="24"/>
      <c r="W34" s="24"/>
      <c r="X34" s="193"/>
      <c r="Y34" s="15"/>
      <c r="AA34">
        <v>6</v>
      </c>
      <c r="AB34" s="487"/>
      <c r="AC34" s="90">
        <v>2</v>
      </c>
      <c r="AD34" s="97" t="s">
        <v>91</v>
      </c>
      <c r="AE34" s="39">
        <f t="shared" si="2"/>
        <v>0</v>
      </c>
      <c r="AF34" s="65">
        <f t="shared" si="3"/>
        <v>0</v>
      </c>
      <c r="AG34" s="65">
        <f t="shared" si="4"/>
        <v>0</v>
      </c>
      <c r="AH34" s="65">
        <f t="shared" si="5"/>
        <v>0</v>
      </c>
      <c r="AI34" s="104">
        <f t="shared" si="6"/>
        <v>0</v>
      </c>
      <c r="AJ34" s="115">
        <f t="shared" si="7"/>
        <v>0</v>
      </c>
      <c r="AK34" s="116">
        <f t="shared" si="8"/>
        <v>0</v>
      </c>
      <c r="AL34" s="116">
        <f t="shared" si="9"/>
        <v>0</v>
      </c>
      <c r="AM34" s="116">
        <f t="shared" si="10"/>
        <v>0</v>
      </c>
      <c r="AN34" s="117">
        <f t="shared" si="11"/>
        <v>0</v>
      </c>
      <c r="AO34" s="39">
        <f t="shared" si="12"/>
        <v>0</v>
      </c>
      <c r="AP34" s="65">
        <f t="shared" si="13"/>
        <v>0</v>
      </c>
      <c r="AQ34" s="65">
        <f t="shared" si="14"/>
        <v>0</v>
      </c>
      <c r="AR34" s="65">
        <f t="shared" si="15"/>
        <v>0</v>
      </c>
      <c r="AS34" s="65">
        <f t="shared" si="16"/>
        <v>0</v>
      </c>
    </row>
    <row r="35" spans="2:49" s="8" customFormat="1" ht="13.5" customHeight="1" x14ac:dyDescent="0.25">
      <c r="B35" s="15">
        <v>33</v>
      </c>
      <c r="D35" s="5"/>
      <c r="E35" s="67"/>
      <c r="F35" s="16"/>
      <c r="J35" s="9"/>
      <c r="K35" s="9">
        <f t="shared" si="0"/>
        <v>0</v>
      </c>
      <c r="L35" s="35">
        <f t="shared" si="1"/>
        <v>0</v>
      </c>
      <c r="M35" s="2"/>
      <c r="N35"/>
      <c r="O35" s="19"/>
      <c r="P35" s="19"/>
      <c r="Q35" s="19"/>
      <c r="R35" s="21"/>
      <c r="S35" s="46"/>
      <c r="T35" s="44"/>
      <c r="U35" s="76"/>
      <c r="V35" s="24"/>
      <c r="W35" s="24"/>
      <c r="X35" s="193"/>
      <c r="Y35" s="15"/>
      <c r="AA35">
        <v>6</v>
      </c>
      <c r="AB35" s="487"/>
      <c r="AC35" s="90">
        <v>3</v>
      </c>
      <c r="AD35" s="97" t="s">
        <v>92</v>
      </c>
      <c r="AE35" s="39">
        <f t="shared" si="2"/>
        <v>0</v>
      </c>
      <c r="AF35" s="65">
        <f t="shared" si="3"/>
        <v>0</v>
      </c>
      <c r="AG35" s="65">
        <f t="shared" si="4"/>
        <v>0</v>
      </c>
      <c r="AH35" s="65">
        <f t="shared" si="5"/>
        <v>0</v>
      </c>
      <c r="AI35" s="104">
        <f t="shared" si="6"/>
        <v>0</v>
      </c>
      <c r="AJ35" s="115">
        <f t="shared" si="7"/>
        <v>0</v>
      </c>
      <c r="AK35" s="116">
        <f t="shared" si="8"/>
        <v>0</v>
      </c>
      <c r="AL35" s="116">
        <f t="shared" si="9"/>
        <v>0</v>
      </c>
      <c r="AM35" s="116">
        <f t="shared" si="10"/>
        <v>0</v>
      </c>
      <c r="AN35" s="117">
        <f t="shared" si="11"/>
        <v>0</v>
      </c>
      <c r="AO35" s="39">
        <f t="shared" si="12"/>
        <v>0</v>
      </c>
      <c r="AP35" s="65">
        <f t="shared" si="13"/>
        <v>0</v>
      </c>
      <c r="AQ35" s="65">
        <f t="shared" si="14"/>
        <v>0</v>
      </c>
      <c r="AR35" s="65">
        <f t="shared" si="15"/>
        <v>0</v>
      </c>
      <c r="AS35" s="65">
        <f t="shared" si="16"/>
        <v>0</v>
      </c>
    </row>
    <row r="36" spans="2:49" s="8" customFormat="1" ht="13.5" customHeight="1" x14ac:dyDescent="0.25">
      <c r="B36" s="15">
        <v>34</v>
      </c>
      <c r="D36" s="5"/>
      <c r="E36" s="67"/>
      <c r="F36" s="16"/>
      <c r="J36" s="9"/>
      <c r="K36" s="9">
        <f t="shared" si="0"/>
        <v>0</v>
      </c>
      <c r="L36" s="35">
        <f t="shared" si="1"/>
        <v>0</v>
      </c>
      <c r="M36" s="2"/>
      <c r="N36"/>
      <c r="O36" s="19"/>
      <c r="P36" s="19"/>
      <c r="Q36" s="19"/>
      <c r="R36" s="21"/>
      <c r="S36" s="46"/>
      <c r="T36" s="44"/>
      <c r="U36" s="76"/>
      <c r="V36" s="24"/>
      <c r="W36" s="24"/>
      <c r="X36" s="193"/>
      <c r="Y36" s="15"/>
      <c r="AA36">
        <v>6</v>
      </c>
      <c r="AB36" s="487"/>
      <c r="AC36" s="90">
        <v>4</v>
      </c>
      <c r="AD36" s="97" t="s">
        <v>93</v>
      </c>
      <c r="AE36" s="39">
        <f t="shared" si="2"/>
        <v>0</v>
      </c>
      <c r="AF36" s="65">
        <f t="shared" si="3"/>
        <v>0</v>
      </c>
      <c r="AG36" s="65">
        <f t="shared" si="4"/>
        <v>0</v>
      </c>
      <c r="AH36" s="65">
        <f t="shared" si="5"/>
        <v>0</v>
      </c>
      <c r="AI36" s="104">
        <f t="shared" si="6"/>
        <v>0</v>
      </c>
      <c r="AJ36" s="115">
        <f t="shared" si="7"/>
        <v>0</v>
      </c>
      <c r="AK36" s="116">
        <f t="shared" si="8"/>
        <v>0</v>
      </c>
      <c r="AL36" s="116">
        <f t="shared" si="9"/>
        <v>0</v>
      </c>
      <c r="AM36" s="116">
        <f t="shared" si="10"/>
        <v>0</v>
      </c>
      <c r="AN36" s="117">
        <f t="shared" si="11"/>
        <v>0</v>
      </c>
      <c r="AO36" s="39">
        <f t="shared" si="12"/>
        <v>0</v>
      </c>
      <c r="AP36" s="65">
        <f t="shared" si="13"/>
        <v>0</v>
      </c>
      <c r="AQ36" s="65">
        <f t="shared" si="14"/>
        <v>0</v>
      </c>
      <c r="AR36" s="65">
        <f t="shared" si="15"/>
        <v>0</v>
      </c>
      <c r="AS36" s="65">
        <f t="shared" si="16"/>
        <v>0</v>
      </c>
    </row>
    <row r="37" spans="2:49" s="8" customFormat="1" ht="13.5" customHeight="1" x14ac:dyDescent="0.25">
      <c r="B37" s="15">
        <v>35</v>
      </c>
      <c r="D37" s="5"/>
      <c r="E37" s="67"/>
      <c r="F37" s="16"/>
      <c r="J37" s="9"/>
      <c r="K37" s="9">
        <f t="shared" si="0"/>
        <v>0</v>
      </c>
      <c r="L37" s="35">
        <f t="shared" si="1"/>
        <v>0</v>
      </c>
      <c r="M37" s="2"/>
      <c r="N37"/>
      <c r="O37" s="19"/>
      <c r="P37" s="19"/>
      <c r="Q37" s="19"/>
      <c r="R37" s="21"/>
      <c r="S37" s="46"/>
      <c r="T37" s="250"/>
      <c r="U37" s="76"/>
      <c r="V37" s="24"/>
      <c r="W37" s="24"/>
      <c r="X37" s="193"/>
      <c r="Y37" s="15"/>
      <c r="AA37">
        <v>6</v>
      </c>
      <c r="AB37" s="487"/>
      <c r="AC37" s="91">
        <v>5</v>
      </c>
      <c r="AD37" s="97"/>
      <c r="AE37" s="39">
        <f t="shared" si="2"/>
        <v>0</v>
      </c>
      <c r="AF37" s="65">
        <f t="shared" si="3"/>
        <v>0</v>
      </c>
      <c r="AG37" s="65">
        <f t="shared" si="4"/>
        <v>0</v>
      </c>
      <c r="AH37" s="65">
        <f t="shared" si="5"/>
        <v>0</v>
      </c>
      <c r="AI37" s="104">
        <f t="shared" si="6"/>
        <v>0</v>
      </c>
      <c r="AJ37" s="115">
        <f t="shared" si="7"/>
        <v>0</v>
      </c>
      <c r="AK37" s="116">
        <f t="shared" si="8"/>
        <v>0</v>
      </c>
      <c r="AL37" s="116">
        <f t="shared" si="9"/>
        <v>0</v>
      </c>
      <c r="AM37" s="116">
        <f t="shared" si="10"/>
        <v>0</v>
      </c>
      <c r="AN37" s="117">
        <f t="shared" si="11"/>
        <v>0</v>
      </c>
      <c r="AO37" s="39">
        <f t="shared" si="12"/>
        <v>0</v>
      </c>
      <c r="AP37" s="65">
        <f t="shared" si="13"/>
        <v>0</v>
      </c>
      <c r="AQ37" s="65">
        <f t="shared" si="14"/>
        <v>0</v>
      </c>
      <c r="AR37" s="65">
        <f t="shared" si="15"/>
        <v>0</v>
      </c>
      <c r="AS37" s="65">
        <f t="shared" si="16"/>
        <v>0</v>
      </c>
    </row>
    <row r="38" spans="2:49" s="8" customFormat="1" ht="13.5" customHeight="1" thickBot="1" x14ac:dyDescent="0.3">
      <c r="B38" s="15">
        <v>36</v>
      </c>
      <c r="D38" s="5"/>
      <c r="E38" s="67"/>
      <c r="F38" s="16"/>
      <c r="J38" s="9"/>
      <c r="K38" s="9">
        <f t="shared" si="0"/>
        <v>0</v>
      </c>
      <c r="L38" s="35">
        <f t="shared" si="1"/>
        <v>0</v>
      </c>
      <c r="M38" s="2"/>
      <c r="N38"/>
      <c r="O38" s="19"/>
      <c r="P38" s="19"/>
      <c r="Q38" s="19"/>
      <c r="R38" s="21"/>
      <c r="S38" s="46"/>
      <c r="T38" s="44"/>
      <c r="U38" s="76"/>
      <c r="V38" s="24"/>
      <c r="W38" s="24"/>
      <c r="X38" s="193"/>
      <c r="Y38" s="15"/>
      <c r="AA38">
        <v>6</v>
      </c>
      <c r="AB38" s="488"/>
      <c r="AC38" s="92" t="s">
        <v>3</v>
      </c>
      <c r="AD38" s="98"/>
      <c r="AE38" s="94">
        <f t="shared" ref="AE38:AS38" si="26">SUM(AE33:AE37)</f>
        <v>0</v>
      </c>
      <c r="AF38" s="94">
        <f t="shared" si="26"/>
        <v>0</v>
      </c>
      <c r="AG38" s="94">
        <f t="shared" si="26"/>
        <v>0</v>
      </c>
      <c r="AH38" s="94">
        <f t="shared" si="26"/>
        <v>0</v>
      </c>
      <c r="AI38" s="105">
        <f t="shared" si="26"/>
        <v>0</v>
      </c>
      <c r="AJ38" s="118">
        <f t="shared" si="26"/>
        <v>0</v>
      </c>
      <c r="AK38" s="119">
        <f t="shared" si="26"/>
        <v>0</v>
      </c>
      <c r="AL38" s="119">
        <f t="shared" si="26"/>
        <v>0</v>
      </c>
      <c r="AM38" s="119">
        <f t="shared" si="26"/>
        <v>0</v>
      </c>
      <c r="AN38" s="120">
        <f t="shared" si="26"/>
        <v>0</v>
      </c>
      <c r="AO38" s="94">
        <f t="shared" si="26"/>
        <v>0</v>
      </c>
      <c r="AP38" s="94">
        <f t="shared" si="26"/>
        <v>0</v>
      </c>
      <c r="AQ38" s="94">
        <f t="shared" si="26"/>
        <v>0</v>
      </c>
      <c r="AR38" s="94">
        <f t="shared" si="26"/>
        <v>0</v>
      </c>
      <c r="AS38" s="94">
        <f t="shared" si="26"/>
        <v>0</v>
      </c>
    </row>
    <row r="39" spans="2:49" s="8" customFormat="1" ht="13.5" customHeight="1" x14ac:dyDescent="0.25">
      <c r="B39" s="15">
        <v>37</v>
      </c>
      <c r="D39" s="5"/>
      <c r="E39" s="67"/>
      <c r="F39" s="16"/>
      <c r="J39" s="9"/>
      <c r="K39" s="9">
        <f t="shared" si="0"/>
        <v>0</v>
      </c>
      <c r="L39" s="35">
        <f t="shared" si="1"/>
        <v>0</v>
      </c>
      <c r="M39" s="2"/>
      <c r="N39"/>
      <c r="O39" s="19"/>
      <c r="P39" s="19"/>
      <c r="Q39" s="19"/>
      <c r="R39" s="21"/>
      <c r="S39" s="46"/>
      <c r="T39" s="44"/>
      <c r="U39" s="76"/>
      <c r="V39" s="24"/>
      <c r="W39" s="24"/>
      <c r="X39" s="193"/>
      <c r="Y39" s="15"/>
      <c r="AA39">
        <v>7</v>
      </c>
      <c r="AB39" s="486">
        <v>7</v>
      </c>
      <c r="AC39" s="89">
        <v>1</v>
      </c>
      <c r="AD39" s="95" t="s">
        <v>94</v>
      </c>
      <c r="AE39" s="39">
        <f t="shared" si="2"/>
        <v>0</v>
      </c>
      <c r="AF39" s="65">
        <f t="shared" si="3"/>
        <v>0</v>
      </c>
      <c r="AG39" s="65">
        <f t="shared" si="4"/>
        <v>0</v>
      </c>
      <c r="AH39" s="65">
        <f t="shared" si="5"/>
        <v>0</v>
      </c>
      <c r="AI39" s="104">
        <f t="shared" si="6"/>
        <v>0</v>
      </c>
      <c r="AJ39" s="115">
        <f t="shared" si="7"/>
        <v>0</v>
      </c>
      <c r="AK39" s="116">
        <f t="shared" si="8"/>
        <v>0</v>
      </c>
      <c r="AL39" s="116">
        <f t="shared" si="9"/>
        <v>0</v>
      </c>
      <c r="AM39" s="116">
        <f t="shared" si="10"/>
        <v>0</v>
      </c>
      <c r="AN39" s="117">
        <f t="shared" si="11"/>
        <v>0</v>
      </c>
      <c r="AO39" s="39">
        <f t="shared" si="12"/>
        <v>0</v>
      </c>
      <c r="AP39" s="65">
        <f t="shared" si="13"/>
        <v>0</v>
      </c>
      <c r="AQ39" s="65">
        <f t="shared" si="14"/>
        <v>0</v>
      </c>
      <c r="AR39" s="65">
        <f t="shared" si="15"/>
        <v>0</v>
      </c>
      <c r="AS39" s="65">
        <f t="shared" si="16"/>
        <v>0</v>
      </c>
    </row>
    <row r="40" spans="2:49" s="8" customFormat="1" ht="13.5" customHeight="1" x14ac:dyDescent="0.25">
      <c r="B40" s="15">
        <v>38</v>
      </c>
      <c r="D40" s="5"/>
      <c r="E40" s="67"/>
      <c r="F40" s="16"/>
      <c r="J40" s="9"/>
      <c r="K40" s="9">
        <f t="shared" si="0"/>
        <v>0</v>
      </c>
      <c r="L40" s="35">
        <f t="shared" si="1"/>
        <v>0</v>
      </c>
      <c r="M40" s="2"/>
      <c r="N40"/>
      <c r="O40" s="19"/>
      <c r="P40" s="19"/>
      <c r="Q40" s="19"/>
      <c r="R40" s="21"/>
      <c r="S40" s="46"/>
      <c r="T40" s="44"/>
      <c r="U40" s="76"/>
      <c r="V40" s="24"/>
      <c r="W40" s="24"/>
      <c r="X40" s="193"/>
      <c r="Y40" s="15"/>
      <c r="AA40">
        <v>7</v>
      </c>
      <c r="AB40" s="487"/>
      <c r="AC40" s="90">
        <v>2</v>
      </c>
      <c r="AD40" s="97" t="s">
        <v>61</v>
      </c>
      <c r="AE40" s="39">
        <f t="shared" si="2"/>
        <v>0</v>
      </c>
      <c r="AF40" s="65">
        <f t="shared" si="3"/>
        <v>0</v>
      </c>
      <c r="AG40" s="65">
        <f t="shared" si="4"/>
        <v>0</v>
      </c>
      <c r="AH40" s="65">
        <f t="shared" si="5"/>
        <v>0</v>
      </c>
      <c r="AI40" s="104">
        <f t="shared" si="6"/>
        <v>0</v>
      </c>
      <c r="AJ40" s="115">
        <f t="shared" si="7"/>
        <v>0</v>
      </c>
      <c r="AK40" s="116">
        <f t="shared" si="8"/>
        <v>0</v>
      </c>
      <c r="AL40" s="116">
        <f t="shared" si="9"/>
        <v>0</v>
      </c>
      <c r="AM40" s="116">
        <f t="shared" si="10"/>
        <v>0</v>
      </c>
      <c r="AN40" s="117">
        <f t="shared" si="11"/>
        <v>0</v>
      </c>
      <c r="AO40" s="39">
        <f t="shared" si="12"/>
        <v>0</v>
      </c>
      <c r="AP40" s="65">
        <f t="shared" si="13"/>
        <v>0</v>
      </c>
      <c r="AQ40" s="65">
        <f t="shared" si="14"/>
        <v>0</v>
      </c>
      <c r="AR40" s="65">
        <f t="shared" si="15"/>
        <v>0</v>
      </c>
      <c r="AS40" s="65">
        <f t="shared" si="16"/>
        <v>0</v>
      </c>
    </row>
    <row r="41" spans="2:49" s="8" customFormat="1" ht="13.5" customHeight="1" x14ac:dyDescent="0.25">
      <c r="B41" s="15">
        <v>39</v>
      </c>
      <c r="D41" s="5"/>
      <c r="E41" s="67"/>
      <c r="F41" s="16"/>
      <c r="J41" s="9"/>
      <c r="K41" s="9">
        <f t="shared" si="0"/>
        <v>0</v>
      </c>
      <c r="L41" s="35">
        <f t="shared" si="1"/>
        <v>0</v>
      </c>
      <c r="M41" s="2"/>
      <c r="N41"/>
      <c r="O41" s="19"/>
      <c r="P41" s="19"/>
      <c r="Q41" s="19"/>
      <c r="R41" s="21"/>
      <c r="S41" s="46"/>
      <c r="T41" s="44"/>
      <c r="U41" s="76"/>
      <c r="V41" s="24"/>
      <c r="W41" s="24"/>
      <c r="X41" s="193"/>
      <c r="Y41" s="15"/>
      <c r="AA41">
        <v>7</v>
      </c>
      <c r="AB41" s="487"/>
      <c r="AC41" s="90">
        <v>3</v>
      </c>
      <c r="AD41" s="97" t="s">
        <v>62</v>
      </c>
      <c r="AE41" s="39">
        <f t="shared" si="2"/>
        <v>0</v>
      </c>
      <c r="AF41" s="65">
        <f t="shared" si="3"/>
        <v>0</v>
      </c>
      <c r="AG41" s="65">
        <f t="shared" si="4"/>
        <v>0</v>
      </c>
      <c r="AH41" s="65">
        <f t="shared" si="5"/>
        <v>0</v>
      </c>
      <c r="AI41" s="104">
        <f t="shared" si="6"/>
        <v>0</v>
      </c>
      <c r="AJ41" s="115">
        <f t="shared" si="7"/>
        <v>0</v>
      </c>
      <c r="AK41" s="116">
        <f t="shared" si="8"/>
        <v>0</v>
      </c>
      <c r="AL41" s="116">
        <f t="shared" si="9"/>
        <v>0</v>
      </c>
      <c r="AM41" s="116">
        <f t="shared" si="10"/>
        <v>0</v>
      </c>
      <c r="AN41" s="117">
        <f t="shared" si="11"/>
        <v>0</v>
      </c>
      <c r="AO41" s="39">
        <f t="shared" si="12"/>
        <v>0</v>
      </c>
      <c r="AP41" s="65">
        <f t="shared" si="13"/>
        <v>0</v>
      </c>
      <c r="AQ41" s="65">
        <f t="shared" si="14"/>
        <v>0</v>
      </c>
      <c r="AR41" s="65">
        <f t="shared" si="15"/>
        <v>0</v>
      </c>
      <c r="AS41" s="65">
        <f t="shared" si="16"/>
        <v>0</v>
      </c>
    </row>
    <row r="42" spans="2:49" s="8" customFormat="1" ht="13.5" customHeight="1" x14ac:dyDescent="0.25">
      <c r="B42" s="15">
        <v>40</v>
      </c>
      <c r="D42" s="5"/>
      <c r="E42" s="67"/>
      <c r="F42" s="16"/>
      <c r="J42" s="9"/>
      <c r="K42" s="9">
        <f t="shared" si="0"/>
        <v>0</v>
      </c>
      <c r="L42" s="35">
        <f t="shared" si="1"/>
        <v>0</v>
      </c>
      <c r="M42" s="2"/>
      <c r="N42"/>
      <c r="O42" s="19"/>
      <c r="P42" s="19"/>
      <c r="Q42" s="19"/>
      <c r="R42" s="21"/>
      <c r="S42" s="46"/>
      <c r="T42" s="44"/>
      <c r="U42" s="76"/>
      <c r="V42" s="24"/>
      <c r="W42" s="24"/>
      <c r="X42" s="193"/>
      <c r="Y42" s="15"/>
      <c r="AA42">
        <v>7</v>
      </c>
      <c r="AB42" s="487"/>
      <c r="AC42" s="90">
        <v>4</v>
      </c>
      <c r="AD42" s="97" t="s">
        <v>63</v>
      </c>
      <c r="AE42" s="39">
        <f t="shared" si="2"/>
        <v>0</v>
      </c>
      <c r="AF42" s="65">
        <f t="shared" si="3"/>
        <v>0</v>
      </c>
      <c r="AG42" s="65">
        <f t="shared" si="4"/>
        <v>0</v>
      </c>
      <c r="AH42" s="65">
        <f t="shared" si="5"/>
        <v>0</v>
      </c>
      <c r="AI42" s="104">
        <f t="shared" si="6"/>
        <v>0</v>
      </c>
      <c r="AJ42" s="115">
        <f t="shared" si="7"/>
        <v>0</v>
      </c>
      <c r="AK42" s="116">
        <f t="shared" si="8"/>
        <v>0</v>
      </c>
      <c r="AL42" s="116">
        <f t="shared" si="9"/>
        <v>0</v>
      </c>
      <c r="AM42" s="116">
        <f t="shared" si="10"/>
        <v>0</v>
      </c>
      <c r="AN42" s="117">
        <f t="shared" si="11"/>
        <v>0</v>
      </c>
      <c r="AO42" s="39">
        <f t="shared" si="12"/>
        <v>0</v>
      </c>
      <c r="AP42" s="65">
        <f t="shared" si="13"/>
        <v>0</v>
      </c>
      <c r="AQ42" s="65">
        <f t="shared" si="14"/>
        <v>0</v>
      </c>
      <c r="AR42" s="65">
        <f t="shared" si="15"/>
        <v>0</v>
      </c>
      <c r="AS42" s="65">
        <f t="shared" si="16"/>
        <v>0</v>
      </c>
    </row>
    <row r="43" spans="2:49" x14ac:dyDescent="0.25">
      <c r="B43" s="15">
        <v>41</v>
      </c>
      <c r="C43" s="8"/>
      <c r="E43" s="67"/>
      <c r="F43" s="16"/>
      <c r="G43" s="8"/>
      <c r="H43" s="8"/>
      <c r="I43" s="8"/>
      <c r="J43" s="9"/>
      <c r="K43" s="9">
        <f t="shared" si="0"/>
        <v>0</v>
      </c>
      <c r="L43" s="35">
        <f t="shared" si="1"/>
        <v>0</v>
      </c>
      <c r="M43" s="2"/>
      <c r="O43" s="19"/>
      <c r="P43" s="19"/>
      <c r="Q43" s="19"/>
      <c r="R43" s="21"/>
      <c r="S43" s="46"/>
      <c r="T43" s="44"/>
      <c r="U43" s="77"/>
      <c r="V43" s="30"/>
      <c r="W43" s="24"/>
      <c r="X43" s="193"/>
      <c r="Y43" s="15"/>
      <c r="AA43">
        <v>7</v>
      </c>
      <c r="AB43" s="487"/>
      <c r="AC43" s="91">
        <v>5</v>
      </c>
      <c r="AD43" s="100" t="s">
        <v>95</v>
      </c>
      <c r="AE43" s="39">
        <f t="shared" si="2"/>
        <v>0</v>
      </c>
      <c r="AF43" s="65">
        <f t="shared" si="3"/>
        <v>0</v>
      </c>
      <c r="AG43" s="65">
        <f t="shared" si="4"/>
        <v>0</v>
      </c>
      <c r="AH43" s="65">
        <f t="shared" si="5"/>
        <v>0</v>
      </c>
      <c r="AI43" s="104">
        <f t="shared" si="6"/>
        <v>0</v>
      </c>
      <c r="AJ43" s="115">
        <f t="shared" si="7"/>
        <v>0</v>
      </c>
      <c r="AK43" s="116">
        <f t="shared" si="8"/>
        <v>0</v>
      </c>
      <c r="AL43" s="116">
        <f t="shared" si="9"/>
        <v>0</v>
      </c>
      <c r="AM43" s="116">
        <f t="shared" si="10"/>
        <v>0</v>
      </c>
      <c r="AN43" s="117">
        <f t="shared" si="11"/>
        <v>0</v>
      </c>
      <c r="AO43" s="39">
        <f t="shared" si="12"/>
        <v>0</v>
      </c>
      <c r="AP43" s="65">
        <f t="shared" si="13"/>
        <v>0</v>
      </c>
      <c r="AQ43" s="65">
        <f t="shared" si="14"/>
        <v>0</v>
      </c>
      <c r="AR43" s="65">
        <f t="shared" si="15"/>
        <v>0</v>
      </c>
      <c r="AS43" s="65">
        <f t="shared" si="16"/>
        <v>0</v>
      </c>
    </row>
    <row r="44" spans="2:49" ht="14.25" thickBot="1" x14ac:dyDescent="0.3">
      <c r="B44" s="15">
        <v>42</v>
      </c>
      <c r="C44" s="8"/>
      <c r="E44" s="67"/>
      <c r="F44" s="16"/>
      <c r="G44" s="8"/>
      <c r="H44" s="8"/>
      <c r="I44" s="8"/>
      <c r="J44" s="9"/>
      <c r="K44" s="9">
        <f t="shared" si="0"/>
        <v>0</v>
      </c>
      <c r="L44" s="35">
        <f t="shared" si="1"/>
        <v>0</v>
      </c>
      <c r="M44" s="2"/>
      <c r="O44" s="19"/>
      <c r="P44" s="19"/>
      <c r="Q44" s="19"/>
      <c r="R44" s="21"/>
      <c r="S44" s="46"/>
      <c r="T44" s="44"/>
      <c r="U44" s="77"/>
      <c r="V44" s="30"/>
      <c r="W44" s="24"/>
      <c r="X44" s="193"/>
      <c r="Y44" s="15"/>
      <c r="AA44">
        <v>7</v>
      </c>
      <c r="AB44" s="488"/>
      <c r="AC44" s="92" t="s">
        <v>3</v>
      </c>
      <c r="AD44" s="101"/>
      <c r="AE44" s="94">
        <f t="shared" ref="AE44:AS44" si="27">SUM(AE39:AE43)</f>
        <v>0</v>
      </c>
      <c r="AF44" s="94">
        <f t="shared" si="27"/>
        <v>0</v>
      </c>
      <c r="AG44" s="94">
        <f t="shared" si="27"/>
        <v>0</v>
      </c>
      <c r="AH44" s="94">
        <f t="shared" si="27"/>
        <v>0</v>
      </c>
      <c r="AI44" s="105">
        <f t="shared" si="27"/>
        <v>0</v>
      </c>
      <c r="AJ44" s="118">
        <f t="shared" si="27"/>
        <v>0</v>
      </c>
      <c r="AK44" s="119">
        <f t="shared" si="27"/>
        <v>0</v>
      </c>
      <c r="AL44" s="119">
        <f t="shared" si="27"/>
        <v>0</v>
      </c>
      <c r="AM44" s="119">
        <f t="shared" si="27"/>
        <v>0</v>
      </c>
      <c r="AN44" s="120">
        <f t="shared" si="27"/>
        <v>0</v>
      </c>
      <c r="AO44" s="94">
        <f t="shared" si="27"/>
        <v>0</v>
      </c>
      <c r="AP44" s="94">
        <f t="shared" si="27"/>
        <v>0</v>
      </c>
      <c r="AQ44" s="94">
        <f t="shared" si="27"/>
        <v>0</v>
      </c>
      <c r="AR44" s="94">
        <f t="shared" si="27"/>
        <v>0</v>
      </c>
      <c r="AS44" s="94">
        <f t="shared" si="27"/>
        <v>0</v>
      </c>
    </row>
    <row r="45" spans="2:49" x14ac:dyDescent="0.25">
      <c r="B45" s="15">
        <v>43</v>
      </c>
      <c r="C45" s="8"/>
      <c r="E45" s="67"/>
      <c r="F45" s="16"/>
      <c r="G45" s="8"/>
      <c r="H45" s="8"/>
      <c r="I45" s="8"/>
      <c r="J45" s="9"/>
      <c r="K45" s="9">
        <f t="shared" si="0"/>
        <v>0</v>
      </c>
      <c r="L45" s="35">
        <f t="shared" si="1"/>
        <v>0</v>
      </c>
      <c r="M45" s="2"/>
      <c r="O45" s="19"/>
      <c r="P45" s="19"/>
      <c r="Q45" s="19"/>
      <c r="R45" s="21"/>
      <c r="S45" s="46"/>
      <c r="T45" s="44"/>
      <c r="U45" s="77"/>
      <c r="V45" s="30"/>
      <c r="W45" s="24"/>
      <c r="X45" s="193"/>
      <c r="Y45" s="15"/>
      <c r="AA45">
        <v>8</v>
      </c>
      <c r="AB45" s="486">
        <v>8</v>
      </c>
      <c r="AC45" s="89">
        <v>1</v>
      </c>
      <c r="AD45" s="95" t="s">
        <v>96</v>
      </c>
      <c r="AE45" s="39">
        <f t="shared" si="2"/>
        <v>0</v>
      </c>
      <c r="AF45" s="65">
        <f t="shared" si="3"/>
        <v>0</v>
      </c>
      <c r="AG45" s="65">
        <f t="shared" si="4"/>
        <v>0</v>
      </c>
      <c r="AH45" s="65">
        <f t="shared" si="5"/>
        <v>0</v>
      </c>
      <c r="AI45" s="104">
        <f t="shared" si="6"/>
        <v>0</v>
      </c>
      <c r="AJ45" s="115">
        <f t="shared" si="7"/>
        <v>0</v>
      </c>
      <c r="AK45" s="116">
        <f t="shared" si="8"/>
        <v>0</v>
      </c>
      <c r="AL45" s="116">
        <f t="shared" si="9"/>
        <v>0</v>
      </c>
      <c r="AM45" s="116">
        <f t="shared" si="10"/>
        <v>0</v>
      </c>
      <c r="AN45" s="117">
        <f t="shared" si="11"/>
        <v>0</v>
      </c>
      <c r="AO45" s="39">
        <f t="shared" si="12"/>
        <v>0</v>
      </c>
      <c r="AP45" s="65">
        <f t="shared" si="13"/>
        <v>0</v>
      </c>
      <c r="AQ45" s="65">
        <f t="shared" si="14"/>
        <v>0</v>
      </c>
      <c r="AR45" s="65">
        <f t="shared" si="15"/>
        <v>0</v>
      </c>
      <c r="AS45" s="65">
        <f t="shared" si="16"/>
        <v>0</v>
      </c>
    </row>
    <row r="46" spans="2:49" x14ac:dyDescent="0.25">
      <c r="B46" s="15">
        <v>44</v>
      </c>
      <c r="C46" s="8"/>
      <c r="E46" s="67"/>
      <c r="F46" s="16"/>
      <c r="G46" s="8"/>
      <c r="H46" s="8"/>
      <c r="I46" s="8"/>
      <c r="J46" s="9"/>
      <c r="K46" s="9">
        <f t="shared" si="0"/>
        <v>0</v>
      </c>
      <c r="L46" s="35">
        <f t="shared" si="1"/>
        <v>0</v>
      </c>
      <c r="M46" s="2"/>
      <c r="O46" s="19"/>
      <c r="P46" s="19"/>
      <c r="Q46" s="19"/>
      <c r="R46" s="21"/>
      <c r="S46" s="46"/>
      <c r="T46" s="44"/>
      <c r="U46" s="77"/>
      <c r="V46" s="24"/>
      <c r="W46" s="24"/>
      <c r="X46" s="193"/>
      <c r="Y46" s="15"/>
      <c r="AA46">
        <v>8</v>
      </c>
      <c r="AB46" s="487"/>
      <c r="AC46" s="90">
        <v>2</v>
      </c>
      <c r="AD46" s="97" t="s">
        <v>97</v>
      </c>
      <c r="AE46" s="39">
        <f t="shared" si="2"/>
        <v>0</v>
      </c>
      <c r="AF46" s="65">
        <f t="shared" si="3"/>
        <v>0</v>
      </c>
      <c r="AG46" s="65">
        <f t="shared" si="4"/>
        <v>0</v>
      </c>
      <c r="AH46" s="65">
        <f t="shared" si="5"/>
        <v>0</v>
      </c>
      <c r="AI46" s="104">
        <f t="shared" si="6"/>
        <v>0</v>
      </c>
      <c r="AJ46" s="115">
        <f t="shared" si="7"/>
        <v>0</v>
      </c>
      <c r="AK46" s="116">
        <f t="shared" si="8"/>
        <v>0</v>
      </c>
      <c r="AL46" s="116">
        <f t="shared" si="9"/>
        <v>0</v>
      </c>
      <c r="AM46" s="116">
        <f t="shared" si="10"/>
        <v>0</v>
      </c>
      <c r="AN46" s="117">
        <f t="shared" si="11"/>
        <v>0</v>
      </c>
      <c r="AO46" s="39">
        <f t="shared" si="12"/>
        <v>0</v>
      </c>
      <c r="AP46" s="65">
        <f t="shared" si="13"/>
        <v>0</v>
      </c>
      <c r="AQ46" s="65">
        <f t="shared" si="14"/>
        <v>0</v>
      </c>
      <c r="AR46" s="65">
        <f t="shared" si="15"/>
        <v>0</v>
      </c>
      <c r="AS46" s="65">
        <f t="shared" si="16"/>
        <v>0</v>
      </c>
    </row>
    <row r="47" spans="2:49" x14ac:dyDescent="0.25">
      <c r="B47" s="15">
        <v>45</v>
      </c>
      <c r="C47" s="8"/>
      <c r="E47" s="67"/>
      <c r="F47" s="16"/>
      <c r="G47" s="8"/>
      <c r="H47" s="8"/>
      <c r="I47" s="8"/>
      <c r="J47" s="9"/>
      <c r="K47" s="9">
        <f t="shared" si="0"/>
        <v>0</v>
      </c>
      <c r="L47" s="35">
        <f t="shared" si="1"/>
        <v>0</v>
      </c>
      <c r="M47" s="2"/>
      <c r="O47" s="19"/>
      <c r="P47" s="19"/>
      <c r="Q47" s="19"/>
      <c r="R47" s="21"/>
      <c r="S47" s="46"/>
      <c r="T47" s="44"/>
      <c r="U47" s="77"/>
      <c r="V47" s="24"/>
      <c r="W47" s="24"/>
      <c r="X47" s="193"/>
      <c r="Y47" s="15"/>
      <c r="AA47">
        <v>8</v>
      </c>
      <c r="AB47" s="487"/>
      <c r="AC47" s="90">
        <v>3</v>
      </c>
      <c r="AD47" s="97" t="s">
        <v>98</v>
      </c>
      <c r="AE47" s="39">
        <f t="shared" si="2"/>
        <v>0</v>
      </c>
      <c r="AF47" s="65">
        <f t="shared" si="3"/>
        <v>0</v>
      </c>
      <c r="AG47" s="65">
        <f t="shared" si="4"/>
        <v>0</v>
      </c>
      <c r="AH47" s="65">
        <f t="shared" si="5"/>
        <v>0</v>
      </c>
      <c r="AI47" s="104">
        <f t="shared" si="6"/>
        <v>0</v>
      </c>
      <c r="AJ47" s="115">
        <f t="shared" si="7"/>
        <v>0</v>
      </c>
      <c r="AK47" s="116">
        <f t="shared" si="8"/>
        <v>0</v>
      </c>
      <c r="AL47" s="116">
        <f t="shared" si="9"/>
        <v>0</v>
      </c>
      <c r="AM47" s="116">
        <f t="shared" si="10"/>
        <v>0</v>
      </c>
      <c r="AN47" s="117">
        <f t="shared" si="11"/>
        <v>0</v>
      </c>
      <c r="AO47" s="39">
        <f t="shared" si="12"/>
        <v>0</v>
      </c>
      <c r="AP47" s="65">
        <f t="shared" si="13"/>
        <v>0</v>
      </c>
      <c r="AQ47" s="65">
        <f t="shared" si="14"/>
        <v>0</v>
      </c>
      <c r="AR47" s="65">
        <f t="shared" si="15"/>
        <v>0</v>
      </c>
      <c r="AS47" s="65">
        <f t="shared" si="16"/>
        <v>0</v>
      </c>
    </row>
    <row r="48" spans="2:49" x14ac:dyDescent="0.25">
      <c r="B48" s="15">
        <v>46</v>
      </c>
      <c r="C48" s="8"/>
      <c r="E48" s="67"/>
      <c r="F48" s="16"/>
      <c r="G48" s="8"/>
      <c r="H48" s="8"/>
      <c r="I48" s="8"/>
      <c r="J48" s="9"/>
      <c r="K48" s="9">
        <f t="shared" si="0"/>
        <v>0</v>
      </c>
      <c r="L48" s="35">
        <f t="shared" si="1"/>
        <v>0</v>
      </c>
      <c r="M48" s="2"/>
      <c r="O48" s="19"/>
      <c r="P48" s="19"/>
      <c r="Q48" s="19"/>
      <c r="R48" s="21"/>
      <c r="S48" s="46"/>
      <c r="T48" s="44"/>
      <c r="U48" s="77"/>
      <c r="V48" s="24"/>
      <c r="W48" s="24"/>
      <c r="X48" s="193"/>
      <c r="Y48" s="15"/>
      <c r="AA48">
        <v>8</v>
      </c>
      <c r="AB48" s="487"/>
      <c r="AC48" s="90">
        <v>4</v>
      </c>
      <c r="AD48" s="97" t="s">
        <v>99</v>
      </c>
      <c r="AE48" s="39">
        <f t="shared" si="2"/>
        <v>0</v>
      </c>
      <c r="AF48" s="65">
        <f t="shared" si="3"/>
        <v>0</v>
      </c>
      <c r="AG48" s="65">
        <f t="shared" si="4"/>
        <v>0</v>
      </c>
      <c r="AH48" s="65">
        <f t="shared" si="5"/>
        <v>0</v>
      </c>
      <c r="AI48" s="104">
        <f t="shared" si="6"/>
        <v>0</v>
      </c>
      <c r="AJ48" s="115">
        <f t="shared" si="7"/>
        <v>0</v>
      </c>
      <c r="AK48" s="116">
        <f t="shared" si="8"/>
        <v>0</v>
      </c>
      <c r="AL48" s="116">
        <f t="shared" si="9"/>
        <v>0</v>
      </c>
      <c r="AM48" s="116">
        <f t="shared" si="10"/>
        <v>0</v>
      </c>
      <c r="AN48" s="117">
        <f t="shared" si="11"/>
        <v>0</v>
      </c>
      <c r="AO48" s="39">
        <f t="shared" si="12"/>
        <v>0</v>
      </c>
      <c r="AP48" s="65">
        <f t="shared" si="13"/>
        <v>0</v>
      </c>
      <c r="AQ48" s="65">
        <f t="shared" si="14"/>
        <v>0</v>
      </c>
      <c r="AR48" s="65">
        <f t="shared" si="15"/>
        <v>0</v>
      </c>
      <c r="AS48" s="65">
        <f t="shared" si="16"/>
        <v>0</v>
      </c>
    </row>
    <row r="49" spans="2:45" x14ac:dyDescent="0.25">
      <c r="B49" s="15">
        <v>47</v>
      </c>
      <c r="C49" s="8"/>
      <c r="E49" s="67"/>
      <c r="F49" s="16"/>
      <c r="G49" s="8"/>
      <c r="H49" s="8"/>
      <c r="I49" s="8"/>
      <c r="K49" s="9">
        <f t="shared" si="0"/>
        <v>0</v>
      </c>
      <c r="L49" s="35">
        <f t="shared" si="1"/>
        <v>0</v>
      </c>
      <c r="M49" s="2"/>
      <c r="O49" s="19"/>
      <c r="P49" s="19"/>
      <c r="Q49" s="19"/>
      <c r="R49" s="21"/>
      <c r="S49" s="46"/>
      <c r="T49" s="44"/>
      <c r="U49" s="77"/>
      <c r="V49" s="30"/>
      <c r="W49" s="24"/>
      <c r="X49" s="193"/>
      <c r="Y49" s="15"/>
      <c r="AA49">
        <v>8</v>
      </c>
      <c r="AB49" s="487"/>
      <c r="AC49" s="91">
        <v>5</v>
      </c>
      <c r="AD49" s="100"/>
      <c r="AE49" s="39">
        <f t="shared" si="2"/>
        <v>0</v>
      </c>
      <c r="AF49" s="65">
        <f t="shared" si="3"/>
        <v>0</v>
      </c>
      <c r="AG49" s="65">
        <f t="shared" si="4"/>
        <v>0</v>
      </c>
      <c r="AH49" s="65">
        <f t="shared" si="5"/>
        <v>0</v>
      </c>
      <c r="AI49" s="104">
        <f t="shared" si="6"/>
        <v>0</v>
      </c>
      <c r="AJ49" s="115">
        <f t="shared" si="7"/>
        <v>0</v>
      </c>
      <c r="AK49" s="116">
        <f t="shared" si="8"/>
        <v>0</v>
      </c>
      <c r="AL49" s="116">
        <f t="shared" si="9"/>
        <v>0</v>
      </c>
      <c r="AM49" s="116">
        <f t="shared" si="10"/>
        <v>0</v>
      </c>
      <c r="AN49" s="117">
        <f t="shared" si="11"/>
        <v>0</v>
      </c>
      <c r="AO49" s="39">
        <f t="shared" si="12"/>
        <v>0</v>
      </c>
      <c r="AP49" s="65">
        <f t="shared" si="13"/>
        <v>0</v>
      </c>
      <c r="AQ49" s="65">
        <f t="shared" si="14"/>
        <v>0</v>
      </c>
      <c r="AR49" s="65">
        <f t="shared" si="15"/>
        <v>0</v>
      </c>
      <c r="AS49" s="65">
        <f t="shared" si="16"/>
        <v>0</v>
      </c>
    </row>
    <row r="50" spans="2:45" ht="14.25" thickBot="1" x14ac:dyDescent="0.3">
      <c r="B50" s="15">
        <v>48</v>
      </c>
      <c r="C50" s="8"/>
      <c r="E50" s="67"/>
      <c r="F50" s="16"/>
      <c r="G50" s="8"/>
      <c r="H50" s="8"/>
      <c r="I50" s="8"/>
      <c r="J50" s="9"/>
      <c r="K50" s="9">
        <f t="shared" si="0"/>
        <v>0</v>
      </c>
      <c r="L50" s="35">
        <f t="shared" si="1"/>
        <v>0</v>
      </c>
      <c r="M50" s="2"/>
      <c r="O50" s="19"/>
      <c r="P50" s="19"/>
      <c r="Q50" s="19"/>
      <c r="R50" s="21"/>
      <c r="S50" s="46"/>
      <c r="T50" s="44"/>
      <c r="U50" s="77"/>
      <c r="V50" s="30"/>
      <c r="W50" s="24"/>
      <c r="X50" s="193"/>
      <c r="Y50" s="15"/>
      <c r="AA50">
        <v>8</v>
      </c>
      <c r="AB50" s="488"/>
      <c r="AC50" s="92" t="s">
        <v>3</v>
      </c>
      <c r="AD50" s="101"/>
      <c r="AE50" s="94">
        <f t="shared" ref="AE50:AS50" si="28">SUM(AE45:AE49)</f>
        <v>0</v>
      </c>
      <c r="AF50" s="94">
        <f t="shared" si="28"/>
        <v>0</v>
      </c>
      <c r="AG50" s="94">
        <f t="shared" si="28"/>
        <v>0</v>
      </c>
      <c r="AH50" s="94">
        <f t="shared" si="28"/>
        <v>0</v>
      </c>
      <c r="AI50" s="105">
        <f t="shared" si="28"/>
        <v>0</v>
      </c>
      <c r="AJ50" s="118">
        <f t="shared" si="28"/>
        <v>0</v>
      </c>
      <c r="AK50" s="119">
        <f t="shared" si="28"/>
        <v>0</v>
      </c>
      <c r="AL50" s="119">
        <f t="shared" si="28"/>
        <v>0</v>
      </c>
      <c r="AM50" s="119">
        <f t="shared" si="28"/>
        <v>0</v>
      </c>
      <c r="AN50" s="120">
        <f t="shared" si="28"/>
        <v>0</v>
      </c>
      <c r="AO50" s="94">
        <f t="shared" si="28"/>
        <v>0</v>
      </c>
      <c r="AP50" s="94">
        <f t="shared" si="28"/>
        <v>0</v>
      </c>
      <c r="AQ50" s="94">
        <f t="shared" si="28"/>
        <v>0</v>
      </c>
      <c r="AR50" s="94">
        <f t="shared" si="28"/>
        <v>0</v>
      </c>
      <c r="AS50" s="94">
        <f t="shared" si="28"/>
        <v>0</v>
      </c>
    </row>
    <row r="51" spans="2:45" x14ac:dyDescent="0.25">
      <c r="B51" s="15">
        <v>49</v>
      </c>
      <c r="C51" s="8"/>
      <c r="E51" s="67"/>
      <c r="F51" s="16"/>
      <c r="G51" s="8"/>
      <c r="H51" s="8"/>
      <c r="I51" s="8"/>
      <c r="J51" s="9"/>
      <c r="K51" s="9">
        <f t="shared" si="0"/>
        <v>0</v>
      </c>
      <c r="L51" s="35">
        <f t="shared" si="1"/>
        <v>0</v>
      </c>
      <c r="M51" s="2"/>
      <c r="O51" s="19"/>
      <c r="P51" s="19"/>
      <c r="Q51" s="19"/>
      <c r="R51" s="21"/>
      <c r="S51" s="46"/>
      <c r="T51" s="44"/>
      <c r="U51" s="77"/>
      <c r="V51" s="30"/>
      <c r="W51" s="24"/>
      <c r="X51" s="193"/>
      <c r="Y51" s="15"/>
      <c r="AA51">
        <v>9</v>
      </c>
      <c r="AB51" s="486">
        <v>9</v>
      </c>
      <c r="AC51" s="89">
        <v>1</v>
      </c>
      <c r="AD51" s="95" t="s">
        <v>100</v>
      </c>
      <c r="AE51" s="39">
        <f t="shared" si="2"/>
        <v>0</v>
      </c>
      <c r="AF51" s="65">
        <f t="shared" si="3"/>
        <v>0</v>
      </c>
      <c r="AG51" s="65">
        <f t="shared" si="4"/>
        <v>0</v>
      </c>
      <c r="AH51" s="65">
        <f t="shared" si="5"/>
        <v>0</v>
      </c>
      <c r="AI51" s="104">
        <f t="shared" si="6"/>
        <v>0</v>
      </c>
      <c r="AJ51" s="115">
        <f t="shared" si="7"/>
        <v>0</v>
      </c>
      <c r="AK51" s="116">
        <f t="shared" si="8"/>
        <v>0</v>
      </c>
      <c r="AL51" s="116">
        <f t="shared" si="9"/>
        <v>0</v>
      </c>
      <c r="AM51" s="116">
        <f t="shared" si="10"/>
        <v>0</v>
      </c>
      <c r="AN51" s="117">
        <f t="shared" si="11"/>
        <v>0</v>
      </c>
      <c r="AO51" s="39">
        <f t="shared" si="12"/>
        <v>0</v>
      </c>
      <c r="AP51" s="65">
        <f t="shared" si="13"/>
        <v>0</v>
      </c>
      <c r="AQ51" s="65">
        <f t="shared" si="14"/>
        <v>0</v>
      </c>
      <c r="AR51" s="65">
        <f t="shared" si="15"/>
        <v>0</v>
      </c>
      <c r="AS51" s="65">
        <f t="shared" si="16"/>
        <v>0</v>
      </c>
    </row>
    <row r="52" spans="2:45" x14ac:dyDescent="0.25">
      <c r="B52" s="15">
        <v>50</v>
      </c>
      <c r="C52" s="8"/>
      <c r="E52" s="67"/>
      <c r="F52" s="16"/>
      <c r="G52" s="8"/>
      <c r="H52" s="8"/>
      <c r="I52" s="8"/>
      <c r="J52" s="9"/>
      <c r="K52" s="9">
        <f t="shared" si="0"/>
        <v>0</v>
      </c>
      <c r="L52" s="35">
        <f t="shared" si="1"/>
        <v>0</v>
      </c>
      <c r="M52" s="2"/>
      <c r="O52" s="19"/>
      <c r="P52" s="19"/>
      <c r="Q52" s="19"/>
      <c r="R52" s="21"/>
      <c r="S52" s="46"/>
      <c r="T52" s="44"/>
      <c r="U52" s="77"/>
      <c r="V52" s="30"/>
      <c r="W52" s="24"/>
      <c r="X52" s="193"/>
      <c r="Y52" s="15"/>
      <c r="AA52">
        <v>9</v>
      </c>
      <c r="AB52" s="487"/>
      <c r="AC52" s="90">
        <v>2</v>
      </c>
      <c r="AD52" s="97" t="s">
        <v>101</v>
      </c>
      <c r="AE52" s="39">
        <f t="shared" si="2"/>
        <v>0</v>
      </c>
      <c r="AF52" s="65">
        <f t="shared" si="3"/>
        <v>0</v>
      </c>
      <c r="AG52" s="65">
        <f t="shared" si="4"/>
        <v>0</v>
      </c>
      <c r="AH52" s="65">
        <f t="shared" si="5"/>
        <v>0</v>
      </c>
      <c r="AI52" s="104">
        <f t="shared" si="6"/>
        <v>0</v>
      </c>
      <c r="AJ52" s="115">
        <f t="shared" si="7"/>
        <v>0</v>
      </c>
      <c r="AK52" s="116">
        <f t="shared" si="8"/>
        <v>0</v>
      </c>
      <c r="AL52" s="116">
        <f t="shared" si="9"/>
        <v>0</v>
      </c>
      <c r="AM52" s="116">
        <f t="shared" si="10"/>
        <v>0</v>
      </c>
      <c r="AN52" s="117">
        <f t="shared" si="11"/>
        <v>0</v>
      </c>
      <c r="AO52" s="39">
        <f t="shared" si="12"/>
        <v>0</v>
      </c>
      <c r="AP52" s="65">
        <f t="shared" si="13"/>
        <v>0</v>
      </c>
      <c r="AQ52" s="65">
        <f t="shared" si="14"/>
        <v>0</v>
      </c>
      <c r="AR52" s="65">
        <f t="shared" si="15"/>
        <v>0</v>
      </c>
      <c r="AS52" s="65">
        <f t="shared" si="16"/>
        <v>0</v>
      </c>
    </row>
    <row r="53" spans="2:45" x14ac:dyDescent="0.25">
      <c r="B53" s="15">
        <v>51</v>
      </c>
      <c r="C53" s="8"/>
      <c r="E53" s="67"/>
      <c r="F53" s="16"/>
      <c r="G53" s="8"/>
      <c r="H53" s="8"/>
      <c r="I53" s="8"/>
      <c r="J53" s="9"/>
      <c r="K53" s="9">
        <f t="shared" si="0"/>
        <v>0</v>
      </c>
      <c r="L53" s="35">
        <f t="shared" si="1"/>
        <v>0</v>
      </c>
      <c r="M53" s="2"/>
      <c r="O53" s="19"/>
      <c r="P53" s="19"/>
      <c r="Q53" s="19"/>
      <c r="R53" s="21"/>
      <c r="S53" s="46"/>
      <c r="T53" s="44"/>
      <c r="U53" s="77"/>
      <c r="V53" s="30"/>
      <c r="W53" s="24"/>
      <c r="X53" s="193"/>
      <c r="Y53" s="15"/>
      <c r="AA53">
        <v>9</v>
      </c>
      <c r="AB53" s="487"/>
      <c r="AC53" s="90">
        <v>3</v>
      </c>
      <c r="AD53" s="97" t="s">
        <v>102</v>
      </c>
      <c r="AE53" s="39">
        <f t="shared" si="2"/>
        <v>0</v>
      </c>
      <c r="AF53" s="65">
        <f t="shared" si="3"/>
        <v>0</v>
      </c>
      <c r="AG53" s="65">
        <f t="shared" si="4"/>
        <v>0</v>
      </c>
      <c r="AH53" s="65">
        <f t="shared" si="5"/>
        <v>0</v>
      </c>
      <c r="AI53" s="104">
        <f t="shared" si="6"/>
        <v>0</v>
      </c>
      <c r="AJ53" s="115">
        <f t="shared" si="7"/>
        <v>0</v>
      </c>
      <c r="AK53" s="116">
        <f t="shared" si="8"/>
        <v>0</v>
      </c>
      <c r="AL53" s="116">
        <f t="shared" si="9"/>
        <v>0</v>
      </c>
      <c r="AM53" s="116">
        <f t="shared" si="10"/>
        <v>0</v>
      </c>
      <c r="AN53" s="117">
        <f t="shared" si="11"/>
        <v>0</v>
      </c>
      <c r="AO53" s="39">
        <f t="shared" si="12"/>
        <v>0</v>
      </c>
      <c r="AP53" s="65">
        <f t="shared" si="13"/>
        <v>0</v>
      </c>
      <c r="AQ53" s="65">
        <f t="shared" si="14"/>
        <v>0</v>
      </c>
      <c r="AR53" s="65">
        <f t="shared" si="15"/>
        <v>0</v>
      </c>
      <c r="AS53" s="65">
        <f t="shared" si="16"/>
        <v>0</v>
      </c>
    </row>
    <row r="54" spans="2:45" x14ac:dyDescent="0.25">
      <c r="B54" s="15">
        <v>52</v>
      </c>
      <c r="C54" s="8"/>
      <c r="E54" s="67"/>
      <c r="F54" s="16"/>
      <c r="G54" s="8"/>
      <c r="H54" s="8"/>
      <c r="I54" s="8"/>
      <c r="J54" s="9"/>
      <c r="K54" s="9">
        <f t="shared" si="0"/>
        <v>0</v>
      </c>
      <c r="L54" s="35">
        <f t="shared" si="1"/>
        <v>0</v>
      </c>
      <c r="M54" s="2"/>
      <c r="O54" s="19"/>
      <c r="P54" s="19"/>
      <c r="Q54" s="19"/>
      <c r="R54" s="21"/>
      <c r="S54" s="46"/>
      <c r="T54" s="44"/>
      <c r="U54" s="77"/>
      <c r="V54" s="30"/>
      <c r="W54" s="24"/>
      <c r="X54" s="193"/>
      <c r="Y54" s="15"/>
      <c r="AA54">
        <v>9</v>
      </c>
      <c r="AB54" s="487"/>
      <c r="AC54" s="90">
        <v>4</v>
      </c>
      <c r="AD54" s="97" t="s">
        <v>103</v>
      </c>
      <c r="AE54" s="39">
        <f t="shared" si="2"/>
        <v>0</v>
      </c>
      <c r="AF54" s="65">
        <f t="shared" si="3"/>
        <v>0</v>
      </c>
      <c r="AG54" s="65">
        <f t="shared" si="4"/>
        <v>0</v>
      </c>
      <c r="AH54" s="65">
        <f t="shared" si="5"/>
        <v>0</v>
      </c>
      <c r="AI54" s="104">
        <f t="shared" si="6"/>
        <v>0</v>
      </c>
      <c r="AJ54" s="115">
        <f t="shared" si="7"/>
        <v>0</v>
      </c>
      <c r="AK54" s="116">
        <f t="shared" si="8"/>
        <v>0</v>
      </c>
      <c r="AL54" s="116">
        <f t="shared" si="9"/>
        <v>0</v>
      </c>
      <c r="AM54" s="116">
        <f t="shared" si="10"/>
        <v>0</v>
      </c>
      <c r="AN54" s="117">
        <f t="shared" si="11"/>
        <v>0</v>
      </c>
      <c r="AO54" s="39">
        <f t="shared" si="12"/>
        <v>0</v>
      </c>
      <c r="AP54" s="65">
        <f t="shared" si="13"/>
        <v>0</v>
      </c>
      <c r="AQ54" s="65">
        <f t="shared" si="14"/>
        <v>0</v>
      </c>
      <c r="AR54" s="65">
        <f t="shared" si="15"/>
        <v>0</v>
      </c>
      <c r="AS54" s="65">
        <f t="shared" si="16"/>
        <v>0</v>
      </c>
    </row>
    <row r="55" spans="2:45" x14ac:dyDescent="0.25">
      <c r="B55" s="15">
        <v>53</v>
      </c>
      <c r="C55" s="8"/>
      <c r="E55" s="67"/>
      <c r="F55" s="16"/>
      <c r="G55" s="8"/>
      <c r="H55" s="8"/>
      <c r="I55" s="8"/>
      <c r="J55" s="9"/>
      <c r="K55" s="9">
        <f t="shared" si="0"/>
        <v>0</v>
      </c>
      <c r="L55" s="35">
        <f t="shared" si="1"/>
        <v>0</v>
      </c>
      <c r="M55" s="2"/>
      <c r="O55" s="19"/>
      <c r="P55" s="19"/>
      <c r="Q55" s="19"/>
      <c r="R55" s="21"/>
      <c r="S55" s="46"/>
      <c r="T55" s="44"/>
      <c r="U55" s="77"/>
      <c r="V55" s="24"/>
      <c r="W55" s="24"/>
      <c r="X55" s="193"/>
      <c r="Y55" s="15"/>
      <c r="AA55">
        <v>9</v>
      </c>
      <c r="AB55" s="487"/>
      <c r="AC55" s="91">
        <v>5</v>
      </c>
      <c r="AD55" s="100"/>
      <c r="AE55" s="39">
        <f t="shared" si="2"/>
        <v>0</v>
      </c>
      <c r="AF55" s="65">
        <f t="shared" si="3"/>
        <v>0</v>
      </c>
      <c r="AG55" s="65">
        <f t="shared" si="4"/>
        <v>0</v>
      </c>
      <c r="AH55" s="65">
        <f t="shared" si="5"/>
        <v>0</v>
      </c>
      <c r="AI55" s="104">
        <f t="shared" si="6"/>
        <v>0</v>
      </c>
      <c r="AJ55" s="115">
        <f t="shared" si="7"/>
        <v>0</v>
      </c>
      <c r="AK55" s="116">
        <f t="shared" si="8"/>
        <v>0</v>
      </c>
      <c r="AL55" s="116">
        <f t="shared" si="9"/>
        <v>0</v>
      </c>
      <c r="AM55" s="116">
        <f t="shared" si="10"/>
        <v>0</v>
      </c>
      <c r="AN55" s="117">
        <f t="shared" si="11"/>
        <v>0</v>
      </c>
      <c r="AO55" s="39">
        <f t="shared" si="12"/>
        <v>0</v>
      </c>
      <c r="AP55" s="65">
        <f t="shared" si="13"/>
        <v>0</v>
      </c>
      <c r="AQ55" s="65">
        <f t="shared" si="14"/>
        <v>0</v>
      </c>
      <c r="AR55" s="65">
        <f t="shared" si="15"/>
        <v>0</v>
      </c>
      <c r="AS55" s="65">
        <f t="shared" si="16"/>
        <v>0</v>
      </c>
    </row>
    <row r="56" spans="2:45" ht="14.25" thickBot="1" x14ac:dyDescent="0.3">
      <c r="B56" s="15">
        <v>54</v>
      </c>
      <c r="C56" s="8"/>
      <c r="E56" s="67"/>
      <c r="F56" s="16"/>
      <c r="G56" s="8"/>
      <c r="H56" s="8"/>
      <c r="I56" s="8"/>
      <c r="J56" s="9"/>
      <c r="K56" s="9">
        <f t="shared" si="0"/>
        <v>0</v>
      </c>
      <c r="L56" s="35">
        <f t="shared" si="1"/>
        <v>0</v>
      </c>
      <c r="O56" s="19"/>
      <c r="P56" s="19"/>
      <c r="Q56" s="19"/>
      <c r="R56" s="21"/>
      <c r="S56" s="46"/>
      <c r="T56" s="44"/>
      <c r="U56" s="76"/>
      <c r="V56" s="24"/>
      <c r="W56" s="24"/>
      <c r="X56" s="193"/>
      <c r="Y56" s="15"/>
      <c r="AA56">
        <v>9</v>
      </c>
      <c r="AB56" s="488"/>
      <c r="AC56" s="92" t="s">
        <v>3</v>
      </c>
      <c r="AD56" s="101"/>
      <c r="AE56" s="94">
        <f t="shared" ref="AE56:AS56" si="29">SUM(AE51:AE55)</f>
        <v>0</v>
      </c>
      <c r="AF56" s="94">
        <f t="shared" si="29"/>
        <v>0</v>
      </c>
      <c r="AG56" s="94">
        <f t="shared" si="29"/>
        <v>0</v>
      </c>
      <c r="AH56" s="94">
        <f t="shared" si="29"/>
        <v>0</v>
      </c>
      <c r="AI56" s="105">
        <f t="shared" si="29"/>
        <v>0</v>
      </c>
      <c r="AJ56" s="118">
        <f t="shared" si="29"/>
        <v>0</v>
      </c>
      <c r="AK56" s="119">
        <f t="shared" si="29"/>
        <v>0</v>
      </c>
      <c r="AL56" s="119">
        <f t="shared" si="29"/>
        <v>0</v>
      </c>
      <c r="AM56" s="119">
        <f t="shared" si="29"/>
        <v>0</v>
      </c>
      <c r="AN56" s="120">
        <f t="shared" si="29"/>
        <v>0</v>
      </c>
      <c r="AO56" s="94">
        <f t="shared" si="29"/>
        <v>0</v>
      </c>
      <c r="AP56" s="94">
        <f t="shared" si="29"/>
        <v>0</v>
      </c>
      <c r="AQ56" s="94">
        <f t="shared" si="29"/>
        <v>0</v>
      </c>
      <c r="AR56" s="94">
        <f t="shared" si="29"/>
        <v>0</v>
      </c>
      <c r="AS56" s="94">
        <f t="shared" si="29"/>
        <v>0</v>
      </c>
    </row>
    <row r="57" spans="2:45" x14ac:dyDescent="0.25">
      <c r="B57" s="15">
        <v>55</v>
      </c>
      <c r="C57" s="8"/>
      <c r="E57" s="67"/>
      <c r="F57" s="16"/>
      <c r="G57" s="8"/>
      <c r="H57" s="8"/>
      <c r="I57" s="8"/>
      <c r="J57" s="9"/>
      <c r="K57" s="9">
        <f t="shared" si="0"/>
        <v>0</v>
      </c>
      <c r="L57" s="35">
        <f t="shared" si="1"/>
        <v>0</v>
      </c>
      <c r="M57" s="2"/>
      <c r="O57" s="19"/>
      <c r="P57" s="19"/>
      <c r="Q57" s="19"/>
      <c r="R57" s="21"/>
      <c r="S57" s="46"/>
      <c r="T57" s="44"/>
      <c r="U57" s="77"/>
      <c r="V57" s="30"/>
      <c r="W57" s="24"/>
      <c r="X57" s="193"/>
      <c r="Y57" s="15"/>
      <c r="AA57">
        <v>10</v>
      </c>
      <c r="AB57" s="486">
        <v>10</v>
      </c>
      <c r="AC57" s="89">
        <v>1</v>
      </c>
      <c r="AD57" s="95" t="s">
        <v>104</v>
      </c>
      <c r="AE57" s="39">
        <f t="shared" si="2"/>
        <v>0</v>
      </c>
      <c r="AF57" s="65">
        <f t="shared" si="3"/>
        <v>0</v>
      </c>
      <c r="AG57" s="65">
        <f t="shared" si="4"/>
        <v>0</v>
      </c>
      <c r="AH57" s="65">
        <f t="shared" si="5"/>
        <v>0</v>
      </c>
      <c r="AI57" s="104">
        <f t="shared" si="6"/>
        <v>0</v>
      </c>
      <c r="AJ57" s="115">
        <f t="shared" si="7"/>
        <v>0</v>
      </c>
      <c r="AK57" s="116">
        <f t="shared" si="8"/>
        <v>0</v>
      </c>
      <c r="AL57" s="116">
        <f t="shared" si="9"/>
        <v>0</v>
      </c>
      <c r="AM57" s="116">
        <f t="shared" si="10"/>
        <v>0</v>
      </c>
      <c r="AN57" s="117">
        <f t="shared" si="11"/>
        <v>0</v>
      </c>
      <c r="AO57" s="39">
        <f t="shared" si="12"/>
        <v>0</v>
      </c>
      <c r="AP57" s="65">
        <f t="shared" si="13"/>
        <v>0</v>
      </c>
      <c r="AQ57" s="65">
        <f t="shared" si="14"/>
        <v>0</v>
      </c>
      <c r="AR57" s="65">
        <f t="shared" si="15"/>
        <v>0</v>
      </c>
      <c r="AS57" s="65">
        <f t="shared" si="16"/>
        <v>0</v>
      </c>
    </row>
    <row r="58" spans="2:45" x14ac:dyDescent="0.25">
      <c r="B58" s="15">
        <v>56</v>
      </c>
      <c r="C58" s="8"/>
      <c r="E58" s="67"/>
      <c r="F58" s="16"/>
      <c r="G58" s="8"/>
      <c r="H58" s="8"/>
      <c r="I58" s="8"/>
      <c r="J58" s="9"/>
      <c r="K58" s="9">
        <f t="shared" si="0"/>
        <v>0</v>
      </c>
      <c r="L58" s="35">
        <f t="shared" si="1"/>
        <v>0</v>
      </c>
      <c r="M58" s="2"/>
      <c r="O58" s="19"/>
      <c r="P58" s="19"/>
      <c r="Q58" s="19"/>
      <c r="R58" s="21"/>
      <c r="S58" s="46"/>
      <c r="T58" s="44"/>
      <c r="U58" s="77"/>
      <c r="V58" s="30"/>
      <c r="W58" s="24"/>
      <c r="X58" s="193"/>
      <c r="Y58" s="15"/>
      <c r="AA58">
        <v>10</v>
      </c>
      <c r="AB58" s="487"/>
      <c r="AC58" s="90">
        <v>2</v>
      </c>
      <c r="AD58" s="96" t="s">
        <v>54</v>
      </c>
      <c r="AE58" s="39">
        <f t="shared" si="2"/>
        <v>0</v>
      </c>
      <c r="AF58" s="65">
        <f t="shared" si="3"/>
        <v>0</v>
      </c>
      <c r="AG58" s="65">
        <f t="shared" si="4"/>
        <v>0</v>
      </c>
      <c r="AH58" s="65">
        <f t="shared" si="5"/>
        <v>0</v>
      </c>
      <c r="AI58" s="104">
        <f t="shared" si="6"/>
        <v>0</v>
      </c>
      <c r="AJ58" s="115">
        <f t="shared" si="7"/>
        <v>0</v>
      </c>
      <c r="AK58" s="116">
        <f t="shared" si="8"/>
        <v>0</v>
      </c>
      <c r="AL58" s="116">
        <f t="shared" si="9"/>
        <v>0</v>
      </c>
      <c r="AM58" s="116">
        <f t="shared" si="10"/>
        <v>0</v>
      </c>
      <c r="AN58" s="117">
        <f t="shared" si="11"/>
        <v>0</v>
      </c>
      <c r="AO58" s="39">
        <f t="shared" si="12"/>
        <v>0</v>
      </c>
      <c r="AP58" s="65">
        <f t="shared" si="13"/>
        <v>0</v>
      </c>
      <c r="AQ58" s="65">
        <f t="shared" si="14"/>
        <v>0</v>
      </c>
      <c r="AR58" s="65">
        <f t="shared" si="15"/>
        <v>0</v>
      </c>
      <c r="AS58" s="65">
        <f t="shared" si="16"/>
        <v>0</v>
      </c>
    </row>
    <row r="59" spans="2:45" x14ac:dyDescent="0.25">
      <c r="B59" s="15">
        <v>57</v>
      </c>
      <c r="C59" s="8"/>
      <c r="E59" s="67"/>
      <c r="F59" s="16"/>
      <c r="G59" s="8"/>
      <c r="H59" s="8"/>
      <c r="I59" s="8"/>
      <c r="J59" s="9"/>
      <c r="K59" s="9">
        <f t="shared" si="0"/>
        <v>0</v>
      </c>
      <c r="L59" s="35">
        <f t="shared" si="1"/>
        <v>0</v>
      </c>
      <c r="M59" s="2"/>
      <c r="O59" s="19"/>
      <c r="P59" s="19"/>
      <c r="Q59" s="19"/>
      <c r="R59" s="21"/>
      <c r="S59" s="46"/>
      <c r="T59" s="44"/>
      <c r="U59" s="77"/>
      <c r="V59" s="30"/>
      <c r="W59" s="24"/>
      <c r="X59" s="193"/>
      <c r="Y59" s="15"/>
      <c r="AA59">
        <v>10</v>
      </c>
      <c r="AB59" s="487"/>
      <c r="AC59" s="90">
        <v>3</v>
      </c>
      <c r="AD59" s="97" t="s">
        <v>55</v>
      </c>
      <c r="AE59" s="39">
        <f t="shared" si="2"/>
        <v>0</v>
      </c>
      <c r="AF59" s="65">
        <f t="shared" si="3"/>
        <v>0</v>
      </c>
      <c r="AG59" s="65">
        <f t="shared" si="4"/>
        <v>0</v>
      </c>
      <c r="AH59" s="65">
        <f t="shared" si="5"/>
        <v>0</v>
      </c>
      <c r="AI59" s="104">
        <f t="shared" si="6"/>
        <v>0</v>
      </c>
      <c r="AJ59" s="115">
        <f t="shared" si="7"/>
        <v>0</v>
      </c>
      <c r="AK59" s="116">
        <f t="shared" si="8"/>
        <v>0</v>
      </c>
      <c r="AL59" s="116">
        <f t="shared" si="9"/>
        <v>0</v>
      </c>
      <c r="AM59" s="116">
        <f t="shared" si="10"/>
        <v>0</v>
      </c>
      <c r="AN59" s="117">
        <f t="shared" si="11"/>
        <v>0</v>
      </c>
      <c r="AO59" s="39">
        <f t="shared" si="12"/>
        <v>0</v>
      </c>
      <c r="AP59" s="65">
        <f t="shared" si="13"/>
        <v>0</v>
      </c>
      <c r="AQ59" s="65">
        <f t="shared" si="14"/>
        <v>0</v>
      </c>
      <c r="AR59" s="65">
        <f t="shared" si="15"/>
        <v>0</v>
      </c>
      <c r="AS59" s="65">
        <f t="shared" si="16"/>
        <v>0</v>
      </c>
    </row>
    <row r="60" spans="2:45" x14ac:dyDescent="0.25">
      <c r="B60" s="15">
        <v>58</v>
      </c>
      <c r="C60" s="8"/>
      <c r="E60" s="67"/>
      <c r="F60" s="16"/>
      <c r="G60" s="8"/>
      <c r="H60" s="8"/>
      <c r="I60" s="8"/>
      <c r="J60" s="9"/>
      <c r="K60" s="9">
        <f t="shared" si="0"/>
        <v>0</v>
      </c>
      <c r="L60" s="35">
        <f t="shared" si="1"/>
        <v>0</v>
      </c>
      <c r="M60" s="2"/>
      <c r="O60" s="19"/>
      <c r="P60" s="19"/>
      <c r="Q60" s="19"/>
      <c r="R60" s="21"/>
      <c r="S60" s="46"/>
      <c r="T60" s="44"/>
      <c r="U60" s="77"/>
      <c r="V60" s="30"/>
      <c r="W60" s="24"/>
      <c r="X60" s="193"/>
      <c r="Y60" s="15"/>
      <c r="AA60">
        <v>10</v>
      </c>
      <c r="AB60" s="487"/>
      <c r="AC60" s="90">
        <v>4</v>
      </c>
      <c r="AD60" s="97" t="s">
        <v>56</v>
      </c>
      <c r="AE60" s="39">
        <f t="shared" si="2"/>
        <v>0</v>
      </c>
      <c r="AF60" s="65">
        <f t="shared" si="3"/>
        <v>0</v>
      </c>
      <c r="AG60" s="65">
        <f t="shared" si="4"/>
        <v>0</v>
      </c>
      <c r="AH60" s="65">
        <f t="shared" si="5"/>
        <v>0</v>
      </c>
      <c r="AI60" s="104">
        <f t="shared" si="6"/>
        <v>0</v>
      </c>
      <c r="AJ60" s="115">
        <f t="shared" si="7"/>
        <v>0</v>
      </c>
      <c r="AK60" s="116">
        <f t="shared" si="8"/>
        <v>0</v>
      </c>
      <c r="AL60" s="116">
        <f t="shared" si="9"/>
        <v>0</v>
      </c>
      <c r="AM60" s="116">
        <f t="shared" si="10"/>
        <v>0</v>
      </c>
      <c r="AN60" s="117">
        <f t="shared" si="11"/>
        <v>0</v>
      </c>
      <c r="AO60" s="39">
        <f t="shared" si="12"/>
        <v>0</v>
      </c>
      <c r="AP60" s="65">
        <f t="shared" si="13"/>
        <v>0</v>
      </c>
      <c r="AQ60" s="65">
        <f t="shared" si="14"/>
        <v>0</v>
      </c>
      <c r="AR60" s="65">
        <f t="shared" si="15"/>
        <v>0</v>
      </c>
      <c r="AS60" s="65">
        <f t="shared" si="16"/>
        <v>0</v>
      </c>
    </row>
    <row r="61" spans="2:45" x14ac:dyDescent="0.25">
      <c r="B61" s="15">
        <v>59</v>
      </c>
      <c r="C61" s="8"/>
      <c r="E61" s="67"/>
      <c r="F61" s="16"/>
      <c r="G61" s="8"/>
      <c r="H61" s="8"/>
      <c r="I61" s="8"/>
      <c r="J61" s="9"/>
      <c r="K61" s="9">
        <f t="shared" si="0"/>
        <v>0</v>
      </c>
      <c r="L61" s="35">
        <f t="shared" si="1"/>
        <v>0</v>
      </c>
      <c r="M61" s="2"/>
      <c r="O61" s="19"/>
      <c r="P61" s="19"/>
      <c r="Q61" s="19"/>
      <c r="R61" s="21"/>
      <c r="S61" s="46"/>
      <c r="T61" s="44"/>
      <c r="U61" s="77"/>
      <c r="V61" s="30"/>
      <c r="W61" s="24"/>
      <c r="X61" s="193"/>
      <c r="Y61" s="15"/>
      <c r="AA61">
        <v>10</v>
      </c>
      <c r="AB61" s="487"/>
      <c r="AC61" s="91">
        <v>5</v>
      </c>
      <c r="AD61" s="51" t="s">
        <v>57</v>
      </c>
      <c r="AE61" s="39">
        <f t="shared" si="2"/>
        <v>0</v>
      </c>
      <c r="AF61" s="65">
        <f t="shared" si="3"/>
        <v>0</v>
      </c>
      <c r="AG61" s="65">
        <f t="shared" si="4"/>
        <v>0</v>
      </c>
      <c r="AH61" s="65">
        <f t="shared" si="5"/>
        <v>0</v>
      </c>
      <c r="AI61" s="104">
        <f t="shared" si="6"/>
        <v>0</v>
      </c>
      <c r="AJ61" s="115">
        <f t="shared" si="7"/>
        <v>0</v>
      </c>
      <c r="AK61" s="116">
        <f t="shared" si="8"/>
        <v>0</v>
      </c>
      <c r="AL61" s="116">
        <f t="shared" si="9"/>
        <v>0</v>
      </c>
      <c r="AM61" s="116">
        <f t="shared" si="10"/>
        <v>0</v>
      </c>
      <c r="AN61" s="117">
        <f t="shared" si="11"/>
        <v>0</v>
      </c>
      <c r="AO61" s="39">
        <f t="shared" si="12"/>
        <v>0</v>
      </c>
      <c r="AP61" s="65">
        <f t="shared" si="13"/>
        <v>0</v>
      </c>
      <c r="AQ61" s="65">
        <f t="shared" si="14"/>
        <v>0</v>
      </c>
      <c r="AR61" s="65">
        <f t="shared" si="15"/>
        <v>0</v>
      </c>
      <c r="AS61" s="65">
        <f t="shared" si="16"/>
        <v>0</v>
      </c>
    </row>
    <row r="62" spans="2:45" ht="14.25" thickBot="1" x14ac:dyDescent="0.3">
      <c r="B62" s="15">
        <v>60</v>
      </c>
      <c r="C62" s="8"/>
      <c r="E62" s="67"/>
      <c r="F62" s="16"/>
      <c r="G62" s="8"/>
      <c r="H62" s="8"/>
      <c r="I62" s="8"/>
      <c r="J62" s="9"/>
      <c r="K62" s="9">
        <f t="shared" si="0"/>
        <v>0</v>
      </c>
      <c r="L62" s="35">
        <f t="shared" si="1"/>
        <v>0</v>
      </c>
      <c r="M62" s="2"/>
      <c r="O62" s="19"/>
      <c r="P62" s="19"/>
      <c r="Q62" s="19"/>
      <c r="R62" s="21"/>
      <c r="S62" s="46"/>
      <c r="T62" s="44"/>
      <c r="U62" s="77"/>
      <c r="V62" s="30"/>
      <c r="W62" s="24"/>
      <c r="X62" s="193"/>
      <c r="Y62" s="15"/>
      <c r="AA62">
        <v>10</v>
      </c>
      <c r="AB62" s="488"/>
      <c r="AC62" s="92" t="s">
        <v>3</v>
      </c>
      <c r="AD62" s="101"/>
      <c r="AE62" s="94">
        <f t="shared" ref="AE62:AS62" si="30">SUM(AE57:AE61)</f>
        <v>0</v>
      </c>
      <c r="AF62" s="94">
        <f t="shared" si="30"/>
        <v>0</v>
      </c>
      <c r="AG62" s="94">
        <f t="shared" si="30"/>
        <v>0</v>
      </c>
      <c r="AH62" s="94">
        <f t="shared" si="30"/>
        <v>0</v>
      </c>
      <c r="AI62" s="105">
        <f t="shared" si="30"/>
        <v>0</v>
      </c>
      <c r="AJ62" s="118">
        <f t="shared" si="30"/>
        <v>0</v>
      </c>
      <c r="AK62" s="119">
        <f t="shared" si="30"/>
        <v>0</v>
      </c>
      <c r="AL62" s="119">
        <f t="shared" si="30"/>
        <v>0</v>
      </c>
      <c r="AM62" s="119">
        <f t="shared" si="30"/>
        <v>0</v>
      </c>
      <c r="AN62" s="120">
        <f t="shared" si="30"/>
        <v>0</v>
      </c>
      <c r="AO62" s="94">
        <f t="shared" si="30"/>
        <v>0</v>
      </c>
      <c r="AP62" s="94">
        <f t="shared" si="30"/>
        <v>0</v>
      </c>
      <c r="AQ62" s="94">
        <f t="shared" si="30"/>
        <v>0</v>
      </c>
      <c r="AR62" s="94">
        <f t="shared" si="30"/>
        <v>0</v>
      </c>
      <c r="AS62" s="94">
        <f t="shared" si="30"/>
        <v>0</v>
      </c>
    </row>
    <row r="63" spans="2:45" x14ac:dyDescent="0.25">
      <c r="B63" s="15">
        <v>61</v>
      </c>
      <c r="C63" s="8"/>
      <c r="E63" s="67"/>
      <c r="F63" s="16"/>
      <c r="G63" s="8"/>
      <c r="H63" s="8"/>
      <c r="I63" s="8"/>
      <c r="J63" s="9"/>
      <c r="K63" s="9">
        <f t="shared" si="0"/>
        <v>0</v>
      </c>
      <c r="L63" s="35">
        <f t="shared" si="1"/>
        <v>0</v>
      </c>
      <c r="M63" s="2"/>
      <c r="O63" s="19"/>
      <c r="P63" s="19"/>
      <c r="Q63" s="19"/>
      <c r="R63" s="21"/>
      <c r="S63" s="46"/>
      <c r="T63" s="44"/>
      <c r="U63" s="77"/>
      <c r="V63" s="30"/>
      <c r="W63" s="24"/>
      <c r="X63" s="193"/>
      <c r="Y63" s="15"/>
      <c r="AA63">
        <v>11</v>
      </c>
      <c r="AB63" s="486">
        <v>11</v>
      </c>
      <c r="AC63" s="89">
        <v>1</v>
      </c>
      <c r="AD63" s="95" t="s">
        <v>105</v>
      </c>
      <c r="AE63" s="39">
        <f t="shared" si="2"/>
        <v>0</v>
      </c>
      <c r="AF63" s="65">
        <f t="shared" si="3"/>
        <v>0</v>
      </c>
      <c r="AG63" s="65">
        <f t="shared" si="4"/>
        <v>0</v>
      </c>
      <c r="AH63" s="65">
        <f t="shared" si="5"/>
        <v>0</v>
      </c>
      <c r="AI63" s="104">
        <f t="shared" si="6"/>
        <v>0</v>
      </c>
      <c r="AJ63" s="115">
        <f t="shared" si="7"/>
        <v>0</v>
      </c>
      <c r="AK63" s="116">
        <f t="shared" si="8"/>
        <v>0</v>
      </c>
      <c r="AL63" s="116">
        <f t="shared" si="9"/>
        <v>0</v>
      </c>
      <c r="AM63" s="116">
        <f t="shared" si="10"/>
        <v>0</v>
      </c>
      <c r="AN63" s="117">
        <f t="shared" si="11"/>
        <v>0</v>
      </c>
      <c r="AO63" s="39">
        <f t="shared" si="12"/>
        <v>0</v>
      </c>
      <c r="AP63" s="65">
        <f t="shared" si="13"/>
        <v>0</v>
      </c>
      <c r="AQ63" s="65">
        <f t="shared" si="14"/>
        <v>0</v>
      </c>
      <c r="AR63" s="65">
        <f t="shared" si="15"/>
        <v>0</v>
      </c>
      <c r="AS63" s="65">
        <f t="shared" si="16"/>
        <v>0</v>
      </c>
    </row>
    <row r="64" spans="2:45" x14ac:dyDescent="0.25">
      <c r="B64" s="15">
        <v>62</v>
      </c>
      <c r="C64" s="8"/>
      <c r="E64" s="67"/>
      <c r="F64" s="16"/>
      <c r="G64" s="8"/>
      <c r="H64" s="8"/>
      <c r="I64" s="8"/>
      <c r="J64" s="9"/>
      <c r="K64" s="9">
        <f t="shared" si="0"/>
        <v>0</v>
      </c>
      <c r="L64" s="35">
        <f t="shared" si="1"/>
        <v>0</v>
      </c>
      <c r="M64" s="2"/>
      <c r="O64" s="19"/>
      <c r="P64" s="19"/>
      <c r="Q64" s="19"/>
      <c r="R64" s="21"/>
      <c r="S64" s="46"/>
      <c r="T64" s="44"/>
      <c r="U64" s="77"/>
      <c r="V64" s="30"/>
      <c r="W64" s="24"/>
      <c r="X64" s="193"/>
      <c r="Y64" s="15"/>
      <c r="AA64">
        <v>11</v>
      </c>
      <c r="AB64" s="487"/>
      <c r="AC64" s="90">
        <v>2</v>
      </c>
      <c r="AD64" s="97" t="s">
        <v>58</v>
      </c>
      <c r="AE64" s="39">
        <f t="shared" si="2"/>
        <v>0</v>
      </c>
      <c r="AF64" s="65">
        <f t="shared" si="3"/>
        <v>0</v>
      </c>
      <c r="AG64" s="65">
        <f t="shared" si="4"/>
        <v>0</v>
      </c>
      <c r="AH64" s="65">
        <f t="shared" si="5"/>
        <v>0</v>
      </c>
      <c r="AI64" s="104">
        <f t="shared" si="6"/>
        <v>0</v>
      </c>
      <c r="AJ64" s="115">
        <f t="shared" si="7"/>
        <v>0</v>
      </c>
      <c r="AK64" s="116">
        <f t="shared" si="8"/>
        <v>0</v>
      </c>
      <c r="AL64" s="116">
        <f t="shared" si="9"/>
        <v>0</v>
      </c>
      <c r="AM64" s="116">
        <f t="shared" si="10"/>
        <v>0</v>
      </c>
      <c r="AN64" s="117">
        <f t="shared" si="11"/>
        <v>0</v>
      </c>
      <c r="AO64" s="39">
        <f t="shared" si="12"/>
        <v>0</v>
      </c>
      <c r="AP64" s="65">
        <f t="shared" si="13"/>
        <v>0</v>
      </c>
      <c r="AQ64" s="65">
        <f t="shared" si="14"/>
        <v>0</v>
      </c>
      <c r="AR64" s="65">
        <f t="shared" si="15"/>
        <v>0</v>
      </c>
      <c r="AS64" s="65">
        <f t="shared" si="16"/>
        <v>0</v>
      </c>
    </row>
    <row r="65" spans="2:45" x14ac:dyDescent="0.25">
      <c r="B65" s="15">
        <v>63</v>
      </c>
      <c r="C65" s="8"/>
      <c r="E65" s="67"/>
      <c r="F65" s="16"/>
      <c r="G65" s="8"/>
      <c r="H65" s="8"/>
      <c r="I65" s="8"/>
      <c r="J65" s="9"/>
      <c r="K65" s="9">
        <f t="shared" si="0"/>
        <v>0</v>
      </c>
      <c r="L65" s="35">
        <f t="shared" si="1"/>
        <v>0</v>
      </c>
      <c r="M65" s="2"/>
      <c r="O65" s="19"/>
      <c r="P65" s="19"/>
      <c r="Q65" s="19"/>
      <c r="R65" s="21"/>
      <c r="S65" s="46"/>
      <c r="T65" s="44"/>
      <c r="U65" s="77"/>
      <c r="V65" s="30"/>
      <c r="W65" s="24"/>
      <c r="X65" s="193"/>
      <c r="Y65" s="15"/>
      <c r="AA65">
        <v>11</v>
      </c>
      <c r="AB65" s="487"/>
      <c r="AC65" s="90">
        <v>3</v>
      </c>
      <c r="AD65" s="97" t="s">
        <v>59</v>
      </c>
      <c r="AE65" s="39">
        <f t="shared" si="2"/>
        <v>0</v>
      </c>
      <c r="AF65" s="65">
        <f t="shared" si="3"/>
        <v>0</v>
      </c>
      <c r="AG65" s="65">
        <f t="shared" si="4"/>
        <v>0</v>
      </c>
      <c r="AH65" s="65">
        <f t="shared" si="5"/>
        <v>0</v>
      </c>
      <c r="AI65" s="104">
        <f t="shared" si="6"/>
        <v>0</v>
      </c>
      <c r="AJ65" s="115">
        <f t="shared" si="7"/>
        <v>0</v>
      </c>
      <c r="AK65" s="116">
        <f t="shared" si="8"/>
        <v>0</v>
      </c>
      <c r="AL65" s="116">
        <f t="shared" si="9"/>
        <v>0</v>
      </c>
      <c r="AM65" s="116">
        <f t="shared" si="10"/>
        <v>0</v>
      </c>
      <c r="AN65" s="117">
        <f t="shared" si="11"/>
        <v>0</v>
      </c>
      <c r="AO65" s="39">
        <f t="shared" si="12"/>
        <v>0</v>
      </c>
      <c r="AP65" s="65">
        <f t="shared" si="13"/>
        <v>0</v>
      </c>
      <c r="AQ65" s="65">
        <f t="shared" si="14"/>
        <v>0</v>
      </c>
      <c r="AR65" s="65">
        <f t="shared" si="15"/>
        <v>0</v>
      </c>
      <c r="AS65" s="65">
        <f t="shared" si="16"/>
        <v>0</v>
      </c>
    </row>
    <row r="66" spans="2:45" x14ac:dyDescent="0.25">
      <c r="B66" s="15">
        <v>64</v>
      </c>
      <c r="C66" s="8"/>
      <c r="E66" s="67"/>
      <c r="F66" s="16"/>
      <c r="G66" s="8"/>
      <c r="H66" s="8"/>
      <c r="I66" s="8"/>
      <c r="J66" s="9"/>
      <c r="K66" s="9">
        <f t="shared" si="0"/>
        <v>0</v>
      </c>
      <c r="L66" s="35">
        <f t="shared" si="1"/>
        <v>0</v>
      </c>
      <c r="M66" s="2"/>
      <c r="O66" s="19"/>
      <c r="P66" s="19"/>
      <c r="Q66" s="19"/>
      <c r="R66" s="21"/>
      <c r="S66" s="46"/>
      <c r="T66" s="44"/>
      <c r="U66" s="77"/>
      <c r="V66" s="30"/>
      <c r="W66" s="24"/>
      <c r="X66" s="193"/>
      <c r="Y66" s="15"/>
      <c r="AA66">
        <v>11</v>
      </c>
      <c r="AB66" s="487"/>
      <c r="AC66" s="90">
        <v>4</v>
      </c>
      <c r="AD66" s="97" t="s">
        <v>60</v>
      </c>
      <c r="AE66" s="39">
        <f t="shared" si="2"/>
        <v>0</v>
      </c>
      <c r="AF66" s="65">
        <f t="shared" si="3"/>
        <v>0</v>
      </c>
      <c r="AG66" s="65">
        <f t="shared" si="4"/>
        <v>0</v>
      </c>
      <c r="AH66" s="65">
        <f t="shared" si="5"/>
        <v>0</v>
      </c>
      <c r="AI66" s="104">
        <f t="shared" si="6"/>
        <v>0</v>
      </c>
      <c r="AJ66" s="115">
        <f t="shared" si="7"/>
        <v>0</v>
      </c>
      <c r="AK66" s="116">
        <f t="shared" si="8"/>
        <v>0</v>
      </c>
      <c r="AL66" s="116">
        <f t="shared" si="9"/>
        <v>0</v>
      </c>
      <c r="AM66" s="116">
        <f t="shared" si="10"/>
        <v>0</v>
      </c>
      <c r="AN66" s="117">
        <f t="shared" si="11"/>
        <v>0</v>
      </c>
      <c r="AO66" s="39">
        <f t="shared" si="12"/>
        <v>0</v>
      </c>
      <c r="AP66" s="65">
        <f t="shared" si="13"/>
        <v>0</v>
      </c>
      <c r="AQ66" s="65">
        <f t="shared" si="14"/>
        <v>0</v>
      </c>
      <c r="AR66" s="65">
        <f t="shared" si="15"/>
        <v>0</v>
      </c>
      <c r="AS66" s="65">
        <f t="shared" si="16"/>
        <v>0</v>
      </c>
    </row>
    <row r="67" spans="2:45" x14ac:dyDescent="0.25">
      <c r="B67" s="15">
        <v>65</v>
      </c>
      <c r="C67" s="8"/>
      <c r="E67" s="67"/>
      <c r="F67" s="16"/>
      <c r="G67" s="8"/>
      <c r="H67" s="8"/>
      <c r="I67" s="8"/>
      <c r="J67" s="9"/>
      <c r="K67" s="9">
        <f t="shared" ref="K67:K130" si="31">J67*1.1</f>
        <v>0</v>
      </c>
      <c r="L67" s="35">
        <f t="shared" ref="L67:L130" si="32">J67*0.00000001</f>
        <v>0</v>
      </c>
      <c r="M67" s="2"/>
      <c r="O67" s="19"/>
      <c r="P67" s="19"/>
      <c r="Q67" s="19"/>
      <c r="R67" s="21"/>
      <c r="S67" s="46"/>
      <c r="T67" s="44"/>
      <c r="U67" s="77"/>
      <c r="V67" s="30"/>
      <c r="W67" s="24"/>
      <c r="X67" s="193"/>
      <c r="Y67" s="15"/>
      <c r="AA67">
        <v>11</v>
      </c>
      <c r="AB67" s="487"/>
      <c r="AC67" s="91">
        <v>5</v>
      </c>
      <c r="AD67" s="100"/>
      <c r="AE67" s="39">
        <f t="shared" si="2"/>
        <v>0</v>
      </c>
      <c r="AF67" s="65">
        <f t="shared" si="3"/>
        <v>0</v>
      </c>
      <c r="AG67" s="65">
        <f t="shared" si="4"/>
        <v>0</v>
      </c>
      <c r="AH67" s="65">
        <f t="shared" si="5"/>
        <v>0</v>
      </c>
      <c r="AI67" s="104">
        <f t="shared" si="6"/>
        <v>0</v>
      </c>
      <c r="AJ67" s="115">
        <f t="shared" si="7"/>
        <v>0</v>
      </c>
      <c r="AK67" s="116">
        <f t="shared" si="8"/>
        <v>0</v>
      </c>
      <c r="AL67" s="116">
        <f t="shared" si="9"/>
        <v>0</v>
      </c>
      <c r="AM67" s="116">
        <f t="shared" si="10"/>
        <v>0</v>
      </c>
      <c r="AN67" s="117">
        <f t="shared" si="11"/>
        <v>0</v>
      </c>
      <c r="AO67" s="39">
        <f t="shared" si="12"/>
        <v>0</v>
      </c>
      <c r="AP67" s="65">
        <f t="shared" si="13"/>
        <v>0</v>
      </c>
      <c r="AQ67" s="65">
        <f t="shared" si="14"/>
        <v>0</v>
      </c>
      <c r="AR67" s="65">
        <f t="shared" si="15"/>
        <v>0</v>
      </c>
      <c r="AS67" s="65">
        <f t="shared" si="16"/>
        <v>0</v>
      </c>
    </row>
    <row r="68" spans="2:45" ht="14.25" thickBot="1" x14ac:dyDescent="0.3">
      <c r="B68" s="15">
        <v>66</v>
      </c>
      <c r="C68" s="8"/>
      <c r="E68" s="67"/>
      <c r="F68" s="16"/>
      <c r="G68" s="8"/>
      <c r="H68" s="8"/>
      <c r="I68" s="8"/>
      <c r="J68" s="9"/>
      <c r="K68" s="9">
        <f t="shared" si="31"/>
        <v>0</v>
      </c>
      <c r="L68" s="35">
        <f t="shared" si="32"/>
        <v>0</v>
      </c>
      <c r="M68" s="2"/>
      <c r="O68" s="19"/>
      <c r="P68" s="19"/>
      <c r="Q68" s="19"/>
      <c r="R68" s="21"/>
      <c r="S68" s="46"/>
      <c r="T68" s="44"/>
      <c r="U68" s="77"/>
      <c r="V68" s="30"/>
      <c r="W68" s="24"/>
      <c r="X68" s="193"/>
      <c r="Y68" s="15"/>
      <c r="AA68">
        <v>11</v>
      </c>
      <c r="AB68" s="488"/>
      <c r="AC68" s="92" t="s">
        <v>3</v>
      </c>
      <c r="AD68" s="101"/>
      <c r="AE68" s="94">
        <f t="shared" ref="AE68:AS68" si="33">SUM(AE63:AE67)</f>
        <v>0</v>
      </c>
      <c r="AF68" s="94">
        <f t="shared" si="33"/>
        <v>0</v>
      </c>
      <c r="AG68" s="94">
        <f t="shared" si="33"/>
        <v>0</v>
      </c>
      <c r="AH68" s="94">
        <f t="shared" si="33"/>
        <v>0</v>
      </c>
      <c r="AI68" s="105">
        <f t="shared" si="33"/>
        <v>0</v>
      </c>
      <c r="AJ68" s="118">
        <f t="shared" si="33"/>
        <v>0</v>
      </c>
      <c r="AK68" s="119">
        <f t="shared" si="33"/>
        <v>0</v>
      </c>
      <c r="AL68" s="119">
        <f t="shared" si="33"/>
        <v>0</v>
      </c>
      <c r="AM68" s="119">
        <f t="shared" si="33"/>
        <v>0</v>
      </c>
      <c r="AN68" s="120">
        <f t="shared" si="33"/>
        <v>0</v>
      </c>
      <c r="AO68" s="94">
        <f t="shared" si="33"/>
        <v>0</v>
      </c>
      <c r="AP68" s="94">
        <f t="shared" si="33"/>
        <v>0</v>
      </c>
      <c r="AQ68" s="94">
        <f t="shared" si="33"/>
        <v>0</v>
      </c>
      <c r="AR68" s="94">
        <f t="shared" si="33"/>
        <v>0</v>
      </c>
      <c r="AS68" s="94">
        <f t="shared" si="33"/>
        <v>0</v>
      </c>
    </row>
    <row r="69" spans="2:45" x14ac:dyDescent="0.25">
      <c r="B69" s="15">
        <v>67</v>
      </c>
      <c r="C69" s="8"/>
      <c r="E69" s="67"/>
      <c r="F69" s="16"/>
      <c r="G69" s="8"/>
      <c r="H69" s="8"/>
      <c r="I69" s="8"/>
      <c r="J69" s="9"/>
      <c r="K69" s="9">
        <f t="shared" si="31"/>
        <v>0</v>
      </c>
      <c r="L69" s="35">
        <f t="shared" si="32"/>
        <v>0</v>
      </c>
      <c r="M69" s="2"/>
      <c r="O69" s="19"/>
      <c r="P69" s="19"/>
      <c r="Q69" s="19"/>
      <c r="R69" s="21"/>
      <c r="S69" s="46"/>
      <c r="T69" s="44"/>
      <c r="U69" s="77"/>
      <c r="V69" s="30"/>
      <c r="W69" s="24"/>
      <c r="X69" s="193"/>
      <c r="Y69" s="15"/>
      <c r="AA69">
        <v>12</v>
      </c>
      <c r="AB69" s="493">
        <v>12</v>
      </c>
      <c r="AC69" s="93">
        <v>1</v>
      </c>
      <c r="AD69" s="102" t="s">
        <v>106</v>
      </c>
      <c r="AE69" s="39">
        <f>SUM(AF69:AI69)</f>
        <v>0</v>
      </c>
      <c r="AF69" s="65">
        <f>SUMIFS($I:$I,$C:$C, $AF$2,$G:$G,$AA69,$H:$H,$AC69)</f>
        <v>0</v>
      </c>
      <c r="AG69" s="65">
        <f>SUMIFS($I:$I,$C:$C, $AG$2,$G:$G,$AA69,$H:$H,$AC69)</f>
        <v>0</v>
      </c>
      <c r="AH69" s="65">
        <f>SUMIFS($I:$I,$C:$C, $AH$2,$G:$G,$AA69,$H:$H,$AC69)</f>
        <v>0</v>
      </c>
      <c r="AI69" s="104">
        <f>SUMIFS($I:$I,$C:$C, $AI$2,$G:$G,$AA69,$H:$H,$AC69)</f>
        <v>0</v>
      </c>
      <c r="AJ69" s="115">
        <f>SUM(AK69:AN69)</f>
        <v>0</v>
      </c>
      <c r="AK69" s="116">
        <f>COUNTIFS($C:$C, $AK$2,$G:$G,$AA69,$H:$H,$AC69)</f>
        <v>0</v>
      </c>
      <c r="AL69" s="116">
        <f>COUNTIFS($C:$C, $AL$2,$G:$G,$AA69,$H:$H,$AC69)</f>
        <v>0</v>
      </c>
      <c r="AM69" s="116">
        <f>COUNTIFS($C:$C, $AM$2,$G:$G,$AA69,$H:$H,$AC69)</f>
        <v>0</v>
      </c>
      <c r="AN69" s="117">
        <f>COUNTIFS($C:$C, $AN$2,$G:$G,$AA69,$H:$H,$AC69)</f>
        <v>0</v>
      </c>
      <c r="AO69" s="39">
        <f>SUM(AP69:AS69)</f>
        <v>0</v>
      </c>
      <c r="AP69" s="65">
        <f>SUMIFS($L:$L,$C:$C, $AP$2,$G:$G,$AA69,$H:$H,$AC69)</f>
        <v>0</v>
      </c>
      <c r="AQ69" s="65">
        <f>SUMIFS($L:$L,$C:$C, $AQ$2,$G:$G,$AA69,$H:$H,$AC69)</f>
        <v>0</v>
      </c>
      <c r="AR69" s="65">
        <f>SUMIFS($L:$L,$C:$C, $AR$2,$G:$G,$AA69,$H:$H,$AC69)</f>
        <v>0</v>
      </c>
      <c r="AS69" s="65">
        <f>SUMIFS($L:$L,$C:$C, $AS$2,$G:$G,$AA69,$H:$H,$AC69)</f>
        <v>0</v>
      </c>
    </row>
    <row r="70" spans="2:45" x14ac:dyDescent="0.25">
      <c r="B70" s="15">
        <v>68</v>
      </c>
      <c r="C70" s="8"/>
      <c r="E70" s="67"/>
      <c r="F70" s="16"/>
      <c r="G70" s="8"/>
      <c r="H70" s="8"/>
      <c r="I70" s="8"/>
      <c r="J70" s="9"/>
      <c r="K70" s="9">
        <f t="shared" si="31"/>
        <v>0</v>
      </c>
      <c r="L70" s="35">
        <f t="shared" si="32"/>
        <v>0</v>
      </c>
      <c r="M70" s="2"/>
      <c r="O70" s="19"/>
      <c r="P70" s="19"/>
      <c r="Q70" s="19"/>
      <c r="R70" s="21"/>
      <c r="S70" s="46"/>
      <c r="T70" s="44"/>
      <c r="U70" s="77"/>
      <c r="V70" s="30"/>
      <c r="W70" s="24"/>
      <c r="X70" s="193"/>
      <c r="Y70" s="15"/>
      <c r="AA70">
        <v>12</v>
      </c>
      <c r="AB70" s="487"/>
      <c r="AC70" s="90">
        <v>2</v>
      </c>
      <c r="AD70" s="97" t="s">
        <v>101</v>
      </c>
      <c r="AE70" s="39">
        <f>SUM(AF70:AI70)</f>
        <v>0</v>
      </c>
      <c r="AF70" s="65">
        <f>SUMIFS($I:$I,$C:$C, $AF$2,$G:$G,$AA70,$H:$H,$AC70)</f>
        <v>0</v>
      </c>
      <c r="AG70" s="65">
        <f>SUMIFS($I:$I,$C:$C, $AG$2,$G:$G,$AA70,$H:$H,$AC70)</f>
        <v>0</v>
      </c>
      <c r="AH70" s="65">
        <f>SUMIFS($I:$I,$C:$C, $AH$2,$G:$G,$AA70,$H:$H,$AC70)</f>
        <v>0</v>
      </c>
      <c r="AI70" s="104">
        <f>SUMIFS($I:$I,$C:$C, $AI$2,$G:$G,$AA70,$H:$H,$AC70)</f>
        <v>0</v>
      </c>
      <c r="AJ70" s="115">
        <f>SUM(AK70:AN70)</f>
        <v>0</v>
      </c>
      <c r="AK70" s="116">
        <f>COUNTIFS($C:$C, $AK$2,$G:$G,$AA70,$H:$H,$AC70)</f>
        <v>0</v>
      </c>
      <c r="AL70" s="116">
        <f>COUNTIFS($C:$C, $AL$2,$G:$G,$AA70,$H:$H,$AC70)</f>
        <v>0</v>
      </c>
      <c r="AM70" s="116">
        <f>COUNTIFS($C:$C, $AM$2,$G:$G,$AA70,$H:$H,$AC70)</f>
        <v>0</v>
      </c>
      <c r="AN70" s="117">
        <f>COUNTIFS($C:$C, $AN$2,$G:$G,$AA70,$H:$H,$AC70)</f>
        <v>0</v>
      </c>
      <c r="AO70" s="39">
        <f>SUM(AP70:AS70)</f>
        <v>0</v>
      </c>
      <c r="AP70" s="65">
        <f>SUMIFS($L:$L,$C:$C, $AP$2,$G:$G,$AA70,$H:$H,$AC70)</f>
        <v>0</v>
      </c>
      <c r="AQ70" s="65">
        <f>SUMIFS($L:$L,$C:$C, $AQ$2,$G:$G,$AA70,$H:$H,$AC70)</f>
        <v>0</v>
      </c>
      <c r="AR70" s="65">
        <f>SUMIFS($L:$L,$C:$C, $AR$2,$G:$G,$AA70,$H:$H,$AC70)</f>
        <v>0</v>
      </c>
      <c r="AS70" s="65">
        <f>SUMIFS($L:$L,$C:$C, $AS$2,$G:$G,$AA70,$H:$H,$AC70)</f>
        <v>0</v>
      </c>
    </row>
    <row r="71" spans="2:45" x14ac:dyDescent="0.25">
      <c r="B71" s="15">
        <v>69</v>
      </c>
      <c r="C71" s="8"/>
      <c r="E71" s="67"/>
      <c r="F71" s="16"/>
      <c r="G71" s="8"/>
      <c r="H71" s="8"/>
      <c r="I71" s="8"/>
      <c r="J71" s="9"/>
      <c r="K71" s="9">
        <f t="shared" si="31"/>
        <v>0</v>
      </c>
      <c r="L71" s="35">
        <f t="shared" si="32"/>
        <v>0</v>
      </c>
      <c r="M71" s="2"/>
      <c r="O71" s="19"/>
      <c r="P71" s="19"/>
      <c r="Q71" s="19"/>
      <c r="R71" s="21"/>
      <c r="S71" s="46"/>
      <c r="T71" s="44"/>
      <c r="U71" s="77"/>
      <c r="V71" s="30"/>
      <c r="W71" s="24"/>
      <c r="X71" s="193"/>
      <c r="Y71" s="15"/>
      <c r="AA71">
        <v>12</v>
      </c>
      <c r="AB71" s="487"/>
      <c r="AC71" s="90">
        <v>3</v>
      </c>
      <c r="AD71" s="97" t="s">
        <v>102</v>
      </c>
      <c r="AE71" s="39">
        <f>SUM(AF71:AI71)</f>
        <v>0</v>
      </c>
      <c r="AF71" s="65">
        <f>SUMIFS($I:$I,$C:$C, $AF$2,$G:$G,$AA71,$H:$H,$AC71)</f>
        <v>0</v>
      </c>
      <c r="AG71" s="65">
        <f>SUMIFS($I:$I,$C:$C, $AG$2,$G:$G,$AA71,$H:$H,$AC71)</f>
        <v>0</v>
      </c>
      <c r="AH71" s="65">
        <f>SUMIFS($I:$I,$C:$C, $AH$2,$G:$G,$AA71,$H:$H,$AC71)</f>
        <v>0</v>
      </c>
      <c r="AI71" s="104">
        <f>SUMIFS($I:$I,$C:$C, $AI$2,$G:$G,$AA71,$H:$H,$AC71)</f>
        <v>0</v>
      </c>
      <c r="AJ71" s="115">
        <f>SUM(AK71:AN71)</f>
        <v>0</v>
      </c>
      <c r="AK71" s="116">
        <f>COUNTIFS($C:$C, $AK$2,$G:$G,$AA71,$H:$H,$AC71)</f>
        <v>0</v>
      </c>
      <c r="AL71" s="116">
        <f>COUNTIFS($C:$C, $AL$2,$G:$G,$AA71,$H:$H,$AC71)</f>
        <v>0</v>
      </c>
      <c r="AM71" s="116">
        <f>COUNTIFS($C:$C, $AM$2,$G:$G,$AA71,$H:$H,$AC71)</f>
        <v>0</v>
      </c>
      <c r="AN71" s="117">
        <f>COUNTIFS($C:$C, $AN$2,$G:$G,$AA71,$H:$H,$AC71)</f>
        <v>0</v>
      </c>
      <c r="AO71" s="39">
        <f>SUM(AP71:AS71)</f>
        <v>0</v>
      </c>
      <c r="AP71" s="65">
        <f>SUMIFS($L:$L,$C:$C, $AP$2,$G:$G,$AA71,$H:$H,$AC71)</f>
        <v>0</v>
      </c>
      <c r="AQ71" s="65">
        <f>SUMIFS($L:$L,$C:$C, $AQ$2,$G:$G,$AA71,$H:$H,$AC71)</f>
        <v>0</v>
      </c>
      <c r="AR71" s="65">
        <f>SUMIFS($L:$L,$C:$C, $AR$2,$G:$G,$AA71,$H:$H,$AC71)</f>
        <v>0</v>
      </c>
      <c r="AS71" s="65">
        <f>SUMIFS($L:$L,$C:$C, $AS$2,$G:$G,$AA71,$H:$H,$AC71)</f>
        <v>0</v>
      </c>
    </row>
    <row r="72" spans="2:45" x14ac:dyDescent="0.25">
      <c r="B72" s="15">
        <v>70</v>
      </c>
      <c r="C72" s="8"/>
      <c r="E72" s="67"/>
      <c r="F72" s="16"/>
      <c r="G72" s="8"/>
      <c r="H72" s="8"/>
      <c r="I72" s="8"/>
      <c r="J72" s="9"/>
      <c r="K72" s="9">
        <f t="shared" si="31"/>
        <v>0</v>
      </c>
      <c r="L72" s="35">
        <f t="shared" si="32"/>
        <v>0</v>
      </c>
      <c r="M72" s="2"/>
      <c r="O72" s="19"/>
      <c r="P72" s="19"/>
      <c r="Q72" s="19"/>
      <c r="R72" s="21"/>
      <c r="S72" s="46"/>
      <c r="T72" s="44"/>
      <c r="U72" s="77"/>
      <c r="V72" s="30"/>
      <c r="W72" s="24"/>
      <c r="X72" s="193"/>
      <c r="Y72" s="15"/>
      <c r="AA72">
        <v>12</v>
      </c>
      <c r="AB72" s="487"/>
      <c r="AC72" s="90">
        <v>4</v>
      </c>
      <c r="AD72" s="97" t="s">
        <v>103</v>
      </c>
      <c r="AE72" s="39">
        <f>SUM(AF72:AI72)</f>
        <v>0</v>
      </c>
      <c r="AF72" s="65">
        <f>SUMIFS($I:$I,$C:$C, $AF$2,$G:$G,$AA72,$H:$H,$AC72)</f>
        <v>0</v>
      </c>
      <c r="AG72" s="65">
        <f>SUMIFS($I:$I,$C:$C, $AG$2,$G:$G,$AA72,$H:$H,$AC72)</f>
        <v>0</v>
      </c>
      <c r="AH72" s="65">
        <f>SUMIFS($I:$I,$C:$C, $AH$2,$G:$G,$AA72,$H:$H,$AC72)</f>
        <v>0</v>
      </c>
      <c r="AI72" s="104">
        <f>SUMIFS($I:$I,$C:$C, $AI$2,$G:$G,$AA72,$H:$H,$AC72)</f>
        <v>0</v>
      </c>
      <c r="AJ72" s="115">
        <f>SUM(AK72:AN72)</f>
        <v>0</v>
      </c>
      <c r="AK72" s="116">
        <f>COUNTIFS($C:$C, $AK$2,$G:$G,$AA72,$H:$H,$AC72)</f>
        <v>0</v>
      </c>
      <c r="AL72" s="116">
        <f>COUNTIFS($C:$C, $AL$2,$G:$G,$AA72,$H:$H,$AC72)</f>
        <v>0</v>
      </c>
      <c r="AM72" s="116">
        <f>COUNTIFS($C:$C, $AM$2,$G:$G,$AA72,$H:$H,$AC72)</f>
        <v>0</v>
      </c>
      <c r="AN72" s="117">
        <f>COUNTIFS($C:$C, $AN$2,$G:$G,$AA72,$H:$H,$AC72)</f>
        <v>0</v>
      </c>
      <c r="AO72" s="39">
        <f>SUM(AP72:AS72)</f>
        <v>0</v>
      </c>
      <c r="AP72" s="65">
        <f>SUMIFS($L:$L,$C:$C, $AP$2,$G:$G,$AA72,$H:$H,$AC72)</f>
        <v>0</v>
      </c>
      <c r="AQ72" s="65">
        <f>SUMIFS($L:$L,$C:$C, $AQ$2,$G:$G,$AA72,$H:$H,$AC72)</f>
        <v>0</v>
      </c>
      <c r="AR72" s="65">
        <f>SUMIFS($L:$L,$C:$C, $AR$2,$G:$G,$AA72,$H:$H,$AC72)</f>
        <v>0</v>
      </c>
      <c r="AS72" s="65">
        <f>SUMIFS($L:$L,$C:$C, $AS$2,$G:$G,$AA72,$H:$H,$AC72)</f>
        <v>0</v>
      </c>
    </row>
    <row r="73" spans="2:45" x14ac:dyDescent="0.25">
      <c r="B73" s="15">
        <v>71</v>
      </c>
      <c r="C73" s="8"/>
      <c r="E73" s="67"/>
      <c r="F73" s="16"/>
      <c r="G73" s="8"/>
      <c r="H73" s="8"/>
      <c r="I73" s="8"/>
      <c r="J73" s="9"/>
      <c r="K73" s="9">
        <f t="shared" si="31"/>
        <v>0</v>
      </c>
      <c r="L73" s="35">
        <f t="shared" si="32"/>
        <v>0</v>
      </c>
      <c r="M73" s="2"/>
      <c r="O73" s="19"/>
      <c r="P73" s="19"/>
      <c r="Q73" s="19"/>
      <c r="R73" s="21"/>
      <c r="S73" s="46"/>
      <c r="T73" s="44"/>
      <c r="U73" s="77"/>
      <c r="V73" s="24"/>
      <c r="W73" s="24"/>
      <c r="X73" s="193"/>
      <c r="Y73" s="15"/>
      <c r="AA73">
        <v>12</v>
      </c>
      <c r="AB73" s="487"/>
      <c r="AC73" s="91">
        <v>5</v>
      </c>
      <c r="AD73" s="100" t="s">
        <v>107</v>
      </c>
      <c r="AE73" s="39">
        <f>SUM(AF73:AI73)</f>
        <v>0</v>
      </c>
      <c r="AF73" s="65">
        <f>SUMIFS($I:$I,$C:$C, $AF$2,$G:$G,$AA73,$H:$H,$AC73)</f>
        <v>0</v>
      </c>
      <c r="AG73" s="65">
        <f>SUMIFS($I:$I,$C:$C, $AG$2,$G:$G,$AA73,$H:$H,$AC73)</f>
        <v>0</v>
      </c>
      <c r="AH73" s="65">
        <f>SUMIFS($I:$I,$C:$C, $AH$2,$G:$G,$AA73,$H:$H,$AC73)</f>
        <v>0</v>
      </c>
      <c r="AI73" s="104">
        <f>SUMIFS($I:$I,$C:$C, $AI$2,$G:$G,$AA73,$H:$H,$AC73)</f>
        <v>0</v>
      </c>
      <c r="AJ73" s="115">
        <f>SUM(AK73:AN73)</f>
        <v>0</v>
      </c>
      <c r="AK73" s="116">
        <f>COUNTIFS($C:$C, $AK$2,$G:$G,$AA73,$H:$H,$AC73)</f>
        <v>0</v>
      </c>
      <c r="AL73" s="116">
        <f>COUNTIFS($C:$C, $AL$2,$G:$G,$AA73,$H:$H,$AC73)</f>
        <v>0</v>
      </c>
      <c r="AM73" s="116">
        <f>COUNTIFS($C:$C, $AM$2,$G:$G,$AA73,$H:$H,$AC73)</f>
        <v>0</v>
      </c>
      <c r="AN73" s="117">
        <f>COUNTIFS($C:$C, $AN$2,$G:$G,$AA73,$H:$H,$AC73)</f>
        <v>0</v>
      </c>
      <c r="AO73" s="39">
        <f>SUM(AP73:AS73)</f>
        <v>0</v>
      </c>
      <c r="AP73" s="65">
        <f>SUMIFS($L:$L,$C:$C, $AP$2,$G:$G,$AA73,$H:$H,$AC73)</f>
        <v>0</v>
      </c>
      <c r="AQ73" s="65">
        <f>SUMIFS($L:$L,$C:$C, $AQ$2,$G:$G,$AA73,$H:$H,$AC73)</f>
        <v>0</v>
      </c>
      <c r="AR73" s="65">
        <f>SUMIFS($L:$L,$C:$C, $AR$2,$G:$G,$AA73,$H:$H,$AC73)</f>
        <v>0</v>
      </c>
      <c r="AS73" s="65">
        <f>SUMIFS($L:$L,$C:$C, $AS$2,$G:$G,$AA73,$H:$H,$AC73)</f>
        <v>0</v>
      </c>
    </row>
    <row r="74" spans="2:45" ht="14.25" thickBot="1" x14ac:dyDescent="0.3">
      <c r="B74" s="15">
        <v>72</v>
      </c>
      <c r="C74" s="8"/>
      <c r="E74" s="67"/>
      <c r="F74" s="16"/>
      <c r="G74" s="8"/>
      <c r="H74" s="8"/>
      <c r="I74" s="8"/>
      <c r="J74" s="9"/>
      <c r="K74" s="9">
        <f t="shared" si="31"/>
        <v>0</v>
      </c>
      <c r="L74" s="35">
        <f t="shared" si="32"/>
        <v>0</v>
      </c>
      <c r="M74" s="2"/>
      <c r="O74" s="19"/>
      <c r="P74" s="19"/>
      <c r="Q74" s="19"/>
      <c r="R74" s="21"/>
      <c r="S74" s="46"/>
      <c r="T74" s="44"/>
      <c r="U74" s="77"/>
      <c r="V74" s="24"/>
      <c r="W74" s="24"/>
      <c r="X74" s="193"/>
      <c r="Y74" s="15"/>
      <c r="AA74">
        <v>12</v>
      </c>
      <c r="AB74" s="488"/>
      <c r="AC74" s="92" t="s">
        <v>3</v>
      </c>
      <c r="AD74" s="101"/>
      <c r="AE74" s="94">
        <f>SUM(AE69:AE73)</f>
        <v>0</v>
      </c>
      <c r="AF74" s="94">
        <f t="shared" ref="AF74:AS74" si="34">SUM(AF69:AF73)</f>
        <v>0</v>
      </c>
      <c r="AG74" s="94">
        <f t="shared" si="34"/>
        <v>0</v>
      </c>
      <c r="AH74" s="94">
        <f t="shared" si="34"/>
        <v>0</v>
      </c>
      <c r="AI74" s="105">
        <f t="shared" si="34"/>
        <v>0</v>
      </c>
      <c r="AJ74" s="118">
        <f t="shared" si="34"/>
        <v>0</v>
      </c>
      <c r="AK74" s="119">
        <f t="shared" si="34"/>
        <v>0</v>
      </c>
      <c r="AL74" s="119">
        <f t="shared" si="34"/>
        <v>0</v>
      </c>
      <c r="AM74" s="119">
        <f t="shared" si="34"/>
        <v>0</v>
      </c>
      <c r="AN74" s="120">
        <f t="shared" si="34"/>
        <v>0</v>
      </c>
      <c r="AO74" s="94">
        <f t="shared" si="34"/>
        <v>0</v>
      </c>
      <c r="AP74" s="94">
        <f t="shared" si="34"/>
        <v>0</v>
      </c>
      <c r="AQ74" s="94">
        <f t="shared" si="34"/>
        <v>0</v>
      </c>
      <c r="AR74" s="94">
        <f t="shared" si="34"/>
        <v>0</v>
      </c>
      <c r="AS74" s="94">
        <f t="shared" si="34"/>
        <v>0</v>
      </c>
    </row>
    <row r="75" spans="2:45" ht="17.25" thickBot="1" x14ac:dyDescent="0.3">
      <c r="B75" s="15">
        <v>73</v>
      </c>
      <c r="C75" s="8"/>
      <c r="E75" s="67"/>
      <c r="F75" s="16"/>
      <c r="G75" s="8"/>
      <c r="H75" s="8"/>
      <c r="I75" s="8"/>
      <c r="J75" s="9"/>
      <c r="K75" s="9">
        <f t="shared" si="31"/>
        <v>0</v>
      </c>
      <c r="L75" s="35">
        <f t="shared" si="32"/>
        <v>0</v>
      </c>
      <c r="M75" s="2"/>
      <c r="O75" s="19"/>
      <c r="P75" s="19"/>
      <c r="Q75" s="19"/>
      <c r="R75" s="21"/>
      <c r="S75" s="46"/>
      <c r="T75" s="44"/>
      <c r="U75" s="77"/>
      <c r="V75" s="24"/>
      <c r="W75" s="24"/>
      <c r="X75" s="193"/>
      <c r="Y75" s="15"/>
      <c r="AB75" s="489" t="s">
        <v>31</v>
      </c>
      <c r="AC75" s="490"/>
      <c r="AD75" s="103"/>
      <c r="AE75" s="85">
        <f>SUM(AE8,AE14,AE20,AE26,AE32,AE38,AE44,AE50,AE56,AE62,AE68,AE74)</f>
        <v>0</v>
      </c>
      <c r="AF75" s="85"/>
      <c r="AG75" s="85"/>
      <c r="AH75" s="86"/>
      <c r="AI75" s="86"/>
      <c r="AJ75" s="121"/>
      <c r="AK75" s="122"/>
      <c r="AL75" s="122"/>
      <c r="AM75" s="122"/>
      <c r="AN75" s="123"/>
      <c r="AO75" s="87"/>
      <c r="AP75" s="87"/>
      <c r="AQ75" s="87"/>
      <c r="AR75" s="87"/>
      <c r="AS75" s="88"/>
    </row>
    <row r="76" spans="2:45" x14ac:dyDescent="0.25">
      <c r="B76" s="15">
        <v>74</v>
      </c>
      <c r="C76" s="8"/>
      <c r="E76" s="67"/>
      <c r="F76" s="16"/>
      <c r="G76" s="8"/>
      <c r="H76" s="8"/>
      <c r="I76" s="8"/>
      <c r="J76" s="9"/>
      <c r="K76" s="9">
        <f t="shared" si="31"/>
        <v>0</v>
      </c>
      <c r="L76" s="35">
        <f t="shared" si="32"/>
        <v>0</v>
      </c>
      <c r="M76" s="2"/>
      <c r="O76" s="19"/>
      <c r="P76" s="19"/>
      <c r="Q76" s="19"/>
      <c r="R76" s="21"/>
      <c r="S76" s="46"/>
      <c r="T76" s="44"/>
      <c r="U76" s="77"/>
      <c r="V76" s="30"/>
      <c r="W76" s="24"/>
      <c r="X76" s="193"/>
      <c r="Y76" s="15"/>
    </row>
    <row r="77" spans="2:45" x14ac:dyDescent="0.25">
      <c r="B77" s="15">
        <v>75</v>
      </c>
      <c r="C77" s="8"/>
      <c r="E77" s="67"/>
      <c r="F77" s="16"/>
      <c r="G77" s="8"/>
      <c r="H77" s="8"/>
      <c r="I77" s="8"/>
      <c r="J77" s="9"/>
      <c r="K77" s="9">
        <f t="shared" si="31"/>
        <v>0</v>
      </c>
      <c r="L77" s="35">
        <f t="shared" si="32"/>
        <v>0</v>
      </c>
      <c r="M77" s="2"/>
      <c r="O77" s="19"/>
      <c r="P77" s="19"/>
      <c r="Q77" s="19"/>
      <c r="R77" s="21"/>
      <c r="S77" s="46"/>
      <c r="T77" s="44"/>
      <c r="U77" s="77"/>
      <c r="V77" s="24"/>
      <c r="W77" s="24"/>
      <c r="X77" s="193"/>
      <c r="Y77" s="15"/>
    </row>
    <row r="78" spans="2:45" x14ac:dyDescent="0.25">
      <c r="B78" s="15">
        <v>76</v>
      </c>
      <c r="C78" s="8"/>
      <c r="E78" s="67"/>
      <c r="F78" s="16"/>
      <c r="G78" s="8"/>
      <c r="H78" s="8"/>
      <c r="I78" s="8"/>
      <c r="J78" s="9"/>
      <c r="K78" s="9">
        <f t="shared" si="31"/>
        <v>0</v>
      </c>
      <c r="L78" s="35">
        <f t="shared" si="32"/>
        <v>0</v>
      </c>
      <c r="M78" s="2"/>
      <c r="O78" s="19"/>
      <c r="P78" s="19"/>
      <c r="Q78" s="19"/>
      <c r="R78" s="21"/>
      <c r="S78" s="46"/>
      <c r="T78" s="44"/>
      <c r="U78" s="77"/>
      <c r="V78" s="24"/>
      <c r="W78" s="24"/>
      <c r="X78" s="193"/>
      <c r="Y78" s="15"/>
    </row>
    <row r="79" spans="2:45" x14ac:dyDescent="0.25">
      <c r="B79" s="15">
        <v>77</v>
      </c>
      <c r="C79" s="8"/>
      <c r="E79" s="67"/>
      <c r="F79" s="16"/>
      <c r="G79" s="8"/>
      <c r="H79" s="8"/>
      <c r="I79" s="8"/>
      <c r="J79" s="9"/>
      <c r="K79" s="9">
        <f t="shared" si="31"/>
        <v>0</v>
      </c>
      <c r="L79" s="35">
        <f t="shared" si="32"/>
        <v>0</v>
      </c>
      <c r="M79" s="2"/>
      <c r="O79" s="19"/>
      <c r="P79" s="19"/>
      <c r="Q79" s="19"/>
      <c r="R79" s="21"/>
      <c r="S79" s="46"/>
      <c r="T79" s="44"/>
      <c r="U79" s="77"/>
      <c r="V79" s="24"/>
      <c r="W79" s="24"/>
      <c r="X79" s="193"/>
      <c r="Y79" s="15"/>
    </row>
    <row r="80" spans="2:45" x14ac:dyDescent="0.25">
      <c r="B80" s="15">
        <v>78</v>
      </c>
      <c r="C80" s="8"/>
      <c r="E80" s="67"/>
      <c r="F80" s="16"/>
      <c r="G80" s="8"/>
      <c r="H80" s="8"/>
      <c r="I80" s="8"/>
      <c r="J80" s="9"/>
      <c r="K80" s="9">
        <f t="shared" si="31"/>
        <v>0</v>
      </c>
      <c r="L80" s="35">
        <f t="shared" si="32"/>
        <v>0</v>
      </c>
      <c r="M80" s="2"/>
      <c r="O80" s="19"/>
      <c r="P80" s="19"/>
      <c r="Q80" s="19"/>
      <c r="R80" s="21"/>
      <c r="S80" s="46"/>
      <c r="T80" s="44"/>
      <c r="U80" s="77"/>
      <c r="V80" s="24"/>
      <c r="W80" s="24"/>
      <c r="X80" s="193"/>
      <c r="Y80" s="15"/>
    </row>
    <row r="81" spans="2:25" x14ac:dyDescent="0.25">
      <c r="B81" s="15">
        <v>79</v>
      </c>
      <c r="C81" s="8"/>
      <c r="E81" s="67"/>
      <c r="F81" s="16"/>
      <c r="G81" s="8"/>
      <c r="H81" s="8"/>
      <c r="I81" s="8"/>
      <c r="J81" s="9"/>
      <c r="K81" s="9">
        <f t="shared" si="31"/>
        <v>0</v>
      </c>
      <c r="L81" s="35">
        <f t="shared" si="32"/>
        <v>0</v>
      </c>
      <c r="M81" s="2"/>
      <c r="O81" s="19"/>
      <c r="P81" s="19"/>
      <c r="Q81" s="19"/>
      <c r="R81" s="21"/>
      <c r="S81" s="46"/>
      <c r="T81" s="44"/>
      <c r="U81" s="77"/>
      <c r="V81" s="24"/>
      <c r="W81" s="24"/>
      <c r="X81" s="193"/>
      <c r="Y81" s="15"/>
    </row>
    <row r="82" spans="2:25" x14ac:dyDescent="0.25">
      <c r="B82" s="15">
        <v>80</v>
      </c>
      <c r="C82" s="8"/>
      <c r="E82" s="67"/>
      <c r="F82" s="16"/>
      <c r="G82" s="8"/>
      <c r="H82" s="8"/>
      <c r="I82" s="8"/>
      <c r="J82" s="9"/>
      <c r="K82" s="9">
        <f t="shared" si="31"/>
        <v>0</v>
      </c>
      <c r="L82" s="35">
        <f t="shared" si="32"/>
        <v>0</v>
      </c>
      <c r="M82" s="2"/>
      <c r="O82" s="19"/>
      <c r="P82" s="19"/>
      <c r="Q82" s="19"/>
      <c r="R82" s="21"/>
      <c r="S82" s="46"/>
      <c r="T82" s="44"/>
      <c r="U82" s="77"/>
      <c r="V82" s="30"/>
      <c r="W82" s="24"/>
      <c r="X82" s="193"/>
      <c r="Y82" s="15"/>
    </row>
    <row r="83" spans="2:25" x14ac:dyDescent="0.25">
      <c r="B83" s="15">
        <v>81</v>
      </c>
      <c r="C83" s="8"/>
      <c r="E83" s="67"/>
      <c r="F83" s="16"/>
      <c r="G83" s="8"/>
      <c r="H83" s="8"/>
      <c r="I83" s="8"/>
      <c r="J83" s="9"/>
      <c r="K83" s="9">
        <f t="shared" si="31"/>
        <v>0</v>
      </c>
      <c r="L83" s="35">
        <f t="shared" si="32"/>
        <v>0</v>
      </c>
      <c r="M83" s="2"/>
      <c r="O83" s="19"/>
      <c r="P83" s="19"/>
      <c r="Q83" s="19"/>
      <c r="R83" s="21"/>
      <c r="S83" s="46"/>
      <c r="T83" s="44"/>
      <c r="U83" s="77"/>
      <c r="V83" s="24"/>
      <c r="W83" s="24"/>
      <c r="X83" s="193"/>
      <c r="Y83" s="15"/>
    </row>
    <row r="84" spans="2:25" x14ac:dyDescent="0.25">
      <c r="B84" s="15">
        <v>82</v>
      </c>
      <c r="C84" s="8"/>
      <c r="E84" s="67"/>
      <c r="F84" s="16"/>
      <c r="G84" s="8"/>
      <c r="H84" s="8"/>
      <c r="I84" s="8"/>
      <c r="J84" s="9"/>
      <c r="K84" s="9">
        <f t="shared" si="31"/>
        <v>0</v>
      </c>
      <c r="L84" s="35">
        <f t="shared" si="32"/>
        <v>0</v>
      </c>
      <c r="M84" s="2"/>
      <c r="O84" s="19"/>
      <c r="P84" s="19"/>
      <c r="Q84" s="19"/>
      <c r="R84" s="21"/>
      <c r="S84" s="46"/>
      <c r="T84" s="44"/>
      <c r="U84" s="77"/>
      <c r="V84" s="24"/>
      <c r="W84" s="24"/>
      <c r="X84" s="193"/>
      <c r="Y84" s="15"/>
    </row>
    <row r="85" spans="2:25" x14ac:dyDescent="0.25">
      <c r="B85" s="15">
        <v>83</v>
      </c>
      <c r="C85" s="8"/>
      <c r="E85" s="67"/>
      <c r="F85" s="16"/>
      <c r="G85" s="8"/>
      <c r="H85" s="8"/>
      <c r="I85" s="8"/>
      <c r="J85" s="9"/>
      <c r="K85" s="9">
        <f t="shared" si="31"/>
        <v>0</v>
      </c>
      <c r="L85" s="35">
        <f t="shared" si="32"/>
        <v>0</v>
      </c>
      <c r="M85" s="2"/>
      <c r="O85" s="19"/>
      <c r="P85" s="19"/>
      <c r="Q85" s="19"/>
      <c r="R85" s="21"/>
      <c r="S85" s="46"/>
      <c r="T85" s="44"/>
      <c r="U85" s="77"/>
      <c r="V85" s="24"/>
      <c r="W85" s="24"/>
      <c r="X85" s="193"/>
      <c r="Y85" s="15"/>
    </row>
    <row r="86" spans="2:25" x14ac:dyDescent="0.25">
      <c r="B86" s="15">
        <v>84</v>
      </c>
      <c r="C86" s="8"/>
      <c r="E86" s="67"/>
      <c r="F86" s="16"/>
      <c r="G86" s="8"/>
      <c r="H86" s="8"/>
      <c r="I86" s="8"/>
      <c r="J86" s="9"/>
      <c r="K86" s="9">
        <f t="shared" si="31"/>
        <v>0</v>
      </c>
      <c r="L86" s="35">
        <f t="shared" si="32"/>
        <v>0</v>
      </c>
      <c r="M86" s="2"/>
      <c r="O86" s="19"/>
      <c r="P86" s="19"/>
      <c r="Q86" s="19"/>
      <c r="R86" s="21"/>
      <c r="S86" s="46"/>
      <c r="T86" s="44"/>
      <c r="U86" s="77"/>
      <c r="V86" s="24"/>
      <c r="W86" s="24"/>
      <c r="X86" s="193"/>
      <c r="Y86" s="15"/>
    </row>
    <row r="87" spans="2:25" x14ac:dyDescent="0.25">
      <c r="B87" s="15">
        <v>85</v>
      </c>
      <c r="C87" s="8"/>
      <c r="E87" s="67"/>
      <c r="F87" s="16"/>
      <c r="G87" s="8"/>
      <c r="H87" s="8"/>
      <c r="I87" s="8"/>
      <c r="J87" s="9"/>
      <c r="K87" s="9">
        <f t="shared" si="31"/>
        <v>0</v>
      </c>
      <c r="L87" s="35">
        <f t="shared" si="32"/>
        <v>0</v>
      </c>
      <c r="M87" s="2"/>
      <c r="O87" s="19"/>
      <c r="P87" s="19"/>
      <c r="Q87" s="19"/>
      <c r="R87" s="21"/>
      <c r="S87" s="46"/>
      <c r="T87" s="44"/>
      <c r="U87" s="77"/>
      <c r="V87" s="24"/>
      <c r="W87" s="24"/>
      <c r="X87" s="193"/>
      <c r="Y87" s="15"/>
    </row>
    <row r="88" spans="2:25" x14ac:dyDescent="0.25">
      <c r="B88" s="15">
        <v>86</v>
      </c>
      <c r="C88" s="8"/>
      <c r="E88" s="67"/>
      <c r="F88" s="16"/>
      <c r="G88" s="8"/>
      <c r="H88" s="8"/>
      <c r="I88" s="8"/>
      <c r="J88" s="9"/>
      <c r="K88" s="9">
        <f t="shared" si="31"/>
        <v>0</v>
      </c>
      <c r="L88" s="35">
        <f t="shared" si="32"/>
        <v>0</v>
      </c>
      <c r="M88" s="2"/>
      <c r="O88" s="19"/>
      <c r="P88" s="19"/>
      <c r="Q88" s="19"/>
      <c r="R88" s="21"/>
      <c r="S88" s="46"/>
      <c r="T88" s="44"/>
      <c r="U88" s="77"/>
      <c r="V88" s="30"/>
      <c r="W88" s="24"/>
      <c r="X88" s="193"/>
      <c r="Y88" s="15"/>
    </row>
    <row r="89" spans="2:25" x14ac:dyDescent="0.25">
      <c r="B89" s="15">
        <v>87</v>
      </c>
      <c r="C89" s="8"/>
      <c r="E89" s="67"/>
      <c r="F89" s="16"/>
      <c r="G89" s="8"/>
      <c r="H89" s="8"/>
      <c r="I89" s="8"/>
      <c r="J89" s="9"/>
      <c r="K89" s="9">
        <f t="shared" si="31"/>
        <v>0</v>
      </c>
      <c r="L89" s="35">
        <f t="shared" si="32"/>
        <v>0</v>
      </c>
      <c r="M89" s="2"/>
      <c r="O89" s="19"/>
      <c r="P89" s="19"/>
      <c r="Q89" s="19"/>
      <c r="R89" s="21"/>
      <c r="S89" s="46"/>
      <c r="T89" s="44"/>
      <c r="U89" s="77"/>
      <c r="V89" s="30"/>
      <c r="W89" s="24"/>
      <c r="X89" s="193"/>
      <c r="Y89" s="15"/>
    </row>
    <row r="90" spans="2:25" x14ac:dyDescent="0.25">
      <c r="B90" s="15">
        <v>88</v>
      </c>
      <c r="C90" s="8"/>
      <c r="E90" s="67"/>
      <c r="F90" s="16"/>
      <c r="G90" s="8"/>
      <c r="H90" s="8"/>
      <c r="I90" s="8"/>
      <c r="J90" s="9"/>
      <c r="K90" s="9">
        <f t="shared" si="31"/>
        <v>0</v>
      </c>
      <c r="L90" s="35">
        <f t="shared" si="32"/>
        <v>0</v>
      </c>
      <c r="M90" s="2"/>
      <c r="O90" s="19"/>
      <c r="P90" s="19"/>
      <c r="Q90" s="19"/>
      <c r="R90" s="21"/>
      <c r="S90" s="46"/>
      <c r="T90" s="44"/>
      <c r="U90" s="77"/>
      <c r="V90" s="24"/>
      <c r="W90" s="24"/>
      <c r="X90" s="193"/>
      <c r="Y90" s="15"/>
    </row>
    <row r="91" spans="2:25" x14ac:dyDescent="0.25">
      <c r="B91" s="15">
        <v>89</v>
      </c>
      <c r="C91" s="8"/>
      <c r="E91" s="67"/>
      <c r="F91" s="16"/>
      <c r="G91" s="8"/>
      <c r="H91" s="8"/>
      <c r="I91" s="8"/>
      <c r="J91" s="9"/>
      <c r="K91" s="9">
        <f t="shared" si="31"/>
        <v>0</v>
      </c>
      <c r="L91" s="35">
        <f t="shared" si="32"/>
        <v>0</v>
      </c>
      <c r="M91" s="2"/>
      <c r="O91" s="19"/>
      <c r="P91" s="19"/>
      <c r="Q91" s="19"/>
      <c r="R91" s="21"/>
      <c r="S91" s="46"/>
      <c r="T91" s="44"/>
      <c r="U91" s="77"/>
      <c r="V91" s="24"/>
      <c r="W91" s="24"/>
      <c r="X91" s="193"/>
      <c r="Y91" s="15"/>
    </row>
    <row r="92" spans="2:25" x14ac:dyDescent="0.25">
      <c r="B92" s="15">
        <v>90</v>
      </c>
      <c r="C92" s="8"/>
      <c r="E92" s="67"/>
      <c r="F92" s="16"/>
      <c r="G92" s="8"/>
      <c r="H92" s="8"/>
      <c r="I92" s="8"/>
      <c r="J92" s="9"/>
      <c r="K92" s="9">
        <f t="shared" si="31"/>
        <v>0</v>
      </c>
      <c r="L92" s="35">
        <f t="shared" si="32"/>
        <v>0</v>
      </c>
      <c r="M92" s="2"/>
      <c r="O92" s="19"/>
      <c r="P92" s="19"/>
      <c r="Q92" s="19"/>
      <c r="R92" s="21"/>
      <c r="S92" s="46"/>
      <c r="T92" s="44"/>
      <c r="U92" s="77"/>
      <c r="V92" s="24"/>
      <c r="W92" s="24"/>
      <c r="X92" s="193"/>
      <c r="Y92" s="15"/>
    </row>
    <row r="93" spans="2:25" x14ac:dyDescent="0.25">
      <c r="B93" s="15">
        <v>91</v>
      </c>
      <c r="C93" s="8"/>
      <c r="E93" s="67"/>
      <c r="F93" s="16"/>
      <c r="G93" s="8"/>
      <c r="H93" s="8"/>
      <c r="I93" s="8"/>
      <c r="J93" s="9"/>
      <c r="K93" s="9">
        <f t="shared" si="31"/>
        <v>0</v>
      </c>
      <c r="L93" s="35">
        <f t="shared" si="32"/>
        <v>0</v>
      </c>
      <c r="M93" s="2"/>
      <c r="O93" s="19"/>
      <c r="P93" s="19"/>
      <c r="Q93" s="19"/>
      <c r="R93" s="21"/>
      <c r="S93" s="46"/>
      <c r="T93" s="44"/>
      <c r="U93" s="77"/>
      <c r="V93" s="24"/>
      <c r="W93" s="24"/>
      <c r="X93" s="193"/>
      <c r="Y93" s="15"/>
    </row>
    <row r="94" spans="2:25" x14ac:dyDescent="0.25">
      <c r="B94" s="15">
        <v>92</v>
      </c>
      <c r="C94" s="8"/>
      <c r="E94" s="67"/>
      <c r="F94" s="16"/>
      <c r="G94" s="8"/>
      <c r="H94" s="8"/>
      <c r="I94" s="8"/>
      <c r="J94" s="9"/>
      <c r="K94" s="9">
        <f t="shared" si="31"/>
        <v>0</v>
      </c>
      <c r="L94" s="35">
        <f t="shared" si="32"/>
        <v>0</v>
      </c>
      <c r="M94" s="2"/>
      <c r="O94" s="19"/>
      <c r="P94" s="19"/>
      <c r="Q94" s="19"/>
      <c r="R94" s="21"/>
      <c r="S94" s="46"/>
      <c r="T94" s="44"/>
      <c r="U94" s="77"/>
      <c r="V94" s="24"/>
      <c r="W94" s="24"/>
      <c r="X94" s="193"/>
      <c r="Y94" s="15"/>
    </row>
    <row r="95" spans="2:25" x14ac:dyDescent="0.25">
      <c r="B95" s="15">
        <v>93</v>
      </c>
      <c r="C95" s="8"/>
      <c r="E95" s="67"/>
      <c r="F95" s="16"/>
      <c r="G95" s="8"/>
      <c r="H95" s="8"/>
      <c r="I95" s="8"/>
      <c r="J95" s="9"/>
      <c r="K95" s="9">
        <f t="shared" si="31"/>
        <v>0</v>
      </c>
      <c r="L95" s="35">
        <f t="shared" si="32"/>
        <v>0</v>
      </c>
      <c r="M95" s="2"/>
      <c r="O95" s="19"/>
      <c r="P95" s="19"/>
      <c r="Q95" s="19"/>
      <c r="R95" s="46"/>
      <c r="S95" s="46"/>
      <c r="T95" s="44"/>
      <c r="U95" s="77"/>
      <c r="V95" s="30"/>
      <c r="W95" s="24"/>
      <c r="X95" s="193"/>
      <c r="Y95" s="15"/>
    </row>
    <row r="96" spans="2:25" x14ac:dyDescent="0.25">
      <c r="B96" s="15">
        <v>94</v>
      </c>
      <c r="C96" s="8"/>
      <c r="E96" s="67"/>
      <c r="F96" s="16"/>
      <c r="G96" s="8"/>
      <c r="H96" s="8"/>
      <c r="I96" s="8"/>
      <c r="J96" s="9"/>
      <c r="K96" s="9">
        <f t="shared" si="31"/>
        <v>0</v>
      </c>
      <c r="L96" s="35">
        <f t="shared" si="32"/>
        <v>0</v>
      </c>
      <c r="M96" s="2"/>
      <c r="O96" s="19"/>
      <c r="P96" s="19"/>
      <c r="Q96" s="19"/>
      <c r="R96" s="254"/>
      <c r="S96" s="46"/>
      <c r="T96" s="44"/>
      <c r="U96" s="77"/>
      <c r="V96" s="30"/>
      <c r="W96" s="24"/>
      <c r="X96" s="193"/>
      <c r="Y96" s="15"/>
    </row>
    <row r="97" spans="2:25" x14ac:dyDescent="0.25">
      <c r="B97" s="15">
        <v>95</v>
      </c>
      <c r="C97" s="8"/>
      <c r="E97" s="67"/>
      <c r="F97" s="16"/>
      <c r="G97" s="8"/>
      <c r="H97" s="8"/>
      <c r="I97" s="8"/>
      <c r="J97" s="9"/>
      <c r="K97" s="9">
        <f t="shared" si="31"/>
        <v>0</v>
      </c>
      <c r="L97" s="35">
        <f t="shared" si="32"/>
        <v>0</v>
      </c>
      <c r="M97" s="2"/>
      <c r="O97" s="19"/>
      <c r="P97" s="19"/>
      <c r="Q97" s="19"/>
      <c r="R97" s="21"/>
      <c r="S97" s="46"/>
      <c r="T97" s="44"/>
      <c r="U97" s="77"/>
      <c r="V97" s="30"/>
      <c r="W97" s="24"/>
      <c r="X97" s="193"/>
      <c r="Y97" s="15"/>
    </row>
    <row r="98" spans="2:25" x14ac:dyDescent="0.25">
      <c r="B98" s="15">
        <v>96</v>
      </c>
      <c r="C98" s="8"/>
      <c r="E98" s="67"/>
      <c r="F98" s="16"/>
      <c r="G98" s="8"/>
      <c r="H98" s="8"/>
      <c r="I98" s="8"/>
      <c r="J98" s="9"/>
      <c r="K98" s="9">
        <f t="shared" si="31"/>
        <v>0</v>
      </c>
      <c r="L98" s="35">
        <f t="shared" si="32"/>
        <v>0</v>
      </c>
      <c r="M98" s="2"/>
      <c r="O98" s="19"/>
      <c r="P98" s="19"/>
      <c r="Q98" s="19"/>
      <c r="R98" s="21"/>
      <c r="S98" s="46"/>
      <c r="T98" s="44"/>
      <c r="U98" s="77"/>
      <c r="V98" s="24"/>
      <c r="W98" s="24"/>
      <c r="X98" s="193"/>
      <c r="Y98" s="15"/>
    </row>
    <row r="99" spans="2:25" x14ac:dyDescent="0.25">
      <c r="B99" s="15">
        <v>97</v>
      </c>
      <c r="C99" s="8"/>
      <c r="E99" s="67"/>
      <c r="F99" s="16"/>
      <c r="G99" s="8"/>
      <c r="H99" s="8"/>
      <c r="I99" s="8"/>
      <c r="J99" s="9"/>
      <c r="K99" s="9">
        <f t="shared" si="31"/>
        <v>0</v>
      </c>
      <c r="L99" s="35">
        <f t="shared" si="32"/>
        <v>0</v>
      </c>
      <c r="M99" s="2"/>
      <c r="O99" s="19"/>
      <c r="P99" s="19"/>
      <c r="Q99" s="19"/>
      <c r="R99" s="21"/>
      <c r="S99" s="46"/>
      <c r="T99" s="44"/>
      <c r="U99" s="77"/>
      <c r="V99" s="24"/>
      <c r="W99" s="24"/>
      <c r="X99" s="193"/>
      <c r="Y99" s="15"/>
    </row>
    <row r="100" spans="2:25" x14ac:dyDescent="0.25">
      <c r="B100" s="15">
        <v>98</v>
      </c>
      <c r="C100" s="8"/>
      <c r="E100" s="67"/>
      <c r="F100" s="16"/>
      <c r="G100" s="8"/>
      <c r="H100" s="8"/>
      <c r="I100" s="8"/>
      <c r="J100" s="9"/>
      <c r="K100" s="9">
        <f t="shared" si="31"/>
        <v>0</v>
      </c>
      <c r="L100" s="35">
        <f t="shared" si="32"/>
        <v>0</v>
      </c>
      <c r="M100" s="2"/>
      <c r="O100" s="19"/>
      <c r="P100" s="19"/>
      <c r="Q100" s="19"/>
      <c r="R100" s="21"/>
      <c r="S100" s="46"/>
      <c r="T100" s="44"/>
      <c r="U100" s="77"/>
      <c r="V100" s="24"/>
      <c r="W100" s="24"/>
      <c r="X100" s="193"/>
      <c r="Y100" s="15"/>
    </row>
    <row r="101" spans="2:25" x14ac:dyDescent="0.25">
      <c r="B101" s="15">
        <v>99</v>
      </c>
      <c r="C101" s="8"/>
      <c r="E101" s="67"/>
      <c r="F101" s="16"/>
      <c r="G101" s="8"/>
      <c r="H101" s="8"/>
      <c r="I101" s="8"/>
      <c r="J101" s="9"/>
      <c r="K101" s="9">
        <f t="shared" si="31"/>
        <v>0</v>
      </c>
      <c r="L101" s="35">
        <f t="shared" si="32"/>
        <v>0</v>
      </c>
      <c r="M101" s="2"/>
      <c r="O101" s="19"/>
      <c r="P101" s="19"/>
      <c r="Q101" s="19"/>
      <c r="R101" s="21"/>
      <c r="S101" s="46"/>
      <c r="T101" s="44"/>
      <c r="U101" s="77"/>
      <c r="V101" s="24"/>
      <c r="W101" s="24"/>
      <c r="X101" s="193"/>
      <c r="Y101" s="15"/>
    </row>
    <row r="102" spans="2:25" x14ac:dyDescent="0.25">
      <c r="B102" s="15">
        <v>100</v>
      </c>
      <c r="C102" s="8"/>
      <c r="E102" s="67"/>
      <c r="F102" s="16"/>
      <c r="G102" s="8"/>
      <c r="H102" s="8"/>
      <c r="I102" s="8"/>
      <c r="J102" s="9"/>
      <c r="K102" s="9">
        <f t="shared" si="31"/>
        <v>0</v>
      </c>
      <c r="L102" s="35">
        <f t="shared" si="32"/>
        <v>0</v>
      </c>
      <c r="M102" s="2"/>
      <c r="O102" s="19"/>
      <c r="P102" s="19"/>
      <c r="Q102" s="19"/>
      <c r="R102" s="21"/>
      <c r="S102" s="46"/>
      <c r="T102" s="44"/>
      <c r="U102" s="77"/>
      <c r="V102" s="24"/>
      <c r="W102" s="24"/>
      <c r="X102" s="193"/>
      <c r="Y102" s="15"/>
    </row>
    <row r="103" spans="2:25" x14ac:dyDescent="0.25">
      <c r="B103" s="15">
        <v>101</v>
      </c>
      <c r="C103" s="8"/>
      <c r="E103" s="67"/>
      <c r="F103" s="16"/>
      <c r="G103" s="8"/>
      <c r="H103" s="8"/>
      <c r="I103" s="8"/>
      <c r="J103" s="9"/>
      <c r="K103" s="9">
        <f t="shared" si="31"/>
        <v>0</v>
      </c>
      <c r="L103" s="35">
        <f t="shared" si="32"/>
        <v>0</v>
      </c>
      <c r="M103" s="2"/>
      <c r="O103" s="19"/>
      <c r="P103" s="19"/>
      <c r="Q103" s="19"/>
      <c r="R103" s="21"/>
      <c r="S103" s="46"/>
      <c r="T103" s="44"/>
      <c r="U103" s="77"/>
      <c r="V103" s="30"/>
      <c r="W103" s="24"/>
      <c r="X103" s="193"/>
      <c r="Y103" s="15"/>
    </row>
    <row r="104" spans="2:25" x14ac:dyDescent="0.25">
      <c r="B104" s="15">
        <v>102</v>
      </c>
      <c r="C104" s="8"/>
      <c r="E104" s="67"/>
      <c r="F104" s="16"/>
      <c r="G104" s="8"/>
      <c r="H104" s="8"/>
      <c r="I104" s="8"/>
      <c r="J104" s="9"/>
      <c r="K104" s="9">
        <f t="shared" si="31"/>
        <v>0</v>
      </c>
      <c r="L104" s="35">
        <f t="shared" si="32"/>
        <v>0</v>
      </c>
      <c r="M104" s="2"/>
      <c r="O104" s="19"/>
      <c r="P104" s="19"/>
      <c r="Q104" s="19"/>
      <c r="R104" s="21"/>
      <c r="S104" s="46"/>
      <c r="T104" s="44"/>
      <c r="U104" s="77"/>
      <c r="V104" s="24"/>
      <c r="W104" s="24"/>
      <c r="X104" s="193"/>
      <c r="Y104" s="15"/>
    </row>
    <row r="105" spans="2:25" x14ac:dyDescent="0.25">
      <c r="B105" s="15">
        <v>103</v>
      </c>
      <c r="C105" s="8"/>
      <c r="E105" s="67"/>
      <c r="F105" s="16"/>
      <c r="G105" s="8"/>
      <c r="H105" s="8"/>
      <c r="I105" s="8"/>
      <c r="J105" s="9"/>
      <c r="K105" s="9">
        <f t="shared" si="31"/>
        <v>0</v>
      </c>
      <c r="L105" s="35">
        <f t="shared" si="32"/>
        <v>0</v>
      </c>
      <c r="M105" s="2"/>
      <c r="O105" s="19"/>
      <c r="P105" s="19"/>
      <c r="Q105" s="19"/>
      <c r="R105" s="21"/>
      <c r="S105" s="46"/>
      <c r="T105" s="44"/>
      <c r="U105" s="77"/>
      <c r="V105" s="24"/>
      <c r="W105" s="24"/>
      <c r="X105" s="193"/>
      <c r="Y105" s="15"/>
    </row>
    <row r="106" spans="2:25" x14ac:dyDescent="0.25">
      <c r="B106" s="15">
        <v>104</v>
      </c>
      <c r="C106" s="8"/>
      <c r="E106" s="67"/>
      <c r="F106" s="255"/>
      <c r="G106" s="8"/>
      <c r="H106" s="8"/>
      <c r="I106" s="8"/>
      <c r="J106" s="9"/>
      <c r="K106" s="9">
        <f t="shared" si="31"/>
        <v>0</v>
      </c>
      <c r="L106" s="35">
        <f t="shared" si="32"/>
        <v>0</v>
      </c>
      <c r="M106" s="2"/>
      <c r="O106" s="19"/>
      <c r="P106" s="19"/>
      <c r="Q106" s="19"/>
      <c r="R106" s="21"/>
      <c r="S106" s="46"/>
      <c r="T106" s="44"/>
      <c r="U106" s="77"/>
      <c r="V106" s="24"/>
      <c r="W106" s="24"/>
      <c r="X106" s="193"/>
      <c r="Y106" s="15"/>
    </row>
    <row r="107" spans="2:25" x14ac:dyDescent="0.25">
      <c r="B107" s="15">
        <v>105</v>
      </c>
      <c r="C107" s="8"/>
      <c r="E107" s="67"/>
      <c r="F107" s="16"/>
      <c r="G107" s="8"/>
      <c r="H107" s="8"/>
      <c r="I107" s="8"/>
      <c r="J107" s="9"/>
      <c r="K107" s="9">
        <f t="shared" si="31"/>
        <v>0</v>
      </c>
      <c r="L107" s="35">
        <f t="shared" si="32"/>
        <v>0</v>
      </c>
      <c r="M107" s="2"/>
      <c r="O107" s="19"/>
      <c r="P107" s="19"/>
      <c r="Q107" s="19"/>
      <c r="R107" s="21"/>
      <c r="S107" s="46"/>
      <c r="T107" s="44"/>
      <c r="U107" s="77"/>
      <c r="V107" s="24"/>
      <c r="W107" s="24"/>
      <c r="X107" s="193"/>
      <c r="Y107" s="15"/>
    </row>
    <row r="108" spans="2:25" x14ac:dyDescent="0.25">
      <c r="B108" s="15">
        <v>106</v>
      </c>
      <c r="C108" s="8"/>
      <c r="E108" s="67"/>
      <c r="F108" s="16"/>
      <c r="G108" s="8"/>
      <c r="H108" s="8"/>
      <c r="I108" s="8"/>
      <c r="J108" s="9"/>
      <c r="K108" s="9">
        <f t="shared" si="31"/>
        <v>0</v>
      </c>
      <c r="L108" s="35">
        <f t="shared" si="32"/>
        <v>0</v>
      </c>
      <c r="M108" s="2"/>
      <c r="O108" s="19"/>
      <c r="P108" s="19"/>
      <c r="Q108" s="19"/>
      <c r="R108" s="21"/>
      <c r="S108" s="46"/>
      <c r="T108" s="44"/>
      <c r="U108" s="77"/>
      <c r="V108" s="24"/>
      <c r="W108" s="24"/>
      <c r="X108" s="193"/>
      <c r="Y108" s="15"/>
    </row>
    <row r="109" spans="2:25" x14ac:dyDescent="0.25">
      <c r="B109" s="15">
        <v>107</v>
      </c>
      <c r="C109" s="8"/>
      <c r="E109" s="67"/>
      <c r="F109" s="16"/>
      <c r="G109" s="8"/>
      <c r="H109" s="8"/>
      <c r="I109" s="8"/>
      <c r="J109" s="9"/>
      <c r="K109" s="9">
        <f t="shared" si="31"/>
        <v>0</v>
      </c>
      <c r="L109" s="35">
        <f t="shared" si="32"/>
        <v>0</v>
      </c>
      <c r="M109" s="2"/>
      <c r="O109" s="19"/>
      <c r="P109" s="19"/>
      <c r="Q109" s="19"/>
      <c r="R109" s="21"/>
      <c r="S109" s="46"/>
      <c r="T109" s="44"/>
      <c r="U109" s="77"/>
      <c r="V109" s="30"/>
      <c r="W109" s="24"/>
      <c r="X109" s="193"/>
      <c r="Y109" s="15"/>
    </row>
    <row r="110" spans="2:25" x14ac:dyDescent="0.25">
      <c r="B110" s="15">
        <v>108</v>
      </c>
      <c r="C110" s="8"/>
      <c r="E110" s="67"/>
      <c r="F110" s="16"/>
      <c r="G110" s="8"/>
      <c r="H110" s="8"/>
      <c r="I110" s="8"/>
      <c r="J110" s="9"/>
      <c r="K110" s="9">
        <f t="shared" si="31"/>
        <v>0</v>
      </c>
      <c r="L110" s="35">
        <f t="shared" si="32"/>
        <v>0</v>
      </c>
      <c r="M110" s="2"/>
      <c r="O110" s="19"/>
      <c r="P110" s="19"/>
      <c r="Q110" s="19"/>
      <c r="R110" s="21"/>
      <c r="S110" s="46"/>
      <c r="T110" s="44"/>
      <c r="U110" s="77"/>
      <c r="V110" s="30"/>
      <c r="W110" s="24"/>
      <c r="X110" s="193"/>
      <c r="Y110" s="15"/>
    </row>
    <row r="111" spans="2:25" x14ac:dyDescent="0.25">
      <c r="B111" s="15">
        <v>109</v>
      </c>
      <c r="C111" s="8"/>
      <c r="E111" s="67"/>
      <c r="F111" s="16"/>
      <c r="G111" s="8"/>
      <c r="H111" s="8"/>
      <c r="I111" s="8"/>
      <c r="J111" s="9"/>
      <c r="K111" s="9">
        <f t="shared" si="31"/>
        <v>0</v>
      </c>
      <c r="L111" s="35">
        <f t="shared" si="32"/>
        <v>0</v>
      </c>
      <c r="M111" s="2"/>
      <c r="O111" s="19"/>
      <c r="P111" s="19"/>
      <c r="Q111" s="19"/>
      <c r="R111" s="21"/>
      <c r="S111" s="46"/>
      <c r="T111" s="44"/>
      <c r="U111" s="77"/>
      <c r="V111" s="30"/>
      <c r="W111" s="24"/>
      <c r="X111" s="193"/>
      <c r="Y111" s="15"/>
    </row>
    <row r="112" spans="2:25" x14ac:dyDescent="0.25">
      <c r="B112" s="15">
        <v>110</v>
      </c>
      <c r="C112" s="8"/>
      <c r="E112" s="67"/>
      <c r="F112" s="16"/>
      <c r="G112" s="8"/>
      <c r="H112" s="8"/>
      <c r="I112" s="8"/>
      <c r="J112" s="9"/>
      <c r="K112" s="9">
        <f t="shared" si="31"/>
        <v>0</v>
      </c>
      <c r="L112" s="35">
        <f t="shared" si="32"/>
        <v>0</v>
      </c>
      <c r="M112" s="2"/>
      <c r="O112" s="19"/>
      <c r="P112" s="19"/>
      <c r="Q112" s="19"/>
      <c r="R112" s="21"/>
      <c r="S112" s="46"/>
      <c r="T112" s="44"/>
      <c r="U112" s="77"/>
      <c r="V112" s="24"/>
      <c r="W112" s="24"/>
      <c r="X112" s="193"/>
      <c r="Y112" s="15"/>
    </row>
    <row r="113" spans="2:25" x14ac:dyDescent="0.25">
      <c r="B113" s="15">
        <v>111</v>
      </c>
      <c r="C113" s="8"/>
      <c r="E113" s="67"/>
      <c r="F113" s="16"/>
      <c r="G113" s="8"/>
      <c r="H113" s="8"/>
      <c r="I113" s="8"/>
      <c r="J113" s="9"/>
      <c r="K113" s="9">
        <f t="shared" si="31"/>
        <v>0</v>
      </c>
      <c r="L113" s="35">
        <f t="shared" si="32"/>
        <v>0</v>
      </c>
      <c r="M113" s="2"/>
      <c r="O113" s="19"/>
      <c r="P113" s="19"/>
      <c r="Q113" s="19"/>
      <c r="R113" s="21"/>
      <c r="S113" s="46"/>
      <c r="T113" s="44"/>
      <c r="U113" s="77"/>
      <c r="V113" s="24"/>
      <c r="W113" s="24"/>
      <c r="X113" s="193"/>
      <c r="Y113" s="15"/>
    </row>
    <row r="114" spans="2:25" x14ac:dyDescent="0.25">
      <c r="B114" s="15">
        <v>112</v>
      </c>
      <c r="C114" s="8"/>
      <c r="E114" s="67"/>
      <c r="F114" s="16"/>
      <c r="G114" s="8"/>
      <c r="H114" s="8"/>
      <c r="I114" s="8"/>
      <c r="J114" s="9"/>
      <c r="K114" s="9">
        <f t="shared" si="31"/>
        <v>0</v>
      </c>
      <c r="L114" s="35">
        <f t="shared" si="32"/>
        <v>0</v>
      </c>
      <c r="M114" s="2"/>
      <c r="O114" s="19"/>
      <c r="P114" s="19"/>
      <c r="Q114" s="19"/>
      <c r="R114" s="21"/>
      <c r="S114" s="46"/>
      <c r="T114" s="44"/>
      <c r="U114" s="77"/>
      <c r="V114" s="24"/>
      <c r="W114" s="24"/>
      <c r="X114" s="193"/>
      <c r="Y114" s="15"/>
    </row>
    <row r="115" spans="2:25" x14ac:dyDescent="0.25">
      <c r="B115" s="15">
        <v>113</v>
      </c>
      <c r="C115" s="8"/>
      <c r="E115" s="67"/>
      <c r="F115" s="16"/>
      <c r="G115" s="8"/>
      <c r="H115" s="8"/>
      <c r="I115" s="8"/>
      <c r="J115" s="9"/>
      <c r="K115" s="9">
        <f t="shared" si="31"/>
        <v>0</v>
      </c>
      <c r="L115" s="35">
        <f t="shared" si="32"/>
        <v>0</v>
      </c>
      <c r="M115" s="2"/>
      <c r="O115" s="19"/>
      <c r="P115" s="19"/>
      <c r="Q115" s="19"/>
      <c r="R115" s="21"/>
      <c r="S115" s="46"/>
      <c r="T115" s="44"/>
      <c r="U115" s="77"/>
      <c r="V115" s="24"/>
      <c r="W115" s="24"/>
      <c r="X115" s="193"/>
      <c r="Y115" s="15"/>
    </row>
    <row r="116" spans="2:25" x14ac:dyDescent="0.25">
      <c r="B116" s="15">
        <v>114</v>
      </c>
      <c r="C116" s="8"/>
      <c r="E116" s="67"/>
      <c r="F116" s="16"/>
      <c r="G116" s="8"/>
      <c r="H116" s="8"/>
      <c r="I116" s="8"/>
      <c r="J116" s="9"/>
      <c r="K116" s="9">
        <f t="shared" si="31"/>
        <v>0</v>
      </c>
      <c r="L116" s="35">
        <f t="shared" si="32"/>
        <v>0</v>
      </c>
      <c r="M116" s="2"/>
      <c r="O116" s="19"/>
      <c r="P116" s="19"/>
      <c r="Q116" s="19"/>
      <c r="R116" s="21"/>
      <c r="S116" s="46"/>
      <c r="T116" s="44"/>
      <c r="U116" s="77"/>
      <c r="V116" s="30"/>
      <c r="W116" s="24"/>
      <c r="X116" s="193"/>
      <c r="Y116" s="15"/>
    </row>
    <row r="117" spans="2:25" x14ac:dyDescent="0.25">
      <c r="B117" s="15">
        <v>115</v>
      </c>
      <c r="C117" s="8"/>
      <c r="E117" s="67"/>
      <c r="F117" s="16"/>
      <c r="G117" s="8"/>
      <c r="H117" s="8"/>
      <c r="I117" s="8"/>
      <c r="J117" s="9"/>
      <c r="K117" s="9">
        <f t="shared" si="31"/>
        <v>0</v>
      </c>
      <c r="L117" s="35">
        <f t="shared" si="32"/>
        <v>0</v>
      </c>
      <c r="M117" s="2"/>
      <c r="O117" s="19"/>
      <c r="P117" s="19"/>
      <c r="Q117" s="19"/>
      <c r="R117" s="21"/>
      <c r="S117" s="46"/>
      <c r="T117" s="44"/>
      <c r="U117" s="77"/>
      <c r="V117" s="30"/>
      <c r="W117" s="24"/>
      <c r="X117" s="193"/>
      <c r="Y117" s="15"/>
    </row>
    <row r="118" spans="2:25" x14ac:dyDescent="0.25">
      <c r="B118" s="15">
        <v>116</v>
      </c>
      <c r="C118" s="8"/>
      <c r="E118" s="67"/>
      <c r="F118" s="16"/>
      <c r="G118" s="8"/>
      <c r="H118" s="8"/>
      <c r="I118" s="8"/>
      <c r="J118" s="9"/>
      <c r="K118" s="9">
        <f t="shared" si="31"/>
        <v>0</v>
      </c>
      <c r="L118" s="35">
        <f t="shared" si="32"/>
        <v>0</v>
      </c>
      <c r="M118" s="2"/>
      <c r="O118" s="19"/>
      <c r="P118" s="19"/>
      <c r="Q118" s="19"/>
      <c r="R118" s="21"/>
      <c r="S118" s="46"/>
      <c r="T118" s="44"/>
      <c r="U118" s="77"/>
      <c r="V118" s="30"/>
      <c r="W118" s="24"/>
      <c r="X118" s="193"/>
      <c r="Y118" s="15"/>
    </row>
    <row r="119" spans="2:25" x14ac:dyDescent="0.25">
      <c r="B119" s="15">
        <v>117</v>
      </c>
      <c r="C119" s="8"/>
      <c r="E119" s="67"/>
      <c r="F119" s="16"/>
      <c r="G119" s="8"/>
      <c r="H119" s="8"/>
      <c r="I119" s="8"/>
      <c r="J119" s="9"/>
      <c r="K119" s="9">
        <f t="shared" si="31"/>
        <v>0</v>
      </c>
      <c r="L119" s="35">
        <f t="shared" si="32"/>
        <v>0</v>
      </c>
      <c r="M119" s="2"/>
      <c r="O119" s="19"/>
      <c r="P119" s="19"/>
      <c r="Q119" s="19"/>
      <c r="R119" s="21"/>
      <c r="S119" s="46"/>
      <c r="T119" s="44"/>
      <c r="U119" s="77"/>
      <c r="V119" s="30"/>
      <c r="W119" s="24"/>
      <c r="X119" s="193"/>
      <c r="Y119" s="15"/>
    </row>
    <row r="120" spans="2:25" x14ac:dyDescent="0.25">
      <c r="B120" s="15">
        <v>118</v>
      </c>
      <c r="C120" s="8"/>
      <c r="E120" s="67"/>
      <c r="G120" s="8"/>
      <c r="H120" s="8"/>
      <c r="I120" s="8"/>
      <c r="J120" s="9"/>
      <c r="K120" s="9">
        <f t="shared" si="31"/>
        <v>0</v>
      </c>
      <c r="L120" s="35">
        <f t="shared" si="32"/>
        <v>0</v>
      </c>
      <c r="M120" s="2"/>
      <c r="O120" s="19"/>
      <c r="P120" s="19"/>
      <c r="Q120" s="19"/>
      <c r="R120" s="21"/>
      <c r="S120" s="46"/>
      <c r="T120" s="44"/>
      <c r="U120" s="77"/>
      <c r="V120" s="24"/>
      <c r="W120" s="24"/>
      <c r="X120" s="193"/>
      <c r="Y120" s="15"/>
    </row>
    <row r="121" spans="2:25" x14ac:dyDescent="0.25">
      <c r="B121" s="15">
        <v>119</v>
      </c>
      <c r="C121" s="8"/>
      <c r="E121" s="67"/>
      <c r="G121" s="8"/>
      <c r="H121" s="8"/>
      <c r="I121" s="8"/>
      <c r="J121" s="9"/>
      <c r="K121" s="9">
        <f t="shared" si="31"/>
        <v>0</v>
      </c>
      <c r="L121" s="35">
        <f t="shared" si="32"/>
        <v>0</v>
      </c>
      <c r="M121" s="2"/>
      <c r="O121" s="19"/>
      <c r="P121" s="19"/>
      <c r="Q121" s="19"/>
      <c r="R121" s="21"/>
      <c r="S121" s="46"/>
      <c r="T121" s="44"/>
      <c r="U121" s="77"/>
      <c r="V121" s="24"/>
      <c r="W121" s="24"/>
      <c r="X121" s="193"/>
      <c r="Y121" s="15"/>
    </row>
    <row r="122" spans="2:25" x14ac:dyDescent="0.25">
      <c r="B122" s="15">
        <v>120</v>
      </c>
      <c r="C122" s="8"/>
      <c r="E122" s="67"/>
      <c r="F122" s="16"/>
      <c r="G122" s="8"/>
      <c r="H122" s="8"/>
      <c r="I122" s="8"/>
      <c r="J122" s="9"/>
      <c r="K122" s="9">
        <f t="shared" si="31"/>
        <v>0</v>
      </c>
      <c r="L122" s="35">
        <f t="shared" si="32"/>
        <v>0</v>
      </c>
      <c r="M122" s="2"/>
      <c r="O122" s="19"/>
      <c r="P122" s="19"/>
      <c r="Q122" s="19"/>
      <c r="R122" s="21"/>
      <c r="S122" s="46"/>
      <c r="T122" s="44"/>
      <c r="U122" s="77"/>
      <c r="V122" s="24"/>
      <c r="W122" s="24"/>
      <c r="X122" s="193"/>
      <c r="Y122" s="15"/>
    </row>
    <row r="123" spans="2:25" x14ac:dyDescent="0.25">
      <c r="B123" s="15">
        <v>121</v>
      </c>
      <c r="C123" s="8"/>
      <c r="E123" s="67"/>
      <c r="F123" s="16"/>
      <c r="G123" s="8"/>
      <c r="H123" s="8"/>
      <c r="I123" s="8"/>
      <c r="J123" s="9"/>
      <c r="K123" s="9">
        <f t="shared" si="31"/>
        <v>0</v>
      </c>
      <c r="L123" s="35">
        <f t="shared" si="32"/>
        <v>0</v>
      </c>
      <c r="M123" s="2"/>
      <c r="O123" s="19"/>
      <c r="P123" s="19"/>
      <c r="Q123" s="19"/>
      <c r="R123" s="21"/>
      <c r="S123" s="46"/>
      <c r="T123" s="44"/>
      <c r="U123" s="77"/>
      <c r="V123" s="24"/>
      <c r="W123" s="24"/>
      <c r="X123" s="193"/>
      <c r="Y123" s="15"/>
    </row>
    <row r="124" spans="2:25" x14ac:dyDescent="0.25">
      <c r="B124" s="15">
        <v>122</v>
      </c>
      <c r="C124" s="8"/>
      <c r="E124" s="67"/>
      <c r="F124" s="16"/>
      <c r="G124" s="8"/>
      <c r="H124" s="8"/>
      <c r="I124" s="8"/>
      <c r="J124" s="9"/>
      <c r="K124" s="9">
        <f t="shared" si="31"/>
        <v>0</v>
      </c>
      <c r="L124" s="35">
        <f t="shared" si="32"/>
        <v>0</v>
      </c>
      <c r="M124" s="2"/>
      <c r="O124" s="19"/>
      <c r="P124" s="19"/>
      <c r="Q124" s="19"/>
      <c r="R124" s="21"/>
      <c r="S124" s="46"/>
      <c r="T124" s="44"/>
      <c r="U124" s="77"/>
      <c r="V124" s="24"/>
      <c r="W124" s="24"/>
      <c r="X124" s="193"/>
      <c r="Y124" s="15"/>
    </row>
    <row r="125" spans="2:25" x14ac:dyDescent="0.25">
      <c r="B125" s="15">
        <v>123</v>
      </c>
      <c r="C125" s="8"/>
      <c r="E125" s="67"/>
      <c r="F125" s="16"/>
      <c r="G125" s="8"/>
      <c r="H125" s="8"/>
      <c r="I125" s="8"/>
      <c r="J125" s="9"/>
      <c r="K125" s="9">
        <f t="shared" si="31"/>
        <v>0</v>
      </c>
      <c r="L125" s="35">
        <f t="shared" si="32"/>
        <v>0</v>
      </c>
      <c r="M125" s="2"/>
      <c r="O125" s="19"/>
      <c r="P125" s="19"/>
      <c r="Q125" s="19"/>
      <c r="R125" s="21"/>
      <c r="S125" s="46"/>
      <c r="T125" s="44"/>
      <c r="U125" s="77"/>
      <c r="V125" s="30"/>
      <c r="W125" s="24"/>
      <c r="X125" s="193"/>
      <c r="Y125" s="15"/>
    </row>
    <row r="126" spans="2:25" x14ac:dyDescent="0.25">
      <c r="B126" s="15">
        <v>124</v>
      </c>
      <c r="C126" s="8"/>
      <c r="E126" s="67"/>
      <c r="F126" s="16"/>
      <c r="G126" s="8"/>
      <c r="H126" s="8"/>
      <c r="I126" s="8"/>
      <c r="J126" s="9"/>
      <c r="K126" s="9">
        <f t="shared" si="31"/>
        <v>0</v>
      </c>
      <c r="L126" s="35">
        <f t="shared" si="32"/>
        <v>0</v>
      </c>
      <c r="M126" s="2"/>
      <c r="O126" s="19"/>
      <c r="P126" s="19"/>
      <c r="Q126" s="19"/>
      <c r="R126" s="21"/>
      <c r="S126" s="46"/>
      <c r="T126" s="44"/>
      <c r="U126" s="77"/>
      <c r="V126" s="30"/>
      <c r="W126" s="24"/>
      <c r="X126" s="193"/>
      <c r="Y126" s="15"/>
    </row>
    <row r="127" spans="2:25" x14ac:dyDescent="0.25">
      <c r="B127" s="15">
        <v>125</v>
      </c>
      <c r="C127" s="8"/>
      <c r="E127" s="67"/>
      <c r="F127" s="16"/>
      <c r="G127" s="8"/>
      <c r="H127" s="8"/>
      <c r="I127" s="8"/>
      <c r="J127" s="9"/>
      <c r="K127" s="9">
        <f t="shared" si="31"/>
        <v>0</v>
      </c>
      <c r="L127" s="35">
        <f t="shared" si="32"/>
        <v>0</v>
      </c>
      <c r="M127" s="2"/>
      <c r="O127" s="19"/>
      <c r="P127" s="19"/>
      <c r="Q127" s="19"/>
      <c r="R127" s="21"/>
      <c r="S127" s="46"/>
      <c r="T127" s="44"/>
      <c r="U127" s="77"/>
      <c r="V127" s="24"/>
      <c r="W127" s="24"/>
      <c r="X127" s="193"/>
      <c r="Y127" s="15"/>
    </row>
    <row r="128" spans="2:25" x14ac:dyDescent="0.25">
      <c r="B128" s="15">
        <v>126</v>
      </c>
      <c r="C128" s="8"/>
      <c r="E128" s="67"/>
      <c r="F128" s="16"/>
      <c r="G128" s="8"/>
      <c r="H128" s="8"/>
      <c r="I128" s="8"/>
      <c r="J128" s="9"/>
      <c r="K128" s="9">
        <f t="shared" si="31"/>
        <v>0</v>
      </c>
      <c r="L128" s="35">
        <f t="shared" si="32"/>
        <v>0</v>
      </c>
      <c r="M128" s="2"/>
      <c r="O128" s="19"/>
      <c r="P128" s="19"/>
      <c r="Q128" s="19"/>
      <c r="R128" s="21"/>
      <c r="S128" s="46"/>
      <c r="T128" s="44"/>
      <c r="U128" s="77"/>
      <c r="V128" s="24"/>
      <c r="W128" s="24"/>
      <c r="X128" s="193"/>
      <c r="Y128" s="15"/>
    </row>
    <row r="129" spans="2:25" x14ac:dyDescent="0.25">
      <c r="B129" s="15">
        <v>127</v>
      </c>
      <c r="C129" s="8"/>
      <c r="E129" s="67"/>
      <c r="F129" s="16"/>
      <c r="G129" s="8"/>
      <c r="H129" s="8"/>
      <c r="I129" s="8"/>
      <c r="J129" s="9"/>
      <c r="K129" s="9">
        <f t="shared" si="31"/>
        <v>0</v>
      </c>
      <c r="L129" s="35">
        <f t="shared" si="32"/>
        <v>0</v>
      </c>
      <c r="M129" s="2"/>
      <c r="O129" s="19"/>
      <c r="P129" s="19"/>
      <c r="Q129" s="19"/>
      <c r="R129" s="21"/>
      <c r="S129" s="46"/>
      <c r="T129" s="44"/>
      <c r="U129" s="77"/>
      <c r="V129" s="24"/>
      <c r="W129" s="24"/>
      <c r="X129" s="193"/>
      <c r="Y129" s="15"/>
    </row>
    <row r="130" spans="2:25" x14ac:dyDescent="0.25">
      <c r="B130" s="15">
        <v>128</v>
      </c>
      <c r="C130" s="8"/>
      <c r="E130" s="67"/>
      <c r="F130" s="16"/>
      <c r="G130" s="8"/>
      <c r="H130" s="8"/>
      <c r="I130" s="8"/>
      <c r="J130" s="9"/>
      <c r="K130" s="9">
        <f t="shared" si="31"/>
        <v>0</v>
      </c>
      <c r="L130" s="35">
        <f t="shared" si="32"/>
        <v>0</v>
      </c>
      <c r="M130" s="2"/>
      <c r="O130" s="19"/>
      <c r="P130" s="19"/>
      <c r="Q130" s="19"/>
      <c r="R130" s="21"/>
      <c r="S130" s="46"/>
      <c r="T130" s="44"/>
      <c r="U130" s="77"/>
      <c r="V130" s="24"/>
      <c r="W130" s="24"/>
      <c r="X130" s="193"/>
      <c r="Y130" s="15"/>
    </row>
    <row r="131" spans="2:25" x14ac:dyDescent="0.25">
      <c r="B131" s="15">
        <v>129</v>
      </c>
      <c r="C131" s="8"/>
      <c r="E131" s="67"/>
      <c r="F131" s="16"/>
      <c r="G131" s="8"/>
      <c r="H131" s="8"/>
      <c r="I131" s="8"/>
      <c r="J131" s="9"/>
      <c r="K131" s="9">
        <f t="shared" ref="K131:K194" si="35">J131*1.1</f>
        <v>0</v>
      </c>
      <c r="L131" s="35">
        <f t="shared" ref="L131:L194" si="36">J131*0.00000001</f>
        <v>0</v>
      </c>
      <c r="M131" s="2"/>
      <c r="O131" s="19"/>
      <c r="P131" s="19"/>
      <c r="Q131" s="19"/>
      <c r="R131" s="21"/>
      <c r="S131" s="46"/>
      <c r="T131" s="44"/>
      <c r="U131" s="77"/>
      <c r="V131" s="24"/>
      <c r="W131" s="24"/>
      <c r="X131" s="193"/>
      <c r="Y131" s="15"/>
    </row>
    <row r="132" spans="2:25" x14ac:dyDescent="0.25">
      <c r="B132" s="15">
        <v>130</v>
      </c>
      <c r="C132" s="8"/>
      <c r="E132" s="67"/>
      <c r="F132" s="16"/>
      <c r="G132" s="8"/>
      <c r="H132" s="8"/>
      <c r="I132" s="8"/>
      <c r="J132" s="9"/>
      <c r="K132" s="9">
        <f t="shared" si="35"/>
        <v>0</v>
      </c>
      <c r="L132" s="35">
        <f t="shared" si="36"/>
        <v>0</v>
      </c>
      <c r="M132" s="2"/>
      <c r="O132" s="19"/>
      <c r="P132" s="19"/>
      <c r="Q132" s="19"/>
      <c r="R132" s="21"/>
      <c r="S132" s="46"/>
      <c r="T132" s="44"/>
      <c r="U132" s="77"/>
      <c r="V132" s="24"/>
      <c r="W132" s="24"/>
      <c r="X132" s="193"/>
      <c r="Y132" s="15"/>
    </row>
    <row r="133" spans="2:25" x14ac:dyDescent="0.25">
      <c r="B133" s="15">
        <v>131</v>
      </c>
      <c r="C133" s="8"/>
      <c r="E133" s="67"/>
      <c r="F133" s="16"/>
      <c r="G133" s="8"/>
      <c r="H133" s="8"/>
      <c r="I133" s="8"/>
      <c r="J133" s="9"/>
      <c r="K133" s="9">
        <f t="shared" si="35"/>
        <v>0</v>
      </c>
      <c r="L133" s="35">
        <f t="shared" si="36"/>
        <v>0</v>
      </c>
      <c r="M133" s="2"/>
      <c r="O133" s="19"/>
      <c r="P133" s="19"/>
      <c r="Q133" s="19"/>
      <c r="R133" s="21"/>
      <c r="S133" s="46"/>
      <c r="T133" s="44"/>
      <c r="U133" s="77"/>
      <c r="V133" s="24"/>
      <c r="W133" s="24"/>
      <c r="X133" s="193"/>
      <c r="Y133" s="15"/>
    </row>
    <row r="134" spans="2:25" x14ac:dyDescent="0.25">
      <c r="B134" s="15">
        <v>132</v>
      </c>
      <c r="C134" s="8"/>
      <c r="E134" s="67"/>
      <c r="F134" s="16"/>
      <c r="G134" s="8"/>
      <c r="H134" s="8"/>
      <c r="I134" s="8"/>
      <c r="J134" s="9"/>
      <c r="K134" s="9">
        <f t="shared" si="35"/>
        <v>0</v>
      </c>
      <c r="L134" s="35">
        <f t="shared" si="36"/>
        <v>0</v>
      </c>
      <c r="M134" s="2"/>
      <c r="O134" s="19"/>
      <c r="P134" s="19"/>
      <c r="Q134" s="19"/>
      <c r="R134" s="21"/>
      <c r="S134" s="46"/>
      <c r="T134" s="44"/>
      <c r="U134" s="77"/>
      <c r="V134" s="24"/>
      <c r="W134" s="24"/>
      <c r="X134" s="193"/>
      <c r="Y134" s="15"/>
    </row>
    <row r="135" spans="2:25" x14ac:dyDescent="0.25">
      <c r="B135" s="15">
        <v>132</v>
      </c>
      <c r="C135" s="8"/>
      <c r="E135" s="67"/>
      <c r="F135" s="16"/>
      <c r="G135" s="8"/>
      <c r="H135" s="8"/>
      <c r="I135" s="8"/>
      <c r="J135" s="9"/>
      <c r="K135" s="9">
        <f t="shared" si="35"/>
        <v>0</v>
      </c>
      <c r="L135" s="35">
        <f t="shared" si="36"/>
        <v>0</v>
      </c>
      <c r="M135" s="2"/>
      <c r="O135" s="19"/>
      <c r="P135" s="19"/>
      <c r="Q135" s="19"/>
      <c r="R135" s="21"/>
      <c r="S135" s="46"/>
      <c r="T135" s="44"/>
      <c r="U135" s="77"/>
      <c r="V135" s="24"/>
      <c r="W135" s="24"/>
      <c r="X135" s="193"/>
      <c r="Y135" s="15"/>
    </row>
    <row r="136" spans="2:25" x14ac:dyDescent="0.25">
      <c r="B136" s="15">
        <v>133</v>
      </c>
      <c r="C136" s="8"/>
      <c r="E136" s="67"/>
      <c r="F136" s="16"/>
      <c r="G136" s="8"/>
      <c r="H136" s="8"/>
      <c r="I136" s="8"/>
      <c r="J136" s="9"/>
      <c r="K136" s="9">
        <f t="shared" si="35"/>
        <v>0</v>
      </c>
      <c r="L136" s="35">
        <f t="shared" si="36"/>
        <v>0</v>
      </c>
      <c r="M136" s="2"/>
      <c r="O136" s="19"/>
      <c r="P136" s="19"/>
      <c r="Q136" s="19"/>
      <c r="R136" s="21"/>
      <c r="S136" s="46"/>
      <c r="T136" s="44"/>
      <c r="U136" s="77"/>
      <c r="V136" s="24"/>
      <c r="W136" s="24"/>
      <c r="X136" s="193"/>
      <c r="Y136" s="15"/>
    </row>
    <row r="137" spans="2:25" x14ac:dyDescent="0.25">
      <c r="B137" s="15">
        <v>134</v>
      </c>
      <c r="C137" s="8"/>
      <c r="E137" s="67"/>
      <c r="F137" s="16"/>
      <c r="G137" s="8"/>
      <c r="H137" s="8"/>
      <c r="I137" s="8"/>
      <c r="K137" s="9">
        <f t="shared" si="35"/>
        <v>0</v>
      </c>
      <c r="L137" s="35">
        <f t="shared" si="36"/>
        <v>0</v>
      </c>
      <c r="M137" s="2"/>
      <c r="O137" s="19"/>
      <c r="P137" s="19"/>
      <c r="Q137" s="19"/>
      <c r="S137" s="46"/>
      <c r="T137" s="44"/>
      <c r="U137" s="77"/>
      <c r="V137" s="24"/>
      <c r="W137" s="24"/>
      <c r="X137" s="193"/>
      <c r="Y137" s="15"/>
    </row>
    <row r="138" spans="2:25" x14ac:dyDescent="0.25">
      <c r="B138" s="15">
        <v>135</v>
      </c>
      <c r="C138" s="8"/>
      <c r="E138" s="67"/>
      <c r="F138" s="16"/>
      <c r="G138" s="8"/>
      <c r="H138" s="8"/>
      <c r="I138" s="8"/>
      <c r="K138" s="9">
        <f t="shared" si="35"/>
        <v>0</v>
      </c>
      <c r="L138" s="35">
        <f t="shared" si="36"/>
        <v>0</v>
      </c>
      <c r="M138" s="2"/>
      <c r="O138" s="19"/>
      <c r="P138" s="19"/>
      <c r="Q138" s="19"/>
      <c r="S138" s="46"/>
      <c r="T138" s="44"/>
      <c r="U138" s="77"/>
      <c r="V138" s="24"/>
      <c r="W138" s="24"/>
      <c r="X138" s="193"/>
      <c r="Y138" s="15"/>
    </row>
    <row r="139" spans="2:25" x14ac:dyDescent="0.25">
      <c r="B139" s="15">
        <v>136</v>
      </c>
      <c r="C139" s="8"/>
      <c r="E139" s="67"/>
      <c r="F139" s="16"/>
      <c r="G139" s="8"/>
      <c r="H139" s="8"/>
      <c r="I139" s="8"/>
      <c r="K139" s="9">
        <f t="shared" si="35"/>
        <v>0</v>
      </c>
      <c r="L139" s="35">
        <f t="shared" si="36"/>
        <v>0</v>
      </c>
      <c r="M139" s="2"/>
      <c r="O139" s="19"/>
      <c r="P139" s="19"/>
      <c r="Q139" s="19"/>
      <c r="S139" s="46"/>
      <c r="T139" s="44"/>
      <c r="U139" s="77"/>
      <c r="V139" s="24"/>
      <c r="W139" s="24"/>
      <c r="X139" s="193"/>
      <c r="Y139" s="15"/>
    </row>
    <row r="140" spans="2:25" x14ac:dyDescent="0.25">
      <c r="B140" s="15">
        <v>138</v>
      </c>
      <c r="C140" s="8"/>
      <c r="E140" s="67"/>
      <c r="F140" s="16"/>
      <c r="G140" s="8"/>
      <c r="H140" s="8"/>
      <c r="I140" s="8"/>
      <c r="J140" s="9"/>
      <c r="K140" s="9">
        <f t="shared" si="35"/>
        <v>0</v>
      </c>
      <c r="L140" s="35">
        <f t="shared" si="36"/>
        <v>0</v>
      </c>
      <c r="M140" s="2"/>
      <c r="O140" s="19"/>
      <c r="P140" s="19"/>
      <c r="Q140" s="19"/>
      <c r="R140" s="21"/>
      <c r="S140" s="46"/>
      <c r="T140" s="44"/>
      <c r="U140" s="77"/>
      <c r="V140" s="24"/>
      <c r="W140" s="24"/>
      <c r="X140" s="193"/>
      <c r="Y140" s="15"/>
    </row>
    <row r="141" spans="2:25" x14ac:dyDescent="0.25">
      <c r="B141" s="15">
        <v>139</v>
      </c>
      <c r="C141" s="8"/>
      <c r="E141" s="67"/>
      <c r="F141" s="16"/>
      <c r="G141" s="8"/>
      <c r="H141" s="8"/>
      <c r="I141" s="8"/>
      <c r="J141" s="9"/>
      <c r="K141" s="9">
        <f t="shared" si="35"/>
        <v>0</v>
      </c>
      <c r="L141" s="35">
        <f t="shared" si="36"/>
        <v>0</v>
      </c>
      <c r="M141" s="2"/>
      <c r="O141" s="19"/>
      <c r="P141" s="19"/>
      <c r="Q141" s="19"/>
      <c r="R141" s="21"/>
      <c r="S141" s="46"/>
      <c r="T141" s="44"/>
      <c r="U141" s="77"/>
      <c r="V141" s="30"/>
      <c r="W141" s="24"/>
      <c r="X141" s="193"/>
      <c r="Y141" s="15"/>
    </row>
    <row r="142" spans="2:25" x14ac:dyDescent="0.25">
      <c r="B142" s="15">
        <v>140</v>
      </c>
      <c r="C142" s="8"/>
      <c r="E142" s="67"/>
      <c r="F142" s="16"/>
      <c r="G142" s="8"/>
      <c r="H142" s="8"/>
      <c r="I142" s="8"/>
      <c r="J142" s="9"/>
      <c r="K142" s="9">
        <f t="shared" si="35"/>
        <v>0</v>
      </c>
      <c r="L142" s="35">
        <f t="shared" si="36"/>
        <v>0</v>
      </c>
      <c r="M142" s="2"/>
      <c r="O142" s="19"/>
      <c r="P142" s="19"/>
      <c r="Q142" s="19"/>
      <c r="R142" s="21"/>
      <c r="S142" s="46"/>
      <c r="T142" s="44"/>
      <c r="U142" s="77"/>
      <c r="V142" s="30"/>
      <c r="W142" s="24"/>
      <c r="X142" s="193"/>
      <c r="Y142" s="15"/>
    </row>
    <row r="143" spans="2:25" x14ac:dyDescent="0.25">
      <c r="B143" s="15">
        <v>141</v>
      </c>
      <c r="C143" s="8"/>
      <c r="E143" s="67"/>
      <c r="F143" s="16"/>
      <c r="G143" s="8"/>
      <c r="H143" s="8"/>
      <c r="I143" s="8"/>
      <c r="J143" s="9"/>
      <c r="K143" s="9">
        <f t="shared" si="35"/>
        <v>0</v>
      </c>
      <c r="L143" s="35">
        <f t="shared" si="36"/>
        <v>0</v>
      </c>
      <c r="M143" s="2"/>
      <c r="O143" s="19"/>
      <c r="P143" s="19"/>
      <c r="Q143" s="19"/>
      <c r="R143" s="21"/>
      <c r="S143" s="46"/>
      <c r="T143" s="44"/>
      <c r="U143" s="77"/>
      <c r="V143" s="24"/>
      <c r="W143" s="24"/>
      <c r="X143" s="193"/>
      <c r="Y143" s="15"/>
    </row>
    <row r="144" spans="2:25" x14ac:dyDescent="0.25">
      <c r="B144" s="15">
        <v>142</v>
      </c>
      <c r="C144" s="8"/>
      <c r="E144" s="67"/>
      <c r="F144" s="16"/>
      <c r="G144" s="8"/>
      <c r="H144" s="8"/>
      <c r="I144" s="8"/>
      <c r="J144" s="9"/>
      <c r="K144" s="9">
        <f t="shared" si="35"/>
        <v>0</v>
      </c>
      <c r="L144" s="35">
        <f t="shared" si="36"/>
        <v>0</v>
      </c>
      <c r="M144" s="2"/>
      <c r="O144" s="19"/>
      <c r="P144" s="19"/>
      <c r="Q144" s="19"/>
      <c r="R144" s="21"/>
      <c r="S144" s="46"/>
      <c r="T144" s="44"/>
      <c r="U144" s="77"/>
      <c r="V144" s="24"/>
      <c r="W144" s="24"/>
      <c r="X144" s="193"/>
      <c r="Y144" s="15"/>
    </row>
    <row r="145" spans="2:25" x14ac:dyDescent="0.25">
      <c r="B145" s="15">
        <v>143</v>
      </c>
      <c r="C145" s="8"/>
      <c r="E145" s="67"/>
      <c r="F145" s="16"/>
      <c r="G145" s="8"/>
      <c r="H145" s="8"/>
      <c r="I145" s="8"/>
      <c r="J145" s="9"/>
      <c r="K145" s="9">
        <f t="shared" si="35"/>
        <v>0</v>
      </c>
      <c r="L145" s="35">
        <f t="shared" si="36"/>
        <v>0</v>
      </c>
      <c r="M145" s="2"/>
      <c r="O145" s="19"/>
      <c r="P145" s="19"/>
      <c r="Q145" s="19"/>
      <c r="R145" s="21"/>
      <c r="S145" s="46"/>
      <c r="T145" s="44"/>
      <c r="U145" s="77"/>
      <c r="V145" s="24"/>
      <c r="W145" s="24"/>
      <c r="X145" s="193"/>
      <c r="Y145" s="15"/>
    </row>
    <row r="146" spans="2:25" x14ac:dyDescent="0.25">
      <c r="B146" s="15">
        <v>144</v>
      </c>
      <c r="C146" s="8"/>
      <c r="E146" s="67"/>
      <c r="F146" s="16"/>
      <c r="G146" s="8"/>
      <c r="H146" s="8"/>
      <c r="I146" s="8"/>
      <c r="J146" s="9"/>
      <c r="K146" s="9">
        <f t="shared" si="35"/>
        <v>0</v>
      </c>
      <c r="L146" s="35">
        <f t="shared" si="36"/>
        <v>0</v>
      </c>
      <c r="M146" s="2"/>
      <c r="O146" s="19"/>
      <c r="P146" s="19"/>
      <c r="Q146" s="19"/>
      <c r="R146" s="21"/>
      <c r="S146" s="46"/>
      <c r="T146" s="44"/>
      <c r="U146" s="77"/>
      <c r="V146" s="24"/>
      <c r="W146" s="24"/>
      <c r="X146" s="193"/>
      <c r="Y146" s="15"/>
    </row>
    <row r="147" spans="2:25" x14ac:dyDescent="0.25">
      <c r="B147" s="15">
        <v>145</v>
      </c>
      <c r="C147" s="8"/>
      <c r="E147" s="67"/>
      <c r="F147" s="16"/>
      <c r="G147" s="8"/>
      <c r="H147" s="8"/>
      <c r="I147" s="8"/>
      <c r="J147" s="9"/>
      <c r="K147" s="9">
        <f t="shared" si="35"/>
        <v>0</v>
      </c>
      <c r="L147" s="35">
        <f t="shared" si="36"/>
        <v>0</v>
      </c>
      <c r="M147" s="2"/>
      <c r="O147" s="19"/>
      <c r="P147" s="19"/>
      <c r="Q147" s="19"/>
      <c r="R147" s="21"/>
      <c r="S147" s="46"/>
      <c r="T147" s="44"/>
      <c r="U147" s="77"/>
      <c r="V147" s="24"/>
      <c r="W147" s="24"/>
      <c r="X147" s="193"/>
      <c r="Y147" s="15"/>
    </row>
    <row r="148" spans="2:25" x14ac:dyDescent="0.25">
      <c r="B148" s="15">
        <v>146</v>
      </c>
      <c r="C148" s="8"/>
      <c r="E148" s="67"/>
      <c r="F148" s="16"/>
      <c r="G148" s="8"/>
      <c r="H148" s="8"/>
      <c r="I148" s="8"/>
      <c r="J148" s="9"/>
      <c r="K148" s="9">
        <f t="shared" si="35"/>
        <v>0</v>
      </c>
      <c r="L148" s="35">
        <f t="shared" si="36"/>
        <v>0</v>
      </c>
      <c r="M148" s="2"/>
      <c r="O148" s="19"/>
      <c r="P148" s="19"/>
      <c r="Q148" s="19"/>
      <c r="R148" s="21"/>
      <c r="S148" s="46"/>
      <c r="T148" s="44"/>
      <c r="U148" s="77"/>
      <c r="V148" s="30"/>
      <c r="W148" s="24"/>
      <c r="X148" s="193"/>
      <c r="Y148" s="15"/>
    </row>
    <row r="149" spans="2:25" x14ac:dyDescent="0.25">
      <c r="B149" s="15">
        <v>147</v>
      </c>
      <c r="C149" s="8"/>
      <c r="E149" s="67"/>
      <c r="F149" s="16"/>
      <c r="G149" s="8"/>
      <c r="H149" s="8"/>
      <c r="I149" s="8"/>
      <c r="K149" s="9">
        <f t="shared" si="35"/>
        <v>0</v>
      </c>
      <c r="L149" s="35">
        <f t="shared" si="36"/>
        <v>0</v>
      </c>
      <c r="O149" s="19"/>
      <c r="P149" s="19"/>
      <c r="Q149" s="19"/>
      <c r="S149" s="46"/>
      <c r="T149" s="44"/>
      <c r="U149" s="77"/>
      <c r="V149" s="79"/>
      <c r="W149" s="24"/>
      <c r="X149" s="193"/>
      <c r="Y149" s="15"/>
    </row>
    <row r="150" spans="2:25" x14ac:dyDescent="0.25">
      <c r="B150" s="15">
        <v>148</v>
      </c>
      <c r="C150" s="8"/>
      <c r="E150" s="67"/>
      <c r="F150" s="16"/>
      <c r="G150" s="8"/>
      <c r="H150" s="8"/>
      <c r="I150" s="8"/>
      <c r="J150" s="9"/>
      <c r="K150" s="9">
        <f t="shared" si="35"/>
        <v>0</v>
      </c>
      <c r="L150" s="35">
        <f t="shared" si="36"/>
        <v>0</v>
      </c>
      <c r="M150" s="2"/>
      <c r="O150" s="19"/>
      <c r="P150" s="19"/>
      <c r="Q150" s="19"/>
      <c r="R150" s="21"/>
      <c r="S150" s="46"/>
      <c r="T150" s="44"/>
      <c r="U150" s="77"/>
      <c r="V150" s="79"/>
      <c r="W150" s="24"/>
      <c r="X150" s="193"/>
      <c r="Y150" s="15"/>
    </row>
    <row r="151" spans="2:25" x14ac:dyDescent="0.25">
      <c r="B151" s="15">
        <v>149</v>
      </c>
      <c r="C151" s="8"/>
      <c r="E151" s="67"/>
      <c r="F151" s="16"/>
      <c r="G151" s="8"/>
      <c r="H151" s="8"/>
      <c r="I151" s="8"/>
      <c r="J151" s="9"/>
      <c r="K151" s="9">
        <f t="shared" si="35"/>
        <v>0</v>
      </c>
      <c r="L151" s="35">
        <f t="shared" si="36"/>
        <v>0</v>
      </c>
      <c r="M151" s="2"/>
      <c r="O151" s="19"/>
      <c r="P151" s="19"/>
      <c r="Q151" s="19"/>
      <c r="R151" s="21"/>
      <c r="S151" s="46"/>
      <c r="T151" s="44"/>
      <c r="U151" s="77"/>
      <c r="V151" s="24"/>
      <c r="W151" s="24"/>
      <c r="X151" s="193"/>
      <c r="Y151" s="15"/>
    </row>
    <row r="152" spans="2:25" x14ac:dyDescent="0.25">
      <c r="B152" s="15">
        <v>150</v>
      </c>
      <c r="C152" s="8"/>
      <c r="E152" s="67"/>
      <c r="F152" s="16"/>
      <c r="G152" s="8"/>
      <c r="H152" s="8"/>
      <c r="I152" s="8"/>
      <c r="J152" s="9"/>
      <c r="K152" s="9">
        <f t="shared" si="35"/>
        <v>0</v>
      </c>
      <c r="L152" s="35">
        <f t="shared" si="36"/>
        <v>0</v>
      </c>
      <c r="M152" s="2"/>
      <c r="O152" s="19"/>
      <c r="P152" s="19"/>
      <c r="Q152" s="19"/>
      <c r="R152" s="21"/>
      <c r="S152" s="46"/>
      <c r="T152" s="44"/>
      <c r="U152" s="77"/>
      <c r="V152" s="24"/>
      <c r="W152" s="24"/>
      <c r="X152" s="193"/>
      <c r="Y152" s="15"/>
    </row>
    <row r="153" spans="2:25" x14ac:dyDescent="0.25">
      <c r="B153" s="15">
        <v>151</v>
      </c>
      <c r="C153" s="8"/>
      <c r="E153" s="67"/>
      <c r="F153" s="16"/>
      <c r="G153" s="8"/>
      <c r="H153" s="8"/>
      <c r="I153" s="8"/>
      <c r="J153" s="9"/>
      <c r="K153" s="9">
        <f t="shared" si="35"/>
        <v>0</v>
      </c>
      <c r="L153" s="35">
        <f t="shared" si="36"/>
        <v>0</v>
      </c>
      <c r="M153" s="2"/>
      <c r="O153" s="19"/>
      <c r="P153" s="19"/>
      <c r="Q153" s="19"/>
      <c r="R153" s="21"/>
      <c r="S153" s="46"/>
      <c r="T153" s="44"/>
      <c r="U153" s="77"/>
      <c r="V153" s="24"/>
      <c r="W153" s="24"/>
      <c r="X153" s="193"/>
      <c r="Y153" s="15"/>
    </row>
    <row r="154" spans="2:25" x14ac:dyDescent="0.25">
      <c r="B154" s="15">
        <v>152</v>
      </c>
      <c r="C154" s="8"/>
      <c r="E154" s="67"/>
      <c r="F154" s="16"/>
      <c r="G154" s="8"/>
      <c r="H154" s="8"/>
      <c r="I154" s="8"/>
      <c r="J154" s="9"/>
      <c r="K154" s="9">
        <f t="shared" si="35"/>
        <v>0</v>
      </c>
      <c r="L154" s="35">
        <f t="shared" si="36"/>
        <v>0</v>
      </c>
      <c r="M154" s="2"/>
      <c r="O154" s="19"/>
      <c r="P154" s="19"/>
      <c r="Q154" s="19"/>
      <c r="R154" s="21"/>
      <c r="S154" s="46"/>
      <c r="T154" s="44"/>
      <c r="U154" s="77"/>
      <c r="V154" s="24"/>
      <c r="W154" s="24"/>
      <c r="X154" s="193"/>
      <c r="Y154" s="15"/>
    </row>
    <row r="155" spans="2:25" x14ac:dyDescent="0.25">
      <c r="B155" s="15">
        <v>153</v>
      </c>
      <c r="C155" s="8"/>
      <c r="E155" s="67"/>
      <c r="F155" s="16"/>
      <c r="G155" s="8"/>
      <c r="H155" s="8"/>
      <c r="I155" s="8"/>
      <c r="J155" s="9"/>
      <c r="K155" s="9">
        <f t="shared" si="35"/>
        <v>0</v>
      </c>
      <c r="L155" s="35">
        <f t="shared" si="36"/>
        <v>0</v>
      </c>
      <c r="M155" s="2"/>
      <c r="O155" s="19"/>
      <c r="P155" s="19"/>
      <c r="Q155" s="19"/>
      <c r="R155" s="21"/>
      <c r="S155" s="46"/>
      <c r="T155" s="44"/>
      <c r="U155" s="77"/>
      <c r="V155" s="30"/>
      <c r="W155" s="24"/>
      <c r="X155" s="193"/>
      <c r="Y155" s="15"/>
    </row>
    <row r="156" spans="2:25" x14ac:dyDescent="0.25">
      <c r="B156" s="15">
        <v>154</v>
      </c>
      <c r="C156" s="8"/>
      <c r="E156" s="67"/>
      <c r="F156" s="16"/>
      <c r="G156" s="8"/>
      <c r="H156" s="8"/>
      <c r="I156" s="8"/>
      <c r="J156" s="9"/>
      <c r="K156" s="9">
        <f t="shared" si="35"/>
        <v>0</v>
      </c>
      <c r="L156" s="35">
        <f t="shared" si="36"/>
        <v>0</v>
      </c>
      <c r="M156" s="2"/>
      <c r="O156" s="19"/>
      <c r="P156" s="19"/>
      <c r="Q156" s="19"/>
      <c r="R156" s="21"/>
      <c r="S156" s="46"/>
      <c r="T156" s="44"/>
      <c r="U156" s="77"/>
      <c r="V156" s="24"/>
      <c r="W156" s="24"/>
      <c r="X156" s="193"/>
      <c r="Y156" s="15"/>
    </row>
    <row r="157" spans="2:25" x14ac:dyDescent="0.25">
      <c r="B157" s="15">
        <v>155</v>
      </c>
      <c r="C157" s="8"/>
      <c r="E157" s="67"/>
      <c r="F157" s="16"/>
      <c r="G157" s="8"/>
      <c r="H157" s="8"/>
      <c r="I157" s="8"/>
      <c r="J157" s="9"/>
      <c r="K157" s="9">
        <f t="shared" si="35"/>
        <v>0</v>
      </c>
      <c r="L157" s="35">
        <f t="shared" si="36"/>
        <v>0</v>
      </c>
      <c r="M157" s="2"/>
      <c r="O157" s="19"/>
      <c r="P157" s="19"/>
      <c r="Q157" s="19"/>
      <c r="R157" s="21"/>
      <c r="S157" s="46"/>
      <c r="T157" s="44"/>
      <c r="U157" s="77"/>
      <c r="V157" s="24"/>
      <c r="W157" s="24"/>
      <c r="X157" s="193"/>
      <c r="Y157" s="15"/>
    </row>
    <row r="158" spans="2:25" x14ac:dyDescent="0.25">
      <c r="B158" s="15">
        <v>156</v>
      </c>
      <c r="C158" s="8"/>
      <c r="E158" s="67"/>
      <c r="F158" s="16"/>
      <c r="G158" s="8"/>
      <c r="H158" s="8"/>
      <c r="I158" s="8"/>
      <c r="J158" s="9"/>
      <c r="K158" s="9">
        <f t="shared" si="35"/>
        <v>0</v>
      </c>
      <c r="L158" s="35">
        <f t="shared" si="36"/>
        <v>0</v>
      </c>
      <c r="M158" s="2"/>
      <c r="O158" s="19"/>
      <c r="P158" s="19"/>
      <c r="Q158" s="19"/>
      <c r="R158" s="21"/>
      <c r="S158" s="46"/>
      <c r="T158" s="44"/>
      <c r="U158" s="77"/>
      <c r="V158" s="24"/>
      <c r="W158" s="24"/>
      <c r="X158" s="193"/>
      <c r="Y158" s="15"/>
    </row>
    <row r="159" spans="2:25" x14ac:dyDescent="0.25">
      <c r="B159" s="15">
        <v>157</v>
      </c>
      <c r="C159" s="8"/>
      <c r="E159" s="67"/>
      <c r="F159" s="16"/>
      <c r="G159" s="8"/>
      <c r="H159" s="8"/>
      <c r="I159" s="8"/>
      <c r="J159" s="9"/>
      <c r="K159" s="9">
        <f t="shared" si="35"/>
        <v>0</v>
      </c>
      <c r="L159" s="35">
        <f t="shared" si="36"/>
        <v>0</v>
      </c>
      <c r="M159" s="2"/>
      <c r="O159" s="19"/>
      <c r="P159" s="19"/>
      <c r="Q159" s="19"/>
      <c r="R159" s="21"/>
      <c r="S159" s="46"/>
      <c r="T159" s="44"/>
      <c r="U159" s="77"/>
      <c r="V159" s="24"/>
      <c r="W159" s="24"/>
      <c r="X159" s="193"/>
      <c r="Y159" s="15"/>
    </row>
    <row r="160" spans="2:25" x14ac:dyDescent="0.25">
      <c r="B160" s="15">
        <v>158</v>
      </c>
      <c r="C160" s="8"/>
      <c r="E160" s="67"/>
      <c r="F160" s="16"/>
      <c r="G160" s="8"/>
      <c r="H160" s="8"/>
      <c r="I160" s="8"/>
      <c r="J160" s="9"/>
      <c r="K160" s="9">
        <f t="shared" si="35"/>
        <v>0</v>
      </c>
      <c r="L160" s="35">
        <f t="shared" si="36"/>
        <v>0</v>
      </c>
      <c r="M160" s="2"/>
      <c r="O160" s="19"/>
      <c r="P160" s="19"/>
      <c r="Q160" s="19"/>
      <c r="R160" s="21"/>
      <c r="S160" s="46"/>
      <c r="T160" s="44"/>
      <c r="U160" s="77"/>
      <c r="V160" s="24"/>
      <c r="W160" s="24"/>
      <c r="X160" s="193"/>
      <c r="Y160" s="15"/>
    </row>
    <row r="161" spans="2:25" x14ac:dyDescent="0.25">
      <c r="B161" s="15">
        <v>159</v>
      </c>
      <c r="C161" s="8"/>
      <c r="E161" s="67"/>
      <c r="F161" s="16"/>
      <c r="G161" s="8"/>
      <c r="H161" s="8"/>
      <c r="I161" s="8"/>
      <c r="J161" s="9"/>
      <c r="K161" s="9">
        <f t="shared" si="35"/>
        <v>0</v>
      </c>
      <c r="L161" s="35">
        <f t="shared" si="36"/>
        <v>0</v>
      </c>
      <c r="M161" s="2"/>
      <c r="O161" s="19"/>
      <c r="P161" s="19"/>
      <c r="Q161" s="19"/>
      <c r="R161" s="21"/>
      <c r="S161" s="46"/>
      <c r="T161" s="44"/>
      <c r="U161" s="77"/>
      <c r="V161" s="30"/>
      <c r="W161" s="24"/>
      <c r="X161" s="193"/>
      <c r="Y161" s="15"/>
    </row>
    <row r="162" spans="2:25" x14ac:dyDescent="0.25">
      <c r="B162" s="15">
        <v>160</v>
      </c>
      <c r="C162" s="8"/>
      <c r="E162" s="67"/>
      <c r="F162" s="16"/>
      <c r="G162" s="8"/>
      <c r="H162" s="8"/>
      <c r="I162" s="8"/>
      <c r="J162" s="9"/>
      <c r="K162" s="9">
        <f t="shared" si="35"/>
        <v>0</v>
      </c>
      <c r="L162" s="35">
        <f t="shared" si="36"/>
        <v>0</v>
      </c>
      <c r="M162" s="2"/>
      <c r="O162" s="19"/>
      <c r="P162" s="19"/>
      <c r="Q162" s="19"/>
      <c r="R162" s="21"/>
      <c r="S162" s="46"/>
      <c r="T162" s="44"/>
      <c r="U162" s="77"/>
      <c r="V162" s="30"/>
      <c r="W162" s="24"/>
      <c r="X162" s="193"/>
      <c r="Y162" s="15"/>
    </row>
    <row r="163" spans="2:25" x14ac:dyDescent="0.25">
      <c r="B163" s="15">
        <v>161</v>
      </c>
      <c r="C163" s="8"/>
      <c r="E163" s="67"/>
      <c r="F163" s="16"/>
      <c r="G163" s="8"/>
      <c r="H163" s="8"/>
      <c r="I163" s="8"/>
      <c r="J163" s="9"/>
      <c r="K163" s="9">
        <f t="shared" si="35"/>
        <v>0</v>
      </c>
      <c r="L163" s="35">
        <f t="shared" si="36"/>
        <v>0</v>
      </c>
      <c r="M163" s="2"/>
      <c r="O163" s="19"/>
      <c r="P163" s="19"/>
      <c r="Q163" s="19"/>
      <c r="R163" s="21"/>
      <c r="S163" s="46"/>
      <c r="T163" s="44"/>
      <c r="U163" s="77"/>
      <c r="V163" s="30"/>
      <c r="W163" s="24"/>
      <c r="X163" s="193"/>
      <c r="Y163" s="15"/>
    </row>
    <row r="164" spans="2:25" x14ac:dyDescent="0.25">
      <c r="B164" s="15">
        <v>162</v>
      </c>
      <c r="C164" s="8"/>
      <c r="E164" s="67"/>
      <c r="F164" s="16"/>
      <c r="G164" s="8"/>
      <c r="H164" s="8"/>
      <c r="I164" s="8"/>
      <c r="J164" s="9"/>
      <c r="K164" s="9">
        <f t="shared" si="35"/>
        <v>0</v>
      </c>
      <c r="L164" s="35">
        <f t="shared" si="36"/>
        <v>0</v>
      </c>
      <c r="M164" s="2"/>
      <c r="O164" s="19"/>
      <c r="P164" s="19"/>
      <c r="Q164" s="19"/>
      <c r="R164" s="21"/>
      <c r="S164" s="46"/>
      <c r="T164" s="44"/>
      <c r="U164" s="77"/>
      <c r="V164" s="30"/>
      <c r="W164" s="24"/>
      <c r="X164" s="193"/>
      <c r="Y164" s="15"/>
    </row>
    <row r="165" spans="2:25" x14ac:dyDescent="0.25">
      <c r="B165" s="15">
        <v>163</v>
      </c>
      <c r="C165" s="8"/>
      <c r="E165" s="67"/>
      <c r="F165" s="16"/>
      <c r="G165" s="8"/>
      <c r="H165" s="8"/>
      <c r="I165" s="8"/>
      <c r="J165" s="9"/>
      <c r="K165" s="9">
        <f t="shared" si="35"/>
        <v>0</v>
      </c>
      <c r="L165" s="35">
        <f t="shared" si="36"/>
        <v>0</v>
      </c>
      <c r="M165" s="2"/>
      <c r="O165" s="19"/>
      <c r="P165" s="19"/>
      <c r="Q165" s="19"/>
      <c r="R165" s="21"/>
      <c r="S165" s="46"/>
      <c r="T165" s="44"/>
      <c r="U165" s="77"/>
      <c r="V165" s="24"/>
      <c r="W165" s="24"/>
      <c r="X165" s="193"/>
      <c r="Y165" s="15"/>
    </row>
    <row r="166" spans="2:25" x14ac:dyDescent="0.25">
      <c r="B166" s="15">
        <v>164</v>
      </c>
      <c r="C166" s="8"/>
      <c r="E166" s="67"/>
      <c r="F166" s="16"/>
      <c r="G166" s="8"/>
      <c r="H166" s="8"/>
      <c r="I166" s="8"/>
      <c r="J166" s="9"/>
      <c r="K166" s="9">
        <f t="shared" si="35"/>
        <v>0</v>
      </c>
      <c r="L166" s="35">
        <f t="shared" si="36"/>
        <v>0</v>
      </c>
      <c r="M166" s="2"/>
      <c r="O166" s="19"/>
      <c r="P166" s="19"/>
      <c r="Q166" s="19"/>
      <c r="R166" s="21"/>
      <c r="S166" s="46"/>
      <c r="T166" s="44"/>
      <c r="U166" s="77"/>
      <c r="V166" s="24"/>
      <c r="W166" s="24"/>
      <c r="X166" s="193"/>
      <c r="Y166" s="15"/>
    </row>
    <row r="167" spans="2:25" x14ac:dyDescent="0.25">
      <c r="B167" s="15">
        <v>165</v>
      </c>
      <c r="C167" s="8"/>
      <c r="E167" s="67"/>
      <c r="F167" s="16"/>
      <c r="G167" s="8"/>
      <c r="H167" s="8"/>
      <c r="I167" s="8"/>
      <c r="J167" s="9"/>
      <c r="K167" s="9">
        <f t="shared" si="35"/>
        <v>0</v>
      </c>
      <c r="L167" s="35">
        <f t="shared" si="36"/>
        <v>0</v>
      </c>
      <c r="M167" s="2"/>
      <c r="O167" s="19"/>
      <c r="P167" s="19"/>
      <c r="Q167" s="19"/>
      <c r="R167" s="21"/>
      <c r="S167" s="46"/>
      <c r="T167" s="44"/>
      <c r="U167" s="77"/>
      <c r="V167" s="24"/>
      <c r="W167" s="24"/>
      <c r="X167" s="193"/>
      <c r="Y167" s="15"/>
    </row>
    <row r="168" spans="2:25" x14ac:dyDescent="0.25">
      <c r="B168" s="15">
        <v>166</v>
      </c>
      <c r="C168" s="8"/>
      <c r="E168" s="67"/>
      <c r="F168" s="16"/>
      <c r="G168" s="8"/>
      <c r="H168" s="8"/>
      <c r="I168" s="8"/>
      <c r="J168" s="9"/>
      <c r="K168" s="9">
        <f t="shared" si="35"/>
        <v>0</v>
      </c>
      <c r="L168" s="35">
        <f t="shared" si="36"/>
        <v>0</v>
      </c>
      <c r="M168" s="2"/>
      <c r="O168" s="19"/>
      <c r="P168" s="19"/>
      <c r="Q168" s="19"/>
      <c r="R168" s="21"/>
      <c r="S168" s="46"/>
      <c r="T168" s="44"/>
      <c r="U168" s="77"/>
      <c r="V168" s="24"/>
      <c r="W168" s="24"/>
      <c r="X168" s="193"/>
      <c r="Y168" s="15"/>
    </row>
    <row r="169" spans="2:25" x14ac:dyDescent="0.25">
      <c r="B169" s="15">
        <v>167</v>
      </c>
      <c r="C169" s="8"/>
      <c r="E169" s="67"/>
      <c r="F169" s="16"/>
      <c r="G169" s="8"/>
      <c r="H169" s="8"/>
      <c r="I169" s="8"/>
      <c r="J169" s="9"/>
      <c r="K169" s="9">
        <f t="shared" si="35"/>
        <v>0</v>
      </c>
      <c r="L169" s="35">
        <f t="shared" si="36"/>
        <v>0</v>
      </c>
      <c r="M169" s="2"/>
      <c r="O169" s="19"/>
      <c r="P169" s="19"/>
      <c r="Q169" s="19"/>
      <c r="R169" s="21"/>
      <c r="S169" s="46"/>
      <c r="T169" s="44"/>
      <c r="U169" s="77"/>
      <c r="V169" s="30"/>
      <c r="W169" s="24"/>
      <c r="X169" s="193"/>
      <c r="Y169" s="15"/>
    </row>
    <row r="170" spans="2:25" x14ac:dyDescent="0.25">
      <c r="B170" s="15">
        <v>168</v>
      </c>
      <c r="C170" s="8"/>
      <c r="E170" s="67"/>
      <c r="F170" s="16"/>
      <c r="G170" s="8"/>
      <c r="H170" s="8"/>
      <c r="I170" s="8"/>
      <c r="J170" s="9"/>
      <c r="K170" s="9">
        <f t="shared" si="35"/>
        <v>0</v>
      </c>
      <c r="L170" s="35">
        <f t="shared" si="36"/>
        <v>0</v>
      </c>
      <c r="M170" s="2"/>
      <c r="O170" s="19"/>
      <c r="P170" s="19"/>
      <c r="Q170" s="19"/>
      <c r="R170" s="21"/>
      <c r="S170" s="46"/>
      <c r="T170" s="44"/>
      <c r="U170" s="77"/>
      <c r="V170" s="30"/>
      <c r="W170" s="24"/>
      <c r="X170" s="193"/>
      <c r="Y170" s="15"/>
    </row>
    <row r="171" spans="2:25" x14ac:dyDescent="0.25">
      <c r="B171" s="15">
        <v>169</v>
      </c>
      <c r="C171" s="8"/>
      <c r="E171" s="67"/>
      <c r="F171" s="16"/>
      <c r="G171" s="8"/>
      <c r="H171" s="8"/>
      <c r="I171" s="8"/>
      <c r="J171" s="9"/>
      <c r="K171" s="9">
        <f t="shared" si="35"/>
        <v>0</v>
      </c>
      <c r="L171" s="35">
        <f t="shared" si="36"/>
        <v>0</v>
      </c>
      <c r="M171" s="2"/>
      <c r="O171" s="19"/>
      <c r="P171" s="19"/>
      <c r="Q171" s="19"/>
      <c r="R171" s="21"/>
      <c r="S171" s="46"/>
      <c r="T171" s="44"/>
      <c r="U171" s="77"/>
      <c r="V171" s="24"/>
      <c r="W171" s="24"/>
      <c r="X171" s="193"/>
      <c r="Y171" s="15"/>
    </row>
    <row r="172" spans="2:25" x14ac:dyDescent="0.25">
      <c r="B172" s="15">
        <v>170</v>
      </c>
      <c r="C172" s="8"/>
      <c r="E172" s="67"/>
      <c r="F172" s="16"/>
      <c r="G172" s="8"/>
      <c r="H172" s="8"/>
      <c r="I172" s="8"/>
      <c r="J172" s="9"/>
      <c r="K172" s="9">
        <f t="shared" si="35"/>
        <v>0</v>
      </c>
      <c r="L172" s="35">
        <f t="shared" si="36"/>
        <v>0</v>
      </c>
      <c r="M172" s="2"/>
      <c r="O172" s="19"/>
      <c r="P172" s="19"/>
      <c r="Q172" s="19"/>
      <c r="R172" s="21"/>
      <c r="S172" s="46"/>
      <c r="T172" s="44"/>
      <c r="U172" s="77"/>
      <c r="V172" s="24"/>
      <c r="W172" s="24"/>
      <c r="X172" s="193"/>
      <c r="Y172" s="15"/>
    </row>
    <row r="173" spans="2:25" x14ac:dyDescent="0.25">
      <c r="B173" s="15">
        <v>171</v>
      </c>
      <c r="C173" s="8"/>
      <c r="E173" s="67"/>
      <c r="F173" s="16"/>
      <c r="G173" s="8"/>
      <c r="H173" s="8"/>
      <c r="I173" s="8"/>
      <c r="J173" s="9"/>
      <c r="K173" s="9">
        <f t="shared" si="35"/>
        <v>0</v>
      </c>
      <c r="L173" s="35">
        <f t="shared" si="36"/>
        <v>0</v>
      </c>
      <c r="M173" s="2"/>
      <c r="O173" s="19"/>
      <c r="P173" s="19"/>
      <c r="Q173" s="19"/>
      <c r="R173" s="21"/>
      <c r="S173" s="46"/>
      <c r="T173" s="44"/>
      <c r="U173" s="77"/>
      <c r="V173" s="24"/>
      <c r="W173" s="24"/>
      <c r="X173" s="193"/>
      <c r="Y173" s="15"/>
    </row>
    <row r="174" spans="2:25" x14ac:dyDescent="0.25">
      <c r="B174" s="15">
        <v>172</v>
      </c>
      <c r="C174" s="8"/>
      <c r="E174" s="67"/>
      <c r="F174" s="16"/>
      <c r="G174" s="8"/>
      <c r="H174" s="8"/>
      <c r="I174" s="8"/>
      <c r="J174" s="9"/>
      <c r="K174" s="9">
        <f t="shared" si="35"/>
        <v>0</v>
      </c>
      <c r="L174" s="35">
        <f t="shared" si="36"/>
        <v>0</v>
      </c>
      <c r="M174" s="2"/>
      <c r="O174" s="19"/>
      <c r="P174" s="19"/>
      <c r="Q174" s="19"/>
      <c r="R174" s="21"/>
      <c r="S174" s="46"/>
      <c r="T174" s="44"/>
      <c r="U174" s="77"/>
      <c r="V174" s="24"/>
      <c r="W174" s="24"/>
      <c r="X174" s="193"/>
      <c r="Y174" s="15"/>
    </row>
    <row r="175" spans="2:25" x14ac:dyDescent="0.25">
      <c r="B175" s="15">
        <v>173</v>
      </c>
      <c r="C175" s="8"/>
      <c r="E175" s="67"/>
      <c r="F175" s="16"/>
      <c r="G175" s="8"/>
      <c r="H175" s="8"/>
      <c r="I175" s="8"/>
      <c r="J175" s="9"/>
      <c r="K175" s="9">
        <f t="shared" si="35"/>
        <v>0</v>
      </c>
      <c r="L175" s="35">
        <f t="shared" si="36"/>
        <v>0</v>
      </c>
      <c r="M175" s="2"/>
      <c r="O175" s="19"/>
      <c r="P175" s="19"/>
      <c r="Q175" s="19"/>
      <c r="R175" s="21"/>
      <c r="S175" s="46"/>
      <c r="T175" s="44"/>
      <c r="U175" s="77"/>
      <c r="V175" s="24"/>
      <c r="W175" s="24"/>
      <c r="X175" s="193"/>
      <c r="Y175" s="15"/>
    </row>
    <row r="176" spans="2:25" x14ac:dyDescent="0.25">
      <c r="B176" s="15">
        <v>174</v>
      </c>
      <c r="C176" s="8"/>
      <c r="E176" s="67"/>
      <c r="F176" s="16"/>
      <c r="G176" s="8"/>
      <c r="H176" s="8"/>
      <c r="I176" s="8"/>
      <c r="J176" s="9"/>
      <c r="K176" s="9">
        <f t="shared" si="35"/>
        <v>0</v>
      </c>
      <c r="L176" s="35">
        <f t="shared" si="36"/>
        <v>0</v>
      </c>
      <c r="M176" s="2"/>
      <c r="O176" s="19"/>
      <c r="P176" s="19"/>
      <c r="Q176" s="19"/>
      <c r="R176" s="21"/>
      <c r="S176" s="46"/>
      <c r="T176" s="44"/>
      <c r="U176" s="77"/>
      <c r="V176" s="30"/>
      <c r="W176" s="24"/>
      <c r="X176" s="193"/>
      <c r="Y176" s="15"/>
    </row>
    <row r="177" spans="2:25" x14ac:dyDescent="0.25">
      <c r="B177" s="15">
        <v>175</v>
      </c>
      <c r="C177" s="8"/>
      <c r="E177" s="67"/>
      <c r="F177" s="16"/>
      <c r="G177" s="8"/>
      <c r="H177" s="8"/>
      <c r="I177" s="8"/>
      <c r="J177" s="9"/>
      <c r="K177" s="9">
        <f t="shared" si="35"/>
        <v>0</v>
      </c>
      <c r="L177" s="35">
        <f t="shared" si="36"/>
        <v>0</v>
      </c>
      <c r="M177" s="2"/>
      <c r="O177" s="19"/>
      <c r="P177" s="19"/>
      <c r="Q177" s="19"/>
      <c r="R177" s="21"/>
      <c r="S177" s="46"/>
      <c r="T177" s="44"/>
      <c r="U177" s="77"/>
      <c r="V177" s="30"/>
      <c r="W177" s="24"/>
      <c r="X177" s="193"/>
      <c r="Y177" s="15"/>
    </row>
    <row r="178" spans="2:25" x14ac:dyDescent="0.25">
      <c r="B178" s="15">
        <v>176</v>
      </c>
      <c r="C178" s="8"/>
      <c r="E178" s="67"/>
      <c r="F178" s="16"/>
      <c r="G178" s="8"/>
      <c r="H178" s="8"/>
      <c r="I178" s="8"/>
      <c r="J178" s="9"/>
      <c r="K178" s="9">
        <f t="shared" si="35"/>
        <v>0</v>
      </c>
      <c r="L178" s="35">
        <f t="shared" si="36"/>
        <v>0</v>
      </c>
      <c r="M178" s="2"/>
      <c r="O178" s="19"/>
      <c r="P178" s="19"/>
      <c r="Q178" s="19"/>
      <c r="R178" s="21"/>
      <c r="S178" s="46"/>
      <c r="T178" s="44"/>
      <c r="U178" s="77"/>
      <c r="V178" s="24"/>
      <c r="W178" s="24"/>
      <c r="X178" s="193"/>
      <c r="Y178" s="15"/>
    </row>
    <row r="179" spans="2:25" x14ac:dyDescent="0.25">
      <c r="B179" s="15">
        <v>177</v>
      </c>
      <c r="C179" s="8"/>
      <c r="E179" s="67"/>
      <c r="F179" s="16"/>
      <c r="G179" s="8"/>
      <c r="H179" s="8"/>
      <c r="I179" s="8"/>
      <c r="J179" s="9"/>
      <c r="K179" s="9">
        <f t="shared" si="35"/>
        <v>0</v>
      </c>
      <c r="L179" s="35">
        <f t="shared" si="36"/>
        <v>0</v>
      </c>
      <c r="M179" s="2"/>
      <c r="O179" s="19"/>
      <c r="P179" s="19"/>
      <c r="Q179" s="19"/>
      <c r="R179" s="21"/>
      <c r="S179" s="46"/>
      <c r="T179" s="44"/>
      <c r="U179" s="77"/>
      <c r="V179" s="24"/>
      <c r="W179" s="24"/>
      <c r="X179" s="193"/>
      <c r="Y179" s="15"/>
    </row>
    <row r="180" spans="2:25" x14ac:dyDescent="0.25">
      <c r="B180" s="15">
        <v>178</v>
      </c>
      <c r="C180" s="8"/>
      <c r="E180" s="67"/>
      <c r="F180" s="16"/>
      <c r="G180" s="8"/>
      <c r="H180" s="8"/>
      <c r="I180" s="8"/>
      <c r="J180" s="9"/>
      <c r="K180" s="9">
        <f t="shared" si="35"/>
        <v>0</v>
      </c>
      <c r="L180" s="35">
        <f t="shared" si="36"/>
        <v>0</v>
      </c>
      <c r="M180" s="2"/>
      <c r="O180" s="19"/>
      <c r="P180" s="19"/>
      <c r="Q180" s="19"/>
      <c r="R180" s="21"/>
      <c r="S180" s="46"/>
      <c r="T180" s="44"/>
      <c r="U180" s="77"/>
      <c r="V180" s="24"/>
      <c r="W180" s="24"/>
      <c r="X180" s="193"/>
      <c r="Y180" s="15"/>
    </row>
    <row r="181" spans="2:25" x14ac:dyDescent="0.25">
      <c r="B181" s="15">
        <v>179</v>
      </c>
      <c r="C181" s="8"/>
      <c r="E181" s="67"/>
      <c r="F181" s="16"/>
      <c r="G181" s="8"/>
      <c r="H181" s="8"/>
      <c r="I181" s="8"/>
      <c r="J181" s="9"/>
      <c r="K181" s="9">
        <f t="shared" si="35"/>
        <v>0</v>
      </c>
      <c r="L181" s="35">
        <f t="shared" si="36"/>
        <v>0</v>
      </c>
      <c r="M181" s="2"/>
      <c r="O181" s="19"/>
      <c r="P181" s="19"/>
      <c r="Q181" s="19"/>
      <c r="R181" s="21"/>
      <c r="S181" s="46"/>
      <c r="T181" s="44"/>
      <c r="U181" s="77"/>
      <c r="V181" s="24"/>
      <c r="W181" s="24"/>
      <c r="X181" s="193"/>
      <c r="Y181" s="15"/>
    </row>
    <row r="182" spans="2:25" x14ac:dyDescent="0.25">
      <c r="B182" s="15">
        <v>180</v>
      </c>
      <c r="C182" s="8"/>
      <c r="E182" s="67"/>
      <c r="F182" s="16"/>
      <c r="G182" s="8"/>
      <c r="H182" s="8"/>
      <c r="I182" s="8"/>
      <c r="J182" s="9"/>
      <c r="K182" s="9">
        <f t="shared" si="35"/>
        <v>0</v>
      </c>
      <c r="L182" s="35">
        <f t="shared" si="36"/>
        <v>0</v>
      </c>
      <c r="M182" s="2"/>
      <c r="O182" s="19"/>
      <c r="P182" s="19"/>
      <c r="Q182" s="19"/>
      <c r="R182" s="21"/>
      <c r="S182" s="46"/>
      <c r="T182" s="44"/>
      <c r="U182" s="77"/>
      <c r="V182" s="24"/>
      <c r="W182" s="24"/>
      <c r="X182" s="193"/>
      <c r="Y182" s="15"/>
    </row>
    <row r="183" spans="2:25" x14ac:dyDescent="0.25">
      <c r="B183" s="15">
        <v>181</v>
      </c>
      <c r="C183" s="8"/>
      <c r="E183" s="67"/>
      <c r="F183" s="16"/>
      <c r="G183" s="8"/>
      <c r="H183" s="8"/>
      <c r="I183" s="8"/>
      <c r="J183" s="9"/>
      <c r="K183" s="9">
        <f t="shared" si="35"/>
        <v>0</v>
      </c>
      <c r="L183" s="35">
        <f t="shared" si="36"/>
        <v>0</v>
      </c>
      <c r="M183" s="2"/>
      <c r="O183" s="19"/>
      <c r="P183" s="19"/>
      <c r="Q183" s="19"/>
      <c r="R183" s="21"/>
      <c r="S183" s="46"/>
      <c r="T183" s="44"/>
      <c r="U183" s="77"/>
      <c r="V183" s="30"/>
      <c r="W183" s="24"/>
      <c r="X183" s="193"/>
      <c r="Y183" s="15"/>
    </row>
    <row r="184" spans="2:25" x14ac:dyDescent="0.25">
      <c r="B184" s="15">
        <v>182</v>
      </c>
      <c r="C184" s="8"/>
      <c r="E184" s="67"/>
      <c r="F184" s="16"/>
      <c r="G184" s="8"/>
      <c r="H184" s="8"/>
      <c r="I184" s="8"/>
      <c r="J184" s="9"/>
      <c r="K184" s="9">
        <f t="shared" si="35"/>
        <v>0</v>
      </c>
      <c r="L184" s="35">
        <f t="shared" si="36"/>
        <v>0</v>
      </c>
      <c r="M184" s="2"/>
      <c r="O184" s="19"/>
      <c r="P184" s="19"/>
      <c r="Q184" s="19"/>
      <c r="R184" s="21"/>
      <c r="S184" s="46"/>
      <c r="T184" s="44"/>
      <c r="U184" s="77"/>
      <c r="V184" s="30"/>
      <c r="W184" s="24"/>
      <c r="X184" s="193"/>
      <c r="Y184" s="15"/>
    </row>
    <row r="185" spans="2:25" x14ac:dyDescent="0.25">
      <c r="B185" s="15">
        <v>183</v>
      </c>
      <c r="C185" s="8"/>
      <c r="E185" s="67"/>
      <c r="F185" s="16"/>
      <c r="G185" s="8"/>
      <c r="H185" s="8"/>
      <c r="I185" s="8"/>
      <c r="J185" s="9"/>
      <c r="K185" s="9">
        <f t="shared" si="35"/>
        <v>0</v>
      </c>
      <c r="L185" s="35">
        <f t="shared" si="36"/>
        <v>0</v>
      </c>
      <c r="M185" s="2"/>
      <c r="O185" s="19"/>
      <c r="P185" s="19"/>
      <c r="Q185" s="19"/>
      <c r="R185" s="21"/>
      <c r="S185" s="46"/>
      <c r="T185" s="44"/>
      <c r="U185" s="77"/>
      <c r="V185" s="30"/>
      <c r="W185" s="24"/>
      <c r="X185" s="193"/>
      <c r="Y185" s="15"/>
    </row>
    <row r="186" spans="2:25" x14ac:dyDescent="0.25">
      <c r="B186" s="15">
        <v>184</v>
      </c>
      <c r="C186" s="8"/>
      <c r="E186" s="67"/>
      <c r="F186" s="16"/>
      <c r="G186" s="8"/>
      <c r="H186" s="8"/>
      <c r="I186" s="8"/>
      <c r="J186" s="9"/>
      <c r="K186" s="9">
        <f t="shared" si="35"/>
        <v>0</v>
      </c>
      <c r="L186" s="35">
        <f t="shared" si="36"/>
        <v>0</v>
      </c>
      <c r="M186" s="2"/>
      <c r="O186" s="19"/>
      <c r="P186" s="19"/>
      <c r="Q186" s="19"/>
      <c r="R186" s="21"/>
      <c r="S186" s="46"/>
      <c r="T186" s="44"/>
      <c r="U186" s="77"/>
      <c r="V186" s="30"/>
      <c r="W186" s="24"/>
      <c r="X186" s="193"/>
      <c r="Y186" s="15"/>
    </row>
    <row r="187" spans="2:25" x14ac:dyDescent="0.25">
      <c r="B187" s="15">
        <v>185</v>
      </c>
      <c r="C187" s="8"/>
      <c r="E187" s="67"/>
      <c r="F187" s="16"/>
      <c r="G187" s="8"/>
      <c r="H187" s="8"/>
      <c r="I187" s="8"/>
      <c r="J187" s="9"/>
      <c r="K187" s="9">
        <f t="shared" si="35"/>
        <v>0</v>
      </c>
      <c r="L187" s="35">
        <f t="shared" si="36"/>
        <v>0</v>
      </c>
      <c r="M187" s="2"/>
      <c r="O187" s="19"/>
      <c r="P187" s="19"/>
      <c r="Q187" s="19"/>
      <c r="R187" s="21"/>
      <c r="S187" s="46"/>
      <c r="T187" s="44"/>
      <c r="U187" s="77"/>
      <c r="V187" s="24"/>
      <c r="W187" s="24"/>
      <c r="X187" s="193"/>
      <c r="Y187" s="15"/>
    </row>
    <row r="188" spans="2:25" x14ac:dyDescent="0.25">
      <c r="B188" s="15">
        <v>186</v>
      </c>
      <c r="C188" s="8"/>
      <c r="E188" s="67"/>
      <c r="F188" s="16"/>
      <c r="G188" s="8"/>
      <c r="H188" s="8"/>
      <c r="I188" s="8"/>
      <c r="J188" s="9"/>
      <c r="K188" s="9">
        <f t="shared" si="35"/>
        <v>0</v>
      </c>
      <c r="L188" s="35">
        <f t="shared" si="36"/>
        <v>0</v>
      </c>
      <c r="M188" s="2"/>
      <c r="O188" s="19"/>
      <c r="P188" s="19"/>
      <c r="Q188" s="19"/>
      <c r="R188" s="21"/>
      <c r="S188" s="46"/>
      <c r="T188" s="44"/>
      <c r="U188" s="77"/>
      <c r="V188" s="24"/>
      <c r="W188" s="24"/>
      <c r="X188" s="193"/>
      <c r="Y188" s="15"/>
    </row>
    <row r="189" spans="2:25" x14ac:dyDescent="0.25">
      <c r="B189" s="15">
        <v>187</v>
      </c>
      <c r="C189" s="8"/>
      <c r="E189" s="67"/>
      <c r="F189" s="16"/>
      <c r="G189" s="8"/>
      <c r="H189" s="8"/>
      <c r="I189" s="8"/>
      <c r="J189" s="9"/>
      <c r="K189" s="9">
        <f t="shared" si="35"/>
        <v>0</v>
      </c>
      <c r="L189" s="35">
        <f t="shared" si="36"/>
        <v>0</v>
      </c>
      <c r="M189" s="2"/>
      <c r="O189" s="19"/>
      <c r="P189" s="19"/>
      <c r="Q189" s="19"/>
      <c r="R189" s="21"/>
      <c r="S189" s="46"/>
      <c r="T189" s="44"/>
      <c r="U189" s="77"/>
      <c r="V189" s="24"/>
      <c r="W189" s="24"/>
      <c r="X189" s="193"/>
      <c r="Y189" s="15"/>
    </row>
    <row r="190" spans="2:25" x14ac:dyDescent="0.25">
      <c r="B190" s="15">
        <v>188</v>
      </c>
      <c r="C190" s="8"/>
      <c r="E190" s="67"/>
      <c r="F190" s="16"/>
      <c r="G190" s="8"/>
      <c r="H190" s="8"/>
      <c r="I190" s="8"/>
      <c r="J190" s="9"/>
      <c r="K190" s="9">
        <f t="shared" si="35"/>
        <v>0</v>
      </c>
      <c r="L190" s="35">
        <f t="shared" si="36"/>
        <v>0</v>
      </c>
      <c r="M190" s="2"/>
      <c r="O190" s="19"/>
      <c r="P190" s="19"/>
      <c r="Q190" s="19"/>
      <c r="R190" s="279"/>
      <c r="S190" s="46"/>
      <c r="T190" s="44"/>
      <c r="U190" s="77"/>
      <c r="V190" s="24"/>
      <c r="W190" s="24"/>
      <c r="X190" s="193"/>
      <c r="Y190" s="15"/>
    </row>
    <row r="191" spans="2:25" x14ac:dyDescent="0.25">
      <c r="B191" s="15">
        <v>189</v>
      </c>
      <c r="C191" s="8"/>
      <c r="E191" s="67"/>
      <c r="F191" s="16"/>
      <c r="G191" s="8"/>
      <c r="H191" s="8"/>
      <c r="I191" s="8"/>
      <c r="J191" s="9"/>
      <c r="K191" s="9">
        <f t="shared" si="35"/>
        <v>0</v>
      </c>
      <c r="L191" s="35">
        <f t="shared" si="36"/>
        <v>0</v>
      </c>
      <c r="M191" s="2"/>
      <c r="O191" s="19"/>
      <c r="P191" s="19"/>
      <c r="Q191" s="19"/>
      <c r="R191" s="21"/>
      <c r="S191" s="46"/>
      <c r="T191" s="44"/>
      <c r="U191" s="77"/>
      <c r="V191" s="24"/>
      <c r="W191" s="24"/>
      <c r="X191" s="193"/>
      <c r="Y191" s="15"/>
    </row>
    <row r="192" spans="2:25" x14ac:dyDescent="0.25">
      <c r="B192" s="15">
        <v>190</v>
      </c>
      <c r="C192" s="8"/>
      <c r="E192" s="67"/>
      <c r="F192" s="16"/>
      <c r="G192" s="8"/>
      <c r="H192" s="8"/>
      <c r="I192" s="8"/>
      <c r="J192" s="9"/>
      <c r="K192" s="9">
        <f t="shared" si="35"/>
        <v>0</v>
      </c>
      <c r="L192" s="35">
        <f t="shared" si="36"/>
        <v>0</v>
      </c>
      <c r="M192" s="2"/>
      <c r="O192" s="19"/>
      <c r="P192" s="19"/>
      <c r="Q192" s="19"/>
      <c r="R192" s="21"/>
      <c r="S192" s="46"/>
      <c r="T192" s="44"/>
      <c r="U192" s="77"/>
      <c r="V192" s="30"/>
      <c r="W192" s="24"/>
      <c r="X192" s="193"/>
      <c r="Y192" s="15"/>
    </row>
    <row r="193" spans="2:25" x14ac:dyDescent="0.25">
      <c r="B193" s="15">
        <v>191</v>
      </c>
      <c r="C193" s="8"/>
      <c r="E193" s="67"/>
      <c r="F193" s="16"/>
      <c r="G193" s="8"/>
      <c r="H193" s="8"/>
      <c r="I193" s="8"/>
      <c r="J193" s="9"/>
      <c r="K193" s="9">
        <f t="shared" si="35"/>
        <v>0</v>
      </c>
      <c r="L193" s="35">
        <f t="shared" si="36"/>
        <v>0</v>
      </c>
      <c r="M193" s="2"/>
      <c r="O193" s="19"/>
      <c r="P193" s="19"/>
      <c r="Q193" s="19"/>
      <c r="R193" s="21"/>
      <c r="S193" s="46"/>
      <c r="T193" s="44"/>
      <c r="U193" s="77"/>
      <c r="V193" s="30"/>
      <c r="W193" s="24"/>
      <c r="X193" s="193"/>
      <c r="Y193" s="15"/>
    </row>
    <row r="194" spans="2:25" x14ac:dyDescent="0.25">
      <c r="B194" s="15">
        <v>192</v>
      </c>
      <c r="C194" s="8"/>
      <c r="E194" s="67"/>
      <c r="F194" s="16"/>
      <c r="G194" s="8"/>
      <c r="H194" s="8"/>
      <c r="I194" s="8"/>
      <c r="J194" s="9"/>
      <c r="K194" s="9">
        <f t="shared" si="35"/>
        <v>0</v>
      </c>
      <c r="L194" s="35">
        <f t="shared" si="36"/>
        <v>0</v>
      </c>
      <c r="M194" s="2"/>
      <c r="O194" s="19"/>
      <c r="P194" s="19"/>
      <c r="Q194" s="19"/>
      <c r="R194" s="21"/>
      <c r="S194" s="46"/>
      <c r="T194" s="44"/>
      <c r="U194" s="77"/>
      <c r="V194" s="24"/>
      <c r="W194" s="24"/>
      <c r="X194" s="193"/>
      <c r="Y194" s="15"/>
    </row>
    <row r="195" spans="2:25" x14ac:dyDescent="0.25">
      <c r="B195" s="15">
        <v>193</v>
      </c>
      <c r="C195" s="8"/>
      <c r="E195" s="67"/>
      <c r="F195" s="16"/>
      <c r="G195" s="8"/>
      <c r="H195" s="8"/>
      <c r="I195" s="8"/>
      <c r="J195" s="9"/>
      <c r="K195" s="9">
        <f t="shared" ref="K195:K258" si="37">J195*1.1</f>
        <v>0</v>
      </c>
      <c r="L195" s="35">
        <f t="shared" ref="L195:L258" si="38">J195*0.00000001</f>
        <v>0</v>
      </c>
      <c r="M195" s="2"/>
      <c r="O195" s="19"/>
      <c r="P195" s="19"/>
      <c r="Q195" s="19"/>
      <c r="R195" s="21"/>
      <c r="S195" s="46"/>
      <c r="T195" s="44"/>
      <c r="U195" s="77"/>
      <c r="V195" s="24"/>
      <c r="W195" s="24"/>
      <c r="X195" s="193"/>
      <c r="Y195" s="15"/>
    </row>
    <row r="196" spans="2:25" x14ac:dyDescent="0.25">
      <c r="B196" s="15">
        <v>194</v>
      </c>
      <c r="C196" s="8"/>
      <c r="E196" s="67"/>
      <c r="F196" s="16"/>
      <c r="G196" s="8"/>
      <c r="H196" s="8"/>
      <c r="I196" s="8"/>
      <c r="J196" s="9"/>
      <c r="K196" s="9">
        <f t="shared" si="37"/>
        <v>0</v>
      </c>
      <c r="L196" s="35">
        <f t="shared" si="38"/>
        <v>0</v>
      </c>
      <c r="M196" s="2"/>
      <c r="O196" s="19"/>
      <c r="P196" s="19"/>
      <c r="Q196" s="19"/>
      <c r="R196" s="21"/>
      <c r="S196" s="46"/>
      <c r="T196" s="44"/>
      <c r="U196" s="77"/>
      <c r="V196" s="24"/>
      <c r="W196" s="24"/>
      <c r="X196" s="193"/>
      <c r="Y196" s="15"/>
    </row>
    <row r="197" spans="2:25" x14ac:dyDescent="0.25">
      <c r="B197" s="15">
        <v>195</v>
      </c>
      <c r="C197" s="8"/>
      <c r="E197" s="67"/>
      <c r="F197" s="16"/>
      <c r="G197" s="8"/>
      <c r="H197" s="8"/>
      <c r="I197" s="8"/>
      <c r="J197" s="9"/>
      <c r="K197" s="9">
        <f t="shared" si="37"/>
        <v>0</v>
      </c>
      <c r="L197" s="35">
        <f t="shared" si="38"/>
        <v>0</v>
      </c>
      <c r="M197" s="2"/>
      <c r="O197" s="19"/>
      <c r="P197" s="19"/>
      <c r="Q197" s="19"/>
      <c r="R197" s="21"/>
      <c r="S197" s="46"/>
      <c r="T197" s="44"/>
      <c r="U197" s="77"/>
      <c r="V197" s="24"/>
      <c r="W197" s="24"/>
      <c r="X197" s="193"/>
      <c r="Y197" s="15"/>
    </row>
    <row r="198" spans="2:25" x14ac:dyDescent="0.25">
      <c r="B198" s="15">
        <v>196</v>
      </c>
      <c r="C198" s="8"/>
      <c r="E198" s="67"/>
      <c r="F198" s="16"/>
      <c r="G198" s="8"/>
      <c r="H198" s="8"/>
      <c r="I198" s="8"/>
      <c r="J198" s="9"/>
      <c r="K198" s="9">
        <f t="shared" si="37"/>
        <v>0</v>
      </c>
      <c r="L198" s="35">
        <f t="shared" si="38"/>
        <v>0</v>
      </c>
      <c r="M198" s="2"/>
      <c r="O198" s="19"/>
      <c r="P198" s="19"/>
      <c r="Q198" s="19"/>
      <c r="R198" s="21"/>
      <c r="S198" s="46"/>
      <c r="T198" s="44"/>
      <c r="U198" s="77"/>
      <c r="V198" s="24"/>
      <c r="W198" s="24"/>
      <c r="X198" s="193"/>
      <c r="Y198" s="15"/>
    </row>
    <row r="199" spans="2:25" x14ac:dyDescent="0.25">
      <c r="B199" s="15">
        <v>197</v>
      </c>
      <c r="C199" s="8"/>
      <c r="E199" s="67"/>
      <c r="F199" s="16"/>
      <c r="G199" s="8"/>
      <c r="H199" s="8"/>
      <c r="I199" s="8"/>
      <c r="J199" s="9"/>
      <c r="K199" s="9">
        <f t="shared" si="37"/>
        <v>0</v>
      </c>
      <c r="L199" s="35">
        <f t="shared" si="38"/>
        <v>0</v>
      </c>
      <c r="M199" s="2"/>
      <c r="O199" s="19"/>
      <c r="P199" s="19"/>
      <c r="Q199" s="19"/>
      <c r="R199" s="21"/>
      <c r="S199" s="46"/>
      <c r="T199" s="44"/>
      <c r="U199" s="77"/>
      <c r="V199" s="24"/>
      <c r="W199" s="24"/>
      <c r="X199" s="193"/>
      <c r="Y199" s="15"/>
    </row>
    <row r="200" spans="2:25" x14ac:dyDescent="0.25">
      <c r="B200" s="15">
        <v>198</v>
      </c>
      <c r="C200" s="8"/>
      <c r="E200" s="67"/>
      <c r="F200" s="16"/>
      <c r="G200" s="8"/>
      <c r="H200" s="8"/>
      <c r="I200" s="8"/>
      <c r="J200" s="9"/>
      <c r="K200" s="9">
        <f t="shared" si="37"/>
        <v>0</v>
      </c>
      <c r="L200" s="35">
        <f t="shared" si="38"/>
        <v>0</v>
      </c>
      <c r="M200" s="2"/>
      <c r="O200" s="19"/>
      <c r="P200" s="19"/>
      <c r="Q200" s="19"/>
      <c r="R200" s="21"/>
      <c r="S200" s="46"/>
      <c r="T200" s="44"/>
      <c r="U200" s="77"/>
      <c r="V200" s="30"/>
      <c r="W200" s="24"/>
      <c r="X200" s="193"/>
      <c r="Y200" s="15"/>
    </row>
    <row r="201" spans="2:25" x14ac:dyDescent="0.25">
      <c r="B201" s="15">
        <v>199</v>
      </c>
      <c r="C201" s="8"/>
      <c r="E201" s="67"/>
      <c r="F201" s="16"/>
      <c r="G201" s="8"/>
      <c r="H201" s="8"/>
      <c r="I201" s="8"/>
      <c r="J201" s="9"/>
      <c r="K201" s="9">
        <f t="shared" si="37"/>
        <v>0</v>
      </c>
      <c r="L201" s="35">
        <f t="shared" si="38"/>
        <v>0</v>
      </c>
      <c r="M201" s="2"/>
      <c r="O201" s="19"/>
      <c r="P201" s="19"/>
      <c r="Q201" s="19"/>
      <c r="R201" s="21"/>
      <c r="S201" s="46"/>
      <c r="T201" s="44"/>
      <c r="U201" s="77"/>
      <c r="V201" s="30"/>
      <c r="W201" s="24"/>
      <c r="X201" s="193"/>
      <c r="Y201" s="15"/>
    </row>
    <row r="202" spans="2:25" x14ac:dyDescent="0.25">
      <c r="B202" s="15">
        <v>200</v>
      </c>
      <c r="C202" s="8"/>
      <c r="E202" s="67"/>
      <c r="F202" s="16"/>
      <c r="G202" s="8"/>
      <c r="H202" s="8"/>
      <c r="I202" s="8"/>
      <c r="J202" s="9"/>
      <c r="K202" s="9">
        <f t="shared" si="37"/>
        <v>0</v>
      </c>
      <c r="L202" s="35">
        <f t="shared" si="38"/>
        <v>0</v>
      </c>
      <c r="M202" s="2"/>
      <c r="O202" s="19"/>
      <c r="P202" s="19"/>
      <c r="Q202" s="19"/>
      <c r="R202" s="21"/>
      <c r="S202" s="46"/>
      <c r="T202" s="44"/>
      <c r="U202" s="77"/>
      <c r="V202" s="30"/>
      <c r="W202" s="24"/>
      <c r="X202" s="193"/>
      <c r="Y202" s="15"/>
    </row>
    <row r="203" spans="2:25" x14ac:dyDescent="0.25">
      <c r="B203" s="15">
        <v>201</v>
      </c>
      <c r="C203" s="8"/>
      <c r="E203" s="67"/>
      <c r="F203" s="16"/>
      <c r="G203" s="8"/>
      <c r="H203" s="8"/>
      <c r="I203" s="8"/>
      <c r="J203" s="9"/>
      <c r="K203" s="9">
        <f t="shared" si="37"/>
        <v>0</v>
      </c>
      <c r="L203" s="35">
        <f t="shared" si="38"/>
        <v>0</v>
      </c>
      <c r="M203" s="2"/>
      <c r="O203" s="19"/>
      <c r="P203" s="19"/>
      <c r="Q203" s="19"/>
      <c r="R203" s="21"/>
      <c r="S203" s="46"/>
      <c r="T203" s="44"/>
      <c r="U203" s="77"/>
      <c r="V203" s="24"/>
      <c r="W203" s="24"/>
      <c r="X203" s="193"/>
      <c r="Y203" s="15"/>
    </row>
    <row r="204" spans="2:25" x14ac:dyDescent="0.25">
      <c r="B204" s="15">
        <v>202</v>
      </c>
      <c r="C204" s="8"/>
      <c r="E204" s="67"/>
      <c r="F204" s="16"/>
      <c r="G204" s="8"/>
      <c r="H204" s="8"/>
      <c r="I204" s="8"/>
      <c r="J204" s="9"/>
      <c r="K204" s="9">
        <f t="shared" si="37"/>
        <v>0</v>
      </c>
      <c r="L204" s="35">
        <f t="shared" si="38"/>
        <v>0</v>
      </c>
      <c r="M204" s="2"/>
      <c r="O204" s="19"/>
      <c r="P204" s="19"/>
      <c r="Q204" s="19"/>
      <c r="R204" s="21"/>
      <c r="S204" s="46"/>
      <c r="T204" s="44"/>
      <c r="U204" s="77"/>
      <c r="V204" s="24"/>
      <c r="W204" s="24"/>
      <c r="X204" s="193"/>
      <c r="Y204" s="15"/>
    </row>
    <row r="205" spans="2:25" x14ac:dyDescent="0.25">
      <c r="B205" s="15">
        <v>203</v>
      </c>
      <c r="C205" s="8"/>
      <c r="E205" s="67"/>
      <c r="F205" s="16"/>
      <c r="G205" s="8"/>
      <c r="H205" s="8"/>
      <c r="I205" s="8"/>
      <c r="J205" s="9"/>
      <c r="K205" s="9">
        <f t="shared" si="37"/>
        <v>0</v>
      </c>
      <c r="L205" s="35">
        <f t="shared" si="38"/>
        <v>0</v>
      </c>
      <c r="M205" s="2"/>
      <c r="O205" s="19"/>
      <c r="P205" s="19"/>
      <c r="Q205" s="19"/>
      <c r="R205" s="21"/>
      <c r="S205" s="46"/>
      <c r="T205" s="44"/>
      <c r="U205" s="77"/>
      <c r="V205" s="24"/>
      <c r="W205" s="24"/>
      <c r="X205" s="193"/>
      <c r="Y205" s="15"/>
    </row>
    <row r="206" spans="2:25" x14ac:dyDescent="0.25">
      <c r="B206" s="15">
        <v>204</v>
      </c>
      <c r="C206" s="8"/>
      <c r="E206" s="67"/>
      <c r="F206" s="16"/>
      <c r="G206" s="8"/>
      <c r="H206" s="8"/>
      <c r="I206" s="8"/>
      <c r="J206" s="9"/>
      <c r="K206" s="9">
        <f t="shared" si="37"/>
        <v>0</v>
      </c>
      <c r="L206" s="35">
        <f t="shared" si="38"/>
        <v>0</v>
      </c>
      <c r="M206" s="2"/>
      <c r="O206" s="19"/>
      <c r="P206" s="19"/>
      <c r="Q206" s="19"/>
      <c r="R206" s="21"/>
      <c r="S206" s="46"/>
      <c r="T206" s="44"/>
      <c r="U206" s="77"/>
      <c r="V206" s="24"/>
      <c r="W206" s="24"/>
      <c r="X206" s="193"/>
      <c r="Y206" s="15"/>
    </row>
    <row r="207" spans="2:25" x14ac:dyDescent="0.25">
      <c r="B207" s="15">
        <v>205</v>
      </c>
      <c r="C207" s="8"/>
      <c r="E207" s="67"/>
      <c r="F207" s="16"/>
      <c r="G207" s="8"/>
      <c r="H207" s="8"/>
      <c r="I207" s="8"/>
      <c r="J207" s="9"/>
      <c r="K207" s="9">
        <f t="shared" si="37"/>
        <v>0</v>
      </c>
      <c r="L207" s="35">
        <f t="shared" si="38"/>
        <v>0</v>
      </c>
      <c r="M207" s="2"/>
      <c r="O207" s="19"/>
      <c r="P207" s="19"/>
      <c r="Q207" s="19"/>
      <c r="R207" s="21"/>
      <c r="S207" s="46"/>
      <c r="T207" s="44"/>
      <c r="U207" s="77"/>
      <c r="V207" s="24"/>
      <c r="W207" s="24"/>
      <c r="X207" s="193"/>
      <c r="Y207" s="15"/>
    </row>
    <row r="208" spans="2:25" x14ac:dyDescent="0.25">
      <c r="B208" s="15">
        <v>206</v>
      </c>
      <c r="C208" s="8"/>
      <c r="E208" s="67"/>
      <c r="F208" s="16"/>
      <c r="G208" s="8"/>
      <c r="H208" s="8"/>
      <c r="I208" s="8"/>
      <c r="J208" s="9"/>
      <c r="K208" s="9">
        <f t="shared" si="37"/>
        <v>0</v>
      </c>
      <c r="L208" s="35">
        <f t="shared" si="38"/>
        <v>0</v>
      </c>
      <c r="M208" s="2"/>
      <c r="O208" s="19"/>
      <c r="P208" s="19"/>
      <c r="Q208" s="19"/>
      <c r="R208" s="21"/>
      <c r="S208" s="46"/>
      <c r="T208" s="44"/>
      <c r="U208" s="77"/>
      <c r="V208" s="30"/>
      <c r="W208" s="24"/>
      <c r="X208" s="193"/>
      <c r="Y208" s="15"/>
    </row>
    <row r="209" spans="2:25" x14ac:dyDescent="0.25">
      <c r="B209" s="15">
        <v>207</v>
      </c>
      <c r="C209" s="8"/>
      <c r="E209" s="67"/>
      <c r="F209" s="16"/>
      <c r="G209" s="8"/>
      <c r="H209" s="8"/>
      <c r="I209" s="8"/>
      <c r="J209" s="9"/>
      <c r="K209" s="9">
        <f t="shared" si="37"/>
        <v>0</v>
      </c>
      <c r="L209" s="35">
        <f t="shared" si="38"/>
        <v>0</v>
      </c>
      <c r="M209" s="2"/>
      <c r="O209" s="19"/>
      <c r="P209" s="19"/>
      <c r="Q209" s="19"/>
      <c r="R209" s="21"/>
      <c r="S209" s="46"/>
      <c r="T209" s="44"/>
      <c r="U209" s="77"/>
      <c r="V209" s="30"/>
      <c r="W209" s="24"/>
      <c r="X209" s="193"/>
      <c r="Y209" s="15"/>
    </row>
    <row r="210" spans="2:25" x14ac:dyDescent="0.25">
      <c r="B210" s="15">
        <v>208</v>
      </c>
      <c r="C210" s="8"/>
      <c r="E210" s="67"/>
      <c r="F210" s="16"/>
      <c r="G210" s="8"/>
      <c r="H210" s="8"/>
      <c r="I210" s="8"/>
      <c r="J210" s="9"/>
      <c r="K210" s="9">
        <f t="shared" si="37"/>
        <v>0</v>
      </c>
      <c r="L210" s="35">
        <f t="shared" si="38"/>
        <v>0</v>
      </c>
      <c r="M210" s="2"/>
      <c r="O210" s="19"/>
      <c r="P210" s="19"/>
      <c r="Q210" s="19"/>
      <c r="R210" s="21"/>
      <c r="S210" s="46"/>
      <c r="T210" s="44"/>
      <c r="U210" s="77"/>
      <c r="V210" s="24"/>
      <c r="W210" s="24"/>
      <c r="X210" s="193"/>
      <c r="Y210" s="15"/>
    </row>
    <row r="211" spans="2:25" x14ac:dyDescent="0.25">
      <c r="B211" s="15">
        <v>209</v>
      </c>
      <c r="C211" s="8"/>
      <c r="E211" s="67"/>
      <c r="F211" s="16"/>
      <c r="G211" s="8"/>
      <c r="H211" s="8"/>
      <c r="I211" s="8"/>
      <c r="J211" s="9"/>
      <c r="K211" s="9">
        <f t="shared" si="37"/>
        <v>0</v>
      </c>
      <c r="L211" s="35">
        <f t="shared" si="38"/>
        <v>0</v>
      </c>
      <c r="M211" s="2"/>
      <c r="O211" s="19"/>
      <c r="P211" s="19"/>
      <c r="Q211" s="19"/>
      <c r="R211" s="21"/>
      <c r="S211" s="46"/>
      <c r="T211" s="44"/>
      <c r="U211" s="77"/>
      <c r="V211" s="24"/>
      <c r="W211" s="24"/>
      <c r="X211" s="193"/>
      <c r="Y211" s="15"/>
    </row>
    <row r="212" spans="2:25" x14ac:dyDescent="0.25">
      <c r="B212" s="15">
        <v>210</v>
      </c>
      <c r="C212" s="8"/>
      <c r="E212" s="67"/>
      <c r="F212" s="16"/>
      <c r="G212" s="8"/>
      <c r="H212" s="8"/>
      <c r="I212" s="8"/>
      <c r="J212" s="9"/>
      <c r="K212" s="9">
        <f t="shared" si="37"/>
        <v>0</v>
      </c>
      <c r="L212" s="35">
        <f t="shared" si="38"/>
        <v>0</v>
      </c>
      <c r="M212" s="2"/>
      <c r="O212" s="19"/>
      <c r="P212" s="19"/>
      <c r="Q212" s="19"/>
      <c r="R212" s="21"/>
      <c r="S212" s="46"/>
      <c r="T212" s="44"/>
      <c r="U212" s="77"/>
      <c r="V212" s="24"/>
      <c r="W212" s="24"/>
      <c r="X212" s="193"/>
      <c r="Y212" s="15"/>
    </row>
    <row r="213" spans="2:25" x14ac:dyDescent="0.25">
      <c r="B213" s="15">
        <v>211</v>
      </c>
      <c r="C213" s="8"/>
      <c r="E213" s="67"/>
      <c r="F213" s="16"/>
      <c r="G213" s="8"/>
      <c r="H213" s="8"/>
      <c r="I213" s="8"/>
      <c r="J213" s="9"/>
      <c r="K213" s="9">
        <f t="shared" si="37"/>
        <v>0</v>
      </c>
      <c r="L213" s="35">
        <f t="shared" si="38"/>
        <v>0</v>
      </c>
      <c r="M213" s="2"/>
      <c r="O213" s="19"/>
      <c r="P213" s="19"/>
      <c r="Q213" s="19"/>
      <c r="R213" s="21"/>
      <c r="S213" s="46"/>
      <c r="T213" s="44"/>
      <c r="U213" s="77"/>
      <c r="V213" s="24"/>
      <c r="W213" s="24"/>
      <c r="X213" s="193"/>
      <c r="Y213" s="15"/>
    </row>
    <row r="214" spans="2:25" x14ac:dyDescent="0.25">
      <c r="B214" s="15">
        <v>212</v>
      </c>
      <c r="C214" s="8"/>
      <c r="E214" s="67"/>
      <c r="F214" s="16"/>
      <c r="G214" s="8"/>
      <c r="H214" s="8"/>
      <c r="I214" s="8"/>
      <c r="J214" s="9"/>
      <c r="K214" s="9">
        <f t="shared" si="37"/>
        <v>0</v>
      </c>
      <c r="L214" s="35">
        <f t="shared" si="38"/>
        <v>0</v>
      </c>
      <c r="M214" s="2"/>
      <c r="O214" s="19"/>
      <c r="P214" s="19"/>
      <c r="Q214" s="19"/>
      <c r="R214" s="21"/>
      <c r="S214" s="46"/>
      <c r="T214" s="44"/>
      <c r="U214" s="77"/>
      <c r="V214" s="24"/>
      <c r="W214" s="24"/>
      <c r="X214" s="193"/>
      <c r="Y214" s="15"/>
    </row>
    <row r="215" spans="2:25" x14ac:dyDescent="0.25">
      <c r="B215" s="15">
        <v>213</v>
      </c>
      <c r="C215" s="8"/>
      <c r="E215" s="67"/>
      <c r="F215" s="16"/>
      <c r="G215" s="8"/>
      <c r="H215" s="8"/>
      <c r="I215" s="8"/>
      <c r="J215" s="9"/>
      <c r="K215" s="9">
        <f t="shared" si="37"/>
        <v>0</v>
      </c>
      <c r="L215" s="35">
        <f t="shared" si="38"/>
        <v>0</v>
      </c>
      <c r="M215" s="2"/>
      <c r="O215" s="19"/>
      <c r="P215" s="19"/>
      <c r="Q215" s="19"/>
      <c r="R215" s="21"/>
      <c r="S215" s="46"/>
      <c r="T215" s="44"/>
      <c r="U215" s="77"/>
      <c r="V215" s="30"/>
      <c r="W215" s="24"/>
      <c r="X215" s="193"/>
      <c r="Y215" s="15"/>
    </row>
    <row r="216" spans="2:25" x14ac:dyDescent="0.25">
      <c r="B216" s="15">
        <v>214</v>
      </c>
      <c r="C216" s="8"/>
      <c r="E216" s="67"/>
      <c r="F216" s="16"/>
      <c r="G216" s="8"/>
      <c r="H216" s="8"/>
      <c r="I216" s="8"/>
      <c r="J216" s="9"/>
      <c r="K216" s="9">
        <f t="shared" si="37"/>
        <v>0</v>
      </c>
      <c r="L216" s="35">
        <f t="shared" si="38"/>
        <v>0</v>
      </c>
      <c r="M216" s="2"/>
      <c r="O216" s="19"/>
      <c r="P216" s="19"/>
      <c r="Q216" s="19"/>
      <c r="R216" s="21"/>
      <c r="S216" s="46"/>
      <c r="T216" s="44"/>
      <c r="U216" s="77"/>
      <c r="V216" s="30"/>
      <c r="W216" s="24"/>
      <c r="X216" s="193"/>
      <c r="Y216" s="15"/>
    </row>
    <row r="217" spans="2:25" x14ac:dyDescent="0.25">
      <c r="B217" s="15">
        <v>215</v>
      </c>
      <c r="C217" s="8"/>
      <c r="E217" s="67"/>
      <c r="F217" s="16"/>
      <c r="G217" s="8"/>
      <c r="H217" s="8"/>
      <c r="I217" s="8"/>
      <c r="J217" s="9"/>
      <c r="K217" s="9">
        <f t="shared" si="37"/>
        <v>0</v>
      </c>
      <c r="L217" s="35">
        <f t="shared" si="38"/>
        <v>0</v>
      </c>
      <c r="M217" s="2"/>
      <c r="O217" s="19"/>
      <c r="P217" s="19"/>
      <c r="Q217" s="19"/>
      <c r="R217" s="21"/>
      <c r="S217" s="46"/>
      <c r="T217" s="44"/>
      <c r="U217" s="77"/>
      <c r="V217" s="30"/>
      <c r="W217" s="24"/>
      <c r="X217" s="193"/>
      <c r="Y217" s="15"/>
    </row>
    <row r="218" spans="2:25" x14ac:dyDescent="0.25">
      <c r="B218" s="15">
        <v>216</v>
      </c>
      <c r="C218" s="8"/>
      <c r="E218" s="67"/>
      <c r="F218" s="16"/>
      <c r="G218" s="8"/>
      <c r="H218" s="8"/>
      <c r="I218" s="8"/>
      <c r="J218" s="9"/>
      <c r="K218" s="9">
        <f t="shared" si="37"/>
        <v>0</v>
      </c>
      <c r="L218" s="35">
        <f t="shared" si="38"/>
        <v>0</v>
      </c>
      <c r="M218" s="2"/>
      <c r="O218" s="19"/>
      <c r="P218" s="19"/>
      <c r="Q218" s="19"/>
      <c r="R218" s="21"/>
      <c r="S218" s="46"/>
      <c r="T218" s="44"/>
      <c r="U218" s="77"/>
      <c r="V218" s="30"/>
      <c r="W218" s="24"/>
      <c r="X218" s="193"/>
      <c r="Y218" s="15"/>
    </row>
    <row r="219" spans="2:25" x14ac:dyDescent="0.25">
      <c r="B219" s="15">
        <v>217</v>
      </c>
      <c r="C219" s="8"/>
      <c r="E219" s="67"/>
      <c r="F219" s="16"/>
      <c r="G219" s="8"/>
      <c r="H219" s="8"/>
      <c r="I219" s="8"/>
      <c r="J219" s="9"/>
      <c r="K219" s="9">
        <f t="shared" si="37"/>
        <v>0</v>
      </c>
      <c r="L219" s="35">
        <f t="shared" si="38"/>
        <v>0</v>
      </c>
      <c r="M219" s="2"/>
      <c r="O219" s="19"/>
      <c r="P219" s="19"/>
      <c r="Q219" s="19"/>
      <c r="R219" s="21"/>
      <c r="S219" s="46"/>
      <c r="T219" s="44"/>
      <c r="U219" s="77"/>
      <c r="V219" s="30"/>
      <c r="W219" s="24"/>
      <c r="X219" s="193"/>
      <c r="Y219" s="15"/>
    </row>
    <row r="220" spans="2:25" x14ac:dyDescent="0.25">
      <c r="B220" s="15">
        <v>218</v>
      </c>
      <c r="C220" s="8"/>
      <c r="E220" s="67"/>
      <c r="F220" s="16"/>
      <c r="G220" s="8"/>
      <c r="H220" s="8"/>
      <c r="I220" s="8"/>
      <c r="J220" s="9"/>
      <c r="K220" s="9">
        <f t="shared" si="37"/>
        <v>0</v>
      </c>
      <c r="L220" s="35">
        <f t="shared" si="38"/>
        <v>0</v>
      </c>
      <c r="M220" s="2"/>
      <c r="O220" s="19"/>
      <c r="P220" s="19"/>
      <c r="Q220" s="19"/>
      <c r="R220" s="21"/>
      <c r="S220" s="46"/>
      <c r="T220" s="44"/>
      <c r="U220" s="77"/>
      <c r="V220" s="30"/>
      <c r="W220" s="24"/>
      <c r="X220" s="193"/>
      <c r="Y220" s="15"/>
    </row>
    <row r="221" spans="2:25" x14ac:dyDescent="0.25">
      <c r="B221" s="15">
        <v>219</v>
      </c>
      <c r="C221" s="8"/>
      <c r="E221" s="67"/>
      <c r="F221" s="16"/>
      <c r="G221" s="8"/>
      <c r="H221" s="8"/>
      <c r="I221" s="8"/>
      <c r="J221" s="9"/>
      <c r="K221" s="9">
        <f t="shared" si="37"/>
        <v>0</v>
      </c>
      <c r="L221" s="35">
        <f t="shared" si="38"/>
        <v>0</v>
      </c>
      <c r="M221" s="2"/>
      <c r="O221" s="19"/>
      <c r="P221" s="19"/>
      <c r="Q221" s="19"/>
      <c r="R221" s="21"/>
      <c r="S221" s="46"/>
      <c r="T221" s="44"/>
      <c r="U221" s="77"/>
      <c r="V221" s="24"/>
      <c r="W221" s="24"/>
      <c r="X221" s="193"/>
      <c r="Y221" s="15"/>
    </row>
    <row r="222" spans="2:25" x14ac:dyDescent="0.25">
      <c r="B222" s="15">
        <v>220</v>
      </c>
      <c r="C222" s="8"/>
      <c r="E222" s="67"/>
      <c r="F222" s="16"/>
      <c r="G222" s="8"/>
      <c r="H222" s="8"/>
      <c r="I222" s="8"/>
      <c r="J222" s="9"/>
      <c r="K222" s="9">
        <f t="shared" si="37"/>
        <v>0</v>
      </c>
      <c r="L222" s="35">
        <f t="shared" si="38"/>
        <v>0</v>
      </c>
      <c r="M222" s="2"/>
      <c r="O222" s="19"/>
      <c r="P222" s="19"/>
      <c r="Q222" s="19"/>
      <c r="R222" s="21"/>
      <c r="S222" s="46"/>
      <c r="T222" s="44"/>
      <c r="U222" s="77"/>
      <c r="V222" s="24"/>
      <c r="W222" s="24"/>
      <c r="X222" s="193"/>
      <c r="Y222" s="15"/>
    </row>
    <row r="223" spans="2:25" x14ac:dyDescent="0.25">
      <c r="B223" s="15">
        <v>221</v>
      </c>
      <c r="C223" s="8"/>
      <c r="E223" s="67"/>
      <c r="F223" s="16"/>
      <c r="G223" s="8"/>
      <c r="H223" s="8"/>
      <c r="I223" s="8"/>
      <c r="J223" s="9"/>
      <c r="K223" s="9">
        <f t="shared" si="37"/>
        <v>0</v>
      </c>
      <c r="L223" s="35">
        <f t="shared" si="38"/>
        <v>0</v>
      </c>
      <c r="M223" s="2"/>
      <c r="O223" s="19"/>
      <c r="P223" s="19"/>
      <c r="Q223" s="19"/>
      <c r="R223" s="21"/>
      <c r="S223" s="46"/>
      <c r="T223" s="44"/>
      <c r="U223" s="77"/>
      <c r="V223" s="24"/>
      <c r="W223" s="24"/>
      <c r="X223" s="193"/>
      <c r="Y223" s="15"/>
    </row>
    <row r="224" spans="2:25" x14ac:dyDescent="0.25">
      <c r="B224" s="15">
        <v>222</v>
      </c>
      <c r="C224" s="8"/>
      <c r="E224" s="67"/>
      <c r="F224" s="16"/>
      <c r="G224" s="8"/>
      <c r="H224" s="8"/>
      <c r="I224" s="8"/>
      <c r="J224" s="9"/>
      <c r="K224" s="9">
        <f t="shared" si="37"/>
        <v>0</v>
      </c>
      <c r="L224" s="35">
        <f t="shared" si="38"/>
        <v>0</v>
      </c>
      <c r="M224" s="2"/>
      <c r="O224" s="19"/>
      <c r="P224" s="19"/>
      <c r="Q224" s="19"/>
      <c r="R224" s="21"/>
      <c r="S224" s="46"/>
      <c r="T224" s="44"/>
      <c r="U224" s="77"/>
      <c r="V224" s="30"/>
      <c r="W224" s="24"/>
      <c r="X224" s="193"/>
      <c r="Y224" s="15"/>
    </row>
    <row r="225" spans="2:25" x14ac:dyDescent="0.25">
      <c r="B225" s="15">
        <v>223</v>
      </c>
      <c r="C225" s="8"/>
      <c r="E225" s="67"/>
      <c r="F225" s="16"/>
      <c r="G225" s="8"/>
      <c r="H225" s="8"/>
      <c r="I225" s="8"/>
      <c r="J225" s="9"/>
      <c r="K225" s="9">
        <f t="shared" si="37"/>
        <v>0</v>
      </c>
      <c r="L225" s="35">
        <f t="shared" si="38"/>
        <v>0</v>
      </c>
      <c r="M225" s="2"/>
      <c r="O225" s="19"/>
      <c r="P225" s="19"/>
      <c r="Q225" s="19"/>
      <c r="R225" s="21"/>
      <c r="S225" s="46"/>
      <c r="T225" s="44"/>
      <c r="U225" s="77"/>
      <c r="V225" s="30"/>
      <c r="W225" s="24"/>
      <c r="X225" s="193"/>
      <c r="Y225" s="15"/>
    </row>
    <row r="226" spans="2:25" x14ac:dyDescent="0.25">
      <c r="B226" s="15">
        <v>224</v>
      </c>
      <c r="C226" s="8"/>
      <c r="E226" s="67"/>
      <c r="F226" s="16"/>
      <c r="G226" s="8"/>
      <c r="H226" s="8"/>
      <c r="I226" s="8"/>
      <c r="J226" s="9"/>
      <c r="K226" s="9">
        <f t="shared" si="37"/>
        <v>0</v>
      </c>
      <c r="L226" s="35">
        <f t="shared" si="38"/>
        <v>0</v>
      </c>
      <c r="M226" s="2"/>
      <c r="O226" s="19"/>
      <c r="P226" s="19"/>
      <c r="Q226" s="19"/>
      <c r="R226" s="21"/>
      <c r="S226" s="46"/>
      <c r="T226" s="44"/>
      <c r="U226" s="77"/>
      <c r="V226" s="24"/>
      <c r="W226" s="24"/>
      <c r="X226" s="193"/>
      <c r="Y226" s="15"/>
    </row>
    <row r="227" spans="2:25" x14ac:dyDescent="0.25">
      <c r="B227" s="15">
        <v>225</v>
      </c>
      <c r="C227" s="8"/>
      <c r="E227" s="67"/>
      <c r="F227" s="16"/>
      <c r="G227" s="8"/>
      <c r="H227" s="8"/>
      <c r="I227" s="8"/>
      <c r="J227" s="9"/>
      <c r="K227" s="9">
        <f t="shared" si="37"/>
        <v>0</v>
      </c>
      <c r="L227" s="35">
        <f t="shared" si="38"/>
        <v>0</v>
      </c>
      <c r="M227" s="2"/>
      <c r="O227" s="19"/>
      <c r="P227" s="19"/>
      <c r="Q227" s="19"/>
      <c r="R227" s="21"/>
      <c r="S227" s="46"/>
      <c r="T227" s="44"/>
      <c r="U227" s="77"/>
      <c r="V227" s="24"/>
      <c r="W227" s="24"/>
      <c r="X227" s="193"/>
      <c r="Y227" s="15"/>
    </row>
    <row r="228" spans="2:25" x14ac:dyDescent="0.25">
      <c r="B228" s="15">
        <v>226</v>
      </c>
      <c r="C228" s="8"/>
      <c r="E228" s="67"/>
      <c r="F228" s="16"/>
      <c r="G228" s="8"/>
      <c r="H228" s="8"/>
      <c r="I228" s="8"/>
      <c r="J228" s="9"/>
      <c r="K228" s="9">
        <f t="shared" si="37"/>
        <v>0</v>
      </c>
      <c r="L228" s="35">
        <f t="shared" si="38"/>
        <v>0</v>
      </c>
      <c r="M228" s="2"/>
      <c r="O228" s="19"/>
      <c r="P228" s="19"/>
      <c r="Q228" s="19"/>
      <c r="R228" s="21"/>
      <c r="S228" s="46"/>
      <c r="T228" s="44"/>
      <c r="U228" s="77"/>
      <c r="V228" s="24"/>
      <c r="W228" s="24"/>
      <c r="X228" s="193"/>
      <c r="Y228" s="15"/>
    </row>
    <row r="229" spans="2:25" x14ac:dyDescent="0.25">
      <c r="B229" s="15">
        <v>227</v>
      </c>
      <c r="C229" s="8"/>
      <c r="E229" s="67"/>
      <c r="F229" s="16"/>
      <c r="G229" s="8"/>
      <c r="H229" s="8"/>
      <c r="I229" s="8"/>
      <c r="J229" s="9"/>
      <c r="K229" s="9">
        <f t="shared" si="37"/>
        <v>0</v>
      </c>
      <c r="L229" s="35">
        <f t="shared" si="38"/>
        <v>0</v>
      </c>
      <c r="M229" s="2"/>
      <c r="O229" s="19"/>
      <c r="P229" s="19"/>
      <c r="Q229" s="19"/>
      <c r="R229" s="21"/>
      <c r="S229" s="46"/>
      <c r="T229" s="44"/>
      <c r="U229" s="77"/>
      <c r="V229" s="24"/>
      <c r="W229" s="24"/>
      <c r="X229" s="193"/>
      <c r="Y229" s="15"/>
    </row>
    <row r="230" spans="2:25" x14ac:dyDescent="0.25">
      <c r="B230" s="15">
        <v>228</v>
      </c>
      <c r="C230" s="8"/>
      <c r="E230" s="67"/>
      <c r="F230" s="16"/>
      <c r="G230" s="8"/>
      <c r="H230" s="8"/>
      <c r="I230" s="8"/>
      <c r="J230" s="9"/>
      <c r="K230" s="9">
        <f t="shared" si="37"/>
        <v>0</v>
      </c>
      <c r="L230" s="35">
        <f t="shared" si="38"/>
        <v>0</v>
      </c>
      <c r="M230" s="2"/>
      <c r="O230" s="19"/>
      <c r="P230" s="19"/>
      <c r="Q230" s="19"/>
      <c r="R230" s="21"/>
      <c r="S230" s="46"/>
      <c r="T230" s="44"/>
      <c r="U230" s="77"/>
      <c r="V230" s="30"/>
      <c r="W230" s="24"/>
      <c r="X230" s="193"/>
      <c r="Y230" s="15"/>
    </row>
    <row r="231" spans="2:25" x14ac:dyDescent="0.25">
      <c r="B231" s="15">
        <v>229</v>
      </c>
      <c r="C231" s="8"/>
      <c r="E231" s="67"/>
      <c r="F231" s="16"/>
      <c r="G231" s="8"/>
      <c r="H231" s="8"/>
      <c r="I231" s="8"/>
      <c r="J231" s="9"/>
      <c r="K231" s="9">
        <f t="shared" si="37"/>
        <v>0</v>
      </c>
      <c r="L231" s="35">
        <f t="shared" si="38"/>
        <v>0</v>
      </c>
      <c r="M231" s="2"/>
      <c r="O231" s="19"/>
      <c r="P231" s="19"/>
      <c r="Q231" s="19"/>
      <c r="R231" s="21"/>
      <c r="S231" s="46"/>
      <c r="T231" s="44"/>
      <c r="U231" s="77"/>
      <c r="V231" s="30"/>
      <c r="W231" s="24"/>
      <c r="X231" s="193"/>
      <c r="Y231" s="15"/>
    </row>
    <row r="232" spans="2:25" x14ac:dyDescent="0.25">
      <c r="B232" s="15">
        <v>230</v>
      </c>
      <c r="C232" s="8"/>
      <c r="E232" s="67"/>
      <c r="F232" s="16"/>
      <c r="G232" s="8"/>
      <c r="H232" s="8"/>
      <c r="I232" s="8"/>
      <c r="J232" s="9"/>
      <c r="K232" s="9">
        <f t="shared" si="37"/>
        <v>0</v>
      </c>
      <c r="L232" s="35">
        <f t="shared" si="38"/>
        <v>0</v>
      </c>
      <c r="M232" s="2"/>
      <c r="O232" s="19"/>
      <c r="P232" s="19"/>
      <c r="Q232" s="19"/>
      <c r="R232" s="21"/>
      <c r="S232" s="46"/>
      <c r="T232" s="44"/>
      <c r="U232" s="77"/>
      <c r="V232" s="24"/>
      <c r="W232" s="24"/>
      <c r="X232" s="193"/>
      <c r="Y232" s="15"/>
    </row>
    <row r="233" spans="2:25" x14ac:dyDescent="0.25">
      <c r="B233" s="15">
        <v>231</v>
      </c>
      <c r="C233" s="8"/>
      <c r="E233" s="67"/>
      <c r="F233" s="16"/>
      <c r="G233" s="8"/>
      <c r="H233" s="8"/>
      <c r="I233" s="8"/>
      <c r="J233" s="9"/>
      <c r="K233" s="9">
        <f t="shared" si="37"/>
        <v>0</v>
      </c>
      <c r="L233" s="35">
        <f t="shared" si="38"/>
        <v>0</v>
      </c>
      <c r="M233" s="2"/>
      <c r="O233" s="19"/>
      <c r="P233" s="19"/>
      <c r="Q233" s="19"/>
      <c r="R233" s="21"/>
      <c r="S233" s="46"/>
      <c r="T233" s="44"/>
      <c r="U233" s="77"/>
      <c r="V233" s="24"/>
      <c r="W233" s="24"/>
      <c r="X233" s="193"/>
      <c r="Y233" s="15"/>
    </row>
    <row r="234" spans="2:25" x14ac:dyDescent="0.25">
      <c r="B234" s="15">
        <v>232</v>
      </c>
      <c r="C234" s="8"/>
      <c r="E234" s="67"/>
      <c r="F234" s="16"/>
      <c r="G234" s="8"/>
      <c r="H234" s="8"/>
      <c r="I234" s="8"/>
      <c r="J234" s="9"/>
      <c r="K234" s="9">
        <f t="shared" si="37"/>
        <v>0</v>
      </c>
      <c r="L234" s="35">
        <f t="shared" si="38"/>
        <v>0</v>
      </c>
      <c r="M234" s="2"/>
      <c r="O234" s="19"/>
      <c r="P234" s="19"/>
      <c r="Q234" s="19"/>
      <c r="R234" s="21"/>
      <c r="S234" s="46"/>
      <c r="T234" s="44"/>
      <c r="U234" s="77"/>
      <c r="V234" s="24"/>
      <c r="W234" s="24"/>
      <c r="X234" s="193"/>
      <c r="Y234" s="15"/>
    </row>
    <row r="235" spans="2:25" x14ac:dyDescent="0.25">
      <c r="B235" s="15">
        <v>233</v>
      </c>
      <c r="C235" s="8"/>
      <c r="E235" s="67"/>
      <c r="F235" s="16"/>
      <c r="G235" s="8"/>
      <c r="H235" s="8"/>
      <c r="I235" s="8"/>
      <c r="J235" s="9"/>
      <c r="K235" s="9">
        <f t="shared" si="37"/>
        <v>0</v>
      </c>
      <c r="L235" s="35">
        <f t="shared" si="38"/>
        <v>0</v>
      </c>
      <c r="M235" s="2"/>
      <c r="O235" s="19"/>
      <c r="P235" s="19"/>
      <c r="Q235" s="19"/>
      <c r="R235" s="21"/>
      <c r="S235" s="46"/>
      <c r="T235" s="44"/>
      <c r="U235" s="77"/>
      <c r="V235" s="24"/>
      <c r="W235" s="24"/>
      <c r="X235" s="193"/>
      <c r="Y235" s="15"/>
    </row>
    <row r="236" spans="2:25" x14ac:dyDescent="0.25">
      <c r="B236" s="15">
        <v>234</v>
      </c>
      <c r="C236" s="8"/>
      <c r="E236" s="67"/>
      <c r="F236" s="16"/>
      <c r="G236" s="8"/>
      <c r="H236" s="8"/>
      <c r="I236" s="8"/>
      <c r="J236" s="9"/>
      <c r="K236" s="9">
        <f t="shared" si="37"/>
        <v>0</v>
      </c>
      <c r="L236" s="35">
        <f t="shared" si="38"/>
        <v>0</v>
      </c>
      <c r="M236" s="2"/>
      <c r="O236" s="19"/>
      <c r="P236" s="19"/>
      <c r="Q236" s="19"/>
      <c r="R236" s="21"/>
      <c r="S236" s="46"/>
      <c r="T236" s="44"/>
      <c r="U236" s="77"/>
      <c r="V236" s="24"/>
      <c r="W236" s="24"/>
      <c r="X236" s="193"/>
      <c r="Y236" s="15"/>
    </row>
    <row r="237" spans="2:25" x14ac:dyDescent="0.25">
      <c r="B237" s="15">
        <v>235</v>
      </c>
      <c r="C237" s="8"/>
      <c r="E237" s="67"/>
      <c r="F237" s="16"/>
      <c r="G237" s="8"/>
      <c r="H237" s="8"/>
      <c r="I237" s="8"/>
      <c r="J237" s="9"/>
      <c r="K237" s="9">
        <f t="shared" si="37"/>
        <v>0</v>
      </c>
      <c r="L237" s="35">
        <f t="shared" si="38"/>
        <v>0</v>
      </c>
      <c r="M237" s="2"/>
      <c r="O237" s="19"/>
      <c r="P237" s="19"/>
      <c r="Q237" s="19"/>
      <c r="R237" s="21"/>
      <c r="S237" s="46"/>
      <c r="T237" s="44"/>
      <c r="U237" s="77"/>
      <c r="V237" s="24"/>
      <c r="W237" s="24"/>
      <c r="X237" s="193"/>
      <c r="Y237" s="15"/>
    </row>
    <row r="238" spans="2:25" x14ac:dyDescent="0.25">
      <c r="B238" s="15">
        <v>236</v>
      </c>
      <c r="C238" s="8"/>
      <c r="E238" s="67"/>
      <c r="F238" s="16"/>
      <c r="G238" s="8"/>
      <c r="H238" s="8"/>
      <c r="I238" s="8"/>
      <c r="J238" s="9"/>
      <c r="K238" s="9">
        <f t="shared" si="37"/>
        <v>0</v>
      </c>
      <c r="L238" s="35">
        <f t="shared" si="38"/>
        <v>0</v>
      </c>
      <c r="M238" s="2"/>
      <c r="O238" s="19"/>
      <c r="P238" s="19"/>
      <c r="Q238" s="19"/>
      <c r="R238" s="21"/>
      <c r="S238" s="46"/>
      <c r="T238" s="44"/>
      <c r="U238" s="77"/>
      <c r="V238" s="30"/>
      <c r="W238" s="24"/>
      <c r="X238" s="193"/>
      <c r="Y238" s="15"/>
    </row>
    <row r="239" spans="2:25" x14ac:dyDescent="0.25">
      <c r="B239" s="15">
        <v>235</v>
      </c>
      <c r="C239" s="8"/>
      <c r="E239" s="67"/>
      <c r="F239" s="16"/>
      <c r="G239" s="8"/>
      <c r="H239" s="8"/>
      <c r="I239" s="8"/>
      <c r="J239" s="9"/>
      <c r="K239" s="9">
        <f t="shared" si="37"/>
        <v>0</v>
      </c>
      <c r="L239" s="35">
        <f t="shared" si="38"/>
        <v>0</v>
      </c>
      <c r="M239" s="2"/>
      <c r="O239" s="19"/>
      <c r="P239" s="19"/>
      <c r="Q239" s="19"/>
      <c r="R239" s="21"/>
      <c r="S239" s="46"/>
      <c r="T239" s="44"/>
      <c r="U239" s="77"/>
      <c r="V239" s="24"/>
      <c r="W239" s="24"/>
      <c r="X239" s="193"/>
      <c r="Y239" s="15"/>
    </row>
    <row r="240" spans="2:25" x14ac:dyDescent="0.25">
      <c r="B240" s="15">
        <v>238</v>
      </c>
      <c r="C240" s="8"/>
      <c r="E240" s="67"/>
      <c r="F240" s="16"/>
      <c r="G240" s="8"/>
      <c r="H240" s="8"/>
      <c r="I240" s="8"/>
      <c r="J240" s="9"/>
      <c r="K240" s="9">
        <f t="shared" si="37"/>
        <v>0</v>
      </c>
      <c r="L240" s="35">
        <f t="shared" si="38"/>
        <v>0</v>
      </c>
      <c r="M240" s="2"/>
      <c r="O240" s="19"/>
      <c r="P240" s="19"/>
      <c r="Q240" s="19"/>
      <c r="R240" s="21"/>
      <c r="S240" s="46"/>
      <c r="T240" s="44"/>
      <c r="U240" s="77"/>
      <c r="V240" s="24"/>
      <c r="W240" s="24"/>
      <c r="X240" s="193"/>
      <c r="Y240" s="15"/>
    </row>
    <row r="241" spans="2:25" x14ac:dyDescent="0.25">
      <c r="B241" s="15">
        <v>239</v>
      </c>
      <c r="C241" s="8"/>
      <c r="E241" s="67"/>
      <c r="F241" s="16"/>
      <c r="G241" s="8"/>
      <c r="H241" s="8"/>
      <c r="I241" s="8"/>
      <c r="J241" s="9"/>
      <c r="K241" s="9">
        <f t="shared" si="37"/>
        <v>0</v>
      </c>
      <c r="L241" s="35">
        <f t="shared" si="38"/>
        <v>0</v>
      </c>
      <c r="M241" s="2"/>
      <c r="O241" s="19"/>
      <c r="P241" s="19"/>
      <c r="Q241" s="19"/>
      <c r="R241" s="21"/>
      <c r="S241" s="46"/>
      <c r="T241" s="44"/>
      <c r="U241" s="77"/>
      <c r="V241" s="24"/>
      <c r="W241" s="24"/>
      <c r="X241" s="193"/>
      <c r="Y241" s="15"/>
    </row>
    <row r="242" spans="2:25" x14ac:dyDescent="0.25">
      <c r="B242" s="15">
        <v>240</v>
      </c>
      <c r="C242" s="8"/>
      <c r="E242" s="67"/>
      <c r="F242" s="16"/>
      <c r="G242" s="8"/>
      <c r="H242" s="8"/>
      <c r="I242" s="8"/>
      <c r="J242" s="9"/>
      <c r="K242" s="9">
        <f t="shared" si="37"/>
        <v>0</v>
      </c>
      <c r="L242" s="35">
        <f t="shared" si="38"/>
        <v>0</v>
      </c>
      <c r="M242" s="2"/>
      <c r="O242" s="19"/>
      <c r="P242" s="19"/>
      <c r="Q242" s="19"/>
      <c r="R242" s="21"/>
      <c r="S242" s="46"/>
      <c r="T242" s="44"/>
      <c r="U242" s="77"/>
      <c r="V242" s="24"/>
      <c r="W242" s="24"/>
      <c r="X242" s="193"/>
      <c r="Y242" s="15"/>
    </row>
    <row r="243" spans="2:25" x14ac:dyDescent="0.25">
      <c r="B243" s="15">
        <v>241</v>
      </c>
      <c r="C243" s="8"/>
      <c r="E243" s="67"/>
      <c r="F243" s="16"/>
      <c r="G243" s="8"/>
      <c r="H243" s="8"/>
      <c r="I243" s="8"/>
      <c r="J243" s="9"/>
      <c r="K243" s="9">
        <f t="shared" si="37"/>
        <v>0</v>
      </c>
      <c r="L243" s="35">
        <f t="shared" si="38"/>
        <v>0</v>
      </c>
      <c r="M243" s="2"/>
      <c r="O243" s="19"/>
      <c r="P243" s="19"/>
      <c r="Q243" s="19"/>
      <c r="R243" s="21"/>
      <c r="S243" s="46"/>
      <c r="T243" s="44"/>
      <c r="U243" s="77"/>
      <c r="V243" s="24"/>
      <c r="W243" s="24"/>
      <c r="X243" s="193"/>
      <c r="Y243" s="15"/>
    </row>
    <row r="244" spans="2:25" x14ac:dyDescent="0.25">
      <c r="B244" s="15">
        <v>242</v>
      </c>
      <c r="C244" s="8"/>
      <c r="E244" s="67"/>
      <c r="F244" s="16"/>
      <c r="G244" s="8"/>
      <c r="H244" s="8"/>
      <c r="I244" s="8"/>
      <c r="J244" s="9"/>
      <c r="K244" s="9">
        <f t="shared" si="37"/>
        <v>0</v>
      </c>
      <c r="L244" s="35">
        <f t="shared" si="38"/>
        <v>0</v>
      </c>
      <c r="M244" s="2"/>
      <c r="O244" s="19"/>
      <c r="P244" s="19"/>
      <c r="Q244" s="19"/>
      <c r="R244" s="21"/>
      <c r="S244" s="46"/>
      <c r="T244" s="44"/>
      <c r="U244" s="77"/>
      <c r="V244" s="30"/>
      <c r="W244" s="24"/>
      <c r="X244" s="193"/>
      <c r="Y244" s="15"/>
    </row>
    <row r="245" spans="2:25" x14ac:dyDescent="0.25">
      <c r="B245" s="15">
        <v>243</v>
      </c>
      <c r="C245" s="8"/>
      <c r="E245" s="67"/>
      <c r="F245" s="16"/>
      <c r="G245" s="8"/>
      <c r="H245" s="8"/>
      <c r="I245" s="8"/>
      <c r="J245" s="9"/>
      <c r="K245" s="9">
        <f t="shared" si="37"/>
        <v>0</v>
      </c>
      <c r="L245" s="35">
        <f t="shared" si="38"/>
        <v>0</v>
      </c>
      <c r="M245" s="2"/>
      <c r="O245" s="19"/>
      <c r="P245" s="19"/>
      <c r="Q245" s="19"/>
      <c r="R245" s="21"/>
      <c r="S245" s="46"/>
      <c r="T245" s="44"/>
      <c r="U245" s="77"/>
      <c r="V245" s="30"/>
      <c r="W245" s="24"/>
      <c r="X245" s="193"/>
      <c r="Y245" s="15"/>
    </row>
    <row r="246" spans="2:25" x14ac:dyDescent="0.25">
      <c r="B246" s="15">
        <v>244</v>
      </c>
      <c r="C246" s="8"/>
      <c r="E246" s="67"/>
      <c r="F246" s="16"/>
      <c r="G246" s="8"/>
      <c r="H246" s="8"/>
      <c r="I246" s="8"/>
      <c r="J246" s="9"/>
      <c r="K246" s="9">
        <f t="shared" si="37"/>
        <v>0</v>
      </c>
      <c r="L246" s="35">
        <f t="shared" si="38"/>
        <v>0</v>
      </c>
      <c r="M246" s="2"/>
      <c r="O246" s="19"/>
      <c r="P246" s="19"/>
      <c r="Q246" s="19"/>
      <c r="R246" s="21"/>
      <c r="S246" s="46"/>
      <c r="T246" s="44"/>
      <c r="U246" s="77"/>
      <c r="V246" s="30"/>
      <c r="W246" s="24"/>
      <c r="X246" s="193"/>
      <c r="Y246" s="15"/>
    </row>
    <row r="247" spans="2:25" x14ac:dyDescent="0.25">
      <c r="B247" s="15">
        <v>245</v>
      </c>
      <c r="C247" s="8"/>
      <c r="E247" s="67"/>
      <c r="F247" s="16"/>
      <c r="G247" s="8"/>
      <c r="H247" s="8"/>
      <c r="I247" s="8"/>
      <c r="J247" s="9"/>
      <c r="K247" s="9">
        <f t="shared" si="37"/>
        <v>0</v>
      </c>
      <c r="L247" s="35">
        <f t="shared" si="38"/>
        <v>0</v>
      </c>
      <c r="M247" s="2"/>
      <c r="O247" s="19"/>
      <c r="P247" s="19"/>
      <c r="Q247" s="19"/>
      <c r="R247" s="21"/>
      <c r="S247" s="46"/>
      <c r="T247" s="44"/>
      <c r="U247" s="77"/>
      <c r="V247" s="30"/>
      <c r="W247" s="24"/>
      <c r="X247" s="193"/>
      <c r="Y247" s="15"/>
    </row>
    <row r="248" spans="2:25" x14ac:dyDescent="0.25">
      <c r="B248" s="15">
        <v>246</v>
      </c>
      <c r="C248" s="8"/>
      <c r="E248" s="67"/>
      <c r="F248" s="16"/>
      <c r="G248" s="8"/>
      <c r="H248" s="8"/>
      <c r="I248" s="8"/>
      <c r="J248" s="9"/>
      <c r="K248" s="9">
        <f t="shared" si="37"/>
        <v>0</v>
      </c>
      <c r="L248" s="35">
        <f t="shared" si="38"/>
        <v>0</v>
      </c>
      <c r="M248" s="2"/>
      <c r="O248" s="19"/>
      <c r="P248" s="19"/>
      <c r="Q248" s="19"/>
      <c r="R248" s="21"/>
      <c r="S248" s="46"/>
      <c r="T248" s="44"/>
      <c r="U248" s="77"/>
      <c r="V248" s="24"/>
      <c r="W248" s="24"/>
      <c r="X248" s="193"/>
      <c r="Y248" s="15"/>
    </row>
    <row r="249" spans="2:25" x14ac:dyDescent="0.25">
      <c r="B249" s="15">
        <v>247</v>
      </c>
      <c r="C249" s="8"/>
      <c r="E249" s="67"/>
      <c r="F249" s="16"/>
      <c r="G249" s="8"/>
      <c r="H249" s="8"/>
      <c r="I249" s="8"/>
      <c r="J249" s="9"/>
      <c r="K249" s="9">
        <f t="shared" si="37"/>
        <v>0</v>
      </c>
      <c r="L249" s="35">
        <f t="shared" si="38"/>
        <v>0</v>
      </c>
      <c r="M249" s="2"/>
      <c r="O249" s="19"/>
      <c r="P249" s="19"/>
      <c r="Q249" s="19"/>
      <c r="R249" s="21"/>
      <c r="S249" s="46"/>
      <c r="T249" s="44"/>
      <c r="U249" s="77"/>
      <c r="V249" s="24"/>
      <c r="W249" s="24"/>
      <c r="X249" s="193"/>
      <c r="Y249" s="15"/>
    </row>
    <row r="250" spans="2:25" x14ac:dyDescent="0.25">
      <c r="B250" s="15">
        <v>246</v>
      </c>
      <c r="C250" s="8"/>
      <c r="E250" s="67"/>
      <c r="F250" s="16"/>
      <c r="G250" s="8"/>
      <c r="H250" s="8"/>
      <c r="I250" s="8"/>
      <c r="J250" s="9"/>
      <c r="K250" s="9">
        <f t="shared" si="37"/>
        <v>0</v>
      </c>
      <c r="L250" s="35">
        <f t="shared" si="38"/>
        <v>0</v>
      </c>
      <c r="M250" s="2"/>
      <c r="O250" s="19"/>
      <c r="P250" s="19"/>
      <c r="Q250" s="19"/>
      <c r="R250" s="21"/>
      <c r="S250" s="46"/>
      <c r="T250" s="44"/>
      <c r="U250" s="77"/>
      <c r="V250" s="24"/>
      <c r="W250" s="24"/>
      <c r="X250" s="193"/>
      <c r="Y250" s="15"/>
    </row>
    <row r="251" spans="2:25" x14ac:dyDescent="0.25">
      <c r="B251" s="15">
        <v>249</v>
      </c>
      <c r="C251" s="8"/>
      <c r="E251" s="67"/>
      <c r="F251" s="16"/>
      <c r="G251" s="8"/>
      <c r="H251" s="8"/>
      <c r="I251" s="8"/>
      <c r="J251" s="9"/>
      <c r="K251" s="9">
        <f t="shared" si="37"/>
        <v>0</v>
      </c>
      <c r="L251" s="35">
        <f t="shared" si="38"/>
        <v>0</v>
      </c>
      <c r="M251" s="2"/>
      <c r="O251" s="19"/>
      <c r="P251" s="19"/>
      <c r="Q251" s="19"/>
      <c r="R251" s="21"/>
      <c r="S251" s="46"/>
      <c r="T251" s="44"/>
      <c r="U251" s="77"/>
      <c r="V251" s="24"/>
      <c r="W251" s="24"/>
      <c r="X251" s="193"/>
      <c r="Y251" s="15"/>
    </row>
    <row r="252" spans="2:25" x14ac:dyDescent="0.25">
      <c r="B252" s="15">
        <v>250</v>
      </c>
      <c r="C252" s="8"/>
      <c r="E252" s="67"/>
      <c r="F252" s="16"/>
      <c r="G252" s="8"/>
      <c r="H252" s="8"/>
      <c r="I252" s="8"/>
      <c r="J252" s="9"/>
      <c r="K252" s="9">
        <f t="shared" si="37"/>
        <v>0</v>
      </c>
      <c r="L252" s="35">
        <f t="shared" si="38"/>
        <v>0</v>
      </c>
      <c r="M252" s="2"/>
      <c r="O252" s="19"/>
      <c r="P252" s="19"/>
      <c r="Q252" s="19"/>
      <c r="R252" s="21"/>
      <c r="S252" s="46"/>
      <c r="T252" s="44"/>
      <c r="U252" s="77"/>
      <c r="V252" s="30"/>
      <c r="W252" s="24"/>
      <c r="X252" s="193"/>
      <c r="Y252" s="15"/>
    </row>
    <row r="253" spans="2:25" x14ac:dyDescent="0.25">
      <c r="B253" s="15">
        <v>251</v>
      </c>
      <c r="C253" s="8"/>
      <c r="E253" s="67"/>
      <c r="F253" s="16"/>
      <c r="G253" s="8"/>
      <c r="H253" s="8"/>
      <c r="I253" s="8"/>
      <c r="J253" s="9"/>
      <c r="K253" s="9">
        <f t="shared" si="37"/>
        <v>0</v>
      </c>
      <c r="L253" s="35">
        <f t="shared" si="38"/>
        <v>0</v>
      </c>
      <c r="M253" s="2"/>
      <c r="O253" s="19"/>
      <c r="P253" s="19"/>
      <c r="Q253" s="19"/>
      <c r="R253" s="21"/>
      <c r="S253" s="46"/>
      <c r="T253" s="44"/>
      <c r="U253" s="77"/>
      <c r="V253" s="30"/>
      <c r="W253" s="24"/>
      <c r="X253" s="193"/>
      <c r="Y253" s="15"/>
    </row>
    <row r="254" spans="2:25" x14ac:dyDescent="0.25">
      <c r="B254" s="15">
        <v>252</v>
      </c>
      <c r="C254" s="8"/>
      <c r="E254" s="67"/>
      <c r="F254" s="16"/>
      <c r="G254" s="8"/>
      <c r="H254" s="8"/>
      <c r="I254" s="8"/>
      <c r="J254" s="9"/>
      <c r="K254" s="9">
        <f t="shared" si="37"/>
        <v>0</v>
      </c>
      <c r="L254" s="35">
        <f t="shared" si="38"/>
        <v>0</v>
      </c>
      <c r="M254" s="2"/>
      <c r="O254" s="19"/>
      <c r="P254" s="19"/>
      <c r="Q254" s="19"/>
      <c r="R254" s="21"/>
      <c r="S254" s="46"/>
      <c r="T254" s="44"/>
      <c r="U254" s="77"/>
      <c r="V254" s="24"/>
      <c r="W254" s="24"/>
      <c r="X254" s="193"/>
      <c r="Y254" s="15"/>
    </row>
    <row r="255" spans="2:25" x14ac:dyDescent="0.25">
      <c r="B255" s="15">
        <v>253</v>
      </c>
      <c r="C255" s="8"/>
      <c r="E255" s="67"/>
      <c r="F255" s="16"/>
      <c r="G255" s="8"/>
      <c r="H255" s="8"/>
      <c r="I255" s="8"/>
      <c r="J255" s="9"/>
      <c r="K255" s="9">
        <f t="shared" si="37"/>
        <v>0</v>
      </c>
      <c r="L255" s="35">
        <f t="shared" si="38"/>
        <v>0</v>
      </c>
      <c r="M255" s="2"/>
      <c r="O255" s="19"/>
      <c r="P255" s="19"/>
      <c r="Q255" s="19"/>
      <c r="R255" s="21"/>
      <c r="S255" s="46"/>
      <c r="T255" s="44"/>
      <c r="U255" s="77"/>
      <c r="V255" s="30"/>
      <c r="W255" s="24"/>
      <c r="X255" s="193"/>
      <c r="Y255" s="15"/>
    </row>
    <row r="256" spans="2:25" x14ac:dyDescent="0.25">
      <c r="B256" s="15">
        <v>254</v>
      </c>
      <c r="C256" s="8"/>
      <c r="E256" s="67"/>
      <c r="F256" s="16"/>
      <c r="G256" s="8"/>
      <c r="H256" s="8"/>
      <c r="I256" s="8"/>
      <c r="J256" s="9"/>
      <c r="K256" s="9">
        <f t="shared" si="37"/>
        <v>0</v>
      </c>
      <c r="L256" s="35">
        <f t="shared" si="38"/>
        <v>0</v>
      </c>
      <c r="M256" s="2"/>
      <c r="O256" s="19"/>
      <c r="P256" s="19"/>
      <c r="Q256" s="19"/>
      <c r="R256" s="21"/>
      <c r="S256" s="46"/>
      <c r="T256" s="44"/>
      <c r="U256" s="77"/>
      <c r="V256" s="24"/>
      <c r="W256" s="24"/>
      <c r="X256" s="193"/>
      <c r="Y256" s="15"/>
    </row>
    <row r="257" spans="2:25" x14ac:dyDescent="0.25">
      <c r="B257" s="15">
        <v>255</v>
      </c>
      <c r="C257" s="8"/>
      <c r="E257" s="67"/>
      <c r="F257" s="16"/>
      <c r="G257" s="8"/>
      <c r="H257" s="8"/>
      <c r="I257" s="8"/>
      <c r="J257" s="9"/>
      <c r="K257" s="9">
        <f t="shared" si="37"/>
        <v>0</v>
      </c>
      <c r="L257" s="35">
        <f t="shared" si="38"/>
        <v>0</v>
      </c>
      <c r="M257" s="2"/>
      <c r="O257" s="19"/>
      <c r="P257" s="19"/>
      <c r="Q257" s="19"/>
      <c r="R257" s="21"/>
      <c r="S257" s="46"/>
      <c r="T257" s="44"/>
      <c r="U257" s="77"/>
      <c r="V257" s="24"/>
      <c r="W257" s="24"/>
      <c r="X257" s="193"/>
      <c r="Y257" s="15"/>
    </row>
    <row r="258" spans="2:25" x14ac:dyDescent="0.25">
      <c r="B258" s="15">
        <v>256</v>
      </c>
      <c r="C258" s="8"/>
      <c r="E258" s="67"/>
      <c r="F258" s="16"/>
      <c r="G258" s="8"/>
      <c r="H258" s="8"/>
      <c r="I258" s="8"/>
      <c r="J258" s="9"/>
      <c r="K258" s="9">
        <f t="shared" si="37"/>
        <v>0</v>
      </c>
      <c r="L258" s="35">
        <f t="shared" si="38"/>
        <v>0</v>
      </c>
      <c r="M258" s="2"/>
      <c r="O258" s="19"/>
      <c r="P258" s="19"/>
      <c r="Q258" s="19"/>
      <c r="R258" s="21"/>
      <c r="S258" s="46"/>
      <c r="T258" s="44"/>
      <c r="U258" s="77"/>
      <c r="V258" s="24"/>
      <c r="W258" s="24"/>
      <c r="X258" s="193"/>
      <c r="Y258" s="15"/>
    </row>
    <row r="259" spans="2:25" x14ac:dyDescent="0.25">
      <c r="B259" s="15">
        <v>257</v>
      </c>
      <c r="C259" s="8"/>
      <c r="E259" s="67"/>
      <c r="F259" s="16"/>
      <c r="G259" s="8"/>
      <c r="H259" s="8"/>
      <c r="I259" s="8"/>
      <c r="J259" s="9"/>
      <c r="K259" s="9">
        <f t="shared" ref="K259:K322" si="39">J259*1.1</f>
        <v>0</v>
      </c>
      <c r="L259" s="35">
        <f t="shared" ref="L259:L322" si="40">J259*0.00000001</f>
        <v>0</v>
      </c>
      <c r="M259" s="2"/>
      <c r="O259" s="19"/>
      <c r="P259" s="19"/>
      <c r="Q259" s="19"/>
      <c r="R259" s="21"/>
      <c r="S259" s="46"/>
      <c r="T259" s="44"/>
      <c r="U259" s="77"/>
      <c r="V259" s="30"/>
      <c r="W259" s="24"/>
      <c r="X259" s="193"/>
      <c r="Y259" s="15"/>
    </row>
    <row r="260" spans="2:25" x14ac:dyDescent="0.25">
      <c r="B260" s="15">
        <v>258</v>
      </c>
      <c r="C260" s="8"/>
      <c r="E260" s="67"/>
      <c r="F260" s="16"/>
      <c r="G260" s="8"/>
      <c r="H260" s="8"/>
      <c r="I260" s="8"/>
      <c r="J260" s="9"/>
      <c r="K260" s="9">
        <f t="shared" si="39"/>
        <v>0</v>
      </c>
      <c r="L260" s="35">
        <f t="shared" si="40"/>
        <v>0</v>
      </c>
      <c r="M260" s="2"/>
      <c r="O260" s="19"/>
      <c r="P260" s="19"/>
      <c r="Q260" s="19"/>
      <c r="R260" s="21"/>
      <c r="S260" s="46"/>
      <c r="T260" s="44"/>
      <c r="U260" s="77"/>
      <c r="V260" s="30"/>
      <c r="W260" s="24"/>
      <c r="X260" s="193"/>
      <c r="Y260" s="15"/>
    </row>
    <row r="261" spans="2:25" x14ac:dyDescent="0.25">
      <c r="B261" s="15">
        <v>259</v>
      </c>
      <c r="C261" s="8"/>
      <c r="E261" s="67"/>
      <c r="F261" s="16"/>
      <c r="G261" s="8"/>
      <c r="H261" s="8"/>
      <c r="I261" s="8"/>
      <c r="J261" s="9"/>
      <c r="K261" s="9">
        <f t="shared" si="39"/>
        <v>0</v>
      </c>
      <c r="L261" s="35">
        <f t="shared" si="40"/>
        <v>0</v>
      </c>
      <c r="M261" s="2"/>
      <c r="O261" s="19"/>
      <c r="P261" s="19"/>
      <c r="Q261" s="19"/>
      <c r="R261" s="21"/>
      <c r="S261" s="46"/>
      <c r="T261" s="44"/>
      <c r="U261" s="77"/>
      <c r="V261" s="24"/>
      <c r="W261" s="24"/>
      <c r="X261" s="193"/>
      <c r="Y261" s="15"/>
    </row>
    <row r="262" spans="2:25" x14ac:dyDescent="0.25">
      <c r="B262" s="15">
        <v>260</v>
      </c>
      <c r="C262" s="8"/>
      <c r="E262" s="67"/>
      <c r="F262" s="16"/>
      <c r="G262" s="8"/>
      <c r="H262" s="8"/>
      <c r="I262" s="8"/>
      <c r="J262" s="9"/>
      <c r="K262" s="9">
        <f t="shared" si="39"/>
        <v>0</v>
      </c>
      <c r="L262" s="35">
        <f t="shared" si="40"/>
        <v>0</v>
      </c>
      <c r="M262" s="2"/>
      <c r="O262" s="19"/>
      <c r="P262" s="19"/>
      <c r="Q262" s="19"/>
      <c r="R262" s="21"/>
      <c r="S262" s="46"/>
      <c r="T262" s="44"/>
      <c r="U262" s="77"/>
      <c r="V262" s="24"/>
      <c r="W262" s="24"/>
      <c r="X262" s="193"/>
      <c r="Y262" s="15"/>
    </row>
    <row r="263" spans="2:25" x14ac:dyDescent="0.25">
      <c r="B263" s="15">
        <v>261</v>
      </c>
      <c r="C263" s="8"/>
      <c r="E263" s="67"/>
      <c r="F263" s="16"/>
      <c r="G263" s="8"/>
      <c r="H263" s="8"/>
      <c r="I263" s="8"/>
      <c r="J263" s="9"/>
      <c r="K263" s="9">
        <f t="shared" si="39"/>
        <v>0</v>
      </c>
      <c r="L263" s="35">
        <f t="shared" si="40"/>
        <v>0</v>
      </c>
      <c r="M263" s="2"/>
      <c r="O263" s="19"/>
      <c r="P263" s="19"/>
      <c r="Q263" s="19"/>
      <c r="R263" s="21"/>
      <c r="S263" s="46"/>
      <c r="T263" s="44"/>
      <c r="U263" s="77"/>
      <c r="V263" s="24"/>
      <c r="W263" s="24"/>
      <c r="X263" s="193"/>
      <c r="Y263" s="15"/>
    </row>
    <row r="264" spans="2:25" x14ac:dyDescent="0.25">
      <c r="B264" s="15">
        <v>262</v>
      </c>
      <c r="C264" s="8"/>
      <c r="E264" s="67"/>
      <c r="F264" s="16"/>
      <c r="G264" s="8"/>
      <c r="H264" s="8"/>
      <c r="I264" s="8"/>
      <c r="J264" s="9"/>
      <c r="K264" s="9">
        <f t="shared" si="39"/>
        <v>0</v>
      </c>
      <c r="L264" s="35">
        <f t="shared" si="40"/>
        <v>0</v>
      </c>
      <c r="M264" s="2"/>
      <c r="O264" s="19"/>
      <c r="P264" s="19"/>
      <c r="Q264" s="19"/>
      <c r="R264" s="21"/>
      <c r="S264" s="46"/>
      <c r="T264" s="44"/>
      <c r="U264" s="77"/>
      <c r="V264" s="24"/>
      <c r="W264" s="24"/>
      <c r="X264" s="193"/>
      <c r="Y264" s="15"/>
    </row>
    <row r="265" spans="2:25" x14ac:dyDescent="0.25">
      <c r="B265" s="15">
        <v>263</v>
      </c>
      <c r="C265" s="8"/>
      <c r="E265" s="67"/>
      <c r="F265" s="16"/>
      <c r="G265" s="8"/>
      <c r="H265" s="8"/>
      <c r="I265" s="8"/>
      <c r="J265" s="9"/>
      <c r="K265" s="9">
        <f t="shared" si="39"/>
        <v>0</v>
      </c>
      <c r="L265" s="35">
        <f t="shared" si="40"/>
        <v>0</v>
      </c>
      <c r="M265" s="2"/>
      <c r="O265" s="19"/>
      <c r="P265" s="19"/>
      <c r="Q265" s="19"/>
      <c r="R265" s="21"/>
      <c r="S265" s="46"/>
      <c r="T265" s="44"/>
      <c r="U265" s="77"/>
      <c r="V265" s="24"/>
      <c r="W265" s="24"/>
      <c r="X265" s="193"/>
      <c r="Y265" s="15"/>
    </row>
    <row r="266" spans="2:25" x14ac:dyDescent="0.25">
      <c r="B266" s="15">
        <v>264</v>
      </c>
      <c r="C266" s="8"/>
      <c r="E266" s="67"/>
      <c r="F266" s="16"/>
      <c r="G266" s="8"/>
      <c r="H266" s="8"/>
      <c r="I266" s="8"/>
      <c r="J266" s="9"/>
      <c r="K266" s="9">
        <f t="shared" si="39"/>
        <v>0</v>
      </c>
      <c r="L266" s="35">
        <f t="shared" si="40"/>
        <v>0</v>
      </c>
      <c r="M266" s="2"/>
      <c r="O266" s="19"/>
      <c r="P266" s="19"/>
      <c r="Q266" s="19"/>
      <c r="R266" s="21"/>
      <c r="S266" s="46"/>
      <c r="T266" s="44"/>
      <c r="U266" s="77"/>
      <c r="V266" s="30"/>
      <c r="W266" s="24"/>
      <c r="X266" s="193"/>
      <c r="Y266" s="15"/>
    </row>
    <row r="267" spans="2:25" x14ac:dyDescent="0.25">
      <c r="B267" s="15">
        <v>265</v>
      </c>
      <c r="C267" s="8"/>
      <c r="E267" s="67"/>
      <c r="F267" s="16"/>
      <c r="G267" s="8"/>
      <c r="H267" s="8"/>
      <c r="I267" s="8"/>
      <c r="J267" s="9"/>
      <c r="K267" s="9">
        <f t="shared" si="39"/>
        <v>0</v>
      </c>
      <c r="L267" s="35">
        <f t="shared" si="40"/>
        <v>0</v>
      </c>
      <c r="M267" s="2"/>
      <c r="O267" s="19"/>
      <c r="P267" s="19"/>
      <c r="Q267" s="19"/>
      <c r="R267" s="21"/>
      <c r="S267" s="46"/>
      <c r="T267" s="44"/>
      <c r="U267" s="77"/>
      <c r="V267" s="30"/>
      <c r="W267" s="24"/>
      <c r="X267" s="193"/>
      <c r="Y267" s="15"/>
    </row>
    <row r="268" spans="2:25" x14ac:dyDescent="0.25">
      <c r="B268" s="15">
        <v>266</v>
      </c>
      <c r="C268" s="8"/>
      <c r="E268" s="67"/>
      <c r="F268" s="16"/>
      <c r="G268" s="8"/>
      <c r="H268" s="8"/>
      <c r="I268" s="8"/>
      <c r="J268" s="9"/>
      <c r="K268" s="9">
        <f t="shared" si="39"/>
        <v>0</v>
      </c>
      <c r="L268" s="35">
        <f t="shared" si="40"/>
        <v>0</v>
      </c>
      <c r="M268" s="2"/>
      <c r="O268" s="19"/>
      <c r="P268" s="19"/>
      <c r="Q268" s="19"/>
      <c r="R268" s="21"/>
      <c r="S268" s="46"/>
      <c r="T268" s="44"/>
      <c r="U268" s="77"/>
      <c r="V268" s="30"/>
      <c r="W268" s="24"/>
      <c r="X268" s="193"/>
      <c r="Y268" s="15"/>
    </row>
    <row r="269" spans="2:25" x14ac:dyDescent="0.25">
      <c r="B269" s="15">
        <v>267</v>
      </c>
      <c r="C269" s="8"/>
      <c r="E269" s="67"/>
      <c r="F269" s="16"/>
      <c r="G269" s="8"/>
      <c r="H269" s="8"/>
      <c r="I269" s="8"/>
      <c r="J269" s="9"/>
      <c r="K269" s="9">
        <f t="shared" si="39"/>
        <v>0</v>
      </c>
      <c r="L269" s="35">
        <f t="shared" si="40"/>
        <v>0</v>
      </c>
      <c r="M269" s="2"/>
      <c r="O269" s="19"/>
      <c r="P269" s="19"/>
      <c r="Q269" s="19"/>
      <c r="R269" s="21"/>
      <c r="S269" s="46"/>
      <c r="T269" s="44"/>
      <c r="U269" s="77"/>
      <c r="V269" s="30"/>
      <c r="W269" s="24"/>
      <c r="X269" s="193"/>
      <c r="Y269" s="15"/>
    </row>
    <row r="270" spans="2:25" x14ac:dyDescent="0.25">
      <c r="B270" s="15">
        <v>268</v>
      </c>
      <c r="C270" s="8"/>
      <c r="E270" s="67"/>
      <c r="F270" s="16"/>
      <c r="G270" s="8"/>
      <c r="H270" s="8"/>
      <c r="I270" s="8"/>
      <c r="J270" s="9"/>
      <c r="K270" s="9">
        <f t="shared" si="39"/>
        <v>0</v>
      </c>
      <c r="L270" s="35">
        <f t="shared" si="40"/>
        <v>0</v>
      </c>
      <c r="M270" s="2"/>
      <c r="O270" s="19"/>
      <c r="P270" s="19"/>
      <c r="Q270" s="19"/>
      <c r="R270" s="21"/>
      <c r="S270" s="46"/>
      <c r="T270" s="44"/>
      <c r="U270" s="77"/>
      <c r="V270" s="24"/>
      <c r="W270" s="24"/>
      <c r="X270" s="193"/>
      <c r="Y270" s="15"/>
    </row>
    <row r="271" spans="2:25" x14ac:dyDescent="0.25">
      <c r="B271" s="15">
        <v>269</v>
      </c>
      <c r="C271" s="8"/>
      <c r="E271" s="67"/>
      <c r="F271" s="16"/>
      <c r="G271" s="8"/>
      <c r="H271" s="8"/>
      <c r="I271" s="8"/>
      <c r="J271" s="9"/>
      <c r="K271" s="9">
        <f t="shared" si="39"/>
        <v>0</v>
      </c>
      <c r="L271" s="35">
        <f t="shared" si="40"/>
        <v>0</v>
      </c>
      <c r="M271" s="2"/>
      <c r="O271" s="19"/>
      <c r="P271" s="19"/>
      <c r="Q271" s="19"/>
      <c r="R271" s="21"/>
      <c r="S271" s="46"/>
      <c r="T271" s="44"/>
      <c r="U271" s="77"/>
      <c r="V271" s="24"/>
      <c r="W271" s="24"/>
      <c r="X271" s="193"/>
      <c r="Y271" s="15"/>
    </row>
    <row r="272" spans="2:25" x14ac:dyDescent="0.25">
      <c r="B272" s="15">
        <v>270</v>
      </c>
      <c r="C272" s="8"/>
      <c r="E272" s="67"/>
      <c r="F272" s="16"/>
      <c r="G272" s="8"/>
      <c r="H272" s="8"/>
      <c r="I272" s="8"/>
      <c r="J272" s="9"/>
      <c r="K272" s="9">
        <f t="shared" si="39"/>
        <v>0</v>
      </c>
      <c r="L272" s="35">
        <f t="shared" si="40"/>
        <v>0</v>
      </c>
      <c r="M272" s="2"/>
      <c r="O272" s="19"/>
      <c r="P272" s="19"/>
      <c r="Q272" s="19"/>
      <c r="R272" s="21"/>
      <c r="S272" s="46"/>
      <c r="T272" s="44"/>
      <c r="U272" s="77"/>
      <c r="V272" s="24"/>
      <c r="W272" s="24"/>
      <c r="X272" s="193"/>
      <c r="Y272" s="15"/>
    </row>
    <row r="273" spans="2:25" x14ac:dyDescent="0.25">
      <c r="B273" s="15">
        <v>271</v>
      </c>
      <c r="C273" s="8"/>
      <c r="E273" s="67"/>
      <c r="F273" s="16"/>
      <c r="G273" s="8"/>
      <c r="H273" s="8"/>
      <c r="I273" s="8"/>
      <c r="J273" s="9"/>
      <c r="K273" s="9">
        <f t="shared" si="39"/>
        <v>0</v>
      </c>
      <c r="L273" s="35">
        <f t="shared" si="40"/>
        <v>0</v>
      </c>
      <c r="M273" s="2"/>
      <c r="O273" s="19"/>
      <c r="P273" s="19"/>
      <c r="Q273" s="19"/>
      <c r="R273" s="21"/>
      <c r="S273" s="46"/>
      <c r="T273" s="44"/>
      <c r="U273" s="77"/>
      <c r="V273" s="24"/>
      <c r="W273" s="24"/>
      <c r="X273" s="193"/>
      <c r="Y273" s="15"/>
    </row>
    <row r="274" spans="2:25" x14ac:dyDescent="0.25">
      <c r="B274" s="15">
        <v>272</v>
      </c>
      <c r="C274" s="8"/>
      <c r="E274" s="67"/>
      <c r="F274" s="16"/>
      <c r="G274" s="8"/>
      <c r="H274" s="8"/>
      <c r="I274" s="8"/>
      <c r="J274" s="9"/>
      <c r="K274" s="9">
        <f t="shared" si="39"/>
        <v>0</v>
      </c>
      <c r="L274" s="35">
        <f t="shared" si="40"/>
        <v>0</v>
      </c>
      <c r="M274" s="2"/>
      <c r="O274" s="19"/>
      <c r="P274" s="19"/>
      <c r="Q274" s="19"/>
      <c r="R274" s="21"/>
      <c r="S274" s="46"/>
      <c r="T274" s="44"/>
      <c r="U274" s="77"/>
      <c r="V274" s="24"/>
      <c r="W274" s="24"/>
      <c r="X274" s="193"/>
      <c r="Y274" s="15"/>
    </row>
    <row r="275" spans="2:25" x14ac:dyDescent="0.25">
      <c r="B275" s="15">
        <v>273</v>
      </c>
      <c r="C275" s="8"/>
      <c r="E275" s="67"/>
      <c r="F275" s="16"/>
      <c r="G275" s="8"/>
      <c r="H275" s="8"/>
      <c r="I275" s="8"/>
      <c r="J275" s="9"/>
      <c r="K275" s="9">
        <f t="shared" si="39"/>
        <v>0</v>
      </c>
      <c r="L275" s="35">
        <f t="shared" si="40"/>
        <v>0</v>
      </c>
      <c r="M275" s="2"/>
      <c r="O275" s="19"/>
      <c r="P275" s="19"/>
      <c r="Q275" s="19"/>
      <c r="R275" s="21"/>
      <c r="S275" s="46"/>
      <c r="T275" s="44"/>
      <c r="U275" s="77"/>
      <c r="V275" s="30"/>
      <c r="W275" s="24"/>
      <c r="X275" s="193"/>
      <c r="Y275" s="15"/>
    </row>
    <row r="276" spans="2:25" x14ac:dyDescent="0.25">
      <c r="B276" s="15">
        <v>274</v>
      </c>
      <c r="C276" s="8"/>
      <c r="E276" s="67"/>
      <c r="F276" s="16"/>
      <c r="G276" s="8"/>
      <c r="H276" s="8"/>
      <c r="I276" s="8"/>
      <c r="J276" s="9"/>
      <c r="K276" s="9">
        <f t="shared" si="39"/>
        <v>0</v>
      </c>
      <c r="L276" s="35">
        <f t="shared" si="40"/>
        <v>0</v>
      </c>
      <c r="M276" s="2"/>
      <c r="O276" s="19"/>
      <c r="P276" s="19"/>
      <c r="Q276" s="19"/>
      <c r="R276" s="21"/>
      <c r="S276" s="46"/>
      <c r="T276" s="44"/>
      <c r="U276" s="77"/>
      <c r="V276" s="30"/>
      <c r="W276" s="24"/>
      <c r="X276" s="193"/>
      <c r="Y276" s="15"/>
    </row>
    <row r="277" spans="2:25" x14ac:dyDescent="0.25">
      <c r="B277" s="15">
        <v>275</v>
      </c>
      <c r="C277" s="8"/>
      <c r="E277" s="67"/>
      <c r="F277" s="16"/>
      <c r="G277" s="8"/>
      <c r="H277" s="8"/>
      <c r="I277" s="8"/>
      <c r="J277" s="9"/>
      <c r="K277" s="9">
        <f t="shared" si="39"/>
        <v>0</v>
      </c>
      <c r="L277" s="35">
        <f t="shared" si="40"/>
        <v>0</v>
      </c>
      <c r="M277" s="2"/>
      <c r="O277" s="19"/>
      <c r="P277" s="19"/>
      <c r="Q277" s="19"/>
      <c r="R277" s="21"/>
      <c r="S277" s="46"/>
      <c r="T277" s="44"/>
      <c r="U277" s="77"/>
      <c r="V277" s="24"/>
      <c r="W277" s="24"/>
      <c r="X277" s="193"/>
      <c r="Y277" s="15"/>
    </row>
    <row r="278" spans="2:25" x14ac:dyDescent="0.25">
      <c r="B278" s="15">
        <v>276</v>
      </c>
      <c r="C278" s="8"/>
      <c r="E278" s="67"/>
      <c r="F278" s="16"/>
      <c r="G278" s="8"/>
      <c r="H278" s="8"/>
      <c r="I278" s="8"/>
      <c r="J278" s="9"/>
      <c r="K278" s="9">
        <f t="shared" si="39"/>
        <v>0</v>
      </c>
      <c r="L278" s="35">
        <f t="shared" si="40"/>
        <v>0</v>
      </c>
      <c r="M278" s="2"/>
      <c r="O278" s="19"/>
      <c r="P278" s="19"/>
      <c r="Q278" s="19"/>
      <c r="R278" s="21"/>
      <c r="S278" s="46"/>
      <c r="T278" s="44"/>
      <c r="U278" s="77"/>
      <c r="V278" s="24"/>
      <c r="W278" s="24"/>
      <c r="X278" s="193"/>
      <c r="Y278" s="15"/>
    </row>
    <row r="279" spans="2:25" x14ac:dyDescent="0.25">
      <c r="B279" s="15">
        <v>277</v>
      </c>
      <c r="C279" s="8"/>
      <c r="E279" s="67"/>
      <c r="F279" s="16"/>
      <c r="G279" s="8"/>
      <c r="H279" s="8"/>
      <c r="I279" s="8"/>
      <c r="J279" s="9"/>
      <c r="K279" s="9">
        <f t="shared" si="39"/>
        <v>0</v>
      </c>
      <c r="L279" s="35">
        <f t="shared" si="40"/>
        <v>0</v>
      </c>
      <c r="M279" s="2"/>
      <c r="O279" s="19"/>
      <c r="P279" s="19"/>
      <c r="Q279" s="19"/>
      <c r="R279" s="21"/>
      <c r="S279" s="46"/>
      <c r="T279" s="44"/>
      <c r="U279" s="77"/>
      <c r="V279" s="24"/>
      <c r="W279" s="24"/>
      <c r="X279" s="193"/>
      <c r="Y279" s="15"/>
    </row>
    <row r="280" spans="2:25" x14ac:dyDescent="0.25">
      <c r="B280" s="15">
        <v>278</v>
      </c>
      <c r="C280" s="8"/>
      <c r="E280" s="67"/>
      <c r="F280" s="16"/>
      <c r="G280" s="8"/>
      <c r="H280" s="8"/>
      <c r="I280" s="8"/>
      <c r="J280" s="9"/>
      <c r="K280" s="9">
        <f t="shared" si="39"/>
        <v>0</v>
      </c>
      <c r="L280" s="35">
        <f t="shared" si="40"/>
        <v>0</v>
      </c>
      <c r="M280" s="2"/>
      <c r="O280" s="19"/>
      <c r="P280" s="19"/>
      <c r="Q280" s="19"/>
      <c r="R280" s="21"/>
      <c r="S280" s="46"/>
      <c r="T280" s="44"/>
      <c r="U280" s="77"/>
      <c r="V280" s="24"/>
      <c r="W280" s="24"/>
      <c r="X280" s="193"/>
      <c r="Y280" s="15"/>
    </row>
    <row r="281" spans="2:25" x14ac:dyDescent="0.25">
      <c r="B281" s="15">
        <v>279</v>
      </c>
      <c r="C281" s="8"/>
      <c r="E281" s="67"/>
      <c r="F281" s="16"/>
      <c r="G281" s="8"/>
      <c r="H281" s="8"/>
      <c r="I281" s="8"/>
      <c r="J281" s="9"/>
      <c r="K281" s="9">
        <f t="shared" si="39"/>
        <v>0</v>
      </c>
      <c r="L281" s="35">
        <f t="shared" si="40"/>
        <v>0</v>
      </c>
      <c r="M281" s="2"/>
      <c r="O281" s="19"/>
      <c r="P281" s="19"/>
      <c r="Q281" s="19"/>
      <c r="R281" s="21"/>
      <c r="S281" s="46"/>
      <c r="T281" s="44"/>
      <c r="U281" s="77"/>
      <c r="V281" s="24"/>
      <c r="W281" s="24"/>
      <c r="X281" s="193"/>
      <c r="Y281" s="15"/>
    </row>
    <row r="282" spans="2:25" x14ac:dyDescent="0.25">
      <c r="B282" s="15">
        <v>280</v>
      </c>
      <c r="C282" s="8"/>
      <c r="E282" s="67"/>
      <c r="F282" s="16"/>
      <c r="G282" s="8"/>
      <c r="H282" s="8"/>
      <c r="I282" s="8"/>
      <c r="J282" s="9"/>
      <c r="K282" s="9">
        <f t="shared" si="39"/>
        <v>0</v>
      </c>
      <c r="L282" s="35">
        <f t="shared" si="40"/>
        <v>0</v>
      </c>
      <c r="M282" s="2"/>
      <c r="O282" s="19"/>
      <c r="P282" s="19"/>
      <c r="Q282" s="19"/>
      <c r="R282" s="21"/>
      <c r="S282" s="46"/>
      <c r="T282" s="44"/>
      <c r="U282" s="77"/>
      <c r="V282" s="30"/>
      <c r="W282" s="24"/>
      <c r="X282" s="193"/>
      <c r="Y282" s="15"/>
    </row>
    <row r="283" spans="2:25" x14ac:dyDescent="0.25">
      <c r="B283" s="15">
        <v>281</v>
      </c>
      <c r="C283" s="8"/>
      <c r="E283" s="67"/>
      <c r="F283" s="16"/>
      <c r="G283" s="8"/>
      <c r="H283" s="8"/>
      <c r="I283" s="8"/>
      <c r="J283" s="9"/>
      <c r="K283" s="9">
        <f t="shared" si="39"/>
        <v>0</v>
      </c>
      <c r="L283" s="35">
        <f t="shared" si="40"/>
        <v>0</v>
      </c>
      <c r="M283" s="2"/>
      <c r="O283" s="19"/>
      <c r="P283" s="19"/>
      <c r="Q283" s="19"/>
      <c r="R283" s="21"/>
      <c r="S283" s="46"/>
      <c r="T283" s="44"/>
      <c r="U283" s="77"/>
      <c r="V283" s="30"/>
      <c r="W283" s="24"/>
      <c r="X283" s="193"/>
      <c r="Y283" s="15"/>
    </row>
    <row r="284" spans="2:25" x14ac:dyDescent="0.25">
      <c r="B284" s="15">
        <v>282</v>
      </c>
      <c r="C284" s="8"/>
      <c r="E284" s="67"/>
      <c r="F284" s="16"/>
      <c r="G284" s="8"/>
      <c r="H284" s="8"/>
      <c r="I284" s="8"/>
      <c r="J284" s="9"/>
      <c r="K284" s="9">
        <f t="shared" si="39"/>
        <v>0</v>
      </c>
      <c r="L284" s="35">
        <f t="shared" si="40"/>
        <v>0</v>
      </c>
      <c r="M284" s="2"/>
      <c r="O284" s="19"/>
      <c r="P284" s="19"/>
      <c r="Q284" s="19"/>
      <c r="R284" s="21"/>
      <c r="S284" s="46"/>
      <c r="T284" s="44"/>
      <c r="U284" s="77"/>
      <c r="V284" s="30"/>
      <c r="W284" s="24"/>
      <c r="X284" s="193"/>
      <c r="Y284" s="15"/>
    </row>
    <row r="285" spans="2:25" x14ac:dyDescent="0.25">
      <c r="B285" s="15">
        <v>283</v>
      </c>
      <c r="C285" s="8"/>
      <c r="E285" s="67"/>
      <c r="K285" s="9">
        <f t="shared" si="39"/>
        <v>0</v>
      </c>
      <c r="L285" s="35">
        <f t="shared" si="40"/>
        <v>0</v>
      </c>
      <c r="S285" s="5"/>
      <c r="T285" s="44"/>
      <c r="U285" s="77"/>
      <c r="V285" s="79"/>
      <c r="W285" s="24"/>
      <c r="X285" s="193"/>
      <c r="Y285" s="15"/>
    </row>
    <row r="286" spans="2:25" x14ac:dyDescent="0.25">
      <c r="B286" s="15">
        <v>284</v>
      </c>
      <c r="C286" s="8"/>
      <c r="K286" s="9">
        <f t="shared" si="39"/>
        <v>0</v>
      </c>
      <c r="L286" s="35">
        <f t="shared" si="40"/>
        <v>0</v>
      </c>
      <c r="T286" s="44"/>
      <c r="U286" s="77"/>
      <c r="V286" s="79"/>
      <c r="W286" s="24"/>
      <c r="X286" s="193"/>
      <c r="Y286" s="15"/>
    </row>
    <row r="287" spans="2:25" x14ac:dyDescent="0.25">
      <c r="B287" s="15">
        <v>285</v>
      </c>
      <c r="C287" s="8"/>
      <c r="K287" s="9">
        <f t="shared" si="39"/>
        <v>0</v>
      </c>
      <c r="L287" s="35">
        <f t="shared" si="40"/>
        <v>0</v>
      </c>
      <c r="T287" s="44"/>
      <c r="U287" s="77"/>
      <c r="V287" s="79"/>
      <c r="W287" s="24"/>
      <c r="X287" s="193"/>
      <c r="Y287" s="15"/>
    </row>
    <row r="288" spans="2:25" x14ac:dyDescent="0.25">
      <c r="B288" s="15">
        <v>286</v>
      </c>
      <c r="C288" s="8"/>
      <c r="K288" s="9">
        <f t="shared" si="39"/>
        <v>0</v>
      </c>
      <c r="L288" s="35">
        <f t="shared" si="40"/>
        <v>0</v>
      </c>
      <c r="T288" s="44"/>
      <c r="U288" s="77"/>
      <c r="V288" s="79"/>
      <c r="W288" s="24"/>
      <c r="X288" s="193"/>
      <c r="Y288" s="15"/>
    </row>
    <row r="289" spans="2:25" x14ac:dyDescent="0.25">
      <c r="B289" s="15">
        <v>287</v>
      </c>
      <c r="C289" s="8"/>
      <c r="K289" s="9">
        <f t="shared" si="39"/>
        <v>0</v>
      </c>
      <c r="L289" s="35">
        <f t="shared" si="40"/>
        <v>0</v>
      </c>
      <c r="T289" s="44"/>
      <c r="U289" s="77"/>
      <c r="V289" s="79"/>
      <c r="W289" s="24"/>
      <c r="X289" s="193"/>
      <c r="Y289" s="15"/>
    </row>
    <row r="290" spans="2:25" x14ac:dyDescent="0.25">
      <c r="B290" s="15">
        <v>288</v>
      </c>
      <c r="C290" s="8"/>
      <c r="K290" s="9">
        <f t="shared" si="39"/>
        <v>0</v>
      </c>
      <c r="L290" s="35">
        <f t="shared" si="40"/>
        <v>0</v>
      </c>
      <c r="T290" s="44"/>
      <c r="U290" s="77"/>
      <c r="V290" s="79"/>
      <c r="W290" s="24"/>
      <c r="X290" s="193"/>
      <c r="Y290" s="15"/>
    </row>
    <row r="291" spans="2:25" x14ac:dyDescent="0.25">
      <c r="B291" s="15">
        <v>289</v>
      </c>
      <c r="C291" s="8"/>
      <c r="K291" s="9">
        <f t="shared" si="39"/>
        <v>0</v>
      </c>
      <c r="L291" s="35">
        <f t="shared" si="40"/>
        <v>0</v>
      </c>
      <c r="T291" s="44"/>
      <c r="U291" s="77"/>
      <c r="V291" s="79"/>
      <c r="W291" s="24"/>
      <c r="X291" s="193"/>
      <c r="Y291" s="15"/>
    </row>
    <row r="292" spans="2:25" x14ac:dyDescent="0.25">
      <c r="B292" s="15">
        <v>290</v>
      </c>
      <c r="C292" s="8"/>
      <c r="K292" s="9">
        <f t="shared" si="39"/>
        <v>0</v>
      </c>
      <c r="L292" s="35">
        <f t="shared" si="40"/>
        <v>0</v>
      </c>
      <c r="T292" s="44"/>
      <c r="U292" s="77"/>
      <c r="V292" s="79"/>
      <c r="W292" s="24"/>
      <c r="X292" s="193"/>
      <c r="Y292" s="15"/>
    </row>
    <row r="293" spans="2:25" x14ac:dyDescent="0.25">
      <c r="B293" s="15">
        <v>291</v>
      </c>
      <c r="C293" s="8"/>
      <c r="K293" s="9">
        <f t="shared" si="39"/>
        <v>0</v>
      </c>
      <c r="L293" s="35">
        <f t="shared" si="40"/>
        <v>0</v>
      </c>
      <c r="T293" s="44"/>
      <c r="U293" s="77"/>
      <c r="V293" s="79"/>
      <c r="W293" s="24"/>
      <c r="X293" s="193"/>
      <c r="Y293" s="15"/>
    </row>
    <row r="294" spans="2:25" x14ac:dyDescent="0.25">
      <c r="B294" s="15">
        <v>292</v>
      </c>
      <c r="C294" s="8"/>
      <c r="K294" s="9">
        <f t="shared" si="39"/>
        <v>0</v>
      </c>
      <c r="L294" s="35">
        <f t="shared" si="40"/>
        <v>0</v>
      </c>
      <c r="T294" s="44"/>
      <c r="U294" s="77"/>
      <c r="V294" s="79"/>
      <c r="W294" s="24"/>
      <c r="X294" s="193"/>
      <c r="Y294" s="15"/>
    </row>
    <row r="295" spans="2:25" x14ac:dyDescent="0.25">
      <c r="B295" s="15">
        <v>293</v>
      </c>
      <c r="C295" s="8"/>
      <c r="K295" s="9">
        <f t="shared" si="39"/>
        <v>0</v>
      </c>
      <c r="L295" s="35">
        <f t="shared" si="40"/>
        <v>0</v>
      </c>
      <c r="T295" s="44"/>
      <c r="U295" s="77"/>
      <c r="V295" s="79"/>
      <c r="W295" s="24"/>
      <c r="X295" s="193"/>
      <c r="Y295" s="15"/>
    </row>
    <row r="296" spans="2:25" x14ac:dyDescent="0.25">
      <c r="B296" s="15">
        <v>294</v>
      </c>
      <c r="C296" s="8"/>
      <c r="K296" s="9">
        <f t="shared" si="39"/>
        <v>0</v>
      </c>
      <c r="L296" s="35">
        <f t="shared" si="40"/>
        <v>0</v>
      </c>
      <c r="T296" s="44"/>
      <c r="U296" s="77"/>
      <c r="V296" s="79"/>
      <c r="W296" s="24"/>
      <c r="X296" s="193"/>
      <c r="Y296" s="15"/>
    </row>
    <row r="297" spans="2:25" x14ac:dyDescent="0.25">
      <c r="B297" s="15">
        <v>295</v>
      </c>
      <c r="C297" s="8"/>
      <c r="K297" s="9">
        <f t="shared" si="39"/>
        <v>0</v>
      </c>
      <c r="L297" s="35">
        <f t="shared" si="40"/>
        <v>0</v>
      </c>
      <c r="T297" s="44"/>
      <c r="U297" s="77"/>
      <c r="V297" s="79"/>
      <c r="W297" s="24"/>
      <c r="X297" s="193"/>
      <c r="Y297" s="15"/>
    </row>
    <row r="298" spans="2:25" x14ac:dyDescent="0.25">
      <c r="B298" s="15">
        <v>296</v>
      </c>
      <c r="C298" s="8"/>
      <c r="K298" s="9">
        <f t="shared" si="39"/>
        <v>0</v>
      </c>
      <c r="L298" s="35">
        <f t="shared" si="40"/>
        <v>0</v>
      </c>
      <c r="T298" s="44"/>
      <c r="U298" s="77"/>
      <c r="V298" s="79"/>
      <c r="W298" s="24"/>
      <c r="X298" s="193"/>
      <c r="Y298" s="15"/>
    </row>
    <row r="299" spans="2:25" x14ac:dyDescent="0.25">
      <c r="B299" s="15">
        <v>297</v>
      </c>
      <c r="C299" s="8"/>
      <c r="K299" s="9">
        <f t="shared" si="39"/>
        <v>0</v>
      </c>
      <c r="L299" s="35">
        <f t="shared" si="40"/>
        <v>0</v>
      </c>
      <c r="T299" s="44"/>
      <c r="U299" s="77"/>
      <c r="V299" s="79"/>
      <c r="W299" s="24"/>
      <c r="X299" s="193"/>
      <c r="Y299" s="15"/>
    </row>
    <row r="300" spans="2:25" x14ac:dyDescent="0.25">
      <c r="B300" s="15">
        <v>298</v>
      </c>
      <c r="C300" s="8"/>
      <c r="K300" s="9">
        <f t="shared" si="39"/>
        <v>0</v>
      </c>
      <c r="L300" s="35">
        <f t="shared" si="40"/>
        <v>0</v>
      </c>
      <c r="T300" s="44"/>
      <c r="U300" s="77"/>
      <c r="V300" s="79"/>
      <c r="W300" s="24"/>
      <c r="X300" s="193"/>
      <c r="Y300" s="15"/>
    </row>
    <row r="301" spans="2:25" x14ac:dyDescent="0.25">
      <c r="B301" s="15">
        <v>298</v>
      </c>
      <c r="C301" s="8"/>
      <c r="K301" s="9">
        <f t="shared" si="39"/>
        <v>0</v>
      </c>
      <c r="L301" s="35">
        <f t="shared" si="40"/>
        <v>0</v>
      </c>
      <c r="T301" s="44"/>
      <c r="U301" s="77"/>
      <c r="V301" s="79"/>
      <c r="W301" s="24"/>
      <c r="X301" s="193"/>
      <c r="Y301" s="15"/>
    </row>
    <row r="302" spans="2:25" x14ac:dyDescent="0.25">
      <c r="B302" s="15">
        <v>298</v>
      </c>
      <c r="G302" s="8"/>
      <c r="H302" s="8"/>
      <c r="K302" s="9">
        <f t="shared" si="39"/>
        <v>0</v>
      </c>
      <c r="L302" s="35">
        <f t="shared" si="40"/>
        <v>0</v>
      </c>
      <c r="W302" s="24"/>
    </row>
    <row r="303" spans="2:25" x14ac:dyDescent="0.25">
      <c r="B303" s="15">
        <v>298</v>
      </c>
      <c r="C303" s="8"/>
      <c r="K303" s="9">
        <f t="shared" si="39"/>
        <v>0</v>
      </c>
      <c r="L303" s="35">
        <f t="shared" si="40"/>
        <v>0</v>
      </c>
      <c r="W303" s="24"/>
    </row>
    <row r="304" spans="2:25" x14ac:dyDescent="0.25">
      <c r="B304" s="15">
        <v>298</v>
      </c>
      <c r="C304" s="8"/>
      <c r="K304" s="9">
        <f t="shared" si="39"/>
        <v>0</v>
      </c>
      <c r="L304" s="35">
        <f t="shared" si="40"/>
        <v>0</v>
      </c>
      <c r="W304" s="24"/>
    </row>
    <row r="305" spans="2:25" x14ac:dyDescent="0.25">
      <c r="B305" s="15">
        <v>298</v>
      </c>
      <c r="C305" s="8"/>
      <c r="E305" s="67"/>
      <c r="F305" s="16"/>
      <c r="G305" s="8"/>
      <c r="H305" s="8"/>
      <c r="I305" s="8"/>
      <c r="J305" s="9"/>
      <c r="K305" s="9">
        <f t="shared" si="39"/>
        <v>0</v>
      </c>
      <c r="L305" s="35">
        <f t="shared" si="40"/>
        <v>0</v>
      </c>
      <c r="M305" s="2"/>
      <c r="O305" s="19"/>
      <c r="P305" s="19"/>
      <c r="Q305" s="19"/>
      <c r="R305" s="21"/>
      <c r="S305" s="46"/>
      <c r="T305" s="44"/>
      <c r="U305" s="77"/>
      <c r="V305" s="24"/>
      <c r="W305" s="24"/>
      <c r="X305" s="193"/>
      <c r="Y305" s="15"/>
    </row>
    <row r="306" spans="2:25" x14ac:dyDescent="0.25">
      <c r="B306" s="15">
        <v>298</v>
      </c>
      <c r="C306" s="8"/>
      <c r="E306" s="67"/>
      <c r="F306" s="16"/>
      <c r="G306" s="8"/>
      <c r="H306" s="8"/>
      <c r="I306" s="8"/>
      <c r="J306" s="9"/>
      <c r="K306" s="9">
        <f t="shared" si="39"/>
        <v>0</v>
      </c>
      <c r="L306" s="35">
        <f t="shared" si="40"/>
        <v>0</v>
      </c>
      <c r="M306" s="2"/>
      <c r="O306" s="19"/>
      <c r="P306" s="19"/>
      <c r="Q306" s="19"/>
      <c r="R306" s="21"/>
      <c r="S306" s="46"/>
      <c r="T306" s="44"/>
      <c r="U306" s="77"/>
      <c r="V306" s="24"/>
      <c r="W306" s="24"/>
      <c r="X306" s="193"/>
      <c r="Y306" s="15"/>
    </row>
    <row r="307" spans="2:25" x14ac:dyDescent="0.25">
      <c r="B307" s="15">
        <v>298</v>
      </c>
      <c r="C307" s="8"/>
      <c r="E307" s="67"/>
      <c r="F307" s="16"/>
      <c r="G307" s="8"/>
      <c r="H307" s="8"/>
      <c r="I307" s="8"/>
      <c r="J307" s="9"/>
      <c r="K307" s="9">
        <f t="shared" si="39"/>
        <v>0</v>
      </c>
      <c r="L307" s="35">
        <f t="shared" si="40"/>
        <v>0</v>
      </c>
      <c r="M307" s="2"/>
      <c r="O307" s="19"/>
      <c r="P307" s="19"/>
      <c r="Q307" s="19"/>
      <c r="R307" s="21"/>
      <c r="S307" s="46"/>
      <c r="T307" s="44"/>
      <c r="U307" s="77"/>
      <c r="V307" s="24"/>
      <c r="W307" s="24"/>
      <c r="X307" s="193"/>
      <c r="Y307" s="15"/>
    </row>
    <row r="308" spans="2:25" x14ac:dyDescent="0.25">
      <c r="B308" s="15">
        <v>298</v>
      </c>
      <c r="C308" s="8"/>
      <c r="E308" s="67"/>
      <c r="F308" s="16"/>
      <c r="G308" s="8"/>
      <c r="H308" s="8"/>
      <c r="I308" s="8"/>
      <c r="J308" s="9"/>
      <c r="K308" s="9">
        <f t="shared" si="39"/>
        <v>0</v>
      </c>
      <c r="L308" s="35">
        <f t="shared" si="40"/>
        <v>0</v>
      </c>
      <c r="M308" s="2"/>
      <c r="O308" s="19"/>
      <c r="P308" s="19"/>
      <c r="Q308" s="19"/>
      <c r="R308" s="21"/>
      <c r="S308" s="46"/>
      <c r="T308" s="44"/>
      <c r="U308" s="77"/>
      <c r="V308" s="24"/>
      <c r="W308" s="24"/>
      <c r="X308" s="193"/>
      <c r="Y308" s="15"/>
    </row>
    <row r="309" spans="2:25" x14ac:dyDescent="0.25">
      <c r="B309" s="15">
        <v>298</v>
      </c>
      <c r="C309" s="8"/>
      <c r="E309" s="67"/>
      <c r="F309" s="16"/>
      <c r="G309" s="8"/>
      <c r="H309" s="8"/>
      <c r="I309" s="8"/>
      <c r="J309" s="9"/>
      <c r="K309" s="9">
        <f t="shared" si="39"/>
        <v>0</v>
      </c>
      <c r="L309" s="35">
        <f t="shared" si="40"/>
        <v>0</v>
      </c>
      <c r="M309" s="2"/>
      <c r="O309" s="19"/>
      <c r="P309" s="19"/>
      <c r="Q309" s="19"/>
      <c r="R309" s="21"/>
      <c r="S309" s="46"/>
      <c r="T309" s="44"/>
      <c r="U309" s="77"/>
      <c r="V309" s="24"/>
      <c r="W309" s="24"/>
      <c r="X309" s="193"/>
      <c r="Y309" s="15"/>
    </row>
    <row r="310" spans="2:25" x14ac:dyDescent="0.25">
      <c r="B310" s="15">
        <v>235</v>
      </c>
      <c r="C310" s="8"/>
      <c r="E310" s="67"/>
      <c r="F310" s="16"/>
      <c r="G310" s="8"/>
      <c r="H310" s="8"/>
      <c r="I310" s="8"/>
      <c r="J310" s="9"/>
      <c r="K310" s="9">
        <f t="shared" si="39"/>
        <v>0</v>
      </c>
      <c r="L310" s="35">
        <f t="shared" si="40"/>
        <v>0</v>
      </c>
      <c r="M310" s="2"/>
      <c r="O310" s="19"/>
      <c r="P310" s="19"/>
      <c r="Q310" s="19"/>
      <c r="R310" s="21"/>
      <c r="S310" s="46"/>
      <c r="T310" s="44"/>
      <c r="U310" s="77"/>
      <c r="V310" s="24"/>
      <c r="W310" s="24"/>
      <c r="X310" s="193"/>
      <c r="Y310" s="15"/>
    </row>
    <row r="311" spans="2:25" x14ac:dyDescent="0.25">
      <c r="B311" s="15">
        <v>235</v>
      </c>
      <c r="C311" s="8"/>
      <c r="E311" s="67"/>
      <c r="F311" s="16"/>
      <c r="G311" s="8"/>
      <c r="H311" s="8"/>
      <c r="I311" s="8"/>
      <c r="J311" s="9"/>
      <c r="K311" s="9">
        <f t="shared" si="39"/>
        <v>0</v>
      </c>
      <c r="L311" s="35">
        <f t="shared" si="40"/>
        <v>0</v>
      </c>
      <c r="M311" s="2"/>
      <c r="O311" s="19"/>
      <c r="P311" s="19"/>
      <c r="Q311" s="19"/>
      <c r="R311" s="21"/>
      <c r="S311" s="46"/>
      <c r="T311" s="44"/>
      <c r="U311" s="77"/>
      <c r="V311" s="24"/>
      <c r="W311" s="24"/>
      <c r="X311" s="193"/>
      <c r="Y311" s="15"/>
    </row>
    <row r="312" spans="2:25" x14ac:dyDescent="0.25">
      <c r="B312" s="15">
        <v>235</v>
      </c>
      <c r="C312" s="8"/>
      <c r="E312" s="67"/>
      <c r="F312" s="16"/>
      <c r="G312" s="8"/>
      <c r="H312" s="8"/>
      <c r="I312" s="8"/>
      <c r="J312" s="9"/>
      <c r="K312" s="9">
        <f t="shared" si="39"/>
        <v>0</v>
      </c>
      <c r="L312" s="35">
        <f t="shared" si="40"/>
        <v>0</v>
      </c>
      <c r="M312" s="2"/>
      <c r="O312" s="19"/>
      <c r="P312" s="19"/>
      <c r="Q312" s="19"/>
      <c r="R312" s="21"/>
      <c r="S312" s="46"/>
      <c r="T312" s="44"/>
      <c r="U312" s="77"/>
      <c r="V312" s="24"/>
      <c r="W312" s="24"/>
      <c r="X312" s="193"/>
      <c r="Y312" s="15"/>
    </row>
    <row r="313" spans="2:25" x14ac:dyDescent="0.25">
      <c r="B313" s="15">
        <v>235</v>
      </c>
      <c r="C313" s="8"/>
      <c r="E313" s="67"/>
      <c r="F313" s="16"/>
      <c r="G313" s="8"/>
      <c r="H313" s="8"/>
      <c r="I313" s="8"/>
      <c r="J313" s="9"/>
      <c r="K313" s="9">
        <f t="shared" si="39"/>
        <v>0</v>
      </c>
      <c r="L313" s="35">
        <f t="shared" si="40"/>
        <v>0</v>
      </c>
      <c r="M313" s="2"/>
      <c r="O313" s="19"/>
      <c r="P313" s="19"/>
      <c r="Q313" s="19"/>
      <c r="R313" s="21"/>
      <c r="S313" s="46"/>
      <c r="T313" s="44"/>
      <c r="U313" s="77"/>
      <c r="V313" s="24"/>
      <c r="W313" s="24"/>
      <c r="X313" s="193"/>
      <c r="Y313" s="15"/>
    </row>
    <row r="314" spans="2:25" x14ac:dyDescent="0.25">
      <c r="B314" s="15">
        <v>235</v>
      </c>
      <c r="C314" s="8"/>
      <c r="E314" s="67"/>
      <c r="F314" s="16"/>
      <c r="G314" s="8"/>
      <c r="H314" s="8"/>
      <c r="I314" s="8"/>
      <c r="J314" s="9"/>
      <c r="K314" s="9">
        <f t="shared" si="39"/>
        <v>0</v>
      </c>
      <c r="L314" s="35">
        <f t="shared" si="40"/>
        <v>0</v>
      </c>
      <c r="M314" s="2"/>
      <c r="O314" s="19"/>
      <c r="P314" s="19"/>
      <c r="Q314" s="19"/>
      <c r="R314" s="21"/>
      <c r="S314" s="46"/>
      <c r="T314" s="44"/>
      <c r="U314" s="77"/>
      <c r="V314" s="24"/>
      <c r="W314" s="24"/>
      <c r="X314" s="193"/>
      <c r="Y314" s="15"/>
    </row>
    <row r="315" spans="2:25" x14ac:dyDescent="0.25">
      <c r="B315" s="15">
        <v>235</v>
      </c>
      <c r="C315" s="8"/>
      <c r="E315" s="67"/>
      <c r="F315" s="16"/>
      <c r="G315" s="8"/>
      <c r="H315" s="8"/>
      <c r="I315" s="8"/>
      <c r="J315" s="9"/>
      <c r="K315" s="9">
        <f t="shared" si="39"/>
        <v>0</v>
      </c>
      <c r="L315" s="35">
        <f t="shared" si="40"/>
        <v>0</v>
      </c>
      <c r="M315" s="2"/>
      <c r="O315" s="19"/>
      <c r="P315" s="19"/>
      <c r="Q315" s="19"/>
      <c r="R315" s="21"/>
      <c r="S315" s="46"/>
      <c r="T315" s="44"/>
      <c r="U315" s="77"/>
      <c r="V315" s="24"/>
      <c r="W315" s="24"/>
      <c r="X315" s="193"/>
      <c r="Y315" s="15"/>
    </row>
    <row r="316" spans="2:25" x14ac:dyDescent="0.25">
      <c r="B316" s="15">
        <v>235</v>
      </c>
      <c r="C316" s="8"/>
      <c r="E316" s="67"/>
      <c r="F316" s="16"/>
      <c r="G316" s="8"/>
      <c r="H316" s="8"/>
      <c r="I316" s="8"/>
      <c r="J316" s="9"/>
      <c r="K316" s="9">
        <f t="shared" si="39"/>
        <v>0</v>
      </c>
      <c r="L316" s="35">
        <f t="shared" si="40"/>
        <v>0</v>
      </c>
      <c r="M316" s="2"/>
      <c r="O316" s="19"/>
      <c r="P316" s="19"/>
      <c r="Q316" s="19"/>
      <c r="R316" s="21"/>
      <c r="S316" s="46"/>
      <c r="T316" s="44"/>
      <c r="U316" s="77"/>
      <c r="V316" s="24"/>
      <c r="W316" s="24"/>
      <c r="X316" s="193"/>
      <c r="Y316" s="15"/>
    </row>
    <row r="317" spans="2:25" x14ac:dyDescent="0.25">
      <c r="B317" s="15">
        <v>235</v>
      </c>
      <c r="C317" s="8"/>
      <c r="E317" s="67"/>
      <c r="F317" s="16"/>
      <c r="G317" s="8"/>
      <c r="H317" s="8"/>
      <c r="I317" s="8"/>
      <c r="J317" s="9"/>
      <c r="K317" s="9">
        <f t="shared" si="39"/>
        <v>0</v>
      </c>
      <c r="L317" s="35">
        <f t="shared" si="40"/>
        <v>0</v>
      </c>
      <c r="M317" s="2"/>
      <c r="O317" s="19"/>
      <c r="P317" s="19"/>
      <c r="Q317" s="19"/>
      <c r="R317" s="21"/>
      <c r="S317" s="46"/>
      <c r="T317" s="44"/>
      <c r="U317" s="77"/>
      <c r="V317" s="24"/>
      <c r="W317" s="24"/>
      <c r="X317" s="193"/>
      <c r="Y317" s="15"/>
    </row>
    <row r="318" spans="2:25" x14ac:dyDescent="0.25">
      <c r="B318" s="15">
        <v>235</v>
      </c>
      <c r="C318" s="8"/>
      <c r="E318" s="67"/>
      <c r="F318" s="16"/>
      <c r="G318" s="8"/>
      <c r="H318" s="8"/>
      <c r="I318" s="8"/>
      <c r="J318" s="9"/>
      <c r="K318" s="9">
        <f t="shared" si="39"/>
        <v>0</v>
      </c>
      <c r="L318" s="35">
        <f t="shared" si="40"/>
        <v>0</v>
      </c>
      <c r="M318" s="2"/>
      <c r="O318" s="19"/>
      <c r="P318" s="19"/>
      <c r="Q318" s="19"/>
      <c r="R318" s="21"/>
      <c r="S318" s="46"/>
      <c r="T318" s="44"/>
      <c r="U318" s="77"/>
      <c r="V318" s="24"/>
      <c r="W318" s="24"/>
      <c r="X318" s="193"/>
      <c r="Y318" s="15"/>
    </row>
    <row r="319" spans="2:25" x14ac:dyDescent="0.25">
      <c r="B319" s="15">
        <v>235</v>
      </c>
      <c r="C319" s="8"/>
      <c r="E319" s="67"/>
      <c r="F319" s="16"/>
      <c r="G319" s="8"/>
      <c r="H319" s="8"/>
      <c r="I319" s="8"/>
      <c r="J319" s="9"/>
      <c r="K319" s="9">
        <f t="shared" si="39"/>
        <v>0</v>
      </c>
      <c r="L319" s="35">
        <f t="shared" si="40"/>
        <v>0</v>
      </c>
      <c r="M319" s="2"/>
      <c r="O319" s="19"/>
      <c r="P319" s="19"/>
      <c r="Q319" s="19"/>
      <c r="R319" s="21"/>
      <c r="S319" s="46"/>
      <c r="T319" s="44"/>
      <c r="U319" s="77"/>
      <c r="V319" s="24"/>
      <c r="W319" s="24"/>
      <c r="X319" s="193"/>
      <c r="Y319" s="15"/>
    </row>
    <row r="320" spans="2:25" x14ac:dyDescent="0.25">
      <c r="B320" s="15">
        <v>235</v>
      </c>
      <c r="C320" s="8"/>
      <c r="E320" s="67"/>
      <c r="F320" s="16"/>
      <c r="G320" s="8"/>
      <c r="H320" s="8"/>
      <c r="I320" s="8"/>
      <c r="J320" s="9"/>
      <c r="K320" s="9">
        <f t="shared" si="39"/>
        <v>0</v>
      </c>
      <c r="L320" s="35">
        <f t="shared" si="40"/>
        <v>0</v>
      </c>
      <c r="M320" s="2"/>
      <c r="O320" s="19"/>
      <c r="P320" s="19"/>
      <c r="Q320" s="19"/>
      <c r="R320" s="21"/>
      <c r="S320" s="46"/>
      <c r="T320" s="44"/>
      <c r="U320" s="77"/>
      <c r="V320" s="24"/>
      <c r="W320" s="24"/>
      <c r="X320" s="193"/>
      <c r="Y320" s="15"/>
    </row>
    <row r="321" spans="2:25" x14ac:dyDescent="0.25">
      <c r="B321" s="15">
        <v>235</v>
      </c>
      <c r="C321" s="8"/>
      <c r="E321" s="67"/>
      <c r="F321" s="16"/>
      <c r="G321" s="8"/>
      <c r="H321" s="8"/>
      <c r="I321" s="8"/>
      <c r="J321" s="9"/>
      <c r="K321" s="9">
        <f t="shared" si="39"/>
        <v>0</v>
      </c>
      <c r="L321" s="35">
        <f t="shared" si="40"/>
        <v>0</v>
      </c>
      <c r="M321" s="2"/>
      <c r="O321" s="19"/>
      <c r="P321" s="19"/>
      <c r="Q321" s="19"/>
      <c r="R321" s="21"/>
      <c r="S321" s="46"/>
      <c r="T321" s="44"/>
      <c r="U321" s="77"/>
      <c r="V321" s="24"/>
      <c r="W321" s="24"/>
      <c r="X321" s="193"/>
      <c r="Y321" s="15"/>
    </row>
    <row r="322" spans="2:25" x14ac:dyDescent="0.25">
      <c r="B322" s="15">
        <v>235</v>
      </c>
      <c r="C322" s="8"/>
      <c r="E322" s="67"/>
      <c r="F322" s="16"/>
      <c r="G322" s="8"/>
      <c r="H322" s="8"/>
      <c r="I322" s="8"/>
      <c r="J322" s="9"/>
      <c r="K322" s="9">
        <f t="shared" si="39"/>
        <v>0</v>
      </c>
      <c r="L322" s="35">
        <f t="shared" si="40"/>
        <v>0</v>
      </c>
      <c r="M322" s="2"/>
      <c r="O322" s="19"/>
      <c r="P322" s="19"/>
      <c r="Q322" s="19"/>
      <c r="R322" s="21"/>
      <c r="S322" s="46"/>
      <c r="T322" s="44"/>
      <c r="U322" s="77"/>
      <c r="V322" s="24"/>
      <c r="W322" s="24"/>
      <c r="X322" s="193"/>
      <c r="Y322" s="15"/>
    </row>
    <row r="323" spans="2:25" x14ac:dyDescent="0.25">
      <c r="B323" s="15">
        <v>235</v>
      </c>
      <c r="C323" s="8"/>
      <c r="E323" s="67"/>
      <c r="F323" s="16"/>
      <c r="G323" s="8"/>
      <c r="H323" s="8"/>
      <c r="I323" s="8"/>
      <c r="J323" s="9"/>
      <c r="K323" s="9">
        <f t="shared" ref="K323:K354" si="41">J323*1.1</f>
        <v>0</v>
      </c>
      <c r="L323" s="35">
        <f t="shared" ref="L323:L354" si="42">J323*0.00000001</f>
        <v>0</v>
      </c>
      <c r="M323" s="2"/>
      <c r="O323" s="19"/>
      <c r="P323" s="19"/>
      <c r="Q323" s="19"/>
      <c r="R323" s="21"/>
      <c r="S323" s="46"/>
      <c r="T323" s="44"/>
      <c r="U323" s="77"/>
      <c r="V323" s="24"/>
      <c r="W323" s="24"/>
      <c r="X323" s="193"/>
      <c r="Y323" s="15"/>
    </row>
    <row r="324" spans="2:25" x14ac:dyDescent="0.25">
      <c r="B324" s="15">
        <v>235</v>
      </c>
      <c r="C324" s="8"/>
      <c r="E324" s="67"/>
      <c r="F324" s="16"/>
      <c r="G324" s="8"/>
      <c r="H324" s="8"/>
      <c r="I324" s="8"/>
      <c r="J324" s="9"/>
      <c r="K324" s="9">
        <f t="shared" si="41"/>
        <v>0</v>
      </c>
      <c r="L324" s="35">
        <f t="shared" si="42"/>
        <v>0</v>
      </c>
      <c r="M324" s="2"/>
      <c r="O324" s="19"/>
      <c r="P324" s="19"/>
      <c r="Q324" s="19"/>
      <c r="R324" s="21"/>
      <c r="S324" s="46"/>
      <c r="T324" s="44"/>
      <c r="U324" s="77"/>
      <c r="V324" s="24"/>
      <c r="W324" s="24"/>
      <c r="X324" s="193"/>
      <c r="Y324" s="15"/>
    </row>
    <row r="325" spans="2:25" x14ac:dyDescent="0.25">
      <c r="B325" s="15">
        <v>235</v>
      </c>
      <c r="C325" s="8"/>
      <c r="E325" s="67"/>
      <c r="F325" s="16"/>
      <c r="G325" s="8"/>
      <c r="H325" s="8"/>
      <c r="I325" s="8"/>
      <c r="J325" s="9"/>
      <c r="K325" s="9">
        <f t="shared" si="41"/>
        <v>0</v>
      </c>
      <c r="L325" s="35">
        <f t="shared" si="42"/>
        <v>0</v>
      </c>
      <c r="M325" s="2"/>
      <c r="O325" s="19"/>
      <c r="P325" s="19"/>
      <c r="Q325" s="19"/>
      <c r="R325" s="21"/>
      <c r="S325" s="46"/>
      <c r="T325" s="44"/>
      <c r="U325" s="77"/>
      <c r="V325" s="24"/>
      <c r="W325" s="24"/>
      <c r="X325" s="193"/>
      <c r="Y325" s="15"/>
    </row>
    <row r="326" spans="2:25" x14ac:dyDescent="0.25">
      <c r="B326" s="15">
        <v>235</v>
      </c>
      <c r="C326" s="8"/>
      <c r="E326" s="67"/>
      <c r="F326" s="16"/>
      <c r="G326" s="8"/>
      <c r="H326" s="8"/>
      <c r="I326" s="8"/>
      <c r="J326" s="9"/>
      <c r="K326" s="9">
        <f t="shared" si="41"/>
        <v>0</v>
      </c>
      <c r="L326" s="35">
        <f t="shared" si="42"/>
        <v>0</v>
      </c>
      <c r="M326" s="2"/>
      <c r="O326" s="19"/>
      <c r="P326" s="19"/>
      <c r="Q326" s="19"/>
      <c r="R326" s="21"/>
      <c r="S326" s="46"/>
      <c r="T326" s="44"/>
      <c r="U326" s="77"/>
      <c r="V326" s="24"/>
      <c r="W326" s="24"/>
      <c r="X326" s="193"/>
      <c r="Y326" s="15"/>
    </row>
    <row r="327" spans="2:25" x14ac:dyDescent="0.25">
      <c r="B327" s="15">
        <v>235</v>
      </c>
      <c r="C327" s="8"/>
      <c r="E327" s="67"/>
      <c r="F327" s="16"/>
      <c r="G327" s="8"/>
      <c r="H327" s="8"/>
      <c r="I327" s="8"/>
      <c r="J327" s="9"/>
      <c r="K327" s="9">
        <f t="shared" si="41"/>
        <v>0</v>
      </c>
      <c r="L327" s="35">
        <f t="shared" si="42"/>
        <v>0</v>
      </c>
      <c r="M327" s="2"/>
      <c r="O327" s="19"/>
      <c r="P327" s="19"/>
      <c r="Q327" s="19"/>
      <c r="R327" s="21"/>
      <c r="S327" s="46"/>
      <c r="T327" s="44"/>
      <c r="U327" s="77"/>
      <c r="V327" s="24"/>
      <c r="W327" s="24"/>
      <c r="X327" s="193"/>
      <c r="Y327" s="15"/>
    </row>
    <row r="328" spans="2:25" x14ac:dyDescent="0.25">
      <c r="B328" s="15">
        <v>235</v>
      </c>
      <c r="C328" s="8"/>
      <c r="E328" s="67"/>
      <c r="F328" s="16"/>
      <c r="G328" s="8"/>
      <c r="H328" s="8"/>
      <c r="I328" s="8"/>
      <c r="J328" s="9"/>
      <c r="K328" s="9">
        <f t="shared" si="41"/>
        <v>0</v>
      </c>
      <c r="L328" s="35">
        <f t="shared" si="42"/>
        <v>0</v>
      </c>
      <c r="M328" s="2"/>
      <c r="O328" s="19"/>
      <c r="P328" s="19"/>
      <c r="Q328" s="19"/>
      <c r="R328" s="21"/>
      <c r="S328" s="46"/>
      <c r="T328" s="44"/>
      <c r="U328" s="77"/>
      <c r="V328" s="24"/>
      <c r="W328" s="24"/>
      <c r="X328" s="193"/>
      <c r="Y328" s="15"/>
    </row>
    <row r="329" spans="2:25" x14ac:dyDescent="0.25">
      <c r="B329" s="15">
        <v>235</v>
      </c>
      <c r="K329" s="9">
        <f t="shared" si="41"/>
        <v>0</v>
      </c>
      <c r="L329" s="35">
        <f t="shared" si="42"/>
        <v>0</v>
      </c>
      <c r="T329" s="44"/>
      <c r="U329" s="77"/>
      <c r="V329" s="24"/>
      <c r="W329" s="24"/>
      <c r="X329" s="193"/>
      <c r="Y329" s="15"/>
    </row>
    <row r="330" spans="2:25" x14ac:dyDescent="0.25">
      <c r="B330" s="15">
        <v>235</v>
      </c>
      <c r="K330" s="9">
        <f t="shared" si="41"/>
        <v>0</v>
      </c>
      <c r="L330" s="35">
        <f t="shared" si="42"/>
        <v>0</v>
      </c>
      <c r="T330" s="44"/>
      <c r="U330" s="77"/>
      <c r="V330" s="24"/>
      <c r="W330" s="24"/>
      <c r="X330" s="193"/>
      <c r="Y330" s="15"/>
    </row>
    <row r="331" spans="2:25" x14ac:dyDescent="0.25">
      <c r="B331" s="15">
        <v>235</v>
      </c>
      <c r="K331" s="9">
        <f t="shared" si="41"/>
        <v>0</v>
      </c>
      <c r="L331" s="35">
        <f t="shared" si="42"/>
        <v>0</v>
      </c>
      <c r="T331" s="44"/>
      <c r="U331" s="77"/>
      <c r="V331" s="24"/>
      <c r="W331" s="24"/>
      <c r="X331" s="193"/>
      <c r="Y331" s="15"/>
    </row>
    <row r="332" spans="2:25" x14ac:dyDescent="0.25">
      <c r="B332" s="15">
        <v>235</v>
      </c>
      <c r="K332" s="9">
        <f t="shared" si="41"/>
        <v>0</v>
      </c>
      <c r="L332" s="35">
        <f t="shared" si="42"/>
        <v>0</v>
      </c>
      <c r="T332" s="44"/>
      <c r="U332" s="77"/>
      <c r="V332" s="24"/>
      <c r="W332" s="24"/>
      <c r="X332" s="193"/>
      <c r="Y332" s="15"/>
    </row>
    <row r="333" spans="2:25" x14ac:dyDescent="0.25">
      <c r="B333" s="15">
        <v>235</v>
      </c>
      <c r="K333" s="9">
        <f t="shared" si="41"/>
        <v>0</v>
      </c>
      <c r="L333" s="35">
        <f t="shared" si="42"/>
        <v>0</v>
      </c>
      <c r="T333" s="44"/>
      <c r="U333" s="77"/>
      <c r="V333" s="24"/>
      <c r="W333" s="24"/>
      <c r="X333" s="193"/>
      <c r="Y333" s="15"/>
    </row>
    <row r="334" spans="2:25" x14ac:dyDescent="0.25">
      <c r="B334" s="15">
        <v>235</v>
      </c>
      <c r="K334" s="9">
        <f t="shared" si="41"/>
        <v>0</v>
      </c>
      <c r="L334" s="35">
        <f t="shared" si="42"/>
        <v>0</v>
      </c>
      <c r="T334" s="44"/>
      <c r="U334" s="77"/>
      <c r="V334" s="24"/>
      <c r="W334" s="24"/>
      <c r="X334" s="193"/>
      <c r="Y334" s="15"/>
    </row>
    <row r="335" spans="2:25" x14ac:dyDescent="0.25">
      <c r="B335" s="15">
        <v>235</v>
      </c>
      <c r="K335" s="9">
        <f t="shared" si="41"/>
        <v>0</v>
      </c>
      <c r="L335" s="35">
        <f t="shared" si="42"/>
        <v>0</v>
      </c>
      <c r="T335" s="44"/>
      <c r="U335" s="77"/>
      <c r="V335" s="24"/>
      <c r="W335" s="24"/>
      <c r="X335" s="193"/>
      <c r="Y335" s="15"/>
    </row>
    <row r="336" spans="2:25" x14ac:dyDescent="0.25">
      <c r="B336" t="s">
        <v>184</v>
      </c>
      <c r="K336" s="9">
        <f t="shared" si="41"/>
        <v>0</v>
      </c>
      <c r="L336" s="35">
        <f t="shared" si="42"/>
        <v>0</v>
      </c>
      <c r="T336" s="44"/>
      <c r="U336" s="77"/>
      <c r="V336" s="24"/>
      <c r="W336" s="24"/>
      <c r="X336" s="193"/>
      <c r="Y336" s="15"/>
    </row>
    <row r="337" spans="2:25" x14ac:dyDescent="0.25">
      <c r="B337" s="15">
        <v>247</v>
      </c>
      <c r="C337" s="8"/>
      <c r="E337" s="67"/>
      <c r="F337" s="16"/>
      <c r="G337" s="8"/>
      <c r="H337" s="8"/>
      <c r="I337" s="8"/>
      <c r="J337" s="9"/>
      <c r="K337" s="9">
        <f t="shared" si="41"/>
        <v>0</v>
      </c>
      <c r="L337" s="35">
        <f t="shared" si="42"/>
        <v>0</v>
      </c>
      <c r="M337" s="2"/>
      <c r="O337" s="19"/>
      <c r="P337" s="19"/>
      <c r="Q337" s="19"/>
      <c r="R337" s="21"/>
      <c r="S337" s="46"/>
      <c r="T337" s="44"/>
      <c r="U337" s="77"/>
      <c r="V337" s="24"/>
      <c r="W337" s="24"/>
      <c r="X337" s="193"/>
      <c r="Y337" s="15"/>
    </row>
    <row r="338" spans="2:25" x14ac:dyDescent="0.25">
      <c r="B338" s="15"/>
      <c r="C338" s="8"/>
      <c r="E338" s="67"/>
      <c r="F338" s="16"/>
      <c r="G338" s="8"/>
      <c r="H338" s="8"/>
      <c r="I338" s="8"/>
      <c r="J338" s="9"/>
      <c r="K338" s="9">
        <f t="shared" si="41"/>
        <v>0</v>
      </c>
      <c r="L338" s="35">
        <f t="shared" si="42"/>
        <v>0</v>
      </c>
      <c r="M338" s="2"/>
      <c r="O338" s="19"/>
      <c r="P338" s="19"/>
      <c r="Q338" s="19"/>
      <c r="R338" s="21"/>
      <c r="S338" s="46"/>
      <c r="T338" s="44"/>
      <c r="U338" s="77"/>
      <c r="V338" s="24"/>
      <c r="W338" s="24"/>
      <c r="X338" s="193"/>
      <c r="Y338" s="15"/>
    </row>
    <row r="339" spans="2:25" x14ac:dyDescent="0.25">
      <c r="B339" s="15"/>
      <c r="C339" s="8"/>
      <c r="E339" s="67"/>
      <c r="F339" s="16"/>
      <c r="G339" s="8"/>
      <c r="H339" s="8"/>
      <c r="I339" s="8"/>
      <c r="J339" s="9"/>
      <c r="K339" s="9">
        <f t="shared" si="41"/>
        <v>0</v>
      </c>
      <c r="L339" s="35">
        <f t="shared" si="42"/>
        <v>0</v>
      </c>
      <c r="M339" s="2"/>
      <c r="O339" s="19"/>
      <c r="P339" s="19"/>
      <c r="Q339" s="19"/>
      <c r="R339" s="21"/>
      <c r="S339" s="46"/>
      <c r="T339" s="44"/>
      <c r="U339" s="77"/>
      <c r="V339" s="24"/>
      <c r="W339" s="24"/>
      <c r="X339" s="193"/>
      <c r="Y339" s="15"/>
    </row>
    <row r="340" spans="2:25" x14ac:dyDescent="0.25">
      <c r="B340" s="15"/>
      <c r="C340" s="8"/>
      <c r="E340" s="67"/>
      <c r="F340" s="16"/>
      <c r="G340" s="8"/>
      <c r="H340" s="8"/>
      <c r="I340" s="8"/>
      <c r="J340" s="9"/>
      <c r="K340" s="9">
        <f t="shared" si="41"/>
        <v>0</v>
      </c>
      <c r="L340" s="35">
        <f t="shared" si="42"/>
        <v>0</v>
      </c>
      <c r="M340" s="2"/>
      <c r="O340" s="19"/>
      <c r="P340" s="19"/>
      <c r="Q340" s="19"/>
      <c r="R340" s="21"/>
      <c r="S340" s="46"/>
      <c r="T340" s="44"/>
      <c r="U340" s="77"/>
      <c r="V340" s="24"/>
      <c r="W340" s="24"/>
      <c r="X340" s="193"/>
      <c r="Y340" s="15"/>
    </row>
    <row r="341" spans="2:25" x14ac:dyDescent="0.25">
      <c r="B341" s="15"/>
      <c r="C341" s="8"/>
      <c r="E341" s="67"/>
      <c r="F341" s="16"/>
      <c r="G341" s="8"/>
      <c r="H341" s="8"/>
      <c r="I341" s="8"/>
      <c r="J341" s="9"/>
      <c r="K341" s="9">
        <f t="shared" si="41"/>
        <v>0</v>
      </c>
      <c r="L341" s="35">
        <f t="shared" si="42"/>
        <v>0</v>
      </c>
      <c r="M341" s="2"/>
      <c r="O341" s="19"/>
      <c r="P341" s="19"/>
      <c r="Q341" s="19"/>
      <c r="R341" s="21"/>
      <c r="S341" s="46"/>
      <c r="T341" s="44"/>
      <c r="U341" s="77"/>
      <c r="V341" s="24"/>
      <c r="W341" s="24"/>
      <c r="X341" s="193"/>
      <c r="Y341" s="15"/>
    </row>
    <row r="342" spans="2:25" x14ac:dyDescent="0.25">
      <c r="B342" s="15"/>
      <c r="C342" s="8"/>
      <c r="E342" s="67"/>
      <c r="F342" s="16"/>
      <c r="G342" s="8"/>
      <c r="H342" s="8"/>
      <c r="I342" s="8"/>
      <c r="J342" s="9"/>
      <c r="K342" s="9">
        <f t="shared" si="41"/>
        <v>0</v>
      </c>
      <c r="L342" s="35">
        <f t="shared" si="42"/>
        <v>0</v>
      </c>
      <c r="M342" s="2"/>
      <c r="O342" s="19"/>
      <c r="P342" s="19"/>
      <c r="Q342" s="19"/>
      <c r="R342" s="21"/>
      <c r="S342" s="46"/>
      <c r="T342" s="44"/>
      <c r="U342" s="77"/>
      <c r="V342" s="24"/>
      <c r="W342" s="24"/>
      <c r="X342" s="193"/>
      <c r="Y342" s="15"/>
    </row>
    <row r="343" spans="2:25" x14ac:dyDescent="0.25">
      <c r="B343" s="15"/>
      <c r="C343" s="8"/>
      <c r="E343" s="67"/>
      <c r="F343" s="16"/>
      <c r="G343" s="8"/>
      <c r="H343" s="8"/>
      <c r="I343" s="8"/>
      <c r="J343" s="9"/>
      <c r="K343" s="9">
        <f t="shared" si="41"/>
        <v>0</v>
      </c>
      <c r="L343" s="35">
        <f t="shared" si="42"/>
        <v>0</v>
      </c>
      <c r="M343" s="2"/>
      <c r="O343" s="19"/>
      <c r="P343" s="19"/>
      <c r="Q343" s="19"/>
      <c r="R343" s="21"/>
      <c r="S343" s="46"/>
      <c r="T343" s="44"/>
      <c r="U343" s="77"/>
      <c r="V343" s="24"/>
      <c r="W343" s="24"/>
      <c r="X343" s="193"/>
      <c r="Y343" s="15"/>
    </row>
    <row r="344" spans="2:25" x14ac:dyDescent="0.25">
      <c r="B344" s="15"/>
      <c r="C344" s="8"/>
      <c r="E344" s="67"/>
      <c r="F344" s="16"/>
      <c r="G344" s="8"/>
      <c r="H344" s="8"/>
      <c r="I344" s="8"/>
      <c r="J344" s="9"/>
      <c r="K344" s="9">
        <f t="shared" si="41"/>
        <v>0</v>
      </c>
      <c r="L344" s="35">
        <f t="shared" si="42"/>
        <v>0</v>
      </c>
      <c r="M344" s="2"/>
      <c r="O344" s="19"/>
      <c r="P344" s="19"/>
      <c r="Q344" s="19"/>
      <c r="R344" s="21"/>
      <c r="S344" s="46"/>
      <c r="T344" s="44"/>
      <c r="U344" s="77"/>
      <c r="V344" s="24"/>
      <c r="W344" s="24"/>
      <c r="X344" s="193"/>
      <c r="Y344" s="15"/>
    </row>
    <row r="345" spans="2:25" x14ac:dyDescent="0.25">
      <c r="B345" s="15"/>
      <c r="C345" s="8"/>
      <c r="E345" s="67"/>
      <c r="F345" s="16"/>
      <c r="G345" s="8"/>
      <c r="H345" s="8"/>
      <c r="I345" s="8"/>
      <c r="J345" s="9"/>
      <c r="K345" s="9">
        <f t="shared" si="41"/>
        <v>0</v>
      </c>
      <c r="L345" s="35">
        <f t="shared" si="42"/>
        <v>0</v>
      </c>
      <c r="M345" s="2"/>
      <c r="O345" s="19"/>
      <c r="P345" s="19"/>
      <c r="Q345" s="19"/>
      <c r="R345" s="21"/>
      <c r="S345" s="46"/>
      <c r="T345" s="44"/>
      <c r="U345" s="77"/>
      <c r="V345" s="24"/>
      <c r="W345" s="24"/>
      <c r="X345" s="193"/>
      <c r="Y345" s="15"/>
    </row>
    <row r="346" spans="2:25" x14ac:dyDescent="0.25">
      <c r="B346" s="15"/>
      <c r="C346" s="8"/>
      <c r="E346" s="67"/>
      <c r="F346" s="16"/>
      <c r="G346" s="8"/>
      <c r="H346" s="8"/>
      <c r="I346" s="8"/>
      <c r="J346" s="9"/>
      <c r="K346" s="9">
        <f t="shared" si="41"/>
        <v>0</v>
      </c>
      <c r="L346" s="35">
        <f t="shared" si="42"/>
        <v>0</v>
      </c>
      <c r="M346" s="2"/>
      <c r="O346" s="19"/>
      <c r="P346" s="19"/>
      <c r="Q346" s="19"/>
      <c r="R346" s="21"/>
      <c r="S346" s="46"/>
      <c r="T346" s="44"/>
      <c r="U346" s="77"/>
      <c r="V346" s="24"/>
      <c r="W346" s="24"/>
      <c r="X346" s="193"/>
      <c r="Y346" s="15"/>
    </row>
    <row r="347" spans="2:25" x14ac:dyDescent="0.25">
      <c r="B347" s="15"/>
      <c r="C347" s="8"/>
      <c r="E347" s="67"/>
      <c r="F347" s="16"/>
      <c r="G347" s="8"/>
      <c r="H347" s="8"/>
      <c r="I347" s="8"/>
      <c r="J347" s="9"/>
      <c r="K347" s="9">
        <f t="shared" si="41"/>
        <v>0</v>
      </c>
      <c r="L347" s="35">
        <f t="shared" si="42"/>
        <v>0</v>
      </c>
      <c r="M347" s="2"/>
      <c r="O347" s="19"/>
      <c r="P347" s="19"/>
      <c r="Q347" s="19"/>
      <c r="R347" s="21"/>
      <c r="S347" s="46"/>
      <c r="T347" s="44"/>
      <c r="U347" s="77"/>
      <c r="V347" s="24"/>
      <c r="W347" s="24"/>
      <c r="X347" s="193"/>
      <c r="Y347" s="15"/>
    </row>
    <row r="348" spans="2:25" x14ac:dyDescent="0.25">
      <c r="B348" s="15"/>
      <c r="C348" s="8"/>
      <c r="E348" s="67"/>
      <c r="F348" s="16"/>
      <c r="G348" s="8"/>
      <c r="H348" s="8"/>
      <c r="I348" s="8"/>
      <c r="J348" s="9"/>
      <c r="K348" s="9">
        <f t="shared" si="41"/>
        <v>0</v>
      </c>
      <c r="L348" s="35">
        <f t="shared" si="42"/>
        <v>0</v>
      </c>
      <c r="M348" s="2"/>
      <c r="O348" s="19"/>
      <c r="P348" s="19"/>
      <c r="Q348" s="19"/>
      <c r="R348" s="21"/>
      <c r="S348" s="46"/>
      <c r="T348" s="44"/>
      <c r="U348" s="77"/>
      <c r="V348" s="24"/>
      <c r="W348" s="24"/>
      <c r="X348" s="193"/>
      <c r="Y348" s="15"/>
    </row>
    <row r="349" spans="2:25" x14ac:dyDescent="0.25">
      <c r="B349" s="15"/>
      <c r="C349" s="8"/>
      <c r="E349" s="67"/>
      <c r="F349" s="16"/>
      <c r="G349" s="8"/>
      <c r="H349" s="8"/>
      <c r="I349" s="8"/>
      <c r="J349" s="9"/>
      <c r="K349" s="9">
        <f t="shared" si="41"/>
        <v>0</v>
      </c>
      <c r="L349" s="35">
        <f t="shared" si="42"/>
        <v>0</v>
      </c>
      <c r="M349" s="2"/>
      <c r="O349" s="19"/>
      <c r="P349" s="19"/>
      <c r="Q349" s="19"/>
      <c r="R349" s="21"/>
      <c r="S349" s="46"/>
      <c r="T349" s="44"/>
      <c r="U349" s="77"/>
      <c r="V349" s="24"/>
      <c r="W349" s="24"/>
      <c r="X349" s="193"/>
      <c r="Y349" s="15"/>
    </row>
    <row r="350" spans="2:25" x14ac:dyDescent="0.25">
      <c r="B350" s="15"/>
      <c r="C350" s="8"/>
      <c r="E350" s="67"/>
      <c r="F350" s="16"/>
      <c r="G350" s="8"/>
      <c r="H350" s="8"/>
      <c r="I350" s="8"/>
      <c r="J350" s="9"/>
      <c r="K350" s="9">
        <f t="shared" si="41"/>
        <v>0</v>
      </c>
      <c r="L350" s="35">
        <f t="shared" si="42"/>
        <v>0</v>
      </c>
      <c r="M350" s="2"/>
      <c r="O350" s="19"/>
      <c r="P350" s="19"/>
      <c r="Q350" s="19"/>
      <c r="R350" s="21"/>
      <c r="S350" s="46"/>
      <c r="T350" s="44"/>
      <c r="U350" s="77"/>
      <c r="V350" s="24"/>
      <c r="W350" s="24"/>
      <c r="X350" s="193"/>
      <c r="Y350" s="15"/>
    </row>
    <row r="351" spans="2:25" x14ac:dyDescent="0.25">
      <c r="B351" s="15"/>
      <c r="C351" s="8"/>
      <c r="E351" s="67"/>
      <c r="F351" s="16"/>
      <c r="G351" s="8"/>
      <c r="H351" s="8"/>
      <c r="I351" s="8"/>
      <c r="J351" s="9"/>
      <c r="K351" s="9">
        <f t="shared" si="41"/>
        <v>0</v>
      </c>
      <c r="L351" s="35">
        <f t="shared" si="42"/>
        <v>0</v>
      </c>
      <c r="M351" s="2"/>
      <c r="O351" s="19"/>
      <c r="P351" s="19"/>
      <c r="Q351" s="19"/>
      <c r="R351" s="21"/>
      <c r="S351" s="46"/>
      <c r="T351" s="44"/>
      <c r="U351" s="77"/>
      <c r="V351" s="24"/>
      <c r="W351" s="390"/>
      <c r="X351" s="193"/>
      <c r="Y351" s="15"/>
    </row>
    <row r="352" spans="2:25" x14ac:dyDescent="0.25">
      <c r="B352" s="15"/>
      <c r="C352" s="8"/>
      <c r="E352" s="67"/>
      <c r="F352" s="16"/>
      <c r="G352" s="8"/>
      <c r="H352" s="8"/>
      <c r="I352" s="8"/>
      <c r="J352" s="9"/>
      <c r="K352" s="9">
        <f t="shared" si="41"/>
        <v>0</v>
      </c>
      <c r="L352" s="35">
        <f t="shared" si="42"/>
        <v>0</v>
      </c>
      <c r="M352" s="2"/>
      <c r="O352" s="19"/>
      <c r="P352" s="19"/>
      <c r="Q352" s="19"/>
      <c r="R352" s="21"/>
      <c r="S352" s="46"/>
      <c r="T352" s="44"/>
      <c r="U352" s="77"/>
      <c r="V352" s="24"/>
      <c r="X352" s="193"/>
      <c r="Y352" s="15"/>
    </row>
    <row r="353" spans="2:25" x14ac:dyDescent="0.25">
      <c r="B353" s="15"/>
      <c r="C353" s="8"/>
      <c r="E353" s="67"/>
      <c r="F353" s="16"/>
      <c r="G353" s="8"/>
      <c r="H353" s="8"/>
      <c r="I353" s="8"/>
      <c r="J353" s="9"/>
      <c r="K353" s="9">
        <f t="shared" si="41"/>
        <v>0</v>
      </c>
      <c r="L353" s="35">
        <f t="shared" si="42"/>
        <v>0</v>
      </c>
      <c r="M353" s="2"/>
      <c r="O353" s="19"/>
      <c r="P353" s="19"/>
      <c r="Q353" s="19"/>
      <c r="R353" s="21"/>
      <c r="S353" s="46"/>
      <c r="T353" s="44"/>
      <c r="U353" s="77"/>
      <c r="V353" s="24"/>
      <c r="X353" s="193"/>
      <c r="Y353" s="15"/>
    </row>
    <row r="354" spans="2:25" x14ac:dyDescent="0.25">
      <c r="B354" s="15"/>
      <c r="C354" s="8"/>
      <c r="E354" s="67"/>
      <c r="F354" s="16"/>
      <c r="G354" s="8"/>
      <c r="H354" s="8"/>
      <c r="I354" s="8"/>
      <c r="J354" s="9"/>
      <c r="K354" s="9">
        <f t="shared" si="41"/>
        <v>0</v>
      </c>
      <c r="L354" s="35">
        <f t="shared" si="42"/>
        <v>0</v>
      </c>
      <c r="M354" s="2"/>
      <c r="O354" s="19"/>
      <c r="P354" s="19"/>
      <c r="Q354" s="19"/>
      <c r="R354" s="21"/>
      <c r="S354" s="46"/>
      <c r="T354" s="44"/>
      <c r="U354" s="77"/>
      <c r="V354" s="24"/>
      <c r="X354" s="193"/>
      <c r="Y354" s="15"/>
    </row>
  </sheetData>
  <mergeCells count="15">
    <mergeCell ref="AB69:AB74"/>
    <mergeCell ref="AB75:AC75"/>
    <mergeCell ref="AB33:AB38"/>
    <mergeCell ref="AB39:AB44"/>
    <mergeCell ref="AB45:AB50"/>
    <mergeCell ref="AB51:AB56"/>
    <mergeCell ref="AB57:AB62"/>
    <mergeCell ref="AB63:AB68"/>
    <mergeCell ref="AB21:AB26"/>
    <mergeCell ref="AB27:AB32"/>
    <mergeCell ref="AB1:AS1"/>
    <mergeCell ref="AB2:AC2"/>
    <mergeCell ref="AB3:AB8"/>
    <mergeCell ref="AB9:AB14"/>
    <mergeCell ref="AB15:AB20"/>
  </mergeCells>
  <phoneticPr fontId="7" type="noConversion"/>
  <conditionalFormatting sqref="U1:U1048576 X1:X1048576">
    <cfRule type="cellIs" dxfId="1" priority="1" operator="equal">
      <formula>"마케팅"</formula>
    </cfRule>
  </conditionalFormatting>
  <dataValidations count="10">
    <dataValidation type="list" allowBlank="1" showInputMessage="1" showErrorMessage="1" sqref="U3:U151 U156 U305:U354 U159:U301" xr:uid="{D41EE015-92CA-4414-A190-399F91C007B0}">
      <formula1>"소개,그 외"</formula1>
    </dataValidation>
    <dataValidation type="list" allowBlank="1" showInputMessage="1" showErrorMessage="1" sqref="S3:S33 S36 S39:S185 S337:S354 S305:S328 S188:S284" xr:uid="{F241ECAE-C525-4403-8EA1-E88A8560E14F}">
      <formula1>"(주)그랜드썬기술단, (주)그랜드썬,지에스피,유지에스"</formula1>
    </dataValidation>
    <dataValidation type="list" allowBlank="1" showInputMessage="1" showErrorMessage="1" sqref="D3:D64 D337:D354 D305:D328 D66:D301" xr:uid="{AD93D11E-3555-41D6-B392-27485063C40C}">
      <formula1>"기존시설물(A),일반부지(B),수면(C)"</formula1>
    </dataValidation>
    <dataValidation type="list" allowBlank="1" showInputMessage="1" showErrorMessage="1" sqref="C303:C328 C337:C354 C3:C301" xr:uid="{D352E471-0C75-48CB-AAEF-FE8C65B88874}">
      <formula1>"직영(가),외주(나),입찰(다),검토(라)"</formula1>
    </dataValidation>
    <dataValidation type="list" allowBlank="1" showInputMessage="1" showErrorMessage="1" sqref="X3:X125 X127:X152 X305:X354 X154:X301" xr:uid="{0736AECA-CDAC-4794-9C41-5CABAB7D10C0}">
      <formula1>"산단,공장,창고,축사,근생,자원순환,토지,업무시설"</formula1>
    </dataValidation>
    <dataValidation type="list" allowBlank="1" showInputMessage="1" showErrorMessage="1" sqref="Y305:Y354 Y3:Y301" xr:uid="{B573A2F2-280A-4FB3-9B5B-F6329C7EA103}">
      <formula1>"유지,보류,취소"</formula1>
    </dataValidation>
    <dataValidation type="list" allowBlank="1" showInputMessage="1" showErrorMessage="1" sqref="Q3:Q250 Q252:Q318" xr:uid="{C3B4CC1E-BC6B-487A-A20B-69CFB17FF448}">
      <formula1>"경기,강원,충남,충북,서울,인천,대전,세종,경남,경북,전남,전북,부산,대구,울산,제주,광주"</formula1>
    </dataValidation>
    <dataValidation type="list" allowBlank="1" showInputMessage="1" showErrorMessage="1" sqref="X153" xr:uid="{D55525F3-2966-4846-BA05-83BF40C5F189}">
      <formula1>"산단,공장,창고,축사,근생,자원순환,토지,업무시설, 자동차관련시설"</formula1>
    </dataValidation>
    <dataValidation type="list" allowBlank="1" showInputMessage="1" showErrorMessage="1" sqref="X126" xr:uid="{E084C128-6272-4E50-B7C5-31895532B1E9}">
      <formula1>"산단,공장,창고,축사,근생,자원순환, 창고 및 판매시설,토지,업무시설"</formula1>
    </dataValidation>
    <dataValidation type="list" allowBlank="1" showInputMessage="1" showErrorMessage="1" sqref="S34:S35 S37:S38" xr:uid="{09F14A4E-ABF9-4C91-8F53-FC9F60DCFCD9}">
      <formula1>"(주)그랜드썬기술단, (주)그랜드썬,지에스피,유지에스,지에스이"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ED7DDE-631B-484C-8468-5AC5A6FAA8E0}">
          <x14:formula1>
            <xm:f>INDEX!$B$3:$B$6</xm:f>
          </x14:formula1>
          <xm:sqref>W3:W351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AW354"/>
  <sheetViews>
    <sheetView zoomScale="70" zoomScaleNormal="70" workbookViewId="0">
      <pane ySplit="2" topLeftCell="A3" activePane="bottomLeft" state="frozen"/>
      <selection activeCell="W1" sqref="W1:W1048576"/>
      <selection pane="bottomLeft" activeCell="J29" sqref="J29"/>
    </sheetView>
  </sheetViews>
  <sheetFormatPr defaultRowHeight="13.5" x14ac:dyDescent="0.25"/>
  <cols>
    <col min="1" max="1" width="3.7109375" customWidth="1"/>
    <col min="2" max="3" width="10.7109375" customWidth="1"/>
    <col min="4" max="4" width="10.7109375" style="5" customWidth="1"/>
    <col min="5" max="5" width="10.7109375" style="386" customWidth="1"/>
    <col min="6" max="6" width="12.7109375" style="382" customWidth="1"/>
    <col min="7" max="8" width="10.7109375" customWidth="1"/>
    <col min="9" max="9" width="11.85546875" customWidth="1"/>
    <col min="10" max="11" width="15.7109375" style="4" customWidth="1"/>
    <col min="12" max="12" width="15.7109375" style="36" customWidth="1"/>
    <col min="13" max="13" width="15.7109375" style="4" customWidth="1"/>
    <col min="14" max="14" width="15.7109375" customWidth="1"/>
    <col min="15" max="15" width="21.42578125" customWidth="1"/>
    <col min="16" max="17" width="6" customWidth="1"/>
    <col min="18" max="18" width="38.42578125" style="20" customWidth="1"/>
    <col min="19" max="19" width="20.7109375" customWidth="1"/>
    <col min="20" max="20" width="13.42578125" customWidth="1"/>
    <col min="21" max="21" width="9.140625" style="32"/>
    <col min="22" max="22" width="47" style="5" customWidth="1"/>
    <col min="23" max="23" width="9.140625" style="5" customWidth="1"/>
    <col min="24" max="24" width="9.140625" style="32"/>
    <col min="30" max="30" width="11.140625" customWidth="1"/>
    <col min="31" max="35" width="11.7109375" customWidth="1"/>
    <col min="36" max="40" width="11.7109375" style="124" customWidth="1"/>
    <col min="41" max="45" width="11.7109375" customWidth="1"/>
  </cols>
  <sheetData>
    <row r="1" spans="2:49" ht="27" thickBot="1" x14ac:dyDescent="0.3">
      <c r="B1" s="31"/>
      <c r="C1" s="31"/>
      <c r="D1" s="253"/>
      <c r="E1" s="68"/>
      <c r="F1" s="17"/>
      <c r="G1" s="6"/>
      <c r="H1" s="6"/>
      <c r="I1" s="22"/>
      <c r="J1" s="7"/>
      <c r="K1" s="7"/>
      <c r="L1" s="33"/>
      <c r="M1" s="7"/>
      <c r="N1" s="7"/>
      <c r="U1" s="42"/>
      <c r="X1" s="42"/>
      <c r="AB1" s="494" t="s">
        <v>3</v>
      </c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6"/>
    </row>
    <row r="2" spans="2:49" ht="43.5" customHeight="1" thickTop="1" thickBot="1" x14ac:dyDescent="0.3">
      <c r="B2" s="14" t="s">
        <v>0</v>
      </c>
      <c r="C2" s="66" t="s">
        <v>66</v>
      </c>
      <c r="D2" s="66" t="s">
        <v>67</v>
      </c>
      <c r="E2" s="69" t="s">
        <v>68</v>
      </c>
      <c r="F2" s="18" t="s">
        <v>1</v>
      </c>
      <c r="G2" s="10" t="s">
        <v>18</v>
      </c>
      <c r="H2" s="10" t="s">
        <v>17</v>
      </c>
      <c r="I2" s="11" t="s">
        <v>2</v>
      </c>
      <c r="J2" s="12" t="s">
        <v>16</v>
      </c>
      <c r="K2" s="12" t="s">
        <v>4</v>
      </c>
      <c r="L2" s="34" t="s">
        <v>44</v>
      </c>
      <c r="M2" s="37" t="s">
        <v>25</v>
      </c>
      <c r="N2" s="10" t="s">
        <v>22</v>
      </c>
      <c r="O2" s="10" t="s">
        <v>24</v>
      </c>
      <c r="P2" s="10" t="s">
        <v>42</v>
      </c>
      <c r="Q2" s="10" t="s">
        <v>206</v>
      </c>
      <c r="R2" s="10" t="s">
        <v>23</v>
      </c>
      <c r="S2" s="13" t="s">
        <v>5</v>
      </c>
      <c r="T2" s="23" t="s">
        <v>33</v>
      </c>
      <c r="U2" s="198" t="s">
        <v>48</v>
      </c>
      <c r="V2" s="14" t="s">
        <v>32</v>
      </c>
      <c r="W2" s="14" t="s">
        <v>1152</v>
      </c>
      <c r="X2" s="198" t="s">
        <v>149</v>
      </c>
      <c r="Y2" s="103" t="s">
        <v>161</v>
      </c>
      <c r="AB2" s="491" t="s">
        <v>108</v>
      </c>
      <c r="AC2" s="492"/>
      <c r="AD2" s="106" t="s">
        <v>1</v>
      </c>
      <c r="AE2" s="107" t="s">
        <v>109</v>
      </c>
      <c r="AF2" s="108" t="s">
        <v>78</v>
      </c>
      <c r="AG2" s="108" t="s">
        <v>77</v>
      </c>
      <c r="AH2" s="108" t="s">
        <v>79</v>
      </c>
      <c r="AI2" s="109" t="s">
        <v>80</v>
      </c>
      <c r="AJ2" s="112" t="s">
        <v>110</v>
      </c>
      <c r="AK2" s="113" t="s">
        <v>78</v>
      </c>
      <c r="AL2" s="113" t="s">
        <v>77</v>
      </c>
      <c r="AM2" s="113" t="s">
        <v>79</v>
      </c>
      <c r="AN2" s="114" t="s">
        <v>80</v>
      </c>
      <c r="AO2" s="110" t="s">
        <v>111</v>
      </c>
      <c r="AP2" s="111" t="s">
        <v>78</v>
      </c>
      <c r="AQ2" s="111" t="s">
        <v>77</v>
      </c>
      <c r="AR2" s="111" t="s">
        <v>79</v>
      </c>
      <c r="AS2" s="111" t="s">
        <v>80</v>
      </c>
      <c r="AU2" s="146"/>
      <c r="AV2" s="147" t="s">
        <v>116</v>
      </c>
      <c r="AW2" s="148"/>
    </row>
    <row r="3" spans="2:49" s="8" customFormat="1" ht="13.5" customHeight="1" x14ac:dyDescent="0.25">
      <c r="B3" s="15">
        <v>1</v>
      </c>
      <c r="C3" s="8" t="s">
        <v>112</v>
      </c>
      <c r="D3" s="5" t="s">
        <v>246</v>
      </c>
      <c r="E3" s="386" t="s">
        <v>435</v>
      </c>
      <c r="F3" s="380">
        <v>46052</v>
      </c>
      <c r="G3" s="8">
        <v>2</v>
      </c>
      <c r="H3" s="8">
        <v>1</v>
      </c>
      <c r="I3" s="8">
        <v>99.33</v>
      </c>
      <c r="J3" s="9">
        <v>129000000</v>
      </c>
      <c r="K3" s="9">
        <f t="shared" ref="K3:K66" si="0">J3*1.1</f>
        <v>141900000</v>
      </c>
      <c r="L3" s="35">
        <f t="shared" ref="L3:L66" si="1">J3*0.00000001</f>
        <v>1.29</v>
      </c>
      <c r="M3" s="2" t="s">
        <v>427</v>
      </c>
      <c r="N3" t="s">
        <v>428</v>
      </c>
      <c r="O3" s="19" t="s">
        <v>429</v>
      </c>
      <c r="P3" s="19">
        <v>1</v>
      </c>
      <c r="Q3" s="19" t="s">
        <v>203</v>
      </c>
      <c r="R3" s="21" t="s">
        <v>436</v>
      </c>
      <c r="S3" s="46" t="s">
        <v>250</v>
      </c>
      <c r="T3" s="44" t="s">
        <v>432</v>
      </c>
      <c r="U3" s="76" t="s">
        <v>252</v>
      </c>
      <c r="V3" s="24" t="s">
        <v>629</v>
      </c>
      <c r="W3" s="78"/>
      <c r="X3" s="193" t="s">
        <v>152</v>
      </c>
      <c r="Y3" s="15" t="s">
        <v>434</v>
      </c>
      <c r="AA3">
        <v>1</v>
      </c>
      <c r="AB3" s="486">
        <v>1</v>
      </c>
      <c r="AC3" s="89">
        <v>1</v>
      </c>
      <c r="AD3" s="95" t="s">
        <v>81</v>
      </c>
      <c r="AE3" s="39">
        <f>SUM(AF3:AI3)</f>
        <v>0</v>
      </c>
      <c r="AF3" s="65">
        <f>SUMIFS($I:$I,$C:$C, $AF$2,$G:$G,$AA3,$H:$H,$AC3)</f>
        <v>0</v>
      </c>
      <c r="AG3" s="65">
        <f>SUMIFS($I:$I,$C:$C, $AG$2,$G:$G,$AA3,$H:$H,$AC3)</f>
        <v>0</v>
      </c>
      <c r="AH3" s="65">
        <f>SUMIFS($I:$I,$C:$C, $AH$2,$G:$G,$AA3,$H:$H,$AC3)</f>
        <v>0</v>
      </c>
      <c r="AI3" s="104">
        <f>SUMIFS($I:$I,$C:$C, $AI$2,$G:$G,$AA3,$H:$H,$AC3)</f>
        <v>0</v>
      </c>
      <c r="AJ3" s="115">
        <f>SUM(AK3:AN3)</f>
        <v>0</v>
      </c>
      <c r="AK3" s="116">
        <f>COUNTIFS($C:$C, $AK$2,$G:$G,$AA3,$H:$H,$AC3)</f>
        <v>0</v>
      </c>
      <c r="AL3" s="116">
        <f>COUNTIFS($C:$C, $AL$2,$G:$G,$AA3,$H:$H,$AC3)</f>
        <v>0</v>
      </c>
      <c r="AM3" s="116">
        <f>COUNTIFS($C:$C, $AM$2,$G:$G,$AA3,$H:$H,$AC3)</f>
        <v>0</v>
      </c>
      <c r="AN3" s="117">
        <f>COUNTIFS($C:$C, $AN$2,$G:$G,$AA3,$H:$H,$AC3)</f>
        <v>0</v>
      </c>
      <c r="AO3" s="39">
        <f>SUM(AP3:AS3)</f>
        <v>0</v>
      </c>
      <c r="AP3" s="65">
        <f>SUMIFS($L:$L,$C:$C, $AP$2,$G:$G,$AA3,$H:$H,$AC3)</f>
        <v>0</v>
      </c>
      <c r="AQ3" s="65">
        <f>SUMIFS($L:$L,$C:$C, $AQ$2,$G:$G,$AA3,$H:$H,$AC3)</f>
        <v>0</v>
      </c>
      <c r="AR3" s="65">
        <f>SUMIFS($L:$L,$C:$C, $AR$2,$G:$G,$AA3,$H:$H,$AC3)</f>
        <v>0</v>
      </c>
      <c r="AS3" s="65">
        <f>SUMIFS($L:$L,$C:$C, $AS$2,$G:$G,$AA3,$H:$H,$AC3)</f>
        <v>0</v>
      </c>
      <c r="AU3" s="149" t="s">
        <v>117</v>
      </c>
      <c r="AV3" s="150" t="s">
        <v>118</v>
      </c>
      <c r="AW3" s="151" t="s">
        <v>119</v>
      </c>
    </row>
    <row r="4" spans="2:49" s="8" customFormat="1" ht="13.5" customHeight="1" x14ac:dyDescent="0.25">
      <c r="B4" s="15">
        <v>2</v>
      </c>
      <c r="C4" s="8" t="s">
        <v>112</v>
      </c>
      <c r="D4" s="5" t="s">
        <v>246</v>
      </c>
      <c r="E4" s="386" t="s">
        <v>509</v>
      </c>
      <c r="F4" s="380">
        <v>46058</v>
      </c>
      <c r="G4" s="8">
        <v>2</v>
      </c>
      <c r="H4" s="8">
        <v>2</v>
      </c>
      <c r="I4" s="8">
        <v>261.87</v>
      </c>
      <c r="J4" s="9">
        <v>312000000</v>
      </c>
      <c r="K4" s="9">
        <f t="shared" si="0"/>
        <v>343200000</v>
      </c>
      <c r="L4" s="35">
        <f t="shared" si="1"/>
        <v>3.12</v>
      </c>
      <c r="M4" s="2" t="s">
        <v>396</v>
      </c>
      <c r="N4" t="s">
        <v>28</v>
      </c>
      <c r="O4" s="19" t="s">
        <v>510</v>
      </c>
      <c r="P4" s="19">
        <v>2</v>
      </c>
      <c r="Q4" s="19" t="s">
        <v>271</v>
      </c>
      <c r="R4" s="21" t="s">
        <v>511</v>
      </c>
      <c r="S4" s="46" t="s">
        <v>250</v>
      </c>
      <c r="T4" s="44" t="s">
        <v>512</v>
      </c>
      <c r="U4" s="76" t="s">
        <v>252</v>
      </c>
      <c r="V4" s="24" t="s">
        <v>629</v>
      </c>
      <c r="W4" s="24"/>
      <c r="X4" s="193" t="s">
        <v>152</v>
      </c>
      <c r="Y4" s="15" t="s">
        <v>168</v>
      </c>
      <c r="AA4">
        <v>1</v>
      </c>
      <c r="AB4" s="487"/>
      <c r="AC4" s="90">
        <v>2</v>
      </c>
      <c r="AD4" s="96" t="s">
        <v>54</v>
      </c>
      <c r="AE4" s="39">
        <f t="shared" ref="AE4:AE67" si="2">SUM(AF4:AI4)</f>
        <v>0</v>
      </c>
      <c r="AF4" s="65">
        <f t="shared" ref="AF4:AF67" si="3">SUMIFS($I:$I,$C:$C, $AF$2,$G:$G,$AA4,$H:$H,$AC4)</f>
        <v>0</v>
      </c>
      <c r="AG4" s="65">
        <f t="shared" ref="AG4:AG67" si="4">SUMIFS($I:$I,$C:$C, $AG$2,$G:$G,$AA4,$H:$H,$AC4)</f>
        <v>0</v>
      </c>
      <c r="AH4" s="65">
        <f t="shared" ref="AH4:AH67" si="5">SUMIFS($I:$I,$C:$C, $AH$2,$G:$G,$AA4,$H:$H,$AC4)</f>
        <v>0</v>
      </c>
      <c r="AI4" s="104">
        <f t="shared" ref="AI4:AI67" si="6">SUMIFS($I:$I,$C:$C, $AI$2,$G:$G,$AA4,$H:$H,$AC4)</f>
        <v>0</v>
      </c>
      <c r="AJ4" s="115">
        <f t="shared" ref="AJ4:AJ67" si="7">SUM(AK4:AN4)</f>
        <v>0</v>
      </c>
      <c r="AK4" s="116">
        <f t="shared" ref="AK4:AK67" si="8">COUNTIFS($C:$C, $AK$2,$G:$G,$AA4,$H:$H,$AC4)</f>
        <v>0</v>
      </c>
      <c r="AL4" s="116">
        <f t="shared" ref="AL4:AL67" si="9">COUNTIFS($C:$C, $AL$2,$G:$G,$AA4,$H:$H,$AC4)</f>
        <v>0</v>
      </c>
      <c r="AM4" s="116">
        <f t="shared" ref="AM4:AM67" si="10">COUNTIFS($C:$C, $AM$2,$G:$G,$AA4,$H:$H,$AC4)</f>
        <v>0</v>
      </c>
      <c r="AN4" s="117">
        <f t="shared" ref="AN4:AN67" si="11">COUNTIFS($C:$C, $AN$2,$G:$G,$AA4,$H:$H,$AC4)</f>
        <v>0</v>
      </c>
      <c r="AO4" s="39">
        <f t="shared" ref="AO4:AO67" si="12">SUM(AP4:AS4)</f>
        <v>0</v>
      </c>
      <c r="AP4" s="65">
        <f t="shared" ref="AP4:AP67" si="13">SUMIFS($L:$L,$C:$C, $AP$2,$G:$G,$AA4,$H:$H,$AC4)</f>
        <v>0</v>
      </c>
      <c r="AQ4" s="65">
        <f t="shared" ref="AQ4:AQ67" si="14">SUMIFS($L:$L,$C:$C, $AQ$2,$G:$G,$AA4,$H:$H,$AC4)</f>
        <v>0</v>
      </c>
      <c r="AR4" s="65">
        <f t="shared" ref="AR4:AR67" si="15">SUMIFS($L:$L,$C:$C, $AR$2,$G:$G,$AA4,$H:$H,$AC4)</f>
        <v>0</v>
      </c>
      <c r="AS4" s="65">
        <f t="shared" ref="AS4:AS67" si="16">SUMIFS($L:$L,$C:$C, $AS$2,$G:$G,$AA4,$H:$H,$AC4)</f>
        <v>0</v>
      </c>
      <c r="AU4" s="152">
        <v>1</v>
      </c>
      <c r="AV4" s="153">
        <f>COUNTIFS($U:$U,$AV$3,$G:$G,$AU4)</f>
        <v>0</v>
      </c>
      <c r="AW4" s="154">
        <f>COUNTIFS($U:$U,$AW$3,$G:$G,$AU4)</f>
        <v>0</v>
      </c>
    </row>
    <row r="5" spans="2:49" s="8" customFormat="1" ht="13.5" customHeight="1" x14ac:dyDescent="0.25">
      <c r="B5" s="15">
        <v>3</v>
      </c>
      <c r="C5" s="8" t="s">
        <v>112</v>
      </c>
      <c r="D5" s="5" t="s">
        <v>246</v>
      </c>
      <c r="E5" s="386" t="s">
        <v>258</v>
      </c>
      <c r="F5" s="380">
        <v>46064</v>
      </c>
      <c r="G5" s="8">
        <v>2</v>
      </c>
      <c r="H5" s="8">
        <v>2</v>
      </c>
      <c r="I5" s="8">
        <v>691.44</v>
      </c>
      <c r="J5" s="9">
        <v>730000000</v>
      </c>
      <c r="K5" s="9">
        <f t="shared" si="0"/>
        <v>803000000.00000012</v>
      </c>
      <c r="L5" s="35">
        <f t="shared" si="1"/>
        <v>7.3</v>
      </c>
      <c r="M5" s="2" t="s">
        <v>260</v>
      </c>
      <c r="N5" t="s">
        <v>27</v>
      </c>
      <c r="O5" s="19" t="s">
        <v>577</v>
      </c>
      <c r="P5" s="19">
        <v>3</v>
      </c>
      <c r="Q5" s="19" t="s">
        <v>248</v>
      </c>
      <c r="R5" s="21" t="s">
        <v>578</v>
      </c>
      <c r="S5" s="46" t="s">
        <v>250</v>
      </c>
      <c r="T5" s="44" t="s">
        <v>579</v>
      </c>
      <c r="U5" s="76" t="s">
        <v>118</v>
      </c>
      <c r="V5" s="24" t="s">
        <v>629</v>
      </c>
      <c r="W5" s="24"/>
      <c r="X5" s="193" t="s">
        <v>151</v>
      </c>
      <c r="Y5" s="15" t="s">
        <v>168</v>
      </c>
      <c r="AA5">
        <v>1</v>
      </c>
      <c r="AB5" s="487"/>
      <c r="AC5" s="90">
        <v>3</v>
      </c>
      <c r="AD5" s="97" t="s">
        <v>55</v>
      </c>
      <c r="AE5" s="39">
        <f t="shared" si="2"/>
        <v>0</v>
      </c>
      <c r="AF5" s="65">
        <f t="shared" si="3"/>
        <v>0</v>
      </c>
      <c r="AG5" s="65">
        <f t="shared" si="4"/>
        <v>0</v>
      </c>
      <c r="AH5" s="65">
        <f t="shared" si="5"/>
        <v>0</v>
      </c>
      <c r="AI5" s="104">
        <f t="shared" si="6"/>
        <v>0</v>
      </c>
      <c r="AJ5" s="115">
        <f t="shared" si="7"/>
        <v>0</v>
      </c>
      <c r="AK5" s="116">
        <f t="shared" si="8"/>
        <v>0</v>
      </c>
      <c r="AL5" s="116">
        <f t="shared" si="9"/>
        <v>0</v>
      </c>
      <c r="AM5" s="116">
        <f t="shared" si="10"/>
        <v>0</v>
      </c>
      <c r="AN5" s="117">
        <f t="shared" si="11"/>
        <v>0</v>
      </c>
      <c r="AO5" s="39">
        <f t="shared" si="12"/>
        <v>0</v>
      </c>
      <c r="AP5" s="65">
        <f t="shared" si="13"/>
        <v>0</v>
      </c>
      <c r="AQ5" s="65">
        <f t="shared" si="14"/>
        <v>0</v>
      </c>
      <c r="AR5" s="65">
        <f t="shared" si="15"/>
        <v>0</v>
      </c>
      <c r="AS5" s="65">
        <f t="shared" si="16"/>
        <v>0</v>
      </c>
      <c r="AU5" s="152">
        <v>2</v>
      </c>
      <c r="AV5" s="153">
        <f t="shared" ref="AV5:AV15" si="17">COUNTIFS($U:$U,$AV$3,$G:$G,$AU5)</f>
        <v>4</v>
      </c>
      <c r="AW5" s="154">
        <f t="shared" ref="AW5:AW15" si="18">COUNTIFS($U:$U,$AW$3,$G:$G,$AU5)</f>
        <v>0</v>
      </c>
    </row>
    <row r="6" spans="2:49" s="8" customFormat="1" ht="13.5" customHeight="1" x14ac:dyDescent="0.25">
      <c r="B6" s="15">
        <v>4</v>
      </c>
      <c r="C6" s="8" t="s">
        <v>112</v>
      </c>
      <c r="D6" s="5" t="s">
        <v>246</v>
      </c>
      <c r="E6" s="386">
        <v>6</v>
      </c>
      <c r="F6" s="380">
        <v>46079</v>
      </c>
      <c r="G6" s="8">
        <v>3</v>
      </c>
      <c r="H6" s="8">
        <v>1</v>
      </c>
      <c r="I6" s="8">
        <v>337.98</v>
      </c>
      <c r="J6" s="9">
        <v>340000000</v>
      </c>
      <c r="K6" s="9">
        <f>J6*1.1</f>
        <v>374000000.00000006</v>
      </c>
      <c r="L6" s="35">
        <f>J6*0.00000001</f>
        <v>3.4</v>
      </c>
      <c r="M6" s="2" t="s">
        <v>664</v>
      </c>
      <c r="N6" t="s">
        <v>665</v>
      </c>
      <c r="O6" s="19" t="s">
        <v>666</v>
      </c>
      <c r="P6" s="19">
        <v>4</v>
      </c>
      <c r="Q6" s="19" t="s">
        <v>200</v>
      </c>
      <c r="R6" s="21" t="s">
        <v>667</v>
      </c>
      <c r="S6" s="46" t="s">
        <v>250</v>
      </c>
      <c r="T6" s="44" t="s">
        <v>668</v>
      </c>
      <c r="U6" s="76" t="s">
        <v>118</v>
      </c>
      <c r="V6" s="24" t="s">
        <v>629</v>
      </c>
      <c r="W6" s="24"/>
      <c r="X6" s="193" t="s">
        <v>151</v>
      </c>
      <c r="Y6" s="15"/>
      <c r="AA6">
        <v>1</v>
      </c>
      <c r="AB6" s="487"/>
      <c r="AC6" s="90">
        <v>4</v>
      </c>
      <c r="AD6" s="97" t="s">
        <v>56</v>
      </c>
      <c r="AE6" s="39">
        <f t="shared" si="2"/>
        <v>0</v>
      </c>
      <c r="AF6" s="65">
        <f t="shared" si="3"/>
        <v>0</v>
      </c>
      <c r="AG6" s="65">
        <f t="shared" si="4"/>
        <v>0</v>
      </c>
      <c r="AH6" s="65">
        <f t="shared" si="5"/>
        <v>0</v>
      </c>
      <c r="AI6" s="104">
        <f t="shared" si="6"/>
        <v>0</v>
      </c>
      <c r="AJ6" s="115">
        <f t="shared" si="7"/>
        <v>0</v>
      </c>
      <c r="AK6" s="116">
        <f t="shared" si="8"/>
        <v>0</v>
      </c>
      <c r="AL6" s="116">
        <f t="shared" si="9"/>
        <v>0</v>
      </c>
      <c r="AM6" s="116">
        <f t="shared" si="10"/>
        <v>0</v>
      </c>
      <c r="AN6" s="117">
        <f t="shared" si="11"/>
        <v>0</v>
      </c>
      <c r="AO6" s="39">
        <f t="shared" si="12"/>
        <v>0</v>
      </c>
      <c r="AP6" s="65">
        <f t="shared" si="13"/>
        <v>0</v>
      </c>
      <c r="AQ6" s="65">
        <f t="shared" si="14"/>
        <v>0</v>
      </c>
      <c r="AR6" s="65">
        <f t="shared" si="15"/>
        <v>0</v>
      </c>
      <c r="AS6" s="65">
        <f t="shared" si="16"/>
        <v>0</v>
      </c>
      <c r="AU6" s="152">
        <v>3</v>
      </c>
      <c r="AV6" s="153">
        <f t="shared" si="17"/>
        <v>3</v>
      </c>
      <c r="AW6" s="154">
        <f t="shared" si="18"/>
        <v>4</v>
      </c>
    </row>
    <row r="7" spans="2:49" s="8" customFormat="1" ht="13.5" customHeight="1" x14ac:dyDescent="0.25">
      <c r="B7" s="15">
        <v>5</v>
      </c>
      <c r="C7" s="8" t="s">
        <v>112</v>
      </c>
      <c r="D7" s="5" t="s">
        <v>246</v>
      </c>
      <c r="E7" s="386" t="s">
        <v>755</v>
      </c>
      <c r="F7" s="380">
        <v>46086</v>
      </c>
      <c r="G7" s="8">
        <v>3</v>
      </c>
      <c r="H7" s="8">
        <v>2</v>
      </c>
      <c r="I7" s="8">
        <v>554.70000000000005</v>
      </c>
      <c r="J7" s="9">
        <v>570000000</v>
      </c>
      <c r="K7" s="9">
        <f t="shared" si="0"/>
        <v>627000000</v>
      </c>
      <c r="L7" s="35">
        <f t="shared" si="1"/>
        <v>5.7</v>
      </c>
      <c r="M7" s="2" t="s">
        <v>260</v>
      </c>
      <c r="N7" t="s">
        <v>27</v>
      </c>
      <c r="O7" s="19" t="s">
        <v>756</v>
      </c>
      <c r="P7" s="19">
        <v>5</v>
      </c>
      <c r="Q7" s="19" t="s">
        <v>201</v>
      </c>
      <c r="R7" s="21" t="s">
        <v>757</v>
      </c>
      <c r="S7" s="46" t="s">
        <v>250</v>
      </c>
      <c r="T7" s="44" t="s">
        <v>758</v>
      </c>
      <c r="U7" s="76" t="s">
        <v>119</v>
      </c>
      <c r="V7" s="24" t="s">
        <v>759</v>
      </c>
      <c r="W7" s="24"/>
      <c r="X7" s="193" t="s">
        <v>151</v>
      </c>
      <c r="Y7" s="15"/>
      <c r="AA7">
        <v>1</v>
      </c>
      <c r="AB7" s="487"/>
      <c r="AC7" s="91">
        <v>5</v>
      </c>
      <c r="AD7" s="97" t="s">
        <v>57</v>
      </c>
      <c r="AE7" s="39">
        <f t="shared" si="2"/>
        <v>0</v>
      </c>
      <c r="AF7" s="65">
        <f t="shared" si="3"/>
        <v>0</v>
      </c>
      <c r="AG7" s="65">
        <f t="shared" si="4"/>
        <v>0</v>
      </c>
      <c r="AH7" s="65">
        <f t="shared" si="5"/>
        <v>0</v>
      </c>
      <c r="AI7" s="104">
        <f t="shared" si="6"/>
        <v>0</v>
      </c>
      <c r="AJ7" s="115">
        <f t="shared" si="7"/>
        <v>0</v>
      </c>
      <c r="AK7" s="116">
        <f t="shared" si="8"/>
        <v>0</v>
      </c>
      <c r="AL7" s="116">
        <f t="shared" si="9"/>
        <v>0</v>
      </c>
      <c r="AM7" s="116">
        <f t="shared" si="10"/>
        <v>0</v>
      </c>
      <c r="AN7" s="117">
        <f t="shared" si="11"/>
        <v>0</v>
      </c>
      <c r="AO7" s="39">
        <f t="shared" si="12"/>
        <v>0</v>
      </c>
      <c r="AP7" s="65">
        <f t="shared" si="13"/>
        <v>0</v>
      </c>
      <c r="AQ7" s="65">
        <f t="shared" si="14"/>
        <v>0</v>
      </c>
      <c r="AR7" s="65">
        <f t="shared" si="15"/>
        <v>0</v>
      </c>
      <c r="AS7" s="65">
        <f t="shared" si="16"/>
        <v>0</v>
      </c>
      <c r="AU7" s="152">
        <v>4</v>
      </c>
      <c r="AV7" s="153">
        <f t="shared" si="17"/>
        <v>7</v>
      </c>
      <c r="AW7" s="154">
        <f t="shared" si="18"/>
        <v>1</v>
      </c>
    </row>
    <row r="8" spans="2:49" s="8" customFormat="1" ht="13.5" customHeight="1" thickBot="1" x14ac:dyDescent="0.3">
      <c r="B8" s="15">
        <v>6</v>
      </c>
      <c r="C8" s="8" t="s">
        <v>112</v>
      </c>
      <c r="D8" s="5" t="s">
        <v>246</v>
      </c>
      <c r="E8" s="386" t="s">
        <v>768</v>
      </c>
      <c r="F8" s="380">
        <v>46087</v>
      </c>
      <c r="G8" s="8">
        <v>3</v>
      </c>
      <c r="H8" s="8">
        <v>2</v>
      </c>
      <c r="I8" s="8">
        <v>136.095</v>
      </c>
      <c r="J8" s="9">
        <v>160000000</v>
      </c>
      <c r="K8" s="9">
        <f t="shared" si="0"/>
        <v>176000000</v>
      </c>
      <c r="L8" s="35">
        <f t="shared" si="1"/>
        <v>1.6</v>
      </c>
      <c r="M8" s="2" t="s">
        <v>279</v>
      </c>
      <c r="N8" t="s">
        <v>275</v>
      </c>
      <c r="O8" s="19" t="s">
        <v>769</v>
      </c>
      <c r="P8" s="19">
        <v>6</v>
      </c>
      <c r="Q8" s="19" t="s">
        <v>196</v>
      </c>
      <c r="R8" s="21" t="s">
        <v>770</v>
      </c>
      <c r="S8" s="46" t="s">
        <v>250</v>
      </c>
      <c r="T8" s="44" t="s">
        <v>771</v>
      </c>
      <c r="U8" s="76" t="s">
        <v>119</v>
      </c>
      <c r="V8" s="24" t="s">
        <v>772</v>
      </c>
      <c r="W8" s="24"/>
      <c r="X8" s="193" t="s">
        <v>160</v>
      </c>
      <c r="Y8" s="15" t="s">
        <v>168</v>
      </c>
      <c r="AA8">
        <v>1</v>
      </c>
      <c r="AB8" s="488"/>
      <c r="AC8" s="92" t="s">
        <v>3</v>
      </c>
      <c r="AD8" s="98"/>
      <c r="AE8" s="94">
        <f t="shared" ref="AE8:AS8" si="19">SUM(AE3:AE7)</f>
        <v>0</v>
      </c>
      <c r="AF8" s="94">
        <f t="shared" si="19"/>
        <v>0</v>
      </c>
      <c r="AG8" s="94">
        <f t="shared" si="19"/>
        <v>0</v>
      </c>
      <c r="AH8" s="94">
        <f t="shared" si="19"/>
        <v>0</v>
      </c>
      <c r="AI8" s="105">
        <f t="shared" si="19"/>
        <v>0</v>
      </c>
      <c r="AJ8" s="118">
        <f t="shared" si="19"/>
        <v>0</v>
      </c>
      <c r="AK8" s="119">
        <f t="shared" si="19"/>
        <v>0</v>
      </c>
      <c r="AL8" s="119">
        <f t="shared" si="19"/>
        <v>0</v>
      </c>
      <c r="AM8" s="119">
        <f t="shared" si="19"/>
        <v>0</v>
      </c>
      <c r="AN8" s="120">
        <f t="shared" si="19"/>
        <v>0</v>
      </c>
      <c r="AO8" s="94">
        <f t="shared" si="19"/>
        <v>0</v>
      </c>
      <c r="AP8" s="94">
        <f t="shared" si="19"/>
        <v>0</v>
      </c>
      <c r="AQ8" s="94">
        <f t="shared" si="19"/>
        <v>0</v>
      </c>
      <c r="AR8" s="94">
        <f t="shared" si="19"/>
        <v>0</v>
      </c>
      <c r="AS8" s="94">
        <f t="shared" si="19"/>
        <v>0</v>
      </c>
      <c r="AU8" s="152">
        <v>5</v>
      </c>
      <c r="AV8" s="153">
        <f t="shared" si="17"/>
        <v>0</v>
      </c>
      <c r="AW8" s="154">
        <f t="shared" si="18"/>
        <v>0</v>
      </c>
    </row>
    <row r="9" spans="2:49" s="8" customFormat="1" ht="13.5" customHeight="1" x14ac:dyDescent="0.25">
      <c r="B9" s="15">
        <v>7</v>
      </c>
      <c r="C9" s="8" t="s">
        <v>112</v>
      </c>
      <c r="D9" s="5" t="s">
        <v>246</v>
      </c>
      <c r="E9" s="386" t="s">
        <v>794</v>
      </c>
      <c r="F9" s="380">
        <v>46091</v>
      </c>
      <c r="G9" s="8">
        <v>3</v>
      </c>
      <c r="H9" s="8">
        <v>2</v>
      </c>
      <c r="I9" s="8">
        <v>245.1</v>
      </c>
      <c r="J9" s="9">
        <v>265000000</v>
      </c>
      <c r="K9" s="9">
        <f t="shared" si="0"/>
        <v>291500000</v>
      </c>
      <c r="L9" s="35">
        <f t="shared" si="1"/>
        <v>2.65</v>
      </c>
      <c r="M9" s="2" t="s">
        <v>396</v>
      </c>
      <c r="N9" t="s">
        <v>275</v>
      </c>
      <c r="O9" s="19" t="s">
        <v>795</v>
      </c>
      <c r="P9" s="19">
        <v>7</v>
      </c>
      <c r="Q9" s="19" t="s">
        <v>196</v>
      </c>
      <c r="R9" s="21" t="s">
        <v>796</v>
      </c>
      <c r="S9" s="46" t="s">
        <v>250</v>
      </c>
      <c r="T9" s="44" t="s">
        <v>797</v>
      </c>
      <c r="U9" s="76" t="s">
        <v>118</v>
      </c>
      <c r="V9" s="24" t="s">
        <v>629</v>
      </c>
      <c r="W9" s="24"/>
      <c r="X9" s="193" t="s">
        <v>254</v>
      </c>
      <c r="Y9" s="15" t="s">
        <v>168</v>
      </c>
      <c r="AA9">
        <v>2</v>
      </c>
      <c r="AB9" s="486">
        <v>2</v>
      </c>
      <c r="AC9" s="89">
        <v>1</v>
      </c>
      <c r="AD9" s="99" t="s">
        <v>82</v>
      </c>
      <c r="AE9" s="39">
        <f t="shared" si="2"/>
        <v>99.33</v>
      </c>
      <c r="AF9" s="65">
        <f t="shared" si="3"/>
        <v>99.33</v>
      </c>
      <c r="AG9" s="65">
        <f t="shared" si="4"/>
        <v>0</v>
      </c>
      <c r="AH9" s="65">
        <f t="shared" si="5"/>
        <v>0</v>
      </c>
      <c r="AI9" s="104">
        <f t="shared" si="6"/>
        <v>0</v>
      </c>
      <c r="AJ9" s="115">
        <f t="shared" si="7"/>
        <v>1</v>
      </c>
      <c r="AK9" s="116">
        <f t="shared" si="8"/>
        <v>1</v>
      </c>
      <c r="AL9" s="116">
        <f t="shared" si="9"/>
        <v>0</v>
      </c>
      <c r="AM9" s="116">
        <f t="shared" si="10"/>
        <v>0</v>
      </c>
      <c r="AN9" s="117">
        <f t="shared" si="11"/>
        <v>0</v>
      </c>
      <c r="AO9" s="39">
        <f t="shared" si="12"/>
        <v>1.29</v>
      </c>
      <c r="AP9" s="65">
        <f t="shared" si="13"/>
        <v>1.29</v>
      </c>
      <c r="AQ9" s="65">
        <f t="shared" si="14"/>
        <v>0</v>
      </c>
      <c r="AR9" s="65">
        <f t="shared" si="15"/>
        <v>0</v>
      </c>
      <c r="AS9" s="65">
        <f t="shared" si="16"/>
        <v>0</v>
      </c>
      <c r="AU9" s="152">
        <v>6</v>
      </c>
      <c r="AV9" s="153">
        <f t="shared" si="17"/>
        <v>0</v>
      </c>
      <c r="AW9" s="154">
        <f t="shared" si="18"/>
        <v>0</v>
      </c>
    </row>
    <row r="10" spans="2:49" s="8" customFormat="1" ht="13.5" customHeight="1" x14ac:dyDescent="0.25">
      <c r="B10" s="15">
        <v>8</v>
      </c>
      <c r="C10" s="8" t="s">
        <v>112</v>
      </c>
      <c r="D10" s="5" t="s">
        <v>246</v>
      </c>
      <c r="E10" s="386" t="s">
        <v>882</v>
      </c>
      <c r="F10" s="380">
        <v>46100</v>
      </c>
      <c r="G10" s="8">
        <v>3</v>
      </c>
      <c r="H10" s="8">
        <v>3</v>
      </c>
      <c r="I10" s="8">
        <v>136.095</v>
      </c>
      <c r="J10" s="9">
        <v>150000000</v>
      </c>
      <c r="K10" s="9">
        <f t="shared" si="0"/>
        <v>165000000</v>
      </c>
      <c r="L10" s="35">
        <f t="shared" si="1"/>
        <v>1.5</v>
      </c>
      <c r="M10" s="2" t="s">
        <v>396</v>
      </c>
      <c r="N10" s="2" t="s">
        <v>27</v>
      </c>
      <c r="O10" s="19" t="s">
        <v>883</v>
      </c>
      <c r="P10" s="19">
        <v>8</v>
      </c>
      <c r="Q10" s="19" t="s">
        <v>200</v>
      </c>
      <c r="R10" s="21" t="s">
        <v>884</v>
      </c>
      <c r="S10" s="46" t="s">
        <v>250</v>
      </c>
      <c r="T10" s="82" t="s">
        <v>885</v>
      </c>
      <c r="U10" s="76" t="s">
        <v>119</v>
      </c>
      <c r="V10" s="24" t="s">
        <v>886</v>
      </c>
      <c r="W10" s="24"/>
      <c r="X10" s="193" t="s">
        <v>151</v>
      </c>
      <c r="Y10" s="15"/>
      <c r="AA10">
        <v>2</v>
      </c>
      <c r="AB10" s="487"/>
      <c r="AC10" s="90">
        <v>2</v>
      </c>
      <c r="AD10" s="97" t="s">
        <v>58</v>
      </c>
      <c r="AE10" s="39">
        <f t="shared" si="2"/>
        <v>1016.5200000000001</v>
      </c>
      <c r="AF10" s="65">
        <f t="shared" si="3"/>
        <v>1016.5200000000001</v>
      </c>
      <c r="AG10" s="65">
        <f t="shared" si="4"/>
        <v>0</v>
      </c>
      <c r="AH10" s="65">
        <f t="shared" si="5"/>
        <v>0</v>
      </c>
      <c r="AI10" s="104">
        <f t="shared" si="6"/>
        <v>0</v>
      </c>
      <c r="AJ10" s="115">
        <f t="shared" si="7"/>
        <v>3</v>
      </c>
      <c r="AK10" s="116">
        <f t="shared" si="8"/>
        <v>3</v>
      </c>
      <c r="AL10" s="116">
        <f t="shared" si="9"/>
        <v>0</v>
      </c>
      <c r="AM10" s="116">
        <f t="shared" si="10"/>
        <v>0</v>
      </c>
      <c r="AN10" s="117">
        <f t="shared" si="11"/>
        <v>0</v>
      </c>
      <c r="AO10" s="39">
        <f t="shared" si="12"/>
        <v>11.19</v>
      </c>
      <c r="AP10" s="65">
        <f t="shared" si="13"/>
        <v>11.19</v>
      </c>
      <c r="AQ10" s="65">
        <f t="shared" si="14"/>
        <v>0</v>
      </c>
      <c r="AR10" s="65">
        <f t="shared" si="15"/>
        <v>0</v>
      </c>
      <c r="AS10" s="65">
        <f t="shared" si="16"/>
        <v>0</v>
      </c>
      <c r="AU10" s="152">
        <v>7</v>
      </c>
      <c r="AV10" s="153">
        <f t="shared" si="17"/>
        <v>2</v>
      </c>
      <c r="AW10" s="154">
        <f t="shared" si="18"/>
        <v>2</v>
      </c>
    </row>
    <row r="11" spans="2:49" s="8" customFormat="1" ht="13.5" customHeight="1" x14ac:dyDescent="0.25">
      <c r="B11" s="15">
        <v>9</v>
      </c>
      <c r="C11" s="8" t="s">
        <v>112</v>
      </c>
      <c r="D11" s="5" t="s">
        <v>246</v>
      </c>
      <c r="E11" s="386" t="s">
        <v>783</v>
      </c>
      <c r="F11" s="380">
        <v>46100</v>
      </c>
      <c r="G11" s="8">
        <v>3</v>
      </c>
      <c r="H11" s="8">
        <v>3</v>
      </c>
      <c r="I11" s="8">
        <v>199.68</v>
      </c>
      <c r="J11" s="9">
        <v>239000000</v>
      </c>
      <c r="K11" s="9">
        <f t="shared" si="0"/>
        <v>262900000.00000003</v>
      </c>
      <c r="L11" s="35">
        <f t="shared" si="1"/>
        <v>2.39</v>
      </c>
      <c r="M11" s="2" t="s">
        <v>284</v>
      </c>
      <c r="N11" t="s">
        <v>275</v>
      </c>
      <c r="O11" s="19" t="s">
        <v>887</v>
      </c>
      <c r="P11" s="19">
        <v>9</v>
      </c>
      <c r="Q11" s="19" t="s">
        <v>196</v>
      </c>
      <c r="R11" s="21" t="s">
        <v>895</v>
      </c>
      <c r="S11" s="46" t="s">
        <v>250</v>
      </c>
      <c r="T11" s="44" t="s">
        <v>894</v>
      </c>
      <c r="U11" s="76" t="s">
        <v>118</v>
      </c>
      <c r="V11" s="24" t="s">
        <v>629</v>
      </c>
      <c r="W11" s="24"/>
      <c r="X11" s="193" t="s">
        <v>151</v>
      </c>
      <c r="Y11" s="15" t="s">
        <v>168</v>
      </c>
      <c r="AA11">
        <v>2</v>
      </c>
      <c r="AB11" s="487"/>
      <c r="AC11" s="90">
        <v>3</v>
      </c>
      <c r="AD11" s="97" t="s">
        <v>59</v>
      </c>
      <c r="AE11" s="39">
        <f t="shared" si="2"/>
        <v>0</v>
      </c>
      <c r="AF11" s="65">
        <f t="shared" si="3"/>
        <v>0</v>
      </c>
      <c r="AG11" s="65">
        <f t="shared" si="4"/>
        <v>0</v>
      </c>
      <c r="AH11" s="65">
        <f t="shared" si="5"/>
        <v>0</v>
      </c>
      <c r="AI11" s="104">
        <f t="shared" si="6"/>
        <v>0</v>
      </c>
      <c r="AJ11" s="115">
        <f t="shared" si="7"/>
        <v>0</v>
      </c>
      <c r="AK11" s="116">
        <f t="shared" si="8"/>
        <v>0</v>
      </c>
      <c r="AL11" s="116">
        <f t="shared" si="9"/>
        <v>0</v>
      </c>
      <c r="AM11" s="116">
        <f t="shared" si="10"/>
        <v>0</v>
      </c>
      <c r="AN11" s="117">
        <f t="shared" si="11"/>
        <v>0</v>
      </c>
      <c r="AO11" s="39">
        <f t="shared" si="12"/>
        <v>0</v>
      </c>
      <c r="AP11" s="65">
        <f t="shared" si="13"/>
        <v>0</v>
      </c>
      <c r="AQ11" s="65">
        <f t="shared" si="14"/>
        <v>0</v>
      </c>
      <c r="AR11" s="65">
        <f t="shared" si="15"/>
        <v>0</v>
      </c>
      <c r="AS11" s="65">
        <f t="shared" si="16"/>
        <v>0</v>
      </c>
      <c r="AU11" s="152">
        <v>8</v>
      </c>
      <c r="AV11" s="153">
        <f t="shared" si="17"/>
        <v>0</v>
      </c>
      <c r="AW11" s="154">
        <f t="shared" si="18"/>
        <v>0</v>
      </c>
    </row>
    <row r="12" spans="2:49" s="8" customFormat="1" ht="13.5" customHeight="1" x14ac:dyDescent="0.25">
      <c r="B12" s="15">
        <v>10</v>
      </c>
      <c r="C12" s="8" t="s">
        <v>112</v>
      </c>
      <c r="D12" s="5" t="s">
        <v>246</v>
      </c>
      <c r="E12" s="386" t="s">
        <v>890</v>
      </c>
      <c r="F12" s="380">
        <v>46059</v>
      </c>
      <c r="G12" s="8">
        <v>2</v>
      </c>
      <c r="H12" s="8">
        <v>2</v>
      </c>
      <c r="I12" s="8">
        <v>63.21</v>
      </c>
      <c r="J12" s="9">
        <v>77000000</v>
      </c>
      <c r="K12" s="9">
        <f t="shared" si="0"/>
        <v>84700000</v>
      </c>
      <c r="L12" s="35">
        <f t="shared" si="1"/>
        <v>0.77</v>
      </c>
      <c r="M12" s="2" t="s">
        <v>279</v>
      </c>
      <c r="N12" t="s">
        <v>275</v>
      </c>
      <c r="O12" s="19" t="s">
        <v>888</v>
      </c>
      <c r="P12" s="19">
        <v>10</v>
      </c>
      <c r="Q12" s="19" t="s">
        <v>196</v>
      </c>
      <c r="R12" s="21" t="s">
        <v>893</v>
      </c>
      <c r="S12" s="46" t="s">
        <v>250</v>
      </c>
      <c r="T12" s="44" t="s">
        <v>896</v>
      </c>
      <c r="U12" s="76" t="s">
        <v>252</v>
      </c>
      <c r="V12" s="24" t="s">
        <v>629</v>
      </c>
      <c r="W12" s="24"/>
      <c r="X12" s="193" t="s">
        <v>152</v>
      </c>
      <c r="Y12" s="15" t="s">
        <v>255</v>
      </c>
      <c r="AA12">
        <v>2</v>
      </c>
      <c r="AB12" s="487"/>
      <c r="AC12" s="90">
        <v>4</v>
      </c>
      <c r="AD12" s="97" t="s">
        <v>60</v>
      </c>
      <c r="AE12" s="39">
        <f t="shared" si="2"/>
        <v>0</v>
      </c>
      <c r="AF12" s="65">
        <f t="shared" si="3"/>
        <v>0</v>
      </c>
      <c r="AG12" s="65">
        <f t="shared" si="4"/>
        <v>0</v>
      </c>
      <c r="AH12" s="65">
        <f t="shared" si="5"/>
        <v>0</v>
      </c>
      <c r="AI12" s="104">
        <f t="shared" si="6"/>
        <v>0</v>
      </c>
      <c r="AJ12" s="115">
        <f t="shared" si="7"/>
        <v>0</v>
      </c>
      <c r="AK12" s="116">
        <f t="shared" si="8"/>
        <v>0</v>
      </c>
      <c r="AL12" s="116">
        <f t="shared" si="9"/>
        <v>0</v>
      </c>
      <c r="AM12" s="116">
        <f t="shared" si="10"/>
        <v>0</v>
      </c>
      <c r="AN12" s="117">
        <f t="shared" si="11"/>
        <v>0</v>
      </c>
      <c r="AO12" s="39">
        <f t="shared" si="12"/>
        <v>0</v>
      </c>
      <c r="AP12" s="65">
        <f t="shared" si="13"/>
        <v>0</v>
      </c>
      <c r="AQ12" s="65">
        <f t="shared" si="14"/>
        <v>0</v>
      </c>
      <c r="AR12" s="65">
        <f t="shared" si="15"/>
        <v>0</v>
      </c>
      <c r="AS12" s="65">
        <f t="shared" si="16"/>
        <v>0</v>
      </c>
      <c r="AU12" s="152">
        <v>9</v>
      </c>
      <c r="AV12" s="153">
        <f t="shared" si="17"/>
        <v>1</v>
      </c>
      <c r="AW12" s="154">
        <f t="shared" si="18"/>
        <v>0</v>
      </c>
    </row>
    <row r="13" spans="2:49" s="8" customFormat="1" ht="13.5" customHeight="1" x14ac:dyDescent="0.25">
      <c r="B13" s="15">
        <v>11</v>
      </c>
      <c r="C13" s="8" t="s">
        <v>112</v>
      </c>
      <c r="D13" s="5" t="s">
        <v>246</v>
      </c>
      <c r="E13" s="386" t="s">
        <v>891</v>
      </c>
      <c r="F13" s="380">
        <v>46094</v>
      </c>
      <c r="G13" s="8">
        <v>3</v>
      </c>
      <c r="H13" s="8">
        <v>3</v>
      </c>
      <c r="I13" s="8">
        <v>201.24</v>
      </c>
      <c r="J13" s="9">
        <v>230000000</v>
      </c>
      <c r="K13" s="9">
        <f t="shared" si="0"/>
        <v>253000000.00000003</v>
      </c>
      <c r="L13" s="35">
        <f t="shared" si="1"/>
        <v>2.3000000000000003</v>
      </c>
      <c r="M13" s="2" t="s">
        <v>259</v>
      </c>
      <c r="N13" t="s">
        <v>275</v>
      </c>
      <c r="O13" s="19" t="s">
        <v>889</v>
      </c>
      <c r="P13" s="19">
        <v>11</v>
      </c>
      <c r="Q13" s="19" t="s">
        <v>196</v>
      </c>
      <c r="R13" s="21" t="s">
        <v>892</v>
      </c>
      <c r="S13" s="46" t="s">
        <v>250</v>
      </c>
      <c r="T13" s="44" t="s">
        <v>897</v>
      </c>
      <c r="U13" s="76" t="s">
        <v>267</v>
      </c>
      <c r="V13" s="24" t="s">
        <v>898</v>
      </c>
      <c r="W13" s="24"/>
      <c r="X13" s="193" t="s">
        <v>152</v>
      </c>
      <c r="Y13" s="15" t="s">
        <v>255</v>
      </c>
      <c r="AA13">
        <v>2</v>
      </c>
      <c r="AB13" s="487"/>
      <c r="AC13" s="91">
        <v>5</v>
      </c>
      <c r="AD13" s="97"/>
      <c r="AE13" s="39">
        <f t="shared" si="2"/>
        <v>0</v>
      </c>
      <c r="AF13" s="65">
        <f t="shared" si="3"/>
        <v>0</v>
      </c>
      <c r="AG13" s="65">
        <f t="shared" si="4"/>
        <v>0</v>
      </c>
      <c r="AH13" s="65">
        <f t="shared" si="5"/>
        <v>0</v>
      </c>
      <c r="AI13" s="104">
        <f t="shared" si="6"/>
        <v>0</v>
      </c>
      <c r="AJ13" s="115">
        <f t="shared" si="7"/>
        <v>0</v>
      </c>
      <c r="AK13" s="116">
        <f t="shared" si="8"/>
        <v>0</v>
      </c>
      <c r="AL13" s="116">
        <f t="shared" si="9"/>
        <v>0</v>
      </c>
      <c r="AM13" s="116">
        <f t="shared" si="10"/>
        <v>0</v>
      </c>
      <c r="AN13" s="117">
        <f t="shared" si="11"/>
        <v>0</v>
      </c>
      <c r="AO13" s="39">
        <f t="shared" si="12"/>
        <v>0</v>
      </c>
      <c r="AP13" s="65">
        <f t="shared" si="13"/>
        <v>0</v>
      </c>
      <c r="AQ13" s="65">
        <f t="shared" si="14"/>
        <v>0</v>
      </c>
      <c r="AR13" s="65">
        <f t="shared" si="15"/>
        <v>0</v>
      </c>
      <c r="AS13" s="65">
        <f t="shared" si="16"/>
        <v>0</v>
      </c>
      <c r="AU13" s="152">
        <v>10</v>
      </c>
      <c r="AV13" s="153">
        <f t="shared" si="17"/>
        <v>0</v>
      </c>
      <c r="AW13" s="154">
        <f t="shared" si="18"/>
        <v>0</v>
      </c>
    </row>
    <row r="14" spans="2:49" s="8" customFormat="1" ht="13.5" customHeight="1" thickBot="1" x14ac:dyDescent="0.3">
      <c r="B14" s="15">
        <v>12</v>
      </c>
      <c r="C14" s="8" t="s">
        <v>112</v>
      </c>
      <c r="D14" s="5" t="s">
        <v>246</v>
      </c>
      <c r="E14" s="386">
        <v>12</v>
      </c>
      <c r="F14" s="380">
        <v>46120</v>
      </c>
      <c r="G14" s="8">
        <v>4</v>
      </c>
      <c r="H14" s="8">
        <v>2</v>
      </c>
      <c r="I14" s="8">
        <v>998.46</v>
      </c>
      <c r="J14" s="9">
        <v>1100000000</v>
      </c>
      <c r="K14" s="9">
        <f t="shared" si="0"/>
        <v>1210000000</v>
      </c>
      <c r="L14" s="35">
        <f t="shared" si="1"/>
        <v>11</v>
      </c>
      <c r="M14" s="2" t="s">
        <v>279</v>
      </c>
      <c r="N14" t="s">
        <v>275</v>
      </c>
      <c r="O14" s="19" t="s">
        <v>1065</v>
      </c>
      <c r="P14" s="19">
        <v>12</v>
      </c>
      <c r="Q14" s="19" t="s">
        <v>198</v>
      </c>
      <c r="R14" s="21" t="s">
        <v>1066</v>
      </c>
      <c r="S14" s="46" t="s">
        <v>250</v>
      </c>
      <c r="T14" s="44" t="s">
        <v>1067</v>
      </c>
      <c r="U14" s="76" t="s">
        <v>118</v>
      </c>
      <c r="V14" s="29" t="s">
        <v>898</v>
      </c>
      <c r="W14" s="24"/>
      <c r="X14" s="193" t="s">
        <v>254</v>
      </c>
      <c r="Y14" s="15" t="s">
        <v>168</v>
      </c>
      <c r="AA14">
        <v>2</v>
      </c>
      <c r="AB14" s="488"/>
      <c r="AC14" s="92" t="s">
        <v>3</v>
      </c>
      <c r="AD14" s="98"/>
      <c r="AE14" s="94">
        <f t="shared" ref="AE14:AS14" si="20">SUM(AE9:AE13)</f>
        <v>1115.8500000000001</v>
      </c>
      <c r="AF14" s="94">
        <f t="shared" si="20"/>
        <v>1115.8500000000001</v>
      </c>
      <c r="AG14" s="94">
        <f t="shared" si="20"/>
        <v>0</v>
      </c>
      <c r="AH14" s="94">
        <f t="shared" si="20"/>
        <v>0</v>
      </c>
      <c r="AI14" s="105">
        <f t="shared" si="20"/>
        <v>0</v>
      </c>
      <c r="AJ14" s="118">
        <f t="shared" si="20"/>
        <v>4</v>
      </c>
      <c r="AK14" s="119">
        <f t="shared" si="20"/>
        <v>4</v>
      </c>
      <c r="AL14" s="119">
        <f t="shared" si="20"/>
        <v>0</v>
      </c>
      <c r="AM14" s="119">
        <f t="shared" si="20"/>
        <v>0</v>
      </c>
      <c r="AN14" s="120">
        <f t="shared" si="20"/>
        <v>0</v>
      </c>
      <c r="AO14" s="94">
        <f t="shared" si="20"/>
        <v>12.48</v>
      </c>
      <c r="AP14" s="94">
        <f t="shared" si="20"/>
        <v>12.48</v>
      </c>
      <c r="AQ14" s="94">
        <f t="shared" si="20"/>
        <v>0</v>
      </c>
      <c r="AR14" s="94">
        <f t="shared" si="20"/>
        <v>0</v>
      </c>
      <c r="AS14" s="94">
        <f t="shared" si="20"/>
        <v>0</v>
      </c>
      <c r="AU14" s="152">
        <v>11</v>
      </c>
      <c r="AV14" s="153">
        <f t="shared" si="17"/>
        <v>0</v>
      </c>
      <c r="AW14" s="154">
        <f t="shared" si="18"/>
        <v>0</v>
      </c>
    </row>
    <row r="15" spans="2:49" s="8" customFormat="1" ht="13.5" customHeight="1" thickBot="1" x14ac:dyDescent="0.3">
      <c r="B15" s="15">
        <v>13</v>
      </c>
      <c r="C15" s="8" t="s">
        <v>112</v>
      </c>
      <c r="D15" s="5" t="s">
        <v>246</v>
      </c>
      <c r="E15" s="386">
        <v>13</v>
      </c>
      <c r="F15" s="380">
        <v>46125</v>
      </c>
      <c r="G15" s="8">
        <v>4</v>
      </c>
      <c r="H15" s="8">
        <v>3</v>
      </c>
      <c r="I15" s="8">
        <v>24.51</v>
      </c>
      <c r="J15" s="9">
        <v>48000000</v>
      </c>
      <c r="K15" s="9">
        <f t="shared" si="0"/>
        <v>52800000.000000007</v>
      </c>
      <c r="L15" s="35">
        <f t="shared" si="1"/>
        <v>0.48000000000000004</v>
      </c>
      <c r="M15" s="2" t="s">
        <v>396</v>
      </c>
      <c r="N15" t="s">
        <v>275</v>
      </c>
      <c r="O15" s="19" t="s">
        <v>1105</v>
      </c>
      <c r="P15" s="19">
        <v>13</v>
      </c>
      <c r="Q15" s="19" t="s">
        <v>196</v>
      </c>
      <c r="R15" s="21" t="s">
        <v>1106</v>
      </c>
      <c r="S15" s="46" t="s">
        <v>1104</v>
      </c>
      <c r="T15" s="44" t="s">
        <v>1101</v>
      </c>
      <c r="U15" s="76" t="s">
        <v>118</v>
      </c>
      <c r="V15" s="29" t="s">
        <v>898</v>
      </c>
      <c r="W15" s="24"/>
      <c r="X15" s="193" t="s">
        <v>254</v>
      </c>
      <c r="Y15" s="15" t="s">
        <v>168</v>
      </c>
      <c r="AA15">
        <v>3</v>
      </c>
      <c r="AB15" s="486">
        <v>3</v>
      </c>
      <c r="AC15" s="89">
        <v>1</v>
      </c>
      <c r="AD15" s="95" t="s">
        <v>83</v>
      </c>
      <c r="AE15" s="39">
        <f t="shared" si="2"/>
        <v>337.98</v>
      </c>
      <c r="AF15" s="65">
        <f t="shared" si="3"/>
        <v>337.98</v>
      </c>
      <c r="AG15" s="65">
        <f t="shared" si="4"/>
        <v>0</v>
      </c>
      <c r="AH15" s="65">
        <f t="shared" si="5"/>
        <v>0</v>
      </c>
      <c r="AI15" s="104">
        <f t="shared" si="6"/>
        <v>0</v>
      </c>
      <c r="AJ15" s="115">
        <f t="shared" si="7"/>
        <v>1</v>
      </c>
      <c r="AK15" s="116">
        <f t="shared" si="8"/>
        <v>1</v>
      </c>
      <c r="AL15" s="116">
        <f t="shared" si="9"/>
        <v>0</v>
      </c>
      <c r="AM15" s="116">
        <f t="shared" si="10"/>
        <v>0</v>
      </c>
      <c r="AN15" s="117">
        <f t="shared" si="11"/>
        <v>0</v>
      </c>
      <c r="AO15" s="39">
        <f t="shared" si="12"/>
        <v>3.4</v>
      </c>
      <c r="AP15" s="65">
        <f t="shared" si="13"/>
        <v>3.4</v>
      </c>
      <c r="AQ15" s="65">
        <f t="shared" si="14"/>
        <v>0</v>
      </c>
      <c r="AR15" s="65">
        <f t="shared" si="15"/>
        <v>0</v>
      </c>
      <c r="AS15" s="65">
        <f t="shared" si="16"/>
        <v>0</v>
      </c>
      <c r="AU15" s="155">
        <v>12</v>
      </c>
      <c r="AV15" s="153">
        <f t="shared" si="17"/>
        <v>0</v>
      </c>
      <c r="AW15" s="154">
        <f t="shared" si="18"/>
        <v>0</v>
      </c>
    </row>
    <row r="16" spans="2:49" s="8" customFormat="1" ht="13.5" customHeight="1" thickBot="1" x14ac:dyDescent="0.3">
      <c r="B16" s="15">
        <v>14</v>
      </c>
      <c r="C16" s="8" t="s">
        <v>112</v>
      </c>
      <c r="D16" s="5" t="s">
        <v>246</v>
      </c>
      <c r="E16" s="386">
        <v>14</v>
      </c>
      <c r="F16" s="380">
        <v>46125</v>
      </c>
      <c r="G16" s="8">
        <v>4</v>
      </c>
      <c r="H16" s="8">
        <v>3</v>
      </c>
      <c r="I16" s="8">
        <v>24.51</v>
      </c>
      <c r="J16" s="9">
        <v>48000000</v>
      </c>
      <c r="K16" s="9">
        <f t="shared" si="0"/>
        <v>52800000.000000007</v>
      </c>
      <c r="L16" s="35">
        <f t="shared" si="1"/>
        <v>0.48000000000000004</v>
      </c>
      <c r="M16" s="2" t="s">
        <v>396</v>
      </c>
      <c r="N16" t="s">
        <v>275</v>
      </c>
      <c r="O16" s="19" t="s">
        <v>1105</v>
      </c>
      <c r="P16" s="19">
        <v>14</v>
      </c>
      <c r="Q16" s="19" t="s">
        <v>196</v>
      </c>
      <c r="R16" s="21" t="s">
        <v>1107</v>
      </c>
      <c r="S16" s="46" t="s">
        <v>1104</v>
      </c>
      <c r="T16" s="44" t="s">
        <v>1101</v>
      </c>
      <c r="U16" s="76" t="s">
        <v>118</v>
      </c>
      <c r="V16" s="29" t="s">
        <v>898</v>
      </c>
      <c r="W16" s="24"/>
      <c r="X16" s="193" t="s">
        <v>254</v>
      </c>
      <c r="Y16" s="15" t="s">
        <v>168</v>
      </c>
      <c r="AA16">
        <v>3</v>
      </c>
      <c r="AB16" s="487"/>
      <c r="AC16" s="90">
        <v>2</v>
      </c>
      <c r="AD16" s="96" t="s">
        <v>58</v>
      </c>
      <c r="AE16" s="39">
        <f t="shared" si="2"/>
        <v>935.8950000000001</v>
      </c>
      <c r="AF16" s="65">
        <f t="shared" si="3"/>
        <v>935.8950000000001</v>
      </c>
      <c r="AG16" s="65">
        <f t="shared" si="4"/>
        <v>0</v>
      </c>
      <c r="AH16" s="65">
        <f t="shared" si="5"/>
        <v>0</v>
      </c>
      <c r="AI16" s="104">
        <f t="shared" si="6"/>
        <v>0</v>
      </c>
      <c r="AJ16" s="115">
        <f t="shared" si="7"/>
        <v>3</v>
      </c>
      <c r="AK16" s="116">
        <f t="shared" si="8"/>
        <v>3</v>
      </c>
      <c r="AL16" s="116">
        <f t="shared" si="9"/>
        <v>0</v>
      </c>
      <c r="AM16" s="116">
        <f t="shared" si="10"/>
        <v>0</v>
      </c>
      <c r="AN16" s="117">
        <f t="shared" si="11"/>
        <v>0</v>
      </c>
      <c r="AO16" s="39">
        <f t="shared" si="12"/>
        <v>9.9500000000000011</v>
      </c>
      <c r="AP16" s="65">
        <f t="shared" si="13"/>
        <v>9.9500000000000011</v>
      </c>
      <c r="AQ16" s="65">
        <f t="shared" si="14"/>
        <v>0</v>
      </c>
      <c r="AR16" s="65">
        <f t="shared" si="15"/>
        <v>0</v>
      </c>
      <c r="AS16" s="65">
        <f t="shared" si="16"/>
        <v>0</v>
      </c>
      <c r="AU16" s="156" t="s">
        <v>3</v>
      </c>
      <c r="AV16" s="157">
        <f>SUM(AV4:AV15)</f>
        <v>17</v>
      </c>
      <c r="AW16" s="157">
        <f>SUM(AW4:AW15)</f>
        <v>7</v>
      </c>
    </row>
    <row r="17" spans="2:49" s="8" customFormat="1" ht="13.5" customHeight="1" thickBot="1" x14ac:dyDescent="0.3">
      <c r="B17" s="15">
        <v>15</v>
      </c>
      <c r="C17" s="8" t="s">
        <v>112</v>
      </c>
      <c r="D17" s="5" t="s">
        <v>246</v>
      </c>
      <c r="E17" s="386">
        <v>15</v>
      </c>
      <c r="F17" s="380">
        <v>46125</v>
      </c>
      <c r="G17" s="8">
        <v>4</v>
      </c>
      <c r="H17" s="8">
        <v>3</v>
      </c>
      <c r="I17" s="8">
        <v>99.974999999999994</v>
      </c>
      <c r="J17" s="9">
        <v>125000000</v>
      </c>
      <c r="K17" s="9">
        <f t="shared" si="0"/>
        <v>137500000</v>
      </c>
      <c r="L17" s="35">
        <f t="shared" si="1"/>
        <v>1.25</v>
      </c>
      <c r="M17" s="2" t="s">
        <v>396</v>
      </c>
      <c r="N17" t="s">
        <v>275</v>
      </c>
      <c r="O17" s="19" t="s">
        <v>1105</v>
      </c>
      <c r="P17" s="19">
        <v>15</v>
      </c>
      <c r="Q17" s="19" t="s">
        <v>196</v>
      </c>
      <c r="R17" s="21" t="s">
        <v>1108</v>
      </c>
      <c r="S17" s="46" t="s">
        <v>1104</v>
      </c>
      <c r="T17" s="44" t="s">
        <v>1101</v>
      </c>
      <c r="U17" s="76" t="s">
        <v>118</v>
      </c>
      <c r="V17" s="29" t="s">
        <v>898</v>
      </c>
      <c r="W17" s="24"/>
      <c r="X17" s="193" t="s">
        <v>254</v>
      </c>
      <c r="Y17" s="15" t="s">
        <v>168</v>
      </c>
      <c r="AA17">
        <v>3</v>
      </c>
      <c r="AB17" s="487"/>
      <c r="AC17" s="90">
        <v>3</v>
      </c>
      <c r="AD17" s="97" t="s">
        <v>59</v>
      </c>
      <c r="AE17" s="39">
        <f t="shared" si="2"/>
        <v>537.01499999999999</v>
      </c>
      <c r="AF17" s="65">
        <f t="shared" si="3"/>
        <v>537.01499999999999</v>
      </c>
      <c r="AG17" s="65">
        <f t="shared" si="4"/>
        <v>0</v>
      </c>
      <c r="AH17" s="65">
        <f t="shared" si="5"/>
        <v>0</v>
      </c>
      <c r="AI17" s="104">
        <f t="shared" si="6"/>
        <v>0</v>
      </c>
      <c r="AJ17" s="115">
        <f t="shared" si="7"/>
        <v>3</v>
      </c>
      <c r="AK17" s="116">
        <f t="shared" si="8"/>
        <v>3</v>
      </c>
      <c r="AL17" s="116">
        <f t="shared" si="9"/>
        <v>0</v>
      </c>
      <c r="AM17" s="116">
        <f t="shared" si="10"/>
        <v>0</v>
      </c>
      <c r="AN17" s="117">
        <f t="shared" si="11"/>
        <v>0</v>
      </c>
      <c r="AO17" s="39">
        <f t="shared" si="12"/>
        <v>6.19</v>
      </c>
      <c r="AP17" s="65">
        <f t="shared" si="13"/>
        <v>6.19</v>
      </c>
      <c r="AQ17" s="65">
        <f t="shared" si="14"/>
        <v>0</v>
      </c>
      <c r="AR17" s="65">
        <f t="shared" si="15"/>
        <v>0</v>
      </c>
      <c r="AS17" s="65">
        <f t="shared" si="16"/>
        <v>0</v>
      </c>
      <c r="AU17" s="156" t="s">
        <v>120</v>
      </c>
      <c r="AV17" s="158">
        <f>AV16/($AV$16+$AW$16)</f>
        <v>0.70833333333333337</v>
      </c>
      <c r="AW17" s="159">
        <f>AW16/($AW$16+$AV$16)</f>
        <v>0.29166666666666669</v>
      </c>
    </row>
    <row r="18" spans="2:49" s="8" customFormat="1" ht="13.5" customHeight="1" x14ac:dyDescent="0.25">
      <c r="B18" s="15">
        <v>16</v>
      </c>
      <c r="C18" s="8" t="s">
        <v>245</v>
      </c>
      <c r="D18" s="5" t="s">
        <v>246</v>
      </c>
      <c r="E18" s="386">
        <v>1</v>
      </c>
      <c r="F18" s="380">
        <v>46127</v>
      </c>
      <c r="G18" s="8">
        <v>4</v>
      </c>
      <c r="H18" s="8">
        <v>3</v>
      </c>
      <c r="I18" s="8">
        <v>74.819999999999993</v>
      </c>
      <c r="J18" s="9">
        <v>93000000</v>
      </c>
      <c r="K18" s="9">
        <f t="shared" si="0"/>
        <v>102300000.00000001</v>
      </c>
      <c r="L18" s="35">
        <f t="shared" si="1"/>
        <v>0.93</v>
      </c>
      <c r="M18" s="2" t="s">
        <v>146</v>
      </c>
      <c r="N18" t="s">
        <v>146</v>
      </c>
      <c r="O18" s="19" t="s">
        <v>1109</v>
      </c>
      <c r="P18" s="19">
        <v>16</v>
      </c>
      <c r="Q18" s="19" t="s">
        <v>248</v>
      </c>
      <c r="R18" s="21" t="s">
        <v>1110</v>
      </c>
      <c r="S18" s="46" t="s">
        <v>250</v>
      </c>
      <c r="T18" s="44" t="s">
        <v>1111</v>
      </c>
      <c r="U18" s="76" t="s">
        <v>118</v>
      </c>
      <c r="V18" s="24" t="s">
        <v>1112</v>
      </c>
      <c r="W18" s="24"/>
      <c r="X18" s="193" t="s">
        <v>160</v>
      </c>
      <c r="Y18" s="15" t="s">
        <v>168</v>
      </c>
      <c r="AA18">
        <v>3</v>
      </c>
      <c r="AB18" s="487"/>
      <c r="AC18" s="90">
        <v>4</v>
      </c>
      <c r="AD18" s="97" t="s">
        <v>60</v>
      </c>
      <c r="AE18" s="39">
        <f t="shared" si="2"/>
        <v>0</v>
      </c>
      <c r="AF18" s="65">
        <f t="shared" si="3"/>
        <v>0</v>
      </c>
      <c r="AG18" s="65">
        <f t="shared" si="4"/>
        <v>0</v>
      </c>
      <c r="AH18" s="65">
        <f t="shared" si="5"/>
        <v>0</v>
      </c>
      <c r="AI18" s="104">
        <f t="shared" si="6"/>
        <v>0</v>
      </c>
      <c r="AJ18" s="115">
        <f t="shared" si="7"/>
        <v>0</v>
      </c>
      <c r="AK18" s="116">
        <f t="shared" si="8"/>
        <v>0</v>
      </c>
      <c r="AL18" s="116">
        <f t="shared" si="9"/>
        <v>0</v>
      </c>
      <c r="AM18" s="116">
        <f t="shared" si="10"/>
        <v>0</v>
      </c>
      <c r="AN18" s="117">
        <f t="shared" si="11"/>
        <v>0</v>
      </c>
      <c r="AO18" s="39">
        <f t="shared" si="12"/>
        <v>0</v>
      </c>
      <c r="AP18" s="65">
        <f t="shared" si="13"/>
        <v>0</v>
      </c>
      <c r="AQ18" s="65">
        <f t="shared" si="14"/>
        <v>0</v>
      </c>
      <c r="AR18" s="65">
        <f t="shared" si="15"/>
        <v>0</v>
      </c>
      <c r="AS18" s="65">
        <f t="shared" si="16"/>
        <v>0</v>
      </c>
    </row>
    <row r="19" spans="2:49" s="8" customFormat="1" ht="13.5" customHeight="1" x14ac:dyDescent="0.25">
      <c r="B19" s="15">
        <v>17</v>
      </c>
      <c r="C19" s="8" t="s">
        <v>245</v>
      </c>
      <c r="D19" s="5" t="s">
        <v>246</v>
      </c>
      <c r="E19" s="386">
        <v>2</v>
      </c>
      <c r="F19" s="380">
        <v>46127</v>
      </c>
      <c r="G19" s="8">
        <v>4</v>
      </c>
      <c r="H19" s="8">
        <v>3</v>
      </c>
      <c r="I19" s="8">
        <v>199.30500000000001</v>
      </c>
      <c r="J19" s="9">
        <v>209000000</v>
      </c>
      <c r="K19" s="9">
        <f t="shared" si="0"/>
        <v>229900000.00000003</v>
      </c>
      <c r="L19" s="35">
        <f t="shared" si="1"/>
        <v>2.09</v>
      </c>
      <c r="M19" s="2" t="s">
        <v>146</v>
      </c>
      <c r="N19" t="s">
        <v>146</v>
      </c>
      <c r="O19" s="19" t="s">
        <v>652</v>
      </c>
      <c r="P19" s="19">
        <v>17</v>
      </c>
      <c r="Q19" s="19" t="s">
        <v>515</v>
      </c>
      <c r="R19" s="21" t="s">
        <v>654</v>
      </c>
      <c r="S19" s="46" t="s">
        <v>250</v>
      </c>
      <c r="T19" s="44" t="s">
        <v>655</v>
      </c>
      <c r="U19" s="76" t="s">
        <v>118</v>
      </c>
      <c r="V19" s="24" t="s">
        <v>1112</v>
      </c>
      <c r="W19" s="24"/>
      <c r="X19" s="193" t="s">
        <v>160</v>
      </c>
      <c r="Y19" s="15" t="s">
        <v>168</v>
      </c>
      <c r="AA19">
        <v>3</v>
      </c>
      <c r="AB19" s="487"/>
      <c r="AC19" s="91">
        <v>5</v>
      </c>
      <c r="AD19" s="97"/>
      <c r="AE19" s="39">
        <f t="shared" si="2"/>
        <v>0</v>
      </c>
      <c r="AF19" s="65">
        <f t="shared" si="3"/>
        <v>0</v>
      </c>
      <c r="AG19" s="65">
        <f t="shared" si="4"/>
        <v>0</v>
      </c>
      <c r="AH19" s="65">
        <f t="shared" si="5"/>
        <v>0</v>
      </c>
      <c r="AI19" s="104">
        <f t="shared" si="6"/>
        <v>0</v>
      </c>
      <c r="AJ19" s="115">
        <f t="shared" si="7"/>
        <v>0</v>
      </c>
      <c r="AK19" s="116">
        <f t="shared" si="8"/>
        <v>0</v>
      </c>
      <c r="AL19" s="116">
        <f t="shared" si="9"/>
        <v>0</v>
      </c>
      <c r="AM19" s="116">
        <f t="shared" si="10"/>
        <v>0</v>
      </c>
      <c r="AN19" s="117">
        <f t="shared" si="11"/>
        <v>0</v>
      </c>
      <c r="AO19" s="39">
        <f t="shared" si="12"/>
        <v>0</v>
      </c>
      <c r="AP19" s="65">
        <f t="shared" si="13"/>
        <v>0</v>
      </c>
      <c r="AQ19" s="65">
        <f t="shared" si="14"/>
        <v>0</v>
      </c>
      <c r="AR19" s="65">
        <f t="shared" si="15"/>
        <v>0</v>
      </c>
      <c r="AS19" s="65">
        <f t="shared" si="16"/>
        <v>0</v>
      </c>
    </row>
    <row r="20" spans="2:49" s="8" customFormat="1" ht="13.5" customHeight="1" thickBot="1" x14ac:dyDescent="0.3">
      <c r="B20" s="15">
        <v>18</v>
      </c>
      <c r="C20" s="8" t="s">
        <v>245</v>
      </c>
      <c r="D20" s="5" t="s">
        <v>246</v>
      </c>
      <c r="E20" s="386">
        <v>3</v>
      </c>
      <c r="F20" s="380">
        <v>46127</v>
      </c>
      <c r="G20" s="8">
        <v>4</v>
      </c>
      <c r="H20" s="8">
        <v>3</v>
      </c>
      <c r="I20" s="8">
        <v>193.5</v>
      </c>
      <c r="J20" s="9">
        <v>218000000</v>
      </c>
      <c r="K20" s="9">
        <f t="shared" si="0"/>
        <v>239800000.00000003</v>
      </c>
      <c r="L20" s="35">
        <f t="shared" si="1"/>
        <v>2.1800000000000002</v>
      </c>
      <c r="M20" s="2" t="s">
        <v>146</v>
      </c>
      <c r="N20" t="s">
        <v>146</v>
      </c>
      <c r="O20" s="19" t="s">
        <v>247</v>
      </c>
      <c r="P20" s="19">
        <v>18</v>
      </c>
      <c r="Q20" s="19" t="s">
        <v>248</v>
      </c>
      <c r="R20" s="21" t="s">
        <v>249</v>
      </c>
      <c r="S20" s="46" t="s">
        <v>250</v>
      </c>
      <c r="T20" s="44" t="s">
        <v>251</v>
      </c>
      <c r="U20" s="76" t="s">
        <v>118</v>
      </c>
      <c r="V20" s="24" t="s">
        <v>1112</v>
      </c>
      <c r="W20" s="24"/>
      <c r="X20" s="193" t="s">
        <v>160</v>
      </c>
      <c r="Y20" s="15" t="s">
        <v>168</v>
      </c>
      <c r="AA20">
        <v>3</v>
      </c>
      <c r="AB20" s="488"/>
      <c r="AC20" s="92" t="s">
        <v>3</v>
      </c>
      <c r="AD20" s="98"/>
      <c r="AE20" s="94">
        <f t="shared" ref="AE20:AS20" si="21">SUM(AE15:AE19)</f>
        <v>1810.8899999999999</v>
      </c>
      <c r="AF20" s="94">
        <f t="shared" si="21"/>
        <v>1810.8899999999999</v>
      </c>
      <c r="AG20" s="94">
        <f t="shared" si="21"/>
        <v>0</v>
      </c>
      <c r="AH20" s="94">
        <f t="shared" si="21"/>
        <v>0</v>
      </c>
      <c r="AI20" s="105">
        <f t="shared" si="21"/>
        <v>0</v>
      </c>
      <c r="AJ20" s="118">
        <f t="shared" si="21"/>
        <v>7</v>
      </c>
      <c r="AK20" s="119">
        <f t="shared" si="21"/>
        <v>7</v>
      </c>
      <c r="AL20" s="119">
        <f t="shared" si="21"/>
        <v>0</v>
      </c>
      <c r="AM20" s="119">
        <f t="shared" si="21"/>
        <v>0</v>
      </c>
      <c r="AN20" s="120">
        <f t="shared" si="21"/>
        <v>0</v>
      </c>
      <c r="AO20" s="94">
        <f t="shared" si="21"/>
        <v>19.540000000000003</v>
      </c>
      <c r="AP20" s="94">
        <f t="shared" si="21"/>
        <v>19.540000000000003</v>
      </c>
      <c r="AQ20" s="94">
        <f t="shared" si="21"/>
        <v>0</v>
      </c>
      <c r="AR20" s="94">
        <f t="shared" si="21"/>
        <v>0</v>
      </c>
      <c r="AS20" s="94">
        <f t="shared" si="21"/>
        <v>0</v>
      </c>
    </row>
    <row r="21" spans="2:49" s="8" customFormat="1" ht="13.5" customHeight="1" x14ac:dyDescent="0.25">
      <c r="B21" s="15">
        <v>19</v>
      </c>
      <c r="C21" s="8" t="s">
        <v>112</v>
      </c>
      <c r="D21" s="5" t="s">
        <v>246</v>
      </c>
      <c r="E21" s="386">
        <v>16</v>
      </c>
      <c r="F21" s="380" t="s">
        <v>1121</v>
      </c>
      <c r="G21" s="8">
        <v>4</v>
      </c>
      <c r="H21" s="8">
        <v>4</v>
      </c>
      <c r="I21" s="8">
        <v>69.66</v>
      </c>
      <c r="J21" s="9">
        <v>77000000</v>
      </c>
      <c r="K21" s="9">
        <f t="shared" si="0"/>
        <v>84700000</v>
      </c>
      <c r="L21" s="35">
        <f t="shared" si="1"/>
        <v>0.77</v>
      </c>
      <c r="M21" s="2" t="s">
        <v>260</v>
      </c>
      <c r="N21" t="s">
        <v>275</v>
      </c>
      <c r="O21" s="19" t="s">
        <v>1122</v>
      </c>
      <c r="P21" s="19">
        <v>19</v>
      </c>
      <c r="Q21" s="19" t="s">
        <v>198</v>
      </c>
      <c r="R21" s="21" t="s">
        <v>1123</v>
      </c>
      <c r="S21" s="46" t="s">
        <v>1104</v>
      </c>
      <c r="T21" s="44" t="s">
        <v>1124</v>
      </c>
      <c r="U21" s="76" t="s">
        <v>267</v>
      </c>
      <c r="V21" s="24" t="s">
        <v>898</v>
      </c>
      <c r="W21" s="24"/>
      <c r="X21" s="193" t="s">
        <v>154</v>
      </c>
      <c r="Y21" s="15" t="s">
        <v>255</v>
      </c>
      <c r="AA21">
        <v>4</v>
      </c>
      <c r="AB21" s="486">
        <v>4</v>
      </c>
      <c r="AC21" s="89">
        <v>1</v>
      </c>
      <c r="AD21" s="95" t="s">
        <v>84</v>
      </c>
      <c r="AE21" s="39">
        <f t="shared" si="2"/>
        <v>0</v>
      </c>
      <c r="AF21" s="65">
        <f t="shared" si="3"/>
        <v>0</v>
      </c>
      <c r="AG21" s="65">
        <f t="shared" si="4"/>
        <v>0</v>
      </c>
      <c r="AH21" s="65">
        <f t="shared" si="5"/>
        <v>0</v>
      </c>
      <c r="AI21" s="104">
        <f t="shared" si="6"/>
        <v>0</v>
      </c>
      <c r="AJ21" s="115">
        <f t="shared" si="7"/>
        <v>0</v>
      </c>
      <c r="AK21" s="116">
        <f t="shared" si="8"/>
        <v>0</v>
      </c>
      <c r="AL21" s="116">
        <f t="shared" si="9"/>
        <v>0</v>
      </c>
      <c r="AM21" s="116">
        <f t="shared" si="10"/>
        <v>0</v>
      </c>
      <c r="AN21" s="117">
        <f t="shared" si="11"/>
        <v>0</v>
      </c>
      <c r="AO21" s="39">
        <f t="shared" si="12"/>
        <v>0</v>
      </c>
      <c r="AP21" s="65">
        <f t="shared" si="13"/>
        <v>0</v>
      </c>
      <c r="AQ21" s="65">
        <f t="shared" si="14"/>
        <v>0</v>
      </c>
      <c r="AR21" s="65">
        <f t="shared" si="15"/>
        <v>0</v>
      </c>
      <c r="AS21" s="65">
        <f t="shared" si="16"/>
        <v>0</v>
      </c>
    </row>
    <row r="22" spans="2:49" s="8" customFormat="1" ht="13.5" customHeight="1" x14ac:dyDescent="0.25">
      <c r="B22" s="15">
        <v>20</v>
      </c>
      <c r="C22" s="8" t="s">
        <v>112</v>
      </c>
      <c r="D22" s="5" t="s">
        <v>246</v>
      </c>
      <c r="E22" s="386">
        <v>17</v>
      </c>
      <c r="F22" s="380" t="s">
        <v>1736</v>
      </c>
      <c r="G22" s="8">
        <v>7</v>
      </c>
      <c r="H22" s="8">
        <v>1</v>
      </c>
      <c r="I22" s="8">
        <v>998.46</v>
      </c>
      <c r="J22" s="9">
        <v>1100000000</v>
      </c>
      <c r="K22" s="9">
        <f t="shared" si="0"/>
        <v>1210000000</v>
      </c>
      <c r="L22" s="35">
        <f t="shared" si="1"/>
        <v>11</v>
      </c>
      <c r="M22" s="2" t="s">
        <v>279</v>
      </c>
      <c r="N22" t="s">
        <v>275</v>
      </c>
      <c r="O22" s="19" t="s">
        <v>1065</v>
      </c>
      <c r="P22" s="19">
        <v>20</v>
      </c>
      <c r="Q22" s="19" t="s">
        <v>515</v>
      </c>
      <c r="R22" s="21" t="s">
        <v>1737</v>
      </c>
      <c r="S22" s="46" t="s">
        <v>250</v>
      </c>
      <c r="T22" s="44" t="s">
        <v>1738</v>
      </c>
      <c r="U22" s="76" t="s">
        <v>118</v>
      </c>
      <c r="V22" s="29" t="s">
        <v>898</v>
      </c>
      <c r="W22" s="24"/>
      <c r="X22" s="193" t="s">
        <v>254</v>
      </c>
      <c r="Y22" s="15" t="s">
        <v>168</v>
      </c>
      <c r="AA22">
        <v>4</v>
      </c>
      <c r="AB22" s="487"/>
      <c r="AC22" s="90">
        <v>2</v>
      </c>
      <c r="AD22" s="97" t="s">
        <v>61</v>
      </c>
      <c r="AE22" s="39">
        <f t="shared" si="2"/>
        <v>998.46</v>
      </c>
      <c r="AF22" s="65">
        <f t="shared" si="3"/>
        <v>998.46</v>
      </c>
      <c r="AG22" s="65">
        <f t="shared" si="4"/>
        <v>0</v>
      </c>
      <c r="AH22" s="65">
        <f t="shared" si="5"/>
        <v>0</v>
      </c>
      <c r="AI22" s="104">
        <f t="shared" si="6"/>
        <v>0</v>
      </c>
      <c r="AJ22" s="115">
        <f t="shared" si="7"/>
        <v>1</v>
      </c>
      <c r="AK22" s="116">
        <f t="shared" si="8"/>
        <v>1</v>
      </c>
      <c r="AL22" s="116">
        <f t="shared" si="9"/>
        <v>0</v>
      </c>
      <c r="AM22" s="116">
        <f t="shared" si="10"/>
        <v>0</v>
      </c>
      <c r="AN22" s="117">
        <f t="shared" si="11"/>
        <v>0</v>
      </c>
      <c r="AO22" s="39">
        <f t="shared" si="12"/>
        <v>11</v>
      </c>
      <c r="AP22" s="65">
        <f t="shared" si="13"/>
        <v>11</v>
      </c>
      <c r="AQ22" s="65">
        <f t="shared" si="14"/>
        <v>0</v>
      </c>
      <c r="AR22" s="65">
        <f t="shared" si="15"/>
        <v>0</v>
      </c>
      <c r="AS22" s="65">
        <f t="shared" si="16"/>
        <v>0</v>
      </c>
    </row>
    <row r="23" spans="2:49" s="8" customFormat="1" ht="13.5" customHeight="1" x14ac:dyDescent="0.25">
      <c r="B23" s="15">
        <v>21</v>
      </c>
      <c r="C23" s="8" t="s">
        <v>112</v>
      </c>
      <c r="D23" s="5" t="s">
        <v>246</v>
      </c>
      <c r="E23" s="386">
        <v>20</v>
      </c>
      <c r="F23" s="380" t="s">
        <v>1830</v>
      </c>
      <c r="G23" s="8">
        <v>7</v>
      </c>
      <c r="H23" s="8">
        <v>3</v>
      </c>
      <c r="I23" s="8">
        <v>914.5</v>
      </c>
      <c r="J23" s="9">
        <v>1085000000</v>
      </c>
      <c r="K23" s="9">
        <f t="shared" si="0"/>
        <v>1193500000</v>
      </c>
      <c r="L23" s="35">
        <f t="shared" si="1"/>
        <v>10.85</v>
      </c>
      <c r="M23" s="2" t="s">
        <v>260</v>
      </c>
      <c r="N23" s="2" t="s">
        <v>27</v>
      </c>
      <c r="O23" s="19" t="s">
        <v>1831</v>
      </c>
      <c r="P23" s="19">
        <v>21</v>
      </c>
      <c r="Q23" s="19" t="s">
        <v>200</v>
      </c>
      <c r="R23" s="21" t="s">
        <v>1832</v>
      </c>
      <c r="S23" s="46" t="s">
        <v>250</v>
      </c>
      <c r="T23" s="44" t="s">
        <v>1833</v>
      </c>
      <c r="U23" s="76" t="s">
        <v>119</v>
      </c>
      <c r="V23" s="24" t="s">
        <v>1834</v>
      </c>
      <c r="W23" s="24"/>
      <c r="X23" s="193" t="s">
        <v>152</v>
      </c>
      <c r="Y23" s="15" t="s">
        <v>168</v>
      </c>
      <c r="AA23">
        <v>4</v>
      </c>
      <c r="AB23" s="487"/>
      <c r="AC23" s="90">
        <v>3</v>
      </c>
      <c r="AD23" s="97" t="s">
        <v>62</v>
      </c>
      <c r="AE23" s="39">
        <f t="shared" si="2"/>
        <v>616.62</v>
      </c>
      <c r="AF23" s="65">
        <f t="shared" si="3"/>
        <v>148.995</v>
      </c>
      <c r="AG23" s="65">
        <f t="shared" si="4"/>
        <v>467.625</v>
      </c>
      <c r="AH23" s="65">
        <f t="shared" si="5"/>
        <v>0</v>
      </c>
      <c r="AI23" s="104">
        <f t="shared" si="6"/>
        <v>0</v>
      </c>
      <c r="AJ23" s="115">
        <f t="shared" si="7"/>
        <v>6</v>
      </c>
      <c r="AK23" s="116">
        <f t="shared" si="8"/>
        <v>3</v>
      </c>
      <c r="AL23" s="116">
        <f t="shared" si="9"/>
        <v>3</v>
      </c>
      <c r="AM23" s="116">
        <f t="shared" si="10"/>
        <v>0</v>
      </c>
      <c r="AN23" s="117">
        <f t="shared" si="11"/>
        <v>0</v>
      </c>
      <c r="AO23" s="39">
        <f t="shared" si="12"/>
        <v>7.41</v>
      </c>
      <c r="AP23" s="65">
        <f t="shared" si="13"/>
        <v>2.21</v>
      </c>
      <c r="AQ23" s="65">
        <f t="shared" si="14"/>
        <v>5.2</v>
      </c>
      <c r="AR23" s="65">
        <f t="shared" si="15"/>
        <v>0</v>
      </c>
      <c r="AS23" s="65">
        <f t="shared" si="16"/>
        <v>0</v>
      </c>
    </row>
    <row r="24" spans="2:49" s="8" customFormat="1" ht="13.5" customHeight="1" x14ac:dyDescent="0.25">
      <c r="B24" s="15">
        <v>22</v>
      </c>
      <c r="C24" s="8" t="s">
        <v>112</v>
      </c>
      <c r="D24" s="5" t="s">
        <v>246</v>
      </c>
      <c r="E24" s="386">
        <v>21</v>
      </c>
      <c r="F24" s="380" t="s">
        <v>1848</v>
      </c>
      <c r="G24" s="8">
        <v>7</v>
      </c>
      <c r="H24" s="8">
        <v>4</v>
      </c>
      <c r="I24" s="8">
        <v>300.89999999999998</v>
      </c>
      <c r="J24" s="9">
        <v>300000000</v>
      </c>
      <c r="K24" s="9">
        <f t="shared" si="0"/>
        <v>330000000</v>
      </c>
      <c r="L24" s="35">
        <f t="shared" si="1"/>
        <v>3</v>
      </c>
      <c r="M24" s="2" t="s">
        <v>279</v>
      </c>
      <c r="N24" s="2" t="s">
        <v>27</v>
      </c>
      <c r="O24" s="19" t="s">
        <v>1849</v>
      </c>
      <c r="P24" s="19">
        <v>22</v>
      </c>
      <c r="Q24" s="19" t="s">
        <v>200</v>
      </c>
      <c r="R24" s="21" t="s">
        <v>1850</v>
      </c>
      <c r="S24" s="46" t="s">
        <v>250</v>
      </c>
      <c r="T24" s="44" t="s">
        <v>1851</v>
      </c>
      <c r="U24" s="76" t="s">
        <v>119</v>
      </c>
      <c r="V24" s="24" t="s">
        <v>1852</v>
      </c>
      <c r="W24" s="24"/>
      <c r="X24" s="193" t="s">
        <v>152</v>
      </c>
      <c r="Y24" s="15" t="s">
        <v>168</v>
      </c>
      <c r="AA24">
        <v>4</v>
      </c>
      <c r="AB24" s="487"/>
      <c r="AC24" s="90">
        <v>4</v>
      </c>
      <c r="AD24" s="97" t="s">
        <v>63</v>
      </c>
      <c r="AE24" s="39">
        <f t="shared" si="2"/>
        <v>69.66</v>
      </c>
      <c r="AF24" s="65">
        <f t="shared" si="3"/>
        <v>69.66</v>
      </c>
      <c r="AG24" s="65">
        <f t="shared" si="4"/>
        <v>0</v>
      </c>
      <c r="AH24" s="65">
        <f t="shared" si="5"/>
        <v>0</v>
      </c>
      <c r="AI24" s="104">
        <f t="shared" si="6"/>
        <v>0</v>
      </c>
      <c r="AJ24" s="115">
        <f t="shared" si="7"/>
        <v>1</v>
      </c>
      <c r="AK24" s="116">
        <f t="shared" si="8"/>
        <v>1</v>
      </c>
      <c r="AL24" s="116">
        <f t="shared" si="9"/>
        <v>0</v>
      </c>
      <c r="AM24" s="116">
        <f t="shared" si="10"/>
        <v>0</v>
      </c>
      <c r="AN24" s="117">
        <f t="shared" si="11"/>
        <v>0</v>
      </c>
      <c r="AO24" s="39">
        <f t="shared" si="12"/>
        <v>0.77</v>
      </c>
      <c r="AP24" s="65">
        <f t="shared" si="13"/>
        <v>0.77</v>
      </c>
      <c r="AQ24" s="65">
        <f t="shared" si="14"/>
        <v>0</v>
      </c>
      <c r="AR24" s="65">
        <f t="shared" si="15"/>
        <v>0</v>
      </c>
      <c r="AS24" s="65">
        <f t="shared" si="16"/>
        <v>0</v>
      </c>
      <c r="AU24" s="194" t="s">
        <v>149</v>
      </c>
      <c r="AV24" s="194" t="s">
        <v>150</v>
      </c>
      <c r="AW24" s="194" t="s">
        <v>120</v>
      </c>
    </row>
    <row r="25" spans="2:49" s="8" customFormat="1" ht="13.5" customHeight="1" x14ac:dyDescent="0.25">
      <c r="B25" s="15">
        <v>23</v>
      </c>
      <c r="C25" s="8" t="s">
        <v>245</v>
      </c>
      <c r="D25" s="5" t="s">
        <v>246</v>
      </c>
      <c r="E25" s="386">
        <v>4</v>
      </c>
      <c r="F25" s="380">
        <v>46232</v>
      </c>
      <c r="G25" s="8">
        <v>7</v>
      </c>
      <c r="H25" s="8">
        <v>5</v>
      </c>
      <c r="I25" s="8">
        <v>182.9</v>
      </c>
      <c r="J25" s="9">
        <v>214000000</v>
      </c>
      <c r="K25" s="9">
        <f t="shared" si="0"/>
        <v>235400000.00000003</v>
      </c>
      <c r="L25" s="35">
        <f t="shared" si="1"/>
        <v>2.14</v>
      </c>
      <c r="M25" s="2" t="s">
        <v>146</v>
      </c>
      <c r="N25" t="s">
        <v>146</v>
      </c>
      <c r="O25" s="19" t="s">
        <v>1940</v>
      </c>
      <c r="P25" s="19">
        <v>23</v>
      </c>
      <c r="Q25" s="19" t="s">
        <v>248</v>
      </c>
      <c r="R25" s="21" t="s">
        <v>1941</v>
      </c>
      <c r="S25" s="46" t="s">
        <v>250</v>
      </c>
      <c r="T25" s="44" t="s">
        <v>1942</v>
      </c>
      <c r="U25" s="76" t="s">
        <v>252</v>
      </c>
      <c r="V25" s="24" t="s">
        <v>1943</v>
      </c>
      <c r="W25" s="24"/>
      <c r="X25" s="193" t="s">
        <v>160</v>
      </c>
      <c r="Y25" s="15" t="s">
        <v>168</v>
      </c>
      <c r="AA25">
        <v>4</v>
      </c>
      <c r="AB25" s="487"/>
      <c r="AC25" s="91">
        <v>5</v>
      </c>
      <c r="AD25" s="97" t="s">
        <v>85</v>
      </c>
      <c r="AE25" s="39">
        <f t="shared" si="2"/>
        <v>0</v>
      </c>
      <c r="AF25" s="65">
        <f t="shared" si="3"/>
        <v>0</v>
      </c>
      <c r="AG25" s="65">
        <f t="shared" si="4"/>
        <v>0</v>
      </c>
      <c r="AH25" s="65">
        <f t="shared" si="5"/>
        <v>0</v>
      </c>
      <c r="AI25" s="104">
        <f t="shared" si="6"/>
        <v>0</v>
      </c>
      <c r="AJ25" s="115">
        <f t="shared" si="7"/>
        <v>0</v>
      </c>
      <c r="AK25" s="116">
        <f t="shared" si="8"/>
        <v>0</v>
      </c>
      <c r="AL25" s="116">
        <f t="shared" si="9"/>
        <v>0</v>
      </c>
      <c r="AM25" s="116">
        <f t="shared" si="10"/>
        <v>0</v>
      </c>
      <c r="AN25" s="117">
        <f t="shared" si="11"/>
        <v>0</v>
      </c>
      <c r="AO25" s="39">
        <f t="shared" si="12"/>
        <v>0</v>
      </c>
      <c r="AP25" s="65">
        <f t="shared" si="13"/>
        <v>0</v>
      </c>
      <c r="AQ25" s="65">
        <f t="shared" si="14"/>
        <v>0</v>
      </c>
      <c r="AR25" s="65">
        <f t="shared" si="15"/>
        <v>0</v>
      </c>
      <c r="AS25" s="65">
        <f t="shared" si="16"/>
        <v>0</v>
      </c>
      <c r="AU25" s="195" t="s">
        <v>160</v>
      </c>
      <c r="AV25" s="195">
        <f>COUNTIF($X:$X, AU25)</f>
        <v>11</v>
      </c>
      <c r="AW25" s="196">
        <f>AV25/$AV$33</f>
        <v>0.45833333333333331</v>
      </c>
    </row>
    <row r="26" spans="2:49" s="8" customFormat="1" ht="13.5" customHeight="1" thickBot="1" x14ac:dyDescent="0.3">
      <c r="B26" s="15">
        <v>24</v>
      </c>
      <c r="C26" s="8" t="s">
        <v>112</v>
      </c>
      <c r="D26" s="5" t="s">
        <v>246</v>
      </c>
      <c r="E26" s="386">
        <v>22</v>
      </c>
      <c r="F26" s="380">
        <v>46282</v>
      </c>
      <c r="G26" s="8">
        <v>9</v>
      </c>
      <c r="H26" s="8">
        <v>3</v>
      </c>
      <c r="I26" s="8">
        <v>1333.99</v>
      </c>
      <c r="J26" s="9">
        <v>1447000000</v>
      </c>
      <c r="K26" s="9">
        <f t="shared" si="0"/>
        <v>1591700000.0000002</v>
      </c>
      <c r="L26" s="35">
        <f t="shared" si="1"/>
        <v>14.47</v>
      </c>
      <c r="M26" s="2" t="s">
        <v>279</v>
      </c>
      <c r="N26" t="s">
        <v>28</v>
      </c>
      <c r="O26" s="19" t="s">
        <v>2280</v>
      </c>
      <c r="P26" s="19">
        <v>24</v>
      </c>
      <c r="Q26" s="19" t="s">
        <v>634</v>
      </c>
      <c r="R26" s="21" t="s">
        <v>2282</v>
      </c>
      <c r="S26" s="46" t="s">
        <v>250</v>
      </c>
      <c r="T26" s="44" t="s">
        <v>2279</v>
      </c>
      <c r="U26" s="76" t="s">
        <v>252</v>
      </c>
      <c r="V26" s="24" t="s">
        <v>2283</v>
      </c>
      <c r="W26" s="24"/>
      <c r="X26" s="193" t="s">
        <v>160</v>
      </c>
      <c r="Y26" s="15" t="s">
        <v>168</v>
      </c>
      <c r="AA26">
        <v>4</v>
      </c>
      <c r="AB26" s="488"/>
      <c r="AC26" s="92" t="s">
        <v>3</v>
      </c>
      <c r="AD26" s="98"/>
      <c r="AE26" s="94">
        <f t="shared" ref="AE26:AS26" si="22">SUM(AE21:AE25)</f>
        <v>1684.74</v>
      </c>
      <c r="AF26" s="94">
        <f t="shared" si="22"/>
        <v>1217.115</v>
      </c>
      <c r="AG26" s="94">
        <f t="shared" si="22"/>
        <v>467.625</v>
      </c>
      <c r="AH26" s="94">
        <f t="shared" si="22"/>
        <v>0</v>
      </c>
      <c r="AI26" s="105">
        <f t="shared" si="22"/>
        <v>0</v>
      </c>
      <c r="AJ26" s="118">
        <f t="shared" si="22"/>
        <v>8</v>
      </c>
      <c r="AK26" s="119">
        <f t="shared" si="22"/>
        <v>5</v>
      </c>
      <c r="AL26" s="119">
        <f t="shared" si="22"/>
        <v>3</v>
      </c>
      <c r="AM26" s="119">
        <f t="shared" si="22"/>
        <v>0</v>
      </c>
      <c r="AN26" s="120">
        <f t="shared" si="22"/>
        <v>0</v>
      </c>
      <c r="AO26" s="94">
        <f t="shared" si="22"/>
        <v>19.18</v>
      </c>
      <c r="AP26" s="94">
        <f t="shared" si="22"/>
        <v>13.98</v>
      </c>
      <c r="AQ26" s="94">
        <f t="shared" si="22"/>
        <v>5.2</v>
      </c>
      <c r="AR26" s="94">
        <f t="shared" si="22"/>
        <v>0</v>
      </c>
      <c r="AS26" s="94">
        <f t="shared" si="22"/>
        <v>0</v>
      </c>
      <c r="AU26" s="195" t="s">
        <v>152</v>
      </c>
      <c r="AV26" s="195">
        <f t="shared" ref="AV26:AV32" si="23">COUNTIF($X:$X, AU26)</f>
        <v>12</v>
      </c>
      <c r="AW26" s="196">
        <f t="shared" ref="AW26:AW33" si="24">AV26/$AV$33</f>
        <v>0.5</v>
      </c>
    </row>
    <row r="27" spans="2:49" s="8" customFormat="1" ht="13.5" customHeight="1" x14ac:dyDescent="0.25">
      <c r="B27" s="15">
        <v>25</v>
      </c>
      <c r="D27" s="5"/>
      <c r="E27" s="386"/>
      <c r="F27" s="380"/>
      <c r="J27" s="9"/>
      <c r="K27" s="9">
        <f t="shared" si="0"/>
        <v>0</v>
      </c>
      <c r="L27" s="35">
        <f t="shared" si="1"/>
        <v>0</v>
      </c>
      <c r="M27" s="2"/>
      <c r="N27"/>
      <c r="O27" s="19"/>
      <c r="P27" s="19"/>
      <c r="Q27" s="19"/>
      <c r="R27" s="21"/>
      <c r="S27" s="46"/>
      <c r="T27" s="44"/>
      <c r="U27" s="76"/>
      <c r="V27" s="24"/>
      <c r="W27" s="24"/>
      <c r="X27" s="193"/>
      <c r="Y27" s="15"/>
      <c r="AA27">
        <v>5</v>
      </c>
      <c r="AB27" s="486">
        <v>5</v>
      </c>
      <c r="AC27" s="89">
        <v>1</v>
      </c>
      <c r="AD27" s="95" t="s">
        <v>86</v>
      </c>
      <c r="AE27" s="39">
        <f t="shared" si="2"/>
        <v>0</v>
      </c>
      <c r="AF27" s="65">
        <f t="shared" si="3"/>
        <v>0</v>
      </c>
      <c r="AG27" s="65">
        <f t="shared" si="4"/>
        <v>0</v>
      </c>
      <c r="AH27" s="65">
        <f t="shared" si="5"/>
        <v>0</v>
      </c>
      <c r="AI27" s="104">
        <f t="shared" si="6"/>
        <v>0</v>
      </c>
      <c r="AJ27" s="115">
        <f t="shared" si="7"/>
        <v>0</v>
      </c>
      <c r="AK27" s="116">
        <f t="shared" si="8"/>
        <v>0</v>
      </c>
      <c r="AL27" s="116">
        <f t="shared" si="9"/>
        <v>0</v>
      </c>
      <c r="AM27" s="116">
        <f t="shared" si="10"/>
        <v>0</v>
      </c>
      <c r="AN27" s="117">
        <f t="shared" si="11"/>
        <v>0</v>
      </c>
      <c r="AO27" s="39">
        <f t="shared" si="12"/>
        <v>0</v>
      </c>
      <c r="AP27" s="65">
        <f t="shared" si="13"/>
        <v>0</v>
      </c>
      <c r="AQ27" s="65">
        <f t="shared" si="14"/>
        <v>0</v>
      </c>
      <c r="AR27" s="65">
        <f t="shared" si="15"/>
        <v>0</v>
      </c>
      <c r="AS27" s="65">
        <f t="shared" si="16"/>
        <v>0</v>
      </c>
      <c r="AU27" s="195" t="s">
        <v>153</v>
      </c>
      <c r="AV27" s="195">
        <f t="shared" si="23"/>
        <v>0</v>
      </c>
      <c r="AW27" s="196">
        <f t="shared" si="24"/>
        <v>0</v>
      </c>
    </row>
    <row r="28" spans="2:49" s="8" customFormat="1" ht="13.5" customHeight="1" x14ac:dyDescent="0.25">
      <c r="B28" s="15">
        <v>26</v>
      </c>
      <c r="D28" s="5"/>
      <c r="E28" s="386"/>
      <c r="F28" s="380"/>
      <c r="J28" s="9"/>
      <c r="K28" s="9">
        <f t="shared" si="0"/>
        <v>0</v>
      </c>
      <c r="L28" s="35">
        <f t="shared" si="1"/>
        <v>0</v>
      </c>
      <c r="M28" s="2"/>
      <c r="N28"/>
      <c r="O28" s="19"/>
      <c r="P28" s="19"/>
      <c r="Q28" s="19"/>
      <c r="R28" s="21"/>
      <c r="S28" s="46"/>
      <c r="T28" s="44"/>
      <c r="U28" s="76"/>
      <c r="V28" s="24"/>
      <c r="W28" s="24"/>
      <c r="X28" s="193"/>
      <c r="Y28" s="15"/>
      <c r="AA28">
        <v>5</v>
      </c>
      <c r="AB28" s="487"/>
      <c r="AC28" s="90">
        <v>2</v>
      </c>
      <c r="AD28" s="97" t="s">
        <v>87</v>
      </c>
      <c r="AE28" s="39">
        <f t="shared" si="2"/>
        <v>0</v>
      </c>
      <c r="AF28" s="65">
        <f t="shared" si="3"/>
        <v>0</v>
      </c>
      <c r="AG28" s="65">
        <f t="shared" si="4"/>
        <v>0</v>
      </c>
      <c r="AH28" s="65">
        <f t="shared" si="5"/>
        <v>0</v>
      </c>
      <c r="AI28" s="104">
        <f t="shared" si="6"/>
        <v>0</v>
      </c>
      <c r="AJ28" s="115">
        <f t="shared" si="7"/>
        <v>0</v>
      </c>
      <c r="AK28" s="116">
        <f t="shared" si="8"/>
        <v>0</v>
      </c>
      <c r="AL28" s="116">
        <f t="shared" si="9"/>
        <v>0</v>
      </c>
      <c r="AM28" s="116">
        <f t="shared" si="10"/>
        <v>0</v>
      </c>
      <c r="AN28" s="117">
        <f t="shared" si="11"/>
        <v>0</v>
      </c>
      <c r="AO28" s="39">
        <f t="shared" si="12"/>
        <v>0</v>
      </c>
      <c r="AP28" s="65">
        <f t="shared" si="13"/>
        <v>0</v>
      </c>
      <c r="AQ28" s="65">
        <f t="shared" si="14"/>
        <v>0</v>
      </c>
      <c r="AR28" s="65">
        <f t="shared" si="15"/>
        <v>0</v>
      </c>
      <c r="AS28" s="65">
        <f t="shared" si="16"/>
        <v>0</v>
      </c>
      <c r="AU28" s="195" t="s">
        <v>154</v>
      </c>
      <c r="AV28" s="195">
        <f t="shared" si="23"/>
        <v>1</v>
      </c>
      <c r="AW28" s="196">
        <f t="shared" si="24"/>
        <v>4.1666666666666664E-2</v>
      </c>
    </row>
    <row r="29" spans="2:49" s="8" customFormat="1" ht="13.5" customHeight="1" x14ac:dyDescent="0.25">
      <c r="B29" s="15">
        <v>27</v>
      </c>
      <c r="D29" s="5"/>
      <c r="E29" s="386"/>
      <c r="F29" s="380"/>
      <c r="J29" s="9"/>
      <c r="K29" s="9">
        <f t="shared" si="0"/>
        <v>0</v>
      </c>
      <c r="L29" s="35">
        <f t="shared" si="1"/>
        <v>0</v>
      </c>
      <c r="M29" s="2"/>
      <c r="N29"/>
      <c r="O29" s="19"/>
      <c r="P29" s="19"/>
      <c r="Q29" s="19"/>
      <c r="R29" s="21"/>
      <c r="S29" s="46"/>
      <c r="T29" s="44"/>
      <c r="U29" s="76"/>
      <c r="V29" s="24"/>
      <c r="W29" s="24"/>
      <c r="X29" s="193"/>
      <c r="Y29" s="15"/>
      <c r="AA29">
        <v>5</v>
      </c>
      <c r="AB29" s="487"/>
      <c r="AC29" s="90">
        <v>3</v>
      </c>
      <c r="AD29" s="97" t="s">
        <v>88</v>
      </c>
      <c r="AE29" s="39">
        <f t="shared" si="2"/>
        <v>0</v>
      </c>
      <c r="AF29" s="65">
        <f t="shared" si="3"/>
        <v>0</v>
      </c>
      <c r="AG29" s="65">
        <f t="shared" si="4"/>
        <v>0</v>
      </c>
      <c r="AH29" s="65">
        <f t="shared" si="5"/>
        <v>0</v>
      </c>
      <c r="AI29" s="104">
        <f t="shared" si="6"/>
        <v>0</v>
      </c>
      <c r="AJ29" s="115">
        <f t="shared" si="7"/>
        <v>0</v>
      </c>
      <c r="AK29" s="116">
        <f t="shared" si="8"/>
        <v>0</v>
      </c>
      <c r="AL29" s="116">
        <f t="shared" si="9"/>
        <v>0</v>
      </c>
      <c r="AM29" s="116">
        <f t="shared" si="10"/>
        <v>0</v>
      </c>
      <c r="AN29" s="117">
        <f t="shared" si="11"/>
        <v>0</v>
      </c>
      <c r="AO29" s="39">
        <f t="shared" si="12"/>
        <v>0</v>
      </c>
      <c r="AP29" s="65">
        <f t="shared" si="13"/>
        <v>0</v>
      </c>
      <c r="AQ29" s="65">
        <f t="shared" si="14"/>
        <v>0</v>
      </c>
      <c r="AR29" s="65">
        <f t="shared" si="15"/>
        <v>0</v>
      </c>
      <c r="AS29" s="65">
        <f t="shared" si="16"/>
        <v>0</v>
      </c>
      <c r="AU29" s="195" t="s">
        <v>155</v>
      </c>
      <c r="AV29" s="195">
        <f t="shared" si="23"/>
        <v>0</v>
      </c>
      <c r="AW29" s="196">
        <f t="shared" si="24"/>
        <v>0</v>
      </c>
    </row>
    <row r="30" spans="2:49" s="8" customFormat="1" ht="13.5" customHeight="1" x14ac:dyDescent="0.25">
      <c r="B30" s="15">
        <v>28</v>
      </c>
      <c r="D30" s="5"/>
      <c r="E30" s="386"/>
      <c r="F30" s="380"/>
      <c r="J30" s="9"/>
      <c r="K30" s="9">
        <f t="shared" si="0"/>
        <v>0</v>
      </c>
      <c r="L30" s="35">
        <f t="shared" si="1"/>
        <v>0</v>
      </c>
      <c r="M30" s="2"/>
      <c r="N30"/>
      <c r="O30" s="19"/>
      <c r="P30" s="19"/>
      <c r="Q30" s="19"/>
      <c r="R30" s="21"/>
      <c r="S30" s="46"/>
      <c r="T30" s="44"/>
      <c r="U30" s="76"/>
      <c r="V30" s="24"/>
      <c r="W30" s="24"/>
      <c r="X30" s="193"/>
      <c r="Y30" s="15"/>
      <c r="AA30">
        <v>5</v>
      </c>
      <c r="AB30" s="487"/>
      <c r="AC30" s="90">
        <v>4</v>
      </c>
      <c r="AD30" s="97" t="s">
        <v>89</v>
      </c>
      <c r="AE30" s="39">
        <f t="shared" si="2"/>
        <v>0</v>
      </c>
      <c r="AF30" s="65">
        <f t="shared" si="3"/>
        <v>0</v>
      </c>
      <c r="AG30" s="65">
        <f t="shared" si="4"/>
        <v>0</v>
      </c>
      <c r="AH30" s="65">
        <f t="shared" si="5"/>
        <v>0</v>
      </c>
      <c r="AI30" s="104">
        <f t="shared" si="6"/>
        <v>0</v>
      </c>
      <c r="AJ30" s="115">
        <f t="shared" si="7"/>
        <v>0</v>
      </c>
      <c r="AK30" s="116">
        <f t="shared" si="8"/>
        <v>0</v>
      </c>
      <c r="AL30" s="116">
        <f t="shared" si="9"/>
        <v>0</v>
      </c>
      <c r="AM30" s="116">
        <f t="shared" si="10"/>
        <v>0</v>
      </c>
      <c r="AN30" s="117">
        <f t="shared" si="11"/>
        <v>0</v>
      </c>
      <c r="AO30" s="39">
        <f t="shared" si="12"/>
        <v>0</v>
      </c>
      <c r="AP30" s="65">
        <f t="shared" si="13"/>
        <v>0</v>
      </c>
      <c r="AQ30" s="65">
        <f t="shared" si="14"/>
        <v>0</v>
      </c>
      <c r="AR30" s="65">
        <f t="shared" si="15"/>
        <v>0</v>
      </c>
      <c r="AS30" s="65">
        <f t="shared" si="16"/>
        <v>0</v>
      </c>
      <c r="AU30" s="195" t="s">
        <v>156</v>
      </c>
      <c r="AV30" s="195">
        <f t="shared" si="23"/>
        <v>0</v>
      </c>
      <c r="AW30" s="196">
        <f t="shared" si="24"/>
        <v>0</v>
      </c>
    </row>
    <row r="31" spans="2:49" s="8" customFormat="1" ht="13.5" customHeight="1" x14ac:dyDescent="0.25">
      <c r="B31" s="15">
        <v>29</v>
      </c>
      <c r="D31" s="5"/>
      <c r="E31" s="386"/>
      <c r="F31" s="380"/>
      <c r="J31" s="9"/>
      <c r="K31" s="9">
        <f t="shared" si="0"/>
        <v>0</v>
      </c>
      <c r="L31" s="35">
        <f t="shared" si="1"/>
        <v>0</v>
      </c>
      <c r="M31" s="2"/>
      <c r="N31"/>
      <c r="O31" s="19"/>
      <c r="P31" s="19"/>
      <c r="Q31" s="19"/>
      <c r="R31" s="21"/>
      <c r="S31" s="46"/>
      <c r="T31" s="44"/>
      <c r="U31" s="76"/>
      <c r="V31" s="24"/>
      <c r="W31" s="24"/>
      <c r="X31" s="193"/>
      <c r="Y31" s="15"/>
      <c r="AA31">
        <v>5</v>
      </c>
      <c r="AB31" s="487"/>
      <c r="AC31" s="91">
        <v>5</v>
      </c>
      <c r="AD31" s="97"/>
      <c r="AE31" s="39">
        <f t="shared" si="2"/>
        <v>0</v>
      </c>
      <c r="AF31" s="65">
        <f t="shared" si="3"/>
        <v>0</v>
      </c>
      <c r="AG31" s="65">
        <f t="shared" si="4"/>
        <v>0</v>
      </c>
      <c r="AH31" s="65">
        <f t="shared" si="5"/>
        <v>0</v>
      </c>
      <c r="AI31" s="104">
        <f t="shared" si="6"/>
        <v>0</v>
      </c>
      <c r="AJ31" s="115">
        <f t="shared" si="7"/>
        <v>0</v>
      </c>
      <c r="AK31" s="116">
        <f t="shared" si="8"/>
        <v>0</v>
      </c>
      <c r="AL31" s="116">
        <f t="shared" si="9"/>
        <v>0</v>
      </c>
      <c r="AM31" s="116">
        <f t="shared" si="10"/>
        <v>0</v>
      </c>
      <c r="AN31" s="117">
        <f t="shared" si="11"/>
        <v>0</v>
      </c>
      <c r="AO31" s="39">
        <f t="shared" si="12"/>
        <v>0</v>
      </c>
      <c r="AP31" s="65">
        <f t="shared" si="13"/>
        <v>0</v>
      </c>
      <c r="AQ31" s="65">
        <f t="shared" si="14"/>
        <v>0</v>
      </c>
      <c r="AR31" s="65">
        <f t="shared" si="15"/>
        <v>0</v>
      </c>
      <c r="AS31" s="65">
        <f t="shared" si="16"/>
        <v>0</v>
      </c>
      <c r="AU31" s="195" t="s">
        <v>157</v>
      </c>
      <c r="AV31" s="195">
        <f t="shared" si="23"/>
        <v>0</v>
      </c>
      <c r="AW31" s="196">
        <f t="shared" si="24"/>
        <v>0</v>
      </c>
    </row>
    <row r="32" spans="2:49" s="8" customFormat="1" ht="13.5" customHeight="1" thickBot="1" x14ac:dyDescent="0.3">
      <c r="B32" s="15">
        <v>30</v>
      </c>
      <c r="D32" s="5"/>
      <c r="E32" s="386"/>
      <c r="F32" s="380"/>
      <c r="J32" s="9"/>
      <c r="K32" s="9">
        <f t="shared" si="0"/>
        <v>0</v>
      </c>
      <c r="L32" s="35">
        <f t="shared" si="1"/>
        <v>0</v>
      </c>
      <c r="M32" s="2"/>
      <c r="N32"/>
      <c r="O32" s="19"/>
      <c r="P32" s="19"/>
      <c r="Q32" s="19"/>
      <c r="R32" s="21"/>
      <c r="S32" s="46"/>
      <c r="T32" s="44"/>
      <c r="U32" s="76"/>
      <c r="V32" s="24"/>
      <c r="W32" s="24"/>
      <c r="X32" s="193"/>
      <c r="Y32" s="15"/>
      <c r="AA32">
        <v>5</v>
      </c>
      <c r="AB32" s="488"/>
      <c r="AC32" s="92" t="s">
        <v>3</v>
      </c>
      <c r="AD32" s="98"/>
      <c r="AE32" s="94">
        <f t="shared" ref="AE32:AS32" si="25">SUM(AE27:AE31)</f>
        <v>0</v>
      </c>
      <c r="AF32" s="94">
        <f t="shared" si="25"/>
        <v>0</v>
      </c>
      <c r="AG32" s="94">
        <f t="shared" si="25"/>
        <v>0</v>
      </c>
      <c r="AH32" s="94">
        <f t="shared" si="25"/>
        <v>0</v>
      </c>
      <c r="AI32" s="105">
        <f t="shared" si="25"/>
        <v>0</v>
      </c>
      <c r="AJ32" s="118">
        <f t="shared" si="25"/>
        <v>0</v>
      </c>
      <c r="AK32" s="119">
        <f t="shared" si="25"/>
        <v>0</v>
      </c>
      <c r="AL32" s="119">
        <f t="shared" si="25"/>
        <v>0</v>
      </c>
      <c r="AM32" s="119">
        <f t="shared" si="25"/>
        <v>0</v>
      </c>
      <c r="AN32" s="120">
        <f t="shared" si="25"/>
        <v>0</v>
      </c>
      <c r="AO32" s="94">
        <f t="shared" si="25"/>
        <v>0</v>
      </c>
      <c r="AP32" s="94">
        <f t="shared" si="25"/>
        <v>0</v>
      </c>
      <c r="AQ32" s="94">
        <f t="shared" si="25"/>
        <v>0</v>
      </c>
      <c r="AR32" s="94">
        <f t="shared" si="25"/>
        <v>0</v>
      </c>
      <c r="AS32" s="94">
        <f t="shared" si="25"/>
        <v>0</v>
      </c>
      <c r="AU32" s="195" t="s">
        <v>158</v>
      </c>
      <c r="AV32" s="195">
        <f t="shared" si="23"/>
        <v>0</v>
      </c>
      <c r="AW32" s="196">
        <f t="shared" si="24"/>
        <v>0</v>
      </c>
    </row>
    <row r="33" spans="2:49" s="8" customFormat="1" ht="13.5" customHeight="1" x14ac:dyDescent="0.25">
      <c r="B33" s="15">
        <v>31</v>
      </c>
      <c r="D33" s="5"/>
      <c r="E33" s="386"/>
      <c r="F33" s="380"/>
      <c r="J33" s="9"/>
      <c r="K33" s="9">
        <f t="shared" si="0"/>
        <v>0</v>
      </c>
      <c r="L33" s="35">
        <f t="shared" si="1"/>
        <v>0</v>
      </c>
      <c r="M33" s="2"/>
      <c r="N33"/>
      <c r="O33" s="19"/>
      <c r="P33" s="19"/>
      <c r="Q33" s="19"/>
      <c r="R33" s="21"/>
      <c r="S33" s="46"/>
      <c r="T33" s="44"/>
      <c r="U33" s="76"/>
      <c r="V33" s="24"/>
      <c r="W33" s="24"/>
      <c r="X33" s="193"/>
      <c r="Y33" s="15"/>
      <c r="AA33">
        <v>6</v>
      </c>
      <c r="AB33" s="486">
        <v>6</v>
      </c>
      <c r="AC33" s="89">
        <v>1</v>
      </c>
      <c r="AD33" s="95" t="s">
        <v>90</v>
      </c>
      <c r="AE33" s="39">
        <f t="shared" si="2"/>
        <v>0</v>
      </c>
      <c r="AF33" s="65">
        <f t="shared" si="3"/>
        <v>0</v>
      </c>
      <c r="AG33" s="65">
        <f t="shared" si="4"/>
        <v>0</v>
      </c>
      <c r="AH33" s="65">
        <f t="shared" si="5"/>
        <v>0</v>
      </c>
      <c r="AI33" s="104">
        <f t="shared" si="6"/>
        <v>0</v>
      </c>
      <c r="AJ33" s="115">
        <f t="shared" si="7"/>
        <v>0</v>
      </c>
      <c r="AK33" s="116">
        <f t="shared" si="8"/>
        <v>0</v>
      </c>
      <c r="AL33" s="116">
        <f t="shared" si="9"/>
        <v>0</v>
      </c>
      <c r="AM33" s="116">
        <f t="shared" si="10"/>
        <v>0</v>
      </c>
      <c r="AN33" s="117">
        <f t="shared" si="11"/>
        <v>0</v>
      </c>
      <c r="AO33" s="39">
        <f t="shared" si="12"/>
        <v>0</v>
      </c>
      <c r="AP33" s="65">
        <f t="shared" si="13"/>
        <v>0</v>
      </c>
      <c r="AQ33" s="65">
        <f t="shared" si="14"/>
        <v>0</v>
      </c>
      <c r="AR33" s="65">
        <f t="shared" si="15"/>
        <v>0</v>
      </c>
      <c r="AS33" s="65">
        <f t="shared" si="16"/>
        <v>0</v>
      </c>
      <c r="AU33" s="194" t="s">
        <v>159</v>
      </c>
      <c r="AV33" s="194">
        <f>SUM(AV25:AV32)</f>
        <v>24</v>
      </c>
      <c r="AW33" s="197">
        <f t="shared" si="24"/>
        <v>1</v>
      </c>
    </row>
    <row r="34" spans="2:49" s="8" customFormat="1" ht="13.5" customHeight="1" x14ac:dyDescent="0.25">
      <c r="B34" s="15">
        <v>32</v>
      </c>
      <c r="D34" s="5"/>
      <c r="E34" s="386"/>
      <c r="F34" s="380"/>
      <c r="J34" s="9"/>
      <c r="K34" s="9">
        <f t="shared" si="0"/>
        <v>0</v>
      </c>
      <c r="L34" s="35">
        <f t="shared" si="1"/>
        <v>0</v>
      </c>
      <c r="M34" s="2"/>
      <c r="N34"/>
      <c r="O34" s="19"/>
      <c r="P34" s="19"/>
      <c r="Q34" s="19"/>
      <c r="R34" s="21"/>
      <c r="S34" s="46"/>
      <c r="T34" s="44"/>
      <c r="U34" s="76"/>
      <c r="V34" s="24"/>
      <c r="W34" s="24"/>
      <c r="X34" s="193"/>
      <c r="Y34" s="15"/>
      <c r="AA34">
        <v>6</v>
      </c>
      <c r="AB34" s="487"/>
      <c r="AC34" s="90">
        <v>2</v>
      </c>
      <c r="AD34" s="97" t="s">
        <v>91</v>
      </c>
      <c r="AE34" s="39">
        <f t="shared" si="2"/>
        <v>0</v>
      </c>
      <c r="AF34" s="65">
        <f t="shared" si="3"/>
        <v>0</v>
      </c>
      <c r="AG34" s="65">
        <f t="shared" si="4"/>
        <v>0</v>
      </c>
      <c r="AH34" s="65">
        <f t="shared" si="5"/>
        <v>0</v>
      </c>
      <c r="AI34" s="104">
        <f t="shared" si="6"/>
        <v>0</v>
      </c>
      <c r="AJ34" s="115">
        <f t="shared" si="7"/>
        <v>0</v>
      </c>
      <c r="AK34" s="116">
        <f t="shared" si="8"/>
        <v>0</v>
      </c>
      <c r="AL34" s="116">
        <f t="shared" si="9"/>
        <v>0</v>
      </c>
      <c r="AM34" s="116">
        <f t="shared" si="10"/>
        <v>0</v>
      </c>
      <c r="AN34" s="117">
        <f t="shared" si="11"/>
        <v>0</v>
      </c>
      <c r="AO34" s="39">
        <f t="shared" si="12"/>
        <v>0</v>
      </c>
      <c r="AP34" s="65">
        <f t="shared" si="13"/>
        <v>0</v>
      </c>
      <c r="AQ34" s="65">
        <f t="shared" si="14"/>
        <v>0</v>
      </c>
      <c r="AR34" s="65">
        <f t="shared" si="15"/>
        <v>0</v>
      </c>
      <c r="AS34" s="65">
        <f t="shared" si="16"/>
        <v>0</v>
      </c>
    </row>
    <row r="35" spans="2:49" s="8" customFormat="1" ht="13.5" customHeight="1" x14ac:dyDescent="0.25">
      <c r="B35" s="15">
        <v>33</v>
      </c>
      <c r="D35" s="5"/>
      <c r="E35" s="386"/>
      <c r="F35" s="380"/>
      <c r="J35" s="9"/>
      <c r="K35" s="9">
        <f t="shared" si="0"/>
        <v>0</v>
      </c>
      <c r="L35" s="35">
        <f t="shared" si="1"/>
        <v>0</v>
      </c>
      <c r="M35" s="2"/>
      <c r="N35"/>
      <c r="O35" s="19"/>
      <c r="P35" s="19"/>
      <c r="Q35" s="19"/>
      <c r="R35" s="21"/>
      <c r="S35" s="46"/>
      <c r="T35" s="44"/>
      <c r="U35" s="76"/>
      <c r="V35" s="24"/>
      <c r="W35" s="24"/>
      <c r="X35" s="193"/>
      <c r="Y35" s="15"/>
      <c r="AA35">
        <v>6</v>
      </c>
      <c r="AB35" s="487"/>
      <c r="AC35" s="90">
        <v>3</v>
      </c>
      <c r="AD35" s="97" t="s">
        <v>92</v>
      </c>
      <c r="AE35" s="39">
        <f t="shared" si="2"/>
        <v>0</v>
      </c>
      <c r="AF35" s="65">
        <f t="shared" si="3"/>
        <v>0</v>
      </c>
      <c r="AG35" s="65">
        <f t="shared" si="4"/>
        <v>0</v>
      </c>
      <c r="AH35" s="65">
        <f t="shared" si="5"/>
        <v>0</v>
      </c>
      <c r="AI35" s="104">
        <f t="shared" si="6"/>
        <v>0</v>
      </c>
      <c r="AJ35" s="115">
        <f t="shared" si="7"/>
        <v>0</v>
      </c>
      <c r="AK35" s="116">
        <f t="shared" si="8"/>
        <v>0</v>
      </c>
      <c r="AL35" s="116">
        <f t="shared" si="9"/>
        <v>0</v>
      </c>
      <c r="AM35" s="116">
        <f t="shared" si="10"/>
        <v>0</v>
      </c>
      <c r="AN35" s="117">
        <f t="shared" si="11"/>
        <v>0</v>
      </c>
      <c r="AO35" s="39">
        <f t="shared" si="12"/>
        <v>0</v>
      </c>
      <c r="AP35" s="65">
        <f t="shared" si="13"/>
        <v>0</v>
      </c>
      <c r="AQ35" s="65">
        <f t="shared" si="14"/>
        <v>0</v>
      </c>
      <c r="AR35" s="65">
        <f t="shared" si="15"/>
        <v>0</v>
      </c>
      <c r="AS35" s="65">
        <f t="shared" si="16"/>
        <v>0</v>
      </c>
    </row>
    <row r="36" spans="2:49" s="8" customFormat="1" ht="13.5" customHeight="1" x14ac:dyDescent="0.25">
      <c r="B36" s="15">
        <v>34</v>
      </c>
      <c r="D36" s="5"/>
      <c r="E36" s="386"/>
      <c r="F36" s="380"/>
      <c r="J36" s="9"/>
      <c r="K36" s="9">
        <f t="shared" si="0"/>
        <v>0</v>
      </c>
      <c r="L36" s="35">
        <f t="shared" si="1"/>
        <v>0</v>
      </c>
      <c r="M36" s="2"/>
      <c r="N36"/>
      <c r="O36" s="19"/>
      <c r="P36" s="19"/>
      <c r="Q36" s="19"/>
      <c r="R36" s="21"/>
      <c r="S36" s="46"/>
      <c r="T36" s="44"/>
      <c r="U36" s="76"/>
      <c r="V36" s="24"/>
      <c r="W36" s="24"/>
      <c r="X36" s="193"/>
      <c r="Y36" s="15"/>
      <c r="AA36">
        <v>6</v>
      </c>
      <c r="AB36" s="487"/>
      <c r="AC36" s="90">
        <v>4</v>
      </c>
      <c r="AD36" s="97" t="s">
        <v>93</v>
      </c>
      <c r="AE36" s="39">
        <f t="shared" si="2"/>
        <v>0</v>
      </c>
      <c r="AF36" s="65">
        <f t="shared" si="3"/>
        <v>0</v>
      </c>
      <c r="AG36" s="65">
        <f t="shared" si="4"/>
        <v>0</v>
      </c>
      <c r="AH36" s="65">
        <f t="shared" si="5"/>
        <v>0</v>
      </c>
      <c r="AI36" s="104">
        <f t="shared" si="6"/>
        <v>0</v>
      </c>
      <c r="AJ36" s="115">
        <f t="shared" si="7"/>
        <v>0</v>
      </c>
      <c r="AK36" s="116">
        <f t="shared" si="8"/>
        <v>0</v>
      </c>
      <c r="AL36" s="116">
        <f t="shared" si="9"/>
        <v>0</v>
      </c>
      <c r="AM36" s="116">
        <f t="shared" si="10"/>
        <v>0</v>
      </c>
      <c r="AN36" s="117">
        <f t="shared" si="11"/>
        <v>0</v>
      </c>
      <c r="AO36" s="39">
        <f t="shared" si="12"/>
        <v>0</v>
      </c>
      <c r="AP36" s="65">
        <f t="shared" si="13"/>
        <v>0</v>
      </c>
      <c r="AQ36" s="65">
        <f t="shared" si="14"/>
        <v>0</v>
      </c>
      <c r="AR36" s="65">
        <f t="shared" si="15"/>
        <v>0</v>
      </c>
      <c r="AS36" s="65">
        <f t="shared" si="16"/>
        <v>0</v>
      </c>
    </row>
    <row r="37" spans="2:49" s="8" customFormat="1" ht="13.5" customHeight="1" x14ac:dyDescent="0.25">
      <c r="B37" s="15">
        <v>35</v>
      </c>
      <c r="D37" s="5"/>
      <c r="E37" s="386"/>
      <c r="F37" s="380"/>
      <c r="J37" s="9"/>
      <c r="K37" s="9">
        <f t="shared" si="0"/>
        <v>0</v>
      </c>
      <c r="L37" s="35">
        <f t="shared" si="1"/>
        <v>0</v>
      </c>
      <c r="M37" s="2"/>
      <c r="N37"/>
      <c r="O37" s="19"/>
      <c r="P37" s="19"/>
      <c r="Q37" s="19"/>
      <c r="R37" s="21"/>
      <c r="S37" s="46"/>
      <c r="T37" s="250"/>
      <c r="U37" s="76"/>
      <c r="V37" s="24"/>
      <c r="W37" s="24"/>
      <c r="X37" s="193"/>
      <c r="Y37" s="15"/>
      <c r="AA37">
        <v>6</v>
      </c>
      <c r="AB37" s="487"/>
      <c r="AC37" s="91">
        <v>5</v>
      </c>
      <c r="AD37" s="97"/>
      <c r="AE37" s="39">
        <f t="shared" si="2"/>
        <v>0</v>
      </c>
      <c r="AF37" s="65">
        <f t="shared" si="3"/>
        <v>0</v>
      </c>
      <c r="AG37" s="65">
        <f t="shared" si="4"/>
        <v>0</v>
      </c>
      <c r="AH37" s="65">
        <f t="shared" si="5"/>
        <v>0</v>
      </c>
      <c r="AI37" s="104">
        <f t="shared" si="6"/>
        <v>0</v>
      </c>
      <c r="AJ37" s="115">
        <f t="shared" si="7"/>
        <v>0</v>
      </c>
      <c r="AK37" s="116">
        <f t="shared" si="8"/>
        <v>0</v>
      </c>
      <c r="AL37" s="116">
        <f t="shared" si="9"/>
        <v>0</v>
      </c>
      <c r="AM37" s="116">
        <f t="shared" si="10"/>
        <v>0</v>
      </c>
      <c r="AN37" s="117">
        <f t="shared" si="11"/>
        <v>0</v>
      </c>
      <c r="AO37" s="39">
        <f t="shared" si="12"/>
        <v>0</v>
      </c>
      <c r="AP37" s="65">
        <f t="shared" si="13"/>
        <v>0</v>
      </c>
      <c r="AQ37" s="65">
        <f t="shared" si="14"/>
        <v>0</v>
      </c>
      <c r="AR37" s="65">
        <f t="shared" si="15"/>
        <v>0</v>
      </c>
      <c r="AS37" s="65">
        <f t="shared" si="16"/>
        <v>0</v>
      </c>
    </row>
    <row r="38" spans="2:49" s="8" customFormat="1" ht="13.5" customHeight="1" thickBot="1" x14ac:dyDescent="0.3">
      <c r="B38" s="15">
        <v>36</v>
      </c>
      <c r="D38" s="5"/>
      <c r="E38" s="386"/>
      <c r="F38" s="380"/>
      <c r="J38" s="9"/>
      <c r="K38" s="9">
        <f t="shared" si="0"/>
        <v>0</v>
      </c>
      <c r="L38" s="35">
        <f t="shared" si="1"/>
        <v>0</v>
      </c>
      <c r="M38" s="2"/>
      <c r="N38"/>
      <c r="O38" s="19"/>
      <c r="P38" s="19"/>
      <c r="Q38" s="19"/>
      <c r="R38" s="21"/>
      <c r="S38" s="46"/>
      <c r="T38" s="44"/>
      <c r="U38" s="76"/>
      <c r="V38" s="24"/>
      <c r="W38" s="24"/>
      <c r="X38" s="193"/>
      <c r="Y38" s="15"/>
      <c r="AA38">
        <v>6</v>
      </c>
      <c r="AB38" s="488"/>
      <c r="AC38" s="92" t="s">
        <v>3</v>
      </c>
      <c r="AD38" s="98"/>
      <c r="AE38" s="94">
        <f t="shared" ref="AE38:AS38" si="26">SUM(AE33:AE37)</f>
        <v>0</v>
      </c>
      <c r="AF38" s="94">
        <f t="shared" si="26"/>
        <v>0</v>
      </c>
      <c r="AG38" s="94">
        <f t="shared" si="26"/>
        <v>0</v>
      </c>
      <c r="AH38" s="94">
        <f t="shared" si="26"/>
        <v>0</v>
      </c>
      <c r="AI38" s="105">
        <f t="shared" si="26"/>
        <v>0</v>
      </c>
      <c r="AJ38" s="118">
        <f t="shared" si="26"/>
        <v>0</v>
      </c>
      <c r="AK38" s="119">
        <f t="shared" si="26"/>
        <v>0</v>
      </c>
      <c r="AL38" s="119">
        <f t="shared" si="26"/>
        <v>0</v>
      </c>
      <c r="AM38" s="119">
        <f t="shared" si="26"/>
        <v>0</v>
      </c>
      <c r="AN38" s="120">
        <f t="shared" si="26"/>
        <v>0</v>
      </c>
      <c r="AO38" s="94">
        <f t="shared" si="26"/>
        <v>0</v>
      </c>
      <c r="AP38" s="94">
        <f t="shared" si="26"/>
        <v>0</v>
      </c>
      <c r="AQ38" s="94">
        <f t="shared" si="26"/>
        <v>0</v>
      </c>
      <c r="AR38" s="94">
        <f t="shared" si="26"/>
        <v>0</v>
      </c>
      <c r="AS38" s="94">
        <f t="shared" si="26"/>
        <v>0</v>
      </c>
    </row>
    <row r="39" spans="2:49" s="8" customFormat="1" ht="13.5" customHeight="1" x14ac:dyDescent="0.25">
      <c r="B39" s="15">
        <v>37</v>
      </c>
      <c r="D39" s="5"/>
      <c r="E39" s="386"/>
      <c r="F39" s="380"/>
      <c r="J39" s="9"/>
      <c r="K39" s="9">
        <f t="shared" si="0"/>
        <v>0</v>
      </c>
      <c r="L39" s="35">
        <f t="shared" si="1"/>
        <v>0</v>
      </c>
      <c r="M39" s="2"/>
      <c r="N39"/>
      <c r="O39" s="19"/>
      <c r="P39" s="19"/>
      <c r="Q39" s="19"/>
      <c r="R39" s="21"/>
      <c r="S39" s="46"/>
      <c r="T39" s="44"/>
      <c r="U39" s="76"/>
      <c r="V39" s="24"/>
      <c r="W39" s="24"/>
      <c r="X39" s="193"/>
      <c r="Y39" s="15"/>
      <c r="AA39">
        <v>7</v>
      </c>
      <c r="AB39" s="486">
        <v>7</v>
      </c>
      <c r="AC39" s="89">
        <v>1</v>
      </c>
      <c r="AD39" s="95" t="s">
        <v>94</v>
      </c>
      <c r="AE39" s="39">
        <f t="shared" si="2"/>
        <v>998.46</v>
      </c>
      <c r="AF39" s="65">
        <f t="shared" si="3"/>
        <v>998.46</v>
      </c>
      <c r="AG39" s="65">
        <f t="shared" si="4"/>
        <v>0</v>
      </c>
      <c r="AH39" s="65">
        <f t="shared" si="5"/>
        <v>0</v>
      </c>
      <c r="AI39" s="104">
        <f t="shared" si="6"/>
        <v>0</v>
      </c>
      <c r="AJ39" s="115">
        <f t="shared" si="7"/>
        <v>1</v>
      </c>
      <c r="AK39" s="116">
        <f t="shared" si="8"/>
        <v>1</v>
      </c>
      <c r="AL39" s="116">
        <f t="shared" si="9"/>
        <v>0</v>
      </c>
      <c r="AM39" s="116">
        <f t="shared" si="10"/>
        <v>0</v>
      </c>
      <c r="AN39" s="117">
        <f t="shared" si="11"/>
        <v>0</v>
      </c>
      <c r="AO39" s="39">
        <f t="shared" si="12"/>
        <v>11</v>
      </c>
      <c r="AP39" s="65">
        <f t="shared" si="13"/>
        <v>11</v>
      </c>
      <c r="AQ39" s="65">
        <f t="shared" si="14"/>
        <v>0</v>
      </c>
      <c r="AR39" s="65">
        <f t="shared" si="15"/>
        <v>0</v>
      </c>
      <c r="AS39" s="65">
        <f t="shared" si="16"/>
        <v>0</v>
      </c>
    </row>
    <row r="40" spans="2:49" s="8" customFormat="1" ht="13.5" customHeight="1" x14ac:dyDescent="0.25">
      <c r="B40" s="15">
        <v>38</v>
      </c>
      <c r="D40" s="5"/>
      <c r="E40" s="386"/>
      <c r="F40" s="380"/>
      <c r="J40" s="9"/>
      <c r="K40" s="9">
        <f t="shared" si="0"/>
        <v>0</v>
      </c>
      <c r="L40" s="35">
        <f t="shared" si="1"/>
        <v>0</v>
      </c>
      <c r="M40" s="2"/>
      <c r="N40"/>
      <c r="O40" s="19"/>
      <c r="P40" s="19"/>
      <c r="Q40" s="19"/>
      <c r="R40" s="21"/>
      <c r="S40" s="46"/>
      <c r="T40" s="44"/>
      <c r="U40" s="76"/>
      <c r="V40" s="24"/>
      <c r="W40" s="24"/>
      <c r="X40" s="193"/>
      <c r="Y40" s="15"/>
      <c r="AA40">
        <v>7</v>
      </c>
      <c r="AB40" s="487"/>
      <c r="AC40" s="90">
        <v>2</v>
      </c>
      <c r="AD40" s="97" t="s">
        <v>61</v>
      </c>
      <c r="AE40" s="39">
        <f t="shared" si="2"/>
        <v>0</v>
      </c>
      <c r="AF40" s="65">
        <f t="shared" si="3"/>
        <v>0</v>
      </c>
      <c r="AG40" s="65">
        <f t="shared" si="4"/>
        <v>0</v>
      </c>
      <c r="AH40" s="65">
        <f t="shared" si="5"/>
        <v>0</v>
      </c>
      <c r="AI40" s="104">
        <f t="shared" si="6"/>
        <v>0</v>
      </c>
      <c r="AJ40" s="115">
        <f t="shared" si="7"/>
        <v>0</v>
      </c>
      <c r="AK40" s="116">
        <f t="shared" si="8"/>
        <v>0</v>
      </c>
      <c r="AL40" s="116">
        <f t="shared" si="9"/>
        <v>0</v>
      </c>
      <c r="AM40" s="116">
        <f t="shared" si="10"/>
        <v>0</v>
      </c>
      <c r="AN40" s="117">
        <f t="shared" si="11"/>
        <v>0</v>
      </c>
      <c r="AO40" s="39">
        <f t="shared" si="12"/>
        <v>0</v>
      </c>
      <c r="AP40" s="65">
        <f t="shared" si="13"/>
        <v>0</v>
      </c>
      <c r="AQ40" s="65">
        <f t="shared" si="14"/>
        <v>0</v>
      </c>
      <c r="AR40" s="65">
        <f t="shared" si="15"/>
        <v>0</v>
      </c>
      <c r="AS40" s="65">
        <f t="shared" si="16"/>
        <v>0</v>
      </c>
    </row>
    <row r="41" spans="2:49" s="8" customFormat="1" ht="13.5" customHeight="1" x14ac:dyDescent="0.25">
      <c r="B41" s="15">
        <v>39</v>
      </c>
      <c r="D41" s="5"/>
      <c r="E41" s="386"/>
      <c r="F41" s="380"/>
      <c r="J41" s="9"/>
      <c r="K41" s="9">
        <f t="shared" si="0"/>
        <v>0</v>
      </c>
      <c r="L41" s="35">
        <f t="shared" si="1"/>
        <v>0</v>
      </c>
      <c r="M41" s="2"/>
      <c r="N41"/>
      <c r="O41" s="19"/>
      <c r="P41" s="19"/>
      <c r="Q41" s="19"/>
      <c r="R41" s="21"/>
      <c r="S41" s="46"/>
      <c r="T41" s="44"/>
      <c r="U41" s="76"/>
      <c r="V41" s="24"/>
      <c r="W41" s="24"/>
      <c r="X41" s="193"/>
      <c r="Y41" s="15"/>
      <c r="AA41">
        <v>7</v>
      </c>
      <c r="AB41" s="487"/>
      <c r="AC41" s="90">
        <v>3</v>
      </c>
      <c r="AD41" s="97" t="s">
        <v>62</v>
      </c>
      <c r="AE41" s="39">
        <f t="shared" si="2"/>
        <v>914.5</v>
      </c>
      <c r="AF41" s="65">
        <f t="shared" si="3"/>
        <v>914.5</v>
      </c>
      <c r="AG41" s="65">
        <f t="shared" si="4"/>
        <v>0</v>
      </c>
      <c r="AH41" s="65">
        <f t="shared" si="5"/>
        <v>0</v>
      </c>
      <c r="AI41" s="104">
        <f t="shared" si="6"/>
        <v>0</v>
      </c>
      <c r="AJ41" s="115">
        <f t="shared" si="7"/>
        <v>1</v>
      </c>
      <c r="AK41" s="116">
        <f t="shared" si="8"/>
        <v>1</v>
      </c>
      <c r="AL41" s="116">
        <f t="shared" si="9"/>
        <v>0</v>
      </c>
      <c r="AM41" s="116">
        <f t="shared" si="10"/>
        <v>0</v>
      </c>
      <c r="AN41" s="117">
        <f t="shared" si="11"/>
        <v>0</v>
      </c>
      <c r="AO41" s="39">
        <f t="shared" si="12"/>
        <v>10.85</v>
      </c>
      <c r="AP41" s="65">
        <f t="shared" si="13"/>
        <v>10.85</v>
      </c>
      <c r="AQ41" s="65">
        <f t="shared" si="14"/>
        <v>0</v>
      </c>
      <c r="AR41" s="65">
        <f t="shared" si="15"/>
        <v>0</v>
      </c>
      <c r="AS41" s="65">
        <f t="shared" si="16"/>
        <v>0</v>
      </c>
    </row>
    <row r="42" spans="2:49" s="8" customFormat="1" ht="13.5" customHeight="1" x14ac:dyDescent="0.25">
      <c r="B42" s="15">
        <v>40</v>
      </c>
      <c r="D42" s="5"/>
      <c r="E42" s="386"/>
      <c r="F42" s="380"/>
      <c r="J42" s="9"/>
      <c r="K42" s="9">
        <f t="shared" si="0"/>
        <v>0</v>
      </c>
      <c r="L42" s="35">
        <f t="shared" si="1"/>
        <v>0</v>
      </c>
      <c r="M42" s="2"/>
      <c r="N42"/>
      <c r="O42" s="19"/>
      <c r="P42" s="19"/>
      <c r="Q42" s="19"/>
      <c r="R42" s="21"/>
      <c r="S42" s="46"/>
      <c r="T42" s="44"/>
      <c r="U42" s="76"/>
      <c r="V42" s="24"/>
      <c r="W42" s="24"/>
      <c r="X42" s="193"/>
      <c r="Y42" s="15"/>
      <c r="AA42">
        <v>7</v>
      </c>
      <c r="AB42" s="487"/>
      <c r="AC42" s="90">
        <v>4</v>
      </c>
      <c r="AD42" s="97" t="s">
        <v>63</v>
      </c>
      <c r="AE42" s="39">
        <f t="shared" si="2"/>
        <v>300.89999999999998</v>
      </c>
      <c r="AF42" s="65">
        <f t="shared" si="3"/>
        <v>300.89999999999998</v>
      </c>
      <c r="AG42" s="65">
        <f t="shared" si="4"/>
        <v>0</v>
      </c>
      <c r="AH42" s="65">
        <f t="shared" si="5"/>
        <v>0</v>
      </c>
      <c r="AI42" s="104">
        <f t="shared" si="6"/>
        <v>0</v>
      </c>
      <c r="AJ42" s="115">
        <f t="shared" si="7"/>
        <v>1</v>
      </c>
      <c r="AK42" s="116">
        <f t="shared" si="8"/>
        <v>1</v>
      </c>
      <c r="AL42" s="116">
        <f t="shared" si="9"/>
        <v>0</v>
      </c>
      <c r="AM42" s="116">
        <f t="shared" si="10"/>
        <v>0</v>
      </c>
      <c r="AN42" s="117">
        <f t="shared" si="11"/>
        <v>0</v>
      </c>
      <c r="AO42" s="39">
        <f t="shared" si="12"/>
        <v>3</v>
      </c>
      <c r="AP42" s="65">
        <f t="shared" si="13"/>
        <v>3</v>
      </c>
      <c r="AQ42" s="65">
        <f t="shared" si="14"/>
        <v>0</v>
      </c>
      <c r="AR42" s="65">
        <f t="shared" si="15"/>
        <v>0</v>
      </c>
      <c r="AS42" s="65">
        <f t="shared" si="16"/>
        <v>0</v>
      </c>
    </row>
    <row r="43" spans="2:49" x14ac:dyDescent="0.25">
      <c r="B43" s="15">
        <v>41</v>
      </c>
      <c r="C43" s="8"/>
      <c r="F43" s="380"/>
      <c r="G43" s="8"/>
      <c r="H43" s="8"/>
      <c r="I43" s="8"/>
      <c r="J43" s="9"/>
      <c r="K43" s="9">
        <f t="shared" si="0"/>
        <v>0</v>
      </c>
      <c r="L43" s="35">
        <f t="shared" si="1"/>
        <v>0</v>
      </c>
      <c r="M43" s="2"/>
      <c r="O43" s="19"/>
      <c r="P43" s="19"/>
      <c r="Q43" s="19"/>
      <c r="R43" s="21"/>
      <c r="S43" s="46"/>
      <c r="T43" s="44"/>
      <c r="U43" s="77"/>
      <c r="V43" s="30"/>
      <c r="W43" s="24"/>
      <c r="X43" s="193"/>
      <c r="Y43" s="15"/>
      <c r="AA43">
        <v>7</v>
      </c>
      <c r="AB43" s="487"/>
      <c r="AC43" s="91">
        <v>5</v>
      </c>
      <c r="AD43" s="100" t="s">
        <v>95</v>
      </c>
      <c r="AE43" s="39">
        <f t="shared" si="2"/>
        <v>182.9</v>
      </c>
      <c r="AF43" s="65">
        <f t="shared" si="3"/>
        <v>0</v>
      </c>
      <c r="AG43" s="65">
        <f t="shared" si="4"/>
        <v>182.9</v>
      </c>
      <c r="AH43" s="65">
        <f t="shared" si="5"/>
        <v>0</v>
      </c>
      <c r="AI43" s="104">
        <f t="shared" si="6"/>
        <v>0</v>
      </c>
      <c r="AJ43" s="115">
        <f t="shared" si="7"/>
        <v>1</v>
      </c>
      <c r="AK43" s="116">
        <f t="shared" si="8"/>
        <v>0</v>
      </c>
      <c r="AL43" s="116">
        <f t="shared" si="9"/>
        <v>1</v>
      </c>
      <c r="AM43" s="116">
        <f t="shared" si="10"/>
        <v>0</v>
      </c>
      <c r="AN43" s="117">
        <f t="shared" si="11"/>
        <v>0</v>
      </c>
      <c r="AO43" s="39">
        <f t="shared" si="12"/>
        <v>2.14</v>
      </c>
      <c r="AP43" s="65">
        <f t="shared" si="13"/>
        <v>0</v>
      </c>
      <c r="AQ43" s="65">
        <f t="shared" si="14"/>
        <v>2.14</v>
      </c>
      <c r="AR43" s="65">
        <f t="shared" si="15"/>
        <v>0</v>
      </c>
      <c r="AS43" s="65">
        <f t="shared" si="16"/>
        <v>0</v>
      </c>
    </row>
    <row r="44" spans="2:49" ht="14.25" thickBot="1" x14ac:dyDescent="0.3">
      <c r="B44" s="15">
        <v>42</v>
      </c>
      <c r="C44" s="8"/>
      <c r="F44" s="380"/>
      <c r="G44" s="8"/>
      <c r="H44" s="8"/>
      <c r="I44" s="8"/>
      <c r="J44" s="9"/>
      <c r="K44" s="9">
        <f t="shared" si="0"/>
        <v>0</v>
      </c>
      <c r="L44" s="35">
        <f t="shared" si="1"/>
        <v>0</v>
      </c>
      <c r="M44" s="2"/>
      <c r="O44" s="19"/>
      <c r="P44" s="19"/>
      <c r="Q44" s="19"/>
      <c r="R44" s="21"/>
      <c r="S44" s="46"/>
      <c r="T44" s="44"/>
      <c r="U44" s="77"/>
      <c r="V44" s="30"/>
      <c r="W44" s="24"/>
      <c r="X44" s="193"/>
      <c r="Y44" s="15"/>
      <c r="AA44">
        <v>7</v>
      </c>
      <c r="AB44" s="488"/>
      <c r="AC44" s="92" t="s">
        <v>3</v>
      </c>
      <c r="AD44" s="101"/>
      <c r="AE44" s="94">
        <f t="shared" ref="AE44:AS44" si="27">SUM(AE39:AE43)</f>
        <v>2396.7600000000002</v>
      </c>
      <c r="AF44" s="94">
        <f t="shared" si="27"/>
        <v>2213.86</v>
      </c>
      <c r="AG44" s="94">
        <f t="shared" si="27"/>
        <v>182.9</v>
      </c>
      <c r="AH44" s="94">
        <f t="shared" si="27"/>
        <v>0</v>
      </c>
      <c r="AI44" s="105">
        <f t="shared" si="27"/>
        <v>0</v>
      </c>
      <c r="AJ44" s="118">
        <f t="shared" si="27"/>
        <v>4</v>
      </c>
      <c r="AK44" s="119">
        <f t="shared" si="27"/>
        <v>3</v>
      </c>
      <c r="AL44" s="119">
        <f t="shared" si="27"/>
        <v>1</v>
      </c>
      <c r="AM44" s="119">
        <f t="shared" si="27"/>
        <v>0</v>
      </c>
      <c r="AN44" s="120">
        <f t="shared" si="27"/>
        <v>0</v>
      </c>
      <c r="AO44" s="94">
        <f t="shared" si="27"/>
        <v>26.990000000000002</v>
      </c>
      <c r="AP44" s="94">
        <f t="shared" si="27"/>
        <v>24.85</v>
      </c>
      <c r="AQ44" s="94">
        <f t="shared" si="27"/>
        <v>2.14</v>
      </c>
      <c r="AR44" s="94">
        <f t="shared" si="27"/>
        <v>0</v>
      </c>
      <c r="AS44" s="94">
        <f t="shared" si="27"/>
        <v>0</v>
      </c>
    </row>
    <row r="45" spans="2:49" x14ac:dyDescent="0.25">
      <c r="B45" s="15">
        <v>43</v>
      </c>
      <c r="C45" s="8"/>
      <c r="F45" s="380"/>
      <c r="G45" s="8"/>
      <c r="H45" s="8"/>
      <c r="I45" s="8"/>
      <c r="J45" s="9"/>
      <c r="K45" s="9">
        <f t="shared" si="0"/>
        <v>0</v>
      </c>
      <c r="L45" s="35">
        <f t="shared" si="1"/>
        <v>0</v>
      </c>
      <c r="M45" s="2"/>
      <c r="O45" s="19"/>
      <c r="P45" s="19"/>
      <c r="Q45" s="19"/>
      <c r="R45" s="21"/>
      <c r="S45" s="46"/>
      <c r="T45" s="44"/>
      <c r="U45" s="77"/>
      <c r="V45" s="30"/>
      <c r="W45" s="24"/>
      <c r="X45" s="193"/>
      <c r="Y45" s="15"/>
      <c r="AA45">
        <v>8</v>
      </c>
      <c r="AB45" s="486">
        <v>8</v>
      </c>
      <c r="AC45" s="89">
        <v>1</v>
      </c>
      <c r="AD45" s="95" t="s">
        <v>96</v>
      </c>
      <c r="AE45" s="39">
        <f t="shared" si="2"/>
        <v>0</v>
      </c>
      <c r="AF45" s="65">
        <f t="shared" si="3"/>
        <v>0</v>
      </c>
      <c r="AG45" s="65">
        <f t="shared" si="4"/>
        <v>0</v>
      </c>
      <c r="AH45" s="65">
        <f t="shared" si="5"/>
        <v>0</v>
      </c>
      <c r="AI45" s="104">
        <f t="shared" si="6"/>
        <v>0</v>
      </c>
      <c r="AJ45" s="115">
        <f t="shared" si="7"/>
        <v>0</v>
      </c>
      <c r="AK45" s="116">
        <f t="shared" si="8"/>
        <v>0</v>
      </c>
      <c r="AL45" s="116">
        <f t="shared" si="9"/>
        <v>0</v>
      </c>
      <c r="AM45" s="116">
        <f t="shared" si="10"/>
        <v>0</v>
      </c>
      <c r="AN45" s="117">
        <f t="shared" si="11"/>
        <v>0</v>
      </c>
      <c r="AO45" s="39">
        <f t="shared" si="12"/>
        <v>0</v>
      </c>
      <c r="AP45" s="65">
        <f t="shared" si="13"/>
        <v>0</v>
      </c>
      <c r="AQ45" s="65">
        <f t="shared" si="14"/>
        <v>0</v>
      </c>
      <c r="AR45" s="65">
        <f t="shared" si="15"/>
        <v>0</v>
      </c>
      <c r="AS45" s="65">
        <f t="shared" si="16"/>
        <v>0</v>
      </c>
    </row>
    <row r="46" spans="2:49" x14ac:dyDescent="0.25">
      <c r="B46" s="15">
        <v>44</v>
      </c>
      <c r="C46" s="8"/>
      <c r="F46" s="380"/>
      <c r="G46" s="8"/>
      <c r="H46" s="8"/>
      <c r="I46" s="8"/>
      <c r="J46" s="9"/>
      <c r="K46" s="9">
        <f t="shared" si="0"/>
        <v>0</v>
      </c>
      <c r="L46" s="35">
        <f t="shared" si="1"/>
        <v>0</v>
      </c>
      <c r="M46" s="2"/>
      <c r="O46" s="19"/>
      <c r="P46" s="19"/>
      <c r="Q46" s="19"/>
      <c r="R46" s="21"/>
      <c r="S46" s="46"/>
      <c r="T46" s="44"/>
      <c r="U46" s="77"/>
      <c r="V46" s="24"/>
      <c r="W46" s="24"/>
      <c r="X46" s="193"/>
      <c r="Y46" s="15"/>
      <c r="AA46">
        <v>8</v>
      </c>
      <c r="AB46" s="487"/>
      <c r="AC46" s="90">
        <v>2</v>
      </c>
      <c r="AD46" s="97" t="s">
        <v>97</v>
      </c>
      <c r="AE46" s="39">
        <f t="shared" si="2"/>
        <v>0</v>
      </c>
      <c r="AF46" s="65">
        <f t="shared" si="3"/>
        <v>0</v>
      </c>
      <c r="AG46" s="65">
        <f t="shared" si="4"/>
        <v>0</v>
      </c>
      <c r="AH46" s="65">
        <f t="shared" si="5"/>
        <v>0</v>
      </c>
      <c r="AI46" s="104">
        <f t="shared" si="6"/>
        <v>0</v>
      </c>
      <c r="AJ46" s="115">
        <f t="shared" si="7"/>
        <v>0</v>
      </c>
      <c r="AK46" s="116">
        <f t="shared" si="8"/>
        <v>0</v>
      </c>
      <c r="AL46" s="116">
        <f t="shared" si="9"/>
        <v>0</v>
      </c>
      <c r="AM46" s="116">
        <f t="shared" si="10"/>
        <v>0</v>
      </c>
      <c r="AN46" s="117">
        <f t="shared" si="11"/>
        <v>0</v>
      </c>
      <c r="AO46" s="39">
        <f t="shared" si="12"/>
        <v>0</v>
      </c>
      <c r="AP46" s="65">
        <f t="shared" si="13"/>
        <v>0</v>
      </c>
      <c r="AQ46" s="65">
        <f t="shared" si="14"/>
        <v>0</v>
      </c>
      <c r="AR46" s="65">
        <f t="shared" si="15"/>
        <v>0</v>
      </c>
      <c r="AS46" s="65">
        <f t="shared" si="16"/>
        <v>0</v>
      </c>
    </row>
    <row r="47" spans="2:49" x14ac:dyDescent="0.25">
      <c r="B47" s="15">
        <v>45</v>
      </c>
      <c r="C47" s="8"/>
      <c r="F47" s="380"/>
      <c r="G47" s="8"/>
      <c r="H47" s="8"/>
      <c r="I47" s="8"/>
      <c r="J47" s="9"/>
      <c r="K47" s="9">
        <f t="shared" si="0"/>
        <v>0</v>
      </c>
      <c r="L47" s="35">
        <f t="shared" si="1"/>
        <v>0</v>
      </c>
      <c r="M47" s="2"/>
      <c r="O47" s="19"/>
      <c r="P47" s="19"/>
      <c r="Q47" s="19"/>
      <c r="R47" s="21"/>
      <c r="S47" s="46"/>
      <c r="T47" s="44"/>
      <c r="U47" s="77"/>
      <c r="V47" s="24"/>
      <c r="W47" s="24"/>
      <c r="X47" s="193"/>
      <c r="Y47" s="15"/>
      <c r="AA47">
        <v>8</v>
      </c>
      <c r="AB47" s="487"/>
      <c r="AC47" s="90">
        <v>3</v>
      </c>
      <c r="AD47" s="97" t="s">
        <v>98</v>
      </c>
      <c r="AE47" s="39">
        <f t="shared" si="2"/>
        <v>0</v>
      </c>
      <c r="AF47" s="65">
        <f t="shared" si="3"/>
        <v>0</v>
      </c>
      <c r="AG47" s="65">
        <f t="shared" si="4"/>
        <v>0</v>
      </c>
      <c r="AH47" s="65">
        <f t="shared" si="5"/>
        <v>0</v>
      </c>
      <c r="AI47" s="104">
        <f t="shared" si="6"/>
        <v>0</v>
      </c>
      <c r="AJ47" s="115">
        <f t="shared" si="7"/>
        <v>0</v>
      </c>
      <c r="AK47" s="116">
        <f t="shared" si="8"/>
        <v>0</v>
      </c>
      <c r="AL47" s="116">
        <f t="shared" si="9"/>
        <v>0</v>
      </c>
      <c r="AM47" s="116">
        <f t="shared" si="10"/>
        <v>0</v>
      </c>
      <c r="AN47" s="117">
        <f t="shared" si="11"/>
        <v>0</v>
      </c>
      <c r="AO47" s="39">
        <f t="shared" si="12"/>
        <v>0</v>
      </c>
      <c r="AP47" s="65">
        <f t="shared" si="13"/>
        <v>0</v>
      </c>
      <c r="AQ47" s="65">
        <f t="shared" si="14"/>
        <v>0</v>
      </c>
      <c r="AR47" s="65">
        <f t="shared" si="15"/>
        <v>0</v>
      </c>
      <c r="AS47" s="65">
        <f t="shared" si="16"/>
        <v>0</v>
      </c>
    </row>
    <row r="48" spans="2:49" x14ac:dyDescent="0.25">
      <c r="B48" s="15">
        <v>46</v>
      </c>
      <c r="C48" s="8"/>
      <c r="F48" s="380"/>
      <c r="G48" s="8"/>
      <c r="H48" s="8"/>
      <c r="I48" s="8"/>
      <c r="J48" s="9"/>
      <c r="K48" s="9">
        <f t="shared" si="0"/>
        <v>0</v>
      </c>
      <c r="L48" s="35">
        <f t="shared" si="1"/>
        <v>0</v>
      </c>
      <c r="M48" s="2"/>
      <c r="O48" s="19"/>
      <c r="P48" s="19"/>
      <c r="Q48" s="19"/>
      <c r="R48" s="21"/>
      <c r="S48" s="46"/>
      <c r="T48" s="44"/>
      <c r="U48" s="77"/>
      <c r="V48" s="24"/>
      <c r="W48" s="24"/>
      <c r="X48" s="193"/>
      <c r="Y48" s="15"/>
      <c r="AA48">
        <v>8</v>
      </c>
      <c r="AB48" s="487"/>
      <c r="AC48" s="90">
        <v>4</v>
      </c>
      <c r="AD48" s="97" t="s">
        <v>99</v>
      </c>
      <c r="AE48" s="39">
        <f t="shared" si="2"/>
        <v>0</v>
      </c>
      <c r="AF48" s="65">
        <f t="shared" si="3"/>
        <v>0</v>
      </c>
      <c r="AG48" s="65">
        <f t="shared" si="4"/>
        <v>0</v>
      </c>
      <c r="AH48" s="65">
        <f t="shared" si="5"/>
        <v>0</v>
      </c>
      <c r="AI48" s="104">
        <f t="shared" si="6"/>
        <v>0</v>
      </c>
      <c r="AJ48" s="115">
        <f t="shared" si="7"/>
        <v>0</v>
      </c>
      <c r="AK48" s="116">
        <f t="shared" si="8"/>
        <v>0</v>
      </c>
      <c r="AL48" s="116">
        <f t="shared" si="9"/>
        <v>0</v>
      </c>
      <c r="AM48" s="116">
        <f t="shared" si="10"/>
        <v>0</v>
      </c>
      <c r="AN48" s="117">
        <f t="shared" si="11"/>
        <v>0</v>
      </c>
      <c r="AO48" s="39">
        <f t="shared" si="12"/>
        <v>0</v>
      </c>
      <c r="AP48" s="65">
        <f t="shared" si="13"/>
        <v>0</v>
      </c>
      <c r="AQ48" s="65">
        <f t="shared" si="14"/>
        <v>0</v>
      </c>
      <c r="AR48" s="65">
        <f t="shared" si="15"/>
        <v>0</v>
      </c>
      <c r="AS48" s="65">
        <f t="shared" si="16"/>
        <v>0</v>
      </c>
    </row>
    <row r="49" spans="2:45" x14ac:dyDescent="0.25">
      <c r="B49" s="15">
        <v>47</v>
      </c>
      <c r="C49" s="8"/>
      <c r="F49" s="380"/>
      <c r="G49" s="8"/>
      <c r="H49" s="8"/>
      <c r="I49" s="8"/>
      <c r="K49" s="9">
        <f t="shared" si="0"/>
        <v>0</v>
      </c>
      <c r="L49" s="35">
        <f t="shared" si="1"/>
        <v>0</v>
      </c>
      <c r="M49" s="2"/>
      <c r="O49" s="19"/>
      <c r="P49" s="19"/>
      <c r="Q49" s="19"/>
      <c r="R49" s="21"/>
      <c r="S49" s="46"/>
      <c r="T49" s="44"/>
      <c r="U49" s="77"/>
      <c r="V49" s="30"/>
      <c r="W49" s="24"/>
      <c r="X49" s="193"/>
      <c r="Y49" s="15"/>
      <c r="AA49">
        <v>8</v>
      </c>
      <c r="AB49" s="487"/>
      <c r="AC49" s="91">
        <v>5</v>
      </c>
      <c r="AD49" s="100"/>
      <c r="AE49" s="39">
        <f t="shared" si="2"/>
        <v>0</v>
      </c>
      <c r="AF49" s="65">
        <f t="shared" si="3"/>
        <v>0</v>
      </c>
      <c r="AG49" s="65">
        <f t="shared" si="4"/>
        <v>0</v>
      </c>
      <c r="AH49" s="65">
        <f t="shared" si="5"/>
        <v>0</v>
      </c>
      <c r="AI49" s="104">
        <f t="shared" si="6"/>
        <v>0</v>
      </c>
      <c r="AJ49" s="115">
        <f t="shared" si="7"/>
        <v>0</v>
      </c>
      <c r="AK49" s="116">
        <f t="shared" si="8"/>
        <v>0</v>
      </c>
      <c r="AL49" s="116">
        <f t="shared" si="9"/>
        <v>0</v>
      </c>
      <c r="AM49" s="116">
        <f t="shared" si="10"/>
        <v>0</v>
      </c>
      <c r="AN49" s="117">
        <f t="shared" si="11"/>
        <v>0</v>
      </c>
      <c r="AO49" s="39">
        <f t="shared" si="12"/>
        <v>0</v>
      </c>
      <c r="AP49" s="65">
        <f t="shared" si="13"/>
        <v>0</v>
      </c>
      <c r="AQ49" s="65">
        <f t="shared" si="14"/>
        <v>0</v>
      </c>
      <c r="AR49" s="65">
        <f t="shared" si="15"/>
        <v>0</v>
      </c>
      <c r="AS49" s="65">
        <f t="shared" si="16"/>
        <v>0</v>
      </c>
    </row>
    <row r="50" spans="2:45" ht="14.25" thickBot="1" x14ac:dyDescent="0.3">
      <c r="B50" s="15">
        <v>48</v>
      </c>
      <c r="C50" s="8"/>
      <c r="F50" s="380"/>
      <c r="G50" s="8"/>
      <c r="H50" s="8"/>
      <c r="I50" s="8"/>
      <c r="J50" s="9"/>
      <c r="K50" s="9">
        <f t="shared" si="0"/>
        <v>0</v>
      </c>
      <c r="L50" s="35">
        <f t="shared" si="1"/>
        <v>0</v>
      </c>
      <c r="M50" s="2"/>
      <c r="O50" s="19"/>
      <c r="P50" s="19"/>
      <c r="Q50" s="19"/>
      <c r="R50" s="21"/>
      <c r="S50" s="46"/>
      <c r="T50" s="44"/>
      <c r="U50" s="77"/>
      <c r="V50" s="30"/>
      <c r="W50" s="24"/>
      <c r="X50" s="193"/>
      <c r="Y50" s="15"/>
      <c r="AA50">
        <v>8</v>
      </c>
      <c r="AB50" s="488"/>
      <c r="AC50" s="92" t="s">
        <v>3</v>
      </c>
      <c r="AD50" s="101"/>
      <c r="AE50" s="94">
        <f t="shared" ref="AE50:AS50" si="28">SUM(AE45:AE49)</f>
        <v>0</v>
      </c>
      <c r="AF50" s="94">
        <f t="shared" si="28"/>
        <v>0</v>
      </c>
      <c r="AG50" s="94">
        <f t="shared" si="28"/>
        <v>0</v>
      </c>
      <c r="AH50" s="94">
        <f t="shared" si="28"/>
        <v>0</v>
      </c>
      <c r="AI50" s="105">
        <f t="shared" si="28"/>
        <v>0</v>
      </c>
      <c r="AJ50" s="118">
        <f t="shared" si="28"/>
        <v>0</v>
      </c>
      <c r="AK50" s="119">
        <f t="shared" si="28"/>
        <v>0</v>
      </c>
      <c r="AL50" s="119">
        <f t="shared" si="28"/>
        <v>0</v>
      </c>
      <c r="AM50" s="119">
        <f t="shared" si="28"/>
        <v>0</v>
      </c>
      <c r="AN50" s="120">
        <f t="shared" si="28"/>
        <v>0</v>
      </c>
      <c r="AO50" s="94">
        <f t="shared" si="28"/>
        <v>0</v>
      </c>
      <c r="AP50" s="94">
        <f t="shared" si="28"/>
        <v>0</v>
      </c>
      <c r="AQ50" s="94">
        <f t="shared" si="28"/>
        <v>0</v>
      </c>
      <c r="AR50" s="94">
        <f t="shared" si="28"/>
        <v>0</v>
      </c>
      <c r="AS50" s="94">
        <f t="shared" si="28"/>
        <v>0</v>
      </c>
    </row>
    <row r="51" spans="2:45" x14ac:dyDescent="0.25">
      <c r="B51" s="15">
        <v>49</v>
      </c>
      <c r="C51" s="8"/>
      <c r="F51" s="380"/>
      <c r="G51" s="8"/>
      <c r="H51" s="8"/>
      <c r="I51" s="8"/>
      <c r="J51" s="9"/>
      <c r="K51" s="9">
        <f t="shared" si="0"/>
        <v>0</v>
      </c>
      <c r="L51" s="35">
        <f t="shared" si="1"/>
        <v>0</v>
      </c>
      <c r="M51" s="2"/>
      <c r="O51" s="19"/>
      <c r="P51" s="19"/>
      <c r="Q51" s="19"/>
      <c r="R51" s="21"/>
      <c r="S51" s="46"/>
      <c r="T51" s="44"/>
      <c r="U51" s="77"/>
      <c r="V51" s="30"/>
      <c r="W51" s="24"/>
      <c r="X51" s="193"/>
      <c r="Y51" s="15"/>
      <c r="AA51">
        <v>9</v>
      </c>
      <c r="AB51" s="486">
        <v>9</v>
      </c>
      <c r="AC51" s="89">
        <v>1</v>
      </c>
      <c r="AD51" s="95" t="s">
        <v>100</v>
      </c>
      <c r="AE51" s="39">
        <f t="shared" si="2"/>
        <v>0</v>
      </c>
      <c r="AF51" s="65">
        <f t="shared" si="3"/>
        <v>0</v>
      </c>
      <c r="AG51" s="65">
        <f t="shared" si="4"/>
        <v>0</v>
      </c>
      <c r="AH51" s="65">
        <f t="shared" si="5"/>
        <v>0</v>
      </c>
      <c r="AI51" s="104">
        <f t="shared" si="6"/>
        <v>0</v>
      </c>
      <c r="AJ51" s="115">
        <f t="shared" si="7"/>
        <v>0</v>
      </c>
      <c r="AK51" s="116">
        <f t="shared" si="8"/>
        <v>0</v>
      </c>
      <c r="AL51" s="116">
        <f t="shared" si="9"/>
        <v>0</v>
      </c>
      <c r="AM51" s="116">
        <f t="shared" si="10"/>
        <v>0</v>
      </c>
      <c r="AN51" s="117">
        <f t="shared" si="11"/>
        <v>0</v>
      </c>
      <c r="AO51" s="39">
        <f t="shared" si="12"/>
        <v>0</v>
      </c>
      <c r="AP51" s="65">
        <f t="shared" si="13"/>
        <v>0</v>
      </c>
      <c r="AQ51" s="65">
        <f t="shared" si="14"/>
        <v>0</v>
      </c>
      <c r="AR51" s="65">
        <f t="shared" si="15"/>
        <v>0</v>
      </c>
      <c r="AS51" s="65">
        <f t="shared" si="16"/>
        <v>0</v>
      </c>
    </row>
    <row r="52" spans="2:45" x14ac:dyDescent="0.25">
      <c r="B52" s="15">
        <v>50</v>
      </c>
      <c r="C52" s="8"/>
      <c r="F52" s="380"/>
      <c r="G52" s="8"/>
      <c r="H52" s="8"/>
      <c r="I52" s="8"/>
      <c r="J52" s="9"/>
      <c r="K52" s="9">
        <f t="shared" si="0"/>
        <v>0</v>
      </c>
      <c r="L52" s="35">
        <f t="shared" si="1"/>
        <v>0</v>
      </c>
      <c r="M52" s="2"/>
      <c r="O52" s="19"/>
      <c r="P52" s="19"/>
      <c r="Q52" s="19"/>
      <c r="R52" s="21"/>
      <c r="S52" s="46"/>
      <c r="T52" s="44"/>
      <c r="U52" s="77"/>
      <c r="V52" s="30"/>
      <c r="W52" s="24"/>
      <c r="X52" s="193"/>
      <c r="Y52" s="15"/>
      <c r="AA52">
        <v>9</v>
      </c>
      <c r="AB52" s="487"/>
      <c r="AC52" s="90">
        <v>2</v>
      </c>
      <c r="AD52" s="97" t="s">
        <v>101</v>
      </c>
      <c r="AE52" s="39">
        <f t="shared" si="2"/>
        <v>0</v>
      </c>
      <c r="AF52" s="65">
        <f t="shared" si="3"/>
        <v>0</v>
      </c>
      <c r="AG52" s="65">
        <f t="shared" si="4"/>
        <v>0</v>
      </c>
      <c r="AH52" s="65">
        <f t="shared" si="5"/>
        <v>0</v>
      </c>
      <c r="AI52" s="104">
        <f t="shared" si="6"/>
        <v>0</v>
      </c>
      <c r="AJ52" s="115">
        <f t="shared" si="7"/>
        <v>0</v>
      </c>
      <c r="AK52" s="116">
        <f t="shared" si="8"/>
        <v>0</v>
      </c>
      <c r="AL52" s="116">
        <f t="shared" si="9"/>
        <v>0</v>
      </c>
      <c r="AM52" s="116">
        <f t="shared" si="10"/>
        <v>0</v>
      </c>
      <c r="AN52" s="117">
        <f t="shared" si="11"/>
        <v>0</v>
      </c>
      <c r="AO52" s="39">
        <f t="shared" si="12"/>
        <v>0</v>
      </c>
      <c r="AP52" s="65">
        <f t="shared" si="13"/>
        <v>0</v>
      </c>
      <c r="AQ52" s="65">
        <f t="shared" si="14"/>
        <v>0</v>
      </c>
      <c r="AR52" s="65">
        <f t="shared" si="15"/>
        <v>0</v>
      </c>
      <c r="AS52" s="65">
        <f t="shared" si="16"/>
        <v>0</v>
      </c>
    </row>
    <row r="53" spans="2:45" x14ac:dyDescent="0.25">
      <c r="B53" s="15">
        <v>51</v>
      </c>
      <c r="C53" s="8"/>
      <c r="F53" s="380"/>
      <c r="G53" s="8"/>
      <c r="H53" s="8"/>
      <c r="I53" s="8"/>
      <c r="J53" s="9"/>
      <c r="K53" s="9">
        <f t="shared" si="0"/>
        <v>0</v>
      </c>
      <c r="L53" s="35">
        <f t="shared" si="1"/>
        <v>0</v>
      </c>
      <c r="M53" s="2"/>
      <c r="O53" s="19"/>
      <c r="P53" s="19"/>
      <c r="Q53" s="19"/>
      <c r="R53" s="21"/>
      <c r="S53" s="46"/>
      <c r="T53" s="44"/>
      <c r="U53" s="77"/>
      <c r="V53" s="30"/>
      <c r="W53" s="24"/>
      <c r="X53" s="193"/>
      <c r="Y53" s="15"/>
      <c r="AA53">
        <v>9</v>
      </c>
      <c r="AB53" s="487"/>
      <c r="AC53" s="90">
        <v>3</v>
      </c>
      <c r="AD53" s="97" t="s">
        <v>102</v>
      </c>
      <c r="AE53" s="39">
        <f t="shared" si="2"/>
        <v>1333.99</v>
      </c>
      <c r="AF53" s="65">
        <f t="shared" si="3"/>
        <v>1333.99</v>
      </c>
      <c r="AG53" s="65">
        <f t="shared" si="4"/>
        <v>0</v>
      </c>
      <c r="AH53" s="65">
        <f t="shared" si="5"/>
        <v>0</v>
      </c>
      <c r="AI53" s="104">
        <f t="shared" si="6"/>
        <v>0</v>
      </c>
      <c r="AJ53" s="115">
        <f t="shared" si="7"/>
        <v>1</v>
      </c>
      <c r="AK53" s="116">
        <f t="shared" si="8"/>
        <v>1</v>
      </c>
      <c r="AL53" s="116">
        <f t="shared" si="9"/>
        <v>0</v>
      </c>
      <c r="AM53" s="116">
        <f t="shared" si="10"/>
        <v>0</v>
      </c>
      <c r="AN53" s="117">
        <f t="shared" si="11"/>
        <v>0</v>
      </c>
      <c r="AO53" s="39">
        <f t="shared" si="12"/>
        <v>14.47</v>
      </c>
      <c r="AP53" s="65">
        <f t="shared" si="13"/>
        <v>14.47</v>
      </c>
      <c r="AQ53" s="65">
        <f t="shared" si="14"/>
        <v>0</v>
      </c>
      <c r="AR53" s="65">
        <f t="shared" si="15"/>
        <v>0</v>
      </c>
      <c r="AS53" s="65">
        <f t="shared" si="16"/>
        <v>0</v>
      </c>
    </row>
    <row r="54" spans="2:45" x14ac:dyDescent="0.25">
      <c r="B54" s="15">
        <v>52</v>
      </c>
      <c r="C54" s="8"/>
      <c r="F54" s="380"/>
      <c r="G54" s="8"/>
      <c r="H54" s="8"/>
      <c r="I54" s="8"/>
      <c r="J54" s="9"/>
      <c r="K54" s="9">
        <f t="shared" si="0"/>
        <v>0</v>
      </c>
      <c r="L54" s="35">
        <f t="shared" si="1"/>
        <v>0</v>
      </c>
      <c r="M54" s="2"/>
      <c r="O54" s="19"/>
      <c r="P54" s="19"/>
      <c r="Q54" s="19"/>
      <c r="R54" s="21"/>
      <c r="S54" s="46"/>
      <c r="T54" s="44"/>
      <c r="U54" s="77"/>
      <c r="V54" s="30"/>
      <c r="W54" s="24"/>
      <c r="X54" s="193"/>
      <c r="Y54" s="15"/>
      <c r="AA54">
        <v>9</v>
      </c>
      <c r="AB54" s="487"/>
      <c r="AC54" s="90">
        <v>4</v>
      </c>
      <c r="AD54" s="97" t="s">
        <v>103</v>
      </c>
      <c r="AE54" s="39">
        <f t="shared" si="2"/>
        <v>0</v>
      </c>
      <c r="AF54" s="65">
        <f t="shared" si="3"/>
        <v>0</v>
      </c>
      <c r="AG54" s="65">
        <f t="shared" si="4"/>
        <v>0</v>
      </c>
      <c r="AH54" s="65">
        <f t="shared" si="5"/>
        <v>0</v>
      </c>
      <c r="AI54" s="104">
        <f t="shared" si="6"/>
        <v>0</v>
      </c>
      <c r="AJ54" s="115">
        <f t="shared" si="7"/>
        <v>0</v>
      </c>
      <c r="AK54" s="116">
        <f t="shared" si="8"/>
        <v>0</v>
      </c>
      <c r="AL54" s="116">
        <f t="shared" si="9"/>
        <v>0</v>
      </c>
      <c r="AM54" s="116">
        <f t="shared" si="10"/>
        <v>0</v>
      </c>
      <c r="AN54" s="117">
        <f t="shared" si="11"/>
        <v>0</v>
      </c>
      <c r="AO54" s="39">
        <f t="shared" si="12"/>
        <v>0</v>
      </c>
      <c r="AP54" s="65">
        <f t="shared" si="13"/>
        <v>0</v>
      </c>
      <c r="AQ54" s="65">
        <f t="shared" si="14"/>
        <v>0</v>
      </c>
      <c r="AR54" s="65">
        <f t="shared" si="15"/>
        <v>0</v>
      </c>
      <c r="AS54" s="65">
        <f t="shared" si="16"/>
        <v>0</v>
      </c>
    </row>
    <row r="55" spans="2:45" x14ac:dyDescent="0.25">
      <c r="B55" s="15">
        <v>53</v>
      </c>
      <c r="C55" s="8"/>
      <c r="F55" s="380"/>
      <c r="G55" s="8"/>
      <c r="H55" s="8"/>
      <c r="I55" s="8"/>
      <c r="J55" s="9"/>
      <c r="K55" s="9">
        <f t="shared" si="0"/>
        <v>0</v>
      </c>
      <c r="L55" s="35">
        <f t="shared" si="1"/>
        <v>0</v>
      </c>
      <c r="M55" s="2"/>
      <c r="O55" s="19"/>
      <c r="P55" s="19"/>
      <c r="Q55" s="19"/>
      <c r="R55" s="21"/>
      <c r="S55" s="46"/>
      <c r="T55" s="44"/>
      <c r="U55" s="77"/>
      <c r="V55" s="24"/>
      <c r="W55" s="24"/>
      <c r="X55" s="193"/>
      <c r="Y55" s="15"/>
      <c r="AA55">
        <v>9</v>
      </c>
      <c r="AB55" s="487"/>
      <c r="AC55" s="91">
        <v>5</v>
      </c>
      <c r="AD55" s="100"/>
      <c r="AE55" s="39">
        <f t="shared" si="2"/>
        <v>0</v>
      </c>
      <c r="AF55" s="65">
        <f t="shared" si="3"/>
        <v>0</v>
      </c>
      <c r="AG55" s="65">
        <f t="shared" si="4"/>
        <v>0</v>
      </c>
      <c r="AH55" s="65">
        <f t="shared" si="5"/>
        <v>0</v>
      </c>
      <c r="AI55" s="104">
        <f t="shared" si="6"/>
        <v>0</v>
      </c>
      <c r="AJ55" s="115">
        <f t="shared" si="7"/>
        <v>0</v>
      </c>
      <c r="AK55" s="116">
        <f t="shared" si="8"/>
        <v>0</v>
      </c>
      <c r="AL55" s="116">
        <f t="shared" si="9"/>
        <v>0</v>
      </c>
      <c r="AM55" s="116">
        <f t="shared" si="10"/>
        <v>0</v>
      </c>
      <c r="AN55" s="117">
        <f t="shared" si="11"/>
        <v>0</v>
      </c>
      <c r="AO55" s="39">
        <f t="shared" si="12"/>
        <v>0</v>
      </c>
      <c r="AP55" s="65">
        <f t="shared" si="13"/>
        <v>0</v>
      </c>
      <c r="AQ55" s="65">
        <f t="shared" si="14"/>
        <v>0</v>
      </c>
      <c r="AR55" s="65">
        <f t="shared" si="15"/>
        <v>0</v>
      </c>
      <c r="AS55" s="65">
        <f t="shared" si="16"/>
        <v>0</v>
      </c>
    </row>
    <row r="56" spans="2:45" ht="14.25" thickBot="1" x14ac:dyDescent="0.3">
      <c r="B56" s="15">
        <v>54</v>
      </c>
      <c r="C56" s="8"/>
      <c r="F56" s="380"/>
      <c r="G56" s="8"/>
      <c r="H56" s="8"/>
      <c r="I56" s="8"/>
      <c r="J56" s="9"/>
      <c r="K56" s="9">
        <f t="shared" si="0"/>
        <v>0</v>
      </c>
      <c r="L56" s="35">
        <f t="shared" si="1"/>
        <v>0</v>
      </c>
      <c r="O56" s="19"/>
      <c r="P56" s="19"/>
      <c r="Q56" s="19"/>
      <c r="R56" s="21"/>
      <c r="S56" s="46"/>
      <c r="T56" s="44"/>
      <c r="U56" s="76"/>
      <c r="V56" s="24"/>
      <c r="W56" s="24"/>
      <c r="X56" s="193"/>
      <c r="Y56" s="15"/>
      <c r="AA56">
        <v>9</v>
      </c>
      <c r="AB56" s="488"/>
      <c r="AC56" s="92" t="s">
        <v>3</v>
      </c>
      <c r="AD56" s="101"/>
      <c r="AE56" s="94">
        <f t="shared" ref="AE56:AS56" si="29">SUM(AE51:AE55)</f>
        <v>1333.99</v>
      </c>
      <c r="AF56" s="94">
        <f t="shared" si="29"/>
        <v>1333.99</v>
      </c>
      <c r="AG56" s="94">
        <f t="shared" si="29"/>
        <v>0</v>
      </c>
      <c r="AH56" s="94">
        <f t="shared" si="29"/>
        <v>0</v>
      </c>
      <c r="AI56" s="105">
        <f t="shared" si="29"/>
        <v>0</v>
      </c>
      <c r="AJ56" s="118">
        <f t="shared" si="29"/>
        <v>1</v>
      </c>
      <c r="AK56" s="119">
        <f t="shared" si="29"/>
        <v>1</v>
      </c>
      <c r="AL56" s="119">
        <f t="shared" si="29"/>
        <v>0</v>
      </c>
      <c r="AM56" s="119">
        <f t="shared" si="29"/>
        <v>0</v>
      </c>
      <c r="AN56" s="120">
        <f t="shared" si="29"/>
        <v>0</v>
      </c>
      <c r="AO56" s="94">
        <f t="shared" si="29"/>
        <v>14.47</v>
      </c>
      <c r="AP56" s="94">
        <f t="shared" si="29"/>
        <v>14.47</v>
      </c>
      <c r="AQ56" s="94">
        <f t="shared" si="29"/>
        <v>0</v>
      </c>
      <c r="AR56" s="94">
        <f t="shared" si="29"/>
        <v>0</v>
      </c>
      <c r="AS56" s="94">
        <f t="shared" si="29"/>
        <v>0</v>
      </c>
    </row>
    <row r="57" spans="2:45" x14ac:dyDescent="0.25">
      <c r="B57" s="15">
        <v>55</v>
      </c>
      <c r="C57" s="8"/>
      <c r="F57" s="380"/>
      <c r="G57" s="8"/>
      <c r="H57" s="8"/>
      <c r="I57" s="8"/>
      <c r="J57" s="9"/>
      <c r="K57" s="9">
        <f t="shared" si="0"/>
        <v>0</v>
      </c>
      <c r="L57" s="35">
        <f t="shared" si="1"/>
        <v>0</v>
      </c>
      <c r="M57" s="2"/>
      <c r="O57" s="19"/>
      <c r="P57" s="19"/>
      <c r="Q57" s="19"/>
      <c r="R57" s="21"/>
      <c r="S57" s="46"/>
      <c r="T57" s="44"/>
      <c r="U57" s="77"/>
      <c r="V57" s="30"/>
      <c r="W57" s="24"/>
      <c r="X57" s="193"/>
      <c r="Y57" s="15"/>
      <c r="AA57">
        <v>10</v>
      </c>
      <c r="AB57" s="486">
        <v>10</v>
      </c>
      <c r="AC57" s="89">
        <v>1</v>
      </c>
      <c r="AD57" s="95" t="s">
        <v>104</v>
      </c>
      <c r="AE57" s="39">
        <f t="shared" si="2"/>
        <v>0</v>
      </c>
      <c r="AF57" s="65">
        <f t="shared" si="3"/>
        <v>0</v>
      </c>
      <c r="AG57" s="65">
        <f t="shared" si="4"/>
        <v>0</v>
      </c>
      <c r="AH57" s="65">
        <f t="shared" si="5"/>
        <v>0</v>
      </c>
      <c r="AI57" s="104">
        <f t="shared" si="6"/>
        <v>0</v>
      </c>
      <c r="AJ57" s="115">
        <f t="shared" si="7"/>
        <v>0</v>
      </c>
      <c r="AK57" s="116">
        <f t="shared" si="8"/>
        <v>0</v>
      </c>
      <c r="AL57" s="116">
        <f t="shared" si="9"/>
        <v>0</v>
      </c>
      <c r="AM57" s="116">
        <f t="shared" si="10"/>
        <v>0</v>
      </c>
      <c r="AN57" s="117">
        <f t="shared" si="11"/>
        <v>0</v>
      </c>
      <c r="AO57" s="39">
        <f t="shared" si="12"/>
        <v>0</v>
      </c>
      <c r="AP57" s="65">
        <f t="shared" si="13"/>
        <v>0</v>
      </c>
      <c r="AQ57" s="65">
        <f t="shared" si="14"/>
        <v>0</v>
      </c>
      <c r="AR57" s="65">
        <f t="shared" si="15"/>
        <v>0</v>
      </c>
      <c r="AS57" s="65">
        <f t="shared" si="16"/>
        <v>0</v>
      </c>
    </row>
    <row r="58" spans="2:45" x14ac:dyDescent="0.25">
      <c r="B58" s="15">
        <v>56</v>
      </c>
      <c r="C58" s="8"/>
      <c r="F58" s="380"/>
      <c r="G58" s="8"/>
      <c r="H58" s="8"/>
      <c r="I58" s="8"/>
      <c r="J58" s="9"/>
      <c r="K58" s="9">
        <f t="shared" si="0"/>
        <v>0</v>
      </c>
      <c r="L58" s="35">
        <f t="shared" si="1"/>
        <v>0</v>
      </c>
      <c r="M58" s="2"/>
      <c r="O58" s="19"/>
      <c r="P58" s="19"/>
      <c r="Q58" s="19"/>
      <c r="R58" s="21"/>
      <c r="S58" s="46"/>
      <c r="T58" s="44"/>
      <c r="U58" s="77"/>
      <c r="V58" s="30"/>
      <c r="W58" s="24"/>
      <c r="X58" s="193"/>
      <c r="Y58" s="15"/>
      <c r="AA58">
        <v>10</v>
      </c>
      <c r="AB58" s="487"/>
      <c r="AC58" s="90">
        <v>2</v>
      </c>
      <c r="AD58" s="96" t="s">
        <v>54</v>
      </c>
      <c r="AE58" s="39">
        <f t="shared" si="2"/>
        <v>0</v>
      </c>
      <c r="AF58" s="65">
        <f t="shared" si="3"/>
        <v>0</v>
      </c>
      <c r="AG58" s="65">
        <f t="shared" si="4"/>
        <v>0</v>
      </c>
      <c r="AH58" s="65">
        <f t="shared" si="5"/>
        <v>0</v>
      </c>
      <c r="AI58" s="104">
        <f t="shared" si="6"/>
        <v>0</v>
      </c>
      <c r="AJ58" s="115">
        <f t="shared" si="7"/>
        <v>0</v>
      </c>
      <c r="AK58" s="116">
        <f t="shared" si="8"/>
        <v>0</v>
      </c>
      <c r="AL58" s="116">
        <f t="shared" si="9"/>
        <v>0</v>
      </c>
      <c r="AM58" s="116">
        <f t="shared" si="10"/>
        <v>0</v>
      </c>
      <c r="AN58" s="117">
        <f t="shared" si="11"/>
        <v>0</v>
      </c>
      <c r="AO58" s="39">
        <f t="shared" si="12"/>
        <v>0</v>
      </c>
      <c r="AP58" s="65">
        <f t="shared" si="13"/>
        <v>0</v>
      </c>
      <c r="AQ58" s="65">
        <f t="shared" si="14"/>
        <v>0</v>
      </c>
      <c r="AR58" s="65">
        <f t="shared" si="15"/>
        <v>0</v>
      </c>
      <c r="AS58" s="65">
        <f t="shared" si="16"/>
        <v>0</v>
      </c>
    </row>
    <row r="59" spans="2:45" x14ac:dyDescent="0.25">
      <c r="B59" s="15">
        <v>57</v>
      </c>
      <c r="C59" s="8"/>
      <c r="F59" s="380"/>
      <c r="G59" s="8"/>
      <c r="H59" s="8"/>
      <c r="I59" s="8"/>
      <c r="J59" s="9"/>
      <c r="K59" s="9">
        <f t="shared" si="0"/>
        <v>0</v>
      </c>
      <c r="L59" s="35">
        <f t="shared" si="1"/>
        <v>0</v>
      </c>
      <c r="M59" s="2"/>
      <c r="O59" s="19"/>
      <c r="P59" s="19"/>
      <c r="Q59" s="19"/>
      <c r="R59" s="21"/>
      <c r="S59" s="46"/>
      <c r="T59" s="44"/>
      <c r="U59" s="77"/>
      <c r="V59" s="30"/>
      <c r="W59" s="24"/>
      <c r="X59" s="193"/>
      <c r="Y59" s="15"/>
      <c r="AA59">
        <v>10</v>
      </c>
      <c r="AB59" s="487"/>
      <c r="AC59" s="90">
        <v>3</v>
      </c>
      <c r="AD59" s="97" t="s">
        <v>55</v>
      </c>
      <c r="AE59" s="39">
        <f t="shared" si="2"/>
        <v>0</v>
      </c>
      <c r="AF59" s="65">
        <f t="shared" si="3"/>
        <v>0</v>
      </c>
      <c r="AG59" s="65">
        <f t="shared" si="4"/>
        <v>0</v>
      </c>
      <c r="AH59" s="65">
        <f t="shared" si="5"/>
        <v>0</v>
      </c>
      <c r="AI59" s="104">
        <f t="shared" si="6"/>
        <v>0</v>
      </c>
      <c r="AJ59" s="115">
        <f t="shared" si="7"/>
        <v>0</v>
      </c>
      <c r="AK59" s="116">
        <f t="shared" si="8"/>
        <v>0</v>
      </c>
      <c r="AL59" s="116">
        <f t="shared" si="9"/>
        <v>0</v>
      </c>
      <c r="AM59" s="116">
        <f t="shared" si="10"/>
        <v>0</v>
      </c>
      <c r="AN59" s="117">
        <f t="shared" si="11"/>
        <v>0</v>
      </c>
      <c r="AO59" s="39">
        <f t="shared" si="12"/>
        <v>0</v>
      </c>
      <c r="AP59" s="65">
        <f t="shared" si="13"/>
        <v>0</v>
      </c>
      <c r="AQ59" s="65">
        <f t="shared" si="14"/>
        <v>0</v>
      </c>
      <c r="AR59" s="65">
        <f t="shared" si="15"/>
        <v>0</v>
      </c>
      <c r="AS59" s="65">
        <f t="shared" si="16"/>
        <v>0</v>
      </c>
    </row>
    <row r="60" spans="2:45" x14ac:dyDescent="0.25">
      <c r="B60" s="15">
        <v>58</v>
      </c>
      <c r="C60" s="8"/>
      <c r="F60" s="380"/>
      <c r="G60" s="8"/>
      <c r="H60" s="8"/>
      <c r="I60" s="8"/>
      <c r="J60" s="9"/>
      <c r="K60" s="9">
        <f t="shared" si="0"/>
        <v>0</v>
      </c>
      <c r="L60" s="35">
        <f t="shared" si="1"/>
        <v>0</v>
      </c>
      <c r="M60" s="2"/>
      <c r="O60" s="19"/>
      <c r="P60" s="19"/>
      <c r="Q60" s="19"/>
      <c r="R60" s="21"/>
      <c r="S60" s="46"/>
      <c r="T60" s="44"/>
      <c r="U60" s="77"/>
      <c r="V60" s="30"/>
      <c r="W60" s="24"/>
      <c r="X60" s="193"/>
      <c r="Y60" s="15"/>
      <c r="AA60">
        <v>10</v>
      </c>
      <c r="AB60" s="487"/>
      <c r="AC60" s="90">
        <v>4</v>
      </c>
      <c r="AD60" s="97" t="s">
        <v>56</v>
      </c>
      <c r="AE60" s="39">
        <f t="shared" si="2"/>
        <v>0</v>
      </c>
      <c r="AF60" s="65">
        <f t="shared" si="3"/>
        <v>0</v>
      </c>
      <c r="AG60" s="65">
        <f t="shared" si="4"/>
        <v>0</v>
      </c>
      <c r="AH60" s="65">
        <f t="shared" si="5"/>
        <v>0</v>
      </c>
      <c r="AI60" s="104">
        <f t="shared" si="6"/>
        <v>0</v>
      </c>
      <c r="AJ60" s="115">
        <f t="shared" si="7"/>
        <v>0</v>
      </c>
      <c r="AK60" s="116">
        <f t="shared" si="8"/>
        <v>0</v>
      </c>
      <c r="AL60" s="116">
        <f t="shared" si="9"/>
        <v>0</v>
      </c>
      <c r="AM60" s="116">
        <f t="shared" si="10"/>
        <v>0</v>
      </c>
      <c r="AN60" s="117">
        <f t="shared" si="11"/>
        <v>0</v>
      </c>
      <c r="AO60" s="39">
        <f t="shared" si="12"/>
        <v>0</v>
      </c>
      <c r="AP60" s="65">
        <f t="shared" si="13"/>
        <v>0</v>
      </c>
      <c r="AQ60" s="65">
        <f t="shared" si="14"/>
        <v>0</v>
      </c>
      <c r="AR60" s="65">
        <f t="shared" si="15"/>
        <v>0</v>
      </c>
      <c r="AS60" s="65">
        <f t="shared" si="16"/>
        <v>0</v>
      </c>
    </row>
    <row r="61" spans="2:45" x14ac:dyDescent="0.25">
      <c r="B61" s="15">
        <v>59</v>
      </c>
      <c r="C61" s="8"/>
      <c r="F61" s="380"/>
      <c r="G61" s="8"/>
      <c r="H61" s="8"/>
      <c r="I61" s="8"/>
      <c r="J61" s="9"/>
      <c r="K61" s="9">
        <f t="shared" si="0"/>
        <v>0</v>
      </c>
      <c r="L61" s="35">
        <f t="shared" si="1"/>
        <v>0</v>
      </c>
      <c r="M61" s="2"/>
      <c r="O61" s="19"/>
      <c r="P61" s="19"/>
      <c r="Q61" s="19"/>
      <c r="R61" s="21"/>
      <c r="S61" s="46"/>
      <c r="T61" s="44"/>
      <c r="U61" s="77"/>
      <c r="V61" s="30"/>
      <c r="W61" s="24"/>
      <c r="X61" s="193"/>
      <c r="Y61" s="15"/>
      <c r="AA61">
        <v>10</v>
      </c>
      <c r="AB61" s="487"/>
      <c r="AC61" s="91">
        <v>5</v>
      </c>
      <c r="AD61" s="51" t="s">
        <v>57</v>
      </c>
      <c r="AE61" s="39">
        <f t="shared" si="2"/>
        <v>0</v>
      </c>
      <c r="AF61" s="65">
        <f t="shared" si="3"/>
        <v>0</v>
      </c>
      <c r="AG61" s="65">
        <f t="shared" si="4"/>
        <v>0</v>
      </c>
      <c r="AH61" s="65">
        <f t="shared" si="5"/>
        <v>0</v>
      </c>
      <c r="AI61" s="104">
        <f t="shared" si="6"/>
        <v>0</v>
      </c>
      <c r="AJ61" s="115">
        <f t="shared" si="7"/>
        <v>0</v>
      </c>
      <c r="AK61" s="116">
        <f t="shared" si="8"/>
        <v>0</v>
      </c>
      <c r="AL61" s="116">
        <f t="shared" si="9"/>
        <v>0</v>
      </c>
      <c r="AM61" s="116">
        <f t="shared" si="10"/>
        <v>0</v>
      </c>
      <c r="AN61" s="117">
        <f t="shared" si="11"/>
        <v>0</v>
      </c>
      <c r="AO61" s="39">
        <f t="shared" si="12"/>
        <v>0</v>
      </c>
      <c r="AP61" s="65">
        <f t="shared" si="13"/>
        <v>0</v>
      </c>
      <c r="AQ61" s="65">
        <f t="shared" si="14"/>
        <v>0</v>
      </c>
      <c r="AR61" s="65">
        <f t="shared" si="15"/>
        <v>0</v>
      </c>
      <c r="AS61" s="65">
        <f t="shared" si="16"/>
        <v>0</v>
      </c>
    </row>
    <row r="62" spans="2:45" ht="14.25" thickBot="1" x14ac:dyDescent="0.3">
      <c r="B62" s="15">
        <v>60</v>
      </c>
      <c r="C62" s="8"/>
      <c r="F62" s="380"/>
      <c r="G62" s="8"/>
      <c r="H62" s="8"/>
      <c r="I62" s="8"/>
      <c r="J62" s="9"/>
      <c r="K62" s="9">
        <f t="shared" si="0"/>
        <v>0</v>
      </c>
      <c r="L62" s="35">
        <f t="shared" si="1"/>
        <v>0</v>
      </c>
      <c r="M62" s="2"/>
      <c r="O62" s="19"/>
      <c r="P62" s="19"/>
      <c r="Q62" s="19"/>
      <c r="R62" s="21"/>
      <c r="S62" s="46"/>
      <c r="T62" s="44"/>
      <c r="U62" s="77"/>
      <c r="V62" s="30"/>
      <c r="W62" s="24"/>
      <c r="X62" s="193"/>
      <c r="Y62" s="15"/>
      <c r="AA62">
        <v>10</v>
      </c>
      <c r="AB62" s="488"/>
      <c r="AC62" s="92" t="s">
        <v>3</v>
      </c>
      <c r="AD62" s="101"/>
      <c r="AE62" s="94">
        <f t="shared" ref="AE62:AS62" si="30">SUM(AE57:AE61)</f>
        <v>0</v>
      </c>
      <c r="AF62" s="94">
        <f t="shared" si="30"/>
        <v>0</v>
      </c>
      <c r="AG62" s="94">
        <f t="shared" si="30"/>
        <v>0</v>
      </c>
      <c r="AH62" s="94">
        <f t="shared" si="30"/>
        <v>0</v>
      </c>
      <c r="AI62" s="105">
        <f t="shared" si="30"/>
        <v>0</v>
      </c>
      <c r="AJ62" s="118">
        <f t="shared" si="30"/>
        <v>0</v>
      </c>
      <c r="AK62" s="119">
        <f t="shared" si="30"/>
        <v>0</v>
      </c>
      <c r="AL62" s="119">
        <f t="shared" si="30"/>
        <v>0</v>
      </c>
      <c r="AM62" s="119">
        <f t="shared" si="30"/>
        <v>0</v>
      </c>
      <c r="AN62" s="120">
        <f t="shared" si="30"/>
        <v>0</v>
      </c>
      <c r="AO62" s="94">
        <f t="shared" si="30"/>
        <v>0</v>
      </c>
      <c r="AP62" s="94">
        <f t="shared" si="30"/>
        <v>0</v>
      </c>
      <c r="AQ62" s="94">
        <f t="shared" si="30"/>
        <v>0</v>
      </c>
      <c r="AR62" s="94">
        <f t="shared" si="30"/>
        <v>0</v>
      </c>
      <c r="AS62" s="94">
        <f t="shared" si="30"/>
        <v>0</v>
      </c>
    </row>
    <row r="63" spans="2:45" x14ac:dyDescent="0.25">
      <c r="B63" s="15">
        <v>61</v>
      </c>
      <c r="C63" s="8"/>
      <c r="F63" s="380"/>
      <c r="G63" s="8"/>
      <c r="H63" s="8"/>
      <c r="I63" s="8"/>
      <c r="J63" s="9"/>
      <c r="K63" s="9">
        <f t="shared" si="0"/>
        <v>0</v>
      </c>
      <c r="L63" s="35">
        <f t="shared" si="1"/>
        <v>0</v>
      </c>
      <c r="M63" s="2"/>
      <c r="O63" s="19"/>
      <c r="P63" s="19"/>
      <c r="Q63" s="19"/>
      <c r="R63" s="21"/>
      <c r="S63" s="46"/>
      <c r="T63" s="44"/>
      <c r="U63" s="77"/>
      <c r="V63" s="30"/>
      <c r="W63" s="24"/>
      <c r="X63" s="193"/>
      <c r="Y63" s="15"/>
      <c r="AA63">
        <v>11</v>
      </c>
      <c r="AB63" s="486">
        <v>11</v>
      </c>
      <c r="AC63" s="89">
        <v>1</v>
      </c>
      <c r="AD63" s="95" t="s">
        <v>105</v>
      </c>
      <c r="AE63" s="39">
        <f t="shared" si="2"/>
        <v>0</v>
      </c>
      <c r="AF63" s="65">
        <f t="shared" si="3"/>
        <v>0</v>
      </c>
      <c r="AG63" s="65">
        <f t="shared" si="4"/>
        <v>0</v>
      </c>
      <c r="AH63" s="65">
        <f t="shared" si="5"/>
        <v>0</v>
      </c>
      <c r="AI63" s="104">
        <f t="shared" si="6"/>
        <v>0</v>
      </c>
      <c r="AJ63" s="115">
        <f t="shared" si="7"/>
        <v>0</v>
      </c>
      <c r="AK63" s="116">
        <f t="shared" si="8"/>
        <v>0</v>
      </c>
      <c r="AL63" s="116">
        <f t="shared" si="9"/>
        <v>0</v>
      </c>
      <c r="AM63" s="116">
        <f t="shared" si="10"/>
        <v>0</v>
      </c>
      <c r="AN63" s="117">
        <f t="shared" si="11"/>
        <v>0</v>
      </c>
      <c r="AO63" s="39">
        <f t="shared" si="12"/>
        <v>0</v>
      </c>
      <c r="AP63" s="65">
        <f t="shared" si="13"/>
        <v>0</v>
      </c>
      <c r="AQ63" s="65">
        <f t="shared" si="14"/>
        <v>0</v>
      </c>
      <c r="AR63" s="65">
        <f t="shared" si="15"/>
        <v>0</v>
      </c>
      <c r="AS63" s="65">
        <f t="shared" si="16"/>
        <v>0</v>
      </c>
    </row>
    <row r="64" spans="2:45" x14ac:dyDescent="0.25">
      <c r="B64" s="15">
        <v>62</v>
      </c>
      <c r="C64" s="8"/>
      <c r="F64" s="380"/>
      <c r="G64" s="8"/>
      <c r="H64" s="8"/>
      <c r="I64" s="8"/>
      <c r="J64" s="9"/>
      <c r="K64" s="9">
        <f t="shared" si="0"/>
        <v>0</v>
      </c>
      <c r="L64" s="35">
        <f t="shared" si="1"/>
        <v>0</v>
      </c>
      <c r="M64" s="2"/>
      <c r="O64" s="19"/>
      <c r="P64" s="19"/>
      <c r="Q64" s="19"/>
      <c r="R64" s="21"/>
      <c r="S64" s="46"/>
      <c r="T64" s="44"/>
      <c r="U64" s="77"/>
      <c r="V64" s="30"/>
      <c r="W64" s="24"/>
      <c r="X64" s="193"/>
      <c r="Y64" s="15"/>
      <c r="AA64">
        <v>11</v>
      </c>
      <c r="AB64" s="487"/>
      <c r="AC64" s="90">
        <v>2</v>
      </c>
      <c r="AD64" s="97" t="s">
        <v>58</v>
      </c>
      <c r="AE64" s="39">
        <f t="shared" si="2"/>
        <v>0</v>
      </c>
      <c r="AF64" s="65">
        <f t="shared" si="3"/>
        <v>0</v>
      </c>
      <c r="AG64" s="65">
        <f t="shared" si="4"/>
        <v>0</v>
      </c>
      <c r="AH64" s="65">
        <f t="shared" si="5"/>
        <v>0</v>
      </c>
      <c r="AI64" s="104">
        <f t="shared" si="6"/>
        <v>0</v>
      </c>
      <c r="AJ64" s="115">
        <f t="shared" si="7"/>
        <v>0</v>
      </c>
      <c r="AK64" s="116">
        <f t="shared" si="8"/>
        <v>0</v>
      </c>
      <c r="AL64" s="116">
        <f t="shared" si="9"/>
        <v>0</v>
      </c>
      <c r="AM64" s="116">
        <f t="shared" si="10"/>
        <v>0</v>
      </c>
      <c r="AN64" s="117">
        <f t="shared" si="11"/>
        <v>0</v>
      </c>
      <c r="AO64" s="39">
        <f t="shared" si="12"/>
        <v>0</v>
      </c>
      <c r="AP64" s="65">
        <f t="shared" si="13"/>
        <v>0</v>
      </c>
      <c r="AQ64" s="65">
        <f t="shared" si="14"/>
        <v>0</v>
      </c>
      <c r="AR64" s="65">
        <f t="shared" si="15"/>
        <v>0</v>
      </c>
      <c r="AS64" s="65">
        <f t="shared" si="16"/>
        <v>0</v>
      </c>
    </row>
    <row r="65" spans="2:45" x14ac:dyDescent="0.25">
      <c r="B65" s="15">
        <v>63</v>
      </c>
      <c r="C65" s="8"/>
      <c r="F65" s="380"/>
      <c r="G65" s="8"/>
      <c r="H65" s="8"/>
      <c r="I65" s="8"/>
      <c r="J65" s="9"/>
      <c r="K65" s="9">
        <f t="shared" si="0"/>
        <v>0</v>
      </c>
      <c r="L65" s="35">
        <f t="shared" si="1"/>
        <v>0</v>
      </c>
      <c r="M65" s="2"/>
      <c r="O65" s="19"/>
      <c r="P65" s="19"/>
      <c r="Q65" s="19"/>
      <c r="R65" s="21"/>
      <c r="S65" s="46"/>
      <c r="T65" s="44"/>
      <c r="U65" s="77"/>
      <c r="V65" s="30"/>
      <c r="W65" s="24"/>
      <c r="X65" s="193"/>
      <c r="Y65" s="15"/>
      <c r="AA65">
        <v>11</v>
      </c>
      <c r="AB65" s="487"/>
      <c r="AC65" s="90">
        <v>3</v>
      </c>
      <c r="AD65" s="97" t="s">
        <v>59</v>
      </c>
      <c r="AE65" s="39">
        <f t="shared" si="2"/>
        <v>0</v>
      </c>
      <c r="AF65" s="65">
        <f t="shared" si="3"/>
        <v>0</v>
      </c>
      <c r="AG65" s="65">
        <f t="shared" si="4"/>
        <v>0</v>
      </c>
      <c r="AH65" s="65">
        <f t="shared" si="5"/>
        <v>0</v>
      </c>
      <c r="AI65" s="104">
        <f t="shared" si="6"/>
        <v>0</v>
      </c>
      <c r="AJ65" s="115">
        <f t="shared" si="7"/>
        <v>0</v>
      </c>
      <c r="AK65" s="116">
        <f t="shared" si="8"/>
        <v>0</v>
      </c>
      <c r="AL65" s="116">
        <f t="shared" si="9"/>
        <v>0</v>
      </c>
      <c r="AM65" s="116">
        <f t="shared" si="10"/>
        <v>0</v>
      </c>
      <c r="AN65" s="117">
        <f t="shared" si="11"/>
        <v>0</v>
      </c>
      <c r="AO65" s="39">
        <f t="shared" si="12"/>
        <v>0</v>
      </c>
      <c r="AP65" s="65">
        <f t="shared" si="13"/>
        <v>0</v>
      </c>
      <c r="AQ65" s="65">
        <f t="shared" si="14"/>
        <v>0</v>
      </c>
      <c r="AR65" s="65">
        <f t="shared" si="15"/>
        <v>0</v>
      </c>
      <c r="AS65" s="65">
        <f t="shared" si="16"/>
        <v>0</v>
      </c>
    </row>
    <row r="66" spans="2:45" x14ac:dyDescent="0.25">
      <c r="B66" s="15">
        <v>64</v>
      </c>
      <c r="C66" s="8"/>
      <c r="F66" s="380"/>
      <c r="G66" s="8"/>
      <c r="H66" s="8"/>
      <c r="I66" s="8"/>
      <c r="J66" s="9"/>
      <c r="K66" s="9">
        <f t="shared" si="0"/>
        <v>0</v>
      </c>
      <c r="L66" s="35">
        <f t="shared" si="1"/>
        <v>0</v>
      </c>
      <c r="M66" s="2"/>
      <c r="O66" s="19"/>
      <c r="P66" s="19"/>
      <c r="Q66" s="19"/>
      <c r="R66" s="21"/>
      <c r="S66" s="46"/>
      <c r="T66" s="44"/>
      <c r="U66" s="77"/>
      <c r="V66" s="30"/>
      <c r="W66" s="24"/>
      <c r="X66" s="193"/>
      <c r="Y66" s="15"/>
      <c r="AA66">
        <v>11</v>
      </c>
      <c r="AB66" s="487"/>
      <c r="AC66" s="90">
        <v>4</v>
      </c>
      <c r="AD66" s="97" t="s">
        <v>60</v>
      </c>
      <c r="AE66" s="39">
        <f t="shared" si="2"/>
        <v>0</v>
      </c>
      <c r="AF66" s="65">
        <f t="shared" si="3"/>
        <v>0</v>
      </c>
      <c r="AG66" s="65">
        <f t="shared" si="4"/>
        <v>0</v>
      </c>
      <c r="AH66" s="65">
        <f t="shared" si="5"/>
        <v>0</v>
      </c>
      <c r="AI66" s="104">
        <f t="shared" si="6"/>
        <v>0</v>
      </c>
      <c r="AJ66" s="115">
        <f t="shared" si="7"/>
        <v>0</v>
      </c>
      <c r="AK66" s="116">
        <f t="shared" si="8"/>
        <v>0</v>
      </c>
      <c r="AL66" s="116">
        <f t="shared" si="9"/>
        <v>0</v>
      </c>
      <c r="AM66" s="116">
        <f t="shared" si="10"/>
        <v>0</v>
      </c>
      <c r="AN66" s="117">
        <f t="shared" si="11"/>
        <v>0</v>
      </c>
      <c r="AO66" s="39">
        <f t="shared" si="12"/>
        <v>0</v>
      </c>
      <c r="AP66" s="65">
        <f t="shared" si="13"/>
        <v>0</v>
      </c>
      <c r="AQ66" s="65">
        <f t="shared" si="14"/>
        <v>0</v>
      </c>
      <c r="AR66" s="65">
        <f t="shared" si="15"/>
        <v>0</v>
      </c>
      <c r="AS66" s="65">
        <f t="shared" si="16"/>
        <v>0</v>
      </c>
    </row>
    <row r="67" spans="2:45" x14ac:dyDescent="0.25">
      <c r="B67" s="15">
        <v>65</v>
      </c>
      <c r="C67" s="8"/>
      <c r="F67" s="380"/>
      <c r="G67" s="8"/>
      <c r="H67" s="8"/>
      <c r="I67" s="8"/>
      <c r="J67" s="9"/>
      <c r="K67" s="9">
        <f t="shared" ref="K67:K130" si="31">J67*1.1</f>
        <v>0</v>
      </c>
      <c r="L67" s="35">
        <f t="shared" ref="L67:L130" si="32">J67*0.00000001</f>
        <v>0</v>
      </c>
      <c r="M67" s="2"/>
      <c r="O67" s="19"/>
      <c r="P67" s="19"/>
      <c r="Q67" s="19"/>
      <c r="R67" s="21"/>
      <c r="S67" s="46"/>
      <c r="T67" s="44"/>
      <c r="U67" s="77"/>
      <c r="V67" s="30"/>
      <c r="W67" s="24"/>
      <c r="X67" s="193"/>
      <c r="Y67" s="15"/>
      <c r="AA67">
        <v>11</v>
      </c>
      <c r="AB67" s="487"/>
      <c r="AC67" s="91">
        <v>5</v>
      </c>
      <c r="AD67" s="100"/>
      <c r="AE67" s="39">
        <f t="shared" si="2"/>
        <v>0</v>
      </c>
      <c r="AF67" s="65">
        <f t="shared" si="3"/>
        <v>0</v>
      </c>
      <c r="AG67" s="65">
        <f t="shared" si="4"/>
        <v>0</v>
      </c>
      <c r="AH67" s="65">
        <f t="shared" si="5"/>
        <v>0</v>
      </c>
      <c r="AI67" s="104">
        <f t="shared" si="6"/>
        <v>0</v>
      </c>
      <c r="AJ67" s="115">
        <f t="shared" si="7"/>
        <v>0</v>
      </c>
      <c r="AK67" s="116">
        <f t="shared" si="8"/>
        <v>0</v>
      </c>
      <c r="AL67" s="116">
        <f t="shared" si="9"/>
        <v>0</v>
      </c>
      <c r="AM67" s="116">
        <f t="shared" si="10"/>
        <v>0</v>
      </c>
      <c r="AN67" s="117">
        <f t="shared" si="11"/>
        <v>0</v>
      </c>
      <c r="AO67" s="39">
        <f t="shared" si="12"/>
        <v>0</v>
      </c>
      <c r="AP67" s="65">
        <f t="shared" si="13"/>
        <v>0</v>
      </c>
      <c r="AQ67" s="65">
        <f t="shared" si="14"/>
        <v>0</v>
      </c>
      <c r="AR67" s="65">
        <f t="shared" si="15"/>
        <v>0</v>
      </c>
      <c r="AS67" s="65">
        <f t="shared" si="16"/>
        <v>0</v>
      </c>
    </row>
    <row r="68" spans="2:45" ht="14.25" thickBot="1" x14ac:dyDescent="0.3">
      <c r="B68" s="15">
        <v>66</v>
      </c>
      <c r="C68" s="8"/>
      <c r="F68" s="380"/>
      <c r="G68" s="8"/>
      <c r="H68" s="8"/>
      <c r="I68" s="8"/>
      <c r="J68" s="9"/>
      <c r="K68" s="9">
        <f t="shared" si="31"/>
        <v>0</v>
      </c>
      <c r="L68" s="35">
        <f t="shared" si="32"/>
        <v>0</v>
      </c>
      <c r="M68" s="2"/>
      <c r="O68" s="19"/>
      <c r="P68" s="19"/>
      <c r="Q68" s="19"/>
      <c r="R68" s="21"/>
      <c r="S68" s="46"/>
      <c r="T68" s="44"/>
      <c r="U68" s="77"/>
      <c r="V68" s="30"/>
      <c r="W68" s="24"/>
      <c r="X68" s="193"/>
      <c r="Y68" s="15"/>
      <c r="AA68">
        <v>11</v>
      </c>
      <c r="AB68" s="488"/>
      <c r="AC68" s="92" t="s">
        <v>3</v>
      </c>
      <c r="AD68" s="101"/>
      <c r="AE68" s="94">
        <f t="shared" ref="AE68:AS68" si="33">SUM(AE63:AE67)</f>
        <v>0</v>
      </c>
      <c r="AF68" s="94">
        <f t="shared" si="33"/>
        <v>0</v>
      </c>
      <c r="AG68" s="94">
        <f t="shared" si="33"/>
        <v>0</v>
      </c>
      <c r="AH68" s="94">
        <f t="shared" si="33"/>
        <v>0</v>
      </c>
      <c r="AI68" s="105">
        <f t="shared" si="33"/>
        <v>0</v>
      </c>
      <c r="AJ68" s="118">
        <f t="shared" si="33"/>
        <v>0</v>
      </c>
      <c r="AK68" s="119">
        <f t="shared" si="33"/>
        <v>0</v>
      </c>
      <c r="AL68" s="119">
        <f t="shared" si="33"/>
        <v>0</v>
      </c>
      <c r="AM68" s="119">
        <f t="shared" si="33"/>
        <v>0</v>
      </c>
      <c r="AN68" s="120">
        <f t="shared" si="33"/>
        <v>0</v>
      </c>
      <c r="AO68" s="94">
        <f t="shared" si="33"/>
        <v>0</v>
      </c>
      <c r="AP68" s="94">
        <f t="shared" si="33"/>
        <v>0</v>
      </c>
      <c r="AQ68" s="94">
        <f t="shared" si="33"/>
        <v>0</v>
      </c>
      <c r="AR68" s="94">
        <f t="shared" si="33"/>
        <v>0</v>
      </c>
      <c r="AS68" s="94">
        <f t="shared" si="33"/>
        <v>0</v>
      </c>
    </row>
    <row r="69" spans="2:45" x14ac:dyDescent="0.25">
      <c r="B69" s="15">
        <v>67</v>
      </c>
      <c r="C69" s="8"/>
      <c r="F69" s="380"/>
      <c r="G69" s="8"/>
      <c r="H69" s="8"/>
      <c r="I69" s="8"/>
      <c r="J69" s="9"/>
      <c r="K69" s="9">
        <f t="shared" si="31"/>
        <v>0</v>
      </c>
      <c r="L69" s="35">
        <f t="shared" si="32"/>
        <v>0</v>
      </c>
      <c r="M69" s="2"/>
      <c r="O69" s="19"/>
      <c r="P69" s="19"/>
      <c r="Q69" s="19"/>
      <c r="R69" s="21"/>
      <c r="S69" s="46"/>
      <c r="T69" s="44"/>
      <c r="U69" s="77"/>
      <c r="V69" s="30"/>
      <c r="W69" s="24"/>
      <c r="X69" s="193"/>
      <c r="Y69" s="15"/>
      <c r="AA69">
        <v>12</v>
      </c>
      <c r="AB69" s="493">
        <v>12</v>
      </c>
      <c r="AC69" s="93">
        <v>1</v>
      </c>
      <c r="AD69" s="102" t="s">
        <v>106</v>
      </c>
      <c r="AE69" s="39">
        <f>SUM(AF69:AI69)</f>
        <v>0</v>
      </c>
      <c r="AF69" s="65">
        <f>SUMIFS($I:$I,$C:$C, $AF$2,$G:$G,$AA69,$H:$H,$AC69)</f>
        <v>0</v>
      </c>
      <c r="AG69" s="65">
        <f>SUMIFS($I:$I,$C:$C, $AG$2,$G:$G,$AA69,$H:$H,$AC69)</f>
        <v>0</v>
      </c>
      <c r="AH69" s="65">
        <f>SUMIFS($I:$I,$C:$C, $AH$2,$G:$G,$AA69,$H:$H,$AC69)</f>
        <v>0</v>
      </c>
      <c r="AI69" s="104">
        <f>SUMIFS($I:$I,$C:$C, $AI$2,$G:$G,$AA69,$H:$H,$AC69)</f>
        <v>0</v>
      </c>
      <c r="AJ69" s="115">
        <f>SUM(AK69:AN69)</f>
        <v>0</v>
      </c>
      <c r="AK69" s="116">
        <f>COUNTIFS($C:$C, $AK$2,$G:$G,$AA69,$H:$H,$AC69)</f>
        <v>0</v>
      </c>
      <c r="AL69" s="116">
        <f>COUNTIFS($C:$C, $AL$2,$G:$G,$AA69,$H:$H,$AC69)</f>
        <v>0</v>
      </c>
      <c r="AM69" s="116">
        <f>COUNTIFS($C:$C, $AM$2,$G:$G,$AA69,$H:$H,$AC69)</f>
        <v>0</v>
      </c>
      <c r="AN69" s="117">
        <f>COUNTIFS($C:$C, $AN$2,$G:$G,$AA69,$H:$H,$AC69)</f>
        <v>0</v>
      </c>
      <c r="AO69" s="39">
        <f>SUM(AP69:AS69)</f>
        <v>0</v>
      </c>
      <c r="AP69" s="65">
        <f>SUMIFS($L:$L,$C:$C, $AP$2,$G:$G,$AA69,$H:$H,$AC69)</f>
        <v>0</v>
      </c>
      <c r="AQ69" s="65">
        <f>SUMIFS($L:$L,$C:$C, $AQ$2,$G:$G,$AA69,$H:$H,$AC69)</f>
        <v>0</v>
      </c>
      <c r="AR69" s="65">
        <f>SUMIFS($L:$L,$C:$C, $AR$2,$G:$G,$AA69,$H:$H,$AC69)</f>
        <v>0</v>
      </c>
      <c r="AS69" s="65">
        <f>SUMIFS($L:$L,$C:$C, $AS$2,$G:$G,$AA69,$H:$H,$AC69)</f>
        <v>0</v>
      </c>
    </row>
    <row r="70" spans="2:45" x14ac:dyDescent="0.25">
      <c r="B70" s="15">
        <v>68</v>
      </c>
      <c r="C70" s="8"/>
      <c r="F70" s="380"/>
      <c r="G70" s="8"/>
      <c r="H70" s="8"/>
      <c r="I70" s="8"/>
      <c r="J70" s="9"/>
      <c r="K70" s="9">
        <f t="shared" si="31"/>
        <v>0</v>
      </c>
      <c r="L70" s="35">
        <f t="shared" si="32"/>
        <v>0</v>
      </c>
      <c r="M70" s="2"/>
      <c r="O70" s="19"/>
      <c r="P70" s="19"/>
      <c r="Q70" s="19"/>
      <c r="R70" s="21"/>
      <c r="S70" s="46"/>
      <c r="T70" s="44"/>
      <c r="U70" s="77"/>
      <c r="V70" s="30"/>
      <c r="W70" s="24"/>
      <c r="X70" s="193"/>
      <c r="Y70" s="15"/>
      <c r="AA70">
        <v>12</v>
      </c>
      <c r="AB70" s="487"/>
      <c r="AC70" s="90">
        <v>2</v>
      </c>
      <c r="AD70" s="97" t="s">
        <v>101</v>
      </c>
      <c r="AE70" s="39">
        <f>SUM(AF70:AI70)</f>
        <v>0</v>
      </c>
      <c r="AF70" s="65">
        <f>SUMIFS($I:$I,$C:$C, $AF$2,$G:$G,$AA70,$H:$H,$AC70)</f>
        <v>0</v>
      </c>
      <c r="AG70" s="65">
        <f>SUMIFS($I:$I,$C:$C, $AG$2,$G:$G,$AA70,$H:$H,$AC70)</f>
        <v>0</v>
      </c>
      <c r="AH70" s="65">
        <f>SUMIFS($I:$I,$C:$C, $AH$2,$G:$G,$AA70,$H:$H,$AC70)</f>
        <v>0</v>
      </c>
      <c r="AI70" s="104">
        <f>SUMIFS($I:$I,$C:$C, $AI$2,$G:$G,$AA70,$H:$H,$AC70)</f>
        <v>0</v>
      </c>
      <c r="AJ70" s="115">
        <f>SUM(AK70:AN70)</f>
        <v>0</v>
      </c>
      <c r="AK70" s="116">
        <f>COUNTIFS($C:$C, $AK$2,$G:$G,$AA70,$H:$H,$AC70)</f>
        <v>0</v>
      </c>
      <c r="AL70" s="116">
        <f>COUNTIFS($C:$C, $AL$2,$G:$G,$AA70,$H:$H,$AC70)</f>
        <v>0</v>
      </c>
      <c r="AM70" s="116">
        <f>COUNTIFS($C:$C, $AM$2,$G:$G,$AA70,$H:$H,$AC70)</f>
        <v>0</v>
      </c>
      <c r="AN70" s="117">
        <f>COUNTIFS($C:$C, $AN$2,$G:$G,$AA70,$H:$H,$AC70)</f>
        <v>0</v>
      </c>
      <c r="AO70" s="39">
        <f>SUM(AP70:AS70)</f>
        <v>0</v>
      </c>
      <c r="AP70" s="65">
        <f>SUMIFS($L:$L,$C:$C, $AP$2,$G:$G,$AA70,$H:$H,$AC70)</f>
        <v>0</v>
      </c>
      <c r="AQ70" s="65">
        <f>SUMIFS($L:$L,$C:$C, $AQ$2,$G:$G,$AA70,$H:$H,$AC70)</f>
        <v>0</v>
      </c>
      <c r="AR70" s="65">
        <f>SUMIFS($L:$L,$C:$C, $AR$2,$G:$G,$AA70,$H:$H,$AC70)</f>
        <v>0</v>
      </c>
      <c r="AS70" s="65">
        <f>SUMIFS($L:$L,$C:$C, $AS$2,$G:$G,$AA70,$H:$H,$AC70)</f>
        <v>0</v>
      </c>
    </row>
    <row r="71" spans="2:45" x14ac:dyDescent="0.25">
      <c r="B71" s="15">
        <v>69</v>
      </c>
      <c r="C71" s="8"/>
      <c r="F71" s="380"/>
      <c r="G71" s="8"/>
      <c r="H71" s="8"/>
      <c r="I71" s="8"/>
      <c r="J71" s="9"/>
      <c r="K71" s="9">
        <f t="shared" si="31"/>
        <v>0</v>
      </c>
      <c r="L71" s="35">
        <f t="shared" si="32"/>
        <v>0</v>
      </c>
      <c r="M71" s="2"/>
      <c r="O71" s="19"/>
      <c r="P71" s="19"/>
      <c r="Q71" s="19"/>
      <c r="R71" s="21"/>
      <c r="S71" s="46"/>
      <c r="T71" s="44"/>
      <c r="U71" s="77"/>
      <c r="V71" s="30"/>
      <c r="W71" s="24"/>
      <c r="X71" s="193"/>
      <c r="Y71" s="15"/>
      <c r="AA71">
        <v>12</v>
      </c>
      <c r="AB71" s="487"/>
      <c r="AC71" s="90">
        <v>3</v>
      </c>
      <c r="AD71" s="97" t="s">
        <v>102</v>
      </c>
      <c r="AE71" s="39">
        <f>SUM(AF71:AI71)</f>
        <v>0</v>
      </c>
      <c r="AF71" s="65">
        <f>SUMIFS($I:$I,$C:$C, $AF$2,$G:$G,$AA71,$H:$H,$AC71)</f>
        <v>0</v>
      </c>
      <c r="AG71" s="65">
        <f>SUMIFS($I:$I,$C:$C, $AG$2,$G:$G,$AA71,$H:$H,$AC71)</f>
        <v>0</v>
      </c>
      <c r="AH71" s="65">
        <f>SUMIFS($I:$I,$C:$C, $AH$2,$G:$G,$AA71,$H:$H,$AC71)</f>
        <v>0</v>
      </c>
      <c r="AI71" s="104">
        <f>SUMIFS($I:$I,$C:$C, $AI$2,$G:$G,$AA71,$H:$H,$AC71)</f>
        <v>0</v>
      </c>
      <c r="AJ71" s="115">
        <f>SUM(AK71:AN71)</f>
        <v>0</v>
      </c>
      <c r="AK71" s="116">
        <f>COUNTIFS($C:$C, $AK$2,$G:$G,$AA71,$H:$H,$AC71)</f>
        <v>0</v>
      </c>
      <c r="AL71" s="116">
        <f>COUNTIFS($C:$C, $AL$2,$G:$G,$AA71,$H:$H,$AC71)</f>
        <v>0</v>
      </c>
      <c r="AM71" s="116">
        <f>COUNTIFS($C:$C, $AM$2,$G:$G,$AA71,$H:$H,$AC71)</f>
        <v>0</v>
      </c>
      <c r="AN71" s="117">
        <f>COUNTIFS($C:$C, $AN$2,$G:$G,$AA71,$H:$H,$AC71)</f>
        <v>0</v>
      </c>
      <c r="AO71" s="39">
        <f>SUM(AP71:AS71)</f>
        <v>0</v>
      </c>
      <c r="AP71" s="65">
        <f>SUMIFS($L:$L,$C:$C, $AP$2,$G:$G,$AA71,$H:$H,$AC71)</f>
        <v>0</v>
      </c>
      <c r="AQ71" s="65">
        <f>SUMIFS($L:$L,$C:$C, $AQ$2,$G:$G,$AA71,$H:$H,$AC71)</f>
        <v>0</v>
      </c>
      <c r="AR71" s="65">
        <f>SUMIFS($L:$L,$C:$C, $AR$2,$G:$G,$AA71,$H:$H,$AC71)</f>
        <v>0</v>
      </c>
      <c r="AS71" s="65">
        <f>SUMIFS($L:$L,$C:$C, $AS$2,$G:$G,$AA71,$H:$H,$AC71)</f>
        <v>0</v>
      </c>
    </row>
    <row r="72" spans="2:45" x14ac:dyDescent="0.25">
      <c r="B72" s="15">
        <v>70</v>
      </c>
      <c r="C72" s="8"/>
      <c r="F72" s="380"/>
      <c r="G72" s="8"/>
      <c r="H72" s="8"/>
      <c r="I72" s="8"/>
      <c r="J72" s="9"/>
      <c r="K72" s="9">
        <f t="shared" si="31"/>
        <v>0</v>
      </c>
      <c r="L72" s="35">
        <f t="shared" si="32"/>
        <v>0</v>
      </c>
      <c r="M72" s="2"/>
      <c r="O72" s="19"/>
      <c r="P72" s="19"/>
      <c r="Q72" s="19"/>
      <c r="R72" s="21"/>
      <c r="S72" s="46"/>
      <c r="T72" s="44"/>
      <c r="U72" s="77"/>
      <c r="V72" s="30"/>
      <c r="W72" s="24"/>
      <c r="X72" s="193"/>
      <c r="Y72" s="15"/>
      <c r="AA72">
        <v>12</v>
      </c>
      <c r="AB72" s="487"/>
      <c r="AC72" s="90">
        <v>4</v>
      </c>
      <c r="AD72" s="97" t="s">
        <v>103</v>
      </c>
      <c r="AE72" s="39">
        <f>SUM(AF72:AI72)</f>
        <v>0</v>
      </c>
      <c r="AF72" s="65">
        <f>SUMIFS($I:$I,$C:$C, $AF$2,$G:$G,$AA72,$H:$H,$AC72)</f>
        <v>0</v>
      </c>
      <c r="AG72" s="65">
        <f>SUMIFS($I:$I,$C:$C, $AG$2,$G:$G,$AA72,$H:$H,$AC72)</f>
        <v>0</v>
      </c>
      <c r="AH72" s="65">
        <f>SUMIFS($I:$I,$C:$C, $AH$2,$G:$G,$AA72,$H:$H,$AC72)</f>
        <v>0</v>
      </c>
      <c r="AI72" s="104">
        <f>SUMIFS($I:$I,$C:$C, $AI$2,$G:$G,$AA72,$H:$H,$AC72)</f>
        <v>0</v>
      </c>
      <c r="AJ72" s="115">
        <f>SUM(AK72:AN72)</f>
        <v>0</v>
      </c>
      <c r="AK72" s="116">
        <f>COUNTIFS($C:$C, $AK$2,$G:$G,$AA72,$H:$H,$AC72)</f>
        <v>0</v>
      </c>
      <c r="AL72" s="116">
        <f>COUNTIFS($C:$C, $AL$2,$G:$G,$AA72,$H:$H,$AC72)</f>
        <v>0</v>
      </c>
      <c r="AM72" s="116">
        <f>COUNTIFS($C:$C, $AM$2,$G:$G,$AA72,$H:$H,$AC72)</f>
        <v>0</v>
      </c>
      <c r="AN72" s="117">
        <f>COUNTIFS($C:$C, $AN$2,$G:$G,$AA72,$H:$H,$AC72)</f>
        <v>0</v>
      </c>
      <c r="AO72" s="39">
        <f>SUM(AP72:AS72)</f>
        <v>0</v>
      </c>
      <c r="AP72" s="65">
        <f>SUMIFS($L:$L,$C:$C, $AP$2,$G:$G,$AA72,$H:$H,$AC72)</f>
        <v>0</v>
      </c>
      <c r="AQ72" s="65">
        <f>SUMIFS($L:$L,$C:$C, $AQ$2,$G:$G,$AA72,$H:$H,$AC72)</f>
        <v>0</v>
      </c>
      <c r="AR72" s="65">
        <f>SUMIFS($L:$L,$C:$C, $AR$2,$G:$G,$AA72,$H:$H,$AC72)</f>
        <v>0</v>
      </c>
      <c r="AS72" s="65">
        <f>SUMIFS($L:$L,$C:$C, $AS$2,$G:$G,$AA72,$H:$H,$AC72)</f>
        <v>0</v>
      </c>
    </row>
    <row r="73" spans="2:45" x14ac:dyDescent="0.25">
      <c r="B73" s="15">
        <v>71</v>
      </c>
      <c r="C73" s="8"/>
      <c r="F73" s="380"/>
      <c r="G73" s="8"/>
      <c r="H73" s="8"/>
      <c r="I73" s="8"/>
      <c r="J73" s="9"/>
      <c r="K73" s="9">
        <f t="shared" si="31"/>
        <v>0</v>
      </c>
      <c r="L73" s="35">
        <f t="shared" si="32"/>
        <v>0</v>
      </c>
      <c r="M73" s="2"/>
      <c r="O73" s="19"/>
      <c r="P73" s="19"/>
      <c r="Q73" s="19"/>
      <c r="R73" s="21"/>
      <c r="S73" s="46"/>
      <c r="T73" s="44"/>
      <c r="U73" s="77"/>
      <c r="V73" s="24"/>
      <c r="W73" s="24"/>
      <c r="X73" s="193"/>
      <c r="Y73" s="15"/>
      <c r="AA73">
        <v>12</v>
      </c>
      <c r="AB73" s="487"/>
      <c r="AC73" s="91">
        <v>5</v>
      </c>
      <c r="AD73" s="100" t="s">
        <v>107</v>
      </c>
      <c r="AE73" s="39">
        <f>SUM(AF73:AI73)</f>
        <v>0</v>
      </c>
      <c r="AF73" s="65">
        <f>SUMIFS($I:$I,$C:$C, $AF$2,$G:$G,$AA73,$H:$H,$AC73)</f>
        <v>0</v>
      </c>
      <c r="AG73" s="65">
        <f>SUMIFS($I:$I,$C:$C, $AG$2,$G:$G,$AA73,$H:$H,$AC73)</f>
        <v>0</v>
      </c>
      <c r="AH73" s="65">
        <f>SUMIFS($I:$I,$C:$C, $AH$2,$G:$G,$AA73,$H:$H,$AC73)</f>
        <v>0</v>
      </c>
      <c r="AI73" s="104">
        <f>SUMIFS($I:$I,$C:$C, $AI$2,$G:$G,$AA73,$H:$H,$AC73)</f>
        <v>0</v>
      </c>
      <c r="AJ73" s="115">
        <f>SUM(AK73:AN73)</f>
        <v>0</v>
      </c>
      <c r="AK73" s="116">
        <f>COUNTIFS($C:$C, $AK$2,$G:$G,$AA73,$H:$H,$AC73)</f>
        <v>0</v>
      </c>
      <c r="AL73" s="116">
        <f>COUNTIFS($C:$C, $AL$2,$G:$G,$AA73,$H:$H,$AC73)</f>
        <v>0</v>
      </c>
      <c r="AM73" s="116">
        <f>COUNTIFS($C:$C, $AM$2,$G:$G,$AA73,$H:$H,$AC73)</f>
        <v>0</v>
      </c>
      <c r="AN73" s="117">
        <f>COUNTIFS($C:$C, $AN$2,$G:$G,$AA73,$H:$H,$AC73)</f>
        <v>0</v>
      </c>
      <c r="AO73" s="39">
        <f>SUM(AP73:AS73)</f>
        <v>0</v>
      </c>
      <c r="AP73" s="65">
        <f>SUMIFS($L:$L,$C:$C, $AP$2,$G:$G,$AA73,$H:$H,$AC73)</f>
        <v>0</v>
      </c>
      <c r="AQ73" s="65">
        <f>SUMIFS($L:$L,$C:$C, $AQ$2,$G:$G,$AA73,$H:$H,$AC73)</f>
        <v>0</v>
      </c>
      <c r="AR73" s="65">
        <f>SUMIFS($L:$L,$C:$C, $AR$2,$G:$G,$AA73,$H:$H,$AC73)</f>
        <v>0</v>
      </c>
      <c r="AS73" s="65">
        <f>SUMIFS($L:$L,$C:$C, $AS$2,$G:$G,$AA73,$H:$H,$AC73)</f>
        <v>0</v>
      </c>
    </row>
    <row r="74" spans="2:45" ht="14.25" thickBot="1" x14ac:dyDescent="0.3">
      <c r="B74" s="15">
        <v>72</v>
      </c>
      <c r="C74" s="8"/>
      <c r="F74" s="380"/>
      <c r="G74" s="8"/>
      <c r="H74" s="8"/>
      <c r="I74" s="8"/>
      <c r="J74" s="9"/>
      <c r="K74" s="9">
        <f t="shared" si="31"/>
        <v>0</v>
      </c>
      <c r="L74" s="35">
        <f t="shared" si="32"/>
        <v>0</v>
      </c>
      <c r="M74" s="2"/>
      <c r="O74" s="19"/>
      <c r="P74" s="19"/>
      <c r="Q74" s="19"/>
      <c r="R74" s="21"/>
      <c r="S74" s="46"/>
      <c r="T74" s="44"/>
      <c r="U74" s="77"/>
      <c r="V74" s="24"/>
      <c r="W74" s="24"/>
      <c r="X74" s="193"/>
      <c r="Y74" s="15"/>
      <c r="AA74">
        <v>12</v>
      </c>
      <c r="AB74" s="488"/>
      <c r="AC74" s="92" t="s">
        <v>3</v>
      </c>
      <c r="AD74" s="101"/>
      <c r="AE74" s="94">
        <f>SUM(AE69:AE73)</f>
        <v>0</v>
      </c>
      <c r="AF74" s="94">
        <f t="shared" ref="AF74:AS74" si="34">SUM(AF69:AF73)</f>
        <v>0</v>
      </c>
      <c r="AG74" s="94">
        <f t="shared" si="34"/>
        <v>0</v>
      </c>
      <c r="AH74" s="94">
        <f t="shared" si="34"/>
        <v>0</v>
      </c>
      <c r="AI74" s="105">
        <f t="shared" si="34"/>
        <v>0</v>
      </c>
      <c r="AJ74" s="118">
        <f t="shared" si="34"/>
        <v>0</v>
      </c>
      <c r="AK74" s="119">
        <f t="shared" si="34"/>
        <v>0</v>
      </c>
      <c r="AL74" s="119">
        <f t="shared" si="34"/>
        <v>0</v>
      </c>
      <c r="AM74" s="119">
        <f t="shared" si="34"/>
        <v>0</v>
      </c>
      <c r="AN74" s="120">
        <f t="shared" si="34"/>
        <v>0</v>
      </c>
      <c r="AO74" s="94">
        <f t="shared" si="34"/>
        <v>0</v>
      </c>
      <c r="AP74" s="94">
        <f t="shared" si="34"/>
        <v>0</v>
      </c>
      <c r="AQ74" s="94">
        <f t="shared" si="34"/>
        <v>0</v>
      </c>
      <c r="AR74" s="94">
        <f t="shared" si="34"/>
        <v>0</v>
      </c>
      <c r="AS74" s="94">
        <f t="shared" si="34"/>
        <v>0</v>
      </c>
    </row>
    <row r="75" spans="2:45" ht="17.25" thickBot="1" x14ac:dyDescent="0.3">
      <c r="B75" s="15">
        <v>73</v>
      </c>
      <c r="C75" s="8"/>
      <c r="F75" s="380"/>
      <c r="G75" s="8"/>
      <c r="H75" s="8"/>
      <c r="I75" s="8"/>
      <c r="J75" s="9"/>
      <c r="K75" s="9">
        <f t="shared" si="31"/>
        <v>0</v>
      </c>
      <c r="L75" s="35">
        <f t="shared" si="32"/>
        <v>0</v>
      </c>
      <c r="M75" s="2"/>
      <c r="O75" s="19"/>
      <c r="P75" s="19"/>
      <c r="Q75" s="19"/>
      <c r="R75" s="21"/>
      <c r="S75" s="46"/>
      <c r="T75" s="44"/>
      <c r="U75" s="77"/>
      <c r="V75" s="24"/>
      <c r="W75" s="24"/>
      <c r="X75" s="193"/>
      <c r="Y75" s="15"/>
      <c r="AB75" s="489" t="s">
        <v>31</v>
      </c>
      <c r="AC75" s="490"/>
      <c r="AD75" s="103"/>
      <c r="AE75" s="85">
        <f>SUM(AE8,AE14,AE20,AE26,AE32,AE38,AE44,AE50,AE56,AE62,AE68,AE74)</f>
        <v>8342.23</v>
      </c>
      <c r="AF75" s="85"/>
      <c r="AG75" s="85"/>
      <c r="AH75" s="86"/>
      <c r="AI75" s="86"/>
      <c r="AJ75" s="121"/>
      <c r="AK75" s="122"/>
      <c r="AL75" s="122"/>
      <c r="AM75" s="122"/>
      <c r="AN75" s="123"/>
      <c r="AO75" s="87"/>
      <c r="AP75" s="87"/>
      <c r="AQ75" s="87"/>
      <c r="AR75" s="87"/>
      <c r="AS75" s="88"/>
    </row>
    <row r="76" spans="2:45" x14ac:dyDescent="0.25">
      <c r="B76" s="15">
        <v>74</v>
      </c>
      <c r="C76" s="8"/>
      <c r="F76" s="380"/>
      <c r="G76" s="8"/>
      <c r="H76" s="8"/>
      <c r="I76" s="8"/>
      <c r="J76" s="9"/>
      <c r="K76" s="9">
        <f t="shared" si="31"/>
        <v>0</v>
      </c>
      <c r="L76" s="35">
        <f t="shared" si="32"/>
        <v>0</v>
      </c>
      <c r="M76" s="2"/>
      <c r="O76" s="19"/>
      <c r="P76" s="19"/>
      <c r="Q76" s="19"/>
      <c r="R76" s="21"/>
      <c r="S76" s="46"/>
      <c r="T76" s="44"/>
      <c r="U76" s="77"/>
      <c r="V76" s="30"/>
      <c r="W76" s="24"/>
      <c r="X76" s="193"/>
      <c r="Y76" s="15"/>
    </row>
    <row r="77" spans="2:45" x14ac:dyDescent="0.25">
      <c r="B77" s="15">
        <v>75</v>
      </c>
      <c r="C77" s="8"/>
      <c r="F77" s="380"/>
      <c r="G77" s="8"/>
      <c r="H77" s="8"/>
      <c r="I77" s="8"/>
      <c r="J77" s="9"/>
      <c r="K77" s="9">
        <f t="shared" si="31"/>
        <v>0</v>
      </c>
      <c r="L77" s="35">
        <f t="shared" si="32"/>
        <v>0</v>
      </c>
      <c r="M77" s="2"/>
      <c r="O77" s="19"/>
      <c r="P77" s="19"/>
      <c r="Q77" s="19"/>
      <c r="R77" s="21"/>
      <c r="S77" s="46"/>
      <c r="T77" s="44"/>
      <c r="U77" s="77"/>
      <c r="V77" s="24"/>
      <c r="W77" s="24"/>
      <c r="X77" s="193"/>
      <c r="Y77" s="15"/>
    </row>
    <row r="78" spans="2:45" x14ac:dyDescent="0.25">
      <c r="B78" s="15">
        <v>76</v>
      </c>
      <c r="C78" s="8"/>
      <c r="F78" s="380"/>
      <c r="G78" s="8"/>
      <c r="H78" s="8"/>
      <c r="I78" s="8"/>
      <c r="J78" s="9"/>
      <c r="K78" s="9">
        <f t="shared" si="31"/>
        <v>0</v>
      </c>
      <c r="L78" s="35">
        <f t="shared" si="32"/>
        <v>0</v>
      </c>
      <c r="M78" s="2"/>
      <c r="O78" s="19"/>
      <c r="P78" s="19"/>
      <c r="Q78" s="19"/>
      <c r="R78" s="21"/>
      <c r="S78" s="46"/>
      <c r="T78" s="44"/>
      <c r="U78" s="77"/>
      <c r="V78" s="24"/>
      <c r="W78" s="24"/>
      <c r="X78" s="193"/>
      <c r="Y78" s="15"/>
    </row>
    <row r="79" spans="2:45" x14ac:dyDescent="0.25">
      <c r="B79" s="15">
        <v>77</v>
      </c>
      <c r="C79" s="8"/>
      <c r="F79" s="380"/>
      <c r="G79" s="8"/>
      <c r="H79" s="8"/>
      <c r="I79" s="8"/>
      <c r="J79" s="9"/>
      <c r="K79" s="9">
        <f t="shared" si="31"/>
        <v>0</v>
      </c>
      <c r="L79" s="35">
        <f t="shared" si="32"/>
        <v>0</v>
      </c>
      <c r="M79" s="2"/>
      <c r="O79" s="19"/>
      <c r="P79" s="19"/>
      <c r="Q79" s="19"/>
      <c r="R79" s="21"/>
      <c r="S79" s="46"/>
      <c r="T79" s="44"/>
      <c r="U79" s="77"/>
      <c r="V79" s="24"/>
      <c r="W79" s="24"/>
      <c r="X79" s="193"/>
      <c r="Y79" s="15"/>
    </row>
    <row r="80" spans="2:45" x14ac:dyDescent="0.25">
      <c r="B80" s="15">
        <v>78</v>
      </c>
      <c r="C80" s="8"/>
      <c r="F80" s="380"/>
      <c r="G80" s="8"/>
      <c r="H80" s="8"/>
      <c r="I80" s="8"/>
      <c r="J80" s="9"/>
      <c r="K80" s="9">
        <f t="shared" si="31"/>
        <v>0</v>
      </c>
      <c r="L80" s="35">
        <f t="shared" si="32"/>
        <v>0</v>
      </c>
      <c r="M80" s="2"/>
      <c r="O80" s="19"/>
      <c r="P80" s="19"/>
      <c r="Q80" s="19"/>
      <c r="R80" s="21"/>
      <c r="S80" s="46"/>
      <c r="T80" s="44"/>
      <c r="U80" s="77"/>
      <c r="V80" s="24"/>
      <c r="W80" s="24"/>
      <c r="X80" s="193"/>
      <c r="Y80" s="15"/>
    </row>
    <row r="81" spans="2:25" x14ac:dyDescent="0.25">
      <c r="B81" s="15">
        <v>79</v>
      </c>
      <c r="C81" s="8"/>
      <c r="F81" s="380"/>
      <c r="G81" s="8"/>
      <c r="H81" s="8"/>
      <c r="I81" s="8"/>
      <c r="J81" s="9"/>
      <c r="K81" s="9">
        <f t="shared" si="31"/>
        <v>0</v>
      </c>
      <c r="L81" s="35">
        <f t="shared" si="32"/>
        <v>0</v>
      </c>
      <c r="M81" s="2"/>
      <c r="O81" s="19"/>
      <c r="P81" s="19"/>
      <c r="Q81" s="19"/>
      <c r="R81" s="21"/>
      <c r="S81" s="46"/>
      <c r="T81" s="44"/>
      <c r="U81" s="77"/>
      <c r="V81" s="24"/>
      <c r="W81" s="24"/>
      <c r="X81" s="193"/>
      <c r="Y81" s="15"/>
    </row>
    <row r="82" spans="2:25" x14ac:dyDescent="0.25">
      <c r="B82" s="15">
        <v>80</v>
      </c>
      <c r="C82" s="8"/>
      <c r="F82" s="380"/>
      <c r="G82" s="8"/>
      <c r="H82" s="8"/>
      <c r="I82" s="8"/>
      <c r="J82" s="9"/>
      <c r="K82" s="9">
        <f t="shared" si="31"/>
        <v>0</v>
      </c>
      <c r="L82" s="35">
        <f t="shared" si="32"/>
        <v>0</v>
      </c>
      <c r="M82" s="2"/>
      <c r="O82" s="19"/>
      <c r="P82" s="19"/>
      <c r="Q82" s="19"/>
      <c r="R82" s="21"/>
      <c r="S82" s="46"/>
      <c r="T82" s="44"/>
      <c r="U82" s="77"/>
      <c r="V82" s="30"/>
      <c r="W82" s="24"/>
      <c r="X82" s="193"/>
      <c r="Y82" s="15"/>
    </row>
    <row r="83" spans="2:25" x14ac:dyDescent="0.25">
      <c r="B83" s="15">
        <v>81</v>
      </c>
      <c r="C83" s="8"/>
      <c r="F83" s="380"/>
      <c r="G83" s="8"/>
      <c r="H83" s="8"/>
      <c r="I83" s="8"/>
      <c r="J83" s="9"/>
      <c r="K83" s="9">
        <f t="shared" si="31"/>
        <v>0</v>
      </c>
      <c r="L83" s="35">
        <f t="shared" si="32"/>
        <v>0</v>
      </c>
      <c r="M83" s="2"/>
      <c r="O83" s="19"/>
      <c r="P83" s="19"/>
      <c r="Q83" s="19"/>
      <c r="R83" s="21"/>
      <c r="S83" s="46"/>
      <c r="T83" s="44"/>
      <c r="U83" s="77"/>
      <c r="V83" s="24"/>
      <c r="W83" s="24"/>
      <c r="X83" s="193"/>
      <c r="Y83" s="15"/>
    </row>
    <row r="84" spans="2:25" x14ac:dyDescent="0.25">
      <c r="B84" s="15">
        <v>82</v>
      </c>
      <c r="C84" s="8"/>
      <c r="F84" s="380"/>
      <c r="G84" s="8"/>
      <c r="H84" s="8"/>
      <c r="I84" s="8"/>
      <c r="J84" s="9"/>
      <c r="K84" s="9">
        <f t="shared" si="31"/>
        <v>0</v>
      </c>
      <c r="L84" s="35">
        <f t="shared" si="32"/>
        <v>0</v>
      </c>
      <c r="M84" s="2"/>
      <c r="O84" s="19"/>
      <c r="P84" s="19"/>
      <c r="Q84" s="19"/>
      <c r="R84" s="21"/>
      <c r="S84" s="46"/>
      <c r="T84" s="44"/>
      <c r="U84" s="77"/>
      <c r="V84" s="24"/>
      <c r="W84" s="24"/>
      <c r="X84" s="193"/>
      <c r="Y84" s="15"/>
    </row>
    <row r="85" spans="2:25" x14ac:dyDescent="0.25">
      <c r="B85" s="15">
        <v>83</v>
      </c>
      <c r="C85" s="8"/>
      <c r="F85" s="380"/>
      <c r="G85" s="8"/>
      <c r="H85" s="8"/>
      <c r="I85" s="8"/>
      <c r="J85" s="9"/>
      <c r="K85" s="9">
        <f t="shared" si="31"/>
        <v>0</v>
      </c>
      <c r="L85" s="35">
        <f t="shared" si="32"/>
        <v>0</v>
      </c>
      <c r="M85" s="2"/>
      <c r="O85" s="19"/>
      <c r="P85" s="19"/>
      <c r="Q85" s="19"/>
      <c r="R85" s="21"/>
      <c r="S85" s="46"/>
      <c r="T85" s="44"/>
      <c r="U85" s="77"/>
      <c r="V85" s="24"/>
      <c r="W85" s="24"/>
      <c r="X85" s="193"/>
      <c r="Y85" s="15"/>
    </row>
    <row r="86" spans="2:25" x14ac:dyDescent="0.25">
      <c r="B86" s="15">
        <v>84</v>
      </c>
      <c r="C86" s="8"/>
      <c r="F86" s="380"/>
      <c r="G86" s="8"/>
      <c r="H86" s="8"/>
      <c r="I86" s="8"/>
      <c r="J86" s="9"/>
      <c r="K86" s="9">
        <f t="shared" si="31"/>
        <v>0</v>
      </c>
      <c r="L86" s="35">
        <f t="shared" si="32"/>
        <v>0</v>
      </c>
      <c r="M86" s="2"/>
      <c r="O86" s="19"/>
      <c r="P86" s="19"/>
      <c r="Q86" s="19"/>
      <c r="R86" s="21"/>
      <c r="S86" s="46"/>
      <c r="T86" s="44"/>
      <c r="U86" s="77"/>
      <c r="V86" s="24"/>
      <c r="W86" s="24"/>
      <c r="X86" s="193"/>
      <c r="Y86" s="15"/>
    </row>
    <row r="87" spans="2:25" x14ac:dyDescent="0.25">
      <c r="B87" s="15">
        <v>85</v>
      </c>
      <c r="C87" s="8"/>
      <c r="F87" s="380"/>
      <c r="G87" s="8"/>
      <c r="H87" s="8"/>
      <c r="I87" s="8"/>
      <c r="J87" s="9"/>
      <c r="K87" s="9">
        <f t="shared" si="31"/>
        <v>0</v>
      </c>
      <c r="L87" s="35">
        <f t="shared" si="32"/>
        <v>0</v>
      </c>
      <c r="M87" s="2"/>
      <c r="O87" s="19"/>
      <c r="P87" s="19"/>
      <c r="Q87" s="19"/>
      <c r="R87" s="21"/>
      <c r="S87" s="46"/>
      <c r="T87" s="44"/>
      <c r="U87" s="77"/>
      <c r="V87" s="24"/>
      <c r="W87" s="24"/>
      <c r="X87" s="193"/>
      <c r="Y87" s="15"/>
    </row>
    <row r="88" spans="2:25" x14ac:dyDescent="0.25">
      <c r="B88" s="15">
        <v>86</v>
      </c>
      <c r="C88" s="8"/>
      <c r="F88" s="380"/>
      <c r="G88" s="8"/>
      <c r="H88" s="8"/>
      <c r="I88" s="8"/>
      <c r="J88" s="9"/>
      <c r="K88" s="9">
        <f t="shared" si="31"/>
        <v>0</v>
      </c>
      <c r="L88" s="35">
        <f t="shared" si="32"/>
        <v>0</v>
      </c>
      <c r="M88" s="2"/>
      <c r="O88" s="19"/>
      <c r="P88" s="19"/>
      <c r="Q88" s="19"/>
      <c r="R88" s="21"/>
      <c r="S88" s="46"/>
      <c r="T88" s="44"/>
      <c r="U88" s="77"/>
      <c r="V88" s="30"/>
      <c r="W88" s="24"/>
      <c r="X88" s="193"/>
      <c r="Y88" s="15"/>
    </row>
    <row r="89" spans="2:25" x14ac:dyDescent="0.25">
      <c r="B89" s="15">
        <v>87</v>
      </c>
      <c r="C89" s="8"/>
      <c r="F89" s="380"/>
      <c r="G89" s="8"/>
      <c r="H89" s="8"/>
      <c r="I89" s="8"/>
      <c r="J89" s="9"/>
      <c r="K89" s="9">
        <f t="shared" si="31"/>
        <v>0</v>
      </c>
      <c r="L89" s="35">
        <f t="shared" si="32"/>
        <v>0</v>
      </c>
      <c r="M89" s="2"/>
      <c r="O89" s="19"/>
      <c r="P89" s="19"/>
      <c r="Q89" s="19"/>
      <c r="R89" s="21"/>
      <c r="S89" s="46"/>
      <c r="T89" s="44"/>
      <c r="U89" s="77"/>
      <c r="V89" s="30"/>
      <c r="W89" s="24"/>
      <c r="X89" s="193"/>
      <c r="Y89" s="15"/>
    </row>
    <row r="90" spans="2:25" x14ac:dyDescent="0.25">
      <c r="B90" s="15">
        <v>88</v>
      </c>
      <c r="C90" s="8"/>
      <c r="F90" s="380"/>
      <c r="G90" s="8"/>
      <c r="H90" s="8"/>
      <c r="I90" s="8"/>
      <c r="J90" s="9"/>
      <c r="K90" s="9">
        <f t="shared" si="31"/>
        <v>0</v>
      </c>
      <c r="L90" s="35">
        <f t="shared" si="32"/>
        <v>0</v>
      </c>
      <c r="M90" s="2"/>
      <c r="O90" s="19"/>
      <c r="P90" s="19"/>
      <c r="Q90" s="19"/>
      <c r="R90" s="21"/>
      <c r="S90" s="46"/>
      <c r="T90" s="44"/>
      <c r="U90" s="77"/>
      <c r="V90" s="24"/>
      <c r="W90" s="24"/>
      <c r="X90" s="193"/>
      <c r="Y90" s="15"/>
    </row>
    <row r="91" spans="2:25" x14ac:dyDescent="0.25">
      <c r="B91" s="15">
        <v>89</v>
      </c>
      <c r="C91" s="8"/>
      <c r="F91" s="380"/>
      <c r="G91" s="8"/>
      <c r="H91" s="8"/>
      <c r="I91" s="8"/>
      <c r="J91" s="9"/>
      <c r="K91" s="9">
        <f t="shared" si="31"/>
        <v>0</v>
      </c>
      <c r="L91" s="35">
        <f t="shared" si="32"/>
        <v>0</v>
      </c>
      <c r="M91" s="2"/>
      <c r="O91" s="19"/>
      <c r="P91" s="19"/>
      <c r="Q91" s="19"/>
      <c r="R91" s="21"/>
      <c r="S91" s="46"/>
      <c r="T91" s="44"/>
      <c r="U91" s="77"/>
      <c r="V91" s="24"/>
      <c r="W91" s="24"/>
      <c r="X91" s="193"/>
      <c r="Y91" s="15"/>
    </row>
    <row r="92" spans="2:25" x14ac:dyDescent="0.25">
      <c r="B92" s="15">
        <v>90</v>
      </c>
      <c r="C92" s="8"/>
      <c r="F92" s="380"/>
      <c r="G92" s="8"/>
      <c r="H92" s="8"/>
      <c r="I92" s="8"/>
      <c r="J92" s="9"/>
      <c r="K92" s="9">
        <f t="shared" si="31"/>
        <v>0</v>
      </c>
      <c r="L92" s="35">
        <f t="shared" si="32"/>
        <v>0</v>
      </c>
      <c r="M92" s="2"/>
      <c r="O92" s="19"/>
      <c r="P92" s="19"/>
      <c r="Q92" s="19"/>
      <c r="R92" s="21"/>
      <c r="S92" s="46"/>
      <c r="T92" s="44"/>
      <c r="U92" s="77"/>
      <c r="V92" s="24"/>
      <c r="W92" s="24"/>
      <c r="X92" s="193"/>
      <c r="Y92" s="15"/>
    </row>
    <row r="93" spans="2:25" x14ac:dyDescent="0.25">
      <c r="B93" s="15">
        <v>91</v>
      </c>
      <c r="C93" s="8"/>
      <c r="F93" s="380"/>
      <c r="G93" s="8"/>
      <c r="H93" s="8"/>
      <c r="I93" s="8"/>
      <c r="J93" s="9"/>
      <c r="K93" s="9">
        <f t="shared" si="31"/>
        <v>0</v>
      </c>
      <c r="L93" s="35">
        <f t="shared" si="32"/>
        <v>0</v>
      </c>
      <c r="M93" s="2"/>
      <c r="O93" s="19"/>
      <c r="P93" s="19"/>
      <c r="Q93" s="19"/>
      <c r="R93" s="21"/>
      <c r="S93" s="46"/>
      <c r="T93" s="44"/>
      <c r="U93" s="77"/>
      <c r="V93" s="24"/>
      <c r="W93" s="24"/>
      <c r="X93" s="193"/>
      <c r="Y93" s="15"/>
    </row>
    <row r="94" spans="2:25" x14ac:dyDescent="0.25">
      <c r="B94" s="15">
        <v>92</v>
      </c>
      <c r="C94" s="8"/>
      <c r="F94" s="380"/>
      <c r="G94" s="8"/>
      <c r="H94" s="8"/>
      <c r="I94" s="8"/>
      <c r="J94" s="9"/>
      <c r="K94" s="9">
        <f t="shared" si="31"/>
        <v>0</v>
      </c>
      <c r="L94" s="35">
        <f t="shared" si="32"/>
        <v>0</v>
      </c>
      <c r="M94" s="2"/>
      <c r="O94" s="19"/>
      <c r="P94" s="19"/>
      <c r="Q94" s="19"/>
      <c r="R94" s="21"/>
      <c r="S94" s="46"/>
      <c r="T94" s="44"/>
      <c r="U94" s="77"/>
      <c r="V94" s="24"/>
      <c r="W94" s="24"/>
      <c r="X94" s="193"/>
      <c r="Y94" s="15"/>
    </row>
    <row r="95" spans="2:25" x14ac:dyDescent="0.25">
      <c r="B95" s="15">
        <v>93</v>
      </c>
      <c r="C95" s="8"/>
      <c r="F95" s="380"/>
      <c r="G95" s="8"/>
      <c r="H95" s="8"/>
      <c r="I95" s="8"/>
      <c r="J95" s="9"/>
      <c r="K95" s="9">
        <f t="shared" si="31"/>
        <v>0</v>
      </c>
      <c r="L95" s="35">
        <f t="shared" si="32"/>
        <v>0</v>
      </c>
      <c r="M95" s="2"/>
      <c r="O95" s="19"/>
      <c r="P95" s="19"/>
      <c r="Q95" s="19"/>
      <c r="R95" s="46"/>
      <c r="S95" s="46"/>
      <c r="T95" s="44"/>
      <c r="U95" s="77"/>
      <c r="V95" s="30"/>
      <c r="W95" s="24"/>
      <c r="X95" s="193"/>
      <c r="Y95" s="15"/>
    </row>
    <row r="96" spans="2:25" x14ac:dyDescent="0.25">
      <c r="B96" s="15">
        <v>94</v>
      </c>
      <c r="C96" s="8"/>
      <c r="F96" s="380"/>
      <c r="G96" s="8"/>
      <c r="H96" s="8"/>
      <c r="I96" s="8"/>
      <c r="J96" s="9"/>
      <c r="K96" s="9">
        <f t="shared" si="31"/>
        <v>0</v>
      </c>
      <c r="L96" s="35">
        <f t="shared" si="32"/>
        <v>0</v>
      </c>
      <c r="M96" s="2"/>
      <c r="O96" s="19"/>
      <c r="P96" s="19"/>
      <c r="Q96" s="19"/>
      <c r="R96" s="254"/>
      <c r="S96" s="46"/>
      <c r="T96" s="44"/>
      <c r="U96" s="77"/>
      <c r="V96" s="30"/>
      <c r="W96" s="24"/>
      <c r="X96" s="193"/>
      <c r="Y96" s="15"/>
    </row>
    <row r="97" spans="2:25" x14ac:dyDescent="0.25">
      <c r="B97" s="15">
        <v>95</v>
      </c>
      <c r="C97" s="8"/>
      <c r="F97" s="380"/>
      <c r="G97" s="8"/>
      <c r="H97" s="8"/>
      <c r="I97" s="8"/>
      <c r="J97" s="9"/>
      <c r="K97" s="9">
        <f t="shared" si="31"/>
        <v>0</v>
      </c>
      <c r="L97" s="35">
        <f t="shared" si="32"/>
        <v>0</v>
      </c>
      <c r="M97" s="2"/>
      <c r="O97" s="19"/>
      <c r="P97" s="19"/>
      <c r="Q97" s="19"/>
      <c r="R97" s="21"/>
      <c r="S97" s="46"/>
      <c r="T97" s="44"/>
      <c r="U97" s="77"/>
      <c r="V97" s="30"/>
      <c r="W97" s="24"/>
      <c r="X97" s="193"/>
      <c r="Y97" s="15"/>
    </row>
    <row r="98" spans="2:25" x14ac:dyDescent="0.25">
      <c r="B98" s="15">
        <v>96</v>
      </c>
      <c r="C98" s="8"/>
      <c r="F98" s="380"/>
      <c r="G98" s="8"/>
      <c r="H98" s="8"/>
      <c r="I98" s="8"/>
      <c r="J98" s="9"/>
      <c r="K98" s="9">
        <f t="shared" si="31"/>
        <v>0</v>
      </c>
      <c r="L98" s="35">
        <f t="shared" si="32"/>
        <v>0</v>
      </c>
      <c r="M98" s="2"/>
      <c r="O98" s="19"/>
      <c r="P98" s="19"/>
      <c r="Q98" s="19"/>
      <c r="R98" s="21"/>
      <c r="S98" s="46"/>
      <c r="T98" s="44"/>
      <c r="U98" s="77"/>
      <c r="V98" s="24"/>
      <c r="W98" s="24"/>
      <c r="X98" s="193"/>
      <c r="Y98" s="15"/>
    </row>
    <row r="99" spans="2:25" x14ac:dyDescent="0.25">
      <c r="B99" s="15">
        <v>97</v>
      </c>
      <c r="C99" s="8"/>
      <c r="F99" s="380"/>
      <c r="G99" s="8"/>
      <c r="H99" s="8"/>
      <c r="I99" s="8"/>
      <c r="J99" s="9"/>
      <c r="K99" s="9">
        <f t="shared" si="31"/>
        <v>0</v>
      </c>
      <c r="L99" s="35">
        <f t="shared" si="32"/>
        <v>0</v>
      </c>
      <c r="M99" s="2"/>
      <c r="O99" s="19"/>
      <c r="P99" s="19"/>
      <c r="Q99" s="19"/>
      <c r="R99" s="21"/>
      <c r="S99" s="46"/>
      <c r="T99" s="44"/>
      <c r="U99" s="77"/>
      <c r="V99" s="24"/>
      <c r="W99" s="24"/>
      <c r="X99" s="193"/>
      <c r="Y99" s="15"/>
    </row>
    <row r="100" spans="2:25" x14ac:dyDescent="0.25">
      <c r="B100" s="15">
        <v>98</v>
      </c>
      <c r="C100" s="8"/>
      <c r="F100" s="380"/>
      <c r="G100" s="8"/>
      <c r="H100" s="8"/>
      <c r="I100" s="8"/>
      <c r="J100" s="9"/>
      <c r="K100" s="9">
        <f t="shared" si="31"/>
        <v>0</v>
      </c>
      <c r="L100" s="35">
        <f t="shared" si="32"/>
        <v>0</v>
      </c>
      <c r="M100" s="2"/>
      <c r="O100" s="19"/>
      <c r="P100" s="19"/>
      <c r="Q100" s="19"/>
      <c r="R100" s="21"/>
      <c r="S100" s="46"/>
      <c r="T100" s="44"/>
      <c r="U100" s="77"/>
      <c r="V100" s="24"/>
      <c r="W100" s="24"/>
      <c r="X100" s="193"/>
      <c r="Y100" s="15"/>
    </row>
    <row r="101" spans="2:25" x14ac:dyDescent="0.25">
      <c r="B101" s="15">
        <v>99</v>
      </c>
      <c r="C101" s="8"/>
      <c r="F101" s="380"/>
      <c r="G101" s="8"/>
      <c r="H101" s="8"/>
      <c r="I101" s="8"/>
      <c r="J101" s="9"/>
      <c r="K101" s="9">
        <f t="shared" si="31"/>
        <v>0</v>
      </c>
      <c r="L101" s="35">
        <f t="shared" si="32"/>
        <v>0</v>
      </c>
      <c r="M101" s="2"/>
      <c r="O101" s="19"/>
      <c r="P101" s="19"/>
      <c r="Q101" s="19"/>
      <c r="R101" s="21"/>
      <c r="S101" s="46"/>
      <c r="T101" s="44"/>
      <c r="U101" s="77"/>
      <c r="V101" s="24"/>
      <c r="W101" s="24"/>
      <c r="X101" s="193"/>
      <c r="Y101" s="15"/>
    </row>
    <row r="102" spans="2:25" x14ac:dyDescent="0.25">
      <c r="B102" s="15">
        <v>100</v>
      </c>
      <c r="C102" s="8"/>
      <c r="F102" s="380"/>
      <c r="G102" s="8"/>
      <c r="H102" s="8"/>
      <c r="I102" s="8"/>
      <c r="J102" s="9"/>
      <c r="K102" s="9">
        <f t="shared" si="31"/>
        <v>0</v>
      </c>
      <c r="L102" s="35">
        <f t="shared" si="32"/>
        <v>0</v>
      </c>
      <c r="M102" s="2"/>
      <c r="O102" s="19"/>
      <c r="P102" s="19"/>
      <c r="Q102" s="19"/>
      <c r="R102" s="21"/>
      <c r="S102" s="46"/>
      <c r="T102" s="44"/>
      <c r="U102" s="77"/>
      <c r="V102" s="24"/>
      <c r="W102" s="24"/>
      <c r="X102" s="193"/>
      <c r="Y102" s="15"/>
    </row>
    <row r="103" spans="2:25" x14ac:dyDescent="0.25">
      <c r="B103" s="15">
        <v>101</v>
      </c>
      <c r="C103" s="8"/>
      <c r="F103" s="380"/>
      <c r="G103" s="8"/>
      <c r="H103" s="8"/>
      <c r="I103" s="8"/>
      <c r="J103" s="9"/>
      <c r="K103" s="9">
        <f t="shared" si="31"/>
        <v>0</v>
      </c>
      <c r="L103" s="35">
        <f t="shared" si="32"/>
        <v>0</v>
      </c>
      <c r="M103" s="2"/>
      <c r="O103" s="19"/>
      <c r="P103" s="19"/>
      <c r="Q103" s="19"/>
      <c r="R103" s="21"/>
      <c r="S103" s="46"/>
      <c r="T103" s="44"/>
      <c r="U103" s="77"/>
      <c r="V103" s="30"/>
      <c r="W103" s="24"/>
      <c r="X103" s="193"/>
      <c r="Y103" s="15"/>
    </row>
    <row r="104" spans="2:25" x14ac:dyDescent="0.25">
      <c r="B104" s="15">
        <v>102</v>
      </c>
      <c r="C104" s="8"/>
      <c r="F104" s="380"/>
      <c r="G104" s="8"/>
      <c r="H104" s="8"/>
      <c r="I104" s="8"/>
      <c r="J104" s="9"/>
      <c r="K104" s="9">
        <f t="shared" si="31"/>
        <v>0</v>
      </c>
      <c r="L104" s="35">
        <f t="shared" si="32"/>
        <v>0</v>
      </c>
      <c r="M104" s="2"/>
      <c r="O104" s="19"/>
      <c r="P104" s="19"/>
      <c r="Q104" s="19"/>
      <c r="R104" s="21"/>
      <c r="S104" s="46"/>
      <c r="T104" s="44"/>
      <c r="U104" s="77"/>
      <c r="V104" s="24"/>
      <c r="W104" s="24"/>
      <c r="X104" s="193"/>
      <c r="Y104" s="15"/>
    </row>
    <row r="105" spans="2:25" x14ac:dyDescent="0.25">
      <c r="B105" s="15">
        <v>103</v>
      </c>
      <c r="C105" s="8"/>
      <c r="F105" s="380"/>
      <c r="G105" s="8"/>
      <c r="H105" s="8"/>
      <c r="I105" s="8"/>
      <c r="J105" s="9"/>
      <c r="K105" s="9">
        <f t="shared" si="31"/>
        <v>0</v>
      </c>
      <c r="L105" s="35">
        <f t="shared" si="32"/>
        <v>0</v>
      </c>
      <c r="M105" s="2"/>
      <c r="O105" s="19"/>
      <c r="P105" s="19"/>
      <c r="Q105" s="19"/>
      <c r="R105" s="21"/>
      <c r="S105" s="46"/>
      <c r="T105" s="44"/>
      <c r="U105" s="77"/>
      <c r="V105" s="24"/>
      <c r="W105" s="24"/>
      <c r="X105" s="193"/>
      <c r="Y105" s="15"/>
    </row>
    <row r="106" spans="2:25" x14ac:dyDescent="0.25">
      <c r="B106" s="15">
        <v>104</v>
      </c>
      <c r="C106" s="8"/>
      <c r="F106" s="381"/>
      <c r="G106" s="8"/>
      <c r="H106" s="8"/>
      <c r="I106" s="8"/>
      <c r="J106" s="9"/>
      <c r="K106" s="9">
        <f t="shared" si="31"/>
        <v>0</v>
      </c>
      <c r="L106" s="35">
        <f t="shared" si="32"/>
        <v>0</v>
      </c>
      <c r="M106" s="2"/>
      <c r="O106" s="19"/>
      <c r="P106" s="19"/>
      <c r="Q106" s="19"/>
      <c r="R106" s="21"/>
      <c r="S106" s="46"/>
      <c r="T106" s="44"/>
      <c r="U106" s="77"/>
      <c r="V106" s="24"/>
      <c r="W106" s="24"/>
      <c r="X106" s="193"/>
      <c r="Y106" s="15"/>
    </row>
    <row r="107" spans="2:25" x14ac:dyDescent="0.25">
      <c r="B107" s="15">
        <v>105</v>
      </c>
      <c r="C107" s="8"/>
      <c r="F107" s="380"/>
      <c r="G107" s="8"/>
      <c r="H107" s="8"/>
      <c r="I107" s="8"/>
      <c r="J107" s="9"/>
      <c r="K107" s="9">
        <f t="shared" si="31"/>
        <v>0</v>
      </c>
      <c r="L107" s="35">
        <f t="shared" si="32"/>
        <v>0</v>
      </c>
      <c r="M107" s="2"/>
      <c r="O107" s="19"/>
      <c r="P107" s="19"/>
      <c r="Q107" s="19"/>
      <c r="R107" s="21"/>
      <c r="S107" s="46"/>
      <c r="T107" s="44"/>
      <c r="U107" s="77"/>
      <c r="V107" s="24"/>
      <c r="W107" s="24"/>
      <c r="X107" s="193"/>
      <c r="Y107" s="15"/>
    </row>
    <row r="108" spans="2:25" x14ac:dyDescent="0.25">
      <c r="B108" s="15">
        <v>106</v>
      </c>
      <c r="C108" s="8"/>
      <c r="F108" s="380"/>
      <c r="G108" s="8"/>
      <c r="H108" s="8"/>
      <c r="I108" s="8"/>
      <c r="J108" s="9"/>
      <c r="K108" s="9">
        <f t="shared" si="31"/>
        <v>0</v>
      </c>
      <c r="L108" s="35">
        <f t="shared" si="32"/>
        <v>0</v>
      </c>
      <c r="M108" s="2"/>
      <c r="O108" s="19"/>
      <c r="P108" s="19"/>
      <c r="Q108" s="19"/>
      <c r="R108" s="21"/>
      <c r="S108" s="46"/>
      <c r="T108" s="44"/>
      <c r="U108" s="77"/>
      <c r="V108" s="24"/>
      <c r="W108" s="24"/>
      <c r="X108" s="193"/>
      <c r="Y108" s="15"/>
    </row>
    <row r="109" spans="2:25" x14ac:dyDescent="0.25">
      <c r="B109" s="15">
        <v>107</v>
      </c>
      <c r="C109" s="8"/>
      <c r="F109" s="380"/>
      <c r="G109" s="8"/>
      <c r="H109" s="8"/>
      <c r="I109" s="8"/>
      <c r="J109" s="9"/>
      <c r="K109" s="9">
        <f t="shared" si="31"/>
        <v>0</v>
      </c>
      <c r="L109" s="35">
        <f t="shared" si="32"/>
        <v>0</v>
      </c>
      <c r="M109" s="2"/>
      <c r="O109" s="19"/>
      <c r="P109" s="19"/>
      <c r="Q109" s="19"/>
      <c r="R109" s="21"/>
      <c r="S109" s="46"/>
      <c r="T109" s="44"/>
      <c r="U109" s="77"/>
      <c r="V109" s="30"/>
      <c r="W109" s="24"/>
      <c r="X109" s="193"/>
      <c r="Y109" s="15"/>
    </row>
    <row r="110" spans="2:25" x14ac:dyDescent="0.25">
      <c r="B110" s="15">
        <v>108</v>
      </c>
      <c r="C110" s="8"/>
      <c r="F110" s="380"/>
      <c r="G110" s="8"/>
      <c r="H110" s="8"/>
      <c r="I110" s="8"/>
      <c r="J110" s="9"/>
      <c r="K110" s="9">
        <f t="shared" si="31"/>
        <v>0</v>
      </c>
      <c r="L110" s="35">
        <f t="shared" si="32"/>
        <v>0</v>
      </c>
      <c r="M110" s="2"/>
      <c r="O110" s="19"/>
      <c r="P110" s="19"/>
      <c r="Q110" s="19"/>
      <c r="R110" s="21"/>
      <c r="S110" s="46"/>
      <c r="T110" s="44"/>
      <c r="U110" s="77"/>
      <c r="V110" s="30"/>
      <c r="W110" s="24"/>
      <c r="X110" s="193"/>
      <c r="Y110" s="15"/>
    </row>
    <row r="111" spans="2:25" x14ac:dyDescent="0.25">
      <c r="B111" s="15">
        <v>109</v>
      </c>
      <c r="C111" s="8"/>
      <c r="F111" s="380"/>
      <c r="G111" s="8"/>
      <c r="H111" s="8"/>
      <c r="I111" s="8"/>
      <c r="J111" s="9"/>
      <c r="K111" s="9">
        <f t="shared" si="31"/>
        <v>0</v>
      </c>
      <c r="L111" s="35">
        <f t="shared" si="32"/>
        <v>0</v>
      </c>
      <c r="M111" s="2"/>
      <c r="O111" s="19"/>
      <c r="P111" s="19"/>
      <c r="Q111" s="19"/>
      <c r="R111" s="21"/>
      <c r="S111" s="46"/>
      <c r="T111" s="44"/>
      <c r="U111" s="77"/>
      <c r="V111" s="30"/>
      <c r="W111" s="24"/>
      <c r="X111" s="193"/>
      <c r="Y111" s="15"/>
    </row>
    <row r="112" spans="2:25" x14ac:dyDescent="0.25">
      <c r="B112" s="15">
        <v>110</v>
      </c>
      <c r="C112" s="8"/>
      <c r="F112" s="380"/>
      <c r="G112" s="8"/>
      <c r="H112" s="8"/>
      <c r="I112" s="8"/>
      <c r="J112" s="9"/>
      <c r="K112" s="9">
        <f t="shared" si="31"/>
        <v>0</v>
      </c>
      <c r="L112" s="35">
        <f t="shared" si="32"/>
        <v>0</v>
      </c>
      <c r="M112" s="2"/>
      <c r="O112" s="19"/>
      <c r="P112" s="19"/>
      <c r="Q112" s="19"/>
      <c r="R112" s="21"/>
      <c r="S112" s="46"/>
      <c r="T112" s="44"/>
      <c r="U112" s="77"/>
      <c r="V112" s="24"/>
      <c r="W112" s="24"/>
      <c r="X112" s="193"/>
      <c r="Y112" s="15"/>
    </row>
    <row r="113" spans="2:25" x14ac:dyDescent="0.25">
      <c r="B113" s="15">
        <v>111</v>
      </c>
      <c r="C113" s="8"/>
      <c r="F113" s="380"/>
      <c r="G113" s="8"/>
      <c r="H113" s="8"/>
      <c r="I113" s="8"/>
      <c r="J113" s="9"/>
      <c r="K113" s="9">
        <f t="shared" si="31"/>
        <v>0</v>
      </c>
      <c r="L113" s="35">
        <f t="shared" si="32"/>
        <v>0</v>
      </c>
      <c r="M113" s="2"/>
      <c r="O113" s="19"/>
      <c r="P113" s="19"/>
      <c r="Q113" s="19"/>
      <c r="R113" s="21"/>
      <c r="S113" s="46"/>
      <c r="T113" s="44"/>
      <c r="U113" s="77"/>
      <c r="V113" s="24"/>
      <c r="W113" s="24"/>
      <c r="X113" s="193"/>
      <c r="Y113" s="15"/>
    </row>
    <row r="114" spans="2:25" x14ac:dyDescent="0.25">
      <c r="B114" s="15">
        <v>112</v>
      </c>
      <c r="C114" s="8"/>
      <c r="F114" s="380"/>
      <c r="G114" s="8"/>
      <c r="H114" s="8"/>
      <c r="I114" s="8"/>
      <c r="J114" s="9"/>
      <c r="K114" s="9">
        <f t="shared" si="31"/>
        <v>0</v>
      </c>
      <c r="L114" s="35">
        <f t="shared" si="32"/>
        <v>0</v>
      </c>
      <c r="M114" s="2"/>
      <c r="O114" s="19"/>
      <c r="P114" s="19"/>
      <c r="Q114" s="19"/>
      <c r="R114" s="21"/>
      <c r="S114" s="46"/>
      <c r="T114" s="44"/>
      <c r="U114" s="77"/>
      <c r="V114" s="24"/>
      <c r="W114" s="24"/>
      <c r="X114" s="193"/>
      <c r="Y114" s="15"/>
    </row>
    <row r="115" spans="2:25" x14ac:dyDescent="0.25">
      <c r="B115" s="15">
        <v>113</v>
      </c>
      <c r="C115" s="8"/>
      <c r="F115" s="380"/>
      <c r="G115" s="8"/>
      <c r="H115" s="8"/>
      <c r="I115" s="8"/>
      <c r="J115" s="9"/>
      <c r="K115" s="9">
        <f t="shared" si="31"/>
        <v>0</v>
      </c>
      <c r="L115" s="35">
        <f t="shared" si="32"/>
        <v>0</v>
      </c>
      <c r="M115" s="2"/>
      <c r="O115" s="19"/>
      <c r="P115" s="19"/>
      <c r="Q115" s="19"/>
      <c r="R115" s="21"/>
      <c r="S115" s="46"/>
      <c r="T115" s="44"/>
      <c r="U115" s="77"/>
      <c r="V115" s="24"/>
      <c r="W115" s="24"/>
      <c r="X115" s="193"/>
      <c r="Y115" s="15"/>
    </row>
    <row r="116" spans="2:25" x14ac:dyDescent="0.25">
      <c r="B116" s="15">
        <v>114</v>
      </c>
      <c r="C116" s="8"/>
      <c r="F116" s="380"/>
      <c r="G116" s="8"/>
      <c r="H116" s="8"/>
      <c r="I116" s="8"/>
      <c r="J116" s="9"/>
      <c r="K116" s="9">
        <f t="shared" si="31"/>
        <v>0</v>
      </c>
      <c r="L116" s="35">
        <f t="shared" si="32"/>
        <v>0</v>
      </c>
      <c r="M116" s="2"/>
      <c r="O116" s="19"/>
      <c r="P116" s="19"/>
      <c r="Q116" s="19"/>
      <c r="R116" s="21"/>
      <c r="S116" s="46"/>
      <c r="T116" s="44"/>
      <c r="U116" s="77"/>
      <c r="V116" s="30"/>
      <c r="W116" s="24"/>
      <c r="X116" s="193"/>
      <c r="Y116" s="15"/>
    </row>
    <row r="117" spans="2:25" x14ac:dyDescent="0.25">
      <c r="B117" s="15">
        <v>115</v>
      </c>
      <c r="C117" s="8"/>
      <c r="F117" s="380"/>
      <c r="G117" s="8"/>
      <c r="H117" s="8"/>
      <c r="I117" s="8"/>
      <c r="J117" s="9"/>
      <c r="K117" s="9">
        <f t="shared" si="31"/>
        <v>0</v>
      </c>
      <c r="L117" s="35">
        <f t="shared" si="32"/>
        <v>0</v>
      </c>
      <c r="M117" s="2"/>
      <c r="O117" s="19"/>
      <c r="P117" s="19"/>
      <c r="Q117" s="19"/>
      <c r="R117" s="21"/>
      <c r="S117" s="46"/>
      <c r="T117" s="44"/>
      <c r="U117" s="77"/>
      <c r="V117" s="30"/>
      <c r="W117" s="24"/>
      <c r="X117" s="193"/>
      <c r="Y117" s="15"/>
    </row>
    <row r="118" spans="2:25" x14ac:dyDescent="0.25">
      <c r="B118" s="15">
        <v>116</v>
      </c>
      <c r="C118" s="8"/>
      <c r="F118" s="380"/>
      <c r="G118" s="8"/>
      <c r="H118" s="8"/>
      <c r="I118" s="8"/>
      <c r="J118" s="9"/>
      <c r="K118" s="9">
        <f t="shared" si="31"/>
        <v>0</v>
      </c>
      <c r="L118" s="35">
        <f t="shared" si="32"/>
        <v>0</v>
      </c>
      <c r="M118" s="2"/>
      <c r="O118" s="19"/>
      <c r="P118" s="19"/>
      <c r="Q118" s="19"/>
      <c r="R118" s="21"/>
      <c r="S118" s="46"/>
      <c r="T118" s="44"/>
      <c r="U118" s="77"/>
      <c r="V118" s="30"/>
      <c r="W118" s="24"/>
      <c r="X118" s="193"/>
      <c r="Y118" s="15"/>
    </row>
    <row r="119" spans="2:25" x14ac:dyDescent="0.25">
      <c r="B119" s="15">
        <v>117</v>
      </c>
      <c r="C119" s="8"/>
      <c r="F119" s="380"/>
      <c r="G119" s="8"/>
      <c r="H119" s="8"/>
      <c r="I119" s="8"/>
      <c r="J119" s="9"/>
      <c r="K119" s="9">
        <f t="shared" si="31"/>
        <v>0</v>
      </c>
      <c r="L119" s="35">
        <f t="shared" si="32"/>
        <v>0</v>
      </c>
      <c r="M119" s="2"/>
      <c r="O119" s="19"/>
      <c r="P119" s="19"/>
      <c r="Q119" s="19"/>
      <c r="R119" s="21"/>
      <c r="S119" s="46"/>
      <c r="T119" s="44"/>
      <c r="U119" s="77"/>
      <c r="V119" s="30"/>
      <c r="W119" s="24"/>
      <c r="X119" s="193"/>
      <c r="Y119" s="15"/>
    </row>
    <row r="120" spans="2:25" x14ac:dyDescent="0.25">
      <c r="B120" s="15">
        <v>118</v>
      </c>
      <c r="C120" s="8"/>
      <c r="G120" s="8"/>
      <c r="H120" s="8"/>
      <c r="I120" s="8"/>
      <c r="J120" s="9"/>
      <c r="K120" s="9">
        <f t="shared" si="31"/>
        <v>0</v>
      </c>
      <c r="L120" s="35">
        <f t="shared" si="32"/>
        <v>0</v>
      </c>
      <c r="M120" s="2"/>
      <c r="O120" s="19"/>
      <c r="P120" s="19"/>
      <c r="Q120" s="19"/>
      <c r="R120" s="21"/>
      <c r="S120" s="46"/>
      <c r="T120" s="44"/>
      <c r="U120" s="77"/>
      <c r="V120" s="24"/>
      <c r="W120" s="24"/>
      <c r="X120" s="193"/>
      <c r="Y120" s="15"/>
    </row>
    <row r="121" spans="2:25" x14ac:dyDescent="0.25">
      <c r="B121" s="15">
        <v>119</v>
      </c>
      <c r="C121" s="8"/>
      <c r="G121" s="8"/>
      <c r="H121" s="8"/>
      <c r="I121" s="8"/>
      <c r="J121" s="9"/>
      <c r="K121" s="9">
        <f t="shared" si="31"/>
        <v>0</v>
      </c>
      <c r="L121" s="35">
        <f t="shared" si="32"/>
        <v>0</v>
      </c>
      <c r="M121" s="2"/>
      <c r="O121" s="19"/>
      <c r="P121" s="19"/>
      <c r="Q121" s="19"/>
      <c r="R121" s="21"/>
      <c r="S121" s="46"/>
      <c r="T121" s="44"/>
      <c r="U121" s="77"/>
      <c r="V121" s="24"/>
      <c r="W121" s="24"/>
      <c r="X121" s="193"/>
      <c r="Y121" s="15"/>
    </row>
    <row r="122" spans="2:25" x14ac:dyDescent="0.25">
      <c r="B122" s="15">
        <v>120</v>
      </c>
      <c r="C122" s="8"/>
      <c r="F122" s="380"/>
      <c r="G122" s="8"/>
      <c r="H122" s="8"/>
      <c r="I122" s="8"/>
      <c r="J122" s="9"/>
      <c r="K122" s="9">
        <f t="shared" si="31"/>
        <v>0</v>
      </c>
      <c r="L122" s="35">
        <f t="shared" si="32"/>
        <v>0</v>
      </c>
      <c r="M122" s="2"/>
      <c r="O122" s="19"/>
      <c r="P122" s="19"/>
      <c r="Q122" s="19"/>
      <c r="R122" s="21"/>
      <c r="S122" s="46"/>
      <c r="T122" s="44"/>
      <c r="U122" s="77"/>
      <c r="V122" s="24"/>
      <c r="W122" s="24"/>
      <c r="X122" s="193"/>
      <c r="Y122" s="15"/>
    </row>
    <row r="123" spans="2:25" x14ac:dyDescent="0.25">
      <c r="B123" s="15">
        <v>121</v>
      </c>
      <c r="C123" s="8"/>
      <c r="F123" s="380"/>
      <c r="G123" s="8"/>
      <c r="H123" s="8"/>
      <c r="I123" s="8"/>
      <c r="J123" s="9"/>
      <c r="K123" s="9">
        <f t="shared" si="31"/>
        <v>0</v>
      </c>
      <c r="L123" s="35">
        <f t="shared" si="32"/>
        <v>0</v>
      </c>
      <c r="M123" s="2"/>
      <c r="O123" s="19"/>
      <c r="P123" s="19"/>
      <c r="Q123" s="19"/>
      <c r="R123" s="21"/>
      <c r="S123" s="46"/>
      <c r="T123" s="44"/>
      <c r="U123" s="77"/>
      <c r="V123" s="24"/>
      <c r="W123" s="24"/>
      <c r="X123" s="193"/>
      <c r="Y123" s="15"/>
    </row>
    <row r="124" spans="2:25" x14ac:dyDescent="0.25">
      <c r="B124" s="15">
        <v>122</v>
      </c>
      <c r="C124" s="8"/>
      <c r="F124" s="380"/>
      <c r="G124" s="8"/>
      <c r="H124" s="8"/>
      <c r="I124" s="8"/>
      <c r="J124" s="9"/>
      <c r="K124" s="9">
        <f t="shared" si="31"/>
        <v>0</v>
      </c>
      <c r="L124" s="35">
        <f t="shared" si="32"/>
        <v>0</v>
      </c>
      <c r="M124" s="2"/>
      <c r="O124" s="19"/>
      <c r="P124" s="19"/>
      <c r="Q124" s="19"/>
      <c r="R124" s="21"/>
      <c r="S124" s="46"/>
      <c r="T124" s="44"/>
      <c r="U124" s="77"/>
      <c r="V124" s="24"/>
      <c r="W124" s="24"/>
      <c r="X124" s="193"/>
      <c r="Y124" s="15"/>
    </row>
    <row r="125" spans="2:25" x14ac:dyDescent="0.25">
      <c r="B125" s="15">
        <v>123</v>
      </c>
      <c r="C125" s="8"/>
      <c r="F125" s="380"/>
      <c r="G125" s="8"/>
      <c r="H125" s="8"/>
      <c r="I125" s="8"/>
      <c r="J125" s="9"/>
      <c r="K125" s="9">
        <f t="shared" si="31"/>
        <v>0</v>
      </c>
      <c r="L125" s="35">
        <f t="shared" si="32"/>
        <v>0</v>
      </c>
      <c r="M125" s="2"/>
      <c r="O125" s="19"/>
      <c r="P125" s="19"/>
      <c r="Q125" s="19"/>
      <c r="R125" s="21"/>
      <c r="S125" s="46"/>
      <c r="T125" s="44"/>
      <c r="U125" s="77"/>
      <c r="V125" s="30"/>
      <c r="W125" s="24"/>
      <c r="X125" s="193"/>
      <c r="Y125" s="15"/>
    </row>
    <row r="126" spans="2:25" x14ac:dyDescent="0.25">
      <c r="B126" s="15">
        <v>124</v>
      </c>
      <c r="C126" s="8"/>
      <c r="F126" s="380"/>
      <c r="G126" s="8"/>
      <c r="H126" s="8"/>
      <c r="I126" s="8"/>
      <c r="J126" s="9"/>
      <c r="K126" s="9">
        <f t="shared" si="31"/>
        <v>0</v>
      </c>
      <c r="L126" s="35">
        <f t="shared" si="32"/>
        <v>0</v>
      </c>
      <c r="M126" s="2"/>
      <c r="O126" s="19"/>
      <c r="P126" s="19"/>
      <c r="Q126" s="19"/>
      <c r="R126" s="21"/>
      <c r="S126" s="46"/>
      <c r="T126" s="44"/>
      <c r="U126" s="77"/>
      <c r="V126" s="30"/>
      <c r="W126" s="24"/>
      <c r="X126" s="193"/>
      <c r="Y126" s="15"/>
    </row>
    <row r="127" spans="2:25" x14ac:dyDescent="0.25">
      <c r="B127" s="15">
        <v>125</v>
      </c>
      <c r="C127" s="8"/>
      <c r="F127" s="380"/>
      <c r="G127" s="8"/>
      <c r="H127" s="8"/>
      <c r="I127" s="8"/>
      <c r="J127" s="9"/>
      <c r="K127" s="9">
        <f t="shared" si="31"/>
        <v>0</v>
      </c>
      <c r="L127" s="35">
        <f t="shared" si="32"/>
        <v>0</v>
      </c>
      <c r="M127" s="2"/>
      <c r="O127" s="19"/>
      <c r="P127" s="19"/>
      <c r="Q127" s="19"/>
      <c r="R127" s="21"/>
      <c r="S127" s="46"/>
      <c r="T127" s="44"/>
      <c r="U127" s="77"/>
      <c r="V127" s="24"/>
      <c r="W127" s="24"/>
      <c r="X127" s="193"/>
      <c r="Y127" s="15"/>
    </row>
    <row r="128" spans="2:25" x14ac:dyDescent="0.25">
      <c r="B128" s="15">
        <v>126</v>
      </c>
      <c r="C128" s="8"/>
      <c r="F128" s="380"/>
      <c r="G128" s="8"/>
      <c r="H128" s="8"/>
      <c r="I128" s="8"/>
      <c r="J128" s="9"/>
      <c r="K128" s="9">
        <f t="shared" si="31"/>
        <v>0</v>
      </c>
      <c r="L128" s="35">
        <f t="shared" si="32"/>
        <v>0</v>
      </c>
      <c r="M128" s="2"/>
      <c r="O128" s="19"/>
      <c r="P128" s="19"/>
      <c r="Q128" s="19"/>
      <c r="R128" s="21"/>
      <c r="S128" s="46"/>
      <c r="T128" s="44"/>
      <c r="U128" s="77"/>
      <c r="V128" s="24"/>
      <c r="W128" s="24"/>
      <c r="X128" s="193"/>
      <c r="Y128" s="15"/>
    </row>
    <row r="129" spans="2:25" x14ac:dyDescent="0.25">
      <c r="B129" s="15">
        <v>127</v>
      </c>
      <c r="C129" s="8"/>
      <c r="F129" s="380"/>
      <c r="G129" s="8"/>
      <c r="H129" s="8"/>
      <c r="I129" s="8"/>
      <c r="J129" s="9"/>
      <c r="K129" s="9">
        <f t="shared" si="31"/>
        <v>0</v>
      </c>
      <c r="L129" s="35">
        <f t="shared" si="32"/>
        <v>0</v>
      </c>
      <c r="M129" s="2"/>
      <c r="O129" s="19"/>
      <c r="P129" s="19"/>
      <c r="Q129" s="19"/>
      <c r="R129" s="21"/>
      <c r="S129" s="46"/>
      <c r="T129" s="44"/>
      <c r="U129" s="77"/>
      <c r="V129" s="24"/>
      <c r="W129" s="24"/>
      <c r="X129" s="193"/>
      <c r="Y129" s="15"/>
    </row>
    <row r="130" spans="2:25" x14ac:dyDescent="0.25">
      <c r="B130" s="15">
        <v>128</v>
      </c>
      <c r="C130" s="8"/>
      <c r="F130" s="380"/>
      <c r="G130" s="8"/>
      <c r="H130" s="8"/>
      <c r="I130" s="8"/>
      <c r="J130" s="9"/>
      <c r="K130" s="9">
        <f t="shared" si="31"/>
        <v>0</v>
      </c>
      <c r="L130" s="35">
        <f t="shared" si="32"/>
        <v>0</v>
      </c>
      <c r="M130" s="2"/>
      <c r="O130" s="19"/>
      <c r="P130" s="19"/>
      <c r="Q130" s="19"/>
      <c r="R130" s="21"/>
      <c r="S130" s="46"/>
      <c r="T130" s="44"/>
      <c r="U130" s="77"/>
      <c r="V130" s="24"/>
      <c r="W130" s="24"/>
      <c r="X130" s="193"/>
      <c r="Y130" s="15"/>
    </row>
    <row r="131" spans="2:25" x14ac:dyDescent="0.25">
      <c r="B131" s="15">
        <v>129</v>
      </c>
      <c r="C131" s="8"/>
      <c r="F131" s="380"/>
      <c r="G131" s="8"/>
      <c r="H131" s="8"/>
      <c r="I131" s="8"/>
      <c r="J131" s="9"/>
      <c r="K131" s="9">
        <f t="shared" ref="K131:K194" si="35">J131*1.1</f>
        <v>0</v>
      </c>
      <c r="L131" s="35">
        <f t="shared" ref="L131:L194" si="36">J131*0.00000001</f>
        <v>0</v>
      </c>
      <c r="M131" s="2"/>
      <c r="O131" s="19"/>
      <c r="P131" s="19"/>
      <c r="Q131" s="19"/>
      <c r="R131" s="21"/>
      <c r="S131" s="46"/>
      <c r="T131" s="44"/>
      <c r="U131" s="77"/>
      <c r="V131" s="24"/>
      <c r="W131" s="24"/>
      <c r="X131" s="193"/>
      <c r="Y131" s="15"/>
    </row>
    <row r="132" spans="2:25" x14ac:dyDescent="0.25">
      <c r="B132" s="15">
        <v>130</v>
      </c>
      <c r="C132" s="8"/>
      <c r="F132" s="380"/>
      <c r="G132" s="8"/>
      <c r="H132" s="8"/>
      <c r="I132" s="8"/>
      <c r="J132" s="9"/>
      <c r="K132" s="9">
        <f t="shared" si="35"/>
        <v>0</v>
      </c>
      <c r="L132" s="35">
        <f t="shared" si="36"/>
        <v>0</v>
      </c>
      <c r="M132" s="2"/>
      <c r="O132" s="19"/>
      <c r="P132" s="19"/>
      <c r="Q132" s="19"/>
      <c r="R132" s="21"/>
      <c r="S132" s="46"/>
      <c r="T132" s="44"/>
      <c r="U132" s="77"/>
      <c r="V132" s="24"/>
      <c r="W132" s="24"/>
      <c r="X132" s="193"/>
      <c r="Y132" s="15"/>
    </row>
    <row r="133" spans="2:25" x14ac:dyDescent="0.25">
      <c r="B133" s="15">
        <v>131</v>
      </c>
      <c r="C133" s="8"/>
      <c r="F133" s="380"/>
      <c r="G133" s="8"/>
      <c r="H133" s="8"/>
      <c r="I133" s="8"/>
      <c r="J133" s="9"/>
      <c r="K133" s="9">
        <f t="shared" si="35"/>
        <v>0</v>
      </c>
      <c r="L133" s="35">
        <f t="shared" si="36"/>
        <v>0</v>
      </c>
      <c r="M133" s="2"/>
      <c r="O133" s="19"/>
      <c r="P133" s="19"/>
      <c r="Q133" s="19"/>
      <c r="R133" s="21"/>
      <c r="S133" s="46"/>
      <c r="T133" s="44"/>
      <c r="U133" s="77"/>
      <c r="V133" s="24"/>
      <c r="W133" s="24"/>
      <c r="X133" s="193"/>
      <c r="Y133" s="15"/>
    </row>
    <row r="134" spans="2:25" x14ac:dyDescent="0.25">
      <c r="B134" s="15">
        <v>132</v>
      </c>
      <c r="C134" s="8"/>
      <c r="F134" s="380"/>
      <c r="G134" s="8"/>
      <c r="H134" s="8"/>
      <c r="I134" s="8"/>
      <c r="J134" s="9"/>
      <c r="K134" s="9">
        <f t="shared" si="35"/>
        <v>0</v>
      </c>
      <c r="L134" s="35">
        <f t="shared" si="36"/>
        <v>0</v>
      </c>
      <c r="M134" s="2"/>
      <c r="O134" s="19"/>
      <c r="P134" s="19"/>
      <c r="Q134" s="19"/>
      <c r="R134" s="21"/>
      <c r="S134" s="46"/>
      <c r="T134" s="44"/>
      <c r="U134" s="77"/>
      <c r="V134" s="24"/>
      <c r="W134" s="24"/>
      <c r="X134" s="193"/>
      <c r="Y134" s="15"/>
    </row>
    <row r="135" spans="2:25" x14ac:dyDescent="0.25">
      <c r="B135" s="15">
        <v>132</v>
      </c>
      <c r="C135" s="8"/>
      <c r="F135" s="380"/>
      <c r="G135" s="8"/>
      <c r="H135" s="8"/>
      <c r="I135" s="8"/>
      <c r="J135" s="9"/>
      <c r="K135" s="9">
        <f t="shared" si="35"/>
        <v>0</v>
      </c>
      <c r="L135" s="35">
        <f t="shared" si="36"/>
        <v>0</v>
      </c>
      <c r="M135" s="2"/>
      <c r="O135" s="19"/>
      <c r="P135" s="19"/>
      <c r="Q135" s="19"/>
      <c r="R135" s="21"/>
      <c r="S135" s="46"/>
      <c r="T135" s="44"/>
      <c r="U135" s="77"/>
      <c r="V135" s="24"/>
      <c r="W135" s="24"/>
      <c r="X135" s="193"/>
      <c r="Y135" s="15"/>
    </row>
    <row r="136" spans="2:25" x14ac:dyDescent="0.25">
      <c r="B136" s="15">
        <v>133</v>
      </c>
      <c r="C136" s="8"/>
      <c r="F136" s="380"/>
      <c r="G136" s="8"/>
      <c r="H136" s="8"/>
      <c r="I136" s="8"/>
      <c r="J136" s="9"/>
      <c r="K136" s="9">
        <f t="shared" si="35"/>
        <v>0</v>
      </c>
      <c r="L136" s="35">
        <f t="shared" si="36"/>
        <v>0</v>
      </c>
      <c r="M136" s="2"/>
      <c r="O136" s="19"/>
      <c r="P136" s="19"/>
      <c r="Q136" s="19"/>
      <c r="R136" s="21"/>
      <c r="S136" s="46"/>
      <c r="T136" s="44"/>
      <c r="U136" s="77"/>
      <c r="V136" s="24"/>
      <c r="W136" s="24"/>
      <c r="X136" s="193"/>
      <c r="Y136" s="15"/>
    </row>
    <row r="137" spans="2:25" x14ac:dyDescent="0.25">
      <c r="B137" s="15">
        <v>134</v>
      </c>
      <c r="C137" s="8"/>
      <c r="F137" s="380"/>
      <c r="G137" s="8"/>
      <c r="H137" s="8"/>
      <c r="I137" s="8"/>
      <c r="K137" s="9">
        <f t="shared" si="35"/>
        <v>0</v>
      </c>
      <c r="L137" s="35">
        <f t="shared" si="36"/>
        <v>0</v>
      </c>
      <c r="M137" s="2"/>
      <c r="O137" s="19"/>
      <c r="P137" s="19"/>
      <c r="Q137" s="19"/>
      <c r="S137" s="46"/>
      <c r="T137" s="44"/>
      <c r="U137" s="77"/>
      <c r="V137" s="24"/>
      <c r="W137" s="24"/>
      <c r="X137" s="193"/>
      <c r="Y137" s="15"/>
    </row>
    <row r="138" spans="2:25" x14ac:dyDescent="0.25">
      <c r="B138" s="15">
        <v>135</v>
      </c>
      <c r="C138" s="8"/>
      <c r="F138" s="380"/>
      <c r="G138" s="8"/>
      <c r="H138" s="8"/>
      <c r="I138" s="8"/>
      <c r="K138" s="9">
        <f t="shared" si="35"/>
        <v>0</v>
      </c>
      <c r="L138" s="35">
        <f t="shared" si="36"/>
        <v>0</v>
      </c>
      <c r="M138" s="2"/>
      <c r="O138" s="19"/>
      <c r="P138" s="19"/>
      <c r="Q138" s="19"/>
      <c r="S138" s="46"/>
      <c r="T138" s="44"/>
      <c r="U138" s="77"/>
      <c r="V138" s="24"/>
      <c r="W138" s="24"/>
      <c r="X138" s="193"/>
      <c r="Y138" s="15"/>
    </row>
    <row r="139" spans="2:25" x14ac:dyDescent="0.25">
      <c r="B139" s="15">
        <v>136</v>
      </c>
      <c r="C139" s="8"/>
      <c r="F139" s="380"/>
      <c r="G139" s="8"/>
      <c r="H139" s="8"/>
      <c r="I139" s="8"/>
      <c r="K139" s="9">
        <f t="shared" si="35"/>
        <v>0</v>
      </c>
      <c r="L139" s="35">
        <f t="shared" si="36"/>
        <v>0</v>
      </c>
      <c r="M139" s="2"/>
      <c r="O139" s="19"/>
      <c r="P139" s="19"/>
      <c r="Q139" s="19"/>
      <c r="S139" s="46"/>
      <c r="T139" s="44"/>
      <c r="U139" s="77"/>
      <c r="V139" s="24"/>
      <c r="W139" s="24"/>
      <c r="X139" s="193"/>
      <c r="Y139" s="15"/>
    </row>
    <row r="140" spans="2:25" x14ac:dyDescent="0.25">
      <c r="B140" s="15">
        <v>138</v>
      </c>
      <c r="C140" s="8"/>
      <c r="F140" s="380"/>
      <c r="G140" s="8"/>
      <c r="H140" s="8"/>
      <c r="I140" s="8"/>
      <c r="J140" s="9"/>
      <c r="K140" s="9">
        <f t="shared" si="35"/>
        <v>0</v>
      </c>
      <c r="L140" s="35">
        <f t="shared" si="36"/>
        <v>0</v>
      </c>
      <c r="M140" s="2"/>
      <c r="O140" s="19"/>
      <c r="P140" s="19"/>
      <c r="Q140" s="19"/>
      <c r="R140" s="21"/>
      <c r="S140" s="46"/>
      <c r="T140" s="44"/>
      <c r="U140" s="77"/>
      <c r="V140" s="24"/>
      <c r="W140" s="24"/>
      <c r="X140" s="193"/>
      <c r="Y140" s="15"/>
    </row>
    <row r="141" spans="2:25" x14ac:dyDescent="0.25">
      <c r="B141" s="15">
        <v>139</v>
      </c>
      <c r="C141" s="8"/>
      <c r="F141" s="380"/>
      <c r="G141" s="8"/>
      <c r="H141" s="8"/>
      <c r="I141" s="8"/>
      <c r="J141" s="9"/>
      <c r="K141" s="9">
        <f t="shared" si="35"/>
        <v>0</v>
      </c>
      <c r="L141" s="35">
        <f t="shared" si="36"/>
        <v>0</v>
      </c>
      <c r="M141" s="2"/>
      <c r="O141" s="19"/>
      <c r="P141" s="19"/>
      <c r="Q141" s="19"/>
      <c r="R141" s="21"/>
      <c r="S141" s="46"/>
      <c r="T141" s="44"/>
      <c r="U141" s="77"/>
      <c r="V141" s="30"/>
      <c r="W141" s="24"/>
      <c r="X141" s="193"/>
      <c r="Y141" s="15"/>
    </row>
    <row r="142" spans="2:25" x14ac:dyDescent="0.25">
      <c r="B142" s="15">
        <v>140</v>
      </c>
      <c r="C142" s="8"/>
      <c r="F142" s="380"/>
      <c r="G142" s="8"/>
      <c r="H142" s="8"/>
      <c r="I142" s="8"/>
      <c r="J142" s="9"/>
      <c r="K142" s="9">
        <f t="shared" si="35"/>
        <v>0</v>
      </c>
      <c r="L142" s="35">
        <f t="shared" si="36"/>
        <v>0</v>
      </c>
      <c r="M142" s="2"/>
      <c r="O142" s="19"/>
      <c r="P142" s="19"/>
      <c r="Q142" s="19"/>
      <c r="R142" s="21"/>
      <c r="S142" s="46"/>
      <c r="T142" s="44"/>
      <c r="U142" s="77"/>
      <c r="V142" s="30"/>
      <c r="W142" s="24"/>
      <c r="X142" s="193"/>
      <c r="Y142" s="15"/>
    </row>
    <row r="143" spans="2:25" x14ac:dyDescent="0.25">
      <c r="B143" s="15">
        <v>141</v>
      </c>
      <c r="C143" s="8"/>
      <c r="F143" s="380"/>
      <c r="G143" s="8"/>
      <c r="H143" s="8"/>
      <c r="I143" s="8"/>
      <c r="J143" s="9"/>
      <c r="K143" s="9">
        <f t="shared" si="35"/>
        <v>0</v>
      </c>
      <c r="L143" s="35">
        <f t="shared" si="36"/>
        <v>0</v>
      </c>
      <c r="M143" s="2"/>
      <c r="O143" s="19"/>
      <c r="P143" s="19"/>
      <c r="Q143" s="19"/>
      <c r="R143" s="21"/>
      <c r="S143" s="46"/>
      <c r="T143" s="44"/>
      <c r="U143" s="77"/>
      <c r="V143" s="24"/>
      <c r="W143" s="24"/>
      <c r="X143" s="193"/>
      <c r="Y143" s="15"/>
    </row>
    <row r="144" spans="2:25" x14ac:dyDescent="0.25">
      <c r="B144" s="15">
        <v>142</v>
      </c>
      <c r="C144" s="8"/>
      <c r="F144" s="380"/>
      <c r="G144" s="8"/>
      <c r="H144" s="8"/>
      <c r="I144" s="8"/>
      <c r="J144" s="9"/>
      <c r="K144" s="9">
        <f t="shared" si="35"/>
        <v>0</v>
      </c>
      <c r="L144" s="35">
        <f t="shared" si="36"/>
        <v>0</v>
      </c>
      <c r="M144" s="2"/>
      <c r="O144" s="19"/>
      <c r="P144" s="19"/>
      <c r="Q144" s="19"/>
      <c r="R144" s="21"/>
      <c r="S144" s="46"/>
      <c r="T144" s="44"/>
      <c r="U144" s="77"/>
      <c r="V144" s="24"/>
      <c r="W144" s="24"/>
      <c r="X144" s="193"/>
      <c r="Y144" s="15"/>
    </row>
    <row r="145" spans="2:25" x14ac:dyDescent="0.25">
      <c r="B145" s="15">
        <v>143</v>
      </c>
      <c r="C145" s="8"/>
      <c r="F145" s="380"/>
      <c r="G145" s="8"/>
      <c r="H145" s="8"/>
      <c r="I145" s="8"/>
      <c r="J145" s="9"/>
      <c r="K145" s="9">
        <f t="shared" si="35"/>
        <v>0</v>
      </c>
      <c r="L145" s="35">
        <f t="shared" si="36"/>
        <v>0</v>
      </c>
      <c r="M145" s="2"/>
      <c r="O145" s="19"/>
      <c r="P145" s="19"/>
      <c r="Q145" s="19"/>
      <c r="R145" s="21"/>
      <c r="S145" s="46"/>
      <c r="T145" s="44"/>
      <c r="U145" s="77"/>
      <c r="V145" s="24"/>
      <c r="W145" s="24"/>
      <c r="X145" s="193"/>
      <c r="Y145" s="15"/>
    </row>
    <row r="146" spans="2:25" x14ac:dyDescent="0.25">
      <c r="B146" s="15">
        <v>144</v>
      </c>
      <c r="C146" s="8"/>
      <c r="F146" s="380"/>
      <c r="G146" s="8"/>
      <c r="H146" s="8"/>
      <c r="I146" s="8"/>
      <c r="J146" s="9"/>
      <c r="K146" s="9">
        <f t="shared" si="35"/>
        <v>0</v>
      </c>
      <c r="L146" s="35">
        <f t="shared" si="36"/>
        <v>0</v>
      </c>
      <c r="M146" s="2"/>
      <c r="O146" s="19"/>
      <c r="P146" s="19"/>
      <c r="Q146" s="19"/>
      <c r="R146" s="21"/>
      <c r="S146" s="46"/>
      <c r="T146" s="44"/>
      <c r="U146" s="77"/>
      <c r="V146" s="24"/>
      <c r="W146" s="24"/>
      <c r="X146" s="193"/>
      <c r="Y146" s="15"/>
    </row>
    <row r="147" spans="2:25" x14ac:dyDescent="0.25">
      <c r="B147" s="15">
        <v>145</v>
      </c>
      <c r="C147" s="8"/>
      <c r="F147" s="380"/>
      <c r="G147" s="8"/>
      <c r="H147" s="8"/>
      <c r="I147" s="8"/>
      <c r="J147" s="9"/>
      <c r="K147" s="9">
        <f t="shared" si="35"/>
        <v>0</v>
      </c>
      <c r="L147" s="35">
        <f t="shared" si="36"/>
        <v>0</v>
      </c>
      <c r="M147" s="2"/>
      <c r="O147" s="19"/>
      <c r="P147" s="19"/>
      <c r="Q147" s="19"/>
      <c r="R147" s="21"/>
      <c r="S147" s="46"/>
      <c r="T147" s="44"/>
      <c r="U147" s="77"/>
      <c r="V147" s="24"/>
      <c r="W147" s="24"/>
      <c r="X147" s="193"/>
      <c r="Y147" s="15"/>
    </row>
    <row r="148" spans="2:25" x14ac:dyDescent="0.25">
      <c r="B148" s="15">
        <v>146</v>
      </c>
      <c r="C148" s="8"/>
      <c r="F148" s="380"/>
      <c r="G148" s="8"/>
      <c r="H148" s="8"/>
      <c r="I148" s="8"/>
      <c r="J148" s="9"/>
      <c r="K148" s="9">
        <f t="shared" si="35"/>
        <v>0</v>
      </c>
      <c r="L148" s="35">
        <f t="shared" si="36"/>
        <v>0</v>
      </c>
      <c r="M148" s="2"/>
      <c r="O148" s="19"/>
      <c r="P148" s="19"/>
      <c r="Q148" s="19"/>
      <c r="R148" s="21"/>
      <c r="S148" s="46"/>
      <c r="T148" s="44"/>
      <c r="U148" s="77"/>
      <c r="V148" s="30"/>
      <c r="W148" s="24"/>
      <c r="X148" s="193"/>
      <c r="Y148" s="15"/>
    </row>
    <row r="149" spans="2:25" x14ac:dyDescent="0.25">
      <c r="B149" s="15">
        <v>147</v>
      </c>
      <c r="C149" s="8"/>
      <c r="F149" s="380"/>
      <c r="G149" s="8"/>
      <c r="H149" s="8"/>
      <c r="I149" s="8"/>
      <c r="K149" s="9">
        <f t="shared" si="35"/>
        <v>0</v>
      </c>
      <c r="L149" s="35">
        <f t="shared" si="36"/>
        <v>0</v>
      </c>
      <c r="O149" s="19"/>
      <c r="P149" s="19"/>
      <c r="Q149" s="19"/>
      <c r="S149" s="46"/>
      <c r="T149" s="44"/>
      <c r="U149" s="77"/>
      <c r="V149" s="79"/>
      <c r="W149" s="24"/>
      <c r="X149" s="193"/>
      <c r="Y149" s="15"/>
    </row>
    <row r="150" spans="2:25" x14ac:dyDescent="0.25">
      <c r="B150" s="15">
        <v>148</v>
      </c>
      <c r="C150" s="8"/>
      <c r="F150" s="380"/>
      <c r="G150" s="8"/>
      <c r="H150" s="8"/>
      <c r="I150" s="8"/>
      <c r="J150" s="9"/>
      <c r="K150" s="9">
        <f t="shared" si="35"/>
        <v>0</v>
      </c>
      <c r="L150" s="35">
        <f t="shared" si="36"/>
        <v>0</v>
      </c>
      <c r="M150" s="2"/>
      <c r="O150" s="19"/>
      <c r="P150" s="19"/>
      <c r="Q150" s="19"/>
      <c r="R150" s="21"/>
      <c r="S150" s="46"/>
      <c r="T150" s="44"/>
      <c r="U150" s="77"/>
      <c r="V150" s="79"/>
      <c r="W150" s="24"/>
      <c r="X150" s="193"/>
      <c r="Y150" s="15"/>
    </row>
    <row r="151" spans="2:25" x14ac:dyDescent="0.25">
      <c r="B151" s="15">
        <v>149</v>
      </c>
      <c r="C151" s="8"/>
      <c r="F151" s="380"/>
      <c r="G151" s="8"/>
      <c r="H151" s="8"/>
      <c r="I151" s="8"/>
      <c r="J151" s="9"/>
      <c r="K151" s="9">
        <f t="shared" si="35"/>
        <v>0</v>
      </c>
      <c r="L151" s="35">
        <f t="shared" si="36"/>
        <v>0</v>
      </c>
      <c r="M151" s="2"/>
      <c r="O151" s="19"/>
      <c r="P151" s="19"/>
      <c r="Q151" s="19"/>
      <c r="R151" s="21"/>
      <c r="S151" s="46"/>
      <c r="T151" s="44"/>
      <c r="U151" s="77"/>
      <c r="V151" s="24"/>
      <c r="W151" s="24"/>
      <c r="X151" s="193"/>
      <c r="Y151" s="15"/>
    </row>
    <row r="152" spans="2:25" x14ac:dyDescent="0.25">
      <c r="B152" s="15">
        <v>150</v>
      </c>
      <c r="C152" s="8"/>
      <c r="F152" s="380"/>
      <c r="G152" s="8"/>
      <c r="H152" s="8"/>
      <c r="I152" s="8"/>
      <c r="J152" s="9"/>
      <c r="K152" s="9">
        <f t="shared" si="35"/>
        <v>0</v>
      </c>
      <c r="L152" s="35">
        <f t="shared" si="36"/>
        <v>0</v>
      </c>
      <c r="M152" s="2"/>
      <c r="O152" s="19"/>
      <c r="P152" s="19"/>
      <c r="Q152" s="19"/>
      <c r="R152" s="21"/>
      <c r="S152" s="46"/>
      <c r="T152" s="44"/>
      <c r="U152" s="77"/>
      <c r="V152" s="24"/>
      <c r="W152" s="24"/>
      <c r="X152" s="193"/>
      <c r="Y152" s="15"/>
    </row>
    <row r="153" spans="2:25" x14ac:dyDescent="0.25">
      <c r="B153" s="15">
        <v>151</v>
      </c>
      <c r="C153" s="8"/>
      <c r="F153" s="380"/>
      <c r="G153" s="8"/>
      <c r="H153" s="8"/>
      <c r="I153" s="8"/>
      <c r="J153" s="9"/>
      <c r="K153" s="9">
        <f t="shared" si="35"/>
        <v>0</v>
      </c>
      <c r="L153" s="35">
        <f t="shared" si="36"/>
        <v>0</v>
      </c>
      <c r="M153" s="2"/>
      <c r="O153" s="19"/>
      <c r="P153" s="19"/>
      <c r="Q153" s="19"/>
      <c r="R153" s="21"/>
      <c r="S153" s="46"/>
      <c r="T153" s="44"/>
      <c r="U153" s="77"/>
      <c r="V153" s="24"/>
      <c r="W153" s="24"/>
      <c r="X153" s="193"/>
      <c r="Y153" s="15"/>
    </row>
    <row r="154" spans="2:25" x14ac:dyDescent="0.25">
      <c r="B154" s="15">
        <v>152</v>
      </c>
      <c r="C154" s="8"/>
      <c r="F154" s="380"/>
      <c r="G154" s="8"/>
      <c r="H154" s="8"/>
      <c r="I154" s="8"/>
      <c r="J154" s="9"/>
      <c r="K154" s="9">
        <f t="shared" si="35"/>
        <v>0</v>
      </c>
      <c r="L154" s="35">
        <f t="shared" si="36"/>
        <v>0</v>
      </c>
      <c r="M154" s="2"/>
      <c r="O154" s="19"/>
      <c r="P154" s="19"/>
      <c r="Q154" s="19"/>
      <c r="R154" s="21"/>
      <c r="S154" s="46"/>
      <c r="T154" s="44"/>
      <c r="U154" s="77"/>
      <c r="V154" s="24"/>
      <c r="W154" s="24"/>
      <c r="X154" s="193"/>
      <c r="Y154" s="15"/>
    </row>
    <row r="155" spans="2:25" x14ac:dyDescent="0.25">
      <c r="B155" s="15">
        <v>153</v>
      </c>
      <c r="C155" s="8"/>
      <c r="F155" s="380"/>
      <c r="G155" s="8"/>
      <c r="H155" s="8"/>
      <c r="I155" s="8"/>
      <c r="J155" s="9"/>
      <c r="K155" s="9">
        <f t="shared" si="35"/>
        <v>0</v>
      </c>
      <c r="L155" s="35">
        <f t="shared" si="36"/>
        <v>0</v>
      </c>
      <c r="M155" s="2"/>
      <c r="O155" s="19"/>
      <c r="P155" s="19"/>
      <c r="Q155" s="19"/>
      <c r="R155" s="21"/>
      <c r="S155" s="46"/>
      <c r="T155" s="44"/>
      <c r="U155" s="77"/>
      <c r="V155" s="30"/>
      <c r="W155" s="24"/>
      <c r="X155" s="193"/>
      <c r="Y155" s="15"/>
    </row>
    <row r="156" spans="2:25" x14ac:dyDescent="0.25">
      <c r="B156" s="15">
        <v>154</v>
      </c>
      <c r="C156" s="8"/>
      <c r="F156" s="380"/>
      <c r="G156" s="8"/>
      <c r="H156" s="8"/>
      <c r="I156" s="8"/>
      <c r="J156" s="9"/>
      <c r="K156" s="9">
        <f t="shared" si="35"/>
        <v>0</v>
      </c>
      <c r="L156" s="35">
        <f t="shared" si="36"/>
        <v>0</v>
      </c>
      <c r="M156" s="2"/>
      <c r="O156" s="19"/>
      <c r="P156" s="19"/>
      <c r="Q156" s="19"/>
      <c r="R156" s="21"/>
      <c r="S156" s="46"/>
      <c r="T156" s="44"/>
      <c r="U156" s="77"/>
      <c r="V156" s="24"/>
      <c r="W156" s="24"/>
      <c r="X156" s="193"/>
      <c r="Y156" s="15"/>
    </row>
    <row r="157" spans="2:25" x14ac:dyDescent="0.25">
      <c r="B157" s="15">
        <v>155</v>
      </c>
      <c r="C157" s="8"/>
      <c r="F157" s="380"/>
      <c r="G157" s="8"/>
      <c r="H157" s="8"/>
      <c r="I157" s="8"/>
      <c r="J157" s="9"/>
      <c r="K157" s="9">
        <f t="shared" si="35"/>
        <v>0</v>
      </c>
      <c r="L157" s="35">
        <f t="shared" si="36"/>
        <v>0</v>
      </c>
      <c r="M157" s="2"/>
      <c r="O157" s="19"/>
      <c r="P157" s="19"/>
      <c r="Q157" s="19"/>
      <c r="R157" s="21"/>
      <c r="S157" s="46"/>
      <c r="T157" s="44"/>
      <c r="U157" s="77"/>
      <c r="V157" s="24"/>
      <c r="W157" s="24"/>
      <c r="X157" s="193"/>
      <c r="Y157" s="15"/>
    </row>
    <row r="158" spans="2:25" x14ac:dyDescent="0.25">
      <c r="B158" s="15">
        <v>156</v>
      </c>
      <c r="C158" s="8"/>
      <c r="F158" s="380"/>
      <c r="G158" s="8"/>
      <c r="H158" s="8"/>
      <c r="I158" s="8"/>
      <c r="J158" s="9"/>
      <c r="K158" s="9">
        <f t="shared" si="35"/>
        <v>0</v>
      </c>
      <c r="L158" s="35">
        <f t="shared" si="36"/>
        <v>0</v>
      </c>
      <c r="M158" s="2"/>
      <c r="O158" s="19"/>
      <c r="P158" s="19"/>
      <c r="Q158" s="19"/>
      <c r="R158" s="21"/>
      <c r="S158" s="46"/>
      <c r="T158" s="44"/>
      <c r="U158" s="77"/>
      <c r="V158" s="24"/>
      <c r="W158" s="24"/>
      <c r="X158" s="193"/>
      <c r="Y158" s="15"/>
    </row>
    <row r="159" spans="2:25" x14ac:dyDescent="0.25">
      <c r="B159" s="15">
        <v>157</v>
      </c>
      <c r="C159" s="8"/>
      <c r="F159" s="380"/>
      <c r="G159" s="8"/>
      <c r="H159" s="8"/>
      <c r="I159" s="8"/>
      <c r="J159" s="9"/>
      <c r="K159" s="9">
        <f t="shared" si="35"/>
        <v>0</v>
      </c>
      <c r="L159" s="35">
        <f t="shared" si="36"/>
        <v>0</v>
      </c>
      <c r="M159" s="2"/>
      <c r="O159" s="19"/>
      <c r="P159" s="19"/>
      <c r="Q159" s="19"/>
      <c r="R159" s="21"/>
      <c r="S159" s="46"/>
      <c r="T159" s="44"/>
      <c r="U159" s="77"/>
      <c r="V159" s="24"/>
      <c r="W159" s="24"/>
      <c r="X159" s="193"/>
      <c r="Y159" s="15"/>
    </row>
    <row r="160" spans="2:25" x14ac:dyDescent="0.25">
      <c r="B160" s="15">
        <v>158</v>
      </c>
      <c r="C160" s="8"/>
      <c r="F160" s="380"/>
      <c r="G160" s="8"/>
      <c r="H160" s="8"/>
      <c r="I160" s="8"/>
      <c r="J160" s="9"/>
      <c r="K160" s="9">
        <f t="shared" si="35"/>
        <v>0</v>
      </c>
      <c r="L160" s="35">
        <f t="shared" si="36"/>
        <v>0</v>
      </c>
      <c r="M160" s="2"/>
      <c r="O160" s="19"/>
      <c r="P160" s="19"/>
      <c r="Q160" s="19"/>
      <c r="R160" s="21"/>
      <c r="S160" s="46"/>
      <c r="T160" s="44"/>
      <c r="U160" s="77"/>
      <c r="V160" s="24"/>
      <c r="W160" s="24"/>
      <c r="X160" s="193"/>
      <c r="Y160" s="15"/>
    </row>
    <row r="161" spans="2:25" x14ac:dyDescent="0.25">
      <c r="B161" s="15">
        <v>159</v>
      </c>
      <c r="C161" s="8"/>
      <c r="F161" s="380"/>
      <c r="G161" s="8"/>
      <c r="H161" s="8"/>
      <c r="I161" s="8"/>
      <c r="J161" s="9"/>
      <c r="K161" s="9">
        <f t="shared" si="35"/>
        <v>0</v>
      </c>
      <c r="L161" s="35">
        <f t="shared" si="36"/>
        <v>0</v>
      </c>
      <c r="M161" s="2"/>
      <c r="O161" s="19"/>
      <c r="P161" s="19"/>
      <c r="Q161" s="19"/>
      <c r="R161" s="21"/>
      <c r="S161" s="46"/>
      <c r="T161" s="44"/>
      <c r="U161" s="77"/>
      <c r="V161" s="30"/>
      <c r="W161" s="24"/>
      <c r="X161" s="193"/>
      <c r="Y161" s="15"/>
    </row>
    <row r="162" spans="2:25" x14ac:dyDescent="0.25">
      <c r="B162" s="15">
        <v>160</v>
      </c>
      <c r="C162" s="8"/>
      <c r="F162" s="380"/>
      <c r="G162" s="8"/>
      <c r="H162" s="8"/>
      <c r="I162" s="8"/>
      <c r="J162" s="9"/>
      <c r="K162" s="9">
        <f t="shared" si="35"/>
        <v>0</v>
      </c>
      <c r="L162" s="35">
        <f t="shared" si="36"/>
        <v>0</v>
      </c>
      <c r="M162" s="2"/>
      <c r="O162" s="19"/>
      <c r="P162" s="19"/>
      <c r="Q162" s="19"/>
      <c r="R162" s="21"/>
      <c r="S162" s="46"/>
      <c r="T162" s="44"/>
      <c r="U162" s="77"/>
      <c r="V162" s="30"/>
      <c r="W162" s="24"/>
      <c r="X162" s="193"/>
      <c r="Y162" s="15"/>
    </row>
    <row r="163" spans="2:25" x14ac:dyDescent="0.25">
      <c r="B163" s="15">
        <v>161</v>
      </c>
      <c r="C163" s="8"/>
      <c r="F163" s="380"/>
      <c r="G163" s="8"/>
      <c r="H163" s="8"/>
      <c r="I163" s="8"/>
      <c r="J163" s="9"/>
      <c r="K163" s="9">
        <f t="shared" si="35"/>
        <v>0</v>
      </c>
      <c r="L163" s="35">
        <f t="shared" si="36"/>
        <v>0</v>
      </c>
      <c r="M163" s="2"/>
      <c r="O163" s="19"/>
      <c r="P163" s="19"/>
      <c r="Q163" s="19"/>
      <c r="R163" s="21"/>
      <c r="S163" s="46"/>
      <c r="T163" s="44"/>
      <c r="U163" s="77"/>
      <c r="V163" s="30"/>
      <c r="W163" s="24"/>
      <c r="X163" s="193"/>
      <c r="Y163" s="15"/>
    </row>
    <row r="164" spans="2:25" x14ac:dyDescent="0.25">
      <c r="B164" s="15">
        <v>162</v>
      </c>
      <c r="C164" s="8"/>
      <c r="F164" s="380"/>
      <c r="G164" s="8"/>
      <c r="H164" s="8"/>
      <c r="I164" s="8"/>
      <c r="J164" s="9"/>
      <c r="K164" s="9">
        <f t="shared" si="35"/>
        <v>0</v>
      </c>
      <c r="L164" s="35">
        <f t="shared" si="36"/>
        <v>0</v>
      </c>
      <c r="M164" s="2"/>
      <c r="O164" s="19"/>
      <c r="P164" s="19"/>
      <c r="Q164" s="19"/>
      <c r="R164" s="21"/>
      <c r="S164" s="46"/>
      <c r="T164" s="44"/>
      <c r="U164" s="77"/>
      <c r="V164" s="30"/>
      <c r="W164" s="24"/>
      <c r="X164" s="193"/>
      <c r="Y164" s="15"/>
    </row>
    <row r="165" spans="2:25" x14ac:dyDescent="0.25">
      <c r="B165" s="15">
        <v>163</v>
      </c>
      <c r="C165" s="8"/>
      <c r="F165" s="380"/>
      <c r="G165" s="8"/>
      <c r="H165" s="8"/>
      <c r="I165" s="8"/>
      <c r="J165" s="9"/>
      <c r="K165" s="9">
        <f t="shared" si="35"/>
        <v>0</v>
      </c>
      <c r="L165" s="35">
        <f t="shared" si="36"/>
        <v>0</v>
      </c>
      <c r="M165" s="2"/>
      <c r="O165" s="19"/>
      <c r="P165" s="19"/>
      <c r="Q165" s="19"/>
      <c r="R165" s="21"/>
      <c r="S165" s="46"/>
      <c r="T165" s="44"/>
      <c r="U165" s="77"/>
      <c r="V165" s="24"/>
      <c r="W165" s="24"/>
      <c r="X165" s="193"/>
      <c r="Y165" s="15"/>
    </row>
    <row r="166" spans="2:25" x14ac:dyDescent="0.25">
      <c r="B166" s="15">
        <v>164</v>
      </c>
      <c r="C166" s="8"/>
      <c r="F166" s="380"/>
      <c r="G166" s="8"/>
      <c r="H166" s="8"/>
      <c r="I166" s="8"/>
      <c r="J166" s="9"/>
      <c r="K166" s="9">
        <f t="shared" si="35"/>
        <v>0</v>
      </c>
      <c r="L166" s="35">
        <f t="shared" si="36"/>
        <v>0</v>
      </c>
      <c r="M166" s="2"/>
      <c r="O166" s="19"/>
      <c r="P166" s="19"/>
      <c r="Q166" s="19"/>
      <c r="R166" s="21"/>
      <c r="S166" s="46"/>
      <c r="T166" s="44"/>
      <c r="U166" s="77"/>
      <c r="V166" s="24"/>
      <c r="W166" s="24"/>
      <c r="X166" s="193"/>
      <c r="Y166" s="15"/>
    </row>
    <row r="167" spans="2:25" x14ac:dyDescent="0.25">
      <c r="B167" s="15">
        <v>165</v>
      </c>
      <c r="C167" s="8"/>
      <c r="F167" s="380"/>
      <c r="G167" s="8"/>
      <c r="H167" s="8"/>
      <c r="I167" s="8"/>
      <c r="J167" s="9"/>
      <c r="K167" s="9">
        <f t="shared" si="35"/>
        <v>0</v>
      </c>
      <c r="L167" s="35">
        <f t="shared" si="36"/>
        <v>0</v>
      </c>
      <c r="M167" s="2"/>
      <c r="O167" s="19"/>
      <c r="P167" s="19"/>
      <c r="Q167" s="19"/>
      <c r="R167" s="21"/>
      <c r="S167" s="46"/>
      <c r="T167" s="44"/>
      <c r="U167" s="77"/>
      <c r="V167" s="24"/>
      <c r="W167" s="24"/>
      <c r="X167" s="193"/>
      <c r="Y167" s="15"/>
    </row>
    <row r="168" spans="2:25" x14ac:dyDescent="0.25">
      <c r="B168" s="15">
        <v>166</v>
      </c>
      <c r="C168" s="8"/>
      <c r="F168" s="380"/>
      <c r="G168" s="8"/>
      <c r="H168" s="8"/>
      <c r="I168" s="8"/>
      <c r="J168" s="9"/>
      <c r="K168" s="9">
        <f t="shared" si="35"/>
        <v>0</v>
      </c>
      <c r="L168" s="35">
        <f t="shared" si="36"/>
        <v>0</v>
      </c>
      <c r="M168" s="2"/>
      <c r="O168" s="19"/>
      <c r="P168" s="19"/>
      <c r="Q168" s="19"/>
      <c r="R168" s="21"/>
      <c r="S168" s="46"/>
      <c r="T168" s="44"/>
      <c r="U168" s="77"/>
      <c r="V168" s="24"/>
      <c r="W168" s="24"/>
      <c r="X168" s="193"/>
      <c r="Y168" s="15"/>
    </row>
    <row r="169" spans="2:25" x14ac:dyDescent="0.25">
      <c r="B169" s="15">
        <v>167</v>
      </c>
      <c r="C169" s="8"/>
      <c r="F169" s="380"/>
      <c r="G169" s="8"/>
      <c r="H169" s="8"/>
      <c r="I169" s="8"/>
      <c r="J169" s="9"/>
      <c r="K169" s="9">
        <f t="shared" si="35"/>
        <v>0</v>
      </c>
      <c r="L169" s="35">
        <f t="shared" si="36"/>
        <v>0</v>
      </c>
      <c r="M169" s="2"/>
      <c r="O169" s="19"/>
      <c r="P169" s="19"/>
      <c r="Q169" s="19"/>
      <c r="R169" s="21"/>
      <c r="S169" s="46"/>
      <c r="T169" s="44"/>
      <c r="U169" s="77"/>
      <c r="V169" s="30"/>
      <c r="W169" s="24"/>
      <c r="X169" s="193"/>
      <c r="Y169" s="15"/>
    </row>
    <row r="170" spans="2:25" x14ac:dyDescent="0.25">
      <c r="B170" s="15">
        <v>168</v>
      </c>
      <c r="C170" s="8"/>
      <c r="F170" s="380"/>
      <c r="G170" s="8"/>
      <c r="H170" s="8"/>
      <c r="I170" s="8"/>
      <c r="J170" s="9"/>
      <c r="K170" s="9">
        <f t="shared" si="35"/>
        <v>0</v>
      </c>
      <c r="L170" s="35">
        <f t="shared" si="36"/>
        <v>0</v>
      </c>
      <c r="M170" s="2"/>
      <c r="O170" s="19"/>
      <c r="P170" s="19"/>
      <c r="Q170" s="19"/>
      <c r="R170" s="21"/>
      <c r="S170" s="46"/>
      <c r="T170" s="44"/>
      <c r="U170" s="77"/>
      <c r="V170" s="30"/>
      <c r="W170" s="24"/>
      <c r="X170" s="193"/>
      <c r="Y170" s="15"/>
    </row>
    <row r="171" spans="2:25" x14ac:dyDescent="0.25">
      <c r="B171" s="15">
        <v>169</v>
      </c>
      <c r="C171" s="8"/>
      <c r="F171" s="380"/>
      <c r="G171" s="8"/>
      <c r="H171" s="8"/>
      <c r="I171" s="8"/>
      <c r="J171" s="9"/>
      <c r="K171" s="9">
        <f t="shared" si="35"/>
        <v>0</v>
      </c>
      <c r="L171" s="35">
        <f t="shared" si="36"/>
        <v>0</v>
      </c>
      <c r="M171" s="2"/>
      <c r="O171" s="19"/>
      <c r="P171" s="19"/>
      <c r="Q171" s="19"/>
      <c r="R171" s="21"/>
      <c r="S171" s="46"/>
      <c r="T171" s="44"/>
      <c r="U171" s="77"/>
      <c r="V171" s="24"/>
      <c r="W171" s="24"/>
      <c r="X171" s="193"/>
      <c r="Y171" s="15"/>
    </row>
    <row r="172" spans="2:25" x14ac:dyDescent="0.25">
      <c r="B172" s="15">
        <v>170</v>
      </c>
      <c r="C172" s="8"/>
      <c r="F172" s="380"/>
      <c r="G172" s="8"/>
      <c r="H172" s="8"/>
      <c r="I172" s="8"/>
      <c r="J172" s="9"/>
      <c r="K172" s="9">
        <f t="shared" si="35"/>
        <v>0</v>
      </c>
      <c r="L172" s="35">
        <f t="shared" si="36"/>
        <v>0</v>
      </c>
      <c r="M172" s="2"/>
      <c r="O172" s="19"/>
      <c r="P172" s="19"/>
      <c r="Q172" s="19"/>
      <c r="R172" s="21"/>
      <c r="S172" s="46"/>
      <c r="T172" s="44"/>
      <c r="U172" s="77"/>
      <c r="V172" s="24"/>
      <c r="W172" s="24"/>
      <c r="X172" s="193"/>
      <c r="Y172" s="15"/>
    </row>
    <row r="173" spans="2:25" x14ac:dyDescent="0.25">
      <c r="B173" s="15">
        <v>171</v>
      </c>
      <c r="C173" s="8"/>
      <c r="F173" s="380"/>
      <c r="G173" s="8"/>
      <c r="H173" s="8"/>
      <c r="I173" s="8"/>
      <c r="J173" s="9"/>
      <c r="K173" s="9">
        <f t="shared" si="35"/>
        <v>0</v>
      </c>
      <c r="L173" s="35">
        <f t="shared" si="36"/>
        <v>0</v>
      </c>
      <c r="M173" s="2"/>
      <c r="O173" s="19"/>
      <c r="P173" s="19"/>
      <c r="Q173" s="19"/>
      <c r="R173" s="21"/>
      <c r="S173" s="46"/>
      <c r="T173" s="44"/>
      <c r="U173" s="77"/>
      <c r="V173" s="24"/>
      <c r="W173" s="24"/>
      <c r="X173" s="193"/>
      <c r="Y173" s="15"/>
    </row>
    <row r="174" spans="2:25" x14ac:dyDescent="0.25">
      <c r="B174" s="15">
        <v>172</v>
      </c>
      <c r="C174" s="8"/>
      <c r="F174" s="380"/>
      <c r="G174" s="8"/>
      <c r="H174" s="8"/>
      <c r="I174" s="8"/>
      <c r="J174" s="9"/>
      <c r="K174" s="9">
        <f t="shared" si="35"/>
        <v>0</v>
      </c>
      <c r="L174" s="35">
        <f t="shared" si="36"/>
        <v>0</v>
      </c>
      <c r="M174" s="2"/>
      <c r="O174" s="19"/>
      <c r="P174" s="19"/>
      <c r="Q174" s="19"/>
      <c r="R174" s="21"/>
      <c r="S174" s="46"/>
      <c r="T174" s="44"/>
      <c r="U174" s="77"/>
      <c r="V174" s="24"/>
      <c r="W174" s="24"/>
      <c r="X174" s="193"/>
      <c r="Y174" s="15"/>
    </row>
    <row r="175" spans="2:25" x14ac:dyDescent="0.25">
      <c r="B175" s="15">
        <v>173</v>
      </c>
      <c r="C175" s="8"/>
      <c r="F175" s="380"/>
      <c r="G175" s="8"/>
      <c r="H175" s="8"/>
      <c r="I175" s="8"/>
      <c r="J175" s="9"/>
      <c r="K175" s="9">
        <f t="shared" si="35"/>
        <v>0</v>
      </c>
      <c r="L175" s="35">
        <f t="shared" si="36"/>
        <v>0</v>
      </c>
      <c r="M175" s="2"/>
      <c r="O175" s="19"/>
      <c r="P175" s="19"/>
      <c r="Q175" s="19"/>
      <c r="R175" s="21"/>
      <c r="S175" s="46"/>
      <c r="T175" s="44"/>
      <c r="U175" s="77"/>
      <c r="V175" s="24"/>
      <c r="W175" s="24"/>
      <c r="X175" s="193"/>
      <c r="Y175" s="15"/>
    </row>
    <row r="176" spans="2:25" x14ac:dyDescent="0.25">
      <c r="B176" s="15">
        <v>174</v>
      </c>
      <c r="C176" s="8"/>
      <c r="F176" s="380"/>
      <c r="G176" s="8"/>
      <c r="H176" s="8"/>
      <c r="I176" s="8"/>
      <c r="J176" s="9"/>
      <c r="K176" s="9">
        <f t="shared" si="35"/>
        <v>0</v>
      </c>
      <c r="L176" s="35">
        <f t="shared" si="36"/>
        <v>0</v>
      </c>
      <c r="M176" s="2"/>
      <c r="O176" s="19"/>
      <c r="P176" s="19"/>
      <c r="Q176" s="19"/>
      <c r="R176" s="21"/>
      <c r="S176" s="46"/>
      <c r="T176" s="44"/>
      <c r="U176" s="77"/>
      <c r="V176" s="30"/>
      <c r="W176" s="24"/>
      <c r="X176" s="193"/>
      <c r="Y176" s="15"/>
    </row>
    <row r="177" spans="2:25" x14ac:dyDescent="0.25">
      <c r="B177" s="15">
        <v>175</v>
      </c>
      <c r="C177" s="8"/>
      <c r="F177" s="380"/>
      <c r="G177" s="8"/>
      <c r="H177" s="8"/>
      <c r="I177" s="8"/>
      <c r="J177" s="9"/>
      <c r="K177" s="9">
        <f t="shared" si="35"/>
        <v>0</v>
      </c>
      <c r="L177" s="35">
        <f t="shared" si="36"/>
        <v>0</v>
      </c>
      <c r="M177" s="2"/>
      <c r="O177" s="19"/>
      <c r="P177" s="19"/>
      <c r="Q177" s="19"/>
      <c r="R177" s="21"/>
      <c r="S177" s="46"/>
      <c r="T177" s="44"/>
      <c r="U177" s="77"/>
      <c r="V177" s="30"/>
      <c r="W177" s="24"/>
      <c r="X177" s="193"/>
      <c r="Y177" s="15"/>
    </row>
    <row r="178" spans="2:25" x14ac:dyDescent="0.25">
      <c r="B178" s="15">
        <v>176</v>
      </c>
      <c r="C178" s="8"/>
      <c r="F178" s="380"/>
      <c r="G178" s="8"/>
      <c r="H178" s="8"/>
      <c r="I178" s="8"/>
      <c r="J178" s="9"/>
      <c r="K178" s="9">
        <f t="shared" si="35"/>
        <v>0</v>
      </c>
      <c r="L178" s="35">
        <f t="shared" si="36"/>
        <v>0</v>
      </c>
      <c r="M178" s="2"/>
      <c r="O178" s="19"/>
      <c r="P178" s="19"/>
      <c r="Q178" s="19"/>
      <c r="R178" s="21"/>
      <c r="S178" s="46"/>
      <c r="T178" s="44"/>
      <c r="U178" s="77"/>
      <c r="V178" s="24"/>
      <c r="W178" s="24"/>
      <c r="X178" s="193"/>
      <c r="Y178" s="15"/>
    </row>
    <row r="179" spans="2:25" x14ac:dyDescent="0.25">
      <c r="B179" s="15">
        <v>177</v>
      </c>
      <c r="C179" s="8"/>
      <c r="F179" s="380"/>
      <c r="G179" s="8"/>
      <c r="H179" s="8"/>
      <c r="I179" s="8"/>
      <c r="J179" s="9"/>
      <c r="K179" s="9">
        <f t="shared" si="35"/>
        <v>0</v>
      </c>
      <c r="L179" s="35">
        <f t="shared" si="36"/>
        <v>0</v>
      </c>
      <c r="M179" s="2"/>
      <c r="O179" s="19"/>
      <c r="P179" s="19"/>
      <c r="Q179" s="19"/>
      <c r="R179" s="21"/>
      <c r="S179" s="46"/>
      <c r="T179" s="44"/>
      <c r="U179" s="77"/>
      <c r="V179" s="24"/>
      <c r="W179" s="24"/>
      <c r="X179" s="193"/>
      <c r="Y179" s="15"/>
    </row>
    <row r="180" spans="2:25" x14ac:dyDescent="0.25">
      <c r="B180" s="15">
        <v>178</v>
      </c>
      <c r="C180" s="8"/>
      <c r="F180" s="380"/>
      <c r="G180" s="8"/>
      <c r="H180" s="8"/>
      <c r="I180" s="8"/>
      <c r="J180" s="9"/>
      <c r="K180" s="9">
        <f t="shared" si="35"/>
        <v>0</v>
      </c>
      <c r="L180" s="35">
        <f t="shared" si="36"/>
        <v>0</v>
      </c>
      <c r="M180" s="2"/>
      <c r="O180" s="19"/>
      <c r="P180" s="19"/>
      <c r="Q180" s="19"/>
      <c r="R180" s="21"/>
      <c r="S180" s="46"/>
      <c r="T180" s="44"/>
      <c r="U180" s="77"/>
      <c r="V180" s="24"/>
      <c r="W180" s="24"/>
      <c r="X180" s="193"/>
      <c r="Y180" s="15"/>
    </row>
    <row r="181" spans="2:25" x14ac:dyDescent="0.25">
      <c r="B181" s="15">
        <v>179</v>
      </c>
      <c r="C181" s="8"/>
      <c r="F181" s="380"/>
      <c r="G181" s="8"/>
      <c r="H181" s="8"/>
      <c r="I181" s="8"/>
      <c r="J181" s="9"/>
      <c r="K181" s="9">
        <f t="shared" si="35"/>
        <v>0</v>
      </c>
      <c r="L181" s="35">
        <f t="shared" si="36"/>
        <v>0</v>
      </c>
      <c r="M181" s="2"/>
      <c r="O181" s="19"/>
      <c r="P181" s="19"/>
      <c r="Q181" s="19"/>
      <c r="R181" s="21"/>
      <c r="S181" s="46"/>
      <c r="T181" s="44"/>
      <c r="U181" s="77"/>
      <c r="V181" s="24"/>
      <c r="W181" s="24"/>
      <c r="X181" s="193"/>
      <c r="Y181" s="15"/>
    </row>
    <row r="182" spans="2:25" x14ac:dyDescent="0.25">
      <c r="B182" s="15">
        <v>180</v>
      </c>
      <c r="C182" s="8"/>
      <c r="F182" s="380"/>
      <c r="G182" s="8"/>
      <c r="H182" s="8"/>
      <c r="I182" s="8"/>
      <c r="J182" s="9"/>
      <c r="K182" s="9">
        <f t="shared" si="35"/>
        <v>0</v>
      </c>
      <c r="L182" s="35">
        <f t="shared" si="36"/>
        <v>0</v>
      </c>
      <c r="M182" s="2"/>
      <c r="O182" s="19"/>
      <c r="P182" s="19"/>
      <c r="Q182" s="19"/>
      <c r="R182" s="21"/>
      <c r="S182" s="46"/>
      <c r="T182" s="44"/>
      <c r="U182" s="77"/>
      <c r="V182" s="24"/>
      <c r="W182" s="24"/>
      <c r="X182" s="193"/>
      <c r="Y182" s="15"/>
    </row>
    <row r="183" spans="2:25" x14ac:dyDescent="0.25">
      <c r="B183" s="15">
        <v>181</v>
      </c>
      <c r="C183" s="8"/>
      <c r="F183" s="380"/>
      <c r="G183" s="8"/>
      <c r="H183" s="8"/>
      <c r="I183" s="8"/>
      <c r="J183" s="9"/>
      <c r="K183" s="9">
        <f t="shared" si="35"/>
        <v>0</v>
      </c>
      <c r="L183" s="35">
        <f t="shared" si="36"/>
        <v>0</v>
      </c>
      <c r="M183" s="2"/>
      <c r="O183" s="19"/>
      <c r="P183" s="19"/>
      <c r="Q183" s="19"/>
      <c r="R183" s="21"/>
      <c r="S183" s="46"/>
      <c r="T183" s="44"/>
      <c r="U183" s="77"/>
      <c r="V183" s="30"/>
      <c r="W183" s="24"/>
      <c r="X183" s="193"/>
      <c r="Y183" s="15"/>
    </row>
    <row r="184" spans="2:25" x14ac:dyDescent="0.25">
      <c r="B184" s="15">
        <v>182</v>
      </c>
      <c r="C184" s="8"/>
      <c r="F184" s="380"/>
      <c r="G184" s="8"/>
      <c r="H184" s="8"/>
      <c r="I184" s="8"/>
      <c r="J184" s="9"/>
      <c r="K184" s="9">
        <f t="shared" si="35"/>
        <v>0</v>
      </c>
      <c r="L184" s="35">
        <f t="shared" si="36"/>
        <v>0</v>
      </c>
      <c r="M184" s="2"/>
      <c r="O184" s="19"/>
      <c r="P184" s="19"/>
      <c r="Q184" s="19"/>
      <c r="R184" s="21"/>
      <c r="S184" s="46"/>
      <c r="T184" s="44"/>
      <c r="U184" s="77"/>
      <c r="V184" s="30"/>
      <c r="W184" s="24"/>
      <c r="X184" s="193"/>
      <c r="Y184" s="15"/>
    </row>
    <row r="185" spans="2:25" x14ac:dyDescent="0.25">
      <c r="B185" s="15">
        <v>183</v>
      </c>
      <c r="C185" s="8"/>
      <c r="F185" s="380"/>
      <c r="G185" s="8"/>
      <c r="H185" s="8"/>
      <c r="I185" s="8"/>
      <c r="J185" s="9"/>
      <c r="K185" s="9">
        <f t="shared" si="35"/>
        <v>0</v>
      </c>
      <c r="L185" s="35">
        <f t="shared" si="36"/>
        <v>0</v>
      </c>
      <c r="M185" s="2"/>
      <c r="O185" s="19"/>
      <c r="P185" s="19"/>
      <c r="Q185" s="19"/>
      <c r="R185" s="21"/>
      <c r="S185" s="46"/>
      <c r="T185" s="44"/>
      <c r="U185" s="77"/>
      <c r="V185" s="30"/>
      <c r="W185" s="24"/>
      <c r="X185" s="193"/>
      <c r="Y185" s="15"/>
    </row>
    <row r="186" spans="2:25" x14ac:dyDescent="0.25">
      <c r="B186" s="15">
        <v>184</v>
      </c>
      <c r="C186" s="8"/>
      <c r="F186" s="380"/>
      <c r="G186" s="8"/>
      <c r="H186" s="8"/>
      <c r="I186" s="8"/>
      <c r="J186" s="9"/>
      <c r="K186" s="9">
        <f t="shared" si="35"/>
        <v>0</v>
      </c>
      <c r="L186" s="35">
        <f t="shared" si="36"/>
        <v>0</v>
      </c>
      <c r="M186" s="2"/>
      <c r="O186" s="19"/>
      <c r="P186" s="19"/>
      <c r="Q186" s="19"/>
      <c r="R186" s="21"/>
      <c r="S186" s="46"/>
      <c r="T186" s="44"/>
      <c r="U186" s="77"/>
      <c r="V186" s="30"/>
      <c r="W186" s="24"/>
      <c r="X186" s="193"/>
      <c r="Y186" s="15"/>
    </row>
    <row r="187" spans="2:25" x14ac:dyDescent="0.25">
      <c r="B187" s="15">
        <v>185</v>
      </c>
      <c r="C187" s="8"/>
      <c r="F187" s="380"/>
      <c r="G187" s="8"/>
      <c r="H187" s="8"/>
      <c r="I187" s="8"/>
      <c r="J187" s="9"/>
      <c r="K187" s="9">
        <f t="shared" si="35"/>
        <v>0</v>
      </c>
      <c r="L187" s="35">
        <f t="shared" si="36"/>
        <v>0</v>
      </c>
      <c r="M187" s="2"/>
      <c r="O187" s="19"/>
      <c r="P187" s="19"/>
      <c r="Q187" s="19"/>
      <c r="R187" s="21"/>
      <c r="S187" s="46"/>
      <c r="T187" s="44"/>
      <c r="U187" s="77"/>
      <c r="V187" s="24"/>
      <c r="W187" s="24"/>
      <c r="X187" s="193"/>
      <c r="Y187" s="15"/>
    </row>
    <row r="188" spans="2:25" x14ac:dyDescent="0.25">
      <c r="B188" s="15">
        <v>186</v>
      </c>
      <c r="C188" s="8"/>
      <c r="F188" s="380"/>
      <c r="G188" s="8"/>
      <c r="H188" s="8"/>
      <c r="I188" s="8"/>
      <c r="J188" s="9"/>
      <c r="K188" s="9">
        <f t="shared" si="35"/>
        <v>0</v>
      </c>
      <c r="L188" s="35">
        <f t="shared" si="36"/>
        <v>0</v>
      </c>
      <c r="M188" s="2"/>
      <c r="O188" s="19"/>
      <c r="P188" s="19"/>
      <c r="Q188" s="19"/>
      <c r="R188" s="21"/>
      <c r="S188" s="46"/>
      <c r="T188" s="44"/>
      <c r="U188" s="77"/>
      <c r="V188" s="24"/>
      <c r="W188" s="24"/>
      <c r="X188" s="193"/>
      <c r="Y188" s="15"/>
    </row>
    <row r="189" spans="2:25" x14ac:dyDescent="0.25">
      <c r="B189" s="15">
        <v>187</v>
      </c>
      <c r="C189" s="8"/>
      <c r="F189" s="380"/>
      <c r="G189" s="8"/>
      <c r="H189" s="8"/>
      <c r="I189" s="8"/>
      <c r="J189" s="9"/>
      <c r="K189" s="9">
        <f t="shared" si="35"/>
        <v>0</v>
      </c>
      <c r="L189" s="35">
        <f t="shared" si="36"/>
        <v>0</v>
      </c>
      <c r="M189" s="2"/>
      <c r="O189" s="19"/>
      <c r="P189" s="19"/>
      <c r="Q189" s="19"/>
      <c r="R189" s="21"/>
      <c r="S189" s="46"/>
      <c r="T189" s="44"/>
      <c r="U189" s="77"/>
      <c r="V189" s="24"/>
      <c r="W189" s="24"/>
      <c r="X189" s="193"/>
      <c r="Y189" s="15"/>
    </row>
    <row r="190" spans="2:25" x14ac:dyDescent="0.25">
      <c r="B190" s="15">
        <v>188</v>
      </c>
      <c r="C190" s="8"/>
      <c r="F190" s="380"/>
      <c r="G190" s="8"/>
      <c r="H190" s="8"/>
      <c r="I190" s="8"/>
      <c r="J190" s="9"/>
      <c r="K190" s="9">
        <f t="shared" si="35"/>
        <v>0</v>
      </c>
      <c r="L190" s="35">
        <f t="shared" si="36"/>
        <v>0</v>
      </c>
      <c r="M190" s="2"/>
      <c r="O190" s="19"/>
      <c r="P190" s="19"/>
      <c r="Q190" s="19"/>
      <c r="R190" s="279"/>
      <c r="S190" s="46"/>
      <c r="T190" s="44"/>
      <c r="U190" s="77"/>
      <c r="V190" s="24"/>
      <c r="W190" s="24"/>
      <c r="X190" s="193"/>
      <c r="Y190" s="15"/>
    </row>
    <row r="191" spans="2:25" x14ac:dyDescent="0.25">
      <c r="B191" s="15">
        <v>189</v>
      </c>
      <c r="C191" s="8"/>
      <c r="F191" s="380"/>
      <c r="G191" s="8"/>
      <c r="H191" s="8"/>
      <c r="I191" s="8"/>
      <c r="J191" s="9"/>
      <c r="K191" s="9">
        <f t="shared" si="35"/>
        <v>0</v>
      </c>
      <c r="L191" s="35">
        <f t="shared" si="36"/>
        <v>0</v>
      </c>
      <c r="M191" s="2"/>
      <c r="O191" s="19"/>
      <c r="P191" s="19"/>
      <c r="Q191" s="19"/>
      <c r="R191" s="21"/>
      <c r="S191" s="46"/>
      <c r="T191" s="44"/>
      <c r="U191" s="77"/>
      <c r="V191" s="24"/>
      <c r="W191" s="24"/>
      <c r="X191" s="193"/>
      <c r="Y191" s="15"/>
    </row>
    <row r="192" spans="2:25" x14ac:dyDescent="0.25">
      <c r="B192" s="15">
        <v>190</v>
      </c>
      <c r="C192" s="8"/>
      <c r="F192" s="380"/>
      <c r="G192" s="8"/>
      <c r="H192" s="8"/>
      <c r="I192" s="8"/>
      <c r="J192" s="9"/>
      <c r="K192" s="9">
        <f t="shared" si="35"/>
        <v>0</v>
      </c>
      <c r="L192" s="35">
        <f t="shared" si="36"/>
        <v>0</v>
      </c>
      <c r="M192" s="2"/>
      <c r="O192" s="19"/>
      <c r="P192" s="19"/>
      <c r="Q192" s="19"/>
      <c r="R192" s="21"/>
      <c r="S192" s="46"/>
      <c r="T192" s="44"/>
      <c r="U192" s="77"/>
      <c r="V192" s="30"/>
      <c r="W192" s="24"/>
      <c r="X192" s="193"/>
      <c r="Y192" s="15"/>
    </row>
    <row r="193" spans="2:25" x14ac:dyDescent="0.25">
      <c r="B193" s="15">
        <v>191</v>
      </c>
      <c r="C193" s="8"/>
      <c r="F193" s="380"/>
      <c r="G193" s="8"/>
      <c r="H193" s="8"/>
      <c r="I193" s="8"/>
      <c r="J193" s="9"/>
      <c r="K193" s="9">
        <f t="shared" si="35"/>
        <v>0</v>
      </c>
      <c r="L193" s="35">
        <f t="shared" si="36"/>
        <v>0</v>
      </c>
      <c r="M193" s="2"/>
      <c r="O193" s="19"/>
      <c r="P193" s="19"/>
      <c r="Q193" s="19"/>
      <c r="R193" s="21"/>
      <c r="S193" s="46"/>
      <c r="T193" s="44"/>
      <c r="U193" s="77"/>
      <c r="V193" s="30"/>
      <c r="W193" s="24"/>
      <c r="X193" s="193"/>
      <c r="Y193" s="15"/>
    </row>
    <row r="194" spans="2:25" x14ac:dyDescent="0.25">
      <c r="B194" s="15">
        <v>192</v>
      </c>
      <c r="C194" s="8"/>
      <c r="F194" s="380"/>
      <c r="G194" s="8"/>
      <c r="H194" s="8"/>
      <c r="I194" s="8"/>
      <c r="J194" s="9"/>
      <c r="K194" s="9">
        <f t="shared" si="35"/>
        <v>0</v>
      </c>
      <c r="L194" s="35">
        <f t="shared" si="36"/>
        <v>0</v>
      </c>
      <c r="M194" s="2"/>
      <c r="O194" s="19"/>
      <c r="P194" s="19"/>
      <c r="Q194" s="19"/>
      <c r="R194" s="21"/>
      <c r="S194" s="46"/>
      <c r="T194" s="44"/>
      <c r="U194" s="77"/>
      <c r="V194" s="24"/>
      <c r="W194" s="24"/>
      <c r="X194" s="193"/>
      <c r="Y194" s="15"/>
    </row>
    <row r="195" spans="2:25" x14ac:dyDescent="0.25">
      <c r="B195" s="15">
        <v>193</v>
      </c>
      <c r="C195" s="8"/>
      <c r="F195" s="380"/>
      <c r="G195" s="8"/>
      <c r="H195" s="8"/>
      <c r="I195" s="8"/>
      <c r="J195" s="9"/>
      <c r="K195" s="9">
        <f t="shared" ref="K195:K258" si="37">J195*1.1</f>
        <v>0</v>
      </c>
      <c r="L195" s="35">
        <f t="shared" ref="L195:L258" si="38">J195*0.00000001</f>
        <v>0</v>
      </c>
      <c r="M195" s="2"/>
      <c r="O195" s="19"/>
      <c r="P195" s="19"/>
      <c r="Q195" s="19"/>
      <c r="R195" s="21"/>
      <c r="S195" s="46"/>
      <c r="T195" s="44"/>
      <c r="U195" s="77"/>
      <c r="V195" s="24"/>
      <c r="W195" s="24"/>
      <c r="X195" s="193"/>
      <c r="Y195" s="15"/>
    </row>
    <row r="196" spans="2:25" x14ac:dyDescent="0.25">
      <c r="B196" s="15">
        <v>194</v>
      </c>
      <c r="C196" s="8"/>
      <c r="F196" s="380"/>
      <c r="G196" s="8"/>
      <c r="H196" s="8"/>
      <c r="I196" s="8"/>
      <c r="J196" s="9"/>
      <c r="K196" s="9">
        <f t="shared" si="37"/>
        <v>0</v>
      </c>
      <c r="L196" s="35">
        <f t="shared" si="38"/>
        <v>0</v>
      </c>
      <c r="M196" s="2"/>
      <c r="O196" s="19"/>
      <c r="P196" s="19"/>
      <c r="Q196" s="19"/>
      <c r="R196" s="21"/>
      <c r="S196" s="46"/>
      <c r="T196" s="44"/>
      <c r="U196" s="77"/>
      <c r="V196" s="24"/>
      <c r="W196" s="24"/>
      <c r="X196" s="193"/>
      <c r="Y196" s="15"/>
    </row>
    <row r="197" spans="2:25" x14ac:dyDescent="0.25">
      <c r="B197" s="15">
        <v>195</v>
      </c>
      <c r="C197" s="8"/>
      <c r="F197" s="380"/>
      <c r="G197" s="8"/>
      <c r="H197" s="8"/>
      <c r="I197" s="8"/>
      <c r="J197" s="9"/>
      <c r="K197" s="9">
        <f t="shared" si="37"/>
        <v>0</v>
      </c>
      <c r="L197" s="35">
        <f t="shared" si="38"/>
        <v>0</v>
      </c>
      <c r="M197" s="2"/>
      <c r="O197" s="19"/>
      <c r="P197" s="19"/>
      <c r="Q197" s="19"/>
      <c r="R197" s="21"/>
      <c r="S197" s="46"/>
      <c r="T197" s="44"/>
      <c r="U197" s="77"/>
      <c r="V197" s="24"/>
      <c r="W197" s="24"/>
      <c r="X197" s="193"/>
      <c r="Y197" s="15"/>
    </row>
    <row r="198" spans="2:25" x14ac:dyDescent="0.25">
      <c r="B198" s="15">
        <v>196</v>
      </c>
      <c r="C198" s="8"/>
      <c r="F198" s="380"/>
      <c r="G198" s="8"/>
      <c r="H198" s="8"/>
      <c r="I198" s="8"/>
      <c r="J198" s="9"/>
      <c r="K198" s="9">
        <f t="shared" si="37"/>
        <v>0</v>
      </c>
      <c r="L198" s="35">
        <f t="shared" si="38"/>
        <v>0</v>
      </c>
      <c r="M198" s="2"/>
      <c r="O198" s="19"/>
      <c r="P198" s="19"/>
      <c r="Q198" s="19"/>
      <c r="R198" s="21"/>
      <c r="S198" s="46"/>
      <c r="T198" s="44"/>
      <c r="U198" s="77"/>
      <c r="V198" s="24"/>
      <c r="W198" s="24"/>
      <c r="X198" s="193"/>
      <c r="Y198" s="15"/>
    </row>
    <row r="199" spans="2:25" x14ac:dyDescent="0.25">
      <c r="B199" s="15">
        <v>197</v>
      </c>
      <c r="C199" s="8"/>
      <c r="F199" s="380"/>
      <c r="G199" s="8"/>
      <c r="H199" s="8"/>
      <c r="I199" s="8"/>
      <c r="J199" s="9"/>
      <c r="K199" s="9">
        <f t="shared" si="37"/>
        <v>0</v>
      </c>
      <c r="L199" s="35">
        <f t="shared" si="38"/>
        <v>0</v>
      </c>
      <c r="M199" s="2"/>
      <c r="O199" s="19"/>
      <c r="P199" s="19"/>
      <c r="Q199" s="19"/>
      <c r="R199" s="21"/>
      <c r="S199" s="46"/>
      <c r="T199" s="44"/>
      <c r="U199" s="77"/>
      <c r="V199" s="24"/>
      <c r="W199" s="24"/>
      <c r="X199" s="193"/>
      <c r="Y199" s="15"/>
    </row>
    <row r="200" spans="2:25" x14ac:dyDescent="0.25">
      <c r="B200" s="15">
        <v>198</v>
      </c>
      <c r="C200" s="8"/>
      <c r="F200" s="380"/>
      <c r="G200" s="8"/>
      <c r="H200" s="8"/>
      <c r="I200" s="8"/>
      <c r="J200" s="9"/>
      <c r="K200" s="9">
        <f t="shared" si="37"/>
        <v>0</v>
      </c>
      <c r="L200" s="35">
        <f t="shared" si="38"/>
        <v>0</v>
      </c>
      <c r="M200" s="2"/>
      <c r="O200" s="19"/>
      <c r="P200" s="19"/>
      <c r="Q200" s="19"/>
      <c r="R200" s="21"/>
      <c r="S200" s="46"/>
      <c r="T200" s="44"/>
      <c r="U200" s="77"/>
      <c r="V200" s="30"/>
      <c r="W200" s="24"/>
      <c r="X200" s="193"/>
      <c r="Y200" s="15"/>
    </row>
    <row r="201" spans="2:25" x14ac:dyDescent="0.25">
      <c r="B201" s="15">
        <v>199</v>
      </c>
      <c r="C201" s="8"/>
      <c r="F201" s="380"/>
      <c r="G201" s="8"/>
      <c r="H201" s="8"/>
      <c r="I201" s="8"/>
      <c r="J201" s="9"/>
      <c r="K201" s="9">
        <f t="shared" si="37"/>
        <v>0</v>
      </c>
      <c r="L201" s="35">
        <f t="shared" si="38"/>
        <v>0</v>
      </c>
      <c r="M201" s="2"/>
      <c r="O201" s="19"/>
      <c r="P201" s="19"/>
      <c r="Q201" s="19"/>
      <c r="R201" s="21"/>
      <c r="S201" s="46"/>
      <c r="T201" s="44"/>
      <c r="U201" s="77"/>
      <c r="V201" s="30"/>
      <c r="W201" s="24"/>
      <c r="X201" s="193"/>
      <c r="Y201" s="15"/>
    </row>
    <row r="202" spans="2:25" x14ac:dyDescent="0.25">
      <c r="B202" s="15">
        <v>200</v>
      </c>
      <c r="C202" s="8"/>
      <c r="F202" s="380"/>
      <c r="G202" s="8"/>
      <c r="H202" s="8"/>
      <c r="I202" s="8"/>
      <c r="J202" s="9"/>
      <c r="K202" s="9">
        <f t="shared" si="37"/>
        <v>0</v>
      </c>
      <c r="L202" s="35">
        <f t="shared" si="38"/>
        <v>0</v>
      </c>
      <c r="M202" s="2"/>
      <c r="O202" s="19"/>
      <c r="P202" s="19"/>
      <c r="Q202" s="19"/>
      <c r="R202" s="21"/>
      <c r="S202" s="46"/>
      <c r="T202" s="44"/>
      <c r="U202" s="77"/>
      <c r="V202" s="30"/>
      <c r="W202" s="24"/>
      <c r="X202" s="193"/>
      <c r="Y202" s="15"/>
    </row>
    <row r="203" spans="2:25" x14ac:dyDescent="0.25">
      <c r="B203" s="15">
        <v>201</v>
      </c>
      <c r="C203" s="8"/>
      <c r="F203" s="380"/>
      <c r="G203" s="8"/>
      <c r="H203" s="8"/>
      <c r="I203" s="8"/>
      <c r="J203" s="9"/>
      <c r="K203" s="9">
        <f t="shared" si="37"/>
        <v>0</v>
      </c>
      <c r="L203" s="35">
        <f t="shared" si="38"/>
        <v>0</v>
      </c>
      <c r="M203" s="2"/>
      <c r="O203" s="19"/>
      <c r="P203" s="19"/>
      <c r="Q203" s="19"/>
      <c r="R203" s="21"/>
      <c r="S203" s="46"/>
      <c r="T203" s="44"/>
      <c r="U203" s="77"/>
      <c r="V203" s="24"/>
      <c r="W203" s="24"/>
      <c r="X203" s="193"/>
      <c r="Y203" s="15"/>
    </row>
    <row r="204" spans="2:25" x14ac:dyDescent="0.25">
      <c r="B204" s="15">
        <v>202</v>
      </c>
      <c r="C204" s="8"/>
      <c r="F204" s="380"/>
      <c r="G204" s="8"/>
      <c r="H204" s="8"/>
      <c r="I204" s="8"/>
      <c r="J204" s="9"/>
      <c r="K204" s="9">
        <f t="shared" si="37"/>
        <v>0</v>
      </c>
      <c r="L204" s="35">
        <f t="shared" si="38"/>
        <v>0</v>
      </c>
      <c r="M204" s="2"/>
      <c r="O204" s="19"/>
      <c r="P204" s="19"/>
      <c r="Q204" s="19"/>
      <c r="R204" s="21"/>
      <c r="S204" s="46"/>
      <c r="T204" s="44"/>
      <c r="U204" s="77"/>
      <c r="V204" s="24"/>
      <c r="W204" s="24"/>
      <c r="X204" s="193"/>
      <c r="Y204" s="15"/>
    </row>
    <row r="205" spans="2:25" x14ac:dyDescent="0.25">
      <c r="B205" s="15">
        <v>203</v>
      </c>
      <c r="C205" s="8"/>
      <c r="F205" s="380"/>
      <c r="G205" s="8"/>
      <c r="H205" s="8"/>
      <c r="I205" s="8"/>
      <c r="J205" s="9"/>
      <c r="K205" s="9">
        <f t="shared" si="37"/>
        <v>0</v>
      </c>
      <c r="L205" s="35">
        <f t="shared" si="38"/>
        <v>0</v>
      </c>
      <c r="M205" s="2"/>
      <c r="O205" s="19"/>
      <c r="P205" s="19"/>
      <c r="Q205" s="19"/>
      <c r="R205" s="21"/>
      <c r="S205" s="46"/>
      <c r="T205" s="44"/>
      <c r="U205" s="77"/>
      <c r="V205" s="24"/>
      <c r="W205" s="24"/>
      <c r="X205" s="193"/>
      <c r="Y205" s="15"/>
    </row>
    <row r="206" spans="2:25" x14ac:dyDescent="0.25">
      <c r="B206" s="15">
        <v>204</v>
      </c>
      <c r="C206" s="8"/>
      <c r="F206" s="380"/>
      <c r="G206" s="8"/>
      <c r="H206" s="8"/>
      <c r="I206" s="8"/>
      <c r="J206" s="9"/>
      <c r="K206" s="9">
        <f t="shared" si="37"/>
        <v>0</v>
      </c>
      <c r="L206" s="35">
        <f t="shared" si="38"/>
        <v>0</v>
      </c>
      <c r="M206" s="2"/>
      <c r="O206" s="19"/>
      <c r="P206" s="19"/>
      <c r="Q206" s="19"/>
      <c r="R206" s="21"/>
      <c r="S206" s="46"/>
      <c r="T206" s="44"/>
      <c r="U206" s="77"/>
      <c r="V206" s="24"/>
      <c r="W206" s="24"/>
      <c r="X206" s="193"/>
      <c r="Y206" s="15"/>
    </row>
    <row r="207" spans="2:25" x14ac:dyDescent="0.25">
      <c r="B207" s="15">
        <v>205</v>
      </c>
      <c r="C207" s="8"/>
      <c r="F207" s="380"/>
      <c r="G207" s="8"/>
      <c r="H207" s="8"/>
      <c r="I207" s="8"/>
      <c r="J207" s="9"/>
      <c r="K207" s="9">
        <f t="shared" si="37"/>
        <v>0</v>
      </c>
      <c r="L207" s="35">
        <f t="shared" si="38"/>
        <v>0</v>
      </c>
      <c r="M207" s="2"/>
      <c r="O207" s="19"/>
      <c r="P207" s="19"/>
      <c r="Q207" s="19"/>
      <c r="R207" s="21"/>
      <c r="S207" s="46"/>
      <c r="T207" s="44"/>
      <c r="U207" s="77"/>
      <c r="V207" s="24"/>
      <c r="W207" s="24"/>
      <c r="X207" s="193"/>
      <c r="Y207" s="15"/>
    </row>
    <row r="208" spans="2:25" x14ac:dyDescent="0.25">
      <c r="B208" s="15">
        <v>206</v>
      </c>
      <c r="C208" s="8"/>
      <c r="F208" s="380"/>
      <c r="G208" s="8"/>
      <c r="H208" s="8"/>
      <c r="I208" s="8"/>
      <c r="J208" s="9"/>
      <c r="K208" s="9">
        <f t="shared" si="37"/>
        <v>0</v>
      </c>
      <c r="L208" s="35">
        <f t="shared" si="38"/>
        <v>0</v>
      </c>
      <c r="M208" s="2"/>
      <c r="O208" s="19"/>
      <c r="P208" s="19"/>
      <c r="Q208" s="19"/>
      <c r="R208" s="21"/>
      <c r="S208" s="46"/>
      <c r="T208" s="44"/>
      <c r="U208" s="77"/>
      <c r="V208" s="30"/>
      <c r="W208" s="24"/>
      <c r="X208" s="193"/>
      <c r="Y208" s="15"/>
    </row>
    <row r="209" spans="2:25" x14ac:dyDescent="0.25">
      <c r="B209" s="15">
        <v>207</v>
      </c>
      <c r="C209" s="8"/>
      <c r="F209" s="380"/>
      <c r="G209" s="8"/>
      <c r="H209" s="8"/>
      <c r="I209" s="8"/>
      <c r="J209" s="9"/>
      <c r="K209" s="9">
        <f t="shared" si="37"/>
        <v>0</v>
      </c>
      <c r="L209" s="35">
        <f t="shared" si="38"/>
        <v>0</v>
      </c>
      <c r="M209" s="2"/>
      <c r="O209" s="19"/>
      <c r="P209" s="19"/>
      <c r="Q209" s="19"/>
      <c r="R209" s="21"/>
      <c r="S209" s="46"/>
      <c r="T209" s="44"/>
      <c r="U209" s="77"/>
      <c r="V209" s="30"/>
      <c r="W209" s="24"/>
      <c r="X209" s="193"/>
      <c r="Y209" s="15"/>
    </row>
    <row r="210" spans="2:25" x14ac:dyDescent="0.25">
      <c r="B210" s="15">
        <v>208</v>
      </c>
      <c r="C210" s="8"/>
      <c r="F210" s="380"/>
      <c r="G210" s="8"/>
      <c r="H210" s="8"/>
      <c r="I210" s="8"/>
      <c r="J210" s="9"/>
      <c r="K210" s="9">
        <f t="shared" si="37"/>
        <v>0</v>
      </c>
      <c r="L210" s="35">
        <f t="shared" si="38"/>
        <v>0</v>
      </c>
      <c r="M210" s="2"/>
      <c r="O210" s="19"/>
      <c r="P210" s="19"/>
      <c r="Q210" s="19"/>
      <c r="R210" s="21"/>
      <c r="S210" s="46"/>
      <c r="T210" s="44"/>
      <c r="U210" s="77"/>
      <c r="V210" s="24"/>
      <c r="W210" s="24"/>
      <c r="X210" s="193"/>
      <c r="Y210" s="15"/>
    </row>
    <row r="211" spans="2:25" x14ac:dyDescent="0.25">
      <c r="B211" s="15">
        <v>209</v>
      </c>
      <c r="C211" s="8"/>
      <c r="F211" s="380"/>
      <c r="G211" s="8"/>
      <c r="H211" s="8"/>
      <c r="I211" s="8"/>
      <c r="J211" s="9"/>
      <c r="K211" s="9">
        <f t="shared" si="37"/>
        <v>0</v>
      </c>
      <c r="L211" s="35">
        <f t="shared" si="38"/>
        <v>0</v>
      </c>
      <c r="M211" s="2"/>
      <c r="O211" s="19"/>
      <c r="P211" s="19"/>
      <c r="Q211" s="19"/>
      <c r="R211" s="21"/>
      <c r="S211" s="46"/>
      <c r="T211" s="44"/>
      <c r="U211" s="77"/>
      <c r="V211" s="24"/>
      <c r="W211" s="24"/>
      <c r="X211" s="193"/>
      <c r="Y211" s="15"/>
    </row>
    <row r="212" spans="2:25" x14ac:dyDescent="0.25">
      <c r="B212" s="15">
        <v>210</v>
      </c>
      <c r="C212" s="8"/>
      <c r="F212" s="380"/>
      <c r="G212" s="8"/>
      <c r="H212" s="8"/>
      <c r="I212" s="8"/>
      <c r="J212" s="9"/>
      <c r="K212" s="9">
        <f t="shared" si="37"/>
        <v>0</v>
      </c>
      <c r="L212" s="35">
        <f t="shared" si="38"/>
        <v>0</v>
      </c>
      <c r="M212" s="2"/>
      <c r="O212" s="19"/>
      <c r="P212" s="19"/>
      <c r="Q212" s="19"/>
      <c r="R212" s="21"/>
      <c r="S212" s="46"/>
      <c r="T212" s="44"/>
      <c r="U212" s="77"/>
      <c r="V212" s="24"/>
      <c r="W212" s="24"/>
      <c r="X212" s="193"/>
      <c r="Y212" s="15"/>
    </row>
    <row r="213" spans="2:25" x14ac:dyDescent="0.25">
      <c r="B213" s="15">
        <v>211</v>
      </c>
      <c r="C213" s="8"/>
      <c r="F213" s="380"/>
      <c r="G213" s="8"/>
      <c r="H213" s="8"/>
      <c r="I213" s="8"/>
      <c r="J213" s="9"/>
      <c r="K213" s="9">
        <f t="shared" si="37"/>
        <v>0</v>
      </c>
      <c r="L213" s="35">
        <f t="shared" si="38"/>
        <v>0</v>
      </c>
      <c r="M213" s="2"/>
      <c r="O213" s="19"/>
      <c r="P213" s="19"/>
      <c r="Q213" s="19"/>
      <c r="R213" s="21"/>
      <c r="S213" s="46"/>
      <c r="T213" s="44"/>
      <c r="U213" s="77"/>
      <c r="V213" s="24"/>
      <c r="W213" s="24"/>
      <c r="X213" s="193"/>
      <c r="Y213" s="15"/>
    </row>
    <row r="214" spans="2:25" x14ac:dyDescent="0.25">
      <c r="B214" s="15">
        <v>212</v>
      </c>
      <c r="C214" s="8"/>
      <c r="F214" s="380"/>
      <c r="G214" s="8"/>
      <c r="H214" s="8"/>
      <c r="I214" s="8"/>
      <c r="J214" s="9"/>
      <c r="K214" s="9">
        <f t="shared" si="37"/>
        <v>0</v>
      </c>
      <c r="L214" s="35">
        <f t="shared" si="38"/>
        <v>0</v>
      </c>
      <c r="M214" s="2"/>
      <c r="O214" s="19"/>
      <c r="P214" s="19"/>
      <c r="Q214" s="19"/>
      <c r="R214" s="21"/>
      <c r="S214" s="46"/>
      <c r="T214" s="44"/>
      <c r="U214" s="77"/>
      <c r="V214" s="24"/>
      <c r="W214" s="24"/>
      <c r="X214" s="193"/>
      <c r="Y214" s="15"/>
    </row>
    <row r="215" spans="2:25" x14ac:dyDescent="0.25">
      <c r="B215" s="15">
        <v>213</v>
      </c>
      <c r="C215" s="8"/>
      <c r="F215" s="380"/>
      <c r="G215" s="8"/>
      <c r="H215" s="8"/>
      <c r="I215" s="8"/>
      <c r="J215" s="9"/>
      <c r="K215" s="9">
        <f t="shared" si="37"/>
        <v>0</v>
      </c>
      <c r="L215" s="35">
        <f t="shared" si="38"/>
        <v>0</v>
      </c>
      <c r="M215" s="2"/>
      <c r="O215" s="19"/>
      <c r="P215" s="19"/>
      <c r="Q215" s="19"/>
      <c r="R215" s="21"/>
      <c r="S215" s="46"/>
      <c r="T215" s="44"/>
      <c r="U215" s="77"/>
      <c r="V215" s="30"/>
      <c r="W215" s="24"/>
      <c r="X215" s="193"/>
      <c r="Y215" s="15"/>
    </row>
    <row r="216" spans="2:25" x14ac:dyDescent="0.25">
      <c r="B216" s="15">
        <v>214</v>
      </c>
      <c r="C216" s="8"/>
      <c r="F216" s="380"/>
      <c r="G216" s="8"/>
      <c r="H216" s="8"/>
      <c r="I216" s="8"/>
      <c r="J216" s="9"/>
      <c r="K216" s="9">
        <f t="shared" si="37"/>
        <v>0</v>
      </c>
      <c r="L216" s="35">
        <f t="shared" si="38"/>
        <v>0</v>
      </c>
      <c r="M216" s="2"/>
      <c r="O216" s="19"/>
      <c r="P216" s="19"/>
      <c r="Q216" s="19"/>
      <c r="R216" s="21"/>
      <c r="S216" s="46"/>
      <c r="T216" s="44"/>
      <c r="U216" s="77"/>
      <c r="V216" s="30"/>
      <c r="W216" s="24"/>
      <c r="X216" s="193"/>
      <c r="Y216" s="15"/>
    </row>
    <row r="217" spans="2:25" x14ac:dyDescent="0.25">
      <c r="B217" s="15">
        <v>215</v>
      </c>
      <c r="C217" s="8"/>
      <c r="F217" s="380"/>
      <c r="G217" s="8"/>
      <c r="H217" s="8"/>
      <c r="I217" s="8"/>
      <c r="J217" s="9"/>
      <c r="K217" s="9">
        <f t="shared" si="37"/>
        <v>0</v>
      </c>
      <c r="L217" s="35">
        <f t="shared" si="38"/>
        <v>0</v>
      </c>
      <c r="M217" s="2"/>
      <c r="O217" s="19"/>
      <c r="P217" s="19"/>
      <c r="Q217" s="19"/>
      <c r="R217" s="21"/>
      <c r="S217" s="46"/>
      <c r="T217" s="44"/>
      <c r="U217" s="77"/>
      <c r="V217" s="30"/>
      <c r="W217" s="24"/>
      <c r="X217" s="193"/>
      <c r="Y217" s="15"/>
    </row>
    <row r="218" spans="2:25" x14ac:dyDescent="0.25">
      <c r="B218" s="15">
        <v>216</v>
      </c>
      <c r="C218" s="8"/>
      <c r="F218" s="380"/>
      <c r="G218" s="8"/>
      <c r="H218" s="8"/>
      <c r="I218" s="8"/>
      <c r="J218" s="9"/>
      <c r="K218" s="9">
        <f t="shared" si="37"/>
        <v>0</v>
      </c>
      <c r="L218" s="35">
        <f t="shared" si="38"/>
        <v>0</v>
      </c>
      <c r="M218" s="2"/>
      <c r="O218" s="19"/>
      <c r="P218" s="19"/>
      <c r="Q218" s="19"/>
      <c r="R218" s="21"/>
      <c r="S218" s="46"/>
      <c r="T218" s="44"/>
      <c r="U218" s="77"/>
      <c r="V218" s="30"/>
      <c r="W218" s="24"/>
      <c r="X218" s="193"/>
      <c r="Y218" s="15"/>
    </row>
    <row r="219" spans="2:25" x14ac:dyDescent="0.25">
      <c r="B219" s="15">
        <v>217</v>
      </c>
      <c r="C219" s="8"/>
      <c r="F219" s="380"/>
      <c r="G219" s="8"/>
      <c r="H219" s="8"/>
      <c r="I219" s="8"/>
      <c r="J219" s="9"/>
      <c r="K219" s="9">
        <f t="shared" si="37"/>
        <v>0</v>
      </c>
      <c r="L219" s="35">
        <f t="shared" si="38"/>
        <v>0</v>
      </c>
      <c r="M219" s="2"/>
      <c r="O219" s="19"/>
      <c r="P219" s="19"/>
      <c r="Q219" s="19"/>
      <c r="R219" s="21"/>
      <c r="S219" s="46"/>
      <c r="T219" s="44"/>
      <c r="U219" s="77"/>
      <c r="V219" s="30"/>
      <c r="W219" s="24"/>
      <c r="X219" s="193"/>
      <c r="Y219" s="15"/>
    </row>
    <row r="220" spans="2:25" x14ac:dyDescent="0.25">
      <c r="B220" s="15">
        <v>218</v>
      </c>
      <c r="C220" s="8"/>
      <c r="F220" s="380"/>
      <c r="G220" s="8"/>
      <c r="H220" s="8"/>
      <c r="I220" s="8"/>
      <c r="J220" s="9"/>
      <c r="K220" s="9">
        <f t="shared" si="37"/>
        <v>0</v>
      </c>
      <c r="L220" s="35">
        <f t="shared" si="38"/>
        <v>0</v>
      </c>
      <c r="M220" s="2"/>
      <c r="O220" s="19"/>
      <c r="P220" s="19"/>
      <c r="Q220" s="19"/>
      <c r="R220" s="21"/>
      <c r="S220" s="46"/>
      <c r="T220" s="44"/>
      <c r="U220" s="77"/>
      <c r="V220" s="30"/>
      <c r="W220" s="24"/>
      <c r="X220" s="193"/>
      <c r="Y220" s="15"/>
    </row>
    <row r="221" spans="2:25" x14ac:dyDescent="0.25">
      <c r="B221" s="15">
        <v>219</v>
      </c>
      <c r="C221" s="8"/>
      <c r="F221" s="380"/>
      <c r="G221" s="8"/>
      <c r="H221" s="8"/>
      <c r="I221" s="8"/>
      <c r="J221" s="9"/>
      <c r="K221" s="9">
        <f t="shared" si="37"/>
        <v>0</v>
      </c>
      <c r="L221" s="35">
        <f t="shared" si="38"/>
        <v>0</v>
      </c>
      <c r="M221" s="2"/>
      <c r="O221" s="19"/>
      <c r="P221" s="19"/>
      <c r="Q221" s="19"/>
      <c r="R221" s="21"/>
      <c r="S221" s="46"/>
      <c r="T221" s="44"/>
      <c r="U221" s="77"/>
      <c r="V221" s="24"/>
      <c r="W221" s="24"/>
      <c r="X221" s="193"/>
      <c r="Y221" s="15"/>
    </row>
    <row r="222" spans="2:25" x14ac:dyDescent="0.25">
      <c r="B222" s="15">
        <v>220</v>
      </c>
      <c r="C222" s="8"/>
      <c r="F222" s="380"/>
      <c r="G222" s="8"/>
      <c r="H222" s="8"/>
      <c r="I222" s="8"/>
      <c r="J222" s="9"/>
      <c r="K222" s="9">
        <f t="shared" si="37"/>
        <v>0</v>
      </c>
      <c r="L222" s="35">
        <f t="shared" si="38"/>
        <v>0</v>
      </c>
      <c r="M222" s="2"/>
      <c r="O222" s="19"/>
      <c r="P222" s="19"/>
      <c r="Q222" s="19"/>
      <c r="R222" s="21"/>
      <c r="S222" s="46"/>
      <c r="T222" s="44"/>
      <c r="U222" s="77"/>
      <c r="V222" s="24"/>
      <c r="W222" s="24"/>
      <c r="X222" s="193"/>
      <c r="Y222" s="15"/>
    </row>
    <row r="223" spans="2:25" x14ac:dyDescent="0.25">
      <c r="B223" s="15">
        <v>221</v>
      </c>
      <c r="C223" s="8"/>
      <c r="F223" s="380"/>
      <c r="G223" s="8"/>
      <c r="H223" s="8"/>
      <c r="I223" s="8"/>
      <c r="J223" s="9"/>
      <c r="K223" s="9">
        <f t="shared" si="37"/>
        <v>0</v>
      </c>
      <c r="L223" s="35">
        <f t="shared" si="38"/>
        <v>0</v>
      </c>
      <c r="M223" s="2"/>
      <c r="O223" s="19"/>
      <c r="P223" s="19"/>
      <c r="Q223" s="19"/>
      <c r="R223" s="21"/>
      <c r="S223" s="46"/>
      <c r="T223" s="44"/>
      <c r="U223" s="77"/>
      <c r="V223" s="24"/>
      <c r="W223" s="24"/>
      <c r="X223" s="193"/>
      <c r="Y223" s="15"/>
    </row>
    <row r="224" spans="2:25" x14ac:dyDescent="0.25">
      <c r="B224" s="15">
        <v>222</v>
      </c>
      <c r="C224" s="8"/>
      <c r="F224" s="380"/>
      <c r="G224" s="8"/>
      <c r="H224" s="8"/>
      <c r="I224" s="8"/>
      <c r="J224" s="9"/>
      <c r="K224" s="9">
        <f t="shared" si="37"/>
        <v>0</v>
      </c>
      <c r="L224" s="35">
        <f t="shared" si="38"/>
        <v>0</v>
      </c>
      <c r="M224" s="2"/>
      <c r="O224" s="19"/>
      <c r="P224" s="19"/>
      <c r="Q224" s="19"/>
      <c r="R224" s="21"/>
      <c r="S224" s="46"/>
      <c r="T224" s="44"/>
      <c r="U224" s="77"/>
      <c r="V224" s="30"/>
      <c r="W224" s="24"/>
      <c r="X224" s="193"/>
      <c r="Y224" s="15"/>
    </row>
    <row r="225" spans="2:25" x14ac:dyDescent="0.25">
      <c r="B225" s="15">
        <v>223</v>
      </c>
      <c r="C225" s="8"/>
      <c r="F225" s="380"/>
      <c r="G225" s="8"/>
      <c r="H225" s="8"/>
      <c r="I225" s="8"/>
      <c r="J225" s="9"/>
      <c r="K225" s="9">
        <f t="shared" si="37"/>
        <v>0</v>
      </c>
      <c r="L225" s="35">
        <f t="shared" si="38"/>
        <v>0</v>
      </c>
      <c r="M225" s="2"/>
      <c r="O225" s="19"/>
      <c r="P225" s="19"/>
      <c r="Q225" s="19"/>
      <c r="R225" s="21"/>
      <c r="S225" s="46"/>
      <c r="T225" s="44"/>
      <c r="U225" s="77"/>
      <c r="V225" s="30"/>
      <c r="W225" s="24"/>
      <c r="X225" s="193"/>
      <c r="Y225" s="15"/>
    </row>
    <row r="226" spans="2:25" x14ac:dyDescent="0.25">
      <c r="B226" s="15">
        <v>224</v>
      </c>
      <c r="C226" s="8"/>
      <c r="F226" s="380"/>
      <c r="G226" s="8"/>
      <c r="H226" s="8"/>
      <c r="I226" s="8"/>
      <c r="J226" s="9"/>
      <c r="K226" s="9">
        <f t="shared" si="37"/>
        <v>0</v>
      </c>
      <c r="L226" s="35">
        <f t="shared" si="38"/>
        <v>0</v>
      </c>
      <c r="M226" s="2"/>
      <c r="O226" s="19"/>
      <c r="P226" s="19"/>
      <c r="Q226" s="19"/>
      <c r="R226" s="21"/>
      <c r="S226" s="46"/>
      <c r="T226" s="44"/>
      <c r="U226" s="77"/>
      <c r="V226" s="24"/>
      <c r="W226" s="24"/>
      <c r="X226" s="193"/>
      <c r="Y226" s="15"/>
    </row>
    <row r="227" spans="2:25" x14ac:dyDescent="0.25">
      <c r="B227" s="15">
        <v>225</v>
      </c>
      <c r="C227" s="8"/>
      <c r="F227" s="380"/>
      <c r="G227" s="8"/>
      <c r="H227" s="8"/>
      <c r="I227" s="8"/>
      <c r="J227" s="9"/>
      <c r="K227" s="9">
        <f t="shared" si="37"/>
        <v>0</v>
      </c>
      <c r="L227" s="35">
        <f t="shared" si="38"/>
        <v>0</v>
      </c>
      <c r="M227" s="2"/>
      <c r="O227" s="19"/>
      <c r="P227" s="19"/>
      <c r="Q227" s="19"/>
      <c r="R227" s="21"/>
      <c r="S227" s="46"/>
      <c r="T227" s="44"/>
      <c r="U227" s="77"/>
      <c r="V227" s="24"/>
      <c r="W227" s="24"/>
      <c r="X227" s="193"/>
      <c r="Y227" s="15"/>
    </row>
    <row r="228" spans="2:25" x14ac:dyDescent="0.25">
      <c r="B228" s="15">
        <v>226</v>
      </c>
      <c r="C228" s="8"/>
      <c r="F228" s="380"/>
      <c r="G228" s="8"/>
      <c r="H228" s="8"/>
      <c r="I228" s="8"/>
      <c r="J228" s="9"/>
      <c r="K228" s="9">
        <f t="shared" si="37"/>
        <v>0</v>
      </c>
      <c r="L228" s="35">
        <f t="shared" si="38"/>
        <v>0</v>
      </c>
      <c r="M228" s="2"/>
      <c r="O228" s="19"/>
      <c r="P228" s="19"/>
      <c r="Q228" s="19"/>
      <c r="R228" s="21"/>
      <c r="S228" s="46"/>
      <c r="T228" s="44"/>
      <c r="U228" s="77"/>
      <c r="V228" s="24"/>
      <c r="W228" s="24"/>
      <c r="X228" s="193"/>
      <c r="Y228" s="15"/>
    </row>
    <row r="229" spans="2:25" x14ac:dyDescent="0.25">
      <c r="B229" s="15">
        <v>227</v>
      </c>
      <c r="C229" s="8"/>
      <c r="F229" s="380"/>
      <c r="G229" s="8"/>
      <c r="H229" s="8"/>
      <c r="I229" s="8"/>
      <c r="J229" s="9"/>
      <c r="K229" s="9">
        <f t="shared" si="37"/>
        <v>0</v>
      </c>
      <c r="L229" s="35">
        <f t="shared" si="38"/>
        <v>0</v>
      </c>
      <c r="M229" s="2"/>
      <c r="O229" s="19"/>
      <c r="P229" s="19"/>
      <c r="Q229" s="19"/>
      <c r="R229" s="21"/>
      <c r="S229" s="46"/>
      <c r="T229" s="44"/>
      <c r="U229" s="77"/>
      <c r="V229" s="24"/>
      <c r="W229" s="24"/>
      <c r="X229" s="193"/>
      <c r="Y229" s="15"/>
    </row>
    <row r="230" spans="2:25" x14ac:dyDescent="0.25">
      <c r="B230" s="15">
        <v>228</v>
      </c>
      <c r="C230" s="8"/>
      <c r="F230" s="380"/>
      <c r="G230" s="8"/>
      <c r="H230" s="8"/>
      <c r="I230" s="8"/>
      <c r="J230" s="9"/>
      <c r="K230" s="9">
        <f t="shared" si="37"/>
        <v>0</v>
      </c>
      <c r="L230" s="35">
        <f t="shared" si="38"/>
        <v>0</v>
      </c>
      <c r="M230" s="2"/>
      <c r="O230" s="19"/>
      <c r="P230" s="19"/>
      <c r="Q230" s="19"/>
      <c r="R230" s="21"/>
      <c r="S230" s="46"/>
      <c r="T230" s="44"/>
      <c r="U230" s="77"/>
      <c r="V230" s="30"/>
      <c r="W230" s="24"/>
      <c r="X230" s="193"/>
      <c r="Y230" s="15"/>
    </row>
    <row r="231" spans="2:25" x14ac:dyDescent="0.25">
      <c r="B231" s="15">
        <v>229</v>
      </c>
      <c r="C231" s="8"/>
      <c r="F231" s="380"/>
      <c r="G231" s="8"/>
      <c r="H231" s="8"/>
      <c r="I231" s="8"/>
      <c r="J231" s="9"/>
      <c r="K231" s="9">
        <f t="shared" si="37"/>
        <v>0</v>
      </c>
      <c r="L231" s="35">
        <f t="shared" si="38"/>
        <v>0</v>
      </c>
      <c r="M231" s="2"/>
      <c r="O231" s="19"/>
      <c r="P231" s="19"/>
      <c r="Q231" s="19"/>
      <c r="R231" s="21"/>
      <c r="S231" s="46"/>
      <c r="T231" s="44"/>
      <c r="U231" s="77"/>
      <c r="V231" s="30"/>
      <c r="W231" s="24"/>
      <c r="X231" s="193"/>
      <c r="Y231" s="15"/>
    </row>
    <row r="232" spans="2:25" x14ac:dyDescent="0.25">
      <c r="B232" s="15">
        <v>230</v>
      </c>
      <c r="C232" s="8"/>
      <c r="F232" s="380"/>
      <c r="G232" s="8"/>
      <c r="H232" s="8"/>
      <c r="I232" s="8"/>
      <c r="J232" s="9"/>
      <c r="K232" s="9">
        <f t="shared" si="37"/>
        <v>0</v>
      </c>
      <c r="L232" s="35">
        <f t="shared" si="38"/>
        <v>0</v>
      </c>
      <c r="M232" s="2"/>
      <c r="O232" s="19"/>
      <c r="P232" s="19"/>
      <c r="Q232" s="19"/>
      <c r="R232" s="21"/>
      <c r="S232" s="46"/>
      <c r="T232" s="44"/>
      <c r="U232" s="77"/>
      <c r="V232" s="24"/>
      <c r="W232" s="24"/>
      <c r="X232" s="193"/>
      <c r="Y232" s="15"/>
    </row>
    <row r="233" spans="2:25" x14ac:dyDescent="0.25">
      <c r="B233" s="15">
        <v>231</v>
      </c>
      <c r="C233" s="8"/>
      <c r="F233" s="380"/>
      <c r="G233" s="8"/>
      <c r="H233" s="8"/>
      <c r="I233" s="8"/>
      <c r="J233" s="9"/>
      <c r="K233" s="9">
        <f t="shared" si="37"/>
        <v>0</v>
      </c>
      <c r="L233" s="35">
        <f t="shared" si="38"/>
        <v>0</v>
      </c>
      <c r="M233" s="2"/>
      <c r="O233" s="19"/>
      <c r="P233" s="19"/>
      <c r="Q233" s="19"/>
      <c r="R233" s="21"/>
      <c r="S233" s="46"/>
      <c r="T233" s="44"/>
      <c r="U233" s="77"/>
      <c r="V233" s="24"/>
      <c r="W233" s="24"/>
      <c r="X233" s="193"/>
      <c r="Y233" s="15"/>
    </row>
    <row r="234" spans="2:25" x14ac:dyDescent="0.25">
      <c r="B234" s="15">
        <v>232</v>
      </c>
      <c r="C234" s="8"/>
      <c r="F234" s="380"/>
      <c r="G234" s="8"/>
      <c r="H234" s="8"/>
      <c r="I234" s="8"/>
      <c r="J234" s="9"/>
      <c r="K234" s="9">
        <f t="shared" si="37"/>
        <v>0</v>
      </c>
      <c r="L234" s="35">
        <f t="shared" si="38"/>
        <v>0</v>
      </c>
      <c r="M234" s="2"/>
      <c r="O234" s="19"/>
      <c r="P234" s="19"/>
      <c r="Q234" s="19"/>
      <c r="R234" s="21"/>
      <c r="S234" s="46"/>
      <c r="T234" s="44"/>
      <c r="U234" s="77"/>
      <c r="V234" s="24"/>
      <c r="W234" s="24"/>
      <c r="X234" s="193"/>
      <c r="Y234" s="15"/>
    </row>
    <row r="235" spans="2:25" x14ac:dyDescent="0.25">
      <c r="B235" s="15">
        <v>233</v>
      </c>
      <c r="C235" s="8"/>
      <c r="F235" s="380"/>
      <c r="G235" s="8"/>
      <c r="H235" s="8"/>
      <c r="I235" s="8"/>
      <c r="J235" s="9"/>
      <c r="K235" s="9">
        <f t="shared" si="37"/>
        <v>0</v>
      </c>
      <c r="L235" s="35">
        <f t="shared" si="38"/>
        <v>0</v>
      </c>
      <c r="M235" s="2"/>
      <c r="O235" s="19"/>
      <c r="P235" s="19"/>
      <c r="Q235" s="19"/>
      <c r="R235" s="21"/>
      <c r="S235" s="46"/>
      <c r="T235" s="44"/>
      <c r="U235" s="77"/>
      <c r="V235" s="24"/>
      <c r="W235" s="24"/>
      <c r="X235" s="193"/>
      <c r="Y235" s="15"/>
    </row>
    <row r="236" spans="2:25" x14ac:dyDescent="0.25">
      <c r="B236" s="15">
        <v>234</v>
      </c>
      <c r="C236" s="8"/>
      <c r="F236" s="380"/>
      <c r="G236" s="8"/>
      <c r="H236" s="8"/>
      <c r="I236" s="8"/>
      <c r="J236" s="9"/>
      <c r="K236" s="9">
        <f t="shared" si="37"/>
        <v>0</v>
      </c>
      <c r="L236" s="35">
        <f t="shared" si="38"/>
        <v>0</v>
      </c>
      <c r="M236" s="2"/>
      <c r="O236" s="19"/>
      <c r="P236" s="19"/>
      <c r="Q236" s="19"/>
      <c r="R236" s="21"/>
      <c r="S236" s="46"/>
      <c r="T236" s="44"/>
      <c r="U236" s="77"/>
      <c r="V236" s="24"/>
      <c r="W236" s="24"/>
      <c r="X236" s="193"/>
      <c r="Y236" s="15"/>
    </row>
    <row r="237" spans="2:25" x14ac:dyDescent="0.25">
      <c r="B237" s="15">
        <v>235</v>
      </c>
      <c r="C237" s="8"/>
      <c r="F237" s="380"/>
      <c r="G237" s="8"/>
      <c r="H237" s="8"/>
      <c r="I237" s="8"/>
      <c r="J237" s="9"/>
      <c r="K237" s="9">
        <f t="shared" si="37"/>
        <v>0</v>
      </c>
      <c r="L237" s="35">
        <f t="shared" si="38"/>
        <v>0</v>
      </c>
      <c r="M237" s="2"/>
      <c r="O237" s="19"/>
      <c r="P237" s="19"/>
      <c r="Q237" s="19"/>
      <c r="R237" s="21"/>
      <c r="S237" s="46"/>
      <c r="T237" s="44"/>
      <c r="U237" s="77"/>
      <c r="V237" s="24"/>
      <c r="W237" s="24"/>
      <c r="X237" s="193"/>
      <c r="Y237" s="15"/>
    </row>
    <row r="238" spans="2:25" x14ac:dyDescent="0.25">
      <c r="B238" s="15">
        <v>236</v>
      </c>
      <c r="C238" s="8"/>
      <c r="F238" s="380"/>
      <c r="G238" s="8"/>
      <c r="H238" s="8"/>
      <c r="I238" s="8"/>
      <c r="J238" s="9"/>
      <c r="K238" s="9">
        <f t="shared" si="37"/>
        <v>0</v>
      </c>
      <c r="L238" s="35">
        <f t="shared" si="38"/>
        <v>0</v>
      </c>
      <c r="M238" s="2"/>
      <c r="O238" s="19"/>
      <c r="P238" s="19"/>
      <c r="Q238" s="19"/>
      <c r="R238" s="21"/>
      <c r="S238" s="46"/>
      <c r="T238" s="44"/>
      <c r="U238" s="77"/>
      <c r="V238" s="30"/>
      <c r="W238" s="24"/>
      <c r="X238" s="193"/>
      <c r="Y238" s="15"/>
    </row>
    <row r="239" spans="2:25" x14ac:dyDescent="0.25">
      <c r="B239" s="15">
        <v>235</v>
      </c>
      <c r="C239" s="8"/>
      <c r="F239" s="380"/>
      <c r="G239" s="8"/>
      <c r="H239" s="8"/>
      <c r="I239" s="8"/>
      <c r="J239" s="9"/>
      <c r="K239" s="9">
        <f t="shared" si="37"/>
        <v>0</v>
      </c>
      <c r="L239" s="35">
        <f t="shared" si="38"/>
        <v>0</v>
      </c>
      <c r="M239" s="2"/>
      <c r="O239" s="19"/>
      <c r="P239" s="19"/>
      <c r="Q239" s="19"/>
      <c r="R239" s="21"/>
      <c r="S239" s="46"/>
      <c r="T239" s="44"/>
      <c r="U239" s="77"/>
      <c r="V239" s="24"/>
      <c r="W239" s="24"/>
      <c r="X239" s="193"/>
      <c r="Y239" s="15"/>
    </row>
    <row r="240" spans="2:25" x14ac:dyDescent="0.25">
      <c r="B240" s="15">
        <v>238</v>
      </c>
      <c r="C240" s="8"/>
      <c r="F240" s="380"/>
      <c r="G240" s="8"/>
      <c r="H240" s="8"/>
      <c r="I240" s="8"/>
      <c r="J240" s="9"/>
      <c r="K240" s="9">
        <f t="shared" si="37"/>
        <v>0</v>
      </c>
      <c r="L240" s="35">
        <f t="shared" si="38"/>
        <v>0</v>
      </c>
      <c r="M240" s="2"/>
      <c r="O240" s="19"/>
      <c r="P240" s="19"/>
      <c r="Q240" s="19"/>
      <c r="R240" s="21"/>
      <c r="S240" s="46"/>
      <c r="T240" s="44"/>
      <c r="U240" s="77"/>
      <c r="V240" s="24"/>
      <c r="W240" s="24"/>
      <c r="X240" s="193"/>
      <c r="Y240" s="15"/>
    </row>
    <row r="241" spans="2:25" x14ac:dyDescent="0.25">
      <c r="B241" s="15">
        <v>239</v>
      </c>
      <c r="C241" s="8"/>
      <c r="F241" s="380"/>
      <c r="G241" s="8"/>
      <c r="H241" s="8"/>
      <c r="I241" s="8"/>
      <c r="J241" s="9"/>
      <c r="K241" s="9">
        <f t="shared" si="37"/>
        <v>0</v>
      </c>
      <c r="L241" s="35">
        <f t="shared" si="38"/>
        <v>0</v>
      </c>
      <c r="M241" s="2"/>
      <c r="O241" s="19"/>
      <c r="P241" s="19"/>
      <c r="Q241" s="19"/>
      <c r="R241" s="21"/>
      <c r="S241" s="46"/>
      <c r="T241" s="44"/>
      <c r="U241" s="77"/>
      <c r="V241" s="24"/>
      <c r="W241" s="24"/>
      <c r="X241" s="193"/>
      <c r="Y241" s="15"/>
    </row>
    <row r="242" spans="2:25" x14ac:dyDescent="0.25">
      <c r="B242" s="15">
        <v>240</v>
      </c>
      <c r="C242" s="8"/>
      <c r="F242" s="380"/>
      <c r="G242" s="8"/>
      <c r="H242" s="8"/>
      <c r="I242" s="8"/>
      <c r="J242" s="9"/>
      <c r="K242" s="9">
        <f t="shared" si="37"/>
        <v>0</v>
      </c>
      <c r="L242" s="35">
        <f t="shared" si="38"/>
        <v>0</v>
      </c>
      <c r="M242" s="2"/>
      <c r="O242" s="19"/>
      <c r="P242" s="19"/>
      <c r="Q242" s="19"/>
      <c r="R242" s="21"/>
      <c r="S242" s="46"/>
      <c r="T242" s="44"/>
      <c r="U242" s="77"/>
      <c r="V242" s="24"/>
      <c r="W242" s="24"/>
      <c r="X242" s="193"/>
      <c r="Y242" s="15"/>
    </row>
    <row r="243" spans="2:25" x14ac:dyDescent="0.25">
      <c r="B243" s="15">
        <v>241</v>
      </c>
      <c r="C243" s="8"/>
      <c r="F243" s="380"/>
      <c r="G243" s="8"/>
      <c r="H243" s="8"/>
      <c r="I243" s="8"/>
      <c r="J243" s="9"/>
      <c r="K243" s="9">
        <f t="shared" si="37"/>
        <v>0</v>
      </c>
      <c r="L243" s="35">
        <f t="shared" si="38"/>
        <v>0</v>
      </c>
      <c r="M243" s="2"/>
      <c r="O243" s="19"/>
      <c r="P243" s="19"/>
      <c r="Q243" s="19"/>
      <c r="R243" s="21"/>
      <c r="S243" s="46"/>
      <c r="T243" s="44"/>
      <c r="U243" s="77"/>
      <c r="V243" s="24"/>
      <c r="W243" s="24"/>
      <c r="X243" s="193"/>
      <c r="Y243" s="15"/>
    </row>
    <row r="244" spans="2:25" x14ac:dyDescent="0.25">
      <c r="B244" s="15">
        <v>242</v>
      </c>
      <c r="C244" s="8"/>
      <c r="F244" s="380"/>
      <c r="G244" s="8"/>
      <c r="H244" s="8"/>
      <c r="I244" s="8"/>
      <c r="J244" s="9"/>
      <c r="K244" s="9">
        <f t="shared" si="37"/>
        <v>0</v>
      </c>
      <c r="L244" s="35">
        <f t="shared" si="38"/>
        <v>0</v>
      </c>
      <c r="M244" s="2"/>
      <c r="O244" s="19"/>
      <c r="P244" s="19"/>
      <c r="Q244" s="19"/>
      <c r="R244" s="21"/>
      <c r="S244" s="46"/>
      <c r="T244" s="44"/>
      <c r="U244" s="77"/>
      <c r="V244" s="30"/>
      <c r="W244" s="24"/>
      <c r="X244" s="193"/>
      <c r="Y244" s="15"/>
    </row>
    <row r="245" spans="2:25" x14ac:dyDescent="0.25">
      <c r="B245" s="15">
        <v>243</v>
      </c>
      <c r="C245" s="8"/>
      <c r="F245" s="380"/>
      <c r="G245" s="8"/>
      <c r="H245" s="8"/>
      <c r="I245" s="8"/>
      <c r="J245" s="9"/>
      <c r="K245" s="9">
        <f t="shared" si="37"/>
        <v>0</v>
      </c>
      <c r="L245" s="35">
        <f t="shared" si="38"/>
        <v>0</v>
      </c>
      <c r="M245" s="2"/>
      <c r="O245" s="19"/>
      <c r="P245" s="19"/>
      <c r="Q245" s="19"/>
      <c r="R245" s="21"/>
      <c r="S245" s="46"/>
      <c r="T245" s="44"/>
      <c r="U245" s="77"/>
      <c r="V245" s="30"/>
      <c r="W245" s="24"/>
      <c r="X245" s="193"/>
      <c r="Y245" s="15"/>
    </row>
    <row r="246" spans="2:25" x14ac:dyDescent="0.25">
      <c r="B246" s="15">
        <v>244</v>
      </c>
      <c r="C246" s="8"/>
      <c r="F246" s="380"/>
      <c r="G246" s="8"/>
      <c r="H246" s="8"/>
      <c r="I246" s="8"/>
      <c r="J246" s="9"/>
      <c r="K246" s="9">
        <f t="shared" si="37"/>
        <v>0</v>
      </c>
      <c r="L246" s="35">
        <f t="shared" si="38"/>
        <v>0</v>
      </c>
      <c r="M246" s="2"/>
      <c r="O246" s="19"/>
      <c r="P246" s="19"/>
      <c r="Q246" s="19"/>
      <c r="R246" s="21"/>
      <c r="S246" s="46"/>
      <c r="T246" s="44"/>
      <c r="U246" s="77"/>
      <c r="V246" s="30"/>
      <c r="W246" s="24"/>
      <c r="X246" s="193"/>
      <c r="Y246" s="15"/>
    </row>
    <row r="247" spans="2:25" x14ac:dyDescent="0.25">
      <c r="B247" s="15">
        <v>245</v>
      </c>
      <c r="C247" s="8"/>
      <c r="F247" s="380"/>
      <c r="G247" s="8"/>
      <c r="H247" s="8"/>
      <c r="I247" s="8"/>
      <c r="J247" s="9"/>
      <c r="K247" s="9">
        <f t="shared" si="37"/>
        <v>0</v>
      </c>
      <c r="L247" s="35">
        <f t="shared" si="38"/>
        <v>0</v>
      </c>
      <c r="M247" s="2"/>
      <c r="O247" s="19"/>
      <c r="P247" s="19"/>
      <c r="Q247" s="19"/>
      <c r="R247" s="21"/>
      <c r="S247" s="46"/>
      <c r="T247" s="44"/>
      <c r="U247" s="77"/>
      <c r="V247" s="30"/>
      <c r="W247" s="24"/>
      <c r="X247" s="193"/>
      <c r="Y247" s="15"/>
    </row>
    <row r="248" spans="2:25" x14ac:dyDescent="0.25">
      <c r="B248" s="15">
        <v>246</v>
      </c>
      <c r="C248" s="8"/>
      <c r="F248" s="380"/>
      <c r="G248" s="8"/>
      <c r="H248" s="8"/>
      <c r="I248" s="8"/>
      <c r="J248" s="9"/>
      <c r="K248" s="9">
        <f t="shared" si="37"/>
        <v>0</v>
      </c>
      <c r="L248" s="35">
        <f t="shared" si="38"/>
        <v>0</v>
      </c>
      <c r="M248" s="2"/>
      <c r="O248" s="19"/>
      <c r="P248" s="19"/>
      <c r="Q248" s="19"/>
      <c r="R248" s="21"/>
      <c r="S248" s="46"/>
      <c r="T248" s="44"/>
      <c r="U248" s="77"/>
      <c r="V248" s="24"/>
      <c r="W248" s="24"/>
      <c r="X248" s="193"/>
      <c r="Y248" s="15"/>
    </row>
    <row r="249" spans="2:25" x14ac:dyDescent="0.25">
      <c r="B249" s="15">
        <v>247</v>
      </c>
      <c r="C249" s="8"/>
      <c r="F249" s="380"/>
      <c r="G249" s="8"/>
      <c r="H249" s="8"/>
      <c r="I249" s="8"/>
      <c r="J249" s="9"/>
      <c r="K249" s="9">
        <f t="shared" si="37"/>
        <v>0</v>
      </c>
      <c r="L249" s="35">
        <f t="shared" si="38"/>
        <v>0</v>
      </c>
      <c r="M249" s="2"/>
      <c r="O249" s="19"/>
      <c r="P249" s="19"/>
      <c r="Q249" s="19"/>
      <c r="R249" s="21"/>
      <c r="S249" s="46"/>
      <c r="T249" s="44"/>
      <c r="U249" s="77"/>
      <c r="V249" s="24"/>
      <c r="W249" s="24"/>
      <c r="X249" s="193"/>
      <c r="Y249" s="15"/>
    </row>
    <row r="250" spans="2:25" x14ac:dyDescent="0.25">
      <c r="B250" s="15">
        <v>246</v>
      </c>
      <c r="C250" s="8"/>
      <c r="F250" s="380"/>
      <c r="G250" s="8"/>
      <c r="H250" s="8"/>
      <c r="I250" s="8"/>
      <c r="J250" s="9"/>
      <c r="K250" s="9">
        <f t="shared" si="37"/>
        <v>0</v>
      </c>
      <c r="L250" s="35">
        <f t="shared" si="38"/>
        <v>0</v>
      </c>
      <c r="M250" s="2"/>
      <c r="O250" s="19"/>
      <c r="P250" s="19"/>
      <c r="Q250" s="19"/>
      <c r="R250" s="21"/>
      <c r="S250" s="46"/>
      <c r="T250" s="44"/>
      <c r="U250" s="77"/>
      <c r="V250" s="24"/>
      <c r="W250" s="24"/>
      <c r="X250" s="193"/>
      <c r="Y250" s="15"/>
    </row>
    <row r="251" spans="2:25" x14ac:dyDescent="0.25">
      <c r="B251" s="15">
        <v>249</v>
      </c>
      <c r="C251" s="8"/>
      <c r="F251" s="380"/>
      <c r="G251" s="8"/>
      <c r="H251" s="8"/>
      <c r="I251" s="8"/>
      <c r="J251" s="9"/>
      <c r="K251" s="9">
        <f t="shared" si="37"/>
        <v>0</v>
      </c>
      <c r="L251" s="35">
        <f t="shared" si="38"/>
        <v>0</v>
      </c>
      <c r="M251" s="2"/>
      <c r="O251" s="19"/>
      <c r="P251" s="19"/>
      <c r="Q251" s="19"/>
      <c r="R251" s="21"/>
      <c r="S251" s="46"/>
      <c r="T251" s="44"/>
      <c r="U251" s="77"/>
      <c r="V251" s="24"/>
      <c r="W251" s="24"/>
      <c r="X251" s="193"/>
      <c r="Y251" s="15"/>
    </row>
    <row r="252" spans="2:25" x14ac:dyDescent="0.25">
      <c r="B252" s="15">
        <v>250</v>
      </c>
      <c r="C252" s="8"/>
      <c r="F252" s="380"/>
      <c r="G252" s="8"/>
      <c r="H252" s="8"/>
      <c r="I252" s="8"/>
      <c r="J252" s="9"/>
      <c r="K252" s="9">
        <f t="shared" si="37"/>
        <v>0</v>
      </c>
      <c r="L252" s="35">
        <f t="shared" si="38"/>
        <v>0</v>
      </c>
      <c r="M252" s="2"/>
      <c r="O252" s="19"/>
      <c r="P252" s="19"/>
      <c r="Q252" s="19"/>
      <c r="R252" s="21"/>
      <c r="S252" s="46"/>
      <c r="T252" s="44"/>
      <c r="U252" s="77"/>
      <c r="V252" s="30"/>
      <c r="W252" s="24"/>
      <c r="X252" s="193"/>
      <c r="Y252" s="15"/>
    </row>
    <row r="253" spans="2:25" x14ac:dyDescent="0.25">
      <c r="B253" s="15">
        <v>251</v>
      </c>
      <c r="C253" s="8"/>
      <c r="F253" s="380"/>
      <c r="G253" s="8"/>
      <c r="H253" s="8"/>
      <c r="I253" s="8"/>
      <c r="J253" s="9"/>
      <c r="K253" s="9">
        <f t="shared" si="37"/>
        <v>0</v>
      </c>
      <c r="L253" s="35">
        <f t="shared" si="38"/>
        <v>0</v>
      </c>
      <c r="M253" s="2"/>
      <c r="O253" s="19"/>
      <c r="P253" s="19"/>
      <c r="Q253" s="19"/>
      <c r="R253" s="21"/>
      <c r="S253" s="46"/>
      <c r="T253" s="44"/>
      <c r="U253" s="77"/>
      <c r="V253" s="30"/>
      <c r="W253" s="24"/>
      <c r="X253" s="193"/>
      <c r="Y253" s="15"/>
    </row>
    <row r="254" spans="2:25" x14ac:dyDescent="0.25">
      <c r="B254" s="15">
        <v>252</v>
      </c>
      <c r="C254" s="8"/>
      <c r="F254" s="380"/>
      <c r="G254" s="8"/>
      <c r="H254" s="8"/>
      <c r="I254" s="8"/>
      <c r="J254" s="9"/>
      <c r="K254" s="9">
        <f t="shared" si="37"/>
        <v>0</v>
      </c>
      <c r="L254" s="35">
        <f t="shared" si="38"/>
        <v>0</v>
      </c>
      <c r="M254" s="2"/>
      <c r="O254" s="19"/>
      <c r="P254" s="19"/>
      <c r="Q254" s="19"/>
      <c r="R254" s="21"/>
      <c r="S254" s="46"/>
      <c r="T254" s="44"/>
      <c r="U254" s="77"/>
      <c r="V254" s="24"/>
      <c r="W254" s="24"/>
      <c r="X254" s="193"/>
      <c r="Y254" s="15"/>
    </row>
    <row r="255" spans="2:25" x14ac:dyDescent="0.25">
      <c r="B255" s="15">
        <v>253</v>
      </c>
      <c r="C255" s="8"/>
      <c r="F255" s="380"/>
      <c r="G255" s="8"/>
      <c r="H255" s="8"/>
      <c r="I255" s="8"/>
      <c r="J255" s="9"/>
      <c r="K255" s="9">
        <f t="shared" si="37"/>
        <v>0</v>
      </c>
      <c r="L255" s="35">
        <f t="shared" si="38"/>
        <v>0</v>
      </c>
      <c r="M255" s="2"/>
      <c r="O255" s="19"/>
      <c r="P255" s="19"/>
      <c r="Q255" s="19"/>
      <c r="R255" s="21"/>
      <c r="S255" s="46"/>
      <c r="T255" s="44"/>
      <c r="U255" s="77"/>
      <c r="V255" s="30"/>
      <c r="W255" s="24"/>
      <c r="X255" s="193"/>
      <c r="Y255" s="15"/>
    </row>
    <row r="256" spans="2:25" x14ac:dyDescent="0.25">
      <c r="B256" s="15">
        <v>254</v>
      </c>
      <c r="C256" s="8"/>
      <c r="F256" s="380"/>
      <c r="G256" s="8"/>
      <c r="H256" s="8"/>
      <c r="I256" s="8"/>
      <c r="J256" s="9"/>
      <c r="K256" s="9">
        <f t="shared" si="37"/>
        <v>0</v>
      </c>
      <c r="L256" s="35">
        <f t="shared" si="38"/>
        <v>0</v>
      </c>
      <c r="M256" s="2"/>
      <c r="O256" s="19"/>
      <c r="P256" s="19"/>
      <c r="Q256" s="19"/>
      <c r="R256" s="21"/>
      <c r="S256" s="46"/>
      <c r="T256" s="44"/>
      <c r="U256" s="77"/>
      <c r="V256" s="24"/>
      <c r="W256" s="24"/>
      <c r="X256" s="193"/>
      <c r="Y256" s="15"/>
    </row>
    <row r="257" spans="2:25" x14ac:dyDescent="0.25">
      <c r="B257" s="15">
        <v>255</v>
      </c>
      <c r="C257" s="8"/>
      <c r="F257" s="380"/>
      <c r="G257" s="8"/>
      <c r="H257" s="8"/>
      <c r="I257" s="8"/>
      <c r="J257" s="9"/>
      <c r="K257" s="9">
        <f t="shared" si="37"/>
        <v>0</v>
      </c>
      <c r="L257" s="35">
        <f t="shared" si="38"/>
        <v>0</v>
      </c>
      <c r="M257" s="2"/>
      <c r="O257" s="19"/>
      <c r="P257" s="19"/>
      <c r="Q257" s="19"/>
      <c r="R257" s="21"/>
      <c r="S257" s="46"/>
      <c r="T257" s="44"/>
      <c r="U257" s="77"/>
      <c r="V257" s="24"/>
      <c r="W257" s="24"/>
      <c r="X257" s="193"/>
      <c r="Y257" s="15"/>
    </row>
    <row r="258" spans="2:25" x14ac:dyDescent="0.25">
      <c r="B258" s="15">
        <v>256</v>
      </c>
      <c r="C258" s="8"/>
      <c r="F258" s="380"/>
      <c r="G258" s="8"/>
      <c r="H258" s="8"/>
      <c r="I258" s="8"/>
      <c r="J258" s="9"/>
      <c r="K258" s="9">
        <f t="shared" si="37"/>
        <v>0</v>
      </c>
      <c r="L258" s="35">
        <f t="shared" si="38"/>
        <v>0</v>
      </c>
      <c r="M258" s="2"/>
      <c r="O258" s="19"/>
      <c r="P258" s="19"/>
      <c r="Q258" s="19"/>
      <c r="R258" s="21"/>
      <c r="S258" s="46"/>
      <c r="T258" s="44"/>
      <c r="U258" s="77"/>
      <c r="V258" s="24"/>
      <c r="W258" s="24"/>
      <c r="X258" s="193"/>
      <c r="Y258" s="15"/>
    </row>
    <row r="259" spans="2:25" x14ac:dyDescent="0.25">
      <c r="B259" s="15">
        <v>257</v>
      </c>
      <c r="C259" s="8"/>
      <c r="F259" s="380"/>
      <c r="G259" s="8"/>
      <c r="H259" s="8"/>
      <c r="I259" s="8"/>
      <c r="J259" s="9"/>
      <c r="K259" s="9">
        <f t="shared" ref="K259:K322" si="39">J259*1.1</f>
        <v>0</v>
      </c>
      <c r="L259" s="35">
        <f t="shared" ref="L259:L322" si="40">J259*0.00000001</f>
        <v>0</v>
      </c>
      <c r="M259" s="2"/>
      <c r="O259" s="19"/>
      <c r="P259" s="19"/>
      <c r="Q259" s="19"/>
      <c r="R259" s="21"/>
      <c r="S259" s="46"/>
      <c r="T259" s="44"/>
      <c r="U259" s="77"/>
      <c r="V259" s="30"/>
      <c r="W259" s="24"/>
      <c r="X259" s="193"/>
      <c r="Y259" s="15"/>
    </row>
    <row r="260" spans="2:25" x14ac:dyDescent="0.25">
      <c r="B260" s="15">
        <v>258</v>
      </c>
      <c r="C260" s="8"/>
      <c r="F260" s="380"/>
      <c r="G260" s="8"/>
      <c r="H260" s="8"/>
      <c r="I260" s="8"/>
      <c r="J260" s="9"/>
      <c r="K260" s="9">
        <f t="shared" si="39"/>
        <v>0</v>
      </c>
      <c r="L260" s="35">
        <f t="shared" si="40"/>
        <v>0</v>
      </c>
      <c r="M260" s="2"/>
      <c r="O260" s="19"/>
      <c r="P260" s="19"/>
      <c r="Q260" s="19"/>
      <c r="R260" s="21"/>
      <c r="S260" s="46"/>
      <c r="T260" s="44"/>
      <c r="U260" s="77"/>
      <c r="V260" s="30"/>
      <c r="W260" s="24"/>
      <c r="X260" s="193"/>
      <c r="Y260" s="15"/>
    </row>
    <row r="261" spans="2:25" x14ac:dyDescent="0.25">
      <c r="B261" s="15">
        <v>259</v>
      </c>
      <c r="C261" s="8"/>
      <c r="F261" s="380"/>
      <c r="G261" s="8"/>
      <c r="H261" s="8"/>
      <c r="I261" s="8"/>
      <c r="J261" s="9"/>
      <c r="K261" s="9">
        <f t="shared" si="39"/>
        <v>0</v>
      </c>
      <c r="L261" s="35">
        <f t="shared" si="40"/>
        <v>0</v>
      </c>
      <c r="M261" s="2"/>
      <c r="O261" s="19"/>
      <c r="P261" s="19"/>
      <c r="Q261" s="19"/>
      <c r="R261" s="21"/>
      <c r="S261" s="46"/>
      <c r="T261" s="44"/>
      <c r="U261" s="77"/>
      <c r="V261" s="24"/>
      <c r="W261" s="24"/>
      <c r="X261" s="193"/>
      <c r="Y261" s="15"/>
    </row>
    <row r="262" spans="2:25" x14ac:dyDescent="0.25">
      <c r="B262" s="15">
        <v>260</v>
      </c>
      <c r="C262" s="8"/>
      <c r="F262" s="380"/>
      <c r="G262" s="8"/>
      <c r="H262" s="8"/>
      <c r="I262" s="8"/>
      <c r="J262" s="9"/>
      <c r="K262" s="9">
        <f t="shared" si="39"/>
        <v>0</v>
      </c>
      <c r="L262" s="35">
        <f t="shared" si="40"/>
        <v>0</v>
      </c>
      <c r="M262" s="2"/>
      <c r="O262" s="19"/>
      <c r="P262" s="19"/>
      <c r="Q262" s="19"/>
      <c r="R262" s="21"/>
      <c r="S262" s="46"/>
      <c r="T262" s="44"/>
      <c r="U262" s="77"/>
      <c r="V262" s="24"/>
      <c r="W262" s="24"/>
      <c r="X262" s="193"/>
      <c r="Y262" s="15"/>
    </row>
    <row r="263" spans="2:25" x14ac:dyDescent="0.25">
      <c r="B263" s="15">
        <v>261</v>
      </c>
      <c r="C263" s="8"/>
      <c r="F263" s="380"/>
      <c r="G263" s="8"/>
      <c r="H263" s="8"/>
      <c r="I263" s="8"/>
      <c r="J263" s="9"/>
      <c r="K263" s="9">
        <f t="shared" si="39"/>
        <v>0</v>
      </c>
      <c r="L263" s="35">
        <f t="shared" si="40"/>
        <v>0</v>
      </c>
      <c r="M263" s="2"/>
      <c r="O263" s="19"/>
      <c r="P263" s="19"/>
      <c r="Q263" s="19"/>
      <c r="R263" s="21"/>
      <c r="S263" s="46"/>
      <c r="T263" s="44"/>
      <c r="U263" s="77"/>
      <c r="V263" s="24"/>
      <c r="W263" s="24"/>
      <c r="X263" s="193"/>
      <c r="Y263" s="15"/>
    </row>
    <row r="264" spans="2:25" x14ac:dyDescent="0.25">
      <c r="B264" s="15">
        <v>262</v>
      </c>
      <c r="C264" s="8"/>
      <c r="F264" s="380"/>
      <c r="G264" s="8"/>
      <c r="H264" s="8"/>
      <c r="I264" s="8"/>
      <c r="J264" s="9"/>
      <c r="K264" s="9">
        <f t="shared" si="39"/>
        <v>0</v>
      </c>
      <c r="L264" s="35">
        <f t="shared" si="40"/>
        <v>0</v>
      </c>
      <c r="M264" s="2"/>
      <c r="O264" s="19"/>
      <c r="P264" s="19"/>
      <c r="Q264" s="19"/>
      <c r="R264" s="21"/>
      <c r="S264" s="46"/>
      <c r="T264" s="44"/>
      <c r="U264" s="77"/>
      <c r="V264" s="24"/>
      <c r="W264" s="24"/>
      <c r="X264" s="193"/>
      <c r="Y264" s="15"/>
    </row>
    <row r="265" spans="2:25" x14ac:dyDescent="0.25">
      <c r="B265" s="15">
        <v>263</v>
      </c>
      <c r="C265" s="8"/>
      <c r="F265" s="380"/>
      <c r="G265" s="8"/>
      <c r="H265" s="8"/>
      <c r="I265" s="8"/>
      <c r="J265" s="9"/>
      <c r="K265" s="9">
        <f t="shared" si="39"/>
        <v>0</v>
      </c>
      <c r="L265" s="35">
        <f t="shared" si="40"/>
        <v>0</v>
      </c>
      <c r="M265" s="2"/>
      <c r="O265" s="19"/>
      <c r="P265" s="19"/>
      <c r="Q265" s="19"/>
      <c r="R265" s="21"/>
      <c r="S265" s="46"/>
      <c r="T265" s="44"/>
      <c r="U265" s="77"/>
      <c r="V265" s="24"/>
      <c r="W265" s="24"/>
      <c r="X265" s="193"/>
      <c r="Y265" s="15"/>
    </row>
    <row r="266" spans="2:25" x14ac:dyDescent="0.25">
      <c r="B266" s="15">
        <v>264</v>
      </c>
      <c r="C266" s="8"/>
      <c r="F266" s="380"/>
      <c r="G266" s="8"/>
      <c r="H266" s="8"/>
      <c r="I266" s="8"/>
      <c r="J266" s="9"/>
      <c r="K266" s="9">
        <f t="shared" si="39"/>
        <v>0</v>
      </c>
      <c r="L266" s="35">
        <f t="shared" si="40"/>
        <v>0</v>
      </c>
      <c r="M266" s="2"/>
      <c r="O266" s="19"/>
      <c r="P266" s="19"/>
      <c r="Q266" s="19"/>
      <c r="R266" s="21"/>
      <c r="S266" s="46"/>
      <c r="T266" s="44"/>
      <c r="U266" s="77"/>
      <c r="V266" s="30"/>
      <c r="W266" s="24"/>
      <c r="X266" s="193"/>
      <c r="Y266" s="15"/>
    </row>
    <row r="267" spans="2:25" x14ac:dyDescent="0.25">
      <c r="B267" s="15">
        <v>265</v>
      </c>
      <c r="C267" s="8"/>
      <c r="F267" s="380"/>
      <c r="G267" s="8"/>
      <c r="H267" s="8"/>
      <c r="I267" s="8"/>
      <c r="J267" s="9"/>
      <c r="K267" s="9">
        <f t="shared" si="39"/>
        <v>0</v>
      </c>
      <c r="L267" s="35">
        <f t="shared" si="40"/>
        <v>0</v>
      </c>
      <c r="M267" s="2"/>
      <c r="O267" s="19"/>
      <c r="P267" s="19"/>
      <c r="Q267" s="19"/>
      <c r="R267" s="21"/>
      <c r="S267" s="46"/>
      <c r="T267" s="44"/>
      <c r="U267" s="77"/>
      <c r="V267" s="30"/>
      <c r="W267" s="24"/>
      <c r="X267" s="193"/>
      <c r="Y267" s="15"/>
    </row>
    <row r="268" spans="2:25" x14ac:dyDescent="0.25">
      <c r="B268" s="15">
        <v>266</v>
      </c>
      <c r="C268" s="8"/>
      <c r="F268" s="380"/>
      <c r="G268" s="8"/>
      <c r="H268" s="8"/>
      <c r="I268" s="8"/>
      <c r="J268" s="9"/>
      <c r="K268" s="9">
        <f t="shared" si="39"/>
        <v>0</v>
      </c>
      <c r="L268" s="35">
        <f t="shared" si="40"/>
        <v>0</v>
      </c>
      <c r="M268" s="2"/>
      <c r="O268" s="19"/>
      <c r="P268" s="19"/>
      <c r="Q268" s="19"/>
      <c r="R268" s="21"/>
      <c r="S268" s="46"/>
      <c r="T268" s="44"/>
      <c r="U268" s="77"/>
      <c r="V268" s="30"/>
      <c r="W268" s="24"/>
      <c r="X268" s="193"/>
      <c r="Y268" s="15"/>
    </row>
    <row r="269" spans="2:25" x14ac:dyDescent="0.25">
      <c r="B269" s="15">
        <v>267</v>
      </c>
      <c r="C269" s="8"/>
      <c r="F269" s="380"/>
      <c r="G269" s="8"/>
      <c r="H269" s="8"/>
      <c r="I269" s="8"/>
      <c r="J269" s="9"/>
      <c r="K269" s="9">
        <f t="shared" si="39"/>
        <v>0</v>
      </c>
      <c r="L269" s="35">
        <f t="shared" si="40"/>
        <v>0</v>
      </c>
      <c r="M269" s="2"/>
      <c r="O269" s="19"/>
      <c r="P269" s="19"/>
      <c r="Q269" s="19"/>
      <c r="R269" s="21"/>
      <c r="S269" s="46"/>
      <c r="T269" s="44"/>
      <c r="U269" s="77"/>
      <c r="V269" s="30"/>
      <c r="W269" s="24"/>
      <c r="X269" s="193"/>
      <c r="Y269" s="15"/>
    </row>
    <row r="270" spans="2:25" x14ac:dyDescent="0.25">
      <c r="B270" s="15">
        <v>268</v>
      </c>
      <c r="C270" s="8"/>
      <c r="F270" s="380"/>
      <c r="G270" s="8"/>
      <c r="H270" s="8"/>
      <c r="I270" s="8"/>
      <c r="J270" s="9"/>
      <c r="K270" s="9">
        <f t="shared" si="39"/>
        <v>0</v>
      </c>
      <c r="L270" s="35">
        <f t="shared" si="40"/>
        <v>0</v>
      </c>
      <c r="M270" s="2"/>
      <c r="O270" s="19"/>
      <c r="P270" s="19"/>
      <c r="Q270" s="19"/>
      <c r="R270" s="21"/>
      <c r="S270" s="46"/>
      <c r="T270" s="44"/>
      <c r="U270" s="77"/>
      <c r="V270" s="24"/>
      <c r="W270" s="24"/>
      <c r="X270" s="193"/>
      <c r="Y270" s="15"/>
    </row>
    <row r="271" spans="2:25" x14ac:dyDescent="0.25">
      <c r="B271" s="15">
        <v>269</v>
      </c>
      <c r="C271" s="8"/>
      <c r="F271" s="380"/>
      <c r="G271" s="8"/>
      <c r="H271" s="8"/>
      <c r="I271" s="8"/>
      <c r="J271" s="9"/>
      <c r="K271" s="9">
        <f t="shared" si="39"/>
        <v>0</v>
      </c>
      <c r="L271" s="35">
        <f t="shared" si="40"/>
        <v>0</v>
      </c>
      <c r="M271" s="2"/>
      <c r="O271" s="19"/>
      <c r="P271" s="19"/>
      <c r="Q271" s="19"/>
      <c r="R271" s="21"/>
      <c r="S271" s="46"/>
      <c r="T271" s="44"/>
      <c r="U271" s="77"/>
      <c r="V271" s="24"/>
      <c r="W271" s="24"/>
      <c r="X271" s="193"/>
      <c r="Y271" s="15"/>
    </row>
    <row r="272" spans="2:25" x14ac:dyDescent="0.25">
      <c r="B272" s="15">
        <v>270</v>
      </c>
      <c r="C272" s="8"/>
      <c r="F272" s="380"/>
      <c r="G272" s="8"/>
      <c r="H272" s="8"/>
      <c r="I272" s="8"/>
      <c r="J272" s="9"/>
      <c r="K272" s="9">
        <f t="shared" si="39"/>
        <v>0</v>
      </c>
      <c r="L272" s="35">
        <f t="shared" si="40"/>
        <v>0</v>
      </c>
      <c r="M272" s="2"/>
      <c r="O272" s="19"/>
      <c r="P272" s="19"/>
      <c r="Q272" s="19"/>
      <c r="R272" s="21"/>
      <c r="S272" s="46"/>
      <c r="T272" s="44"/>
      <c r="U272" s="77"/>
      <c r="V272" s="24"/>
      <c r="W272" s="24"/>
      <c r="X272" s="193"/>
      <c r="Y272" s="15"/>
    </row>
    <row r="273" spans="2:25" x14ac:dyDescent="0.25">
      <c r="B273" s="15">
        <v>271</v>
      </c>
      <c r="C273" s="8"/>
      <c r="F273" s="380"/>
      <c r="G273" s="8"/>
      <c r="H273" s="8"/>
      <c r="I273" s="8"/>
      <c r="J273" s="9"/>
      <c r="K273" s="9">
        <f t="shared" si="39"/>
        <v>0</v>
      </c>
      <c r="L273" s="35">
        <f t="shared" si="40"/>
        <v>0</v>
      </c>
      <c r="M273" s="2"/>
      <c r="O273" s="19"/>
      <c r="P273" s="19"/>
      <c r="Q273" s="19"/>
      <c r="R273" s="21"/>
      <c r="S273" s="46"/>
      <c r="T273" s="44"/>
      <c r="U273" s="77"/>
      <c r="V273" s="24"/>
      <c r="W273" s="24"/>
      <c r="X273" s="193"/>
      <c r="Y273" s="15"/>
    </row>
    <row r="274" spans="2:25" x14ac:dyDescent="0.25">
      <c r="B274" s="15">
        <v>272</v>
      </c>
      <c r="C274" s="8"/>
      <c r="F274" s="380"/>
      <c r="G274" s="8"/>
      <c r="H274" s="8"/>
      <c r="I274" s="8"/>
      <c r="J274" s="9"/>
      <c r="K274" s="9">
        <f t="shared" si="39"/>
        <v>0</v>
      </c>
      <c r="L274" s="35">
        <f t="shared" si="40"/>
        <v>0</v>
      </c>
      <c r="M274" s="2"/>
      <c r="O274" s="19"/>
      <c r="P274" s="19"/>
      <c r="Q274" s="19"/>
      <c r="R274" s="21"/>
      <c r="S274" s="46"/>
      <c r="T274" s="44"/>
      <c r="U274" s="77"/>
      <c r="V274" s="24"/>
      <c r="W274" s="24"/>
      <c r="X274" s="193"/>
      <c r="Y274" s="15"/>
    </row>
    <row r="275" spans="2:25" x14ac:dyDescent="0.25">
      <c r="B275" s="15">
        <v>273</v>
      </c>
      <c r="C275" s="8"/>
      <c r="F275" s="380"/>
      <c r="G275" s="8"/>
      <c r="H275" s="8"/>
      <c r="I275" s="8"/>
      <c r="J275" s="9"/>
      <c r="K275" s="9">
        <f t="shared" si="39"/>
        <v>0</v>
      </c>
      <c r="L275" s="35">
        <f t="shared" si="40"/>
        <v>0</v>
      </c>
      <c r="M275" s="2"/>
      <c r="O275" s="19"/>
      <c r="P275" s="19"/>
      <c r="Q275" s="19"/>
      <c r="R275" s="21"/>
      <c r="S275" s="46"/>
      <c r="T275" s="44"/>
      <c r="U275" s="77"/>
      <c r="V275" s="30"/>
      <c r="W275" s="24"/>
      <c r="X275" s="193"/>
      <c r="Y275" s="15"/>
    </row>
    <row r="276" spans="2:25" x14ac:dyDescent="0.25">
      <c r="B276" s="15">
        <v>274</v>
      </c>
      <c r="C276" s="8"/>
      <c r="F276" s="380"/>
      <c r="G276" s="8"/>
      <c r="H276" s="8"/>
      <c r="I276" s="8"/>
      <c r="J276" s="9"/>
      <c r="K276" s="9">
        <f t="shared" si="39"/>
        <v>0</v>
      </c>
      <c r="L276" s="35">
        <f t="shared" si="40"/>
        <v>0</v>
      </c>
      <c r="M276" s="2"/>
      <c r="O276" s="19"/>
      <c r="P276" s="19"/>
      <c r="Q276" s="19"/>
      <c r="R276" s="21"/>
      <c r="S276" s="46"/>
      <c r="T276" s="44"/>
      <c r="U276" s="77"/>
      <c r="V276" s="30"/>
      <c r="W276" s="24"/>
      <c r="X276" s="193"/>
      <c r="Y276" s="15"/>
    </row>
    <row r="277" spans="2:25" x14ac:dyDescent="0.25">
      <c r="B277" s="15">
        <v>275</v>
      </c>
      <c r="C277" s="8"/>
      <c r="F277" s="380"/>
      <c r="G277" s="8"/>
      <c r="H277" s="8"/>
      <c r="I277" s="8"/>
      <c r="J277" s="9"/>
      <c r="K277" s="9">
        <f t="shared" si="39"/>
        <v>0</v>
      </c>
      <c r="L277" s="35">
        <f t="shared" si="40"/>
        <v>0</v>
      </c>
      <c r="M277" s="2"/>
      <c r="O277" s="19"/>
      <c r="P277" s="19"/>
      <c r="Q277" s="19"/>
      <c r="R277" s="21"/>
      <c r="S277" s="46"/>
      <c r="T277" s="44"/>
      <c r="U277" s="77"/>
      <c r="V277" s="24"/>
      <c r="W277" s="24"/>
      <c r="X277" s="193"/>
      <c r="Y277" s="15"/>
    </row>
    <row r="278" spans="2:25" x14ac:dyDescent="0.25">
      <c r="B278" s="15">
        <v>276</v>
      </c>
      <c r="C278" s="8"/>
      <c r="F278" s="380"/>
      <c r="G278" s="8"/>
      <c r="H278" s="8"/>
      <c r="I278" s="8"/>
      <c r="J278" s="9"/>
      <c r="K278" s="9">
        <f t="shared" si="39"/>
        <v>0</v>
      </c>
      <c r="L278" s="35">
        <f t="shared" si="40"/>
        <v>0</v>
      </c>
      <c r="M278" s="2"/>
      <c r="O278" s="19"/>
      <c r="P278" s="19"/>
      <c r="Q278" s="19"/>
      <c r="R278" s="21"/>
      <c r="S278" s="46"/>
      <c r="T278" s="44"/>
      <c r="U278" s="77"/>
      <c r="V278" s="24"/>
      <c r="W278" s="24"/>
      <c r="X278" s="193"/>
      <c r="Y278" s="15"/>
    </row>
    <row r="279" spans="2:25" x14ac:dyDescent="0.25">
      <c r="B279" s="15">
        <v>277</v>
      </c>
      <c r="C279" s="8"/>
      <c r="F279" s="380"/>
      <c r="G279" s="8"/>
      <c r="H279" s="8"/>
      <c r="I279" s="8"/>
      <c r="J279" s="9"/>
      <c r="K279" s="9">
        <f t="shared" si="39"/>
        <v>0</v>
      </c>
      <c r="L279" s="35">
        <f t="shared" si="40"/>
        <v>0</v>
      </c>
      <c r="M279" s="2"/>
      <c r="O279" s="19"/>
      <c r="P279" s="19"/>
      <c r="Q279" s="19"/>
      <c r="R279" s="21"/>
      <c r="S279" s="46"/>
      <c r="T279" s="44"/>
      <c r="U279" s="77"/>
      <c r="V279" s="24"/>
      <c r="W279" s="24"/>
      <c r="X279" s="193"/>
      <c r="Y279" s="15"/>
    </row>
    <row r="280" spans="2:25" x14ac:dyDescent="0.25">
      <c r="B280" s="15">
        <v>278</v>
      </c>
      <c r="C280" s="8"/>
      <c r="F280" s="380"/>
      <c r="G280" s="8"/>
      <c r="H280" s="8"/>
      <c r="I280" s="8"/>
      <c r="J280" s="9"/>
      <c r="K280" s="9">
        <f t="shared" si="39"/>
        <v>0</v>
      </c>
      <c r="L280" s="35">
        <f t="shared" si="40"/>
        <v>0</v>
      </c>
      <c r="M280" s="2"/>
      <c r="O280" s="19"/>
      <c r="P280" s="19"/>
      <c r="Q280" s="19"/>
      <c r="R280" s="21"/>
      <c r="S280" s="46"/>
      <c r="T280" s="44"/>
      <c r="U280" s="77"/>
      <c r="V280" s="24"/>
      <c r="W280" s="24"/>
      <c r="X280" s="193"/>
      <c r="Y280" s="15"/>
    </row>
    <row r="281" spans="2:25" x14ac:dyDescent="0.25">
      <c r="B281" s="15">
        <v>279</v>
      </c>
      <c r="C281" s="8"/>
      <c r="F281" s="380"/>
      <c r="G281" s="8"/>
      <c r="H281" s="8"/>
      <c r="I281" s="8"/>
      <c r="J281" s="9"/>
      <c r="K281" s="9">
        <f t="shared" si="39"/>
        <v>0</v>
      </c>
      <c r="L281" s="35">
        <f t="shared" si="40"/>
        <v>0</v>
      </c>
      <c r="M281" s="2"/>
      <c r="O281" s="19"/>
      <c r="P281" s="19"/>
      <c r="Q281" s="19"/>
      <c r="R281" s="21"/>
      <c r="S281" s="46"/>
      <c r="T281" s="44"/>
      <c r="U281" s="77"/>
      <c r="V281" s="24"/>
      <c r="W281" s="24"/>
      <c r="X281" s="193"/>
      <c r="Y281" s="15"/>
    </row>
    <row r="282" spans="2:25" x14ac:dyDescent="0.25">
      <c r="B282" s="15">
        <v>280</v>
      </c>
      <c r="C282" s="8"/>
      <c r="F282" s="380"/>
      <c r="G282" s="8"/>
      <c r="H282" s="8"/>
      <c r="I282" s="8"/>
      <c r="J282" s="9"/>
      <c r="K282" s="9">
        <f t="shared" si="39"/>
        <v>0</v>
      </c>
      <c r="L282" s="35">
        <f t="shared" si="40"/>
        <v>0</v>
      </c>
      <c r="M282" s="2"/>
      <c r="O282" s="19"/>
      <c r="P282" s="19"/>
      <c r="Q282" s="19"/>
      <c r="R282" s="21"/>
      <c r="S282" s="46"/>
      <c r="T282" s="44"/>
      <c r="U282" s="77"/>
      <c r="V282" s="30"/>
      <c r="W282" s="24"/>
      <c r="X282" s="193"/>
      <c r="Y282" s="15"/>
    </row>
    <row r="283" spans="2:25" x14ac:dyDescent="0.25">
      <c r="B283" s="15">
        <v>281</v>
      </c>
      <c r="C283" s="8"/>
      <c r="F283" s="380"/>
      <c r="G283" s="8"/>
      <c r="H283" s="8"/>
      <c r="I283" s="8"/>
      <c r="J283" s="9"/>
      <c r="K283" s="9">
        <f t="shared" si="39"/>
        <v>0</v>
      </c>
      <c r="L283" s="35">
        <f t="shared" si="40"/>
        <v>0</v>
      </c>
      <c r="M283" s="2"/>
      <c r="O283" s="19"/>
      <c r="P283" s="19"/>
      <c r="Q283" s="19"/>
      <c r="R283" s="21"/>
      <c r="S283" s="46"/>
      <c r="T283" s="44"/>
      <c r="U283" s="77"/>
      <c r="V283" s="30"/>
      <c r="W283" s="24"/>
      <c r="X283" s="193"/>
      <c r="Y283" s="15"/>
    </row>
    <row r="284" spans="2:25" x14ac:dyDescent="0.25">
      <c r="B284" s="15">
        <v>282</v>
      </c>
      <c r="C284" s="8"/>
      <c r="F284" s="380"/>
      <c r="G284" s="8"/>
      <c r="H284" s="8"/>
      <c r="I284" s="8"/>
      <c r="J284" s="9"/>
      <c r="K284" s="9">
        <f t="shared" si="39"/>
        <v>0</v>
      </c>
      <c r="L284" s="35">
        <f t="shared" si="40"/>
        <v>0</v>
      </c>
      <c r="M284" s="2"/>
      <c r="O284" s="19"/>
      <c r="P284" s="19"/>
      <c r="Q284" s="19"/>
      <c r="R284" s="21"/>
      <c r="S284" s="46"/>
      <c r="T284" s="44"/>
      <c r="U284" s="77"/>
      <c r="V284" s="30"/>
      <c r="W284" s="24"/>
      <c r="X284" s="193"/>
      <c r="Y284" s="15"/>
    </row>
    <row r="285" spans="2:25" x14ac:dyDescent="0.25">
      <c r="B285" s="15">
        <v>283</v>
      </c>
      <c r="C285" s="8"/>
      <c r="K285" s="9">
        <f t="shared" si="39"/>
        <v>0</v>
      </c>
      <c r="L285" s="35">
        <f t="shared" si="40"/>
        <v>0</v>
      </c>
      <c r="S285" s="5"/>
      <c r="T285" s="44"/>
      <c r="U285" s="77"/>
      <c r="V285" s="79"/>
      <c r="W285" s="24"/>
      <c r="X285" s="193"/>
      <c r="Y285" s="15"/>
    </row>
    <row r="286" spans="2:25" x14ac:dyDescent="0.25">
      <c r="B286" s="15">
        <v>284</v>
      </c>
      <c r="C286" s="8"/>
      <c r="K286" s="9">
        <f t="shared" si="39"/>
        <v>0</v>
      </c>
      <c r="L286" s="35">
        <f t="shared" si="40"/>
        <v>0</v>
      </c>
      <c r="T286" s="44"/>
      <c r="U286" s="77"/>
      <c r="V286" s="79"/>
      <c r="W286" s="24"/>
      <c r="X286" s="193"/>
      <c r="Y286" s="15"/>
    </row>
    <row r="287" spans="2:25" x14ac:dyDescent="0.25">
      <c r="B287" s="15">
        <v>285</v>
      </c>
      <c r="C287" s="8"/>
      <c r="K287" s="9">
        <f t="shared" si="39"/>
        <v>0</v>
      </c>
      <c r="L287" s="35">
        <f t="shared" si="40"/>
        <v>0</v>
      </c>
      <c r="T287" s="44"/>
      <c r="U287" s="77"/>
      <c r="V287" s="79"/>
      <c r="W287" s="24"/>
      <c r="X287" s="193"/>
      <c r="Y287" s="15"/>
    </row>
    <row r="288" spans="2:25" x14ac:dyDescent="0.25">
      <c r="B288" s="15">
        <v>286</v>
      </c>
      <c r="C288" s="8"/>
      <c r="K288" s="9">
        <f t="shared" si="39"/>
        <v>0</v>
      </c>
      <c r="L288" s="35">
        <f t="shared" si="40"/>
        <v>0</v>
      </c>
      <c r="T288" s="44"/>
      <c r="U288" s="77"/>
      <c r="V288" s="79"/>
      <c r="W288" s="24"/>
      <c r="X288" s="193"/>
      <c r="Y288" s="15"/>
    </row>
    <row r="289" spans="2:25" x14ac:dyDescent="0.25">
      <c r="B289" s="15">
        <v>287</v>
      </c>
      <c r="C289" s="8"/>
      <c r="K289" s="9">
        <f t="shared" si="39"/>
        <v>0</v>
      </c>
      <c r="L289" s="35">
        <f t="shared" si="40"/>
        <v>0</v>
      </c>
      <c r="T289" s="44"/>
      <c r="U289" s="77"/>
      <c r="V289" s="79"/>
      <c r="W289" s="24"/>
      <c r="X289" s="193"/>
      <c r="Y289" s="15"/>
    </row>
    <row r="290" spans="2:25" x14ac:dyDescent="0.25">
      <c r="B290" s="15">
        <v>288</v>
      </c>
      <c r="C290" s="8"/>
      <c r="K290" s="9">
        <f t="shared" si="39"/>
        <v>0</v>
      </c>
      <c r="L290" s="35">
        <f t="shared" si="40"/>
        <v>0</v>
      </c>
      <c r="T290" s="44"/>
      <c r="U290" s="77"/>
      <c r="V290" s="79"/>
      <c r="W290" s="24"/>
      <c r="X290" s="193"/>
      <c r="Y290" s="15"/>
    </row>
    <row r="291" spans="2:25" x14ac:dyDescent="0.25">
      <c r="B291" s="15">
        <v>289</v>
      </c>
      <c r="C291" s="8"/>
      <c r="K291" s="9">
        <f t="shared" si="39"/>
        <v>0</v>
      </c>
      <c r="L291" s="35">
        <f t="shared" si="40"/>
        <v>0</v>
      </c>
      <c r="T291" s="44"/>
      <c r="U291" s="77"/>
      <c r="V291" s="79"/>
      <c r="W291" s="24"/>
      <c r="X291" s="193"/>
      <c r="Y291" s="15"/>
    </row>
    <row r="292" spans="2:25" x14ac:dyDescent="0.25">
      <c r="B292" s="15">
        <v>290</v>
      </c>
      <c r="C292" s="8"/>
      <c r="K292" s="9">
        <f t="shared" si="39"/>
        <v>0</v>
      </c>
      <c r="L292" s="35">
        <f t="shared" si="40"/>
        <v>0</v>
      </c>
      <c r="T292" s="44"/>
      <c r="U292" s="77"/>
      <c r="V292" s="79"/>
      <c r="W292" s="24"/>
      <c r="X292" s="193"/>
      <c r="Y292" s="15"/>
    </row>
    <row r="293" spans="2:25" x14ac:dyDescent="0.25">
      <c r="B293" s="15">
        <v>291</v>
      </c>
      <c r="C293" s="8"/>
      <c r="K293" s="9">
        <f t="shared" si="39"/>
        <v>0</v>
      </c>
      <c r="L293" s="35">
        <f t="shared" si="40"/>
        <v>0</v>
      </c>
      <c r="T293" s="44"/>
      <c r="U293" s="77"/>
      <c r="V293" s="79"/>
      <c r="W293" s="24"/>
      <c r="X293" s="193"/>
      <c r="Y293" s="15"/>
    </row>
    <row r="294" spans="2:25" x14ac:dyDescent="0.25">
      <c r="B294" s="15">
        <v>292</v>
      </c>
      <c r="C294" s="8"/>
      <c r="K294" s="9">
        <f t="shared" si="39"/>
        <v>0</v>
      </c>
      <c r="L294" s="35">
        <f t="shared" si="40"/>
        <v>0</v>
      </c>
      <c r="T294" s="44"/>
      <c r="U294" s="77"/>
      <c r="V294" s="79"/>
      <c r="W294" s="24"/>
      <c r="X294" s="193"/>
      <c r="Y294" s="15"/>
    </row>
    <row r="295" spans="2:25" x14ac:dyDescent="0.25">
      <c r="B295" s="15">
        <v>293</v>
      </c>
      <c r="C295" s="8"/>
      <c r="K295" s="9">
        <f t="shared" si="39"/>
        <v>0</v>
      </c>
      <c r="L295" s="35">
        <f t="shared" si="40"/>
        <v>0</v>
      </c>
      <c r="T295" s="44"/>
      <c r="U295" s="77"/>
      <c r="V295" s="79"/>
      <c r="W295" s="24"/>
      <c r="X295" s="193"/>
      <c r="Y295" s="15"/>
    </row>
    <row r="296" spans="2:25" x14ac:dyDescent="0.25">
      <c r="B296" s="15">
        <v>294</v>
      </c>
      <c r="C296" s="8"/>
      <c r="K296" s="9">
        <f t="shared" si="39"/>
        <v>0</v>
      </c>
      <c r="L296" s="35">
        <f t="shared" si="40"/>
        <v>0</v>
      </c>
      <c r="T296" s="44"/>
      <c r="U296" s="77"/>
      <c r="V296" s="79"/>
      <c r="W296" s="24"/>
      <c r="X296" s="193"/>
      <c r="Y296" s="15"/>
    </row>
    <row r="297" spans="2:25" x14ac:dyDescent="0.25">
      <c r="B297" s="15">
        <v>295</v>
      </c>
      <c r="C297" s="8"/>
      <c r="K297" s="9">
        <f t="shared" si="39"/>
        <v>0</v>
      </c>
      <c r="L297" s="35">
        <f t="shared" si="40"/>
        <v>0</v>
      </c>
      <c r="T297" s="44"/>
      <c r="U297" s="77"/>
      <c r="V297" s="79"/>
      <c r="W297" s="24"/>
      <c r="X297" s="193"/>
      <c r="Y297" s="15"/>
    </row>
    <row r="298" spans="2:25" x14ac:dyDescent="0.25">
      <c r="B298" s="15">
        <v>296</v>
      </c>
      <c r="C298" s="8"/>
      <c r="K298" s="9">
        <f t="shared" si="39"/>
        <v>0</v>
      </c>
      <c r="L298" s="35">
        <f t="shared" si="40"/>
        <v>0</v>
      </c>
      <c r="T298" s="44"/>
      <c r="U298" s="77"/>
      <c r="V298" s="79"/>
      <c r="W298" s="24"/>
      <c r="X298" s="193"/>
      <c r="Y298" s="15"/>
    </row>
    <row r="299" spans="2:25" x14ac:dyDescent="0.25">
      <c r="B299" s="15">
        <v>297</v>
      </c>
      <c r="C299" s="8"/>
      <c r="K299" s="9">
        <f t="shared" si="39"/>
        <v>0</v>
      </c>
      <c r="L299" s="35">
        <f t="shared" si="40"/>
        <v>0</v>
      </c>
      <c r="T299" s="44"/>
      <c r="U299" s="77"/>
      <c r="V299" s="79"/>
      <c r="W299" s="24"/>
      <c r="X299" s="193"/>
      <c r="Y299" s="15"/>
    </row>
    <row r="300" spans="2:25" x14ac:dyDescent="0.25">
      <c r="B300" s="15">
        <v>298</v>
      </c>
      <c r="C300" s="8"/>
      <c r="K300" s="9">
        <f t="shared" si="39"/>
        <v>0</v>
      </c>
      <c r="L300" s="35">
        <f t="shared" si="40"/>
        <v>0</v>
      </c>
      <c r="T300" s="44"/>
      <c r="U300" s="77"/>
      <c r="V300" s="79"/>
      <c r="W300" s="24"/>
      <c r="X300" s="193"/>
      <c r="Y300" s="15"/>
    </row>
    <row r="301" spans="2:25" x14ac:dyDescent="0.25">
      <c r="B301" s="15">
        <v>298</v>
      </c>
      <c r="C301" s="8"/>
      <c r="K301" s="9">
        <f t="shared" si="39"/>
        <v>0</v>
      </c>
      <c r="L301" s="35">
        <f t="shared" si="40"/>
        <v>0</v>
      </c>
      <c r="T301" s="44"/>
      <c r="U301" s="77"/>
      <c r="V301" s="79"/>
      <c r="W301" s="24"/>
      <c r="X301" s="193"/>
      <c r="Y301" s="15"/>
    </row>
    <row r="302" spans="2:25" x14ac:dyDescent="0.25">
      <c r="B302" s="15">
        <v>298</v>
      </c>
      <c r="G302" s="8"/>
      <c r="H302" s="8"/>
      <c r="K302" s="9">
        <f t="shared" si="39"/>
        <v>0</v>
      </c>
      <c r="L302" s="35">
        <f t="shared" si="40"/>
        <v>0</v>
      </c>
      <c r="W302" s="24"/>
    </row>
    <row r="303" spans="2:25" x14ac:dyDescent="0.25">
      <c r="B303" s="15">
        <v>298</v>
      </c>
      <c r="C303" s="8"/>
      <c r="K303" s="9">
        <f t="shared" si="39"/>
        <v>0</v>
      </c>
      <c r="L303" s="35">
        <f t="shared" si="40"/>
        <v>0</v>
      </c>
      <c r="W303" s="24"/>
    </row>
    <row r="304" spans="2:25" x14ac:dyDescent="0.25">
      <c r="B304" s="15">
        <v>298</v>
      </c>
      <c r="C304" s="8"/>
      <c r="K304" s="9">
        <f t="shared" si="39"/>
        <v>0</v>
      </c>
      <c r="L304" s="35">
        <f t="shared" si="40"/>
        <v>0</v>
      </c>
      <c r="W304" s="24"/>
    </row>
    <row r="305" spans="2:25" x14ac:dyDescent="0.25">
      <c r="B305" s="15">
        <v>298</v>
      </c>
      <c r="C305" s="8"/>
      <c r="F305" s="380"/>
      <c r="G305" s="8"/>
      <c r="H305" s="8"/>
      <c r="I305" s="8"/>
      <c r="J305" s="9"/>
      <c r="K305" s="9">
        <f t="shared" si="39"/>
        <v>0</v>
      </c>
      <c r="L305" s="35">
        <f t="shared" si="40"/>
        <v>0</v>
      </c>
      <c r="M305" s="2"/>
      <c r="O305" s="19"/>
      <c r="P305" s="19"/>
      <c r="Q305" s="19"/>
      <c r="R305" s="21"/>
      <c r="S305" s="46"/>
      <c r="T305" s="44"/>
      <c r="U305" s="77"/>
      <c r="V305" s="24"/>
      <c r="W305" s="24"/>
      <c r="X305" s="193"/>
      <c r="Y305" s="15"/>
    </row>
    <row r="306" spans="2:25" x14ac:dyDescent="0.25">
      <c r="B306" s="15">
        <v>298</v>
      </c>
      <c r="C306" s="8"/>
      <c r="F306" s="380"/>
      <c r="G306" s="8"/>
      <c r="H306" s="8"/>
      <c r="I306" s="8"/>
      <c r="J306" s="9"/>
      <c r="K306" s="9">
        <f t="shared" si="39"/>
        <v>0</v>
      </c>
      <c r="L306" s="35">
        <f t="shared" si="40"/>
        <v>0</v>
      </c>
      <c r="M306" s="2"/>
      <c r="O306" s="19"/>
      <c r="P306" s="19"/>
      <c r="Q306" s="19"/>
      <c r="R306" s="21"/>
      <c r="S306" s="46"/>
      <c r="T306" s="44"/>
      <c r="U306" s="77"/>
      <c r="V306" s="24"/>
      <c r="W306" s="24"/>
      <c r="X306" s="193"/>
      <c r="Y306" s="15"/>
    </row>
    <row r="307" spans="2:25" x14ac:dyDescent="0.25">
      <c r="B307" s="15">
        <v>298</v>
      </c>
      <c r="C307" s="8"/>
      <c r="F307" s="380"/>
      <c r="G307" s="8"/>
      <c r="H307" s="8"/>
      <c r="I307" s="8"/>
      <c r="J307" s="9"/>
      <c r="K307" s="9">
        <f t="shared" si="39"/>
        <v>0</v>
      </c>
      <c r="L307" s="35">
        <f t="shared" si="40"/>
        <v>0</v>
      </c>
      <c r="M307" s="2"/>
      <c r="O307" s="19"/>
      <c r="P307" s="19"/>
      <c r="Q307" s="19"/>
      <c r="R307" s="21"/>
      <c r="S307" s="46"/>
      <c r="T307" s="44"/>
      <c r="U307" s="77"/>
      <c r="V307" s="24"/>
      <c r="W307" s="24"/>
      <c r="X307" s="193"/>
      <c r="Y307" s="15"/>
    </row>
    <row r="308" spans="2:25" x14ac:dyDescent="0.25">
      <c r="B308" s="15">
        <v>298</v>
      </c>
      <c r="C308" s="8"/>
      <c r="F308" s="380"/>
      <c r="G308" s="8"/>
      <c r="H308" s="8"/>
      <c r="I308" s="8"/>
      <c r="J308" s="9"/>
      <c r="K308" s="9">
        <f t="shared" si="39"/>
        <v>0</v>
      </c>
      <c r="L308" s="35">
        <f t="shared" si="40"/>
        <v>0</v>
      </c>
      <c r="M308" s="2"/>
      <c r="O308" s="19"/>
      <c r="P308" s="19"/>
      <c r="Q308" s="19"/>
      <c r="R308" s="21"/>
      <c r="S308" s="46"/>
      <c r="T308" s="44"/>
      <c r="U308" s="77"/>
      <c r="V308" s="24"/>
      <c r="W308" s="24"/>
      <c r="X308" s="193"/>
      <c r="Y308" s="15"/>
    </row>
    <row r="309" spans="2:25" x14ac:dyDescent="0.25">
      <c r="B309" s="15">
        <v>298</v>
      </c>
      <c r="C309" s="8"/>
      <c r="F309" s="380"/>
      <c r="G309" s="8"/>
      <c r="H309" s="8"/>
      <c r="I309" s="8"/>
      <c r="J309" s="9"/>
      <c r="K309" s="9">
        <f t="shared" si="39"/>
        <v>0</v>
      </c>
      <c r="L309" s="35">
        <f t="shared" si="40"/>
        <v>0</v>
      </c>
      <c r="M309" s="2"/>
      <c r="O309" s="19"/>
      <c r="P309" s="19"/>
      <c r="Q309" s="19"/>
      <c r="R309" s="21"/>
      <c r="S309" s="46"/>
      <c r="T309" s="44"/>
      <c r="U309" s="77"/>
      <c r="V309" s="24"/>
      <c r="W309" s="24"/>
      <c r="X309" s="193"/>
      <c r="Y309" s="15"/>
    </row>
    <row r="310" spans="2:25" x14ac:dyDescent="0.25">
      <c r="B310" s="15">
        <v>235</v>
      </c>
      <c r="C310" s="8"/>
      <c r="F310" s="380"/>
      <c r="G310" s="8"/>
      <c r="H310" s="8"/>
      <c r="I310" s="8"/>
      <c r="J310" s="9"/>
      <c r="K310" s="9">
        <f t="shared" si="39"/>
        <v>0</v>
      </c>
      <c r="L310" s="35">
        <f t="shared" si="40"/>
        <v>0</v>
      </c>
      <c r="M310" s="2"/>
      <c r="O310" s="19"/>
      <c r="P310" s="19"/>
      <c r="Q310" s="19"/>
      <c r="R310" s="21"/>
      <c r="S310" s="46"/>
      <c r="T310" s="44"/>
      <c r="U310" s="77"/>
      <c r="V310" s="24"/>
      <c r="W310" s="24"/>
      <c r="X310" s="193"/>
      <c r="Y310" s="15"/>
    </row>
    <row r="311" spans="2:25" x14ac:dyDescent="0.25">
      <c r="B311" s="15">
        <v>235</v>
      </c>
      <c r="C311" s="8"/>
      <c r="F311" s="380"/>
      <c r="G311" s="8"/>
      <c r="H311" s="8"/>
      <c r="I311" s="8"/>
      <c r="J311" s="9"/>
      <c r="K311" s="9">
        <f t="shared" si="39"/>
        <v>0</v>
      </c>
      <c r="L311" s="35">
        <f t="shared" si="40"/>
        <v>0</v>
      </c>
      <c r="M311" s="2"/>
      <c r="O311" s="19"/>
      <c r="P311" s="19"/>
      <c r="Q311" s="19"/>
      <c r="R311" s="21"/>
      <c r="S311" s="46"/>
      <c r="T311" s="44"/>
      <c r="U311" s="77"/>
      <c r="V311" s="24"/>
      <c r="W311" s="24"/>
      <c r="X311" s="193"/>
      <c r="Y311" s="15"/>
    </row>
    <row r="312" spans="2:25" x14ac:dyDescent="0.25">
      <c r="B312" s="15">
        <v>235</v>
      </c>
      <c r="C312" s="8"/>
      <c r="F312" s="380"/>
      <c r="G312" s="8"/>
      <c r="H312" s="8"/>
      <c r="I312" s="8"/>
      <c r="J312" s="9"/>
      <c r="K312" s="9">
        <f t="shared" si="39"/>
        <v>0</v>
      </c>
      <c r="L312" s="35">
        <f t="shared" si="40"/>
        <v>0</v>
      </c>
      <c r="M312" s="2"/>
      <c r="O312" s="19"/>
      <c r="P312" s="19"/>
      <c r="Q312" s="19"/>
      <c r="R312" s="21"/>
      <c r="S312" s="46"/>
      <c r="T312" s="44"/>
      <c r="U312" s="77"/>
      <c r="V312" s="24"/>
      <c r="W312" s="24"/>
      <c r="X312" s="193"/>
      <c r="Y312" s="15"/>
    </row>
    <row r="313" spans="2:25" x14ac:dyDescent="0.25">
      <c r="B313" s="15">
        <v>235</v>
      </c>
      <c r="C313" s="8"/>
      <c r="F313" s="380"/>
      <c r="G313" s="8"/>
      <c r="H313" s="8"/>
      <c r="I313" s="8"/>
      <c r="J313" s="9"/>
      <c r="K313" s="9">
        <f t="shared" si="39"/>
        <v>0</v>
      </c>
      <c r="L313" s="35">
        <f t="shared" si="40"/>
        <v>0</v>
      </c>
      <c r="M313" s="2"/>
      <c r="O313" s="19"/>
      <c r="P313" s="19"/>
      <c r="Q313" s="19"/>
      <c r="R313" s="21"/>
      <c r="S313" s="46"/>
      <c r="T313" s="44"/>
      <c r="U313" s="77"/>
      <c r="V313" s="24"/>
      <c r="W313" s="24"/>
      <c r="X313" s="193"/>
      <c r="Y313" s="15"/>
    </row>
    <row r="314" spans="2:25" x14ac:dyDescent="0.25">
      <c r="B314" s="15">
        <v>235</v>
      </c>
      <c r="C314" s="8"/>
      <c r="F314" s="380"/>
      <c r="G314" s="8"/>
      <c r="H314" s="8"/>
      <c r="I314" s="8"/>
      <c r="J314" s="9"/>
      <c r="K314" s="9">
        <f t="shared" si="39"/>
        <v>0</v>
      </c>
      <c r="L314" s="35">
        <f t="shared" si="40"/>
        <v>0</v>
      </c>
      <c r="M314" s="2"/>
      <c r="O314" s="19"/>
      <c r="P314" s="19"/>
      <c r="Q314" s="19"/>
      <c r="R314" s="21"/>
      <c r="S314" s="46"/>
      <c r="T314" s="44"/>
      <c r="U314" s="77"/>
      <c r="V314" s="24"/>
      <c r="W314" s="24"/>
      <c r="X314" s="193"/>
      <c r="Y314" s="15"/>
    </row>
    <row r="315" spans="2:25" x14ac:dyDescent="0.25">
      <c r="B315" s="15">
        <v>235</v>
      </c>
      <c r="C315" s="8"/>
      <c r="F315" s="380"/>
      <c r="G315" s="8"/>
      <c r="H315" s="8"/>
      <c r="I315" s="8"/>
      <c r="J315" s="9"/>
      <c r="K315" s="9">
        <f t="shared" si="39"/>
        <v>0</v>
      </c>
      <c r="L315" s="35">
        <f t="shared" si="40"/>
        <v>0</v>
      </c>
      <c r="M315" s="2"/>
      <c r="O315" s="19"/>
      <c r="P315" s="19"/>
      <c r="Q315" s="19"/>
      <c r="R315" s="21"/>
      <c r="S315" s="46"/>
      <c r="T315" s="44"/>
      <c r="U315" s="77"/>
      <c r="V315" s="24"/>
      <c r="W315" s="24"/>
      <c r="X315" s="193"/>
      <c r="Y315" s="15"/>
    </row>
    <row r="316" spans="2:25" x14ac:dyDescent="0.25">
      <c r="B316" s="15">
        <v>235</v>
      </c>
      <c r="C316" s="8"/>
      <c r="F316" s="380"/>
      <c r="G316" s="8"/>
      <c r="H316" s="8"/>
      <c r="I316" s="8"/>
      <c r="J316" s="9"/>
      <c r="K316" s="9">
        <f t="shared" si="39"/>
        <v>0</v>
      </c>
      <c r="L316" s="35">
        <f t="shared" si="40"/>
        <v>0</v>
      </c>
      <c r="M316" s="2"/>
      <c r="O316" s="19"/>
      <c r="P316" s="19"/>
      <c r="Q316" s="19"/>
      <c r="R316" s="21"/>
      <c r="S316" s="46"/>
      <c r="T316" s="44"/>
      <c r="U316" s="77"/>
      <c r="V316" s="24"/>
      <c r="W316" s="24"/>
      <c r="X316" s="193"/>
      <c r="Y316" s="15"/>
    </row>
    <row r="317" spans="2:25" x14ac:dyDescent="0.25">
      <c r="B317" s="15">
        <v>235</v>
      </c>
      <c r="C317" s="8"/>
      <c r="F317" s="380"/>
      <c r="G317" s="8"/>
      <c r="H317" s="8"/>
      <c r="I317" s="8"/>
      <c r="J317" s="9"/>
      <c r="K317" s="9">
        <f t="shared" si="39"/>
        <v>0</v>
      </c>
      <c r="L317" s="35">
        <f t="shared" si="40"/>
        <v>0</v>
      </c>
      <c r="M317" s="2"/>
      <c r="O317" s="19"/>
      <c r="P317" s="19"/>
      <c r="Q317" s="19"/>
      <c r="R317" s="21"/>
      <c r="S317" s="46"/>
      <c r="T317" s="44"/>
      <c r="U317" s="77"/>
      <c r="V317" s="24"/>
      <c r="W317" s="24"/>
      <c r="X317" s="193"/>
      <c r="Y317" s="15"/>
    </row>
    <row r="318" spans="2:25" x14ac:dyDescent="0.25">
      <c r="B318" s="15">
        <v>235</v>
      </c>
      <c r="C318" s="8"/>
      <c r="F318" s="380"/>
      <c r="G318" s="8"/>
      <c r="H318" s="8"/>
      <c r="I318" s="8"/>
      <c r="J318" s="9"/>
      <c r="K318" s="9">
        <f t="shared" si="39"/>
        <v>0</v>
      </c>
      <c r="L318" s="35">
        <f t="shared" si="40"/>
        <v>0</v>
      </c>
      <c r="M318" s="2"/>
      <c r="O318" s="19"/>
      <c r="P318" s="19"/>
      <c r="Q318" s="19"/>
      <c r="R318" s="21"/>
      <c r="S318" s="46"/>
      <c r="T318" s="44"/>
      <c r="U318" s="77"/>
      <c r="V318" s="24"/>
      <c r="W318" s="24"/>
      <c r="X318" s="193"/>
      <c r="Y318" s="15"/>
    </row>
    <row r="319" spans="2:25" x14ac:dyDescent="0.25">
      <c r="B319" s="15">
        <v>235</v>
      </c>
      <c r="C319" s="8"/>
      <c r="F319" s="380"/>
      <c r="G319" s="8"/>
      <c r="H319" s="8"/>
      <c r="I319" s="8"/>
      <c r="J319" s="9"/>
      <c r="K319" s="9">
        <f t="shared" si="39"/>
        <v>0</v>
      </c>
      <c r="L319" s="35">
        <f t="shared" si="40"/>
        <v>0</v>
      </c>
      <c r="M319" s="2"/>
      <c r="O319" s="19"/>
      <c r="P319" s="19"/>
      <c r="Q319" s="19"/>
      <c r="R319" s="21"/>
      <c r="S319" s="46"/>
      <c r="T319" s="44"/>
      <c r="U319" s="77"/>
      <c r="V319" s="24"/>
      <c r="W319" s="24"/>
      <c r="X319" s="193"/>
      <c r="Y319" s="15"/>
    </row>
    <row r="320" spans="2:25" x14ac:dyDescent="0.25">
      <c r="B320" s="15">
        <v>235</v>
      </c>
      <c r="C320" s="8"/>
      <c r="F320" s="380"/>
      <c r="G320" s="8"/>
      <c r="H320" s="8"/>
      <c r="I320" s="8"/>
      <c r="J320" s="9"/>
      <c r="K320" s="9">
        <f t="shared" si="39"/>
        <v>0</v>
      </c>
      <c r="L320" s="35">
        <f t="shared" si="40"/>
        <v>0</v>
      </c>
      <c r="M320" s="2"/>
      <c r="O320" s="19"/>
      <c r="P320" s="19"/>
      <c r="Q320" s="19"/>
      <c r="R320" s="21"/>
      <c r="S320" s="46"/>
      <c r="T320" s="44"/>
      <c r="U320" s="77"/>
      <c r="V320" s="24"/>
      <c r="W320" s="24"/>
      <c r="X320" s="193"/>
      <c r="Y320" s="15"/>
    </row>
    <row r="321" spans="2:25" x14ac:dyDescent="0.25">
      <c r="B321" s="15">
        <v>235</v>
      </c>
      <c r="C321" s="8"/>
      <c r="F321" s="380"/>
      <c r="G321" s="8"/>
      <c r="H321" s="8"/>
      <c r="I321" s="8"/>
      <c r="J321" s="9"/>
      <c r="K321" s="9">
        <f t="shared" si="39"/>
        <v>0</v>
      </c>
      <c r="L321" s="35">
        <f t="shared" si="40"/>
        <v>0</v>
      </c>
      <c r="M321" s="2"/>
      <c r="O321" s="19"/>
      <c r="P321" s="19"/>
      <c r="Q321" s="19"/>
      <c r="R321" s="21"/>
      <c r="S321" s="46"/>
      <c r="T321" s="44"/>
      <c r="U321" s="77"/>
      <c r="V321" s="24"/>
      <c r="W321" s="24"/>
      <c r="X321" s="193"/>
      <c r="Y321" s="15"/>
    </row>
    <row r="322" spans="2:25" x14ac:dyDescent="0.25">
      <c r="B322" s="15">
        <v>235</v>
      </c>
      <c r="C322" s="8"/>
      <c r="F322" s="380"/>
      <c r="G322" s="8"/>
      <c r="H322" s="8"/>
      <c r="I322" s="8"/>
      <c r="J322" s="9"/>
      <c r="K322" s="9">
        <f t="shared" si="39"/>
        <v>0</v>
      </c>
      <c r="L322" s="35">
        <f t="shared" si="40"/>
        <v>0</v>
      </c>
      <c r="M322" s="2"/>
      <c r="O322" s="19"/>
      <c r="P322" s="19"/>
      <c r="Q322" s="19"/>
      <c r="R322" s="21"/>
      <c r="S322" s="46"/>
      <c r="T322" s="44"/>
      <c r="U322" s="77"/>
      <c r="V322" s="24"/>
      <c r="W322" s="24"/>
      <c r="X322" s="193"/>
      <c r="Y322" s="15"/>
    </row>
    <row r="323" spans="2:25" x14ac:dyDescent="0.25">
      <c r="B323" s="15">
        <v>235</v>
      </c>
      <c r="C323" s="8"/>
      <c r="F323" s="380"/>
      <c r="G323" s="8"/>
      <c r="H323" s="8"/>
      <c r="I323" s="8"/>
      <c r="J323" s="9"/>
      <c r="K323" s="9">
        <f t="shared" ref="K323:K354" si="41">J323*1.1</f>
        <v>0</v>
      </c>
      <c r="L323" s="35">
        <f t="shared" ref="L323:L354" si="42">J323*0.00000001</f>
        <v>0</v>
      </c>
      <c r="M323" s="2"/>
      <c r="O323" s="19"/>
      <c r="P323" s="19"/>
      <c r="Q323" s="19"/>
      <c r="R323" s="21"/>
      <c r="S323" s="46"/>
      <c r="T323" s="44"/>
      <c r="U323" s="77"/>
      <c r="V323" s="24"/>
      <c r="W323" s="24"/>
      <c r="X323" s="193"/>
      <c r="Y323" s="15"/>
    </row>
    <row r="324" spans="2:25" x14ac:dyDescent="0.25">
      <c r="B324" s="15">
        <v>235</v>
      </c>
      <c r="C324" s="8"/>
      <c r="F324" s="380"/>
      <c r="G324" s="8"/>
      <c r="H324" s="8"/>
      <c r="I324" s="8"/>
      <c r="J324" s="9"/>
      <c r="K324" s="9">
        <f t="shared" si="41"/>
        <v>0</v>
      </c>
      <c r="L324" s="35">
        <f t="shared" si="42"/>
        <v>0</v>
      </c>
      <c r="M324" s="2"/>
      <c r="O324" s="19"/>
      <c r="P324" s="19"/>
      <c r="Q324" s="19"/>
      <c r="R324" s="21"/>
      <c r="S324" s="46"/>
      <c r="T324" s="44"/>
      <c r="U324" s="77"/>
      <c r="V324" s="24"/>
      <c r="W324" s="24"/>
      <c r="X324" s="193"/>
      <c r="Y324" s="15"/>
    </row>
    <row r="325" spans="2:25" x14ac:dyDescent="0.25">
      <c r="B325" s="15">
        <v>235</v>
      </c>
      <c r="C325" s="8"/>
      <c r="F325" s="380"/>
      <c r="G325" s="8"/>
      <c r="H325" s="8"/>
      <c r="I325" s="8"/>
      <c r="J325" s="9"/>
      <c r="K325" s="9">
        <f t="shared" si="41"/>
        <v>0</v>
      </c>
      <c r="L325" s="35">
        <f t="shared" si="42"/>
        <v>0</v>
      </c>
      <c r="M325" s="2"/>
      <c r="O325" s="19"/>
      <c r="P325" s="19"/>
      <c r="Q325" s="19"/>
      <c r="R325" s="21"/>
      <c r="S325" s="46"/>
      <c r="T325" s="44"/>
      <c r="U325" s="77"/>
      <c r="V325" s="24"/>
      <c r="W325" s="24"/>
      <c r="X325" s="193"/>
      <c r="Y325" s="15"/>
    </row>
    <row r="326" spans="2:25" x14ac:dyDescent="0.25">
      <c r="B326" s="15">
        <v>235</v>
      </c>
      <c r="C326" s="8"/>
      <c r="F326" s="380"/>
      <c r="G326" s="8"/>
      <c r="H326" s="8"/>
      <c r="I326" s="8"/>
      <c r="J326" s="9"/>
      <c r="K326" s="9">
        <f t="shared" si="41"/>
        <v>0</v>
      </c>
      <c r="L326" s="35">
        <f t="shared" si="42"/>
        <v>0</v>
      </c>
      <c r="M326" s="2"/>
      <c r="O326" s="19"/>
      <c r="P326" s="19"/>
      <c r="Q326" s="19"/>
      <c r="R326" s="21"/>
      <c r="S326" s="46"/>
      <c r="T326" s="44"/>
      <c r="U326" s="77"/>
      <c r="V326" s="24"/>
      <c r="W326" s="24"/>
      <c r="X326" s="193"/>
      <c r="Y326" s="15"/>
    </row>
    <row r="327" spans="2:25" x14ac:dyDescent="0.25">
      <c r="B327" s="15">
        <v>235</v>
      </c>
      <c r="C327" s="8"/>
      <c r="F327" s="380"/>
      <c r="G327" s="8"/>
      <c r="H327" s="8"/>
      <c r="I327" s="8"/>
      <c r="J327" s="9"/>
      <c r="K327" s="9">
        <f t="shared" si="41"/>
        <v>0</v>
      </c>
      <c r="L327" s="35">
        <f t="shared" si="42"/>
        <v>0</v>
      </c>
      <c r="M327" s="2"/>
      <c r="O327" s="19"/>
      <c r="P327" s="19"/>
      <c r="Q327" s="19"/>
      <c r="R327" s="21"/>
      <c r="S327" s="46"/>
      <c r="T327" s="44"/>
      <c r="U327" s="77"/>
      <c r="V327" s="24"/>
      <c r="W327" s="24"/>
      <c r="X327" s="193"/>
      <c r="Y327" s="15"/>
    </row>
    <row r="328" spans="2:25" x14ac:dyDescent="0.25">
      <c r="B328" s="15">
        <v>235</v>
      </c>
      <c r="C328" s="8"/>
      <c r="F328" s="380"/>
      <c r="G328" s="8"/>
      <c r="H328" s="8"/>
      <c r="I328" s="8"/>
      <c r="J328" s="9"/>
      <c r="K328" s="9">
        <f t="shared" si="41"/>
        <v>0</v>
      </c>
      <c r="L328" s="35">
        <f t="shared" si="42"/>
        <v>0</v>
      </c>
      <c r="M328" s="2"/>
      <c r="O328" s="19"/>
      <c r="P328" s="19"/>
      <c r="Q328" s="19"/>
      <c r="R328" s="21"/>
      <c r="S328" s="46"/>
      <c r="T328" s="44"/>
      <c r="U328" s="77"/>
      <c r="V328" s="24"/>
      <c r="W328" s="24"/>
      <c r="X328" s="193"/>
      <c r="Y328" s="15"/>
    </row>
    <row r="329" spans="2:25" x14ac:dyDescent="0.25">
      <c r="B329" s="15">
        <v>235</v>
      </c>
      <c r="K329" s="9">
        <f t="shared" si="41"/>
        <v>0</v>
      </c>
      <c r="L329" s="35">
        <f t="shared" si="42"/>
        <v>0</v>
      </c>
      <c r="T329" s="44"/>
      <c r="U329" s="77"/>
      <c r="V329" s="24"/>
      <c r="W329" s="24"/>
      <c r="X329" s="193"/>
      <c r="Y329" s="15"/>
    </row>
    <row r="330" spans="2:25" x14ac:dyDescent="0.25">
      <c r="B330" s="15">
        <v>235</v>
      </c>
      <c r="K330" s="9">
        <f t="shared" si="41"/>
        <v>0</v>
      </c>
      <c r="L330" s="35">
        <f t="shared" si="42"/>
        <v>0</v>
      </c>
      <c r="T330" s="44"/>
      <c r="U330" s="77"/>
      <c r="V330" s="24"/>
      <c r="W330" s="24"/>
      <c r="X330" s="193"/>
      <c r="Y330" s="15"/>
    </row>
    <row r="331" spans="2:25" x14ac:dyDescent="0.25">
      <c r="B331" s="15">
        <v>235</v>
      </c>
      <c r="K331" s="9">
        <f t="shared" si="41"/>
        <v>0</v>
      </c>
      <c r="L331" s="35">
        <f t="shared" si="42"/>
        <v>0</v>
      </c>
      <c r="T331" s="44"/>
      <c r="U331" s="77"/>
      <c r="V331" s="24"/>
      <c r="W331" s="24"/>
      <c r="X331" s="193"/>
      <c r="Y331" s="15"/>
    </row>
    <row r="332" spans="2:25" x14ac:dyDescent="0.25">
      <c r="B332" s="15">
        <v>235</v>
      </c>
      <c r="K332" s="9">
        <f t="shared" si="41"/>
        <v>0</v>
      </c>
      <c r="L332" s="35">
        <f t="shared" si="42"/>
        <v>0</v>
      </c>
      <c r="T332" s="44"/>
      <c r="U332" s="77"/>
      <c r="V332" s="24"/>
      <c r="W332" s="24"/>
      <c r="X332" s="193"/>
      <c r="Y332" s="15"/>
    </row>
    <row r="333" spans="2:25" x14ac:dyDescent="0.25">
      <c r="B333" s="15">
        <v>235</v>
      </c>
      <c r="K333" s="9">
        <f t="shared" si="41"/>
        <v>0</v>
      </c>
      <c r="L333" s="35">
        <f t="shared" si="42"/>
        <v>0</v>
      </c>
      <c r="T333" s="44"/>
      <c r="U333" s="77"/>
      <c r="V333" s="24"/>
      <c r="W333" s="24"/>
      <c r="X333" s="193"/>
      <c r="Y333" s="15"/>
    </row>
    <row r="334" spans="2:25" x14ac:dyDescent="0.25">
      <c r="B334" s="15">
        <v>235</v>
      </c>
      <c r="K334" s="9">
        <f t="shared" si="41"/>
        <v>0</v>
      </c>
      <c r="L334" s="35">
        <f t="shared" si="42"/>
        <v>0</v>
      </c>
      <c r="T334" s="44"/>
      <c r="U334" s="77"/>
      <c r="V334" s="24"/>
      <c r="W334" s="24"/>
      <c r="X334" s="193"/>
      <c r="Y334" s="15"/>
    </row>
    <row r="335" spans="2:25" x14ac:dyDescent="0.25">
      <c r="B335" s="15">
        <v>235</v>
      </c>
      <c r="K335" s="9">
        <f t="shared" si="41"/>
        <v>0</v>
      </c>
      <c r="L335" s="35">
        <f t="shared" si="42"/>
        <v>0</v>
      </c>
      <c r="T335" s="44"/>
      <c r="U335" s="77"/>
      <c r="V335" s="24"/>
      <c r="W335" s="24"/>
      <c r="X335" s="193"/>
      <c r="Y335" s="15"/>
    </row>
    <row r="336" spans="2:25" x14ac:dyDescent="0.25">
      <c r="B336" t="s">
        <v>184</v>
      </c>
      <c r="K336" s="9">
        <f t="shared" si="41"/>
        <v>0</v>
      </c>
      <c r="L336" s="35">
        <f t="shared" si="42"/>
        <v>0</v>
      </c>
      <c r="T336" s="44"/>
      <c r="U336" s="77"/>
      <c r="V336" s="24"/>
      <c r="W336" s="24"/>
      <c r="X336" s="193"/>
      <c r="Y336" s="15"/>
    </row>
    <row r="337" spans="2:25" x14ac:dyDescent="0.25">
      <c r="B337" s="15">
        <v>247</v>
      </c>
      <c r="C337" s="8"/>
      <c r="F337" s="380"/>
      <c r="G337" s="8"/>
      <c r="H337" s="8"/>
      <c r="I337" s="8"/>
      <c r="J337" s="9"/>
      <c r="K337" s="9">
        <f t="shared" si="41"/>
        <v>0</v>
      </c>
      <c r="L337" s="35">
        <f t="shared" si="42"/>
        <v>0</v>
      </c>
      <c r="M337" s="2"/>
      <c r="O337" s="19"/>
      <c r="P337" s="19"/>
      <c r="Q337" s="19"/>
      <c r="R337" s="21"/>
      <c r="S337" s="46"/>
      <c r="T337" s="44"/>
      <c r="U337" s="77"/>
      <c r="V337" s="24"/>
      <c r="W337" s="24"/>
      <c r="X337" s="193"/>
      <c r="Y337" s="15"/>
    </row>
    <row r="338" spans="2:25" x14ac:dyDescent="0.25">
      <c r="B338" s="15"/>
      <c r="C338" s="8"/>
      <c r="F338" s="380"/>
      <c r="G338" s="8"/>
      <c r="H338" s="8"/>
      <c r="I338" s="8"/>
      <c r="J338" s="9"/>
      <c r="K338" s="9">
        <f t="shared" si="41"/>
        <v>0</v>
      </c>
      <c r="L338" s="35">
        <f t="shared" si="42"/>
        <v>0</v>
      </c>
      <c r="M338" s="2"/>
      <c r="O338" s="19"/>
      <c r="P338" s="19"/>
      <c r="Q338" s="19"/>
      <c r="R338" s="21"/>
      <c r="S338" s="46"/>
      <c r="T338" s="44"/>
      <c r="U338" s="77"/>
      <c r="V338" s="24"/>
      <c r="W338" s="24"/>
      <c r="X338" s="193"/>
      <c r="Y338" s="15"/>
    </row>
    <row r="339" spans="2:25" x14ac:dyDescent="0.25">
      <c r="B339" s="15"/>
      <c r="C339" s="8"/>
      <c r="F339" s="380"/>
      <c r="G339" s="8"/>
      <c r="H339" s="8"/>
      <c r="I339" s="8"/>
      <c r="J339" s="9"/>
      <c r="K339" s="9">
        <f t="shared" si="41"/>
        <v>0</v>
      </c>
      <c r="L339" s="35">
        <f t="shared" si="42"/>
        <v>0</v>
      </c>
      <c r="M339" s="2"/>
      <c r="O339" s="19"/>
      <c r="P339" s="19"/>
      <c r="Q339" s="19"/>
      <c r="R339" s="21"/>
      <c r="S339" s="46"/>
      <c r="T339" s="44"/>
      <c r="U339" s="77"/>
      <c r="V339" s="24"/>
      <c r="W339" s="24"/>
      <c r="X339" s="193"/>
      <c r="Y339" s="15"/>
    </row>
    <row r="340" spans="2:25" x14ac:dyDescent="0.25">
      <c r="B340" s="15"/>
      <c r="C340" s="8"/>
      <c r="F340" s="380"/>
      <c r="G340" s="8"/>
      <c r="H340" s="8"/>
      <c r="I340" s="8"/>
      <c r="J340" s="9"/>
      <c r="K340" s="9">
        <f t="shared" si="41"/>
        <v>0</v>
      </c>
      <c r="L340" s="35">
        <f t="shared" si="42"/>
        <v>0</v>
      </c>
      <c r="M340" s="2"/>
      <c r="O340" s="19"/>
      <c r="P340" s="19"/>
      <c r="Q340" s="19"/>
      <c r="R340" s="21"/>
      <c r="S340" s="46"/>
      <c r="T340" s="44"/>
      <c r="U340" s="77"/>
      <c r="V340" s="24"/>
      <c r="W340" s="24"/>
      <c r="X340" s="193"/>
      <c r="Y340" s="15"/>
    </row>
    <row r="341" spans="2:25" x14ac:dyDescent="0.25">
      <c r="B341" s="15"/>
      <c r="C341" s="8"/>
      <c r="F341" s="380"/>
      <c r="G341" s="8"/>
      <c r="H341" s="8"/>
      <c r="I341" s="8"/>
      <c r="J341" s="9"/>
      <c r="K341" s="9">
        <f t="shared" si="41"/>
        <v>0</v>
      </c>
      <c r="L341" s="35">
        <f t="shared" si="42"/>
        <v>0</v>
      </c>
      <c r="M341" s="2"/>
      <c r="O341" s="19"/>
      <c r="P341" s="19"/>
      <c r="Q341" s="19"/>
      <c r="R341" s="21"/>
      <c r="S341" s="46"/>
      <c r="T341" s="44"/>
      <c r="U341" s="77"/>
      <c r="V341" s="24"/>
      <c r="W341" s="24"/>
      <c r="X341" s="193"/>
      <c r="Y341" s="15"/>
    </row>
    <row r="342" spans="2:25" x14ac:dyDescent="0.25">
      <c r="B342" s="15"/>
      <c r="C342" s="8"/>
      <c r="F342" s="380"/>
      <c r="G342" s="8"/>
      <c r="H342" s="8"/>
      <c r="I342" s="8"/>
      <c r="J342" s="9"/>
      <c r="K342" s="9">
        <f t="shared" si="41"/>
        <v>0</v>
      </c>
      <c r="L342" s="35">
        <f t="shared" si="42"/>
        <v>0</v>
      </c>
      <c r="M342" s="2"/>
      <c r="O342" s="19"/>
      <c r="P342" s="19"/>
      <c r="Q342" s="19"/>
      <c r="R342" s="21"/>
      <c r="S342" s="46"/>
      <c r="T342" s="44"/>
      <c r="U342" s="77"/>
      <c r="V342" s="24"/>
      <c r="W342" s="24"/>
      <c r="X342" s="193"/>
      <c r="Y342" s="15"/>
    </row>
    <row r="343" spans="2:25" x14ac:dyDescent="0.25">
      <c r="B343" s="15"/>
      <c r="C343" s="8"/>
      <c r="F343" s="380"/>
      <c r="G343" s="8"/>
      <c r="H343" s="8"/>
      <c r="I343" s="8"/>
      <c r="J343" s="9"/>
      <c r="K343" s="9">
        <f t="shared" si="41"/>
        <v>0</v>
      </c>
      <c r="L343" s="35">
        <f t="shared" si="42"/>
        <v>0</v>
      </c>
      <c r="M343" s="2"/>
      <c r="O343" s="19"/>
      <c r="P343" s="19"/>
      <c r="Q343" s="19"/>
      <c r="R343" s="21"/>
      <c r="S343" s="46"/>
      <c r="T343" s="44"/>
      <c r="U343" s="77"/>
      <c r="V343" s="24"/>
      <c r="W343" s="24"/>
      <c r="X343" s="193"/>
      <c r="Y343" s="15"/>
    </row>
    <row r="344" spans="2:25" x14ac:dyDescent="0.25">
      <c r="B344" s="15"/>
      <c r="C344" s="8"/>
      <c r="F344" s="380"/>
      <c r="G344" s="8"/>
      <c r="H344" s="8"/>
      <c r="I344" s="8"/>
      <c r="J344" s="9"/>
      <c r="K344" s="9">
        <f t="shared" si="41"/>
        <v>0</v>
      </c>
      <c r="L344" s="35">
        <f t="shared" si="42"/>
        <v>0</v>
      </c>
      <c r="M344" s="2"/>
      <c r="O344" s="19"/>
      <c r="P344" s="19"/>
      <c r="Q344" s="19"/>
      <c r="R344" s="21"/>
      <c r="S344" s="46"/>
      <c r="T344" s="44"/>
      <c r="U344" s="77"/>
      <c r="V344" s="24"/>
      <c r="W344" s="24"/>
      <c r="X344" s="193"/>
      <c r="Y344" s="15"/>
    </row>
    <row r="345" spans="2:25" x14ac:dyDescent="0.25">
      <c r="B345" s="15"/>
      <c r="C345" s="8"/>
      <c r="F345" s="380"/>
      <c r="G345" s="8"/>
      <c r="H345" s="8"/>
      <c r="I345" s="8"/>
      <c r="J345" s="9"/>
      <c r="K345" s="9">
        <f t="shared" si="41"/>
        <v>0</v>
      </c>
      <c r="L345" s="35">
        <f t="shared" si="42"/>
        <v>0</v>
      </c>
      <c r="M345" s="2"/>
      <c r="O345" s="19"/>
      <c r="P345" s="19"/>
      <c r="Q345" s="19"/>
      <c r="R345" s="21"/>
      <c r="S345" s="46"/>
      <c r="T345" s="44"/>
      <c r="U345" s="77"/>
      <c r="V345" s="24"/>
      <c r="W345" s="24"/>
      <c r="X345" s="193"/>
      <c r="Y345" s="15"/>
    </row>
    <row r="346" spans="2:25" x14ac:dyDescent="0.25">
      <c r="B346" s="15"/>
      <c r="C346" s="8"/>
      <c r="F346" s="380"/>
      <c r="G346" s="8"/>
      <c r="H346" s="8"/>
      <c r="I346" s="8"/>
      <c r="J346" s="9"/>
      <c r="K346" s="9">
        <f t="shared" si="41"/>
        <v>0</v>
      </c>
      <c r="L346" s="35">
        <f t="shared" si="42"/>
        <v>0</v>
      </c>
      <c r="M346" s="2"/>
      <c r="O346" s="19"/>
      <c r="P346" s="19"/>
      <c r="Q346" s="19"/>
      <c r="R346" s="21"/>
      <c r="S346" s="46"/>
      <c r="T346" s="44"/>
      <c r="U346" s="77"/>
      <c r="V346" s="24"/>
      <c r="W346" s="24"/>
      <c r="X346" s="193"/>
      <c r="Y346" s="15"/>
    </row>
    <row r="347" spans="2:25" x14ac:dyDescent="0.25">
      <c r="B347" s="15"/>
      <c r="C347" s="8"/>
      <c r="F347" s="380"/>
      <c r="G347" s="8"/>
      <c r="H347" s="8"/>
      <c r="I347" s="8"/>
      <c r="J347" s="9"/>
      <c r="K347" s="9">
        <f t="shared" si="41"/>
        <v>0</v>
      </c>
      <c r="L347" s="35">
        <f t="shared" si="42"/>
        <v>0</v>
      </c>
      <c r="M347" s="2"/>
      <c r="O347" s="19"/>
      <c r="P347" s="19"/>
      <c r="Q347" s="19"/>
      <c r="R347" s="21"/>
      <c r="S347" s="46"/>
      <c r="T347" s="44"/>
      <c r="U347" s="77"/>
      <c r="V347" s="24"/>
      <c r="W347" s="24"/>
      <c r="X347" s="193"/>
      <c r="Y347" s="15"/>
    </row>
    <row r="348" spans="2:25" x14ac:dyDescent="0.25">
      <c r="B348" s="15"/>
      <c r="C348" s="8"/>
      <c r="F348" s="380"/>
      <c r="G348" s="8"/>
      <c r="H348" s="8"/>
      <c r="I348" s="8"/>
      <c r="J348" s="9"/>
      <c r="K348" s="9">
        <f t="shared" si="41"/>
        <v>0</v>
      </c>
      <c r="L348" s="35">
        <f t="shared" si="42"/>
        <v>0</v>
      </c>
      <c r="M348" s="2"/>
      <c r="O348" s="19"/>
      <c r="P348" s="19"/>
      <c r="Q348" s="19"/>
      <c r="R348" s="21"/>
      <c r="S348" s="46"/>
      <c r="T348" s="44"/>
      <c r="U348" s="77"/>
      <c r="V348" s="24"/>
      <c r="W348" s="24"/>
      <c r="X348" s="193"/>
      <c r="Y348" s="15"/>
    </row>
    <row r="349" spans="2:25" x14ac:dyDescent="0.25">
      <c r="B349" s="15"/>
      <c r="C349" s="8"/>
      <c r="F349" s="380"/>
      <c r="G349" s="8"/>
      <c r="H349" s="8"/>
      <c r="I349" s="8"/>
      <c r="J349" s="9"/>
      <c r="K349" s="9">
        <f t="shared" si="41"/>
        <v>0</v>
      </c>
      <c r="L349" s="35">
        <f t="shared" si="42"/>
        <v>0</v>
      </c>
      <c r="M349" s="2"/>
      <c r="O349" s="19"/>
      <c r="P349" s="19"/>
      <c r="Q349" s="19"/>
      <c r="R349" s="21"/>
      <c r="S349" s="46"/>
      <c r="T349" s="44"/>
      <c r="U349" s="77"/>
      <c r="V349" s="24"/>
      <c r="W349" s="24"/>
      <c r="X349" s="193"/>
      <c r="Y349" s="15"/>
    </row>
    <row r="350" spans="2:25" x14ac:dyDescent="0.25">
      <c r="B350" s="15"/>
      <c r="C350" s="8"/>
      <c r="F350" s="380"/>
      <c r="G350" s="8"/>
      <c r="H350" s="8"/>
      <c r="I350" s="8"/>
      <c r="J350" s="9"/>
      <c r="K350" s="9">
        <f t="shared" si="41"/>
        <v>0</v>
      </c>
      <c r="L350" s="35">
        <f t="shared" si="42"/>
        <v>0</v>
      </c>
      <c r="M350" s="2"/>
      <c r="O350" s="19"/>
      <c r="P350" s="19"/>
      <c r="Q350" s="19"/>
      <c r="R350" s="21"/>
      <c r="S350" s="46"/>
      <c r="T350" s="44"/>
      <c r="U350" s="77"/>
      <c r="V350" s="24"/>
      <c r="W350" s="24"/>
      <c r="X350" s="193"/>
      <c r="Y350" s="15"/>
    </row>
    <row r="351" spans="2:25" x14ac:dyDescent="0.25">
      <c r="B351" s="15"/>
      <c r="C351" s="8"/>
      <c r="F351" s="380"/>
      <c r="G351" s="8"/>
      <c r="H351" s="8"/>
      <c r="I351" s="8"/>
      <c r="J351" s="9"/>
      <c r="K351" s="9">
        <f t="shared" si="41"/>
        <v>0</v>
      </c>
      <c r="L351" s="35">
        <f t="shared" si="42"/>
        <v>0</v>
      </c>
      <c r="M351" s="2"/>
      <c r="O351" s="19"/>
      <c r="P351" s="19"/>
      <c r="Q351" s="19"/>
      <c r="R351" s="21"/>
      <c r="S351" s="46"/>
      <c r="T351" s="44"/>
      <c r="U351" s="77"/>
      <c r="V351" s="24"/>
      <c r="W351" s="390"/>
      <c r="X351" s="193"/>
      <c r="Y351" s="15"/>
    </row>
    <row r="352" spans="2:25" x14ac:dyDescent="0.25">
      <c r="B352" s="15"/>
      <c r="C352" s="8"/>
      <c r="F352" s="380"/>
      <c r="G352" s="8"/>
      <c r="H352" s="8"/>
      <c r="I352" s="8"/>
      <c r="J352" s="9"/>
      <c r="K352" s="9">
        <f t="shared" si="41"/>
        <v>0</v>
      </c>
      <c r="L352" s="35">
        <f t="shared" si="42"/>
        <v>0</v>
      </c>
      <c r="M352" s="2"/>
      <c r="O352" s="19"/>
      <c r="P352" s="19"/>
      <c r="Q352" s="19"/>
      <c r="R352" s="21"/>
      <c r="S352" s="46"/>
      <c r="T352" s="44"/>
      <c r="U352" s="77"/>
      <c r="V352" s="24"/>
      <c r="X352" s="193"/>
      <c r="Y352" s="15"/>
    </row>
    <row r="353" spans="2:25" x14ac:dyDescent="0.25">
      <c r="B353" s="15"/>
      <c r="C353" s="8"/>
      <c r="F353" s="380"/>
      <c r="G353" s="8"/>
      <c r="H353" s="8"/>
      <c r="I353" s="8"/>
      <c r="J353" s="9"/>
      <c r="K353" s="9">
        <f t="shared" si="41"/>
        <v>0</v>
      </c>
      <c r="L353" s="35">
        <f t="shared" si="42"/>
        <v>0</v>
      </c>
      <c r="M353" s="2"/>
      <c r="O353" s="19"/>
      <c r="P353" s="19"/>
      <c r="Q353" s="19"/>
      <c r="R353" s="21"/>
      <c r="S353" s="46"/>
      <c r="T353" s="44"/>
      <c r="U353" s="77"/>
      <c r="V353" s="24"/>
      <c r="X353" s="193"/>
      <c r="Y353" s="15"/>
    </row>
    <row r="354" spans="2:25" x14ac:dyDescent="0.25">
      <c r="B354" s="15"/>
      <c r="C354" s="8"/>
      <c r="F354" s="380"/>
      <c r="G354" s="8"/>
      <c r="H354" s="8"/>
      <c r="I354" s="8"/>
      <c r="J354" s="9"/>
      <c r="K354" s="9">
        <f t="shared" si="41"/>
        <v>0</v>
      </c>
      <c r="L354" s="35">
        <f t="shared" si="42"/>
        <v>0</v>
      </c>
      <c r="M354" s="2"/>
      <c r="O354" s="19"/>
      <c r="P354" s="19"/>
      <c r="Q354" s="19"/>
      <c r="R354" s="21"/>
      <c r="S354" s="46"/>
      <c r="T354" s="44"/>
      <c r="U354" s="77"/>
      <c r="V354" s="24"/>
      <c r="X354" s="193"/>
      <c r="Y354" s="15"/>
    </row>
  </sheetData>
  <mergeCells count="15">
    <mergeCell ref="AB69:AB74"/>
    <mergeCell ref="AB75:AC75"/>
    <mergeCell ref="AB33:AB38"/>
    <mergeCell ref="AB39:AB44"/>
    <mergeCell ref="AB45:AB50"/>
    <mergeCell ref="AB51:AB56"/>
    <mergeCell ref="AB57:AB62"/>
    <mergeCell ref="AB63:AB68"/>
    <mergeCell ref="AB21:AB26"/>
    <mergeCell ref="AB27:AB32"/>
    <mergeCell ref="AB1:AS1"/>
    <mergeCell ref="AB2:AC2"/>
    <mergeCell ref="AB3:AB8"/>
    <mergeCell ref="AB9:AB14"/>
    <mergeCell ref="AB15:AB20"/>
  </mergeCells>
  <phoneticPr fontId="7" type="noConversion"/>
  <conditionalFormatting sqref="U1:U1048576 X1:X1048576">
    <cfRule type="cellIs" dxfId="0" priority="1" operator="equal">
      <formula>"마케팅"</formula>
    </cfRule>
  </conditionalFormatting>
  <dataValidations count="10">
    <dataValidation type="list" allowBlank="1" showInputMessage="1" showErrorMessage="1" sqref="S188:S284 S36 S39:S185 S337:S354 S305:S328 S3:S33" xr:uid="{7A6A3328-F659-4E61-B6D9-BC9613293C2D}">
      <formula1>"(주)그랜드썬기술단, (주)그랜드썬,지에스피,유지에스"</formula1>
    </dataValidation>
    <dataValidation type="list" allowBlank="1" showInputMessage="1" showErrorMessage="1" sqref="U159:U301 U156 U305:U354 U3:U151" xr:uid="{211EAAEB-119A-47D7-B1E2-FFA7CFDFD632}">
      <formula1>"소개,그 외"</formula1>
    </dataValidation>
    <dataValidation type="list" allowBlank="1" showInputMessage="1" showErrorMessage="1" sqref="D66:D301 D337:D354 D305:D328 D3:D64" xr:uid="{C4D44ABC-4224-43A1-861D-ABCC4BAC9CA6}">
      <formula1>"기존시설물(A),일반부지(B),수면(C)"</formula1>
    </dataValidation>
    <dataValidation type="list" allowBlank="1" showInputMessage="1" showErrorMessage="1" sqref="C303:C328 C337:C354 C3:C301" xr:uid="{7E41CB46-740A-412F-96A1-830F0075D3C8}">
      <formula1>"직영(가),외주(나),입찰(다),검토(라)"</formula1>
    </dataValidation>
    <dataValidation type="list" allowBlank="1" showInputMessage="1" showErrorMessage="1" sqref="X154:X301 X127:X152 X305:X354 X3:X125" xr:uid="{6938294B-18DA-41AF-A6C5-5B7CB4B91846}">
      <formula1>"산단,공장,창고,축사,근생,자원순환,토지,업무시설"</formula1>
    </dataValidation>
    <dataValidation type="list" allowBlank="1" showInputMessage="1" showErrorMessage="1" sqref="Y305:Y354 Y3:Y301" xr:uid="{C39198D4-D9BE-4F3F-AA7D-CC0BBBA08E8C}">
      <formula1>"유지,보류,취소"</formula1>
    </dataValidation>
    <dataValidation type="list" allowBlank="1" showInputMessage="1" showErrorMessage="1" sqref="Q252:Q318 Q3:Q250" xr:uid="{310B0B1D-163C-47C8-8322-B7759219272C}">
      <formula1>"경기,강원,충남,충북,서울,인천,대전,세종,경남,경북,전남,전북,부산,대구,울산,제주,광주"</formula1>
    </dataValidation>
    <dataValidation type="list" allowBlank="1" showInputMessage="1" showErrorMessage="1" sqref="X153" xr:uid="{530F654E-62FC-4A2B-9C02-6B5019F347CB}">
      <formula1>"산단,공장,창고,축사,근생,자원순환,토지,업무시설, 자동차관련시설"</formula1>
    </dataValidation>
    <dataValidation type="list" allowBlank="1" showInputMessage="1" showErrorMessage="1" sqref="X126" xr:uid="{3F780502-E7CC-4E42-AC60-6B284D473AF1}">
      <formula1>"산단,공장,창고,축사,근생,자원순환, 창고 및 판매시설,토지,업무시설"</formula1>
    </dataValidation>
    <dataValidation type="list" allowBlank="1" showInputMessage="1" showErrorMessage="1" sqref="S34:S35 S37:S38" xr:uid="{30D4C9D8-4F66-4EBF-95AE-54A436429EC7}">
      <formula1>"(주)그랜드썬기술단, (주)그랜드썬,지에스피,유지에스,지에스이"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7EDF6D-0973-4449-A88B-07F0318D4BC1}">
          <x14:formula1>
            <xm:f>INDEX!$B$3:$B$6</xm:f>
          </x14:formula1>
          <xm:sqref>W3:W351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65D7-34CE-4504-BA41-D74590292F6E}">
  <dimension ref="B2:C14"/>
  <sheetViews>
    <sheetView workbookViewId="0">
      <selection activeCell="F8" sqref="F8"/>
    </sheetView>
  </sheetViews>
  <sheetFormatPr defaultRowHeight="13.5" x14ac:dyDescent="0.25"/>
  <sheetData>
    <row r="2" spans="2:3" x14ac:dyDescent="0.25">
      <c r="B2" s="389" t="s">
        <v>1152</v>
      </c>
    </row>
    <row r="3" spans="2:3" x14ac:dyDescent="0.25">
      <c r="B3" s="387" t="s">
        <v>1790</v>
      </c>
    </row>
    <row r="4" spans="2:3" x14ac:dyDescent="0.25">
      <c r="B4" s="387">
        <v>1111</v>
      </c>
      <c r="C4" s="5" t="s">
        <v>1791</v>
      </c>
    </row>
    <row r="5" spans="2:3" x14ac:dyDescent="0.25">
      <c r="B5" s="387"/>
    </row>
    <row r="6" spans="2:3" x14ac:dyDescent="0.25">
      <c r="B6" s="387"/>
    </row>
    <row r="7" spans="2:3" x14ac:dyDescent="0.25">
      <c r="B7" s="387"/>
    </row>
    <row r="8" spans="2:3" x14ac:dyDescent="0.25">
      <c r="B8" s="387"/>
    </row>
    <row r="9" spans="2:3" x14ac:dyDescent="0.25">
      <c r="B9" s="387"/>
    </row>
    <row r="10" spans="2:3" x14ac:dyDescent="0.25">
      <c r="B10" s="387"/>
    </row>
    <row r="11" spans="2:3" x14ac:dyDescent="0.25">
      <c r="B11" s="387"/>
    </row>
    <row r="12" spans="2:3" x14ac:dyDescent="0.25">
      <c r="B12" s="387"/>
    </row>
    <row r="13" spans="2:3" x14ac:dyDescent="0.25">
      <c r="B13" s="387"/>
    </row>
    <row r="14" spans="2:3" x14ac:dyDescent="0.25">
      <c r="B14" s="388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size="17" baseType="lpstr">
      <vt:lpstr>지역</vt:lpstr>
      <vt:lpstr>상태분류</vt:lpstr>
      <vt:lpstr>개인</vt:lpstr>
      <vt:lpstr>차트</vt:lpstr>
      <vt:lpstr>정리base</vt:lpstr>
      <vt:lpstr>발전사업(A)</vt:lpstr>
      <vt:lpstr>자가소비(B)</vt:lpstr>
      <vt:lpstr>PPA 사업(C)</vt:lpstr>
      <vt:lpstr>리스사업(D)</vt:lpstr>
      <vt:lpstr>임대사업(E)</vt:lpstr>
      <vt:lpstr>환경부사업(F)</vt:lpstr>
      <vt:lpstr>프로젝트(G)</vt:lpstr>
      <vt:lpstr>협력사 EPC(H)</vt:lpstr>
      <vt:lpstr>협력사 하도(I)</vt:lpstr>
      <vt:lpstr>기타(Z)</vt:lpstr>
      <vt:lpstr>INDEX</vt:lpstr>
      <vt:lpstr>차트!Print_Area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2026-08-03T01:10:43Z</cp:lastPrinted>
  <dcterms:created xsi:type="dcterms:W3CDTF">2016-12-27T04:15:52Z</dcterms:created>
  <dcterms:modified xsi:type="dcterms:W3CDTF">2026-09-29T06:05:19Z</dcterms:modified>
</cp:coreProperties>
</file>